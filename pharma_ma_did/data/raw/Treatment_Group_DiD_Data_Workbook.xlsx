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f418ed503e423d" /></Relationships>
</file>

<file path=xl/workbook.xml><?xml version="1.0" encoding="utf-8"?>
<x:workbook xmlns:x="http://schemas.openxmlformats.org/spreadsheetml/2006/main">
  <x:sheets>
    <x:sheet xmlns:r="http://schemas.openxmlformats.org/officeDocument/2006/relationships" name="README" sheetId="1" r:id="R20f6c21b29264b4c"/>
    <x:sheet xmlns:r="http://schemas.openxmlformats.org/officeDocument/2006/relationships" name="Summary" sheetId="2" r:id="Ra406e5a59cce4c78"/>
    <x:sheet xmlns:r="http://schemas.openxmlformats.org/officeDocument/2006/relationships" name="Deal_Master_Wide" sheetId="3" r:id="R8931de25d56e45bf"/>
    <x:sheet xmlns:r="http://schemas.openxmlformats.org/officeDocument/2006/relationships" name="Panel_DiD" sheetId="4" r:id="R63d8f98b79b54e0c"/>
    <x:sheet xmlns:r="http://schemas.openxmlformats.org/officeDocument/2006/relationships" name="Variable_Dictionary" sheetId="5" r:id="R3d88689cc28d4da0"/>
    <x:sheet xmlns:r="http://schemas.openxmlformats.org/officeDocument/2006/relationships" name="Lists" sheetId="6" r:id="Ra4b027c584a440dc"/>
    <x:sheet xmlns:r="http://schemas.openxmlformats.org/officeDocument/2006/relationships" name="Financial_Import_Log" sheetId="7" r:id="R1dbd6603e7be41ef"/>
    <x:sheet xmlns:r="http://schemas.openxmlformats.org/officeDocument/2006/relationships" name="Financial_Long_Raw" sheetId="8" r:id="R8eb683f08ce543e4"/>
    <x:sheet xmlns:r="http://schemas.openxmlformats.org/officeDocument/2006/relationships" name="Patent_Import_Log" sheetId="9" r:id="R92b6ea27bd7b4880"/>
    <x:sheet xmlns:r="http://schemas.openxmlformats.org/officeDocument/2006/relationships" name="Patent_Year_Summary" sheetId="10" r:id="Ra17bf136df814b43"/>
    <x:sheet xmlns:r="http://schemas.openxmlformats.org/officeDocument/2006/relationships" name="Patent_Family_Long" sheetId="11" r:id="Rb0697aa0e80a4251"/>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dd/mm/yyyy"/>
    <x:numFmt numFmtId="201" formatCode="#,##0.0;[Red](#,##0.0);-"/>
    <x:numFmt numFmtId="202" formatCode="0.0&quot;%&quot;;[Red](0.0&quot;%&quot;);-"/>
    <x:numFmt numFmtId="203" formatCode="#,##0;[Red](#,##0);-"/>
    <x:numFmt numFmtId="204" formatCode="0.000"/>
    <x:numFmt numFmtId="205" formatCode="0"/>
    <x:numFmt numFmtId="206" formatCode="0;[Red](0);-"/>
    <x:numFmt numFmtId="207" formatCode="yyyy-mm-dd"/>
  </x:numFmts>
  <x:fonts count="11">
    <x:font>
      <x:sz val="11"/>
      <x:name val="Carlito"/>
    </x:font>
    <x:font>
      <x:b/>
      <x:sz val="11"/>
      <x:color rgb="FFFFFFFF"/>
      <x:name val="Carlito"/>
    </x:font>
    <x:font>
      <x:sz val="11"/>
      <x:color rgb="FF0000FF"/>
      <x:name val="Carlito"/>
    </x:font>
    <x:font>
      <x:sz val="11"/>
      <x:color rgb="FF000000"/>
      <x:name val="Carlito"/>
    </x:font>
    <x:font>
      <x:sz val="11"/>
      <x:color rgb="FF008000"/>
      <x:name val="Carlito"/>
    </x:font>
    <x:font>
      <x:b/>
      <x:sz val="18"/>
      <x:color rgb="FFFFFFFF"/>
      <x:name val="Carlito"/>
    </x:font>
    <x:font>
      <x:b/>
      <x:sz val="14"/>
      <x:color rgb="FFFFFFFF"/>
      <x:name val="Carlito"/>
    </x:font>
    <x:font>
      <x:i/>
      <x:sz val="11"/>
      <x:color rgb="FF1F1F1F"/>
      <x:name val="Carlito"/>
    </x:font>
    <x:font>
      <x:b/>
      <x:sz val="11"/>
      <x:color rgb="FF1F1F1F"/>
      <x:name val="Carlito"/>
    </x:font>
    <x:font>
      <x:b/>
      <x:sz val="11"/>
      <x:color rgb="FF17365D"/>
      <x:name val="Carlito"/>
    </x:font>
    <x:font>
      <x:b/>
      <x:sz val="11"/>
      <x:color rgb="FF9C6500"/>
      <x:name val="Carlito"/>
    </x:font>
  </x:fonts>
  <x:fills count="12">
    <x:fill>
      <x:patternFill patternType="none"/>
    </x:fill>
    <x:fill>
      <x:patternFill patternType="gray125"/>
    </x:fill>
    <x:fill>
      <x:patternFill patternType="solid">
        <x:fgColor rgb="FF0B1F3A"/>
      </x:patternFill>
    </x:fill>
    <x:fill>
      <x:patternFill patternType="solid">
        <x:fgColor rgb="FF1F6E8C"/>
      </x:patternFill>
    </x:fill>
    <x:fill>
      <x:patternFill patternType="solid">
        <x:fgColor rgb="FFC00000"/>
      </x:patternFill>
    </x:fill>
    <x:fill>
      <x:patternFill patternType="solid">
        <x:fgColor rgb="FFFFF2CC"/>
      </x:patternFill>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1F4E78"/>
      </x:patternFill>
    </x:fill>
  </x:fills>
  <x:borders count="2">
    <x:border/>
    <x:border/>
  </x:borders>
  <x:cellStyleXfs count="1">
    <x:xf numFmtId="0" fontId="0" fillId="0" borderId="0"/>
  </x:cellStyleXfs>
  <x:cellXfs count="11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2" fillId="0" borderId="0" xfId="0" applyNumberFormat="1" applyFont="1" applyFill="1" applyBorder="1" applyAlignment="1">
      <x:alignment vertical="top"/>
    </x:xf>
    <x:xf numFmtId="0" fontId="2" fillId="0" borderId="1"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1"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x:xf>
    <x:xf numFmtId="200" fontId="2" fillId="0" borderId="1" xfId="0" applyNumberFormat="1" applyFont="1" applyFill="1" applyBorder="1" applyAlignment="1">
      <x:alignment vertical="top"/>
    </x:xf>
    <x:xf numFmtId="201" fontId="2" fillId="0" borderId="0" xfId="0" applyNumberFormat="1" applyFont="1" applyFill="1" applyBorder="1" applyAlignment="1">
      <x:alignment vertical="top"/>
    </x:xf>
    <x:xf numFmtId="201" fontId="2" fillId="0" borderId="1" xfId="0" applyNumberFormat="1" applyFont="1" applyFill="1" applyBorder="1" applyAlignment="1">
      <x:alignment vertical="top"/>
    </x:xf>
    <x:xf numFmtId="202" fontId="2" fillId="0" borderId="0" xfId="0" applyNumberFormat="1" applyFont="1" applyFill="1" applyBorder="1" applyAlignment="1">
      <x:alignment vertical="top"/>
    </x:xf>
    <x:xf numFmtId="202" fontId="2" fillId="0" borderId="1" xfId="0" applyNumberFormat="1" applyFont="1" applyFill="1" applyBorder="1" applyAlignment="1">
      <x:alignment vertical="top"/>
    </x:xf>
    <x:xf numFmtId="203" fontId="2" fillId="0" borderId="0" xfId="0" applyNumberFormat="1" applyFont="1" applyFill="1" applyBorder="1" applyAlignment="1">
      <x:alignment vertical="top"/>
    </x:xf>
    <x:xf numFmtId="203" fontId="2" fillId="0" borderId="1" xfId="0" applyNumberFormat="1" applyFont="1" applyFill="1" applyBorder="1" applyAlignment="1">
      <x:alignment vertical="top"/>
    </x:xf>
    <x:xf numFmtId="204" fontId="3" fillId="0" borderId="0" xfId="0" applyNumberFormat="1" applyFont="1" applyFill="1" applyBorder="1" applyAlignment="1">
      <x:alignment vertical="top"/>
    </x:xf>
    <x:xf numFmtId="204" fontId="3" fillId="0" borderId="1" xfId="0" applyNumberFormat="1" applyFont="1" applyFill="1" applyBorder="1" applyAlignment="1">
      <x:alignment vertical="top"/>
    </x:xf>
    <x:xf numFmtId="204" fontId="2" fillId="0" borderId="0" xfId="0" applyNumberFormat="1" applyFont="1" applyFill="1" applyBorder="1" applyAlignment="1">
      <x:alignment vertical="top"/>
    </x:xf>
    <x:xf numFmtId="204" fontId="2" fillId="0" borderId="1" xfId="0" applyNumberFormat="1" applyFont="1" applyFill="1" applyBorder="1" applyAlignment="1">
      <x:alignment vertical="top"/>
    </x:xf>
    <x:xf numFmtId="202" fontId="3" fillId="0" borderId="0" xfId="0" applyNumberFormat="1" applyFont="1" applyFill="1" applyBorder="1" applyAlignment="1">
      <x:alignment vertical="top"/>
    </x:xf>
    <x:xf numFmtId="202" fontId="3" fillId="0" borderId="1" xfId="0" applyNumberFormat="1" applyFont="1" applyFill="1" applyBorder="1" applyAlignment="1">
      <x:alignment vertical="top"/>
    </x:xf>
    <x:xf numFmtId="201" fontId="3" fillId="0" borderId="0" xfId="0" applyNumberFormat="1" applyFont="1" applyFill="1" applyBorder="1" applyAlignment="1">
      <x:alignment vertical="top"/>
    </x:xf>
    <x:xf numFmtId="201" fontId="3" fillId="0" borderId="1" xfId="0" applyNumberFormat="1" applyFont="1" applyFill="1" applyBorder="1" applyAlignment="1">
      <x:alignment vertical="top"/>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201" fontId="4" fillId="0" borderId="0" xfId="0" applyNumberFormat="1" applyFont="1" applyFill="1" applyBorder="1"/>
    <x:xf numFmtId="201" fontId="4" fillId="0" borderId="1" xfId="0" applyNumberFormat="1" applyFont="1" applyFill="1" applyBorder="1"/>
    <x:xf numFmtId="202" fontId="4" fillId="0" borderId="0" xfId="0" applyNumberFormat="1" applyFont="1" applyFill="1" applyBorder="1"/>
    <x:xf numFmtId="202" fontId="4"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5" fillId="2" borderId="1" xfId="0" applyNumberFormat="1" applyFont="1" applyFill="1" applyBorder="1" applyAlignment="1">
      <x:alignment horizontal="center" vertical="center"/>
    </x:xf>
    <x:xf numFmtId="205" fontId="0" fillId="0" borderId="0" xfId="0" applyNumberFormat="1" applyFont="1" applyFill="1" applyBorder="1"/>
    <x:xf numFmtId="205" fontId="0" fillId="0"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0"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left"/>
    </x:xf>
    <x:xf numFmtId="0" fontId="6" fillId="6" borderId="0" xfId="0" applyNumberFormat="1" applyFont="1" applyFill="1" applyBorder="1" applyAlignment="1">
      <x:alignment horizontal="left"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6" fillId="6" borderId="0" xfId="0" applyNumberFormat="1" applyFont="1" applyFill="1" applyBorder="1" applyAlignment="1">
      <x:alignment horizontal="left" vertical="center" wrapText="1"/>
    </x:xf>
    <x:xf numFmtId="0" fontId="2" fillId="0" borderId="0" xfId="0" applyNumberFormat="1" applyFont="1" applyFill="1" applyBorder="1" applyAlignment="1">
      <x:alignment wrapText="1"/>
    </x:xf>
    <x:xf numFmtId="205" fontId="2" fillId="0" borderId="0" xfId="0" applyNumberFormat="1" applyFont="1" applyFill="1" applyBorder="1" applyAlignment="1">
      <x:alignment wrapText="1"/>
    </x:xf>
    <x:xf numFmtId="201" fontId="2" fillId="0" borderId="0" xfId="0" applyNumberFormat="1" applyFont="1" applyFill="1" applyBorder="1" applyAlignment="1">
      <x:alignment wrapText="1"/>
    </x:xf>
    <x:xf numFmtId="202" fontId="2" fillId="0" borderId="0" xfId="0" applyNumberFormat="1" applyFont="1" applyFill="1" applyBorder="1" applyAlignment="1">
      <x:alignment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8" fillId="8" borderId="0" xfId="0" applyNumberFormat="1" applyFont="1" applyFill="1" applyBorder="1"/>
    <x:xf numFmtId="200" fontId="0" fillId="0" borderId="0" xfId="0" applyNumberFormat="1" applyFont="1" applyFill="1" applyBorder="1"/>
    <x:xf numFmtId="0" fontId="9" fillId="0" borderId="0" xfId="0" applyNumberFormat="1" applyFont="1" applyFill="1" applyBorder="1"/>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wrapText="1"/>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horizontal="left"/>
    </x:xf>
    <x:xf numFmtId="0" fontId="6" fillId="10" borderId="0" xfId="0" applyNumberFormat="1" applyFont="1" applyFill="1" applyBorder="1" applyAlignment="1">
      <x:alignment horizontal="left" vertic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206" fontId="2" fillId="0" borderId="0" xfId="0" applyNumberFormat="1" applyFont="1" applyFill="1" applyBorder="1" applyAlignment="1">
      <x:alignment wrapText="1"/>
    </x:xf>
    <x:xf numFmtId="207" fontId="2" fillId="0" borderId="0" xfId="0" applyNumberFormat="1" applyFont="1" applyFill="1" applyBorder="1" applyAlignment="1">
      <x:alignment wrapText="1"/>
    </x:xf>
  </x:cellXfs>
  <x:cellStyles count="1">
    <x:cellStyle name="Normal" xfId="0"/>
  </x:cellStyles>
  <x:dxfs count="6">
    <x:dxf>
      <x:fill>
        <x:patternFill>
          <x:bgColor rgb="FFFFF2CC"/>
        </x:patternFill>
      </x:fill>
    </x:dxf>
    <x:dxf>
      <x:fill>
        <x:patternFill>
          <x:bgColor rgb="FFFCE4D6"/>
        </x:patternFill>
      </x:fill>
    </x:dxf>
    <x:dxf>
      <x:font>
        <x:b/>
      </x:font>
      <x:fill>
        <x:patternFill>
          <x:bgColor rgb="FFE2F0D9"/>
        </x:patternFill>
      </x:fill>
    </x:dxf>
    <x:dxf>
      <x:font>
        <x:b/>
        <x:color rgb="FF9C0006"/>
      </x:font>
      <x:fill>
        <x:patternFill patternType="solid">
          <x:bgColor rgb="FFF4CCCC"/>
        </x:patternFill>
      </x:fill>
    </x:dxf>
    <x:dxf>
      <x:font>
        <x:b/>
        <x:color rgb="FF274E13"/>
      </x:font>
      <x:fill>
        <x:patternFill patternType="solid">
          <x:bgColor rgb="FFD9EAD3"/>
        </x:patternFill>
      </x:fill>
    </x:dxf>
    <x:dxf>
      <x:font>
        <x:color rgb="FF9C6500"/>
      </x:font>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53725980e641c5" /><Relationship Type="http://schemas.openxmlformats.org/officeDocument/2006/relationships/theme" Target="/xl/theme/theme1.xml" Id="R1c230d2d04d540c7" /><Relationship Type="http://schemas.openxmlformats.org/officeDocument/2006/relationships/sharedStrings" Target="/xl/sharedStrings.xml" Id="Rde2958a83ed34a80" /><Relationship Type="http://schemas.openxmlformats.org/officeDocument/2006/relationships/worksheet" Target="/xl/worksheets/sheet1.xml" Id="R20f6c21b29264b4c" /><Relationship Type="http://schemas.openxmlformats.org/officeDocument/2006/relationships/worksheet" Target="/xl/worksheets/sheet2.xml" Id="Ra406e5a59cce4c78" /><Relationship Type="http://schemas.openxmlformats.org/officeDocument/2006/relationships/worksheet" Target="/xl/worksheets/sheet3.xml" Id="R8931de25d56e45bf" /><Relationship Type="http://schemas.openxmlformats.org/officeDocument/2006/relationships/worksheet" Target="/xl/worksheets/sheet4.xml" Id="R63d8f98b79b54e0c" /><Relationship Type="http://schemas.openxmlformats.org/officeDocument/2006/relationships/worksheet" Target="/xl/worksheets/sheet5.xml" Id="R3d88689cc28d4da0" /><Relationship Type="http://schemas.openxmlformats.org/officeDocument/2006/relationships/worksheet" Target="/xl/worksheets/sheet6.xml" Id="Ra4b027c584a440dc" /><Relationship Type="http://schemas.openxmlformats.org/officeDocument/2006/relationships/worksheet" Target="/xl/worksheets/sheet7.xml" Id="R1dbd6603e7be41ef" /><Relationship Type="http://schemas.openxmlformats.org/officeDocument/2006/relationships/worksheet" Target="/xl/worksheets/sheet8.xml" Id="R8eb683f08ce543e4" /><Relationship Type="http://schemas.openxmlformats.org/officeDocument/2006/relationships/worksheet" Target="/xl/worksheets/sheet9.xml" Id="R92b6ea27bd7b4880" /><Relationship Type="http://schemas.openxmlformats.org/officeDocument/2006/relationships/worksheet" Target="/xl/worksheets/sheet10.xml" Id="Ra17bf136df814b43" /><Relationship Type="http://schemas.openxmlformats.org/officeDocument/2006/relationships/worksheet" Target="/xl/worksheets/sheet11.xml" Id="Rb0697aa0e80a4251" /></Relationships>
</file>

<file path=xl/drawings/_rels/drawing1.xml.rels>&#65279;<?xml version="1.0" encoding="utf-8"?><Relationships xmlns="http://schemas.openxmlformats.org/package/2006/relationships"><Relationship Type="http://schemas.openxmlformats.org/officeDocument/2006/relationships/chart" Target="/xl/drawings/charts/chart1.xml" Id="R659974e3f2bf433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Completed deals by year</a:t>
            </a:r>
          </a:p>
        </c:rich>
      </c:tx>
      <c:overlay val="0"/>
    </c:title>
    <c:autoTitleDeleted val="0"/>
    <c:plotArea>
      <c:layout/>
      <c:barChart>
        <c:barDir val="col"/>
        <c:grouping val="clustered"/>
        <c:varyColors val="0"/>
        <c:ser>
          <c:idx val="0"/>
          <c:order val="0"/>
          <c:tx>
            <c:v>Deals</c:v>
          </c:tx>
          <c:cat>
            <c:strRef>
              <c:f>'Summary'!$D$5:$D$13</c:f>
              <c:strCache>
                <c:ptCount val="0"/>
              </c:strCache>
            </c:strRef>
          </c:cat>
          <c:val>
            <c:numRef>
              <c:f>'Summary'!$E$5:$E$13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11</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9974e3f2bf433d"/>
        </a:graphicData>
      </a:graphic>
    </xdr:graphicFrame>
    <xdr:clientData/>
  </xdr:twoCellAnchor>
</xdr:wsDr>
</file>

<file path=xl/tables/table1.xml><?xml version="1.0" encoding="utf-8"?>
<x:table xmlns:x="http://schemas.openxmlformats.org/spreadsheetml/2006/main" id="1" name="TRTDealsTable" displayName="TRTDealsTable" ref="A2:FI44" headerRowCount="1">
  <x:tableColumns count="165">
    <x:tableColumn id="1" name="Deal_ID"/>
    <x:tableColumn id="2" name="Source_Row"/>
    <x:tableColumn id="3" name="Initial_Group"/>
    <x:tableColumn id="4" name="Initial_Treatment_Indicator"/>
    <x:tableColumn id="5" name="Source_File"/>
    <x:tableColumn id="6" name="Cross_File_Key"/>
    <x:tableColumn id="7" name="Overlap_Flag"/>
    <x:tableColumn id="8" name="Duplicate_Flag"/>
    <x:tableColumn id="9" name="Multiple_Deal_Acquirer"/>
    <x:tableColumn id="10" name="Acquirer_Deal_Count_in_File"/>
    <x:tableColumn id="11" name="Manual_Review_Status"/>
    <x:tableColumn id="12" name="Initial_Control_Transfer_Status"/>
    <x:tableColumn id="13" name="Main_DiD_Decision"/>
    <x:tableColumn id="14" name="Exclusion_Reason"/>
    <x:tableColumn id="15" name="Announced_Date"/>
    <x:tableColumn id="16" name="Completion_Date"/>
    <x:tableColumn id="17" name="Completion_Year"/>
    <x:tableColumn id="18" name="Completion_Quarter"/>
    <x:tableColumn id="19" name="Deal_Status"/>
    <x:tableColumn id="20" name="Deal_Headline"/>
    <x:tableColumn id="21" name="Deal_Type_Level_1"/>
    <x:tableColumn id="22" name="Deal_Subtype_Level_2"/>
    <x:tableColumn id="23" name="Deal_Subtype_Level_3"/>
    <x:tableColumn id="24" name="Deal_Country_s"/>
    <x:tableColumn id="25" name="Deal_Subcategory"/>
    <x:tableColumn id="26" name="Financial_Advisors"/>
    <x:tableColumn id="27" name="Legal_Advisors"/>
    <x:tableColumn id="28" name="Acquirer_Raw"/>
    <x:tableColumn id="29" name="Acquirer_Normalized"/>
    <x:tableColumn id="30" name="Target_Raw"/>
    <x:tableColumn id="31" name="Target_Normalized"/>
    <x:tableColumn id="32" name="Deal_Value_USD_m"/>
    <x:tableColumn id="33" name="Deal_Value_Raw"/>
    <x:tableColumn id="34" name="Description"/>
    <x:tableColumn id="35" name="Deal_Rationale"/>
    <x:tableColumn id="36" name="Acquirer_Country"/>
    <x:tableColumn id="37" name="Target_Country"/>
    <x:tableColumn id="38" name="Cross_Border_Flag"/>
    <x:tableColumn id="39" name="Acquirer_Listed"/>
    <x:tableColumn id="40" name="Bloomberg_Ticker"/>
    <x:tableColumn id="41" name="ISIN"/>
    <x:tableColumn id="42" name="LEI"/>
    <x:tableColumn id="43" name="Acquirer_Parent_Mapping"/>
    <x:tableColumn id="44" name="Target_Parent_Mapping"/>
    <x:tableColumn id="45" name="Patent_Search_Acquirer_Names"/>
    <x:tableColumn id="46" name="Patent_Search_Target_Names"/>
    <x:tableColumn id="47" name="Final_Classification"/>
    <x:tableColumn id="48" name="Classification_Confidence"/>
    <x:tableColumn id="49" name="Patent_Evidence"/>
    <x:tableColumn id="50" name="Pipeline_Evidence"/>
    <x:tableColumn id="51" name="Platform_Evidence"/>
    <x:tableColumn id="52" name="R_and_D_Evidence"/>
    <x:tableColumn id="53" name="Commercial_or_Geographic_Evidence"/>
    <x:tableColumn id="54" name="Mixed_Motive_Flag"/>
    <x:tableColumn id="55" name="Classification_Notes"/>
    <x:tableColumn id="56" name="Deal_Validation_Source_URL"/>
    <x:tableColumn id="57" name="Financial_Currency"/>
    <x:tableColumn id="58" name="Financial_Data_Status"/>
    <x:tableColumn id="59" name="Patent_Data_Status"/>
    <x:tableColumn id="60" name="Patent_Entity_Scope"/>
    <x:tableColumn id="61" name="Calendar_Year_t-3"/>
    <x:tableColumn id="62" name="Calendar_Year_t-2"/>
    <x:tableColumn id="63" name="Calendar_Year_t-1"/>
    <x:tableColumn id="64" name="Calendar_Year_t0"/>
    <x:tableColumn id="65" name="Calendar_Year_t+1"/>
    <x:tableColumn id="66" name="Calendar_Year_t+2"/>
    <x:tableColumn id="67" name="Calendar_Year_t+3"/>
    <x:tableColumn id="68" name="Revenue_m_t-3"/>
    <x:tableColumn id="69" name="Revenue_m_t-2"/>
    <x:tableColumn id="70" name="Revenue_m_t-1"/>
    <x:tableColumn id="71" name="Revenue_m_t0"/>
    <x:tableColumn id="72" name="Revenue_m_t+1"/>
    <x:tableColumn id="73" name="Revenue_m_t+2"/>
    <x:tableColumn id="74" name="Revenue_m_t+3"/>
    <x:tableColumn id="75" name="Operating_Income_m_t-3"/>
    <x:tableColumn id="76" name="Operating_Income_m_t-2"/>
    <x:tableColumn id="77" name="Operating_Income_m_t-1"/>
    <x:tableColumn id="78" name="Operating_Income_m_t0"/>
    <x:tableColumn id="79" name="Operating_Income_m_t+1"/>
    <x:tableColumn id="80" name="Operating_Income_m_t+2"/>
    <x:tableColumn id="81" name="Operating_Income_m_t+3"/>
    <x:tableColumn id="82" name="Net_Income_m_t-3"/>
    <x:tableColumn id="83" name="Net_Income_m_t-2"/>
    <x:tableColumn id="84" name="Net_Income_m_t-1"/>
    <x:tableColumn id="85" name="Net_Income_m_t0"/>
    <x:tableColumn id="86" name="Net_Income_m_t+1"/>
    <x:tableColumn id="87" name="Net_Income_m_t+2"/>
    <x:tableColumn id="88" name="Net_Income_m_t+3"/>
    <x:tableColumn id="89" name="Total_Assets_m_t-3"/>
    <x:tableColumn id="90" name="Total_Assets_m_t-2"/>
    <x:tableColumn id="91" name="Total_Assets_m_t-1"/>
    <x:tableColumn id="92" name="Total_Assets_m_t0"/>
    <x:tableColumn id="93" name="Total_Assets_m_t+1"/>
    <x:tableColumn id="94" name="Total_Assets_m_t+2"/>
    <x:tableColumn id="95" name="Total_Assets_m_t+3"/>
    <x:tableColumn id="96" name="Total_Debt_m_t-3"/>
    <x:tableColumn id="97" name="Total_Debt_m_t-2"/>
    <x:tableColumn id="98" name="Total_Debt_m_t-1"/>
    <x:tableColumn id="99" name="Total_Debt_m_t0"/>
    <x:tableColumn id="100" name="Total_Debt_m_t+1"/>
    <x:tableColumn id="101" name="Total_Debt_m_t+2"/>
    <x:tableColumn id="102" name="Total_Debt_m_t+3"/>
    <x:tableColumn id="103" name="R_and_D_Expense_m_t-3"/>
    <x:tableColumn id="104" name="R_and_D_Expense_m_t-2"/>
    <x:tableColumn id="105" name="R_and_D_Expense_m_t-1"/>
    <x:tableColumn id="106" name="R_and_D_Expense_m_t0"/>
    <x:tableColumn id="107" name="R_and_D_Expense_m_t+1"/>
    <x:tableColumn id="108" name="R_and_D_Expense_m_t+2"/>
    <x:tableColumn id="109" name="R_and_D_Expense_m_t+3"/>
    <x:tableColumn id="110" name="ROA_pct_t-3"/>
    <x:tableColumn id="111" name="ROA_pct_t-2"/>
    <x:tableColumn id="112" name="ROA_pct_t-1"/>
    <x:tableColumn id="113" name="ROA_pct_t0"/>
    <x:tableColumn id="114" name="ROA_pct_t+1"/>
    <x:tableColumn id="115" name="ROA_pct_t+2"/>
    <x:tableColumn id="116" name="ROA_pct_t+3"/>
    <x:tableColumn id="117" name="Operating_Margin_pct_t-3"/>
    <x:tableColumn id="118" name="Operating_Margin_pct_t-2"/>
    <x:tableColumn id="119" name="Operating_Margin_pct_t-1"/>
    <x:tableColumn id="120" name="Operating_Margin_pct_t0"/>
    <x:tableColumn id="121" name="Operating_Margin_pct_t+1"/>
    <x:tableColumn id="122" name="Operating_Margin_pct_t+2"/>
    <x:tableColumn id="123" name="Operating_Margin_pct_t+3"/>
    <x:tableColumn id="124" name="Leverage_pct_t-3"/>
    <x:tableColumn id="125" name="Leverage_pct_t-2"/>
    <x:tableColumn id="126" name="Leverage_pct_t-1"/>
    <x:tableColumn id="127" name="Leverage_pct_t0"/>
    <x:tableColumn id="128" name="Leverage_pct_t+1"/>
    <x:tableColumn id="129" name="Leverage_pct_t+2"/>
    <x:tableColumn id="130" name="Leverage_pct_t+3"/>
    <x:tableColumn id="131" name="Patent_Family_Count_t-3"/>
    <x:tableColumn id="132" name="Patent_Family_Count_t-2"/>
    <x:tableColumn id="133" name="Patent_Family_Count_t-1"/>
    <x:tableColumn id="134" name="Patent_Family_Count_t0"/>
    <x:tableColumn id="135" name="Patent_Family_Count_t+1"/>
    <x:tableColumn id="136" name="Patent_Family_Count_t+2"/>
    <x:tableColumn id="137" name="Patent_Family_Count_t+3"/>
    <x:tableColumn id="138" name="Citation_Weighted_Output_t-3"/>
    <x:tableColumn id="139" name="Citation_Weighted_Output_t-2"/>
    <x:tableColumn id="140" name="Citation_Weighted_Output_t-1"/>
    <x:tableColumn id="141" name="Citation_Weighted_Output_t0"/>
    <x:tableColumn id="142" name="Citation_Weighted_Output_t+1"/>
    <x:tableColumn id="143" name="Citation_Weighted_Output_t+2"/>
    <x:tableColumn id="144" name="Citation_Weighted_Output_t+3"/>
    <x:tableColumn id="145" name="Acquirer_PreDeal_Patent_Stock"/>
    <x:tableColumn id="146" name="Target_PreDeal_Patent_Stock"/>
    <x:tableColumn id="147" name="Relative_Knowledge_Base_Size"/>
    <x:tableColumn id="148" name="Technological_Relatedness_Cosine"/>
    <x:tableColumn id="149" name="Inventor_Location_Available"/>
    <x:tableColumn id="150" name="Cross_Border_Relocation_Testable"/>
    <x:tableColumn id="151" name="Pre_Avg_ROA"/>
    <x:tableColumn id="152" name="Post_Avg_ROA"/>
    <x:tableColumn id="153" name="Delta_ROA"/>
    <x:tableColumn id="154" name="Pre_Avg_Operating_Margin"/>
    <x:tableColumn id="155" name="Post_Avg_Operating_Margin"/>
    <x:tableColumn id="156" name="Delta_Operating_Margin"/>
    <x:tableColumn id="157" name="Pre_Avg_Patent_Families"/>
    <x:tableColumn id="158" name="Post_Avg_Patent_Families"/>
    <x:tableColumn id="159" name="Delta_Patent_Families"/>
    <x:tableColumn id="160" name="Pre_Avg_Citation_Weighted"/>
    <x:tableColumn id="161" name="Post_Avg_Citation_Weighted"/>
    <x:tableColumn id="162" name="Delta_Citation_Weighted"/>
    <x:tableColumn id="163" name="Complete_Financial_Window"/>
    <x:tableColumn id="164" name="Complete_Patent_Window"/>
    <x:tableColumn id="165" name="Data_Ready_Flag"/>
  </x:tableColumns>
  <x:tableStyleInfo name="TableStyleMedium2" showRowStripes="1"/>
</x:table>
</file>

<file path=xl/tables/table2.xml><?xml version="1.0" encoding="utf-8"?>
<x:table xmlns:x="http://schemas.openxmlformats.org/spreadsheetml/2006/main" id="2" name="TRTPanelTable" displayName="TRTPanelTable" ref="A1:AE295" headerRowCount="1">
  <x:tableColumns count="31">
    <x:tableColumn id="1" name="Deal_ID"/>
    <x:tableColumn id="2" name="Initial_Group"/>
    <x:tableColumn id="3" name="Final_Classification"/>
    <x:tableColumn id="4" name="Classification_Confidence"/>
    <x:tableColumn id="5" name="Initial_Treatment"/>
    <x:tableColumn id="6" name="Final_Treatment"/>
    <x:tableColumn id="7" name="Main_DiD_Decision"/>
    <x:tableColumn id="8" name="Acquirer"/>
    <x:tableColumn id="9" name="Target"/>
    <x:tableColumn id="10" name="Completion_Year"/>
    <x:tableColumn id="11" name="Relative_Year"/>
    <x:tableColumn id="12" name="Calendar_Year"/>
    <x:tableColumn id="13" name="Post_Excluding_t0"/>
    <x:tableColumn id="14" name="Post_Including_t0"/>
    <x:tableColumn id="15" name="Treatment_x_Post"/>
    <x:tableColumn id="16" name="Revenue_m"/>
    <x:tableColumn id="17" name="Operating_Income_m"/>
    <x:tableColumn id="18" name="Net_Income_m"/>
    <x:tableColumn id="19" name="Total_Assets_m"/>
    <x:tableColumn id="20" name="Total_Debt_m"/>
    <x:tableColumn id="21" name="R_and_D_Expense_m"/>
    <x:tableColumn id="22" name="ROA_pct"/>
    <x:tableColumn id="23" name="Operating_Margin_pct"/>
    <x:tableColumn id="24" name="Leverage_pct"/>
    <x:tableColumn id="25" name="Patent_Family_Count"/>
    <x:tableColumn id="26" name="Citation_Weighted_Output"/>
    <x:tableColumn id="27" name="Cross_Border_Flag"/>
    <x:tableColumn id="28" name="Deal_Value_USD_m"/>
    <x:tableColumn id="29" name="Financial_Row_Complete"/>
    <x:tableColumn id="30" name="Patent_Row_Complete"/>
    <x:tableColumn id="31" name="Panel_Notes"/>
  </x:tableColumns>
  <x:tableStyleInfo name="TableStyleMedium2" showRowStripes="1"/>
</x:table>
</file>

<file path=xl/tables/table3.xml><?xml version="1.0" encoding="utf-8"?>
<x:table xmlns:x="http://schemas.openxmlformats.org/spreadsheetml/2006/main" id="3" name="TRTVariableDictionary" displayName="TRTVariableDictionary" ref="A1:H23" headerRowCount="1">
  <x:tableColumns count="8">
    <x:tableColumn id="1" name="Variable"/>
    <x:tableColumn id="2" name="Sheet"/>
    <x:tableColumn id="3" name="Role"/>
    <x:tableColumn id="4" name="Definition / Formula"/>
    <x:tableColumn id="5" name="Source"/>
    <x:tableColumn id="6" name="Timing / Unit"/>
    <x:tableColumn id="7" name="Required for"/>
    <x:tableColumn id="8" name="Data-entry ru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00882429b2f74e08" /></Relationships>
</file>

<file path=xl/worksheets/_rels/sheet3.xml.rels>&#65279;<?xml version="1.0" encoding="utf-8"?><Relationships xmlns="http://schemas.openxmlformats.org/package/2006/relationships"><Relationship Type="http://schemas.openxmlformats.org/officeDocument/2006/relationships/table" Target="/xl/tables/table1.xml" Id="Rbd279bba71164b16" /></Relationships>
</file>

<file path=xl/worksheets/_rels/sheet4.xml.rels>&#65279;<?xml version="1.0" encoding="utf-8"?><Relationships xmlns="http://schemas.openxmlformats.org/package/2006/relationships"><Relationship Type="http://schemas.openxmlformats.org/officeDocument/2006/relationships/table" Target="/xl/tables/table2.xml" Id="R7c6d965a254c4673" /></Relationships>
</file>

<file path=xl/worksheets/_rels/sheet5.xml.rels>&#65279;<?xml version="1.0" encoding="utf-8"?><Relationships xmlns="http://schemas.openxmlformats.org/package/2006/relationships"><Relationship Type="http://schemas.openxmlformats.org/officeDocument/2006/relationships/table" Target="/xl/tables/table3.xml" Id="R29ccf95eade243c0"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62" t="str">
        <x:v>Candidate treatment group — DiD Data Collection Workbook</x:v>
      </x:c>
    </x:row>
    <x:row r="4">
      <x:c r="A4" s="11" t="str">
        <x:v>Purpose</x:v>
      </x:c>
    </x:row>
    <x:row r="5">
      <x:c r="A5" s="58" t="str">
        <x:v>The Deal_Master_Wide sheet has one row per deal, as requested. Enter annual financial and patent data in the t−3 to t+3 columns. The Panel_DiD sheet automatically reshapes the wide data into one row per deal-year for R/Stata estimation.</x:v>
      </x:c>
    </x:row>
    <x:row r="8">
      <x:c r="A8" s="69" t="str">
        <x:v>Critical methodological caution</x:v>
      </x:c>
    </x:row>
    <x:row r="9">
      <x:c r="A9" s="73" t="str">
        <x:v>The source workbooks are candidate screening lists, not final mutually exclusive treatment/control groups. This workbook contains 39 deals whose normalized headline also appears in the other source file. Use the Final_Classification and Main_DiD_Decision fields only after deal-level validation.</x:v>
      </x:c>
    </x:row>
    <x:row r="13">
      <x:c r="A13" s="11" t="str">
        <x:v>Cell convention</x:v>
      </x:c>
      <x:c r="B13" s="11" t="str">
        <x:v>Meaning</x:v>
      </x:c>
    </x:row>
    <x:row r="14">
      <x:c r="A14" t="str">
        <x:v>Blue text</x:v>
      </x:c>
      <x:c r="B14" t="str">
        <x:v>Hardcoded inputs or data to be collected/validated</x:v>
      </x:c>
    </x:row>
    <x:row r="15">
      <x:c r="A15" t="str">
        <x:v>Black text</x:v>
      </x:c>
      <x:c r="B15" t="str">
        <x:v>Formulas calculated within Deal_Master_Wide</x:v>
      </x:c>
    </x:row>
    <x:row r="16">
      <x:c r="A16" t="str">
        <x:v>Green text</x:v>
      </x:c>
      <x:c r="B16" t="str">
        <x:v>Formulas linked from another worksheet</x:v>
      </x:c>
    </x:row>
    <x:row r="17">
      <x:c r="A17" t="str">
        <x:v>Yellow fill</x:v>
      </x:c>
      <x:c r="B17" t="str">
        <x:v>Important review warning, including overlap</x:v>
      </x:c>
    </x:row>
    <x:row r="18">
      <x:c r="A18" t="str">
        <x:v>t0</x:v>
      </x:c>
      <x:c r="B18" t="str">
        <x:v>Completion year; baseline panel also provides Post excluding t0</x:v>
      </x:c>
    </x:row>
    <x:row r="20">
      <x:c r="A20" s="11" t="str">
        <x:v>Recommended workflow</x:v>
      </x:c>
    </x:row>
    <x:row r="21">
      <x:c r="A21" s="58" t="str">
        <x:v>1. Validate the transaction, completion date, control transfer and European scope.</x:v>
      </x:c>
      <x:c r="B21" s="58" t="str"/>
      <x:c r="C21" s="58" t="str"/>
      <x:c r="D21" s="58" t="str"/>
      <x:c r="E21" s="58" t="str"/>
      <x:c r="F21" s="58" t="str"/>
      <x:c r="G21" s="58" t="str"/>
      <x:c r="H21" s="58" t="str"/>
    </x:row>
    <x:row r="22">
      <x:c r="A22" s="58" t="str">
        <x:v>2. Classify the deal using pre-acquisition patent, pipeline, platform and R&amp;D evidence.</x:v>
      </x:c>
      <x:c r="B22" s="58" t="str"/>
      <x:c r="C22" s="58" t="str"/>
      <x:c r="D22" s="58" t="str"/>
      <x:c r="E22" s="58" t="str"/>
      <x:c r="F22" s="58" t="str"/>
      <x:c r="G22" s="58" t="str"/>
      <x:c r="H22" s="58" t="str"/>
    </x:row>
    <x:row r="23">
      <x:c r="A23" s="58" t="str">
        <x:v>3. Resolve overlaps, mixed motives, repeated acquirers and multiple event windows.</x:v>
      </x:c>
      <x:c r="B23" s="58" t="str"/>
      <x:c r="C23" s="58" t="str"/>
      <x:c r="D23" s="58" t="str"/>
      <x:c r="E23" s="58" t="str"/>
      <x:c r="F23" s="58" t="str"/>
      <x:c r="G23" s="58" t="str"/>
      <x:c r="H23" s="58" t="str"/>
    </x:row>
    <x:row r="24">
      <x:c r="A24" s="58" t="str">
        <x:v>4. Enter Bloomberg historical actuals only; keep missing observations blank, never zero.</x:v>
      </x:c>
      <x:c r="B24" s="58" t="str"/>
      <x:c r="C24" s="58" t="str"/>
      <x:c r="D24" s="58" t="str"/>
      <x:c r="E24" s="58" t="str"/>
      <x:c r="F24" s="58" t="str"/>
      <x:c r="G24" s="58" t="str"/>
      <x:c r="H24" s="58" t="str"/>
    </x:row>
    <x:row r="25">
      <x:c r="A25" s="58" t="str">
        <x:v>5. Aggregate Lens records to unique patent families by earliest priority year before entry.</x:v>
      </x:c>
      <x:c r="B25" s="58" t="str"/>
      <x:c r="C25" s="58" t="str"/>
      <x:c r="D25" s="58" t="str"/>
      <x:c r="E25" s="58" t="str"/>
      <x:c r="F25" s="58" t="str"/>
      <x:c r="G25" s="58" t="str"/>
      <x:c r="H25" s="58" t="str"/>
    </x:row>
    <x:row r="26">
      <x:c r="A26" s="58" t="str">
        <x:v>6. Use Panel_DiD for estimation after appending the final treatment and comparison files.</x:v>
      </x:c>
      <x:c r="B26" s="58" t="str"/>
      <x:c r="C26" s="58" t="str"/>
      <x:c r="D26" s="58" t="str"/>
      <x:c r="E26" s="58" t="str"/>
      <x:c r="F26" s="58" t="str"/>
      <x:c r="G26" s="58" t="str"/>
      <x:c r="H26" s="58" t="str"/>
    </x:row>
    <x:row r="28">
      <x:c r="A28" s="94" t="str">
        <x:v>Bloomberg import status</x:v>
      </x:c>
      <x:c r="B28" s="58" t="str">
        <x:v>13 treatment-group financial workbooks were imported.</x:v>
      </x:c>
    </x:row>
    <x:row r="29">
      <x:c r="A29" s="94" t="str">
        <x:v>Mapped deal files</x:v>
      </x:c>
      <x:c r="B29" s="58" t="str">
        <x:v>8 files were linked to treatment deal rows; 3 of these deals were added from the alternative-rationale export at the user's instruction.</x:v>
      </x:c>
    </x:row>
    <x:row r="30">
      <x:c r="A30" s="94" t="str">
        <x:v>Unmatched files</x:v>
      </x:c>
      <x:c r="B30" s="58" t="str">
        <x:v>AstraZeneca, Celyad Oncology, Chiltern International, 10X Genomics, and Medipass were not assigned to a deal because no supported deal event was found in the supplied lists.</x:v>
      </x:c>
    </x:row>
    <x:row r="31">
      <x:c r="A31" s="94" t="str">
        <x:v>Financial units</x:v>
      </x:c>
      <x:c r="B31" s="58" t="str">
        <x:v>Values are stored in the reported currency, millions. The currency is shown for each deal and in the import log.</x:v>
      </x:c>
    </x:row>
    <x:row r="32">
      <x:c r="A32" s="94" t="str">
        <x:v>Event window</x:v>
      </x:c>
      <x:c r="B32" s="58" t="str">
        <x:v>Financial data were aligned to t−3 through t+3 using each deal's completion year.</x:v>
      </x:c>
    </x:row>
    <x:row r="33">
      <x:c r="A33" s="94" t="str">
        <x:v>Patent status</x:v>
      </x:c>
      <x:c r="B33" s="58" t="str">
        <x:v>8 Lens.org exports imported; 7 were linked to verified treatment deal rows.</x:v>
      </x:c>
    </x:row>
    <x:row r="34" ht="34" customHeight="1">
      <x:c r="A34" s="96" t="str">
        <x:v>Mapped patent files</x:v>
      </x:c>
      <x:c r="B34" s="58" t="str">
        <x:v>Chinook/Aduro, Esteve, Eurofins, GSK, Nicox, Sanofi and Shire were linked to deal rows.</x:v>
      </x:c>
    </x:row>
    <x:row r="35" ht="34" customHeight="1">
      <x:c r="A35" s="96" t="str">
        <x:v>Unmatched patent file</x:v>
      </x:c>
      <x:c r="B35" s="58" t="str">
        <x:v>AstraZeneca patent data are preserved in the patent import sheets but not assigned because no verified AstraZeneca deal event exists in the supplied deal lists.</x:v>
      </x:c>
    </x:row>
    <x:row r="36" ht="34" customHeight="1">
      <x:c r="A36" s="96" t="str">
        <x:v>Citation metric</x:v>
      </x:c>
      <x:c r="B36" s="58" t="str">
        <x:v>The populated citation output is a provisional raw family-level forward-citation total, not yet age- or field-normalised.</x:v>
      </x:c>
    </x:row>
    <x:row r="37" ht="34" customHeight="1">
      <x:c r="A37" s="96" t="str">
        <x:v>Comparability warning</x:v>
      </x:c>
      <x:c r="B37" s="58" t="str">
        <x:v>Patent export scopes are not harmonised: Sanofi is EP-focused, GSK is concentrated on Consumer Healthcare/Haleon, and several files have incomplete event-window coverage.</x:v>
      </x:c>
    </x:row>
  </x:sheetData>
  <x:mergeCells>
    <x:mergeCell ref="A1:H2"/>
    <x:mergeCell ref="A4:H4"/>
    <x:mergeCell ref="A5:H6"/>
    <x:mergeCell ref="A8:H8"/>
    <x:mergeCell ref="A9:H11"/>
    <x:mergeCell ref="A20:H20"/>
    <x:mergeCell ref="A21:H21"/>
    <x:mergeCell ref="A22:H22"/>
    <x:mergeCell ref="A23:H23"/>
    <x:mergeCell ref="A24:H24"/>
    <x:mergeCell ref="A25:H25"/>
    <x:mergeCell ref="A26:H26"/>
  </x:mergeCells>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6" hidden="0" customWidth="1"/>
    <x:col min="4" max="4" width="16" hidden="0" customWidth="1"/>
    <x:col min="5" max="5" width="12" hidden="0" customWidth="1"/>
    <x:col min="7" max="7" width="24" hidden="0" customWidth="1"/>
    <x:col min="8" max="8" width="12" hidden="0" customWidth="1"/>
  </x:cols>
  <x:sheetData>
    <x:row r="1">
      <x:c r="A1" s="62" t="str">
        <x:v>Candidate treatment group — Dataset Status</x:v>
      </x:c>
    </x:row>
    <x:row r="4">
      <x:c r="A4" s="11" t="str">
        <x:v>KPI</x:v>
      </x:c>
      <x:c r="B4" s="11" t="str">
        <x:v>Value</x:v>
      </x:c>
      <x:c r="D4" s="11" t="str">
        <x:v>Completion Year</x:v>
      </x:c>
      <x:c r="E4" s="11" t="str">
        <x:v>Deals</x:v>
      </x:c>
      <x:c r="G4" s="11" t="str">
        <x:v>Transaction subtype</x:v>
      </x:c>
      <x:c r="H4" s="11" t="str">
        <x:v>Deals</x:v>
      </x:c>
    </x:row>
    <x:row r="5">
      <x:c r="A5" s="66" t="str">
        <x:v>Total deals</x:v>
      </x:c>
      <x:c r="B5" s="66" t="n">
        <x:v>45</x:v>
      </x:c>
      <x:c r="D5" t="n">
        <x:v>2012</x:v>
      </x:c>
      <x:c r="E5" t="n">
        <x:v>3</x:v>
      </x:c>
      <x:c r="G5" t="str">
        <x:v>100% Acquisition</x:v>
      </x:c>
      <x:c r="H5" t="n">
        <x:v>25</x:v>
      </x:c>
    </x:row>
    <x:row r="6">
      <x:c r="A6" s="66" t="str">
        <x:v>Cross-file overlap</x:v>
      </x:c>
      <x:c r="B6" s="66" t="n">
        <x:v>39</x:v>
      </x:c>
      <x:c r="D6" t="n">
        <x:v>2013</x:v>
      </x:c>
      <x:c r="E6" t="n">
        <x:v>5</x:v>
      </x:c>
      <x:c r="G6" t="str">
        <x:v>Majority Acquisition</x:v>
      </x:c>
      <x:c r="H6" t="n">
        <x:v>10</x:v>
      </x:c>
    </x:row>
    <x:row r="7">
      <x:c r="A7" s="66" t="str">
        <x:v>Within-file duplicate flags</x:v>
      </x:c>
      <x:c r="B7" s="66" t="n">
        <x:v>0</x:v>
      </x:c>
      <x:c r="D7" t="n">
        <x:v>2014</x:v>
      </x:c>
      <x:c r="E7" t="n">
        <x:v>4</x:v>
      </x:c>
      <x:c r="G7" t="str">
        <x:v>Minority Acquisition</x:v>
      </x:c>
      <x:c r="H7" t="n">
        <x:v>5</x:v>
      </x:c>
    </x:row>
    <x:row r="8">
      <x:c r="A8" s="66" t="str">
        <x:v>100% acquisitions</x:v>
      </x:c>
      <x:c r="B8" s="66" t="n">
        <x:v>24</x:v>
      </x:c>
      <x:c r="D8" t="n">
        <x:v>2015</x:v>
      </x:c>
      <x:c r="E8" t="n">
        <x:v>6</x:v>
      </x:c>
      <x:c r="G8" t="str">
        <x:v>Reverse Acquisition</x:v>
      </x:c>
      <x:c r="H8" t="n">
        <x:v>0</x:v>
      </x:c>
    </x:row>
    <x:row r="9">
      <x:c r="A9" s="66" t="str">
        <x:v>Majority acquisitions</x:v>
      </x:c>
      <x:c r="B9" s="66" t="n">
        <x:v>8</x:v>
      </x:c>
      <x:c r="D9" t="n">
        <x:v>2016</x:v>
      </x:c>
      <x:c r="E9" t="n">
        <x:v>7</x:v>
      </x:c>
      <x:c r="G9" t="str">
        <x:v>Merger / Unspecified</x:v>
      </x:c>
      <x:c r="H9" t="n">
        <x:v>5</x:v>
      </x:c>
    </x:row>
    <x:row r="10">
      <x:c r="A10" s="66" t="str">
        <x:v>Minority acquisitions</x:v>
      </x:c>
      <x:c r="B10" s="66" t="n">
        <x:v>5</x:v>
      </x:c>
      <x:c r="D10" t="n">
        <x:v>2017</x:v>
      </x:c>
      <x:c r="E10" t="n">
        <x:v>8</x:v>
      </x:c>
    </x:row>
    <x:row r="11">
      <x:c r="A11" s="66" t="str">
        <x:v>Mergers</x:v>
      </x:c>
      <x:c r="B11" s="66" t="n">
        <x:v>5</x:v>
      </x:c>
      <x:c r="D11" t="n">
        <x:v>2018</x:v>
      </x:c>
      <x:c r="E11" t="n">
        <x:v>4</x:v>
      </x:c>
    </x:row>
    <x:row r="12">
      <x:c r="A12" s="66" t="str">
        <x:v>Missing deal value</x:v>
      </x:c>
      <x:c r="B12" s="66" t="n">
        <x:v>21</x:v>
      </x:c>
      <x:c r="D12" t="n">
        <x:v>2019</x:v>
      </x:c>
      <x:c r="E12" t="n">
        <x:v>5</x:v>
      </x:c>
    </x:row>
    <x:row r="13">
      <x:c r="A13" s="66" t="str">
        <x:v>Missing/undisclosed acquirer</x:v>
      </x:c>
      <x:c r="B13" s="66" t="n">
        <x:v>0</x:v>
      </x:c>
      <x:c r="D13" t="n">
        <x:v>2020</x:v>
      </x:c>
      <x:c r="E13" t="n">
        <x:v>3</x:v>
      </x:c>
    </x:row>
    <x:row r="15">
      <x:c r="A15" s="93" t="str">
        <x:v>Bloomberg import: 8 files mapped to deal rows; 5 unmatched files retained in Financial_Import_Log and Financial_Long_Raw.</x:v>
      </x:c>
      <x:c r="B15" s="93"/>
      <x:c r="C15" s="93"/>
      <x:c r="D15" s="93"/>
      <x:c r="E15" s="93"/>
      <x:c r="F15" s="93"/>
      <x:c r="G15" s="93"/>
      <x:c r="H15" s="93"/>
    </x:row>
    <x:row r="16">
      <x:c r="A16" s="99" t="str">
        <x:v>Patent import: 8 Lens exports imported; 7 mapped to deal rows; AstraZeneca retained as unmatched raw data.</x:v>
      </x:c>
      <x:c r="B16" s="99"/>
      <x:c r="C16" s="99"/>
      <x:c r="D16" s="99"/>
      <x:c r="E16" s="99"/>
      <x:c r="F16" s="99"/>
      <x:c r="G16" s="99"/>
      <x:c r="H16" s="99"/>
    </x:row>
    <x:row r="17">
      <x:c r="A17" s="99" t="str">
        <x:v>Patent caution: citation values are raw forward-citation totals and export scopes must be harmonised before final DiD estimation.</x:v>
      </x:c>
      <x:c r="B17" s="99"/>
      <x:c r="C17" s="99"/>
      <x:c r="D17" s="99"/>
      <x:c r="E17" s="99"/>
      <x:c r="F17" s="99"/>
      <x:c r="G17" s="99"/>
      <x:c r="H17" s="99"/>
    </x:row>
  </x:sheetData>
  <x:mergeCells>
    <x:mergeCell ref="A1:H2"/>
    <x:mergeCell ref="A15:H15"/>
    <x:mergeCell ref="A16:H16"/>
    <x:mergeCell ref="A17:H17"/>
  </x:mergeCells>
  <x:pageMargins left="0.7" right="0.7" top="0.75" bottom="0.75" header="0.3" footer="0.3"/>
  <x:drawing xmlns:r="http://schemas.openxmlformats.org/officeDocument/2006/relationships" r:id="R00882429b2f74e08"/>
</x:worksheet>
</file>

<file path=xl/worksheets/sheet3.xml><?xml version="1.0" encoding="utf-8"?>
<x:worksheet xmlns:x="http://schemas.openxmlformats.org/spreadsheetml/2006/main">
  <x:sheetFormatPr defaultRowHeight="15"/>
  <x:cols>
    <x:col min="1" max="1" width="13" hidden="0" customWidth="1"/>
    <x:col min="2" max="2" width="10" hidden="0" customWidth="1"/>
    <x:col min="3" max="3" width="18" hidden="0" customWidth="1"/>
    <x:col min="4" max="4" width="12" hidden="0" customWidth="1"/>
    <x:col min="5" max="5" width="26" hidden="0" customWidth="1"/>
    <x:col min="6" max="6" width="32" hidden="0" customWidth="1"/>
    <x:col min="7" max="7" width="11" hidden="0" customWidth="1"/>
    <x:col min="8" max="8" width="11" hidden="0" customWidth="1"/>
    <x:col min="9" max="9" width="13" hidden="0" customWidth="1"/>
    <x:col min="10" max="10" width="12" hidden="0" customWidth="1"/>
    <x:col min="11" max="11" width="15" hidden="0" customWidth="1"/>
    <x:col min="12" max="12" width="22" hidden="0" customWidth="1"/>
    <x:col min="13" max="13" width="14" hidden="0" customWidth="1"/>
    <x:col min="14" max="14" width="25" hidden="0" customWidth="1"/>
    <x:col min="15" max="15" width="13" hidden="0" customWidth="1"/>
    <x:col min="16" max="16" width="13" hidden="0" customWidth="1"/>
    <x:col min="17" max="17" width="11" hidden="0" customWidth="1"/>
    <x:col min="18" max="18" width="12" hidden="0" customWidth="1"/>
    <x:col min="19" max="19" width="11" hidden="0" customWidth="1"/>
    <x:col min="20" max="20" width="38" hidden="0" customWidth="1"/>
    <x:col min="21" max="21" width="20" hidden="0" customWidth="1"/>
    <x:col min="22" max="22" width="18" hidden="0" customWidth="1"/>
    <x:col min="23" max="23" width="18" hidden="0" customWidth="1"/>
    <x:col min="24" max="24" width="22" hidden="0" customWidth="1"/>
    <x:col min="25" max="25" width="18" hidden="0" customWidth="1"/>
    <x:col min="26" max="26" width="32" hidden="0" customWidth="1"/>
    <x:col min="27" max="27" width="32" hidden="0" customWidth="1"/>
    <x:col min="28" max="28" width="28" hidden="0" customWidth="1"/>
    <x:col min="29" max="29" width="24" hidden="0" customWidth="1"/>
    <x:col min="30" max="30" width="28" hidden="0" customWidth="1"/>
    <x:col min="31" max="31" width="24" hidden="0" customWidth="1"/>
    <x:col min="32" max="32" width="14" hidden="0" customWidth="1"/>
    <x:col min="33" max="33" width="14" hidden="0" customWidth="1"/>
    <x:col min="34" max="34" width="42" hidden="0" customWidth="1"/>
    <x:col min="35" max="35" width="42" hidden="0" customWidth="1"/>
    <x:col min="36" max="36" width="16" hidden="0" customWidth="1"/>
    <x:col min="37" max="37" width="16" hidden="0" customWidth="1"/>
    <x:col min="38" max="38" width="14" hidden="0" customWidth="1"/>
    <x:col min="39" max="39" width="13" hidden="0" customWidth="1"/>
    <x:col min="40" max="40" width="15" hidden="0" customWidth="1"/>
    <x:col min="41" max="41" width="15" hidden="0" customWidth="1"/>
    <x:col min="42" max="42" width="22" hidden="0" customWidth="1"/>
    <x:col min="43" max="43" width="24" hidden="0" customWidth="1"/>
    <x:col min="44" max="44" width="24" hidden="0" customWidth="1"/>
    <x:col min="45" max="45" width="28" hidden="0" customWidth="1"/>
    <x:col min="46" max="46" width="28" hidden="0" customWidth="1"/>
    <x:col min="47" max="47" width="30" hidden="0" customWidth="1"/>
    <x:col min="48" max="48" width="18" hidden="0" customWidth="1"/>
    <x:col min="49" max="49" width="14" hidden="0" customWidth="1"/>
    <x:col min="50" max="50" width="14" hidden="0" customWidth="1"/>
    <x:col min="51" max="51" width="14" hidden="0" customWidth="1"/>
    <x:col min="52" max="52" width="14" hidden="0" customWidth="1"/>
    <x:col min="53" max="53" width="18" hidden="0" customWidth="1"/>
    <x:col min="54" max="54" width="14" hidden="0" customWidth="1"/>
    <x:col min="55" max="55" width="32" hidden="0" customWidth="1"/>
    <x:col min="56" max="56" width="34" hidden="0" customWidth="1"/>
    <x:col min="57" max="57" width="14" hidden="0" customWidth="1"/>
    <x:col min="58" max="58" width="16" hidden="0" customWidth="1"/>
    <x:col min="59" max="59" width="16" hidden="0" customWidth="1"/>
    <x:col min="60" max="60" width="18" hidden="0" customWidth="1"/>
    <x:col min="61" max="61" width="13" hidden="0" customWidth="1"/>
    <x:col min="62" max="62" width="13" hidden="0" customWidth="1"/>
    <x:col min="63" max="63" width="13" hidden="0" customWidth="1"/>
    <x:col min="64" max="64" width="13" hidden="0" customWidth="1"/>
    <x:col min="65" max="65" width="13" hidden="0" customWidth="1"/>
    <x:col min="66" max="66" width="13" hidden="0" customWidth="1"/>
    <x:col min="67" max="67" width="13" hidden="0" customWidth="1"/>
    <x:col min="68" max="68" width="13" hidden="0" customWidth="1"/>
    <x:col min="69" max="69" width="13" hidden="0" customWidth="1"/>
    <x:col min="70" max="70" width="13" hidden="0" customWidth="1"/>
    <x:col min="71" max="71" width="13" hidden="0" customWidth="1"/>
    <x:col min="72" max="72" width="13" hidden="0" customWidth="1"/>
    <x:col min="73" max="73" width="13" hidden="0" customWidth="1"/>
    <x:col min="74" max="74" width="13" hidden="0" customWidth="1"/>
    <x:col min="75" max="75" width="13" hidden="0" customWidth="1"/>
    <x:col min="76" max="76" width="13" hidden="0" customWidth="1"/>
    <x:col min="77" max="77" width="13" hidden="0" customWidth="1"/>
    <x:col min="78" max="78" width="13" hidden="0" customWidth="1"/>
    <x:col min="79" max="79" width="13" hidden="0" customWidth="1"/>
    <x:col min="80" max="80" width="13" hidden="0" customWidth="1"/>
    <x:col min="81" max="81" width="13" hidden="0" customWidth="1"/>
    <x:col min="82" max="82" width="13" hidden="0" customWidth="1"/>
    <x:col min="83" max="83" width="13" hidden="0" customWidth="1"/>
    <x:col min="84" max="84" width="13" hidden="0" customWidth="1"/>
    <x:col min="85" max="85" width="13" hidden="0" customWidth="1"/>
    <x:col min="86" max="86" width="13" hidden="0" customWidth="1"/>
    <x:col min="87" max="87" width="13" hidden="0" customWidth="1"/>
    <x:col min="88" max="88" width="13" hidden="0" customWidth="1"/>
    <x:col min="89" max="89" width="13" hidden="0" customWidth="1"/>
    <x:col min="90" max="90" width="13" hidden="0" customWidth="1"/>
    <x:col min="91" max="91" width="13" hidden="0" customWidth="1"/>
    <x:col min="92" max="92" width="13" hidden="0" customWidth="1"/>
    <x:col min="93" max="93" width="13" hidden="0" customWidth="1"/>
    <x:col min="94" max="94" width="13" hidden="0" customWidth="1"/>
    <x:col min="95" max="95" width="13" hidden="0" customWidth="1"/>
    <x:col min="96" max="96" width="13" hidden="0" customWidth="1"/>
    <x:col min="97" max="97" width="13" hidden="0" customWidth="1"/>
    <x:col min="98" max="98" width="13" hidden="0" customWidth="1"/>
    <x:col min="99" max="99" width="13" hidden="0" customWidth="1"/>
    <x:col min="100" max="100" width="13" hidden="0" customWidth="1"/>
    <x:col min="101" max="101" width="13" hidden="0" customWidth="1"/>
    <x:col min="102" max="102" width="13" hidden="0" customWidth="1"/>
    <x:col min="103" max="103" width="13" hidden="0" customWidth="1"/>
    <x:col min="104" max="104" width="13" hidden="0" customWidth="1"/>
    <x:col min="105" max="105" width="13" hidden="0" customWidth="1"/>
    <x:col min="106" max="106" width="13" hidden="0" customWidth="1"/>
    <x:col min="107" max="107" width="13" hidden="0" customWidth="1"/>
    <x:col min="108" max="108" width="13" hidden="0" customWidth="1"/>
    <x:col min="109" max="109" width="13" hidden="0" customWidth="1"/>
    <x:col min="110" max="110" width="13" hidden="0" customWidth="1"/>
    <x:col min="111" max="111" width="13" hidden="0" customWidth="1"/>
    <x:col min="112" max="112" width="13" hidden="0" customWidth="1"/>
    <x:col min="113" max="113" width="13" hidden="0" customWidth="1"/>
    <x:col min="114" max="114" width="13" hidden="0" customWidth="1"/>
    <x:col min="115" max="115" width="13" hidden="0" customWidth="1"/>
    <x:col min="116" max="116" width="13" hidden="0" customWidth="1"/>
    <x:col min="117" max="117" width="13" hidden="0" customWidth="1"/>
    <x:col min="118" max="118" width="13" hidden="0" customWidth="1"/>
    <x:col min="119" max="119" width="13" hidden="0" customWidth="1"/>
    <x:col min="120" max="120" width="13" hidden="0" customWidth="1"/>
    <x:col min="121" max="121" width="13" hidden="0" customWidth="1"/>
    <x:col min="122" max="122" width="13" hidden="0" customWidth="1"/>
    <x:col min="123" max="123" width="13" hidden="0" customWidth="1"/>
    <x:col min="124" max="124" width="13" hidden="0" customWidth="1"/>
    <x:col min="125" max="125" width="13" hidden="0" customWidth="1"/>
    <x:col min="126" max="126" width="13" hidden="0" customWidth="1"/>
    <x:col min="127" max="127" width="13" hidden="0" customWidth="1"/>
    <x:col min="128" max="128" width="13" hidden="0" customWidth="1"/>
    <x:col min="129" max="129" width="13" hidden="0" customWidth="1"/>
    <x:col min="130" max="130" width="13" hidden="0" customWidth="1"/>
    <x:col min="131" max="131" width="13" hidden="0" customWidth="1"/>
    <x:col min="132" max="132" width="13" hidden="0" customWidth="1"/>
    <x:col min="133" max="133" width="13" hidden="0" customWidth="1"/>
    <x:col min="134" max="134" width="13" hidden="0" customWidth="1"/>
    <x:col min="135" max="135" width="13" hidden="0" customWidth="1"/>
    <x:col min="136" max="136" width="13" hidden="0" customWidth="1"/>
    <x:col min="137" max="137" width="13" hidden="0" customWidth="1"/>
    <x:col min="138" max="138" width="13" hidden="0" customWidth="1"/>
    <x:col min="139" max="139" width="13" hidden="0" customWidth="1"/>
    <x:col min="140" max="140" width="13" hidden="0" customWidth="1"/>
    <x:col min="141" max="141" width="13" hidden="0" customWidth="1"/>
    <x:col min="142" max="142" width="13" hidden="0" customWidth="1"/>
    <x:col min="143" max="143" width="13" hidden="0" customWidth="1"/>
    <x:col min="144" max="144" width="13" hidden="0" customWidth="1"/>
    <x:col min="145" max="145" width="16" hidden="0" customWidth="1"/>
    <x:col min="146" max="146" width="16" hidden="0" customWidth="1"/>
    <x:col min="147" max="147" width="16" hidden="0" customWidth="1"/>
    <x:col min="148" max="148" width="16" hidden="0" customWidth="1"/>
    <x:col min="149" max="149" width="16" hidden="0" customWidth="1"/>
    <x:col min="150" max="150" width="18" hidden="0" customWidth="1"/>
    <x:col min="151" max="151" width="13" hidden="0" customWidth="1"/>
    <x:col min="152" max="152" width="13" hidden="0" customWidth="1"/>
    <x:col min="153" max="153" width="13" hidden="0" customWidth="1"/>
    <x:col min="154" max="154" width="13" hidden="0" customWidth="1"/>
    <x:col min="155" max="155" width="13" hidden="0" customWidth="1"/>
    <x:col min="156" max="156" width="13" hidden="0" customWidth="1"/>
    <x:col min="157" max="157" width="13" hidden="0" customWidth="1"/>
    <x:col min="158" max="158" width="13" hidden="0" customWidth="1"/>
    <x:col min="159" max="159" width="13" hidden="0" customWidth="1"/>
    <x:col min="160" max="160" width="13" hidden="0" customWidth="1"/>
    <x:col min="161" max="161" width="13" hidden="0" customWidth="1"/>
    <x:col min="162" max="162" width="13" hidden="0" customWidth="1"/>
    <x:col min="163" max="163" width="13" hidden="0" customWidth="1"/>
    <x:col min="164" max="164" width="13" hidden="0" customWidth="1"/>
    <x:col min="165" max="165" width="13" hidden="0" customWidth="1"/>
  </x:cols>
  <x:sheetData>
    <x:row r="1" ht="24" customHeight="1">
      <x:c r="A1" s="7" t="str">
        <x:v>AUDIT &amp; ELIGIBILITY</x:v>
      </x:c>
      <x:c r="O1" s="7" t="str">
        <x:v>DEAL CHARACTERISTICS</x:v>
      </x:c>
      <x:c r="AJ1" s="7" t="str">
        <x:v>FIRM, CLASSIFICATION &amp; SOURCE STATUS</x:v>
      </x:c>
      <x:c r="BI1" s="7" t="str">
        <x:v>EVENT-YEAR MAP</x:v>
      </x:c>
      <x:c r="BP1" s="7" t="str">
        <x:v>FINANCIAL DATA — ENTER VALUES IN REPORTED CURRENCY, MILLIONS</x:v>
      </x:c>
      <x:c r="EA1" s="7" t="str">
        <x:v>PATENT DATA — UNIQUE FAMILIES / CITATION-WEIGHTED OUTPUT</x:v>
      </x:c>
      <x:c r="EO1" s="7" t="str">
        <x:v>PATENT MODERATORS</x:v>
      </x:c>
      <x:c r="EU1" s="7" t="str">
        <x:v>DERIVED DiD CHECKS</x:v>
      </x:c>
    </x:row>
    <x:row r="2" ht="48" customHeight="1">
      <x:c r="A2" s="14" t="str">
        <x:v>Deal_ID</x:v>
      </x:c>
      <x:c r="B2" s="14" t="str">
        <x:v>Source_Row</x:v>
      </x:c>
      <x:c r="C2" s="14" t="str">
        <x:v>Initial_Group</x:v>
      </x:c>
      <x:c r="D2" s="14" t="str">
        <x:v>Initial_Treatment_Indicator</x:v>
      </x:c>
      <x:c r="E2" s="14" t="str">
        <x:v>Source_File</x:v>
      </x:c>
      <x:c r="F2" s="14" t="str">
        <x:v>Cross_File_Key</x:v>
      </x:c>
      <x:c r="G2" s="14" t="str">
        <x:v>Overlap_Flag</x:v>
      </x:c>
      <x:c r="H2" s="14" t="str">
        <x:v>Duplicate_Flag</x:v>
      </x:c>
      <x:c r="I2" s="14" t="str">
        <x:v>Multiple_Deal_Acquirer</x:v>
      </x:c>
      <x:c r="J2" s="14" t="str">
        <x:v>Acquirer_Deal_Count_in_File</x:v>
      </x:c>
      <x:c r="K2" s="14" t="str">
        <x:v>Manual_Review_Status</x:v>
      </x:c>
      <x:c r="L2" s="14" t="str">
        <x:v>Initial_Control_Transfer_Status</x:v>
      </x:c>
      <x:c r="M2" s="14" t="str">
        <x:v>Main_DiD_Decision</x:v>
      </x:c>
      <x:c r="N2" s="14" t="str">
        <x:v>Exclusion_Reason</x:v>
      </x:c>
      <x:c r="O2" s="14" t="str">
        <x:v>Announced_Date</x:v>
      </x:c>
      <x:c r="P2" s="14" t="str">
        <x:v>Completion_Date</x:v>
      </x:c>
      <x:c r="Q2" s="14" t="str">
        <x:v>Completion_Year</x:v>
      </x:c>
      <x:c r="R2" s="14" t="str">
        <x:v>Completion_Quarter</x:v>
      </x:c>
      <x:c r="S2" s="14" t="str">
        <x:v>Deal_Status</x:v>
      </x:c>
      <x:c r="T2" s="14" t="str">
        <x:v>Deal_Headline</x:v>
      </x:c>
      <x:c r="U2" s="14" t="str">
        <x:v>Deal_Type_Level_1</x:v>
      </x:c>
      <x:c r="V2" s="14" t="str">
        <x:v>Deal_Subtype_Level_2</x:v>
      </x:c>
      <x:c r="W2" s="14" t="str">
        <x:v>Deal_Subtype_Level_3</x:v>
      </x:c>
      <x:c r="X2" s="14" t="str">
        <x:v>Deal_Country_s</x:v>
      </x:c>
      <x:c r="Y2" s="14" t="str">
        <x:v>Deal_Subcategory</x:v>
      </x:c>
      <x:c r="Z2" s="14" t="str">
        <x:v>Financial_Advisors</x:v>
      </x:c>
      <x:c r="AA2" s="14" t="str">
        <x:v>Legal_Advisors</x:v>
      </x:c>
      <x:c r="AB2" s="14" t="str">
        <x:v>Acquirer_Raw</x:v>
      </x:c>
      <x:c r="AC2" s="14" t="str">
        <x:v>Acquirer_Normalized</x:v>
      </x:c>
      <x:c r="AD2" s="14" t="str">
        <x:v>Target_Raw</x:v>
      </x:c>
      <x:c r="AE2" s="14" t="str">
        <x:v>Target_Normalized</x:v>
      </x:c>
      <x:c r="AF2" s="14" t="str">
        <x:v>Deal_Value_USD_m</x:v>
      </x:c>
      <x:c r="AG2" s="14" t="str">
        <x:v>Deal_Value_Raw</x:v>
      </x:c>
      <x:c r="AH2" s="14" t="str">
        <x:v>Description</x:v>
      </x:c>
      <x:c r="AI2" s="14" t="str">
        <x:v>Deal_Rationale</x:v>
      </x:c>
      <x:c r="AJ2" s="14" t="str">
        <x:v>Acquirer_Country</x:v>
      </x:c>
      <x:c r="AK2" s="14" t="str">
        <x:v>Target_Country</x:v>
      </x:c>
      <x:c r="AL2" s="14" t="str">
        <x:v>Cross_Border_Flag</x:v>
      </x:c>
      <x:c r="AM2" s="14" t="str">
        <x:v>Acquirer_Listed</x:v>
      </x:c>
      <x:c r="AN2" s="14" t="str">
        <x:v>Bloomberg_Ticker</x:v>
      </x:c>
      <x:c r="AO2" s="14" t="str">
        <x:v>ISIN</x:v>
      </x:c>
      <x:c r="AP2" s="14" t="str">
        <x:v>LEI</x:v>
      </x:c>
      <x:c r="AQ2" s="14" t="str">
        <x:v>Acquirer_Parent_Mapping</x:v>
      </x:c>
      <x:c r="AR2" s="14" t="str">
        <x:v>Target_Parent_Mapping</x:v>
      </x:c>
      <x:c r="AS2" s="14" t="str">
        <x:v>Patent_Search_Acquirer_Names</x:v>
      </x:c>
      <x:c r="AT2" s="14" t="str">
        <x:v>Patent_Search_Target_Names</x:v>
      </x:c>
      <x:c r="AU2" s="14" t="str">
        <x:v>Final_Classification</x:v>
      </x:c>
      <x:c r="AV2" s="14" t="str">
        <x:v>Classification_Confidence</x:v>
      </x:c>
      <x:c r="AW2" s="14" t="str">
        <x:v>Patent_Evidence</x:v>
      </x:c>
      <x:c r="AX2" s="14" t="str">
        <x:v>Pipeline_Evidence</x:v>
      </x:c>
      <x:c r="AY2" s="14" t="str">
        <x:v>Platform_Evidence</x:v>
      </x:c>
      <x:c r="AZ2" s="14" t="str">
        <x:v>R_and_D_Evidence</x:v>
      </x:c>
      <x:c r="BA2" s="14" t="str">
        <x:v>Commercial_or_Geographic_Evidence</x:v>
      </x:c>
      <x:c r="BB2" s="14" t="str">
        <x:v>Mixed_Motive_Flag</x:v>
      </x:c>
      <x:c r="BC2" s="14" t="str">
        <x:v>Classification_Notes</x:v>
      </x:c>
      <x:c r="BD2" s="14" t="str">
        <x:v>Deal_Validation_Source_URL</x:v>
      </x:c>
      <x:c r="BE2" s="14" t="str">
        <x:v>Financial_Currency</x:v>
      </x:c>
      <x:c r="BF2" s="14" t="str">
        <x:v>Financial_Data_Status</x:v>
      </x:c>
      <x:c r="BG2" s="14" t="str">
        <x:v>Patent_Data_Status</x:v>
      </x:c>
      <x:c r="BH2" s="14" t="str">
        <x:v>Patent_Entity_Scope</x:v>
      </x:c>
      <x:c r="BI2" s="14" t="str">
        <x:v>Calendar_Year_t-3</x:v>
      </x:c>
      <x:c r="BJ2" s="14" t="str">
        <x:v>Calendar_Year_t-2</x:v>
      </x:c>
      <x:c r="BK2" s="14" t="str">
        <x:v>Calendar_Year_t-1</x:v>
      </x:c>
      <x:c r="BL2" s="14" t="str">
        <x:v>Calendar_Year_t0</x:v>
      </x:c>
      <x:c r="BM2" s="14" t="str">
        <x:v>Calendar_Year_t+1</x:v>
      </x:c>
      <x:c r="BN2" s="14" t="str">
        <x:v>Calendar_Year_t+2</x:v>
      </x:c>
      <x:c r="BO2" s="14" t="str">
        <x:v>Calendar_Year_t+3</x:v>
      </x:c>
      <x:c r="BP2" s="14" t="str">
        <x:v>Revenue_m_t-3</x:v>
      </x:c>
      <x:c r="BQ2" s="14" t="str">
        <x:v>Revenue_m_t-2</x:v>
      </x:c>
      <x:c r="BR2" s="14" t="str">
        <x:v>Revenue_m_t-1</x:v>
      </x:c>
      <x:c r="BS2" s="14" t="str">
        <x:v>Revenue_m_t0</x:v>
      </x:c>
      <x:c r="BT2" s="14" t="str">
        <x:v>Revenue_m_t+1</x:v>
      </x:c>
      <x:c r="BU2" s="14" t="str">
        <x:v>Revenue_m_t+2</x:v>
      </x:c>
      <x:c r="BV2" s="14" t="str">
        <x:v>Revenue_m_t+3</x:v>
      </x:c>
      <x:c r="BW2" s="14" t="str">
        <x:v>Operating_Income_m_t-3</x:v>
      </x:c>
      <x:c r="BX2" s="14" t="str">
        <x:v>Operating_Income_m_t-2</x:v>
      </x:c>
      <x:c r="BY2" s="14" t="str">
        <x:v>Operating_Income_m_t-1</x:v>
      </x:c>
      <x:c r="BZ2" s="14" t="str">
        <x:v>Operating_Income_m_t0</x:v>
      </x:c>
      <x:c r="CA2" s="14" t="str">
        <x:v>Operating_Income_m_t+1</x:v>
      </x:c>
      <x:c r="CB2" s="14" t="str">
        <x:v>Operating_Income_m_t+2</x:v>
      </x:c>
      <x:c r="CC2" s="14" t="str">
        <x:v>Operating_Income_m_t+3</x:v>
      </x:c>
      <x:c r="CD2" s="14" t="str">
        <x:v>Net_Income_m_t-3</x:v>
      </x:c>
      <x:c r="CE2" s="14" t="str">
        <x:v>Net_Income_m_t-2</x:v>
      </x:c>
      <x:c r="CF2" s="14" t="str">
        <x:v>Net_Income_m_t-1</x:v>
      </x:c>
      <x:c r="CG2" s="14" t="str">
        <x:v>Net_Income_m_t0</x:v>
      </x:c>
      <x:c r="CH2" s="14" t="str">
        <x:v>Net_Income_m_t+1</x:v>
      </x:c>
      <x:c r="CI2" s="14" t="str">
        <x:v>Net_Income_m_t+2</x:v>
      </x:c>
      <x:c r="CJ2" s="14" t="str">
        <x:v>Net_Income_m_t+3</x:v>
      </x:c>
      <x:c r="CK2" s="14" t="str">
        <x:v>Total_Assets_m_t-3</x:v>
      </x:c>
      <x:c r="CL2" s="14" t="str">
        <x:v>Total_Assets_m_t-2</x:v>
      </x:c>
      <x:c r="CM2" s="14" t="str">
        <x:v>Total_Assets_m_t-1</x:v>
      </x:c>
      <x:c r="CN2" s="14" t="str">
        <x:v>Total_Assets_m_t0</x:v>
      </x:c>
      <x:c r="CO2" s="14" t="str">
        <x:v>Total_Assets_m_t+1</x:v>
      </x:c>
      <x:c r="CP2" s="14" t="str">
        <x:v>Total_Assets_m_t+2</x:v>
      </x:c>
      <x:c r="CQ2" s="14" t="str">
        <x:v>Total_Assets_m_t+3</x:v>
      </x:c>
      <x:c r="CR2" s="14" t="str">
        <x:v>Total_Debt_m_t-3</x:v>
      </x:c>
      <x:c r="CS2" s="14" t="str">
        <x:v>Total_Debt_m_t-2</x:v>
      </x:c>
      <x:c r="CT2" s="14" t="str">
        <x:v>Total_Debt_m_t-1</x:v>
      </x:c>
      <x:c r="CU2" s="14" t="str">
        <x:v>Total_Debt_m_t0</x:v>
      </x:c>
      <x:c r="CV2" s="14" t="str">
        <x:v>Total_Debt_m_t+1</x:v>
      </x:c>
      <x:c r="CW2" s="14" t="str">
        <x:v>Total_Debt_m_t+2</x:v>
      </x:c>
      <x:c r="CX2" s="14" t="str">
        <x:v>Total_Debt_m_t+3</x:v>
      </x:c>
      <x:c r="CY2" s="14" t="str">
        <x:v>R_and_D_Expense_m_t-3</x:v>
      </x:c>
      <x:c r="CZ2" s="14" t="str">
        <x:v>R_and_D_Expense_m_t-2</x:v>
      </x:c>
      <x:c r="DA2" s="14" t="str">
        <x:v>R_and_D_Expense_m_t-1</x:v>
      </x:c>
      <x:c r="DB2" s="14" t="str">
        <x:v>R_and_D_Expense_m_t0</x:v>
      </x:c>
      <x:c r="DC2" s="14" t="str">
        <x:v>R_and_D_Expense_m_t+1</x:v>
      </x:c>
      <x:c r="DD2" s="14" t="str">
        <x:v>R_and_D_Expense_m_t+2</x:v>
      </x:c>
      <x:c r="DE2" s="14" t="str">
        <x:v>R_and_D_Expense_m_t+3</x:v>
      </x:c>
      <x:c r="DF2" s="14" t="str">
        <x:v>ROA_pct_t-3</x:v>
      </x:c>
      <x:c r="DG2" s="14" t="str">
        <x:v>ROA_pct_t-2</x:v>
      </x:c>
      <x:c r="DH2" s="14" t="str">
        <x:v>ROA_pct_t-1</x:v>
      </x:c>
      <x:c r="DI2" s="14" t="str">
        <x:v>ROA_pct_t0</x:v>
      </x:c>
      <x:c r="DJ2" s="14" t="str">
        <x:v>ROA_pct_t+1</x:v>
      </x:c>
      <x:c r="DK2" s="14" t="str">
        <x:v>ROA_pct_t+2</x:v>
      </x:c>
      <x:c r="DL2" s="14" t="str">
        <x:v>ROA_pct_t+3</x:v>
      </x:c>
      <x:c r="DM2" s="14" t="str">
        <x:v>Operating_Margin_pct_t-3</x:v>
      </x:c>
      <x:c r="DN2" s="14" t="str">
        <x:v>Operating_Margin_pct_t-2</x:v>
      </x:c>
      <x:c r="DO2" s="14" t="str">
        <x:v>Operating_Margin_pct_t-1</x:v>
      </x:c>
      <x:c r="DP2" s="14" t="str">
        <x:v>Operating_Margin_pct_t0</x:v>
      </x:c>
      <x:c r="DQ2" s="14" t="str">
        <x:v>Operating_Margin_pct_t+1</x:v>
      </x:c>
      <x:c r="DR2" s="14" t="str">
        <x:v>Operating_Margin_pct_t+2</x:v>
      </x:c>
      <x:c r="DS2" s="14" t="str">
        <x:v>Operating_Margin_pct_t+3</x:v>
      </x:c>
      <x:c r="DT2" s="14" t="str">
        <x:v>Leverage_pct_t-3</x:v>
      </x:c>
      <x:c r="DU2" s="14" t="str">
        <x:v>Leverage_pct_t-2</x:v>
      </x:c>
      <x:c r="DV2" s="14" t="str">
        <x:v>Leverage_pct_t-1</x:v>
      </x:c>
      <x:c r="DW2" s="14" t="str">
        <x:v>Leverage_pct_t0</x:v>
      </x:c>
      <x:c r="DX2" s="14" t="str">
        <x:v>Leverage_pct_t+1</x:v>
      </x:c>
      <x:c r="DY2" s="14" t="str">
        <x:v>Leverage_pct_t+2</x:v>
      </x:c>
      <x:c r="DZ2" s="14" t="str">
        <x:v>Leverage_pct_t+3</x:v>
      </x:c>
      <x:c r="EA2" s="14" t="str">
        <x:v>Patent_Family_Count_t-3</x:v>
      </x:c>
      <x:c r="EB2" s="14" t="str">
        <x:v>Patent_Family_Count_t-2</x:v>
      </x:c>
      <x:c r="EC2" s="14" t="str">
        <x:v>Patent_Family_Count_t-1</x:v>
      </x:c>
      <x:c r="ED2" s="14" t="str">
        <x:v>Patent_Family_Count_t0</x:v>
      </x:c>
      <x:c r="EE2" s="14" t="str">
        <x:v>Patent_Family_Count_t+1</x:v>
      </x:c>
      <x:c r="EF2" s="14" t="str">
        <x:v>Patent_Family_Count_t+2</x:v>
      </x:c>
      <x:c r="EG2" s="14" t="str">
        <x:v>Patent_Family_Count_t+3</x:v>
      </x:c>
      <x:c r="EH2" s="14" t="str">
        <x:v>Citation_Weighted_Output_t-3</x:v>
      </x:c>
      <x:c r="EI2" s="14" t="str">
        <x:v>Citation_Weighted_Output_t-2</x:v>
      </x:c>
      <x:c r="EJ2" s="14" t="str">
        <x:v>Citation_Weighted_Output_t-1</x:v>
      </x:c>
      <x:c r="EK2" s="14" t="str">
        <x:v>Citation_Weighted_Output_t0</x:v>
      </x:c>
      <x:c r="EL2" s="14" t="str">
        <x:v>Citation_Weighted_Output_t+1</x:v>
      </x:c>
      <x:c r="EM2" s="14" t="str">
        <x:v>Citation_Weighted_Output_t+2</x:v>
      </x:c>
      <x:c r="EN2" s="14" t="str">
        <x:v>Citation_Weighted_Output_t+3</x:v>
      </x:c>
      <x:c r="EO2" s="14" t="str">
        <x:v>Acquirer_PreDeal_Patent_Stock</x:v>
      </x:c>
      <x:c r="EP2" s="14" t="str">
        <x:v>Target_PreDeal_Patent_Stock</x:v>
      </x:c>
      <x:c r="EQ2" s="14" t="str">
        <x:v>Relative_Knowledge_Base_Size</x:v>
      </x:c>
      <x:c r="ER2" s="14" t="str">
        <x:v>Technological_Relatedness_Cosine</x:v>
      </x:c>
      <x:c r="ES2" s="14" t="str">
        <x:v>Inventor_Location_Available</x:v>
      </x:c>
      <x:c r="ET2" s="14" t="str">
        <x:v>Cross_Border_Relocation_Testable</x:v>
      </x:c>
      <x:c r="EU2" s="14" t="str">
        <x:v>Pre_Avg_ROA</x:v>
      </x:c>
      <x:c r="EV2" s="14" t="str">
        <x:v>Post_Avg_ROA</x:v>
      </x:c>
      <x:c r="EW2" s="14" t="str">
        <x:v>Delta_ROA</x:v>
      </x:c>
      <x:c r="EX2" s="14" t="str">
        <x:v>Pre_Avg_Operating_Margin</x:v>
      </x:c>
      <x:c r="EY2" s="14" t="str">
        <x:v>Post_Avg_Operating_Margin</x:v>
      </x:c>
      <x:c r="EZ2" s="14" t="str">
        <x:v>Delta_Operating_Margin</x:v>
      </x:c>
      <x:c r="FA2" s="14" t="str">
        <x:v>Pre_Avg_Patent_Families</x:v>
      </x:c>
      <x:c r="FB2" s="14" t="str">
        <x:v>Post_Avg_Patent_Families</x:v>
      </x:c>
      <x:c r="FC2" s="14" t="str">
        <x:v>Delta_Patent_Families</x:v>
      </x:c>
      <x:c r="FD2" s="14" t="str">
        <x:v>Pre_Avg_Citation_Weighted</x:v>
      </x:c>
      <x:c r="FE2" s="14" t="str">
        <x:v>Post_Avg_Citation_Weighted</x:v>
      </x:c>
      <x:c r="FF2" s="14" t="str">
        <x:v>Delta_Citation_Weighted</x:v>
      </x:c>
      <x:c r="FG2" s="14" t="str">
        <x:v>Complete_Financial_Window</x:v>
      </x:c>
      <x:c r="FH2" s="14" t="str">
        <x:v>Complete_Patent_Window</x:v>
      </x:c>
      <x:c r="FI2" s="14" t="str">
        <x:v>Data_Ready_Flag</x:v>
      </x:c>
    </x:row>
    <x:row r="3" ht="24" customHeight="1">
      <x:c r="A3" s="22" t="str">
        <x:v>TRT-0001</x:v>
      </x:c>
      <x:c r="B3" s="22" t="n">
        <x:v>12</x:v>
      </x:c>
      <x:c r="C3" s="22" t="str">
        <x:v>Candidate treatment group</x:v>
      </x:c>
      <x:c r="D3" s="22" t="n">
        <x:v>1</x:v>
      </x:c>
      <x:c r="E3" s="22" t="str">
        <x:v>DATA - Innovation driven deals.xlsx</x:v>
      </x:c>
      <x:c r="F3" s="22" t="str">
        <x:v>les laboratoires servier acquires symphogen</x:v>
      </x:c>
      <x:c r="G3" s="22" t="str">
        <x:v>Yes</x:v>
      </x:c>
      <x:c r="H3" s="22" t="str">
        <x:v>No</x:v>
      </x:c>
      <x:c r="I3" s="22" t="str">
        <x:v>No</x:v>
      </x:c>
      <x:c r="J3" s="22" t="n">
        <x:v>1</x:v>
      </x:c>
      <x:c r="K3" s="22" t="str">
        <x:v>Not started</x:v>
      </x:c>
      <x:c r="L3" s="22" t="str">
        <x:v>Eligible - 100%</x:v>
      </x:c>
      <x:c r="M3" s="22" t="str">
        <x:v>Review</x:v>
      </x:c>
      <x:c r="N3" s="22" t="str"/>
      <x:c r="O3" s="28" t="n">
        <x:v>43924</x:v>
      </x:c>
      <x:c r="P3" s="28" t="n">
        <x:v>43986</x:v>
      </x:c>
      <x:c r="Q3" s="22" t="n">
        <x:v>2020</x:v>
      </x:c>
      <x:c r="R3" s="22" t="str">
        <x:v>Q2 2020</x:v>
      </x:c>
      <x:c r="S3" s="22" t="str">
        <x:v>Completed</x:v>
      </x:c>
      <x:c r="T3" s="26" t="str">
        <x:v>Les Laboratoires Servier Acquires Symphogen</x:v>
      </x:c>
      <x:c r="U3" s="22" t="str">
        <x:v>Mergers &amp; Acquisitions</x:v>
      </x:c>
      <x:c r="V3" s="22" t="str">
        <x:v>Acquisition</x:v>
      </x:c>
      <x:c r="W3" s="22" t="str">
        <x:v>100% Acquisition</x:v>
      </x:c>
      <x:c r="X3" s="22" t="str">
        <x:v>Denmark</x:v>
      </x:c>
      <x:c r="Y3" s="22" t="str">
        <x:v>100% Acquisition</x:v>
      </x:c>
      <x:c r="Z3" s="26" t="str">
        <x:v>Lazard Inc , Rothschild &amp; Co Bank AG</x:v>
      </x:c>
      <x:c r="AA3" s="26" t="str">
        <x:v>Plesner , McDermott Will &amp; Emery LLP , Perkins Coie LLP , Gorrissen Federspiel Advokatpartnerselskab</x:v>
      </x:c>
      <x:c r="AB3" s="22" t="str">
        <x:v>Les Laboratoires Servier SAS</x:v>
      </x:c>
      <x:c r="AC3" s="22" t="str">
        <x:v>les laboratoires servier</x:v>
      </x:c>
      <x:c r="AD3" s="22" t="str">
        <x:v>Symphogen A/S</x:v>
      </x:c>
      <x:c r="AE3" s="22" t="str">
        <x:v>symphogen a s</x:v>
      </x:c>
      <x:c r="AF3" s="30"/>
      <x:c r="AG3" s="22" t="str">
        <x:v>n/a</x:v>
      </x:c>
      <x:c r="AH3" s="26" t="str">
        <x:v>Les Laboratoires Servier SA, a pharmaceutical company, has completed the acquisition of Symphogen A/S, a therapeutic antibody discovery company.
Following the transaction, Symphogen will now function as the antibody center of excellence of Servier in several different therapeutic areas including oncology. Symphogen, now a subsidiary of Servier, will keep its operational autonomy and continue to rely on its experienced employees while maintaining its headquarters in Ballerup, Denmark.
As part of the acquisition, Christophe Thurieau, Executive Director of Servier Research Institute, has been appointed Chief Executive Officer of Symphogen and Karin Garre, former Chief Operating Officer of Symphogen, has been appointed General Manager of Symphogen. Martin Olin, former Chief Executive Officer of Symphogen, will act as an external consultant to support this transition.
This transaction enables Servier to strengthen its R&amp;D pipeline by acquiring antibody pipeline and next-generation antibody technologies.
Lazard acted as financial advisor, while McDermott Will &amp; Emery and Gorrissen Federspiel Advokatpartnerselskab acted as legal advisors to Servier. Rothschild &amp; Co. acted as financial advisor and Plesner Advokatpartnerselskab and Perkins Coie LLP acted as legal advisors to Symphogen.
Deal History:
Announced: On April 3, 2020, Les Laboratoires Servier entered into a definitive agreement with the owners of Symphogen.</x:v>
      </x:c>
      <x:c r="AI3" s="26" t="str">
        <x:v>This transaction enables Servier to strengthen its R&amp;D pipeline by acquiring antibody pipeline and next-generation antibody technologies.</x:v>
      </x:c>
      <x:c r="AJ3" s="22" t="str"/>
      <x:c r="AK3" s="22" t="str"/>
      <x:c r="AL3" s="22" t="str">
        <x:v>Unknown</x:v>
      </x:c>
      <x:c r="AM3" s="22" t="str">
        <x:v>Unknown</x:v>
      </x:c>
      <x:c r="AN3" s="22" t="str"/>
      <x:c r="AO3" s="22" t="str"/>
      <x:c r="AP3" s="22" t="str"/>
      <x:c r="AQ3" s="22" t="str"/>
      <x:c r="AR3" s="22" t="str"/>
      <x:c r="AS3" s="22" t="str">
        <x:v>Les Laboratoires Servier SAS</x:v>
      </x:c>
      <x:c r="AT3" s="22" t="str">
        <x:v>Symphogen A/S</x:v>
      </x:c>
      <x:c r="AU3" s="22" t="str">
        <x:v>Not reviewed</x:v>
      </x:c>
      <x:c r="AV3" s="22" t="str">
        <x:v>Not assessed</x:v>
      </x:c>
      <x:c r="AW3" s="22" t="str">
        <x:v>Unknown</x:v>
      </x:c>
      <x:c r="AX3" s="22" t="str">
        <x:v>Unknown</x:v>
      </x:c>
      <x:c r="AY3" s="22" t="str">
        <x:v>Unknown</x:v>
      </x:c>
      <x:c r="AZ3" s="22" t="str">
        <x:v>Unknown</x:v>
      </x:c>
      <x:c r="BA3" s="22" t="str">
        <x:v>Unknown</x:v>
      </x:c>
      <x:c r="BB3" s="22" t="str">
        <x:v>Unknown</x:v>
      </x:c>
      <x:c r="BC3" s="26" t="str"/>
      <x:c r="BD3" s="22" t="str"/>
      <x:c r="BE3" s="22" t="str"/>
      <x:c r="BF3" s="22" t="str">
        <x:v>Not collected</x:v>
      </x:c>
      <x:c r="BG3" s="22" t="str">
        <x:v>Not collected</x:v>
      </x:c>
      <x:c r="BH3" s="22" t="str">
        <x:v>Not defined</x:v>
      </x:c>
      <x:c r="BI3" s="22" t="n">
        <x:f>IF($Q3="","",$Q3-3)</x:f>
        <x:v>2017</x:v>
      </x:c>
      <x:c r="BJ3" s="22" t="n">
        <x:f>IF($Q3="","",$Q3-2)</x:f>
        <x:v>2018</x:v>
      </x:c>
      <x:c r="BK3" s="22" t="n">
        <x:f>IF($Q3="","",$Q3-1)</x:f>
        <x:v>2019</x:v>
      </x:c>
      <x:c r="BL3" s="22" t="n">
        <x:f>IF($Q3="","",$Q3+0)</x:f>
        <x:v>2020</x:v>
      </x:c>
      <x:c r="BM3" s="22" t="n">
        <x:f>IF($Q3="","",$Q3+1)</x:f>
        <x:v>2021</x:v>
      </x:c>
      <x:c r="BN3" s="22" t="n">
        <x:f>IF($Q3="","",$Q3+2)</x:f>
        <x:v>2022</x:v>
      </x:c>
      <x:c r="BO3" s="22" t="n">
        <x:f>IF($Q3="","",$Q3+3)</x:f>
        <x:v>2023</x:v>
      </x:c>
      <x:c r="BP3" s="30" t="str"/>
      <x:c r="BQ3" s="30" t="str"/>
      <x:c r="BR3" s="30" t="str"/>
      <x:c r="BS3" s="30" t="str"/>
      <x:c r="BT3" s="30" t="str"/>
      <x:c r="BU3" s="30" t="str"/>
      <x:c r="BV3" s="30" t="str"/>
      <x:c r="BW3" s="30" t="str"/>
      <x:c r="BX3" s="30" t="str"/>
      <x:c r="BY3" s="30" t="str"/>
      <x:c r="BZ3" s="30" t="str"/>
      <x:c r="CA3" s="30" t="str"/>
      <x:c r="CB3" s="30" t="str"/>
      <x:c r="CC3" s="30" t="str"/>
      <x:c r="CD3" s="30" t="str"/>
      <x:c r="CE3" s="30" t="str"/>
      <x:c r="CF3" s="30" t="str"/>
      <x:c r="CG3" s="30" t="str"/>
      <x:c r="CH3" s="30" t="str"/>
      <x:c r="CI3" s="30" t="str"/>
      <x:c r="CJ3" s="30" t="str"/>
      <x:c r="CK3" s="30" t="str"/>
      <x:c r="CL3" s="30" t="str"/>
      <x:c r="CM3" s="30" t="str"/>
      <x:c r="CN3" s="30" t="str"/>
      <x:c r="CO3" s="30" t="str"/>
      <x:c r="CP3" s="30" t="str"/>
      <x:c r="CQ3" s="30" t="str"/>
      <x:c r="CR3" s="30" t="str"/>
      <x:c r="CS3" s="30" t="str"/>
      <x:c r="CT3" s="30" t="str"/>
      <x:c r="CU3" s="30" t="str"/>
      <x:c r="CV3" s="30" t="str"/>
      <x:c r="CW3" s="30" t="str"/>
      <x:c r="CX3" s="30" t="str"/>
      <x:c r="CY3" s="30" t="str"/>
      <x:c r="CZ3" s="30" t="str"/>
      <x:c r="DA3" s="30" t="str"/>
      <x:c r="DB3" s="30" t="str"/>
      <x:c r="DC3" s="30" t="str"/>
      <x:c r="DD3" s="30" t="str"/>
      <x:c r="DE3" s="30" t="str"/>
      <x:c r="DF3" s="32" t="str"/>
      <x:c r="DG3" s="32" t="str"/>
      <x:c r="DH3" s="32" t="str"/>
      <x:c r="DI3" s="32" t="str"/>
      <x:c r="DJ3" s="32" t="str"/>
      <x:c r="DK3" s="32" t="str"/>
      <x:c r="DL3" s="32" t="str"/>
      <x:c r="DM3" s="32" t="str"/>
      <x:c r="DN3" s="32" t="str"/>
      <x:c r="DO3" s="32" t="str"/>
      <x:c r="DP3" s="32" t="str"/>
      <x:c r="DQ3" s="32" t="str"/>
      <x:c r="DR3" s="32" t="str"/>
      <x:c r="DS3" s="32" t="str"/>
      <x:c r="DT3" s="32" t="str"/>
      <x:c r="DU3" s="32" t="str"/>
      <x:c r="DV3" s="32" t="str"/>
      <x:c r="DW3" s="32" t="str"/>
      <x:c r="DX3" s="32" t="str"/>
      <x:c r="DY3" s="32" t="str"/>
      <x:c r="DZ3" s="32" t="str"/>
      <x:c r="EA3" s="34" t="str"/>
      <x:c r="EB3" s="34" t="str"/>
      <x:c r="EC3" s="34" t="str"/>
      <x:c r="ED3" s="34" t="str"/>
      <x:c r="EE3" s="34" t="str"/>
      <x:c r="EF3" s="34" t="str"/>
      <x:c r="EG3" s="34" t="str"/>
      <x:c r="EH3" s="34" t="str"/>
      <x:c r="EI3" s="34" t="str"/>
      <x:c r="EJ3" s="34" t="str"/>
      <x:c r="EK3" s="34" t="str"/>
      <x:c r="EL3" s="34" t="str"/>
      <x:c r="EM3" s="34" t="str"/>
      <x:c r="EN3" s="34" t="str"/>
      <x:c r="EO3" s="34" t="str"/>
      <x:c r="EP3" s="34" t="str"/>
      <x:c r="EQ3" s="36" t="str">
        <x:f>IF(OR($EO3="",$EP3="",$EO3=0),"",$EP3/$EO3)</x:f>
      </x:c>
      <x:c r="ER3" s="38" t="str"/>
      <x:c r="ES3" s="22" t="str">
        <x:v>Unknown</x:v>
      </x:c>
      <x:c r="ET3" s="22" t="str">
        <x:v>Unknown</x:v>
      </x:c>
      <x:c r="EU3" s="40" t="str">
        <x:f>IF(COUNT($DF3,$DG3,$DH3)=0,"",AVERAGE($DF3,$DG3,$DH3))</x:f>
      </x:c>
      <x:c r="EV3" s="40" t="str">
        <x:f>IF(COUNT($DJ3,$DK3,$DL3)=0,"",AVERAGE($DJ3,$DK3,$DL3))</x:f>
      </x:c>
      <x:c r="EW3" s="40" t="str">
        <x:f>IF(OR($EU3="",$EV3=""),"",$EV3-$EU3)</x:f>
      </x:c>
      <x:c r="EX3" s="40" t="str">
        <x:f>IF(COUNT($DM3,$DN3,$DO3)=0,"",AVERAGE($DM3,$DN3,$DO3))</x:f>
      </x:c>
      <x:c r="EY3" s="40" t="str">
        <x:f>IF(COUNT($DQ3,$DR3,$DS3)=0,"",AVERAGE($DQ3,$DR3,$DS3))</x:f>
      </x:c>
      <x:c r="EZ3" s="40" t="str">
        <x:f>IF(OR($EX3="",$EY3=""),"",$EY3-$EX3)</x:f>
      </x:c>
      <x:c r="FA3" s="42" t="str">
        <x:f>IF(COUNT($EA3,$EB3,$EC3)=0,"",AVERAGE($EA3,$EB3,$EC3))</x:f>
      </x:c>
      <x:c r="FB3" s="42" t="str">
        <x:f>IF(COUNT($EE3,$EF3,$EG3)=0,"",AVERAGE($EE3,$EF3,$EG3))</x:f>
      </x:c>
      <x:c r="FC3" s="42" t="str">
        <x:f>IF(OR($FA3="",$FB3=""),"",$FB3-$FA3)</x:f>
      </x:c>
      <x:c r="FD3" s="42" t="str">
        <x:f>IF(COUNT($EH3,$EI3,$EJ3)=0,"",AVERAGE($EH3,$EI3,$EJ3))</x:f>
      </x:c>
      <x:c r="FE3" s="42" t="str">
        <x:f>IF(COUNT($EL3,$EM3,$EN3)=0,"",AVERAGE($EL3,$EM3,$EN3))</x:f>
      </x:c>
      <x:c r="FF3" s="42" t="str">
        <x:f>IF(OR($FD3="",$FE3=""),"",$FE3-$FD3)</x:f>
      </x:c>
      <x:c r="FG3" s="24" t="str">
        <x:f>IF(COUNT($DF3,$DG3,$DH3,$DJ3,$DK3,$DL3,$DM3,$DN3,$DO3,$DQ3,$DR3,$DS3)=12,"Yes","No")</x:f>
        <x:v>No</x:v>
      </x:c>
      <x:c r="FH3" s="24" t="str">
        <x:f>IF(COUNT($EA3,$EB3,$EC3,$EE3,$EF3,$EG3,$EH3,$EI3,$EJ3,$EL3,$EM3,$EN3)=12,"Yes","No")</x:f>
        <x:v>No</x:v>
      </x:c>
      <x:c r="FI3" s="24" t="str">
        <x:f>IF(AND($M3="Include",OR($FG3="Yes",$FH3="Yes")),"Ready","Not ready")</x:f>
        <x:v>Not ready</x:v>
      </x:c>
    </x:row>
    <x:row r="4" ht="24" customHeight="1">
      <x:c r="A4" s="22" t="str">
        <x:v>TRT-0002</x:v>
      </x:c>
      <x:c r="B4" s="22" t="n">
        <x:v>13</x:v>
      </x:c>
      <x:c r="C4" s="22" t="str">
        <x:v>Candidate treatment group</x:v>
      </x:c>
      <x:c r="D4" s="22" t="n">
        <x:v>1</x:v>
      </x:c>
      <x:c r="E4" s="22" t="str">
        <x:v>DATA - Innovation driven deals.xlsx</x:v>
      </x:c>
      <x:c r="F4" s="22" t="str">
        <x:v>towa pharma acquires pensa investments</x:v>
      </x:c>
      <x:c r="G4" s="22" t="str">
        <x:v>Yes</x:v>
      </x:c>
      <x:c r="H4" s="22" t="str">
        <x:v>No</x:v>
      </x:c>
      <x:c r="I4" s="22" t="str">
        <x:v>No</x:v>
      </x:c>
      <x:c r="J4" s="22" t="n">
        <x:v>1</x:v>
      </x:c>
      <x:c r="K4" s="22" t="str">
        <x:v>Not started</x:v>
      </x:c>
      <x:c r="L4" s="22" t="str">
        <x:v>Eligible - 100%</x:v>
      </x:c>
      <x:c r="M4" s="22" t="str">
        <x:v>Review</x:v>
      </x:c>
      <x:c r="N4" s="22" t="str"/>
      <x:c r="O4" s="28" t="n">
        <x:v>43822</x:v>
      </x:c>
      <x:c r="P4" s="28" t="n">
        <x:v>43861</x:v>
      </x:c>
      <x:c r="Q4" s="22" t="n">
        <x:v>2020</x:v>
      </x:c>
      <x:c r="R4" s="22" t="str">
        <x:v>Q4 2019</x:v>
      </x:c>
      <x:c r="S4" s="22" t="str">
        <x:v>Completed</x:v>
      </x:c>
      <x:c r="T4" s="26" t="str">
        <x:v>Towa Pharma Acquires Pensa Investments</x:v>
      </x:c>
      <x:c r="U4" s="22" t="str">
        <x:v>Mergers &amp; Acquisitions</x:v>
      </x:c>
      <x:c r="V4" s="22" t="str">
        <x:v>Acquisition</x:v>
      </x:c>
      <x:c r="W4" s="22" t="str">
        <x:v>100% Acquisition</x:v>
      </x:c>
      <x:c r="X4" s="22" t="str">
        <x:v>Spain</x:v>
      </x:c>
      <x:c r="Y4" s="22" t="str">
        <x:v>100% Acquisition</x:v>
      </x:c>
      <x:c r="Z4" s="26" t="str">
        <x:v>Lazard Inc , Barclays Plc</x:v>
      </x:c>
      <x:c r="AA4" s="26" t="str">
        <x:v>Nishimura &amp; Asahi , Clifford Chance LLP , Gomez-Acebo &amp; Pombo Abogados SLP</x:v>
      </x:c>
      <x:c r="AB4" s="22" t="str">
        <x:v>Towa Pharmaceutical Co Ltd</x:v>
      </x:c>
      <x:c r="AC4" s="22" t="str">
        <x:v>towa pharmaceutical</x:v>
      </x:c>
      <x:c r="AD4" s="22" t="str">
        <x:v>Pensa Investments, S.L.</x:v>
      </x:c>
      <x:c r="AE4" s="22" t="str">
        <x:v>pensa investments s l</x:v>
      </x:c>
      <x:c r="AF4" s="30" t="n">
        <x:v>354</x:v>
      </x:c>
      <x:c r="AG4" s="22" t="n">
        <x:v>354</x:v>
      </x:c>
      <x:c r="AH4" s="26" t="str">
        <x:v>Towa Pharmaceutical Co. Ltd., a company engaged in the manufacture and distribution of pharmaceutical products, has completed its acquisition of Pensa Investments, S.L., a company that provides affiliate pharmaceutical manufacturing facilities including pharmaceutical development, from Esteve Pharmaceuticals, S.A., a pharmaceutical company.
Breckenridge Pharma announced Towa Pharma completed its acquisition of Esteve’s generics division, including Breckenridge.
The purchase price of Pensa will be an all cash deal with an upfront payment of EUR320 million.
The transaction will allow Towa Pharma to accelerate its overseas business presence and to provide quality and value-added generic medicines to patients in all over world.
Deal History: 
Announced: On December 21, 2019, Towa Pharma reached an agreement to acquire 100% stake in Pensa Investments from Esteve Pharma.</x:v>
      </x:c>
      <x:c r="AI4" s="26" t="str">
        <x:v>The transaction will allow Towa Pharma to accelerate its overseas business presence and to provide quality and value-added generic medicines to patients in all over world.</x:v>
      </x:c>
      <x:c r="AJ4" s="22" t="str"/>
      <x:c r="AK4" s="22" t="str"/>
      <x:c r="AL4" s="22" t="str">
        <x:v>Unknown</x:v>
      </x:c>
      <x:c r="AM4" s="22" t="str">
        <x:v>Unknown</x:v>
      </x:c>
      <x:c r="AN4" s="22" t="str"/>
      <x:c r="AO4" s="22" t="str"/>
      <x:c r="AP4" s="22" t="str"/>
      <x:c r="AQ4" s="22" t="str"/>
      <x:c r="AR4" s="22" t="str"/>
      <x:c r="AS4" s="22" t="str">
        <x:v>Towa Pharmaceutical Co Ltd</x:v>
      </x:c>
      <x:c r="AT4" s="22" t="str">
        <x:v>Pensa Investments, S.L.</x:v>
      </x:c>
      <x:c r="AU4" s="22" t="str">
        <x:v>Not reviewed</x:v>
      </x:c>
      <x:c r="AV4" s="22" t="str">
        <x:v>Not assessed</x:v>
      </x:c>
      <x:c r="AW4" s="22" t="str">
        <x:v>Unknown</x:v>
      </x:c>
      <x:c r="AX4" s="22" t="str">
        <x:v>Unknown</x:v>
      </x:c>
      <x:c r="AY4" s="22" t="str">
        <x:v>Unknown</x:v>
      </x:c>
      <x:c r="AZ4" s="22" t="str">
        <x:v>Unknown</x:v>
      </x:c>
      <x:c r="BA4" s="22" t="str">
        <x:v>Unknown</x:v>
      </x:c>
      <x:c r="BB4" s="22" t="str">
        <x:v>Unknown</x:v>
      </x:c>
      <x:c r="BC4" s="26" t="str"/>
      <x:c r="BD4" s="22" t="str"/>
      <x:c r="BE4" s="22" t="str"/>
      <x:c r="BF4" s="22" t="str">
        <x:v>Not collected</x:v>
      </x:c>
      <x:c r="BG4" s="22" t="str">
        <x:v>Not collected</x:v>
      </x:c>
      <x:c r="BH4" s="22" t="str">
        <x:v>Not defined</x:v>
      </x:c>
      <x:c r="BI4" s="22" t="n">
        <x:f>IF($Q4="","",$Q4-3)</x:f>
        <x:v>2017</x:v>
      </x:c>
      <x:c r="BJ4" s="22" t="n">
        <x:f>IF($Q4="","",$Q4-2)</x:f>
        <x:v>2018</x:v>
      </x:c>
      <x:c r="BK4" s="22" t="n">
        <x:f>IF($Q4="","",$Q4-1)</x:f>
        <x:v>2019</x:v>
      </x:c>
      <x:c r="BL4" s="22" t="n">
        <x:f>IF($Q4="","",$Q4+0)</x:f>
        <x:v>2020</x:v>
      </x:c>
      <x:c r="BM4" s="22" t="n">
        <x:f>IF($Q4="","",$Q4+1)</x:f>
        <x:v>2021</x:v>
      </x:c>
      <x:c r="BN4" s="22" t="n">
        <x:f>IF($Q4="","",$Q4+2)</x:f>
        <x:v>2022</x:v>
      </x:c>
      <x:c r="BO4" s="22" t="n">
        <x:f>IF($Q4="","",$Q4+3)</x:f>
        <x:v>2023</x:v>
      </x:c>
      <x:c r="BP4" s="30" t="str"/>
      <x:c r="BQ4" s="30" t="str"/>
      <x:c r="BR4" s="30" t="str"/>
      <x:c r="BS4" s="30" t="str"/>
      <x:c r="BT4" s="30" t="str"/>
      <x:c r="BU4" s="30" t="str"/>
      <x:c r="BV4" s="30" t="str"/>
      <x:c r="BW4" s="30" t="str"/>
      <x:c r="BX4" s="30" t="str"/>
      <x:c r="BY4" s="30" t="str"/>
      <x:c r="BZ4" s="30" t="str"/>
      <x:c r="CA4" s="30" t="str"/>
      <x:c r="CB4" s="30" t="str"/>
      <x:c r="CC4" s="30" t="str"/>
      <x:c r="CD4" s="30" t="str"/>
      <x:c r="CE4" s="30" t="str"/>
      <x:c r="CF4" s="30" t="str"/>
      <x:c r="CG4" s="30" t="str"/>
      <x:c r="CH4" s="30" t="str"/>
      <x:c r="CI4" s="30" t="str"/>
      <x:c r="CJ4" s="30" t="str"/>
      <x:c r="CK4" s="30" t="str"/>
      <x:c r="CL4" s="30" t="str"/>
      <x:c r="CM4" s="30" t="str"/>
      <x:c r="CN4" s="30" t="str"/>
      <x:c r="CO4" s="30" t="str"/>
      <x:c r="CP4" s="30" t="str"/>
      <x:c r="CQ4" s="30" t="str"/>
      <x:c r="CR4" s="30" t="str"/>
      <x:c r="CS4" s="30" t="str"/>
      <x:c r="CT4" s="30" t="str"/>
      <x:c r="CU4" s="30" t="str"/>
      <x:c r="CV4" s="30" t="str"/>
      <x:c r="CW4" s="30" t="str"/>
      <x:c r="CX4" s="30" t="str"/>
      <x:c r="CY4" s="30" t="str"/>
      <x:c r="CZ4" s="30" t="str"/>
      <x:c r="DA4" s="30" t="str"/>
      <x:c r="DB4" s="30" t="str"/>
      <x:c r="DC4" s="30" t="str"/>
      <x:c r="DD4" s="30" t="str"/>
      <x:c r="DE4" s="30" t="str"/>
      <x:c r="DF4" s="32" t="str"/>
      <x:c r="DG4" s="32" t="str"/>
      <x:c r="DH4" s="32" t="str"/>
      <x:c r="DI4" s="32" t="str"/>
      <x:c r="DJ4" s="32" t="str"/>
      <x:c r="DK4" s="32" t="str"/>
      <x:c r="DL4" s="32" t="str"/>
      <x:c r="DM4" s="32" t="str"/>
      <x:c r="DN4" s="32" t="str"/>
      <x:c r="DO4" s="32" t="str"/>
      <x:c r="DP4" s="32" t="str"/>
      <x:c r="DQ4" s="32" t="str"/>
      <x:c r="DR4" s="32" t="str"/>
      <x:c r="DS4" s="32" t="str"/>
      <x:c r="DT4" s="32" t="str"/>
      <x:c r="DU4" s="32" t="str"/>
      <x:c r="DV4" s="32" t="str"/>
      <x:c r="DW4" s="32" t="str"/>
      <x:c r="DX4" s="32" t="str"/>
      <x:c r="DY4" s="32" t="str"/>
      <x:c r="DZ4" s="32" t="str"/>
      <x:c r="EA4" s="34" t="str"/>
      <x:c r="EB4" s="34" t="str"/>
      <x:c r="EC4" s="34" t="str"/>
      <x:c r="ED4" s="34" t="str"/>
      <x:c r="EE4" s="34" t="str"/>
      <x:c r="EF4" s="34" t="str"/>
      <x:c r="EG4" s="34" t="str"/>
      <x:c r="EH4" s="34" t="str"/>
      <x:c r="EI4" s="34" t="str"/>
      <x:c r="EJ4" s="34" t="str"/>
      <x:c r="EK4" s="34" t="str"/>
      <x:c r="EL4" s="34" t="str"/>
      <x:c r="EM4" s="34" t="str"/>
      <x:c r="EN4" s="34" t="str"/>
      <x:c r="EO4" s="34" t="str"/>
      <x:c r="EP4" s="34" t="str"/>
      <x:c r="EQ4" s="36" t="str">
        <x:f>IF(OR($EO4="",$EP4="",$EO4=0),"",$EP4/$EO4)</x:f>
      </x:c>
      <x:c r="ER4" s="38" t="str"/>
      <x:c r="ES4" s="22" t="str">
        <x:v>Unknown</x:v>
      </x:c>
      <x:c r="ET4" s="22" t="str">
        <x:v>Unknown</x:v>
      </x:c>
      <x:c r="EU4" s="40" t="str">
        <x:f>IF(COUNT($DF4,$DG4,$DH4)=0,"",AVERAGE($DF4,$DG4,$DH4))</x:f>
      </x:c>
      <x:c r="EV4" s="40" t="str">
        <x:f>IF(COUNT($DJ4,$DK4,$DL4)=0,"",AVERAGE($DJ4,$DK4,$DL4))</x:f>
      </x:c>
      <x:c r="EW4" s="40" t="str">
        <x:f>IF(OR($EU4="",$EV4=""),"",$EV4-$EU4)</x:f>
      </x:c>
      <x:c r="EX4" s="40" t="str">
        <x:f>IF(COUNT($DM4,$DN4,$DO4)=0,"",AVERAGE($DM4,$DN4,$DO4))</x:f>
      </x:c>
      <x:c r="EY4" s="40" t="str">
        <x:f>IF(COUNT($DQ4,$DR4,$DS4)=0,"",AVERAGE($DQ4,$DR4,$DS4))</x:f>
      </x:c>
      <x:c r="EZ4" s="40" t="str">
        <x:f>IF(OR($EX4="",$EY4=""),"",$EY4-$EX4)</x:f>
      </x:c>
      <x:c r="FA4" s="42" t="str">
        <x:f>IF(COUNT($EA4,$EB4,$EC4)=0,"",AVERAGE($EA4,$EB4,$EC4))</x:f>
      </x:c>
      <x:c r="FB4" s="42" t="str">
        <x:f>IF(COUNT($EE4,$EF4,$EG4)=0,"",AVERAGE($EE4,$EF4,$EG4))</x:f>
      </x:c>
      <x:c r="FC4" s="42" t="str">
        <x:f>IF(OR($FA4="",$FB4=""),"",$FB4-$FA4)</x:f>
      </x:c>
      <x:c r="FD4" s="42" t="str">
        <x:f>IF(COUNT($EH4,$EI4,$EJ4)=0,"",AVERAGE($EH4,$EI4,$EJ4))</x:f>
      </x:c>
      <x:c r="FE4" s="42" t="str">
        <x:f>IF(COUNT($EL4,$EM4,$EN4)=0,"",AVERAGE($EL4,$EM4,$EN4))</x:f>
      </x:c>
      <x:c r="FF4" s="42" t="str">
        <x:f>IF(OR($FD4="",$FE4=""),"",$FE4-$FD4)</x:f>
      </x:c>
      <x:c r="FG4" s="24" t="str">
        <x:f>IF(COUNT($DF4,$DG4,$DH4,$DJ4,$DK4,$DL4,$DM4,$DN4,$DO4,$DQ4,$DR4,$DS4)=12,"Yes","No")</x:f>
        <x:v>No</x:v>
      </x:c>
      <x:c r="FH4" s="24" t="str">
        <x:f>IF(COUNT($EA4,$EB4,$EC4,$EE4,$EF4,$EG4,$EH4,$EI4,$EJ4,$EL4,$EM4,$EN4)=12,"Yes","No")</x:f>
        <x:v>No</x:v>
      </x:c>
      <x:c r="FI4" s="24" t="str">
        <x:f>IF(AND($M4="Include",OR($FG4="Yes",$FH4="Yes")),"Ready","Not ready")</x:f>
        <x:v>Not ready</x:v>
      </x:c>
    </x:row>
    <x:row r="5" ht="24" customHeight="1">
      <x:c r="A5" s="22" t="str">
        <x:v>TRT-0003</x:v>
      </x:c>
      <x:c r="B5" s="22" t="n">
        <x:v>14</x:v>
      </x:c>
      <x:c r="C5" s="22" t="str">
        <x:v>Candidate treatment group</x:v>
      </x:c>
      <x:c r="D5" s="22" t="n">
        <x:v>1</x:v>
      </x:c>
      <x:c r="E5" s="22" t="str">
        <x:v>DATA - Innovation driven deals.xlsx</x:v>
      </x:c>
      <x:c r="F5" s="22" t="str">
        <x:v>pfizer acquires therachon for</x:v>
      </x:c>
      <x:c r="G5" s="22" t="str">
        <x:v>Yes</x:v>
      </x:c>
      <x:c r="H5" s="22" t="str">
        <x:v>No</x:v>
      </x:c>
      <x:c r="I5" s="22" t="str">
        <x:v>No</x:v>
      </x:c>
      <x:c r="J5" s="22" t="n">
        <x:v>1</x:v>
      </x:c>
      <x:c r="K5" s="22" t="str">
        <x:v>Not started</x:v>
      </x:c>
      <x:c r="L5" s="22" t="str">
        <x:v>Eligible - 100%</x:v>
      </x:c>
      <x:c r="M5" s="22" t="str">
        <x:v>Review</x:v>
      </x:c>
      <x:c r="N5" s="22" t="str"/>
      <x:c r="O5" s="28" t="n">
        <x:v>43593</x:v>
      </x:c>
      <x:c r="P5" s="28" t="n">
        <x:v>43647</x:v>
      </x:c>
      <x:c r="Q5" s="22" t="n">
        <x:v>2019</x:v>
      </x:c>
      <x:c r="R5" s="22" t="str">
        <x:v>Q2 2019</x:v>
      </x:c>
      <x:c r="S5" s="22" t="str">
        <x:v>Completed</x:v>
      </x:c>
      <x:c r="T5" s="26" t="str">
        <x:v>Pfizer Acquires Therachon for USD810 Million</x:v>
      </x:c>
      <x:c r="U5" s="22" t="str">
        <x:v>Mergers &amp; Acquisitions</x:v>
      </x:c>
      <x:c r="V5" s="22" t="str">
        <x:v>Acquisition</x:v>
      </x:c>
      <x:c r="W5" s="22" t="str">
        <x:v>100% Acquisition</x:v>
      </x:c>
      <x:c r="X5" s="22" t="str">
        <x:v>Switzerland</x:v>
      </x:c>
      <x:c r="Y5" s="22" t="str">
        <x:v>100% Acquisition</x:v>
      </x:c>
      <x:c r="Z5" s="26" t="str">
        <x:v>The Goldman Sachs Group Inc</x:v>
      </x:c>
      <x:c r="AA5" s="26" t="str">
        <x:v>Cooley LLP , Homburger AG , Lenz &amp; Staehelin , Arnold &amp; Porter LLP</x:v>
      </x:c>
      <x:c r="AB5" s="22" t="str">
        <x:v>Pfizer Inc</x:v>
      </x:c>
      <x:c r="AC5" s="22" t="str">
        <x:v>pfizer</x:v>
      </x:c>
      <x:c r="AD5" s="22" t="str">
        <x:v>Therachon AG (Inactive)</x:v>
      </x:c>
      <x:c r="AE5" s="22" t="str">
        <x:v>therachon</x:v>
      </x:c>
      <x:c r="AF5" s="30" t="n">
        <x:v>810</x:v>
      </x:c>
      <x:c r="AG5" s="22" t="n">
        <x:v>810</x:v>
      </x:c>
      <x:c r="AH5" s="26" t="str">
        <x:v>Pfizer Inc., a pharmaceutical company, has completion acquisition of all the shares of Therachon Holding AG, a clinical-stage biotechnology company focused on rare diseases with assets in development for the treatment of achondroplasia and short bowel syndrome (SBS).
Under the terms of the transaction, Pfizer acquired Therachon for USD340 million with an additional USD470 million in additional payments contingent on the achievement of key milestones in the development and commercialization of TA-46. 
TA-46 is an investigational, soluble recombinant human fibroblast growth factor receptor 3 (FGFR3) decoy, for bone development abnormalities associated with achondroplasia.
Prior to the closing of the transaction with Pfizer, Therachon will spin-off its apraglutide development program into a separate, independent company. Apraglutide is a GLP-2 analog in Phase II development for short bowel syndrome. Pfizer Ventures, the venture capital arm of Pfizer Inc., currently holds a minority stake and will continue to hold an equity stake in the new company.
The transaction is not expected to impact Pfizer’s current 2019 adjusted financial guidance.
The acquisition enables Pfizer to expand its rare disease portfolio with potential first-in-class therapy for achondroplasia through the development of TA-46.
Goldman Sachs acted as financial advisor while Cooley LLP and Homburger AG acted as legal advisors to Therachon. Arnold &amp; Porter and Lenz &amp; Staehelin acted as legal advisors to Pfizer.
Deal History:
Announced: On May 8, 2019, Pfizer entered into a definitive agreement to acquire all the shares of Therachon.</x:v>
      </x:c>
      <x:c r="AI5" s="26" t="str">
        <x:v>The acquisition enables Pfizer to expand its rare disease portfolio with potential first-in-class therapy for achondroplasia through the development of TA-46.</x:v>
      </x:c>
      <x:c r="AJ5" s="22" t="str"/>
      <x:c r="AK5" s="22" t="str"/>
      <x:c r="AL5" s="22" t="str">
        <x:v>Unknown</x:v>
      </x:c>
      <x:c r="AM5" s="22" t="str">
        <x:v>Unknown</x:v>
      </x:c>
      <x:c r="AN5" s="22" t="str"/>
      <x:c r="AO5" s="22" t="str"/>
      <x:c r="AP5" s="22" t="str"/>
      <x:c r="AQ5" s="22" t="str"/>
      <x:c r="AR5" s="22" t="str"/>
      <x:c r="AS5" s="22" t="str">
        <x:v>Pfizer Inc</x:v>
      </x:c>
      <x:c r="AT5" s="22" t="str">
        <x:v>Therachon AG (Inactive)</x:v>
      </x:c>
      <x:c r="AU5" s="22" t="str">
        <x:v>Not reviewed</x:v>
      </x:c>
      <x:c r="AV5" s="22" t="str">
        <x:v>Not assessed</x:v>
      </x:c>
      <x:c r="AW5" s="22" t="str">
        <x:v>Unknown</x:v>
      </x:c>
      <x:c r="AX5" s="22" t="str">
        <x:v>Unknown</x:v>
      </x:c>
      <x:c r="AY5" s="22" t="str">
        <x:v>Unknown</x:v>
      </x:c>
      <x:c r="AZ5" s="22" t="str">
        <x:v>Unknown</x:v>
      </x:c>
      <x:c r="BA5" s="22" t="str">
        <x:v>Unknown</x:v>
      </x:c>
      <x:c r="BB5" s="22" t="str">
        <x:v>Unknown</x:v>
      </x:c>
      <x:c r="BC5" s="26" t="str"/>
      <x:c r="BD5" s="22" t="str"/>
      <x:c r="BE5" s="22" t="str"/>
      <x:c r="BF5" s="22" t="str">
        <x:v>Not collected</x:v>
      </x:c>
      <x:c r="BG5" s="22" t="str">
        <x:v>Not collected</x:v>
      </x:c>
      <x:c r="BH5" s="22" t="str">
        <x:v>Not defined</x:v>
      </x:c>
      <x:c r="BI5" s="22" t="n">
        <x:f>IF($Q5="","",$Q5-3)</x:f>
        <x:v>2016</x:v>
      </x:c>
      <x:c r="BJ5" s="22" t="n">
        <x:f>IF($Q5="","",$Q5-2)</x:f>
        <x:v>2017</x:v>
      </x:c>
      <x:c r="BK5" s="22" t="n">
        <x:f>IF($Q5="","",$Q5-1)</x:f>
        <x:v>2018</x:v>
      </x:c>
      <x:c r="BL5" s="22" t="n">
        <x:f>IF($Q5="","",$Q5+0)</x:f>
        <x:v>2019</x:v>
      </x:c>
      <x:c r="BM5" s="22" t="n">
        <x:f>IF($Q5="","",$Q5+1)</x:f>
        <x:v>2020</x:v>
      </x:c>
      <x:c r="BN5" s="22" t="n">
        <x:f>IF($Q5="","",$Q5+2)</x:f>
        <x:v>2021</x:v>
      </x:c>
      <x:c r="BO5" s="22" t="n">
        <x:f>IF($Q5="","",$Q5+3)</x:f>
        <x:v>2022</x:v>
      </x:c>
      <x:c r="BP5" s="30" t="str"/>
      <x:c r="BQ5" s="30" t="str"/>
      <x:c r="BR5" s="30" t="str"/>
      <x:c r="BS5" s="30" t="str"/>
      <x:c r="BT5" s="30" t="str"/>
      <x:c r="BU5" s="30" t="str"/>
      <x:c r="BV5" s="30" t="str"/>
      <x:c r="BW5" s="30" t="str"/>
      <x:c r="BX5" s="30" t="str"/>
      <x:c r="BY5" s="30" t="str"/>
      <x:c r="BZ5" s="30" t="str"/>
      <x:c r="CA5" s="30" t="str"/>
      <x:c r="CB5" s="30" t="str"/>
      <x:c r="CC5" s="30" t="str"/>
      <x:c r="CD5" s="30" t="str"/>
      <x:c r="CE5" s="30" t="str"/>
      <x:c r="CF5" s="30" t="str"/>
      <x:c r="CG5" s="30" t="str"/>
      <x:c r="CH5" s="30" t="str"/>
      <x:c r="CI5" s="30" t="str"/>
      <x:c r="CJ5" s="30" t="str"/>
      <x:c r="CK5" s="30" t="str"/>
      <x:c r="CL5" s="30" t="str"/>
      <x:c r="CM5" s="30" t="str"/>
      <x:c r="CN5" s="30" t="str"/>
      <x:c r="CO5" s="30" t="str"/>
      <x:c r="CP5" s="30" t="str"/>
      <x:c r="CQ5" s="30" t="str"/>
      <x:c r="CR5" s="30" t="str"/>
      <x:c r="CS5" s="30" t="str"/>
      <x:c r="CT5" s="30" t="str"/>
      <x:c r="CU5" s="30" t="str"/>
      <x:c r="CV5" s="30" t="str"/>
      <x:c r="CW5" s="30" t="str"/>
      <x:c r="CX5" s="30" t="str"/>
      <x:c r="CY5" s="30" t="str"/>
      <x:c r="CZ5" s="30" t="str"/>
      <x:c r="DA5" s="30" t="str"/>
      <x:c r="DB5" s="30" t="str"/>
      <x:c r="DC5" s="30" t="str"/>
      <x:c r="DD5" s="30" t="str"/>
      <x:c r="DE5" s="30" t="str"/>
      <x:c r="DF5" s="32" t="str"/>
      <x:c r="DG5" s="32" t="str"/>
      <x:c r="DH5" s="32" t="str"/>
      <x:c r="DI5" s="32" t="str"/>
      <x:c r="DJ5" s="32" t="str"/>
      <x:c r="DK5" s="32" t="str"/>
      <x:c r="DL5" s="32" t="str"/>
      <x:c r="DM5" s="32" t="str"/>
      <x:c r="DN5" s="32" t="str"/>
      <x:c r="DO5" s="32" t="str"/>
      <x:c r="DP5" s="32" t="str"/>
      <x:c r="DQ5" s="32" t="str"/>
      <x:c r="DR5" s="32" t="str"/>
      <x:c r="DS5" s="32" t="str"/>
      <x:c r="DT5" s="32" t="str"/>
      <x:c r="DU5" s="32" t="str"/>
      <x:c r="DV5" s="32" t="str"/>
      <x:c r="DW5" s="32" t="str"/>
      <x:c r="DX5" s="32" t="str"/>
      <x:c r="DY5" s="32" t="str"/>
      <x:c r="DZ5" s="32" t="str"/>
      <x:c r="EA5" s="34" t="str"/>
      <x:c r="EB5" s="34" t="str"/>
      <x:c r="EC5" s="34" t="str"/>
      <x:c r="ED5" s="34" t="str"/>
      <x:c r="EE5" s="34" t="str"/>
      <x:c r="EF5" s="34" t="str"/>
      <x:c r="EG5" s="34" t="str"/>
      <x:c r="EH5" s="34" t="str"/>
      <x:c r="EI5" s="34" t="str"/>
      <x:c r="EJ5" s="34" t="str"/>
      <x:c r="EK5" s="34" t="str"/>
      <x:c r="EL5" s="34" t="str"/>
      <x:c r="EM5" s="34" t="str"/>
      <x:c r="EN5" s="34" t="str"/>
      <x:c r="EO5" s="34" t="str"/>
      <x:c r="EP5" s="34" t="str"/>
      <x:c r="EQ5" s="36" t="str">
        <x:f>IF(OR($EO5="",$EP5="",$EO5=0),"",$EP5/$EO5)</x:f>
      </x:c>
      <x:c r="ER5" s="38" t="str"/>
      <x:c r="ES5" s="22" t="str">
        <x:v>Unknown</x:v>
      </x:c>
      <x:c r="ET5" s="22" t="str">
        <x:v>Unknown</x:v>
      </x:c>
      <x:c r="EU5" s="40" t="str">
        <x:f>IF(COUNT($DF5,$DG5,$DH5)=0,"",AVERAGE($DF5,$DG5,$DH5))</x:f>
      </x:c>
      <x:c r="EV5" s="40" t="str">
        <x:f>IF(COUNT($DJ5,$DK5,$DL5)=0,"",AVERAGE($DJ5,$DK5,$DL5))</x:f>
      </x:c>
      <x:c r="EW5" s="40" t="str">
        <x:f>IF(OR($EU5="",$EV5=""),"",$EV5-$EU5)</x:f>
      </x:c>
      <x:c r="EX5" s="40" t="str">
        <x:f>IF(COUNT($DM5,$DN5,$DO5)=0,"",AVERAGE($DM5,$DN5,$DO5))</x:f>
      </x:c>
      <x:c r="EY5" s="40" t="str">
        <x:f>IF(COUNT($DQ5,$DR5,$DS5)=0,"",AVERAGE($DQ5,$DR5,$DS5))</x:f>
      </x:c>
      <x:c r="EZ5" s="40" t="str">
        <x:f>IF(OR($EX5="",$EY5=""),"",$EY5-$EX5)</x:f>
      </x:c>
      <x:c r="FA5" s="42" t="str">
        <x:f>IF(COUNT($EA5,$EB5,$EC5)=0,"",AVERAGE($EA5,$EB5,$EC5))</x:f>
      </x:c>
      <x:c r="FB5" s="42" t="str">
        <x:f>IF(COUNT($EE5,$EF5,$EG5)=0,"",AVERAGE($EE5,$EF5,$EG5))</x:f>
      </x:c>
      <x:c r="FC5" s="42" t="str">
        <x:f>IF(OR($FA5="",$FB5=""),"",$FB5-$FA5)</x:f>
      </x:c>
      <x:c r="FD5" s="42" t="str">
        <x:f>IF(COUNT($EH5,$EI5,$EJ5)=0,"",AVERAGE($EH5,$EI5,$EJ5))</x:f>
      </x:c>
      <x:c r="FE5" s="42" t="str">
        <x:f>IF(COUNT($EL5,$EM5,$EN5)=0,"",AVERAGE($EL5,$EM5,$EN5))</x:f>
      </x:c>
      <x:c r="FF5" s="42" t="str">
        <x:f>IF(OR($FD5="",$FE5=""),"",$FE5-$FD5)</x:f>
      </x:c>
      <x:c r="FG5" s="24" t="str">
        <x:f>IF(COUNT($DF5,$DG5,$DH5,$DJ5,$DK5,$DL5,$DM5,$DN5,$DO5,$DQ5,$DR5,$DS5)=12,"Yes","No")</x:f>
        <x:v>No</x:v>
      </x:c>
      <x:c r="FH5" s="24" t="str">
        <x:f>IF(COUNT($EA5,$EB5,$EC5,$EE5,$EF5,$EG5,$EH5,$EI5,$EJ5,$EL5,$EM5,$EN5)=12,"Yes","No")</x:f>
        <x:v>No</x:v>
      </x:c>
      <x:c r="FI5" s="24" t="str">
        <x:f>IF(AND($M5="Include",OR($FG5="Yes",$FH5="Yes")),"Ready","Not ready")</x:f>
        <x:v>Not ready</x:v>
      </x:c>
    </x:row>
    <x:row r="6" ht="24" customHeight="1">
      <x:c r="A6" s="22" t="str">
        <x:v>TRT-0004</x:v>
      </x:c>
      <x:c r="B6" s="22" t="n">
        <x:v>15</x:v>
      </x:c>
      <x:c r="C6" s="22" t="str">
        <x:v>Candidate treatment group</x:v>
      </x:c>
      <x:c r="D6" s="22" t="n">
        <x:v>1</x:v>
      </x:c>
      <x:c r="E6" s="22" t="str">
        <x:v>DATA - Innovation driven deals.xlsx</x:v>
      </x:c>
      <x:c r="F6" s="22" t="str">
        <x:v>gyroscope therapeutics merges with orbit biomedical</x:v>
      </x:c>
      <x:c r="G6" s="22" t="str">
        <x:v>Yes</x:v>
      </x:c>
      <x:c r="H6" s="22" t="str">
        <x:v>No</x:v>
      </x:c>
      <x:c r="I6" s="22" t="str">
        <x:v>No</x:v>
      </x:c>
      <x:c r="J6" s="22" t="n">
        <x:v>1</x:v>
      </x:c>
      <x:c r="K6" s="22" t="str">
        <x:v>Not started</x:v>
      </x:c>
      <x:c r="L6" s="22" t="str">
        <x:v>Review - merger</x:v>
      </x:c>
      <x:c r="M6" s="22" t="str">
        <x:v>Review</x:v>
      </x:c>
      <x:c r="N6" s="22" t="str"/>
      <x:c r="O6" s="28" t="n">
        <x:v>43566</x:v>
      </x:c>
      <x:c r="P6" s="28" t="n">
        <x:v>43566</x:v>
      </x:c>
      <x:c r="Q6" s="22" t="n">
        <x:v>2019</x:v>
      </x:c>
      <x:c r="R6" s="22" t="str">
        <x:v>Q2 2019</x:v>
      </x:c>
      <x:c r="S6" s="22" t="str">
        <x:v>Completed</x:v>
      </x:c>
      <x:c r="T6" s="26" t="str">
        <x:v>Gyroscope Therapeutics Merges with Orbit Biomedical</x:v>
      </x:c>
      <x:c r="U6" s="22" t="str">
        <x:v>Mergers &amp; Acquisitions</x:v>
      </x:c>
      <x:c r="V6" s="22" t="str">
        <x:v>Merger</x:v>
      </x:c>
      <x:c r="W6" s="22"/>
      <x:c r="X6" s="22" t="str">
        <x:v>United Kingdom , United States</x:v>
      </x:c>
      <x:c r="Y6" s="22"/>
      <x:c r="Z6" s="26"/>
      <x:c r="AA6" s="26"/>
      <x:c r="AB6" s="22" t="str">
        <x:v>Gyroscope Therapeutics Holdings Plc</x:v>
      </x:c>
      <x:c r="AC6" s="22" t="str">
        <x:v>gyroscope therapeutics</x:v>
      </x:c>
      <x:c r="AD6" s="22" t="str">
        <x:v>Orbit Biomedical Inc; Gyroscope Therapeutics Holdings Plc</x:v>
      </x:c>
      <x:c r="AE6" s="22" t="str">
        <x:v>orbit biomedical gyroscope therapeutics</x:v>
      </x:c>
      <x:c r="AF6" s="30"/>
      <x:c r="AG6" s="22" t="str">
        <x:v>n/a</x:v>
      </x:c>
      <x:c r="AH6" s="26" t="str">
        <x:v>Gyroscope Therapeutics Ltd, an ophthalmology company developing genetically defined therapies for retinal diseases, and Orbit Biomedical, a medical device company focused on precision sub-retinal therapeutic delivery, have merged to form a combined retinal gene therapy platform.
Under the terms, Syncona Ltd, the shareholder of both the companies, will own 82% of the enlarged company, which will retain the Gyroscope name.
The merger enables the companies to form a sub-retinal surgical platform with Gyroscope's clinical stage pipeline and gene therapy manufacturing platform.</x:v>
      </x:c>
      <x:c r="AI6" s="26" t="str">
        <x:v>The merger enables the companies to form a sub-retinal surgical platform with Gyroscope's clinical stage pipeline and gene therapy manufacturing platform.</x:v>
      </x:c>
      <x:c r="AJ6" s="22" t="str"/>
      <x:c r="AK6" s="22" t="str"/>
      <x:c r="AL6" s="22" t="str">
        <x:v>Unknown</x:v>
      </x:c>
      <x:c r="AM6" s="22" t="str">
        <x:v>Unknown</x:v>
      </x:c>
      <x:c r="AN6" s="22" t="str"/>
      <x:c r="AO6" s="22" t="str"/>
      <x:c r="AP6" s="22" t="str"/>
      <x:c r="AQ6" s="22" t="str"/>
      <x:c r="AR6" s="22" t="str"/>
      <x:c r="AS6" s="22" t="str">
        <x:v>Gyroscope Therapeutics Holdings Plc</x:v>
      </x:c>
      <x:c r="AT6" s="22" t="str">
        <x:v>Orbit Biomedical Inc; Gyroscope Therapeutics Holdings Plc</x:v>
      </x:c>
      <x:c r="AU6" s="22" t="str">
        <x:v>Not reviewed</x:v>
      </x:c>
      <x:c r="AV6" s="22" t="str">
        <x:v>Not assessed</x:v>
      </x:c>
      <x:c r="AW6" s="22" t="str">
        <x:v>Unknown</x:v>
      </x:c>
      <x:c r="AX6" s="22" t="str">
        <x:v>Unknown</x:v>
      </x:c>
      <x:c r="AY6" s="22" t="str">
        <x:v>Unknown</x:v>
      </x:c>
      <x:c r="AZ6" s="22" t="str">
        <x:v>Unknown</x:v>
      </x:c>
      <x:c r="BA6" s="22" t="str">
        <x:v>Unknown</x:v>
      </x:c>
      <x:c r="BB6" s="22" t="str">
        <x:v>Unknown</x:v>
      </x:c>
      <x:c r="BC6" s="26" t="str"/>
      <x:c r="BD6" s="22" t="str"/>
      <x:c r="BE6" s="22" t="str"/>
      <x:c r="BF6" s="22" t="str">
        <x:v>Not collected</x:v>
      </x:c>
      <x:c r="BG6" s="22" t="str">
        <x:v>Not collected</x:v>
      </x:c>
      <x:c r="BH6" s="22" t="str">
        <x:v>Not defined</x:v>
      </x:c>
      <x:c r="BI6" s="22" t="n">
        <x:f>IF($Q6="","",$Q6-3)</x:f>
        <x:v>2016</x:v>
      </x:c>
      <x:c r="BJ6" s="22" t="n">
        <x:f>IF($Q6="","",$Q6-2)</x:f>
        <x:v>2017</x:v>
      </x:c>
      <x:c r="BK6" s="22" t="n">
        <x:f>IF($Q6="","",$Q6-1)</x:f>
        <x:v>2018</x:v>
      </x:c>
      <x:c r="BL6" s="22" t="n">
        <x:f>IF($Q6="","",$Q6+0)</x:f>
        <x:v>2019</x:v>
      </x:c>
      <x:c r="BM6" s="22" t="n">
        <x:f>IF($Q6="","",$Q6+1)</x:f>
        <x:v>2020</x:v>
      </x:c>
      <x:c r="BN6" s="22" t="n">
        <x:f>IF($Q6="","",$Q6+2)</x:f>
        <x:v>2021</x:v>
      </x:c>
      <x:c r="BO6" s="22" t="n">
        <x:f>IF($Q6="","",$Q6+3)</x:f>
        <x:v>2022</x:v>
      </x:c>
      <x:c r="BP6" s="30" t="str"/>
      <x:c r="BQ6" s="30" t="str"/>
      <x:c r="BR6" s="30" t="str"/>
      <x:c r="BS6" s="30" t="str"/>
      <x:c r="BT6" s="30" t="str"/>
      <x:c r="BU6" s="30" t="str"/>
      <x:c r="BV6" s="30" t="str"/>
      <x:c r="BW6" s="30" t="str"/>
      <x:c r="BX6" s="30" t="str"/>
      <x:c r="BY6" s="30" t="str"/>
      <x:c r="BZ6" s="30" t="str"/>
      <x:c r="CA6" s="30" t="str"/>
      <x:c r="CB6" s="30" t="str"/>
      <x:c r="CC6" s="30" t="str"/>
      <x:c r="CD6" s="30" t="str"/>
      <x:c r="CE6" s="30" t="str"/>
      <x:c r="CF6" s="30" t="str"/>
      <x:c r="CG6" s="30" t="str"/>
      <x:c r="CH6" s="30" t="str"/>
      <x:c r="CI6" s="30" t="str"/>
      <x:c r="CJ6" s="30" t="str"/>
      <x:c r="CK6" s="30" t="str"/>
      <x:c r="CL6" s="30" t="str"/>
      <x:c r="CM6" s="30" t="str"/>
      <x:c r="CN6" s="30" t="str"/>
      <x:c r="CO6" s="30" t="str"/>
      <x:c r="CP6" s="30" t="str"/>
      <x:c r="CQ6" s="30" t="str"/>
      <x:c r="CR6" s="30" t="str"/>
      <x:c r="CS6" s="30" t="str"/>
      <x:c r="CT6" s="30" t="str"/>
      <x:c r="CU6" s="30" t="str"/>
      <x:c r="CV6" s="30" t="str"/>
      <x:c r="CW6" s="30" t="str"/>
      <x:c r="CX6" s="30" t="str"/>
      <x:c r="CY6" s="30" t="str"/>
      <x:c r="CZ6" s="30" t="str"/>
      <x:c r="DA6" s="30" t="str"/>
      <x:c r="DB6" s="30" t="str"/>
      <x:c r="DC6" s="30" t="str"/>
      <x:c r="DD6" s="30" t="str"/>
      <x:c r="DE6" s="30" t="str"/>
      <x:c r="DF6" s="32" t="str"/>
      <x:c r="DG6" s="32" t="str"/>
      <x:c r="DH6" s="32" t="str"/>
      <x:c r="DI6" s="32" t="str"/>
      <x:c r="DJ6" s="32" t="str"/>
      <x:c r="DK6" s="32" t="str"/>
      <x:c r="DL6" s="32" t="str"/>
      <x:c r="DM6" s="32" t="str"/>
      <x:c r="DN6" s="32" t="str"/>
      <x:c r="DO6" s="32" t="str"/>
      <x:c r="DP6" s="32" t="str"/>
      <x:c r="DQ6" s="32" t="str"/>
      <x:c r="DR6" s="32" t="str"/>
      <x:c r="DS6" s="32" t="str"/>
      <x:c r="DT6" s="32" t="str"/>
      <x:c r="DU6" s="32" t="str"/>
      <x:c r="DV6" s="32" t="str"/>
      <x:c r="DW6" s="32" t="str"/>
      <x:c r="DX6" s="32" t="str"/>
      <x:c r="DY6" s="32" t="str"/>
      <x:c r="DZ6" s="32" t="str"/>
      <x:c r="EA6" s="34" t="str"/>
      <x:c r="EB6" s="34" t="str"/>
      <x:c r="EC6" s="34" t="str"/>
      <x:c r="ED6" s="34" t="str"/>
      <x:c r="EE6" s="34" t="str"/>
      <x:c r="EF6" s="34" t="str"/>
      <x:c r="EG6" s="34" t="str"/>
      <x:c r="EH6" s="34" t="str"/>
      <x:c r="EI6" s="34" t="str"/>
      <x:c r="EJ6" s="34" t="str"/>
      <x:c r="EK6" s="34" t="str"/>
      <x:c r="EL6" s="34" t="str"/>
      <x:c r="EM6" s="34" t="str"/>
      <x:c r="EN6" s="34" t="str"/>
      <x:c r="EO6" s="34" t="str"/>
      <x:c r="EP6" s="34" t="str"/>
      <x:c r="EQ6" s="36" t="str">
        <x:f>IF(OR($EO6="",$EP6="",$EO6=0),"",$EP6/$EO6)</x:f>
      </x:c>
      <x:c r="ER6" s="38" t="str"/>
      <x:c r="ES6" s="22" t="str">
        <x:v>Unknown</x:v>
      </x:c>
      <x:c r="ET6" s="22" t="str">
        <x:v>Unknown</x:v>
      </x:c>
      <x:c r="EU6" s="40" t="str">
        <x:f>IF(COUNT($DF6,$DG6,$DH6)=0,"",AVERAGE($DF6,$DG6,$DH6))</x:f>
      </x:c>
      <x:c r="EV6" s="40" t="str">
        <x:f>IF(COUNT($DJ6,$DK6,$DL6)=0,"",AVERAGE($DJ6,$DK6,$DL6))</x:f>
      </x:c>
      <x:c r="EW6" s="40" t="str">
        <x:f>IF(OR($EU6="",$EV6=""),"",$EV6-$EU6)</x:f>
      </x:c>
      <x:c r="EX6" s="40" t="str">
        <x:f>IF(COUNT($DM6,$DN6,$DO6)=0,"",AVERAGE($DM6,$DN6,$DO6))</x:f>
      </x:c>
      <x:c r="EY6" s="40" t="str">
        <x:f>IF(COUNT($DQ6,$DR6,$DS6)=0,"",AVERAGE($DQ6,$DR6,$DS6))</x:f>
      </x:c>
      <x:c r="EZ6" s="40" t="str">
        <x:f>IF(OR($EX6="",$EY6=""),"",$EY6-$EX6)</x:f>
      </x:c>
      <x:c r="FA6" s="42" t="str">
        <x:f>IF(COUNT($EA6,$EB6,$EC6)=0,"",AVERAGE($EA6,$EB6,$EC6))</x:f>
      </x:c>
      <x:c r="FB6" s="42" t="str">
        <x:f>IF(COUNT($EE6,$EF6,$EG6)=0,"",AVERAGE($EE6,$EF6,$EG6))</x:f>
      </x:c>
      <x:c r="FC6" s="42" t="str">
        <x:f>IF(OR($FA6="",$FB6=""),"",$FB6-$FA6)</x:f>
      </x:c>
      <x:c r="FD6" s="42" t="str">
        <x:f>IF(COUNT($EH6,$EI6,$EJ6)=0,"",AVERAGE($EH6,$EI6,$EJ6))</x:f>
      </x:c>
      <x:c r="FE6" s="42" t="str">
        <x:f>IF(COUNT($EL6,$EM6,$EN6)=0,"",AVERAGE($EL6,$EM6,$EN6))</x:f>
      </x:c>
      <x:c r="FF6" s="42" t="str">
        <x:f>IF(OR($FD6="",$FE6=""),"",$FE6-$FD6)</x:f>
      </x:c>
      <x:c r="FG6" s="24" t="str">
        <x:f>IF(COUNT($DF6,$DG6,$DH6,$DJ6,$DK6,$DL6,$DM6,$DN6,$DO6,$DQ6,$DR6,$DS6)=12,"Yes","No")</x:f>
        <x:v>No</x:v>
      </x:c>
      <x:c r="FH6" s="24" t="str">
        <x:f>IF(COUNT($EA6,$EB6,$EC6,$EE6,$EF6,$EG6,$EH6,$EI6,$EJ6,$EL6,$EM6,$EN6)=12,"Yes","No")</x:f>
        <x:v>No</x:v>
      </x:c>
      <x:c r="FI6" s="24" t="str">
        <x:f>IF(AND($M6="Include",OR($FG6="Yes",$FH6="Yes")),"Ready","Not ready")</x:f>
        <x:v>Not ready</x:v>
      </x:c>
    </x:row>
    <x:row r="7" ht="24" customHeight="1">
      <x:c r="A7" s="22" t="str">
        <x:v>TRT-0005</x:v>
      </x:c>
      <x:c r="B7" s="22" t="n">
        <x:v>16</x:v>
      </x:c>
      <x:c r="C7" s="22" t="str">
        <x:v>Candidate treatment group</x:v>
      </x:c>
      <x:c r="D7" s="22" t="n">
        <x:v>1</x:v>
      </x:c>
      <x:c r="E7" s="22" t="str">
        <x:v>DATA - Innovation driven deals.xlsx</x:v>
      </x:c>
      <x:c r="F7" s="22" t="str">
        <x:v>trinetx acquires custodix</x:v>
      </x:c>
      <x:c r="G7" s="22" t="str">
        <x:v>Yes</x:v>
      </x:c>
      <x:c r="H7" s="22" t="str">
        <x:v>No</x:v>
      </x:c>
      <x:c r="I7" s="22" t="str">
        <x:v>No</x:v>
      </x:c>
      <x:c r="J7" s="22" t="n">
        <x:v>1</x:v>
      </x:c>
      <x:c r="K7" s="22" t="str">
        <x:v>Not started</x:v>
      </x:c>
      <x:c r="L7" s="22" t="str">
        <x:v>Eligible - 100%</x:v>
      </x:c>
      <x:c r="M7" s="22" t="str">
        <x:v>Review</x:v>
      </x:c>
      <x:c r="N7" s="22" t="str"/>
      <x:c r="O7" s="28" t="n">
        <x:v>43557</x:v>
      </x:c>
      <x:c r="P7" s="28" t="n">
        <x:v>43557</x:v>
      </x:c>
      <x:c r="Q7" s="22" t="n">
        <x:v>2019</x:v>
      </x:c>
      <x:c r="R7" s="22" t="str">
        <x:v>Q2 2019</x:v>
      </x:c>
      <x:c r="S7" s="22" t="str">
        <x:v>Completed</x:v>
      </x:c>
      <x:c r="T7" s="26" t="str">
        <x:v>TriNetX Acquires Custodix</x:v>
      </x:c>
      <x:c r="U7" s="22" t="str">
        <x:v>Mergers &amp; Acquisitions</x:v>
      </x:c>
      <x:c r="V7" s="22" t="str">
        <x:v>Acquisition</x:v>
      </x:c>
      <x:c r="W7" s="22" t="str">
        <x:v>100% Acquisition</x:v>
      </x:c>
      <x:c r="X7" s="22" t="str">
        <x:v>Belgium</x:v>
      </x:c>
      <x:c r="Y7" s="22" t="str">
        <x:v>100% Acquisition</x:v>
      </x:c>
      <x:c r="Z7" s="26"/>
      <x:c r="AA7" s="26"/>
      <x:c r="AB7" s="22" t="str">
        <x:v>TriNetX LLC</x:v>
      </x:c>
      <x:c r="AC7" s="22" t="str">
        <x:v>trinetx</x:v>
      </x:c>
      <x:c r="AD7" s="22" t="str">
        <x:v>Custodix NV</x:v>
      </x:c>
      <x:c r="AE7" s="22" t="str">
        <x:v>custodix</x:v>
      </x:c>
      <x:c r="AF7" s="30"/>
      <x:c r="AG7" s="22" t="str">
        <x:v>n/a</x:v>
      </x:c>
      <x:c r="AH7" s="26" t="str">
        <x:v>TriNetX, Inc., a health research network, has acquired Custodix NV and its InSite network, a provider of services for clinical trial design, patient feasibility, and enabling workflow for patient recruitment.
The InSite platform allows the re-use of Electronic Health Records (EHR) data for research.
The acquisition enables TriNetx to provide a largest platform for clinical research to healthcare organizations throughout Europe.</x:v>
      </x:c>
      <x:c r="AI7" s="26" t="str">
        <x:v>The acquisition enables TriNetx to provide a largest platform for clinical research to healthcare organizations throughout Europe.</x:v>
      </x:c>
      <x:c r="AJ7" s="22" t="str"/>
      <x:c r="AK7" s="22" t="str"/>
      <x:c r="AL7" s="22" t="str">
        <x:v>Unknown</x:v>
      </x:c>
      <x:c r="AM7" s="22" t="str">
        <x:v>Unknown</x:v>
      </x:c>
      <x:c r="AN7" s="22" t="str"/>
      <x:c r="AO7" s="22" t="str"/>
      <x:c r="AP7" s="22" t="str"/>
      <x:c r="AQ7" s="22" t="str"/>
      <x:c r="AR7" s="22" t="str"/>
      <x:c r="AS7" s="22" t="str">
        <x:v>TriNetX LLC</x:v>
      </x:c>
      <x:c r="AT7" s="22" t="str">
        <x:v>Custodix NV</x:v>
      </x:c>
      <x:c r="AU7" s="22" t="str">
        <x:v>Not reviewed</x:v>
      </x:c>
      <x:c r="AV7" s="22" t="str">
        <x:v>Not assessed</x:v>
      </x:c>
      <x:c r="AW7" s="22" t="str">
        <x:v>Unknown</x:v>
      </x:c>
      <x:c r="AX7" s="22" t="str">
        <x:v>Unknown</x:v>
      </x:c>
      <x:c r="AY7" s="22" t="str">
        <x:v>Unknown</x:v>
      </x:c>
      <x:c r="AZ7" s="22" t="str">
        <x:v>Unknown</x:v>
      </x:c>
      <x:c r="BA7" s="22" t="str">
        <x:v>Unknown</x:v>
      </x:c>
      <x:c r="BB7" s="22" t="str">
        <x:v>Unknown</x:v>
      </x:c>
      <x:c r="BC7" s="26" t="str"/>
      <x:c r="BD7" s="22" t="str"/>
      <x:c r="BE7" s="22" t="str"/>
      <x:c r="BF7" s="22" t="str">
        <x:v>Not collected</x:v>
      </x:c>
      <x:c r="BG7" s="22" t="str">
        <x:v>Not collected</x:v>
      </x:c>
      <x:c r="BH7" s="22" t="str">
        <x:v>Not defined</x:v>
      </x:c>
      <x:c r="BI7" s="22" t="n">
        <x:f>IF($Q7="","",$Q7-3)</x:f>
        <x:v>2016</x:v>
      </x:c>
      <x:c r="BJ7" s="22" t="n">
        <x:f>IF($Q7="","",$Q7-2)</x:f>
        <x:v>2017</x:v>
      </x:c>
      <x:c r="BK7" s="22" t="n">
        <x:f>IF($Q7="","",$Q7-1)</x:f>
        <x:v>2018</x:v>
      </x:c>
      <x:c r="BL7" s="22" t="n">
        <x:f>IF($Q7="","",$Q7+0)</x:f>
        <x:v>2019</x:v>
      </x:c>
      <x:c r="BM7" s="22" t="n">
        <x:f>IF($Q7="","",$Q7+1)</x:f>
        <x:v>2020</x:v>
      </x:c>
      <x:c r="BN7" s="22" t="n">
        <x:f>IF($Q7="","",$Q7+2)</x:f>
        <x:v>2021</x:v>
      </x:c>
      <x:c r="BO7" s="22" t="n">
        <x:f>IF($Q7="","",$Q7+3)</x:f>
        <x:v>2022</x:v>
      </x:c>
      <x:c r="BP7" s="30" t="str"/>
      <x:c r="BQ7" s="30" t="str"/>
      <x:c r="BR7" s="30" t="str"/>
      <x:c r="BS7" s="30" t="str"/>
      <x:c r="BT7" s="30" t="str"/>
      <x:c r="BU7" s="30" t="str"/>
      <x:c r="BV7" s="30" t="str"/>
      <x:c r="BW7" s="30" t="str"/>
      <x:c r="BX7" s="30" t="str"/>
      <x:c r="BY7" s="30" t="str"/>
      <x:c r="BZ7" s="30" t="str"/>
      <x:c r="CA7" s="30" t="str"/>
      <x:c r="CB7" s="30" t="str"/>
      <x:c r="CC7" s="30" t="str"/>
      <x:c r="CD7" s="30" t="str"/>
      <x:c r="CE7" s="30" t="str"/>
      <x:c r="CF7" s="30" t="str"/>
      <x:c r="CG7" s="30" t="str"/>
      <x:c r="CH7" s="30" t="str"/>
      <x:c r="CI7" s="30" t="str"/>
      <x:c r="CJ7" s="30" t="str"/>
      <x:c r="CK7" s="30" t="str"/>
      <x:c r="CL7" s="30" t="str"/>
      <x:c r="CM7" s="30" t="str"/>
      <x:c r="CN7" s="30" t="str"/>
      <x:c r="CO7" s="30" t="str"/>
      <x:c r="CP7" s="30" t="str"/>
      <x:c r="CQ7" s="30" t="str"/>
      <x:c r="CR7" s="30" t="str"/>
      <x:c r="CS7" s="30" t="str"/>
      <x:c r="CT7" s="30" t="str"/>
      <x:c r="CU7" s="30" t="str"/>
      <x:c r="CV7" s="30" t="str"/>
      <x:c r="CW7" s="30" t="str"/>
      <x:c r="CX7" s="30" t="str"/>
      <x:c r="CY7" s="30" t="str"/>
      <x:c r="CZ7" s="30" t="str"/>
      <x:c r="DA7" s="30" t="str"/>
      <x:c r="DB7" s="30" t="str"/>
      <x:c r="DC7" s="30" t="str"/>
      <x:c r="DD7" s="30" t="str"/>
      <x:c r="DE7" s="30" t="str"/>
      <x:c r="DF7" s="32" t="str"/>
      <x:c r="DG7" s="32" t="str"/>
      <x:c r="DH7" s="32" t="str"/>
      <x:c r="DI7" s="32" t="str"/>
      <x:c r="DJ7" s="32" t="str"/>
      <x:c r="DK7" s="32" t="str"/>
      <x:c r="DL7" s="32" t="str"/>
      <x:c r="DM7" s="32" t="str"/>
      <x:c r="DN7" s="32" t="str"/>
      <x:c r="DO7" s="32" t="str"/>
      <x:c r="DP7" s="32" t="str"/>
      <x:c r="DQ7" s="32" t="str"/>
      <x:c r="DR7" s="32" t="str"/>
      <x:c r="DS7" s="32" t="str"/>
      <x:c r="DT7" s="32" t="str"/>
      <x:c r="DU7" s="32" t="str"/>
      <x:c r="DV7" s="32" t="str"/>
      <x:c r="DW7" s="32" t="str"/>
      <x:c r="DX7" s="32" t="str"/>
      <x:c r="DY7" s="32" t="str"/>
      <x:c r="DZ7" s="32" t="str"/>
      <x:c r="EA7" s="34" t="str"/>
      <x:c r="EB7" s="34" t="str"/>
      <x:c r="EC7" s="34" t="str"/>
      <x:c r="ED7" s="34" t="str"/>
      <x:c r="EE7" s="34" t="str"/>
      <x:c r="EF7" s="34" t="str"/>
      <x:c r="EG7" s="34" t="str"/>
      <x:c r="EH7" s="34" t="str"/>
      <x:c r="EI7" s="34" t="str"/>
      <x:c r="EJ7" s="34" t="str"/>
      <x:c r="EK7" s="34" t="str"/>
      <x:c r="EL7" s="34" t="str"/>
      <x:c r="EM7" s="34" t="str"/>
      <x:c r="EN7" s="34" t="str"/>
      <x:c r="EO7" s="34" t="str"/>
      <x:c r="EP7" s="34" t="str"/>
      <x:c r="EQ7" s="36" t="str">
        <x:f>IF(OR($EO7="",$EP7="",$EO7=0),"",$EP7/$EO7)</x:f>
      </x:c>
      <x:c r="ER7" s="38" t="str"/>
      <x:c r="ES7" s="22" t="str">
        <x:v>Unknown</x:v>
      </x:c>
      <x:c r="ET7" s="22" t="str">
        <x:v>Unknown</x:v>
      </x:c>
      <x:c r="EU7" s="40" t="str">
        <x:f>IF(COUNT($DF7,$DG7,$DH7)=0,"",AVERAGE($DF7,$DG7,$DH7))</x:f>
      </x:c>
      <x:c r="EV7" s="40" t="str">
        <x:f>IF(COUNT($DJ7,$DK7,$DL7)=0,"",AVERAGE($DJ7,$DK7,$DL7))</x:f>
      </x:c>
      <x:c r="EW7" s="40" t="str">
        <x:f>IF(OR($EU7="",$EV7=""),"",$EV7-$EU7)</x:f>
      </x:c>
      <x:c r="EX7" s="40" t="str">
        <x:f>IF(COUNT($DM7,$DN7,$DO7)=0,"",AVERAGE($DM7,$DN7,$DO7))</x:f>
      </x:c>
      <x:c r="EY7" s="40" t="str">
        <x:f>IF(COUNT($DQ7,$DR7,$DS7)=0,"",AVERAGE($DQ7,$DR7,$DS7))</x:f>
      </x:c>
      <x:c r="EZ7" s="40" t="str">
        <x:f>IF(OR($EX7="",$EY7=""),"",$EY7-$EX7)</x:f>
      </x:c>
      <x:c r="FA7" s="42" t="str">
        <x:f>IF(COUNT($EA7,$EB7,$EC7)=0,"",AVERAGE($EA7,$EB7,$EC7))</x:f>
      </x:c>
      <x:c r="FB7" s="42" t="str">
        <x:f>IF(COUNT($EE7,$EF7,$EG7)=0,"",AVERAGE($EE7,$EF7,$EG7))</x:f>
      </x:c>
      <x:c r="FC7" s="42" t="str">
        <x:f>IF(OR($FA7="",$FB7=""),"",$FB7-$FA7)</x:f>
      </x:c>
      <x:c r="FD7" s="42" t="str">
        <x:f>IF(COUNT($EH7,$EI7,$EJ7)=0,"",AVERAGE($EH7,$EI7,$EJ7))</x:f>
      </x:c>
      <x:c r="FE7" s="42" t="str">
        <x:f>IF(COUNT($EL7,$EM7,$EN7)=0,"",AVERAGE($EL7,$EM7,$EN7))</x:f>
      </x:c>
      <x:c r="FF7" s="42" t="str">
        <x:f>IF(OR($FD7="",$FE7=""),"",$FE7-$FD7)</x:f>
      </x:c>
      <x:c r="FG7" s="24" t="str">
        <x:f>IF(COUNT($DF7,$DG7,$DH7,$DJ7,$DK7,$DL7,$DM7,$DN7,$DO7,$DQ7,$DR7,$DS7)=12,"Yes","No")</x:f>
        <x:v>No</x:v>
      </x:c>
      <x:c r="FH7" s="24" t="str">
        <x:f>IF(COUNT($EA7,$EB7,$EC7,$EE7,$EF7,$EG7,$EH7,$EI7,$EJ7,$EL7,$EM7,$EN7)=12,"Yes","No")</x:f>
        <x:v>No</x:v>
      </x:c>
      <x:c r="FI7" s="24" t="str">
        <x:f>IF(AND($M7="Include",OR($FG7="Yes",$FH7="Yes")),"Ready","Not ready")</x:f>
        <x:v>Not ready</x:v>
      </x:c>
    </x:row>
    <x:row r="8" ht="24" customHeight="1">
      <x:c r="A8" s="22" t="str">
        <x:v>TRT-0006</x:v>
      </x:c>
      <x:c r="B8" s="22" t="n">
        <x:v>17</x:v>
      </x:c>
      <x:c r="C8" s="22" t="str">
        <x:v>Candidate treatment group</x:v>
      </x:c>
      <x:c r="D8" s="22" t="n">
        <x:v>1</x:v>
      </x:c>
      <x:c r="E8" s="22" t="str">
        <x:v>DATA - Innovation driven deals.xlsx</x:v>
      </x:c>
      <x:c r="F8" s="22" t="str">
        <x:v>bravo bidco boston scientific acquires btg for</x:v>
      </x:c>
      <x:c r="G8" s="22" t="str">
        <x:v>Yes</x:v>
      </x:c>
      <x:c r="H8" s="22" t="str">
        <x:v>No</x:v>
      </x:c>
      <x:c r="I8" s="22" t="str">
        <x:v>No</x:v>
      </x:c>
      <x:c r="J8" s="22" t="n">
        <x:v>1</x:v>
      </x:c>
      <x:c r="K8" s="22" t="str">
        <x:v>Not started</x:v>
      </x:c>
      <x:c r="L8" s="22" t="str">
        <x:v>Eligible - 100%</x:v>
      </x:c>
      <x:c r="M8" s="22" t="str">
        <x:v>Review</x:v>
      </x:c>
      <x:c r="N8" s="22" t="str"/>
      <x:c r="O8" s="28" t="n">
        <x:v>43424</x:v>
      </x:c>
      <x:c r="P8" s="28" t="n">
        <x:v>43696</x:v>
      </x:c>
      <x:c r="Q8" s="22" t="n">
        <x:v>2019</x:v>
      </x:c>
      <x:c r="R8" s="22" t="str">
        <x:v>Q4 2018</x:v>
      </x:c>
      <x:c r="S8" s="22" t="str">
        <x:v>Completed</x:v>
      </x:c>
      <x:c r="T8" s="26" t="str">
        <x:v>Bravo Bidco (Boston Scientific) Acquires BTG for USD4.24 Billion</x:v>
      </x:c>
      <x:c r="U8" s="22" t="str">
        <x:v>Mergers &amp; Acquisitions</x:v>
      </x:c>
      <x:c r="V8" s="22" t="str">
        <x:v>Acquisition</x:v>
      </x:c>
      <x:c r="W8" s="22" t="str">
        <x:v>100% Acquisition</x:v>
      </x:c>
      <x:c r="X8" s="22" t="str">
        <x:v>United Kingdom</x:v>
      </x:c>
      <x:c r="Y8" s="22" t="str">
        <x:v>100% Acquisition</x:v>
      </x:c>
      <x:c r="Z8" s="26" t="str">
        <x:v>Rothschild &amp; Co SCA , The Goldman Sachs Group Inc , Deutsche Bank AG , J.P. Morgan Cazenove Ltd (Inactive) , Barclays Wealth Management , Goldman Sachs International</x:v>
      </x:c>
      <x:c r="AA8" s="26" t="str">
        <x:v>Shearman &amp; Sterling LLP , Simpson Thacher &amp; Bartlett LLP , Allen Overy Shearman Sterling LLP , Travers Smith LLP , White &amp; Case LLP , Arnold &amp; Porter Kaye Scholer LLP</x:v>
      </x:c>
      <x:c r="AB8" s="22" t="str">
        <x:v>Bravo Bidco Ltd</x:v>
      </x:c>
      <x:c r="AC8" s="22" t="str">
        <x:v>bravo bidco</x:v>
      </x:c>
      <x:c r="AD8" s="22" t="str">
        <x:v>BTG Ltd</x:v>
      </x:c>
      <x:c r="AE8" s="22" t="str">
        <x:v>btg</x:v>
      </x:c>
      <x:c r="AF8" s="30" t="n">
        <x:v>4239</x:v>
      </x:c>
      <x:c r="AG8" s="22" t="n">
        <x:v>4239</x:v>
      </x:c>
      <x:c r="AH8" s="26" t="str">
        <x:v>Boston Scientific Corp, a medical technology, through its wholly-owned subsidiary, Bravo Bidco Ltd, has completed the acquisition of BTG plc,  a company which develops and commercializes products used in minimally-invasive procedures targeting cancer and vascular diseases, as well as acute care pharmaceuticals, for GBP3.3 billion.
In addition to the Interventional Medicine product lines, the BTG portfolio also includes a specialty pharmaceutical business comprised of acute care antidotes to treat overexposure to certain medications and toxins, and a licensing business that receives royalties related to BTG intellectual property and product license agreements.
Upon the effectiveness of the scheme of arrangement, BTG became a wholly-owned subsidiary of Boston Scientific, and BTG shares no longer trade on the London Stock Exchange. Under the terms of the previously announced transaction, holders of BTG common shares will receive 840 pence in cash per share. 
The transaction would be funded with a combination of cash on hand and proceeds from debt financing entered into by Boston Scientific.
The acquisition will enable Bravo Bidco to expand peripheral interventions portfolio with minimally-invasive treatments for cancers and vascular conditions.
Goldman Sachs International, Deutsche Bank AG, J.P. Morgan Cazenove and Rothschild &amp; Co acted as financial advisors where as Allen &amp; Overy LLP acted as legal adviser to BTG, while Barclays acted as financial advisor where as Shearman &amp; Sterling LLP, Simpson Thacher &amp; Bartlett LLP, Arnold &amp; Porter Kaye Scholer LLP and Travers Smith LLP acted as legal advisors, respectively, to Bravo Bidco.
Deal History:
Announced: On November 20, 2018, Boston Scientific reached an agreement on the terms of a recommended cash offer by its wholly-owned subsidiary, Bravo Bidco Ltd, for the acquisition of the entire issued and to be issued ordinary share capital (100%) of BTG plc, a company which develops and commercializes products used in minimally-invasive procedures targeting cancer and vascular diseases, as well as acute care pharmaceuticals, for GBP3.3 billion.
Update: On December 12, 2018, BTG, Boston Scientific and Bidco entered into an amendment to the Co-operation Agreement to extend the date by which certain regulatory filings must be made in Spain, Germany and other relevant jurisdictions. The filing of the notification in respect of the Acquisition under the HSR Act was made yesterday.
Update: On February 15, 2019, The Transaction has received merger control clearance in Germany under the German Act Against Restraints of Competition and the Taiwan Fair Trade Commission has terminated its investigation. 
Update: On February 28, 2019, The shareholders of BTG have approved in respect of the previously announced recommended cash offer to acquire the entire issued and to be issued ordinary share capital of BTG by Bravo Bidco, an indirect wholly-owned subsidiary of Boston Scientific.
Update: On August 2, 2019, BTG and Boston Scientific are pleased to confirm that the Transaction has received merger control clearance from the US Federal Trade Commission under the HSR Act, on July 25, 2019 the CNMC issued a clearance decision under the Spanish Competition Act and on August 2, 2019, the Federal Competition Authority of Austria issued a clearance decision pursuant to Sec 11 Para 4 Austrian Cartel Act.</x:v>
      </x:c>
      <x:c r="AI8" s="26" t="str">
        <x:v>The acquisition will enable Bravo Bidco to expand peripheral interventions portfolio with minimally-invasive treatments for cancers and vascular conditions.</x:v>
      </x:c>
      <x:c r="AJ8" s="22" t="str"/>
      <x:c r="AK8" s="22" t="str"/>
      <x:c r="AL8" s="22" t="str">
        <x:v>Unknown</x:v>
      </x:c>
      <x:c r="AM8" s="22" t="str">
        <x:v>Unknown</x:v>
      </x:c>
      <x:c r="AN8" s="22" t="str"/>
      <x:c r="AO8" s="22" t="str"/>
      <x:c r="AP8" s="22" t="str"/>
      <x:c r="AQ8" s="22" t="str"/>
      <x:c r="AR8" s="22" t="str"/>
      <x:c r="AS8" s="22" t="str">
        <x:v>Bravo Bidco Ltd</x:v>
      </x:c>
      <x:c r="AT8" s="22" t="str">
        <x:v>BTG Ltd</x:v>
      </x:c>
      <x:c r="AU8" s="22" t="str">
        <x:v>Not reviewed</x:v>
      </x:c>
      <x:c r="AV8" s="22" t="str">
        <x:v>Not assessed</x:v>
      </x:c>
      <x:c r="AW8" s="22" t="str">
        <x:v>Unknown</x:v>
      </x:c>
      <x:c r="AX8" s="22" t="str">
        <x:v>Unknown</x:v>
      </x:c>
      <x:c r="AY8" s="22" t="str">
        <x:v>Unknown</x:v>
      </x:c>
      <x:c r="AZ8" s="22" t="str">
        <x:v>Unknown</x:v>
      </x:c>
      <x:c r="BA8" s="22" t="str">
        <x:v>Unknown</x:v>
      </x:c>
      <x:c r="BB8" s="22" t="str">
        <x:v>Unknown</x:v>
      </x:c>
      <x:c r="BC8" s="26" t="str"/>
      <x:c r="BD8" s="22" t="str"/>
      <x:c r="BE8" s="22" t="str"/>
      <x:c r="BF8" s="22" t="str">
        <x:v>Not collected</x:v>
      </x:c>
      <x:c r="BG8" s="22" t="str">
        <x:v>Not collected</x:v>
      </x:c>
      <x:c r="BH8" s="22" t="str">
        <x:v>Not defined</x:v>
      </x:c>
      <x:c r="BI8" s="22" t="n">
        <x:f>IF($Q8="","",$Q8-3)</x:f>
        <x:v>2016</x:v>
      </x:c>
      <x:c r="BJ8" s="22" t="n">
        <x:f>IF($Q8="","",$Q8-2)</x:f>
        <x:v>2017</x:v>
      </x:c>
      <x:c r="BK8" s="22" t="n">
        <x:f>IF($Q8="","",$Q8-1)</x:f>
        <x:v>2018</x:v>
      </x:c>
      <x:c r="BL8" s="22" t="n">
        <x:f>IF($Q8="","",$Q8+0)</x:f>
        <x:v>2019</x:v>
      </x:c>
      <x:c r="BM8" s="22" t="n">
        <x:f>IF($Q8="","",$Q8+1)</x:f>
        <x:v>2020</x:v>
      </x:c>
      <x:c r="BN8" s="22" t="n">
        <x:f>IF($Q8="","",$Q8+2)</x:f>
        <x:v>2021</x:v>
      </x:c>
      <x:c r="BO8" s="22" t="n">
        <x:f>IF($Q8="","",$Q8+3)</x:f>
        <x:v>2022</x:v>
      </x:c>
      <x:c r="BP8" s="30" t="str"/>
      <x:c r="BQ8" s="30" t="str"/>
      <x:c r="BR8" s="30" t="str"/>
      <x:c r="BS8" s="30" t="str"/>
      <x:c r="BT8" s="30" t="str"/>
      <x:c r="BU8" s="30" t="str"/>
      <x:c r="BV8" s="30" t="str"/>
      <x:c r="BW8" s="30" t="str"/>
      <x:c r="BX8" s="30" t="str"/>
      <x:c r="BY8" s="30" t="str"/>
      <x:c r="BZ8" s="30" t="str"/>
      <x:c r="CA8" s="30" t="str"/>
      <x:c r="CB8" s="30" t="str"/>
      <x:c r="CC8" s="30" t="str"/>
      <x:c r="CD8" s="30" t="str"/>
      <x:c r="CE8" s="30" t="str"/>
      <x:c r="CF8" s="30" t="str"/>
      <x:c r="CG8" s="30" t="str"/>
      <x:c r="CH8" s="30" t="str"/>
      <x:c r="CI8" s="30" t="str"/>
      <x:c r="CJ8" s="30" t="str"/>
      <x:c r="CK8" s="30" t="str"/>
      <x:c r="CL8" s="30" t="str"/>
      <x:c r="CM8" s="30" t="str"/>
      <x:c r="CN8" s="30" t="str"/>
      <x:c r="CO8" s="30" t="str"/>
      <x:c r="CP8" s="30" t="str"/>
      <x:c r="CQ8" s="30" t="str"/>
      <x:c r="CR8" s="30" t="str"/>
      <x:c r="CS8" s="30" t="str"/>
      <x:c r="CT8" s="30" t="str"/>
      <x:c r="CU8" s="30" t="str"/>
      <x:c r="CV8" s="30" t="str"/>
      <x:c r="CW8" s="30" t="str"/>
      <x:c r="CX8" s="30" t="str"/>
      <x:c r="CY8" s="30" t="str"/>
      <x:c r="CZ8" s="30" t="str"/>
      <x:c r="DA8" s="30" t="str"/>
      <x:c r="DB8" s="30" t="str"/>
      <x:c r="DC8" s="30" t="str"/>
      <x:c r="DD8" s="30" t="str"/>
      <x:c r="DE8" s="30" t="str"/>
      <x:c r="DF8" s="32" t="str"/>
      <x:c r="DG8" s="32" t="str"/>
      <x:c r="DH8" s="32" t="str"/>
      <x:c r="DI8" s="32" t="str"/>
      <x:c r="DJ8" s="32" t="str"/>
      <x:c r="DK8" s="32" t="str"/>
      <x:c r="DL8" s="32" t="str"/>
      <x:c r="DM8" s="32" t="str"/>
      <x:c r="DN8" s="32" t="str"/>
      <x:c r="DO8" s="32" t="str"/>
      <x:c r="DP8" s="32" t="str"/>
      <x:c r="DQ8" s="32" t="str"/>
      <x:c r="DR8" s="32" t="str"/>
      <x:c r="DS8" s="32" t="str"/>
      <x:c r="DT8" s="32" t="str"/>
      <x:c r="DU8" s="32" t="str"/>
      <x:c r="DV8" s="32" t="str"/>
      <x:c r="DW8" s="32" t="str"/>
      <x:c r="DX8" s="32" t="str"/>
      <x:c r="DY8" s="32" t="str"/>
      <x:c r="DZ8" s="32" t="str"/>
      <x:c r="EA8" s="34" t="str"/>
      <x:c r="EB8" s="34" t="str"/>
      <x:c r="EC8" s="34" t="str"/>
      <x:c r="ED8" s="34" t="str"/>
      <x:c r="EE8" s="34" t="str"/>
      <x:c r="EF8" s="34" t="str"/>
      <x:c r="EG8" s="34" t="str"/>
      <x:c r="EH8" s="34" t="str"/>
      <x:c r="EI8" s="34" t="str"/>
      <x:c r="EJ8" s="34" t="str"/>
      <x:c r="EK8" s="34" t="str"/>
      <x:c r="EL8" s="34" t="str"/>
      <x:c r="EM8" s="34" t="str"/>
      <x:c r="EN8" s="34" t="str"/>
      <x:c r="EO8" s="34" t="str"/>
      <x:c r="EP8" s="34" t="str"/>
      <x:c r="EQ8" s="36" t="str">
        <x:f>IF(OR($EO8="",$EP8="",$EO8=0),"",$EP8/$EO8)</x:f>
      </x:c>
      <x:c r="ER8" s="38" t="str"/>
      <x:c r="ES8" s="22" t="str">
        <x:v>Unknown</x:v>
      </x:c>
      <x:c r="ET8" s="22" t="str">
        <x:v>Unknown</x:v>
      </x:c>
      <x:c r="EU8" s="40" t="str">
        <x:f>IF(COUNT($DF8,$DG8,$DH8)=0,"",AVERAGE($DF8,$DG8,$DH8))</x:f>
      </x:c>
      <x:c r="EV8" s="40" t="str">
        <x:f>IF(COUNT($DJ8,$DK8,$DL8)=0,"",AVERAGE($DJ8,$DK8,$DL8))</x:f>
      </x:c>
      <x:c r="EW8" s="40" t="str">
        <x:f>IF(OR($EU8="",$EV8=""),"",$EV8-$EU8)</x:f>
      </x:c>
      <x:c r="EX8" s="40" t="str">
        <x:f>IF(COUNT($DM8,$DN8,$DO8)=0,"",AVERAGE($DM8,$DN8,$DO8))</x:f>
      </x:c>
      <x:c r="EY8" s="40" t="str">
        <x:f>IF(COUNT($DQ8,$DR8,$DS8)=0,"",AVERAGE($DQ8,$DR8,$DS8))</x:f>
      </x:c>
      <x:c r="EZ8" s="40" t="str">
        <x:f>IF(OR($EX8="",$EY8=""),"",$EY8-$EX8)</x:f>
      </x:c>
      <x:c r="FA8" s="42" t="str">
        <x:f>IF(COUNT($EA8,$EB8,$EC8)=0,"",AVERAGE($EA8,$EB8,$EC8))</x:f>
      </x:c>
      <x:c r="FB8" s="42" t="str">
        <x:f>IF(COUNT($EE8,$EF8,$EG8)=0,"",AVERAGE($EE8,$EF8,$EG8))</x:f>
      </x:c>
      <x:c r="FC8" s="42" t="str">
        <x:f>IF(OR($FA8="",$FB8=""),"",$FB8-$FA8)</x:f>
      </x:c>
      <x:c r="FD8" s="42" t="str">
        <x:f>IF(COUNT($EH8,$EI8,$EJ8)=0,"",AVERAGE($EH8,$EI8,$EJ8))</x:f>
      </x:c>
      <x:c r="FE8" s="42" t="str">
        <x:f>IF(COUNT($EL8,$EM8,$EN8)=0,"",AVERAGE($EL8,$EM8,$EN8))</x:f>
      </x:c>
      <x:c r="FF8" s="42" t="str">
        <x:f>IF(OR($FD8="",$FE8=""),"",$FE8-$FD8)</x:f>
      </x:c>
      <x:c r="FG8" s="24" t="str">
        <x:f>IF(COUNT($DF8,$DG8,$DH8,$DJ8,$DK8,$DL8,$DM8,$DN8,$DO8,$DQ8,$DR8,$DS8)=12,"Yes","No")</x:f>
        <x:v>No</x:v>
      </x:c>
      <x:c r="FH8" s="24" t="str">
        <x:f>IF(COUNT($EA8,$EB8,$EC8,$EE8,$EF8,$EG8,$EH8,$EI8,$EJ8,$EL8,$EM8,$EN8)=12,"Yes","No")</x:f>
        <x:v>No</x:v>
      </x:c>
      <x:c r="FI8" s="24" t="str">
        <x:f>IF(AND($M8="Include",OR($FG8="Yes",$FH8="Yes")),"Ready","Not ready")</x:f>
        <x:v>Not ready</x:v>
      </x:c>
    </x:row>
    <x:row r="9" ht="24" customHeight="1">
      <x:c r="A9" s="22" t="str">
        <x:v>TRT-0007</x:v>
      </x:c>
      <x:c r="B9" s="22" t="n">
        <x:v>18</x:v>
      </x:c>
      <x:c r="C9" s="22" t="str">
        <x:v>Candidate treatment group</x:v>
      </x:c>
      <x:c r="D9" s="22" t="n">
        <x:v>1</x:v>
      </x:c>
      <x:c r="E9" s="22" t="str">
        <x:v>DATA - Innovation driven deals.xlsx</x:v>
      </x:c>
      <x:c r="F9" s="22" t="str">
        <x:v>aphria acquires cc pharma</x:v>
      </x:c>
      <x:c r="G9" s="22" t="str">
        <x:v>Yes</x:v>
      </x:c>
      <x:c r="H9" s="22" t="str">
        <x:v>No</x:v>
      </x:c>
      <x:c r="I9" s="22" t="str">
        <x:v>No</x:v>
      </x:c>
      <x:c r="J9" s="22" t="n">
        <x:v>1</x:v>
      </x:c>
      <x:c r="K9" s="22" t="str">
        <x:v>Not started</x:v>
      </x:c>
      <x:c r="L9" s="22" t="str">
        <x:v>Review - majority</x:v>
      </x:c>
      <x:c r="M9" s="22" t="str">
        <x:v>Review</x:v>
      </x:c>
      <x:c r="N9" s="22" t="str"/>
      <x:c r="O9" s="28" t="n">
        <x:v>43409</x:v>
      </x:c>
      <x:c r="P9" s="28" t="n">
        <x:v>43474</x:v>
      </x:c>
      <x:c r="Q9" s="22" t="n">
        <x:v>2019</x:v>
      </x:c>
      <x:c r="R9" s="22" t="str">
        <x:v>Q4 2018</x:v>
      </x:c>
      <x:c r="S9" s="22" t="str">
        <x:v>Completed</x:v>
      </x:c>
      <x:c r="T9" s="26" t="str">
        <x:v>Aphria Acquires CC Pharma</x:v>
      </x:c>
      <x:c r="U9" s="22" t="str">
        <x:v>Mergers &amp; Acquisitions</x:v>
      </x:c>
      <x:c r="V9" s="22" t="str">
        <x:v>Acquisition</x:v>
      </x:c>
      <x:c r="W9" s="22" t="str">
        <x:v>Majority Acquisition</x:v>
      </x:c>
      <x:c r="X9" s="22" t="str">
        <x:v>Germany</x:v>
      </x:c>
      <x:c r="Y9" s="22" t="str">
        <x:v>Majority Acquisition</x:v>
      </x:c>
      <x:c r="Z9" s="26"/>
      <x:c r="AA9" s="26"/>
      <x:c r="AB9" s="22" t="str">
        <x:v>Aphria Inc</x:v>
      </x:c>
      <x:c r="AC9" s="22" t="str">
        <x:v>aphria</x:v>
      </x:c>
      <x:c r="AD9" s="22" t="str">
        <x:v>CC Pharma GmbH</x:v>
      </x:c>
      <x:c r="AE9" s="22" t="str">
        <x:v>cc pharma</x:v>
      </x:c>
      <x:c r="AF9" s="30" t="n">
        <x:v>28</x:v>
      </x:c>
      <x:c r="AG9" s="22" t="n">
        <x:v>28</x:v>
      </x:c>
      <x:c r="AH9" s="26" t="str">
        <x:v>Aphria Inc., a global cannabis company, has completed the acquisition of CC Pharma GmbH, a distributor of pharmaceutical products.
Under the terms of consideration, Aphria will pay EUR24.5 million in cash to CC Pharma at closing, with an earn-out multiple on future EBITDA of up to another EUR23.5 million following closing, if certain performance milestones are met.
Aphria, through its subsidiary Aphria International, previously announced a supply agreement with CC Pharma to export approximately 1,200 kilograms of medical cannabis products from Canada to Germany. CC Pharma operates a production, repackaging and labeling facility at its headquarters in Densborn.
The transaction enables Aphria to strengthen its end-to-end medical cannabis operations and infrastructure in Germany.
Deal History: 
Announced: On November 5, 2011, Aphria announced its proposed acquisition of CC Pharma.</x:v>
      </x:c>
      <x:c r="AI9" s="26" t="str">
        <x:v>The transaction enables Aphria to strengthen its end-to-end medical cannabis operations and infrastructure in Germany.</x:v>
      </x:c>
      <x:c r="AJ9" s="22" t="str"/>
      <x:c r="AK9" s="22" t="str"/>
      <x:c r="AL9" s="22" t="str">
        <x:v>Unknown</x:v>
      </x:c>
      <x:c r="AM9" s="22" t="str">
        <x:v>Unknown</x:v>
      </x:c>
      <x:c r="AN9" s="22" t="str"/>
      <x:c r="AO9" s="22" t="str"/>
      <x:c r="AP9" s="22" t="str"/>
      <x:c r="AQ9" s="22" t="str"/>
      <x:c r="AR9" s="22" t="str"/>
      <x:c r="AS9" s="22" t="str">
        <x:v>Aphria Inc</x:v>
      </x:c>
      <x:c r="AT9" s="22" t="str">
        <x:v>CC Pharma GmbH</x:v>
      </x:c>
      <x:c r="AU9" s="22" t="str">
        <x:v>Not reviewed</x:v>
      </x:c>
      <x:c r="AV9" s="22" t="str">
        <x:v>Not assessed</x:v>
      </x:c>
      <x:c r="AW9" s="22" t="str">
        <x:v>Unknown</x:v>
      </x:c>
      <x:c r="AX9" s="22" t="str">
        <x:v>Unknown</x:v>
      </x:c>
      <x:c r="AY9" s="22" t="str">
        <x:v>Unknown</x:v>
      </x:c>
      <x:c r="AZ9" s="22" t="str">
        <x:v>Unknown</x:v>
      </x:c>
      <x:c r="BA9" s="22" t="str">
        <x:v>Unknown</x:v>
      </x:c>
      <x:c r="BB9" s="22" t="str">
        <x:v>Unknown</x:v>
      </x:c>
      <x:c r="BC9" s="26" t="str"/>
      <x:c r="BD9" s="22" t="str"/>
      <x:c r="BE9" s="22" t="str"/>
      <x:c r="BF9" s="22" t="str">
        <x:v>Not collected</x:v>
      </x:c>
      <x:c r="BG9" s="22" t="str">
        <x:v>Not collected</x:v>
      </x:c>
      <x:c r="BH9" s="22" t="str">
        <x:v>Not defined</x:v>
      </x:c>
      <x:c r="BI9" s="22" t="n">
        <x:f>IF($Q9="","",$Q9-3)</x:f>
        <x:v>2016</x:v>
      </x:c>
      <x:c r="BJ9" s="22" t="n">
        <x:f>IF($Q9="","",$Q9-2)</x:f>
        <x:v>2017</x:v>
      </x:c>
      <x:c r="BK9" s="22" t="n">
        <x:f>IF($Q9="","",$Q9-1)</x:f>
        <x:v>2018</x:v>
      </x:c>
      <x:c r="BL9" s="22" t="n">
        <x:f>IF($Q9="","",$Q9+0)</x:f>
        <x:v>2019</x:v>
      </x:c>
      <x:c r="BM9" s="22" t="n">
        <x:f>IF($Q9="","",$Q9+1)</x:f>
        <x:v>2020</x:v>
      </x:c>
      <x:c r="BN9" s="22" t="n">
        <x:f>IF($Q9="","",$Q9+2)</x:f>
        <x:v>2021</x:v>
      </x:c>
      <x:c r="BO9" s="22" t="n">
        <x:f>IF($Q9="","",$Q9+3)</x:f>
        <x:v>2022</x:v>
      </x:c>
      <x:c r="BP9" s="30" t="str"/>
      <x:c r="BQ9" s="30" t="str"/>
      <x:c r="BR9" s="30" t="str"/>
      <x:c r="BS9" s="30" t="str"/>
      <x:c r="BT9" s="30" t="str"/>
      <x:c r="BU9" s="30" t="str"/>
      <x:c r="BV9" s="30" t="str"/>
      <x:c r="BW9" s="30" t="str"/>
      <x:c r="BX9" s="30" t="str"/>
      <x:c r="BY9" s="30" t="str"/>
      <x:c r="BZ9" s="30" t="str"/>
      <x:c r="CA9" s="30" t="str"/>
      <x:c r="CB9" s="30" t="str"/>
      <x:c r="CC9" s="30" t="str"/>
      <x:c r="CD9" s="30" t="str"/>
      <x:c r="CE9" s="30" t="str"/>
      <x:c r="CF9" s="30" t="str"/>
      <x:c r="CG9" s="30" t="str"/>
      <x:c r="CH9" s="30" t="str"/>
      <x:c r="CI9" s="30" t="str"/>
      <x:c r="CJ9" s="30" t="str"/>
      <x:c r="CK9" s="30" t="str"/>
      <x:c r="CL9" s="30" t="str"/>
      <x:c r="CM9" s="30" t="str"/>
      <x:c r="CN9" s="30" t="str"/>
      <x:c r="CO9" s="30" t="str"/>
      <x:c r="CP9" s="30" t="str"/>
      <x:c r="CQ9" s="30" t="str"/>
      <x:c r="CR9" s="30" t="str"/>
      <x:c r="CS9" s="30" t="str"/>
      <x:c r="CT9" s="30" t="str"/>
      <x:c r="CU9" s="30" t="str"/>
      <x:c r="CV9" s="30" t="str"/>
      <x:c r="CW9" s="30" t="str"/>
      <x:c r="CX9" s="30" t="str"/>
      <x:c r="CY9" s="30" t="str"/>
      <x:c r="CZ9" s="30" t="str"/>
      <x:c r="DA9" s="30" t="str"/>
      <x:c r="DB9" s="30" t="str"/>
      <x:c r="DC9" s="30" t="str"/>
      <x:c r="DD9" s="30" t="str"/>
      <x:c r="DE9" s="30" t="str"/>
      <x:c r="DF9" s="32" t="str"/>
      <x:c r="DG9" s="32" t="str"/>
      <x:c r="DH9" s="32" t="str"/>
      <x:c r="DI9" s="32" t="str"/>
      <x:c r="DJ9" s="32" t="str"/>
      <x:c r="DK9" s="32" t="str"/>
      <x:c r="DL9" s="32" t="str"/>
      <x:c r="DM9" s="32" t="str"/>
      <x:c r="DN9" s="32" t="str"/>
      <x:c r="DO9" s="32" t="str"/>
      <x:c r="DP9" s="32" t="str"/>
      <x:c r="DQ9" s="32" t="str"/>
      <x:c r="DR9" s="32" t="str"/>
      <x:c r="DS9" s="32" t="str"/>
      <x:c r="DT9" s="32" t="str"/>
      <x:c r="DU9" s="32" t="str"/>
      <x:c r="DV9" s="32" t="str"/>
      <x:c r="DW9" s="32" t="str"/>
      <x:c r="DX9" s="32" t="str"/>
      <x:c r="DY9" s="32" t="str"/>
      <x:c r="DZ9" s="32" t="str"/>
      <x:c r="EA9" s="34" t="str"/>
      <x:c r="EB9" s="34" t="str"/>
      <x:c r="EC9" s="34" t="str"/>
      <x:c r="ED9" s="34" t="str"/>
      <x:c r="EE9" s="34" t="str"/>
      <x:c r="EF9" s="34" t="str"/>
      <x:c r="EG9" s="34" t="str"/>
      <x:c r="EH9" s="34" t="str"/>
      <x:c r="EI9" s="34" t="str"/>
      <x:c r="EJ9" s="34" t="str"/>
      <x:c r="EK9" s="34" t="str"/>
      <x:c r="EL9" s="34" t="str"/>
      <x:c r="EM9" s="34" t="str"/>
      <x:c r="EN9" s="34" t="str"/>
      <x:c r="EO9" s="34" t="str"/>
      <x:c r="EP9" s="34" t="str"/>
      <x:c r="EQ9" s="36" t="str">
        <x:f>IF(OR($EO9="",$EP9="",$EO9=0),"",$EP9/$EO9)</x:f>
      </x:c>
      <x:c r="ER9" s="38" t="str"/>
      <x:c r="ES9" s="22" t="str">
        <x:v>Unknown</x:v>
      </x:c>
      <x:c r="ET9" s="22" t="str">
        <x:v>Unknown</x:v>
      </x:c>
      <x:c r="EU9" s="40" t="str">
        <x:f>IF(COUNT($DF9,$DG9,$DH9)=0,"",AVERAGE($DF9,$DG9,$DH9))</x:f>
      </x:c>
      <x:c r="EV9" s="40" t="str">
        <x:f>IF(COUNT($DJ9,$DK9,$DL9)=0,"",AVERAGE($DJ9,$DK9,$DL9))</x:f>
      </x:c>
      <x:c r="EW9" s="40" t="str">
        <x:f>IF(OR($EU9="",$EV9=""),"",$EV9-$EU9)</x:f>
      </x:c>
      <x:c r="EX9" s="40" t="str">
        <x:f>IF(COUNT($DM9,$DN9,$DO9)=0,"",AVERAGE($DM9,$DN9,$DO9))</x:f>
      </x:c>
      <x:c r="EY9" s="40" t="str">
        <x:f>IF(COUNT($DQ9,$DR9,$DS9)=0,"",AVERAGE($DQ9,$DR9,$DS9))</x:f>
      </x:c>
      <x:c r="EZ9" s="40" t="str">
        <x:f>IF(OR($EX9="",$EY9=""),"",$EY9-$EX9)</x:f>
      </x:c>
      <x:c r="FA9" s="42" t="str">
        <x:f>IF(COUNT($EA9,$EB9,$EC9)=0,"",AVERAGE($EA9,$EB9,$EC9))</x:f>
      </x:c>
      <x:c r="FB9" s="42" t="str">
        <x:f>IF(COUNT($EE9,$EF9,$EG9)=0,"",AVERAGE($EE9,$EF9,$EG9))</x:f>
      </x:c>
      <x:c r="FC9" s="42" t="str">
        <x:f>IF(OR($FA9="",$FB9=""),"",$FB9-$FA9)</x:f>
      </x:c>
      <x:c r="FD9" s="42" t="str">
        <x:f>IF(COUNT($EH9,$EI9,$EJ9)=0,"",AVERAGE($EH9,$EI9,$EJ9))</x:f>
      </x:c>
      <x:c r="FE9" s="42" t="str">
        <x:f>IF(COUNT($EL9,$EM9,$EN9)=0,"",AVERAGE($EL9,$EM9,$EN9))</x:f>
      </x:c>
      <x:c r="FF9" s="42" t="str">
        <x:f>IF(OR($FD9="",$FE9=""),"",$FE9-$FD9)</x:f>
      </x:c>
      <x:c r="FG9" s="24" t="str">
        <x:f>IF(COUNT($DF9,$DG9,$DH9,$DJ9,$DK9,$DL9,$DM9,$DN9,$DO9,$DQ9,$DR9,$DS9)=12,"Yes","No")</x:f>
        <x:v>No</x:v>
      </x:c>
      <x:c r="FH9" s="24" t="str">
        <x:f>IF(COUNT($EA9,$EB9,$EC9,$EE9,$EF9,$EG9,$EH9,$EI9,$EJ9,$EL9,$EM9,$EN9)=12,"Yes","No")</x:f>
        <x:v>No</x:v>
      </x:c>
      <x:c r="FI9" s="24" t="str">
        <x:f>IF(AND($M9="Include",OR($FG9="Yes",$FH9="Yes")),"Ready","Not ready")</x:f>
        <x:v>Not ready</x:v>
      </x:c>
    </x:row>
    <x:row r="10" ht="24" customHeight="1">
      <x:c r="A10" s="22" t="str">
        <x:v>TRT-0008</x:v>
      </x:c>
      <x:c r="B10" s="22" t="n">
        <x:v>19</x:v>
      </x:c>
      <x:c r="C10" s="22" t="str">
        <x:v>Candidate treatment group</x:v>
      </x:c>
      <x:c r="D10" s="22" t="n">
        <x:v>1</x:v>
      </x:c>
      <x:c r="E10" s="22" t="str">
        <x:v>DATA - Innovation driven deals.xlsx</x:v>
      </x:c>
      <x:c r="F10" s="22" t="str">
        <x:v>ingenza acquires stake in amprologix</x:v>
      </x:c>
      <x:c r="G10" s="22" t="str">
        <x:v>Yes</x:v>
      </x:c>
      <x:c r="H10" s="22" t="str">
        <x:v>No</x:v>
      </x:c>
      <x:c r="I10" s="22" t="str">
        <x:v>No</x:v>
      </x:c>
      <x:c r="J10" s="22" t="n">
        <x:v>1</x:v>
      </x:c>
      <x:c r="K10" s="22" t="str">
        <x:v>Not started</x:v>
      </x:c>
      <x:c r="L10" s="22" t="str">
        <x:v>Exclude - minority</x:v>
      </x:c>
      <x:c r="M10" s="22" t="str">
        <x:v>Review</x:v>
      </x:c>
      <x:c r="N10" s="22" t="str"/>
      <x:c r="O10" s="28" t="n">
        <x:v>43363</x:v>
      </x:c>
      <x:c r="P10" s="28" t="n">
        <x:v>43363</x:v>
      </x:c>
      <x:c r="Q10" s="22" t="n">
        <x:v>2018</x:v>
      </x:c>
      <x:c r="R10" s="22" t="str">
        <x:v>Q3 2018</x:v>
      </x:c>
      <x:c r="S10" s="22" t="str">
        <x:v>Completed</x:v>
      </x:c>
      <x:c r="T10" s="26" t="str">
        <x:v>Ingenza Acquires Stake in Amprologix</x:v>
      </x:c>
      <x:c r="U10" s="22" t="str">
        <x:v>Mergers &amp; Acquisitions</x:v>
      </x:c>
      <x:c r="V10" s="22" t="str">
        <x:v>Acquisition</x:v>
      </x:c>
      <x:c r="W10" s="22" t="str">
        <x:v>Minority Acquisition</x:v>
      </x:c>
      <x:c r="X10" s="22" t="str">
        <x:v>United Kingdom</x:v>
      </x:c>
      <x:c r="Y10" s="22" t="str">
        <x:v>Minority Acquisition</x:v>
      </x:c>
      <x:c r="Z10" s="26"/>
      <x:c r="AA10" s="26"/>
      <x:c r="AB10" s="22" t="str">
        <x:v>Ingenza Ltd</x:v>
      </x:c>
      <x:c r="AC10" s="22" t="str">
        <x:v>ingenza</x:v>
      </x:c>
      <x:c r="AD10" s="22" t="str">
        <x:v>Amprologix Ltd</x:v>
      </x:c>
      <x:c r="AE10" s="22" t="str">
        <x:v>amprologix</x:v>
      </x:c>
      <x:c r="AF10" s="30"/>
      <x:c r="AG10" s="22" t="str">
        <x:v>n/a</x:v>
      </x:c>
      <x:c r="AH10" s="26" t="str">
        <x:v>Ingenza Ltd, an industrial biotechnology and synthetic biology company, has acquired a stake in Amprologix Ltd, a spin-out company from the University of Plymouth.
Amprologix develops and commercialises epidermicins, a new class of antibiotics capable of rapidly killing harmful bacteria, including methicillin-resistant Staphylococcus aureus (MRSA), Streptoccus and Enterococcus at very low doses.
The acquisition enables Ingenza to discover and improve new antimicrobial classes.</x:v>
      </x:c>
      <x:c r="AI10" s="26" t="str">
        <x:v>The acquisition enables Ingenza to discover and improve new antimicrobial classes.</x:v>
      </x:c>
      <x:c r="AJ10" s="22" t="str"/>
      <x:c r="AK10" s="22" t="str"/>
      <x:c r="AL10" s="22" t="str">
        <x:v>Unknown</x:v>
      </x:c>
      <x:c r="AM10" s="22" t="str">
        <x:v>Unknown</x:v>
      </x:c>
      <x:c r="AN10" s="22" t="str"/>
      <x:c r="AO10" s="22" t="str"/>
      <x:c r="AP10" s="22" t="str"/>
      <x:c r="AQ10" s="22" t="str"/>
      <x:c r="AR10" s="22" t="str"/>
      <x:c r="AS10" s="22" t="str">
        <x:v>Ingenza Ltd</x:v>
      </x:c>
      <x:c r="AT10" s="22" t="str">
        <x:v>Amprologix Ltd</x:v>
      </x:c>
      <x:c r="AU10" s="22" t="str">
        <x:v>Not reviewed</x:v>
      </x:c>
      <x:c r="AV10" s="22" t="str">
        <x:v>Not assessed</x:v>
      </x:c>
      <x:c r="AW10" s="22" t="str">
        <x:v>Unknown</x:v>
      </x:c>
      <x:c r="AX10" s="22" t="str">
        <x:v>Unknown</x:v>
      </x:c>
      <x:c r="AY10" s="22" t="str">
        <x:v>Unknown</x:v>
      </x:c>
      <x:c r="AZ10" s="22" t="str">
        <x:v>Unknown</x:v>
      </x:c>
      <x:c r="BA10" s="22" t="str">
        <x:v>Unknown</x:v>
      </x:c>
      <x:c r="BB10" s="22" t="str">
        <x:v>Unknown</x:v>
      </x:c>
      <x:c r="BC10" s="26" t="str"/>
      <x:c r="BD10" s="22" t="str"/>
      <x:c r="BE10" s="22" t="str"/>
      <x:c r="BF10" s="22" t="str">
        <x:v>Not collected</x:v>
      </x:c>
      <x:c r="BG10" s="22" t="str">
        <x:v>Not collected</x:v>
      </x:c>
      <x:c r="BH10" s="22" t="str">
        <x:v>Not defined</x:v>
      </x:c>
      <x:c r="BI10" s="22" t="n">
        <x:f>IF($Q10="","",$Q10-3)</x:f>
        <x:v>2015</x:v>
      </x:c>
      <x:c r="BJ10" s="22" t="n">
        <x:f>IF($Q10="","",$Q10-2)</x:f>
        <x:v>2016</x:v>
      </x:c>
      <x:c r="BK10" s="22" t="n">
        <x:f>IF($Q10="","",$Q10-1)</x:f>
        <x:v>2017</x:v>
      </x:c>
      <x:c r="BL10" s="22" t="n">
        <x:f>IF($Q10="","",$Q10+0)</x:f>
        <x:v>2018</x:v>
      </x:c>
      <x:c r="BM10" s="22" t="n">
        <x:f>IF($Q10="","",$Q10+1)</x:f>
        <x:v>2019</x:v>
      </x:c>
      <x:c r="BN10" s="22" t="n">
        <x:f>IF($Q10="","",$Q10+2)</x:f>
        <x:v>2020</x:v>
      </x:c>
      <x:c r="BO10" s="22" t="n">
        <x:f>IF($Q10="","",$Q10+3)</x:f>
        <x:v>2021</x:v>
      </x:c>
      <x:c r="BP10" s="30" t="str"/>
      <x:c r="BQ10" s="30" t="str"/>
      <x:c r="BR10" s="30" t="str"/>
      <x:c r="BS10" s="30" t="str"/>
      <x:c r="BT10" s="30" t="str"/>
      <x:c r="BU10" s="30" t="str"/>
      <x:c r="BV10" s="30" t="str"/>
      <x:c r="BW10" s="30" t="str"/>
      <x:c r="BX10" s="30" t="str"/>
      <x:c r="BY10" s="30" t="str"/>
      <x:c r="BZ10" s="30" t="str"/>
      <x:c r="CA10" s="30" t="str"/>
      <x:c r="CB10" s="30" t="str"/>
      <x:c r="CC10" s="30" t="str"/>
      <x:c r="CD10" s="30" t="str"/>
      <x:c r="CE10" s="30" t="str"/>
      <x:c r="CF10" s="30" t="str"/>
      <x:c r="CG10" s="30" t="str"/>
      <x:c r="CH10" s="30" t="str"/>
      <x:c r="CI10" s="30" t="str"/>
      <x:c r="CJ10" s="30" t="str"/>
      <x:c r="CK10" s="30" t="str"/>
      <x:c r="CL10" s="30" t="str"/>
      <x:c r="CM10" s="30" t="str"/>
      <x:c r="CN10" s="30" t="str"/>
      <x:c r="CO10" s="30" t="str"/>
      <x:c r="CP10" s="30" t="str"/>
      <x:c r="CQ10" s="30" t="str"/>
      <x:c r="CR10" s="30" t="str"/>
      <x:c r="CS10" s="30" t="str"/>
      <x:c r="CT10" s="30" t="str"/>
      <x:c r="CU10" s="30" t="str"/>
      <x:c r="CV10" s="30" t="str"/>
      <x:c r="CW10" s="30" t="str"/>
      <x:c r="CX10" s="30" t="str"/>
      <x:c r="CY10" s="30" t="str"/>
      <x:c r="CZ10" s="30" t="str"/>
      <x:c r="DA10" s="30" t="str"/>
      <x:c r="DB10" s="30" t="str"/>
      <x:c r="DC10" s="30" t="str"/>
      <x:c r="DD10" s="30" t="str"/>
      <x:c r="DE10" s="30" t="str"/>
      <x:c r="DF10" s="32" t="str"/>
      <x:c r="DG10" s="32" t="str"/>
      <x:c r="DH10" s="32" t="str"/>
      <x:c r="DI10" s="32" t="str"/>
      <x:c r="DJ10" s="32" t="str"/>
      <x:c r="DK10" s="32" t="str"/>
      <x:c r="DL10" s="32" t="str"/>
      <x:c r="DM10" s="32" t="str"/>
      <x:c r="DN10" s="32" t="str"/>
      <x:c r="DO10" s="32" t="str"/>
      <x:c r="DP10" s="32" t="str"/>
      <x:c r="DQ10" s="32" t="str"/>
      <x:c r="DR10" s="32" t="str"/>
      <x:c r="DS10" s="32" t="str"/>
      <x:c r="DT10" s="32" t="str"/>
      <x:c r="DU10" s="32" t="str"/>
      <x:c r="DV10" s="32" t="str"/>
      <x:c r="DW10" s="32" t="str"/>
      <x:c r="DX10" s="32" t="str"/>
      <x:c r="DY10" s="32" t="str"/>
      <x:c r="DZ10" s="32" t="str"/>
      <x:c r="EA10" s="34" t="str"/>
      <x:c r="EB10" s="34" t="str"/>
      <x:c r="EC10" s="34" t="str"/>
      <x:c r="ED10" s="34" t="str"/>
      <x:c r="EE10" s="34" t="str"/>
      <x:c r="EF10" s="34" t="str"/>
      <x:c r="EG10" s="34" t="str"/>
      <x:c r="EH10" s="34" t="str"/>
      <x:c r="EI10" s="34" t="str"/>
      <x:c r="EJ10" s="34" t="str"/>
      <x:c r="EK10" s="34" t="str"/>
      <x:c r="EL10" s="34" t="str"/>
      <x:c r="EM10" s="34" t="str"/>
      <x:c r="EN10" s="34" t="str"/>
      <x:c r="EO10" s="34" t="str"/>
      <x:c r="EP10" s="34" t="str"/>
      <x:c r="EQ10" s="36" t="str">
        <x:f>IF(OR($EO10="",$EP10="",$EO10=0),"",$EP10/$EO10)</x:f>
      </x:c>
      <x:c r="ER10" s="38" t="str"/>
      <x:c r="ES10" s="22" t="str">
        <x:v>Unknown</x:v>
      </x:c>
      <x:c r="ET10" s="22" t="str">
        <x:v>Unknown</x:v>
      </x:c>
      <x:c r="EU10" s="40" t="str">
        <x:f>IF(COUNT($DF10,$DG10,$DH10)=0,"",AVERAGE($DF10,$DG10,$DH10))</x:f>
      </x:c>
      <x:c r="EV10" s="40" t="str">
        <x:f>IF(COUNT($DJ10,$DK10,$DL10)=0,"",AVERAGE($DJ10,$DK10,$DL10))</x:f>
      </x:c>
      <x:c r="EW10" s="40" t="str">
        <x:f>IF(OR($EU10="",$EV10=""),"",$EV10-$EU10)</x:f>
      </x:c>
      <x:c r="EX10" s="40" t="str">
        <x:f>IF(COUNT($DM10,$DN10,$DO10)=0,"",AVERAGE($DM10,$DN10,$DO10))</x:f>
      </x:c>
      <x:c r="EY10" s="40" t="str">
        <x:f>IF(COUNT($DQ10,$DR10,$DS10)=0,"",AVERAGE($DQ10,$DR10,$DS10))</x:f>
      </x:c>
      <x:c r="EZ10" s="40" t="str">
        <x:f>IF(OR($EX10="",$EY10=""),"",$EY10-$EX10)</x:f>
      </x:c>
      <x:c r="FA10" s="42" t="str">
        <x:f>IF(COUNT($EA10,$EB10,$EC10)=0,"",AVERAGE($EA10,$EB10,$EC10))</x:f>
      </x:c>
      <x:c r="FB10" s="42" t="str">
        <x:f>IF(COUNT($EE10,$EF10,$EG10)=0,"",AVERAGE($EE10,$EF10,$EG10))</x:f>
      </x:c>
      <x:c r="FC10" s="42" t="str">
        <x:f>IF(OR($FA10="",$FB10=""),"",$FB10-$FA10)</x:f>
      </x:c>
      <x:c r="FD10" s="42" t="str">
        <x:f>IF(COUNT($EH10,$EI10,$EJ10)=0,"",AVERAGE($EH10,$EI10,$EJ10))</x:f>
      </x:c>
      <x:c r="FE10" s="42" t="str">
        <x:f>IF(COUNT($EL10,$EM10,$EN10)=0,"",AVERAGE($EL10,$EM10,$EN10))</x:f>
      </x:c>
      <x:c r="FF10" s="42" t="str">
        <x:f>IF(OR($FD10="",$FE10=""),"",$FE10-$FD10)</x:f>
      </x:c>
      <x:c r="FG10" s="24" t="str">
        <x:f>IF(COUNT($DF10,$DG10,$DH10,$DJ10,$DK10,$DL10,$DM10,$DN10,$DO10,$DQ10,$DR10,$DS10)=12,"Yes","No")</x:f>
        <x:v>No</x:v>
      </x:c>
      <x:c r="FH10" s="24" t="str">
        <x:f>IF(COUNT($EA10,$EB10,$EC10,$EE10,$EF10,$EG10,$EH10,$EI10,$EJ10,$EL10,$EM10,$EN10)=12,"Yes","No")</x:f>
        <x:v>No</x:v>
      </x:c>
      <x:c r="FI10" s="24" t="str">
        <x:f>IF(AND($M10="Include",OR($FG10="Yes",$FH10="Yes")),"Ready","Not ready")</x:f>
        <x:v>Not ready</x:v>
      </x:c>
    </x:row>
    <x:row r="11" ht="24" customHeight="1">
      <x:c r="A11" s="22" t="str">
        <x:v>TRT-0009</x:v>
      </x:c>
      <x:c r="B11" s="22" t="n">
        <x:v>20</x:v>
      </x:c>
      <x:c r="C11" s="22" t="str">
        <x:v>Candidate treatment group</x:v>
      </x:c>
      <x:c r="D11" s="22" t="n">
        <x:v>1</x:v>
      </x:c>
      <x:c r="E11" s="22" t="str">
        <x:v>DATA - Innovation driven deals.xlsx</x:v>
      </x:c>
      <x:c r="F11" s="22" t="str">
        <x:v>telix pharma acquires atlab pharma for</x:v>
      </x:c>
      <x:c r="G11" s="22" t="str">
        <x:v>Yes</x:v>
      </x:c>
      <x:c r="H11" s="22" t="str">
        <x:v>No</x:v>
      </x:c>
      <x:c r="I11" s="22" t="str">
        <x:v>No</x:v>
      </x:c>
      <x:c r="J11" s="22" t="n">
        <x:v>1</x:v>
      </x:c>
      <x:c r="K11" s="22" t="str">
        <x:v>Not started</x:v>
      </x:c>
      <x:c r="L11" s="22" t="str">
        <x:v>Eligible - 100%</x:v>
      </x:c>
      <x:c r="M11" s="22" t="str">
        <x:v>Review</x:v>
      </x:c>
      <x:c r="N11" s="22" t="str"/>
      <x:c r="O11" s="28" t="n">
        <x:v>43354</x:v>
      </x:c>
      <x:c r="P11" s="28" t="n">
        <x:v>43354</x:v>
      </x:c>
      <x:c r="Q11" s="22" t="n">
        <x:v>2018</x:v>
      </x:c>
      <x:c r="R11" s="22" t="str">
        <x:v>Q3 2018</x:v>
      </x:c>
      <x:c r="S11" s="22" t="str">
        <x:v>Completed</x:v>
      </x:c>
      <x:c r="T11" s="26" t="str">
        <x:v>Telix Pharma Acquires Atlab Pharma for USD10 Million</x:v>
      </x:c>
      <x:c r="U11" s="22" t="str">
        <x:v>Mergers &amp; Acquisitions</x:v>
      </x:c>
      <x:c r="V11" s="22" t="str">
        <x:v>Acquisition</x:v>
      </x:c>
      <x:c r="W11" s="22" t="str">
        <x:v>100% Acquisition</x:v>
      </x:c>
      <x:c r="X11" s="22" t="str">
        <x:v>France</x:v>
      </x:c>
      <x:c r="Y11" s="22" t="str">
        <x:v>100% Acquisition</x:v>
      </x:c>
      <x:c r="Z11" s="26"/>
      <x:c r="AA11" s="26"/>
      <x:c r="AB11" s="22" t="str">
        <x:v>Telix Pharmaceuticals Ltd</x:v>
      </x:c>
      <x:c r="AC11" s="22" t="str">
        <x:v>telix pharmaceuticals</x:v>
      </x:c>
      <x:c r="AD11" s="22" t="str">
        <x:v>ATLAB Pharma SAS</x:v>
      </x:c>
      <x:c r="AE11" s="22" t="str">
        <x:v>atlab pharma</x:v>
      </x:c>
      <x:c r="AF11" s="30" t="n">
        <x:v>10</x:v>
      </x:c>
      <x:c r="AG11" s="22" t="n">
        <x:v>10</x:v>
      </x:c>
      <x:c r="AH11" s="26" t="str">
        <x:v>Telix Pharmaceuticals Limited, a clinical-stage biotechnology company, has completed the acquisition of Atlab Pharma SAS, a biotechnology company, for a purchase consideration of USD10 million.
Telix Pharma has exercised an option to acquire Atlab Pharma.  A total of 14,840,000 shares were issued in consideration. The consideration of USD10 million is issued as USD9 million in Telix shares to Atlab shareholders, at USD0.89 per share, USD0.5 million in Telix shares to BZL, also at USD0.89 per share. These shares are paid to BZL as partial consideration for a significant reduction in royalty rates for the background IP, as a closing condition of the transaction, and USD0.5 million in warrants over Telix shares to BZL, with an exercise price of USD1.34 per share.
As part of the transaction, Telix Pharma has also entered into a limited back - license with BZL Biologics LLC(BZL) for certain IP rights to support ongoing commercial research activities that are outside of the scope of product development focus for Telix Pharma. Prof. Jean-Francois Chatal (Atlab/ Universite de Nantes) and Prof. Neil Bander (BZL/ WCMC ) will continue to serve as members of Telix’s scientific advisory board.
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x:v>
      </x:c>
      <x:c r="AI11" s="26" t="str">
        <x:v>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x:v>
      </x:c>
      <x:c r="AJ11" s="22" t="str"/>
      <x:c r="AK11" s="22" t="str"/>
      <x:c r="AL11" s="22" t="str">
        <x:v>Unknown</x:v>
      </x:c>
      <x:c r="AM11" s="22" t="str">
        <x:v>Unknown</x:v>
      </x:c>
      <x:c r="AN11" s="22" t="str"/>
      <x:c r="AO11" s="22" t="str"/>
      <x:c r="AP11" s="22" t="str"/>
      <x:c r="AQ11" s="22" t="str"/>
      <x:c r="AR11" s="22" t="str"/>
      <x:c r="AS11" s="22" t="str">
        <x:v>Telix Pharmaceuticals Ltd</x:v>
      </x:c>
      <x:c r="AT11" s="22" t="str">
        <x:v>ATLAB Pharma SAS</x:v>
      </x:c>
      <x:c r="AU11" s="22" t="str">
        <x:v>Not reviewed</x:v>
      </x:c>
      <x:c r="AV11" s="22" t="str">
        <x:v>Not assessed</x:v>
      </x:c>
      <x:c r="AW11" s="22" t="str">
        <x:v>Unknown</x:v>
      </x:c>
      <x:c r="AX11" s="22" t="str">
        <x:v>Unknown</x:v>
      </x:c>
      <x:c r="AY11" s="22" t="str">
        <x:v>Unknown</x:v>
      </x:c>
      <x:c r="AZ11" s="22" t="str">
        <x:v>Unknown</x:v>
      </x:c>
      <x:c r="BA11" s="22" t="str">
        <x:v>Unknown</x:v>
      </x:c>
      <x:c r="BB11" s="22" t="str">
        <x:v>Unknown</x:v>
      </x:c>
      <x:c r="BC11" s="26" t="str"/>
      <x:c r="BD11" s="22" t="str"/>
      <x:c r="BE11" s="22" t="str"/>
      <x:c r="BF11" s="22" t="str">
        <x:v>Not collected</x:v>
      </x:c>
      <x:c r="BG11" s="22" t="str">
        <x:v>Not collected</x:v>
      </x:c>
      <x:c r="BH11" s="22" t="str">
        <x:v>Not defined</x:v>
      </x:c>
      <x:c r="BI11" s="22" t="n">
        <x:f>IF($Q11="","",$Q11-3)</x:f>
        <x:v>2015</x:v>
      </x:c>
      <x:c r="BJ11" s="22" t="n">
        <x:f>IF($Q11="","",$Q11-2)</x:f>
        <x:v>2016</x:v>
      </x:c>
      <x:c r="BK11" s="22" t="n">
        <x:f>IF($Q11="","",$Q11-1)</x:f>
        <x:v>2017</x:v>
      </x:c>
      <x:c r="BL11" s="22" t="n">
        <x:f>IF($Q11="","",$Q11+0)</x:f>
        <x:v>2018</x:v>
      </x:c>
      <x:c r="BM11" s="22" t="n">
        <x:f>IF($Q11="","",$Q11+1)</x:f>
        <x:v>2019</x:v>
      </x:c>
      <x:c r="BN11" s="22" t="n">
        <x:f>IF($Q11="","",$Q11+2)</x:f>
        <x:v>2020</x:v>
      </x:c>
      <x:c r="BO11" s="22" t="n">
        <x:f>IF($Q11="","",$Q11+3)</x:f>
        <x:v>2021</x:v>
      </x:c>
      <x:c r="BP11" s="30" t="str"/>
      <x:c r="BQ11" s="30" t="str"/>
      <x:c r="BR11" s="30" t="str"/>
      <x:c r="BS11" s="30" t="str"/>
      <x:c r="BT11" s="30" t="str"/>
      <x:c r="BU11" s="30" t="str"/>
      <x:c r="BV11" s="30" t="str"/>
      <x:c r="BW11" s="30" t="str"/>
      <x:c r="BX11" s="30" t="str"/>
      <x:c r="BY11" s="30" t="str"/>
      <x:c r="BZ11" s="30" t="str"/>
      <x:c r="CA11" s="30" t="str"/>
      <x:c r="CB11" s="30" t="str"/>
      <x:c r="CC11" s="30" t="str"/>
      <x:c r="CD11" s="30" t="str"/>
      <x:c r="CE11" s="30" t="str"/>
      <x:c r="CF11" s="30" t="str"/>
      <x:c r="CG11" s="30" t="str"/>
      <x:c r="CH11" s="30" t="str"/>
      <x:c r="CI11" s="30" t="str"/>
      <x:c r="CJ11" s="30" t="str"/>
      <x:c r="CK11" s="30" t="str"/>
      <x:c r="CL11" s="30" t="str"/>
      <x:c r="CM11" s="30" t="str"/>
      <x:c r="CN11" s="30" t="str"/>
      <x:c r="CO11" s="30" t="str"/>
      <x:c r="CP11" s="30" t="str"/>
      <x:c r="CQ11" s="30" t="str"/>
      <x:c r="CR11" s="30" t="str"/>
      <x:c r="CS11" s="30" t="str"/>
      <x:c r="CT11" s="30" t="str"/>
      <x:c r="CU11" s="30" t="str"/>
      <x:c r="CV11" s="30" t="str"/>
      <x:c r="CW11" s="30" t="str"/>
      <x:c r="CX11" s="30" t="str"/>
      <x:c r="CY11" s="30" t="str"/>
      <x:c r="CZ11" s="30" t="str"/>
      <x:c r="DA11" s="30" t="str"/>
      <x:c r="DB11" s="30" t="str"/>
      <x:c r="DC11" s="30" t="str"/>
      <x:c r="DD11" s="30" t="str"/>
      <x:c r="DE11" s="30" t="str"/>
      <x:c r="DF11" s="32" t="str"/>
      <x:c r="DG11" s="32" t="str"/>
      <x:c r="DH11" s="32" t="str"/>
      <x:c r="DI11" s="32" t="str"/>
      <x:c r="DJ11" s="32" t="str"/>
      <x:c r="DK11" s="32" t="str"/>
      <x:c r="DL11" s="32" t="str"/>
      <x:c r="DM11" s="32" t="str"/>
      <x:c r="DN11" s="32" t="str"/>
      <x:c r="DO11" s="32" t="str"/>
      <x:c r="DP11" s="32" t="str"/>
      <x:c r="DQ11" s="32" t="str"/>
      <x:c r="DR11" s="32" t="str"/>
      <x:c r="DS11" s="32" t="str"/>
      <x:c r="DT11" s="32" t="str"/>
      <x:c r="DU11" s="32" t="str"/>
      <x:c r="DV11" s="32" t="str"/>
      <x:c r="DW11" s="32" t="str"/>
      <x:c r="DX11" s="32" t="str"/>
      <x:c r="DY11" s="32" t="str"/>
      <x:c r="DZ11" s="32" t="str"/>
      <x:c r="EA11" s="34" t="str"/>
      <x:c r="EB11" s="34" t="str"/>
      <x:c r="EC11" s="34" t="str"/>
      <x:c r="ED11" s="34" t="str"/>
      <x:c r="EE11" s="34" t="str"/>
      <x:c r="EF11" s="34" t="str"/>
      <x:c r="EG11" s="34" t="str"/>
      <x:c r="EH11" s="34" t="str"/>
      <x:c r="EI11" s="34" t="str"/>
      <x:c r="EJ11" s="34" t="str"/>
      <x:c r="EK11" s="34" t="str"/>
      <x:c r="EL11" s="34" t="str"/>
      <x:c r="EM11" s="34" t="str"/>
      <x:c r="EN11" s="34" t="str"/>
      <x:c r="EO11" s="34" t="str"/>
      <x:c r="EP11" s="34" t="str"/>
      <x:c r="EQ11" s="36" t="str">
        <x:f>IF(OR($EO11="",$EP11="",$EO11=0),"",$EP11/$EO11)</x:f>
      </x:c>
      <x:c r="ER11" s="38" t="str"/>
      <x:c r="ES11" s="22" t="str">
        <x:v>Unknown</x:v>
      </x:c>
      <x:c r="ET11" s="22" t="str">
        <x:v>Unknown</x:v>
      </x:c>
      <x:c r="EU11" s="40" t="str">
        <x:f>IF(COUNT($DF11,$DG11,$DH11)=0,"",AVERAGE($DF11,$DG11,$DH11))</x:f>
      </x:c>
      <x:c r="EV11" s="40" t="str">
        <x:f>IF(COUNT($DJ11,$DK11,$DL11)=0,"",AVERAGE($DJ11,$DK11,$DL11))</x:f>
      </x:c>
      <x:c r="EW11" s="40" t="str">
        <x:f>IF(OR($EU11="",$EV11=""),"",$EV11-$EU11)</x:f>
      </x:c>
      <x:c r="EX11" s="40" t="str">
        <x:f>IF(COUNT($DM11,$DN11,$DO11)=0,"",AVERAGE($DM11,$DN11,$DO11))</x:f>
      </x:c>
      <x:c r="EY11" s="40" t="str">
        <x:f>IF(COUNT($DQ11,$DR11,$DS11)=0,"",AVERAGE($DQ11,$DR11,$DS11))</x:f>
      </x:c>
      <x:c r="EZ11" s="40" t="str">
        <x:f>IF(OR($EX11="",$EY11=""),"",$EY11-$EX11)</x:f>
      </x:c>
      <x:c r="FA11" s="42" t="str">
        <x:f>IF(COUNT($EA11,$EB11,$EC11)=0,"",AVERAGE($EA11,$EB11,$EC11))</x:f>
      </x:c>
      <x:c r="FB11" s="42" t="str">
        <x:f>IF(COUNT($EE11,$EF11,$EG11)=0,"",AVERAGE($EE11,$EF11,$EG11))</x:f>
      </x:c>
      <x:c r="FC11" s="42" t="str">
        <x:f>IF(OR($FA11="",$FB11=""),"",$FB11-$FA11)</x:f>
      </x:c>
      <x:c r="FD11" s="42" t="str">
        <x:f>IF(COUNT($EH11,$EI11,$EJ11)=0,"",AVERAGE($EH11,$EI11,$EJ11))</x:f>
      </x:c>
      <x:c r="FE11" s="42" t="str">
        <x:f>IF(COUNT($EL11,$EM11,$EN11)=0,"",AVERAGE($EL11,$EM11,$EN11))</x:f>
      </x:c>
      <x:c r="FF11" s="42" t="str">
        <x:f>IF(OR($FD11="",$FE11=""),"",$FE11-$FD11)</x:f>
      </x:c>
      <x:c r="FG11" s="24" t="str">
        <x:f>IF(COUNT($DF11,$DG11,$DH11,$DJ11,$DK11,$DL11,$DM11,$DN11,$DO11,$DQ11,$DR11,$DS11)=12,"Yes","No")</x:f>
        <x:v>No</x:v>
      </x:c>
      <x:c r="FH11" s="24" t="str">
        <x:f>IF(COUNT($EA11,$EB11,$EC11,$EE11,$EF11,$EG11,$EH11,$EI11,$EJ11,$EL11,$EM11,$EN11)=12,"Yes","No")</x:f>
        <x:v>No</x:v>
      </x:c>
      <x:c r="FI11" s="24" t="str">
        <x:f>IF(AND($M11="Include",OR($FG11="Yes",$FH11="Yes")),"Ready","Not ready")</x:f>
        <x:v>Not ready</x:v>
      </x:c>
    </x:row>
    <x:row r="12" ht="24" customHeight="1">
      <x:c r="A12" s="22" t="str">
        <x:v>TRT-0010</x:v>
      </x:c>
      <x:c r="B12" s="22" t="n">
        <x:v>21</x:v>
      </x:c>
      <x:c r="C12" s="22" t="str">
        <x:v>Candidate treatment group</x:v>
      </x:c>
      <x:c r="D12" s="22" t="n">
        <x:v>1</x:v>
      </x:c>
      <x:c r="E12" s="22" t="str">
        <x:v>DATA - Innovation driven deals.xlsx</x:v>
      </x:c>
      <x:c r="F12" s="22" t="str">
        <x:v>sanofi acquires ablynx for</x:v>
      </x:c>
      <x:c r="G12" s="22" t="str">
        <x:v>Yes</x:v>
      </x:c>
      <x:c r="H12" s="22" t="str">
        <x:v>No</x:v>
      </x:c>
      <x:c r="I12" s="22" t="str">
        <x:v>No</x:v>
      </x:c>
      <x:c r="J12" s="22" t="n">
        <x:v>1</x:v>
      </x:c>
      <x:c r="K12" s="22" t="str">
        <x:v>Not started</x:v>
      </x:c>
      <x:c r="L12" s="22" t="str">
        <x:v>Eligible - 100%</x:v>
      </x:c>
      <x:c r="M12" s="22" t="str">
        <x:v>Review</x:v>
      </x:c>
      <x:c r="N12" s="22" t="str"/>
      <x:c r="O12" s="28" t="n">
        <x:v>43129</x:v>
      </x:c>
      <x:c r="P12" s="28" t="n">
        <x:v>43270</x:v>
      </x:c>
      <x:c r="Q12" s="22" t="n">
        <x:v>2018</x:v>
      </x:c>
      <x:c r="R12" s="22" t="str">
        <x:v>Q1 2018</x:v>
      </x:c>
      <x:c r="S12" s="22" t="str">
        <x:v>Completed</x:v>
      </x:c>
      <x:c r="T12" s="26" t="str">
        <x:v>Sanofi Acquires Ablynx for USD4.85 Billion</x:v>
      </x:c>
      <x:c r="U12" s="22" t="str">
        <x:v>Mergers &amp; Acquisitions</x:v>
      </x:c>
      <x:c r="V12" s="22" t="str">
        <x:v>Acquisition</x:v>
      </x:c>
      <x:c r="W12" s="22" t="str">
        <x:v>100% Acquisition</x:v>
      </x:c>
      <x:c r="X12" s="22" t="str">
        <x:v>Belgium</x:v>
      </x:c>
      <x:c r="Y12" s="22" t="str">
        <x:v>100% Acquisition</x:v>
      </x:c>
      <x:c r="Z12" s="26" t="str">
        <x:v>Morgan Stanley , Lazard Inc , J.P. Morgan Securities LLC</x:v>
      </x:c>
      <x:c r="AA12" s="26" t="str">
        <x:v>Eubelius , Goodwin Procter LLP , Linklaters LLP , Weil, Gotshal &amp; Manges LLP , NautaDutilh NV</x:v>
      </x:c>
      <x:c r="AB12" s="22" t="str">
        <x:v>Sanofi</x:v>
      </x:c>
      <x:c r="AC12" s="22" t="str">
        <x:v>sanofi</x:v>
      </x:c>
      <x:c r="AD12" s="22" t="str">
        <x:v>Ablynx NV</x:v>
      </x:c>
      <x:c r="AE12" s="22" t="str">
        <x:v>ablynx</x:v>
      </x:c>
      <x:c r="AF12" s="30" t="n">
        <x:v>4847</x:v>
      </x:c>
      <x:c r="AG12" s="22" t="n">
        <x:v>4847</x:v>
      </x:c>
      <x:c r="AH12" s="26" t="str">
        <x:v>Sanofi, a pharmaceutical company, has acquired all outstanding shares of Ablynx NV, a biopharmaceutical company focused on the discovery and development of nanobodies, for an aggregate equity value of approximately EUR3.9 billion (USD4.85 billion). 
The Squeeze-out period commenced on May 22, 2018, in accordance with applicable Belgian and the US law, following the acquisition by Sanofi of over 95% of the outstanding shares of Ablynx upon settlement of the initial acceptance period of its tender offer for Ablynx. On June 12, 2018, upon expiration of the Squeeze-out period, 2,893,201 shares (including 7,163 shares represented by ADSs) and 8 convertible bonds of Ablynx were tendered in the Squeeze-out. The securities tendered during the Squeeze-out period are expected to be settled on or about June 19, 2018.
All shares (including all shares represented by ADSs) and all convertible bonds of Ablynx not tendered during the Squeeze-out are deemed transferred to Sanofi by operation of law. The funds required for the payment of the price thereof are kept with the Bank for official deposits (Deposito- en Consignatiekas / Caisse des depots et consignations). The former Ablynx holders of these Securities retain the right to receive EUR45 (USD55.92) per share (or ADS) and EUR393,700.78 per convertible bond. In order to receive these amounts, they must contact the bank for official deposits, where the funds will remain available.
On June 13, 2018, The shares of Ablynx were delisted from the regulated market of Euronext Brussels, (ii) the ADSs were delisted from NASDAQ Global Select Market and (iii) the convertible bonds were delisted from the open market Frankfurt MTF (Freiverkehr).
In accordance with the Belgian requirement of certainty of funds, Sanofi has entered into a bank credit facility, BNP Paribas Fortis SA/NA acting as the sole credit facility arranger. 
This transaction enables Sanofi to strengthen its R&amp;D strategy with Nanobody technology platform and expands its rare blood disorders franchise with Ablynx’s late-stage investigational caplacizumab aTTP treatment. 
Morgan Stanley and Lazard Ltd. acted as financial advisors, Weil, Gotshal &amp; Manges LLP and NautaDutilh NV acted as legal advisors to Sanofi; J.P. Morgan Securities LLC acted as financial advisor, while Eubelius CVBA, Goodwin Procter LLP and Linklaters LLP acted as legal advisors to Ablynx for the transaction.
Deal History:
Update: On May 14, 2018, Sanofi and Ablynx  announced the results of the initial tender offer period of Sanofi’s previously announced tender offers to acquire all of the outstanding shares (including shares represented by American Depositary Shares (ADSs)), warrants and convertible bonds (together, the Securities) of Ablynx.
Update: On March 29, 2018, Sanofi entered into definitive agreement with Ablynx to acquire all of the outstanding ordinary shares of Ablynx at a price per share of EUR45 (USD55.92) in cash, which represents an aggregate equity value of approximately EUR3.9 billion (USD4.85). The transaction was unanimously approved by both the Sanofi and Ablynx boards of directors. Sanofi and Ablynx have received an approval and publication of the tender offer documents and response by Ablynx’s Board of Directors.
Sanofi confirmed that, as of the expiration of the initial acceptance period, which expired on May 4, 2018, a total of 71,972,994 shares (including 7,446,312 shares represented by ADSs), 2,594,841 warrants and 975 convertible bonds had been validly tendered into the offers and not withdrawn. Sanofi will own 95.60% of the outstanding shares of Ablynx on the settlement date of the offers, of which more than 90% were acquired through the offers. Sanofi further confirmed that the Minimum tender condition and the other conditions to the offers have been satisfied.
Under the terms of the agreement, Sanofi will commence the tender offers to acquire all of the outstanding shares (includes shares represented by ADS), warrants and convertible bonds of Ablynx in cash for  EUR45 (USD55.6) per share or ADS; EUR18.66 (USD23) - EUR41.79 (USD51.6) per warrant; and EUR0.39 (USD0.48) per convertible bond. Sanofi has complied with the formalities set forth in the Belgian takeover legislation and filed the mandatory documents with the FSMA.
Update: On March 27, 2018, Sanofi and Ablynx have received prospectus approved by the Belgian Financial Services and Markets Authority (FSMA).
Update: On March 1, 2018, Sanofi announced that the waiting period under the Hart-Scott-Rodino Antitrust Improvements Act of 1976 has expired and that Sanofi has received clearance from the Federal Cartel Office of Germany in accordance with the Act Against Restraints of Competition, applicable to the transaction.
Earlier on January 5, 2018,  Ablynx rejected the proposal from Novo Nordisk A/S for up to EUR30.5 (USD36.2) per share, including EUR28 (USD33.23) per share in cash and one CVR with total potential cash payments over time of up to EUR2.5 (USD2.97) per share or total equity valuation of EUR2.6 billion (USD3.09 billion), taking into account the interests of all its stakeholders, unanimously concluded that the proposal fundamentally undervalues Ablynx and its strong prospects for continued growth and value creation.</x:v>
      </x:c>
      <x:c r="AI12" s="26" t="str">
        <x:v>This transaction enables Sanofi to strengthen its R&amp;D strategy with Nanobody technology platform and expands its rare blood disorders franchise with Ablynx’s late-stage investigational caplacizumab aTTP treatment.</x:v>
      </x:c>
      <x:c r="AJ12" s="22" t="str"/>
      <x:c r="AK12" s="22" t="str"/>
      <x:c r="AL12" s="22" t="str">
        <x:v>Unknown</x:v>
      </x:c>
      <x:c r="AM12" s="22" t="str">
        <x:v>Yes</x:v>
      </x:c>
      <x:c r="AN12" s="22" t="str">
        <x:v>SAN FP</x:v>
      </x:c>
      <x:c r="AO12" s="22" t="str"/>
      <x:c r="AP12" s="22" t="str"/>
      <x:c r="AQ12" s="22" t="str"/>
      <x:c r="AR12" s="22" t="str"/>
      <x:c r="AS12" s="22" t="str">
        <x:v>Sanofi</x:v>
      </x:c>
      <x:c r="AT12" s="22" t="str">
        <x:v>Ablynx NV</x:v>
      </x:c>
      <x:c r="AU12" s="22" t="str">
        <x:v>Not reviewed</x:v>
      </x:c>
      <x:c r="AV12" s="22" t="str">
        <x:v>Not assessed</x:v>
      </x:c>
      <x:c r="AW12" s="22" t="str">
        <x:v>Lens.org acquirer-side patent export imported; target patent export not supplied.</x:v>
      </x:c>
      <x:c r="AX12" s="22" t="str">
        <x:v>Unknown</x:v>
      </x:c>
      <x:c r="AY12" s="22" t="str">
        <x:v>Unknown</x:v>
      </x:c>
      <x:c r="AZ12" s="22" t="str">
        <x:v>Unknown</x:v>
      </x:c>
      <x:c r="BA12" s="22" t="str">
        <x:v>Unknown</x:v>
      </x:c>
      <x:c r="BB12" s="22" t="str">
        <x:v>Unknown</x:v>
      </x:c>
      <x:c r="BC12" s="26" t="str"/>
      <x:c r="BD12" s="22" t="str"/>
      <x:c r="BE12" s="22" t="str">
        <x:v>EUR</x:v>
      </x:c>
      <x:c r="BF12" s="22" t="str">
        <x:v>Complete</x:v>
      </x:c>
      <x:c r="BG12" s="22" t="str">
        <x:v>Complete event window — provisional; EP-only scope</x:v>
      </x:c>
      <x:c r="BH12" s="22" t="str">
        <x:v>EP-focused applicant-family export, 2015–2021; not directly comparable with multi-jurisdiction exports without harmonisation.</x:v>
      </x:c>
      <x:c r="BI12" s="22" t="n">
        <x:v>2015</x:v>
      </x:c>
      <x:c r="BJ12" s="22" t="n">
        <x:v>2016</x:v>
      </x:c>
      <x:c r="BK12" s="22" t="n">
        <x:v>2017</x:v>
      </x:c>
      <x:c r="BL12" s="22" t="n">
        <x:v>2018</x:v>
      </x:c>
      <x:c r="BM12" s="22" t="n">
        <x:v>2019</x:v>
      </x:c>
      <x:c r="BN12" s="22" t="n">
        <x:v>2020</x:v>
      </x:c>
      <x:c r="BO12" s="22" t="n">
        <x:v>2021</x:v>
      </x:c>
      <x:c r="BP12" s="30" t="n">
        <x:v>34861</x:v>
      </x:c>
      <x:c r="BQ12" s="30" t="n">
        <x:v>34708</x:v>
      </x:c>
      <x:c r="BR12" s="30" t="n">
        <x:v>36221</x:v>
      </x:c>
      <x:c r="BS12" s="30" t="n">
        <x:v>35677</x:v>
      </x:c>
      <x:c r="BT12" s="30" t="n">
        <x:v>37631</x:v>
      </x:c>
      <x:c r="BU12" s="30" t="n">
        <x:v>37369</x:v>
      </x:c>
      <x:c r="BV12" s="30" t="n">
        <x:v>39175</x:v>
      </x:c>
      <x:c r="BW12" s="30" t="n">
        <x:v>7085</x:v>
      </x:c>
      <x:c r="BX12" s="30" t="n">
        <x:v>7489</x:v>
      </x:c>
      <x:c r="BY12" s="30" t="n">
        <x:v>7112</x:v>
      </x:c>
      <x:c r="BZ12" s="30" t="n">
        <x:v>5845</x:v>
      </x:c>
      <x:c r="CA12" s="30" t="n">
        <x:v>6882</x:v>
      </x:c>
      <x:c r="CB12" s="30" t="n">
        <x:v>7583</x:v>
      </x:c>
      <x:c r="CC12" s="30" t="n">
        <x:v>8729</x:v>
      </x:c>
      <x:c r="CD12" s="30" t="n">
        <x:v>4287</x:v>
      </x:c>
      <x:c r="CE12" s="30" t="n">
        <x:v>4709</x:v>
      </x:c>
      <x:c r="CF12" s="30" t="n">
        <x:v>8416</x:v>
      </x:c>
      <x:c r="CG12" s="30" t="n">
        <x:v>4306</x:v>
      </x:c>
      <x:c r="CH12" s="30" t="n">
        <x:v>2754</x:v>
      </x:c>
      <x:c r="CI12" s="30" t="n">
        <x:v>12294</x:v>
      </x:c>
      <x:c r="CJ12" s="30" t="n">
        <x:v>6223</x:v>
      </x:c>
      <x:c r="CK12" s="30" t="n">
        <x:v>102321</x:v>
      </x:c>
      <x:c r="CL12" s="30" t="n">
        <x:v>104672</x:v>
      </x:c>
      <x:c r="CM12" s="30" t="n">
        <x:v>99813</x:v>
      </x:c>
      <x:c r="CN12" s="30" t="n">
        <x:v>111408</x:v>
      </x:c>
      <x:c r="CO12" s="30" t="n">
        <x:v>112630</x:v>
      </x:c>
      <x:c r="CP12" s="30" t="n">
        <x:v>114413</x:v>
      </x:c>
      <x:c r="CQ12" s="30" t="n">
        <x:v>120242</x:v>
      </x:c>
      <x:c r="CR12" s="30" t="n">
        <x:v>16589</x:v>
      </x:c>
      <x:c r="CS12" s="30" t="n">
        <x:v>18589</x:v>
      </x:c>
      <x:c r="CT12" s="30" t="n">
        <x:v>15601</x:v>
      </x:c>
      <x:c r="CU12" s="30" t="n">
        <x:v>24640</x:v>
      </x:c>
      <x:c r="CV12" s="30" t="n">
        <x:v>25933</x:v>
      </x:c>
      <x:c r="CW12" s="30" t="n">
        <x:v>23675</x:v>
      </x:c>
      <x:c r="CX12" s="30" t="n">
        <x:v>22414</x:v>
      </x:c>
      <x:c r="CY12" s="30" t="n">
        <x:v>5082</x:v>
      </x:c>
      <x:c r="CZ12" s="30" t="n">
        <x:v>5172</x:v>
      </x:c>
      <x:c r="DA12" s="30" t="n">
        <x:v>5472</x:v>
      </x:c>
      <x:c r="DB12" s="30" t="n">
        <x:v>5894</x:v>
      </x:c>
      <x:c r="DC12" s="30" t="n">
        <x:v>6020</x:v>
      </x:c>
      <x:c r="DD12" s="30" t="n">
        <x:v>5530</x:v>
      </x:c>
      <x:c r="DE12" s="30" t="n">
        <x:v>5692</x:v>
      </x:c>
      <x:c r="DF12" s="32" t="n">
        <x:v>4.2932</x:v>
      </x:c>
      <x:c r="DG12" s="32" t="n">
        <x:v>4.5499</x:v>
      </x:c>
      <x:c r="DH12" s="32" t="n">
        <x:v>8.2314</x:v>
      </x:c>
      <x:c r="DI12" s="32" t="n">
        <x:v>4.0772</x:v>
      </x:c>
      <x:c r="DJ12" s="32" t="n">
        <x:v>2.4585</x:v>
      </x:c>
      <x:c r="DK12" s="32" t="n">
        <x:v>10.8297</x:v>
      </x:c>
      <x:c r="DL12" s="32" t="n">
        <x:v>5.304</x:v>
      </x:c>
      <x:c r="DM12" s="32" t="n">
        <x:v>16.4138</x:v>
      </x:c>
      <x:c r="DN12" s="32" t="n">
        <x:v>18.8256</x:v>
      </x:c>
      <x:c r="DO12" s="32" t="n">
        <x:v>16.0239</x:v>
      </x:c>
      <x:c r="DP12" s="32" t="n">
        <x:v>13.1065</x:v>
      </x:c>
      <x:c r="DQ12" s="32" t="n">
        <x:v>8.1077</x:v>
      </x:c>
      <x:c r="DR12" s="32" t="n">
        <x:v>37.7666</x:v>
      </x:c>
      <x:c r="DS12" s="32" t="n">
        <x:v>20.7428</x:v>
      </x:c>
      <x:c r="DT12" s="32" t="n">
        <x:v>16.2127</x:v>
      </x:c>
      <x:c r="DU12" s="32" t="n">
        <x:v>17.7593</x:v>
      </x:c>
      <x:c r="DV12" s="32" t="n">
        <x:v>15.6302</x:v>
      </x:c>
      <x:c r="DW12" s="32" t="n">
        <x:v>22.1169</x:v>
      </x:c>
      <x:c r="DX12" s="32" t="n">
        <x:v>23.0249</x:v>
      </x:c>
      <x:c r="DY12" s="32" t="n">
        <x:v>20.6926</x:v>
      </x:c>
      <x:c r="DZ12" s="32" t="n">
        <x:v>18.6407</x:v>
      </x:c>
      <x:c r="EA12" s="34" t="n">
        <x:v>15</x:v>
      </x:c>
      <x:c r="EB12" s="34" t="n">
        <x:v>28</x:v>
      </x:c>
      <x:c r="EC12" s="34" t="n">
        <x:v>36</x:v>
      </x:c>
      <x:c r="ED12" s="34" t="n">
        <x:v>38</x:v>
      </x:c>
      <x:c r="EE12" s="34" t="n">
        <x:v>42</x:v>
      </x:c>
      <x:c r="EF12" s="34" t="n">
        <x:v>20</x:v>
      </x:c>
      <x:c r="EG12" s="34" t="n">
        <x:v>13</x:v>
      </x:c>
      <x:c r="EH12" s="34" t="n">
        <x:v>9</x:v>
      </x:c>
      <x:c r="EI12" s="34" t="n">
        <x:v>4</x:v>
      </x:c>
      <x:c r="EJ12" s="34" t="n">
        <x:v>0</x:v>
      </x:c>
      <x:c r="EK12" s="34" t="n">
        <x:v>1</x:v>
      </x:c>
      <x:c r="EL12" s="34" t="n">
        <x:v>4</x:v>
      </x:c>
      <x:c r="EM12" s="34" t="n">
        <x:v>1</x:v>
      </x:c>
      <x:c r="EN12" s="34" t="n">
        <x:v>0</x:v>
      </x:c>
      <x:c r="EO12" s="34" t="n">
        <x:v>79</x:v>
      </x:c>
      <x:c r="EP12" s="34" t="str"/>
      <x:c r="EQ12" s="36" t="str">
        <x:f>IF(OR($EO12="",$EP12="",$EO12=0),"",$EP12/$EO12)</x:f>
      </x:c>
      <x:c r="ER12" s="38" t="str"/>
      <x:c r="ES12" s="22" t="str">
        <x:v>No</x:v>
      </x:c>
      <x:c r="ET12" s="22" t="str">
        <x:v>No</x:v>
      </x:c>
      <x:c r="EU12" s="40" t="n">
        <x:f>IF(COUNT($DF12,$DG12,$DH12)=0,"",AVERAGE($DF12,$DG12,$DH12))</x:f>
        <x:v>5.6915000000000004</x:v>
      </x:c>
      <x:c r="EV12" s="40" t="n">
        <x:f>IF(COUNT($DJ12,$DK12,$DL12)=0,"",AVERAGE($DJ12,$DK12,$DL12))</x:f>
        <x:v>6.197399999999999</x:v>
      </x:c>
      <x:c r="EW12" s="40" t="n">
        <x:f>IF(OR($EU12="",$EV12=""),"",$EV12-$EU12)</x:f>
        <x:v>0.5058999999999987</x:v>
      </x:c>
      <x:c r="EX12" s="40" t="n">
        <x:f>IF(COUNT($DM12,$DN12,$DO12)=0,"",AVERAGE($DM12,$DN12,$DO12))</x:f>
        <x:v>17.087766666666667</x:v>
      </x:c>
      <x:c r="EY12" s="40" t="n">
        <x:f>IF(COUNT($DQ12,$DR12,$DS12)=0,"",AVERAGE($DQ12,$DR12,$DS12))</x:f>
        <x:v>22.205699999999997</x:v>
      </x:c>
      <x:c r="EZ12" s="40" t="n">
        <x:f>IF(OR($EX12="",$EY12=""),"",$EY12-$EX12)</x:f>
        <x:v>5.11793333333333</x:v>
      </x:c>
      <x:c r="FA12" s="42" t="n">
        <x:f>IF(COUNT($EA12,$EB12,$EC12)=0,"",AVERAGE($EA12,$EB12,$EC12))</x:f>
        <x:v>26.333333333333332</x:v>
      </x:c>
      <x:c r="FB12" s="42" t="n">
        <x:f>IF(COUNT($EE12,$EF12,$EG12)=0,"",AVERAGE($EE12,$EF12,$EG12))</x:f>
        <x:v>25</x:v>
      </x:c>
      <x:c r="FC12" s="42" t="n">
        <x:f>IF(OR($FA12="",$FB12=""),"",$FB12-$FA12)</x:f>
        <x:v>-1.3333333333333321</x:v>
      </x:c>
      <x:c r="FD12" s="42" t="n">
        <x:f>IF(COUNT($EH12,$EI12,$EJ12)=0,"",AVERAGE($EH12,$EI12,$EJ12))</x:f>
        <x:v>4.333333333333333</x:v>
      </x:c>
      <x:c r="FE12" s="42" t="n">
        <x:f>IF(COUNT($EL12,$EM12,$EN12)=0,"",AVERAGE($EL12,$EM12,$EN12))</x:f>
        <x:v>1.6666666666666667</x:v>
      </x:c>
      <x:c r="FF12" s="42" t="n">
        <x:f>IF(OR($FD12="",$FE12=""),"",$FE12-$FD12)</x:f>
        <x:v>-2.666666666666666</x:v>
      </x:c>
      <x:c r="FG12" s="24" t="str">
        <x:f>IF(COUNT($DF12,$DG12,$DH12,$DJ12,$DK12,$DL12,$DM12,$DN12,$DO12,$DQ12,$DR12,$DS12)=12,"Yes","No")</x:f>
        <x:v>Yes</x:v>
      </x:c>
      <x:c r="FH12" s="24" t="str">
        <x:f>IF(COUNT($EA12,$EB12,$EC12,$EE12,$EF12,$EG12,$EH12,$EI12,$EJ12,$EL12,$EM12,$EN12)=12,"Yes","No")</x:f>
        <x:v>Yes</x:v>
      </x:c>
      <x:c r="FI12" s="24" t="str">
        <x:f>IF(AND($M12="Include",OR($FG12="Yes",$FH12="Yes")),"Ready","Not ready")</x:f>
        <x:v>Not ready</x:v>
      </x:c>
    </x:row>
    <x:row r="13" ht="24" customHeight="1">
      <x:c r="A13" s="22" t="str">
        <x:v>TRT-0011</x:v>
      </x:c>
      <x:c r="B13" s="22" t="n">
        <x:v>22</x:v>
      </x:c>
      <x:c r="C13" s="22" t="str">
        <x:v>Candidate treatment group</x:v>
      </x:c>
      <x:c r="D13" s="22" t="n">
        <x:v>1</x:v>
      </x:c>
      <x:c r="E13" s="22" t="str">
        <x:v>DATA - Innovation driven deals.xlsx</x:v>
      </x:c>
      <x:c r="F13" s="22" t="str">
        <x:v>takeda pharma acquires tigenix for</x:v>
      </x:c>
      <x:c r="G13" s="22" t="str">
        <x:v>Yes</x:v>
      </x:c>
      <x:c r="H13" s="22" t="str">
        <x:v>No</x:v>
      </x:c>
      <x:c r="I13" s="22" t="str">
        <x:v>No</x:v>
      </x:c>
      <x:c r="J13" s="22" t="n">
        <x:v>1</x:v>
      </x:c>
      <x:c r="K13" s="22" t="str">
        <x:v>Not started</x:v>
      </x:c>
      <x:c r="L13" s="22" t="str">
        <x:v>Eligible - 100%</x:v>
      </x:c>
      <x:c r="M13" s="22" t="str">
        <x:v>Review</x:v>
      </x:c>
      <x:c r="N13" s="22" t="str"/>
      <x:c r="O13" s="28" t="n">
        <x:v>43105</x:v>
      </x:c>
      <x:c r="P13" s="28" t="n">
        <x:v>43312</x:v>
      </x:c>
      <x:c r="Q13" s="22" t="n">
        <x:v>2018</x:v>
      </x:c>
      <x:c r="R13" s="22" t="str">
        <x:v>Q1 2018</x:v>
      </x:c>
      <x:c r="S13" s="22" t="str">
        <x:v>Completed</x:v>
      </x:c>
      <x:c r="T13" s="26" t="str">
        <x:v>Takeda Pharma Acquires TiGenix for USD626.4 Million</x:v>
      </x:c>
      <x:c r="U13" s="22" t="str">
        <x:v>Mergers &amp; Acquisitions</x:v>
      </x:c>
      <x:c r="V13" s="22" t="str">
        <x:v>Acquisition</x:v>
      </x:c>
      <x:c r="W13" s="22" t="str">
        <x:v>100% Acquisition</x:v>
      </x:c>
      <x:c r="X13" s="22" t="str">
        <x:v>Belgium</x:v>
      </x:c>
      <x:c r="Y13" s="22" t="str">
        <x:v>100% Acquisition</x:v>
      </x:c>
      <x:c r="Z13" s="26" t="str">
        <x:v>Cowen and Company, LLC (Inactive) , Centerview Partners UK LLP</x:v>
      </x:c>
      <x:c r="AA13" s="26" t="str">
        <x:v>Covington &amp; Burling LLP , DLA Piper US LLP , Davis Polk &amp; Wardwell LLP , DLA Piper UK LLP , Osborne Clarke N.V.</x:v>
      </x:c>
      <x:c r="AB13" s="22" t="str">
        <x:v>Takeda Pharmaceutical Co Ltd</x:v>
      </x:c>
      <x:c r="AC13" s="22" t="str">
        <x:v>takeda pharmaceutical</x:v>
      </x:c>
      <x:c r="AD13" s="22" t="str">
        <x:v>TiGenix NV</x:v>
      </x:c>
      <x:c r="AE13" s="22" t="str">
        <x:v>tigenix</x:v>
      </x:c>
      <x:c r="AF13" s="30" t="n">
        <x:v>626</x:v>
      </x:c>
      <x:c r="AG13" s="22" t="n">
        <x:v>626</x:v>
      </x:c>
      <x:c r="AH13" s="26" t="str">
        <x:v>Takeda Pharmaceutical Co. Ltd., a pharmaceutical company, has completed the acquisition of TiGenix NV, a biopharmaceutical company developing stem cell therapies for serious medical conditions, for a purchase consideration of approximately EUR520 million (USD626.4 million). Takeda Pharma intends to fund the transaction cost from existing cash balances.
Pursuant to the transaction, TiGenix becomes a wholly owned subsidiary of Takeda.
On June 6, 2018, Takeda Pharma announced the results of the first acceptance period of Takeda’s previously announced tender offer in cash for all outstanding ordinary shares, warrants and American Depositary Shares (ADSs) and together with the ordinary shares and the warrants, the securities) of TiGenix that are not yet owned by Takeda and its affiliates, which expired as scheduled on May 31, 2018.
The second acceptance period for the Belgian offer will commence on June 20, 2018, and the second acceptance period for the US offer will commence today, June 6, 2018, and is scheduled to expire for both the Belgian offer and the US offer, subject to any extension, on July 3, 2018, respectively. The results of the second acceptance period are expected to be published on July 6, 2018. Payment for the ordinary shares, warrants and ADSs validly tendered and not withdrawn in the second acceptance period is currently expected to commence on July 10, 2018.
During the second acceptance period, holders of ordinary shares, warrants and ADSs can tender their securities in the bid by following the instructions set out in the prospectus or the tender offer statement on schedule TO, as applicable to them.
On April 25, 2018, Takeda Pharma announced that the first acceptance period of tender offer in cash for all outstanding ordinary shares. warrants and ADSs of TiGenix that are not yet owned by Takeda and its affiliates, at an acquisition price of EUR1.78 per ordinary share in cash; EUR35.60 (USD42.8) per ADS in cash and an amount per warrant in cash depending on the strike price and maturity of such Warrant, will commence on April 30, 2018.
The first acceptance period for the bid will start on April 30, 2018 and is scheduled to expire, subject to any extension, on May 31, 2018. The results of the first acceptance period are expected to be published on June 6, 2018. Payment for the ordinary shares, warrants and ADSs validly tendered and not withdrawn in the first acceptance period is currently scheduled for June 8, 2018 although the Belgian offer and the US offer may have different payment dates.
During the first acceptance period, holders of ordinary shares, warrants and ADSs can tender their securities in the bid by following the instructions set out in the prospectus or the tender offer statement on schedule TO, as applicable to them.
Pursuant to the transaction, Takeda Pharma intends to acquire 100% of the securities with voting rights or giving access to voting rights of TiGenix not already owned by Takeda Pharma or its affiliates at an acquisition price of EUR1.78 (USD2.14) per share in cash and an equivalent price per American Depositary Share (ADS), warrant and convertible bond, representing a transaction value of approximately EUR520 million (USD626.44 million) on a fully diluted basis. The transaction is structured as an all cash voluntary public takeover bid by Takeda Pharma with respect to 100% of the securities with voting rights or giving access to voting rights of TiGenix that are not already owned by Takeda Pharma or its affiliates. 
Takeda Pharma and TiGenix entered into an offer and support agreement confirming TiGenix’s support and the terms and conditions of the bid. Gri-Cel SA, holding 32,238,178 TiGenix shares, and its affiliate Grifols Worldwide Operations Ltd., holding 7,189,800 TiGenix shares in the form of ADS, have irrevocably confirmed that they will tender their shares and ADSs into the potential public takeover bid. 
The acquisition extends an existing exclusive ex-US license, development and commercialization agreement between Takeda and TiGenix to develop and commercialize Cx601 (darvadstrocel) entered in July 2016.
This acquisition enables Takeda Pharma to expand its late stage gastroenterology pipeline and strengthen presence in the US specialty care market.
Centerview Partners UK LLP acted as financial advisor, DLA Piper UK LLP and DLA Piper US LLP acted as legal advisor to Takeda Pharma; Cowen and Company, LLC acted as financial advisor, while Osborne Clarke CVBA and Davis Polk &amp; Wardwell LLP acted as legal advisor to Tingenix for the transaction.
Deal History:
Announced: On January 5, 2018, Takeda Pharma intends to acquire TiGenix, for a purchase consideration of approximately EUR520 million (USD626.4 million). Takeda Pharma intends to fund the transaction cost from existing cash balances.
Takeda Pharma has also entered into an offer and support agreement with TiGenix which provides for a recommended potential voluntary public takeover bid for TiGenix. The agreement has been unanimously supported by the TiGenix board of directors (including its CEO).
The bid will be comprised of two separate offers (i) an offer to all holders of ordinary shares and warrants in accordance with the applicable law in Belgium (Belgian offer), and (ii) an offer to holders of ordinary shares who are resident in the US in accordance with applicable the US law and to holders of ADSs wherever located (the US offer).
Following closing of the potential voluntary public takeover bid, Takeda Pharma intends to launch a squeeze-out if the applicable conditions for such squeeze-out are met to delist the shares of TiGenix from Euronext Brussels and NASDAQ. After the squeeze-out, TiGenix would become a wholly-owned subsidiary of Takeda.</x:v>
      </x:c>
      <x:c r="AI13" s="26" t="str">
        <x:v>This acquisition enables Takeda Pharma to expand its late stage gastroenterology pipeline and strengthen presence in the US specialty care market.</x:v>
      </x:c>
      <x:c r="AJ13" s="22" t="str"/>
      <x:c r="AK13" s="22" t="str"/>
      <x:c r="AL13" s="22" t="str">
        <x:v>Unknown</x:v>
      </x:c>
      <x:c r="AM13" s="22" t="str">
        <x:v>Unknown</x:v>
      </x:c>
      <x:c r="AN13" s="22" t="str"/>
      <x:c r="AO13" s="22" t="str"/>
      <x:c r="AP13" s="22" t="str"/>
      <x:c r="AQ13" s="22" t="str"/>
      <x:c r="AR13" s="22" t="str"/>
      <x:c r="AS13" s="22" t="str">
        <x:v>Takeda Pharmaceutical Co Ltd</x:v>
      </x:c>
      <x:c r="AT13" s="22" t="str">
        <x:v>TiGenix NV</x:v>
      </x:c>
      <x:c r="AU13" s="22" t="str">
        <x:v>Not reviewed</x:v>
      </x:c>
      <x:c r="AV13" s="22" t="str">
        <x:v>Not assessed</x:v>
      </x:c>
      <x:c r="AW13" s="22" t="str">
        <x:v>Unknown</x:v>
      </x:c>
      <x:c r="AX13" s="22" t="str">
        <x:v>Unknown</x:v>
      </x:c>
      <x:c r="AY13" s="22" t="str">
        <x:v>Unknown</x:v>
      </x:c>
      <x:c r="AZ13" s="22" t="str">
        <x:v>Unknown</x:v>
      </x:c>
      <x:c r="BA13" s="22" t="str">
        <x:v>Unknown</x:v>
      </x:c>
      <x:c r="BB13" s="22" t="str">
        <x:v>Unknown</x:v>
      </x:c>
      <x:c r="BC13" s="26" t="str"/>
      <x:c r="BD13" s="22" t="str"/>
      <x:c r="BE13" s="22" t="str"/>
      <x:c r="BF13" s="22" t="str">
        <x:v>Not collected</x:v>
      </x:c>
      <x:c r="BG13" s="22" t="str">
        <x:v>Not collected</x:v>
      </x:c>
      <x:c r="BH13" s="22" t="str">
        <x:v>Not defined</x:v>
      </x:c>
      <x:c r="BI13" s="22" t="n">
        <x:f>IF($Q13="","",$Q13-3)</x:f>
        <x:v>2015</x:v>
      </x:c>
      <x:c r="BJ13" s="22" t="n">
        <x:f>IF($Q13="","",$Q13-2)</x:f>
        <x:v>2016</x:v>
      </x:c>
      <x:c r="BK13" s="22" t="n">
        <x:f>IF($Q13="","",$Q13-1)</x:f>
        <x:v>2017</x:v>
      </x:c>
      <x:c r="BL13" s="22" t="n">
        <x:f>IF($Q13="","",$Q13+0)</x:f>
        <x:v>2018</x:v>
      </x:c>
      <x:c r="BM13" s="22" t="n">
        <x:f>IF($Q13="","",$Q13+1)</x:f>
        <x:v>2019</x:v>
      </x:c>
      <x:c r="BN13" s="22" t="n">
        <x:f>IF($Q13="","",$Q13+2)</x:f>
        <x:v>2020</x:v>
      </x:c>
      <x:c r="BO13" s="22" t="n">
        <x:f>IF($Q13="","",$Q13+3)</x:f>
        <x:v>2021</x:v>
      </x:c>
      <x:c r="BP13" s="30" t="str"/>
      <x:c r="BQ13" s="30" t="str"/>
      <x:c r="BR13" s="30" t="str"/>
      <x:c r="BS13" s="30" t="str"/>
      <x:c r="BT13" s="30" t="str"/>
      <x:c r="BU13" s="30" t="str"/>
      <x:c r="BV13" s="30" t="str"/>
      <x:c r="BW13" s="30" t="str"/>
      <x:c r="BX13" s="30" t="str"/>
      <x:c r="BY13" s="30" t="str"/>
      <x:c r="BZ13" s="30" t="str"/>
      <x:c r="CA13" s="30" t="str"/>
      <x:c r="CB13" s="30" t="str"/>
      <x:c r="CC13" s="30" t="str"/>
      <x:c r="CD13" s="30" t="str"/>
      <x:c r="CE13" s="30" t="str"/>
      <x:c r="CF13" s="30" t="str"/>
      <x:c r="CG13" s="30" t="str"/>
      <x:c r="CH13" s="30" t="str"/>
      <x:c r="CI13" s="30" t="str"/>
      <x:c r="CJ13" s="30" t="str"/>
      <x:c r="CK13" s="30" t="str"/>
      <x:c r="CL13" s="30" t="str"/>
      <x:c r="CM13" s="30" t="str"/>
      <x:c r="CN13" s="30" t="str"/>
      <x:c r="CO13" s="30" t="str"/>
      <x:c r="CP13" s="30" t="str"/>
      <x:c r="CQ13" s="30" t="str"/>
      <x:c r="CR13" s="30" t="str"/>
      <x:c r="CS13" s="30" t="str"/>
      <x:c r="CT13" s="30" t="str"/>
      <x:c r="CU13" s="30" t="str"/>
      <x:c r="CV13" s="30" t="str"/>
      <x:c r="CW13" s="30" t="str"/>
      <x:c r="CX13" s="30" t="str"/>
      <x:c r="CY13" s="30" t="str"/>
      <x:c r="CZ13" s="30" t="str"/>
      <x:c r="DA13" s="30" t="str"/>
      <x:c r="DB13" s="30" t="str"/>
      <x:c r="DC13" s="30" t="str"/>
      <x:c r="DD13" s="30" t="str"/>
      <x:c r="DE13" s="30" t="str"/>
      <x:c r="DF13" s="32" t="str"/>
      <x:c r="DG13" s="32" t="str"/>
      <x:c r="DH13" s="32" t="str"/>
      <x:c r="DI13" s="32" t="str"/>
      <x:c r="DJ13" s="32" t="str"/>
      <x:c r="DK13" s="32" t="str"/>
      <x:c r="DL13" s="32" t="str"/>
      <x:c r="DM13" s="32" t="str"/>
      <x:c r="DN13" s="32" t="str"/>
      <x:c r="DO13" s="32" t="str"/>
      <x:c r="DP13" s="32" t="str"/>
      <x:c r="DQ13" s="32" t="str"/>
      <x:c r="DR13" s="32" t="str"/>
      <x:c r="DS13" s="32" t="str"/>
      <x:c r="DT13" s="32" t="str"/>
      <x:c r="DU13" s="32" t="str"/>
      <x:c r="DV13" s="32" t="str"/>
      <x:c r="DW13" s="32" t="str"/>
      <x:c r="DX13" s="32" t="str"/>
      <x:c r="DY13" s="32" t="str"/>
      <x:c r="DZ13" s="32" t="str"/>
      <x:c r="EA13" s="34" t="str"/>
      <x:c r="EB13" s="34" t="str"/>
      <x:c r="EC13" s="34" t="str"/>
      <x:c r="ED13" s="34" t="str"/>
      <x:c r="EE13" s="34" t="str"/>
      <x:c r="EF13" s="34" t="str"/>
      <x:c r="EG13" s="34" t="str"/>
      <x:c r="EH13" s="34" t="str"/>
      <x:c r="EI13" s="34" t="str"/>
      <x:c r="EJ13" s="34" t="str"/>
      <x:c r="EK13" s="34" t="str"/>
      <x:c r="EL13" s="34" t="str"/>
      <x:c r="EM13" s="34" t="str"/>
      <x:c r="EN13" s="34" t="str"/>
      <x:c r="EO13" s="34" t="str"/>
      <x:c r="EP13" s="34" t="str"/>
      <x:c r="EQ13" s="36" t="str">
        <x:f>IF(OR($EO13="",$EP13="",$EO13=0),"",$EP13/$EO13)</x:f>
      </x:c>
      <x:c r="ER13" s="38" t="str"/>
      <x:c r="ES13" s="22" t="str">
        <x:v>Unknown</x:v>
      </x:c>
      <x:c r="ET13" s="22" t="str">
        <x:v>Unknown</x:v>
      </x:c>
      <x:c r="EU13" s="40" t="str">
        <x:f>IF(COUNT($DF13,$DG13,$DH13)=0,"",AVERAGE($DF13,$DG13,$DH13))</x:f>
      </x:c>
      <x:c r="EV13" s="40" t="str">
        <x:f>IF(COUNT($DJ13,$DK13,$DL13)=0,"",AVERAGE($DJ13,$DK13,$DL13))</x:f>
      </x:c>
      <x:c r="EW13" s="40" t="str">
        <x:f>IF(OR($EU13="",$EV13=""),"",$EV13-$EU13)</x:f>
      </x:c>
      <x:c r="EX13" s="40" t="str">
        <x:f>IF(COUNT($DM13,$DN13,$DO13)=0,"",AVERAGE($DM13,$DN13,$DO13))</x:f>
      </x:c>
      <x:c r="EY13" s="40" t="str">
        <x:f>IF(COUNT($DQ13,$DR13,$DS13)=0,"",AVERAGE($DQ13,$DR13,$DS13))</x:f>
      </x:c>
      <x:c r="EZ13" s="40" t="str">
        <x:f>IF(OR($EX13="",$EY13=""),"",$EY13-$EX13)</x:f>
      </x:c>
      <x:c r="FA13" s="42" t="str">
        <x:f>IF(COUNT($EA13,$EB13,$EC13)=0,"",AVERAGE($EA13,$EB13,$EC13))</x:f>
      </x:c>
      <x:c r="FB13" s="42" t="str">
        <x:f>IF(COUNT($EE13,$EF13,$EG13)=0,"",AVERAGE($EE13,$EF13,$EG13))</x:f>
      </x:c>
      <x:c r="FC13" s="42" t="str">
        <x:f>IF(OR($FA13="",$FB13=""),"",$FB13-$FA13)</x:f>
      </x:c>
      <x:c r="FD13" s="42" t="str">
        <x:f>IF(COUNT($EH13,$EI13,$EJ13)=0,"",AVERAGE($EH13,$EI13,$EJ13))</x:f>
      </x:c>
      <x:c r="FE13" s="42" t="str">
        <x:f>IF(COUNT($EL13,$EM13,$EN13)=0,"",AVERAGE($EL13,$EM13,$EN13))</x:f>
      </x:c>
      <x:c r="FF13" s="42" t="str">
        <x:f>IF(OR($FD13="",$FE13=""),"",$FE13-$FD13)</x:f>
      </x:c>
      <x:c r="FG13" s="24" t="str">
        <x:f>IF(COUNT($DF13,$DG13,$DH13,$DJ13,$DK13,$DL13,$DM13,$DN13,$DO13,$DQ13,$DR13,$DS13)=12,"Yes","No")</x:f>
        <x:v>No</x:v>
      </x:c>
      <x:c r="FH13" s="24" t="str">
        <x:f>IF(COUNT($EA13,$EB13,$EC13,$EE13,$EF13,$EG13,$EH13,$EI13,$EJ13,$EL13,$EM13,$EN13)=12,"Yes","No")</x:f>
        <x:v>No</x:v>
      </x:c>
      <x:c r="FI13" s="24" t="str">
        <x:f>IF(AND($M13="Include",OR($FG13="Yes",$FH13="Yes")),"Ready","Not ready")</x:f>
        <x:v>Not ready</x:v>
      </x:c>
    </x:row>
    <x:row r="14" ht="24" customHeight="1">
      <x:c r="A14" s="22" t="str">
        <x:v>TRT-0012</x:v>
      </x:c>
      <x:c r="B14" s="22" t="n">
        <x:v>23</x:v>
      </x:c>
      <x:c r="C14" s="22" t="str">
        <x:v>Candidate treatment group</x:v>
      </x:c>
      <x:c r="D14" s="22" t="n">
        <x:v>1</x:v>
      </x:c>
      <x:c r="E14" s="22" t="str">
        <x:v>DATA - Innovation driven deals.xlsx</x:v>
      </x:c>
      <x:c r="F14" s="22" t="str">
        <x:v>impilo acquires 37 stake in ferrosan medical devices</x:v>
      </x:c>
      <x:c r="G14" s="22" t="str">
        <x:v>Yes</x:v>
      </x:c>
      <x:c r="H14" s="22" t="str">
        <x:v>No</x:v>
      </x:c>
      <x:c r="I14" s="22" t="str">
        <x:v>No</x:v>
      </x:c>
      <x:c r="J14" s="22" t="n">
        <x:v>1</x:v>
      </x:c>
      <x:c r="K14" s="22" t="str">
        <x:v>Not started</x:v>
      </x:c>
      <x:c r="L14" s="22" t="str">
        <x:v>Exclude - minority</x:v>
      </x:c>
      <x:c r="M14" s="22" t="str">
        <x:v>Review</x:v>
      </x:c>
      <x:c r="N14" s="22" t="str"/>
      <x:c r="O14" s="28" t="n">
        <x:v>42923</x:v>
      </x:c>
      <x:c r="P14" s="28" t="n">
        <x:v>42923</x:v>
      </x:c>
      <x:c r="Q14" s="22" t="n">
        <x:v>2017</x:v>
      </x:c>
      <x:c r="R14" s="22" t="str">
        <x:v>Q3 2017</x:v>
      </x:c>
      <x:c r="S14" s="22" t="str">
        <x:v>Completed</x:v>
      </x:c>
      <x:c r="T14" s="26" t="str">
        <x:v>Impilo Acquires 37% stake in Ferrosan Medical Devices</x:v>
      </x:c>
      <x:c r="U14" s="22" t="str">
        <x:v>Mergers &amp; Acquisitions</x:v>
      </x:c>
      <x:c r="V14" s="22" t="str">
        <x:v>Acquisition</x:v>
      </x:c>
      <x:c r="W14" s="22" t="str">
        <x:v>Minority Acquisition</x:v>
      </x:c>
      <x:c r="X14" s="22" t="str">
        <x:v>Denmark</x:v>
      </x:c>
      <x:c r="Y14" s="22" t="str">
        <x:v>Minority Acquisition</x:v>
      </x:c>
      <x:c r="Z14" s="26"/>
      <x:c r="AA14" s="26"/>
      <x:c r="AB14" s="22" t="str">
        <x:v>Impilo AB</x:v>
      </x:c>
      <x:c r="AC14" s="22" t="str">
        <x:v>impilo ab</x:v>
      </x:c>
      <x:c r="AD14" s="22" t="str">
        <x:v>Ferrosan Medical Devices AS</x:v>
      </x:c>
      <x:c r="AE14" s="22" t="str">
        <x:v>ferrosan medical devices</x:v>
      </x:c>
      <x:c r="AF14" s="30"/>
      <x:c r="AG14" s="22" t="str">
        <x:v>n/a</x:v>
      </x:c>
      <x:c r="AH14" s="26" t="str">
        <x:v>Impilo AB, a investment company focussed in the healthcare sector, has acquired 37% stake in Ferrosan Medical Devices A/S, a medical device company
Ferrosan Medical Devices, which develops and produces hemostatic products used to stop bleeding during surgery, as well as miniature electrical engineering used in equipment for regional anesthesia and minimal invasive surgery.
The transaction enables Ferrosan to broaden and strengthen the development of its products, also to expand its products geographically.</x:v>
      </x:c>
      <x:c r="AI14" s="26" t="str">
        <x:v>The transaction enables Ferrosan to broaden and strengthen the development of its products, also to expand its products geographically.</x:v>
      </x:c>
      <x:c r="AJ14" s="22" t="str"/>
      <x:c r="AK14" s="22" t="str"/>
      <x:c r="AL14" s="22" t="str">
        <x:v>Unknown</x:v>
      </x:c>
      <x:c r="AM14" s="22" t="str">
        <x:v>Unknown</x:v>
      </x:c>
      <x:c r="AN14" s="22" t="str"/>
      <x:c r="AO14" s="22" t="str"/>
      <x:c r="AP14" s="22" t="str"/>
      <x:c r="AQ14" s="22" t="str"/>
      <x:c r="AR14" s="22" t="str"/>
      <x:c r="AS14" s="22" t="str">
        <x:v>Impilo AB</x:v>
      </x:c>
      <x:c r="AT14" s="22" t="str">
        <x:v>Ferrosan Medical Devices AS</x:v>
      </x:c>
      <x:c r="AU14" s="22" t="str">
        <x:v>Not reviewed</x:v>
      </x:c>
      <x:c r="AV14" s="22" t="str">
        <x:v>Not assessed</x:v>
      </x:c>
      <x:c r="AW14" s="22" t="str">
        <x:v>Unknown</x:v>
      </x:c>
      <x:c r="AX14" s="22" t="str">
        <x:v>Unknown</x:v>
      </x:c>
      <x:c r="AY14" s="22" t="str">
        <x:v>Unknown</x:v>
      </x:c>
      <x:c r="AZ14" s="22" t="str">
        <x:v>Unknown</x:v>
      </x:c>
      <x:c r="BA14" s="22" t="str">
        <x:v>Unknown</x:v>
      </x:c>
      <x:c r="BB14" s="22" t="str">
        <x:v>Unknown</x:v>
      </x:c>
      <x:c r="BC14" s="26" t="str"/>
      <x:c r="BD14" s="22" t="str"/>
      <x:c r="BE14" s="22" t="str"/>
      <x:c r="BF14" s="22" t="str">
        <x:v>Not collected</x:v>
      </x:c>
      <x:c r="BG14" s="22" t="str">
        <x:v>Not collected</x:v>
      </x:c>
      <x:c r="BH14" s="22" t="str">
        <x:v>Not defined</x:v>
      </x:c>
      <x:c r="BI14" s="22" t="n">
        <x:f>IF($Q14="","",$Q14-3)</x:f>
        <x:v>2014</x:v>
      </x:c>
      <x:c r="BJ14" s="22" t="n">
        <x:f>IF($Q14="","",$Q14-2)</x:f>
        <x:v>2015</x:v>
      </x:c>
      <x:c r="BK14" s="22" t="n">
        <x:f>IF($Q14="","",$Q14-1)</x:f>
        <x:v>2016</x:v>
      </x:c>
      <x:c r="BL14" s="22" t="n">
        <x:f>IF($Q14="","",$Q14+0)</x:f>
        <x:v>2017</x:v>
      </x:c>
      <x:c r="BM14" s="22" t="n">
        <x:f>IF($Q14="","",$Q14+1)</x:f>
        <x:v>2018</x:v>
      </x:c>
      <x:c r="BN14" s="22" t="n">
        <x:f>IF($Q14="","",$Q14+2)</x:f>
        <x:v>2019</x:v>
      </x:c>
      <x:c r="BO14" s="22" t="n">
        <x:f>IF($Q14="","",$Q14+3)</x:f>
        <x:v>2020</x:v>
      </x:c>
      <x:c r="BP14" s="30" t="str"/>
      <x:c r="BQ14" s="30" t="str"/>
      <x:c r="BR14" s="30" t="str"/>
      <x:c r="BS14" s="30" t="str"/>
      <x:c r="BT14" s="30" t="str"/>
      <x:c r="BU14" s="30" t="str"/>
      <x:c r="BV14" s="30" t="str"/>
      <x:c r="BW14" s="30" t="str"/>
      <x:c r="BX14" s="30" t="str"/>
      <x:c r="BY14" s="30" t="str"/>
      <x:c r="BZ14" s="30" t="str"/>
      <x:c r="CA14" s="30" t="str"/>
      <x:c r="CB14" s="30" t="str"/>
      <x:c r="CC14" s="30" t="str"/>
      <x:c r="CD14" s="30" t="str"/>
      <x:c r="CE14" s="30" t="str"/>
      <x:c r="CF14" s="30" t="str"/>
      <x:c r="CG14" s="30" t="str"/>
      <x:c r="CH14" s="30" t="str"/>
      <x:c r="CI14" s="30" t="str"/>
      <x:c r="CJ14" s="30" t="str"/>
      <x:c r="CK14" s="30" t="str"/>
      <x:c r="CL14" s="30" t="str"/>
      <x:c r="CM14" s="30" t="str"/>
      <x:c r="CN14" s="30" t="str"/>
      <x:c r="CO14" s="30" t="str"/>
      <x:c r="CP14" s="30" t="str"/>
      <x:c r="CQ14" s="30" t="str"/>
      <x:c r="CR14" s="30" t="str"/>
      <x:c r="CS14" s="30" t="str"/>
      <x:c r="CT14" s="30" t="str"/>
      <x:c r="CU14" s="30" t="str"/>
      <x:c r="CV14" s="30" t="str"/>
      <x:c r="CW14" s="30" t="str"/>
      <x:c r="CX14" s="30" t="str"/>
      <x:c r="CY14" s="30" t="str"/>
      <x:c r="CZ14" s="30" t="str"/>
      <x:c r="DA14" s="30" t="str"/>
      <x:c r="DB14" s="30" t="str"/>
      <x:c r="DC14" s="30" t="str"/>
      <x:c r="DD14" s="30" t="str"/>
      <x:c r="DE14" s="30" t="str"/>
      <x:c r="DF14" s="32" t="str"/>
      <x:c r="DG14" s="32" t="str"/>
      <x:c r="DH14" s="32" t="str"/>
      <x:c r="DI14" s="32" t="str"/>
      <x:c r="DJ14" s="32" t="str"/>
      <x:c r="DK14" s="32" t="str"/>
      <x:c r="DL14" s="32" t="str"/>
      <x:c r="DM14" s="32" t="str"/>
      <x:c r="DN14" s="32" t="str"/>
      <x:c r="DO14" s="32" t="str"/>
      <x:c r="DP14" s="32" t="str"/>
      <x:c r="DQ14" s="32" t="str"/>
      <x:c r="DR14" s="32" t="str"/>
      <x:c r="DS14" s="32" t="str"/>
      <x:c r="DT14" s="32" t="str"/>
      <x:c r="DU14" s="32" t="str"/>
      <x:c r="DV14" s="32" t="str"/>
      <x:c r="DW14" s="32" t="str"/>
      <x:c r="DX14" s="32" t="str"/>
      <x:c r="DY14" s="32" t="str"/>
      <x:c r="DZ14" s="32" t="str"/>
      <x:c r="EA14" s="34" t="str"/>
      <x:c r="EB14" s="34" t="str"/>
      <x:c r="EC14" s="34" t="str"/>
      <x:c r="ED14" s="34" t="str"/>
      <x:c r="EE14" s="34" t="str"/>
      <x:c r="EF14" s="34" t="str"/>
      <x:c r="EG14" s="34" t="str"/>
      <x:c r="EH14" s="34" t="str"/>
      <x:c r="EI14" s="34" t="str"/>
      <x:c r="EJ14" s="34" t="str"/>
      <x:c r="EK14" s="34" t="str"/>
      <x:c r="EL14" s="34" t="str"/>
      <x:c r="EM14" s="34" t="str"/>
      <x:c r="EN14" s="34" t="str"/>
      <x:c r="EO14" s="34" t="str"/>
      <x:c r="EP14" s="34" t="str"/>
      <x:c r="EQ14" s="36" t="str">
        <x:f>IF(OR($EO14="",$EP14="",$EO14=0),"",$EP14/$EO14)</x:f>
      </x:c>
      <x:c r="ER14" s="38" t="str"/>
      <x:c r="ES14" s="22" t="str">
        <x:v>Unknown</x:v>
      </x:c>
      <x:c r="ET14" s="22" t="str">
        <x:v>Unknown</x:v>
      </x:c>
      <x:c r="EU14" s="40" t="str">
        <x:f>IF(COUNT($DF14,$DG14,$DH14)=0,"",AVERAGE($DF14,$DG14,$DH14))</x:f>
      </x:c>
      <x:c r="EV14" s="40" t="str">
        <x:f>IF(COUNT($DJ14,$DK14,$DL14)=0,"",AVERAGE($DJ14,$DK14,$DL14))</x:f>
      </x:c>
      <x:c r="EW14" s="40" t="str">
        <x:f>IF(OR($EU14="",$EV14=""),"",$EV14-$EU14)</x:f>
      </x:c>
      <x:c r="EX14" s="40" t="str">
        <x:f>IF(COUNT($DM14,$DN14,$DO14)=0,"",AVERAGE($DM14,$DN14,$DO14))</x:f>
      </x:c>
      <x:c r="EY14" s="40" t="str">
        <x:f>IF(COUNT($DQ14,$DR14,$DS14)=0,"",AVERAGE($DQ14,$DR14,$DS14))</x:f>
      </x:c>
      <x:c r="EZ14" s="40" t="str">
        <x:f>IF(OR($EX14="",$EY14=""),"",$EY14-$EX14)</x:f>
      </x:c>
      <x:c r="FA14" s="42" t="str">
        <x:f>IF(COUNT($EA14,$EB14,$EC14)=0,"",AVERAGE($EA14,$EB14,$EC14))</x:f>
      </x:c>
      <x:c r="FB14" s="42" t="str">
        <x:f>IF(COUNT($EE14,$EF14,$EG14)=0,"",AVERAGE($EE14,$EF14,$EG14))</x:f>
      </x:c>
      <x:c r="FC14" s="42" t="str">
        <x:f>IF(OR($FA14="",$FB14=""),"",$FB14-$FA14)</x:f>
      </x:c>
      <x:c r="FD14" s="42" t="str">
        <x:f>IF(COUNT($EH14,$EI14,$EJ14)=0,"",AVERAGE($EH14,$EI14,$EJ14))</x:f>
      </x:c>
      <x:c r="FE14" s="42" t="str">
        <x:f>IF(COUNT($EL14,$EM14,$EN14)=0,"",AVERAGE($EL14,$EM14,$EN14))</x:f>
      </x:c>
      <x:c r="FF14" s="42" t="str">
        <x:f>IF(OR($FD14="",$FE14=""),"",$FE14-$FD14)</x:f>
      </x:c>
      <x:c r="FG14" s="24" t="str">
        <x:f>IF(COUNT($DF14,$DG14,$DH14,$DJ14,$DK14,$DL14,$DM14,$DN14,$DO14,$DQ14,$DR14,$DS14)=12,"Yes","No")</x:f>
        <x:v>No</x:v>
      </x:c>
      <x:c r="FH14" s="24" t="str">
        <x:f>IF(COUNT($EA14,$EB14,$EC14,$EE14,$EF14,$EG14,$EH14,$EI14,$EJ14,$EL14,$EM14,$EN14)=12,"Yes","No")</x:f>
        <x:v>No</x:v>
      </x:c>
      <x:c r="FI14" s="24" t="str">
        <x:f>IF(AND($M14="Include",OR($FG14="Yes",$FH14="Yes")),"Ready","Not ready")</x:f>
        <x:v>Not ready</x:v>
      </x:c>
    </x:row>
    <x:row r="15" ht="24" customHeight="1">
      <x:c r="A15" s="22" t="str">
        <x:v>TRT-0013</x:v>
      </x:c>
      <x:c r="B15" s="22" t="n">
        <x:v>24</x:v>
      </x:c>
      <x:c r="C15" s="22" t="str">
        <x:v>Candidate treatment group</x:v>
      </x:c>
      <x:c r="D15" s="22" t="n">
        <x:v>1</x:v>
      </x:c>
      <x:c r="E15" s="22" t="str">
        <x:v>DATA - Innovation driven deals.xlsx</x:v>
      </x:c>
      <x:c r="F15" s="22" t="str">
        <x:v>cell medica acquires catapult therapy tcr from cell therapy catapult</x:v>
      </x:c>
      <x:c r="G15" s="22" t="str">
        <x:v>No</x:v>
      </x:c>
      <x:c r="H15" s="22" t="str">
        <x:v>No</x:v>
      </x:c>
      <x:c r="I15" s="22" t="str">
        <x:v>No</x:v>
      </x:c>
      <x:c r="J15" s="22" t="n">
        <x:v>1</x:v>
      </x:c>
      <x:c r="K15" s="22" t="str">
        <x:v>Not started</x:v>
      </x:c>
      <x:c r="L15" s="22" t="str">
        <x:v>Eligible - 100%</x:v>
      </x:c>
      <x:c r="M15" s="22" t="str">
        <x:v>Review</x:v>
      </x:c>
      <x:c r="N15" s="22" t="str"/>
      <x:c r="O15" s="28" t="n">
        <x:v>42906</x:v>
      </x:c>
      <x:c r="P15" s="28" t="n">
        <x:v>42906</x:v>
      </x:c>
      <x:c r="Q15" s="22" t="n">
        <x:v>2017</x:v>
      </x:c>
      <x:c r="R15" s="22" t="str">
        <x:v>Q2 2017</x:v>
      </x:c>
      <x:c r="S15" s="22" t="str">
        <x:v>Completed</x:v>
      </x:c>
      <x:c r="T15" s="26" t="str">
        <x:v>Cell Medica Acquires Catapult Therapy TCR from Cell Therapy Catapult</x:v>
      </x:c>
      <x:c r="U15" s="22" t="str">
        <x:v>Mergers &amp; Acquisitions</x:v>
      </x:c>
      <x:c r="V15" s="22" t="str">
        <x:v>Acquisition</x:v>
      </x:c>
      <x:c r="W15" s="22" t="str">
        <x:v>100% Acquisition</x:v>
      </x:c>
      <x:c r="X15" s="22" t="str">
        <x:v>United Kingdom</x:v>
      </x:c>
      <x:c r="Y15" s="22" t="str">
        <x:v>100% Acquisition</x:v>
      </x:c>
      <x:c r="Z15" s="26"/>
      <x:c r="AA15" s="26"/>
      <x:c r="AB15" s="22" t="str">
        <x:v>Kuur Therapeutics Ltd</x:v>
      </x:c>
      <x:c r="AC15" s="22" t="str">
        <x:v>kuur therapeutics</x:v>
      </x:c>
      <x:c r="AD15" s="22" t="str">
        <x:v>Cell Medica TCR Ltd</x:v>
      </x:c>
      <x:c r="AE15" s="22" t="str">
        <x:v>cell medica tcr</x:v>
      </x:c>
      <x:c r="AF15" s="30"/>
      <x:c r="AG15" s="22" t="str">
        <x:v>n/a</x:v>
      </x:c>
      <x:c r="AH15" s="26" t="str">
        <x:v>Cell Medica Ltd, a developer of cellular immunotherapy for the treatment of cancer, has acquired Catapult Therapy TCR Limited, a developer of cell therapy for the treatment of acute myeloid leukaemia, from Cell Therapy Catapult Ltd, (Cell and Gene Therapy Catapult), a developer of cell and gene therapies.
Catapult Therapy TCR is a company set up by Cell Therapy Catapult, University College London (UCL) Business and Imperial Innovations, and managed by Cell Therapy Catapult, for the development of the WT1 T cell receptor (TCR) cell therapy discovered through research at UCL and Imperial College London. The WT1-TCR cell therapy enhances the immune system to fight cancer by genetically engineering the patient’s T cells to target WT1, a tumour-associated antigen which is expressed in both solid tumours and blood cancers.
Concurrently, Cell Medica entered into a collaboration agreement with Cell Therapy Catapult, to establish cell therapy manufacturing operations for Cell Medica at the GMP production facility recently built by Cell Therapy Catapult in Stevenage, UK. The collaboration will include transferring the current WT1-TCR cell therapy manufacturing process to Stevenage over the next twelve months while Cell Medica and Cell Therapy Catapult work to develop a commercial scale production process using advanced manufacturing techniques. Cell Medica will also evaluate the feasibility of manufacturing additional cell therapy products at the site.
This transaction enables Cell Medica to create an effective treatment for patients with solid tumours.</x:v>
      </x:c>
      <x:c r="AI15" s="26" t="str">
        <x:v>This transaction enables Cell Medica to create an effective treatment for patients with solid tumours.</x:v>
      </x:c>
      <x:c r="AJ15" s="22" t="str"/>
      <x:c r="AK15" s="22" t="str"/>
      <x:c r="AL15" s="22" t="str">
        <x:v>Unknown</x:v>
      </x:c>
      <x:c r="AM15" s="22" t="str">
        <x:v>Unknown</x:v>
      </x:c>
      <x:c r="AN15" s="22" t="str"/>
      <x:c r="AO15" s="22" t="str"/>
      <x:c r="AP15" s="22" t="str"/>
      <x:c r="AQ15" s="22" t="str"/>
      <x:c r="AR15" s="22" t="str"/>
      <x:c r="AS15" s="22" t="str">
        <x:v>Kuur Therapeutics Ltd</x:v>
      </x:c>
      <x:c r="AT15" s="22" t="str">
        <x:v>Cell Medica TCR Ltd</x:v>
      </x:c>
      <x:c r="AU15" s="22" t="str">
        <x:v>Not reviewed</x:v>
      </x:c>
      <x:c r="AV15" s="22" t="str">
        <x:v>Not assessed</x:v>
      </x:c>
      <x:c r="AW15" s="22" t="str">
        <x:v>Unknown</x:v>
      </x:c>
      <x:c r="AX15" s="22" t="str">
        <x:v>Unknown</x:v>
      </x:c>
      <x:c r="AY15" s="22" t="str">
        <x:v>Unknown</x:v>
      </x:c>
      <x:c r="AZ15" s="22" t="str">
        <x:v>Unknown</x:v>
      </x:c>
      <x:c r="BA15" s="22" t="str">
        <x:v>Unknown</x:v>
      </x:c>
      <x:c r="BB15" s="22" t="str">
        <x:v>Unknown</x:v>
      </x:c>
      <x:c r="BC15" s="26" t="str"/>
      <x:c r="BD15" s="22" t="str"/>
      <x:c r="BE15" s="22" t="str"/>
      <x:c r="BF15" s="22" t="str">
        <x:v>Not collected</x:v>
      </x:c>
      <x:c r="BG15" s="22" t="str">
        <x:v>Not collected</x:v>
      </x:c>
      <x:c r="BH15" s="22" t="str">
        <x:v>Not defined</x:v>
      </x:c>
      <x:c r="BI15" s="22" t="n">
        <x:f>IF($Q15="","",$Q15-3)</x:f>
        <x:v>2014</x:v>
      </x:c>
      <x:c r="BJ15" s="22" t="n">
        <x:f>IF($Q15="","",$Q15-2)</x:f>
        <x:v>2015</x:v>
      </x:c>
      <x:c r="BK15" s="22" t="n">
        <x:f>IF($Q15="","",$Q15-1)</x:f>
        <x:v>2016</x:v>
      </x:c>
      <x:c r="BL15" s="22" t="n">
        <x:f>IF($Q15="","",$Q15+0)</x:f>
        <x:v>2017</x:v>
      </x:c>
      <x:c r="BM15" s="22" t="n">
        <x:f>IF($Q15="","",$Q15+1)</x:f>
        <x:v>2018</x:v>
      </x:c>
      <x:c r="BN15" s="22" t="n">
        <x:f>IF($Q15="","",$Q15+2)</x:f>
        <x:v>2019</x:v>
      </x:c>
      <x:c r="BO15" s="22" t="n">
        <x:f>IF($Q15="","",$Q15+3)</x:f>
        <x:v>2020</x:v>
      </x:c>
      <x:c r="BP15" s="30" t="str"/>
      <x:c r="BQ15" s="30" t="str"/>
      <x:c r="BR15" s="30" t="str"/>
      <x:c r="BS15" s="30" t="str"/>
      <x:c r="BT15" s="30" t="str"/>
      <x:c r="BU15" s="30" t="str"/>
      <x:c r="BV15" s="30" t="str"/>
      <x:c r="BW15" s="30" t="str"/>
      <x:c r="BX15" s="30" t="str"/>
      <x:c r="BY15" s="30" t="str"/>
      <x:c r="BZ15" s="30" t="str"/>
      <x:c r="CA15" s="30" t="str"/>
      <x:c r="CB15" s="30" t="str"/>
      <x:c r="CC15" s="30" t="str"/>
      <x:c r="CD15" s="30" t="str"/>
      <x:c r="CE15" s="30" t="str"/>
      <x:c r="CF15" s="30" t="str"/>
      <x:c r="CG15" s="30" t="str"/>
      <x:c r="CH15" s="30" t="str"/>
      <x:c r="CI15" s="30" t="str"/>
      <x:c r="CJ15" s="30" t="str"/>
      <x:c r="CK15" s="30" t="str"/>
      <x:c r="CL15" s="30" t="str"/>
      <x:c r="CM15" s="30" t="str"/>
      <x:c r="CN15" s="30" t="str"/>
      <x:c r="CO15" s="30" t="str"/>
      <x:c r="CP15" s="30" t="str"/>
      <x:c r="CQ15" s="30" t="str"/>
      <x:c r="CR15" s="30" t="str"/>
      <x:c r="CS15" s="30" t="str"/>
      <x:c r="CT15" s="30" t="str"/>
      <x:c r="CU15" s="30" t="str"/>
      <x:c r="CV15" s="30" t="str"/>
      <x:c r="CW15" s="30" t="str"/>
      <x:c r="CX15" s="30" t="str"/>
      <x:c r="CY15" s="30" t="str"/>
      <x:c r="CZ15" s="30" t="str"/>
      <x:c r="DA15" s="30" t="str"/>
      <x:c r="DB15" s="30" t="str"/>
      <x:c r="DC15" s="30" t="str"/>
      <x:c r="DD15" s="30" t="str"/>
      <x:c r="DE15" s="30" t="str"/>
      <x:c r="DF15" s="32" t="str"/>
      <x:c r="DG15" s="32" t="str"/>
      <x:c r="DH15" s="32" t="str"/>
      <x:c r="DI15" s="32" t="str"/>
      <x:c r="DJ15" s="32" t="str"/>
      <x:c r="DK15" s="32" t="str"/>
      <x:c r="DL15" s="32" t="str"/>
      <x:c r="DM15" s="32" t="str"/>
      <x:c r="DN15" s="32" t="str"/>
      <x:c r="DO15" s="32" t="str"/>
      <x:c r="DP15" s="32" t="str"/>
      <x:c r="DQ15" s="32" t="str"/>
      <x:c r="DR15" s="32" t="str"/>
      <x:c r="DS15" s="32" t="str"/>
      <x:c r="DT15" s="32" t="str"/>
      <x:c r="DU15" s="32" t="str"/>
      <x:c r="DV15" s="32" t="str"/>
      <x:c r="DW15" s="32" t="str"/>
      <x:c r="DX15" s="32" t="str"/>
      <x:c r="DY15" s="32" t="str"/>
      <x:c r="DZ15" s="32" t="str"/>
      <x:c r="EA15" s="34" t="str"/>
      <x:c r="EB15" s="34" t="str"/>
      <x:c r="EC15" s="34" t="str"/>
      <x:c r="ED15" s="34" t="str"/>
      <x:c r="EE15" s="34" t="str"/>
      <x:c r="EF15" s="34" t="str"/>
      <x:c r="EG15" s="34" t="str"/>
      <x:c r="EH15" s="34" t="str"/>
      <x:c r="EI15" s="34" t="str"/>
      <x:c r="EJ15" s="34" t="str"/>
      <x:c r="EK15" s="34" t="str"/>
      <x:c r="EL15" s="34" t="str"/>
      <x:c r="EM15" s="34" t="str"/>
      <x:c r="EN15" s="34" t="str"/>
      <x:c r="EO15" s="34" t="str"/>
      <x:c r="EP15" s="34" t="str"/>
      <x:c r="EQ15" s="36" t="str">
        <x:f>IF(OR($EO15="",$EP15="",$EO15=0),"",$EP15/$EO15)</x:f>
      </x:c>
      <x:c r="ER15" s="38" t="str"/>
      <x:c r="ES15" s="22" t="str">
        <x:v>Unknown</x:v>
      </x:c>
      <x:c r="ET15" s="22" t="str">
        <x:v>Unknown</x:v>
      </x:c>
      <x:c r="EU15" s="40" t="str">
        <x:f>IF(COUNT($DF15,$DG15,$DH15)=0,"",AVERAGE($DF15,$DG15,$DH15))</x:f>
      </x:c>
      <x:c r="EV15" s="40" t="str">
        <x:f>IF(COUNT($DJ15,$DK15,$DL15)=0,"",AVERAGE($DJ15,$DK15,$DL15))</x:f>
      </x:c>
      <x:c r="EW15" s="40" t="str">
        <x:f>IF(OR($EU15="",$EV15=""),"",$EV15-$EU15)</x:f>
      </x:c>
      <x:c r="EX15" s="40" t="str">
        <x:f>IF(COUNT($DM15,$DN15,$DO15)=0,"",AVERAGE($DM15,$DN15,$DO15))</x:f>
      </x:c>
      <x:c r="EY15" s="40" t="str">
        <x:f>IF(COUNT($DQ15,$DR15,$DS15)=0,"",AVERAGE($DQ15,$DR15,$DS15))</x:f>
      </x:c>
      <x:c r="EZ15" s="40" t="str">
        <x:f>IF(OR($EX15="",$EY15=""),"",$EY15-$EX15)</x:f>
      </x:c>
      <x:c r="FA15" s="42" t="str">
        <x:f>IF(COUNT($EA15,$EB15,$EC15)=0,"",AVERAGE($EA15,$EB15,$EC15))</x:f>
      </x:c>
      <x:c r="FB15" s="42" t="str">
        <x:f>IF(COUNT($EE15,$EF15,$EG15)=0,"",AVERAGE($EE15,$EF15,$EG15))</x:f>
      </x:c>
      <x:c r="FC15" s="42" t="str">
        <x:f>IF(OR($FA15="",$FB15=""),"",$FB15-$FA15)</x:f>
      </x:c>
      <x:c r="FD15" s="42" t="str">
        <x:f>IF(COUNT($EH15,$EI15,$EJ15)=0,"",AVERAGE($EH15,$EI15,$EJ15))</x:f>
      </x:c>
      <x:c r="FE15" s="42" t="str">
        <x:f>IF(COUNT($EL15,$EM15,$EN15)=0,"",AVERAGE($EL15,$EM15,$EN15))</x:f>
      </x:c>
      <x:c r="FF15" s="42" t="str">
        <x:f>IF(OR($FD15="",$FE15=""),"",$FE15-$FD15)</x:f>
      </x:c>
      <x:c r="FG15" s="24" t="str">
        <x:f>IF(COUNT($DF15,$DG15,$DH15,$DJ15,$DK15,$DL15,$DM15,$DN15,$DO15,$DQ15,$DR15,$DS15)=12,"Yes","No")</x:f>
        <x:v>No</x:v>
      </x:c>
      <x:c r="FH15" s="24" t="str">
        <x:f>IF(COUNT($EA15,$EB15,$EC15,$EE15,$EF15,$EG15,$EH15,$EI15,$EJ15,$EL15,$EM15,$EN15)=12,"Yes","No")</x:f>
        <x:v>No</x:v>
      </x:c>
      <x:c r="FI15" s="24" t="str">
        <x:f>IF(AND($M15="Include",OR($FG15="Yes",$FH15="Yes")),"Ready","Not ready")</x:f>
        <x:v>Not ready</x:v>
      </x:c>
    </x:row>
    <x:row r="16" ht="24" customHeight="1">
      <x:c r="A16" s="22" t="str">
        <x:v>TRT-0014</x:v>
      </x:c>
      <x:c r="B16" s="22" t="n">
        <x:v>25</x:v>
      </x:c>
      <x:c r="C16" s="22" t="str">
        <x:v>Candidate treatment group</x:v>
      </x:c>
      <x:c r="D16" s="22" t="n">
        <x:v>1</x:v>
      </x:c>
      <x:c r="E16" s="22" t="str">
        <x:v>DATA - Innovation driven deals.xlsx</x:v>
      </x:c>
      <x:c r="F16" s="22" t="str">
        <x:v>astellas pharma acquires ogeda for up to</x:v>
      </x:c>
      <x:c r="G16" s="22" t="str">
        <x:v>Yes</x:v>
      </x:c>
      <x:c r="H16" s="22" t="str">
        <x:v>No</x:v>
      </x:c>
      <x:c r="I16" s="22" t="str">
        <x:v>No</x:v>
      </x:c>
      <x:c r="J16" s="22" t="n">
        <x:v>1</x:v>
      </x:c>
      <x:c r="K16" s="22" t="str">
        <x:v>Not started</x:v>
      </x:c>
      <x:c r="L16" s="22" t="str">
        <x:v>Eligible - 100%</x:v>
      </x:c>
      <x:c r="M16" s="22" t="str">
        <x:v>Review</x:v>
      </x:c>
      <x:c r="N16" s="22" t="str"/>
      <x:c r="O16" s="28" t="n">
        <x:v>42828</x:v>
      </x:c>
      <x:c r="P16" s="28" t="n">
        <x:v>42871</x:v>
      </x:c>
      <x:c r="Q16" s="22" t="n">
        <x:v>2017</x:v>
      </x:c>
      <x:c r="R16" s="22" t="str">
        <x:v>Q2 2017</x:v>
      </x:c>
      <x:c r="S16" s="22" t="str">
        <x:v>Completed</x:v>
      </x:c>
      <x:c r="T16" s="26" t="str">
        <x:v>Astellas Pharma Acquires Ogeda for up to USD852 Million</x:v>
      </x:c>
      <x:c r="U16" s="22" t="str">
        <x:v>Mergers &amp; Acquisitions</x:v>
      </x:c>
      <x:c r="V16" s="22" t="str">
        <x:v>Acquisition</x:v>
      </x:c>
      <x:c r="W16" s="22" t="str">
        <x:v>100% Acquisition</x:v>
      </x:c>
      <x:c r="X16" s="22" t="str">
        <x:v>Belgium</x:v>
      </x:c>
      <x:c r="Y16" s="22" t="str">
        <x:v>100% Acquisition</x:v>
      </x:c>
      <x:c r="Z16" s="26"/>
      <x:c r="AA16" s="26" t="str">
        <x:v>White &amp; Case LLP , Jones Day</x:v>
      </x:c>
      <x:c r="AB16" s="22" t="str">
        <x:v>Astellas Pharma Inc</x:v>
      </x:c>
      <x:c r="AC16" s="22" t="str">
        <x:v>astellas pharma</x:v>
      </x:c>
      <x:c r="AD16" s="22" t="str">
        <x:v>Ogeda SA</x:v>
      </x:c>
      <x:c r="AE16" s="22" t="str">
        <x:v>ogeda</x:v>
      </x:c>
      <x:c r="AF16" s="30" t="n">
        <x:v>852</x:v>
      </x:c>
      <x:c r="AG16" s="22" t="n">
        <x:v>852</x:v>
      </x:c>
      <x:c r="AH16" s="26" t="str">
        <x:v>Astellas Pharma Inc., a pharmaceutical company, has completed the acquisition of Ogeda SA, a drug discovery company, for a cash consideration of up to EUR800 million (USD851.98 million).
Under the agreement, Astellas Pharma paid up to a total of EUR800 million (USD851.98 million). Astellas Pharma will make an initial payment of EUR500 million (USD532.5 million) in consideration of 100% of the equity in Ogeda at the closing of the agreement. Then Ogeda shareholders will be eligible to receive an additional EUR300 million (USD319.49 million) with attainment of certain clinical development and regulatory milestones for fezolinetant. Following the transaction, Ogeda became a wholly owned subsidiary of Astellas Pharma.
Fezolinetant, is a selective NK3 receptor antagonist, and the positive data from a Phase IIa study result for the non-hormonal treatment of menopause-related vasomotor symptoms (MR-VMS), announced in January 2017. 
This acquisition enables Astellas Pharma to expand its late stage pipeline and is expected to contribute to its mid-to-long term growth.
Jones Day acted as legal advisor to Astellas Pharma and White &amp; Case LLP acted as legal advisor to Ogedas for the agreement.
Deal History:
Announced: On April 3, 2017, Astellas Pharma entered into a definitive agreement to acquire Ogeda, for a cash consideration of up to EUR800 million (USD851.98 million).</x:v>
      </x:c>
      <x:c r="AI16" s="26" t="str">
        <x:v>This acquisition enables Astellas Pharma to expand its late stage pipeline and is expected to contribute to its mid-to-long term growth.</x:v>
      </x:c>
      <x:c r="AJ16" s="22" t="str"/>
      <x:c r="AK16" s="22" t="str"/>
      <x:c r="AL16" s="22" t="str">
        <x:v>Unknown</x:v>
      </x:c>
      <x:c r="AM16" s="22" t="str">
        <x:v>Unknown</x:v>
      </x:c>
      <x:c r="AN16" s="22" t="str"/>
      <x:c r="AO16" s="22" t="str"/>
      <x:c r="AP16" s="22" t="str"/>
      <x:c r="AQ16" s="22" t="str"/>
      <x:c r="AR16" s="22" t="str"/>
      <x:c r="AS16" s="22" t="str">
        <x:v>Astellas Pharma Inc</x:v>
      </x:c>
      <x:c r="AT16" s="22" t="str">
        <x:v>Ogeda SA</x:v>
      </x:c>
      <x:c r="AU16" s="22" t="str">
        <x:v>Not reviewed</x:v>
      </x:c>
      <x:c r="AV16" s="22" t="str">
        <x:v>Not assessed</x:v>
      </x:c>
      <x:c r="AW16" s="22" t="str">
        <x:v>Unknown</x:v>
      </x:c>
      <x:c r="AX16" s="22" t="str">
        <x:v>Unknown</x:v>
      </x:c>
      <x:c r="AY16" s="22" t="str">
        <x:v>Unknown</x:v>
      </x:c>
      <x:c r="AZ16" s="22" t="str">
        <x:v>Unknown</x:v>
      </x:c>
      <x:c r="BA16" s="22" t="str">
        <x:v>Unknown</x:v>
      </x:c>
      <x:c r="BB16" s="22" t="str">
        <x:v>Unknown</x:v>
      </x:c>
      <x:c r="BC16" s="26" t="str"/>
      <x:c r="BD16" s="22" t="str"/>
      <x:c r="BE16" s="22" t="str"/>
      <x:c r="BF16" s="22" t="str">
        <x:v>Not collected</x:v>
      </x:c>
      <x:c r="BG16" s="22" t="str">
        <x:v>Not collected</x:v>
      </x:c>
      <x:c r="BH16" s="22" t="str">
        <x:v>Not defined</x:v>
      </x:c>
      <x:c r="BI16" s="22" t="n">
        <x:f>IF($Q16="","",$Q16-3)</x:f>
        <x:v>2014</x:v>
      </x:c>
      <x:c r="BJ16" s="22" t="n">
        <x:f>IF($Q16="","",$Q16-2)</x:f>
        <x:v>2015</x:v>
      </x:c>
      <x:c r="BK16" s="22" t="n">
        <x:f>IF($Q16="","",$Q16-1)</x:f>
        <x:v>2016</x:v>
      </x:c>
      <x:c r="BL16" s="22" t="n">
        <x:f>IF($Q16="","",$Q16+0)</x:f>
        <x:v>2017</x:v>
      </x:c>
      <x:c r="BM16" s="22" t="n">
        <x:f>IF($Q16="","",$Q16+1)</x:f>
        <x:v>2018</x:v>
      </x:c>
      <x:c r="BN16" s="22" t="n">
        <x:f>IF($Q16="","",$Q16+2)</x:f>
        <x:v>2019</x:v>
      </x:c>
      <x:c r="BO16" s="22" t="n">
        <x:f>IF($Q16="","",$Q16+3)</x:f>
        <x:v>2020</x:v>
      </x:c>
      <x:c r="BP16" s="30" t="str"/>
      <x:c r="BQ16" s="30" t="str"/>
      <x:c r="BR16" s="30" t="str"/>
      <x:c r="BS16" s="30" t="str"/>
      <x:c r="BT16" s="30" t="str"/>
      <x:c r="BU16" s="30" t="str"/>
      <x:c r="BV16" s="30" t="str"/>
      <x:c r="BW16" s="30" t="str"/>
      <x:c r="BX16" s="30" t="str"/>
      <x:c r="BY16" s="30" t="str"/>
      <x:c r="BZ16" s="30" t="str"/>
      <x:c r="CA16" s="30" t="str"/>
      <x:c r="CB16" s="30" t="str"/>
      <x:c r="CC16" s="30" t="str"/>
      <x:c r="CD16" s="30" t="str"/>
      <x:c r="CE16" s="30" t="str"/>
      <x:c r="CF16" s="30" t="str"/>
      <x:c r="CG16" s="30" t="str"/>
      <x:c r="CH16" s="30" t="str"/>
      <x:c r="CI16" s="30" t="str"/>
      <x:c r="CJ16" s="30" t="str"/>
      <x:c r="CK16" s="30" t="str"/>
      <x:c r="CL16" s="30" t="str"/>
      <x:c r="CM16" s="30" t="str"/>
      <x:c r="CN16" s="30" t="str"/>
      <x:c r="CO16" s="30" t="str"/>
      <x:c r="CP16" s="30" t="str"/>
      <x:c r="CQ16" s="30" t="str"/>
      <x:c r="CR16" s="30" t="str"/>
      <x:c r="CS16" s="30" t="str"/>
      <x:c r="CT16" s="30" t="str"/>
      <x:c r="CU16" s="30" t="str"/>
      <x:c r="CV16" s="30" t="str"/>
      <x:c r="CW16" s="30" t="str"/>
      <x:c r="CX16" s="30" t="str"/>
      <x:c r="CY16" s="30" t="str"/>
      <x:c r="CZ16" s="30" t="str"/>
      <x:c r="DA16" s="30" t="str"/>
      <x:c r="DB16" s="30" t="str"/>
      <x:c r="DC16" s="30" t="str"/>
      <x:c r="DD16" s="30" t="str"/>
      <x:c r="DE16" s="30" t="str"/>
      <x:c r="DF16" s="32" t="str"/>
      <x:c r="DG16" s="32" t="str"/>
      <x:c r="DH16" s="32" t="str"/>
      <x:c r="DI16" s="32" t="str"/>
      <x:c r="DJ16" s="32" t="str"/>
      <x:c r="DK16" s="32" t="str"/>
      <x:c r="DL16" s="32" t="str"/>
      <x:c r="DM16" s="32" t="str"/>
      <x:c r="DN16" s="32" t="str"/>
      <x:c r="DO16" s="32" t="str"/>
      <x:c r="DP16" s="32" t="str"/>
      <x:c r="DQ16" s="32" t="str"/>
      <x:c r="DR16" s="32" t="str"/>
      <x:c r="DS16" s="32" t="str"/>
      <x:c r="DT16" s="32" t="str"/>
      <x:c r="DU16" s="32" t="str"/>
      <x:c r="DV16" s="32" t="str"/>
      <x:c r="DW16" s="32" t="str"/>
      <x:c r="DX16" s="32" t="str"/>
      <x:c r="DY16" s="32" t="str"/>
      <x:c r="DZ16" s="32" t="str"/>
      <x:c r="EA16" s="34" t="str"/>
      <x:c r="EB16" s="34" t="str"/>
      <x:c r="EC16" s="34" t="str"/>
      <x:c r="ED16" s="34" t="str"/>
      <x:c r="EE16" s="34" t="str"/>
      <x:c r="EF16" s="34" t="str"/>
      <x:c r="EG16" s="34" t="str"/>
      <x:c r="EH16" s="34" t="str"/>
      <x:c r="EI16" s="34" t="str"/>
      <x:c r="EJ16" s="34" t="str"/>
      <x:c r="EK16" s="34" t="str"/>
      <x:c r="EL16" s="34" t="str"/>
      <x:c r="EM16" s="34" t="str"/>
      <x:c r="EN16" s="34" t="str"/>
      <x:c r="EO16" s="34" t="str"/>
      <x:c r="EP16" s="34" t="str"/>
      <x:c r="EQ16" s="36" t="str">
        <x:f>IF(OR($EO16="",$EP16="",$EO16=0),"",$EP16/$EO16)</x:f>
      </x:c>
      <x:c r="ER16" s="38" t="str"/>
      <x:c r="ES16" s="22" t="str">
        <x:v>Unknown</x:v>
      </x:c>
      <x:c r="ET16" s="22" t="str">
        <x:v>Unknown</x:v>
      </x:c>
      <x:c r="EU16" s="40" t="str">
        <x:f>IF(COUNT($DF16,$DG16,$DH16)=0,"",AVERAGE($DF16,$DG16,$DH16))</x:f>
      </x:c>
      <x:c r="EV16" s="40" t="str">
        <x:f>IF(COUNT($DJ16,$DK16,$DL16)=0,"",AVERAGE($DJ16,$DK16,$DL16))</x:f>
      </x:c>
      <x:c r="EW16" s="40" t="str">
        <x:f>IF(OR($EU16="",$EV16=""),"",$EV16-$EU16)</x:f>
      </x:c>
      <x:c r="EX16" s="40" t="str">
        <x:f>IF(COUNT($DM16,$DN16,$DO16)=0,"",AVERAGE($DM16,$DN16,$DO16))</x:f>
      </x:c>
      <x:c r="EY16" s="40" t="str">
        <x:f>IF(COUNT($DQ16,$DR16,$DS16)=0,"",AVERAGE($DQ16,$DR16,$DS16))</x:f>
      </x:c>
      <x:c r="EZ16" s="40" t="str">
        <x:f>IF(OR($EX16="",$EY16=""),"",$EY16-$EX16)</x:f>
      </x:c>
      <x:c r="FA16" s="42" t="str">
        <x:f>IF(COUNT($EA16,$EB16,$EC16)=0,"",AVERAGE($EA16,$EB16,$EC16))</x:f>
      </x:c>
      <x:c r="FB16" s="42" t="str">
        <x:f>IF(COUNT($EE16,$EF16,$EG16)=0,"",AVERAGE($EE16,$EF16,$EG16))</x:f>
      </x:c>
      <x:c r="FC16" s="42" t="str">
        <x:f>IF(OR($FA16="",$FB16=""),"",$FB16-$FA16)</x:f>
      </x:c>
      <x:c r="FD16" s="42" t="str">
        <x:f>IF(COUNT($EH16,$EI16,$EJ16)=0,"",AVERAGE($EH16,$EI16,$EJ16))</x:f>
      </x:c>
      <x:c r="FE16" s="42" t="str">
        <x:f>IF(COUNT($EL16,$EM16,$EN16)=0,"",AVERAGE($EL16,$EM16,$EN16))</x:f>
      </x:c>
      <x:c r="FF16" s="42" t="str">
        <x:f>IF(OR($FD16="",$FE16=""),"",$FE16-$FD16)</x:f>
      </x:c>
      <x:c r="FG16" s="24" t="str">
        <x:f>IF(COUNT($DF16,$DG16,$DH16,$DJ16,$DK16,$DL16,$DM16,$DN16,$DO16,$DQ16,$DR16,$DS16)=12,"Yes","No")</x:f>
        <x:v>No</x:v>
      </x:c>
      <x:c r="FH16" s="24" t="str">
        <x:f>IF(COUNT($EA16,$EB16,$EC16,$EE16,$EF16,$EG16,$EH16,$EI16,$EJ16,$EL16,$EM16,$EN16)=12,"Yes","No")</x:f>
        <x:v>No</x:v>
      </x:c>
      <x:c r="FI16" s="24" t="str">
        <x:f>IF(AND($M16="Include",OR($FG16="Yes",$FH16="Yes")),"Ready","Not ready")</x:f>
        <x:v>Not ready</x:v>
      </x:c>
    </x:row>
    <x:row r="17" ht="24" customHeight="1">
      <x:c r="A17" s="22" t="str">
        <x:v>TRT-0015</x:v>
      </x:c>
      <x:c r="B17" s="22" t="n">
        <x:v>26</x:v>
      </x:c>
      <x:c r="C17" s="22" t="str">
        <x:v>Candidate treatment group</x:v>
      </x:c>
      <x:c r="D17" s="22" t="n">
        <x:v>1</x:v>
      </x:c>
      <x:c r="E17" s="22" t="str">
        <x:v>DATA - Innovation driven deals.xlsx</x:v>
      </x:c>
      <x:c r="F17" s="22" t="str">
        <x:v>boston scientific acquires symetis for</x:v>
      </x:c>
      <x:c r="G17" s="22" t="str">
        <x:v>Yes</x:v>
      </x:c>
      <x:c r="H17" s="22" t="str">
        <x:v>No</x:v>
      </x:c>
      <x:c r="I17" s="22" t="str">
        <x:v>No</x:v>
      </x:c>
      <x:c r="J17" s="22" t="n">
        <x:v>1</x:v>
      </x:c>
      <x:c r="K17" s="22" t="str">
        <x:v>Not started</x:v>
      </x:c>
      <x:c r="L17" s="22" t="str">
        <x:v>Eligible - 100%</x:v>
      </x:c>
      <x:c r="M17" s="22" t="str">
        <x:v>Review</x:v>
      </x:c>
      <x:c r="N17" s="22" t="str"/>
      <x:c r="O17" s="28" t="n">
        <x:v>42824</x:v>
      </x:c>
      <x:c r="P17" s="28" t="n">
        <x:v>42871</x:v>
      </x:c>
      <x:c r="Q17" s="22" t="n">
        <x:v>2017</x:v>
      </x:c>
      <x:c r="R17" s="22" t="str">
        <x:v>Q1 2017</x:v>
      </x:c>
      <x:c r="S17" s="22" t="str">
        <x:v>Completed</x:v>
      </x:c>
      <x:c r="T17" s="26" t="str">
        <x:v>Boston Scientific Acquires Symetis for USD435 Million</x:v>
      </x:c>
      <x:c r="U17" s="22" t="str">
        <x:v>Mergers &amp; Acquisitions</x:v>
      </x:c>
      <x:c r="V17" s="22" t="str">
        <x:v>Acquisition</x:v>
      </x:c>
      <x:c r="W17" s="22" t="str">
        <x:v>100% Acquisition</x:v>
      </x:c>
      <x:c r="X17" s="22" t="str">
        <x:v>Switzerland</x:v>
      </x:c>
      <x:c r="Y17" s="22" t="str">
        <x:v>100% Acquisition</x:v>
      </x:c>
      <x:c r="Z17" s="26" t="str">
        <x:v>Vischer AG</x:v>
      </x:c>
      <x:c r="AA17" s="26" t="str">
        <x:v>Latham &amp; Watkins LLP</x:v>
      </x:c>
      <x:c r="AB17" s="22" t="str">
        <x:v>Boston Scientific Corp</x:v>
      </x:c>
      <x:c r="AC17" s="22" t="str">
        <x:v>boston scientific</x:v>
      </x:c>
      <x:c r="AD17" s="22" t="str">
        <x:v>Symetis SA (Inactive)</x:v>
      </x:c>
      <x:c r="AE17" s="22" t="str">
        <x:v>symetis</x:v>
      </x:c>
      <x:c r="AF17" s="30" t="n">
        <x:v>435</x:v>
      </x:c>
      <x:c r="AG17" s="22" t="n">
        <x:v>435</x:v>
      </x:c>
      <x:c r="AH17" s="26" t="str">
        <x:v>Boston Scientific Corporation, a medical technology, has completed the acquisition Symetis SA, a medical technology company, for a purchase consideration of USD435 million in up-front cash.
The Symetis portfolio includes the ACURATE tA and ACURATE neo/TF valve systems for use in the treatment of high-risk patients suffering from severe and symptomatic aortic valve stenosis, which are sold in Europe and in other geographies outside of the United States. Symetis is also developing the ACURATE neo/AS next generation valve system, currently in a clinical trial intended to serve as the basis for a future CE mark application.
On an adjusted basis, the transaction is expected to be immaterial in 2017, slightly accretive in 2018, and increasingly accretive thereafter. The transaction is expected to be less accretive (or dilutive, as the case may be) on a GAAP basis, due to amortization expense and transaction and integration costs.
This transaction enables Boston Scientific to expand treatments for patients with aortic valvular heart disease and strengthen its position in structural heart globally.
Vischer AG acted as advisor to Symetis for the transaction.
Deal History:
Announced: On March 30, 2017, Boston Scientific entered into definitive agreement to acquire Symetis, for a purchase consideration of USD435 million in up-front cash.</x:v>
      </x:c>
      <x:c r="AI17" s="26" t="str">
        <x:v>This transaction enables Boston Scientific to expand treatments for patients with aortic valvular heart disease and strengthen its position in structural heart globally.</x:v>
      </x:c>
      <x:c r="AJ17" s="22" t="str"/>
      <x:c r="AK17" s="22" t="str"/>
      <x:c r="AL17" s="22" t="str">
        <x:v>Unknown</x:v>
      </x:c>
      <x:c r="AM17" s="22" t="str">
        <x:v>Unknown</x:v>
      </x:c>
      <x:c r="AN17" s="22" t="str"/>
      <x:c r="AO17" s="22" t="str"/>
      <x:c r="AP17" s="22" t="str"/>
      <x:c r="AQ17" s="22" t="str"/>
      <x:c r="AR17" s="22" t="str"/>
      <x:c r="AS17" s="22" t="str">
        <x:v>Boston Scientific Corp</x:v>
      </x:c>
      <x:c r="AT17" s="22" t="str">
        <x:v>Symetis SA (Inactive)</x:v>
      </x:c>
      <x:c r="AU17" s="22" t="str">
        <x:v>Not reviewed</x:v>
      </x:c>
      <x:c r="AV17" s="22" t="str">
        <x:v>Not assessed</x:v>
      </x:c>
      <x:c r="AW17" s="22" t="str">
        <x:v>Unknown</x:v>
      </x:c>
      <x:c r="AX17" s="22" t="str">
        <x:v>Unknown</x:v>
      </x:c>
      <x:c r="AY17" s="22" t="str">
        <x:v>Unknown</x:v>
      </x:c>
      <x:c r="AZ17" s="22" t="str">
        <x:v>Unknown</x:v>
      </x:c>
      <x:c r="BA17" s="22" t="str">
        <x:v>Unknown</x:v>
      </x:c>
      <x:c r="BB17" s="22" t="str">
        <x:v>Unknown</x:v>
      </x:c>
      <x:c r="BC17" s="26" t="str"/>
      <x:c r="BD17" s="22" t="str"/>
      <x:c r="BE17" s="22" t="str"/>
      <x:c r="BF17" s="22" t="str">
        <x:v>Not collected</x:v>
      </x:c>
      <x:c r="BG17" s="22" t="str">
        <x:v>Not collected</x:v>
      </x:c>
      <x:c r="BH17" s="22" t="str">
        <x:v>Not defined</x:v>
      </x:c>
      <x:c r="BI17" s="22" t="n">
        <x:f>IF($Q17="","",$Q17-3)</x:f>
        <x:v>2014</x:v>
      </x:c>
      <x:c r="BJ17" s="22" t="n">
        <x:f>IF($Q17="","",$Q17-2)</x:f>
        <x:v>2015</x:v>
      </x:c>
      <x:c r="BK17" s="22" t="n">
        <x:f>IF($Q17="","",$Q17-1)</x:f>
        <x:v>2016</x:v>
      </x:c>
      <x:c r="BL17" s="22" t="n">
        <x:f>IF($Q17="","",$Q17+0)</x:f>
        <x:v>2017</x:v>
      </x:c>
      <x:c r="BM17" s="22" t="n">
        <x:f>IF($Q17="","",$Q17+1)</x:f>
        <x:v>2018</x:v>
      </x:c>
      <x:c r="BN17" s="22" t="n">
        <x:f>IF($Q17="","",$Q17+2)</x:f>
        <x:v>2019</x:v>
      </x:c>
      <x:c r="BO17" s="22" t="n">
        <x:f>IF($Q17="","",$Q17+3)</x:f>
        <x:v>2020</x:v>
      </x:c>
      <x:c r="BP17" s="30" t="str"/>
      <x:c r="BQ17" s="30" t="str"/>
      <x:c r="BR17" s="30" t="str"/>
      <x:c r="BS17" s="30" t="str"/>
      <x:c r="BT17" s="30" t="str"/>
      <x:c r="BU17" s="30" t="str"/>
      <x:c r="BV17" s="30" t="str"/>
      <x:c r="BW17" s="30" t="str"/>
      <x:c r="BX17" s="30" t="str"/>
      <x:c r="BY17" s="30" t="str"/>
      <x:c r="BZ17" s="30" t="str"/>
      <x:c r="CA17" s="30" t="str"/>
      <x:c r="CB17" s="30" t="str"/>
      <x:c r="CC17" s="30" t="str"/>
      <x:c r="CD17" s="30" t="str"/>
      <x:c r="CE17" s="30" t="str"/>
      <x:c r="CF17" s="30" t="str"/>
      <x:c r="CG17" s="30" t="str"/>
      <x:c r="CH17" s="30" t="str"/>
      <x:c r="CI17" s="30" t="str"/>
      <x:c r="CJ17" s="30" t="str"/>
      <x:c r="CK17" s="30" t="str"/>
      <x:c r="CL17" s="30" t="str"/>
      <x:c r="CM17" s="30" t="str"/>
      <x:c r="CN17" s="30" t="str"/>
      <x:c r="CO17" s="30" t="str"/>
      <x:c r="CP17" s="30" t="str"/>
      <x:c r="CQ17" s="30" t="str"/>
      <x:c r="CR17" s="30" t="str"/>
      <x:c r="CS17" s="30" t="str"/>
      <x:c r="CT17" s="30" t="str"/>
      <x:c r="CU17" s="30" t="str"/>
      <x:c r="CV17" s="30" t="str"/>
      <x:c r="CW17" s="30" t="str"/>
      <x:c r="CX17" s="30" t="str"/>
      <x:c r="CY17" s="30" t="str"/>
      <x:c r="CZ17" s="30" t="str"/>
      <x:c r="DA17" s="30" t="str"/>
      <x:c r="DB17" s="30" t="str"/>
      <x:c r="DC17" s="30" t="str"/>
      <x:c r="DD17" s="30" t="str"/>
      <x:c r="DE17" s="30" t="str"/>
      <x:c r="DF17" s="32" t="str"/>
      <x:c r="DG17" s="32" t="str"/>
      <x:c r="DH17" s="32" t="str"/>
      <x:c r="DI17" s="32" t="str"/>
      <x:c r="DJ17" s="32" t="str"/>
      <x:c r="DK17" s="32" t="str"/>
      <x:c r="DL17" s="32" t="str"/>
      <x:c r="DM17" s="32" t="str"/>
      <x:c r="DN17" s="32" t="str"/>
      <x:c r="DO17" s="32" t="str"/>
      <x:c r="DP17" s="32" t="str"/>
      <x:c r="DQ17" s="32" t="str"/>
      <x:c r="DR17" s="32" t="str"/>
      <x:c r="DS17" s="32" t="str"/>
      <x:c r="DT17" s="32" t="str"/>
      <x:c r="DU17" s="32" t="str"/>
      <x:c r="DV17" s="32" t="str"/>
      <x:c r="DW17" s="32" t="str"/>
      <x:c r="DX17" s="32" t="str"/>
      <x:c r="DY17" s="32" t="str"/>
      <x:c r="DZ17" s="32" t="str"/>
      <x:c r="EA17" s="34" t="str"/>
      <x:c r="EB17" s="34" t="str"/>
      <x:c r="EC17" s="34" t="str"/>
      <x:c r="ED17" s="34" t="str"/>
      <x:c r="EE17" s="34" t="str"/>
      <x:c r="EF17" s="34" t="str"/>
      <x:c r="EG17" s="34" t="str"/>
      <x:c r="EH17" s="34" t="str"/>
      <x:c r="EI17" s="34" t="str"/>
      <x:c r="EJ17" s="34" t="str"/>
      <x:c r="EK17" s="34" t="str"/>
      <x:c r="EL17" s="34" t="str"/>
      <x:c r="EM17" s="34" t="str"/>
      <x:c r="EN17" s="34" t="str"/>
      <x:c r="EO17" s="34" t="str"/>
      <x:c r="EP17" s="34" t="str"/>
      <x:c r="EQ17" s="36" t="str">
        <x:f>IF(OR($EO17="",$EP17="",$EO17=0),"",$EP17/$EO17)</x:f>
      </x:c>
      <x:c r="ER17" s="38" t="str"/>
      <x:c r="ES17" s="22" t="str">
        <x:v>Unknown</x:v>
      </x:c>
      <x:c r="ET17" s="22" t="str">
        <x:v>Unknown</x:v>
      </x:c>
      <x:c r="EU17" s="40" t="str">
        <x:f>IF(COUNT($DF17,$DG17,$DH17)=0,"",AVERAGE($DF17,$DG17,$DH17))</x:f>
      </x:c>
      <x:c r="EV17" s="40" t="str">
        <x:f>IF(COUNT($DJ17,$DK17,$DL17)=0,"",AVERAGE($DJ17,$DK17,$DL17))</x:f>
      </x:c>
      <x:c r="EW17" s="40" t="str">
        <x:f>IF(OR($EU17="",$EV17=""),"",$EV17-$EU17)</x:f>
      </x:c>
      <x:c r="EX17" s="40" t="str">
        <x:f>IF(COUNT($DM17,$DN17,$DO17)=0,"",AVERAGE($DM17,$DN17,$DO17))</x:f>
      </x:c>
      <x:c r="EY17" s="40" t="str">
        <x:f>IF(COUNT($DQ17,$DR17,$DS17)=0,"",AVERAGE($DQ17,$DR17,$DS17))</x:f>
      </x:c>
      <x:c r="EZ17" s="40" t="str">
        <x:f>IF(OR($EX17="",$EY17=""),"",$EY17-$EX17)</x:f>
      </x:c>
      <x:c r="FA17" s="42" t="str">
        <x:f>IF(COUNT($EA17,$EB17,$EC17)=0,"",AVERAGE($EA17,$EB17,$EC17))</x:f>
      </x:c>
      <x:c r="FB17" s="42" t="str">
        <x:f>IF(COUNT($EE17,$EF17,$EG17)=0,"",AVERAGE($EE17,$EF17,$EG17))</x:f>
      </x:c>
      <x:c r="FC17" s="42" t="str">
        <x:f>IF(OR($FA17="",$FB17=""),"",$FB17-$FA17)</x:f>
      </x:c>
      <x:c r="FD17" s="42" t="str">
        <x:f>IF(COUNT($EH17,$EI17,$EJ17)=0,"",AVERAGE($EH17,$EI17,$EJ17))</x:f>
      </x:c>
      <x:c r="FE17" s="42" t="str">
        <x:f>IF(COUNT($EL17,$EM17,$EN17)=0,"",AVERAGE($EL17,$EM17,$EN17))</x:f>
      </x:c>
      <x:c r="FF17" s="42" t="str">
        <x:f>IF(OR($FD17="",$FE17=""),"",$FE17-$FD17)</x:f>
      </x:c>
      <x:c r="FG17" s="24" t="str">
        <x:f>IF(COUNT($DF17,$DG17,$DH17,$DJ17,$DK17,$DL17,$DM17,$DN17,$DO17,$DQ17,$DR17,$DS17)=12,"Yes","No")</x:f>
        <x:v>No</x:v>
      </x:c>
      <x:c r="FH17" s="24" t="str">
        <x:f>IF(COUNT($EA17,$EB17,$EC17,$EE17,$EF17,$EG17,$EH17,$EI17,$EJ17,$EL17,$EM17,$EN17)=12,"Yes","No")</x:f>
        <x:v>No</x:v>
      </x:c>
      <x:c r="FI17" s="24" t="str">
        <x:f>IF(AND($M17="Include",OR($FG17="Yes",$FH17="Yes")),"Ready","Not ready")</x:f>
        <x:v>Not ready</x:v>
      </x:c>
    </x:row>
    <x:row r="18" ht="24" customHeight="1">
      <x:c r="A18" s="22" t="str">
        <x:v>TRT-0016</x:v>
      </x:c>
      <x:c r="B18" s="22" t="n">
        <x:v>27</x:v>
      </x:c>
      <x:c r="C18" s="22" t="str">
        <x:v>Candidate treatment group</x:v>
      </x:c>
      <x:c r="D18" s="22" t="n">
        <x:v>1</x:v>
      </x:c>
      <x:c r="E18" s="22" t="str">
        <x:v>DATA - Innovation driven deals.xlsx</x:v>
      </x:c>
      <x:c r="F18" s="22" t="str">
        <x:v>biolinerx acquires agalimmune</x:v>
      </x:c>
      <x:c r="G18" s="22" t="str">
        <x:v>Yes</x:v>
      </x:c>
      <x:c r="H18" s="22" t="str">
        <x:v>No</x:v>
      </x:c>
      <x:c r="I18" s="22" t="str">
        <x:v>No</x:v>
      </x:c>
      <x:c r="J18" s="22" t="n">
        <x:v>1</x:v>
      </x:c>
      <x:c r="K18" s="22" t="str">
        <x:v>Not started</x:v>
      </x:c>
      <x:c r="L18" s="22" t="str">
        <x:v>Eligible - 100%</x:v>
      </x:c>
      <x:c r="M18" s="22" t="str">
        <x:v>Review</x:v>
      </x:c>
      <x:c r="N18" s="22" t="str"/>
      <x:c r="O18" s="28" t="n">
        <x:v>42817</x:v>
      </x:c>
      <x:c r="P18" s="28" t="n">
        <x:v>42817</x:v>
      </x:c>
      <x:c r="Q18" s="22" t="n">
        <x:v>2017</x:v>
      </x:c>
      <x:c r="R18" s="22" t="str">
        <x:v>Q1 2017</x:v>
      </x:c>
      <x:c r="S18" s="22" t="str">
        <x:v>Completed</x:v>
      </x:c>
      <x:c r="T18" s="26" t="str">
        <x:v>BioLineRx Acquires Agalimmune</x:v>
      </x:c>
      <x:c r="U18" s="22" t="str">
        <x:v>Mergers &amp; Acquisitions</x:v>
      </x:c>
      <x:c r="V18" s="22" t="str">
        <x:v>Acquisition</x:v>
      </x:c>
      <x:c r="W18" s="22" t="str">
        <x:v>100% Acquisition</x:v>
      </x:c>
      <x:c r="X18" s="22" t="str">
        <x:v>United Kingdom</x:v>
      </x:c>
      <x:c r="Y18" s="22" t="str">
        <x:v>100% Acquisition</x:v>
      </x:c>
      <x:c r="Z18" s="26"/>
      <x:c r="AA18" s="26" t="str">
        <x:v>King &amp; Wood Mallesons LLP</x:v>
      </x:c>
      <x:c r="AB18" s="22" t="str">
        <x:v>BioLineRx Ltd</x:v>
      </x:c>
      <x:c r="AC18" s="22" t="str">
        <x:v>biolinerx</x:v>
      </x:c>
      <x:c r="AD18" s="22" t="str">
        <x:v>Agalimmune Ltd</x:v>
      </x:c>
      <x:c r="AE18" s="22" t="str">
        <x:v>agalimmune</x:v>
      </x:c>
      <x:c r="AF18" s="30" t="n">
        <x:v>6</x:v>
      </x:c>
      <x:c r="AG18" s="22" t="n">
        <x:v>6</x:v>
      </x:c>
      <x:c r="AH18" s="26" t="str">
        <x:v>BioLineRx Ltd., a biopharmaceutical company focused on oncology and immunology, has acquired Agalimmune Ltd., a developer of anti-cancer immunotherapy, and its technology platform for a initial consideration of USD5.85 million, of which USD2.85 million is in cash and the remainder in the Company’s ADSs. Additional consideration may be due to Agalimmune shareholders based on certain development and commercial milestones, including future sales of Agalimmune products. The acquisition expands the Company’s pipeline with a number of assets, including Agalimmune’s primary asset, AGI-134, a novel immuno-oncology agent for various cancer indications at the near-clinical stage of development. Agalimmune also has a number of early-stage preclinical assets for future evaluation by the Company.
Agalimmune’s lead compound, AGI-134 is a synthetic alpha-Gal immunotherapy in development for solid tumors. AGI-134 has completed numerous pre-clinical studies, demonstrating robust protection against the development of secondary tumors in a model of melanoma with a single dose only. Synergy has also been demonstrated in additional pre-clinical studies when combined with a PD-1 immune checkpoint inhibitor, offering the potential to broaden the utility of such immunotherapies, and improve the rate and duration of responses in multiple cancer types. AGI-134 is in near-clinical development and is expected to commence a first-in-man study in patients with solid tumors in the first half of 2018.
This agreement enables BioLineRx to incorporate AGI-134 in its pipeline and strengthen its position in immuno-oncology.
King &amp; Wood Mallesons acted as legal advisor to Agalimmune for the transaction.</x:v>
      </x:c>
      <x:c r="AI18" s="26" t="str">
        <x:v>This agreement enables BioLineRx to incorporate AGI-134 in its pipeline and strengthen its position in immuno-oncology.</x:v>
      </x:c>
      <x:c r="AJ18" s="22" t="str"/>
      <x:c r="AK18" s="22" t="str"/>
      <x:c r="AL18" s="22" t="str">
        <x:v>Unknown</x:v>
      </x:c>
      <x:c r="AM18" s="22" t="str">
        <x:v>Unknown</x:v>
      </x:c>
      <x:c r="AN18" s="22" t="str"/>
      <x:c r="AO18" s="22" t="str"/>
      <x:c r="AP18" s="22" t="str"/>
      <x:c r="AQ18" s="22" t="str"/>
      <x:c r="AR18" s="22" t="str"/>
      <x:c r="AS18" s="22" t="str">
        <x:v>BioLineRx Ltd</x:v>
      </x:c>
      <x:c r="AT18" s="22" t="str">
        <x:v>Agalimmune Ltd</x:v>
      </x:c>
      <x:c r="AU18" s="22" t="str">
        <x:v>Not reviewed</x:v>
      </x:c>
      <x:c r="AV18" s="22" t="str">
        <x:v>Not assessed</x:v>
      </x:c>
      <x:c r="AW18" s="22" t="str">
        <x:v>Unknown</x:v>
      </x:c>
      <x:c r="AX18" s="22" t="str">
        <x:v>Unknown</x:v>
      </x:c>
      <x:c r="AY18" s="22" t="str">
        <x:v>Unknown</x:v>
      </x:c>
      <x:c r="AZ18" s="22" t="str">
        <x:v>Unknown</x:v>
      </x:c>
      <x:c r="BA18" s="22" t="str">
        <x:v>Unknown</x:v>
      </x:c>
      <x:c r="BB18" s="22" t="str">
        <x:v>Unknown</x:v>
      </x:c>
      <x:c r="BC18" s="26" t="str"/>
      <x:c r="BD18" s="22" t="str"/>
      <x:c r="BE18" s="22" t="str"/>
      <x:c r="BF18" s="22" t="str">
        <x:v>Not collected</x:v>
      </x:c>
      <x:c r="BG18" s="22" t="str">
        <x:v>Not collected</x:v>
      </x:c>
      <x:c r="BH18" s="22" t="str">
        <x:v>Not defined</x:v>
      </x:c>
      <x:c r="BI18" s="22" t="n">
        <x:f>IF($Q18="","",$Q18-3)</x:f>
        <x:v>2014</x:v>
      </x:c>
      <x:c r="BJ18" s="22" t="n">
        <x:f>IF($Q18="","",$Q18-2)</x:f>
        <x:v>2015</x:v>
      </x:c>
      <x:c r="BK18" s="22" t="n">
        <x:f>IF($Q18="","",$Q18-1)</x:f>
        <x:v>2016</x:v>
      </x:c>
      <x:c r="BL18" s="22" t="n">
        <x:f>IF($Q18="","",$Q18+0)</x:f>
        <x:v>2017</x:v>
      </x:c>
      <x:c r="BM18" s="22" t="n">
        <x:f>IF($Q18="","",$Q18+1)</x:f>
        <x:v>2018</x:v>
      </x:c>
      <x:c r="BN18" s="22" t="n">
        <x:f>IF($Q18="","",$Q18+2)</x:f>
        <x:v>2019</x:v>
      </x:c>
      <x:c r="BO18" s="22" t="n">
        <x:f>IF($Q18="","",$Q18+3)</x:f>
        <x:v>2020</x:v>
      </x:c>
      <x:c r="BP18" s="30" t="str"/>
      <x:c r="BQ18" s="30" t="str"/>
      <x:c r="BR18" s="30" t="str"/>
      <x:c r="BS18" s="30" t="str"/>
      <x:c r="BT18" s="30" t="str"/>
      <x:c r="BU18" s="30" t="str"/>
      <x:c r="BV18" s="30" t="str"/>
      <x:c r="BW18" s="30" t="str"/>
      <x:c r="BX18" s="30" t="str"/>
      <x:c r="BY18" s="30" t="str"/>
      <x:c r="BZ18" s="30" t="str"/>
      <x:c r="CA18" s="30" t="str"/>
      <x:c r="CB18" s="30" t="str"/>
      <x:c r="CC18" s="30" t="str"/>
      <x:c r="CD18" s="30" t="str"/>
      <x:c r="CE18" s="30" t="str"/>
      <x:c r="CF18" s="30" t="str"/>
      <x:c r="CG18" s="30" t="str"/>
      <x:c r="CH18" s="30" t="str"/>
      <x:c r="CI18" s="30" t="str"/>
      <x:c r="CJ18" s="30" t="str"/>
      <x:c r="CK18" s="30" t="str"/>
      <x:c r="CL18" s="30" t="str"/>
      <x:c r="CM18" s="30" t="str"/>
      <x:c r="CN18" s="30" t="str"/>
      <x:c r="CO18" s="30" t="str"/>
      <x:c r="CP18" s="30" t="str"/>
      <x:c r="CQ18" s="30" t="str"/>
      <x:c r="CR18" s="30" t="str"/>
      <x:c r="CS18" s="30" t="str"/>
      <x:c r="CT18" s="30" t="str"/>
      <x:c r="CU18" s="30" t="str"/>
      <x:c r="CV18" s="30" t="str"/>
      <x:c r="CW18" s="30" t="str"/>
      <x:c r="CX18" s="30" t="str"/>
      <x:c r="CY18" s="30" t="str"/>
      <x:c r="CZ18" s="30" t="str"/>
      <x:c r="DA18" s="30" t="str"/>
      <x:c r="DB18" s="30" t="str"/>
      <x:c r="DC18" s="30" t="str"/>
      <x:c r="DD18" s="30" t="str"/>
      <x:c r="DE18" s="30" t="str"/>
      <x:c r="DF18" s="32" t="str"/>
      <x:c r="DG18" s="32" t="str"/>
      <x:c r="DH18" s="32" t="str"/>
      <x:c r="DI18" s="32" t="str"/>
      <x:c r="DJ18" s="32" t="str"/>
      <x:c r="DK18" s="32" t="str"/>
      <x:c r="DL18" s="32" t="str"/>
      <x:c r="DM18" s="32" t="str"/>
      <x:c r="DN18" s="32" t="str"/>
      <x:c r="DO18" s="32" t="str"/>
      <x:c r="DP18" s="32" t="str"/>
      <x:c r="DQ18" s="32" t="str"/>
      <x:c r="DR18" s="32" t="str"/>
      <x:c r="DS18" s="32" t="str"/>
      <x:c r="DT18" s="32" t="str"/>
      <x:c r="DU18" s="32" t="str"/>
      <x:c r="DV18" s="32" t="str"/>
      <x:c r="DW18" s="32" t="str"/>
      <x:c r="DX18" s="32" t="str"/>
      <x:c r="DY18" s="32" t="str"/>
      <x:c r="DZ18" s="32" t="str"/>
      <x:c r="EA18" s="34" t="str"/>
      <x:c r="EB18" s="34" t="str"/>
      <x:c r="EC18" s="34" t="str"/>
      <x:c r="ED18" s="34" t="str"/>
      <x:c r="EE18" s="34" t="str"/>
      <x:c r="EF18" s="34" t="str"/>
      <x:c r="EG18" s="34" t="str"/>
      <x:c r="EH18" s="34" t="str"/>
      <x:c r="EI18" s="34" t="str"/>
      <x:c r="EJ18" s="34" t="str"/>
      <x:c r="EK18" s="34" t="str"/>
      <x:c r="EL18" s="34" t="str"/>
      <x:c r="EM18" s="34" t="str"/>
      <x:c r="EN18" s="34" t="str"/>
      <x:c r="EO18" s="34" t="str"/>
      <x:c r="EP18" s="34" t="str"/>
      <x:c r="EQ18" s="36" t="str">
        <x:f>IF(OR($EO18="",$EP18="",$EO18=0),"",$EP18/$EO18)</x:f>
      </x:c>
      <x:c r="ER18" s="38" t="str"/>
      <x:c r="ES18" s="22" t="str">
        <x:v>Unknown</x:v>
      </x:c>
      <x:c r="ET18" s="22" t="str">
        <x:v>Unknown</x:v>
      </x:c>
      <x:c r="EU18" s="40" t="str">
        <x:f>IF(COUNT($DF18,$DG18,$DH18)=0,"",AVERAGE($DF18,$DG18,$DH18))</x:f>
      </x:c>
      <x:c r="EV18" s="40" t="str">
        <x:f>IF(COUNT($DJ18,$DK18,$DL18)=0,"",AVERAGE($DJ18,$DK18,$DL18))</x:f>
      </x:c>
      <x:c r="EW18" s="40" t="str">
        <x:f>IF(OR($EU18="",$EV18=""),"",$EV18-$EU18)</x:f>
      </x:c>
      <x:c r="EX18" s="40" t="str">
        <x:f>IF(COUNT($DM18,$DN18,$DO18)=0,"",AVERAGE($DM18,$DN18,$DO18))</x:f>
      </x:c>
      <x:c r="EY18" s="40" t="str">
        <x:f>IF(COUNT($DQ18,$DR18,$DS18)=0,"",AVERAGE($DQ18,$DR18,$DS18))</x:f>
      </x:c>
      <x:c r="EZ18" s="40" t="str">
        <x:f>IF(OR($EX18="",$EY18=""),"",$EY18-$EX18)</x:f>
      </x:c>
      <x:c r="FA18" s="42" t="str">
        <x:f>IF(COUNT($EA18,$EB18,$EC18)=0,"",AVERAGE($EA18,$EB18,$EC18))</x:f>
      </x:c>
      <x:c r="FB18" s="42" t="str">
        <x:f>IF(COUNT($EE18,$EF18,$EG18)=0,"",AVERAGE($EE18,$EF18,$EG18))</x:f>
      </x:c>
      <x:c r="FC18" s="42" t="str">
        <x:f>IF(OR($FA18="",$FB18=""),"",$FB18-$FA18)</x:f>
      </x:c>
      <x:c r="FD18" s="42" t="str">
        <x:f>IF(COUNT($EH18,$EI18,$EJ18)=0,"",AVERAGE($EH18,$EI18,$EJ18))</x:f>
      </x:c>
      <x:c r="FE18" s="42" t="str">
        <x:f>IF(COUNT($EL18,$EM18,$EN18)=0,"",AVERAGE($EL18,$EM18,$EN18))</x:f>
      </x:c>
      <x:c r="FF18" s="42" t="str">
        <x:f>IF(OR($FD18="",$FE18=""),"",$FE18-$FD18)</x:f>
      </x:c>
      <x:c r="FG18" s="24" t="str">
        <x:f>IF(COUNT($DF18,$DG18,$DH18,$DJ18,$DK18,$DL18,$DM18,$DN18,$DO18,$DQ18,$DR18,$DS18)=12,"Yes","No")</x:f>
        <x:v>No</x:v>
      </x:c>
      <x:c r="FH18" s="24" t="str">
        <x:f>IF(COUNT($EA18,$EB18,$EC18,$EE18,$EF18,$EG18,$EH18,$EI18,$EJ18,$EL18,$EM18,$EN18)=12,"Yes","No")</x:f>
        <x:v>No</x:v>
      </x:c>
      <x:c r="FI18" s="24" t="str">
        <x:f>IF(AND($M18="Include",OR($FG18="Yes",$FH18="Yes")),"Ready","Not ready")</x:f>
        <x:v>Not ready</x:v>
      </x:c>
    </x:row>
    <x:row r="19" ht="24" customHeight="1">
      <x:c r="A19" s="22" t="str">
        <x:v>TRT-0017</x:v>
      </x:c>
      <x:c r="B19" s="22" t="n">
        <x:v>28</x:v>
      </x:c>
      <x:c r="C19" s="22" t="str">
        <x:v>Candidate treatment group</x:v>
      </x:c>
      <x:c r="D19" s="22" t="n">
        <x:v>1</x:v>
      </x:c>
      <x:c r="E19" s="22" t="str">
        <x:v>DATA - Innovation driven deals.xlsx</x:v>
      </x:c>
      <x:c r="F19" s="22" t="str">
        <x:v>mediolanum farmaceutici acquires therabel pharma gienne</x:v>
      </x:c>
      <x:c r="G19" s="22" t="str">
        <x:v>No</x:v>
      </x:c>
      <x:c r="H19" s="22" t="str">
        <x:v>No</x:v>
      </x:c>
      <x:c r="I19" s="22" t="str">
        <x:v>No</x:v>
      </x:c>
      <x:c r="J19" s="22" t="n">
        <x:v>1</x:v>
      </x:c>
      <x:c r="K19" s="22" t="str">
        <x:v>Not started</x:v>
      </x:c>
      <x:c r="L19" s="22" t="str">
        <x:v>Exclude - minority</x:v>
      </x:c>
      <x:c r="M19" s="22" t="str">
        <x:v>Review</x:v>
      </x:c>
      <x:c r="N19" s="22" t="str"/>
      <x:c r="O19" s="28" t="n">
        <x:v>42783</x:v>
      </x:c>
      <x:c r="P19" s="28" t="n">
        <x:v>42796</x:v>
      </x:c>
      <x:c r="Q19" s="22" t="n">
        <x:v>2017</x:v>
      </x:c>
      <x:c r="R19" s="22" t="str">
        <x:v>Q1 2017</x:v>
      </x:c>
      <x:c r="S19" s="22" t="str">
        <x:v>Completed</x:v>
      </x:c>
      <x:c r="T19" s="26" t="str">
        <x:v>Mediolanum Farmaceutici Acquires Therabel Pharma Gienne</x:v>
      </x:c>
      <x:c r="U19" s="22" t="str">
        <x:v>Mergers &amp; Acquisitions</x:v>
      </x:c>
      <x:c r="V19" s="22" t="str">
        <x:v>Acquisition</x:v>
      </x:c>
      <x:c r="W19" s="22" t="str">
        <x:v>Minority Acquisition</x:v>
      </x:c>
      <x:c r="X19" s="22" t="str">
        <x:v>Italy</x:v>
      </x:c>
      <x:c r="Y19" s="22" t="str">
        <x:v>Minority Acquisition</x:v>
      </x:c>
      <x:c r="Z19" s="26" t="str">
        <x:v>Ernst &amp; Young Global Ltd</x:v>
      </x:c>
      <x:c r="AA19" s="26" t="str">
        <x:v>NCTM Studio Legale Associato</x:v>
      </x:c>
      <x:c r="AB19" s="22" t="str">
        <x:v>Mediolanum farmaceutici SpA</x:v>
      </x:c>
      <x:c r="AC19" s="22" t="str">
        <x:v>mediolanum farmaceutici</x:v>
      </x:c>
      <x:c r="AD19" s="22" t="str">
        <x:v>Therabel Pharma SA</x:v>
      </x:c>
      <x:c r="AE19" s="22" t="str">
        <x:v>therabel pharma</x:v>
      </x:c>
      <x:c r="AF19" s="30"/>
      <x:c r="AG19" s="22" t="str">
        <x:v>n/a</x:v>
      </x:c>
      <x:c r="AH19" s="26" t="str">
        <x:v>Mediolanum Farmaceutici, an Italian pharmaceutical company, acquires Therabel Pharma Gienne, a pharmaceutical company. 
Ernst &amp; Young acted as financial advisor and NCTM acted as legal advisor of Mediolanum Group. 
Deal Hisory:
Announced: February, 17, 2017, Mediolanum Farmaceutici entered into an agreement to acquire Therabel Pharma Gienne.</x:v>
      </x:c>
      <x:c r="AI19" s="26" t="str"/>
      <x:c r="AJ19" s="22" t="str"/>
      <x:c r="AK19" s="22" t="str"/>
      <x:c r="AL19" s="22" t="str">
        <x:v>Unknown</x:v>
      </x:c>
      <x:c r="AM19" s="22" t="str">
        <x:v>Unknown</x:v>
      </x:c>
      <x:c r="AN19" s="22" t="str"/>
      <x:c r="AO19" s="22" t="str"/>
      <x:c r="AP19" s="22" t="str"/>
      <x:c r="AQ19" s="22" t="str"/>
      <x:c r="AR19" s="22" t="str"/>
      <x:c r="AS19" s="22" t="str">
        <x:v>Mediolanum farmaceutici SpA</x:v>
      </x:c>
      <x:c r="AT19" s="22" t="str">
        <x:v>Therabel Pharma SA</x:v>
      </x:c>
      <x:c r="AU19" s="22" t="str">
        <x:v>Not reviewed</x:v>
      </x:c>
      <x:c r="AV19" s="22" t="str">
        <x:v>Not assessed</x:v>
      </x:c>
      <x:c r="AW19" s="22" t="str">
        <x:v>Unknown</x:v>
      </x:c>
      <x:c r="AX19" s="22" t="str">
        <x:v>Unknown</x:v>
      </x:c>
      <x:c r="AY19" s="22" t="str">
        <x:v>Unknown</x:v>
      </x:c>
      <x:c r="AZ19" s="22" t="str">
        <x:v>Unknown</x:v>
      </x:c>
      <x:c r="BA19" s="22" t="str">
        <x:v>Unknown</x:v>
      </x:c>
      <x:c r="BB19" s="22" t="str">
        <x:v>Unknown</x:v>
      </x:c>
      <x:c r="BC19" s="26" t="str"/>
      <x:c r="BD19" s="22" t="str"/>
      <x:c r="BE19" s="22" t="str"/>
      <x:c r="BF19" s="22" t="str">
        <x:v>Not collected</x:v>
      </x:c>
      <x:c r="BG19" s="22" t="str">
        <x:v>Not collected</x:v>
      </x:c>
      <x:c r="BH19" s="22" t="str">
        <x:v>Not defined</x:v>
      </x:c>
      <x:c r="BI19" s="22" t="n">
        <x:f>IF($Q19="","",$Q19-3)</x:f>
        <x:v>2014</x:v>
      </x:c>
      <x:c r="BJ19" s="22" t="n">
        <x:f>IF($Q19="","",$Q19-2)</x:f>
        <x:v>2015</x:v>
      </x:c>
      <x:c r="BK19" s="22" t="n">
        <x:f>IF($Q19="","",$Q19-1)</x:f>
        <x:v>2016</x:v>
      </x:c>
      <x:c r="BL19" s="22" t="n">
        <x:f>IF($Q19="","",$Q19+0)</x:f>
        <x:v>2017</x:v>
      </x:c>
      <x:c r="BM19" s="22" t="n">
        <x:f>IF($Q19="","",$Q19+1)</x:f>
        <x:v>2018</x:v>
      </x:c>
      <x:c r="BN19" s="22" t="n">
        <x:f>IF($Q19="","",$Q19+2)</x:f>
        <x:v>2019</x:v>
      </x:c>
      <x:c r="BO19" s="22" t="n">
        <x:f>IF($Q19="","",$Q19+3)</x:f>
        <x:v>2020</x:v>
      </x:c>
      <x:c r="BP19" s="30" t="str"/>
      <x:c r="BQ19" s="30" t="str"/>
      <x:c r="BR19" s="30" t="str"/>
      <x:c r="BS19" s="30" t="str"/>
      <x:c r="BT19" s="30" t="str"/>
      <x:c r="BU19" s="30" t="str"/>
      <x:c r="BV19" s="30" t="str"/>
      <x:c r="BW19" s="30" t="str"/>
      <x:c r="BX19" s="30" t="str"/>
      <x:c r="BY19" s="30" t="str"/>
      <x:c r="BZ19" s="30" t="str"/>
      <x:c r="CA19" s="30" t="str"/>
      <x:c r="CB19" s="30" t="str"/>
      <x:c r="CC19" s="30" t="str"/>
      <x:c r="CD19" s="30" t="str"/>
      <x:c r="CE19" s="30" t="str"/>
      <x:c r="CF19" s="30" t="str"/>
      <x:c r="CG19" s="30" t="str"/>
      <x:c r="CH19" s="30" t="str"/>
      <x:c r="CI19" s="30" t="str"/>
      <x:c r="CJ19" s="30" t="str"/>
      <x:c r="CK19" s="30" t="str"/>
      <x:c r="CL19" s="30" t="str"/>
      <x:c r="CM19" s="30" t="str"/>
      <x:c r="CN19" s="30" t="str"/>
      <x:c r="CO19" s="30" t="str"/>
      <x:c r="CP19" s="30" t="str"/>
      <x:c r="CQ19" s="30" t="str"/>
      <x:c r="CR19" s="30" t="str"/>
      <x:c r="CS19" s="30" t="str"/>
      <x:c r="CT19" s="30" t="str"/>
      <x:c r="CU19" s="30" t="str"/>
      <x:c r="CV19" s="30" t="str"/>
      <x:c r="CW19" s="30" t="str"/>
      <x:c r="CX19" s="30" t="str"/>
      <x:c r="CY19" s="30" t="str"/>
      <x:c r="CZ19" s="30" t="str"/>
      <x:c r="DA19" s="30" t="str"/>
      <x:c r="DB19" s="30" t="str"/>
      <x:c r="DC19" s="30" t="str"/>
      <x:c r="DD19" s="30" t="str"/>
      <x:c r="DE19" s="30" t="str"/>
      <x:c r="DF19" s="32" t="str"/>
      <x:c r="DG19" s="32" t="str"/>
      <x:c r="DH19" s="32" t="str"/>
      <x:c r="DI19" s="32" t="str"/>
      <x:c r="DJ19" s="32" t="str"/>
      <x:c r="DK19" s="32" t="str"/>
      <x:c r="DL19" s="32" t="str"/>
      <x:c r="DM19" s="32" t="str"/>
      <x:c r="DN19" s="32" t="str"/>
      <x:c r="DO19" s="32" t="str"/>
      <x:c r="DP19" s="32" t="str"/>
      <x:c r="DQ19" s="32" t="str"/>
      <x:c r="DR19" s="32" t="str"/>
      <x:c r="DS19" s="32" t="str"/>
      <x:c r="DT19" s="32" t="str"/>
      <x:c r="DU19" s="32" t="str"/>
      <x:c r="DV19" s="32" t="str"/>
      <x:c r="DW19" s="32" t="str"/>
      <x:c r="DX19" s="32" t="str"/>
      <x:c r="DY19" s="32" t="str"/>
      <x:c r="DZ19" s="32" t="str"/>
      <x:c r="EA19" s="34" t="str"/>
      <x:c r="EB19" s="34" t="str"/>
      <x:c r="EC19" s="34" t="str"/>
      <x:c r="ED19" s="34" t="str"/>
      <x:c r="EE19" s="34" t="str"/>
      <x:c r="EF19" s="34" t="str"/>
      <x:c r="EG19" s="34" t="str"/>
      <x:c r="EH19" s="34" t="str"/>
      <x:c r="EI19" s="34" t="str"/>
      <x:c r="EJ19" s="34" t="str"/>
      <x:c r="EK19" s="34" t="str"/>
      <x:c r="EL19" s="34" t="str"/>
      <x:c r="EM19" s="34" t="str"/>
      <x:c r="EN19" s="34" t="str"/>
      <x:c r="EO19" s="34" t="str"/>
      <x:c r="EP19" s="34" t="str"/>
      <x:c r="EQ19" s="36" t="str">
        <x:f>IF(OR($EO19="",$EP19="",$EO19=0),"",$EP19/$EO19)</x:f>
      </x:c>
      <x:c r="ER19" s="38" t="str"/>
      <x:c r="ES19" s="22" t="str">
        <x:v>Unknown</x:v>
      </x:c>
      <x:c r="ET19" s="22" t="str">
        <x:v>Unknown</x:v>
      </x:c>
      <x:c r="EU19" s="40" t="str">
        <x:f>IF(COUNT($DF19,$DG19,$DH19)=0,"",AVERAGE($DF19,$DG19,$DH19))</x:f>
      </x:c>
      <x:c r="EV19" s="40" t="str">
        <x:f>IF(COUNT($DJ19,$DK19,$DL19)=0,"",AVERAGE($DJ19,$DK19,$DL19))</x:f>
      </x:c>
      <x:c r="EW19" s="40" t="str">
        <x:f>IF(OR($EU19="",$EV19=""),"",$EV19-$EU19)</x:f>
      </x:c>
      <x:c r="EX19" s="40" t="str">
        <x:f>IF(COUNT($DM19,$DN19,$DO19)=0,"",AVERAGE($DM19,$DN19,$DO19))</x:f>
      </x:c>
      <x:c r="EY19" s="40" t="str">
        <x:f>IF(COUNT($DQ19,$DR19,$DS19)=0,"",AVERAGE($DQ19,$DR19,$DS19))</x:f>
      </x:c>
      <x:c r="EZ19" s="40" t="str">
        <x:f>IF(OR($EX19="",$EY19=""),"",$EY19-$EX19)</x:f>
      </x:c>
      <x:c r="FA19" s="42" t="str">
        <x:f>IF(COUNT($EA19,$EB19,$EC19)=0,"",AVERAGE($EA19,$EB19,$EC19))</x:f>
      </x:c>
      <x:c r="FB19" s="42" t="str">
        <x:f>IF(COUNT($EE19,$EF19,$EG19)=0,"",AVERAGE($EE19,$EF19,$EG19))</x:f>
      </x:c>
      <x:c r="FC19" s="42" t="str">
        <x:f>IF(OR($FA19="",$FB19=""),"",$FB19-$FA19)</x:f>
      </x:c>
      <x:c r="FD19" s="42" t="str">
        <x:f>IF(COUNT($EH19,$EI19,$EJ19)=0,"",AVERAGE($EH19,$EI19,$EJ19))</x:f>
      </x:c>
      <x:c r="FE19" s="42" t="str">
        <x:f>IF(COUNT($EL19,$EM19,$EN19)=0,"",AVERAGE($EL19,$EM19,$EN19))</x:f>
      </x:c>
      <x:c r="FF19" s="42" t="str">
        <x:f>IF(OR($FD19="",$FE19=""),"",$FE19-$FD19)</x:f>
      </x:c>
      <x:c r="FG19" s="24" t="str">
        <x:f>IF(COUNT($DF19,$DG19,$DH19,$DJ19,$DK19,$DL19,$DM19,$DN19,$DO19,$DQ19,$DR19,$DS19)=12,"Yes","No")</x:f>
        <x:v>No</x:v>
      </x:c>
      <x:c r="FH19" s="24" t="str">
        <x:f>IF(COUNT($EA19,$EB19,$EC19,$EE19,$EF19,$EG19,$EH19,$EI19,$EJ19,$EL19,$EM19,$EN19)=12,"Yes","No")</x:f>
        <x:v>No</x:v>
      </x:c>
      <x:c r="FI19" s="24" t="str">
        <x:f>IF(AND($M19="Include",OR($FG19="Yes",$FH19="Yes")),"Ready","Not ready")</x:f>
        <x:v>Not ready</x:v>
      </x:c>
    </x:row>
    <x:row r="20" ht="24" customHeight="1">
      <x:c r="A20" s="22" t="str">
        <x:v>TRT-0018</x:v>
      </x:c>
      <x:c r="B20" s="22" t="n">
        <x:v>29</x:v>
      </x:c>
      <x:c r="C20" s="22" t="str">
        <x:v>Candidate treatment group</x:v>
      </x:c>
      <x:c r="D20" s="22" t="n">
        <x:v>1</x:v>
      </x:c>
      <x:c r="E20" s="22" t="str">
        <x:v>DATA - Innovation driven deals.xlsx</x:v>
      </x:c>
      <x:c r="F20" s="22" t="str">
        <x:v>agile pharma acquires generis farmaceutica from magnum capital partners for</x:v>
      </x:c>
      <x:c r="G20" s="22" t="str">
        <x:v>Yes</x:v>
      </x:c>
      <x:c r="H20" s="22" t="str">
        <x:v>No</x:v>
      </x:c>
      <x:c r="I20" s="22" t="str">
        <x:v>No</x:v>
      </x:c>
      <x:c r="J20" s="22" t="n">
        <x:v>1</x:v>
      </x:c>
      <x:c r="K20" s="22" t="str">
        <x:v>Not started</x:v>
      </x:c>
      <x:c r="L20" s="22" t="str">
        <x:v>Eligible - 100%</x:v>
      </x:c>
      <x:c r="M20" s="22" t="str">
        <x:v>Review</x:v>
      </x:c>
      <x:c r="N20" s="22" t="str"/>
      <x:c r="O20" s="28" t="n">
        <x:v>42742</x:v>
      </x:c>
      <x:c r="P20" s="28" t="n">
        <x:v>42853</x:v>
      </x:c>
      <x:c r="Q20" s="22" t="n">
        <x:v>2017</x:v>
      </x:c>
      <x:c r="R20" s="22" t="str">
        <x:v>Q1 2017</x:v>
      </x:c>
      <x:c r="S20" s="22" t="str">
        <x:v>Completed</x:v>
      </x:c>
      <x:c r="T20" s="26" t="str">
        <x:v>Agile Pharma Acquires Generis Farmaceutica from Magnum Capital Partners for USD142.8 Million</x:v>
      </x:c>
      <x:c r="U20" s="22" t="str">
        <x:v>Mergers &amp; Acquisitions</x:v>
      </x:c>
      <x:c r="V20" s="22" t="str">
        <x:v>Acquisition</x:v>
      </x:c>
      <x:c r="W20" s="22" t="str">
        <x:v>100% Acquisition</x:v>
      </x:c>
      <x:c r="X20" s="22" t="str">
        <x:v>Portugal</x:v>
      </x:c>
      <x:c r="Y20" s="22" t="str">
        <x:v>100% Acquisition</x:v>
      </x:c>
      <x:c r="Z20" s="26"/>
      <x:c r="AA20" s="26"/>
      <x:c r="AB20" s="22" t="str">
        <x:v>Agile Pharma BV</x:v>
      </x:c>
      <x:c r="AC20" s="22" t="str">
        <x:v>agile pharma</x:v>
      </x:c>
      <x:c r="AD20" s="22" t="str">
        <x:v>Generis Pharmaceuticals SA</x:v>
      </x:c>
      <x:c r="AE20" s="22" t="str">
        <x:v>generis pharmaceuticals</x:v>
      </x:c>
      <x:c r="AF20" s="30" t="n">
        <x:v>143</x:v>
      </x:c>
      <x:c r="AG20" s="22" t="n">
        <x:v>143</x:v>
      </x:c>
      <x:c r="AH20" s="26" t="str">
        <x:v>Agile Pharma BV, a pharmaceutical company and wholly-owned subsidiary of Aurobindo Pharma Ltd., has acquired Generis Farmaceutica, S.A., a manufacturer and supplier of pharmaceutical products, and its subsidiaries from Magnum Capital Partners Limited, a private equity firm, for a purchase consideration of EUR135 million (USD142.78 million), in cash.
Generis Farmaceutica subsidiaries includes Mer Medicamentos, Lda., Generis Phar, Unipessoal Lda., Farma APS – Promocao de Medicamentos, Unipessoal Lda., and Generis MZ, Lda.
The acquisition includes Generis Farmaceutica's manufacturing facility in Amadora, Portugal which has a capacity to produce 1.2 billion tablets/capsules/sachets annually.
This transaction enables Agile Pharma to expand its businesses portfolio in Portuguese market.
Deal History:
Announced: On January 7, 2017, Agile Pharma entered into a binding agreement to acquire Generis Farmaceutica from Magnum Capital Partners for a purchase consideration of EUR135 million (USD142.78 million), in cash.
Rumor: On November 3, 2016, Aurobindo Pharma intended to acquire Generis Farmaceutica, according to people familiar with the matter. The transaction is expected to be valued at approximately USD200 million.</x:v>
      </x:c>
      <x:c r="AI20" s="26" t="str">
        <x:v>This transaction enables Aurobindo Pharma to expands its businesses portfolio in Portuguese market.</x:v>
      </x:c>
      <x:c r="AJ20" s="22" t="str"/>
      <x:c r="AK20" s="22" t="str"/>
      <x:c r="AL20" s="22" t="str">
        <x:v>Unknown</x:v>
      </x:c>
      <x:c r="AM20" s="22" t="str">
        <x:v>Unknown</x:v>
      </x:c>
      <x:c r="AN20" s="22" t="str"/>
      <x:c r="AO20" s="22" t="str"/>
      <x:c r="AP20" s="22" t="str"/>
      <x:c r="AQ20" s="22" t="str"/>
      <x:c r="AR20" s="22" t="str"/>
      <x:c r="AS20" s="22" t="str">
        <x:v>Agile Pharma BV</x:v>
      </x:c>
      <x:c r="AT20" s="22" t="str">
        <x:v>Generis Pharmaceuticals SA</x:v>
      </x:c>
      <x:c r="AU20" s="22" t="str">
        <x:v>Not reviewed</x:v>
      </x:c>
      <x:c r="AV20" s="22" t="str">
        <x:v>Not assessed</x:v>
      </x:c>
      <x:c r="AW20" s="22" t="str">
        <x:v>Unknown</x:v>
      </x:c>
      <x:c r="AX20" s="22" t="str">
        <x:v>Unknown</x:v>
      </x:c>
      <x:c r="AY20" s="22" t="str">
        <x:v>Unknown</x:v>
      </x:c>
      <x:c r="AZ20" s="22" t="str">
        <x:v>Unknown</x:v>
      </x:c>
      <x:c r="BA20" s="22" t="str">
        <x:v>Unknown</x:v>
      </x:c>
      <x:c r="BB20" s="22" t="str">
        <x:v>Unknown</x:v>
      </x:c>
      <x:c r="BC20" s="26" t="str"/>
      <x:c r="BD20" s="22" t="str"/>
      <x:c r="BE20" s="22" t="str"/>
      <x:c r="BF20" s="22" t="str">
        <x:v>Not collected</x:v>
      </x:c>
      <x:c r="BG20" s="22" t="str">
        <x:v>Not collected</x:v>
      </x:c>
      <x:c r="BH20" s="22" t="str">
        <x:v>Not defined</x:v>
      </x:c>
      <x:c r="BI20" s="22" t="n">
        <x:f>IF($Q20="","",$Q20-3)</x:f>
        <x:v>2014</x:v>
      </x:c>
      <x:c r="BJ20" s="22" t="n">
        <x:f>IF($Q20="","",$Q20-2)</x:f>
        <x:v>2015</x:v>
      </x:c>
      <x:c r="BK20" s="22" t="n">
        <x:f>IF($Q20="","",$Q20-1)</x:f>
        <x:v>2016</x:v>
      </x:c>
      <x:c r="BL20" s="22" t="n">
        <x:f>IF($Q20="","",$Q20+0)</x:f>
        <x:v>2017</x:v>
      </x:c>
      <x:c r="BM20" s="22" t="n">
        <x:f>IF($Q20="","",$Q20+1)</x:f>
        <x:v>2018</x:v>
      </x:c>
      <x:c r="BN20" s="22" t="n">
        <x:f>IF($Q20="","",$Q20+2)</x:f>
        <x:v>2019</x:v>
      </x:c>
      <x:c r="BO20" s="22" t="n">
        <x:f>IF($Q20="","",$Q20+3)</x:f>
        <x:v>2020</x:v>
      </x:c>
      <x:c r="BP20" s="30" t="str"/>
      <x:c r="BQ20" s="30" t="str"/>
      <x:c r="BR20" s="30" t="str"/>
      <x:c r="BS20" s="30" t="str"/>
      <x:c r="BT20" s="30" t="str"/>
      <x:c r="BU20" s="30" t="str"/>
      <x:c r="BV20" s="30" t="str"/>
      <x:c r="BW20" s="30" t="str"/>
      <x:c r="BX20" s="30" t="str"/>
      <x:c r="BY20" s="30" t="str"/>
      <x:c r="BZ20" s="30" t="str"/>
      <x:c r="CA20" s="30" t="str"/>
      <x:c r="CB20" s="30" t="str"/>
      <x:c r="CC20" s="30" t="str"/>
      <x:c r="CD20" s="30" t="str"/>
      <x:c r="CE20" s="30" t="str"/>
      <x:c r="CF20" s="30" t="str"/>
      <x:c r="CG20" s="30" t="str"/>
      <x:c r="CH20" s="30" t="str"/>
      <x:c r="CI20" s="30" t="str"/>
      <x:c r="CJ20" s="30" t="str"/>
      <x:c r="CK20" s="30" t="str"/>
      <x:c r="CL20" s="30" t="str"/>
      <x:c r="CM20" s="30" t="str"/>
      <x:c r="CN20" s="30" t="str"/>
      <x:c r="CO20" s="30" t="str"/>
      <x:c r="CP20" s="30" t="str"/>
      <x:c r="CQ20" s="30" t="str"/>
      <x:c r="CR20" s="30" t="str"/>
      <x:c r="CS20" s="30" t="str"/>
      <x:c r="CT20" s="30" t="str"/>
      <x:c r="CU20" s="30" t="str"/>
      <x:c r="CV20" s="30" t="str"/>
      <x:c r="CW20" s="30" t="str"/>
      <x:c r="CX20" s="30" t="str"/>
      <x:c r="CY20" s="30" t="str"/>
      <x:c r="CZ20" s="30" t="str"/>
      <x:c r="DA20" s="30" t="str"/>
      <x:c r="DB20" s="30" t="str"/>
      <x:c r="DC20" s="30" t="str"/>
      <x:c r="DD20" s="30" t="str"/>
      <x:c r="DE20" s="30" t="str"/>
      <x:c r="DF20" s="32" t="str"/>
      <x:c r="DG20" s="32" t="str"/>
      <x:c r="DH20" s="32" t="str"/>
      <x:c r="DI20" s="32" t="str"/>
      <x:c r="DJ20" s="32" t="str"/>
      <x:c r="DK20" s="32" t="str"/>
      <x:c r="DL20" s="32" t="str"/>
      <x:c r="DM20" s="32" t="str"/>
      <x:c r="DN20" s="32" t="str"/>
      <x:c r="DO20" s="32" t="str"/>
      <x:c r="DP20" s="32" t="str"/>
      <x:c r="DQ20" s="32" t="str"/>
      <x:c r="DR20" s="32" t="str"/>
      <x:c r="DS20" s="32" t="str"/>
      <x:c r="DT20" s="32" t="str"/>
      <x:c r="DU20" s="32" t="str"/>
      <x:c r="DV20" s="32" t="str"/>
      <x:c r="DW20" s="32" t="str"/>
      <x:c r="DX20" s="32" t="str"/>
      <x:c r="DY20" s="32" t="str"/>
      <x:c r="DZ20" s="32" t="str"/>
      <x:c r="EA20" s="34" t="str"/>
      <x:c r="EB20" s="34" t="str"/>
      <x:c r="EC20" s="34" t="str"/>
      <x:c r="ED20" s="34" t="str"/>
      <x:c r="EE20" s="34" t="str"/>
      <x:c r="EF20" s="34" t="str"/>
      <x:c r="EG20" s="34" t="str"/>
      <x:c r="EH20" s="34" t="str"/>
      <x:c r="EI20" s="34" t="str"/>
      <x:c r="EJ20" s="34" t="str"/>
      <x:c r="EK20" s="34" t="str"/>
      <x:c r="EL20" s="34" t="str"/>
      <x:c r="EM20" s="34" t="str"/>
      <x:c r="EN20" s="34" t="str"/>
      <x:c r="EO20" s="34" t="str"/>
      <x:c r="EP20" s="34" t="str"/>
      <x:c r="EQ20" s="36" t="str">
        <x:f>IF(OR($EO20="",$EP20="",$EO20=0),"",$EP20/$EO20)</x:f>
      </x:c>
      <x:c r="ER20" s="38" t="str"/>
      <x:c r="ES20" s="22" t="str">
        <x:v>Unknown</x:v>
      </x:c>
      <x:c r="ET20" s="22" t="str">
        <x:v>Unknown</x:v>
      </x:c>
      <x:c r="EU20" s="40" t="str">
        <x:f>IF(COUNT($DF20,$DG20,$DH20)=0,"",AVERAGE($DF20,$DG20,$DH20))</x:f>
      </x:c>
      <x:c r="EV20" s="40" t="str">
        <x:f>IF(COUNT($DJ20,$DK20,$DL20)=0,"",AVERAGE($DJ20,$DK20,$DL20))</x:f>
      </x:c>
      <x:c r="EW20" s="40" t="str">
        <x:f>IF(OR($EU20="",$EV20=""),"",$EV20-$EU20)</x:f>
      </x:c>
      <x:c r="EX20" s="40" t="str">
        <x:f>IF(COUNT($DM20,$DN20,$DO20)=0,"",AVERAGE($DM20,$DN20,$DO20))</x:f>
      </x:c>
      <x:c r="EY20" s="40" t="str">
        <x:f>IF(COUNT($DQ20,$DR20,$DS20)=0,"",AVERAGE($DQ20,$DR20,$DS20))</x:f>
      </x:c>
      <x:c r="EZ20" s="40" t="str">
        <x:f>IF(OR($EX20="",$EY20=""),"",$EY20-$EX20)</x:f>
      </x:c>
      <x:c r="FA20" s="42" t="str">
        <x:f>IF(COUNT($EA20,$EB20,$EC20)=0,"",AVERAGE($EA20,$EB20,$EC20))</x:f>
      </x:c>
      <x:c r="FB20" s="42" t="str">
        <x:f>IF(COUNT($EE20,$EF20,$EG20)=0,"",AVERAGE($EE20,$EF20,$EG20))</x:f>
      </x:c>
      <x:c r="FC20" s="42" t="str">
        <x:f>IF(OR($FA20="",$FB20=""),"",$FB20-$FA20)</x:f>
      </x:c>
      <x:c r="FD20" s="42" t="str">
        <x:f>IF(COUNT($EH20,$EI20,$EJ20)=0,"",AVERAGE($EH20,$EI20,$EJ20))</x:f>
      </x:c>
      <x:c r="FE20" s="42" t="str">
        <x:f>IF(COUNT($EL20,$EM20,$EN20)=0,"",AVERAGE($EL20,$EM20,$EN20))</x:f>
      </x:c>
      <x:c r="FF20" s="42" t="str">
        <x:f>IF(OR($FD20="",$FE20=""),"",$FE20-$FD20)</x:f>
      </x:c>
      <x:c r="FG20" s="24" t="str">
        <x:f>IF(COUNT($DF20,$DG20,$DH20,$DJ20,$DK20,$DL20,$DM20,$DN20,$DO20,$DQ20,$DR20,$DS20)=12,"Yes","No")</x:f>
        <x:v>No</x:v>
      </x:c>
      <x:c r="FH20" s="24" t="str">
        <x:f>IF(COUNT($EA20,$EB20,$EC20,$EE20,$EF20,$EG20,$EH20,$EI20,$EJ20,$EL20,$EM20,$EN20)=12,"Yes","No")</x:f>
        <x:v>No</x:v>
      </x:c>
      <x:c r="FI20" s="24" t="str">
        <x:f>IF(AND($M20="Include",OR($FG20="Yes",$FH20="Yes")),"Ready","Not ready")</x:f>
        <x:v>Not ready</x:v>
      </x:c>
    </x:row>
    <x:row r="21" ht="24" customHeight="1">
      <x:c r="A21" s="22" t="str">
        <x:v>TRT-0019</x:v>
      </x:c>
      <x:c r="B21" s="22" t="n">
        <x:v>30</x:v>
      </x:c>
      <x:c r="C21" s="22" t="str">
        <x:v>Candidate treatment group</x:v>
      </x:c>
      <x:c r="D21" s="22" t="n">
        <x:v>1</x:v>
      </x:c>
      <x:c r="E21" s="22" t="str">
        <x:v>DATA - Innovation driven deals.xlsx</x:v>
      </x:c>
      <x:c r="F21" s="22" t="str">
        <x:v>genticel merges with genkyotex</x:v>
      </x:c>
      <x:c r="G21" s="22" t="str">
        <x:v>Yes</x:v>
      </x:c>
      <x:c r="H21" s="22" t="str">
        <x:v>No</x:v>
      </x:c>
      <x:c r="I21" s="22" t="str">
        <x:v>No</x:v>
      </x:c>
      <x:c r="J21" s="22" t="n">
        <x:v>1</x:v>
      </x:c>
      <x:c r="K21" s="22" t="str">
        <x:v>Not started</x:v>
      </x:c>
      <x:c r="L21" s="22" t="str">
        <x:v>Review - merger</x:v>
      </x:c>
      <x:c r="M21" s="22" t="str">
        <x:v>Review</x:v>
      </x:c>
      <x:c r="N21" s="22" t="str"/>
      <x:c r="O21" s="28" t="n">
        <x:v>42726</x:v>
      </x:c>
      <x:c r="P21" s="28" t="n">
        <x:v>42794</x:v>
      </x:c>
      <x:c r="Q21" s="22" t="n">
        <x:v>2017</x:v>
      </x:c>
      <x:c r="R21" s="22" t="str">
        <x:v>Q4 2016</x:v>
      </x:c>
      <x:c r="S21" s="22" t="str">
        <x:v>Completed</x:v>
      </x:c>
      <x:c r="T21" s="26" t="str">
        <x:v>Genticel Merges with GenKyoTex</x:v>
      </x:c>
      <x:c r="U21" s="22" t="str">
        <x:v>Mergers &amp; Acquisitions</x:v>
      </x:c>
      <x:c r="V21" s="22" t="str">
        <x:v>Merger</x:v>
      </x:c>
      <x:c r="W21" s="22"/>
      <x:c r="X21" s="22" t="str">
        <x:v>France , Switzerland</x:v>
      </x:c>
      <x:c r="Y21" s="22"/>
      <x:c r="Z21" s="26" t="str">
        <x:v>Jones Day</x:v>
      </x:c>
      <x:c r="AA21" s="26" t="str">
        <x:v>Paul Hastings LLP</x:v>
      </x:c>
      <x:c r="AB21" s="22" t="str">
        <x:v>Calliditas Therapeutics France SAS</x:v>
      </x:c>
      <x:c r="AC21" s="22" t="str">
        <x:v>calliditas therapeutics france</x:v>
      </x:c>
      <x:c r="AD21" s="22" t="str">
        <x:v>Calliditas Therapeutics France SAS; Calliditas Therapeutics France SAS</x:v>
      </x:c>
      <x:c r="AE21" s="22" t="str">
        <x:v>calliditas therapeutics france calliditas therapeutics france</x:v>
      </x:c>
      <x:c r="AF21" s="30" t="n">
        <x:v>156</x:v>
      </x:c>
      <x:c r="AG21" s="22" t="n">
        <x:v>156</x:v>
      </x:c>
      <x:c r="AH21" s="26" t="str">
        <x:v>Genticel SA, a biotechnology company, has merged with GenKyoTex SA, a developer of small molecule therapeutics. 
Pursuant to the transaction, Genticel changed its name to Genkyotex; and the combined company will create a European group with a pipeline of first-in-class NOX inhibitors in fibrosis and inflammatory pain. In conjunction with the transaction, Elias Papatheodorou, CEO of Genkyotex became the CEO of the group.
Under the terms of the transaction, the contribution by all the GenKyoTex shareholders to Genticel of the 5,262,133 ordinary shares they hold in GenKyoTex represent 100% of its share capital and voting rights; and the issuance by Genticel of 62,279,951 new shares to GenKyoTex’s shareholders in remuneration of the contribution of their shares. These shareholders thus received 11.8355 Genticel shares for each GenKyoTex share contributed. The exchange parity was agreed between Genticel and GenKyoTex’s shareholders on the basis of a real value of EUR120 million (USD124.94 million) for GenKyoTex and EUR30 million (USD31.24 million) for Genticel, as foreseen in the contribution agreement.
As a result, GenKyoTex’s former shareholders now hold 80% of the share capital and voting rights of Genkyotex. Admission to trading on the Euronext Paris and Euronext Brussels regulated markets of the new shares issued by the company in remuneration of the contribution in kind will become effective on March 2, 2017. The shares listed on these markets will trade under the name Genkyotex with ticker ‘GKTX’ from March 2, 2017, as soon as trading begins on the Euronext markets in Paris and Brussels. 
This transaction enables Genticel and GenKyoTex to complete both phase II study in primary biliary cholangitis (PBC) with GKT831 and first Phase I study with GKT771.
Jones Day acted as advisor to Genticel for the transaction.
Deal History:
Announced: On December 22, 2016, Genticel agreed to merge with GenKyoTex.</x:v>
      </x:c>
      <x:c r="AI21" s="26" t="str">
        <x:v>This transaction enables GenKyoTex and Genticel to complete both phase II study in primary biliary cholangitis (PBC) with GKT831 and first Phase I study with GKT771.</x:v>
      </x:c>
      <x:c r="AJ21" s="22" t="str"/>
      <x:c r="AK21" s="22" t="str"/>
      <x:c r="AL21" s="22" t="str">
        <x:v>Unknown</x:v>
      </x:c>
      <x:c r="AM21" s="22" t="str">
        <x:v>Unknown</x:v>
      </x:c>
      <x:c r="AN21" s="22" t="str"/>
      <x:c r="AO21" s="22" t="str"/>
      <x:c r="AP21" s="22" t="str"/>
      <x:c r="AQ21" s="22" t="str"/>
      <x:c r="AR21" s="22" t="str"/>
      <x:c r="AS21" s="22" t="str">
        <x:v>Calliditas Therapeutics France SAS</x:v>
      </x:c>
      <x:c r="AT21" s="22" t="str">
        <x:v>Calliditas Therapeutics France SAS; Calliditas Therapeutics France SAS</x:v>
      </x:c>
      <x:c r="AU21" s="22" t="str">
        <x:v>Not reviewed</x:v>
      </x:c>
      <x:c r="AV21" s="22" t="str">
        <x:v>Not assessed</x:v>
      </x:c>
      <x:c r="AW21" s="22" t="str">
        <x:v>Unknown</x:v>
      </x:c>
      <x:c r="AX21" s="22" t="str">
        <x:v>Unknown</x:v>
      </x:c>
      <x:c r="AY21" s="22" t="str">
        <x:v>Unknown</x:v>
      </x:c>
      <x:c r="AZ21" s="22" t="str">
        <x:v>Unknown</x:v>
      </x:c>
      <x:c r="BA21" s="22" t="str">
        <x:v>Unknown</x:v>
      </x:c>
      <x:c r="BB21" s="22" t="str">
        <x:v>Unknown</x:v>
      </x:c>
      <x:c r="BC21" s="26" t="str"/>
      <x:c r="BD21" s="22" t="str"/>
      <x:c r="BE21" s="22" t="str"/>
      <x:c r="BF21" s="22" t="str">
        <x:v>Not collected</x:v>
      </x:c>
      <x:c r="BG21" s="22" t="str">
        <x:v>Not collected</x:v>
      </x:c>
      <x:c r="BH21" s="22" t="str">
        <x:v>Not defined</x:v>
      </x:c>
      <x:c r="BI21" s="22" t="n">
        <x:f>IF($Q21="","",$Q21-3)</x:f>
        <x:v>2014</x:v>
      </x:c>
      <x:c r="BJ21" s="22" t="n">
        <x:f>IF($Q21="","",$Q21-2)</x:f>
        <x:v>2015</x:v>
      </x:c>
      <x:c r="BK21" s="22" t="n">
        <x:f>IF($Q21="","",$Q21-1)</x:f>
        <x:v>2016</x:v>
      </x:c>
      <x:c r="BL21" s="22" t="n">
        <x:f>IF($Q21="","",$Q21+0)</x:f>
        <x:v>2017</x:v>
      </x:c>
      <x:c r="BM21" s="22" t="n">
        <x:f>IF($Q21="","",$Q21+1)</x:f>
        <x:v>2018</x:v>
      </x:c>
      <x:c r="BN21" s="22" t="n">
        <x:f>IF($Q21="","",$Q21+2)</x:f>
        <x:v>2019</x:v>
      </x:c>
      <x:c r="BO21" s="22" t="n">
        <x:f>IF($Q21="","",$Q21+3)</x:f>
        <x:v>2020</x:v>
      </x:c>
      <x:c r="BP21" s="30" t="str"/>
      <x:c r="BQ21" s="30" t="str"/>
      <x:c r="BR21" s="30" t="str"/>
      <x:c r="BS21" s="30" t="str"/>
      <x:c r="BT21" s="30" t="str"/>
      <x:c r="BU21" s="30" t="str"/>
      <x:c r="BV21" s="30" t="str"/>
      <x:c r="BW21" s="30" t="str"/>
      <x:c r="BX21" s="30" t="str"/>
      <x:c r="BY21" s="30" t="str"/>
      <x:c r="BZ21" s="30" t="str"/>
      <x:c r="CA21" s="30" t="str"/>
      <x:c r="CB21" s="30" t="str"/>
      <x:c r="CC21" s="30" t="str"/>
      <x:c r="CD21" s="30" t="str"/>
      <x:c r="CE21" s="30" t="str"/>
      <x:c r="CF21" s="30" t="str"/>
      <x:c r="CG21" s="30" t="str"/>
      <x:c r="CH21" s="30" t="str"/>
      <x:c r="CI21" s="30" t="str"/>
      <x:c r="CJ21" s="30" t="str"/>
      <x:c r="CK21" s="30" t="str"/>
      <x:c r="CL21" s="30" t="str"/>
      <x:c r="CM21" s="30" t="str"/>
      <x:c r="CN21" s="30" t="str"/>
      <x:c r="CO21" s="30" t="str"/>
      <x:c r="CP21" s="30" t="str"/>
      <x:c r="CQ21" s="30" t="str"/>
      <x:c r="CR21" s="30" t="str"/>
      <x:c r="CS21" s="30" t="str"/>
      <x:c r="CT21" s="30" t="str"/>
      <x:c r="CU21" s="30" t="str"/>
      <x:c r="CV21" s="30" t="str"/>
      <x:c r="CW21" s="30" t="str"/>
      <x:c r="CX21" s="30" t="str"/>
      <x:c r="CY21" s="30" t="str"/>
      <x:c r="CZ21" s="30" t="str"/>
      <x:c r="DA21" s="30" t="str"/>
      <x:c r="DB21" s="30" t="str"/>
      <x:c r="DC21" s="30" t="str"/>
      <x:c r="DD21" s="30" t="str"/>
      <x:c r="DE21" s="30" t="str"/>
      <x:c r="DF21" s="32" t="str"/>
      <x:c r="DG21" s="32" t="str"/>
      <x:c r="DH21" s="32" t="str"/>
      <x:c r="DI21" s="32" t="str"/>
      <x:c r="DJ21" s="32" t="str"/>
      <x:c r="DK21" s="32" t="str"/>
      <x:c r="DL21" s="32" t="str"/>
      <x:c r="DM21" s="32" t="str"/>
      <x:c r="DN21" s="32" t="str"/>
      <x:c r="DO21" s="32" t="str"/>
      <x:c r="DP21" s="32" t="str"/>
      <x:c r="DQ21" s="32" t="str"/>
      <x:c r="DR21" s="32" t="str"/>
      <x:c r="DS21" s="32" t="str"/>
      <x:c r="DT21" s="32" t="str"/>
      <x:c r="DU21" s="32" t="str"/>
      <x:c r="DV21" s="32" t="str"/>
      <x:c r="DW21" s="32" t="str"/>
      <x:c r="DX21" s="32" t="str"/>
      <x:c r="DY21" s="32" t="str"/>
      <x:c r="DZ21" s="32" t="str"/>
      <x:c r="EA21" s="34" t="str"/>
      <x:c r="EB21" s="34" t="str"/>
      <x:c r="EC21" s="34" t="str"/>
      <x:c r="ED21" s="34" t="str"/>
      <x:c r="EE21" s="34" t="str"/>
      <x:c r="EF21" s="34" t="str"/>
      <x:c r="EG21" s="34" t="str"/>
      <x:c r="EH21" s="34" t="str"/>
      <x:c r="EI21" s="34" t="str"/>
      <x:c r="EJ21" s="34" t="str"/>
      <x:c r="EK21" s="34" t="str"/>
      <x:c r="EL21" s="34" t="str"/>
      <x:c r="EM21" s="34" t="str"/>
      <x:c r="EN21" s="34" t="str"/>
      <x:c r="EO21" s="34" t="str"/>
      <x:c r="EP21" s="34" t="str"/>
      <x:c r="EQ21" s="36" t="str">
        <x:f>IF(OR($EO21="",$EP21="",$EO21=0),"",$EP21/$EO21)</x:f>
      </x:c>
      <x:c r="ER21" s="38" t="str"/>
      <x:c r="ES21" s="22" t="str">
        <x:v>Unknown</x:v>
      </x:c>
      <x:c r="ET21" s="22" t="str">
        <x:v>Unknown</x:v>
      </x:c>
      <x:c r="EU21" s="40" t="str">
        <x:f>IF(COUNT($DF21,$DG21,$DH21)=0,"",AVERAGE($DF21,$DG21,$DH21))</x:f>
      </x:c>
      <x:c r="EV21" s="40" t="str">
        <x:f>IF(COUNT($DJ21,$DK21,$DL21)=0,"",AVERAGE($DJ21,$DK21,$DL21))</x:f>
      </x:c>
      <x:c r="EW21" s="40" t="str">
        <x:f>IF(OR($EU21="",$EV21=""),"",$EV21-$EU21)</x:f>
      </x:c>
      <x:c r="EX21" s="40" t="str">
        <x:f>IF(COUNT($DM21,$DN21,$DO21)=0,"",AVERAGE($DM21,$DN21,$DO21))</x:f>
      </x:c>
      <x:c r="EY21" s="40" t="str">
        <x:f>IF(COUNT($DQ21,$DR21,$DS21)=0,"",AVERAGE($DQ21,$DR21,$DS21))</x:f>
      </x:c>
      <x:c r="EZ21" s="40" t="str">
        <x:f>IF(OR($EX21="",$EY21=""),"",$EY21-$EX21)</x:f>
      </x:c>
      <x:c r="FA21" s="42" t="str">
        <x:f>IF(COUNT($EA21,$EB21,$EC21)=0,"",AVERAGE($EA21,$EB21,$EC21))</x:f>
      </x:c>
      <x:c r="FB21" s="42" t="str">
        <x:f>IF(COUNT($EE21,$EF21,$EG21)=0,"",AVERAGE($EE21,$EF21,$EG21))</x:f>
      </x:c>
      <x:c r="FC21" s="42" t="str">
        <x:f>IF(OR($FA21="",$FB21=""),"",$FB21-$FA21)</x:f>
      </x:c>
      <x:c r="FD21" s="42" t="str">
        <x:f>IF(COUNT($EH21,$EI21,$EJ21)=0,"",AVERAGE($EH21,$EI21,$EJ21))</x:f>
      </x:c>
      <x:c r="FE21" s="42" t="str">
        <x:f>IF(COUNT($EL21,$EM21,$EN21)=0,"",AVERAGE($EL21,$EM21,$EN21))</x:f>
      </x:c>
      <x:c r="FF21" s="42" t="str">
        <x:f>IF(OR($FD21="",$FE21=""),"",$FE21-$FD21)</x:f>
      </x:c>
      <x:c r="FG21" s="24" t="str">
        <x:f>IF(COUNT($DF21,$DG21,$DH21,$DJ21,$DK21,$DL21,$DM21,$DN21,$DO21,$DQ21,$DR21,$DS21)=12,"Yes","No")</x:f>
        <x:v>No</x:v>
      </x:c>
      <x:c r="FH21" s="24" t="str">
        <x:f>IF(COUNT($EA21,$EB21,$EC21,$EE21,$EF21,$EG21,$EH21,$EI21,$EJ21,$EL21,$EM21,$EN21)=12,"Yes","No")</x:f>
        <x:v>No</x:v>
      </x:c>
      <x:c r="FI21" s="24" t="str">
        <x:f>IF(AND($M21="Include",OR($FG21="Yes",$FH21="Yes")),"Ready","Not ready")</x:f>
        <x:v>Not ready</x:v>
      </x:c>
    </x:row>
    <x:row r="22" ht="24" customHeight="1">
      <x:c r="A22" s="22" t="str">
        <x:v>TRT-0020</x:v>
      </x:c>
      <x:c r="B22" s="22" t="n">
        <x:v>31</x:v>
      </x:c>
      <x:c r="C22" s="22" t="str">
        <x:v>Candidate treatment group</x:v>
      </x:c>
      <x:c r="D22" s="22" t="n">
        <x:v>1</x:v>
      </x:c>
      <x:c r="E22" s="22" t="str">
        <x:v>DATA - Innovation driven deals.xlsx</x:v>
      </x:c>
      <x:c r="F22" s="22" t="str">
        <x:v>biogaia acquires additional 9 stake in metabogen for</x:v>
      </x:c>
      <x:c r="G22" s="22" t="str">
        <x:v>Yes</x:v>
      </x:c>
      <x:c r="H22" s="22" t="str">
        <x:v>No</x:v>
      </x:c>
      <x:c r="I22" s="22" t="str">
        <x:v>Yes</x:v>
      </x:c>
      <x:c r="J22" s="22" t="n">
        <x:v>2</x:v>
      </x:c>
      <x:c r="K22" s="22" t="str">
        <x:v>Not started</x:v>
      </x:c>
      <x:c r="L22" s="22" t="str">
        <x:v>Exclude - minority</x:v>
      </x:c>
      <x:c r="M22" s="22" t="str">
        <x:v>Review</x:v>
      </x:c>
      <x:c r="N22" s="22" t="str"/>
      <x:c r="O22" s="28" t="n">
        <x:v>42704</x:v>
      </x:c>
      <x:c r="P22" s="28" t="n">
        <x:v>42704</x:v>
      </x:c>
      <x:c r="Q22" s="22" t="n">
        <x:v>2016</x:v>
      </x:c>
      <x:c r="R22" s="22" t="str">
        <x:v>Q4 2016</x:v>
      </x:c>
      <x:c r="S22" s="22" t="str">
        <x:v>Completed</x:v>
      </x:c>
      <x:c r="T22" s="26" t="str">
        <x:v>BioGaia Acquires Additional 9% Stake in MetaboGen for USD0.43 Million</x:v>
      </x:c>
      <x:c r="U22" s="22" t="str">
        <x:v>Mergers &amp; Acquisitions</x:v>
      </x:c>
      <x:c r="V22" s="22" t="str">
        <x:v>Acquisition</x:v>
      </x:c>
      <x:c r="W22" s="22" t="str">
        <x:v>Minority Acquisition</x:v>
      </x:c>
      <x:c r="X22" s="22" t="str">
        <x:v>Sweden</x:v>
      </x:c>
      <x:c r="Y22" s="22" t="str">
        <x:v>Minority Acquisition</x:v>
      </x:c>
      <x:c r="Z22" s="26"/>
      <x:c r="AA22" s="26"/>
      <x:c r="AB22" s="22" t="str">
        <x:v>BioGaia AB</x:v>
      </x:c>
      <x:c r="AC22" s="22" t="str">
        <x:v>biogaia ab</x:v>
      </x:c>
      <x:c r="AD22" s="22" t="str">
        <x:v>MetaboGen AB</x:v>
      </x:c>
      <x:c r="AE22" s="22" t="str">
        <x:v>metabogen ab</x:v>
      </x:c>
      <x:c r="AF22" s="30" t="n">
        <x:v>0</x:v>
      </x:c>
      <x:c r="AG22" s="22" t="n">
        <x:v>0</x:v>
      </x:c>
      <x:c r="AH22" s="26" t="str">
        <x:v>BioGaia AB, a biotechnology company, has acquired additional 9% stake in MetaboGen AB, a research company, for a consideration of SEK4 million (USD0.43 million). In total BioGaia acquired 36% stake in MetaboGen.
Earlier, on December 31, 2014, BioGaia agreed to acquire 35% stake in MetaboGen, for a purchase consideration of SEK12 million (USD1.6 million). Pursuant to the transaction, the investment will be made over a two year period and will then give BioGaia 35% of the share capital of the company. On December 31, 2016, BioGaia acquired 15% stake in MetaboGen, for a consideration of SEK4 million (USD0.54 million). On December 1, 2015, BioGaia acquired additional 12% stake in MetaboGen, for a consideration of SEK4 million (USD0.46 million).
This acquisition enables BioGaia to strengthen its business and develop the next-generation of probiotic products using new technology.</x:v>
      </x:c>
      <x:c r="AI22" s="26" t="str">
        <x:v>This acquisition enables BioGaia to strengthen its business and develop the next-generation of probiotic products using new technology.</x:v>
      </x:c>
      <x:c r="AJ22" s="22" t="str"/>
      <x:c r="AK22" s="22" t="str"/>
      <x:c r="AL22" s="22" t="str">
        <x:v>Unknown</x:v>
      </x:c>
      <x:c r="AM22" s="22" t="str">
        <x:v>Unknown</x:v>
      </x:c>
      <x:c r="AN22" s="22" t="str"/>
      <x:c r="AO22" s="22" t="str"/>
      <x:c r="AP22" s="22" t="str"/>
      <x:c r="AQ22" s="22" t="str"/>
      <x:c r="AR22" s="22" t="str"/>
      <x:c r="AS22" s="22" t="str">
        <x:v>BioGaia AB</x:v>
      </x:c>
      <x:c r="AT22" s="22" t="str">
        <x:v>MetaboGen AB</x:v>
      </x:c>
      <x:c r="AU22" s="22" t="str">
        <x:v>Not reviewed</x:v>
      </x:c>
      <x:c r="AV22" s="22" t="str">
        <x:v>Not assessed</x:v>
      </x:c>
      <x:c r="AW22" s="22" t="str">
        <x:v>Unknown</x:v>
      </x:c>
      <x:c r="AX22" s="22" t="str">
        <x:v>Unknown</x:v>
      </x:c>
      <x:c r="AY22" s="22" t="str">
        <x:v>Unknown</x:v>
      </x:c>
      <x:c r="AZ22" s="22" t="str">
        <x:v>Unknown</x:v>
      </x:c>
      <x:c r="BA22" s="22" t="str">
        <x:v>Unknown</x:v>
      </x:c>
      <x:c r="BB22" s="22" t="str">
        <x:v>Unknown</x:v>
      </x:c>
      <x:c r="BC22" s="26" t="str"/>
      <x:c r="BD22" s="22" t="str"/>
      <x:c r="BE22" s="22" t="str"/>
      <x:c r="BF22" s="22" t="str">
        <x:v>Not collected</x:v>
      </x:c>
      <x:c r="BG22" s="22" t="str">
        <x:v>Not collected</x:v>
      </x:c>
      <x:c r="BH22" s="22" t="str">
        <x:v>Not defined</x:v>
      </x:c>
      <x:c r="BI22" s="22" t="n">
        <x:f>IF($Q22="","",$Q22-3)</x:f>
        <x:v>2013</x:v>
      </x:c>
      <x:c r="BJ22" s="22" t="n">
        <x:f>IF($Q22="","",$Q22-2)</x:f>
        <x:v>2014</x:v>
      </x:c>
      <x:c r="BK22" s="22" t="n">
        <x:f>IF($Q22="","",$Q22-1)</x:f>
        <x:v>2015</x:v>
      </x:c>
      <x:c r="BL22" s="22" t="n">
        <x:f>IF($Q22="","",$Q22+0)</x:f>
        <x:v>2016</x:v>
      </x:c>
      <x:c r="BM22" s="22" t="n">
        <x:f>IF($Q22="","",$Q22+1)</x:f>
        <x:v>2017</x:v>
      </x:c>
      <x:c r="BN22" s="22" t="n">
        <x:f>IF($Q22="","",$Q22+2)</x:f>
        <x:v>2018</x:v>
      </x:c>
      <x:c r="BO22" s="22" t="n">
        <x:f>IF($Q22="","",$Q22+3)</x:f>
        <x:v>2019</x:v>
      </x:c>
      <x:c r="BP22" s="30" t="str"/>
      <x:c r="BQ22" s="30" t="str"/>
      <x:c r="BR22" s="30" t="str"/>
      <x:c r="BS22" s="30" t="str"/>
      <x:c r="BT22" s="30" t="str"/>
      <x:c r="BU22" s="30" t="str"/>
      <x:c r="BV22" s="30" t="str"/>
      <x:c r="BW22" s="30" t="str"/>
      <x:c r="BX22" s="30" t="str"/>
      <x:c r="BY22" s="30" t="str"/>
      <x:c r="BZ22" s="30" t="str"/>
      <x:c r="CA22" s="30" t="str"/>
      <x:c r="CB22" s="30" t="str"/>
      <x:c r="CC22" s="30" t="str"/>
      <x:c r="CD22" s="30" t="str"/>
      <x:c r="CE22" s="30" t="str"/>
      <x:c r="CF22" s="30" t="str"/>
      <x:c r="CG22" s="30" t="str"/>
      <x:c r="CH22" s="30" t="str"/>
      <x:c r="CI22" s="30" t="str"/>
      <x:c r="CJ22" s="30" t="str"/>
      <x:c r="CK22" s="30" t="str"/>
      <x:c r="CL22" s="30" t="str"/>
      <x:c r="CM22" s="30" t="str"/>
      <x:c r="CN22" s="30" t="str"/>
      <x:c r="CO22" s="30" t="str"/>
      <x:c r="CP22" s="30" t="str"/>
      <x:c r="CQ22" s="30" t="str"/>
      <x:c r="CR22" s="30" t="str"/>
      <x:c r="CS22" s="30" t="str"/>
      <x:c r="CT22" s="30" t="str"/>
      <x:c r="CU22" s="30" t="str"/>
      <x:c r="CV22" s="30" t="str"/>
      <x:c r="CW22" s="30" t="str"/>
      <x:c r="CX22" s="30" t="str"/>
      <x:c r="CY22" s="30" t="str"/>
      <x:c r="CZ22" s="30" t="str"/>
      <x:c r="DA22" s="30" t="str"/>
      <x:c r="DB22" s="30" t="str"/>
      <x:c r="DC22" s="30" t="str"/>
      <x:c r="DD22" s="30" t="str"/>
      <x:c r="DE22" s="30" t="str"/>
      <x:c r="DF22" s="32" t="str"/>
      <x:c r="DG22" s="32" t="str"/>
      <x:c r="DH22" s="32" t="str"/>
      <x:c r="DI22" s="32" t="str"/>
      <x:c r="DJ22" s="32" t="str"/>
      <x:c r="DK22" s="32" t="str"/>
      <x:c r="DL22" s="32" t="str"/>
      <x:c r="DM22" s="32" t="str"/>
      <x:c r="DN22" s="32" t="str"/>
      <x:c r="DO22" s="32" t="str"/>
      <x:c r="DP22" s="32" t="str"/>
      <x:c r="DQ22" s="32" t="str"/>
      <x:c r="DR22" s="32" t="str"/>
      <x:c r="DS22" s="32" t="str"/>
      <x:c r="DT22" s="32" t="str"/>
      <x:c r="DU22" s="32" t="str"/>
      <x:c r="DV22" s="32" t="str"/>
      <x:c r="DW22" s="32" t="str"/>
      <x:c r="DX22" s="32" t="str"/>
      <x:c r="DY22" s="32" t="str"/>
      <x:c r="DZ22" s="32" t="str"/>
      <x:c r="EA22" s="34" t="str"/>
      <x:c r="EB22" s="34" t="str"/>
      <x:c r="EC22" s="34" t="str"/>
      <x:c r="ED22" s="34" t="str"/>
      <x:c r="EE22" s="34" t="str"/>
      <x:c r="EF22" s="34" t="str"/>
      <x:c r="EG22" s="34" t="str"/>
      <x:c r="EH22" s="34" t="str"/>
      <x:c r="EI22" s="34" t="str"/>
      <x:c r="EJ22" s="34" t="str"/>
      <x:c r="EK22" s="34" t="str"/>
      <x:c r="EL22" s="34" t="str"/>
      <x:c r="EM22" s="34" t="str"/>
      <x:c r="EN22" s="34" t="str"/>
      <x:c r="EO22" s="34" t="str"/>
      <x:c r="EP22" s="34" t="str"/>
      <x:c r="EQ22" s="36" t="str">
        <x:f>IF(OR($EO22="",$EP22="",$EO22=0),"",$EP22/$EO22)</x:f>
      </x:c>
      <x:c r="ER22" s="38" t="str"/>
      <x:c r="ES22" s="22" t="str">
        <x:v>Unknown</x:v>
      </x:c>
      <x:c r="ET22" s="22" t="str">
        <x:v>Unknown</x:v>
      </x:c>
      <x:c r="EU22" s="40" t="str">
        <x:f>IF(COUNT($DF22,$DG22,$DH22)=0,"",AVERAGE($DF22,$DG22,$DH22))</x:f>
      </x:c>
      <x:c r="EV22" s="40" t="str">
        <x:f>IF(COUNT($DJ22,$DK22,$DL22)=0,"",AVERAGE($DJ22,$DK22,$DL22))</x:f>
      </x:c>
      <x:c r="EW22" s="40" t="str">
        <x:f>IF(OR($EU22="",$EV22=""),"",$EV22-$EU22)</x:f>
      </x:c>
      <x:c r="EX22" s="40" t="str">
        <x:f>IF(COUNT($DM22,$DN22,$DO22)=0,"",AVERAGE($DM22,$DN22,$DO22))</x:f>
      </x:c>
      <x:c r="EY22" s="40" t="str">
        <x:f>IF(COUNT($DQ22,$DR22,$DS22)=0,"",AVERAGE($DQ22,$DR22,$DS22))</x:f>
      </x:c>
      <x:c r="EZ22" s="40" t="str">
        <x:f>IF(OR($EX22="",$EY22=""),"",$EY22-$EX22)</x:f>
      </x:c>
      <x:c r="FA22" s="42" t="str">
        <x:f>IF(COUNT($EA22,$EB22,$EC22)=0,"",AVERAGE($EA22,$EB22,$EC22))</x:f>
      </x:c>
      <x:c r="FB22" s="42" t="str">
        <x:f>IF(COUNT($EE22,$EF22,$EG22)=0,"",AVERAGE($EE22,$EF22,$EG22))</x:f>
      </x:c>
      <x:c r="FC22" s="42" t="str">
        <x:f>IF(OR($FA22="",$FB22=""),"",$FB22-$FA22)</x:f>
      </x:c>
      <x:c r="FD22" s="42" t="str">
        <x:f>IF(COUNT($EH22,$EI22,$EJ22)=0,"",AVERAGE($EH22,$EI22,$EJ22))</x:f>
      </x:c>
      <x:c r="FE22" s="42" t="str">
        <x:f>IF(COUNT($EL22,$EM22,$EN22)=0,"",AVERAGE($EL22,$EM22,$EN22))</x:f>
      </x:c>
      <x:c r="FF22" s="42" t="str">
        <x:f>IF(OR($FD22="",$FE22=""),"",$FE22-$FD22)</x:f>
      </x:c>
      <x:c r="FG22" s="24" t="str">
        <x:f>IF(COUNT($DF22,$DG22,$DH22,$DJ22,$DK22,$DL22,$DM22,$DN22,$DO22,$DQ22,$DR22,$DS22)=12,"Yes","No")</x:f>
        <x:v>No</x:v>
      </x:c>
      <x:c r="FH22" s="24" t="str">
        <x:f>IF(COUNT($EA22,$EB22,$EC22,$EE22,$EF22,$EG22,$EH22,$EI22,$EJ22,$EL22,$EM22,$EN22)=12,"Yes","No")</x:f>
        <x:v>No</x:v>
      </x:c>
      <x:c r="FI22" s="24" t="str">
        <x:f>IF(AND($M22="Include",OR($FG22="Yes",$FH22="Yes")),"Ready","Not ready")</x:f>
        <x:v>Not ready</x:v>
      </x:c>
    </x:row>
    <x:row r="23" ht="24" customHeight="1">
      <x:c r="A23" s="22" t="str">
        <x:v>TRT-0021</x:v>
      </x:c>
      <x:c r="B23" s="22" t="n">
        <x:v>32</x:v>
      </x:c>
      <x:c r="C23" s="22" t="str">
        <x:v>Candidate treatment group</x:v>
      </x:c>
      <x:c r="D23" s="22" t="n">
        <x:v>1</x:v>
      </x:c>
      <x:c r="E23" s="22" t="str">
        <x:v>DATA - Innovation driven deals.xlsx</x:v>
      </x:c>
      <x:c r="F23" s="22" t="str">
        <x:v>macarthys laboratories martindale pharma acquires viridian pharma</x:v>
      </x:c>
      <x:c r="G23" s="22" t="str">
        <x:v>Yes</x:v>
      </x:c>
      <x:c r="H23" s="22" t="str">
        <x:v>No</x:v>
      </x:c>
      <x:c r="I23" s="22" t="str">
        <x:v>No</x:v>
      </x:c>
      <x:c r="J23" s="22" t="n">
        <x:v>1</x:v>
      </x:c>
      <x:c r="K23" s="22" t="str">
        <x:v>Not started</x:v>
      </x:c>
      <x:c r="L23" s="22" t="str">
        <x:v>Review - majority</x:v>
      </x:c>
      <x:c r="M23" s="22" t="str">
        <x:v>Review</x:v>
      </x:c>
      <x:c r="N23" s="22" t="str"/>
      <x:c r="O23" s="28" t="n">
        <x:v>42562</x:v>
      </x:c>
      <x:c r="P23" s="28" t="n">
        <x:v>42562</x:v>
      </x:c>
      <x:c r="Q23" s="22" t="n">
        <x:v>2016</x:v>
      </x:c>
      <x:c r="R23" s="22" t="str">
        <x:v>Q3 2016</x:v>
      </x:c>
      <x:c r="S23" s="22" t="str">
        <x:v>Completed</x:v>
      </x:c>
      <x:c r="T23" s="26" t="str">
        <x:v>Macarthys Laboratories (Martindale Pharma) acquires Viridian Pharma</x:v>
      </x:c>
      <x:c r="U23" s="22" t="str">
        <x:v>Mergers &amp; Acquisitions</x:v>
      </x:c>
      <x:c r="V23" s="22" t="str">
        <x:v>Acquisition</x:v>
      </x:c>
      <x:c r="W23" s="22" t="str">
        <x:v>Majority Acquisition</x:v>
      </x:c>
      <x:c r="X23" s="22" t="str">
        <x:v>United Kingdom</x:v>
      </x:c>
      <x:c r="Y23" s="22" t="str">
        <x:v>Majority Acquisition</x:v>
      </x:c>
      <x:c r="Z23" s="26"/>
      <x:c r="AA23" s="26"/>
      <x:c r="AB23" s="22" t="str">
        <x:v>Martindale Pharma</x:v>
      </x:c>
      <x:c r="AC23" s="22" t="str">
        <x:v>martindale pharma</x:v>
      </x:c>
      <x:c r="AD23" s="22" t="str">
        <x:v>Viridian Pharma Ltd</x:v>
      </x:c>
      <x:c r="AE23" s="22" t="str">
        <x:v>viridian pharma</x:v>
      </x:c>
      <x:c r="AF23" s="30"/>
      <x:c r="AG23" s="22" t="str">
        <x:v>n/a</x:v>
      </x:c>
      <x:c r="AH23" s="26" t="str">
        <x:v>Macarthys Laboratories Limited (trading as Martindale Pharma), a specialty pharmaceutical company, has acquired Viridian Pharma Limited, a developer and marketer of niche pharmaceutical products. Both the companies are based in the UK.
_x000d_Following the transaction, Viridian Pharma will be combined with Martindale Pharma’s existing business.</x:v>
      </x:c>
      <x:c r="AI23" s="26" t="str">
        <x:v>According to Martindale Pharma, “This acquisition is part of the company’s strategy to expand its product portfolio and actively support further growth of its hospital-initiated medicines product range.”</x:v>
      </x:c>
      <x:c r="AJ23" s="22" t="str"/>
      <x:c r="AK23" s="22" t="str"/>
      <x:c r="AL23" s="22" t="str">
        <x:v>Unknown</x:v>
      </x:c>
      <x:c r="AM23" s="22" t="str">
        <x:v>Unknown</x:v>
      </x:c>
      <x:c r="AN23" s="22" t="str"/>
      <x:c r="AO23" s="22" t="str"/>
      <x:c r="AP23" s="22" t="str"/>
      <x:c r="AQ23" s="22" t="str"/>
      <x:c r="AR23" s="22" t="str"/>
      <x:c r="AS23" s="22" t="str">
        <x:v>Martindale Pharma</x:v>
      </x:c>
      <x:c r="AT23" s="22" t="str">
        <x:v>Viridian Pharma Ltd</x:v>
      </x:c>
      <x:c r="AU23" s="22" t="str">
        <x:v>Not reviewed</x:v>
      </x:c>
      <x:c r="AV23" s="22" t="str">
        <x:v>Not assessed</x:v>
      </x:c>
      <x:c r="AW23" s="22" t="str">
        <x:v>Unknown</x:v>
      </x:c>
      <x:c r="AX23" s="22" t="str">
        <x:v>Unknown</x:v>
      </x:c>
      <x:c r="AY23" s="22" t="str">
        <x:v>Unknown</x:v>
      </x:c>
      <x:c r="AZ23" s="22" t="str">
        <x:v>Unknown</x:v>
      </x:c>
      <x:c r="BA23" s="22" t="str">
        <x:v>Unknown</x:v>
      </x:c>
      <x:c r="BB23" s="22" t="str">
        <x:v>Unknown</x:v>
      </x:c>
      <x:c r="BC23" s="26" t="str"/>
      <x:c r="BD23" s="22" t="str"/>
      <x:c r="BE23" s="22" t="str"/>
      <x:c r="BF23" s="22" t="str">
        <x:v>Not collected</x:v>
      </x:c>
      <x:c r="BG23" s="22" t="str">
        <x:v>Not collected</x:v>
      </x:c>
      <x:c r="BH23" s="22" t="str">
        <x:v>Not defined</x:v>
      </x:c>
      <x:c r="BI23" s="22" t="n">
        <x:f>IF($Q23="","",$Q23-3)</x:f>
        <x:v>2013</x:v>
      </x:c>
      <x:c r="BJ23" s="22" t="n">
        <x:f>IF($Q23="","",$Q23-2)</x:f>
        <x:v>2014</x:v>
      </x:c>
      <x:c r="BK23" s="22" t="n">
        <x:f>IF($Q23="","",$Q23-1)</x:f>
        <x:v>2015</x:v>
      </x:c>
      <x:c r="BL23" s="22" t="n">
        <x:f>IF($Q23="","",$Q23+0)</x:f>
        <x:v>2016</x:v>
      </x:c>
      <x:c r="BM23" s="22" t="n">
        <x:f>IF($Q23="","",$Q23+1)</x:f>
        <x:v>2017</x:v>
      </x:c>
      <x:c r="BN23" s="22" t="n">
        <x:f>IF($Q23="","",$Q23+2)</x:f>
        <x:v>2018</x:v>
      </x:c>
      <x:c r="BO23" s="22" t="n">
        <x:f>IF($Q23="","",$Q23+3)</x:f>
        <x:v>2019</x:v>
      </x:c>
      <x:c r="BP23" s="30" t="str"/>
      <x:c r="BQ23" s="30" t="str"/>
      <x:c r="BR23" s="30" t="str"/>
      <x:c r="BS23" s="30" t="str"/>
      <x:c r="BT23" s="30" t="str"/>
      <x:c r="BU23" s="30" t="str"/>
      <x:c r="BV23" s="30" t="str"/>
      <x:c r="BW23" s="30" t="str"/>
      <x:c r="BX23" s="30" t="str"/>
      <x:c r="BY23" s="30" t="str"/>
      <x:c r="BZ23" s="30" t="str"/>
      <x:c r="CA23" s="30" t="str"/>
      <x:c r="CB23" s="30" t="str"/>
      <x:c r="CC23" s="30" t="str"/>
      <x:c r="CD23" s="30" t="str"/>
      <x:c r="CE23" s="30" t="str"/>
      <x:c r="CF23" s="30" t="str"/>
      <x:c r="CG23" s="30" t="str"/>
      <x:c r="CH23" s="30" t="str"/>
      <x:c r="CI23" s="30" t="str"/>
      <x:c r="CJ23" s="30" t="str"/>
      <x:c r="CK23" s="30" t="str"/>
      <x:c r="CL23" s="30" t="str"/>
      <x:c r="CM23" s="30" t="str"/>
      <x:c r="CN23" s="30" t="str"/>
      <x:c r="CO23" s="30" t="str"/>
      <x:c r="CP23" s="30" t="str"/>
      <x:c r="CQ23" s="30" t="str"/>
      <x:c r="CR23" s="30" t="str"/>
      <x:c r="CS23" s="30" t="str"/>
      <x:c r="CT23" s="30" t="str"/>
      <x:c r="CU23" s="30" t="str"/>
      <x:c r="CV23" s="30" t="str"/>
      <x:c r="CW23" s="30" t="str"/>
      <x:c r="CX23" s="30" t="str"/>
      <x:c r="CY23" s="30" t="str"/>
      <x:c r="CZ23" s="30" t="str"/>
      <x:c r="DA23" s="30" t="str"/>
      <x:c r="DB23" s="30" t="str"/>
      <x:c r="DC23" s="30" t="str"/>
      <x:c r="DD23" s="30" t="str"/>
      <x:c r="DE23" s="30" t="str"/>
      <x:c r="DF23" s="32" t="str"/>
      <x:c r="DG23" s="32" t="str"/>
      <x:c r="DH23" s="32" t="str"/>
      <x:c r="DI23" s="32" t="str"/>
      <x:c r="DJ23" s="32" t="str"/>
      <x:c r="DK23" s="32" t="str"/>
      <x:c r="DL23" s="32" t="str"/>
      <x:c r="DM23" s="32" t="str"/>
      <x:c r="DN23" s="32" t="str"/>
      <x:c r="DO23" s="32" t="str"/>
      <x:c r="DP23" s="32" t="str"/>
      <x:c r="DQ23" s="32" t="str"/>
      <x:c r="DR23" s="32" t="str"/>
      <x:c r="DS23" s="32" t="str"/>
      <x:c r="DT23" s="32" t="str"/>
      <x:c r="DU23" s="32" t="str"/>
      <x:c r="DV23" s="32" t="str"/>
      <x:c r="DW23" s="32" t="str"/>
      <x:c r="DX23" s="32" t="str"/>
      <x:c r="DY23" s="32" t="str"/>
      <x:c r="DZ23" s="32" t="str"/>
      <x:c r="EA23" s="34" t="str"/>
      <x:c r="EB23" s="34" t="str"/>
      <x:c r="EC23" s="34" t="str"/>
      <x:c r="ED23" s="34" t="str"/>
      <x:c r="EE23" s="34" t="str"/>
      <x:c r="EF23" s="34" t="str"/>
      <x:c r="EG23" s="34" t="str"/>
      <x:c r="EH23" s="34" t="str"/>
      <x:c r="EI23" s="34" t="str"/>
      <x:c r="EJ23" s="34" t="str"/>
      <x:c r="EK23" s="34" t="str"/>
      <x:c r="EL23" s="34" t="str"/>
      <x:c r="EM23" s="34" t="str"/>
      <x:c r="EN23" s="34" t="str"/>
      <x:c r="EO23" s="34" t="str"/>
      <x:c r="EP23" s="34" t="str"/>
      <x:c r="EQ23" s="36" t="str">
        <x:f>IF(OR($EO23="",$EP23="",$EO23=0),"",$EP23/$EO23)</x:f>
      </x:c>
      <x:c r="ER23" s="38" t="str"/>
      <x:c r="ES23" s="22" t="str">
        <x:v>Unknown</x:v>
      </x:c>
      <x:c r="ET23" s="22" t="str">
        <x:v>Unknown</x:v>
      </x:c>
      <x:c r="EU23" s="40" t="str">
        <x:f>IF(COUNT($DF23,$DG23,$DH23)=0,"",AVERAGE($DF23,$DG23,$DH23))</x:f>
      </x:c>
      <x:c r="EV23" s="40" t="str">
        <x:f>IF(COUNT($DJ23,$DK23,$DL23)=0,"",AVERAGE($DJ23,$DK23,$DL23))</x:f>
      </x:c>
      <x:c r="EW23" s="40" t="str">
        <x:f>IF(OR($EU23="",$EV23=""),"",$EV23-$EU23)</x:f>
      </x:c>
      <x:c r="EX23" s="40" t="str">
        <x:f>IF(COUNT($DM23,$DN23,$DO23)=0,"",AVERAGE($DM23,$DN23,$DO23))</x:f>
      </x:c>
      <x:c r="EY23" s="40" t="str">
        <x:f>IF(COUNT($DQ23,$DR23,$DS23)=0,"",AVERAGE($DQ23,$DR23,$DS23))</x:f>
      </x:c>
      <x:c r="EZ23" s="40" t="str">
        <x:f>IF(OR($EX23="",$EY23=""),"",$EY23-$EX23)</x:f>
      </x:c>
      <x:c r="FA23" s="42" t="str">
        <x:f>IF(COUNT($EA23,$EB23,$EC23)=0,"",AVERAGE($EA23,$EB23,$EC23))</x:f>
      </x:c>
      <x:c r="FB23" s="42" t="str">
        <x:f>IF(COUNT($EE23,$EF23,$EG23)=0,"",AVERAGE($EE23,$EF23,$EG23))</x:f>
      </x:c>
      <x:c r="FC23" s="42" t="str">
        <x:f>IF(OR($FA23="",$FB23=""),"",$FB23-$FA23)</x:f>
      </x:c>
      <x:c r="FD23" s="42" t="str">
        <x:f>IF(COUNT($EH23,$EI23,$EJ23)=0,"",AVERAGE($EH23,$EI23,$EJ23))</x:f>
      </x:c>
      <x:c r="FE23" s="42" t="str">
        <x:f>IF(COUNT($EL23,$EM23,$EN23)=0,"",AVERAGE($EL23,$EM23,$EN23))</x:f>
      </x:c>
      <x:c r="FF23" s="42" t="str">
        <x:f>IF(OR($FD23="",$FE23=""),"",$FE23-$FD23)</x:f>
      </x:c>
      <x:c r="FG23" s="24" t="str">
        <x:f>IF(COUNT($DF23,$DG23,$DH23,$DJ23,$DK23,$DL23,$DM23,$DN23,$DO23,$DQ23,$DR23,$DS23)=12,"Yes","No")</x:f>
        <x:v>No</x:v>
      </x:c>
      <x:c r="FH23" s="24" t="str">
        <x:f>IF(COUNT($EA23,$EB23,$EC23,$EE23,$EF23,$EG23,$EH23,$EI23,$EJ23,$EL23,$EM23,$EN23)=12,"Yes","No")</x:f>
        <x:v>No</x:v>
      </x:c>
      <x:c r="FI23" s="24" t="str">
        <x:f>IF(AND($M23="Include",OR($FG23="Yes",$FH23="Yes")),"Ready","Not ready")</x:f>
        <x:v>Not ready</x:v>
      </x:c>
    </x:row>
    <x:row r="24" ht="24" customHeight="1">
      <x:c r="A24" s="22" t="str">
        <x:v>TRT-0022</x:v>
      </x:c>
      <x:c r="B24" s="22" t="n">
        <x:v>33</x:v>
      </x:c>
      <x:c r="C24" s="22" t="str">
        <x:v>Candidate treatment group</x:v>
      </x:c>
      <x:c r="D24" s="22" t="n">
        <x:v>1</x:v>
      </x:c>
      <x:c r="E24" s="22" t="str">
        <x:v>DATA - Innovation driven deals.xlsx</x:v>
      </x:c>
      <x:c r="F24" s="22" t="str">
        <x:v>carbylan therapeutics acquires kalvista pharma</x:v>
      </x:c>
      <x:c r="G24" s="22" t="str">
        <x:v>Yes</x:v>
      </x:c>
      <x:c r="H24" s="22" t="str">
        <x:v>No</x:v>
      </x:c>
      <x:c r="I24" s="22" t="str">
        <x:v>No</x:v>
      </x:c>
      <x:c r="J24" s="22" t="n">
        <x:v>1</x:v>
      </x:c>
      <x:c r="K24" s="22" t="str">
        <x:v>Not started</x:v>
      </x:c>
      <x:c r="L24" s="22" t="str">
        <x:v>Eligible - 100%</x:v>
      </x:c>
      <x:c r="M24" s="22" t="str">
        <x:v>Review</x:v>
      </x:c>
      <x:c r="N24" s="22" t="str"/>
      <x:c r="O24" s="28" t="n">
        <x:v>42536</x:v>
      </x:c>
      <x:c r="P24" s="28" t="n">
        <x:v>42696</x:v>
      </x:c>
      <x:c r="Q24" s="22" t="n">
        <x:v>2016</x:v>
      </x:c>
      <x:c r="R24" s="22" t="str">
        <x:v>Q2 2016</x:v>
      </x:c>
      <x:c r="S24" s="22" t="str">
        <x:v>Completed</x:v>
      </x:c>
      <x:c r="T24" s="26" t="str">
        <x:v>Carbylan Therapeutics Acquires KalVista Pharma</x:v>
      </x:c>
      <x:c r="U24" s="22" t="str">
        <x:v>Mergers &amp; Acquisitions</x:v>
      </x:c>
      <x:c r="V24" s="22" t="str">
        <x:v>Acquisition</x:v>
      </x:c>
      <x:c r="W24" s="22" t="str">
        <x:v>100% Acquisition</x:v>
      </x:c>
      <x:c r="X24" s="22" t="str">
        <x:v>United Kingdom</x:v>
      </x:c>
      <x:c r="Y24" s="22" t="str">
        <x:v>100% Acquisition</x:v>
      </x:c>
      <x:c r="Z24" s="26" t="str">
        <x:v>Wedbush PacGrow Life Sciences , Jefferies LLC</x:v>
      </x:c>
      <x:c r="AA24" s="26" t="str">
        <x:v>Fenwick &amp; West LLP , Cooley LLP , Latham &amp; Watkins LLP</x:v>
      </x:c>
      <x:c r="AB24" s="22" t="str">
        <x:v>Kalvista Pharmaceuticals Inc</x:v>
      </x:c>
      <x:c r="AC24" s="22" t="str">
        <x:v>kalvista pharmaceuticals</x:v>
      </x:c>
      <x:c r="AD24" s="22" t="str">
        <x:v>Kalvista Pharmaceuticals Ltd</x:v>
      </x:c>
      <x:c r="AE24" s="22" t="str">
        <x:v>kalvista pharmaceuticals</x:v>
      </x:c>
      <x:c r="AF24" s="30"/>
      <x:c r="AG24" s="22" t="str">
        <x:v>n/a</x:v>
      </x:c>
      <x:c r="AH24" s="26" t="str">
        <x:v>Carbylan Therapeutics, Inc., a pharmaceutical company, has completed the acquisition of KalVista Pharmaceuticals Ltd., a pharmaceutical company.
Under the terms, Carbylan Therapeutics issued new shares of its common stock to KalVista Pharma shareholders. Following the transaction, Carbylan Therapeutics changed its name to KalVista Pharmaceuticals, Inc. The company will commence trading on November 22, 2016 on the NASDAQ Stock Market under the symbol 'KALV'. Upon the closing of the transaction, existing KalVista Pharma equity holders owned approximately 81% of the combined company, and existing Carbylan stockholders owned approximately 19%, each on a fully-diluted basis. As part of the transaction, the designated equity holders and KalVista Pharma's shareholder each entered into a lock-up agreement with Carbylan Therapeutics pursuant to which such parties have agreed, except in limited circumstances, not to sell or transfer, or engage in swap or similar transactions with respect to, shares of Carbylan Therapeutics’ common stock, including, as applicable, shares received in connection with the transaction, for a period of 180 days following the closing of the transaction.
The total cash balance, net of debt and expected transaction costs, of the combined company upon the closing of the transaction is expected to be minimum of USD35 million and maximum of USD40 million, which is expected to be sufficient to allow the combined company to achieve meaningful clinical data. Following the transaction, KalVista Pharma will become a wholly owned subsidiary of Carbylan Therapeutics.
The transaction has been unanimously approved by the boards of directors of both companies. Carbylan Therapeutics' three largest shareholders, Interwest Partners, LLC, Alta Partners and Vivo Capital, who hold approximately 50% of its voting shares, have entered into agreements in support of the proposed transaction. KalVista Pharma’s existing shareholders, which have unanimously agreed to the proposed transaction, include Longwood Fund, Novo A/S, RA Capital Management, SV Life Sciences and Venrock.
This transaction enables KalVista Pharma to continue the development of its plasma kallikrein inhibitor platform, and advance its programs in hereditary angioedema (HAE) and diabetic macular edema (DME), bringing much-needed treatments to patients.
Wedbush PacGrow Life Sciences acted as advisor, and Latham &amp; Watkins LLP acted as legal advisor to Carbylan Therapeutics; while Jefferies LLC acted as advisor, and Fenwick &amp; West LLP and Cooley LLP acted as legal advisor to KalVista Pharma, for the transaction.
Deal History:
Announced: On June 15, 2016, Carbylan Therapeutics entered into a definitive share purchase agreement to acquire KalVista Pharma.</x:v>
      </x:c>
      <x:c r="AI24" s="26" t="str">
        <x:v>This transaction enables KalVista Pharma to continue the development of its plasma kallikrein inhibitor platform, and advance its programs in hereditary angioedema (HAE) and diabetic macular edema (DME), bringing much-needed treatments to patients.</x:v>
      </x:c>
      <x:c r="AJ24" s="22" t="str"/>
      <x:c r="AK24" s="22" t="str"/>
      <x:c r="AL24" s="22" t="str">
        <x:v>Unknown</x:v>
      </x:c>
      <x:c r="AM24" s="22" t="str">
        <x:v>Unknown</x:v>
      </x:c>
      <x:c r="AN24" s="22" t="str"/>
      <x:c r="AO24" s="22" t="str"/>
      <x:c r="AP24" s="22" t="str"/>
      <x:c r="AQ24" s="22" t="str"/>
      <x:c r="AR24" s="22" t="str"/>
      <x:c r="AS24" s="22" t="str">
        <x:v>Kalvista Pharmaceuticals Inc</x:v>
      </x:c>
      <x:c r="AT24" s="22" t="str">
        <x:v>Kalvista Pharmaceuticals Ltd</x:v>
      </x:c>
      <x:c r="AU24" s="22" t="str">
        <x:v>Not reviewed</x:v>
      </x:c>
      <x:c r="AV24" s="22" t="str">
        <x:v>Not assessed</x:v>
      </x:c>
      <x:c r="AW24" s="22" t="str">
        <x:v>Unknown</x:v>
      </x:c>
      <x:c r="AX24" s="22" t="str">
        <x:v>Unknown</x:v>
      </x:c>
      <x:c r="AY24" s="22" t="str">
        <x:v>Unknown</x:v>
      </x:c>
      <x:c r="AZ24" s="22" t="str">
        <x:v>Unknown</x:v>
      </x:c>
      <x:c r="BA24" s="22" t="str">
        <x:v>Unknown</x:v>
      </x:c>
      <x:c r="BB24" s="22" t="str">
        <x:v>Unknown</x:v>
      </x:c>
      <x:c r="BC24" s="26" t="str"/>
      <x:c r="BD24" s="22" t="str"/>
      <x:c r="BE24" s="22" t="str"/>
      <x:c r="BF24" s="22" t="str">
        <x:v>Not collected</x:v>
      </x:c>
      <x:c r="BG24" s="22" t="str">
        <x:v>Not collected</x:v>
      </x:c>
      <x:c r="BH24" s="22" t="str">
        <x:v>Not defined</x:v>
      </x:c>
      <x:c r="BI24" s="22" t="n">
        <x:f>IF($Q24="","",$Q24-3)</x:f>
        <x:v>2013</x:v>
      </x:c>
      <x:c r="BJ24" s="22" t="n">
        <x:f>IF($Q24="","",$Q24-2)</x:f>
        <x:v>2014</x:v>
      </x:c>
      <x:c r="BK24" s="22" t="n">
        <x:f>IF($Q24="","",$Q24-1)</x:f>
        <x:v>2015</x:v>
      </x:c>
      <x:c r="BL24" s="22" t="n">
        <x:f>IF($Q24="","",$Q24+0)</x:f>
        <x:v>2016</x:v>
      </x:c>
      <x:c r="BM24" s="22" t="n">
        <x:f>IF($Q24="","",$Q24+1)</x:f>
        <x:v>2017</x:v>
      </x:c>
      <x:c r="BN24" s="22" t="n">
        <x:f>IF($Q24="","",$Q24+2)</x:f>
        <x:v>2018</x:v>
      </x:c>
      <x:c r="BO24" s="22" t="n">
        <x:f>IF($Q24="","",$Q24+3)</x:f>
        <x:v>2019</x:v>
      </x:c>
      <x:c r="BP24" s="30" t="str"/>
      <x:c r="BQ24" s="30" t="str"/>
      <x:c r="BR24" s="30" t="str"/>
      <x:c r="BS24" s="30" t="str"/>
      <x:c r="BT24" s="30" t="str"/>
      <x:c r="BU24" s="30" t="str"/>
      <x:c r="BV24" s="30" t="str"/>
      <x:c r="BW24" s="30" t="str"/>
      <x:c r="BX24" s="30" t="str"/>
      <x:c r="BY24" s="30" t="str"/>
      <x:c r="BZ24" s="30" t="str"/>
      <x:c r="CA24" s="30" t="str"/>
      <x:c r="CB24" s="30" t="str"/>
      <x:c r="CC24" s="30" t="str"/>
      <x:c r="CD24" s="30" t="str"/>
      <x:c r="CE24" s="30" t="str"/>
      <x:c r="CF24" s="30" t="str"/>
      <x:c r="CG24" s="30" t="str"/>
      <x:c r="CH24" s="30" t="str"/>
      <x:c r="CI24" s="30" t="str"/>
      <x:c r="CJ24" s="30" t="str"/>
      <x:c r="CK24" s="30" t="str"/>
      <x:c r="CL24" s="30" t="str"/>
      <x:c r="CM24" s="30" t="str"/>
      <x:c r="CN24" s="30" t="str"/>
      <x:c r="CO24" s="30" t="str"/>
      <x:c r="CP24" s="30" t="str"/>
      <x:c r="CQ24" s="30" t="str"/>
      <x:c r="CR24" s="30" t="str"/>
      <x:c r="CS24" s="30" t="str"/>
      <x:c r="CT24" s="30" t="str"/>
      <x:c r="CU24" s="30" t="str"/>
      <x:c r="CV24" s="30" t="str"/>
      <x:c r="CW24" s="30" t="str"/>
      <x:c r="CX24" s="30" t="str"/>
      <x:c r="CY24" s="30" t="str"/>
      <x:c r="CZ24" s="30" t="str"/>
      <x:c r="DA24" s="30" t="str"/>
      <x:c r="DB24" s="30" t="str"/>
      <x:c r="DC24" s="30" t="str"/>
      <x:c r="DD24" s="30" t="str"/>
      <x:c r="DE24" s="30" t="str"/>
      <x:c r="DF24" s="32" t="str"/>
      <x:c r="DG24" s="32" t="str"/>
      <x:c r="DH24" s="32" t="str"/>
      <x:c r="DI24" s="32" t="str"/>
      <x:c r="DJ24" s="32" t="str"/>
      <x:c r="DK24" s="32" t="str"/>
      <x:c r="DL24" s="32" t="str"/>
      <x:c r="DM24" s="32" t="str"/>
      <x:c r="DN24" s="32" t="str"/>
      <x:c r="DO24" s="32" t="str"/>
      <x:c r="DP24" s="32" t="str"/>
      <x:c r="DQ24" s="32" t="str"/>
      <x:c r="DR24" s="32" t="str"/>
      <x:c r="DS24" s="32" t="str"/>
      <x:c r="DT24" s="32" t="str"/>
      <x:c r="DU24" s="32" t="str"/>
      <x:c r="DV24" s="32" t="str"/>
      <x:c r="DW24" s="32" t="str"/>
      <x:c r="DX24" s="32" t="str"/>
      <x:c r="DY24" s="32" t="str"/>
      <x:c r="DZ24" s="32" t="str"/>
      <x:c r="EA24" s="34" t="str"/>
      <x:c r="EB24" s="34" t="str"/>
      <x:c r="EC24" s="34" t="str"/>
      <x:c r="ED24" s="34" t="str"/>
      <x:c r="EE24" s="34" t="str"/>
      <x:c r="EF24" s="34" t="str"/>
      <x:c r="EG24" s="34" t="str"/>
      <x:c r="EH24" s="34" t="str"/>
      <x:c r="EI24" s="34" t="str"/>
      <x:c r="EJ24" s="34" t="str"/>
      <x:c r="EK24" s="34" t="str"/>
      <x:c r="EL24" s="34" t="str"/>
      <x:c r="EM24" s="34" t="str"/>
      <x:c r="EN24" s="34" t="str"/>
      <x:c r="EO24" s="34" t="str"/>
      <x:c r="EP24" s="34" t="str"/>
      <x:c r="EQ24" s="36" t="str">
        <x:f>IF(OR($EO24="",$EP24="",$EO24=0),"",$EP24/$EO24)</x:f>
      </x:c>
      <x:c r="ER24" s="38" t="str"/>
      <x:c r="ES24" s="22" t="str">
        <x:v>Unknown</x:v>
      </x:c>
      <x:c r="ET24" s="22" t="str">
        <x:v>Unknown</x:v>
      </x:c>
      <x:c r="EU24" s="40" t="str">
        <x:f>IF(COUNT($DF24,$DG24,$DH24)=0,"",AVERAGE($DF24,$DG24,$DH24))</x:f>
      </x:c>
      <x:c r="EV24" s="40" t="str">
        <x:f>IF(COUNT($DJ24,$DK24,$DL24)=0,"",AVERAGE($DJ24,$DK24,$DL24))</x:f>
      </x:c>
      <x:c r="EW24" s="40" t="str">
        <x:f>IF(OR($EU24="",$EV24=""),"",$EV24-$EU24)</x:f>
      </x:c>
      <x:c r="EX24" s="40" t="str">
        <x:f>IF(COUNT($DM24,$DN24,$DO24)=0,"",AVERAGE($DM24,$DN24,$DO24))</x:f>
      </x:c>
      <x:c r="EY24" s="40" t="str">
        <x:f>IF(COUNT($DQ24,$DR24,$DS24)=0,"",AVERAGE($DQ24,$DR24,$DS24))</x:f>
      </x:c>
      <x:c r="EZ24" s="40" t="str">
        <x:f>IF(OR($EX24="",$EY24=""),"",$EY24-$EX24)</x:f>
      </x:c>
      <x:c r="FA24" s="42" t="str">
        <x:f>IF(COUNT($EA24,$EB24,$EC24)=0,"",AVERAGE($EA24,$EB24,$EC24))</x:f>
      </x:c>
      <x:c r="FB24" s="42" t="str">
        <x:f>IF(COUNT($EE24,$EF24,$EG24)=0,"",AVERAGE($EE24,$EF24,$EG24))</x:f>
      </x:c>
      <x:c r="FC24" s="42" t="str">
        <x:f>IF(OR($FA24="",$FB24=""),"",$FB24-$FA24)</x:f>
      </x:c>
      <x:c r="FD24" s="42" t="str">
        <x:f>IF(COUNT($EH24,$EI24,$EJ24)=0,"",AVERAGE($EH24,$EI24,$EJ24))</x:f>
      </x:c>
      <x:c r="FE24" s="42" t="str">
        <x:f>IF(COUNT($EL24,$EM24,$EN24)=0,"",AVERAGE($EL24,$EM24,$EN24))</x:f>
      </x:c>
      <x:c r="FF24" s="42" t="str">
        <x:f>IF(OR($FD24="",$FE24=""),"",$FE24-$FD24)</x:f>
      </x:c>
      <x:c r="FG24" s="24" t="str">
        <x:f>IF(COUNT($DF24,$DG24,$DH24,$DJ24,$DK24,$DL24,$DM24,$DN24,$DO24,$DQ24,$DR24,$DS24)=12,"Yes","No")</x:f>
        <x:v>No</x:v>
      </x:c>
      <x:c r="FH24" s="24" t="str">
        <x:f>IF(COUNT($EA24,$EB24,$EC24,$EE24,$EF24,$EG24,$EH24,$EI24,$EJ24,$EL24,$EM24,$EN24)=12,"Yes","No")</x:f>
        <x:v>No</x:v>
      </x:c>
      <x:c r="FI24" s="24" t="str">
        <x:f>IF(AND($M24="Include",OR($FG24="Yes",$FH24="Yes")),"Ready","Not ready")</x:f>
        <x:v>Not ready</x:v>
      </x:c>
    </x:row>
    <x:row r="25" ht="24" customHeight="1">
      <x:c r="A25" s="22" t="str">
        <x:v>TRT-0023</x:v>
      </x:c>
      <x:c r="B25" s="22" t="n">
        <x:v>34</x:v>
      </x:c>
      <x:c r="C25" s="22" t="str">
        <x:v>Candidate treatment group</x:v>
      </x:c>
      <x:c r="D25" s="22" t="n">
        <x:v>1</x:v>
      </x:c>
      <x:c r="E25" s="22" t="str">
        <x:v>DATA - Innovation driven deals.xlsx</x:v>
      </x:c>
      <x:c r="F25" s="22" t="str">
        <x:v>albany molecular research acquires 100 stake of prime european therapeuticals euticals</x:v>
      </x:c>
      <x:c r="G25" s="22" t="str">
        <x:v>Yes</x:v>
      </x:c>
      <x:c r="H25" s="22" t="str">
        <x:v>No</x:v>
      </x:c>
      <x:c r="I25" s="22" t="str">
        <x:v>No</x:v>
      </x:c>
      <x:c r="J25" s="22" t="n">
        <x:v>1</x:v>
      </x:c>
      <x:c r="K25" s="22" t="str">
        <x:v>Not started</x:v>
      </x:c>
      <x:c r="L25" s="22" t="str">
        <x:v>Eligible - 100%</x:v>
      </x:c>
      <x:c r="M25" s="22" t="str">
        <x:v>Review</x:v>
      </x:c>
      <x:c r="N25" s="22" t="str"/>
      <x:c r="O25" s="28" t="n">
        <x:v>42495</x:v>
      </x:c>
      <x:c r="P25" s="28" t="n">
        <x:v>42562</x:v>
      </x:c>
      <x:c r="Q25" s="22" t="n">
        <x:v>2016</x:v>
      </x:c>
      <x:c r="R25" s="22" t="str">
        <x:v>Q2 2016</x:v>
      </x:c>
      <x:c r="S25" s="22" t="str">
        <x:v>Completed</x:v>
      </x:c>
      <x:c r="T25" s="26" t="str">
        <x:v>Albany Molecular Research acquires 100% stake of Prime European Therapeuticals (Euticals)</x:v>
      </x:c>
      <x:c r="U25" s="22" t="str">
        <x:v>Mergers &amp; Acquisitions</x:v>
      </x:c>
      <x:c r="V25" s="22" t="str">
        <x:v>Acquisition</x:v>
      </x:c>
      <x:c r="W25" s="22" t="str">
        <x:v>100% Acquisition</x:v>
      </x:c>
      <x:c r="X25" s="22" t="str">
        <x:v>Italy</x:v>
      </x:c>
      <x:c r="Y25" s="22" t="str">
        <x:v>100% Acquisition</x:v>
      </x:c>
      <x:c r="Z25" s="26" t="str">
        <x:v>Nomura Holdings Inc , Lincoln International LLC</x:v>
      </x:c>
      <x:c r="AA25" s="26" t="str">
        <x:v>LCA Studio Legale , Chiomenti Studio Legale , Debevoise &amp; Plimpton LLP , Goodwin Procter LLP</x:v>
      </x:c>
      <x:c r="AB25" s="22" t="str">
        <x:v>Albany Molecular Research, Inc.</x:v>
      </x:c>
      <x:c r="AC25" s="22" t="str">
        <x:v>albany molecular research</x:v>
      </x:c>
      <x:c r="AD25" s="22" t="str">
        <x:v>Euticals SpA</x:v>
      </x:c>
      <x:c r="AE25" s="22" t="str">
        <x:v>euticals</x:v>
      </x:c>
      <x:c r="AF25" s="30" t="n">
        <x:v>358</x:v>
      </x:c>
      <x:c r="AG25" s="22" t="n">
        <x:v>358</x:v>
      </x:c>
      <x:c r="AH25" s="26" t="str">
        <x:v>Albany Molecular Research, Inc. (AMRI) has acquired all outstanding shares of Prime European Therapeuticals S.p.A. (also known as Euticals S.p.A.), an Italy-based chemical company focused on active pharmaceutical ingredients (APIs), custom synthesis and fine chemicals projects and products, from Lauro Cinquantesette, S.p.A for approximately $358 million, consisting of shares of AMRI common stock, cash, and a seller note. 
_x000d_ AMRI is a US-based provider of contract research and manufacturing services to the pharmaceutical and biotechnology industries, while Lauro is an Italy-based acquisition vehicle of Clessidra Capital Partners II and Mandarin Capital Partner SCA SICAR. 
_x000d_ AMRI financed the transaction through the issuance of approximately 7.1 million shares of AMRI common stock, seller notes totaling EUR55 million, and the remainder in cash. 
_x000d_ Announcement (May 5, 2016): 
_x000d_ AMRI has signed a definitive agreement to acquire all outstanding shares of Euticals from Lauro for approximately $358 million, consisting of shares of AMRI common stock, cash, and a seller note. 
_x000d_ AMRI intends to fund the transaction through the issuance of approximately 7 million shares of its common stock; a seller note of $63 million; and the remainder in cash. 
_x000d_ AMRI has entered into debt financing commitments with JPMorgan Chase &amp; Co. and Barclays Bank PLC for amounts that are expected to be sufficient to provide funds necessary to consummate the transaction. 
_x000d_ Pursuant to the transaction, the 7 million shares of AMRI common stock to be issued in connection with the transaction will be offered and sold outside the US to Lauro. 
_x000d_ Euticals reported a revenue of $245 million and an earnings before interest, taxes, depreciation and amortization (EBITDA) of $27 million respectively for the year ended December 31, 2015. 
_x000d_ Euticals' full year 2016 revenue is forecast to be between $245 million and $255 million, with adjusted EBITDA1 of between $34 million and $38 million, implying a purchase price multiple, prior to anticipated synergies, of approximately 9.9 times 2016 adjusted EBITDA at the midpoint of the range and excluding transaction related costs or purchase accounting impacts. AMRI's 2017 pro forma revenue expected to exceed $750 million, with 2017 adjusted EBITDA margins of 20%. 
_x000d_ Nomura Holdings, Inc. is acting as financial advisor, while Goodwin Procter LLP and LCA Studio Legale are acting as legal advisors to AMRI. Lincoln International LLC is acting as financial advisor, while Chiomenti Studio Legale and Debevoise &amp; Plimpton LLP are acting as legal advisors to Lauro.</x:v>
      </x:c>
      <x:c r="AI25" s="26" t="str">
        <x:v>The transaction will provide AMRI an established custom synthesis presence in Europe and will further build on its capability in complex APIs, positioning AMRI as a preeminent provider of contract research, development and manufacturing services to the pharmaceutical industry._x000d_
_x000d_
It will expand AMRI's capabilities in  multiple areas: sterile API, steroids, generics, fermentation, controlled substances and monobactams._x000d_
_x000d_
It will also provide an opportunity to AMRI to enter into Euticals’s technologies and products, including certain tetracyclines, monobactams, sterile and fermented APIs and controlled substances and to further expand its presence in the European community.</x:v>
      </x:c>
      <x:c r="AJ25" s="22" t="str"/>
      <x:c r="AK25" s="22" t="str"/>
      <x:c r="AL25" s="22" t="str">
        <x:v>Unknown</x:v>
      </x:c>
      <x:c r="AM25" s="22" t="str">
        <x:v>Unknown</x:v>
      </x:c>
      <x:c r="AN25" s="22" t="str"/>
      <x:c r="AO25" s="22" t="str"/>
      <x:c r="AP25" s="22" t="str"/>
      <x:c r="AQ25" s="22" t="str"/>
      <x:c r="AR25" s="22" t="str"/>
      <x:c r="AS25" s="22" t="str">
        <x:v>Albany Molecular Research, Inc.</x:v>
      </x:c>
      <x:c r="AT25" s="22" t="str">
        <x:v>Euticals SpA</x:v>
      </x:c>
      <x:c r="AU25" s="22" t="str">
        <x:v>Not reviewed</x:v>
      </x:c>
      <x:c r="AV25" s="22" t="str">
        <x:v>Not assessed</x:v>
      </x:c>
      <x:c r="AW25" s="22" t="str">
        <x:v>Unknown</x:v>
      </x:c>
      <x:c r="AX25" s="22" t="str">
        <x:v>Unknown</x:v>
      </x:c>
      <x:c r="AY25" s="22" t="str">
        <x:v>Unknown</x:v>
      </x:c>
      <x:c r="AZ25" s="22" t="str">
        <x:v>Unknown</x:v>
      </x:c>
      <x:c r="BA25" s="22" t="str">
        <x:v>Unknown</x:v>
      </x:c>
      <x:c r="BB25" s="22" t="str">
        <x:v>Unknown</x:v>
      </x:c>
      <x:c r="BC25" s="26" t="str"/>
      <x:c r="BD25" s="22" t="str"/>
      <x:c r="BE25" s="22" t="str"/>
      <x:c r="BF25" s="22" t="str">
        <x:v>Not collected</x:v>
      </x:c>
      <x:c r="BG25" s="22" t="str">
        <x:v>Not collected</x:v>
      </x:c>
      <x:c r="BH25" s="22" t="str">
        <x:v>Not defined</x:v>
      </x:c>
      <x:c r="BI25" s="22" t="n">
        <x:f>IF($Q25="","",$Q25-3)</x:f>
        <x:v>2013</x:v>
      </x:c>
      <x:c r="BJ25" s="22" t="n">
        <x:f>IF($Q25="","",$Q25-2)</x:f>
        <x:v>2014</x:v>
      </x:c>
      <x:c r="BK25" s="22" t="n">
        <x:f>IF($Q25="","",$Q25-1)</x:f>
        <x:v>2015</x:v>
      </x:c>
      <x:c r="BL25" s="22" t="n">
        <x:f>IF($Q25="","",$Q25+0)</x:f>
        <x:v>2016</x:v>
      </x:c>
      <x:c r="BM25" s="22" t="n">
        <x:f>IF($Q25="","",$Q25+1)</x:f>
        <x:v>2017</x:v>
      </x:c>
      <x:c r="BN25" s="22" t="n">
        <x:f>IF($Q25="","",$Q25+2)</x:f>
        <x:v>2018</x:v>
      </x:c>
      <x:c r="BO25" s="22" t="n">
        <x:f>IF($Q25="","",$Q25+3)</x:f>
        <x:v>2019</x:v>
      </x:c>
      <x:c r="BP25" s="30" t="str"/>
      <x:c r="BQ25" s="30" t="str"/>
      <x:c r="BR25" s="30" t="str"/>
      <x:c r="BS25" s="30" t="str"/>
      <x:c r="BT25" s="30" t="str"/>
      <x:c r="BU25" s="30" t="str"/>
      <x:c r="BV25" s="30" t="str"/>
      <x:c r="BW25" s="30" t="str"/>
      <x:c r="BX25" s="30" t="str"/>
      <x:c r="BY25" s="30" t="str"/>
      <x:c r="BZ25" s="30" t="str"/>
      <x:c r="CA25" s="30" t="str"/>
      <x:c r="CB25" s="30" t="str"/>
      <x:c r="CC25" s="30" t="str"/>
      <x:c r="CD25" s="30" t="str"/>
      <x:c r="CE25" s="30" t="str"/>
      <x:c r="CF25" s="30" t="str"/>
      <x:c r="CG25" s="30" t="str"/>
      <x:c r="CH25" s="30" t="str"/>
      <x:c r="CI25" s="30" t="str"/>
      <x:c r="CJ25" s="30" t="str"/>
      <x:c r="CK25" s="30" t="str"/>
      <x:c r="CL25" s="30" t="str"/>
      <x:c r="CM25" s="30" t="str"/>
      <x:c r="CN25" s="30" t="str"/>
      <x:c r="CO25" s="30" t="str"/>
      <x:c r="CP25" s="30" t="str"/>
      <x:c r="CQ25" s="30" t="str"/>
      <x:c r="CR25" s="30" t="str"/>
      <x:c r="CS25" s="30" t="str"/>
      <x:c r="CT25" s="30" t="str"/>
      <x:c r="CU25" s="30" t="str"/>
      <x:c r="CV25" s="30" t="str"/>
      <x:c r="CW25" s="30" t="str"/>
      <x:c r="CX25" s="30" t="str"/>
      <x:c r="CY25" s="30" t="str"/>
      <x:c r="CZ25" s="30" t="str"/>
      <x:c r="DA25" s="30" t="str"/>
      <x:c r="DB25" s="30" t="str"/>
      <x:c r="DC25" s="30" t="str"/>
      <x:c r="DD25" s="30" t="str"/>
      <x:c r="DE25" s="30" t="str"/>
      <x:c r="DF25" s="32" t="str"/>
      <x:c r="DG25" s="32" t="str"/>
      <x:c r="DH25" s="32" t="str"/>
      <x:c r="DI25" s="32" t="str"/>
      <x:c r="DJ25" s="32" t="str"/>
      <x:c r="DK25" s="32" t="str"/>
      <x:c r="DL25" s="32" t="str"/>
      <x:c r="DM25" s="32" t="str"/>
      <x:c r="DN25" s="32" t="str"/>
      <x:c r="DO25" s="32" t="str"/>
      <x:c r="DP25" s="32" t="str"/>
      <x:c r="DQ25" s="32" t="str"/>
      <x:c r="DR25" s="32" t="str"/>
      <x:c r="DS25" s="32" t="str"/>
      <x:c r="DT25" s="32" t="str"/>
      <x:c r="DU25" s="32" t="str"/>
      <x:c r="DV25" s="32" t="str"/>
      <x:c r="DW25" s="32" t="str"/>
      <x:c r="DX25" s="32" t="str"/>
      <x:c r="DY25" s="32" t="str"/>
      <x:c r="DZ25" s="32" t="str"/>
      <x:c r="EA25" s="34" t="str"/>
      <x:c r="EB25" s="34" t="str"/>
      <x:c r="EC25" s="34" t="str"/>
      <x:c r="ED25" s="34" t="str"/>
      <x:c r="EE25" s="34" t="str"/>
      <x:c r="EF25" s="34" t="str"/>
      <x:c r="EG25" s="34" t="str"/>
      <x:c r="EH25" s="34" t="str"/>
      <x:c r="EI25" s="34" t="str"/>
      <x:c r="EJ25" s="34" t="str"/>
      <x:c r="EK25" s="34" t="str"/>
      <x:c r="EL25" s="34" t="str"/>
      <x:c r="EM25" s="34" t="str"/>
      <x:c r="EN25" s="34" t="str"/>
      <x:c r="EO25" s="34" t="str"/>
      <x:c r="EP25" s="34" t="str"/>
      <x:c r="EQ25" s="36" t="str">
        <x:f>IF(OR($EO25="",$EP25="",$EO25=0),"",$EP25/$EO25)</x:f>
      </x:c>
      <x:c r="ER25" s="38" t="str"/>
      <x:c r="ES25" s="22" t="str">
        <x:v>Unknown</x:v>
      </x:c>
      <x:c r="ET25" s="22" t="str">
        <x:v>Unknown</x:v>
      </x:c>
      <x:c r="EU25" s="40" t="str">
        <x:f>IF(COUNT($DF25,$DG25,$DH25)=0,"",AVERAGE($DF25,$DG25,$DH25))</x:f>
      </x:c>
      <x:c r="EV25" s="40" t="str">
        <x:f>IF(COUNT($DJ25,$DK25,$DL25)=0,"",AVERAGE($DJ25,$DK25,$DL25))</x:f>
      </x:c>
      <x:c r="EW25" s="40" t="str">
        <x:f>IF(OR($EU25="",$EV25=""),"",$EV25-$EU25)</x:f>
      </x:c>
      <x:c r="EX25" s="40" t="str">
        <x:f>IF(COUNT($DM25,$DN25,$DO25)=0,"",AVERAGE($DM25,$DN25,$DO25))</x:f>
      </x:c>
      <x:c r="EY25" s="40" t="str">
        <x:f>IF(COUNT($DQ25,$DR25,$DS25)=0,"",AVERAGE($DQ25,$DR25,$DS25))</x:f>
      </x:c>
      <x:c r="EZ25" s="40" t="str">
        <x:f>IF(OR($EX25="",$EY25=""),"",$EY25-$EX25)</x:f>
      </x:c>
      <x:c r="FA25" s="42" t="str">
        <x:f>IF(COUNT($EA25,$EB25,$EC25)=0,"",AVERAGE($EA25,$EB25,$EC25))</x:f>
      </x:c>
      <x:c r="FB25" s="42" t="str">
        <x:f>IF(COUNT($EE25,$EF25,$EG25)=0,"",AVERAGE($EE25,$EF25,$EG25))</x:f>
      </x:c>
      <x:c r="FC25" s="42" t="str">
        <x:f>IF(OR($FA25="",$FB25=""),"",$FB25-$FA25)</x:f>
      </x:c>
      <x:c r="FD25" s="42" t="str">
        <x:f>IF(COUNT($EH25,$EI25,$EJ25)=0,"",AVERAGE($EH25,$EI25,$EJ25))</x:f>
      </x:c>
      <x:c r="FE25" s="42" t="str">
        <x:f>IF(COUNT($EL25,$EM25,$EN25)=0,"",AVERAGE($EL25,$EM25,$EN25))</x:f>
      </x:c>
      <x:c r="FF25" s="42" t="str">
        <x:f>IF(OR($FD25="",$FE25=""),"",$FE25-$FD25)</x:f>
      </x:c>
      <x:c r="FG25" s="24" t="str">
        <x:f>IF(COUNT($DF25,$DG25,$DH25,$DJ25,$DK25,$DL25,$DM25,$DN25,$DO25,$DQ25,$DR25,$DS25)=12,"Yes","No")</x:f>
        <x:v>No</x:v>
      </x:c>
      <x:c r="FH25" s="24" t="str">
        <x:f>IF(COUNT($EA25,$EB25,$EC25,$EE25,$EF25,$EG25,$EH25,$EI25,$EJ25,$EL25,$EM25,$EN25)=12,"Yes","No")</x:f>
        <x:v>No</x:v>
      </x:c>
      <x:c r="FI25" s="24" t="str">
        <x:f>IF(AND($M25="Include",OR($FG25="Yes",$FH25="Yes")),"Ready","Not ready")</x:f>
        <x:v>Not ready</x:v>
      </x:c>
    </x:row>
    <x:row r="26" ht="24" customHeight="1">
      <x:c r="A26" s="22" t="str">
        <x:v>TRT-0024</x:v>
      </x:c>
      <x:c r="B26" s="22" t="n">
        <x:v>35</x:v>
      </x:c>
      <x:c r="C26" s="22" t="str">
        <x:v>Candidate treatment group</x:v>
      </x:c>
      <x:c r="D26" s="22" t="n">
        <x:v>1</x:v>
      </x:c>
      <x:c r="E26" s="22" t="str">
        <x:v>DATA - Innovation driven deals.xlsx</x:v>
      </x:c>
      <x:c r="F26" s="22" t="str">
        <x:v>vectura group acquires 100 stake in skyepharma</x:v>
      </x:c>
      <x:c r="G26" s="22" t="str">
        <x:v>Yes</x:v>
      </x:c>
      <x:c r="H26" s="22" t="str">
        <x:v>No</x:v>
      </x:c>
      <x:c r="I26" s="22" t="str">
        <x:v>Yes</x:v>
      </x:c>
      <x:c r="J26" s="22" t="n">
        <x:v>2</x:v>
      </x:c>
      <x:c r="K26" s="22" t="str">
        <x:v>Not started</x:v>
      </x:c>
      <x:c r="L26" s="22" t="str">
        <x:v>Eligible - 100%</x:v>
      </x:c>
      <x:c r="M26" s="22" t="str">
        <x:v>Review</x:v>
      </x:c>
      <x:c r="N26" s="22" t="str"/>
      <x:c r="O26" s="28" t="n">
        <x:v>42445</x:v>
      </x:c>
      <x:c r="P26" s="28" t="n">
        <x:v>42531</x:v>
      </x:c>
      <x:c r="Q26" s="22" t="n">
        <x:v>2016</x:v>
      </x:c>
      <x:c r="R26" s="22" t="str">
        <x:v>Q1 2016</x:v>
      </x:c>
      <x:c r="S26" s="22" t="str">
        <x:v>Completed</x:v>
      </x:c>
      <x:c r="T26" s="26" t="str">
        <x:v>Vectura Group acquires 100% stake in SkyePharma</x:v>
      </x:c>
      <x:c r="U26" s="22" t="str">
        <x:v>Mergers &amp; Acquisitions</x:v>
      </x:c>
      <x:c r="V26" s="22" t="str">
        <x:v>Acquisition</x:v>
      </x:c>
      <x:c r="W26" s="22" t="str">
        <x:v>100% Acquisition</x:v>
      </x:c>
      <x:c r="X26" s="22" t="str">
        <x:v>United Kingdom</x:v>
      </x:c>
      <x:c r="Y26" s="22" t="str">
        <x:v>100% Acquisition</x:v>
      </x:c>
      <x:c r="Z26" s="26" t="str">
        <x:v>N M Rothschild &amp; Sons Limited (Inactive) , N M Rothschild &amp; Sons Limited (Inactive) , N M Rothschild &amp; Sons Limited (Inactive) , Singer Capital Markets Ltd , Lazard &amp; Co Ltd , Lazard &amp; Co Ltd , Lazard &amp; Co Ltd , J.P. Morgan Cazenove Ltd (Inactive) , J.P. Morgan Cazenove Ltd (Inactive) , J.P. Morgan Cazenove Ltd (Inactive) , Peel Hunt LLP</x:v>
      </x:c>
      <x:c r="AA26" s="26"/>
      <x:c r="AB26" s="22" t="str">
        <x:v>Vectura Group Limited</x:v>
      </x:c>
      <x:c r="AC26" s="22" t="str">
        <x:v>vectura</x:v>
      </x:c>
      <x:c r="AD26" s="22" t="str">
        <x:v>Skyepharma PLC</x:v>
      </x:c>
      <x:c r="AE26" s="22" t="str">
        <x:v>skyepharma</x:v>
      </x:c>
      <x:c r="AF26" s="30" t="n">
        <x:v>627</x:v>
      </x:c>
      <x:c r="AG26" s="22" t="n">
        <x:v>627</x:v>
      </x:c>
      <x:c r="AH26" s="26" t="str">
        <x:v>Vectura Group plc, a developer of pharmaceutical therapies for the treatment of airways-related diseases, has acquired the entire issued and to be issued ordinary share capital of Skyepharma Plc, a specialist drug delivery company developing oral and inhalation products, by way of a scheme of arrangement for approximately GBP4.10 per Skyepharma share, or approximately GBP441.3 million. Both the companies are based in the UK.
_x000d_Announcement (March 16, 2016):
_x000d_Vectura has signed an agreement to acquire the entire issued and to be issued ordinary share capital of Skyepharma by way of a scheme of arrangement for approximately GBP4.10 per Skyepharma share, or approximately GBP441.3 million.
_x000d_Under the terms of the transaction, Skyepharma shareholders will be entitled to receive 2.7977 new Vectura shares for every Skyepharma share. 
_x000d_Based on the closing price of GBP1.46 per Vectura share on March 15, 2016, the consideration under the terms of the transaction represents a value of GBP4.10 per Skyepharma share, or approximately GBP441.3 million in aggregate, representing: a premium of approximately 13.6% to the 90 trading day volume weighted average price of GBP3.61 per Skyepharma share on March 15, 2016; and  a premium of approximately 4.2% to the closing price of GBP3.93 per Skyepharma share on  March 15, 2016.
_x000d_There will be a partial cash alternative of a maximum amount of GBP70 million pursuant to which Skyepharma shareholders can elect to receive cash instead of some or all of the new Vectura shares to which they would otherwise be entitled under the transaction (subject to scale-back in accordance with the terms of the partial cash alternative). The maximum amount of cash available under the partial cash alternative of GBP70 million equates to 15.9% of the total value of the consideration offered to Skyepharma shareholders under the terms of the transaction, based on the closing price of GBP1.46 per Vectura share on March 15, 2016.
_x000d_The transaction (excluding the effect of the partial cash alternative) will result in Skyepharma shareholders owning approximately 41.75% of the enlarged group on a fully diluted basis. If the GBP70 million available under the partial cash alternative is paid in full, the transaction will result in Skyepharma shareholders owning approximately 37.62% of the Enlarged Group on a fully diluted basis.
_x000d_Based on closing prices as of March 15, 2016, the enlarged group would have had a pro-forma market capitalization of GBP1,014.3 million and generated pro-forma combined revenues of GBP153.9 million and pro-forma combined EBITDA of GBP50.5 million based on the last reported full-year results for both companies. 
_x000d_ Vectura has received support for the transaction from: the Skyepharma directors who hold Skyepharma shares and who in aggregate hold 0.39% of the issued ordinary share capital of Skyepharma as at March 15, 2016 (being the last business day prior to the date of the announcement); and HBM Healthcare Investments, Ltd., which holds approximately 28.5% of the issued ordinary share capital of Skyepharma as at March 15, 2016 (being the last business day prior to the date of the announcement).
_x000d_ Such Skyepharma directors and HBM have irrevocably undertaken to support the scheme. Frank Condella and Thomas Werner have undertaken not to elect to receive the partial cash alternative in respect of their Skyepharma shares and HBM will elect to receive the partial cash alternative in respect of 15.9% of the consideration due to them.
_x000d_The transaction is expected to close in the third quarter of 2016.
_x000d_J.P. Morgan Cazenove, N M Rothschild &amp; Sons Limited and Peel Hunt LLP are acting as financial advisors, while Citigate Dewe Rogerson is acting as public relations (PR) advisor to Vectura.
_x000d_ Lazard &amp; Co., Limited and N+1 Singer are acting as financial advisors, while FTI Consulting is acting as PR advisor to Skyepharma.</x:v>
      </x:c>
      <x:c r="AI26" s="26" t="str">
        <x:v>The transaction will combine the complementary Vectura and Skyepharma businesses to create airways-related specialty business. _x000d_
_x000d_
Vectura and Skyepharma's complementary inhaled formulation, development regulatory and device capabilities (dry powder inhalers (DPI), pressurized metered dose inhalers (pMDI) and smart nebulisers) will provide a series of enhanced platforms to accelerate growth in the inhaled respiratory market along with providing a broader product and development portfolio._x000d_
_x000d_
The transaction will allow Vectura and Skyepharma to develop and commercialize its own products and progressively build a specialty commercial capability targeting the airways market, with the US as a priority.</x:v>
      </x:c>
      <x:c r="AJ26" s="22" t="str"/>
      <x:c r="AK26" s="22" t="str"/>
      <x:c r="AL26" s="22" t="str">
        <x:v>Unknown</x:v>
      </x:c>
      <x:c r="AM26" s="22" t="str">
        <x:v>Unknown</x:v>
      </x:c>
      <x:c r="AN26" s="22" t="str"/>
      <x:c r="AO26" s="22" t="str"/>
      <x:c r="AP26" s="22" t="str"/>
      <x:c r="AQ26" s="22" t="str"/>
      <x:c r="AR26" s="22" t="str"/>
      <x:c r="AS26" s="22" t="str">
        <x:v>Vectura Group Limited</x:v>
      </x:c>
      <x:c r="AT26" s="22" t="str">
        <x:v>Skyepharma PLC</x:v>
      </x:c>
      <x:c r="AU26" s="22" t="str">
        <x:v>Not reviewed</x:v>
      </x:c>
      <x:c r="AV26" s="22" t="str">
        <x:v>Not assessed</x:v>
      </x:c>
      <x:c r="AW26" s="22" t="str">
        <x:v>Unknown</x:v>
      </x:c>
      <x:c r="AX26" s="22" t="str">
        <x:v>Unknown</x:v>
      </x:c>
      <x:c r="AY26" s="22" t="str">
        <x:v>Unknown</x:v>
      </x:c>
      <x:c r="AZ26" s="22" t="str">
        <x:v>Unknown</x:v>
      </x:c>
      <x:c r="BA26" s="22" t="str">
        <x:v>Unknown</x:v>
      </x:c>
      <x:c r="BB26" s="22" t="str">
        <x:v>Unknown</x:v>
      </x:c>
      <x:c r="BC26" s="26" t="str"/>
      <x:c r="BD26" s="22" t="str"/>
      <x:c r="BE26" s="22" t="str"/>
      <x:c r="BF26" s="22" t="str">
        <x:v>Not collected</x:v>
      </x:c>
      <x:c r="BG26" s="22" t="str">
        <x:v>Not collected</x:v>
      </x:c>
      <x:c r="BH26" s="22" t="str">
        <x:v>Not defined</x:v>
      </x:c>
      <x:c r="BI26" s="22" t="n">
        <x:f>IF($Q26="","",$Q26-3)</x:f>
        <x:v>2013</x:v>
      </x:c>
      <x:c r="BJ26" s="22" t="n">
        <x:f>IF($Q26="","",$Q26-2)</x:f>
        <x:v>2014</x:v>
      </x:c>
      <x:c r="BK26" s="22" t="n">
        <x:f>IF($Q26="","",$Q26-1)</x:f>
        <x:v>2015</x:v>
      </x:c>
      <x:c r="BL26" s="22" t="n">
        <x:f>IF($Q26="","",$Q26+0)</x:f>
        <x:v>2016</x:v>
      </x:c>
      <x:c r="BM26" s="22" t="n">
        <x:f>IF($Q26="","",$Q26+1)</x:f>
        <x:v>2017</x:v>
      </x:c>
      <x:c r="BN26" s="22" t="n">
        <x:f>IF($Q26="","",$Q26+2)</x:f>
        <x:v>2018</x:v>
      </x:c>
      <x:c r="BO26" s="22" t="n">
        <x:f>IF($Q26="","",$Q26+3)</x:f>
        <x:v>2019</x:v>
      </x:c>
      <x:c r="BP26" s="30" t="str"/>
      <x:c r="BQ26" s="30" t="str"/>
      <x:c r="BR26" s="30" t="str"/>
      <x:c r="BS26" s="30" t="str"/>
      <x:c r="BT26" s="30" t="str"/>
      <x:c r="BU26" s="30" t="str"/>
      <x:c r="BV26" s="30" t="str"/>
      <x:c r="BW26" s="30" t="str"/>
      <x:c r="BX26" s="30" t="str"/>
      <x:c r="BY26" s="30" t="str"/>
      <x:c r="BZ26" s="30" t="str"/>
      <x:c r="CA26" s="30" t="str"/>
      <x:c r="CB26" s="30" t="str"/>
      <x:c r="CC26" s="30" t="str"/>
      <x:c r="CD26" s="30" t="str"/>
      <x:c r="CE26" s="30" t="str"/>
      <x:c r="CF26" s="30" t="str"/>
      <x:c r="CG26" s="30" t="str"/>
      <x:c r="CH26" s="30" t="str"/>
      <x:c r="CI26" s="30" t="str"/>
      <x:c r="CJ26" s="30" t="str"/>
      <x:c r="CK26" s="30" t="str"/>
      <x:c r="CL26" s="30" t="str"/>
      <x:c r="CM26" s="30" t="str"/>
      <x:c r="CN26" s="30" t="str"/>
      <x:c r="CO26" s="30" t="str"/>
      <x:c r="CP26" s="30" t="str"/>
      <x:c r="CQ26" s="30" t="str"/>
      <x:c r="CR26" s="30" t="str"/>
      <x:c r="CS26" s="30" t="str"/>
      <x:c r="CT26" s="30" t="str"/>
      <x:c r="CU26" s="30" t="str"/>
      <x:c r="CV26" s="30" t="str"/>
      <x:c r="CW26" s="30" t="str"/>
      <x:c r="CX26" s="30" t="str"/>
      <x:c r="CY26" s="30" t="str"/>
      <x:c r="CZ26" s="30" t="str"/>
      <x:c r="DA26" s="30" t="str"/>
      <x:c r="DB26" s="30" t="str"/>
      <x:c r="DC26" s="30" t="str"/>
      <x:c r="DD26" s="30" t="str"/>
      <x:c r="DE26" s="30" t="str"/>
      <x:c r="DF26" s="32" t="str"/>
      <x:c r="DG26" s="32" t="str"/>
      <x:c r="DH26" s="32" t="str"/>
      <x:c r="DI26" s="32" t="str"/>
      <x:c r="DJ26" s="32" t="str"/>
      <x:c r="DK26" s="32" t="str"/>
      <x:c r="DL26" s="32" t="str"/>
      <x:c r="DM26" s="32" t="str"/>
      <x:c r="DN26" s="32" t="str"/>
      <x:c r="DO26" s="32" t="str"/>
      <x:c r="DP26" s="32" t="str"/>
      <x:c r="DQ26" s="32" t="str"/>
      <x:c r="DR26" s="32" t="str"/>
      <x:c r="DS26" s="32" t="str"/>
      <x:c r="DT26" s="32" t="str"/>
      <x:c r="DU26" s="32" t="str"/>
      <x:c r="DV26" s="32" t="str"/>
      <x:c r="DW26" s="32" t="str"/>
      <x:c r="DX26" s="32" t="str"/>
      <x:c r="DY26" s="32" t="str"/>
      <x:c r="DZ26" s="32" t="str"/>
      <x:c r="EA26" s="34" t="str"/>
      <x:c r="EB26" s="34" t="str"/>
      <x:c r="EC26" s="34" t="str"/>
      <x:c r="ED26" s="34" t="str"/>
      <x:c r="EE26" s="34" t="str"/>
      <x:c r="EF26" s="34" t="str"/>
      <x:c r="EG26" s="34" t="str"/>
      <x:c r="EH26" s="34" t="str"/>
      <x:c r="EI26" s="34" t="str"/>
      <x:c r="EJ26" s="34" t="str"/>
      <x:c r="EK26" s="34" t="str"/>
      <x:c r="EL26" s="34" t="str"/>
      <x:c r="EM26" s="34" t="str"/>
      <x:c r="EN26" s="34" t="str"/>
      <x:c r="EO26" s="34" t="str"/>
      <x:c r="EP26" s="34" t="str"/>
      <x:c r="EQ26" s="36" t="str">
        <x:f>IF(OR($EO26="",$EP26="",$EO26=0),"",$EP26/$EO26)</x:f>
      </x:c>
      <x:c r="ER26" s="38" t="str"/>
      <x:c r="ES26" s="22" t="str">
        <x:v>Unknown</x:v>
      </x:c>
      <x:c r="ET26" s="22" t="str">
        <x:v>Unknown</x:v>
      </x:c>
      <x:c r="EU26" s="40" t="str">
        <x:f>IF(COUNT($DF26,$DG26,$DH26)=0,"",AVERAGE($DF26,$DG26,$DH26))</x:f>
      </x:c>
      <x:c r="EV26" s="40" t="str">
        <x:f>IF(COUNT($DJ26,$DK26,$DL26)=0,"",AVERAGE($DJ26,$DK26,$DL26))</x:f>
      </x:c>
      <x:c r="EW26" s="40" t="str">
        <x:f>IF(OR($EU26="",$EV26=""),"",$EV26-$EU26)</x:f>
      </x:c>
      <x:c r="EX26" s="40" t="str">
        <x:f>IF(COUNT($DM26,$DN26,$DO26)=0,"",AVERAGE($DM26,$DN26,$DO26))</x:f>
      </x:c>
      <x:c r="EY26" s="40" t="str">
        <x:f>IF(COUNT($DQ26,$DR26,$DS26)=0,"",AVERAGE($DQ26,$DR26,$DS26))</x:f>
      </x:c>
      <x:c r="EZ26" s="40" t="str">
        <x:f>IF(OR($EX26="",$EY26=""),"",$EY26-$EX26)</x:f>
      </x:c>
      <x:c r="FA26" s="42" t="str">
        <x:f>IF(COUNT($EA26,$EB26,$EC26)=0,"",AVERAGE($EA26,$EB26,$EC26))</x:f>
      </x:c>
      <x:c r="FB26" s="42" t="str">
        <x:f>IF(COUNT($EE26,$EF26,$EG26)=0,"",AVERAGE($EE26,$EF26,$EG26))</x:f>
      </x:c>
      <x:c r="FC26" s="42" t="str">
        <x:f>IF(OR($FA26="",$FB26=""),"",$FB26-$FA26)</x:f>
      </x:c>
      <x:c r="FD26" s="42" t="str">
        <x:f>IF(COUNT($EH26,$EI26,$EJ26)=0,"",AVERAGE($EH26,$EI26,$EJ26))</x:f>
      </x:c>
      <x:c r="FE26" s="42" t="str">
        <x:f>IF(COUNT($EL26,$EM26,$EN26)=0,"",AVERAGE($EL26,$EM26,$EN26))</x:f>
      </x:c>
      <x:c r="FF26" s="42" t="str">
        <x:f>IF(OR($FD26="",$FE26=""),"",$FE26-$FD26)</x:f>
      </x:c>
      <x:c r="FG26" s="24" t="str">
        <x:f>IF(COUNT($DF26,$DG26,$DH26,$DJ26,$DK26,$DL26,$DM26,$DN26,$DO26,$DQ26,$DR26,$DS26)=12,"Yes","No")</x:f>
        <x:v>No</x:v>
      </x:c>
      <x:c r="FH26" s="24" t="str">
        <x:f>IF(COUNT($EA26,$EB26,$EC26,$EE26,$EF26,$EG26,$EH26,$EI26,$EJ26,$EL26,$EM26,$EN26)=12,"Yes","No")</x:f>
        <x:v>No</x:v>
      </x:c>
      <x:c r="FI26" s="24" t="str">
        <x:f>IF(AND($M26="Include",OR($FG26="Yes",$FH26="Yes")),"Ready","Not ready")</x:f>
        <x:v>Not ready</x:v>
      </x:c>
    </x:row>
    <x:row r="27" ht="24" customHeight="1">
      <x:c r="A27" s="22" t="str">
        <x:v>TRT-0025</x:v>
      </x:c>
      <x:c r="B27" s="22" t="n">
        <x:v>36</x:v>
      </x:c>
      <x:c r="C27" s="22" t="str">
        <x:v>Candidate treatment group</x:v>
      </x:c>
      <x:c r="D27" s="22" t="n">
        <x:v>1</x:v>
      </x:c>
      <x:c r="E27" s="22" t="str">
        <x:v>DATA - Innovation driven deals.xlsx</x:v>
      </x:c>
      <x:c r="F27" s="22" t="str">
        <x:v>skyepharma merges with vectura</x:v>
      </x:c>
      <x:c r="G27" s="22" t="str">
        <x:v>Yes</x:v>
      </x:c>
      <x:c r="H27" s="22" t="str">
        <x:v>No</x:v>
      </x:c>
      <x:c r="I27" s="22" t="str">
        <x:v>Yes</x:v>
      </x:c>
      <x:c r="J27" s="22" t="n">
        <x:v>2</x:v>
      </x:c>
      <x:c r="K27" s="22" t="str">
        <x:v>Not started</x:v>
      </x:c>
      <x:c r="L27" s="22" t="str">
        <x:v>Review - merger</x:v>
      </x:c>
      <x:c r="M27" s="22" t="str">
        <x:v>Review</x:v>
      </x:c>
      <x:c r="N27" s="22" t="str"/>
      <x:c r="O27" s="28" t="n">
        <x:v>42445</x:v>
      </x:c>
      <x:c r="P27" s="28" t="n">
        <x:v>42531</x:v>
      </x:c>
      <x:c r="Q27" s="22" t="n">
        <x:v>2016</x:v>
      </x:c>
      <x:c r="R27" s="22" t="str">
        <x:v>Q1 2016</x:v>
      </x:c>
      <x:c r="S27" s="22" t="str">
        <x:v>Completed</x:v>
      </x:c>
      <x:c r="T27" s="26" t="str">
        <x:v>SkyePharma Merges with Vectura</x:v>
      </x:c>
      <x:c r="U27" s="22" t="str">
        <x:v>Mergers &amp; Acquisitions</x:v>
      </x:c>
      <x:c r="V27" s="22" t="str">
        <x:v>Merger</x:v>
      </x:c>
      <x:c r="W27" s="22"/>
      <x:c r="X27" s="22" t="str">
        <x:v>United Kingdom</x:v>
      </x:c>
      <x:c r="Y27" s="22"/>
      <x:c r="Z27" s="26" t="str">
        <x:v>Lazard &amp; Co Ltd , J.P. Morgan Cazenove Ltd (Inactive) , N M Rothschild &amp; Sons Ltd</x:v>
      </x:c>
      <x:c r="AA27" s="26"/>
      <x:c r="AB27" s="22" t="str">
        <x:v>Vectura Group Ltd</x:v>
      </x:c>
      <x:c r="AC27" s="22" t="str">
        <x:v>vectura</x:v>
      </x:c>
      <x:c r="AD27" s="22" t="str">
        <x:v>SkyePharma Ltd; Vectura Group Ltd</x:v>
      </x:c>
      <x:c r="AE27" s="22" t="str">
        <x:v>skyepharma vectura</x:v>
      </x:c>
      <x:c r="AF27" s="30" t="n">
        <x:v>627</x:v>
      </x:c>
      <x:c r="AG27" s="22" t="n">
        <x:v>627</x:v>
      </x:c>
      <x:c r="AH27" s="26" t="str">
        <x:v>SkyePharma PLC, a provider of oral and inhalation pharmaceutical products, has merged with Vectura Group plc, a provider of drugs for the treatment of bronchopulmonary diseases. The transaction is valued at GBP4.1 (USD5.83) per SkyePharma share or approximately GBP441.3 million (USD627.45 million), in shares. Following the transaction, the combined company will be Vectura Group.
The purchase consideration represents a premium of approximately 4.2% to the closing price of GBP3.93 (USD5.55) per Skyepharma share on March 15, 2016 and a premium of approximately 13.6% to the 90 trading day volume weighted average price (VWAP) of GBP3.61 (USD5.1) per Skyepharma share on March 15, 2016.
Pursuant to the transaction, SkyePharma shareholders are entitled to receive 2.7977 new shares for each share held, valuing SkyePharma at GBP441.3 million (USD627.45 million). Alternatively, SkyePharma shareholders have an option to receive a part of the offer instead of some or all of the new Vectura shares. If GBP70 million (USD99.53 million) available under the cash alternative is paid in full, SkyePharma shareholders would own about 37.62% of the combined company and an all-stock transaction would result in SkyePharma shareholders owning about 41.75% of the combined company. 
In addtion, Skyepharma shareholders who validly elect to receive the partial cash alternative for up to a basic entitlement of GBP0.23 (USD0.33) in cash and 0.8414 of a new Vectura share for every new Vectura share to which they would otherwise be entitled under the merger, will receive the full amount of cash for which they have elected. Assuming all Skyepharma shareholders elect for their basic entitlement under the partial cash alternative in respect of all of the new Vectura shares to which they would otherwise be entitled under the merger, a Skyepharma shareholder would receive GBP0.65 (USD0.92) in cash and 2.3539 new Vectura shares per Skyepharma share representing consideration of, in aggregate, GBP0.41 (USD0.58) per Skyepharma share. Following the transaction, Skyepharma will operate as a wholly-owned subsidiary of Vectura.
As part of the consideration, Vectura entered into a new five year revolving loan facility with HSBC Bank plc for GBP50 million (USD71.09 million) with the option to extend to GBP75 million (USD106.64 million). Under the terms of the transaction, new Vectura shares will be issued as consideration. The cash payable pursuant to the terms of the partial cash alternative will be funded from Vectura's existing cash resources, together with the proceeds of GBP50 million (USD71.09 million) from the revolving loan facility with HSBC Bank plc which are available to Vectura for the purposes of financing the transaction. 
As part of the transaction, James Ward-Lilley, CEO of Vectura, will join as CEO of the enlarged group. The executive directors of enlarged group consist of Andrew Derodra, CFO of Skyepharma, and Trevor Phillips, COO of Vectura. Bruno Angelici, chairman of Vectura, will join as the chairman of the enlarged group. In addition, Andrew Oakley, CFO of Vectura, will leave the board of directors of Vectura on terms to be agreed and Peter Grant, CEO of Skyepharma, will leave board of directors of Skyepharma on terms to be agreed. Vectura will appoint Frank Condella, chairman of Skyepharma, as the vice-chairman of the enlarged group, and Thomas Werner, a non-executive Skyepharma director, as a non-executive director on the enlarged group board. Andrew Derodra, CFO of Skyepharma , will become the CFO of the enlarged group.
This transaction enables Vectura and SkyePharma to focus on respiratory drug development.
J.P. Morgan Cazenove Limited and N M Rothschild and Sons Limited acted as joint financial advisors to Vectura, while Lazard &amp; Co., Limited acted as financial advisor to SkyePharma.
Deal History:
Announced: On March 16, 2016, SkyePharma entered into an agreement to merge with Vectura. The transaction is valued at GBP4.1 (USD5.83) per SkyePharma share or approximately GBP441.3 million (USD627.45 million), in shares.</x:v>
      </x:c>
      <x:c r="AI27" s="26" t="str">
        <x:v>This transaction enables Vectura and SkyePharma to focus on respiratory drug development.</x:v>
      </x:c>
      <x:c r="AJ27" s="22" t="str"/>
      <x:c r="AK27" s="22" t="str"/>
      <x:c r="AL27" s="22" t="str">
        <x:v>Unknown</x:v>
      </x:c>
      <x:c r="AM27" s="22" t="str">
        <x:v>Unknown</x:v>
      </x:c>
      <x:c r="AN27" s="22" t="str"/>
      <x:c r="AO27" s="22" t="str"/>
      <x:c r="AP27" s="22" t="str"/>
      <x:c r="AQ27" s="22" t="str"/>
      <x:c r="AR27" s="22" t="str"/>
      <x:c r="AS27" s="22" t="str">
        <x:v>Vectura Group Ltd</x:v>
      </x:c>
      <x:c r="AT27" s="22" t="str">
        <x:v>SkyePharma Ltd; Vectura Group Ltd</x:v>
      </x:c>
      <x:c r="AU27" s="22" t="str">
        <x:v>Not reviewed</x:v>
      </x:c>
      <x:c r="AV27" s="22" t="str">
        <x:v>Not assessed</x:v>
      </x:c>
      <x:c r="AW27" s="22" t="str">
        <x:v>Unknown</x:v>
      </x:c>
      <x:c r="AX27" s="22" t="str">
        <x:v>Unknown</x:v>
      </x:c>
      <x:c r="AY27" s="22" t="str">
        <x:v>Unknown</x:v>
      </x:c>
      <x:c r="AZ27" s="22" t="str">
        <x:v>Unknown</x:v>
      </x:c>
      <x:c r="BA27" s="22" t="str">
        <x:v>Unknown</x:v>
      </x:c>
      <x:c r="BB27" s="22" t="str">
        <x:v>Unknown</x:v>
      </x:c>
      <x:c r="BC27" s="26" t="str"/>
      <x:c r="BD27" s="22" t="str"/>
      <x:c r="BE27" s="22" t="str"/>
      <x:c r="BF27" s="22" t="str">
        <x:v>Not collected</x:v>
      </x:c>
      <x:c r="BG27" s="22" t="str">
        <x:v>Not collected</x:v>
      </x:c>
      <x:c r="BH27" s="22" t="str">
        <x:v>Not defined</x:v>
      </x:c>
      <x:c r="BI27" s="22" t="n">
        <x:f>IF($Q27="","",$Q27-3)</x:f>
        <x:v>2013</x:v>
      </x:c>
      <x:c r="BJ27" s="22" t="n">
        <x:f>IF($Q27="","",$Q27-2)</x:f>
        <x:v>2014</x:v>
      </x:c>
      <x:c r="BK27" s="22" t="n">
        <x:f>IF($Q27="","",$Q27-1)</x:f>
        <x:v>2015</x:v>
      </x:c>
      <x:c r="BL27" s="22" t="n">
        <x:f>IF($Q27="","",$Q27+0)</x:f>
        <x:v>2016</x:v>
      </x:c>
      <x:c r="BM27" s="22" t="n">
        <x:f>IF($Q27="","",$Q27+1)</x:f>
        <x:v>2017</x:v>
      </x:c>
      <x:c r="BN27" s="22" t="n">
        <x:f>IF($Q27="","",$Q27+2)</x:f>
        <x:v>2018</x:v>
      </x:c>
      <x:c r="BO27" s="22" t="n">
        <x:f>IF($Q27="","",$Q27+3)</x:f>
        <x:v>2019</x:v>
      </x:c>
      <x:c r="BP27" s="30" t="str"/>
      <x:c r="BQ27" s="30" t="str"/>
      <x:c r="BR27" s="30" t="str"/>
      <x:c r="BS27" s="30" t="str"/>
      <x:c r="BT27" s="30" t="str"/>
      <x:c r="BU27" s="30" t="str"/>
      <x:c r="BV27" s="30" t="str"/>
      <x:c r="BW27" s="30" t="str"/>
      <x:c r="BX27" s="30" t="str"/>
      <x:c r="BY27" s="30" t="str"/>
      <x:c r="BZ27" s="30" t="str"/>
      <x:c r="CA27" s="30" t="str"/>
      <x:c r="CB27" s="30" t="str"/>
      <x:c r="CC27" s="30" t="str"/>
      <x:c r="CD27" s="30" t="str"/>
      <x:c r="CE27" s="30" t="str"/>
      <x:c r="CF27" s="30" t="str"/>
      <x:c r="CG27" s="30" t="str"/>
      <x:c r="CH27" s="30" t="str"/>
      <x:c r="CI27" s="30" t="str"/>
      <x:c r="CJ27" s="30" t="str"/>
      <x:c r="CK27" s="30" t="str"/>
      <x:c r="CL27" s="30" t="str"/>
      <x:c r="CM27" s="30" t="str"/>
      <x:c r="CN27" s="30" t="str"/>
      <x:c r="CO27" s="30" t="str"/>
      <x:c r="CP27" s="30" t="str"/>
      <x:c r="CQ27" s="30" t="str"/>
      <x:c r="CR27" s="30" t="str"/>
      <x:c r="CS27" s="30" t="str"/>
      <x:c r="CT27" s="30" t="str"/>
      <x:c r="CU27" s="30" t="str"/>
      <x:c r="CV27" s="30" t="str"/>
      <x:c r="CW27" s="30" t="str"/>
      <x:c r="CX27" s="30" t="str"/>
      <x:c r="CY27" s="30" t="str"/>
      <x:c r="CZ27" s="30" t="str"/>
      <x:c r="DA27" s="30" t="str"/>
      <x:c r="DB27" s="30" t="str"/>
      <x:c r="DC27" s="30" t="str"/>
      <x:c r="DD27" s="30" t="str"/>
      <x:c r="DE27" s="30" t="str"/>
      <x:c r="DF27" s="32" t="str"/>
      <x:c r="DG27" s="32" t="str"/>
      <x:c r="DH27" s="32" t="str"/>
      <x:c r="DI27" s="32" t="str"/>
      <x:c r="DJ27" s="32" t="str"/>
      <x:c r="DK27" s="32" t="str"/>
      <x:c r="DL27" s="32" t="str"/>
      <x:c r="DM27" s="32" t="str"/>
      <x:c r="DN27" s="32" t="str"/>
      <x:c r="DO27" s="32" t="str"/>
      <x:c r="DP27" s="32" t="str"/>
      <x:c r="DQ27" s="32" t="str"/>
      <x:c r="DR27" s="32" t="str"/>
      <x:c r="DS27" s="32" t="str"/>
      <x:c r="DT27" s="32" t="str"/>
      <x:c r="DU27" s="32" t="str"/>
      <x:c r="DV27" s="32" t="str"/>
      <x:c r="DW27" s="32" t="str"/>
      <x:c r="DX27" s="32" t="str"/>
      <x:c r="DY27" s="32" t="str"/>
      <x:c r="DZ27" s="32" t="str"/>
      <x:c r="EA27" s="34" t="str"/>
      <x:c r="EB27" s="34" t="str"/>
      <x:c r="EC27" s="34" t="str"/>
      <x:c r="ED27" s="34" t="str"/>
      <x:c r="EE27" s="34" t="str"/>
      <x:c r="EF27" s="34" t="str"/>
      <x:c r="EG27" s="34" t="str"/>
      <x:c r="EH27" s="34" t="str"/>
      <x:c r="EI27" s="34" t="str"/>
      <x:c r="EJ27" s="34" t="str"/>
      <x:c r="EK27" s="34" t="str"/>
      <x:c r="EL27" s="34" t="str"/>
      <x:c r="EM27" s="34" t="str"/>
      <x:c r="EN27" s="34" t="str"/>
      <x:c r="EO27" s="34" t="str"/>
      <x:c r="EP27" s="34" t="str"/>
      <x:c r="EQ27" s="36" t="str">
        <x:f>IF(OR($EO27="",$EP27="",$EO27=0),"",$EP27/$EO27)</x:f>
      </x:c>
      <x:c r="ER27" s="38" t="str"/>
      <x:c r="ES27" s="22" t="str">
        <x:v>Unknown</x:v>
      </x:c>
      <x:c r="ET27" s="22" t="str">
        <x:v>Unknown</x:v>
      </x:c>
      <x:c r="EU27" s="40" t="str">
        <x:f>IF(COUNT($DF27,$DG27,$DH27)=0,"",AVERAGE($DF27,$DG27,$DH27))</x:f>
      </x:c>
      <x:c r="EV27" s="40" t="str">
        <x:f>IF(COUNT($DJ27,$DK27,$DL27)=0,"",AVERAGE($DJ27,$DK27,$DL27))</x:f>
      </x:c>
      <x:c r="EW27" s="40" t="str">
        <x:f>IF(OR($EU27="",$EV27=""),"",$EV27-$EU27)</x:f>
      </x:c>
      <x:c r="EX27" s="40" t="str">
        <x:f>IF(COUNT($DM27,$DN27,$DO27)=0,"",AVERAGE($DM27,$DN27,$DO27))</x:f>
      </x:c>
      <x:c r="EY27" s="40" t="str">
        <x:f>IF(COUNT($DQ27,$DR27,$DS27)=0,"",AVERAGE($DQ27,$DR27,$DS27))</x:f>
      </x:c>
      <x:c r="EZ27" s="40" t="str">
        <x:f>IF(OR($EX27="",$EY27=""),"",$EY27-$EX27)</x:f>
      </x:c>
      <x:c r="FA27" s="42" t="str">
        <x:f>IF(COUNT($EA27,$EB27,$EC27)=0,"",AVERAGE($EA27,$EB27,$EC27))</x:f>
      </x:c>
      <x:c r="FB27" s="42" t="str">
        <x:f>IF(COUNT($EE27,$EF27,$EG27)=0,"",AVERAGE($EE27,$EF27,$EG27))</x:f>
      </x:c>
      <x:c r="FC27" s="42" t="str">
        <x:f>IF(OR($FA27="",$FB27=""),"",$FB27-$FA27)</x:f>
      </x:c>
      <x:c r="FD27" s="42" t="str">
        <x:f>IF(COUNT($EH27,$EI27,$EJ27)=0,"",AVERAGE($EH27,$EI27,$EJ27))</x:f>
      </x:c>
      <x:c r="FE27" s="42" t="str">
        <x:f>IF(COUNT($EL27,$EM27,$EN27)=0,"",AVERAGE($EL27,$EM27,$EN27))</x:f>
      </x:c>
      <x:c r="FF27" s="42" t="str">
        <x:f>IF(OR($FD27="",$FE27=""),"",$FE27-$FD27)</x:f>
      </x:c>
      <x:c r="FG27" s="24" t="str">
        <x:f>IF(COUNT($DF27,$DG27,$DH27,$DJ27,$DK27,$DL27,$DM27,$DN27,$DO27,$DQ27,$DR27,$DS27)=12,"Yes","No")</x:f>
        <x:v>No</x:v>
      </x:c>
      <x:c r="FH27" s="24" t="str">
        <x:f>IF(COUNT($EA27,$EB27,$EC27,$EE27,$EF27,$EG27,$EH27,$EI27,$EJ27,$EL27,$EM27,$EN27)=12,"Yes","No")</x:f>
        <x:v>No</x:v>
      </x:c>
      <x:c r="FI27" s="24" t="str">
        <x:f>IF(AND($M27="Include",OR($FG27="Yes",$FH27="Yes")),"Ready","Not ready")</x:f>
        <x:v>Not ready</x:v>
      </x:c>
    </x:row>
    <x:row r="28" ht="24" customHeight="1">
      <x:c r="A28" s="22" t="str">
        <x:v>TRT-0026</x:v>
      </x:c>
      <x:c r="B28" s="22" t="n">
        <x:v>37</x:v>
      </x:c>
      <x:c r="C28" s="22" t="str">
        <x:v>Candidate treatment group</x:v>
      </x:c>
      <x:c r="D28" s="22" t="n">
        <x:v>1</x:v>
      </x:c>
      <x:c r="E28" s="22" t="str">
        <x:v>DATA - Innovation driven deals.xlsx</x:v>
      </x:c>
      <x:c r="F28" s="22" t="str">
        <x:v>therametrics merges with relief therapeutics</x:v>
      </x:c>
      <x:c r="G28" s="22" t="str">
        <x:v>Yes</x:v>
      </x:c>
      <x:c r="H28" s="22" t="str">
        <x:v>No</x:v>
      </x:c>
      <x:c r="I28" s="22" t="str">
        <x:v>No</x:v>
      </x:c>
      <x:c r="J28" s="22" t="n">
        <x:v>1</x:v>
      </x:c>
      <x:c r="K28" s="22" t="str">
        <x:v>Not started</x:v>
      </x:c>
      <x:c r="L28" s="22" t="str">
        <x:v>Review - merger</x:v>
      </x:c>
      <x:c r="M28" s="22" t="str">
        <x:v>Review</x:v>
      </x:c>
      <x:c r="N28" s="22" t="str"/>
      <x:c r="O28" s="28" t="n">
        <x:v>42359</x:v>
      </x:c>
      <x:c r="P28" s="28" t="n">
        <x:v>42569</x:v>
      </x:c>
      <x:c r="Q28" s="22" t="n">
        <x:v>2016</x:v>
      </x:c>
      <x:c r="R28" s="22" t="str">
        <x:v>Q4 2015</x:v>
      </x:c>
      <x:c r="S28" s="22" t="str">
        <x:v>Completed</x:v>
      </x:c>
      <x:c r="T28" s="26" t="str">
        <x:v>Therametrics Merges with Relief Therapeutics</x:v>
      </x:c>
      <x:c r="U28" s="22" t="str">
        <x:v>Mergers &amp; Acquisitions</x:v>
      </x:c>
      <x:c r="V28" s="22" t="str">
        <x:v>Merger</x:v>
      </x:c>
      <x:c r="W28" s="22"/>
      <x:c r="X28" s="22" t="str">
        <x:v>Switzerland</x:v>
      </x:c>
      <x:c r="Y28" s="22"/>
      <x:c r="Z28" s="26" t="str">
        <x:v>ACXIT Capital Partners</x:v>
      </x:c>
      <x:c r="AA28" s="26" t="str">
        <x:v>Bar &amp; Karrer AG , CPV Partners , Froriep &amp; Renggli</x:v>
      </x:c>
      <x:c r="AB28" s="22" t="str">
        <x:v>Relief Therapeutics Holding AG; Sonnet BioTherapeutics CH SA</x:v>
      </x:c>
      <x:c r="AC28" s="22" t="str">
        <x:v>relief therapeutics sonnet biotherapeutics ch</x:v>
      </x:c>
      <x:c r="AD28" s="22" t="str">
        <x:v>THERAMetrics holding AG (Inactive); Sonnet BioTherapeutics CH SA</x:v>
      </x:c>
      <x:c r="AE28" s="22" t="str">
        <x:v>therametrics sonnet biotherapeutics ch</x:v>
      </x:c>
      <x:c r="AF28" s="30"/>
      <x:c r="AG28" s="22" t="str">
        <x:v>n/a</x:v>
      </x:c>
      <x:c r="AH28" s="26" t="str">
        <x:v>Therametrics holding AG (formerly mondoBIOTECH holding AG), a provider of drugs for rare diseases, has merged with Relief Therapeutics S.A., a biotechnology company. 
Following the transaction, the combined entity changed its name from Therametrics holding AG to Relief Therapeutics Holding AG, Relief Therapeutics become the majority owners of the combined company. The business combination was carried out by way of 5,750 Therametrics shares for each outstanding share of Relief Therapeutics SA common stock. As a result, the company issued 1,196,937,250  new shares against contribution in kind of 208,163 shares of Relief Therapeutics SA.
Concurrently, all 1,936,627,375 Relief Therapeutics Holding shares are listed and freely tradable on the SIX Swiss Exchange under the International Reporting Standard, under the ticker symbol of 'RLF'.
In addition, Relief Therapeutics Holding announced that a CHF3.3 million (USD3.32 million) shareholder loan with all accrued interest has been mandatorily converted, with effect as of completion of the business combination with Relief Therapeutics SA, into shares of the company. Thereby, 84,906,473 new shares of Relief Therapeutics Holding have been issued out of conditional capital.
This transaction enables the combined company to advance the possibility of demonstrating the potential of Low Dose IL-6 to treat neuropathies.
ACXIT Capital Partners acted as sole financial advisor, Bar &amp; Karrer Rechtsanwalte and Froriep &amp; Renggli acted as legal advisors to Therametrics and CPV Partners (Geneva) acted as legal advisor to Relief Therapeutics for the transaction.
Deal History:
Announced: On December 21, 2015, Therametrics and Relief Therapeutics entered into a binding agreement to combine their businesses by way of an exchange of Relief Therapeutics’ shares for new Therametrics shares, subject to shareholder approval and other customary conditions.</x:v>
      </x:c>
      <x:c r="AI28" s="26" t="str">
        <x:v>This transaction enables the combined company to advance the possibility of demonstrating the potential of Low Dose IL-6 to treat neuropathies.</x:v>
      </x:c>
      <x:c r="AJ28" s="22" t="str"/>
      <x:c r="AK28" s="22" t="str"/>
      <x:c r="AL28" s="22" t="str">
        <x:v>Unknown</x:v>
      </x:c>
      <x:c r="AM28" s="22" t="str">
        <x:v>Unknown</x:v>
      </x:c>
      <x:c r="AN28" s="22" t="str"/>
      <x:c r="AO28" s="22" t="str"/>
      <x:c r="AP28" s="22" t="str"/>
      <x:c r="AQ28" s="22" t="str"/>
      <x:c r="AR28" s="22" t="str"/>
      <x:c r="AS28" s="22" t="str">
        <x:v>Relief Therapeutics Holding AG; Sonnet BioTherapeutics CH SA</x:v>
      </x:c>
      <x:c r="AT28" s="22" t="str">
        <x:v>THERAMetrics holding AG (Inactive); Sonnet BioTherapeutics CH SA</x:v>
      </x:c>
      <x:c r="AU28" s="22" t="str">
        <x:v>Not reviewed</x:v>
      </x:c>
      <x:c r="AV28" s="22" t="str">
        <x:v>Not assessed</x:v>
      </x:c>
      <x:c r="AW28" s="22" t="str">
        <x:v>Unknown</x:v>
      </x:c>
      <x:c r="AX28" s="22" t="str">
        <x:v>Unknown</x:v>
      </x:c>
      <x:c r="AY28" s="22" t="str">
        <x:v>Unknown</x:v>
      </x:c>
      <x:c r="AZ28" s="22" t="str">
        <x:v>Unknown</x:v>
      </x:c>
      <x:c r="BA28" s="22" t="str">
        <x:v>Unknown</x:v>
      </x:c>
      <x:c r="BB28" s="22" t="str">
        <x:v>Unknown</x:v>
      </x:c>
      <x:c r="BC28" s="26" t="str"/>
      <x:c r="BD28" s="22" t="str"/>
      <x:c r="BE28" s="22" t="str"/>
      <x:c r="BF28" s="22" t="str">
        <x:v>Not collected</x:v>
      </x:c>
      <x:c r="BG28" s="22" t="str">
        <x:v>Not collected</x:v>
      </x:c>
      <x:c r="BH28" s="22" t="str">
        <x:v>Not defined</x:v>
      </x:c>
      <x:c r="BI28" s="22" t="n">
        <x:f>IF($Q28="","",$Q28-3)</x:f>
        <x:v>2013</x:v>
      </x:c>
      <x:c r="BJ28" s="22" t="n">
        <x:f>IF($Q28="","",$Q28-2)</x:f>
        <x:v>2014</x:v>
      </x:c>
      <x:c r="BK28" s="22" t="n">
        <x:f>IF($Q28="","",$Q28-1)</x:f>
        <x:v>2015</x:v>
      </x:c>
      <x:c r="BL28" s="22" t="n">
        <x:f>IF($Q28="","",$Q28+0)</x:f>
        <x:v>2016</x:v>
      </x:c>
      <x:c r="BM28" s="22" t="n">
        <x:f>IF($Q28="","",$Q28+1)</x:f>
        <x:v>2017</x:v>
      </x:c>
      <x:c r="BN28" s="22" t="n">
        <x:f>IF($Q28="","",$Q28+2)</x:f>
        <x:v>2018</x:v>
      </x:c>
      <x:c r="BO28" s="22" t="n">
        <x:f>IF($Q28="","",$Q28+3)</x:f>
        <x:v>2019</x:v>
      </x:c>
      <x:c r="BP28" s="30" t="str"/>
      <x:c r="BQ28" s="30" t="str"/>
      <x:c r="BR28" s="30" t="str"/>
      <x:c r="BS28" s="30" t="str"/>
      <x:c r="BT28" s="30" t="str"/>
      <x:c r="BU28" s="30" t="str"/>
      <x:c r="BV28" s="30" t="str"/>
      <x:c r="BW28" s="30" t="str"/>
      <x:c r="BX28" s="30" t="str"/>
      <x:c r="BY28" s="30" t="str"/>
      <x:c r="BZ28" s="30" t="str"/>
      <x:c r="CA28" s="30" t="str"/>
      <x:c r="CB28" s="30" t="str"/>
      <x:c r="CC28" s="30" t="str"/>
      <x:c r="CD28" s="30" t="str"/>
      <x:c r="CE28" s="30" t="str"/>
      <x:c r="CF28" s="30" t="str"/>
      <x:c r="CG28" s="30" t="str"/>
      <x:c r="CH28" s="30" t="str"/>
      <x:c r="CI28" s="30" t="str"/>
      <x:c r="CJ28" s="30" t="str"/>
      <x:c r="CK28" s="30" t="str"/>
      <x:c r="CL28" s="30" t="str"/>
      <x:c r="CM28" s="30" t="str"/>
      <x:c r="CN28" s="30" t="str"/>
      <x:c r="CO28" s="30" t="str"/>
      <x:c r="CP28" s="30" t="str"/>
      <x:c r="CQ28" s="30" t="str"/>
      <x:c r="CR28" s="30" t="str"/>
      <x:c r="CS28" s="30" t="str"/>
      <x:c r="CT28" s="30" t="str"/>
      <x:c r="CU28" s="30" t="str"/>
      <x:c r="CV28" s="30" t="str"/>
      <x:c r="CW28" s="30" t="str"/>
      <x:c r="CX28" s="30" t="str"/>
      <x:c r="CY28" s="30" t="str"/>
      <x:c r="CZ28" s="30" t="str"/>
      <x:c r="DA28" s="30" t="str"/>
      <x:c r="DB28" s="30" t="str"/>
      <x:c r="DC28" s="30" t="str"/>
      <x:c r="DD28" s="30" t="str"/>
      <x:c r="DE28" s="30" t="str"/>
      <x:c r="DF28" s="32" t="str"/>
      <x:c r="DG28" s="32" t="str"/>
      <x:c r="DH28" s="32" t="str"/>
      <x:c r="DI28" s="32" t="str"/>
      <x:c r="DJ28" s="32" t="str"/>
      <x:c r="DK28" s="32" t="str"/>
      <x:c r="DL28" s="32" t="str"/>
      <x:c r="DM28" s="32" t="str"/>
      <x:c r="DN28" s="32" t="str"/>
      <x:c r="DO28" s="32" t="str"/>
      <x:c r="DP28" s="32" t="str"/>
      <x:c r="DQ28" s="32" t="str"/>
      <x:c r="DR28" s="32" t="str"/>
      <x:c r="DS28" s="32" t="str"/>
      <x:c r="DT28" s="32" t="str"/>
      <x:c r="DU28" s="32" t="str"/>
      <x:c r="DV28" s="32" t="str"/>
      <x:c r="DW28" s="32" t="str"/>
      <x:c r="DX28" s="32" t="str"/>
      <x:c r="DY28" s="32" t="str"/>
      <x:c r="DZ28" s="32" t="str"/>
      <x:c r="EA28" s="34" t="str"/>
      <x:c r="EB28" s="34" t="str"/>
      <x:c r="EC28" s="34" t="str"/>
      <x:c r="ED28" s="34" t="str"/>
      <x:c r="EE28" s="34" t="str"/>
      <x:c r="EF28" s="34" t="str"/>
      <x:c r="EG28" s="34" t="str"/>
      <x:c r="EH28" s="34" t="str"/>
      <x:c r="EI28" s="34" t="str"/>
      <x:c r="EJ28" s="34" t="str"/>
      <x:c r="EK28" s="34" t="str"/>
      <x:c r="EL28" s="34" t="str"/>
      <x:c r="EM28" s="34" t="str"/>
      <x:c r="EN28" s="34" t="str"/>
      <x:c r="EO28" s="34" t="str"/>
      <x:c r="EP28" s="34" t="str"/>
      <x:c r="EQ28" s="36" t="str">
        <x:f>IF(OR($EO28="",$EP28="",$EO28=0),"",$EP28/$EO28)</x:f>
      </x:c>
      <x:c r="ER28" s="38" t="str"/>
      <x:c r="ES28" s="22" t="str">
        <x:v>Unknown</x:v>
      </x:c>
      <x:c r="ET28" s="22" t="str">
        <x:v>Unknown</x:v>
      </x:c>
      <x:c r="EU28" s="40" t="str">
        <x:f>IF(COUNT($DF28,$DG28,$DH28)=0,"",AVERAGE($DF28,$DG28,$DH28))</x:f>
      </x:c>
      <x:c r="EV28" s="40" t="str">
        <x:f>IF(COUNT($DJ28,$DK28,$DL28)=0,"",AVERAGE($DJ28,$DK28,$DL28))</x:f>
      </x:c>
      <x:c r="EW28" s="40" t="str">
        <x:f>IF(OR($EU28="",$EV28=""),"",$EV28-$EU28)</x:f>
      </x:c>
      <x:c r="EX28" s="40" t="str">
        <x:f>IF(COUNT($DM28,$DN28,$DO28)=0,"",AVERAGE($DM28,$DN28,$DO28))</x:f>
      </x:c>
      <x:c r="EY28" s="40" t="str">
        <x:f>IF(COUNT($DQ28,$DR28,$DS28)=0,"",AVERAGE($DQ28,$DR28,$DS28))</x:f>
      </x:c>
      <x:c r="EZ28" s="40" t="str">
        <x:f>IF(OR($EX28="",$EY28=""),"",$EY28-$EX28)</x:f>
      </x:c>
      <x:c r="FA28" s="42" t="str">
        <x:f>IF(COUNT($EA28,$EB28,$EC28)=0,"",AVERAGE($EA28,$EB28,$EC28))</x:f>
      </x:c>
      <x:c r="FB28" s="42" t="str">
        <x:f>IF(COUNT($EE28,$EF28,$EG28)=0,"",AVERAGE($EE28,$EF28,$EG28))</x:f>
      </x:c>
      <x:c r="FC28" s="42" t="str">
        <x:f>IF(OR($FA28="",$FB28=""),"",$FB28-$FA28)</x:f>
      </x:c>
      <x:c r="FD28" s="42" t="str">
        <x:f>IF(COUNT($EH28,$EI28,$EJ28)=0,"",AVERAGE($EH28,$EI28,$EJ28))</x:f>
      </x:c>
      <x:c r="FE28" s="42" t="str">
        <x:f>IF(COUNT($EL28,$EM28,$EN28)=0,"",AVERAGE($EL28,$EM28,$EN28))</x:f>
      </x:c>
      <x:c r="FF28" s="42" t="str">
        <x:f>IF(OR($FD28="",$FE28=""),"",$FE28-$FD28)</x:f>
      </x:c>
      <x:c r="FG28" s="24" t="str">
        <x:f>IF(COUNT($DF28,$DG28,$DH28,$DJ28,$DK28,$DL28,$DM28,$DN28,$DO28,$DQ28,$DR28,$DS28)=12,"Yes","No")</x:f>
        <x:v>No</x:v>
      </x:c>
      <x:c r="FH28" s="24" t="str">
        <x:f>IF(COUNT($EA28,$EB28,$EC28,$EE28,$EF28,$EG28,$EH28,$EI28,$EJ28,$EL28,$EM28,$EN28)=12,"Yes","No")</x:f>
        <x:v>No</x:v>
      </x:c>
      <x:c r="FI28" s="24" t="str">
        <x:f>IF(AND($M28="Include",OR($FG28="Yes",$FH28="Yes")),"Ready","Not ready")</x:f>
        <x:v>Not ready</x:v>
      </x:c>
    </x:row>
    <x:row r="29" ht="24" customHeight="1">
      <x:c r="A29" s="22" t="str">
        <x:v>TRT-0027</x:v>
      </x:c>
      <x:c r="B29" s="22" t="n">
        <x:v>38</x:v>
      </x:c>
      <x:c r="C29" s="22" t="str">
        <x:v>Candidate treatment group</x:v>
      </x:c>
      <x:c r="D29" s="22" t="n">
        <x:v>1</x:v>
      </x:c>
      <x:c r="E29" s="22" t="str">
        <x:v>DATA - Innovation driven deals.xlsx</x:v>
      </x:c>
      <x:c r="F29" s="22" t="str">
        <x:v>biogaia acquires additional 12 stake in metabogen for</x:v>
      </x:c>
      <x:c r="G29" s="22" t="str">
        <x:v>Yes</x:v>
      </x:c>
      <x:c r="H29" s="22" t="str">
        <x:v>No</x:v>
      </x:c>
      <x:c r="I29" s="22" t="str">
        <x:v>Yes</x:v>
      </x:c>
      <x:c r="J29" s="22" t="n">
        <x:v>2</x:v>
      </x:c>
      <x:c r="K29" s="22" t="str">
        <x:v>Not started</x:v>
      </x:c>
      <x:c r="L29" s="22" t="str">
        <x:v>Exclude - minority</x:v>
      </x:c>
      <x:c r="M29" s="22" t="str">
        <x:v>Review</x:v>
      </x:c>
      <x:c r="N29" s="22" t="str"/>
      <x:c r="O29" s="28" t="n">
        <x:v>42339</x:v>
      </x:c>
      <x:c r="P29" s="28" t="n">
        <x:v>42339</x:v>
      </x:c>
      <x:c r="Q29" s="22" t="n">
        <x:v>2015</x:v>
      </x:c>
      <x:c r="R29" s="22" t="str">
        <x:v>Q4 2015</x:v>
      </x:c>
      <x:c r="S29" s="22" t="str">
        <x:v>Completed</x:v>
      </x:c>
      <x:c r="T29" s="26" t="str">
        <x:v>BioGaia Acquires Additional 12% Stake in MetaboGen for USD0.5 Million</x:v>
      </x:c>
      <x:c r="U29" s="22" t="str">
        <x:v>Mergers &amp; Acquisitions</x:v>
      </x:c>
      <x:c r="V29" s="22" t="str">
        <x:v>Acquisition</x:v>
      </x:c>
      <x:c r="W29" s="22" t="str">
        <x:v>Minority Acquisition</x:v>
      </x:c>
      <x:c r="X29" s="22" t="str">
        <x:v>Sweden</x:v>
      </x:c>
      <x:c r="Y29" s="22" t="str">
        <x:v>Minority Acquisition</x:v>
      </x:c>
      <x:c r="Z29" s="26"/>
      <x:c r="AA29" s="26"/>
      <x:c r="AB29" s="22" t="str">
        <x:v>BioGaia AB</x:v>
      </x:c>
      <x:c r="AC29" s="22" t="str">
        <x:v>biogaia ab</x:v>
      </x:c>
      <x:c r="AD29" s="22" t="str">
        <x:v>MetaboGen AB</x:v>
      </x:c>
      <x:c r="AE29" s="22" t="str">
        <x:v>metabogen ab</x:v>
      </x:c>
      <x:c r="AF29" s="30" t="n">
        <x:v>0</x:v>
      </x:c>
      <x:c r="AG29" s="22" t="n">
        <x:v>0</x:v>
      </x:c>
      <x:c r="AH29" s="26" t="str">
        <x:v>BioGaia AB, a biotechnology company, has acquired additional 12% stake in MetaboGen AB, a research company, for a consideration of SEK4 million (USD0.46 million). In total BioGaia acquired 27% stake in MetaboGen.
Earlier, on December 31, 2014, BioGaia agreed to acquire 35% stake in MetaboGen, for a purchase consideration of SEK12 million (USD1.6 million). Pursuant to the transaction, the investment will be made over a two year period and will then give BioGaia 35% of the share capital of the company. On December 31, 2016, BioGaia acquired 15% stake in MetaboGen, for a consideration of SEK4 million (USD0.54 million).
This acquisition enables BioGaia to strengthen its business and develop the next-generation of probiotic products using new technology.</x:v>
      </x:c>
      <x:c r="AI29" s="26" t="str">
        <x:v>This acquisition enables BioGaia to strengthen its business and develop the next-generation of probiotic products using new technology.</x:v>
      </x:c>
      <x:c r="AJ29" s="22" t="str"/>
      <x:c r="AK29" s="22" t="str"/>
      <x:c r="AL29" s="22" t="str">
        <x:v>Unknown</x:v>
      </x:c>
      <x:c r="AM29" s="22" t="str">
        <x:v>Unknown</x:v>
      </x:c>
      <x:c r="AN29" s="22" t="str"/>
      <x:c r="AO29" s="22" t="str"/>
      <x:c r="AP29" s="22" t="str"/>
      <x:c r="AQ29" s="22" t="str"/>
      <x:c r="AR29" s="22" t="str"/>
      <x:c r="AS29" s="22" t="str">
        <x:v>BioGaia AB</x:v>
      </x:c>
      <x:c r="AT29" s="22" t="str">
        <x:v>MetaboGen AB</x:v>
      </x:c>
      <x:c r="AU29" s="22" t="str">
        <x:v>Not reviewed</x:v>
      </x:c>
      <x:c r="AV29" s="22" t="str">
        <x:v>Not assessed</x:v>
      </x:c>
      <x:c r="AW29" s="22" t="str">
        <x:v>Unknown</x:v>
      </x:c>
      <x:c r="AX29" s="22" t="str">
        <x:v>Unknown</x:v>
      </x:c>
      <x:c r="AY29" s="22" t="str">
        <x:v>Unknown</x:v>
      </x:c>
      <x:c r="AZ29" s="22" t="str">
        <x:v>Unknown</x:v>
      </x:c>
      <x:c r="BA29" s="22" t="str">
        <x:v>Unknown</x:v>
      </x:c>
      <x:c r="BB29" s="22" t="str">
        <x:v>Unknown</x:v>
      </x:c>
      <x:c r="BC29" s="26" t="str"/>
      <x:c r="BD29" s="22" t="str"/>
      <x:c r="BE29" s="22" t="str"/>
      <x:c r="BF29" s="22" t="str">
        <x:v>Not collected</x:v>
      </x:c>
      <x:c r="BG29" s="22" t="str">
        <x:v>Not collected</x:v>
      </x:c>
      <x:c r="BH29" s="22" t="str">
        <x:v>Not defined</x:v>
      </x:c>
      <x:c r="BI29" s="22" t="n">
        <x:f>IF($Q29="","",$Q29-3)</x:f>
        <x:v>2012</x:v>
      </x:c>
      <x:c r="BJ29" s="22" t="n">
        <x:f>IF($Q29="","",$Q29-2)</x:f>
        <x:v>2013</x:v>
      </x:c>
      <x:c r="BK29" s="22" t="n">
        <x:f>IF($Q29="","",$Q29-1)</x:f>
        <x:v>2014</x:v>
      </x:c>
      <x:c r="BL29" s="22" t="n">
        <x:f>IF($Q29="","",$Q29+0)</x:f>
        <x:v>2015</x:v>
      </x:c>
      <x:c r="BM29" s="22" t="n">
        <x:f>IF($Q29="","",$Q29+1)</x:f>
        <x:v>2016</x:v>
      </x:c>
      <x:c r="BN29" s="22" t="n">
        <x:f>IF($Q29="","",$Q29+2)</x:f>
        <x:v>2017</x:v>
      </x:c>
      <x:c r="BO29" s="22" t="n">
        <x:f>IF($Q29="","",$Q29+3)</x:f>
        <x:v>2018</x:v>
      </x:c>
      <x:c r="BP29" s="30" t="str"/>
      <x:c r="BQ29" s="30" t="str"/>
      <x:c r="BR29" s="30" t="str"/>
      <x:c r="BS29" s="30" t="str"/>
      <x:c r="BT29" s="30" t="str"/>
      <x:c r="BU29" s="30" t="str"/>
      <x:c r="BV29" s="30" t="str"/>
      <x:c r="BW29" s="30" t="str"/>
      <x:c r="BX29" s="30" t="str"/>
      <x:c r="BY29" s="30" t="str"/>
      <x:c r="BZ29" s="30" t="str"/>
      <x:c r="CA29" s="30" t="str"/>
      <x:c r="CB29" s="30" t="str"/>
      <x:c r="CC29" s="30" t="str"/>
      <x:c r="CD29" s="30" t="str"/>
      <x:c r="CE29" s="30" t="str"/>
      <x:c r="CF29" s="30" t="str"/>
      <x:c r="CG29" s="30" t="str"/>
      <x:c r="CH29" s="30" t="str"/>
      <x:c r="CI29" s="30" t="str"/>
      <x:c r="CJ29" s="30" t="str"/>
      <x:c r="CK29" s="30" t="str"/>
      <x:c r="CL29" s="30" t="str"/>
      <x:c r="CM29" s="30" t="str"/>
      <x:c r="CN29" s="30" t="str"/>
      <x:c r="CO29" s="30" t="str"/>
      <x:c r="CP29" s="30" t="str"/>
      <x:c r="CQ29" s="30" t="str"/>
      <x:c r="CR29" s="30" t="str"/>
      <x:c r="CS29" s="30" t="str"/>
      <x:c r="CT29" s="30" t="str"/>
      <x:c r="CU29" s="30" t="str"/>
      <x:c r="CV29" s="30" t="str"/>
      <x:c r="CW29" s="30" t="str"/>
      <x:c r="CX29" s="30" t="str"/>
      <x:c r="CY29" s="30" t="str"/>
      <x:c r="CZ29" s="30" t="str"/>
      <x:c r="DA29" s="30" t="str"/>
      <x:c r="DB29" s="30" t="str"/>
      <x:c r="DC29" s="30" t="str"/>
      <x:c r="DD29" s="30" t="str"/>
      <x:c r="DE29" s="30" t="str"/>
      <x:c r="DF29" s="32" t="str"/>
      <x:c r="DG29" s="32" t="str"/>
      <x:c r="DH29" s="32" t="str"/>
      <x:c r="DI29" s="32" t="str"/>
      <x:c r="DJ29" s="32" t="str"/>
      <x:c r="DK29" s="32" t="str"/>
      <x:c r="DL29" s="32" t="str"/>
      <x:c r="DM29" s="32" t="str"/>
      <x:c r="DN29" s="32" t="str"/>
      <x:c r="DO29" s="32" t="str"/>
      <x:c r="DP29" s="32" t="str"/>
      <x:c r="DQ29" s="32" t="str"/>
      <x:c r="DR29" s="32" t="str"/>
      <x:c r="DS29" s="32" t="str"/>
      <x:c r="DT29" s="32" t="str"/>
      <x:c r="DU29" s="32" t="str"/>
      <x:c r="DV29" s="32" t="str"/>
      <x:c r="DW29" s="32" t="str"/>
      <x:c r="DX29" s="32" t="str"/>
      <x:c r="DY29" s="32" t="str"/>
      <x:c r="DZ29" s="32" t="str"/>
      <x:c r="EA29" s="34" t="str"/>
      <x:c r="EB29" s="34" t="str"/>
      <x:c r="EC29" s="34" t="str"/>
      <x:c r="ED29" s="34" t="str"/>
      <x:c r="EE29" s="34" t="str"/>
      <x:c r="EF29" s="34" t="str"/>
      <x:c r="EG29" s="34" t="str"/>
      <x:c r="EH29" s="34" t="str"/>
      <x:c r="EI29" s="34" t="str"/>
      <x:c r="EJ29" s="34" t="str"/>
      <x:c r="EK29" s="34" t="str"/>
      <x:c r="EL29" s="34" t="str"/>
      <x:c r="EM29" s="34" t="str"/>
      <x:c r="EN29" s="34" t="str"/>
      <x:c r="EO29" s="34" t="str"/>
      <x:c r="EP29" s="34" t="str"/>
      <x:c r="EQ29" s="36" t="str">
        <x:f>IF(OR($EO29="",$EP29="",$EO29=0),"",$EP29/$EO29)</x:f>
      </x:c>
      <x:c r="ER29" s="38" t="str"/>
      <x:c r="ES29" s="22" t="str">
        <x:v>Unknown</x:v>
      </x:c>
      <x:c r="ET29" s="22" t="str">
        <x:v>Unknown</x:v>
      </x:c>
      <x:c r="EU29" s="40" t="str">
        <x:f>IF(COUNT($DF29,$DG29,$DH29)=0,"",AVERAGE($DF29,$DG29,$DH29))</x:f>
      </x:c>
      <x:c r="EV29" s="40" t="str">
        <x:f>IF(COUNT($DJ29,$DK29,$DL29)=0,"",AVERAGE($DJ29,$DK29,$DL29))</x:f>
      </x:c>
      <x:c r="EW29" s="40" t="str">
        <x:f>IF(OR($EU29="",$EV29=""),"",$EV29-$EU29)</x:f>
      </x:c>
      <x:c r="EX29" s="40" t="str">
        <x:f>IF(COUNT($DM29,$DN29,$DO29)=0,"",AVERAGE($DM29,$DN29,$DO29))</x:f>
      </x:c>
      <x:c r="EY29" s="40" t="str">
        <x:f>IF(COUNT($DQ29,$DR29,$DS29)=0,"",AVERAGE($DQ29,$DR29,$DS29))</x:f>
      </x:c>
      <x:c r="EZ29" s="40" t="str">
        <x:f>IF(OR($EX29="",$EY29=""),"",$EY29-$EX29)</x:f>
      </x:c>
      <x:c r="FA29" s="42" t="str">
        <x:f>IF(COUNT($EA29,$EB29,$EC29)=0,"",AVERAGE($EA29,$EB29,$EC29))</x:f>
      </x:c>
      <x:c r="FB29" s="42" t="str">
        <x:f>IF(COUNT($EE29,$EF29,$EG29)=0,"",AVERAGE($EE29,$EF29,$EG29))</x:f>
      </x:c>
      <x:c r="FC29" s="42" t="str">
        <x:f>IF(OR($FA29="",$FB29=""),"",$FB29-$FA29)</x:f>
      </x:c>
      <x:c r="FD29" s="42" t="str">
        <x:f>IF(COUNT($EH29,$EI29,$EJ29)=0,"",AVERAGE($EH29,$EI29,$EJ29))</x:f>
      </x:c>
      <x:c r="FE29" s="42" t="str">
        <x:f>IF(COUNT($EL29,$EM29,$EN29)=0,"",AVERAGE($EL29,$EM29,$EN29))</x:f>
      </x:c>
      <x:c r="FF29" s="42" t="str">
        <x:f>IF(OR($FD29="",$FE29=""),"",$FE29-$FD29)</x:f>
      </x:c>
      <x:c r="FG29" s="24" t="str">
        <x:f>IF(COUNT($DF29,$DG29,$DH29,$DJ29,$DK29,$DL29,$DM29,$DN29,$DO29,$DQ29,$DR29,$DS29)=12,"Yes","No")</x:f>
        <x:v>No</x:v>
      </x:c>
      <x:c r="FH29" s="24" t="str">
        <x:f>IF(COUNT($EA29,$EB29,$EC29,$EE29,$EF29,$EG29,$EH29,$EI29,$EJ29,$EL29,$EM29,$EN29)=12,"Yes","No")</x:f>
        <x:v>No</x:v>
      </x:c>
      <x:c r="FI29" s="24" t="str">
        <x:f>IF(AND($M29="Include",OR($FG29="Yes",$FH29="Yes")),"Ready","Not ready")</x:f>
        <x:v>Not ready</x:v>
      </x:c>
    </x:row>
    <x:row r="30" ht="24" customHeight="1">
      <x:c r="A30" s="22" t="str">
        <x:v>TRT-0028</x:v>
      </x:c>
      <x:c r="B30" s="22" t="n">
        <x:v>39</x:v>
      </x:c>
      <x:c r="C30" s="22" t="str">
        <x:v>Candidate treatment group</x:v>
      </x:c>
      <x:c r="D30" s="22" t="n">
        <x:v>1</x:v>
      </x:c>
      <x:c r="E30" s="22" t="str">
        <x:v>DATA - Innovation driven deals.xlsx</x:v>
      </x:c>
      <x:c r="F30" s="22" t="str">
        <x:v>aduro biotech acquires bionovion holding</x:v>
      </x:c>
      <x:c r="G30" s="22" t="str">
        <x:v>Yes</x:v>
      </x:c>
      <x:c r="H30" s="22" t="str">
        <x:v>No</x:v>
      </x:c>
      <x:c r="I30" s="22" t="str">
        <x:v>No</x:v>
      </x:c>
      <x:c r="J30" s="22" t="n">
        <x:v>1</x:v>
      </x:c>
      <x:c r="K30" s="22" t="str">
        <x:v>Not started</x:v>
      </x:c>
      <x:c r="L30" s="22" t="str">
        <x:v>Eligible - 100%</x:v>
      </x:c>
      <x:c r="M30" s="22" t="str">
        <x:v>Review</x:v>
      </x:c>
      <x:c r="N30" s="22" t="str"/>
      <x:c r="O30" s="28" t="n">
        <x:v>42271</x:v>
      </x:c>
      <x:c r="P30" s="28" t="n">
        <x:v>42307</x:v>
      </x:c>
      <x:c r="Q30" s="22" t="n">
        <x:v>2015</x:v>
      </x:c>
      <x:c r="R30" s="22" t="str">
        <x:v>Q3 2015</x:v>
      </x:c>
      <x:c r="S30" s="22" t="str">
        <x:v>Completed</x:v>
      </x:c>
      <x:c r="T30" s="26" t="str">
        <x:v>Aduro BioTech acquires BioNovion Holding</x:v>
      </x:c>
      <x:c r="U30" s="22" t="str">
        <x:v>Mergers &amp; Acquisitions</x:v>
      </x:c>
      <x:c r="V30" s="22" t="str">
        <x:v>Acquisition</x:v>
      </x:c>
      <x:c r="W30" s="22" t="str">
        <x:v>100% Acquisition</x:v>
      </x:c>
      <x:c r="X30" s="22" t="str">
        <x:v>The Netherlands</x:v>
      </x:c>
      <x:c r="Y30" s="22" t="str">
        <x:v>100% Acquisition</x:v>
      </x:c>
      <x:c r="Z30" s="26"/>
      <x:c r="AA30" s="26" t="str">
        <x:v>Van Campen &amp; Partners NV , Van Campen &amp; Partners NV , Van Campen &amp; Partners NV</x:v>
      </x:c>
      <x:c r="AB30" s="22" t="str">
        <x:v>Chinook Therapeutics Inc</x:v>
      </x:c>
      <x:c r="AC30" s="22" t="str">
        <x:v>chinook therapeutics</x:v>
      </x:c>
      <x:c r="AD30" s="22" t="str">
        <x:v>BioNovion Holding B.V.</x:v>
      </x:c>
      <x:c r="AE30" s="22" t="str">
        <x:v>bionovion b v</x:v>
      </x:c>
      <x:c r="AF30" s="30" t="n">
        <x:v>32</x:v>
      </x:c>
      <x:c r="AG30" s="22" t="n">
        <x:v>32</x:v>
      </x:c>
      <x:c r="AH30" s="26" t="str">
        <x:v>Aduro BioTech, Inc., a US-based cancer immunotherapy company, has acquired all of the issued and outstanding shares of BioNovion Holding B.V., a Netherlands-based monoclonal antibody discovery and development company. 
_x000d_ Announcement (September 24, 2015):
_x000d_Aduro has entered into a definitive agreement to acquire BioNovion.
_x000d_ Under the terms of the agreement, Aduro will acquire BioNovion for EUR14.5 million in cash and EUR14.5 million in stock.
_x000d_Following the transaction, Aduro plans to maintain BioNovion's current 24-person operations as a subsidiary of Aduro. 
_x000d_ Van Campen Liem is acting as legal advisor to Aduro.
_x000d_The transaction is expected to complete in October 2015.</x:v>
      </x:c>
      <x:c r="AI30" s="26" t="str">
        <x:v>The transaction will strengthen and expand Aduro's immunotherapy capabilities to now encompass monoclonal antibodies, including preclinical assets that inhibit clinically validated immune checkpoint pathways.</x:v>
      </x:c>
      <x:c r="AJ30" s="22" t="str"/>
      <x:c r="AK30" s="22" t="str"/>
      <x:c r="AL30" s="22" t="str">
        <x:v>Unknown</x:v>
      </x:c>
      <x:c r="AM30" s="22" t="str">
        <x:v>Yes</x:v>
      </x:c>
      <x:c r="AN30" s="22" t="str">
        <x:v>KDNY US</x:v>
      </x:c>
      <x:c r="AO30" s="22" t="str"/>
      <x:c r="AP30" s="22" t="str"/>
      <x:c r="AQ30" s="22" t="str"/>
      <x:c r="AR30" s="22" t="str"/>
      <x:c r="AS30" s="22" t="str">
        <x:v>Chinook Therapeutics Inc</x:v>
      </x:c>
      <x:c r="AT30" s="22" t="str">
        <x:v>BioNovion Holding B.V.</x:v>
      </x:c>
      <x:c r="AU30" s="22" t="str">
        <x:v>Not reviewed</x:v>
      </x:c>
      <x:c r="AV30" s="22" t="str">
        <x:v>Not assessed</x:v>
      </x:c>
      <x:c r="AW30" s="22" t="str">
        <x:v>Lens.org acquirer-side patent export imported; target patent export not supplied.</x:v>
      </x:c>
      <x:c r="AX30" s="22" t="str">
        <x:v>Unknown</x:v>
      </x:c>
      <x:c r="AY30" s="22" t="str">
        <x:v>Unknown</x:v>
      </x:c>
      <x:c r="AZ30" s="22" t="str">
        <x:v>Unknown</x:v>
      </x:c>
      <x:c r="BA30" s="22" t="str">
        <x:v>Unknown</x:v>
      </x:c>
      <x:c r="BB30" s="22" t="str">
        <x:v>Unknown</x:v>
      </x:c>
      <x:c r="BC30" s="26" t="str"/>
      <x:c r="BD30" s="22" t="str"/>
      <x:c r="BE30" s="22" t="str">
        <x:v>EUR</x:v>
      </x:c>
      <x:c r="BF30" s="22" t="str">
        <x:v>Partial</x:v>
      </x:c>
      <x:c r="BG30" s="22" t="str">
        <x:v>Partial event window — 4/7 years covered</x:v>
      </x:c>
      <x:c r="BH30" s="22" t="str">
        <x:v>Includes Chinook Therapeutics and former name Aduro BioTech; obvious unrelated Chinook entities excluded.</x:v>
      </x:c>
      <x:c r="BI30" s="22" t="n">
        <x:v>2012</x:v>
      </x:c>
      <x:c r="BJ30" s="22" t="n">
        <x:v>2013</x:v>
      </x:c>
      <x:c r="BK30" s="22" t="n">
        <x:v>2014</x:v>
      </x:c>
      <x:c r="BL30" s="22" t="n">
        <x:v>2015</x:v>
      </x:c>
      <x:c r="BM30" s="22" t="n">
        <x:v>2016</x:v>
      </x:c>
      <x:c r="BN30" s="22" t="n">
        <x:v>2017</x:v>
      </x:c>
      <x:c r="BO30" s="22" t="n">
        <x:v>2018</x:v>
      </x:c>
      <x:c r="BP30" s="30"/>
      <x:c r="BQ30" s="30" t="n">
        <x:v>0.6236</x:v>
      </x:c>
      <x:c r="BR30" s="30" t="n">
        <x:v>10.0952</x:v>
      </x:c>
      <x:c r="BS30" s="30" t="n">
        <x:v>65.7915</x:v>
      </x:c>
      <x:c r="BT30" s="30" t="n">
        <x:v>45.8136</x:v>
      </x:c>
      <x:c r="BU30" s="30" t="n">
        <x:v>15.2911</x:v>
      </x:c>
      <x:c r="BV30" s="30" t="n">
        <x:v>12.7858</x:v>
      </x:c>
      <x:c r="BW30" s="30"/>
      <x:c r="BX30" s="30" t="n">
        <x:v>-10.9476</x:v>
      </x:c>
      <x:c r="BY30" s="30" t="n">
        <x:v>-14.4148</x:v>
      </x:c>
      <x:c r="BZ30" s="30" t="n">
        <x:v>-12.2281</x:v>
      </x:c>
      <x:c r="CA30" s="30" t="n">
        <x:v>-64.9613</x:v>
      </x:c>
      <x:c r="CB30" s="30" t="n">
        <x:v>-94.4247</x:v>
      </x:c>
      <x:c r="CC30" s="30" t="n">
        <x:v>-82.5163</x:v>
      </x:c>
      <x:c r="CD30" s="30"/>
      <x:c r="CE30" s="30"/>
      <x:c r="CF30" s="30" t="n">
        <x:v>-12.8284</x:v>
      </x:c>
      <x:c r="CG30" s="30" t="n">
        <x:v>-35.3474</x:v>
      </x:c>
      <x:c r="CH30" s="30" t="n">
        <x:v>-82.3942</x:v>
      </x:c>
      <x:c r="CI30" s="30" t="n">
        <x:v>-81.4833</x:v>
      </x:c>
      <x:c r="CJ30" s="30" t="n">
        <x:v>-80.812</x:v>
      </x:c>
      <x:c r="CK30" s="30"/>
      <x:c r="CL30" s="30" t="n">
        <x:v>7.1651</x:v>
      </x:c>
      <x:c r="CM30" s="30" t="n">
        <x:v>104.514</x:v>
      </x:c>
      <x:c r="CN30" s="30" t="n">
        <x:v>443.4244</x:v>
      </x:c>
      <x:c r="CO30" s="30" t="n">
        <x:v>415.8633</x:v>
      </x:c>
      <x:c r="CP30" s="30" t="n">
        <x:v>370.2612</x:v>
      </x:c>
      <x:c r="CQ30" s="30" t="n">
        <x:v>312.176</x:v>
      </x:c>
      <x:c r="CR30" s="30"/>
      <x:c r="CS30" s="30" t="n">
        <x:v>9.4198</x:v>
      </x:c>
      <x:c r="CT30" s="30" t="n">
        <x:v>0</x:v>
      </x:c>
      <x:c r="CU30" s="30" t="n">
        <x:v>0</x:v>
      </x:c>
      <x:c r="CV30" s="30" t="n">
        <x:v>0</x:v>
      </x:c>
      <x:c r="CW30" s="30" t="n">
        <x:v>0</x:v>
      </x:c>
      <x:c r="CX30" s="30" t="n">
        <x:v>0</x:v>
      </x:c>
      <x:c r="CY30" s="30"/>
      <x:c r="CZ30" s="30" t="n">
        <x:v>8.0488</x:v>
      </x:c>
      <x:c r="DA30" s="30" t="n">
        <x:v>17.7286</x:v>
      </x:c>
      <x:c r="DB30" s="30" t="n">
        <x:v>52.8728</x:v>
      </x:c>
      <x:c r="DC30" s="30" t="n">
        <x:v>79.2936</x:v>
      </x:c>
      <x:c r="DD30" s="30" t="n">
        <x:v>79.2826</x:v>
      </x:c>
      <x:c r="DE30" s="30" t="n">
        <x:v>64.2686</x:v>
      </x:c>
      <x:c r="DF30" s="32"/>
      <x:c r="DG30" s="32"/>
      <x:c r="DH30" s="32" t="n">
        <x:v>-24.9578</x:v>
      </x:c>
      <x:c r="DI30" s="32" t="n">
        <x:v>-12.8916</x:v>
      </x:c>
      <x:c r="DJ30" s="32" t="n">
        <x:v>-19.8054</x:v>
      </x:c>
      <x:c r="DK30" s="32" t="n">
        <x:v>-20.7896</x:v>
      </x:c>
      <x:c r="DL30" s="32" t="n">
        <x:v>-23.7611</x:v>
      </x:c>
      <x:c r="DM30" s="32"/>
      <x:c r="DN30" s="32" t="n">
        <x:v>-1755.5556</x:v>
      </x:c>
      <x:c r="DO30" s="32" t="n">
        <x:v>-142.7889</x:v>
      </x:c>
      <x:c r="DP30" s="32" t="n">
        <x:v>-18.5862</x:v>
      </x:c>
      <x:c r="DQ30" s="32" t="n">
        <x:v>-141.7948</x:v>
      </x:c>
      <x:c r="DR30" s="32" t="n">
        <x:v>-617.5126</x:v>
      </x:c>
      <x:c r="DS30" s="32" t="n">
        <x:v>-671.8367</x:v>
      </x:c>
      <x:c r="DT30" s="32"/>
      <x:c r="DU30" s="32" t="n">
        <x:v>131.4676</x:v>
      </x:c>
      <x:c r="DV30" s="32" t="n">
        <x:v>0</x:v>
      </x:c>
      <x:c r="DW30" s="32" t="n">
        <x:v>0</x:v>
      </x:c>
      <x:c r="DX30" s="32" t="n">
        <x:v>0</x:v>
      </x:c>
      <x:c r="DY30" s="32" t="n">
        <x:v>0</x:v>
      </x:c>
      <x:c r="DZ30" s="32" t="n">
        <x:v>0</x:v>
      </x:c>
      <x:c r="EA30" s="34"/>
      <x:c r="EB30" s="34"/>
      <x:c r="EC30" s="34"/>
      <x:c r="ED30" s="34" t="n">
        <x:v>2</x:v>
      </x:c>
      <x:c r="EE30" s="34" t="n">
        <x:v>1</x:v>
      </x:c>
      <x:c r="EF30" s="34" t="n">
        <x:v>2</x:v>
      </x:c>
      <x:c r="EG30" s="34" t="n">
        <x:v>1</x:v>
      </x:c>
      <x:c r="EH30" s="34"/>
      <x:c r="EI30" s="34"/>
      <x:c r="EJ30" s="34"/>
      <x:c r="EK30" s="34" t="n">
        <x:v>3</x:v>
      </x:c>
      <x:c r="EL30" s="34" t="n">
        <x:v>0</x:v>
      </x:c>
      <x:c r="EM30" s="34" t="n">
        <x:v>0</x:v>
      </x:c>
      <x:c r="EN30" s="34" t="n">
        <x:v>0</x:v>
      </x:c>
      <x:c r="EO30" s="34"/>
      <x:c r="EP30" s="34" t="str"/>
      <x:c r="EQ30" s="36" t="str">
        <x:f>IF(OR($EO30="",$EP30="",$EO30=0),"",$EP30/$EO30)</x:f>
      </x:c>
      <x:c r="ER30" s="38" t="str"/>
      <x:c r="ES30" s="22" t="str">
        <x:v>No</x:v>
      </x:c>
      <x:c r="ET30" s="22" t="str">
        <x:v>No</x:v>
      </x:c>
      <x:c r="EU30" s="40" t="n">
        <x:f>IF(COUNT($DF30,$DG30,$DH30)=0,"",AVERAGE($DF30,$DG30,$DH30))</x:f>
        <x:v>-24.9578</x:v>
      </x:c>
      <x:c r="EV30" s="40" t="n">
        <x:f>IF(COUNT($DJ30,$DK30,$DL30)=0,"",AVERAGE($DJ30,$DK30,$DL30))</x:f>
        <x:v>-21.452033333333333</x:v>
      </x:c>
      <x:c r="EW30" s="40" t="n">
        <x:f>IF(OR($EU30="",$EV30=""),"",$EV30-$EU30)</x:f>
        <x:v>3.5057666666666663</x:v>
      </x:c>
      <x:c r="EX30" s="40" t="n">
        <x:f>IF(COUNT($DM30,$DN30,$DO30)=0,"",AVERAGE($DM30,$DN30,$DO30))</x:f>
        <x:v>-949.17225</x:v>
      </x:c>
      <x:c r="EY30" s="40" t="n">
        <x:f>IF(COUNT($DQ30,$DR30,$DS30)=0,"",AVERAGE($DQ30,$DR30,$DS30))</x:f>
        <x:v>-477.0480333333333</x:v>
      </x:c>
      <x:c r="EZ30" s="40" t="n">
        <x:f>IF(OR($EX30="",$EY30=""),"",$EY30-$EX30)</x:f>
        <x:v>472.12421666666665</x:v>
      </x:c>
      <x:c r="FA30" s="42" t="str">
        <x:f>IF(COUNT($EA30,$EB30,$EC30)=0,"",AVERAGE($EA30,$EB30,$EC30))</x:f>
      </x:c>
      <x:c r="FB30" s="42" t="n">
        <x:f>IF(COUNT($EE30,$EF30,$EG30)=0,"",AVERAGE($EE30,$EF30,$EG30))</x:f>
        <x:v>1.3333333333333333</x:v>
      </x:c>
      <x:c r="FC30" s="42" t="str">
        <x:f>IF(OR($FA30="",$FB30=""),"",$FB30-$FA30)</x:f>
      </x:c>
      <x:c r="FD30" s="42" t="str">
        <x:f>IF(COUNT($EH30,$EI30,$EJ30)=0,"",AVERAGE($EH30,$EI30,$EJ30))</x:f>
      </x:c>
      <x:c r="FE30" s="42" t="n">
        <x:f>IF(COUNT($EL30,$EM30,$EN30)=0,"",AVERAGE($EL30,$EM30,$EN30))</x:f>
        <x:v>0</x:v>
      </x:c>
      <x:c r="FF30" s="42" t="str">
        <x:f>IF(OR($FD30="",$FE30=""),"",$FE30-$FD30)</x:f>
      </x:c>
      <x:c r="FG30" s="24" t="str">
        <x:f>IF(COUNT($DF30,$DG30,$DH30,$DJ30,$DK30,$DL30,$DM30,$DN30,$DO30,$DQ30,$DR30,$DS30)=12,"Yes","No")</x:f>
        <x:v>No</x:v>
      </x:c>
      <x:c r="FH30" s="24" t="str">
        <x:f>IF(COUNT($EA30,$EB30,$EC30,$EE30,$EF30,$EG30,$EH30,$EI30,$EJ30,$EL30,$EM30,$EN30)=12,"Yes","No")</x:f>
        <x:v>No</x:v>
      </x:c>
      <x:c r="FI30" s="24" t="str">
        <x:f>IF(AND($M30="Include",OR($FG30="Yes",$FH30="Yes")),"Ready","Not ready")</x:f>
        <x:v>Not ready</x:v>
      </x:c>
    </x:row>
    <x:row r="31" ht="24" customHeight="1">
      <x:c r="A31" s="22" t="str">
        <x:v>TRT-0029</x:v>
      </x:c>
      <x:c r="B31" s="22" t="n">
        <x:v>40</x:v>
      </x:c>
      <x:c r="C31" s="22" t="str">
        <x:v>Candidate treatment group</x:v>
      </x:c>
      <x:c r="D31" s="22" t="n">
        <x:v>1</x:v>
      </x:c>
      <x:c r="E31" s="22" t="str">
        <x:v>DATA - Innovation driven deals.xlsx</x:v>
      </x:c>
      <x:c r="F31" s="22" t="str">
        <x:v>ares allergy stallergenes and greer labs merge</x:v>
      </x:c>
      <x:c r="G31" s="22" t="str">
        <x:v>Yes</x:v>
      </x:c>
      <x:c r="H31" s="22" t="str">
        <x:v>No</x:v>
      </x:c>
      <x:c r="I31" s="22" t="str">
        <x:v>No</x:v>
      </x:c>
      <x:c r="J31" s="22" t="n">
        <x:v>1</x:v>
      </x:c>
      <x:c r="K31" s="22" t="str">
        <x:v>Not started</x:v>
      </x:c>
      <x:c r="L31" s="22" t="str">
        <x:v>Review - merger</x:v>
      </x:c>
      <x:c r="M31" s="22" t="str">
        <x:v>Review</x:v>
      </x:c>
      <x:c r="N31" s="22" t="str"/>
      <x:c r="O31" s="28" t="n">
        <x:v>42255</x:v>
      </x:c>
      <x:c r="P31" s="28" t="n">
        <x:v>42255</x:v>
      </x:c>
      <x:c r="Q31" s="22" t="n">
        <x:v>2015</x:v>
      </x:c>
      <x:c r="R31" s="22" t="str">
        <x:v>Q3 2015</x:v>
      </x:c>
      <x:c r="S31" s="22" t="str">
        <x:v>Completed</x:v>
      </x:c>
      <x:c r="T31" s="26" t="str">
        <x:v>Ares Allergy, Stallergenes and Greer Labs Merge</x:v>
      </x:c>
      <x:c r="U31" s="22" t="str">
        <x:v>Mergers &amp; Acquisitions</x:v>
      </x:c>
      <x:c r="V31" s="22" t="str">
        <x:v>Merger</x:v>
      </x:c>
      <x:c r="W31" s="22"/>
      <x:c r="X31" s="22" t="str">
        <x:v>France , United Kingdom , United States</x:v>
      </x:c>
      <x:c r="Y31" s="22"/>
      <x:c r="Z31" s="26"/>
      <x:c r="AA31" s="26"/>
      <x:c r="AB31" s="22" t="str">
        <x:v>Stallergenes Greer Ltd</x:v>
      </x:c>
      <x:c r="AC31" s="22" t="str">
        <x:v>stallergenes greer</x:v>
      </x:c>
      <x:c r="AD31" s="22" t="str">
        <x:v>Greer Laboratories Inc; Stallergenes SA; Stallergenes Greer Ltd</x:v>
      </x:c>
      <x:c r="AE31" s="22" t="str">
        <x:v>greer laboratories stallergenes stallergenes greer</x:v>
      </x:c>
      <x:c r="AF31" s="30"/>
      <x:c r="AG31" s="22" t="str">
        <x:v>n/a</x:v>
      </x:c>
      <x:c r="AH31" s="26" t="str">
        <x:v>Ares Allergy Holdings plc, a healthcare company, Stallergenes SA, a biopharmaceutical company, and Greer Laboratories Inc., a developer of allergy immunotherapy, have merged.
Under the transaction, Ares Allergy, Stallergenes and Greer Labs will join their forces to strengthen its allergy immunotherapy; and combines sales of EUR312.5 million (USD344 million) in 2014 and 1,434 employees. The merger was approved by the shareholders of Stallergenes and Ares Allergy.
Following the transaction, Ares Allergy changed its name to Stallergenes Greer plc. The exchange ratio that was approved by the Stallergenes shareholders provides for the issuance of one new Ares Allergy share for each existing Stallergenes share (excluding treasury shares) held on September 8, 2015. Trading in Stallergenes shares on Euronext Paris was suspended after the stock exchange closed on September 7, 2015. Ares Allergy shares will be admitted to trading on the Euronext Paris regulated market on September 8, 2015, and settlement and delivery of the shares will take place on September 10, 2015. 
This transaction enables Ares Allergy to develop and market allergy immunotherapy treatments.</x:v>
      </x:c>
      <x:c r="AI31" s="26" t="str">
        <x:v>This transaction enables Ares Allergy to develop and market allergy immunotherapy treatments.</x:v>
      </x:c>
      <x:c r="AJ31" s="22" t="str"/>
      <x:c r="AK31" s="22" t="str"/>
      <x:c r="AL31" s="22" t="str">
        <x:v>Unknown</x:v>
      </x:c>
      <x:c r="AM31" s="22" t="str">
        <x:v>Unknown</x:v>
      </x:c>
      <x:c r="AN31" s="22" t="str"/>
      <x:c r="AO31" s="22" t="str"/>
      <x:c r="AP31" s="22" t="str"/>
      <x:c r="AQ31" s="22" t="str"/>
      <x:c r="AR31" s="22" t="str"/>
      <x:c r="AS31" s="22" t="str">
        <x:v>Stallergenes Greer Ltd</x:v>
      </x:c>
      <x:c r="AT31" s="22" t="str">
        <x:v>Greer Laboratories Inc; Stallergenes SA; Stallergenes Greer Ltd</x:v>
      </x:c>
      <x:c r="AU31" s="22" t="str">
        <x:v>Not reviewed</x:v>
      </x:c>
      <x:c r="AV31" s="22" t="str">
        <x:v>Not assessed</x:v>
      </x:c>
      <x:c r="AW31" s="22" t="str">
        <x:v>Unknown</x:v>
      </x:c>
      <x:c r="AX31" s="22" t="str">
        <x:v>Unknown</x:v>
      </x:c>
      <x:c r="AY31" s="22" t="str">
        <x:v>Unknown</x:v>
      </x:c>
      <x:c r="AZ31" s="22" t="str">
        <x:v>Unknown</x:v>
      </x:c>
      <x:c r="BA31" s="22" t="str">
        <x:v>Unknown</x:v>
      </x:c>
      <x:c r="BB31" s="22" t="str">
        <x:v>Unknown</x:v>
      </x:c>
      <x:c r="BC31" s="26" t="str"/>
      <x:c r="BD31" s="22" t="str"/>
      <x:c r="BE31" s="22" t="str"/>
      <x:c r="BF31" s="22" t="str">
        <x:v>Not collected</x:v>
      </x:c>
      <x:c r="BG31" s="22" t="str">
        <x:v>Not collected</x:v>
      </x:c>
      <x:c r="BH31" s="22" t="str">
        <x:v>Not defined</x:v>
      </x:c>
      <x:c r="BI31" s="22" t="n">
        <x:f>IF($Q31="","",$Q31-3)</x:f>
        <x:v>2012</x:v>
      </x:c>
      <x:c r="BJ31" s="22" t="n">
        <x:f>IF($Q31="","",$Q31-2)</x:f>
        <x:v>2013</x:v>
      </x:c>
      <x:c r="BK31" s="22" t="n">
        <x:f>IF($Q31="","",$Q31-1)</x:f>
        <x:v>2014</x:v>
      </x:c>
      <x:c r="BL31" s="22" t="n">
        <x:f>IF($Q31="","",$Q31+0)</x:f>
        <x:v>2015</x:v>
      </x:c>
      <x:c r="BM31" s="22" t="n">
        <x:f>IF($Q31="","",$Q31+1)</x:f>
        <x:v>2016</x:v>
      </x:c>
      <x:c r="BN31" s="22" t="n">
        <x:f>IF($Q31="","",$Q31+2)</x:f>
        <x:v>2017</x:v>
      </x:c>
      <x:c r="BO31" s="22" t="n">
        <x:f>IF($Q31="","",$Q31+3)</x:f>
        <x:v>2018</x:v>
      </x:c>
      <x:c r="BP31" s="30" t="str"/>
      <x:c r="BQ31" s="30" t="str"/>
      <x:c r="BR31" s="30" t="str"/>
      <x:c r="BS31" s="30" t="str"/>
      <x:c r="BT31" s="30" t="str"/>
      <x:c r="BU31" s="30" t="str"/>
      <x:c r="BV31" s="30" t="str"/>
      <x:c r="BW31" s="30" t="str"/>
      <x:c r="BX31" s="30" t="str"/>
      <x:c r="BY31" s="30" t="str"/>
      <x:c r="BZ31" s="30" t="str"/>
      <x:c r="CA31" s="30" t="str"/>
      <x:c r="CB31" s="30" t="str"/>
      <x:c r="CC31" s="30" t="str"/>
      <x:c r="CD31" s="30" t="str"/>
      <x:c r="CE31" s="30" t="str"/>
      <x:c r="CF31" s="30" t="str"/>
      <x:c r="CG31" s="30" t="str"/>
      <x:c r="CH31" s="30" t="str"/>
      <x:c r="CI31" s="30" t="str"/>
      <x:c r="CJ31" s="30" t="str"/>
      <x:c r="CK31" s="30" t="str"/>
      <x:c r="CL31" s="30" t="str"/>
      <x:c r="CM31" s="30" t="str"/>
      <x:c r="CN31" s="30" t="str"/>
      <x:c r="CO31" s="30" t="str"/>
      <x:c r="CP31" s="30" t="str"/>
      <x:c r="CQ31" s="30" t="str"/>
      <x:c r="CR31" s="30" t="str"/>
      <x:c r="CS31" s="30" t="str"/>
      <x:c r="CT31" s="30" t="str"/>
      <x:c r="CU31" s="30" t="str"/>
      <x:c r="CV31" s="30" t="str"/>
      <x:c r="CW31" s="30" t="str"/>
      <x:c r="CX31" s="30" t="str"/>
      <x:c r="CY31" s="30" t="str"/>
      <x:c r="CZ31" s="30" t="str"/>
      <x:c r="DA31" s="30" t="str"/>
      <x:c r="DB31" s="30" t="str"/>
      <x:c r="DC31" s="30" t="str"/>
      <x:c r="DD31" s="30" t="str"/>
      <x:c r="DE31" s="30" t="str"/>
      <x:c r="DF31" s="32" t="str"/>
      <x:c r="DG31" s="32" t="str"/>
      <x:c r="DH31" s="32" t="str"/>
      <x:c r="DI31" s="32" t="str"/>
      <x:c r="DJ31" s="32" t="str"/>
      <x:c r="DK31" s="32" t="str"/>
      <x:c r="DL31" s="32" t="str"/>
      <x:c r="DM31" s="32" t="str"/>
      <x:c r="DN31" s="32" t="str"/>
      <x:c r="DO31" s="32" t="str"/>
      <x:c r="DP31" s="32" t="str"/>
      <x:c r="DQ31" s="32" t="str"/>
      <x:c r="DR31" s="32" t="str"/>
      <x:c r="DS31" s="32" t="str"/>
      <x:c r="DT31" s="32" t="str"/>
      <x:c r="DU31" s="32" t="str"/>
      <x:c r="DV31" s="32" t="str"/>
      <x:c r="DW31" s="32" t="str"/>
      <x:c r="DX31" s="32" t="str"/>
      <x:c r="DY31" s="32" t="str"/>
      <x:c r="DZ31" s="32" t="str"/>
      <x:c r="EA31" s="34" t="str"/>
      <x:c r="EB31" s="34" t="str"/>
      <x:c r="EC31" s="34" t="str"/>
      <x:c r="ED31" s="34" t="str"/>
      <x:c r="EE31" s="34" t="str"/>
      <x:c r="EF31" s="34" t="str"/>
      <x:c r="EG31" s="34" t="str"/>
      <x:c r="EH31" s="34" t="str"/>
      <x:c r="EI31" s="34" t="str"/>
      <x:c r="EJ31" s="34" t="str"/>
      <x:c r="EK31" s="34" t="str"/>
      <x:c r="EL31" s="34" t="str"/>
      <x:c r="EM31" s="34" t="str"/>
      <x:c r="EN31" s="34" t="str"/>
      <x:c r="EO31" s="34" t="str"/>
      <x:c r="EP31" s="34" t="str"/>
      <x:c r="EQ31" s="36" t="str">
        <x:f>IF(OR($EO31="",$EP31="",$EO31=0),"",$EP31/$EO31)</x:f>
      </x:c>
      <x:c r="ER31" s="38" t="str"/>
      <x:c r="ES31" s="22" t="str">
        <x:v>Unknown</x:v>
      </x:c>
      <x:c r="ET31" s="22" t="str">
        <x:v>Unknown</x:v>
      </x:c>
      <x:c r="EU31" s="40" t="str">
        <x:f>IF(COUNT($DF31,$DG31,$DH31)=0,"",AVERAGE($DF31,$DG31,$DH31))</x:f>
      </x:c>
      <x:c r="EV31" s="40" t="str">
        <x:f>IF(COUNT($DJ31,$DK31,$DL31)=0,"",AVERAGE($DJ31,$DK31,$DL31))</x:f>
      </x:c>
      <x:c r="EW31" s="40" t="str">
        <x:f>IF(OR($EU31="",$EV31=""),"",$EV31-$EU31)</x:f>
      </x:c>
      <x:c r="EX31" s="40" t="str">
        <x:f>IF(COUNT($DM31,$DN31,$DO31)=0,"",AVERAGE($DM31,$DN31,$DO31))</x:f>
      </x:c>
      <x:c r="EY31" s="40" t="str">
        <x:f>IF(COUNT($DQ31,$DR31,$DS31)=0,"",AVERAGE($DQ31,$DR31,$DS31))</x:f>
      </x:c>
      <x:c r="EZ31" s="40" t="str">
        <x:f>IF(OR($EX31="",$EY31=""),"",$EY31-$EX31)</x:f>
      </x:c>
      <x:c r="FA31" s="42" t="str">
        <x:f>IF(COUNT($EA31,$EB31,$EC31)=0,"",AVERAGE($EA31,$EB31,$EC31))</x:f>
      </x:c>
      <x:c r="FB31" s="42" t="str">
        <x:f>IF(COUNT($EE31,$EF31,$EG31)=0,"",AVERAGE($EE31,$EF31,$EG31))</x:f>
      </x:c>
      <x:c r="FC31" s="42" t="str">
        <x:f>IF(OR($FA31="",$FB31=""),"",$FB31-$FA31)</x:f>
      </x:c>
      <x:c r="FD31" s="42" t="str">
        <x:f>IF(COUNT($EH31,$EI31,$EJ31)=0,"",AVERAGE($EH31,$EI31,$EJ31))</x:f>
      </x:c>
      <x:c r="FE31" s="42" t="str">
        <x:f>IF(COUNT($EL31,$EM31,$EN31)=0,"",AVERAGE($EL31,$EM31,$EN31))</x:f>
      </x:c>
      <x:c r="FF31" s="42" t="str">
        <x:f>IF(OR($FD31="",$FE31=""),"",$FE31-$FD31)</x:f>
      </x:c>
      <x:c r="FG31" s="24" t="str">
        <x:f>IF(COUNT($DF31,$DG31,$DH31,$DJ31,$DK31,$DL31,$DM31,$DN31,$DO31,$DQ31,$DR31,$DS31)=12,"Yes","No")</x:f>
        <x:v>No</x:v>
      </x:c>
      <x:c r="FH31" s="24" t="str">
        <x:f>IF(COUNT($EA31,$EB31,$EC31,$EE31,$EF31,$EG31,$EH31,$EI31,$EJ31,$EL31,$EM31,$EN31)=12,"Yes","No")</x:f>
        <x:v>No</x:v>
      </x:c>
      <x:c r="FI31" s="24" t="str">
        <x:f>IF(AND($M31="Include",OR($FG31="Yes",$FH31="Yes")),"Ready","Not ready")</x:f>
        <x:v>Not ready</x:v>
      </x:c>
    </x:row>
    <x:row r="32" ht="24" customHeight="1">
      <x:c r="A32" s="22" t="str">
        <x:v>TRT-0030</x:v>
      </x:c>
      <x:c r="B32" s="22" t="n">
        <x:v>41</x:v>
      </x:c>
      <x:c r="C32" s="22" t="str">
        <x:v>Candidate treatment group</x:v>
      </x:c>
      <x:c r="D32" s="22" t="n">
        <x:v>1</x:v>
      </x:c>
      <x:c r="E32" s="22" t="str">
        <x:v>DATA - Innovation driven deals.xlsx</x:v>
      </x:c>
      <x:c r="F32" s="22" t="str">
        <x:v>stada arzneimittel acquires sciotec diagnostic technologies for</x:v>
      </x:c>
      <x:c r="G32" s="22" t="str">
        <x:v>Yes</x:v>
      </x:c>
      <x:c r="H32" s="22" t="str">
        <x:v>No</x:v>
      </x:c>
      <x:c r="I32" s="22" t="str">
        <x:v>No</x:v>
      </x:c>
      <x:c r="J32" s="22" t="n">
        <x:v>1</x:v>
      </x:c>
      <x:c r="K32" s="22" t="str">
        <x:v>Not started</x:v>
      </x:c>
      <x:c r="L32" s="22" t="str">
        <x:v>Eligible - 100%</x:v>
      </x:c>
      <x:c r="M32" s="22" t="str">
        <x:v>Review</x:v>
      </x:c>
      <x:c r="N32" s="22" t="str"/>
      <x:c r="O32" s="28" t="n">
        <x:v>42242</x:v>
      </x:c>
      <x:c r="P32" s="28" t="n">
        <x:v>42242</x:v>
      </x:c>
      <x:c r="Q32" s="22" t="n">
        <x:v>2015</x:v>
      </x:c>
      <x:c r="R32" s="22" t="str">
        <x:v>Q3 2015</x:v>
      </x:c>
      <x:c r="S32" s="22" t="str">
        <x:v>Completed</x:v>
      </x:c>
      <x:c r="T32" s="26" t="str">
        <x:v>STADA Arzneimittel Acquires SCIOTEC Diagnostic Technologies for USD19.8 Million</x:v>
      </x:c>
      <x:c r="U32" s="22" t="str">
        <x:v>Mergers &amp; Acquisitions</x:v>
      </x:c>
      <x:c r="V32" s="22" t="str">
        <x:v>Acquisition</x:v>
      </x:c>
      <x:c r="W32" s="22" t="str">
        <x:v>100% Acquisition</x:v>
      </x:c>
      <x:c r="X32" s="22" t="str">
        <x:v>Austria</x:v>
      </x:c>
      <x:c r="Y32" s="22" t="str">
        <x:v>100% Acquisition</x:v>
      </x:c>
      <x:c r="Z32" s="26"/>
      <x:c r="AA32" s="26"/>
      <x:c r="AB32" s="22" t="str">
        <x:v>Stada Arzneimittel AG</x:v>
      </x:c>
      <x:c r="AC32" s="22" t="str">
        <x:v>stada arzneimittel</x:v>
      </x:c>
      <x:c r="AD32" s="22" t="str">
        <x:v>SCIOTEC Diagnostic Technologies GmbH</x:v>
      </x:c>
      <x:c r="AE32" s="22" t="str">
        <x:v>sciotec diagnostic technologies</x:v>
      </x:c>
      <x:c r="AF32" s="30" t="n">
        <x:v>20</x:v>
      </x:c>
      <x:c r="AG32" s="22" t="n">
        <x:v>20</x:v>
      </x:c>
      <x:c r="AH32" s="26" t="str">
        <x:v>STADA Arzneimittel AG, a pharmaceutical company, has acquired SCIOTEC Diagnostic Technologies GmbH, a company engaged in developing, manufactureing, and marketing diagnostic kits, health systems, nutritional supplements and cosmetics, from a number of private owners, a sales company as well as an investment company, for purchase consideration of EUR17.2 million (USD19.8 million) in cash.
The transaction includes acquisition of SCIOTEC Diagnostic Technologies' relevant sales structures, that is primarily focused on the development and marketing of prescription-free OTC products against enzymatic food intolerances (histamine, fructose and lactose intolerance) and take over of its 17 employees.
Sales expectations for the products acquired within the scope of the transaction for 2015 are approximately EUR5.8 million (USD6.68 million), whereby the current sales are, for the most part, generated in equal parts in Germany and Austria as well as about 20% internationally through distributors.
This transaction enables STADA Arzneimittel to expand its branded product activities into the area of food intolerances in order to position appropriately in the lucrative market with strong global growth.</x:v>
      </x:c>
      <x:c r="AI32" s="26" t="str">
        <x:v>This transaction enables STADA Arzneimittel to expand its branded product activities into the area of food intolerances in order to position appropriately in the lucrative market with strong global growth.</x:v>
      </x:c>
      <x:c r="AJ32" s="22" t="str"/>
      <x:c r="AK32" s="22" t="str"/>
      <x:c r="AL32" s="22" t="str">
        <x:v>Unknown</x:v>
      </x:c>
      <x:c r="AM32" s="22" t="str">
        <x:v>Unknown</x:v>
      </x:c>
      <x:c r="AN32" s="22" t="str"/>
      <x:c r="AO32" s="22" t="str"/>
      <x:c r="AP32" s="22" t="str"/>
      <x:c r="AQ32" s="22" t="str"/>
      <x:c r="AR32" s="22" t="str"/>
      <x:c r="AS32" s="22" t="str">
        <x:v>Stada Arzneimittel AG</x:v>
      </x:c>
      <x:c r="AT32" s="22" t="str">
        <x:v>SCIOTEC Diagnostic Technologies GmbH</x:v>
      </x:c>
      <x:c r="AU32" s="22" t="str">
        <x:v>Not reviewed</x:v>
      </x:c>
      <x:c r="AV32" s="22" t="str">
        <x:v>Not assessed</x:v>
      </x:c>
      <x:c r="AW32" s="22" t="str">
        <x:v>Unknown</x:v>
      </x:c>
      <x:c r="AX32" s="22" t="str">
        <x:v>Unknown</x:v>
      </x:c>
      <x:c r="AY32" s="22" t="str">
        <x:v>Unknown</x:v>
      </x:c>
      <x:c r="AZ32" s="22" t="str">
        <x:v>Unknown</x:v>
      </x:c>
      <x:c r="BA32" s="22" t="str">
        <x:v>Unknown</x:v>
      </x:c>
      <x:c r="BB32" s="22" t="str">
        <x:v>Unknown</x:v>
      </x:c>
      <x:c r="BC32" s="26" t="str"/>
      <x:c r="BD32" s="22" t="str"/>
      <x:c r="BE32" s="22" t="str"/>
      <x:c r="BF32" s="22" t="str">
        <x:v>Not collected</x:v>
      </x:c>
      <x:c r="BG32" s="22" t="str">
        <x:v>Not collected</x:v>
      </x:c>
      <x:c r="BH32" s="22" t="str">
        <x:v>Not defined</x:v>
      </x:c>
      <x:c r="BI32" s="22" t="n">
        <x:f>IF($Q32="","",$Q32-3)</x:f>
        <x:v>2012</x:v>
      </x:c>
      <x:c r="BJ32" s="22" t="n">
        <x:f>IF($Q32="","",$Q32-2)</x:f>
        <x:v>2013</x:v>
      </x:c>
      <x:c r="BK32" s="22" t="n">
        <x:f>IF($Q32="","",$Q32-1)</x:f>
        <x:v>2014</x:v>
      </x:c>
      <x:c r="BL32" s="22" t="n">
        <x:f>IF($Q32="","",$Q32+0)</x:f>
        <x:v>2015</x:v>
      </x:c>
      <x:c r="BM32" s="22" t="n">
        <x:f>IF($Q32="","",$Q32+1)</x:f>
        <x:v>2016</x:v>
      </x:c>
      <x:c r="BN32" s="22" t="n">
        <x:f>IF($Q32="","",$Q32+2)</x:f>
        <x:v>2017</x:v>
      </x:c>
      <x:c r="BO32" s="22" t="n">
        <x:f>IF($Q32="","",$Q32+3)</x:f>
        <x:v>2018</x:v>
      </x:c>
      <x:c r="BP32" s="30" t="str"/>
      <x:c r="BQ32" s="30" t="str"/>
      <x:c r="BR32" s="30" t="str"/>
      <x:c r="BS32" s="30" t="str"/>
      <x:c r="BT32" s="30" t="str"/>
      <x:c r="BU32" s="30" t="str"/>
      <x:c r="BV32" s="30" t="str"/>
      <x:c r="BW32" s="30" t="str"/>
      <x:c r="BX32" s="30" t="str"/>
      <x:c r="BY32" s="30" t="str"/>
      <x:c r="BZ32" s="30" t="str"/>
      <x:c r="CA32" s="30" t="str"/>
      <x:c r="CB32" s="30" t="str"/>
      <x:c r="CC32" s="30" t="str"/>
      <x:c r="CD32" s="30" t="str"/>
      <x:c r="CE32" s="30" t="str"/>
      <x:c r="CF32" s="30" t="str"/>
      <x:c r="CG32" s="30" t="str"/>
      <x:c r="CH32" s="30" t="str"/>
      <x:c r="CI32" s="30" t="str"/>
      <x:c r="CJ32" s="30" t="str"/>
      <x:c r="CK32" s="30" t="str"/>
      <x:c r="CL32" s="30" t="str"/>
      <x:c r="CM32" s="30" t="str"/>
      <x:c r="CN32" s="30" t="str"/>
      <x:c r="CO32" s="30" t="str"/>
      <x:c r="CP32" s="30" t="str"/>
      <x:c r="CQ32" s="30" t="str"/>
      <x:c r="CR32" s="30" t="str"/>
      <x:c r="CS32" s="30" t="str"/>
      <x:c r="CT32" s="30" t="str"/>
      <x:c r="CU32" s="30" t="str"/>
      <x:c r="CV32" s="30" t="str"/>
      <x:c r="CW32" s="30" t="str"/>
      <x:c r="CX32" s="30" t="str"/>
      <x:c r="CY32" s="30" t="str"/>
      <x:c r="CZ32" s="30" t="str"/>
      <x:c r="DA32" s="30" t="str"/>
      <x:c r="DB32" s="30" t="str"/>
      <x:c r="DC32" s="30" t="str"/>
      <x:c r="DD32" s="30" t="str"/>
      <x:c r="DE32" s="30" t="str"/>
      <x:c r="DF32" s="32" t="str"/>
      <x:c r="DG32" s="32" t="str"/>
      <x:c r="DH32" s="32" t="str"/>
      <x:c r="DI32" s="32" t="str"/>
      <x:c r="DJ32" s="32" t="str"/>
      <x:c r="DK32" s="32" t="str"/>
      <x:c r="DL32" s="32" t="str"/>
      <x:c r="DM32" s="32" t="str"/>
      <x:c r="DN32" s="32" t="str"/>
      <x:c r="DO32" s="32" t="str"/>
      <x:c r="DP32" s="32" t="str"/>
      <x:c r="DQ32" s="32" t="str"/>
      <x:c r="DR32" s="32" t="str"/>
      <x:c r="DS32" s="32" t="str"/>
      <x:c r="DT32" s="32" t="str"/>
      <x:c r="DU32" s="32" t="str"/>
      <x:c r="DV32" s="32" t="str"/>
      <x:c r="DW32" s="32" t="str"/>
      <x:c r="DX32" s="32" t="str"/>
      <x:c r="DY32" s="32" t="str"/>
      <x:c r="DZ32" s="32" t="str"/>
      <x:c r="EA32" s="34" t="str"/>
      <x:c r="EB32" s="34" t="str"/>
      <x:c r="EC32" s="34" t="str"/>
      <x:c r="ED32" s="34" t="str"/>
      <x:c r="EE32" s="34" t="str"/>
      <x:c r="EF32" s="34" t="str"/>
      <x:c r="EG32" s="34" t="str"/>
      <x:c r="EH32" s="34" t="str"/>
      <x:c r="EI32" s="34" t="str"/>
      <x:c r="EJ32" s="34" t="str"/>
      <x:c r="EK32" s="34" t="str"/>
      <x:c r="EL32" s="34" t="str"/>
      <x:c r="EM32" s="34" t="str"/>
      <x:c r="EN32" s="34" t="str"/>
      <x:c r="EO32" s="34" t="str"/>
      <x:c r="EP32" s="34" t="str"/>
      <x:c r="EQ32" s="36" t="str">
        <x:f>IF(OR($EO32="",$EP32="",$EO32=0),"",$EP32/$EO32)</x:f>
      </x:c>
      <x:c r="ER32" s="38" t="str"/>
      <x:c r="ES32" s="22" t="str">
        <x:v>Unknown</x:v>
      </x:c>
      <x:c r="ET32" s="22" t="str">
        <x:v>Unknown</x:v>
      </x:c>
      <x:c r="EU32" s="40" t="str">
        <x:f>IF(COUNT($DF32,$DG32,$DH32)=0,"",AVERAGE($DF32,$DG32,$DH32))</x:f>
      </x:c>
      <x:c r="EV32" s="40" t="str">
        <x:f>IF(COUNT($DJ32,$DK32,$DL32)=0,"",AVERAGE($DJ32,$DK32,$DL32))</x:f>
      </x:c>
      <x:c r="EW32" s="40" t="str">
        <x:f>IF(OR($EU32="",$EV32=""),"",$EV32-$EU32)</x:f>
      </x:c>
      <x:c r="EX32" s="40" t="str">
        <x:f>IF(COUNT($DM32,$DN32,$DO32)=0,"",AVERAGE($DM32,$DN32,$DO32))</x:f>
      </x:c>
      <x:c r="EY32" s="40" t="str">
        <x:f>IF(COUNT($DQ32,$DR32,$DS32)=0,"",AVERAGE($DQ32,$DR32,$DS32))</x:f>
      </x:c>
      <x:c r="EZ32" s="40" t="str">
        <x:f>IF(OR($EX32="",$EY32=""),"",$EY32-$EX32)</x:f>
      </x:c>
      <x:c r="FA32" s="42" t="str">
        <x:f>IF(COUNT($EA32,$EB32,$EC32)=0,"",AVERAGE($EA32,$EB32,$EC32))</x:f>
      </x:c>
      <x:c r="FB32" s="42" t="str">
        <x:f>IF(COUNT($EE32,$EF32,$EG32)=0,"",AVERAGE($EE32,$EF32,$EG32))</x:f>
      </x:c>
      <x:c r="FC32" s="42" t="str">
        <x:f>IF(OR($FA32="",$FB32=""),"",$FB32-$FA32)</x:f>
      </x:c>
      <x:c r="FD32" s="42" t="str">
        <x:f>IF(COUNT($EH32,$EI32,$EJ32)=0,"",AVERAGE($EH32,$EI32,$EJ32))</x:f>
      </x:c>
      <x:c r="FE32" s="42" t="str">
        <x:f>IF(COUNT($EL32,$EM32,$EN32)=0,"",AVERAGE($EL32,$EM32,$EN32))</x:f>
      </x:c>
      <x:c r="FF32" s="42" t="str">
        <x:f>IF(OR($FD32="",$FE32=""),"",$FE32-$FD32)</x:f>
      </x:c>
      <x:c r="FG32" s="24" t="str">
        <x:f>IF(COUNT($DF32,$DG32,$DH32,$DJ32,$DK32,$DL32,$DM32,$DN32,$DO32,$DQ32,$DR32,$DS32)=12,"Yes","No")</x:f>
        <x:v>No</x:v>
      </x:c>
      <x:c r="FH32" s="24" t="str">
        <x:f>IF(COUNT($EA32,$EB32,$EC32,$EE32,$EF32,$EG32,$EH32,$EI32,$EJ32,$EL32,$EM32,$EN32)=12,"Yes","No")</x:f>
        <x:v>No</x:v>
      </x:c>
      <x:c r="FI32" s="24" t="str">
        <x:f>IF(AND($M32="Include",OR($FG32="Yes",$FH32="Yes")),"Ready","Not ready")</x:f>
        <x:v>Not ready</x:v>
      </x:c>
    </x:row>
    <x:row r="33" ht="24" customHeight="1">
      <x:c r="A33" s="22" t="str">
        <x:v>TRT-0031</x:v>
      </x:c>
      <x:c r="B33" s="22" t="n">
        <x:v>42</x:v>
      </x:c>
      <x:c r="C33" s="22" t="str">
        <x:v>Candidate treatment group</x:v>
      </x:c>
      <x:c r="D33" s="22" t="n">
        <x:v>1</x:v>
      </x:c>
      <x:c r="E33" s="22" t="str">
        <x:v>DATA - Innovation driven deals.xlsx</x:v>
      </x:c>
      <x:c r="F33" s="22" t="str">
        <x:v>tigenix acquires coretherapix</x:v>
      </x:c>
      <x:c r="G33" s="22" t="str">
        <x:v>Yes</x:v>
      </x:c>
      <x:c r="H33" s="22" t="str">
        <x:v>No</x:v>
      </x:c>
      <x:c r="I33" s="22" t="str">
        <x:v>No</x:v>
      </x:c>
      <x:c r="J33" s="22" t="n">
        <x:v>1</x:v>
      </x:c>
      <x:c r="K33" s="22" t="str">
        <x:v>Not started</x:v>
      </x:c>
      <x:c r="L33" s="22" t="str">
        <x:v>Review - majority</x:v>
      </x:c>
      <x:c r="M33" s="22" t="str">
        <x:v>Review</x:v>
      </x:c>
      <x:c r="N33" s="22" t="str"/>
      <x:c r="O33" s="28" t="n">
        <x:v>42215</x:v>
      </x:c>
      <x:c r="P33" s="28" t="n">
        <x:v>42216</x:v>
      </x:c>
      <x:c r="Q33" s="22" t="n">
        <x:v>2015</x:v>
      </x:c>
      <x:c r="R33" s="22" t="str">
        <x:v>Q3 2015</x:v>
      </x:c>
      <x:c r="S33" s="22" t="str">
        <x:v>Completed</x:v>
      </x:c>
      <x:c r="T33" s="26" t="str">
        <x:v>TiGenix acquires Coretherapix</x:v>
      </x:c>
      <x:c r="U33" s="22" t="str">
        <x:v>Mergers &amp; Acquisitions</x:v>
      </x:c>
      <x:c r="V33" s="22" t="str">
        <x:v>Acquisition</x:v>
      </x:c>
      <x:c r="W33" s="22" t="str">
        <x:v>Majority Acquisition</x:v>
      </x:c>
      <x:c r="X33" s="22" t="str">
        <x:v>Spain</x:v>
      </x:c>
      <x:c r="Y33" s="22" t="str">
        <x:v>Majority Acquisition</x:v>
      </x:c>
      <x:c r="Z33" s="26"/>
      <x:c r="AA33" s="26"/>
      <x:c r="AB33" s="22" t="str">
        <x:v>TiGenix NV</x:v>
      </x:c>
      <x:c r="AC33" s="22" t="str">
        <x:v>tigenix</x:v>
      </x:c>
      <x:c r="AD33" s="22" t="str">
        <x:v>Coretherapix SLU</x:v>
      </x:c>
      <x:c r="AE33" s="22" t="str">
        <x:v>coretherapix slu</x:v>
      </x:c>
      <x:c r="AF33" s="30" t="n">
        <x:v>7</x:v>
      </x:c>
      <x:c r="AG33" s="22" t="n">
        <x:v>7</x:v>
      </x:c>
      <x:c r="AH33" s="26" t="str">
        <x:v>TiGenix N.V., a Belgium-based cell therapy company, has acquired Coretherapix S.L., a cardiology-focused cell therapy company, from Genetrix S.L., a biotechnology company. Coretherapix and Genetrix are based in Spain.
_x000d_Announcement (July 30, 2015):
_x000d_TiGenix has agreed to acquire Coretherapix from Genetrix.
_x000d_The consideration includes an upfront payment of approximately EUR1.2 million in cash and approximately EUR5.5 million in new TiGenix shares. Additionally, Genetrix may receive up to EUR15 million in new TiGenix shares depending on the results of the ongoing clinical trial of Coretherapix. 
_x000d_Based on and subject to future sales milestones, Genetrix may receive in addition up to EUR245 million plus certain percentages of the direct net sales of the first product, or certain percentages of any third party royalties and sales milestones for the first product. Sales milestones start when annual net sales reach EUR150 million and the last one will be payable once annual net sales are above EUR750 million. Also, Genetrix will receive a EUR25 million milestone payment per additional product reaching the market. The new shares to be issued on closing of the transaction will be subject to lock-up undertakings for up to 12 months, part of which will be gradually released from the lock-up over the 12-months period. 
_x000d_ The transaction is expected to be closed on July 31, 2015.</x:v>
      </x:c>
      <x:c r="AI33" s="26" t="str">
        <x:v>The acquisition will allow TiGenix to expand its pipeline into cardiology indications.</x:v>
      </x:c>
      <x:c r="AJ33" s="22" t="str"/>
      <x:c r="AK33" s="22" t="str"/>
      <x:c r="AL33" s="22" t="str">
        <x:v>Unknown</x:v>
      </x:c>
      <x:c r="AM33" s="22" t="str">
        <x:v>Unknown</x:v>
      </x:c>
      <x:c r="AN33" s="22" t="str"/>
      <x:c r="AO33" s="22" t="str"/>
      <x:c r="AP33" s="22" t="str"/>
      <x:c r="AQ33" s="22" t="str"/>
      <x:c r="AR33" s="22" t="str"/>
      <x:c r="AS33" s="22" t="str">
        <x:v>TiGenix NV</x:v>
      </x:c>
      <x:c r="AT33" s="22" t="str">
        <x:v>Coretherapix SLU</x:v>
      </x:c>
      <x:c r="AU33" s="22" t="str">
        <x:v>Not reviewed</x:v>
      </x:c>
      <x:c r="AV33" s="22" t="str">
        <x:v>Not assessed</x:v>
      </x:c>
      <x:c r="AW33" s="22" t="str">
        <x:v>Unknown</x:v>
      </x:c>
      <x:c r="AX33" s="22" t="str">
        <x:v>Unknown</x:v>
      </x:c>
      <x:c r="AY33" s="22" t="str">
        <x:v>Unknown</x:v>
      </x:c>
      <x:c r="AZ33" s="22" t="str">
        <x:v>Unknown</x:v>
      </x:c>
      <x:c r="BA33" s="22" t="str">
        <x:v>Unknown</x:v>
      </x:c>
      <x:c r="BB33" s="22" t="str">
        <x:v>Unknown</x:v>
      </x:c>
      <x:c r="BC33" s="26" t="str"/>
      <x:c r="BD33" s="22" t="str"/>
      <x:c r="BE33" s="22" t="str"/>
      <x:c r="BF33" s="22" t="str">
        <x:v>Not collected</x:v>
      </x:c>
      <x:c r="BG33" s="22" t="str">
        <x:v>Not collected</x:v>
      </x:c>
      <x:c r="BH33" s="22" t="str">
        <x:v>Not defined</x:v>
      </x:c>
      <x:c r="BI33" s="22" t="n">
        <x:f>IF($Q33="","",$Q33-3)</x:f>
        <x:v>2012</x:v>
      </x:c>
      <x:c r="BJ33" s="22" t="n">
        <x:f>IF($Q33="","",$Q33-2)</x:f>
        <x:v>2013</x:v>
      </x:c>
      <x:c r="BK33" s="22" t="n">
        <x:f>IF($Q33="","",$Q33-1)</x:f>
        <x:v>2014</x:v>
      </x:c>
      <x:c r="BL33" s="22" t="n">
        <x:f>IF($Q33="","",$Q33+0)</x:f>
        <x:v>2015</x:v>
      </x:c>
      <x:c r="BM33" s="22" t="n">
        <x:f>IF($Q33="","",$Q33+1)</x:f>
        <x:v>2016</x:v>
      </x:c>
      <x:c r="BN33" s="22" t="n">
        <x:f>IF($Q33="","",$Q33+2)</x:f>
        <x:v>2017</x:v>
      </x:c>
      <x:c r="BO33" s="22" t="n">
        <x:f>IF($Q33="","",$Q33+3)</x:f>
        <x:v>2018</x:v>
      </x:c>
      <x:c r="BP33" s="30" t="str"/>
      <x:c r="BQ33" s="30" t="str"/>
      <x:c r="BR33" s="30" t="str"/>
      <x:c r="BS33" s="30" t="str"/>
      <x:c r="BT33" s="30" t="str"/>
      <x:c r="BU33" s="30" t="str"/>
      <x:c r="BV33" s="30" t="str"/>
      <x:c r="BW33" s="30" t="str"/>
      <x:c r="BX33" s="30" t="str"/>
      <x:c r="BY33" s="30" t="str"/>
      <x:c r="BZ33" s="30" t="str"/>
      <x:c r="CA33" s="30" t="str"/>
      <x:c r="CB33" s="30" t="str"/>
      <x:c r="CC33" s="30" t="str"/>
      <x:c r="CD33" s="30" t="str"/>
      <x:c r="CE33" s="30" t="str"/>
      <x:c r="CF33" s="30" t="str"/>
      <x:c r="CG33" s="30" t="str"/>
      <x:c r="CH33" s="30" t="str"/>
      <x:c r="CI33" s="30" t="str"/>
      <x:c r="CJ33" s="30" t="str"/>
      <x:c r="CK33" s="30" t="str"/>
      <x:c r="CL33" s="30" t="str"/>
      <x:c r="CM33" s="30" t="str"/>
      <x:c r="CN33" s="30" t="str"/>
      <x:c r="CO33" s="30" t="str"/>
      <x:c r="CP33" s="30" t="str"/>
      <x:c r="CQ33" s="30" t="str"/>
      <x:c r="CR33" s="30" t="str"/>
      <x:c r="CS33" s="30" t="str"/>
      <x:c r="CT33" s="30" t="str"/>
      <x:c r="CU33" s="30" t="str"/>
      <x:c r="CV33" s="30" t="str"/>
      <x:c r="CW33" s="30" t="str"/>
      <x:c r="CX33" s="30" t="str"/>
      <x:c r="CY33" s="30" t="str"/>
      <x:c r="CZ33" s="30" t="str"/>
      <x:c r="DA33" s="30" t="str"/>
      <x:c r="DB33" s="30" t="str"/>
      <x:c r="DC33" s="30" t="str"/>
      <x:c r="DD33" s="30" t="str"/>
      <x:c r="DE33" s="30" t="str"/>
      <x:c r="DF33" s="32" t="str"/>
      <x:c r="DG33" s="32" t="str"/>
      <x:c r="DH33" s="32" t="str"/>
      <x:c r="DI33" s="32" t="str"/>
      <x:c r="DJ33" s="32" t="str"/>
      <x:c r="DK33" s="32" t="str"/>
      <x:c r="DL33" s="32" t="str"/>
      <x:c r="DM33" s="32" t="str"/>
      <x:c r="DN33" s="32" t="str"/>
      <x:c r="DO33" s="32" t="str"/>
      <x:c r="DP33" s="32" t="str"/>
      <x:c r="DQ33" s="32" t="str"/>
      <x:c r="DR33" s="32" t="str"/>
      <x:c r="DS33" s="32" t="str"/>
      <x:c r="DT33" s="32" t="str"/>
      <x:c r="DU33" s="32" t="str"/>
      <x:c r="DV33" s="32" t="str"/>
      <x:c r="DW33" s="32" t="str"/>
      <x:c r="DX33" s="32" t="str"/>
      <x:c r="DY33" s="32" t="str"/>
      <x:c r="DZ33" s="32" t="str"/>
      <x:c r="EA33" s="34" t="str"/>
      <x:c r="EB33" s="34" t="str"/>
      <x:c r="EC33" s="34" t="str"/>
      <x:c r="ED33" s="34" t="str"/>
      <x:c r="EE33" s="34" t="str"/>
      <x:c r="EF33" s="34" t="str"/>
      <x:c r="EG33" s="34" t="str"/>
      <x:c r="EH33" s="34" t="str"/>
      <x:c r="EI33" s="34" t="str"/>
      <x:c r="EJ33" s="34" t="str"/>
      <x:c r="EK33" s="34" t="str"/>
      <x:c r="EL33" s="34" t="str"/>
      <x:c r="EM33" s="34" t="str"/>
      <x:c r="EN33" s="34" t="str"/>
      <x:c r="EO33" s="34" t="str"/>
      <x:c r="EP33" s="34" t="str"/>
      <x:c r="EQ33" s="36" t="str">
        <x:f>IF(OR($EO33="",$EP33="",$EO33=0),"",$EP33/$EO33)</x:f>
      </x:c>
      <x:c r="ER33" s="38" t="str"/>
      <x:c r="ES33" s="22" t="str">
        <x:v>Unknown</x:v>
      </x:c>
      <x:c r="ET33" s="22" t="str">
        <x:v>Unknown</x:v>
      </x:c>
      <x:c r="EU33" s="40" t="str">
        <x:f>IF(COUNT($DF33,$DG33,$DH33)=0,"",AVERAGE($DF33,$DG33,$DH33))</x:f>
      </x:c>
      <x:c r="EV33" s="40" t="str">
        <x:f>IF(COUNT($DJ33,$DK33,$DL33)=0,"",AVERAGE($DJ33,$DK33,$DL33))</x:f>
      </x:c>
      <x:c r="EW33" s="40" t="str">
        <x:f>IF(OR($EU33="",$EV33=""),"",$EV33-$EU33)</x:f>
      </x:c>
      <x:c r="EX33" s="40" t="str">
        <x:f>IF(COUNT($DM33,$DN33,$DO33)=0,"",AVERAGE($DM33,$DN33,$DO33))</x:f>
      </x:c>
      <x:c r="EY33" s="40" t="str">
        <x:f>IF(COUNT($DQ33,$DR33,$DS33)=0,"",AVERAGE($DQ33,$DR33,$DS33))</x:f>
      </x:c>
      <x:c r="EZ33" s="40" t="str">
        <x:f>IF(OR($EX33="",$EY33=""),"",$EY33-$EX33)</x:f>
      </x:c>
      <x:c r="FA33" s="42" t="str">
        <x:f>IF(COUNT($EA33,$EB33,$EC33)=0,"",AVERAGE($EA33,$EB33,$EC33))</x:f>
      </x:c>
      <x:c r="FB33" s="42" t="str">
        <x:f>IF(COUNT($EE33,$EF33,$EG33)=0,"",AVERAGE($EE33,$EF33,$EG33))</x:f>
      </x:c>
      <x:c r="FC33" s="42" t="str">
        <x:f>IF(OR($FA33="",$FB33=""),"",$FB33-$FA33)</x:f>
      </x:c>
      <x:c r="FD33" s="42" t="str">
        <x:f>IF(COUNT($EH33,$EI33,$EJ33)=0,"",AVERAGE($EH33,$EI33,$EJ33))</x:f>
      </x:c>
      <x:c r="FE33" s="42" t="str">
        <x:f>IF(COUNT($EL33,$EM33,$EN33)=0,"",AVERAGE($EL33,$EM33,$EN33))</x:f>
      </x:c>
      <x:c r="FF33" s="42" t="str">
        <x:f>IF(OR($FD33="",$FE33=""),"",$FE33-$FD33)</x:f>
      </x:c>
      <x:c r="FG33" s="24" t="str">
        <x:f>IF(COUNT($DF33,$DG33,$DH33,$DJ33,$DK33,$DL33,$DM33,$DN33,$DO33,$DQ33,$DR33,$DS33)=12,"Yes","No")</x:f>
        <x:v>No</x:v>
      </x:c>
      <x:c r="FH33" s="24" t="str">
        <x:f>IF(COUNT($EA33,$EB33,$EC33,$EE33,$EF33,$EG33,$EH33,$EI33,$EJ33,$EL33,$EM33,$EN33)=12,"Yes","No")</x:f>
        <x:v>No</x:v>
      </x:c>
      <x:c r="FI33" s="24" t="str">
        <x:f>IF(AND($M33="Include",OR($FG33="Yes",$FH33="Yes")),"Ready","Not ready")</x:f>
        <x:v>Not ready</x:v>
      </x:c>
    </x:row>
    <x:row r="34" ht="24" customHeight="1">
      <x:c r="A34" s="22" t="str">
        <x:v>TRT-0032</x:v>
      </x:c>
      <x:c r="B34" s="22" t="n">
        <x:v>43</x:v>
      </x:c>
      <x:c r="C34" s="22" t="str">
        <x:v>Candidate treatment group</x:v>
      </x:c>
      <x:c r="D34" s="22" t="n">
        <x:v>1</x:v>
      </x:c>
      <x:c r="E34" s="22" t="str">
        <x:v>DATA - Innovation driven deals.xlsx</x:v>
      </x:c>
      <x:c r="F34" s="22" t="str">
        <x:v>auspex pharma acquires imphar</x:v>
      </x:c>
      <x:c r="G34" s="22" t="str">
        <x:v>Yes</x:v>
      </x:c>
      <x:c r="H34" s="22" t="str">
        <x:v>No</x:v>
      </x:c>
      <x:c r="I34" s="22" t="str">
        <x:v>No</x:v>
      </x:c>
      <x:c r="J34" s="22" t="n">
        <x:v>1</x:v>
      </x:c>
      <x:c r="K34" s="22" t="str">
        <x:v>Not started</x:v>
      </x:c>
      <x:c r="L34" s="22" t="str">
        <x:v>Eligible - 100%</x:v>
      </x:c>
      <x:c r="M34" s="22" t="str">
        <x:v>Review</x:v>
      </x:c>
      <x:c r="N34" s="22" t="str"/>
      <x:c r="O34" s="28" t="n">
        <x:v>42015</x:v>
      </x:c>
      <x:c r="P34" s="28" t="n">
        <x:v>42369</x:v>
      </x:c>
      <x:c r="Q34" s="22" t="n">
        <x:v>2015</x:v>
      </x:c>
      <x:c r="R34" s="22" t="str">
        <x:v>Q1 2015</x:v>
      </x:c>
      <x:c r="S34" s="22" t="str">
        <x:v>Completed</x:v>
      </x:c>
      <x:c r="T34" s="26" t="str">
        <x:v>Auspex Pharma Acquires Imphar</x:v>
      </x:c>
      <x:c r="U34" s="22" t="str">
        <x:v>Mergers &amp; Acquisitions</x:v>
      </x:c>
      <x:c r="V34" s="22" t="str">
        <x:v>Acquisition</x:v>
      </x:c>
      <x:c r="W34" s="22" t="str">
        <x:v>100% Acquisition</x:v>
      </x:c>
      <x:c r="X34" s="22" t="str">
        <x:v>Germany</x:v>
      </x:c>
      <x:c r="Y34" s="22" t="str">
        <x:v>100% Acquisition</x:v>
      </x:c>
      <x:c r="Z34" s="26"/>
      <x:c r="AA34" s="26"/>
      <x:c r="AB34" s="22" t="str">
        <x:v>Auspex Pharmaceuticals Inc</x:v>
      </x:c>
      <x:c r="AC34" s="22" t="str">
        <x:v>auspex pharmaceuticals</x:v>
      </x:c>
      <x:c r="AD34" s="22" t="str">
        <x:v>imphar AG</x:v>
      </x:c>
      <x:c r="AE34" s="22" t="str">
        <x:v>imphar</x:v>
      </x:c>
      <x:c r="AF34" s="30"/>
      <x:c r="AG34" s="22" t="str">
        <x:v>n/a</x:v>
      </x:c>
      <x:c r="AH34" s="26" t="str">
        <x:v>Auspex Pharmaceuticals, Inc., a biopharmaceutical company, has acquired Imphar AG, a drug development company. Through the acquisition, Auspex Pharma acquired the remaining rights to SD-1077, and related intellectual property rights. 
Earlier, In July 2014, Auspex Pharma entered into an agreement with Imphar, to further develop SD-1077, a deuterium containing levodopa. At the time the agreement, Auspex Pharma determined that it held a variable interest in the development partner’s intellectual property assets and the related potential future product candidates these assets may produce.
This transaction enables Auspex Pharma to accelerate SD-1077 clinical development for the patients living with Parkinson's disease around the world.
Deal History:
Announced: On January 11, 2015, Auspex Pharma agreed to acquire Imphar.</x:v>
      </x:c>
      <x:c r="AI34" s="26" t="str">
        <x:v>This transaction enables Auspex Pharma to accelerate SD-1077 clinical development for the patients living with Parkinson's disease around the world.</x:v>
      </x:c>
      <x:c r="AJ34" s="22" t="str"/>
      <x:c r="AK34" s="22" t="str"/>
      <x:c r="AL34" s="22" t="str">
        <x:v>Unknown</x:v>
      </x:c>
      <x:c r="AM34" s="22" t="str">
        <x:v>Unknown</x:v>
      </x:c>
      <x:c r="AN34" s="22" t="str"/>
      <x:c r="AO34" s="22" t="str"/>
      <x:c r="AP34" s="22" t="str"/>
      <x:c r="AQ34" s="22" t="str"/>
      <x:c r="AR34" s="22" t="str"/>
      <x:c r="AS34" s="22" t="str">
        <x:v>Auspex Pharmaceuticals Inc</x:v>
      </x:c>
      <x:c r="AT34" s="22" t="str">
        <x:v>imphar AG</x:v>
      </x:c>
      <x:c r="AU34" s="22" t="str">
        <x:v>Not reviewed</x:v>
      </x:c>
      <x:c r="AV34" s="22" t="str">
        <x:v>Not assessed</x:v>
      </x:c>
      <x:c r="AW34" s="22" t="str">
        <x:v>Unknown</x:v>
      </x:c>
      <x:c r="AX34" s="22" t="str">
        <x:v>Unknown</x:v>
      </x:c>
      <x:c r="AY34" s="22" t="str">
        <x:v>Unknown</x:v>
      </x:c>
      <x:c r="AZ34" s="22" t="str">
        <x:v>Unknown</x:v>
      </x:c>
      <x:c r="BA34" s="22" t="str">
        <x:v>Unknown</x:v>
      </x:c>
      <x:c r="BB34" s="22" t="str">
        <x:v>Unknown</x:v>
      </x:c>
      <x:c r="BC34" s="26" t="str"/>
      <x:c r="BD34" s="22" t="str"/>
      <x:c r="BE34" s="22" t="str"/>
      <x:c r="BF34" s="22" t="str">
        <x:v>Not collected</x:v>
      </x:c>
      <x:c r="BG34" s="22" t="str">
        <x:v>Not collected</x:v>
      </x:c>
      <x:c r="BH34" s="22" t="str">
        <x:v>Not defined</x:v>
      </x:c>
      <x:c r="BI34" s="22" t="n">
        <x:f>IF($Q34="","",$Q34-3)</x:f>
        <x:v>2012</x:v>
      </x:c>
      <x:c r="BJ34" s="22" t="n">
        <x:f>IF($Q34="","",$Q34-2)</x:f>
        <x:v>2013</x:v>
      </x:c>
      <x:c r="BK34" s="22" t="n">
        <x:f>IF($Q34="","",$Q34-1)</x:f>
        <x:v>2014</x:v>
      </x:c>
      <x:c r="BL34" s="22" t="n">
        <x:f>IF($Q34="","",$Q34+0)</x:f>
        <x:v>2015</x:v>
      </x:c>
      <x:c r="BM34" s="22" t="n">
        <x:f>IF($Q34="","",$Q34+1)</x:f>
        <x:v>2016</x:v>
      </x:c>
      <x:c r="BN34" s="22" t="n">
        <x:f>IF($Q34="","",$Q34+2)</x:f>
        <x:v>2017</x:v>
      </x:c>
      <x:c r="BO34" s="22" t="n">
        <x:f>IF($Q34="","",$Q34+3)</x:f>
        <x:v>2018</x:v>
      </x:c>
      <x:c r="BP34" s="30" t="str"/>
      <x:c r="BQ34" s="30" t="str"/>
      <x:c r="BR34" s="30" t="str"/>
      <x:c r="BS34" s="30" t="str"/>
      <x:c r="BT34" s="30" t="str"/>
      <x:c r="BU34" s="30" t="str"/>
      <x:c r="BV34" s="30" t="str"/>
      <x:c r="BW34" s="30" t="str"/>
      <x:c r="BX34" s="30" t="str"/>
      <x:c r="BY34" s="30" t="str"/>
      <x:c r="BZ34" s="30" t="str"/>
      <x:c r="CA34" s="30" t="str"/>
      <x:c r="CB34" s="30" t="str"/>
      <x:c r="CC34" s="30" t="str"/>
      <x:c r="CD34" s="30" t="str"/>
      <x:c r="CE34" s="30" t="str"/>
      <x:c r="CF34" s="30" t="str"/>
      <x:c r="CG34" s="30" t="str"/>
      <x:c r="CH34" s="30" t="str"/>
      <x:c r="CI34" s="30" t="str"/>
      <x:c r="CJ34" s="30" t="str"/>
      <x:c r="CK34" s="30" t="str"/>
      <x:c r="CL34" s="30" t="str"/>
      <x:c r="CM34" s="30" t="str"/>
      <x:c r="CN34" s="30" t="str"/>
      <x:c r="CO34" s="30" t="str"/>
      <x:c r="CP34" s="30" t="str"/>
      <x:c r="CQ34" s="30" t="str"/>
      <x:c r="CR34" s="30" t="str"/>
      <x:c r="CS34" s="30" t="str"/>
      <x:c r="CT34" s="30" t="str"/>
      <x:c r="CU34" s="30" t="str"/>
      <x:c r="CV34" s="30" t="str"/>
      <x:c r="CW34" s="30" t="str"/>
      <x:c r="CX34" s="30" t="str"/>
      <x:c r="CY34" s="30" t="str"/>
      <x:c r="CZ34" s="30" t="str"/>
      <x:c r="DA34" s="30" t="str"/>
      <x:c r="DB34" s="30" t="str"/>
      <x:c r="DC34" s="30" t="str"/>
      <x:c r="DD34" s="30" t="str"/>
      <x:c r="DE34" s="30" t="str"/>
      <x:c r="DF34" s="32" t="str"/>
      <x:c r="DG34" s="32" t="str"/>
      <x:c r="DH34" s="32" t="str"/>
      <x:c r="DI34" s="32" t="str"/>
      <x:c r="DJ34" s="32" t="str"/>
      <x:c r="DK34" s="32" t="str"/>
      <x:c r="DL34" s="32" t="str"/>
      <x:c r="DM34" s="32" t="str"/>
      <x:c r="DN34" s="32" t="str"/>
      <x:c r="DO34" s="32" t="str"/>
      <x:c r="DP34" s="32" t="str"/>
      <x:c r="DQ34" s="32" t="str"/>
      <x:c r="DR34" s="32" t="str"/>
      <x:c r="DS34" s="32" t="str"/>
      <x:c r="DT34" s="32" t="str"/>
      <x:c r="DU34" s="32" t="str"/>
      <x:c r="DV34" s="32" t="str"/>
      <x:c r="DW34" s="32" t="str"/>
      <x:c r="DX34" s="32" t="str"/>
      <x:c r="DY34" s="32" t="str"/>
      <x:c r="DZ34" s="32" t="str"/>
      <x:c r="EA34" s="34" t="str"/>
      <x:c r="EB34" s="34" t="str"/>
      <x:c r="EC34" s="34" t="str"/>
      <x:c r="ED34" s="34" t="str"/>
      <x:c r="EE34" s="34" t="str"/>
      <x:c r="EF34" s="34" t="str"/>
      <x:c r="EG34" s="34" t="str"/>
      <x:c r="EH34" s="34" t="str"/>
      <x:c r="EI34" s="34" t="str"/>
      <x:c r="EJ34" s="34" t="str"/>
      <x:c r="EK34" s="34" t="str"/>
      <x:c r="EL34" s="34" t="str"/>
      <x:c r="EM34" s="34" t="str"/>
      <x:c r="EN34" s="34" t="str"/>
      <x:c r="EO34" s="34" t="str"/>
      <x:c r="EP34" s="34" t="str"/>
      <x:c r="EQ34" s="36" t="str">
        <x:f>IF(OR($EO34="",$EP34="",$EO34=0),"",$EP34/$EO34)</x:f>
      </x:c>
      <x:c r="ER34" s="38" t="str"/>
      <x:c r="ES34" s="22" t="str">
        <x:v>Unknown</x:v>
      </x:c>
      <x:c r="ET34" s="22" t="str">
        <x:v>Unknown</x:v>
      </x:c>
      <x:c r="EU34" s="40" t="str">
        <x:f>IF(COUNT($DF34,$DG34,$DH34)=0,"",AVERAGE($DF34,$DG34,$DH34))</x:f>
      </x:c>
      <x:c r="EV34" s="40" t="str">
        <x:f>IF(COUNT($DJ34,$DK34,$DL34)=0,"",AVERAGE($DJ34,$DK34,$DL34))</x:f>
      </x:c>
      <x:c r="EW34" s="40" t="str">
        <x:f>IF(OR($EU34="",$EV34=""),"",$EV34-$EU34)</x:f>
      </x:c>
      <x:c r="EX34" s="40" t="str">
        <x:f>IF(COUNT($DM34,$DN34,$DO34)=0,"",AVERAGE($DM34,$DN34,$DO34))</x:f>
      </x:c>
      <x:c r="EY34" s="40" t="str">
        <x:f>IF(COUNT($DQ34,$DR34,$DS34)=0,"",AVERAGE($DQ34,$DR34,$DS34))</x:f>
      </x:c>
      <x:c r="EZ34" s="40" t="str">
        <x:f>IF(OR($EX34="",$EY34=""),"",$EY34-$EX34)</x:f>
      </x:c>
      <x:c r="FA34" s="42" t="str">
        <x:f>IF(COUNT($EA34,$EB34,$EC34)=0,"",AVERAGE($EA34,$EB34,$EC34))</x:f>
      </x:c>
      <x:c r="FB34" s="42" t="str">
        <x:f>IF(COUNT($EE34,$EF34,$EG34)=0,"",AVERAGE($EE34,$EF34,$EG34))</x:f>
      </x:c>
      <x:c r="FC34" s="42" t="str">
        <x:f>IF(OR($FA34="",$FB34=""),"",$FB34-$FA34)</x:f>
      </x:c>
      <x:c r="FD34" s="42" t="str">
        <x:f>IF(COUNT($EH34,$EI34,$EJ34)=0,"",AVERAGE($EH34,$EI34,$EJ34))</x:f>
      </x:c>
      <x:c r="FE34" s="42" t="str">
        <x:f>IF(COUNT($EL34,$EM34,$EN34)=0,"",AVERAGE($EL34,$EM34,$EN34))</x:f>
      </x:c>
      <x:c r="FF34" s="42" t="str">
        <x:f>IF(OR($FD34="",$FE34=""),"",$FE34-$FD34)</x:f>
      </x:c>
      <x:c r="FG34" s="24" t="str">
        <x:f>IF(COUNT($DF34,$DG34,$DH34,$DJ34,$DK34,$DL34,$DM34,$DN34,$DO34,$DQ34,$DR34,$DS34)=12,"Yes","No")</x:f>
        <x:v>No</x:v>
      </x:c>
      <x:c r="FH34" s="24" t="str">
        <x:f>IF(COUNT($EA34,$EB34,$EC34,$EE34,$EF34,$EG34,$EH34,$EI34,$EJ34,$EL34,$EM34,$EN34)=12,"Yes","No")</x:f>
        <x:v>No</x:v>
      </x:c>
      <x:c r="FI34" s="24" t="str">
        <x:f>IF(AND($M34="Include",OR($FG34="Yes",$FH34="Yes")),"Ready","Not ready")</x:f>
        <x:v>Not ready</x:v>
      </x:c>
    </x:row>
    <x:row r="35" ht="24" customHeight="1">
      <x:c r="A35" s="22" t="str">
        <x:v>TRT-0033</x:v>
      </x:c>
      <x:c r="B35" s="22" t="n">
        <x:v>44</x:v>
      </x:c>
      <x:c r="C35" s="22" t="str">
        <x:v>Candidate treatment group</x:v>
      </x:c>
      <x:c r="D35" s="22" t="n">
        <x:v>1</x:v>
      </x:c>
      <x:c r="E35" s="22" t="str">
        <x:v>DATA - Innovation driven deals.xlsx</x:v>
      </x:c>
      <x:c r="F35" s="22" t="str">
        <x:v>cadila pharma sweden acquires biochromix newco</x:v>
      </x:c>
      <x:c r="G35" s="22" t="str">
        <x:v>Yes</x:v>
      </x:c>
      <x:c r="H35" s="22" t="str">
        <x:v>No</x:v>
      </x:c>
      <x:c r="I35" s="22" t="str">
        <x:v>No</x:v>
      </x:c>
      <x:c r="J35" s="22" t="n">
        <x:v>1</x:v>
      </x:c>
      <x:c r="K35" s="22" t="str">
        <x:v>Not started</x:v>
      </x:c>
      <x:c r="L35" s="22" t="str">
        <x:v>Eligible - 100%</x:v>
      </x:c>
      <x:c r="M35" s="22" t="str">
        <x:v>Review</x:v>
      </x:c>
      <x:c r="N35" s="22" t="str"/>
      <x:c r="O35" s="28" t="n">
        <x:v>41914</x:v>
      </x:c>
      <x:c r="P35" s="28" t="n">
        <x:v>41914</x:v>
      </x:c>
      <x:c r="Q35" s="22" t="n">
        <x:v>2014</x:v>
      </x:c>
      <x:c r="R35" s="22" t="str">
        <x:v>Q4 2014</x:v>
      </x:c>
      <x:c r="S35" s="22" t="str">
        <x:v>Completed</x:v>
      </x:c>
      <x:c r="T35" s="26" t="str">
        <x:v>Cadila Pharma Sweden Acquires BioChromix NewCo</x:v>
      </x:c>
      <x:c r="U35" s="22" t="str">
        <x:v>Mergers &amp; Acquisitions</x:v>
      </x:c>
      <x:c r="V35" s="22" t="str">
        <x:v>Acquisition</x:v>
      </x:c>
      <x:c r="W35" s="22" t="str">
        <x:v>100% Acquisition</x:v>
      </x:c>
      <x:c r="X35" s="22" t="str">
        <x:v>Sweden</x:v>
      </x:c>
      <x:c r="Y35" s="22" t="str">
        <x:v>100% Acquisition</x:v>
      </x:c>
      <x:c r="Z35" s="26"/>
      <x:c r="AA35" s="26"/>
      <x:c r="AB35" s="22" t="str">
        <x:v>Cadila Pharmaceuticals Sweden AB</x:v>
      </x:c>
      <x:c r="AC35" s="22" t="str">
        <x:v>cadila pharmaceuticals sweden ab</x:v>
      </x:c>
      <x:c r="AD35" s="22" t="str">
        <x:v>BioChromix NewCo AB</x:v>
      </x:c>
      <x:c r="AE35" s="22" t="str">
        <x:v>biochromix newco ab</x:v>
      </x:c>
      <x:c r="AF35" s="30"/>
      <x:c r="AG35" s="22" t="str">
        <x:v>n/a</x:v>
      </x:c>
      <x:c r="AH35" s="26" t="str">
        <x:v>Cadila Pharmaceuticals Ltd, an India-based leading research-driven pharmaceutical companies, has announced the acquisition of Swedish BioChromix NewCo AB through its subsidiary Cadila Pharmaceuticals Sverige AB. The subsidiary has recently been established to investigate and facilitate business interactions between Cadila Pharmaceuticals Ltd and potential collaborators, academic groups, etc.
BioChromix NewCo AB develops new and innovative treatments against diseases involving misfolded proteins, which are believed to be central in the development of certain neurodegenerative diseases. BioChromix NewCo's unique substance class is believed to selectively bind to, neutralize and eliminate soluble, toxic protein oligomers, protofibrils and soluble aggregates that are believed to contribute to the neurodegenerative process in several diseases that affect the nervous system.
Cadila Pharmaceuticals will continue the preclinical and clinical development of the drug candidates developed by BioChromix NewCo. According to the agreement, development is to be based on milestones and will be carried out at Cadila Pharmaceuticals' state-of-the-art research facility in Ahmedabad, India. Cadila Pharmaceuticals Ltd. has all the resources necessary to take the project to the clinical phase and on to the market.
"The acquisition makes it possible to take the project, which was previously carried out by BioChromix NewCo, forward with significant resources. Cadila's expertise in drug development, together with BioChromix NewCo's scientific know-how in its field, provides an excellent platform for the further development of these unique drug candidates Provided that the development is successful, opportunities are created to enter into valuable commercial agreements in important geographic markets such as the USA and Europe," says Dr. Peter Åsberg, outgoing CEO of BioChromix NewCo under the proposed name change to CPL BCX PHARMA AB.
"There is a lot of promising research going on around the world, especially in Europe, which complements our research portfolio in pharmaceuticals. The acquisition of BioChromix NewCo, through our Swedish subsidiary, is a step towards establishing new domestic solutions at our own high-class facility for the treatment of neurodegenerative diseases. This is an area of ??therapy that is of great importance to us," comments Dr. Rajiv I. Modi, Chairman and CEO of Cadila Pharmaceuticals.
"Going from the discovery electronic polymers interact with misfolded proteins in the university laboratory to medical innovation is a long step. The intellectual capital found in BioChromix NewCo was created through the transfer of university projects to the small development companies BioChromix AB and BioChromix Pharma AB. Cadila Pharmaceuticals' acquisition of BioChromix NewCo means that this knowledge is now transferred to an organization that can take the project to the clinic. I hope that it will ultimately lead to new treatments that can slow the progression of the disease and create a future benefit for patients suffering from these neurodegenerative diseases," says Olle Inganäs , one of the founders of BioChromix NewCo and professor at Linköping University.
Formerly BioChromix AB is part of UIC Alumni and has received advanced business development support through UIC's program UIC Business Accelerator .</x:v>
      </x:c>
      <x:c r="AI35" s="26" t="str">
        <x:v>The acquisition of BioChromix NewCo, through Cadila's Swedish subsidiary, is a step towards establishing new domestic solutions at Cadila's own high-class facility for the treatment of neurodegenerative diseases.</x:v>
      </x:c>
      <x:c r="AJ35" s="22" t="str"/>
      <x:c r="AK35" s="22" t="str"/>
      <x:c r="AL35" s="22" t="str">
        <x:v>Unknown</x:v>
      </x:c>
      <x:c r="AM35" s="22" t="str">
        <x:v>Unknown</x:v>
      </x:c>
      <x:c r="AN35" s="22" t="str"/>
      <x:c r="AO35" s="22" t="str"/>
      <x:c r="AP35" s="22" t="str"/>
      <x:c r="AQ35" s="22" t="str"/>
      <x:c r="AR35" s="22" t="str"/>
      <x:c r="AS35" s="22" t="str">
        <x:v>Cadila Pharmaceuticals Sweden AB</x:v>
      </x:c>
      <x:c r="AT35" s="22" t="str">
        <x:v>BioChromix NewCo AB</x:v>
      </x:c>
      <x:c r="AU35" s="22" t="str">
        <x:v>Not reviewed</x:v>
      </x:c>
      <x:c r="AV35" s="22" t="str">
        <x:v>Not assessed</x:v>
      </x:c>
      <x:c r="AW35" s="22" t="str">
        <x:v>Unknown</x:v>
      </x:c>
      <x:c r="AX35" s="22" t="str">
        <x:v>Unknown</x:v>
      </x:c>
      <x:c r="AY35" s="22" t="str">
        <x:v>Unknown</x:v>
      </x:c>
      <x:c r="AZ35" s="22" t="str">
        <x:v>Unknown</x:v>
      </x:c>
      <x:c r="BA35" s="22" t="str">
        <x:v>Unknown</x:v>
      </x:c>
      <x:c r="BB35" s="22" t="str">
        <x:v>Unknown</x:v>
      </x:c>
      <x:c r="BC35" s="26" t="str"/>
      <x:c r="BD35" s="22" t="str"/>
      <x:c r="BE35" s="22" t="str"/>
      <x:c r="BF35" s="22" t="str">
        <x:v>Not collected</x:v>
      </x:c>
      <x:c r="BG35" s="22" t="str">
        <x:v>Not collected</x:v>
      </x:c>
      <x:c r="BH35" s="22" t="str">
        <x:v>Not defined</x:v>
      </x:c>
      <x:c r="BI35" s="22" t="n">
        <x:f>IF($Q35="","",$Q35-3)</x:f>
        <x:v>2011</x:v>
      </x:c>
      <x:c r="BJ35" s="22" t="n">
        <x:f>IF($Q35="","",$Q35-2)</x:f>
        <x:v>2012</x:v>
      </x:c>
      <x:c r="BK35" s="22" t="n">
        <x:f>IF($Q35="","",$Q35-1)</x:f>
        <x:v>2013</x:v>
      </x:c>
      <x:c r="BL35" s="22" t="n">
        <x:f>IF($Q35="","",$Q35+0)</x:f>
        <x:v>2014</x:v>
      </x:c>
      <x:c r="BM35" s="22" t="n">
        <x:f>IF($Q35="","",$Q35+1)</x:f>
        <x:v>2015</x:v>
      </x:c>
      <x:c r="BN35" s="22" t="n">
        <x:f>IF($Q35="","",$Q35+2)</x:f>
        <x:v>2016</x:v>
      </x:c>
      <x:c r="BO35" s="22" t="n">
        <x:f>IF($Q35="","",$Q35+3)</x:f>
        <x:v>2017</x:v>
      </x:c>
      <x:c r="BP35" s="30" t="str"/>
      <x:c r="BQ35" s="30" t="str"/>
      <x:c r="BR35" s="30" t="str"/>
      <x:c r="BS35" s="30" t="str"/>
      <x:c r="BT35" s="30" t="str"/>
      <x:c r="BU35" s="30" t="str"/>
      <x:c r="BV35" s="30" t="str"/>
      <x:c r="BW35" s="30" t="str"/>
      <x:c r="BX35" s="30" t="str"/>
      <x:c r="BY35" s="30" t="str"/>
      <x:c r="BZ35" s="30" t="str"/>
      <x:c r="CA35" s="30" t="str"/>
      <x:c r="CB35" s="30" t="str"/>
      <x:c r="CC35" s="30" t="str"/>
      <x:c r="CD35" s="30" t="str"/>
      <x:c r="CE35" s="30" t="str"/>
      <x:c r="CF35" s="30" t="str"/>
      <x:c r="CG35" s="30" t="str"/>
      <x:c r="CH35" s="30" t="str"/>
      <x:c r="CI35" s="30" t="str"/>
      <x:c r="CJ35" s="30" t="str"/>
      <x:c r="CK35" s="30" t="str"/>
      <x:c r="CL35" s="30" t="str"/>
      <x:c r="CM35" s="30" t="str"/>
      <x:c r="CN35" s="30" t="str"/>
      <x:c r="CO35" s="30" t="str"/>
      <x:c r="CP35" s="30" t="str"/>
      <x:c r="CQ35" s="30" t="str"/>
      <x:c r="CR35" s="30" t="str"/>
      <x:c r="CS35" s="30" t="str"/>
      <x:c r="CT35" s="30" t="str"/>
      <x:c r="CU35" s="30" t="str"/>
      <x:c r="CV35" s="30" t="str"/>
      <x:c r="CW35" s="30" t="str"/>
      <x:c r="CX35" s="30" t="str"/>
      <x:c r="CY35" s="30" t="str"/>
      <x:c r="CZ35" s="30" t="str"/>
      <x:c r="DA35" s="30" t="str"/>
      <x:c r="DB35" s="30" t="str"/>
      <x:c r="DC35" s="30" t="str"/>
      <x:c r="DD35" s="30" t="str"/>
      <x:c r="DE35" s="30" t="str"/>
      <x:c r="DF35" s="32" t="str"/>
      <x:c r="DG35" s="32" t="str"/>
      <x:c r="DH35" s="32" t="str"/>
      <x:c r="DI35" s="32" t="str"/>
      <x:c r="DJ35" s="32" t="str"/>
      <x:c r="DK35" s="32" t="str"/>
      <x:c r="DL35" s="32" t="str"/>
      <x:c r="DM35" s="32" t="str"/>
      <x:c r="DN35" s="32" t="str"/>
      <x:c r="DO35" s="32" t="str"/>
      <x:c r="DP35" s="32" t="str"/>
      <x:c r="DQ35" s="32" t="str"/>
      <x:c r="DR35" s="32" t="str"/>
      <x:c r="DS35" s="32" t="str"/>
      <x:c r="DT35" s="32" t="str"/>
      <x:c r="DU35" s="32" t="str"/>
      <x:c r="DV35" s="32" t="str"/>
      <x:c r="DW35" s="32" t="str"/>
      <x:c r="DX35" s="32" t="str"/>
      <x:c r="DY35" s="32" t="str"/>
      <x:c r="DZ35" s="32" t="str"/>
      <x:c r="EA35" s="34" t="str"/>
      <x:c r="EB35" s="34" t="str"/>
      <x:c r="EC35" s="34" t="str"/>
      <x:c r="ED35" s="34" t="str"/>
      <x:c r="EE35" s="34" t="str"/>
      <x:c r="EF35" s="34" t="str"/>
      <x:c r="EG35" s="34" t="str"/>
      <x:c r="EH35" s="34" t="str"/>
      <x:c r="EI35" s="34" t="str"/>
      <x:c r="EJ35" s="34" t="str"/>
      <x:c r="EK35" s="34" t="str"/>
      <x:c r="EL35" s="34" t="str"/>
      <x:c r="EM35" s="34" t="str"/>
      <x:c r="EN35" s="34" t="str"/>
      <x:c r="EO35" s="34" t="str"/>
      <x:c r="EP35" s="34" t="str"/>
      <x:c r="EQ35" s="36" t="str">
        <x:f>IF(OR($EO35="",$EP35="",$EO35=0),"",$EP35/$EO35)</x:f>
      </x:c>
      <x:c r="ER35" s="38" t="str"/>
      <x:c r="ES35" s="22" t="str">
        <x:v>Unknown</x:v>
      </x:c>
      <x:c r="ET35" s="22" t="str">
        <x:v>Unknown</x:v>
      </x:c>
      <x:c r="EU35" s="40" t="str">
        <x:f>IF(COUNT($DF35,$DG35,$DH35)=0,"",AVERAGE($DF35,$DG35,$DH35))</x:f>
      </x:c>
      <x:c r="EV35" s="40" t="str">
        <x:f>IF(COUNT($DJ35,$DK35,$DL35)=0,"",AVERAGE($DJ35,$DK35,$DL35))</x:f>
      </x:c>
      <x:c r="EW35" s="40" t="str">
        <x:f>IF(OR($EU35="",$EV35=""),"",$EV35-$EU35)</x:f>
      </x:c>
      <x:c r="EX35" s="40" t="str">
        <x:f>IF(COUNT($DM35,$DN35,$DO35)=0,"",AVERAGE($DM35,$DN35,$DO35))</x:f>
      </x:c>
      <x:c r="EY35" s="40" t="str">
        <x:f>IF(COUNT($DQ35,$DR35,$DS35)=0,"",AVERAGE($DQ35,$DR35,$DS35))</x:f>
      </x:c>
      <x:c r="EZ35" s="40" t="str">
        <x:f>IF(OR($EX35="",$EY35=""),"",$EY35-$EX35)</x:f>
      </x:c>
      <x:c r="FA35" s="42" t="str">
        <x:f>IF(COUNT($EA35,$EB35,$EC35)=0,"",AVERAGE($EA35,$EB35,$EC35))</x:f>
      </x:c>
      <x:c r="FB35" s="42" t="str">
        <x:f>IF(COUNT($EE35,$EF35,$EG35)=0,"",AVERAGE($EE35,$EF35,$EG35))</x:f>
      </x:c>
      <x:c r="FC35" s="42" t="str">
        <x:f>IF(OR($FA35="",$FB35=""),"",$FB35-$FA35)</x:f>
      </x:c>
      <x:c r="FD35" s="42" t="str">
        <x:f>IF(COUNT($EH35,$EI35,$EJ35)=0,"",AVERAGE($EH35,$EI35,$EJ35))</x:f>
      </x:c>
      <x:c r="FE35" s="42" t="str">
        <x:f>IF(COUNT($EL35,$EM35,$EN35)=0,"",AVERAGE($EL35,$EM35,$EN35))</x:f>
      </x:c>
      <x:c r="FF35" s="42" t="str">
        <x:f>IF(OR($FD35="",$FE35=""),"",$FE35-$FD35)</x:f>
      </x:c>
      <x:c r="FG35" s="24" t="str">
        <x:f>IF(COUNT($DF35,$DG35,$DH35,$DJ35,$DK35,$DL35,$DM35,$DN35,$DO35,$DQ35,$DR35,$DS35)=12,"Yes","No")</x:f>
        <x:v>No</x:v>
      </x:c>
      <x:c r="FH35" s="24" t="str">
        <x:f>IF(COUNT($EA35,$EB35,$EC35,$EE35,$EF35,$EG35,$EH35,$EI35,$EJ35,$EL35,$EM35,$EN35)=12,"Yes","No")</x:f>
        <x:v>No</x:v>
      </x:c>
      <x:c r="FI35" s="24" t="str">
        <x:f>IF(AND($M35="Include",OR($FG35="Yes",$FH35="Yes")),"Ready","Not ready")</x:f>
        <x:v>Not ready</x:v>
      </x:c>
    </x:row>
    <x:row r="36" ht="24" customHeight="1">
      <x:c r="A36" s="22" t="str">
        <x:v>TRT-0034</x:v>
      </x:c>
      <x:c r="B36" s="22" t="n">
        <x:v>45</x:v>
      </x:c>
      <x:c r="C36" s="22" t="str">
        <x:v>Candidate treatment group</x:v>
      </x:c>
      <x:c r="D36" s="22" t="n">
        <x:v>1</x:v>
      </x:c>
      <x:c r="E36" s="22" t="str">
        <x:v>DATA - Innovation driven deals.xlsx</x:v>
      </x:c>
      <x:c r="F36" s="22" t="str">
        <x:v>nicox acquires 100 stake in doliage</x:v>
      </x:c>
      <x:c r="G36" s="22" t="str">
        <x:v>Yes</x:v>
      </x:c>
      <x:c r="H36" s="22" t="str">
        <x:v>No</x:v>
      </x:c>
      <x:c r="I36" s="22" t="str">
        <x:v>No</x:v>
      </x:c>
      <x:c r="J36" s="22" t="n">
        <x:v>1</x:v>
      </x:c>
      <x:c r="K36" s="22" t="str">
        <x:v>Not started</x:v>
      </x:c>
      <x:c r="L36" s="22" t="str">
        <x:v>Eligible - 100%</x:v>
      </x:c>
      <x:c r="M36" s="22" t="str">
        <x:v>Review</x:v>
      </x:c>
      <x:c r="N36" s="22" t="str"/>
      <x:c r="O36" s="28" t="n">
        <x:v>41898</x:v>
      </x:c>
      <x:c r="P36" s="28" t="n">
        <x:v>41908</x:v>
      </x:c>
      <x:c r="Q36" s="22" t="n">
        <x:v>2014</x:v>
      </x:c>
      <x:c r="R36" s="22" t="str">
        <x:v>Q3 2014</x:v>
      </x:c>
      <x:c r="S36" s="22" t="str">
        <x:v>Completed</x:v>
      </x:c>
      <x:c r="T36" s="26" t="str">
        <x:v>Nicox acquires 100% stake in Doliage</x:v>
      </x:c>
      <x:c r="U36" s="22" t="str">
        <x:v>Mergers &amp; Acquisitions</x:v>
      </x:c>
      <x:c r="V36" s="22" t="str">
        <x:v>Acquisition</x:v>
      </x:c>
      <x:c r="W36" s="22" t="str">
        <x:v>100% Acquisition</x:v>
      </x:c>
      <x:c r="X36" s="22" t="str">
        <x:v>France</x:v>
      </x:c>
      <x:c r="Y36" s="22" t="str">
        <x:v>100% Acquisition</x:v>
      </x:c>
      <x:c r="Z36" s="26" t="str">
        <x:v>Michel Dyens &amp; Co</x:v>
      </x:c>
      <x:c r="AA36" s="26"/>
      <x:c r="AB36" s="22" t="str">
        <x:v>Nicox SA</x:v>
      </x:c>
      <x:c r="AC36" s="22" t="str">
        <x:v>nicox</x:v>
      </x:c>
      <x:c r="AD36" s="22" t="str">
        <x:v>Doliage</x:v>
      </x:c>
      <x:c r="AE36" s="22" t="str">
        <x:v>doliage</x:v>
      </x:c>
      <x:c r="AF36" s="30" t="n">
        <x:v>6</x:v>
      </x:c>
      <x:c r="AG36" s="22" t="n">
        <x:v>6</x:v>
      </x:c>
      <x:c r="AH36" s="26" t="str">
        <x:v>Nicox SA, a biopharmaceutical company, has agreed to acquire 100% stake in Doliage, a pharmaceutical company, in exchange for newly-issued Nicox shares for a total value of EUR5 million. Both the companies are based in France. 
_x000d_ Announcement (September 16, 2014): 
_x000d_ Nicox has agreed to acquire 100% stake in Doliage for EUR5 million.
_x000d_ The number of shares to be issued would be based on the volume-weighted average closing price of Nicox shares during a 20 trading day period preceding the execution of the agreement. 
_x000d_Doliage generated sales of EUR2.6 million with an EBITDA of EUR0.36 million for the fiscal year ending on September 30, 2013.
_x000d_ Michel Dyens &amp; Co. is acting as financial advisor to Nicox. The transaction is expected to close in October 2014.</x:v>
      </x:c>
      <x:c r="AI36" s="26" t="str">
        <x:v>The transaction will add ophthalmic product portfolio and will complement Nicox's existing commercial infrastructure in France with further upside potential in some export markets such as Southern Europe and North Africa.</x:v>
      </x:c>
      <x:c r="AJ36" s="22" t="str"/>
      <x:c r="AK36" s="22" t="str"/>
      <x:c r="AL36" s="22" t="str">
        <x:v>Unknown</x:v>
      </x:c>
      <x:c r="AM36" s="22" t="str">
        <x:v>Yes</x:v>
      </x:c>
      <x:c r="AN36" s="22" t="str">
        <x:v>ALCOX FP</x:v>
      </x:c>
      <x:c r="AO36" s="22" t="str"/>
      <x:c r="AP36" s="22" t="str"/>
      <x:c r="AQ36" s="22" t="str"/>
      <x:c r="AR36" s="22" t="str"/>
      <x:c r="AS36" s="22" t="str">
        <x:v>Nicox SA</x:v>
      </x:c>
      <x:c r="AT36" s="22" t="str">
        <x:v>Doliage</x:v>
      </x:c>
      <x:c r="AU36" s="22" t="str">
        <x:v>Not reviewed</x:v>
      </x:c>
      <x:c r="AV36" s="22" t="str">
        <x:v>Not assessed</x:v>
      </x:c>
      <x:c r="AW36" s="22" t="str">
        <x:v>Lens.org acquirer-side patent export imported; target patent export not supplied.</x:v>
      </x:c>
      <x:c r="AX36" s="22" t="str">
        <x:v>Unknown</x:v>
      </x:c>
      <x:c r="AY36" s="22" t="str">
        <x:v>Unknown</x:v>
      </x:c>
      <x:c r="AZ36" s="22" t="str">
        <x:v>Unknown</x:v>
      </x:c>
      <x:c r="BA36" s="22" t="str">
        <x:v>Unknown</x:v>
      </x:c>
      <x:c r="BB36" s="22" t="str">
        <x:v>Unknown</x:v>
      </x:c>
      <x:c r="BC36" s="26" t="str"/>
      <x:c r="BD36" s="22" t="str"/>
      <x:c r="BE36" s="22" t="str">
        <x:v>EUR</x:v>
      </x:c>
      <x:c r="BF36" s="22" t="str">
        <x:v>Partial</x:v>
      </x:c>
      <x:c r="BG36" s="22" t="str">
        <x:v>Complete event window — provisional</x:v>
      </x:c>
      <x:c r="BH36" s="22" t="str">
        <x:v>Includes Nicox entities and Aciex Therapeutics as a pre-existing subsidiary/affiliate alias.</x:v>
      </x:c>
      <x:c r="BI36" s="22" t="n">
        <x:v>2011</x:v>
      </x:c>
      <x:c r="BJ36" s="22" t="n">
        <x:v>2012</x:v>
      </x:c>
      <x:c r="BK36" s="22" t="n">
        <x:v>2013</x:v>
      </x:c>
      <x:c r="BL36" s="22" t="n">
        <x:v>2014</x:v>
      </x:c>
      <x:c r="BM36" s="22" t="n">
        <x:v>2015</x:v>
      </x:c>
      <x:c r="BN36" s="22" t="n">
        <x:v>2016</x:v>
      </x:c>
      <x:c r="BO36" s="22" t="n">
        <x:v>2017</x:v>
      </x:c>
      <x:c r="BP36" s="30" t="n">
        <x:v>0</x:v>
      </x:c>
      <x:c r="BQ36" s="30" t="n">
        <x:v>7.614</x:v>
      </x:c>
      <x:c r="BR36" s="30" t="n">
        <x:v>0.436</x:v>
      </x:c>
      <x:c r="BS36" s="30" t="n">
        <x:v>5.982</x:v>
      </x:c>
      <x:c r="BT36" s="30" t="n">
        <x:v>0.067</x:v>
      </x:c>
      <x:c r="BU36" s="30" t="n">
        <x:v>0.016</x:v>
      </x:c>
      <x:c r="BV36" s="30" t="n">
        <x:v>15.08</x:v>
      </x:c>
      <x:c r="BW36" s="30" t="n">
        <x:v>-13.184</x:v>
      </x:c>
      <x:c r="BX36" s="30" t="n">
        <x:v>-6.619</x:v>
      </x:c>
      <x:c r="BY36" s="30" t="n">
        <x:v>-14.224</x:v>
      </x:c>
      <x:c r="BZ36" s="30" t="n">
        <x:v>-20.921</x:v>
      </x:c>
      <x:c r="CA36" s="30" t="n">
        <x:v>-19.639</x:v>
      </x:c>
      <x:c r="CB36" s="30" t="n">
        <x:v>-6.929</x:v>
      </x:c>
      <x:c r="CC36" s="30" t="n">
        <x:v>-17.534</x:v>
      </x:c>
      <x:c r="CD36" s="30" t="n">
        <x:v>-16.635</x:v>
      </x:c>
      <x:c r="CE36" s="30" t="n">
        <x:v>-10.247</x:v>
      </x:c>
      <x:c r="CF36" s="30" t="n">
        <x:v>-18.145</x:v>
      </x:c>
      <x:c r="CG36" s="30" t="n">
        <x:v>-23.158</x:v>
      </x:c>
      <x:c r="CH36" s="30" t="n">
        <x:v>-27.939</x:v>
      </x:c>
      <x:c r="CI36" s="30" t="n">
        <x:v>-19.035</x:v>
      </x:c>
      <x:c r="CJ36" s="30" t="n">
        <x:v>-3.618</x:v>
      </x:c>
      <x:c r="CK36" s="30" t="n">
        <x:v>95.829</x:v>
      </x:c>
      <x:c r="CL36" s="30" t="n">
        <x:v>84.147</x:v>
      </x:c>
      <x:c r="CM36" s="30" t="n">
        <x:v>72.178</x:v>
      </x:c>
      <x:c r="CN36" s="30" t="n">
        <x:v>150.041</x:v>
      </x:c>
      <x:c r="CO36" s="30" t="n">
        <x:v>163.348</x:v>
      </x:c>
      <x:c r="CP36" s="30" t="n">
        <x:v>148.748</x:v>
      </x:c>
      <x:c r="CQ36" s="30" t="n">
        <x:v>152.252</x:v>
      </x:c>
      <x:c r="CR36" s="30" t="n">
        <x:v>0.082</x:v>
      </x:c>
      <x:c r="CS36" s="30" t="n">
        <x:v>0.157</x:v>
      </x:c>
      <x:c r="CT36" s="30" t="n">
        <x:v>0.152</x:v>
      </x:c>
      <x:c r="CU36" s="30" t="n">
        <x:v>16.538</x:v>
      </x:c>
      <x:c r="CV36" s="30" t="n">
        <x:v>3.941</x:v>
      </x:c>
      <x:c r="CW36" s="30" t="n">
        <x:v>0.985</x:v>
      </x:c>
      <x:c r="CX36" s="30" t="n">
        <x:v>0.05</x:v>
      </x:c>
      <x:c r="CY36" s="30" t="n">
        <x:v>8.998</x:v>
      </x:c>
      <x:c r="CZ36" s="30" t="n">
        <x:v>6.471</x:v>
      </x:c>
      <x:c r="DA36" s="30" t="n">
        <x:v>3.685</x:v>
      </x:c>
      <x:c r="DB36" s="30" t="n">
        <x:v>4.432</x:v>
      </x:c>
      <x:c r="DC36" s="30" t="n">
        <x:v>6.159</x:v>
      </x:c>
      <x:c r="DD36" s="30" t="n">
        <x:v>12.168</x:v>
      </x:c>
      <x:c r="DE36" s="30" t="n">
        <x:v>9.75</x:v>
      </x:c>
      <x:c r="DF36" s="32" t="n">
        <x:v>-15.9369</x:v>
      </x:c>
      <x:c r="DG36" s="32" t="n">
        <x:v>-11.3871</x:v>
      </x:c>
      <x:c r="DH36" s="32" t="n">
        <x:v>-23.2145</x:v>
      </x:c>
      <x:c r="DI36" s="32" t="n">
        <x:v>-20.8425</x:v>
      </x:c>
      <x:c r="DJ36" s="32" t="n">
        <x:v>-17.8302</x:v>
      </x:c>
      <x:c r="DK36" s="32" t="n">
        <x:v>-12.1982</x:v>
      </x:c>
      <x:c r="DL36" s="32" t="n">
        <x:v>-2.404</x:v>
      </x:c>
      <x:c r="DM36" s="32"/>
      <x:c r="DN36" s="32" t="n">
        <x:v>-114.8805</x:v>
      </x:c>
      <x:c r="DO36" s="32" t="n">
        <x:v>-2537.844</x:v>
      </x:c>
      <x:c r="DP36" s="32" t="n">
        <x:v>-360.5316</x:v>
      </x:c>
      <x:c r="DQ36" s="32" t="n">
        <x:v>-30931.3433</x:v>
      </x:c>
      <x:c r="DR36" s="32" t="n">
        <x:v>-48650</x:v>
      </x:c>
      <x:c r="DS36" s="32" t="n">
        <x:v>-122.7984</x:v>
      </x:c>
      <x:c r="DT36" s="32" t="n">
        <x:v>0.0856</x:v>
      </x:c>
      <x:c r="DU36" s="32" t="n">
        <x:v>0.1866</x:v>
      </x:c>
      <x:c r="DV36" s="32" t="n">
        <x:v>0.2106</x:v>
      </x:c>
      <x:c r="DW36" s="32" t="n">
        <x:v>11.0223</x:v>
      </x:c>
      <x:c r="DX36" s="32" t="n">
        <x:v>2.4126</x:v>
      </x:c>
      <x:c r="DY36" s="32" t="n">
        <x:v>0.6622</x:v>
      </x:c>
      <x:c r="DZ36" s="32" t="n">
        <x:v>0.0328</x:v>
      </x:c>
      <x:c r="EA36" s="34" t="n">
        <x:v>2</x:v>
      </x:c>
      <x:c r="EB36" s="34" t="n">
        <x:v>3</x:v>
      </x:c>
      <x:c r="EC36" s="34" t="n">
        <x:v>4</x:v>
      </x:c>
      <x:c r="ED36" s="34" t="n">
        <x:v>3</x:v>
      </x:c>
      <x:c r="EE36" s="34" t="n">
        <x:v>2</x:v>
      </x:c>
      <x:c r="EF36" s="34" t="n">
        <x:v>1</x:v>
      </x:c>
      <x:c r="EG36" s="34" t="n">
        <x:v>0</x:v>
      </x:c>
      <x:c r="EH36" s="34" t="n">
        <x:v>8</x:v>
      </x:c>
      <x:c r="EI36" s="34" t="n">
        <x:v>7</x:v>
      </x:c>
      <x:c r="EJ36" s="34" t="n">
        <x:v>1</x:v>
      </x:c>
      <x:c r="EK36" s="34" t="n">
        <x:v>0</x:v>
      </x:c>
      <x:c r="EL36" s="34" t="n">
        <x:v>0</x:v>
      </x:c>
      <x:c r="EM36" s="34" t="n">
        <x:v>0</x:v>
      </x:c>
      <x:c r="EN36" s="34" t="n">
        <x:v>0</x:v>
      </x:c>
      <x:c r="EO36" s="34" t="n">
        <x:v>9</x:v>
      </x:c>
      <x:c r="EP36" s="34" t="str"/>
      <x:c r="EQ36" s="36" t="str">
        <x:f>IF(OR($EO36="",$EP36="",$EO36=0),"",$EP36/$EO36)</x:f>
      </x:c>
      <x:c r="ER36" s="38" t="str"/>
      <x:c r="ES36" s="22" t="str">
        <x:v>No</x:v>
      </x:c>
      <x:c r="ET36" s="22" t="str">
        <x:v>No</x:v>
      </x:c>
      <x:c r="EU36" s="40" t="n">
        <x:f>IF(COUNT($DF36,$DG36,$DH36)=0,"",AVERAGE($DF36,$DG36,$DH36))</x:f>
        <x:v>-16.846166666666665</x:v>
      </x:c>
      <x:c r="EV36" s="40" t="n">
        <x:f>IF(COUNT($DJ36,$DK36,$DL36)=0,"",AVERAGE($DJ36,$DK36,$DL36))</x:f>
        <x:v>-10.8108</x:v>
      </x:c>
      <x:c r="EW36" s="40" t="n">
        <x:f>IF(OR($EU36="",$EV36=""),"",$EV36-$EU36)</x:f>
        <x:v>6.035366666666665</x:v>
      </x:c>
      <x:c r="EX36" s="40" t="n">
        <x:f>IF(COUNT($DM36,$DN36,$DO36)=0,"",AVERAGE($DM36,$DN36,$DO36))</x:f>
        <x:v>-1326.3622500000001</x:v>
      </x:c>
      <x:c r="EY36" s="40" t="n">
        <x:f>IF(COUNT($DQ36,$DR36,$DS36)=0,"",AVERAGE($DQ36,$DR36,$DS36))</x:f>
        <x:v>-26568.047233333335</x:v>
      </x:c>
      <x:c r="EZ36" s="40" t="n">
        <x:f>IF(OR($EX36="",$EY36=""),"",$EY36-$EX36)</x:f>
        <x:v>-25241.684983333333</x:v>
      </x:c>
      <x:c r="FA36" s="42" t="n">
        <x:f>IF(COUNT($EA36,$EB36,$EC36)=0,"",AVERAGE($EA36,$EB36,$EC36))</x:f>
        <x:v>3</x:v>
      </x:c>
      <x:c r="FB36" s="42" t="n">
        <x:f>IF(COUNT($EE36,$EF36,$EG36)=0,"",AVERAGE($EE36,$EF36,$EG36))</x:f>
        <x:v>1</x:v>
      </x:c>
      <x:c r="FC36" s="42" t="n">
        <x:f>IF(OR($FA36="",$FB36=""),"",$FB36-$FA36)</x:f>
        <x:v>-2</x:v>
      </x:c>
      <x:c r="FD36" s="42" t="n">
        <x:f>IF(COUNT($EH36,$EI36,$EJ36)=0,"",AVERAGE($EH36,$EI36,$EJ36))</x:f>
        <x:v>5.333333333333333</x:v>
      </x:c>
      <x:c r="FE36" s="42" t="n">
        <x:f>IF(COUNT($EL36,$EM36,$EN36)=0,"",AVERAGE($EL36,$EM36,$EN36))</x:f>
        <x:v>0</x:v>
      </x:c>
      <x:c r="FF36" s="42" t="str">
        <x:f>IF(OR($FD36="",$FE36=""),"",$FE36-$FD36)</x:f>
      </x:c>
      <x:c r="FG36" s="24" t="str">
        <x:f>IF(COUNT($DF36,$DG36,$DH36,$DJ36,$DK36,$DL36,$DM36,$DN36,$DO36,$DQ36,$DR36,$DS36)=12,"Yes","No")</x:f>
        <x:v>No</x:v>
      </x:c>
      <x:c r="FH36" s="24" t="str">
        <x:f>IF(COUNT($EA36,$EB36,$EC36,$EE36,$EF36,$EG36,$EH36,$EI36,$EJ36,$EL36,$EM36,$EN36)=12,"Yes","No")</x:f>
        <x:v>Yes</x:v>
      </x:c>
      <x:c r="FI36" s="24" t="str">
        <x:f>IF(AND($M36="Include",OR($FG36="Yes",$FH36="Yes")),"Ready","Not ready")</x:f>
        <x:v>Not ready</x:v>
      </x:c>
    </x:row>
    <x:row r="37" ht="24" customHeight="1">
      <x:c r="A37" s="22" t="str">
        <x:v>TRT-0035</x:v>
      </x:c>
      <x:c r="B37" s="22" t="n">
        <x:v>46</x:v>
      </x:c>
      <x:c r="C37" s="22" t="str">
        <x:v>Candidate treatment group</x:v>
      </x:c>
      <x:c r="D37" s="22" t="n">
        <x:v>1</x:v>
      </x:c>
      <x:c r="E37" s="22" t="str">
        <x:v>DATA - Innovation driven deals.xlsx</x:v>
      </x:c>
      <x:c r="F37" s="22" t="str">
        <x:v>productlife group acquires kohne pharma</x:v>
      </x:c>
      <x:c r="G37" s="22" t="str">
        <x:v>Yes</x:v>
      </x:c>
      <x:c r="H37" s="22" t="str">
        <x:v>No</x:v>
      </x:c>
      <x:c r="I37" s="22" t="str">
        <x:v>No</x:v>
      </x:c>
      <x:c r="J37" s="22" t="n">
        <x:v>1</x:v>
      </x:c>
      <x:c r="K37" s="22" t="str">
        <x:v>Not started</x:v>
      </x:c>
      <x:c r="L37" s="22" t="str">
        <x:v>Review - majority</x:v>
      </x:c>
      <x:c r="M37" s="22" t="str">
        <x:v>Review</x:v>
      </x:c>
      <x:c r="N37" s="22" t="str"/>
      <x:c r="O37" s="28" t="n">
        <x:v>41687</x:v>
      </x:c>
      <x:c r="P37" s="28" t="n">
        <x:v>41687</x:v>
      </x:c>
      <x:c r="Q37" s="22" t="n">
        <x:v>2014</x:v>
      </x:c>
      <x:c r="R37" s="22" t="str">
        <x:v>Q1 2014</x:v>
      </x:c>
      <x:c r="S37" s="22" t="str">
        <x:v>Completed</x:v>
      </x:c>
      <x:c r="T37" s="26" t="str">
        <x:v>ProductLife Group acquires Kohne Pharma</x:v>
      </x:c>
      <x:c r="U37" s="22" t="str">
        <x:v>Mergers &amp; Acquisitions</x:v>
      </x:c>
      <x:c r="V37" s="22" t="str">
        <x:v>Acquisition</x:v>
      </x:c>
      <x:c r="W37" s="22" t="str">
        <x:v>Majority Acquisition</x:v>
      </x:c>
      <x:c r="X37" s="22" t="str">
        <x:v>France , Germany</x:v>
      </x:c>
      <x:c r="Y37" s="22" t="str">
        <x:v>Majority Acquisition</x:v>
      </x:c>
      <x:c r="Z37" s="26"/>
      <x:c r="AA37" s="26"/>
      <x:c r="AB37" s="22" t="str">
        <x:v>ProductLife Group</x:v>
      </x:c>
      <x:c r="AC37" s="22" t="str">
        <x:v>productlife</x:v>
      </x:c>
      <x:c r="AD37" s="22" t="str">
        <x:v>Kohne Pharma GmbH</x:v>
      </x:c>
      <x:c r="AE37" s="22" t="str">
        <x:v>kohne pharma</x:v>
      </x:c>
      <x:c r="AF37" s="30"/>
      <x:c r="AG37" s="22" t="str">
        <x:v>n/a</x:v>
      </x:c>
      <x:c r="AH37" s="26" t="str">
        <x:v>ProductLife Group (PLG), a France-based provider of life sciences consulting and outsourcing services, has acquired Kohne Pharma GmbH, a Germany-based regulatory and pharmacovigilance services provider. 
_x000d_ Pursuant to the transaction, Kohne Pharma will retain its brand and will be known as Kohne Pharma, a PLG company. Kohne's safety and regulatory functions will be managed, operated and aligned with the pan-European PLG functions.</x:v>
      </x:c>
      <x:c r="AI37" s="26" t="str">
        <x:v>The acquisition will allow PLG to grow its regulatory services and expand its existing pharmacovigilance and safety services business across Germany._x000d_
 _x000d_
The acquisition will also allow PLG to increase its local presence in Germany and support its continued commitment to smart outsourcing.</x:v>
      </x:c>
      <x:c r="AJ37" s="22" t="str"/>
      <x:c r="AK37" s="22" t="str"/>
      <x:c r="AL37" s="22" t="str">
        <x:v>Unknown</x:v>
      </x:c>
      <x:c r="AM37" s="22" t="str">
        <x:v>Unknown</x:v>
      </x:c>
      <x:c r="AN37" s="22" t="str"/>
      <x:c r="AO37" s="22" t="str"/>
      <x:c r="AP37" s="22" t="str"/>
      <x:c r="AQ37" s="22" t="str"/>
      <x:c r="AR37" s="22" t="str"/>
      <x:c r="AS37" s="22" t="str">
        <x:v>ProductLife Group</x:v>
      </x:c>
      <x:c r="AT37" s="22" t="str">
        <x:v>Kohne Pharma GmbH</x:v>
      </x:c>
      <x:c r="AU37" s="22" t="str">
        <x:v>Not reviewed</x:v>
      </x:c>
      <x:c r="AV37" s="22" t="str">
        <x:v>Not assessed</x:v>
      </x:c>
      <x:c r="AW37" s="22" t="str">
        <x:v>Unknown</x:v>
      </x:c>
      <x:c r="AX37" s="22" t="str">
        <x:v>Unknown</x:v>
      </x:c>
      <x:c r="AY37" s="22" t="str">
        <x:v>Unknown</x:v>
      </x:c>
      <x:c r="AZ37" s="22" t="str">
        <x:v>Unknown</x:v>
      </x:c>
      <x:c r="BA37" s="22" t="str">
        <x:v>Unknown</x:v>
      </x:c>
      <x:c r="BB37" s="22" t="str">
        <x:v>Unknown</x:v>
      </x:c>
      <x:c r="BC37" s="26" t="str"/>
      <x:c r="BD37" s="22" t="str"/>
      <x:c r="BE37" s="22" t="str"/>
      <x:c r="BF37" s="22" t="str">
        <x:v>Not collected</x:v>
      </x:c>
      <x:c r="BG37" s="22" t="str">
        <x:v>Not collected</x:v>
      </x:c>
      <x:c r="BH37" s="22" t="str">
        <x:v>Not defined</x:v>
      </x:c>
      <x:c r="BI37" s="22" t="n">
        <x:f>IF($Q37="","",$Q37-3)</x:f>
        <x:v>2011</x:v>
      </x:c>
      <x:c r="BJ37" s="22" t="n">
        <x:f>IF($Q37="","",$Q37-2)</x:f>
        <x:v>2012</x:v>
      </x:c>
      <x:c r="BK37" s="22" t="n">
        <x:f>IF($Q37="","",$Q37-1)</x:f>
        <x:v>2013</x:v>
      </x:c>
      <x:c r="BL37" s="22" t="n">
        <x:f>IF($Q37="","",$Q37+0)</x:f>
        <x:v>2014</x:v>
      </x:c>
      <x:c r="BM37" s="22" t="n">
        <x:f>IF($Q37="","",$Q37+1)</x:f>
        <x:v>2015</x:v>
      </x:c>
      <x:c r="BN37" s="22" t="n">
        <x:f>IF($Q37="","",$Q37+2)</x:f>
        <x:v>2016</x:v>
      </x:c>
      <x:c r="BO37" s="22" t="n">
        <x:f>IF($Q37="","",$Q37+3)</x:f>
        <x:v>2017</x:v>
      </x:c>
      <x:c r="BP37" s="30" t="str"/>
      <x:c r="BQ37" s="30" t="str"/>
      <x:c r="BR37" s="30" t="str"/>
      <x:c r="BS37" s="30" t="str"/>
      <x:c r="BT37" s="30" t="str"/>
      <x:c r="BU37" s="30" t="str"/>
      <x:c r="BV37" s="30" t="str"/>
      <x:c r="BW37" s="30" t="str"/>
      <x:c r="BX37" s="30" t="str"/>
      <x:c r="BY37" s="30" t="str"/>
      <x:c r="BZ37" s="30" t="str"/>
      <x:c r="CA37" s="30" t="str"/>
      <x:c r="CB37" s="30" t="str"/>
      <x:c r="CC37" s="30" t="str"/>
      <x:c r="CD37" s="30" t="str"/>
      <x:c r="CE37" s="30" t="str"/>
      <x:c r="CF37" s="30" t="str"/>
      <x:c r="CG37" s="30" t="str"/>
      <x:c r="CH37" s="30" t="str"/>
      <x:c r="CI37" s="30" t="str"/>
      <x:c r="CJ37" s="30" t="str"/>
      <x:c r="CK37" s="30" t="str"/>
      <x:c r="CL37" s="30" t="str"/>
      <x:c r="CM37" s="30" t="str"/>
      <x:c r="CN37" s="30" t="str"/>
      <x:c r="CO37" s="30" t="str"/>
      <x:c r="CP37" s="30" t="str"/>
      <x:c r="CQ37" s="30" t="str"/>
      <x:c r="CR37" s="30" t="str"/>
      <x:c r="CS37" s="30" t="str"/>
      <x:c r="CT37" s="30" t="str"/>
      <x:c r="CU37" s="30" t="str"/>
      <x:c r="CV37" s="30" t="str"/>
      <x:c r="CW37" s="30" t="str"/>
      <x:c r="CX37" s="30" t="str"/>
      <x:c r="CY37" s="30" t="str"/>
      <x:c r="CZ37" s="30" t="str"/>
      <x:c r="DA37" s="30" t="str"/>
      <x:c r="DB37" s="30" t="str"/>
      <x:c r="DC37" s="30" t="str"/>
      <x:c r="DD37" s="30" t="str"/>
      <x:c r="DE37" s="30" t="str"/>
      <x:c r="DF37" s="32" t="str"/>
      <x:c r="DG37" s="32" t="str"/>
      <x:c r="DH37" s="32" t="str"/>
      <x:c r="DI37" s="32" t="str"/>
      <x:c r="DJ37" s="32" t="str"/>
      <x:c r="DK37" s="32" t="str"/>
      <x:c r="DL37" s="32" t="str"/>
      <x:c r="DM37" s="32" t="str"/>
      <x:c r="DN37" s="32" t="str"/>
      <x:c r="DO37" s="32" t="str"/>
      <x:c r="DP37" s="32" t="str"/>
      <x:c r="DQ37" s="32" t="str"/>
      <x:c r="DR37" s="32" t="str"/>
      <x:c r="DS37" s="32" t="str"/>
      <x:c r="DT37" s="32" t="str"/>
      <x:c r="DU37" s="32" t="str"/>
      <x:c r="DV37" s="32" t="str"/>
      <x:c r="DW37" s="32" t="str"/>
      <x:c r="DX37" s="32" t="str"/>
      <x:c r="DY37" s="32" t="str"/>
      <x:c r="DZ37" s="32" t="str"/>
      <x:c r="EA37" s="34" t="str"/>
      <x:c r="EB37" s="34" t="str"/>
      <x:c r="EC37" s="34" t="str"/>
      <x:c r="ED37" s="34" t="str"/>
      <x:c r="EE37" s="34" t="str"/>
      <x:c r="EF37" s="34" t="str"/>
      <x:c r="EG37" s="34" t="str"/>
      <x:c r="EH37" s="34" t="str"/>
      <x:c r="EI37" s="34" t="str"/>
      <x:c r="EJ37" s="34" t="str"/>
      <x:c r="EK37" s="34" t="str"/>
      <x:c r="EL37" s="34" t="str"/>
      <x:c r="EM37" s="34" t="str"/>
      <x:c r="EN37" s="34" t="str"/>
      <x:c r="EO37" s="34" t="str"/>
      <x:c r="EP37" s="34" t="str"/>
      <x:c r="EQ37" s="36" t="str">
        <x:f>IF(OR($EO37="",$EP37="",$EO37=0),"",$EP37/$EO37)</x:f>
      </x:c>
      <x:c r="ER37" s="38" t="str"/>
      <x:c r="ES37" s="22" t="str">
        <x:v>Unknown</x:v>
      </x:c>
      <x:c r="ET37" s="22" t="str">
        <x:v>Unknown</x:v>
      </x:c>
      <x:c r="EU37" s="40" t="str">
        <x:f>IF(COUNT($DF37,$DG37,$DH37)=0,"",AVERAGE($DF37,$DG37,$DH37))</x:f>
      </x:c>
      <x:c r="EV37" s="40" t="str">
        <x:f>IF(COUNT($DJ37,$DK37,$DL37)=0,"",AVERAGE($DJ37,$DK37,$DL37))</x:f>
      </x:c>
      <x:c r="EW37" s="40" t="str">
        <x:f>IF(OR($EU37="",$EV37=""),"",$EV37-$EU37)</x:f>
      </x:c>
      <x:c r="EX37" s="40" t="str">
        <x:f>IF(COUNT($DM37,$DN37,$DO37)=0,"",AVERAGE($DM37,$DN37,$DO37))</x:f>
      </x:c>
      <x:c r="EY37" s="40" t="str">
        <x:f>IF(COUNT($DQ37,$DR37,$DS37)=0,"",AVERAGE($DQ37,$DR37,$DS37))</x:f>
      </x:c>
      <x:c r="EZ37" s="40" t="str">
        <x:f>IF(OR($EX37="",$EY37=""),"",$EY37-$EX37)</x:f>
      </x:c>
      <x:c r="FA37" s="42" t="str">
        <x:f>IF(COUNT($EA37,$EB37,$EC37)=0,"",AVERAGE($EA37,$EB37,$EC37))</x:f>
      </x:c>
      <x:c r="FB37" s="42" t="str">
        <x:f>IF(COUNT($EE37,$EF37,$EG37)=0,"",AVERAGE($EE37,$EF37,$EG37))</x:f>
      </x:c>
      <x:c r="FC37" s="42" t="str">
        <x:f>IF(OR($FA37="",$FB37=""),"",$FB37-$FA37)</x:f>
      </x:c>
      <x:c r="FD37" s="42" t="str">
        <x:f>IF(COUNT($EH37,$EI37,$EJ37)=0,"",AVERAGE($EH37,$EI37,$EJ37))</x:f>
      </x:c>
      <x:c r="FE37" s="42" t="str">
        <x:f>IF(COUNT($EL37,$EM37,$EN37)=0,"",AVERAGE($EL37,$EM37,$EN37))</x:f>
      </x:c>
      <x:c r="FF37" s="42" t="str">
        <x:f>IF(OR($FD37="",$FE37=""),"",$FE37-$FD37)</x:f>
      </x:c>
      <x:c r="FG37" s="24" t="str">
        <x:f>IF(COUNT($DF37,$DG37,$DH37,$DJ37,$DK37,$DL37,$DM37,$DN37,$DO37,$DQ37,$DR37,$DS37)=12,"Yes","No")</x:f>
        <x:v>No</x:v>
      </x:c>
      <x:c r="FH37" s="24" t="str">
        <x:f>IF(COUNT($EA37,$EB37,$EC37,$EE37,$EF37,$EG37,$EH37,$EI37,$EJ37,$EL37,$EM37,$EN37)=12,"Yes","No")</x:f>
        <x:v>No</x:v>
      </x:c>
      <x:c r="FI37" s="24" t="str">
        <x:f>IF(AND($M37="Include",OR($FG37="Yes",$FH37="Yes")),"Ready","Not ready")</x:f>
        <x:v>Not ready</x:v>
      </x:c>
    </x:row>
    <x:row r="38" ht="24" customHeight="1">
      <x:c r="A38" s="22" t="str">
        <x:v>TRT-0036</x:v>
      </x:c>
      <x:c r="B38" s="22" t="n">
        <x:v>47</x:v>
      </x:c>
      <x:c r="C38" s="22" t="str">
        <x:v>Candidate treatment group</x:v>
      </x:c>
      <x:c r="D38" s="22" t="n">
        <x:v>1</x:v>
      </x:c>
      <x:c r="E38" s="22" t="str">
        <x:v>DATA - Innovation driven deals.xlsx</x:v>
      </x:c>
      <x:c r="F38" s="22" t="str">
        <x:v>cardiome pharma acquires correvio</x:v>
      </x:c>
      <x:c r="G38" s="22" t="str">
        <x:v>Yes</x:v>
      </x:c>
      <x:c r="H38" s="22" t="str">
        <x:v>No</x:v>
      </x:c>
      <x:c r="I38" s="22" t="str">
        <x:v>No</x:v>
      </x:c>
      <x:c r="J38" s="22" t="n">
        <x:v>1</x:v>
      </x:c>
      <x:c r="K38" s="22" t="str">
        <x:v>Not started</x:v>
      </x:c>
      <x:c r="L38" s="22" t="str">
        <x:v>Eligible - 100%</x:v>
      </x:c>
      <x:c r="M38" s="22" t="str">
        <x:v>Review</x:v>
      </x:c>
      <x:c r="N38" s="22" t="str"/>
      <x:c r="O38" s="28" t="n">
        <x:v>41596</x:v>
      </x:c>
      <x:c r="P38" s="28" t="n">
        <x:v>41596</x:v>
      </x:c>
      <x:c r="Q38" s="22" t="n">
        <x:v>2013</x:v>
      </x:c>
      <x:c r="R38" s="22" t="str">
        <x:v>Q4 2013</x:v>
      </x:c>
      <x:c r="S38" s="22" t="str">
        <x:v>Completed</x:v>
      </x:c>
      <x:c r="T38" s="26" t="str">
        <x:v>Cardiome Pharma acquires Correvio</x:v>
      </x:c>
      <x:c r="U38" s="22" t="str">
        <x:v>Mergers &amp; Acquisitions</x:v>
      </x:c>
      <x:c r="V38" s="22" t="str">
        <x:v>Acquisition</x:v>
      </x:c>
      <x:c r="W38" s="22" t="str">
        <x:v>100% Acquisition</x:v>
      </x:c>
      <x:c r="X38" s="22" t="str">
        <x:v>Switzerland</x:v>
      </x:c>
      <x:c r="Y38" s="22" t="str">
        <x:v>100% Acquisition</x:v>
      </x:c>
      <x:c r="Z38" s="26"/>
      <x:c r="AA38" s="26"/>
      <x:c r="AB38" s="22" t="str">
        <x:v>Correvio Pharma Corp.</x:v>
      </x:c>
      <x:c r="AC38" s="22" t="str">
        <x:v>correvio pharma</x:v>
      </x:c>
      <x:c r="AD38" s="22" t="str">
        <x:v>Correvio International Sarl</x:v>
      </x:c>
      <x:c r="AE38" s="22" t="str">
        <x:v>correvio international sarl</x:v>
      </x:c>
      <x:c r="AF38" s="30" t="n">
        <x:v>23</x:v>
      </x:c>
      <x:c r="AG38" s="22" t="n">
        <x:v>23</x:v>
      </x:c>
      <x:c r="AH38" s="26" t="str">
        <x:v>Cardiome Pharma Corp., a Canada-based biopharmaceutical company, has acquired Correvio International Sarl, a Switzerland-based pharmaceutical company. 
_x000d_ Under the terms of the agreement, Cardiome has acquired 100% of Correvio through the purchase of a combination of assets and shares of its subsidiaries in exchange for 19.9% of Cardiome's outstanding shares and a deferred cash consideration of $12 million. The total transaction is valued at approximately $23 million. 
_x000d_ The deferred cash consideration will be repaid monthly at an amount equal to 10% of cash receipts from product sales and any applicable interest accrued at 10% compounded annually. The adjusted deferred cash consideration must be repaid in full by December 1, 2019.</x:v>
      </x:c>
      <x:c r="AI38" s="26" t="str">
        <x:v>The acquisition will provide Cardiome Pharma with an operational European platform, global distribution, complementary products and the financial flexibility required to launch its product BRINAVESS(TM).</x:v>
      </x:c>
      <x:c r="AJ38" s="22" t="str"/>
      <x:c r="AK38" s="22" t="str"/>
      <x:c r="AL38" s="22" t="str">
        <x:v>Unknown</x:v>
      </x:c>
      <x:c r="AM38" s="22" t="str">
        <x:v>Unknown</x:v>
      </x:c>
      <x:c r="AN38" s="22" t="str"/>
      <x:c r="AO38" s="22" t="str"/>
      <x:c r="AP38" s="22" t="str"/>
      <x:c r="AQ38" s="22" t="str"/>
      <x:c r="AR38" s="22" t="str"/>
      <x:c r="AS38" s="22" t="str">
        <x:v>Correvio Pharma Corp.</x:v>
      </x:c>
      <x:c r="AT38" s="22" t="str">
        <x:v>Correvio International Sarl</x:v>
      </x:c>
      <x:c r="AU38" s="22" t="str">
        <x:v>Not reviewed</x:v>
      </x:c>
      <x:c r="AV38" s="22" t="str">
        <x:v>Not assessed</x:v>
      </x:c>
      <x:c r="AW38" s="22" t="str">
        <x:v>Unknown</x:v>
      </x:c>
      <x:c r="AX38" s="22" t="str">
        <x:v>Unknown</x:v>
      </x:c>
      <x:c r="AY38" s="22" t="str">
        <x:v>Unknown</x:v>
      </x:c>
      <x:c r="AZ38" s="22" t="str">
        <x:v>Unknown</x:v>
      </x:c>
      <x:c r="BA38" s="22" t="str">
        <x:v>Unknown</x:v>
      </x:c>
      <x:c r="BB38" s="22" t="str">
        <x:v>Unknown</x:v>
      </x:c>
      <x:c r="BC38" s="26" t="str"/>
      <x:c r="BD38" s="22" t="str"/>
      <x:c r="BE38" s="22" t="str"/>
      <x:c r="BF38" s="22" t="str">
        <x:v>Not collected</x:v>
      </x:c>
      <x:c r="BG38" s="22" t="str">
        <x:v>Not collected</x:v>
      </x:c>
      <x:c r="BH38" s="22" t="str">
        <x:v>Not defined</x:v>
      </x:c>
      <x:c r="BI38" s="22" t="n">
        <x:f>IF($Q38="","",$Q38-3)</x:f>
        <x:v>2010</x:v>
      </x:c>
      <x:c r="BJ38" s="22" t="n">
        <x:f>IF($Q38="","",$Q38-2)</x:f>
        <x:v>2011</x:v>
      </x:c>
      <x:c r="BK38" s="22" t="n">
        <x:f>IF($Q38="","",$Q38-1)</x:f>
        <x:v>2012</x:v>
      </x:c>
      <x:c r="BL38" s="22" t="n">
        <x:f>IF($Q38="","",$Q38+0)</x:f>
        <x:v>2013</x:v>
      </x:c>
      <x:c r="BM38" s="22" t="n">
        <x:f>IF($Q38="","",$Q38+1)</x:f>
        <x:v>2014</x:v>
      </x:c>
      <x:c r="BN38" s="22" t="n">
        <x:f>IF($Q38="","",$Q38+2)</x:f>
        <x:v>2015</x:v>
      </x:c>
      <x:c r="BO38" s="22" t="n">
        <x:f>IF($Q38="","",$Q38+3)</x:f>
        <x:v>2016</x:v>
      </x:c>
      <x:c r="BP38" s="30" t="str"/>
      <x:c r="BQ38" s="30" t="str"/>
      <x:c r="BR38" s="30" t="str"/>
      <x:c r="BS38" s="30" t="str"/>
      <x:c r="BT38" s="30" t="str"/>
      <x:c r="BU38" s="30" t="str"/>
      <x:c r="BV38" s="30" t="str"/>
      <x:c r="BW38" s="30" t="str"/>
      <x:c r="BX38" s="30" t="str"/>
      <x:c r="BY38" s="30" t="str"/>
      <x:c r="BZ38" s="30" t="str"/>
      <x:c r="CA38" s="30" t="str"/>
      <x:c r="CB38" s="30" t="str"/>
      <x:c r="CC38" s="30" t="str"/>
      <x:c r="CD38" s="30" t="str"/>
      <x:c r="CE38" s="30" t="str"/>
      <x:c r="CF38" s="30" t="str"/>
      <x:c r="CG38" s="30" t="str"/>
      <x:c r="CH38" s="30" t="str"/>
      <x:c r="CI38" s="30" t="str"/>
      <x:c r="CJ38" s="30" t="str"/>
      <x:c r="CK38" s="30" t="str"/>
      <x:c r="CL38" s="30" t="str"/>
      <x:c r="CM38" s="30" t="str"/>
      <x:c r="CN38" s="30" t="str"/>
      <x:c r="CO38" s="30" t="str"/>
      <x:c r="CP38" s="30" t="str"/>
      <x:c r="CQ38" s="30" t="str"/>
      <x:c r="CR38" s="30" t="str"/>
      <x:c r="CS38" s="30" t="str"/>
      <x:c r="CT38" s="30" t="str"/>
      <x:c r="CU38" s="30" t="str"/>
      <x:c r="CV38" s="30" t="str"/>
      <x:c r="CW38" s="30" t="str"/>
      <x:c r="CX38" s="30" t="str"/>
      <x:c r="CY38" s="30" t="str"/>
      <x:c r="CZ38" s="30" t="str"/>
      <x:c r="DA38" s="30" t="str"/>
      <x:c r="DB38" s="30" t="str"/>
      <x:c r="DC38" s="30" t="str"/>
      <x:c r="DD38" s="30" t="str"/>
      <x:c r="DE38" s="30" t="str"/>
      <x:c r="DF38" s="32" t="str"/>
      <x:c r="DG38" s="32" t="str"/>
      <x:c r="DH38" s="32" t="str"/>
      <x:c r="DI38" s="32" t="str"/>
      <x:c r="DJ38" s="32" t="str"/>
      <x:c r="DK38" s="32" t="str"/>
      <x:c r="DL38" s="32" t="str"/>
      <x:c r="DM38" s="32" t="str"/>
      <x:c r="DN38" s="32" t="str"/>
      <x:c r="DO38" s="32" t="str"/>
      <x:c r="DP38" s="32" t="str"/>
      <x:c r="DQ38" s="32" t="str"/>
      <x:c r="DR38" s="32" t="str"/>
      <x:c r="DS38" s="32" t="str"/>
      <x:c r="DT38" s="32" t="str"/>
      <x:c r="DU38" s="32" t="str"/>
      <x:c r="DV38" s="32" t="str"/>
      <x:c r="DW38" s="32" t="str"/>
      <x:c r="DX38" s="32" t="str"/>
      <x:c r="DY38" s="32" t="str"/>
      <x:c r="DZ38" s="32" t="str"/>
      <x:c r="EA38" s="34" t="str"/>
      <x:c r="EB38" s="34" t="str"/>
      <x:c r="EC38" s="34" t="str"/>
      <x:c r="ED38" s="34" t="str"/>
      <x:c r="EE38" s="34" t="str"/>
      <x:c r="EF38" s="34" t="str"/>
      <x:c r="EG38" s="34" t="str"/>
      <x:c r="EH38" s="34" t="str"/>
      <x:c r="EI38" s="34" t="str"/>
      <x:c r="EJ38" s="34" t="str"/>
      <x:c r="EK38" s="34" t="str"/>
      <x:c r="EL38" s="34" t="str"/>
      <x:c r="EM38" s="34" t="str"/>
      <x:c r="EN38" s="34" t="str"/>
      <x:c r="EO38" s="34" t="str"/>
      <x:c r="EP38" s="34" t="str"/>
      <x:c r="EQ38" s="36" t="str">
        <x:f>IF(OR($EO38="",$EP38="",$EO38=0),"",$EP38/$EO38)</x:f>
      </x:c>
      <x:c r="ER38" s="38" t="str"/>
      <x:c r="ES38" s="22" t="str">
        <x:v>Unknown</x:v>
      </x:c>
      <x:c r="ET38" s="22" t="str">
        <x:v>Unknown</x:v>
      </x:c>
      <x:c r="EU38" s="40" t="str">
        <x:f>IF(COUNT($DF38,$DG38,$DH38)=0,"",AVERAGE($DF38,$DG38,$DH38))</x:f>
      </x:c>
      <x:c r="EV38" s="40" t="str">
        <x:f>IF(COUNT($DJ38,$DK38,$DL38)=0,"",AVERAGE($DJ38,$DK38,$DL38))</x:f>
      </x:c>
      <x:c r="EW38" s="40" t="str">
        <x:f>IF(OR($EU38="",$EV38=""),"",$EV38-$EU38)</x:f>
      </x:c>
      <x:c r="EX38" s="40" t="str">
        <x:f>IF(COUNT($DM38,$DN38,$DO38)=0,"",AVERAGE($DM38,$DN38,$DO38))</x:f>
      </x:c>
      <x:c r="EY38" s="40" t="str">
        <x:f>IF(COUNT($DQ38,$DR38,$DS38)=0,"",AVERAGE($DQ38,$DR38,$DS38))</x:f>
      </x:c>
      <x:c r="EZ38" s="40" t="str">
        <x:f>IF(OR($EX38="",$EY38=""),"",$EY38-$EX38)</x:f>
      </x:c>
      <x:c r="FA38" s="42" t="str">
        <x:f>IF(COUNT($EA38,$EB38,$EC38)=0,"",AVERAGE($EA38,$EB38,$EC38))</x:f>
      </x:c>
      <x:c r="FB38" s="42" t="str">
        <x:f>IF(COUNT($EE38,$EF38,$EG38)=0,"",AVERAGE($EE38,$EF38,$EG38))</x:f>
      </x:c>
      <x:c r="FC38" s="42" t="str">
        <x:f>IF(OR($FA38="",$FB38=""),"",$FB38-$FA38)</x:f>
      </x:c>
      <x:c r="FD38" s="42" t="str">
        <x:f>IF(COUNT($EH38,$EI38,$EJ38)=0,"",AVERAGE($EH38,$EI38,$EJ38))</x:f>
      </x:c>
      <x:c r="FE38" s="42" t="str">
        <x:f>IF(COUNT($EL38,$EM38,$EN38)=0,"",AVERAGE($EL38,$EM38,$EN38))</x:f>
      </x:c>
      <x:c r="FF38" s="42" t="str">
        <x:f>IF(OR($FD38="",$FE38=""),"",$FE38-$FD38)</x:f>
      </x:c>
      <x:c r="FG38" s="24" t="str">
        <x:f>IF(COUNT($DF38,$DG38,$DH38,$DJ38,$DK38,$DL38,$DM38,$DN38,$DO38,$DQ38,$DR38,$DS38)=12,"Yes","No")</x:f>
        <x:v>No</x:v>
      </x:c>
      <x:c r="FH38" s="24" t="str">
        <x:f>IF(COUNT($EA38,$EB38,$EC38,$EE38,$EF38,$EG38,$EH38,$EI38,$EJ38,$EL38,$EM38,$EN38)=12,"Yes","No")</x:f>
        <x:v>No</x:v>
      </x:c>
      <x:c r="FI38" s="24" t="str">
        <x:f>IF(AND($M38="Include",OR($FG38="Yes",$FH38="Yes")),"Ready","Not ready")</x:f>
        <x:v>Not ready</x:v>
      </x:c>
    </x:row>
    <x:row r="39" ht="24" customHeight="1">
      <x:c r="A39" s="22" t="str">
        <x:v>TRT-0037</x:v>
      </x:c>
      <x:c r="B39" s="22" t="n">
        <x:v>48</x:v>
      </x:c>
      <x:c r="C39" s="22" t="str">
        <x:v>Candidate treatment group</x:v>
      </x:c>
      <x:c r="D39" s="22" t="n">
        <x:v>1</x:v>
      </x:c>
      <x:c r="E39" s="22" t="str">
        <x:v>DATA - Innovation driven deals.xlsx</x:v>
      </x:c>
      <x:c r="F39" s="22" t="str">
        <x:v>polytherics acquires antitope</x:v>
      </x:c>
      <x:c r="G39" s="22" t="str">
        <x:v>No</x:v>
      </x:c>
      <x:c r="H39" s="22" t="str">
        <x:v>No</x:v>
      </x:c>
      <x:c r="I39" s="22" t="str">
        <x:v>No</x:v>
      </x:c>
      <x:c r="J39" s="22" t="n">
        <x:v>1</x:v>
      </x:c>
      <x:c r="K39" s="22" t="str">
        <x:v>Not started</x:v>
      </x:c>
      <x:c r="L39" s="22" t="str">
        <x:v>Eligible - 100%</x:v>
      </x:c>
      <x:c r="M39" s="22" t="str">
        <x:v>Review</x:v>
      </x:c>
      <x:c r="N39" s="22" t="str"/>
      <x:c r="O39" s="28" t="n">
        <x:v>41481</x:v>
      </x:c>
      <x:c r="P39" s="28" t="n">
        <x:v>41481</x:v>
      </x:c>
      <x:c r="Q39" s="22" t="n">
        <x:v>2013</x:v>
      </x:c>
      <x:c r="R39" s="22" t="str">
        <x:v>Q3 2013</x:v>
      </x:c>
      <x:c r="S39" s="22" t="str">
        <x:v>Completed</x:v>
      </x:c>
      <x:c r="T39" s="26" t="str">
        <x:v>PolyTherics acquires Antitope</x:v>
      </x:c>
      <x:c r="U39" s="22" t="str">
        <x:v>Mergers &amp; Acquisitions</x:v>
      </x:c>
      <x:c r="V39" s="22" t="str">
        <x:v>Acquisition</x:v>
      </x:c>
      <x:c r="W39" s="22" t="str">
        <x:v>100% Acquisition</x:v>
      </x:c>
      <x:c r="X39" s="22" t="str">
        <x:v>United Kingdom</x:v>
      </x:c>
      <x:c r="Y39" s="22" t="str">
        <x:v>100% Acquisition</x:v>
      </x:c>
      <x:c r="Z39" s="26"/>
      <x:c r="AA39" s="26"/>
      <x:c r="AB39" s="22" t="str">
        <x:v>Abzena UK Ltd</x:v>
      </x:c>
      <x:c r="AC39" s="22" t="str">
        <x:v>abzena uk</x:v>
      </x:c>
      <x:c r="AD39" s="22" t="str">
        <x:v>Antitope Ltd</x:v>
      </x:c>
      <x:c r="AE39" s="22" t="str">
        <x:v>antitope</x:v>
      </x:c>
      <x:c r="AF39" s="30"/>
      <x:c r="AG39" s="22" t="str">
        <x:v>n/a</x:v>
      </x:c>
      <x:c r="AH39" s="26" t="str">
        <x:v>PolyTherics Limited, a provider of technologies and services for the development of biopharmaceutical products, has acquired Antitope Limited, a biotechnology company. Both the companies are based in the UK. 
_x000d_ As part of the consideration, PolyTherics is issuing new shares up to an aggregate value of GBP13.5 million to fund the transaction and to provide working capital for the enlarged group. Imperial Innovations led the investment with further funds provided by Invesco Perpetual, Mercia Fund Management and Advantage Enterprise &amp; Innovation Fund.  
_x000d_ Pursuant to the transaction, Antitope will operate as a wholly-owned subsidiary of PolyTherics.</x:v>
      </x:c>
      <x:c r="AI39" s="26" t="str">
        <x:v>The transaction will allow PolyTherics to expand its drug development service offerings.</x:v>
      </x:c>
      <x:c r="AJ39" s="22" t="str"/>
      <x:c r="AK39" s="22" t="str"/>
      <x:c r="AL39" s="22" t="str">
        <x:v>Unknown</x:v>
      </x:c>
      <x:c r="AM39" s="22" t="str">
        <x:v>Unknown</x:v>
      </x:c>
      <x:c r="AN39" s="22" t="str"/>
      <x:c r="AO39" s="22" t="str"/>
      <x:c r="AP39" s="22" t="str"/>
      <x:c r="AQ39" s="22" t="str"/>
      <x:c r="AR39" s="22" t="str"/>
      <x:c r="AS39" s="22" t="str">
        <x:v>Abzena UK Ltd</x:v>
      </x:c>
      <x:c r="AT39" s="22" t="str">
        <x:v>Antitope Ltd</x:v>
      </x:c>
      <x:c r="AU39" s="22" t="str">
        <x:v>Not reviewed</x:v>
      </x:c>
      <x:c r="AV39" s="22" t="str">
        <x:v>Not assessed</x:v>
      </x:c>
      <x:c r="AW39" s="22" t="str">
        <x:v>Unknown</x:v>
      </x:c>
      <x:c r="AX39" s="22" t="str">
        <x:v>Unknown</x:v>
      </x:c>
      <x:c r="AY39" s="22" t="str">
        <x:v>Unknown</x:v>
      </x:c>
      <x:c r="AZ39" s="22" t="str">
        <x:v>Unknown</x:v>
      </x:c>
      <x:c r="BA39" s="22" t="str">
        <x:v>Unknown</x:v>
      </x:c>
      <x:c r="BB39" s="22" t="str">
        <x:v>Unknown</x:v>
      </x:c>
      <x:c r="BC39" s="26" t="str"/>
      <x:c r="BD39" s="22" t="str"/>
      <x:c r="BE39" s="22" t="str"/>
      <x:c r="BF39" s="22" t="str">
        <x:v>Not collected</x:v>
      </x:c>
      <x:c r="BG39" s="22" t="str">
        <x:v>Not collected</x:v>
      </x:c>
      <x:c r="BH39" s="22" t="str">
        <x:v>Not defined</x:v>
      </x:c>
      <x:c r="BI39" s="22" t="n">
        <x:f>IF($Q39="","",$Q39-3)</x:f>
        <x:v>2010</x:v>
      </x:c>
      <x:c r="BJ39" s="22" t="n">
        <x:f>IF($Q39="","",$Q39-2)</x:f>
        <x:v>2011</x:v>
      </x:c>
      <x:c r="BK39" s="22" t="n">
        <x:f>IF($Q39="","",$Q39-1)</x:f>
        <x:v>2012</x:v>
      </x:c>
      <x:c r="BL39" s="22" t="n">
        <x:f>IF($Q39="","",$Q39+0)</x:f>
        <x:v>2013</x:v>
      </x:c>
      <x:c r="BM39" s="22" t="n">
        <x:f>IF($Q39="","",$Q39+1)</x:f>
        <x:v>2014</x:v>
      </x:c>
      <x:c r="BN39" s="22" t="n">
        <x:f>IF($Q39="","",$Q39+2)</x:f>
        <x:v>2015</x:v>
      </x:c>
      <x:c r="BO39" s="22" t="n">
        <x:f>IF($Q39="","",$Q39+3)</x:f>
        <x:v>2016</x:v>
      </x:c>
      <x:c r="BP39" s="30" t="str"/>
      <x:c r="BQ39" s="30" t="str"/>
      <x:c r="BR39" s="30" t="str"/>
      <x:c r="BS39" s="30" t="str"/>
      <x:c r="BT39" s="30" t="str"/>
      <x:c r="BU39" s="30" t="str"/>
      <x:c r="BV39" s="30" t="str"/>
      <x:c r="BW39" s="30" t="str"/>
      <x:c r="BX39" s="30" t="str"/>
      <x:c r="BY39" s="30" t="str"/>
      <x:c r="BZ39" s="30" t="str"/>
      <x:c r="CA39" s="30" t="str"/>
      <x:c r="CB39" s="30" t="str"/>
      <x:c r="CC39" s="30" t="str"/>
      <x:c r="CD39" s="30" t="str"/>
      <x:c r="CE39" s="30" t="str"/>
      <x:c r="CF39" s="30" t="str"/>
      <x:c r="CG39" s="30" t="str"/>
      <x:c r="CH39" s="30" t="str"/>
      <x:c r="CI39" s="30" t="str"/>
      <x:c r="CJ39" s="30" t="str"/>
      <x:c r="CK39" s="30" t="str"/>
      <x:c r="CL39" s="30" t="str"/>
      <x:c r="CM39" s="30" t="str"/>
      <x:c r="CN39" s="30" t="str"/>
      <x:c r="CO39" s="30" t="str"/>
      <x:c r="CP39" s="30" t="str"/>
      <x:c r="CQ39" s="30" t="str"/>
      <x:c r="CR39" s="30" t="str"/>
      <x:c r="CS39" s="30" t="str"/>
      <x:c r="CT39" s="30" t="str"/>
      <x:c r="CU39" s="30" t="str"/>
      <x:c r="CV39" s="30" t="str"/>
      <x:c r="CW39" s="30" t="str"/>
      <x:c r="CX39" s="30" t="str"/>
      <x:c r="CY39" s="30" t="str"/>
      <x:c r="CZ39" s="30" t="str"/>
      <x:c r="DA39" s="30" t="str"/>
      <x:c r="DB39" s="30" t="str"/>
      <x:c r="DC39" s="30" t="str"/>
      <x:c r="DD39" s="30" t="str"/>
      <x:c r="DE39" s="30" t="str"/>
      <x:c r="DF39" s="32" t="str"/>
      <x:c r="DG39" s="32" t="str"/>
      <x:c r="DH39" s="32" t="str"/>
      <x:c r="DI39" s="32" t="str"/>
      <x:c r="DJ39" s="32" t="str"/>
      <x:c r="DK39" s="32" t="str"/>
      <x:c r="DL39" s="32" t="str"/>
      <x:c r="DM39" s="32" t="str"/>
      <x:c r="DN39" s="32" t="str"/>
      <x:c r="DO39" s="32" t="str"/>
      <x:c r="DP39" s="32" t="str"/>
      <x:c r="DQ39" s="32" t="str"/>
      <x:c r="DR39" s="32" t="str"/>
      <x:c r="DS39" s="32" t="str"/>
      <x:c r="DT39" s="32" t="str"/>
      <x:c r="DU39" s="32" t="str"/>
      <x:c r="DV39" s="32" t="str"/>
      <x:c r="DW39" s="32" t="str"/>
      <x:c r="DX39" s="32" t="str"/>
      <x:c r="DY39" s="32" t="str"/>
      <x:c r="DZ39" s="32" t="str"/>
      <x:c r="EA39" s="34" t="str"/>
      <x:c r="EB39" s="34" t="str"/>
      <x:c r="EC39" s="34" t="str"/>
      <x:c r="ED39" s="34" t="str"/>
      <x:c r="EE39" s="34" t="str"/>
      <x:c r="EF39" s="34" t="str"/>
      <x:c r="EG39" s="34" t="str"/>
      <x:c r="EH39" s="34" t="str"/>
      <x:c r="EI39" s="34" t="str"/>
      <x:c r="EJ39" s="34" t="str"/>
      <x:c r="EK39" s="34" t="str"/>
      <x:c r="EL39" s="34" t="str"/>
      <x:c r="EM39" s="34" t="str"/>
      <x:c r="EN39" s="34" t="str"/>
      <x:c r="EO39" s="34" t="str"/>
      <x:c r="EP39" s="34" t="str"/>
      <x:c r="EQ39" s="36" t="str">
        <x:f>IF(OR($EO39="",$EP39="",$EO39=0),"",$EP39/$EO39)</x:f>
      </x:c>
      <x:c r="ER39" s="38" t="str"/>
      <x:c r="ES39" s="22" t="str">
        <x:v>Unknown</x:v>
      </x:c>
      <x:c r="ET39" s="22" t="str">
        <x:v>Unknown</x:v>
      </x:c>
      <x:c r="EU39" s="40" t="str">
        <x:f>IF(COUNT($DF39,$DG39,$DH39)=0,"",AVERAGE($DF39,$DG39,$DH39))</x:f>
      </x:c>
      <x:c r="EV39" s="40" t="str">
        <x:f>IF(COUNT($DJ39,$DK39,$DL39)=0,"",AVERAGE($DJ39,$DK39,$DL39))</x:f>
      </x:c>
      <x:c r="EW39" s="40" t="str">
        <x:f>IF(OR($EU39="",$EV39=""),"",$EV39-$EU39)</x:f>
      </x:c>
      <x:c r="EX39" s="40" t="str">
        <x:f>IF(COUNT($DM39,$DN39,$DO39)=0,"",AVERAGE($DM39,$DN39,$DO39))</x:f>
      </x:c>
      <x:c r="EY39" s="40" t="str">
        <x:f>IF(COUNT($DQ39,$DR39,$DS39)=0,"",AVERAGE($DQ39,$DR39,$DS39))</x:f>
      </x:c>
      <x:c r="EZ39" s="40" t="str">
        <x:f>IF(OR($EX39="",$EY39=""),"",$EY39-$EX39)</x:f>
      </x:c>
      <x:c r="FA39" s="42" t="str">
        <x:f>IF(COUNT($EA39,$EB39,$EC39)=0,"",AVERAGE($EA39,$EB39,$EC39))</x:f>
      </x:c>
      <x:c r="FB39" s="42" t="str">
        <x:f>IF(COUNT($EE39,$EF39,$EG39)=0,"",AVERAGE($EE39,$EF39,$EG39))</x:f>
      </x:c>
      <x:c r="FC39" s="42" t="str">
        <x:f>IF(OR($FA39="",$FB39=""),"",$FB39-$FA39)</x:f>
      </x:c>
      <x:c r="FD39" s="42" t="str">
        <x:f>IF(COUNT($EH39,$EI39,$EJ39)=0,"",AVERAGE($EH39,$EI39,$EJ39))</x:f>
      </x:c>
      <x:c r="FE39" s="42" t="str">
        <x:f>IF(COUNT($EL39,$EM39,$EN39)=0,"",AVERAGE($EL39,$EM39,$EN39))</x:f>
      </x:c>
      <x:c r="FF39" s="42" t="str">
        <x:f>IF(OR($FD39="",$FE39=""),"",$FE39-$FD39)</x:f>
      </x:c>
      <x:c r="FG39" s="24" t="str">
        <x:f>IF(COUNT($DF39,$DG39,$DH39,$DJ39,$DK39,$DL39,$DM39,$DN39,$DO39,$DQ39,$DR39,$DS39)=12,"Yes","No")</x:f>
        <x:v>No</x:v>
      </x:c>
      <x:c r="FH39" s="24" t="str">
        <x:f>IF(COUNT($EA39,$EB39,$EC39,$EE39,$EF39,$EG39,$EH39,$EI39,$EJ39,$EL39,$EM39,$EN39)=12,"Yes","No")</x:f>
        <x:v>No</x:v>
      </x:c>
      <x:c r="FI39" s="24" t="str">
        <x:f>IF(AND($M39="Include",OR($FG39="Yes",$FH39="Yes")),"Ready","Not ready")</x:f>
        <x:v>Not ready</x:v>
      </x:c>
    </x:row>
    <x:row r="40" ht="24" customHeight="1">
      <x:c r="A40" s="22" t="str">
        <x:v>TRT-0038</x:v>
      </x:c>
      <x:c r="B40" s="22" t="n">
        <x:v>49</x:v>
      </x:c>
      <x:c r="C40" s="22" t="str">
        <x:v>Candidate treatment group</x:v>
      </x:c>
      <x:c r="D40" s="22" t="n">
        <x:v>1</x:v>
      </x:c>
      <x:c r="E40" s="22" t="str">
        <x:v>DATA - Innovation driven deals.xlsx</x:v>
      </x:c>
      <x:c r="F40" s="22" t="str">
        <x:v>glaxosmithkline acquires okairos</x:v>
      </x:c>
      <x:c r="G40" s="22" t="str">
        <x:v>Yes</x:v>
      </x:c>
      <x:c r="H40" s="22" t="str">
        <x:v>No</x:v>
      </x:c>
      <x:c r="I40" s="22" t="str">
        <x:v>No</x:v>
      </x:c>
      <x:c r="J40" s="22" t="n">
        <x:v>1</x:v>
      </x:c>
      <x:c r="K40" s="22" t="str">
        <x:v>Not started</x:v>
      </x:c>
      <x:c r="L40" s="22" t="str">
        <x:v>Review - majority</x:v>
      </x:c>
      <x:c r="M40" s="22" t="str">
        <x:v>Review</x:v>
      </x:c>
      <x:c r="N40" s="22" t="str"/>
      <x:c r="O40" s="28" t="n">
        <x:v>41423</x:v>
      </x:c>
      <x:c r="P40" s="28" t="n">
        <x:v>41423</x:v>
      </x:c>
      <x:c r="Q40" s="22" t="n">
        <x:v>2013</x:v>
      </x:c>
      <x:c r="R40" s="22" t="str">
        <x:v>Q2 2013</x:v>
      </x:c>
      <x:c r="S40" s="22" t="str">
        <x:v>Completed</x:v>
      </x:c>
      <x:c r="T40" s="26" t="str">
        <x:v>GlaxoSmithKline acquires Okairos</x:v>
      </x:c>
      <x:c r="U40" s="22" t="str">
        <x:v>Mergers &amp; Acquisitions</x:v>
      </x:c>
      <x:c r="V40" s="22" t="str">
        <x:v>Acquisition</x:v>
      </x:c>
      <x:c r="W40" s="22" t="str">
        <x:v>Majority Acquisition</x:v>
      </x:c>
      <x:c r="X40" s="22" t="str">
        <x:v>Italy</x:v>
      </x:c>
      <x:c r="Y40" s="22" t="str">
        <x:v>Majority Acquisition</x:v>
      </x:c>
      <x:c r="Z40" s="26"/>
      <x:c r="AA40" s="26"/>
      <x:c r="AB40" s="22" t="str">
        <x:v>GSK plc.</x:v>
      </x:c>
      <x:c r="AC40" s="22" t="str">
        <x:v>gsk</x:v>
      </x:c>
      <x:c r="AD40" s="22" t="str">
        <x:v>ReiThera Srl</x:v>
      </x:c>
      <x:c r="AE40" s="22" t="str">
        <x:v>reithera</x:v>
      </x:c>
      <x:c r="AF40" s="30" t="n">
        <x:v>325</x:v>
      </x:c>
      <x:c r="AG40" s="22" t="n">
        <x:v>325</x:v>
      </x:c>
      <x:c r="AH40" s="26" t="str">
        <x:v>GlaxoSmithKline plc (GSK), a UK-based pharmaceutical, biologics, vaccines and consumer healthcare company, has acquired Okairos AG, a Switzerland-based developer of vaccine platform technologies, for $325 million in cash.
_x000d_The transaction also includes a small number of early stage assets. 
_x000d_Under the terms of the transaction, GSK will take full ownership of Okairos and thus assume ownership of early stage assets for diseases such as respiratory syncytial virus (RSV), hepatitis C virus (HCV), malaria, tuberculosis, ebola and HIV, supplementing Okairos’ existing vaccines pipeline. 
_x000d_Earlier, Okairos had secured funding from BioMedPartners AG, Boehringer Ingelheim Venture Fund, Life Science Partners (LSP), Novartis Venture Funds and Versant Ventures, Inc.</x:v>
      </x:c>
      <x:c r="AI40" s="26" t="str">
        <x:v>Okairos’ novel vaccine platform technology will enhance GSK’s development of new prophylactic vaccines (designed to prevent infection) as well as new classes of therapeutic vaccines (designed to treat infection or disease). _x000d_
_x000d_
Okairos’ technology complements GSK’s existing vaccine technology and expertise and will enable GSK to continue its work developing the next generation of vaccines.</x:v>
      </x:c>
      <x:c r="AJ40" s="22" t="str"/>
      <x:c r="AK40" s="22" t="str"/>
      <x:c r="AL40" s="22" t="str">
        <x:v>Unknown</x:v>
      </x:c>
      <x:c r="AM40" s="22" t="str">
        <x:v>Yes</x:v>
      </x:c>
      <x:c r="AN40" s="22" t="str">
        <x:v>GSK LN</x:v>
      </x:c>
      <x:c r="AO40" s="22" t="str"/>
      <x:c r="AP40" s="22" t="str"/>
      <x:c r="AQ40" s="22" t="str"/>
      <x:c r="AR40" s="22" t="str"/>
      <x:c r="AS40" s="22" t="str">
        <x:v>GSK plc.</x:v>
      </x:c>
      <x:c r="AT40" s="22" t="str">
        <x:v>ReiThera Srl</x:v>
      </x:c>
      <x:c r="AU40" s="22" t="str">
        <x:v>Not reviewed</x:v>
      </x:c>
      <x:c r="AV40" s="22" t="str">
        <x:v>Not assessed</x:v>
      </x:c>
      <x:c r="AW40" s="22" t="str">
        <x:v>Lens.org acquirer-side patent export imported; target patent export not supplied.</x:v>
      </x:c>
      <x:c r="AX40" s="22" t="str">
        <x:v>Unknown</x:v>
      </x:c>
      <x:c r="AY40" s="22" t="str">
        <x:v>Unknown</x:v>
      </x:c>
      <x:c r="AZ40" s="22" t="str">
        <x:v>Unknown</x:v>
      </x:c>
      <x:c r="BA40" s="22" t="str">
        <x:v>Unknown</x:v>
      </x:c>
      <x:c r="BB40" s="22" t="str">
        <x:v>Unknown</x:v>
      </x:c>
      <x:c r="BC40" s="26" t="str"/>
      <x:c r="BD40" s="22" t="str"/>
      <x:c r="BE40" s="22" t="str">
        <x:v>EUR</x:v>
      </x:c>
      <x:c r="BF40" s="22" t="str">
        <x:v>Complete</x:v>
      </x:c>
      <x:c r="BG40" s="22" t="str">
        <x:v>Partial event window — 6/7 years covered; limited subsidiary scope</x:v>
      </x:c>
      <x:c r="BH40" s="22" t="str">
        <x:v>Export is concentrated on GSK Consumer Healthcare/Haleon and may not represent the full GSK pharmaceutical group.</x:v>
      </x:c>
      <x:c r="BI40" s="22" t="n">
        <x:v>2010</x:v>
      </x:c>
      <x:c r="BJ40" s="22" t="n">
        <x:v>2011</x:v>
      </x:c>
      <x:c r="BK40" s="22" t="n">
        <x:v>2012</x:v>
      </x:c>
      <x:c r="BL40" s="22" t="n">
        <x:v>2013</x:v>
      </x:c>
      <x:c r="BM40" s="22" t="n">
        <x:v>2014</x:v>
      </x:c>
      <x:c r="BN40" s="22" t="n">
        <x:v>2015</x:v>
      </x:c>
      <x:c r="BO40" s="22" t="n">
        <x:v>2016</x:v>
      </x:c>
      <x:c r="BP40" s="30" t="n">
        <x:v>33112.4809</x:v>
      </x:c>
      <x:c r="BQ40" s="30" t="n">
        <x:v>31564.1246</x:v>
      </x:c>
      <x:c r="BR40" s="30" t="n">
        <x:v>32595.1901</x:v>
      </x:c>
      <x:c r="BS40" s="30" t="n">
        <x:v>31221.028</x:v>
      </x:c>
      <x:c r="BT40" s="30" t="n">
        <x:v>28547.6471</x:v>
      </x:c>
      <x:c r="BU40" s="30" t="n">
        <x:v>32954.9709</x:v>
      </x:c>
      <x:c r="BV40" s="30" t="n">
        <x:v>34143.3059</x:v>
      </x:c>
      <x:c r="BW40" s="30" t="n">
        <x:v>6050.5618</x:v>
      </x:c>
      <x:c r="BX40" s="30" t="n">
        <x:v>9666.2034</x:v>
      </x:c>
      <x:c r="BY40" s="30" t="n">
        <x:v>9646.2327</x:v>
      </x:c>
      <x:c r="BZ40" s="30" t="n">
        <x:v>8845.0745</x:v>
      </x:c>
      <x:c r="CA40" s="30" t="n">
        <x:v>7446.5109</x:v>
      </x:c>
      <x:c r="CB40" s="30" t="n">
        <x:v>7646.7434</x:v>
      </x:c>
      <x:c r="CC40" s="30" t="n">
        <x:v>9044.8114</x:v>
      </x:c>
      <x:c r="CD40" s="30" t="n">
        <x:v>1905.6704</x:v>
      </x:c>
      <x:c r="CE40" s="30" t="n">
        <x:v>6063.4191</x:v>
      </x:c>
      <x:c r="CF40" s="30" t="n">
        <x:v>5548.2487</x:v>
      </x:c>
      <x:c r="CG40" s="30" t="n">
        <x:v>6403.2261</x:v>
      </x:c>
      <x:c r="CH40" s="30" t="n">
        <x:v>3419.8607</x:v>
      </x:c>
      <x:c r="CI40" s="30" t="n">
        <x:v>11601.6706</x:v>
      </x:c>
      <x:c r="CJ40" s="30" t="n">
        <x:v>1116.5225</x:v>
      </x:c>
      <x:c r="CK40" s="30" t="n">
        <x:v>49259.908</x:v>
      </x:c>
      <x:c r="CL40" s="30" t="n">
        <x:v>49159.7006</x:v>
      </x:c>
      <x:c r="CM40" s="30" t="n">
        <x:v>51052.0877</x:v>
      </x:c>
      <x:c r="CN40" s="30" t="n">
        <x:v>50561.8011</x:v>
      </x:c>
      <x:c r="CO40" s="30" t="n">
        <x:v>52345.7216</x:v>
      </x:c>
      <x:c r="CP40" s="30" t="n">
        <x:v>72471.3201</x:v>
      </x:c>
      <x:c r="CQ40" s="30" t="n">
        <x:v>69152.8345</x:v>
      </x:c>
      <x:c r="CR40" s="30" t="n">
        <x:v>17613.654</x:v>
      </x:c>
      <x:c r="CS40" s="30" t="n">
        <x:v>17831.76</x:v>
      </x:c>
      <x:c r="CT40" s="30" t="n">
        <x:v>22524.8984</x:v>
      </x:c>
      <x:c r="CU40" s="30" t="n">
        <x:v>21919.4046</x:v>
      </x:c>
      <x:c r="CV40" s="30" t="n">
        <x:v>24187.8929</x:v>
      </x:c>
      <x:c r="CW40" s="30" t="n">
        <x:v>22552.5389</x:v>
      </x:c>
      <x:c r="CX40" s="30" t="n">
        <x:v>21993.2256</x:v>
      </x:c>
      <x:c r="CY40" s="30" t="n">
        <x:v>4623.0584</x:v>
      </x:c>
      <x:c r="CZ40" s="30" t="n">
        <x:v>4396.8721</x:v>
      </x:c>
      <x:c r="DA40" s="30" t="n">
        <x:v>4419.854</x:v>
      </x:c>
      <x:c r="DB40" s="30" t="n">
        <x:v>4119.2203</x:v>
      </x:c>
      <x:c r="DC40" s="30" t="n">
        <x:v>3952.1975</x:v>
      </x:c>
      <x:c r="DD40" s="30" t="n">
        <x:v>4321.3537</x:v>
      </x:c>
      <x:c r="DE40" s="30" t="n">
        <x:v>4295.9181</x:v>
      </x:c>
      <x:c r="DF40" s="32" t="n">
        <x:v>3.8405</x:v>
      </x:c>
      <x:c r="DG40" s="32" t="n">
        <x:v>12.6299</x:v>
      </x:c>
      <x:c r="DH40" s="32" t="n">
        <x:v>10.8986</x:v>
      </x:c>
      <x:c r="DI40" s="32" t="n">
        <x:v>13.0099</x:v>
      </x:c>
      <x:c r="DJ40" s="32" t="n">
        <x:v>6.6621</x:v>
      </x:c>
      <x:c r="DK40" s="32" t="n">
        <x:v>17.9007</x:v>
      </x:c>
      <x:c r="DL40" s="32" t="n">
        <x:v>1.6209</x:v>
      </x:c>
      <x:c r="DM40" s="32" t="n">
        <x:v>13.5355</x:v>
      </x:c>
      <x:c r="DN40" s="32" t="n">
        <x:v>28.5975</x:v>
      </x:c>
      <x:c r="DO40" s="32" t="n">
        <x:v>27.8499</x:v>
      </x:c>
      <x:c r="DP40" s="32" t="n">
        <x:v>26.6704</x:v>
      </x:c>
      <x:c r="DQ40" s="32" t="n">
        <x:v>15.5568</x:v>
      </x:c>
      <x:c r="DR40" s="32" t="n">
        <x:v>43.3432</x:v>
      </x:c>
      <x:c r="DS40" s="32" t="n">
        <x:v>9.5055</x:v>
      </x:c>
      <x:c r="DT40" s="32" t="n">
        <x:v>35.7566</x:v>
      </x:c>
      <x:c r="DU40" s="32" t="n">
        <x:v>36.2731</x:v>
      </x:c>
      <x:c r="DV40" s="32" t="n">
        <x:v>44.1214</x:v>
      </x:c>
      <x:c r="DW40" s="32" t="n">
        <x:v>43.3517</x:v>
      </x:c>
      <x:c r="DX40" s="32" t="n">
        <x:v>46.208</x:v>
      </x:c>
      <x:c r="DY40" s="32" t="n">
        <x:v>31.1193</x:v>
      </x:c>
      <x:c r="DZ40" s="32" t="n">
        <x:v>31.8038</x:v>
      </x:c>
      <x:c r="EA40" s="34"/>
      <x:c r="EB40" s="34" t="n">
        <x:v>1</x:v>
      </x:c>
      <x:c r="EC40" s="34" t="n">
        <x:v>0</x:v>
      </x:c>
      <x:c r="ED40" s="34" t="n">
        <x:v>7</x:v>
      </x:c>
      <x:c r="EE40" s="34" t="n">
        <x:v>1</x:v>
      </x:c>
      <x:c r="EF40" s="34" t="n">
        <x:v>2</x:v>
      </x:c>
      <x:c r="EG40" s="34" t="n">
        <x:v>6</x:v>
      </x:c>
      <x:c r="EH40" s="34"/>
      <x:c r="EI40" s="34" t="n">
        <x:v>0</x:v>
      </x:c>
      <x:c r="EJ40" s="34" t="n">
        <x:v>0</x:v>
      </x:c>
      <x:c r="EK40" s="34" t="n">
        <x:v>37</x:v>
      </x:c>
      <x:c r="EL40" s="34" t="n">
        <x:v>0</x:v>
      </x:c>
      <x:c r="EM40" s="34" t="n">
        <x:v>1</x:v>
      </x:c>
      <x:c r="EN40" s="34" t="n">
        <x:v>18</x:v>
      </x:c>
      <x:c r="EO40" s="34"/>
      <x:c r="EP40" s="34" t="str"/>
      <x:c r="EQ40" s="36" t="str">
        <x:f>IF(OR($EO40="",$EP40="",$EO40=0),"",$EP40/$EO40)</x:f>
      </x:c>
      <x:c r="ER40" s="38" t="str"/>
      <x:c r="ES40" s="22" t="str">
        <x:v>No</x:v>
      </x:c>
      <x:c r="ET40" s="22" t="str">
        <x:v>No</x:v>
      </x:c>
      <x:c r="EU40" s="40" t="n">
        <x:f>IF(COUNT($DF40,$DG40,$DH40)=0,"",AVERAGE($DF40,$DG40,$DH40))</x:f>
        <x:v>9.123</x:v>
      </x:c>
      <x:c r="EV40" s="40" t="n">
        <x:f>IF(COUNT($DJ40,$DK40,$DL40)=0,"",AVERAGE($DJ40,$DK40,$DL40))</x:f>
        <x:v>8.7279</x:v>
      </x:c>
      <x:c r="EW40" s="40" t="n">
        <x:f>IF(OR($EU40="",$EV40=""),"",$EV40-$EU40)</x:f>
        <x:v>-0.39509999999999934</x:v>
      </x:c>
      <x:c r="EX40" s="40" t="n">
        <x:f>IF(COUNT($DM40,$DN40,$DO40)=0,"",AVERAGE($DM40,$DN40,$DO40))</x:f>
        <x:v>23.327633333333335</x:v>
      </x:c>
      <x:c r="EY40" s="40" t="n">
        <x:f>IF(COUNT($DQ40,$DR40,$DS40)=0,"",AVERAGE($DQ40,$DR40,$DS40))</x:f>
        <x:v>22.801833333333335</x:v>
      </x:c>
      <x:c r="EZ40" s="40" t="n">
        <x:f>IF(OR($EX40="",$EY40=""),"",$EY40-$EX40)</x:f>
        <x:v>-0.5258000000000003</x:v>
      </x:c>
      <x:c r="FA40" s="42" t="n">
        <x:f>IF(COUNT($EA40,$EB40,$EC40)=0,"",AVERAGE($EA40,$EB40,$EC40))</x:f>
        <x:v>0.5</x:v>
      </x:c>
      <x:c r="FB40" s="42" t="n">
        <x:f>IF(COUNT($EE40,$EF40,$EG40)=0,"",AVERAGE($EE40,$EF40,$EG40))</x:f>
        <x:v>3</x:v>
      </x:c>
      <x:c r="FC40" s="42" t="n">
        <x:f>IF(OR($FA40="",$FB40=""),"",$FB40-$FA40)</x:f>
        <x:v>2.5</x:v>
      </x:c>
      <x:c r="FD40" s="42" t="n">
        <x:f>IF(COUNT($EH40,$EI40,$EJ40)=0,"",AVERAGE($EH40,$EI40,$EJ40))</x:f>
        <x:v>0</x:v>
      </x:c>
      <x:c r="FE40" s="42" t="n">
        <x:f>IF(COUNT($EL40,$EM40,$EN40)=0,"",AVERAGE($EL40,$EM40,$EN40))</x:f>
        <x:v>6.333333333333333</x:v>
      </x:c>
      <x:c r="FF40" s="42" t="str">
        <x:f>IF(OR($FD40="",$FE40=""),"",$FE40-$FD40)</x:f>
      </x:c>
      <x:c r="FG40" s="24" t="str">
        <x:f>IF(COUNT($DF40,$DG40,$DH40,$DJ40,$DK40,$DL40,$DM40,$DN40,$DO40,$DQ40,$DR40,$DS40)=12,"Yes","No")</x:f>
        <x:v>Yes</x:v>
      </x:c>
      <x:c r="FH40" s="24" t="str">
        <x:f>IF(COUNT($EA40,$EB40,$EC40,$EE40,$EF40,$EG40,$EH40,$EI40,$EJ40,$EL40,$EM40,$EN40)=12,"Yes","No")</x:f>
        <x:v>No</x:v>
      </x:c>
      <x:c r="FI40" s="24" t="str">
        <x:f>IF(AND($M40="Include",OR($FG40="Yes",$FH40="Yes")),"Ready","Not ready")</x:f>
        <x:v>Not ready</x:v>
      </x:c>
    </x:row>
    <x:row r="41" ht="24" customHeight="1">
      <x:c r="A41" s="22" t="str">
        <x:v>TRT-0039</x:v>
      </x:c>
      <x:c r="B41" s="22" t="n">
        <x:v>50</x:v>
      </x:c>
      <x:c r="C41" s="22" t="str">
        <x:v>Candidate treatment group</x:v>
      </x:c>
      <x:c r="D41" s="22" t="n">
        <x:v>1</x:v>
      </x:c>
      <x:c r="E41" s="22" t="str">
        <x:v>DATA - Innovation driven deals.xlsx</x:v>
      </x:c>
      <x:c r="F41" s="22" t="str">
        <x:v>eurofins scientific acquires aros applied biotechnology</x:v>
      </x:c>
      <x:c r="G41" s="22" t="str">
        <x:v>Yes</x:v>
      </x:c>
      <x:c r="H41" s="22" t="str">
        <x:v>No</x:v>
      </x:c>
      <x:c r="I41" s="22" t="str">
        <x:v>No</x:v>
      </x:c>
      <x:c r="J41" s="22" t="n">
        <x:v>1</x:v>
      </x:c>
      <x:c r="K41" s="22" t="str">
        <x:v>Not started</x:v>
      </x:c>
      <x:c r="L41" s="22" t="str">
        <x:v>Review - majority</x:v>
      </x:c>
      <x:c r="M41" s="22" t="str">
        <x:v>Review</x:v>
      </x:c>
      <x:c r="N41" s="22" t="str"/>
      <x:c r="O41" s="28" t="n">
        <x:v>41326</x:v>
      </x:c>
      <x:c r="P41" s="28" t="n">
        <x:v>41326</x:v>
      </x:c>
      <x:c r="Q41" s="22" t="n">
        <x:v>2013</x:v>
      </x:c>
      <x:c r="R41" s="22" t="str">
        <x:v>Q1 2013</x:v>
      </x:c>
      <x:c r="S41" s="22" t="str">
        <x:v>Completed</x:v>
      </x:c>
      <x:c r="T41" s="26" t="str">
        <x:v>Eurofins Scientific acquires AROS Applied Biotechnology</x:v>
      </x:c>
      <x:c r="U41" s="22" t="str">
        <x:v>Mergers &amp; Acquisitions</x:v>
      </x:c>
      <x:c r="V41" s="22" t="str">
        <x:v>Acquisition</x:v>
      </x:c>
      <x:c r="W41" s="22" t="str">
        <x:v>Majority Acquisition</x:v>
      </x:c>
      <x:c r="X41" s="22" t="str">
        <x:v>Denmark</x:v>
      </x:c>
      <x:c r="Y41" s="22" t="str">
        <x:v>Majority Acquisition</x:v>
      </x:c>
      <x:c r="Z41" s="26"/>
      <x:c r="AA41" s="26"/>
      <x:c r="AB41" s="22" t="str">
        <x:v>Eurofins Scientific SE</x:v>
      </x:c>
      <x:c r="AC41" s="22" t="str">
        <x:v>eurofins scientific</x:v>
      </x:c>
      <x:c r="AD41" s="22" t="str">
        <x:v>AROS Applied Biotechnology AS</x:v>
      </x:c>
      <x:c r="AE41" s="22" t="str">
        <x:v>aros applied biotechnology</x:v>
      </x:c>
      <x:c r="AF41" s="30"/>
      <x:c r="AG41" s="22" t="str">
        <x:v>n/a</x:v>
      </x:c>
      <x:c r="AH41" s="26" t="str">
        <x:v>Eurofins Scientific S.A., a Belgium-based provider of food, environment and pharmaceutical product testing services, has acquired AROS Applied Biotechnology AS (AROS), a Denmark-based contract research organization providing service to the pharmaceutical industry and universities.
_x000d_ AROS generated revenues of about EUR10 million.</x:v>
      </x:c>
      <x:c r="AI41" s="26" t="str">
        <x:v>The transaction will reinforce Eurofins' position as a testing provider to the pharmaceutical industry, and expands its genomic services footprint into the Nordic region. It also complements Eurofins' technological platform with additional capabilities in genotyping and expression profiling. The acquisition also allows Eurofin to further expand its share by leveraging its increased scale._x000d_
_x000d_
The acquisition will also provide AROS access to a broader portfolio of genomic services to further strengthen its position as a genomic service provider in markets.</x:v>
      </x:c>
      <x:c r="AJ41" s="22" t="str"/>
      <x:c r="AK41" s="22" t="str"/>
      <x:c r="AL41" s="22" t="str">
        <x:v>Unknown</x:v>
      </x:c>
      <x:c r="AM41" s="22" t="str">
        <x:v>Yes</x:v>
      </x:c>
      <x:c r="AN41" s="22" t="str">
        <x:v>ERF FP</x:v>
      </x:c>
      <x:c r="AO41" s="22" t="str"/>
      <x:c r="AP41" s="22" t="str"/>
      <x:c r="AQ41" s="22" t="str"/>
      <x:c r="AR41" s="22" t="str"/>
      <x:c r="AS41" s="22" t="str">
        <x:v>Eurofins Scientific SE</x:v>
      </x:c>
      <x:c r="AT41" s="22" t="str">
        <x:v>AROS Applied Biotechnology AS</x:v>
      </x:c>
      <x:c r="AU41" s="22" t="str">
        <x:v>Not reviewed</x:v>
      </x:c>
      <x:c r="AV41" s="22" t="str">
        <x:v>Not assessed</x:v>
      </x:c>
      <x:c r="AW41" s="22" t="str">
        <x:v>Lens.org acquirer-side patent export imported; target patent export not supplied.</x:v>
      </x:c>
      <x:c r="AX41" s="22" t="str">
        <x:v>Unknown</x:v>
      </x:c>
      <x:c r="AY41" s="22" t="str">
        <x:v>Unknown</x:v>
      </x:c>
      <x:c r="AZ41" s="22" t="str">
        <x:v>Unknown</x:v>
      </x:c>
      <x:c r="BA41" s="22" t="str">
        <x:v>Unknown</x:v>
      </x:c>
      <x:c r="BB41" s="22" t="str">
        <x:v>Unknown</x:v>
      </x:c>
      <x:c r="BC41" s="26" t="str"/>
      <x:c r="BD41" s="22" t="str"/>
      <x:c r="BE41" s="22" t="str">
        <x:v>EUR</x:v>
      </x:c>
      <x:c r="BF41" s="22" t="str">
        <x:v>Complete</x:v>
      </x:c>
      <x:c r="BG41" s="22" t="str">
        <x:v>Insufficient event-window coverage</x:v>
      </x:c>
      <x:c r="BH41" s="22" t="str">
        <x:v>Single family matched through owner field; event-window coverage is not established.</x:v>
      </x:c>
      <x:c r="BI41" s="22" t="n">
        <x:v>2010</x:v>
      </x:c>
      <x:c r="BJ41" s="22" t="n">
        <x:v>2011</x:v>
      </x:c>
      <x:c r="BK41" s="22" t="n">
        <x:v>2012</x:v>
      </x:c>
      <x:c r="BL41" s="22" t="n">
        <x:v>2013</x:v>
      </x:c>
      <x:c r="BM41" s="22" t="n">
        <x:v>2014</x:v>
      </x:c>
      <x:c r="BN41" s="22" t="n">
        <x:v>2015</x:v>
      </x:c>
      <x:c r="BO41" s="22" t="n">
        <x:v>2016</x:v>
      </x:c>
      <x:c r="BP41" s="30" t="n">
        <x:v>680.333</x:v>
      </x:c>
      <x:c r="BQ41" s="30" t="n">
        <x:v>828.934</x:v>
      </x:c>
      <x:c r="BR41" s="30" t="n">
        <x:v>1043.963</x:v>
      </x:c>
      <x:c r="BS41" s="30" t="n">
        <x:v>1225.572</x:v>
      </x:c>
      <x:c r="BT41" s="30" t="n">
        <x:v>1410.227</x:v>
      </x:c>
      <x:c r="BU41" s="30" t="n">
        <x:v>1950.074</x:v>
      </x:c>
      <x:c r="BV41" s="30" t="n">
        <x:v>2536.608</x:v>
      </x:c>
      <x:c r="BW41" s="30" t="n">
        <x:v>61.971</x:v>
      </x:c>
      <x:c r="BX41" s="30" t="n">
        <x:v>91.366</x:v>
      </x:c>
      <x:c r="BY41" s="30" t="n">
        <x:v>124.738</x:v>
      </x:c>
      <x:c r="BZ41" s="30" t="n">
        <x:v>151.279</x:v>
      </x:c>
      <x:c r="CA41" s="30" t="n">
        <x:v>174.39</x:v>
      </x:c>
      <x:c r="CB41" s="30" t="n">
        <x:v>235.358</x:v>
      </x:c>
      <x:c r="CC41" s="30" t="n">
        <x:v>317.946</x:v>
      </x:c>
      <x:c r="CD41" s="30" t="n">
        <x:v>23.4</x:v>
      </x:c>
      <x:c r="CE41" s="30" t="n">
        <x:v>55.407</x:v>
      </x:c>
      <x:c r="CF41" s="30" t="n">
        <x:v>65.924</x:v>
      </x:c>
      <x:c r="CG41" s="30" t="n">
        <x:v>72.18</x:v>
      </x:c>
      <x:c r="CH41" s="30" t="n">
        <x:v>79.104</x:v>
      </x:c>
      <x:c r="CI41" s="30" t="n">
        <x:v>87.316</x:v>
      </x:c>
      <x:c r="CJ41" s="30" t="n">
        <x:v>173.997</x:v>
      </x:c>
      <x:c r="CK41" s="30" t="n">
        <x:v>736.161</x:v>
      </x:c>
      <x:c r="CL41" s="30" t="n">
        <x:v>1074.575</x:v>
      </x:c>
      <x:c r="CM41" s="30" t="n">
        <x:v>1159.096</x:v>
      </x:c>
      <x:c r="CN41" s="30" t="n">
        <x:v>1497.016</x:v>
      </x:c>
      <x:c r="CO41" s="30" t="n">
        <x:v>1873.19</x:v>
      </x:c>
      <x:c r="CP41" s="30" t="n">
        <x:v>3699.833</x:v>
      </x:c>
      <x:c r="CQ41" s="30" t="n">
        <x:v>4129.415</x:v>
      </x:c>
      <x:c r="CR41" s="30" t="n">
        <x:v>276.718</x:v>
      </x:c>
      <x:c r="CS41" s="30" t="n">
        <x:v>434.67699999999996</x:v>
      </x:c>
      <x:c r="CT41" s="30" t="n">
        <x:v>435.11899999999997</x:v>
      </x:c>
      <x:c r="CU41" s="30" t="n">
        <x:v>684.103</x:v>
      </x:c>
      <x:c r="CV41" s="30" t="n">
        <x:v>710.232</x:v>
      </x:c>
      <x:c r="CW41" s="30" t="n">
        <x:v>1710.0330000000001</x:v>
      </x:c>
      <x:c r="CX41" s="30" t="n">
        <x:v>1383.878</x:v>
      </x:c>
      <x:c r="CY41" s="30"/>
      <x:c r="CZ41" s="30"/>
      <x:c r="DA41" s="30"/>
      <x:c r="DB41" s="30"/>
      <x:c r="DC41" s="30"/>
      <x:c r="DD41" s="30" t="n">
        <x:v>0</x:v>
      </x:c>
      <x:c r="DE41" s="30" t="n">
        <x:v>0</x:v>
      </x:c>
      <x:c r="DF41" s="32" t="n">
        <x:v>13.1527</x:v>
      </x:c>
      <x:c r="DG41" s="32" t="n">
        <x:v>13.426</x:v>
      </x:c>
      <x:c r="DH41" s="32" t="n">
        <x:v>5.9027493305862855</x:v>
      </x:c>
      <x:c r="DI41" s="32" t="n">
        <x:v>5.43501177661183</x:v>
      </x:c>
      <x:c r="DJ41" s="32" t="n">
        <x:v>4.694312454490912</x:v>
      </x:c>
      <x:c r="DK41" s="32" t="n">
        <x:v>3.133523762597068</x:v>
      </x:c>
      <x:c r="DL41" s="32" t="n">
        <x:v>4.4447946980348565</x:v>
      </x:c>
      <x:c r="DM41" s="32" t="n">
        <x:v>108.0344</x:v>
      </x:c>
      <x:c r="DN41" s="32" t="n">
        <x:v>108.3867</x:v>
      </x:c>
      <x:c r="DO41" s="32" t="n">
        <x:v>11.948507753627283</x:v>
      </x:c>
      <x:c r="DP41" s="32" t="n">
        <x:v>12.343542443854789</x:v>
      </x:c>
      <x:c r="DQ41" s="32" t="n">
        <x:v>12.366094252911056</x:v>
      </x:c>
      <x:c r="DR41" s="32" t="n">
        <x:v>12.069183015618894</x:v>
      </x:c>
      <x:c r="DS41" s="32" t="n">
        <x:v>12.534297770881428</x:v>
      </x:c>
      <x:c r="DT41" s="32" t="n">
        <x:v>37.58933168152076</x:v>
      </x:c>
      <x:c r="DU41" s="32" t="n">
        <x:v>40.45106204778633</x:v>
      </x:c>
      <x:c r="DV41" s="32" t="n">
        <x:v>37.53951355194047</x:v>
      </x:c>
      <x:c r="DW41" s="32" t="n">
        <x:v>45.697774773282305</x:v>
      </x:c>
      <x:c r="DX41" s="32" t="n">
        <x:v>37.91564123233628</x:v>
      </x:c>
      <x:c r="DY41" s="32" t="n">
        <x:v>46.219194217684965</x:v>
      </x:c>
      <x:c r="DZ41" s="32" t="n">
        <x:v>33.51268884333495</x:v>
      </x:c>
      <x:c r="EA41" s="34"/>
      <x:c r="EB41" s="34"/>
      <x:c r="EC41" s="34"/>
      <x:c r="ED41" s="34"/>
      <x:c r="EE41" s="34"/>
      <x:c r="EF41" s="34"/>
      <x:c r="EG41" s="34"/>
      <x:c r="EH41" s="34"/>
      <x:c r="EI41" s="34"/>
      <x:c r="EJ41" s="34"/>
      <x:c r="EK41" s="34"/>
      <x:c r="EL41" s="34"/>
      <x:c r="EM41" s="34"/>
      <x:c r="EN41" s="34"/>
      <x:c r="EO41" s="34"/>
      <x:c r="EP41" s="34" t="str"/>
      <x:c r="EQ41" s="36" t="str">
        <x:f>IF(OR($EO41="",$EP41="",$EO41=0),"",$EP41/$EO41)</x:f>
      </x:c>
      <x:c r="ER41" s="38" t="str"/>
      <x:c r="ES41" s="22" t="str">
        <x:v>No</x:v>
      </x:c>
      <x:c r="ET41" s="22" t="str">
        <x:v>No</x:v>
      </x:c>
      <x:c r="EU41" s="40" t="n">
        <x:f>IF(COUNT($DF41,$DG41,$DH41)=0,"",AVERAGE($DF41,$DG41,$DH41))</x:f>
        <x:v>10.827149776862095</x:v>
      </x:c>
      <x:c r="EV41" s="40" t="n">
        <x:f>IF(COUNT($DJ41,$DK41,$DL41)=0,"",AVERAGE($DJ41,$DK41,$DL41))</x:f>
        <x:v>4.090876971707612</x:v>
      </x:c>
      <x:c r="EW41" s="40" t="n">
        <x:f>IF(OR($EU41="",$EV41=""),"",$EV41-$EU41)</x:f>
        <x:v>-6.736272805154483</x:v>
      </x:c>
      <x:c r="EX41" s="40" t="n">
        <x:f>IF(COUNT($DM41,$DN41,$DO41)=0,"",AVERAGE($DM41,$DN41,$DO41))</x:f>
        <x:v>76.12320258454243</x:v>
      </x:c>
      <x:c r="EY41" s="40" t="n">
        <x:f>IF(COUNT($DQ41,$DR41,$DS41)=0,"",AVERAGE($DQ41,$DR41,$DS41))</x:f>
        <x:v>12.323191679803793</x:v>
      </x:c>
      <x:c r="EZ41" s="40" t="n">
        <x:f>IF(OR($EX41="",$EY41=""),"",$EY41-$EX41)</x:f>
        <x:v>-63.800010904738635</x:v>
      </x:c>
      <x:c r="FA41" s="42" t="str">
        <x:f>IF(COUNT($EA41,$EB41,$EC41)=0,"",AVERAGE($EA41,$EB41,$EC41))</x:f>
      </x:c>
      <x:c r="FB41" s="42" t="str">
        <x:f>IF(COUNT($EE41,$EF41,$EG41)=0,"",AVERAGE($EE41,$EF41,$EG41))</x:f>
      </x:c>
      <x:c r="FC41" s="42" t="str">
        <x:f>IF(OR($FA41="",$FB41=""),"",$FB41-$FA41)</x:f>
      </x:c>
      <x:c r="FD41" s="42" t="str">
        <x:f>IF(COUNT($EH41,$EI41,$EJ41)=0,"",AVERAGE($EH41,$EI41,$EJ41))</x:f>
      </x:c>
      <x:c r="FE41" s="42" t="str">
        <x:f>IF(COUNT($EL41,$EM41,$EN41)=0,"",AVERAGE($EL41,$EM41,$EN41))</x:f>
      </x:c>
      <x:c r="FF41" s="42" t="str">
        <x:f>IF(OR($FD41="",$FE41=""),"",$FE41-$FD41)</x:f>
      </x:c>
      <x:c r="FG41" s="24" t="str">
        <x:f>IF(COUNT($DF41,$DG41,$DH41,$DJ41,$DK41,$DL41,$DM41,$DN41,$DO41,$DQ41,$DR41,$DS41)=12,"Yes","No")</x:f>
        <x:v>Yes</x:v>
      </x:c>
      <x:c r="FH41" s="24" t="str">
        <x:f>IF(COUNT($EA41,$EB41,$EC41,$EE41,$EF41,$EG41,$EH41,$EI41,$EJ41,$EL41,$EM41,$EN41)=12,"Yes","No")</x:f>
        <x:v>No</x:v>
      </x:c>
      <x:c r="FI41" s="24" t="str">
        <x:f>IF(AND($M41="Include",OR($FG41="Yes",$FH41="Yes")),"Ready","Not ready")</x:f>
        <x:v>Not ready</x:v>
      </x:c>
    </x:row>
    <x:row r="42" ht="24" customHeight="1">
      <x:c r="A42" s="22" t="str">
        <x:v>TRT-0040</x:v>
      </x:c>
      <x:c r="B42" s="22" t="n">
        <x:v>51</x:v>
      </x:c>
      <x:c r="C42" s="22" t="str">
        <x:v>Candidate treatment group</x:v>
      </x:c>
      <x:c r="D42" s="22" t="n">
        <x:v>1</x:v>
      </x:c>
      <x:c r="E42" s="22" t="str">
        <x:v>DATA - Innovation driven deals.xlsx</x:v>
      </x:c>
      <x:c r="F42" s="22" t="str">
        <x:v>alvogen acquires labormed pharma</x:v>
      </x:c>
      <x:c r="G42" s="22" t="str">
        <x:v>Yes</x:v>
      </x:c>
      <x:c r="H42" s="22" t="str">
        <x:v>No</x:v>
      </x:c>
      <x:c r="I42" s="22" t="str">
        <x:v>No</x:v>
      </x:c>
      <x:c r="J42" s="22" t="n">
        <x:v>1</x:v>
      </x:c>
      <x:c r="K42" s="22" t="str">
        <x:v>Not started</x:v>
      </x:c>
      <x:c r="L42" s="22" t="str">
        <x:v>Review - majority</x:v>
      </x:c>
      <x:c r="M42" s="22" t="str">
        <x:v>Review</x:v>
      </x:c>
      <x:c r="N42" s="22" t="str"/>
      <x:c r="O42" s="28" t="n">
        <x:v>41289</x:v>
      </x:c>
      <x:c r="P42" s="28" t="n">
        <x:v>41274</x:v>
      </x:c>
      <x:c r="Q42" s="22" t="n">
        <x:v>2012</x:v>
      </x:c>
      <x:c r="R42" s="22" t="str">
        <x:v>Q1 2013</x:v>
      </x:c>
      <x:c r="S42" s="22" t="str">
        <x:v>Completed</x:v>
      </x:c>
      <x:c r="T42" s="26" t="str">
        <x:v>Alvogen acquires LaborMed Pharma</x:v>
      </x:c>
      <x:c r="U42" s="22" t="str">
        <x:v>Mergers &amp; Acquisitions</x:v>
      </x:c>
      <x:c r="V42" s="22" t="str">
        <x:v>Acquisition</x:v>
      </x:c>
      <x:c r="W42" s="22" t="str">
        <x:v>Majority Acquisition</x:v>
      </x:c>
      <x:c r="X42" s="22" t="str">
        <x:v>Romania</x:v>
      </x:c>
      <x:c r="Y42" s="22" t="str">
        <x:v>Majority Acquisition</x:v>
      </x:c>
      <x:c r="Z42" s="26"/>
      <x:c r="AA42" s="26"/>
      <x:c r="AB42" s="22" t="str">
        <x:v>Alvogen Inc</x:v>
      </x:c>
      <x:c r="AC42" s="22" t="str">
        <x:v>alvogen</x:v>
      </x:c>
      <x:c r="AD42" s="22" t="str">
        <x:v>LaborMed Pharma SA</x:v>
      </x:c>
      <x:c r="AE42" s="22" t="str">
        <x:v>labormed pharma</x:v>
      </x:c>
      <x:c r="AF42" s="30"/>
      <x:c r="AG42" s="22" t="str">
        <x:v>n/a</x:v>
      </x:c>
      <x:c r="AH42" s="26" t="str">
        <x:v>Alvogen, Inc., a US-based specialty generics company, has acquired LaborMed Pharma SA, a Romania-based company engaged in the manufacturing and sales of generic medicines.</x:v>
      </x:c>
      <x:c r="AI42" s="26" t="str">
        <x:v>According to Alvogen, the transaction creates a powerful platform from which to drive further revenue growth in the Romanian market, as well as in other Central and Eastern European markets. It also represents a significant milestone in Alvogen’s strategy to become one of the leading companies in the global generic pharmaceutical sector._x000d_
_x000d_
Through this acquisition, both Alvogen and Labormed will benefit from the increased scale, portfolio and geographic reach of the enlarged group._x000d_
_x000d_
The acquisition also brings Alvogen considerable product and marketing synergies and positions it to take advantage of further opportunities in the CEE pharmaceutical market.</x:v>
      </x:c>
      <x:c r="AJ42" s="22" t="str"/>
      <x:c r="AK42" s="22" t="str"/>
      <x:c r="AL42" s="22" t="str">
        <x:v>Unknown</x:v>
      </x:c>
      <x:c r="AM42" s="22" t="str">
        <x:v>Unknown</x:v>
      </x:c>
      <x:c r="AN42" s="22" t="str"/>
      <x:c r="AO42" s="22" t="str"/>
      <x:c r="AP42" s="22" t="str"/>
      <x:c r="AQ42" s="22" t="str"/>
      <x:c r="AR42" s="22" t="str"/>
      <x:c r="AS42" s="22" t="str">
        <x:v>Alvogen Inc</x:v>
      </x:c>
      <x:c r="AT42" s="22" t="str">
        <x:v>LaborMed Pharma SA</x:v>
      </x:c>
      <x:c r="AU42" s="22" t="str">
        <x:v>Not reviewed</x:v>
      </x:c>
      <x:c r="AV42" s="22" t="str">
        <x:v>Not assessed</x:v>
      </x:c>
      <x:c r="AW42" s="22" t="str">
        <x:v>Unknown</x:v>
      </x:c>
      <x:c r="AX42" s="22" t="str">
        <x:v>Unknown</x:v>
      </x:c>
      <x:c r="AY42" s="22" t="str">
        <x:v>Unknown</x:v>
      </x:c>
      <x:c r="AZ42" s="22" t="str">
        <x:v>Unknown</x:v>
      </x:c>
      <x:c r="BA42" s="22" t="str">
        <x:v>Unknown</x:v>
      </x:c>
      <x:c r="BB42" s="22" t="str">
        <x:v>Unknown</x:v>
      </x:c>
      <x:c r="BC42" s="26" t="str"/>
      <x:c r="BD42" s="22" t="str"/>
      <x:c r="BE42" s="22" t="str"/>
      <x:c r="BF42" s="22" t="str">
        <x:v>Not collected</x:v>
      </x:c>
      <x:c r="BG42" s="22" t="str">
        <x:v>Not collected</x:v>
      </x:c>
      <x:c r="BH42" s="22" t="str">
        <x:v>Not defined</x:v>
      </x:c>
      <x:c r="BI42" s="22" t="n">
        <x:f>IF($Q42="","",$Q42-3)</x:f>
        <x:v>2009</x:v>
      </x:c>
      <x:c r="BJ42" s="22" t="n">
        <x:f>IF($Q42="","",$Q42-2)</x:f>
        <x:v>2010</x:v>
      </x:c>
      <x:c r="BK42" s="22" t="n">
        <x:f>IF($Q42="","",$Q42-1)</x:f>
        <x:v>2011</x:v>
      </x:c>
      <x:c r="BL42" s="22" t="n">
        <x:f>IF($Q42="","",$Q42+0)</x:f>
        <x:v>2012</x:v>
      </x:c>
      <x:c r="BM42" s="22" t="n">
        <x:f>IF($Q42="","",$Q42+1)</x:f>
        <x:v>2013</x:v>
      </x:c>
      <x:c r="BN42" s="22" t="n">
        <x:f>IF($Q42="","",$Q42+2)</x:f>
        <x:v>2014</x:v>
      </x:c>
      <x:c r="BO42" s="22" t="n">
        <x:f>IF($Q42="","",$Q42+3)</x:f>
        <x:v>2015</x:v>
      </x:c>
      <x:c r="BP42" s="30" t="str"/>
      <x:c r="BQ42" s="30" t="str"/>
      <x:c r="BR42" s="30" t="str"/>
      <x:c r="BS42" s="30" t="str"/>
      <x:c r="BT42" s="30" t="str"/>
      <x:c r="BU42" s="30" t="str"/>
      <x:c r="BV42" s="30" t="str"/>
      <x:c r="BW42" s="30" t="str"/>
      <x:c r="BX42" s="30" t="str"/>
      <x:c r="BY42" s="30" t="str"/>
      <x:c r="BZ42" s="30" t="str"/>
      <x:c r="CA42" s="30" t="str"/>
      <x:c r="CB42" s="30" t="str"/>
      <x:c r="CC42" s="30" t="str"/>
      <x:c r="CD42" s="30" t="str"/>
      <x:c r="CE42" s="30" t="str"/>
      <x:c r="CF42" s="30" t="str"/>
      <x:c r="CG42" s="30" t="str"/>
      <x:c r="CH42" s="30" t="str"/>
      <x:c r="CI42" s="30" t="str"/>
      <x:c r="CJ42" s="30" t="str"/>
      <x:c r="CK42" s="30" t="str"/>
      <x:c r="CL42" s="30" t="str"/>
      <x:c r="CM42" s="30" t="str"/>
      <x:c r="CN42" s="30" t="str"/>
      <x:c r="CO42" s="30" t="str"/>
      <x:c r="CP42" s="30" t="str"/>
      <x:c r="CQ42" s="30" t="str"/>
      <x:c r="CR42" s="30" t="str"/>
      <x:c r="CS42" s="30" t="str"/>
      <x:c r="CT42" s="30" t="str"/>
      <x:c r="CU42" s="30" t="str"/>
      <x:c r="CV42" s="30" t="str"/>
      <x:c r="CW42" s="30" t="str"/>
      <x:c r="CX42" s="30" t="str"/>
      <x:c r="CY42" s="30" t="str"/>
      <x:c r="CZ42" s="30" t="str"/>
      <x:c r="DA42" s="30" t="str"/>
      <x:c r="DB42" s="30" t="str"/>
      <x:c r="DC42" s="30" t="str"/>
      <x:c r="DD42" s="30" t="str"/>
      <x:c r="DE42" s="30" t="str"/>
      <x:c r="DF42" s="32" t="str"/>
      <x:c r="DG42" s="32" t="str"/>
      <x:c r="DH42" s="32" t="str"/>
      <x:c r="DI42" s="32" t="str"/>
      <x:c r="DJ42" s="32" t="str"/>
      <x:c r="DK42" s="32" t="str"/>
      <x:c r="DL42" s="32" t="str"/>
      <x:c r="DM42" s="32" t="str"/>
      <x:c r="DN42" s="32" t="str"/>
      <x:c r="DO42" s="32" t="str"/>
      <x:c r="DP42" s="32" t="str"/>
      <x:c r="DQ42" s="32" t="str"/>
      <x:c r="DR42" s="32" t="str"/>
      <x:c r="DS42" s="32" t="str"/>
      <x:c r="DT42" s="32" t="str"/>
      <x:c r="DU42" s="32" t="str"/>
      <x:c r="DV42" s="32" t="str"/>
      <x:c r="DW42" s="32" t="str"/>
      <x:c r="DX42" s="32" t="str"/>
      <x:c r="DY42" s="32" t="str"/>
      <x:c r="DZ42" s="32" t="str"/>
      <x:c r="EA42" s="34" t="str"/>
      <x:c r="EB42" s="34" t="str"/>
      <x:c r="EC42" s="34" t="str"/>
      <x:c r="ED42" s="34" t="str"/>
      <x:c r="EE42" s="34" t="str"/>
      <x:c r="EF42" s="34" t="str"/>
      <x:c r="EG42" s="34" t="str"/>
      <x:c r="EH42" s="34" t="str"/>
      <x:c r="EI42" s="34" t="str"/>
      <x:c r="EJ42" s="34" t="str"/>
      <x:c r="EK42" s="34" t="str"/>
      <x:c r="EL42" s="34" t="str"/>
      <x:c r="EM42" s="34" t="str"/>
      <x:c r="EN42" s="34" t="str"/>
      <x:c r="EO42" s="34" t="str"/>
      <x:c r="EP42" s="34" t="str"/>
      <x:c r="EQ42" s="36" t="str">
        <x:f>IF(OR($EO42="",$EP42="",$EO42=0),"",$EP42/$EO42)</x:f>
      </x:c>
      <x:c r="ER42" s="38" t="str"/>
      <x:c r="ES42" s="22" t="str">
        <x:v>Unknown</x:v>
      </x:c>
      <x:c r="ET42" s="22" t="str">
        <x:v>Unknown</x:v>
      </x:c>
      <x:c r="EU42" s="40" t="str">
        <x:f>IF(COUNT($DF42,$DG42,$DH42)=0,"",AVERAGE($DF42,$DG42,$DH42))</x:f>
      </x:c>
      <x:c r="EV42" s="40" t="str">
        <x:f>IF(COUNT($DJ42,$DK42,$DL42)=0,"",AVERAGE($DJ42,$DK42,$DL42))</x:f>
      </x:c>
      <x:c r="EW42" s="40" t="str">
        <x:f>IF(OR($EU42="",$EV42=""),"",$EV42-$EU42)</x:f>
      </x:c>
      <x:c r="EX42" s="40" t="str">
        <x:f>IF(COUNT($DM42,$DN42,$DO42)=0,"",AVERAGE($DM42,$DN42,$DO42))</x:f>
      </x:c>
      <x:c r="EY42" s="40" t="str">
        <x:f>IF(COUNT($DQ42,$DR42,$DS42)=0,"",AVERAGE($DQ42,$DR42,$DS42))</x:f>
      </x:c>
      <x:c r="EZ42" s="40" t="str">
        <x:f>IF(OR($EX42="",$EY42=""),"",$EY42-$EX42)</x:f>
      </x:c>
      <x:c r="FA42" s="42" t="str">
        <x:f>IF(COUNT($EA42,$EB42,$EC42)=0,"",AVERAGE($EA42,$EB42,$EC42))</x:f>
      </x:c>
      <x:c r="FB42" s="42" t="str">
        <x:f>IF(COUNT($EE42,$EF42,$EG42)=0,"",AVERAGE($EE42,$EF42,$EG42))</x:f>
      </x:c>
      <x:c r="FC42" s="42" t="str">
        <x:f>IF(OR($FA42="",$FB42=""),"",$FB42-$FA42)</x:f>
      </x:c>
      <x:c r="FD42" s="42" t="str">
        <x:f>IF(COUNT($EH42,$EI42,$EJ42)=0,"",AVERAGE($EH42,$EI42,$EJ42))</x:f>
      </x:c>
      <x:c r="FE42" s="42" t="str">
        <x:f>IF(COUNT($EL42,$EM42,$EN42)=0,"",AVERAGE($EL42,$EM42,$EN42))</x:f>
      </x:c>
      <x:c r="FF42" s="42" t="str">
        <x:f>IF(OR($FD42="",$FE42=""),"",$FE42-$FD42)</x:f>
      </x:c>
      <x:c r="FG42" s="24" t="str">
        <x:f>IF(COUNT($DF42,$DG42,$DH42,$DJ42,$DK42,$DL42,$DM42,$DN42,$DO42,$DQ42,$DR42,$DS42)=12,"Yes","No")</x:f>
        <x:v>No</x:v>
      </x:c>
      <x:c r="FH42" s="24" t="str">
        <x:f>IF(COUNT($EA42,$EB42,$EC42,$EE42,$EF42,$EG42,$EH42,$EI42,$EJ42,$EL42,$EM42,$EN42)=12,"Yes","No")</x:f>
        <x:v>No</x:v>
      </x:c>
      <x:c r="FI42" s="24" t="str">
        <x:f>IF(AND($M42="Include",OR($FG42="Yes",$FH42="Yes")),"Ready","Not ready")</x:f>
        <x:v>Not ready</x:v>
      </x:c>
    </x:row>
    <x:row r="43" ht="24" customHeight="1">
      <x:c r="A43" s="22" t="str">
        <x:v>TRT-0041</x:v>
      </x:c>
      <x:c r="B43" s="22" t="n">
        <x:v>52</x:v>
      </x:c>
      <x:c r="C43" s="22" t="str">
        <x:v>Candidate treatment group</x:v>
      </x:c>
      <x:c r="D43" s="22" t="n">
        <x:v>1</x:v>
      </x:c>
      <x:c r="E43" s="22" t="str">
        <x:v>DATA - Innovation driven deals.xlsx</x:v>
      </x:c>
      <x:c r="F43" s="22" t="str">
        <x:v>enara acquires angels care services</x:v>
      </x:c>
      <x:c r="G43" s="22" t="str">
        <x:v>Yes</x:v>
      </x:c>
      <x:c r="H43" s="22" t="str">
        <x:v>No</x:v>
      </x:c>
      <x:c r="I43" s="22" t="str">
        <x:v>No</x:v>
      </x:c>
      <x:c r="J43" s="22" t="n">
        <x:v>1</x:v>
      </x:c>
      <x:c r="K43" s="22" t="str">
        <x:v>Not started</x:v>
      </x:c>
      <x:c r="L43" s="22" t="str">
        <x:v>Review - majority</x:v>
      </x:c>
      <x:c r="M43" s="22" t="str">
        <x:v>Review</x:v>
      </x:c>
      <x:c r="N43" s="22" t="str"/>
      <x:c r="O43" s="28" t="n">
        <x:v>41110</x:v>
      </x:c>
      <x:c r="P43" s="28" t="n">
        <x:v>41110</x:v>
      </x:c>
      <x:c r="Q43" s="22" t="n">
        <x:v>2012</x:v>
      </x:c>
      <x:c r="R43" s="22" t="str">
        <x:v>Q3 2012</x:v>
      </x:c>
      <x:c r="S43" s="22" t="str">
        <x:v>Completed</x:v>
      </x:c>
      <x:c r="T43" s="26" t="str">
        <x:v>Enara acquires Angels Care Services</x:v>
      </x:c>
      <x:c r="U43" s="22" t="str">
        <x:v>Mergers &amp; Acquisitions</x:v>
      </x:c>
      <x:c r="V43" s="22" t="str">
        <x:v>Acquisition</x:v>
      </x:c>
      <x:c r="W43" s="22" t="str">
        <x:v>Majority Acquisition</x:v>
      </x:c>
      <x:c r="X43" s="22" t="str">
        <x:v>United Kingdom</x:v>
      </x:c>
      <x:c r="Y43" s="22" t="str">
        <x:v>Majority Acquisition</x:v>
      </x:c>
      <x:c r="Z43" s="26"/>
      <x:c r="AA43" s="26"/>
      <x:c r="AB43" s="22" t="str">
        <x:v>Enara Limited</x:v>
      </x:c>
      <x:c r="AC43" s="22" t="str">
        <x:v>enara</x:v>
      </x:c>
      <x:c r="AD43" s="22" t="str">
        <x:v>Angel Care Services UK Ltd</x:v>
      </x:c>
      <x:c r="AE43" s="22" t="str">
        <x:v>angel care services uk</x:v>
      </x:c>
      <x:c r="AF43" s="30"/>
      <x:c r="AG43" s="22" t="str">
        <x:v>n/a</x:v>
      </x:c>
      <x:c r="AH43" s="26" t="str">
        <x:v>Enara Limited, a provider of home care services, has acquired Angels Care Services Limited (Angels). Both the companies are based in the UK. 
_x000d_ Angels a provider of homecare services to the elderly and those suffering from conditions such as Alzheimers and other forms of dementia. 
_x000d_ Concurrently, Enara has also acquired Training and Care Solutions Essex Limited, Extracare Limited and Home Comforts (South) Limited.</x:v>
      </x:c>
      <x:c r="AI43" s="26" t="str">
        <x:v>The acquisition will allow Enara to enhance its service offering and geographical coverage.</x:v>
      </x:c>
      <x:c r="AJ43" s="22" t="str"/>
      <x:c r="AK43" s="22" t="str"/>
      <x:c r="AL43" s="22" t="str">
        <x:v>Unknown</x:v>
      </x:c>
      <x:c r="AM43" s="22" t="str">
        <x:v>Unknown</x:v>
      </x:c>
      <x:c r="AN43" s="22" t="str"/>
      <x:c r="AO43" s="22" t="str"/>
      <x:c r="AP43" s="22" t="str"/>
      <x:c r="AQ43" s="22" t="str"/>
      <x:c r="AR43" s="22" t="str"/>
      <x:c r="AS43" s="22" t="str">
        <x:v>Enara Limited</x:v>
      </x:c>
      <x:c r="AT43" s="22" t="str">
        <x:v>Angel Care Services UK Ltd</x:v>
      </x:c>
      <x:c r="AU43" s="22" t="str">
        <x:v>Not reviewed</x:v>
      </x:c>
      <x:c r="AV43" s="22" t="str">
        <x:v>Not assessed</x:v>
      </x:c>
      <x:c r="AW43" s="22" t="str">
        <x:v>Unknown</x:v>
      </x:c>
      <x:c r="AX43" s="22" t="str">
        <x:v>Unknown</x:v>
      </x:c>
      <x:c r="AY43" s="22" t="str">
        <x:v>Unknown</x:v>
      </x:c>
      <x:c r="AZ43" s="22" t="str">
        <x:v>Unknown</x:v>
      </x:c>
      <x:c r="BA43" s="22" t="str">
        <x:v>Unknown</x:v>
      </x:c>
      <x:c r="BB43" s="22" t="str">
        <x:v>Unknown</x:v>
      </x:c>
      <x:c r="BC43" s="26" t="str"/>
      <x:c r="BD43" s="22" t="str"/>
      <x:c r="BE43" s="22" t="str"/>
      <x:c r="BF43" s="22" t="str">
        <x:v>Not collected</x:v>
      </x:c>
      <x:c r="BG43" s="22" t="str">
        <x:v>Not collected</x:v>
      </x:c>
      <x:c r="BH43" s="22" t="str">
        <x:v>Not defined</x:v>
      </x:c>
      <x:c r="BI43" s="22" t="n">
        <x:f>IF($Q43="","",$Q43-3)</x:f>
        <x:v>2009</x:v>
      </x:c>
      <x:c r="BJ43" s="22" t="n">
        <x:f>IF($Q43="","",$Q43-2)</x:f>
        <x:v>2010</x:v>
      </x:c>
      <x:c r="BK43" s="22" t="n">
        <x:f>IF($Q43="","",$Q43-1)</x:f>
        <x:v>2011</x:v>
      </x:c>
      <x:c r="BL43" s="22" t="n">
        <x:f>IF($Q43="","",$Q43+0)</x:f>
        <x:v>2012</x:v>
      </x:c>
      <x:c r="BM43" s="22" t="n">
        <x:f>IF($Q43="","",$Q43+1)</x:f>
        <x:v>2013</x:v>
      </x:c>
      <x:c r="BN43" s="22" t="n">
        <x:f>IF($Q43="","",$Q43+2)</x:f>
        <x:v>2014</x:v>
      </x:c>
      <x:c r="BO43" s="22" t="n">
        <x:f>IF($Q43="","",$Q43+3)</x:f>
        <x:v>2015</x:v>
      </x:c>
      <x:c r="BP43" s="30" t="str"/>
      <x:c r="BQ43" s="30" t="str"/>
      <x:c r="BR43" s="30" t="str"/>
      <x:c r="BS43" s="30" t="str"/>
      <x:c r="BT43" s="30" t="str"/>
      <x:c r="BU43" s="30" t="str"/>
      <x:c r="BV43" s="30" t="str"/>
      <x:c r="BW43" s="30" t="str"/>
      <x:c r="BX43" s="30" t="str"/>
      <x:c r="BY43" s="30" t="str"/>
      <x:c r="BZ43" s="30" t="str"/>
      <x:c r="CA43" s="30" t="str"/>
      <x:c r="CB43" s="30" t="str"/>
      <x:c r="CC43" s="30" t="str"/>
      <x:c r="CD43" s="30" t="str"/>
      <x:c r="CE43" s="30" t="str"/>
      <x:c r="CF43" s="30" t="str"/>
      <x:c r="CG43" s="30" t="str"/>
      <x:c r="CH43" s="30" t="str"/>
      <x:c r="CI43" s="30" t="str"/>
      <x:c r="CJ43" s="30" t="str"/>
      <x:c r="CK43" s="30" t="str"/>
      <x:c r="CL43" s="30" t="str"/>
      <x:c r="CM43" s="30" t="str"/>
      <x:c r="CN43" s="30" t="str"/>
      <x:c r="CO43" s="30" t="str"/>
      <x:c r="CP43" s="30" t="str"/>
      <x:c r="CQ43" s="30" t="str"/>
      <x:c r="CR43" s="30" t="str"/>
      <x:c r="CS43" s="30" t="str"/>
      <x:c r="CT43" s="30" t="str"/>
      <x:c r="CU43" s="30" t="str"/>
      <x:c r="CV43" s="30" t="str"/>
      <x:c r="CW43" s="30" t="str"/>
      <x:c r="CX43" s="30" t="str"/>
      <x:c r="CY43" s="30" t="str"/>
      <x:c r="CZ43" s="30" t="str"/>
      <x:c r="DA43" s="30" t="str"/>
      <x:c r="DB43" s="30" t="str"/>
      <x:c r="DC43" s="30" t="str"/>
      <x:c r="DD43" s="30" t="str"/>
      <x:c r="DE43" s="30" t="str"/>
      <x:c r="DF43" s="32" t="str"/>
      <x:c r="DG43" s="32" t="str"/>
      <x:c r="DH43" s="32" t="str"/>
      <x:c r="DI43" s="32" t="str"/>
      <x:c r="DJ43" s="32" t="str"/>
      <x:c r="DK43" s="32" t="str"/>
      <x:c r="DL43" s="32" t="str"/>
      <x:c r="DM43" s="32" t="str"/>
      <x:c r="DN43" s="32" t="str"/>
      <x:c r="DO43" s="32" t="str"/>
      <x:c r="DP43" s="32" t="str"/>
      <x:c r="DQ43" s="32" t="str"/>
      <x:c r="DR43" s="32" t="str"/>
      <x:c r="DS43" s="32" t="str"/>
      <x:c r="DT43" s="32" t="str"/>
      <x:c r="DU43" s="32" t="str"/>
      <x:c r="DV43" s="32" t="str"/>
      <x:c r="DW43" s="32" t="str"/>
      <x:c r="DX43" s="32" t="str"/>
      <x:c r="DY43" s="32" t="str"/>
      <x:c r="DZ43" s="32" t="str"/>
      <x:c r="EA43" s="34" t="str"/>
      <x:c r="EB43" s="34" t="str"/>
      <x:c r="EC43" s="34" t="str"/>
      <x:c r="ED43" s="34" t="str"/>
      <x:c r="EE43" s="34" t="str"/>
      <x:c r="EF43" s="34" t="str"/>
      <x:c r="EG43" s="34" t="str"/>
      <x:c r="EH43" s="34" t="str"/>
      <x:c r="EI43" s="34" t="str"/>
      <x:c r="EJ43" s="34" t="str"/>
      <x:c r="EK43" s="34" t="str"/>
      <x:c r="EL43" s="34" t="str"/>
      <x:c r="EM43" s="34" t="str"/>
      <x:c r="EN43" s="34" t="str"/>
      <x:c r="EO43" s="34" t="str"/>
      <x:c r="EP43" s="34" t="str"/>
      <x:c r="EQ43" s="36" t="str">
        <x:f>IF(OR($EO43="",$EP43="",$EO43=0),"",$EP43/$EO43)</x:f>
      </x:c>
      <x:c r="ER43" s="38" t="str"/>
      <x:c r="ES43" s="22" t="str">
        <x:v>Unknown</x:v>
      </x:c>
      <x:c r="ET43" s="22" t="str">
        <x:v>Unknown</x:v>
      </x:c>
      <x:c r="EU43" s="40" t="str">
        <x:f>IF(COUNT($DF43,$DG43,$DH43)=0,"",AVERAGE($DF43,$DG43,$DH43))</x:f>
      </x:c>
      <x:c r="EV43" s="40" t="str">
        <x:f>IF(COUNT($DJ43,$DK43,$DL43)=0,"",AVERAGE($DJ43,$DK43,$DL43))</x:f>
      </x:c>
      <x:c r="EW43" s="40" t="str">
        <x:f>IF(OR($EU43="",$EV43=""),"",$EV43-$EU43)</x:f>
      </x:c>
      <x:c r="EX43" s="40" t="str">
        <x:f>IF(COUNT($DM43,$DN43,$DO43)=0,"",AVERAGE($DM43,$DN43,$DO43))</x:f>
      </x:c>
      <x:c r="EY43" s="40" t="str">
        <x:f>IF(COUNT($DQ43,$DR43,$DS43)=0,"",AVERAGE($DQ43,$DR43,$DS43))</x:f>
      </x:c>
      <x:c r="EZ43" s="40" t="str">
        <x:f>IF(OR($EX43="",$EY43=""),"",$EY43-$EX43)</x:f>
      </x:c>
      <x:c r="FA43" s="42" t="str">
        <x:f>IF(COUNT($EA43,$EB43,$EC43)=0,"",AVERAGE($EA43,$EB43,$EC43))</x:f>
      </x:c>
      <x:c r="FB43" s="42" t="str">
        <x:f>IF(COUNT($EE43,$EF43,$EG43)=0,"",AVERAGE($EE43,$EF43,$EG43))</x:f>
      </x:c>
      <x:c r="FC43" s="42" t="str">
        <x:f>IF(OR($FA43="",$FB43=""),"",$FB43-$FA43)</x:f>
      </x:c>
      <x:c r="FD43" s="42" t="str">
        <x:f>IF(COUNT($EH43,$EI43,$EJ43)=0,"",AVERAGE($EH43,$EI43,$EJ43))</x:f>
      </x:c>
      <x:c r="FE43" s="42" t="str">
        <x:f>IF(COUNT($EL43,$EM43,$EN43)=0,"",AVERAGE($EL43,$EM43,$EN43))</x:f>
      </x:c>
      <x:c r="FF43" s="42" t="str">
        <x:f>IF(OR($FD43="",$FE43=""),"",$FE43-$FD43)</x:f>
      </x:c>
      <x:c r="FG43" s="24" t="str">
        <x:f>IF(COUNT($DF43,$DG43,$DH43,$DJ43,$DK43,$DL43,$DM43,$DN43,$DO43,$DQ43,$DR43,$DS43)=12,"Yes","No")</x:f>
        <x:v>No</x:v>
      </x:c>
      <x:c r="FH43" s="24" t="str">
        <x:f>IF(COUNT($EA43,$EB43,$EC43,$EE43,$EF43,$EG43,$EH43,$EI43,$EJ43,$EL43,$EM43,$EN43)=12,"Yes","No")</x:f>
        <x:v>No</x:v>
      </x:c>
      <x:c r="FI43" s="24" t="str">
        <x:f>IF(AND($M43="Include",OR($FG43="Yes",$FH43="Yes")),"Ready","Not ready")</x:f>
        <x:v>Not ready</x:v>
      </x:c>
    </x:row>
    <x:row r="44" ht="24" customHeight="1">
      <x:c r="A44" s="22" t="str">
        <x:v>TRT-0042</x:v>
      </x:c>
      <x:c r="B44" s="22" t="n">
        <x:v>53</x:v>
      </x:c>
      <x:c r="C44" s="22" t="str">
        <x:v>Candidate treatment group</x:v>
      </x:c>
      <x:c r="D44" s="22" t="n">
        <x:v>1</x:v>
      </x:c>
      <x:c r="E44" s="22" t="str">
        <x:v>DATA - Innovation driven deals.xlsx</x:v>
      </x:c>
      <x:c r="F44" s="22" t="str">
        <x:v>agilent technologies acquires 100 stake in dako</x:v>
      </x:c>
      <x:c r="G44" s="22" t="str">
        <x:v>Yes</x:v>
      </x:c>
      <x:c r="H44" s="22" t="str">
        <x:v>No</x:v>
      </x:c>
      <x:c r="I44" s="22" t="str">
        <x:v>No</x:v>
      </x:c>
      <x:c r="J44" s="22" t="n">
        <x:v>1</x:v>
      </x:c>
      <x:c r="K44" s="22" t="str">
        <x:v>Not started</x:v>
      </x:c>
      <x:c r="L44" s="22" t="str">
        <x:v>Eligible - 100%</x:v>
      </x:c>
      <x:c r="M44" s="22" t="str">
        <x:v>Review</x:v>
      </x:c>
      <x:c r="N44" s="22" t="str"/>
      <x:c r="O44" s="28" t="n">
        <x:v>41046</x:v>
      </x:c>
      <x:c r="P44" s="28" t="n">
        <x:v>41081</x:v>
      </x:c>
      <x:c r="Q44" s="22" t="n">
        <x:v>2012</x:v>
      </x:c>
      <x:c r="R44" s="22" t="str">
        <x:v>Q2 2012</x:v>
      </x:c>
      <x:c r="S44" s="22" t="str">
        <x:v>Completed</x:v>
      </x:c>
      <x:c r="T44" s="26" t="str">
        <x:v>Agilent Technologies acquires 100% stake in Dako</x:v>
      </x:c>
      <x:c r="U44" s="22" t="str">
        <x:v>Mergers &amp; Acquisitions</x:v>
      </x:c>
      <x:c r="V44" s="22" t="str">
        <x:v>Acquisition</x:v>
      </x:c>
      <x:c r="W44" s="22" t="str">
        <x:v>100% Acquisition</x:v>
      </x:c>
      <x:c r="X44" s="22" t="str">
        <x:v>Denmark</x:v>
      </x:c>
      <x:c r="Y44" s="22" t="str">
        <x:v>100% Acquisition</x:v>
      </x:c>
      <x:c r="Z44" s="26" t="str">
        <x:v>Credit Suisse Securities USA LLC , Goldman Sachs International</x:v>
      </x:c>
      <x:c r="AA44" s="26" t="str">
        <x:v>Accura Advokatpartnerselskab , Cleary Gottlieb Steen &amp; Hamilton LLP , Davis Polk &amp; Wardwell LLP , Kromann Reumert , Kromann Reumert</x:v>
      </x:c>
      <x:c r="AB44" s="22" t="str">
        <x:v>Agilent Technologies, Inc.</x:v>
      </x:c>
      <x:c r="AC44" s="22" t="str">
        <x:v>agilent technologies</x:v>
      </x:c>
      <x:c r="AD44" s="22" t="str">
        <x:v>Dako A/S</x:v>
      </x:c>
      <x:c r="AE44" s="22" t="str">
        <x:v>dako a s</x:v>
      </x:c>
      <x:c r="AF44" s="30" t="n">
        <x:v>2200</x:v>
      </x:c>
      <x:c r="AG44" s="22" t="n">
        <x:v>2200</x:v>
      </x:c>
      <x:c r="AH44" s="26" t="str">
        <x:v>Agilent Technologies Inc., a US-based measurement company engaged in providing bio-analytical and electronic measurement solutions, has acquired 100% stake in Dako A/S, a Denmark-based cancer diagnostic company, from EQT V Limited. 
_x000d_ EQT V is a UK-based equity fund managed by private equity fund manager EQT Funds Management Limited. 
_x000d_Announcement (May 17, 2012): 
_x000d_ Agilent has entered into a definitive agreement to acquire Dako from EQT V for a cash consideration of $2,200 million. 
_x000d_ 
_x000d_For the year ending 2010, Dako had generated annual revenue of approximately $340 million with approximately 1,000 employees.
_x000d_Credit Suisse Securities (USA) LLC is acting as financial advisor, while Kromann Reumert and Cleary Gottlieb Steen &amp; Hamilton, LLP are acting as legal advisors to Agilent. Goldman Sachs International is acting as financial advisor, while Davis Polk &amp; Wardwell LLP and Accura Advokataktieselskab are acting as legal advisors to EQT V. 
_x000d_ The acquisition is expected to close within the next 60 days.</x:v>
      </x:c>
      <x:c r="AI44" s="26" t="str">
        <x:v>The transaction will strategically complement Agilent’s research technologies and will accelerate growth in diagnostic markets._x000d_
_x000d_
The acquisition will allow Agilent to strengthen its position in life sciences, with a focus on product development to help in the fight against cancer._x000d_
_x000d_
The addition of Dako and its portfolio will help Agilent accelerate its growth in several rapidly expanding areas of diagnostics, as well as strengthen its existing offerings.</x:v>
      </x:c>
      <x:c r="AJ44" s="22" t="str"/>
      <x:c r="AK44" s="22" t="str"/>
      <x:c r="AL44" s="22" t="str">
        <x:v>Unknown</x:v>
      </x:c>
      <x:c r="AM44" s="22" t="str">
        <x:v>Unknown</x:v>
      </x:c>
      <x:c r="AN44" s="22" t="str"/>
      <x:c r="AO44" s="22" t="str"/>
      <x:c r="AP44" s="22" t="str"/>
      <x:c r="AQ44" s="22" t="str"/>
      <x:c r="AR44" s="22" t="str"/>
      <x:c r="AS44" s="22" t="str">
        <x:v>Agilent Technologies, Inc.</x:v>
      </x:c>
      <x:c r="AT44" s="22" t="str">
        <x:v>Dako A/S</x:v>
      </x:c>
      <x:c r="AU44" s="22" t="str">
        <x:v>Not reviewed</x:v>
      </x:c>
      <x:c r="AV44" s="22" t="str">
        <x:v>Not assessed</x:v>
      </x:c>
      <x:c r="AW44" s="22" t="str">
        <x:v>Unknown</x:v>
      </x:c>
      <x:c r="AX44" s="22" t="str">
        <x:v>Unknown</x:v>
      </x:c>
      <x:c r="AY44" s="22" t="str">
        <x:v>Unknown</x:v>
      </x:c>
      <x:c r="AZ44" s="22" t="str">
        <x:v>Unknown</x:v>
      </x:c>
      <x:c r="BA44" s="22" t="str">
        <x:v>Unknown</x:v>
      </x:c>
      <x:c r="BB44" s="22" t="str">
        <x:v>Unknown</x:v>
      </x:c>
      <x:c r="BC44" s="26" t="str"/>
      <x:c r="BD44" s="22" t="str"/>
      <x:c r="BE44" s="22" t="str"/>
      <x:c r="BF44" s="22" t="str">
        <x:v>Not collected</x:v>
      </x:c>
      <x:c r="BG44" s="22" t="str">
        <x:v>Not collected</x:v>
      </x:c>
      <x:c r="BH44" s="22" t="str">
        <x:v>Not defined</x:v>
      </x:c>
      <x:c r="BI44" s="22" t="n">
        <x:f>IF($Q44="","",$Q44-3)</x:f>
        <x:v>2009</x:v>
      </x:c>
      <x:c r="BJ44" s="22" t="n">
        <x:f>IF($Q44="","",$Q44-2)</x:f>
        <x:v>2010</x:v>
      </x:c>
      <x:c r="BK44" s="22" t="n">
        <x:f>IF($Q44="","",$Q44-1)</x:f>
        <x:v>2011</x:v>
      </x:c>
      <x:c r="BL44" s="22" t="n">
        <x:f>IF($Q44="","",$Q44+0)</x:f>
        <x:v>2012</x:v>
      </x:c>
      <x:c r="BM44" s="22" t="n">
        <x:f>IF($Q44="","",$Q44+1)</x:f>
        <x:v>2013</x:v>
      </x:c>
      <x:c r="BN44" s="22" t="n">
        <x:f>IF($Q44="","",$Q44+2)</x:f>
        <x:v>2014</x:v>
      </x:c>
      <x:c r="BO44" s="22" t="n">
        <x:f>IF($Q44="","",$Q44+3)</x:f>
        <x:v>2015</x:v>
      </x:c>
      <x:c r="BP44" s="30" t="str"/>
      <x:c r="BQ44" s="30" t="str"/>
      <x:c r="BR44" s="30" t="str"/>
      <x:c r="BS44" s="30" t="str"/>
      <x:c r="BT44" s="30" t="str"/>
      <x:c r="BU44" s="30" t="str"/>
      <x:c r="BV44" s="30" t="str"/>
      <x:c r="BW44" s="30" t="str"/>
      <x:c r="BX44" s="30" t="str"/>
      <x:c r="BY44" s="30" t="str"/>
      <x:c r="BZ44" s="30" t="str"/>
      <x:c r="CA44" s="30" t="str"/>
      <x:c r="CB44" s="30" t="str"/>
      <x:c r="CC44" s="30" t="str"/>
      <x:c r="CD44" s="30" t="str"/>
      <x:c r="CE44" s="30" t="str"/>
      <x:c r="CF44" s="30" t="str"/>
      <x:c r="CG44" s="30" t="str"/>
      <x:c r="CH44" s="30" t="str"/>
      <x:c r="CI44" s="30" t="str"/>
      <x:c r="CJ44" s="30" t="str"/>
      <x:c r="CK44" s="30" t="str"/>
      <x:c r="CL44" s="30" t="str"/>
      <x:c r="CM44" s="30" t="str"/>
      <x:c r="CN44" s="30" t="str"/>
      <x:c r="CO44" s="30" t="str"/>
      <x:c r="CP44" s="30" t="str"/>
      <x:c r="CQ44" s="30" t="str"/>
      <x:c r="CR44" s="30" t="str"/>
      <x:c r="CS44" s="30" t="str"/>
      <x:c r="CT44" s="30" t="str"/>
      <x:c r="CU44" s="30" t="str"/>
      <x:c r="CV44" s="30" t="str"/>
      <x:c r="CW44" s="30" t="str"/>
      <x:c r="CX44" s="30" t="str"/>
      <x:c r="CY44" s="30" t="str"/>
      <x:c r="CZ44" s="30" t="str"/>
      <x:c r="DA44" s="30" t="str"/>
      <x:c r="DB44" s="30" t="str"/>
      <x:c r="DC44" s="30" t="str"/>
      <x:c r="DD44" s="30" t="str"/>
      <x:c r="DE44" s="30" t="str"/>
      <x:c r="DF44" s="32" t="str"/>
      <x:c r="DG44" s="32" t="str"/>
      <x:c r="DH44" s="32" t="str"/>
      <x:c r="DI44" s="32" t="str"/>
      <x:c r="DJ44" s="32" t="str"/>
      <x:c r="DK44" s="32" t="str"/>
      <x:c r="DL44" s="32" t="str"/>
      <x:c r="DM44" s="32" t="str"/>
      <x:c r="DN44" s="32" t="str"/>
      <x:c r="DO44" s="32" t="str"/>
      <x:c r="DP44" s="32" t="str"/>
      <x:c r="DQ44" s="32" t="str"/>
      <x:c r="DR44" s="32" t="str"/>
      <x:c r="DS44" s="32" t="str"/>
      <x:c r="DT44" s="32" t="str"/>
      <x:c r="DU44" s="32" t="str"/>
      <x:c r="DV44" s="32" t="str"/>
      <x:c r="DW44" s="32" t="str"/>
      <x:c r="DX44" s="32" t="str"/>
      <x:c r="DY44" s="32" t="str"/>
      <x:c r="DZ44" s="32" t="str"/>
      <x:c r="EA44" s="34" t="str"/>
      <x:c r="EB44" s="34" t="str"/>
      <x:c r="EC44" s="34" t="str"/>
      <x:c r="ED44" s="34" t="str"/>
      <x:c r="EE44" s="34" t="str"/>
      <x:c r="EF44" s="34" t="str"/>
      <x:c r="EG44" s="34" t="str"/>
      <x:c r="EH44" s="34" t="str"/>
      <x:c r="EI44" s="34" t="str"/>
      <x:c r="EJ44" s="34" t="str"/>
      <x:c r="EK44" s="34" t="str"/>
      <x:c r="EL44" s="34" t="str"/>
      <x:c r="EM44" s="34" t="str"/>
      <x:c r="EN44" s="34" t="str"/>
      <x:c r="EO44" s="34" t="str"/>
      <x:c r="EP44" s="34" t="str"/>
      <x:c r="EQ44" s="36" t="str">
        <x:f>IF(OR($EO44="",$EP44="",$EO44=0),"",$EP44/$EO44)</x:f>
      </x:c>
      <x:c r="ER44" s="38" t="str"/>
      <x:c r="ES44" s="22" t="str">
        <x:v>Unknown</x:v>
      </x:c>
      <x:c r="ET44" s="22" t="str">
        <x:v>Unknown</x:v>
      </x:c>
      <x:c r="EU44" s="40" t="str">
        <x:f>IF(COUNT($DF44,$DG44,$DH44)=0,"",AVERAGE($DF44,$DG44,$DH44))</x:f>
      </x:c>
      <x:c r="EV44" s="40" t="str">
        <x:f>IF(COUNT($DJ44,$DK44,$DL44)=0,"",AVERAGE($DJ44,$DK44,$DL44))</x:f>
      </x:c>
      <x:c r="EW44" s="40" t="str">
        <x:f>IF(OR($EU44="",$EV44=""),"",$EV44-$EU44)</x:f>
      </x:c>
      <x:c r="EX44" s="40" t="str">
        <x:f>IF(COUNT($DM44,$DN44,$DO44)=0,"",AVERAGE($DM44,$DN44,$DO44))</x:f>
      </x:c>
      <x:c r="EY44" s="40" t="str">
        <x:f>IF(COUNT($DQ44,$DR44,$DS44)=0,"",AVERAGE($DQ44,$DR44,$DS44))</x:f>
      </x:c>
      <x:c r="EZ44" s="40" t="str">
        <x:f>IF(OR($EX44="",$EY44=""),"",$EY44-$EX44)</x:f>
      </x:c>
      <x:c r="FA44" s="42" t="str">
        <x:f>IF(COUNT($EA44,$EB44,$EC44)=0,"",AVERAGE($EA44,$EB44,$EC44))</x:f>
      </x:c>
      <x:c r="FB44" s="42" t="str">
        <x:f>IF(COUNT($EE44,$EF44,$EG44)=0,"",AVERAGE($EE44,$EF44,$EG44))</x:f>
      </x:c>
      <x:c r="FC44" s="42" t="str">
        <x:f>IF(OR($FA44="",$FB44=""),"",$FB44-$FA44)</x:f>
      </x:c>
      <x:c r="FD44" s="42" t="str">
        <x:f>IF(COUNT($EH44,$EI44,$EJ44)=0,"",AVERAGE($EH44,$EI44,$EJ44))</x:f>
      </x:c>
      <x:c r="FE44" s="42" t="str">
        <x:f>IF(COUNT($EL44,$EM44,$EN44)=0,"",AVERAGE($EL44,$EM44,$EN44))</x:f>
      </x:c>
      <x:c r="FF44" s="42" t="str">
        <x:f>IF(OR($FD44="",$FE44=""),"",$FE44-$FD44)</x:f>
      </x:c>
      <x:c r="FG44" s="24" t="str">
        <x:f>IF(COUNT($DF44,$DG44,$DH44,$DJ44,$DK44,$DL44,$DM44,$DN44,$DO44,$DQ44,$DR44,$DS44)=12,"Yes","No")</x:f>
        <x:v>No</x:v>
      </x:c>
      <x:c r="FH44" s="24" t="str">
        <x:f>IF(COUNT($EA44,$EB44,$EC44,$EE44,$EF44,$EG44,$EH44,$EI44,$EJ44,$EL44,$EM44,$EN44)=12,"Yes","No")</x:f>
        <x:v>No</x:v>
      </x:c>
      <x:c r="FI44" s="24" t="str">
        <x:f>IF(AND($M44="Include",OR($FG44="Yes",$FH44="Yes")),"Ready","Not ready")</x:f>
        <x:v>Not ready</x:v>
      </x:c>
    </x:row>
    <x:row r="45">
      <x:c r="A45" t="str">
        <x:v>TRT-0043</x:v>
      </x:c>
      <x:c r="B45" t="n">
        <x:v>253</x:v>
      </x:c>
      <x:c r="C45" t="str">
        <x:v>User-designated treatment group (reclassified)</x:v>
      </x:c>
      <x:c r="D45" t="n">
        <x:v>1</x:v>
      </x:c>
      <x:c r="E45" t="str">
        <x:v>DATA non-innovation deals.xlsx</x:v>
      </x:c>
      <x:c r="F45" t="str">
        <x:v>midatech acquires q chip</x:v>
      </x:c>
      <x:c r="G45" t="str">
        <x:v>No</x:v>
      </x:c>
      <x:c r="H45" t="str">
        <x:v>No</x:v>
      </x:c>
      <x:c r="I45" t="str">
        <x:v>No</x:v>
      </x:c>
      <x:c r="J45" t="n">
        <x:v>1</x:v>
      </x:c>
      <x:c r="K45" t="str">
        <x:v>In progress</x:v>
      </x:c>
      <x:c r="L45" t="str">
        <x:v>Review - majority</x:v>
      </x:c>
      <x:c r="M45" t="str">
        <x:v>Review</x:v>
      </x:c>
      <x:c r="N45"/>
      <x:c r="O45" s="95" t="n">
        <x:v>41981</x:v>
      </x:c>
      <x:c r="P45" s="95" t="n">
        <x:v>41981</x:v>
      </x:c>
      <x:c r="Q45" t="n">
        <x:v>2014</x:v>
      </x:c>
      <x:c r="R45" t="str">
        <x:v>Q4 2014</x:v>
      </x:c>
      <x:c r="S45" t="str">
        <x:v>Completed</x:v>
      </x:c>
      <x:c r="T45" t="str">
        <x:v>Midatech acquires Q Chip</x:v>
      </x:c>
      <x:c r="U45" t="str">
        <x:v>Mergers &amp; Acquisitions</x:v>
      </x:c>
      <x:c r="V45" t="str">
        <x:v>Acquisition</x:v>
      </x:c>
      <x:c r="W45" t="str">
        <x:v>Majority Acquisition</x:v>
      </x:c>
      <x:c r="X45" t="str">
        <x:v>United Kingdom</x:v>
      </x:c>
      <x:c r="Y45" t="str">
        <x:v>Majority Acquisition</x:v>
      </x:c>
      <x:c r="Z45" t="str">
        <x:v>Panmure Gordon (UK) Ltd , BDO LLP</x:v>
      </x:c>
      <x:c r="AA45" t="str">
        <x:v>Geldards LLP , Brown Rudnick LLP , Theobald Associates</x:v>
      </x:c>
      <x:c r="AB45" t="str">
        <x:v>Biodexa Ltd</x:v>
      </x:c>
      <x:c r="AC45" t="str">
        <x:v>biodexa ltd</x:v>
      </x:c>
      <x:c r="AD45" t="str">
        <x:v>Q Chip, Ltd.</x:v>
      </x:c>
      <x:c r="AE45" t="str">
        <x:v>q chip ltd</x:v>
      </x:c>
      <x:c r="AF45"/>
      <x:c r="AG45" t="str">
        <x:v>n/a</x:v>
      </x:c>
      <x:c r="AH45" t="str">
        <x:v>Midatech, Ltd., a clinical stage biotechnology company engaged in design, synthesis and manufacturing of nanomedicines, has acquired Q Chip, Ltd. (Q Chip), a bio-pharmaceutical company that develops sustained-release drug formulations for cancer and other diseases, and its subsidiaries. Both the companies are based in the UK. &lt;br /&gt;&lt;br /&gt;_x000d_Q Chip was backed by Finance Wales Investments, Ltd., Disruptive Capital Finance LLP (formerly Curzon Park Capital, Ltd.) and individual investors including an angel syndicate including both Simon Turton and Ken Powell. &lt;br /&gt;&lt;br /&gt;_x000d_ Panmure Gordon (UK) Limited and BDO LLP acted as financial advisors, while Brown Rudnick, LLP acted a legal advisor to Midatech. Theobald Associates and Geldards LLP acted as legal advisors to Q Chip.</x:v>
      </x:c>
      <x:c r="AI45" t="str">
        <x:v>The transaction will enable Midatech to add programs in cancer and ophthalmology based on the sustained release platform to its portfolio in cancer, diabetes and neuroscience.</x:v>
      </x:c>
      <x:c r="AJ45"/>
      <x:c r="AK45"/>
      <x:c r="AL45" t="str">
        <x:v>Unknown</x:v>
      </x:c>
      <x:c r="AM45" t="str">
        <x:v>Yes</x:v>
      </x:c>
      <x:c r="AN45" t="str">
        <x:v>BDRX LN</x:v>
      </x:c>
      <x:c r="AO45"/>
      <x:c r="AP45"/>
      <x:c r="AQ45" t="str">
        <x:v>Biodexa Ltd</x:v>
      </x:c>
      <x:c r="AR45" t="str">
        <x:v>Q Chip, Ltd.</x:v>
      </x:c>
      <x:c r="AS45" t="str">
        <x:v>Biodexa Ltd</x:v>
      </x:c>
      <x:c r="AT45" t="str">
        <x:v>Q Chip, Ltd.</x:v>
      </x:c>
      <x:c r="AU45" t="str">
        <x:v>Not reviewed</x:v>
      </x:c>
      <x:c r="AV45" t="str">
        <x:v>Not assessed</x:v>
      </x:c>
      <x:c r="AW45" t="str">
        <x:v>Unknown</x:v>
      </x:c>
      <x:c r="AX45" t="str">
        <x:v>Unknown</x:v>
      </x:c>
      <x:c r="AY45" t="str">
        <x:v>Unknown</x:v>
      </x:c>
      <x:c r="AZ45" t="str">
        <x:v>Unknown</x:v>
      </x:c>
      <x:c r="BA45" s="50" t="str">
        <x:v>Unknown</x:v>
      </x:c>
      <x:c r="BB45" s="50" t="str">
        <x:v>Unknown</x:v>
      </x:c>
      <x:c r="BC45" s="50" t="str">
        <x:v>Moved into the treatment workbook at the user's instruction. Innovation classification and control-transfer eligibility still require manual validation.</x:v>
      </x:c>
      <x:c r="BD45" s="50"/>
      <x:c r="BE45" s="50" t="str">
        <x:v>EUR</x:v>
      </x:c>
      <x:c r="BF45" s="50" t="str">
        <x:v>Partial</x:v>
      </x:c>
      <x:c r="BG45" s="50" t="str">
        <x:v>Not collected</x:v>
      </x:c>
      <x:c r="BH45" s="50" t="str">
        <x:v>Not defined</x:v>
      </x:c>
      <x:c r="BI45" s="50" t="n">
        <x:v>2011</x:v>
      </x:c>
      <x:c r="BJ45" s="50" t="n">
        <x:v>2012</x:v>
      </x:c>
      <x:c r="BK45" s="50" t="n">
        <x:v>2013</x:v>
      </x:c>
      <x:c r="BL45" s="50" t="n">
        <x:v>2014</x:v>
      </x:c>
      <x:c r="BM45" s="50" t="n">
        <x:v>2015</x:v>
      </x:c>
      <x:c r="BN45" s="50" t="n">
        <x:v>2016</x:v>
      </x:c>
      <x:c r="BO45" s="50" t="n">
        <x:v>2017</x:v>
      </x:c>
      <x:c r="BP45" s="50" t="n">
        <x:v>0</x:v>
      </x:c>
      <x:c r="BQ45" s="50" t="n">
        <x:v>0</x:v>
      </x:c>
      <x:c r="BR45" s="50" t="n">
        <x:v>0.1732</x:v>
      </x:c>
      <x:c r="BS45" s="50" t="n">
        <x:v>0.1948</x:v>
      </x:c>
      <x:c r="BT45" s="50" t="n">
        <x:v>1.8941</x:v>
      </x:c>
      <x:c r="BU45" s="50" t="n">
        <x:v>8.4755</x:v>
      </x:c>
      <x:c r="BV45" s="50" t="n">
        <x:v>8.6742</x:v>
      </x:c>
      <x:c r="BW45" s="50" t="n">
        <x:v>-4.4787</x:v>
      </x:c>
      <x:c r="BX45" s="50" t="n">
        <x:v>-4.9427</x:v>
      </x:c>
      <x:c r="BY45" s="50" t="n">
        <x:v>-5.2995</x:v>
      </x:c>
      <x:c r="BZ45" s="50" t="n">
        <x:v>-10.7497</x:v>
      </x:c>
      <x:c r="CA45" s="50" t="n">
        <x:v>-14.5055</x:v>
      </x:c>
      <x:c r="CB45" s="50" t="n">
        <x:v>-23.4347</x:v>
      </x:c>
      <x:c r="CC45" s="50" t="n">
        <x:v>-18.369</x:v>
      </x:c>
      <x:c r="CD45" s="50" t="n">
        <x:v>-4.7173</x:v>
      </x:c>
      <x:c r="CE45" s="50" t="n">
        <x:v>-4.9255</x:v>
      </x:c>
      <x:c r="CF45" s="50" t="n">
        <x:v>-4.8107</x:v>
      </x:c>
      <x:c r="CG45" s="50" t="n">
        <x:v>-10.947</x:v>
      </x:c>
      <x:c r="CH45" s="50" t="n">
        <x:v>-13.9118</x:v>
      </x:c>
      <x:c r="CI45" s="50" t="n">
        <x:v>-24.6835</x:v>
      </x:c>
      <x:c r="CJ45" s="50" t="n">
        <x:v>-18.3393</x:v>
      </x:c>
      <x:c r="CK45" s="50" t="n">
        <x:v>6.4058</x:v>
      </x:c>
      <x:c r="CL45" s="50" t="n">
        <x:v>2.7335</x:v>
      </x:c>
      <x:c r="CM45" s="50" t="n">
        <x:v>6.216</x:v>
      </x:c>
      <x:c r="CN45" s="50" t="n">
        <x:v>60.0873</x:v>
      </x:c>
      <x:c r="CO45" s="50" t="n">
        <x:v>86.8379</x:v>
      </x:c>
      <x:c r="CP45" s="50" t="n">
        <x:v>66.3531</x:v>
      </x:c>
      <x:c r="CQ45" s="50" t="n">
        <x:v>55.3739</x:v>
      </x:c>
      <x:c r="CR45" s="50" t="n">
        <x:v>5.8733</x:v>
      </x:c>
      <x:c r="CS45" s="50" t="n">
        <x:v>6.7075</x:v>
      </x:c>
      <x:c r="CT45" s="50" t="n">
        <x:v>4.0451</x:v>
      </x:c>
      <x:c r="CU45" s="50" t="n">
        <x:v>2.5483</x:v>
      </x:c>
      <x:c r="CV45" s="50" t="n">
        <x:v>2.6441</x:v>
      </x:c>
      <x:c r="CW45" s="50" t="n">
        <x:v>2.5259</x:v>
      </x:c>
      <x:c r="CX45" s="50" t="n">
        <x:v>7.3638</x:v>
      </x:c>
      <x:c r="CY45" s="50" t="n">
        <x:v>1.5582</x:v>
      </x:c>
      <x:c r="CZ45" s="50" t="n">
        <x:v>2.036</x:v>
      </x:c>
      <x:c r="DA45" s="50" t="n">
        <x:v>2.2675</x:v>
      </x:c>
      <x:c r="DB45" s="50" t="n">
        <x:v>6.7491</x:v>
      </x:c>
      <x:c r="DC45" s="50" t="n">
        <x:v>8.1551</x:v>
      </x:c>
      <x:c r="DD45" s="50" t="n">
        <x:v>8.1829</x:v>
      </x:c>
      <x:c r="DE45" s="50" t="n">
        <x:v>11.6276</x:v>
      </x:c>
      <x:c r="DF45" s="50" t="n">
        <x:v>-73.64107527553155</x:v>
      </x:c>
      <x:c r="DG45" s="50" t="n">
        <x:v>-105.4661</x:v>
      </x:c>
      <x:c r="DH45" s="50" t="n">
        <x:v>-110.453</x:v>
      </x:c>
      <x:c r="DI45" s="50" t="n">
        <x:v>-34.0375</x:v>
      </x:c>
      <x:c r="DJ45" s="50" t="n">
        <x:v>-18.245</x:v>
      </x:c>
      <x:c r="DK45" s="50" t="n">
        <x:v>-33.4001</x:v>
      </x:c>
      <x:c r="DL45" s="50" t="n">
        <x:v>-30.3343</x:v>
      </x:c>
      <x:c r="DM45" s="50"/>
      <x:c r="DN45" s="50"/>
      <x:c r="DO45" s="50" t="n">
        <x:v>-3060.5442</x:v>
      </x:c>
      <x:c r="DP45" s="50" t="n">
        <x:v>-6170.0637</x:v>
      </x:c>
      <x:c r="DQ45" s="50" t="n">
        <x:v>-939.4909</x:v>
      </x:c>
      <x:c r="DR45" s="50" t="n">
        <x:v>-441.3549</x:v>
      </x:c>
      <x:c r="DS45" s="50" t="n">
        <x:v>-231.8636</x:v>
      </x:c>
      <x:c r="DT45" t="n">
        <x:v>91.6869</x:v>
      </x:c>
      <x:c r="DU45" t="n">
        <x:v>245.385</x:v>
      </x:c>
      <x:c r="DV45" t="n">
        <x:v>65.0754</x:v>
      </x:c>
      <x:c r="DW45" t="n">
        <x:v>4.241</x:v>
      </x:c>
      <x:c r="DX45" t="n">
        <x:v>3.0449</x:v>
      </x:c>
      <x:c r="DY45" t="n">
        <x:v>3.8067</x:v>
      </x:c>
      <x:c r="DZ45" t="n">
        <x:v>13.2984</x:v>
      </x:c>
      <x:c r="EA45" s="50"/>
      <x:c r="EB45" s="50"/>
      <x:c r="EC45" s="50"/>
      <x:c r="ED45" s="50"/>
      <x:c r="EE45" s="50"/>
      <x:c r="EF45" s="50"/>
      <x:c r="EG45" s="50"/>
      <x:c r="EH45" s="50"/>
      <x:c r="EI45" s="50"/>
      <x:c r="EJ45" s="50"/>
      <x:c r="EK45" s="50"/>
      <x:c r="EL45" s="50"/>
      <x:c r="EM45" s="50"/>
      <x:c r="EN45" s="50"/>
      <x:c r="EO45" s="50"/>
      <x:c r="EP45" s="50"/>
      <x:c r="EQ45" t="str">
        <x:f>IF(OR($EO45="",$EP45="",$EO45=0),"",$EP45/$EO45)</x:f>
      </x:c>
      <x:c r="ER45"/>
      <x:c r="ES45" t="str">
        <x:v>Unknown</x:v>
      </x:c>
      <x:c r="ET45" t="str">
        <x:v>Unknown</x:v>
      </x:c>
      <x:c r="EU45" t="n">
        <x:f>IF(COUNT($DF45,$DG45,$DH45)=0,"",AVERAGE($DF45,$DG45,$DH45))</x:f>
        <x:v>-96.52005842517718</x:v>
      </x:c>
      <x:c r="EV45" t="n">
        <x:f>IF(COUNT($DJ45,$DK45,$DL45)=0,"",AVERAGE($DJ45,$DK45,$DL45))</x:f>
        <x:v>-27.326466666666665</x:v>
      </x:c>
      <x:c r="EW45" t="n">
        <x:f>IF(OR($EU45="",$EV45=""),"",$EV45-$EU45)</x:f>
        <x:v>69.19359175851052</x:v>
      </x:c>
      <x:c r="EX45" t="n">
        <x:f>IF(COUNT($DM45,$DN45,$DO45)=0,"",AVERAGE($DM45,$DN45,$DO45))</x:f>
        <x:v>-3060.5442</x:v>
      </x:c>
      <x:c r="EY45" t="n">
        <x:f>IF(COUNT($DQ45,$DR45,$DS45)=0,"",AVERAGE($DQ45,$DR45,$DS45))</x:f>
        <x:v>-537.5698</x:v>
      </x:c>
      <x:c r="EZ45" t="n">
        <x:f>IF(OR($EX45="",$EY45=""),"",$EY45-$EX45)</x:f>
        <x:v>2522.9744</x:v>
      </x:c>
      <x:c r="FA45" t="str">
        <x:f>IF(COUNT($EA45,$EB45,$EC45)=0,"",AVERAGE($EA45,$EB45,$EC45))</x:f>
      </x:c>
      <x:c r="FB45" t="str">
        <x:f>IF(COUNT($EE45,$EF45,$EG45)=0,"",AVERAGE($EE45,$EF45,$EG45))</x:f>
      </x:c>
      <x:c r="FC45" t="str">
        <x:f>IF(OR($FA45="",$FB45=""),"",$FB45-$FA45)</x:f>
      </x:c>
      <x:c r="FD45" t="str">
        <x:f>IF(COUNT($EH45,$EI45,$EJ45)=0,"",AVERAGE($EH45,$EI45,$EJ45))</x:f>
      </x:c>
      <x:c r="FE45" t="str">
        <x:f>IF(COUNT($EL45,$EM45,$EN45)=0,"",AVERAGE($EL45,$EM45,$EN45))</x:f>
      </x:c>
      <x:c r="FF45" t="str">
        <x:f>IF(OR($FD45="",$FE45=""),"",$FE45-$FD45)</x:f>
      </x:c>
      <x:c r="FG45" t="str">
        <x:f>IF(COUNT($DF45,$DG45,$DH45,$DJ45,$DK45,$DL45,$DM45,$DN45,$DO45,$DQ45,$DR45,$DS45)=12,"Yes","No")</x:f>
        <x:v>No</x:v>
      </x:c>
      <x:c r="FH45" t="str">
        <x:f>IF(COUNT($EA45,$EB45,$EC45,$EE45,$EF45,$EG45,$EH45,$EI45,$EJ45,$EL45,$EM45,$EN45)=12,"Yes","No")</x:f>
        <x:v>No</x:v>
      </x:c>
      <x:c r="FI45" t="str">
        <x:f>IF(AND($M45="Include",OR($FG45="Yes",$FH45="Yes")),"Ready","Not ready")</x:f>
        <x:v>Not ready</x:v>
      </x:c>
    </x:row>
    <x:row r="46">
      <x:c r="A46" t="str">
        <x:v>TRT-0044</x:v>
      </x:c>
      <x:c r="B46" t="n">
        <x:v>39</x:v>
      </x:c>
      <x:c r="C46" t="str">
        <x:v>User-designated treatment group (reclassified)</x:v>
      </x:c>
      <x:c r="D46" t="n">
        <x:v>1</x:v>
      </x:c>
      <x:c r="E46" t="str">
        <x:v>DATA non-innovation deals.xlsx</x:v>
      </x:c>
      <x:c r="F46" t="str">
        <x:v>esteve pharma acquires riemser pharma from ardian</x:v>
      </x:c>
      <x:c r="G46" t="str">
        <x:v>No</x:v>
      </x:c>
      <x:c r="H46" t="str">
        <x:v>No</x:v>
      </x:c>
      <x:c r="I46" t="str">
        <x:v>No</x:v>
      </x:c>
      <x:c r="J46" t="n">
        <x:v>1</x:v>
      </x:c>
      <x:c r="K46" t="str">
        <x:v>In progress</x:v>
      </x:c>
      <x:c r="L46" t="str">
        <x:v>Eligible - 100%</x:v>
      </x:c>
      <x:c r="M46" t="str">
        <x:v>Review</x:v>
      </x:c>
      <x:c r="N46"/>
      <x:c r="O46" s="95" t="n">
        <x:v>43838</x:v>
      </x:c>
      <x:c r="P46" s="95" t="n">
        <x:v>43868</x:v>
      </x:c>
      <x:c r="Q46" t="n">
        <x:v>2020</x:v>
      </x:c>
      <x:c r="R46" t="str">
        <x:v>Q1 2020</x:v>
      </x:c>
      <x:c r="S46" t="str">
        <x:v>Completed</x:v>
      </x:c>
      <x:c r="T46" t="str">
        <x:v>Esteve Pharma Acquires Riemser Pharma from Ardian</x:v>
      </x:c>
      <x:c r="U46" t="str">
        <x:v>Mergers &amp; Acquisitions</x:v>
      </x:c>
      <x:c r="V46" t="str">
        <x:v>Acquisition</x:v>
      </x:c>
      <x:c r="W46" t="str">
        <x:v>100% Acquisition</x:v>
      </x:c>
      <x:c r="X46" t="str">
        <x:v>Germany</x:v>
      </x:c>
      <x:c r="Y46" t="str">
        <x:v>100% Acquisition</x:v>
      </x:c>
      <x:c r="Z46" t="str">
        <x:v>Rothschild &amp; Co SCA , PricewaterhouseCoopers International Ltd , Ernst &amp; Young Global Ltd</x:v>
      </x:c>
      <x:c r="AA46" t="str">
        <x:v>NOVACOS Rechtsanwalte , Hogan Lovells International LLP , Willkie Farr &amp; Gallagher LLP</x:v>
      </x:c>
      <x:c r="AB46" t="str">
        <x:v>Esteve Pharmaceuticals SA</x:v>
      </x:c>
      <x:c r="AC46" t="str">
        <x:v>esteve pharmaceuticals sa</x:v>
      </x:c>
      <x:c r="AD46" t="str">
        <x:v>ESTEVE Pharmaceuticals GmbH</x:v>
      </x:c>
      <x:c r="AE46" t="str">
        <x:v>esteve pharmaceuticals gmbh</x:v>
      </x:c>
      <x:c r="AF46"/>
      <x:c r="AG46" t="str">
        <x:v>n/a</x:v>
      </x:c>
      <x:c r="AH46" t="str">
        <x:v>Esteve Pharmaceuticals SA, a pharmaceutical company, has acquired 100% of the shares in Riemser Pharma GmbH, a pharmaceutical company from Ardian, an investment company.&lt;br /&gt;&lt;br /&gt;The product portfolio of Riemser comprises the three main therapy areas oncology, neurology and niche therapies. Riemser operates a pharmaceutical production facility in Germany and is represented in four of the five most important European countries with a company headquarters or a subsidiary: Germany, Great Britain, France and Spain. RIEMSER generates around 80% of its sales with products for clinical use, especially specialty pharmaceuticals and a wide range of medicinal products for therapeutic niche areas.&lt;br /&gt;&lt;br /&gt;Through the acquisition, Esteve is also expanding its access to the hospital market.&lt;br /&gt;&lt;br /&gt;This acquisition will enable Esteve Pharma to accelerate its transformation into a specialty pharma company.&lt;br /&gt;&lt;br /&gt;Deal History: On January 8, 2020, Esteve Pharmaceuticals SA, has entered into an agreement to acquire 100% of the shares in Riemser Pharma GmbH, a pharmaceutical company from Ardian, an investment company.</x:v>
      </x:c>
      <x:c r="AI46" t="str">
        <x:v>This acquisition will enable Esteve Pharma to accelerate its transformation into a specialty pharma company.</x:v>
      </x:c>
      <x:c r="AJ46"/>
      <x:c r="AK46"/>
      <x:c r="AL46" t="str">
        <x:v>Unknown</x:v>
      </x:c>
      <x:c r="AM46" t="str">
        <x:v>Yes</x:v>
      </x:c>
      <x:c r="AN46" t="str">
        <x:v>0646926D SM</x:v>
      </x:c>
      <x:c r="AO46"/>
      <x:c r="AP46"/>
      <x:c r="AQ46" t="str">
        <x:v>Esteve Pharmaceuticals SA</x:v>
      </x:c>
      <x:c r="AR46" t="str">
        <x:v>ESTEVE Pharmaceuticals GmbH</x:v>
      </x:c>
      <x:c r="AS46" t="str">
        <x:v>Esteve Pharmaceuticals SA</x:v>
      </x:c>
      <x:c r="AT46" t="str">
        <x:v>ESTEVE Pharmaceuticals GmbH</x:v>
      </x:c>
      <x:c r="AU46" t="str">
        <x:v>Not reviewed</x:v>
      </x:c>
      <x:c r="AV46" t="str">
        <x:v>Not assessed</x:v>
      </x:c>
      <x:c r="AW46" s="50" t="str">
        <x:v>Lens.org acquirer-side patent export imported; target patent export not supplied.</x:v>
      </x:c>
      <x:c r="AX46" t="str">
        <x:v>Unknown</x:v>
      </x:c>
      <x:c r="AY46" t="str">
        <x:v>Unknown</x:v>
      </x:c>
      <x:c r="AZ46" t="str">
        <x:v>Unknown</x:v>
      </x:c>
      <x:c r="BA46" s="50" t="str">
        <x:v>Unknown</x:v>
      </x:c>
      <x:c r="BB46" s="50" t="str">
        <x:v>Unknown</x:v>
      </x:c>
      <x:c r="BC46" s="50" t="str">
        <x:v>Moved into the treatment workbook at the user's instruction. Innovation classification and control-transfer eligibility still require manual validation.</x:v>
      </x:c>
      <x:c r="BD46" s="50"/>
      <x:c r="BE46" s="50" t="str">
        <x:v>EUR</x:v>
      </x:c>
      <x:c r="BF46" s="50" t="str">
        <x:v>Partial</x:v>
      </x:c>
      <x:c r="BG46" s="50" t="str">
        <x:v>Partial event window — 5/7 years covered</x:v>
      </x:c>
      <x:c r="BH46" s="50" t="str">
        <x:v>Applicant/owner aliases for Esteve Pharmaceuticals and Laboratorios del Dr. Esteve.</x:v>
      </x:c>
      <x:c r="BI46" s="50" t="n">
        <x:v>2017</x:v>
      </x:c>
      <x:c r="BJ46" s="50" t="n">
        <x:v>2018</x:v>
      </x:c>
      <x:c r="BK46" s="50" t="n">
        <x:v>2019</x:v>
      </x:c>
      <x:c r="BL46" s="50" t="n">
        <x:v>2020</x:v>
      </x:c>
      <x:c r="BM46" s="50" t="n">
        <x:v>2021</x:v>
      </x:c>
      <x:c r="BN46" s="50" t="n">
        <x:v>2022</x:v>
      </x:c>
      <x:c r="BO46" s="50" t="n">
        <x:v>2023</x:v>
      </x:c>
      <x:c r="BP46" s="50"/>
      <x:c r="BQ46" s="50"/>
      <x:c r="BR46" s="50"/>
      <x:c r="BS46" s="50"/>
      <x:c r="BT46" s="50"/>
      <x:c r="BU46" s="50"/>
      <x:c r="BV46" s="50"/>
      <x:c r="BW46" s="50" t="n">
        <x:v>19.8088</x:v>
      </x:c>
      <x:c r="BX46" s="50" t="n">
        <x:v>12.6743</x:v>
      </x:c>
      <x:c r="BY46" s="50" t="n">
        <x:v>166.8558</x:v>
      </x:c>
      <x:c r="BZ46" s="50" t="n">
        <x:v>-23.2304</x:v>
      </x:c>
      <x:c r="CA46" s="50" t="n">
        <x:v>46.584</x:v>
      </x:c>
      <x:c r="CB46" s="50"/>
      <x:c r="CC46" s="50"/>
      <x:c r="CD46" s="50"/>
      <x:c r="CE46" s="50"/>
      <x:c r="CF46" s="50"/>
      <x:c r="CG46" s="50"/>
      <x:c r="CH46" s="50"/>
      <x:c r="CI46" s="50"/>
      <x:c r="CJ46" s="50"/>
      <x:c r="CK46" s="50" t="n">
        <x:v>458.8717</x:v>
      </x:c>
      <x:c r="CL46" s="50" t="n">
        <x:v>538.6484</x:v>
      </x:c>
      <x:c r="CM46" s="50" t="n">
        <x:v>890.9543</x:v>
      </x:c>
      <x:c r="CN46" s="50" t="n">
        <x:v>851.7258</x:v>
      </x:c>
      <x:c r="CO46" s="50" t="n">
        <x:v>779.869</x:v>
      </x:c>
      <x:c r="CP46" s="50"/>
      <x:c r="CQ46" s="50"/>
      <x:c r="CR46" s="50" t="n">
        <x:v>0</x:v>
      </x:c>
      <x:c r="CS46" s="50" t="n">
        <x:v>17.1185</x:v>
      </x:c>
      <x:c r="CT46" s="50" t="n">
        <x:v>23.5852</x:v>
      </x:c>
      <x:c r="CU46" s="50" t="n">
        <x:v>30.0069</x:v>
      </x:c>
      <x:c r="CV46" s="50" t="n">
        <x:v>0.021</x:v>
      </x:c>
      <x:c r="CW46" s="50"/>
      <x:c r="CX46" s="50"/>
      <x:c r="CY46" s="50"/>
      <x:c r="CZ46" s="50"/>
      <x:c r="DA46" s="50"/>
      <x:c r="DB46" s="50"/>
      <x:c r="DC46" s="50"/>
      <x:c r="DD46" s="50"/>
      <x:c r="DE46" s="50"/>
      <x:c r="DF46" s="50" t="n">
        <x:v>4.4884</x:v>
      </x:c>
      <x:c r="DG46" s="50" t="n">
        <x:v>3.2539</x:v>
      </x:c>
      <x:c r="DH46" s="50" t="n">
        <x:v>23.6081</x:v>
      </x:c>
      <x:c r="DI46" s="50" t="n">
        <x:v>7.5956</x:v>
      </x:c>
      <x:c r="DJ46" s="50" t="n">
        <x:v>5.2352</x:v>
      </x:c>
      <x:c r="DK46" s="50"/>
      <x:c r="DL46" s="50"/>
      <x:c r="DM46" s="50" t="n">
        <x:v>91.1781</x:v>
      </x:c>
      <x:c r="DN46" s="50" t="n">
        <x:v>76.1274</x:v>
      </x:c>
      <x:c r="DO46" s="50" t="n">
        <x:v>95.7042</x:v>
      </x:c>
      <x:c r="DP46" s="50" t="n">
        <x:v>-357.3914</x:v>
      </x:c>
      <x:c r="DQ46" s="50" t="n">
        <x:v>85.7143</x:v>
      </x:c>
      <x:c r="DR46" s="50"/>
      <x:c r="DS46" s="50"/>
      <x:c r="DT46" t="n">
        <x:v>0</x:v>
      </x:c>
      <x:c r="DU46" t="n">
        <x:v>3.178</x:v>
      </x:c>
      <x:c r="DV46" t="n">
        <x:v>2.6472</x:v>
      </x:c>
      <x:c r="DW46" t="n">
        <x:v>3.5231</x:v>
      </x:c>
      <x:c r="DX46" t="n">
        <x:v>0.0027</x:v>
      </x:c>
      <x:c r="DY46"/>
      <x:c r="DZ46"/>
      <x:c r="EA46" s="50" t="n">
        <x:v>8</x:v>
      </x:c>
      <x:c r="EB46" s="50" t="n">
        <x:v>5</x:v>
      </x:c>
      <x:c r="EC46" s="50" t="n">
        <x:v>3</x:v>
      </x:c>
      <x:c r="ED46" s="50" t="n">
        <x:v>1</x:v>
      </x:c>
      <x:c r="EE46" s="50" t="n">
        <x:v>1</x:v>
      </x:c>
      <x:c r="EF46" s="50"/>
      <x:c r="EG46" s="50"/>
      <x:c r="EH46" s="50" t="n">
        <x:v>0</x:v>
      </x:c>
      <x:c r="EI46" s="50" t="n">
        <x:v>0</x:v>
      </x:c>
      <x:c r="EJ46" s="50" t="n">
        <x:v>0</x:v>
      </x:c>
      <x:c r="EK46" s="50" t="n">
        <x:v>0</x:v>
      </x:c>
      <x:c r="EL46" s="50" t="n">
        <x:v>0</x:v>
      </x:c>
      <x:c r="EM46" s="50"/>
      <x:c r="EN46" s="50"/>
      <x:c r="EO46" s="50" t="n">
        <x:v>16</x:v>
      </x:c>
      <x:c r="EP46" s="50"/>
      <x:c r="EQ46" t="str">
        <x:f>IF(OR($EO46="",$EP46="",$EO46=0),"",$EP46/$EO46)</x:f>
      </x:c>
      <x:c r="ER46"/>
      <x:c r="ES46" s="50" t="str">
        <x:v>No</x:v>
      </x:c>
      <x:c r="ET46" s="50" t="str">
        <x:v>No</x:v>
      </x:c>
      <x:c r="EU46" t="n">
        <x:f>IF(COUNT($DF46,$DG46,$DH46)=0,"",AVERAGE($DF46,$DG46,$DH46))</x:f>
        <x:v>10.450133333333333</x:v>
      </x:c>
      <x:c r="EV46" t="n">
        <x:f>IF(COUNT($DJ46,$DK46,$DL46)=0,"",AVERAGE($DJ46,$DK46,$DL46))</x:f>
        <x:v>5.2352</x:v>
      </x:c>
      <x:c r="EW46" t="n">
        <x:f>IF(OR($EU46="",$EV46=""),"",$EV46-$EU46)</x:f>
        <x:v>-5.214933333333334</x:v>
      </x:c>
      <x:c r="EX46" t="n">
        <x:f>IF(COUNT($DM46,$DN46,$DO46)=0,"",AVERAGE($DM46,$DN46,$DO46))</x:f>
        <x:v>87.6699</x:v>
      </x:c>
      <x:c r="EY46" t="n">
        <x:f>IF(COUNT($DQ46,$DR46,$DS46)=0,"",AVERAGE($DQ46,$DR46,$DS46))</x:f>
        <x:v>85.7143</x:v>
      </x:c>
      <x:c r="EZ46" t="n">
        <x:f>IF(OR($EX46="",$EY46=""),"",$EY46-$EX46)</x:f>
        <x:v>-1.955600000000004</x:v>
      </x:c>
      <x:c r="FA46" t="n">
        <x:f>IF(COUNT($EA46,$EB46,$EC46)=0,"",AVERAGE($EA46,$EB46,$EC46))</x:f>
        <x:v>5.333333333333333</x:v>
      </x:c>
      <x:c r="FB46" t="n">
        <x:f>IF(COUNT($EE46,$EF46,$EG46)=0,"",AVERAGE($EE46,$EF46,$EG46))</x:f>
        <x:v>1</x:v>
      </x:c>
      <x:c r="FC46" t="n">
        <x:f>IF(OR($FA46="",$FB46=""),"",$FB46-$FA46)</x:f>
        <x:v>-4.333333333333333</x:v>
      </x:c>
      <x:c r="FD46" t="n">
        <x:f>IF(COUNT($EH46,$EI46,$EJ46)=0,"",AVERAGE($EH46,$EI46,$EJ46))</x:f>
        <x:v>0</x:v>
      </x:c>
      <x:c r="FE46" t="n">
        <x:f>IF(COUNT($EL46,$EM46,$EN46)=0,"",AVERAGE($EL46,$EM46,$EN46))</x:f>
        <x:v>0</x:v>
      </x:c>
      <x:c r="FF46" t="str">
        <x:f>IF(OR($FD46="",$FE46=""),"",$FE46-$FD46)</x:f>
      </x:c>
      <x:c r="FG46" t="str">
        <x:f>IF(COUNT($DF46,$DG46,$DH46,$DJ46,$DK46,$DL46,$DM46,$DN46,$DO46,$DQ46,$DR46,$DS46)=12,"Yes","No")</x:f>
        <x:v>No</x:v>
      </x:c>
      <x:c r="FH46" t="str">
        <x:f>IF(COUNT($EA46,$EB46,$EC46,$EE46,$EF46,$EG46,$EH46,$EI46,$EJ46,$EL46,$EM46,$EN46)=12,"Yes","No")</x:f>
        <x:v>No</x:v>
      </x:c>
      <x:c r="FI46" t="str">
        <x:f>IF(AND($M46="Include",OR($FG46="Yes",$FH46="Yes")),"Ready","Not ready")</x:f>
        <x:v>Not ready</x:v>
      </x:c>
    </x:row>
    <x:row r="47">
      <x:c r="A47" t="str">
        <x:v>TRT-0045</x:v>
      </x:c>
      <x:c r="B47" t="n">
        <x:v>299</x:v>
      </x:c>
      <x:c r="C47" t="str">
        <x:v>User-designated treatment group (reclassified)</x:v>
      </x:c>
      <x:c r="D47" t="n">
        <x:v>1</x:v>
      </x:c>
      <x:c r="E47" t="str">
        <x:v>DATA non-innovation deals.xlsx</x:v>
      </x:c>
      <x:c r="F47" t="str">
        <x:v>shire acquires premacure</x:v>
      </x:c>
      <x:c r="G47" t="str">
        <x:v>No</x:v>
      </x:c>
      <x:c r="H47" t="str">
        <x:v>No</x:v>
      </x:c>
      <x:c r="I47" t="str">
        <x:v>No</x:v>
      </x:c>
      <x:c r="J47" t="n">
        <x:v>1</x:v>
      </x:c>
      <x:c r="K47" t="str">
        <x:v>In progress</x:v>
      </x:c>
      <x:c r="L47" t="str">
        <x:v>Review - majority</x:v>
      </x:c>
      <x:c r="M47" t="str">
        <x:v>Review</x:v>
      </x:c>
      <x:c r="N47"/>
      <x:c r="O47" s="95" t="n">
        <x:v>41345</x:v>
      </x:c>
      <x:c r="P47" s="95" t="n">
        <x:v>41345</x:v>
      </x:c>
      <x:c r="Q47" t="n">
        <x:v>2013</x:v>
      </x:c>
      <x:c r="R47" t="str">
        <x:v>Q1 2013</x:v>
      </x:c>
      <x:c r="S47" t="str">
        <x:v>Completed</x:v>
      </x:c>
      <x:c r="T47" t="str">
        <x:v>Shire acquires Premacure</x:v>
      </x:c>
      <x:c r="U47" t="str">
        <x:v>Mergers &amp; Acquisitions</x:v>
      </x:c>
      <x:c r="V47" t="str">
        <x:v>Acquisition</x:v>
      </x:c>
      <x:c r="W47" t="str">
        <x:v>Majority Acquisition</x:v>
      </x:c>
      <x:c r="X47" t="str">
        <x:v>Sweden</x:v>
      </x:c>
      <x:c r="Y47" t="str">
        <x:v>Majority Acquisition</x:v>
      </x:c>
      <x:c r="Z47" t="str">
        <x:v>Bank of America Corp</x:v>
      </x:c>
      <x:c r="AA47" t="str">
        <x:v>Mannheimer Swartling Advokatbyra AB , Mannheimer Swartling Advokatbyra AB</x:v>
      </x:c>
      <x:c r="AB47" t="str">
        <x:v>Shire plc (Inactive)</x:v>
      </x:c>
      <x:c r="AC47" t="str">
        <x:v>shire plc inactive</x:v>
      </x:c>
      <x:c r="AD47" t="str">
        <x:v>Premacure AB</x:v>
      </x:c>
      <x:c r="AE47" t="str">
        <x:v>premacure ab</x:v>
      </x:c>
      <x:c r="AF47"/>
      <x:c r="AG47" t="str">
        <x:v>n/a</x:v>
      </x:c>
      <x:c r="AH47" t="str">
        <x:v>Shire plc, a UK-based biopharmaceutical company, has acquired Premacure AB, a Sweden-based biotechnology company developing a protein replacement therapy.&lt;br /&gt;&lt;br /&gt;_x000d_Bank of America Merrill Lynch acted as financial advisor and Mannheimer Swartling Advokatbyra AB acted as legal advisor to Shire.</x:v>
      </x:c>
      <x:c r="AI47" t="str">
        <x:v>The acquisition expands Shire’s therapies to patients with rare disorders._x000d_
_x000d_
The acquisition allows Shire HGT to enter a new therapeutic area, neonatology, maintaining its focus on developing novel therapies for the treatment of diseases with high unmet medical need. _x000d_
_x000d_
With the acquisition, Shire HGT will continue the ongoing Phase II study, the primary goal of which is to restore the IGF-1 levels in the preterm infant to those found during normal in utero development.</x:v>
      </x:c>
      <x:c r="AJ47"/>
      <x:c r="AK47"/>
      <x:c r="AL47" t="str">
        <x:v>Unknown</x:v>
      </x:c>
      <x:c r="AM47" t="str">
        <x:v>Yes</x:v>
      </x:c>
      <x:c r="AN47" t="str">
        <x:v>SHP LN</x:v>
      </x:c>
      <x:c r="AO47"/>
      <x:c r="AP47"/>
      <x:c r="AQ47" t="str">
        <x:v>Shire plc (Inactive)</x:v>
      </x:c>
      <x:c r="AR47" t="str">
        <x:v>Premacure AB</x:v>
      </x:c>
      <x:c r="AS47" t="str">
        <x:v>Shire plc (Inactive)</x:v>
      </x:c>
      <x:c r="AT47" t="str">
        <x:v>Premacure AB</x:v>
      </x:c>
      <x:c r="AU47" t="str">
        <x:v>Not reviewed</x:v>
      </x:c>
      <x:c r="AV47" t="str">
        <x:v>Not assessed</x:v>
      </x:c>
      <x:c r="AW47" s="50" t="str">
        <x:v>Lens.org acquirer-side patent export imported; target patent export not supplied.</x:v>
      </x:c>
      <x:c r="AX47" t="str">
        <x:v>Unknown</x:v>
      </x:c>
      <x:c r="AY47" t="str">
        <x:v>Unknown</x:v>
      </x:c>
      <x:c r="AZ47" t="str">
        <x:v>Unknown</x:v>
      </x:c>
      <x:c r="BA47" s="50" t="str">
        <x:v>Unknown</x:v>
      </x:c>
      <x:c r="BB47" s="50" t="str">
        <x:v>Unknown</x:v>
      </x:c>
      <x:c r="BC47" s="50" t="str">
        <x:v>Moved into the treatment workbook at the user's instruction. Innovation classification and control-transfer eligibility still require manual validation.</x:v>
      </x:c>
      <x:c r="BD47" s="50"/>
      <x:c r="BE47" s="50" t="str">
        <x:v>USD</x:v>
      </x:c>
      <x:c r="BF47" s="50" t="str">
        <x:v>Complete</x:v>
      </x:c>
      <x:c r="BG47" s="50" t="str">
        <x:v>Partial event window — 6/7 years covered</x:v>
      </x:c>
      <x:c r="BH47" s="50" t="str">
        <x:v>Applicant/owner aliases containing Shire; later Takeda-only records excluded unless Shire appears.</x:v>
      </x:c>
      <x:c r="BI47" s="50" t="n">
        <x:v>2010</x:v>
      </x:c>
      <x:c r="BJ47" s="50" t="n">
        <x:v>2011</x:v>
      </x:c>
      <x:c r="BK47" s="50" t="n">
        <x:v>2012</x:v>
      </x:c>
      <x:c r="BL47" s="50" t="n">
        <x:v>2013</x:v>
      </x:c>
      <x:c r="BM47" s="50" t="n">
        <x:v>2014</x:v>
      </x:c>
      <x:c r="BN47" s="50" t="n">
        <x:v>2015</x:v>
      </x:c>
      <x:c r="BO47" s="50" t="n">
        <x:v>2016</x:v>
      </x:c>
      <x:c r="BP47" s="50" t="n">
        <x:v>3471.1</x:v>
      </x:c>
      <x:c r="BQ47" s="50" t="n">
        <x:v>4263.4</x:v>
      </x:c>
      <x:c r="BR47" s="50" t="n">
        <x:v>4681.2</x:v>
      </x:c>
      <x:c r="BS47" s="50" t="n">
        <x:v>4934.3</x:v>
      </x:c>
      <x:c r="BT47" s="50" t="n">
        <x:v>6022.1</x:v>
      </x:c>
      <x:c r="BU47" s="50" t="n">
        <x:v>6416.7</x:v>
      </x:c>
      <x:c r="BV47" s="50" t="n">
        <x:v>11396.6</x:v>
      </x:c>
      <x:c r="BW47" s="50" t="n">
        <x:v>794.1</x:v>
      </x:c>
      <x:c r="BX47" s="50" t="n">
        <x:v>1109.2</x:v>
      </x:c>
      <x:c r="BY47" s="50" t="n">
        <x:v>949.2</x:v>
      </x:c>
      <x:c r="BZ47" s="50" t="n">
        <x:v>1733.5</x:v>
      </x:c>
      <x:c r="CA47" s="50" t="n">
        <x:v>1698</x:v>
      </x:c>
      <x:c r="CB47" s="50" t="n">
        <x:v>1419.5</x:v>
      </x:c>
      <x:c r="CC47" s="50" t="n">
        <x:v>962.9</x:v>
      </x:c>
      <x:c r="CD47" s="50" t="n">
        <x:v>588</x:v>
      </x:c>
      <x:c r="CE47" s="50" t="n">
        <x:v>865</x:v>
      </x:c>
      <x:c r="CF47" s="50" t="n">
        <x:v>745.4</x:v>
      </x:c>
      <x:c r="CG47" s="50" t="n">
        <x:v>665.1</x:v>
      </x:c>
      <x:c r="CH47" s="50" t="n">
        <x:v>3405.5</x:v>
      </x:c>
      <x:c r="CI47" s="50" t="n">
        <x:v>1303.4</x:v>
      </x:c>
      <x:c r="CJ47" s="50" t="n">
        <x:v>327.4</x:v>
      </x:c>
      <x:c r="CK47" s="50" t="n">
        <x:v>5387.6</x:v>
      </x:c>
      <x:c r="CL47" s="50" t="n">
        <x:v>6380.2</x:v>
      </x:c>
      <x:c r="CM47" s="50" t="n">
        <x:v>7317.2</x:v>
      </x:c>
      <x:c r="CN47" s="50" t="n">
        <x:v>8323</x:v>
      </x:c>
      <x:c r="CO47" s="50" t="n">
        <x:v>13632.1</x:v>
      </x:c>
      <x:c r="CP47" s="50" t="n">
        <x:v>16609.8</x:v>
      </x:c>
      <x:c r="CQ47" s="50" t="n">
        <x:v>67035.4</x:v>
      </x:c>
      <x:c r="CR47" s="50" t="n">
        <x:v>1107.9</x:v>
      </x:c>
      <x:c r="CS47" s="50" t="n">
        <x:v>1100</x:v>
      </x:c>
      <x:c r="CT47" s="50" t="n">
        <x:v>1100</x:v>
      </x:c>
      <x:c r="CU47" s="50" t="n">
        <x:v>0</x:v>
      </x:c>
      <x:c r="CV47" s="50" t="n">
        <x:v>850</x:v>
      </x:c>
      <x:c r="CW47" s="50" t="n">
        <x:v>1581.4</x:v>
      </x:c>
      <x:c r="CX47" s="50" t="n">
        <x:v>22967.8</x:v>
      </x:c>
      <x:c r="CY47" s="50" t="n">
        <x:v>661.5</x:v>
      </x:c>
      <x:c r="CZ47" s="50" t="n">
        <x:v>754.7</x:v>
      </x:c>
      <x:c r="DA47" s="50" t="n">
        <x:v>894.3</x:v>
      </x:c>
      <x:c r="DB47" s="50" t="n">
        <x:v>913.5</x:v>
      </x:c>
      <x:c r="DC47" s="50" t="n">
        <x:v>762.7</x:v>
      </x:c>
      <x:c r="DD47" s="50" t="n">
        <x:v>905.8</x:v>
      </x:c>
      <x:c r="DE47" s="50" t="n">
        <x:v>1430.9</x:v>
      </x:c>
      <x:c r="DF47" s="50" t="n">
        <x:v>11.75</x:v>
      </x:c>
      <x:c r="DG47" s="50" t="n">
        <x:v>14.7</x:v>
      </x:c>
      <x:c r="DH47" s="50" t="n">
        <x:v>10.88</x:v>
      </x:c>
      <x:c r="DI47" s="50" t="n">
        <x:v>8.51</x:v>
      </x:c>
      <x:c r="DJ47" s="50" t="n">
        <x:v>31.02</x:v>
      </x:c>
      <x:c r="DK47" s="50" t="n">
        <x:v>8.62</x:v>
      </x:c>
      <x:c r="DL47" s="50" t="n">
        <x:v>0.78</x:v>
      </x:c>
      <x:c r="DM47" s="50" t="n">
        <x:v>22.88</x:v>
      </x:c>
      <x:c r="DN47" s="50" t="n">
        <x:v>26.02</x:v>
      </x:c>
      <x:c r="DO47" s="50" t="n">
        <x:v>20.28</x:v>
      </x:c>
      <x:c r="DP47" s="50" t="n">
        <x:v>35.13</x:v>
      </x:c>
      <x:c r="DQ47" s="50" t="n">
        <x:v>28.2</x:v>
      </x:c>
      <x:c r="DR47" s="50" t="n">
        <x:v>22.12</x:v>
      </x:c>
      <x:c r="DS47" s="50" t="n">
        <x:v>8.45</x:v>
      </x:c>
      <x:c r="DT47" t="n">
        <x:v>20.5639</x:v>
      </x:c>
      <x:c r="DU47" t="n">
        <x:v>17.2408</x:v>
      </x:c>
      <x:c r="DV47" t="n">
        <x:v>15.0331</x:v>
      </x:c>
      <x:c r="DW47" t="n">
        <x:v>0</x:v>
      </x:c>
      <x:c r="DX47" t="n">
        <x:v>6.2353</x:v>
      </x:c>
      <x:c r="DY47" t="n">
        <x:v>9.5209</x:v>
      </x:c>
      <x:c r="DZ47" t="n">
        <x:v>34.2622</x:v>
      </x:c>
      <x:c r="EA47" s="50"/>
      <x:c r="EB47" s="50" t="n">
        <x:v>15</x:v>
      </x:c>
      <x:c r="EC47" s="50" t="n">
        <x:v>13</x:v>
      </x:c>
      <x:c r="ED47" s="50" t="n">
        <x:v>23</x:v>
      </x:c>
      <x:c r="EE47" s="50" t="n">
        <x:v>18</x:v>
      </x:c>
      <x:c r="EF47" s="50" t="n">
        <x:v>8</x:v>
      </x:c>
      <x:c r="EG47" s="50" t="n">
        <x:v>6</x:v>
      </x:c>
      <x:c r="EH47" s="50"/>
      <x:c r="EI47" s="50" t="n">
        <x:v>159</x:v>
      </x:c>
      <x:c r="EJ47" s="50" t="n">
        <x:v>241</x:v>
      </x:c>
      <x:c r="EK47" s="50" t="n">
        <x:v>416</x:v>
      </x:c>
      <x:c r="EL47" s="50" t="n">
        <x:v>245</x:v>
      </x:c>
      <x:c r="EM47" s="50" t="n">
        <x:v>20</x:v>
      </x:c>
      <x:c r="EN47" s="50" t="n">
        <x:v>22</x:v>
      </x:c>
      <x:c r="EO47" s="50"/>
      <x:c r="EP47" s="50"/>
      <x:c r="EQ47" t="str">
        <x:f>IF(OR($EO47="",$EP47="",$EO47=0),"",$EP47/$EO47)</x:f>
      </x:c>
      <x:c r="ER47"/>
      <x:c r="ES47" s="50" t="str">
        <x:v>No</x:v>
      </x:c>
      <x:c r="ET47" s="50" t="str">
        <x:v>No</x:v>
      </x:c>
      <x:c r="EU47" t="n">
        <x:f>IF(COUNT($DF47,$DG47,$DH47)=0,"",AVERAGE($DF47,$DG47,$DH47))</x:f>
        <x:v>12.443333333333333</x:v>
      </x:c>
      <x:c r="EV47" t="n">
        <x:f>IF(COUNT($DJ47,$DK47,$DL47)=0,"",AVERAGE($DJ47,$DK47,$DL47))</x:f>
        <x:v>13.473333333333334</x:v>
      </x:c>
      <x:c r="EW47" t="n">
        <x:f>IF(OR($EU47="",$EV47=""),"",$EV47-$EU47)</x:f>
        <x:v>1.0300000000000011</x:v>
      </x:c>
      <x:c r="EX47" t="n">
        <x:f>IF(COUNT($DM47,$DN47,$DO47)=0,"",AVERAGE($DM47,$DN47,$DO47))</x:f>
        <x:v>23.060000000000002</x:v>
      </x:c>
      <x:c r="EY47" t="n">
        <x:f>IF(COUNT($DQ47,$DR47,$DS47)=0,"",AVERAGE($DQ47,$DR47,$DS47))</x:f>
        <x:v>19.59</x:v>
      </x:c>
      <x:c r="EZ47" t="n">
        <x:f>IF(OR($EX47="",$EY47=""),"",$EY47-$EX47)</x:f>
        <x:v>-3.4700000000000024</x:v>
      </x:c>
      <x:c r="FA47" t="n">
        <x:f>IF(COUNT($EA47,$EB47,$EC47)=0,"",AVERAGE($EA47,$EB47,$EC47))</x:f>
        <x:v>14</x:v>
      </x:c>
      <x:c r="FB47" t="n">
        <x:f>IF(COUNT($EE47,$EF47,$EG47)=0,"",AVERAGE($EE47,$EF47,$EG47))</x:f>
        <x:v>10.666666666666666</x:v>
      </x:c>
      <x:c r="FC47" t="n">
        <x:f>IF(OR($FA47="",$FB47=""),"",$FB47-$FA47)</x:f>
        <x:v>-3.333333333333334</x:v>
      </x:c>
      <x:c r="FD47" t="n">
        <x:f>IF(COUNT($EH47,$EI47,$EJ47)=0,"",AVERAGE($EH47,$EI47,$EJ47))</x:f>
        <x:v>200</x:v>
      </x:c>
      <x:c r="FE47" t="n">
        <x:f>IF(COUNT($EL47,$EM47,$EN47)=0,"",AVERAGE($EL47,$EM47,$EN47))</x:f>
        <x:v>95.66666666666667</x:v>
      </x:c>
      <x:c r="FF47" t="n">
        <x:f>IF(OR($FD47="",$FE47=""),"",$FE47-$FD47)</x:f>
        <x:v>-104.33333333333333</x:v>
      </x:c>
      <x:c r="FG47" t="str">
        <x:f>IF(COUNT($DF47,$DG47,$DH47,$DJ47,$DK47,$DL47,$DM47,$DN47,$DO47,$DQ47,$DR47,$DS47)=12,"Yes","No")</x:f>
        <x:v>Yes</x:v>
      </x:c>
      <x:c r="FH47" t="str">
        <x:f>IF(COUNT($EA47,$EB47,$EC47,$EE47,$EF47,$EG47,$EH47,$EI47,$EJ47,$EL47,$EM47,$EN47)=12,"Yes","No")</x:f>
        <x:v>No</x:v>
      </x:c>
      <x:c r="FI47" t="str">
        <x:f>IF(AND($M47="Include",OR($FG47="Yes",$FH47="Yes")),"Ready","Not ready")</x:f>
        <x:v>Not ready</x:v>
      </x:c>
    </x:row>
  </x:sheetData>
  <x:mergeCells>
    <x:mergeCell ref="A1:N1"/>
    <x:mergeCell ref="O1:AI1"/>
    <x:mergeCell ref="AJ1:BH1"/>
    <x:mergeCell ref="BI1:BO1"/>
    <x:mergeCell ref="BP1:DZ1"/>
    <x:mergeCell ref="EA1:EN1"/>
    <x:mergeCell ref="EO1:ET1"/>
    <x:mergeCell ref="EU1:FI1"/>
  </x:mergeCells>
  <x:conditionalFormatting sqref="G3:G44">
    <x:cfRule type="expression" dxfId="0" priority="1">
      <x:formula>G3="Yes"</x:formula>
    </x:cfRule>
  </x:conditionalFormatting>
  <x:conditionalFormatting sqref="H3:H44">
    <x:cfRule type="expression" dxfId="1" priority="2">
      <x:formula>H3="Yes"</x:formula>
    </x:cfRule>
  </x:conditionalFormatting>
  <x:conditionalFormatting sqref="FI3:FI44">
    <x:cfRule type="expression" dxfId="2" priority="3">
      <x:formula>FI3="Ready"</x:formula>
    </x:cfRule>
  </x:conditionalFormatting>
  <x:dataValidations count="17">
    <x:dataValidation type="list" sqref="K3:K44">
      <x:formula1>Lists!$A$2:$A$5</x:formula1>
    </x:dataValidation>
    <x:dataValidation type="list" sqref="AU3:AU44">
      <x:formula1>Lists!$C$2:$C$8</x:formula1>
    </x:dataValidation>
    <x:dataValidation type="list" sqref="AV3:AV44">
      <x:formula1>Lists!$E$2:$E$5</x:formula1>
    </x:dataValidation>
    <x:dataValidation type="list" sqref="AL3:AL44">
      <x:formula1>Lists!$G$2:$G$4</x:formula1>
    </x:dataValidation>
    <x:dataValidation type="list" sqref="AM3:AM44">
      <x:formula1>Lists!$G$2:$G$4</x:formula1>
    </x:dataValidation>
    <x:dataValidation type="list" sqref="AW3:AW44">
      <x:formula1>Lists!$G$2:$G$4</x:formula1>
    </x:dataValidation>
    <x:dataValidation type="list" sqref="AX3:AX44">
      <x:formula1>Lists!$G$2:$G$4</x:formula1>
    </x:dataValidation>
    <x:dataValidation type="list" sqref="AY3:AY44">
      <x:formula1>Lists!$G$2:$G$4</x:formula1>
    </x:dataValidation>
    <x:dataValidation type="list" sqref="AZ3:AZ44">
      <x:formula1>Lists!$G$2:$G$4</x:formula1>
    </x:dataValidation>
    <x:dataValidation type="list" sqref="BA3:BA44">
      <x:formula1>Lists!$G$2:$G$4</x:formula1>
    </x:dataValidation>
    <x:dataValidation type="list" sqref="BB3:BB44">
      <x:formula1>Lists!$G$2:$G$4</x:formula1>
    </x:dataValidation>
    <x:dataValidation type="list" sqref="BF3:BF44">
      <x:formula1>Lists!$I$2:$I$5</x:formula1>
    </x:dataValidation>
    <x:dataValidation type="list" sqref="BG3:BG44">
      <x:formula1>Lists!$I$2:$I$5</x:formula1>
    </x:dataValidation>
    <x:dataValidation type="list" sqref="M3:M44">
      <x:formula1>Lists!$K$2:$K$4</x:formula1>
    </x:dataValidation>
    <x:dataValidation type="list" sqref="BH3:BH44">
      <x:formula1>Lists!$M$2:$M$5</x:formula1>
    </x:dataValidation>
    <x:dataValidation type="list" sqref="ES3:ES44">
      <x:formula1>Lists!$G$2:$G$4</x:formula1>
    </x:dataValidation>
    <x:dataValidation type="list" sqref="ET3:ET44">
      <x:formula1>Lists!$G$2:$G$4</x:formula1>
    </x:dataValidation>
  </x:dataValidations>
  <x:pageMargins left="0.7" right="0.7" top="0.75" bottom="0.75" header="0.3" footer="0.3"/>
  <x:tableParts count="1">
    <x:tablePart xmlns:r="http://schemas.openxmlformats.org/officeDocument/2006/relationships" r:id="Rbd279bba71164b16"/>
  </x:tableParts>
</x:worksheet>
</file>

<file path=xl/worksheets/sheet4.xml><?xml version="1.0" encoding="utf-8"?>
<x:worksheet xmlns:x="http://schemas.openxmlformats.org/spreadsheetml/2006/main">
  <x:sheetFormatPr defaultRowHeight="15"/>
  <x:cols>
    <x:col min="1" max="1" width="13" hidden="0" customWidth="1"/>
    <x:col min="2" max="2" width="18" hidden="0" customWidth="1"/>
    <x:col min="3" max="3" width="30" hidden="0" customWidth="1"/>
    <x:col min="4" max="4" width="18" hidden="0" customWidth="1"/>
    <x:col min="5" max="5" width="13" hidden="0" customWidth="1"/>
    <x:col min="6" max="6" width="13" hidden="0" customWidth="1"/>
    <x:col min="7" max="7" width="14" hidden="0" customWidth="1"/>
    <x:col min="8" max="8" width="25" hidden="0" customWidth="1"/>
    <x:col min="9" max="9" width="25"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25" hidden="0" customWidth="1"/>
  </x:cols>
  <x:sheetData>
    <x:row r="1" ht="42" customHeight="1">
      <x:c r="A1" s="46" t="str">
        <x:v>Deal_ID</x:v>
      </x:c>
      <x:c r="B1" s="46" t="str">
        <x:v>Initial_Group</x:v>
      </x:c>
      <x:c r="C1" s="46" t="str">
        <x:v>Final_Classification</x:v>
      </x:c>
      <x:c r="D1" s="46" t="str">
        <x:v>Classification_Confidence</x:v>
      </x:c>
      <x:c r="E1" s="46" t="str">
        <x:v>Initial_Treatment</x:v>
      </x:c>
      <x:c r="F1" s="46" t="str">
        <x:v>Final_Treatment</x:v>
      </x:c>
      <x:c r="G1" s="46" t="str">
        <x:v>Main_DiD_Decision</x:v>
      </x:c>
      <x:c r="H1" s="46" t="str">
        <x:v>Acquirer</x:v>
      </x:c>
      <x:c r="I1" s="46" t="str">
        <x:v>Target</x:v>
      </x:c>
      <x:c r="J1" s="46" t="str">
        <x:v>Completion_Year</x:v>
      </x:c>
      <x:c r="K1" s="46" t="str">
        <x:v>Relative_Year</x:v>
      </x:c>
      <x:c r="L1" s="46" t="str">
        <x:v>Calendar_Year</x:v>
      </x:c>
      <x:c r="M1" s="46" t="str">
        <x:v>Post_Excluding_t0</x:v>
      </x:c>
      <x:c r="N1" s="46" t="str">
        <x:v>Post_Including_t0</x:v>
      </x:c>
      <x:c r="O1" s="46" t="str">
        <x:v>Treatment_x_Post</x:v>
      </x:c>
      <x:c r="P1" s="46" t="str">
        <x:v>Revenue_m</x:v>
      </x:c>
      <x:c r="Q1" s="46" t="str">
        <x:v>Operating_Income_m</x:v>
      </x:c>
      <x:c r="R1" s="46" t="str">
        <x:v>Net_Income_m</x:v>
      </x:c>
      <x:c r="S1" s="46" t="str">
        <x:v>Total_Assets_m</x:v>
      </x:c>
      <x:c r="T1" s="46" t="str">
        <x:v>Total_Debt_m</x:v>
      </x:c>
      <x:c r="U1" s="46" t="str">
        <x:v>R_and_D_Expense_m</x:v>
      </x:c>
      <x:c r="V1" s="46" t="str">
        <x:v>ROA_pct</x:v>
      </x:c>
      <x:c r="W1" s="46" t="str">
        <x:v>Operating_Margin_pct</x:v>
      </x:c>
      <x:c r="X1" s="46" t="str">
        <x:v>Leverage_pct</x:v>
      </x:c>
      <x:c r="Y1" s="46" t="str">
        <x:v>Patent_Family_Count</x:v>
      </x:c>
      <x:c r="Z1" s="46" t="str">
        <x:v>Citation_Weighted_Output</x:v>
      </x:c>
      <x:c r="AA1" s="46" t="str">
        <x:v>Cross_Border_Flag</x:v>
      </x:c>
      <x:c r="AB1" s="46" t="str">
        <x:v>Deal_Value_USD_m</x:v>
      </x:c>
      <x:c r="AC1" s="46" t="str">
        <x:v>Financial_Row_Complete</x:v>
      </x:c>
      <x:c r="AD1" s="46" t="str">
        <x:v>Patent_Row_Complete</x:v>
      </x:c>
      <x:c r="AE1" s="46" t="str">
        <x:v>Panel_Notes</x:v>
      </x:c>
    </x:row>
    <x:row r="2" ht="20" customHeight="1">
      <x:c r="A2" s="50" t="str">
        <x:v>TRT-0001</x:v>
      </x:c>
      <x:c r="B2" s="50" t="str">
        <x:v>Candidate treatment group</x:v>
      </x:c>
      <x:c r="C2" s="52" t="str">
        <x:f>IF('Deal_Master_Wide'!$AU$3="","",'Deal_Master_Wide'!$AU$3)</x:f>
        <x:v>Not reviewed</x:v>
      </x:c>
      <x:c r="D2" s="52" t="str">
        <x:f>IF('Deal_Master_Wide'!$AV$3="","",'Deal_Master_Wide'!$AV$3)</x:f>
        <x:v>Not assessed</x:v>
      </x:c>
      <x:c r="E2" s="50" t="n">
        <x:v>1</x:v>
      </x:c>
      <x:c r="F2" s="52" t="str">
        <x:f>IF(OR($C2="High-confidence innovation-driven",$C2="Medium-confidence innovation-driven"),1,IF($C2="Clear alternative-rationale",0,""))</x:f>
      </x:c>
      <x:c r="G2" s="52" t="str">
        <x:f>IF('Deal_Master_Wide'!$M$3="","",'Deal_Master_Wide'!$M$3)</x:f>
        <x:v>Review</x:v>
      </x:c>
      <x:c r="H2" s="50" t="str">
        <x:v>Les Laboratoires Servier SAS</x:v>
      </x:c>
      <x:c r="I2" s="50" t="str">
        <x:v>Symphogen A/S</x:v>
      </x:c>
      <x:c r="J2" s="50" t="n">
        <x:v>2020</x:v>
      </x:c>
      <x:c r="K2" s="50" t="n">
        <x:v>-3</x:v>
      </x:c>
      <x:c r="L2" s="50" t="n">
        <x:v>2017</x:v>
      </x:c>
      <x:c r="M2" s="50" t="n">
        <x:v>0</x:v>
      </x:c>
      <x:c r="N2" s="50" t="n">
        <x:v>0</x:v>
      </x:c>
      <x:c r="O2" s="52" t="str">
        <x:f>IF($F2="","",$F2*$M2)</x:f>
      </x:c>
      <x:c r="P2" s="54" t="str">
        <x:f>IF(ISBLANK('Deal_Master_Wide'!$BP$3),"",'Deal_Master_Wide'!$BP$3)</x:f>
      </x:c>
      <x:c r="Q2" s="54" t="str">
        <x:f>IF(ISBLANK('Deal_Master_Wide'!$BW$3),"",'Deal_Master_Wide'!$BW$3)</x:f>
      </x:c>
      <x:c r="R2" s="54" t="str">
        <x:f>IF(ISBLANK('Deal_Master_Wide'!$CD$3),"",'Deal_Master_Wide'!$CD$3)</x:f>
      </x:c>
      <x:c r="S2" s="54" t="str">
        <x:f>IF(ISBLANK('Deal_Master_Wide'!$CK$3),"",'Deal_Master_Wide'!$CK$3)</x:f>
      </x:c>
      <x:c r="T2" s="54" t="str">
        <x:f>IF(ISBLANK('Deal_Master_Wide'!$CR$3),"",'Deal_Master_Wide'!$CR$3)</x:f>
      </x:c>
      <x:c r="U2" s="54" t="str">
        <x:f>IF(ISBLANK('Deal_Master_Wide'!$CY$3),"",'Deal_Master_Wide'!$CY$3)</x:f>
      </x:c>
      <x:c r="V2" s="56" t="str">
        <x:f>IF(ISBLANK('Deal_Master_Wide'!$DF$3),"",'Deal_Master_Wide'!$DF$3)</x:f>
      </x:c>
      <x:c r="W2" s="56" t="str">
        <x:f>IF(ISBLANK('Deal_Master_Wide'!$DM$3),"",'Deal_Master_Wide'!$DM$3)</x:f>
      </x:c>
      <x:c r="X2" s="56" t="str">
        <x:f>IF(ISBLANK('Deal_Master_Wide'!$DT$3),"",'Deal_Master_Wide'!$DT$3)</x:f>
      </x:c>
      <x:c r="Y2" s="54" t="str">
        <x:f>IF(ISBLANK('Deal_Master_Wide'!$EA$3),"",'Deal_Master_Wide'!$EA$3)</x:f>
      </x:c>
      <x:c r="Z2" s="54" t="str">
        <x:f>IF(ISBLANK('Deal_Master_Wide'!$EH$3),"",'Deal_Master_Wide'!$EH$3)</x:f>
      </x:c>
      <x:c r="AA2" s="52" t="str">
        <x:f>IF(ISBLANK('Deal_Master_Wide'!$AL$3),"",'Deal_Master_Wide'!$AL$3)</x:f>
        <x:v>Unknown</x:v>
      </x:c>
      <x:c r="AB2" s="54" t="str">
        <x:f>IF(ISBLANK('Deal_Master_Wide'!$AF$3),"",'Deal_Master_Wide'!$AF$3)</x:f>
      </x:c>
      <x:c r="AC2" s="52" t="str">
        <x:f>IF(COUNT($P2,$Q2,$R2,$S2,$T2,$U2,$V2,$W2,$X2)=9,"Yes","No")</x:f>
        <x:v>No</x:v>
      </x:c>
      <x:c r="AD2" s="52" t="str">
        <x:f>IF(COUNT($Y2,$Z2)=2,"Yes","No")</x:f>
        <x:v>No</x:v>
      </x:c>
      <x:c r="AE2" s="50" t="str"/>
      <x:c r="AF2" t="str"/>
    </x:row>
    <x:row r="3" ht="20" customHeight="1">
      <x:c r="A3" s="50" t="str">
        <x:v>TRT-0001</x:v>
      </x:c>
      <x:c r="B3" s="50" t="str">
        <x:v>Candidate treatment group</x:v>
      </x:c>
      <x:c r="C3" s="52" t="str">
        <x:f>IF('Deal_Master_Wide'!$AU$3="","",'Deal_Master_Wide'!$AU$3)</x:f>
        <x:v>Not reviewed</x:v>
      </x:c>
      <x:c r="D3" s="52" t="str">
        <x:f>IF('Deal_Master_Wide'!$AV$3="","",'Deal_Master_Wide'!$AV$3)</x:f>
        <x:v>Not assessed</x:v>
      </x:c>
      <x:c r="E3" s="50" t="n">
        <x:v>1</x:v>
      </x:c>
      <x:c r="F3" s="52" t="str">
        <x:f>IF(OR($C3="High-confidence innovation-driven",$C3="Medium-confidence innovation-driven"),1,IF($C3="Clear alternative-rationale",0,""))</x:f>
      </x:c>
      <x:c r="G3" s="52" t="str">
        <x:f>IF('Deal_Master_Wide'!$M$3="","",'Deal_Master_Wide'!$M$3)</x:f>
        <x:v>Review</x:v>
      </x:c>
      <x:c r="H3" s="50" t="str">
        <x:v>Les Laboratoires Servier SAS</x:v>
      </x:c>
      <x:c r="I3" s="50" t="str">
        <x:v>Symphogen A/S</x:v>
      </x:c>
      <x:c r="J3" s="50" t="n">
        <x:v>2020</x:v>
      </x:c>
      <x:c r="K3" s="50" t="n">
        <x:v>-2</x:v>
      </x:c>
      <x:c r="L3" s="50" t="n">
        <x:v>2018</x:v>
      </x:c>
      <x:c r="M3" s="50" t="n">
        <x:v>0</x:v>
      </x:c>
      <x:c r="N3" s="50" t="n">
        <x:v>0</x:v>
      </x:c>
      <x:c r="O3" s="52" t="str">
        <x:f>IF($F3="","",$F3*$M3)</x:f>
      </x:c>
      <x:c r="P3" s="54" t="str">
        <x:f>IF(ISBLANK('Deal_Master_Wide'!$BQ$3),"",'Deal_Master_Wide'!$BQ$3)</x:f>
      </x:c>
      <x:c r="Q3" s="54" t="str">
        <x:f>IF(ISBLANK('Deal_Master_Wide'!$BX$3),"",'Deal_Master_Wide'!$BX$3)</x:f>
      </x:c>
      <x:c r="R3" s="54" t="str">
        <x:f>IF(ISBLANK('Deal_Master_Wide'!$CE$3),"",'Deal_Master_Wide'!$CE$3)</x:f>
      </x:c>
      <x:c r="S3" s="54" t="str">
        <x:f>IF(ISBLANK('Deal_Master_Wide'!$CL$3),"",'Deal_Master_Wide'!$CL$3)</x:f>
      </x:c>
      <x:c r="T3" s="54" t="str">
        <x:f>IF(ISBLANK('Deal_Master_Wide'!$CS$3),"",'Deal_Master_Wide'!$CS$3)</x:f>
      </x:c>
      <x:c r="U3" s="54" t="str">
        <x:f>IF(ISBLANK('Deal_Master_Wide'!$CZ$3),"",'Deal_Master_Wide'!$CZ$3)</x:f>
      </x:c>
      <x:c r="V3" s="56" t="str">
        <x:f>IF(ISBLANK('Deal_Master_Wide'!$DG$3),"",'Deal_Master_Wide'!$DG$3)</x:f>
      </x:c>
      <x:c r="W3" s="56" t="str">
        <x:f>IF(ISBLANK('Deal_Master_Wide'!$DN$3),"",'Deal_Master_Wide'!$DN$3)</x:f>
      </x:c>
      <x:c r="X3" s="56" t="str">
        <x:f>IF(ISBLANK('Deal_Master_Wide'!$DU$3),"",'Deal_Master_Wide'!$DU$3)</x:f>
      </x:c>
      <x:c r="Y3" s="54" t="str">
        <x:f>IF(ISBLANK('Deal_Master_Wide'!$EB$3),"",'Deal_Master_Wide'!$EB$3)</x:f>
      </x:c>
      <x:c r="Z3" s="54" t="str">
        <x:f>IF(ISBLANK('Deal_Master_Wide'!$EI$3),"",'Deal_Master_Wide'!$EI$3)</x:f>
      </x:c>
      <x:c r="AA3" s="52" t="str">
        <x:f>IF(ISBLANK('Deal_Master_Wide'!$AL$3),"",'Deal_Master_Wide'!$AL$3)</x:f>
        <x:v>Unknown</x:v>
      </x:c>
      <x:c r="AB3" s="54" t="str">
        <x:f>IF(ISBLANK('Deal_Master_Wide'!$AF$3),"",'Deal_Master_Wide'!$AF$3)</x:f>
      </x:c>
      <x:c r="AC3" s="52" t="str">
        <x:f>IF(COUNT($P3,$Q3,$R3,$S3,$T3,$U3,$V3,$W3,$X3)=9,"Yes","No")</x:f>
        <x:v>No</x:v>
      </x:c>
      <x:c r="AD3" s="52" t="str">
        <x:f>IF(COUNT($Y3,$Z3)=2,"Yes","No")</x:f>
        <x:v>No</x:v>
      </x:c>
      <x:c r="AE3" s="50" t="str"/>
      <x:c r="AF3" t="str"/>
    </x:row>
    <x:row r="4" ht="20" customHeight="1">
      <x:c r="A4" s="50" t="str">
        <x:v>TRT-0001</x:v>
      </x:c>
      <x:c r="B4" s="50" t="str">
        <x:v>Candidate treatment group</x:v>
      </x:c>
      <x:c r="C4" s="52" t="str">
        <x:f>IF('Deal_Master_Wide'!$AU$3="","",'Deal_Master_Wide'!$AU$3)</x:f>
        <x:v>Not reviewed</x:v>
      </x:c>
      <x:c r="D4" s="52" t="str">
        <x:f>IF('Deal_Master_Wide'!$AV$3="","",'Deal_Master_Wide'!$AV$3)</x:f>
        <x:v>Not assessed</x:v>
      </x:c>
      <x:c r="E4" s="50" t="n">
        <x:v>1</x:v>
      </x:c>
      <x:c r="F4" s="52" t="str">
        <x:f>IF(OR($C4="High-confidence innovation-driven",$C4="Medium-confidence innovation-driven"),1,IF($C4="Clear alternative-rationale",0,""))</x:f>
      </x:c>
      <x:c r="G4" s="52" t="str">
        <x:f>IF('Deal_Master_Wide'!$M$3="","",'Deal_Master_Wide'!$M$3)</x:f>
        <x:v>Review</x:v>
      </x:c>
      <x:c r="H4" s="50" t="str">
        <x:v>Les Laboratoires Servier SAS</x:v>
      </x:c>
      <x:c r="I4" s="50" t="str">
        <x:v>Symphogen A/S</x:v>
      </x:c>
      <x:c r="J4" s="50" t="n">
        <x:v>2020</x:v>
      </x:c>
      <x:c r="K4" s="50" t="n">
        <x:v>-1</x:v>
      </x:c>
      <x:c r="L4" s="50" t="n">
        <x:v>2019</x:v>
      </x:c>
      <x:c r="M4" s="50" t="n">
        <x:v>0</x:v>
      </x:c>
      <x:c r="N4" s="50" t="n">
        <x:v>0</x:v>
      </x:c>
      <x:c r="O4" s="52" t="str">
        <x:f>IF($F4="","",$F4*$M4)</x:f>
      </x:c>
      <x:c r="P4" s="54" t="str">
        <x:f>IF(ISBLANK('Deal_Master_Wide'!$BR$3),"",'Deal_Master_Wide'!$BR$3)</x:f>
      </x:c>
      <x:c r="Q4" s="54" t="str">
        <x:f>IF(ISBLANK('Deal_Master_Wide'!$BY$3),"",'Deal_Master_Wide'!$BY$3)</x:f>
      </x:c>
      <x:c r="R4" s="54" t="str">
        <x:f>IF(ISBLANK('Deal_Master_Wide'!$CF$3),"",'Deal_Master_Wide'!$CF$3)</x:f>
      </x:c>
      <x:c r="S4" s="54" t="str">
        <x:f>IF(ISBLANK('Deal_Master_Wide'!$CM$3),"",'Deal_Master_Wide'!$CM$3)</x:f>
      </x:c>
      <x:c r="T4" s="54" t="str">
        <x:f>IF(ISBLANK('Deal_Master_Wide'!$CT$3),"",'Deal_Master_Wide'!$CT$3)</x:f>
      </x:c>
      <x:c r="U4" s="54" t="str">
        <x:f>IF(ISBLANK('Deal_Master_Wide'!$DA$3),"",'Deal_Master_Wide'!$DA$3)</x:f>
      </x:c>
      <x:c r="V4" s="56" t="str">
        <x:f>IF(ISBLANK('Deal_Master_Wide'!$DH$3),"",'Deal_Master_Wide'!$DH$3)</x:f>
      </x:c>
      <x:c r="W4" s="56" t="str">
        <x:f>IF(ISBLANK('Deal_Master_Wide'!$DO$3),"",'Deal_Master_Wide'!$DO$3)</x:f>
      </x:c>
      <x:c r="X4" s="56" t="str">
        <x:f>IF(ISBLANK('Deal_Master_Wide'!$DV$3),"",'Deal_Master_Wide'!$DV$3)</x:f>
      </x:c>
      <x:c r="Y4" s="54" t="str">
        <x:f>IF(ISBLANK('Deal_Master_Wide'!$EC$3),"",'Deal_Master_Wide'!$EC$3)</x:f>
      </x:c>
      <x:c r="Z4" s="54" t="str">
        <x:f>IF(ISBLANK('Deal_Master_Wide'!$EJ$3),"",'Deal_Master_Wide'!$EJ$3)</x:f>
      </x:c>
      <x:c r="AA4" s="52" t="str">
        <x:f>IF(ISBLANK('Deal_Master_Wide'!$AL$3),"",'Deal_Master_Wide'!$AL$3)</x:f>
        <x:v>Unknown</x:v>
      </x:c>
      <x:c r="AB4" s="54" t="str">
        <x:f>IF(ISBLANK('Deal_Master_Wide'!$AF$3),"",'Deal_Master_Wide'!$AF$3)</x:f>
      </x:c>
      <x:c r="AC4" s="52" t="str">
        <x:f>IF(COUNT($P4,$Q4,$R4,$S4,$T4,$U4,$V4,$W4,$X4)=9,"Yes","No")</x:f>
        <x:v>No</x:v>
      </x:c>
      <x:c r="AD4" s="52" t="str">
        <x:f>IF(COUNT($Y4,$Z4)=2,"Yes","No")</x:f>
        <x:v>No</x:v>
      </x:c>
      <x:c r="AE4" s="50" t="str"/>
      <x:c r="AF4" t="str"/>
    </x:row>
    <x:row r="5" ht="20" customHeight="1">
      <x:c r="A5" s="50" t="str">
        <x:v>TRT-0001</x:v>
      </x:c>
      <x:c r="B5" s="50" t="str">
        <x:v>Candidate treatment group</x:v>
      </x:c>
      <x:c r="C5" s="52" t="str">
        <x:f>IF('Deal_Master_Wide'!$AU$3="","",'Deal_Master_Wide'!$AU$3)</x:f>
        <x:v>Not reviewed</x:v>
      </x:c>
      <x:c r="D5" s="52" t="str">
        <x:f>IF('Deal_Master_Wide'!$AV$3="","",'Deal_Master_Wide'!$AV$3)</x:f>
        <x:v>Not assessed</x:v>
      </x:c>
      <x:c r="E5" s="50" t="n">
        <x:v>1</x:v>
      </x:c>
      <x:c r="F5" s="52" t="str">
        <x:f>IF(OR($C5="High-confidence innovation-driven",$C5="Medium-confidence innovation-driven"),1,IF($C5="Clear alternative-rationale",0,""))</x:f>
      </x:c>
      <x:c r="G5" s="52" t="str">
        <x:f>IF('Deal_Master_Wide'!$M$3="","",'Deal_Master_Wide'!$M$3)</x:f>
        <x:v>Review</x:v>
      </x:c>
      <x:c r="H5" s="50" t="str">
        <x:v>Les Laboratoires Servier SAS</x:v>
      </x:c>
      <x:c r="I5" s="50" t="str">
        <x:v>Symphogen A/S</x:v>
      </x:c>
      <x:c r="J5" s="50" t="n">
        <x:v>2020</x:v>
      </x:c>
      <x:c r="K5" s="50" t="n">
        <x:v>0</x:v>
      </x:c>
      <x:c r="L5" s="50" t="n">
        <x:v>2020</x:v>
      </x:c>
      <x:c r="M5" s="50" t="n">
        <x:v>0</x:v>
      </x:c>
      <x:c r="N5" s="50" t="n">
        <x:v>1</x:v>
      </x:c>
      <x:c r="O5" s="52" t="str">
        <x:f>IF($F5="","",$F5*$M5)</x:f>
      </x:c>
      <x:c r="P5" s="54" t="str">
        <x:f>IF(ISBLANK('Deal_Master_Wide'!$BS$3),"",'Deal_Master_Wide'!$BS$3)</x:f>
      </x:c>
      <x:c r="Q5" s="54" t="str">
        <x:f>IF(ISBLANK('Deal_Master_Wide'!$BZ$3),"",'Deal_Master_Wide'!$BZ$3)</x:f>
      </x:c>
      <x:c r="R5" s="54" t="str">
        <x:f>IF(ISBLANK('Deal_Master_Wide'!$CG$3),"",'Deal_Master_Wide'!$CG$3)</x:f>
      </x:c>
      <x:c r="S5" s="54" t="str">
        <x:f>IF(ISBLANK('Deal_Master_Wide'!$CN$3),"",'Deal_Master_Wide'!$CN$3)</x:f>
      </x:c>
      <x:c r="T5" s="54" t="str">
        <x:f>IF(ISBLANK('Deal_Master_Wide'!$CU$3),"",'Deal_Master_Wide'!$CU$3)</x:f>
      </x:c>
      <x:c r="U5" s="54" t="str">
        <x:f>IF(ISBLANK('Deal_Master_Wide'!$DB$3),"",'Deal_Master_Wide'!$DB$3)</x:f>
      </x:c>
      <x:c r="V5" s="56" t="str">
        <x:f>IF(ISBLANK('Deal_Master_Wide'!$DI$3),"",'Deal_Master_Wide'!$DI$3)</x:f>
      </x:c>
      <x:c r="W5" s="56" t="str">
        <x:f>IF(ISBLANK('Deal_Master_Wide'!$DP$3),"",'Deal_Master_Wide'!$DP$3)</x:f>
      </x:c>
      <x:c r="X5" s="56" t="str">
        <x:f>IF(ISBLANK('Deal_Master_Wide'!$DW$3),"",'Deal_Master_Wide'!$DW$3)</x:f>
      </x:c>
      <x:c r="Y5" s="54" t="str">
        <x:f>IF(ISBLANK('Deal_Master_Wide'!$ED$3),"",'Deal_Master_Wide'!$ED$3)</x:f>
      </x:c>
      <x:c r="Z5" s="54" t="str">
        <x:f>IF(ISBLANK('Deal_Master_Wide'!$EK$3),"",'Deal_Master_Wide'!$EK$3)</x:f>
      </x:c>
      <x:c r="AA5" s="52" t="str">
        <x:f>IF(ISBLANK('Deal_Master_Wide'!$AL$3),"",'Deal_Master_Wide'!$AL$3)</x:f>
        <x:v>Unknown</x:v>
      </x:c>
      <x:c r="AB5" s="54" t="str">
        <x:f>IF(ISBLANK('Deal_Master_Wide'!$AF$3),"",'Deal_Master_Wide'!$AF$3)</x:f>
      </x:c>
      <x:c r="AC5" s="52" t="str">
        <x:f>IF(COUNT($P5,$Q5,$R5,$S5,$T5,$U5,$V5,$W5,$X5)=9,"Yes","No")</x:f>
        <x:v>No</x:v>
      </x:c>
      <x:c r="AD5" s="52" t="str">
        <x:f>IF(COUNT($Y5,$Z5)=2,"Yes","No")</x:f>
        <x:v>No</x:v>
      </x:c>
      <x:c r="AE5" s="50" t="str"/>
      <x:c r="AF5" t="str"/>
    </x:row>
    <x:row r="6" ht="20" customHeight="1">
      <x:c r="A6" s="50" t="str">
        <x:v>TRT-0001</x:v>
      </x:c>
      <x:c r="B6" s="50" t="str">
        <x:v>Candidate treatment group</x:v>
      </x:c>
      <x:c r="C6" s="52" t="str">
        <x:f>IF('Deal_Master_Wide'!$AU$3="","",'Deal_Master_Wide'!$AU$3)</x:f>
        <x:v>Not reviewed</x:v>
      </x:c>
      <x:c r="D6" s="52" t="str">
        <x:f>IF('Deal_Master_Wide'!$AV$3="","",'Deal_Master_Wide'!$AV$3)</x:f>
        <x:v>Not assessed</x:v>
      </x:c>
      <x:c r="E6" s="50" t="n">
        <x:v>1</x:v>
      </x:c>
      <x:c r="F6" s="52" t="str">
        <x:f>IF(OR($C6="High-confidence innovation-driven",$C6="Medium-confidence innovation-driven"),1,IF($C6="Clear alternative-rationale",0,""))</x:f>
      </x:c>
      <x:c r="G6" s="52" t="str">
        <x:f>IF('Deal_Master_Wide'!$M$3="","",'Deal_Master_Wide'!$M$3)</x:f>
        <x:v>Review</x:v>
      </x:c>
      <x:c r="H6" s="50" t="str">
        <x:v>Les Laboratoires Servier SAS</x:v>
      </x:c>
      <x:c r="I6" s="50" t="str">
        <x:v>Symphogen A/S</x:v>
      </x:c>
      <x:c r="J6" s="50" t="n">
        <x:v>2020</x:v>
      </x:c>
      <x:c r="K6" s="50" t="n">
        <x:v>1</x:v>
      </x:c>
      <x:c r="L6" s="50" t="n">
        <x:v>2021</x:v>
      </x:c>
      <x:c r="M6" s="50" t="n">
        <x:v>1</x:v>
      </x:c>
      <x:c r="N6" s="50" t="n">
        <x:v>1</x:v>
      </x:c>
      <x:c r="O6" s="52" t="str">
        <x:f>IF($F6="","",$F6*$M6)</x:f>
      </x:c>
      <x:c r="P6" s="54" t="str">
        <x:f>IF(ISBLANK('Deal_Master_Wide'!$BT$3),"",'Deal_Master_Wide'!$BT$3)</x:f>
      </x:c>
      <x:c r="Q6" s="54" t="str">
        <x:f>IF(ISBLANK('Deal_Master_Wide'!$CA$3),"",'Deal_Master_Wide'!$CA$3)</x:f>
      </x:c>
      <x:c r="R6" s="54" t="str">
        <x:f>IF(ISBLANK('Deal_Master_Wide'!$CH$3),"",'Deal_Master_Wide'!$CH$3)</x:f>
      </x:c>
      <x:c r="S6" s="54" t="str">
        <x:f>IF(ISBLANK('Deal_Master_Wide'!$CO$3),"",'Deal_Master_Wide'!$CO$3)</x:f>
      </x:c>
      <x:c r="T6" s="54" t="str">
        <x:f>IF(ISBLANK('Deal_Master_Wide'!$CV$3),"",'Deal_Master_Wide'!$CV$3)</x:f>
      </x:c>
      <x:c r="U6" s="54" t="str">
        <x:f>IF(ISBLANK('Deal_Master_Wide'!$DC$3),"",'Deal_Master_Wide'!$DC$3)</x:f>
      </x:c>
      <x:c r="V6" s="56" t="str">
        <x:f>IF(ISBLANK('Deal_Master_Wide'!$DJ$3),"",'Deal_Master_Wide'!$DJ$3)</x:f>
      </x:c>
      <x:c r="W6" s="56" t="str">
        <x:f>IF(ISBLANK('Deal_Master_Wide'!$DQ$3),"",'Deal_Master_Wide'!$DQ$3)</x:f>
      </x:c>
      <x:c r="X6" s="56" t="str">
        <x:f>IF(ISBLANK('Deal_Master_Wide'!$DX$3),"",'Deal_Master_Wide'!$DX$3)</x:f>
      </x:c>
      <x:c r="Y6" s="54" t="str">
        <x:f>IF(ISBLANK('Deal_Master_Wide'!$EE$3),"",'Deal_Master_Wide'!$EE$3)</x:f>
      </x:c>
      <x:c r="Z6" s="54" t="str">
        <x:f>IF(ISBLANK('Deal_Master_Wide'!$EL$3),"",'Deal_Master_Wide'!$EL$3)</x:f>
      </x:c>
      <x:c r="AA6" s="52" t="str">
        <x:f>IF(ISBLANK('Deal_Master_Wide'!$AL$3),"",'Deal_Master_Wide'!$AL$3)</x:f>
        <x:v>Unknown</x:v>
      </x:c>
      <x:c r="AB6" s="54" t="str">
        <x:f>IF(ISBLANK('Deal_Master_Wide'!$AF$3),"",'Deal_Master_Wide'!$AF$3)</x:f>
      </x:c>
      <x:c r="AC6" s="52" t="str">
        <x:f>IF(COUNT($P6,$Q6,$R6,$S6,$T6,$U6,$V6,$W6,$X6)=9,"Yes","No")</x:f>
        <x:v>No</x:v>
      </x:c>
      <x:c r="AD6" s="52" t="str">
        <x:f>IF(COUNT($Y6,$Z6)=2,"Yes","No")</x:f>
        <x:v>No</x:v>
      </x:c>
      <x:c r="AE6" s="50" t="str"/>
      <x:c r="AF6" t="str"/>
    </x:row>
    <x:row r="7" ht="20" customHeight="1">
      <x:c r="A7" s="50" t="str">
        <x:v>TRT-0001</x:v>
      </x:c>
      <x:c r="B7" s="50" t="str">
        <x:v>Candidate treatment group</x:v>
      </x:c>
      <x:c r="C7" s="52" t="str">
        <x:f>IF('Deal_Master_Wide'!$AU$3="","",'Deal_Master_Wide'!$AU$3)</x:f>
        <x:v>Not reviewed</x:v>
      </x:c>
      <x:c r="D7" s="52" t="str">
        <x:f>IF('Deal_Master_Wide'!$AV$3="","",'Deal_Master_Wide'!$AV$3)</x:f>
        <x:v>Not assessed</x:v>
      </x:c>
      <x:c r="E7" s="50" t="n">
        <x:v>1</x:v>
      </x:c>
      <x:c r="F7" s="52" t="str">
        <x:f>IF(OR($C7="High-confidence innovation-driven",$C7="Medium-confidence innovation-driven"),1,IF($C7="Clear alternative-rationale",0,""))</x:f>
      </x:c>
      <x:c r="G7" s="52" t="str">
        <x:f>IF('Deal_Master_Wide'!$M$3="","",'Deal_Master_Wide'!$M$3)</x:f>
        <x:v>Review</x:v>
      </x:c>
      <x:c r="H7" s="50" t="str">
        <x:v>Les Laboratoires Servier SAS</x:v>
      </x:c>
      <x:c r="I7" s="50" t="str">
        <x:v>Symphogen A/S</x:v>
      </x:c>
      <x:c r="J7" s="50" t="n">
        <x:v>2020</x:v>
      </x:c>
      <x:c r="K7" s="50" t="n">
        <x:v>2</x:v>
      </x:c>
      <x:c r="L7" s="50" t="n">
        <x:v>2022</x:v>
      </x:c>
      <x:c r="M7" s="50" t="n">
        <x:v>1</x:v>
      </x:c>
      <x:c r="N7" s="50" t="n">
        <x:v>1</x:v>
      </x:c>
      <x:c r="O7" s="52" t="str">
        <x:f>IF($F7="","",$F7*$M7)</x:f>
      </x:c>
      <x:c r="P7" s="54" t="str">
        <x:f>IF(ISBLANK('Deal_Master_Wide'!$BU$3),"",'Deal_Master_Wide'!$BU$3)</x:f>
      </x:c>
      <x:c r="Q7" s="54" t="str">
        <x:f>IF(ISBLANK('Deal_Master_Wide'!$CB$3),"",'Deal_Master_Wide'!$CB$3)</x:f>
      </x:c>
      <x:c r="R7" s="54" t="str">
        <x:f>IF(ISBLANK('Deal_Master_Wide'!$CI$3),"",'Deal_Master_Wide'!$CI$3)</x:f>
      </x:c>
      <x:c r="S7" s="54" t="str">
        <x:f>IF(ISBLANK('Deal_Master_Wide'!$CP$3),"",'Deal_Master_Wide'!$CP$3)</x:f>
      </x:c>
      <x:c r="T7" s="54" t="str">
        <x:f>IF(ISBLANK('Deal_Master_Wide'!$CW$3),"",'Deal_Master_Wide'!$CW$3)</x:f>
      </x:c>
      <x:c r="U7" s="54" t="str">
        <x:f>IF(ISBLANK('Deal_Master_Wide'!$DD$3),"",'Deal_Master_Wide'!$DD$3)</x:f>
      </x:c>
      <x:c r="V7" s="56" t="str">
        <x:f>IF(ISBLANK('Deal_Master_Wide'!$DK$3),"",'Deal_Master_Wide'!$DK$3)</x:f>
      </x:c>
      <x:c r="W7" s="56" t="str">
        <x:f>IF(ISBLANK('Deal_Master_Wide'!$DR$3),"",'Deal_Master_Wide'!$DR$3)</x:f>
      </x:c>
      <x:c r="X7" s="56" t="str">
        <x:f>IF(ISBLANK('Deal_Master_Wide'!$DY$3),"",'Deal_Master_Wide'!$DY$3)</x:f>
      </x:c>
      <x:c r="Y7" s="54" t="str">
        <x:f>IF(ISBLANK('Deal_Master_Wide'!$EF$3),"",'Deal_Master_Wide'!$EF$3)</x:f>
      </x:c>
      <x:c r="Z7" s="54" t="str">
        <x:f>IF(ISBLANK('Deal_Master_Wide'!$EM$3),"",'Deal_Master_Wide'!$EM$3)</x:f>
      </x:c>
      <x:c r="AA7" s="52" t="str">
        <x:f>IF(ISBLANK('Deal_Master_Wide'!$AL$3),"",'Deal_Master_Wide'!$AL$3)</x:f>
        <x:v>Unknown</x:v>
      </x:c>
      <x:c r="AB7" s="54" t="str">
        <x:f>IF(ISBLANK('Deal_Master_Wide'!$AF$3),"",'Deal_Master_Wide'!$AF$3)</x:f>
      </x:c>
      <x:c r="AC7" s="52" t="str">
        <x:f>IF(COUNT($P7,$Q7,$R7,$S7,$T7,$U7,$V7,$W7,$X7)=9,"Yes","No")</x:f>
        <x:v>No</x:v>
      </x:c>
      <x:c r="AD7" s="52" t="str">
        <x:f>IF(COUNT($Y7,$Z7)=2,"Yes","No")</x:f>
        <x:v>No</x:v>
      </x:c>
      <x:c r="AE7" s="50" t="str"/>
      <x:c r="AF7" t="str"/>
    </x:row>
    <x:row r="8" ht="20" customHeight="1">
      <x:c r="A8" s="50" t="str">
        <x:v>TRT-0001</x:v>
      </x:c>
      <x:c r="B8" s="50" t="str">
        <x:v>Candidate treatment group</x:v>
      </x:c>
      <x:c r="C8" s="52" t="str">
        <x:f>IF('Deal_Master_Wide'!$AU$3="","",'Deal_Master_Wide'!$AU$3)</x:f>
        <x:v>Not reviewed</x:v>
      </x:c>
      <x:c r="D8" s="52" t="str">
        <x:f>IF('Deal_Master_Wide'!$AV$3="","",'Deal_Master_Wide'!$AV$3)</x:f>
        <x:v>Not assessed</x:v>
      </x:c>
      <x:c r="E8" s="50" t="n">
        <x:v>1</x:v>
      </x:c>
      <x:c r="F8" s="52" t="str">
        <x:f>IF(OR($C8="High-confidence innovation-driven",$C8="Medium-confidence innovation-driven"),1,IF($C8="Clear alternative-rationale",0,""))</x:f>
      </x:c>
      <x:c r="G8" s="52" t="str">
        <x:f>IF('Deal_Master_Wide'!$M$3="","",'Deal_Master_Wide'!$M$3)</x:f>
        <x:v>Review</x:v>
      </x:c>
      <x:c r="H8" s="50" t="str">
        <x:v>Les Laboratoires Servier SAS</x:v>
      </x:c>
      <x:c r="I8" s="50" t="str">
        <x:v>Symphogen A/S</x:v>
      </x:c>
      <x:c r="J8" s="50" t="n">
        <x:v>2020</x:v>
      </x:c>
      <x:c r="K8" s="50" t="n">
        <x:v>3</x:v>
      </x:c>
      <x:c r="L8" s="50" t="n">
        <x:v>2023</x:v>
      </x:c>
      <x:c r="M8" s="50" t="n">
        <x:v>1</x:v>
      </x:c>
      <x:c r="N8" s="50" t="n">
        <x:v>1</x:v>
      </x:c>
      <x:c r="O8" s="52" t="str">
        <x:f>IF($F8="","",$F8*$M8)</x:f>
      </x:c>
      <x:c r="P8" s="54" t="str">
        <x:f>IF(ISBLANK('Deal_Master_Wide'!$BV$3),"",'Deal_Master_Wide'!$BV$3)</x:f>
      </x:c>
      <x:c r="Q8" s="54" t="str">
        <x:f>IF(ISBLANK('Deal_Master_Wide'!$CC$3),"",'Deal_Master_Wide'!$CC$3)</x:f>
      </x:c>
      <x:c r="R8" s="54" t="str">
        <x:f>IF(ISBLANK('Deal_Master_Wide'!$CJ$3),"",'Deal_Master_Wide'!$CJ$3)</x:f>
      </x:c>
      <x:c r="S8" s="54" t="str">
        <x:f>IF(ISBLANK('Deal_Master_Wide'!$CQ$3),"",'Deal_Master_Wide'!$CQ$3)</x:f>
      </x:c>
      <x:c r="T8" s="54" t="str">
        <x:f>IF(ISBLANK('Deal_Master_Wide'!$CX$3),"",'Deal_Master_Wide'!$CX$3)</x:f>
      </x:c>
      <x:c r="U8" s="54" t="str">
        <x:f>IF(ISBLANK('Deal_Master_Wide'!$DE$3),"",'Deal_Master_Wide'!$DE$3)</x:f>
      </x:c>
      <x:c r="V8" s="56" t="str">
        <x:f>IF(ISBLANK('Deal_Master_Wide'!$DL$3),"",'Deal_Master_Wide'!$DL$3)</x:f>
      </x:c>
      <x:c r="W8" s="56" t="str">
        <x:f>IF(ISBLANK('Deal_Master_Wide'!$DS$3),"",'Deal_Master_Wide'!$DS$3)</x:f>
      </x:c>
      <x:c r="X8" s="56" t="str">
        <x:f>IF(ISBLANK('Deal_Master_Wide'!$DZ$3),"",'Deal_Master_Wide'!$DZ$3)</x:f>
      </x:c>
      <x:c r="Y8" s="54" t="str">
        <x:f>IF(ISBLANK('Deal_Master_Wide'!$EG$3),"",'Deal_Master_Wide'!$EG$3)</x:f>
      </x:c>
      <x:c r="Z8" s="54" t="str">
        <x:f>IF(ISBLANK('Deal_Master_Wide'!$EN$3),"",'Deal_Master_Wide'!$EN$3)</x:f>
      </x:c>
      <x:c r="AA8" s="52" t="str">
        <x:f>IF(ISBLANK('Deal_Master_Wide'!$AL$3),"",'Deal_Master_Wide'!$AL$3)</x:f>
        <x:v>Unknown</x:v>
      </x:c>
      <x:c r="AB8" s="54" t="str">
        <x:f>IF(ISBLANK('Deal_Master_Wide'!$AF$3),"",'Deal_Master_Wide'!$AF$3)</x:f>
      </x:c>
      <x:c r="AC8" s="52" t="str">
        <x:f>IF(COUNT($P8,$Q8,$R8,$S8,$T8,$U8,$V8,$W8,$X8)=9,"Yes","No")</x:f>
        <x:v>No</x:v>
      </x:c>
      <x:c r="AD8" s="52" t="str">
        <x:f>IF(COUNT($Y8,$Z8)=2,"Yes","No")</x:f>
        <x:v>No</x:v>
      </x:c>
      <x:c r="AE8" s="50" t="str"/>
      <x:c r="AF8" t="str"/>
    </x:row>
    <x:row r="9" ht="20" customHeight="1">
      <x:c r="A9" s="50" t="str">
        <x:v>TRT-0002</x:v>
      </x:c>
      <x:c r="B9" s="50" t="str">
        <x:v>Candidate treatment group</x:v>
      </x:c>
      <x:c r="C9" s="52" t="str">
        <x:f>IF('Deal_Master_Wide'!$AU$4="","",'Deal_Master_Wide'!$AU$4)</x:f>
        <x:v>Not reviewed</x:v>
      </x:c>
      <x:c r="D9" s="52" t="str">
        <x:f>IF('Deal_Master_Wide'!$AV$4="","",'Deal_Master_Wide'!$AV$4)</x:f>
        <x:v>Not assessed</x:v>
      </x:c>
      <x:c r="E9" s="50" t="n">
        <x:v>1</x:v>
      </x:c>
      <x:c r="F9" s="52" t="str">
        <x:f>IF(OR($C9="High-confidence innovation-driven",$C9="Medium-confidence innovation-driven"),1,IF($C9="Clear alternative-rationale",0,""))</x:f>
      </x:c>
      <x:c r="G9" s="52" t="str">
        <x:f>IF('Deal_Master_Wide'!$M$4="","",'Deal_Master_Wide'!$M$4)</x:f>
        <x:v>Review</x:v>
      </x:c>
      <x:c r="H9" s="50" t="str">
        <x:v>Towa Pharmaceutical Co Ltd</x:v>
      </x:c>
      <x:c r="I9" s="50" t="str">
        <x:v>Pensa Investments, S.L.</x:v>
      </x:c>
      <x:c r="J9" s="50" t="n">
        <x:v>2020</x:v>
      </x:c>
      <x:c r="K9" s="50" t="n">
        <x:v>-3</x:v>
      </x:c>
      <x:c r="L9" s="50" t="n">
        <x:v>2017</x:v>
      </x:c>
      <x:c r="M9" s="50" t="n">
        <x:v>0</x:v>
      </x:c>
      <x:c r="N9" s="50" t="n">
        <x:v>0</x:v>
      </x:c>
      <x:c r="O9" s="52" t="str">
        <x:f>IF($F9="","",$F9*$M9)</x:f>
      </x:c>
      <x:c r="P9" s="54" t="str">
        <x:f>IF(ISBLANK('Deal_Master_Wide'!$BP$4),"",'Deal_Master_Wide'!$BP$4)</x:f>
      </x:c>
      <x:c r="Q9" s="54" t="str">
        <x:f>IF(ISBLANK('Deal_Master_Wide'!$BW$4),"",'Deal_Master_Wide'!$BW$4)</x:f>
      </x:c>
      <x:c r="R9" s="54" t="str">
        <x:f>IF(ISBLANK('Deal_Master_Wide'!$CD$4),"",'Deal_Master_Wide'!$CD$4)</x:f>
      </x:c>
      <x:c r="S9" s="54" t="str">
        <x:f>IF(ISBLANK('Deal_Master_Wide'!$CK$4),"",'Deal_Master_Wide'!$CK$4)</x:f>
      </x:c>
      <x:c r="T9" s="54" t="str">
        <x:f>IF(ISBLANK('Deal_Master_Wide'!$CR$4),"",'Deal_Master_Wide'!$CR$4)</x:f>
      </x:c>
      <x:c r="U9" s="54" t="str">
        <x:f>IF(ISBLANK('Deal_Master_Wide'!$CY$4),"",'Deal_Master_Wide'!$CY$4)</x:f>
      </x:c>
      <x:c r="V9" s="56" t="str">
        <x:f>IF(ISBLANK('Deal_Master_Wide'!$DF$4),"",'Deal_Master_Wide'!$DF$4)</x:f>
      </x:c>
      <x:c r="W9" s="56" t="str">
        <x:f>IF(ISBLANK('Deal_Master_Wide'!$DM$4),"",'Deal_Master_Wide'!$DM$4)</x:f>
      </x:c>
      <x:c r="X9" s="56" t="str">
        <x:f>IF(ISBLANK('Deal_Master_Wide'!$DT$4),"",'Deal_Master_Wide'!$DT$4)</x:f>
      </x:c>
      <x:c r="Y9" s="54" t="str">
        <x:f>IF(ISBLANK('Deal_Master_Wide'!$EA$4),"",'Deal_Master_Wide'!$EA$4)</x:f>
      </x:c>
      <x:c r="Z9" s="54" t="str">
        <x:f>IF(ISBLANK('Deal_Master_Wide'!$EH$4),"",'Deal_Master_Wide'!$EH$4)</x:f>
      </x:c>
      <x:c r="AA9" s="52" t="str">
        <x:f>IF(ISBLANK('Deal_Master_Wide'!$AL$4),"",'Deal_Master_Wide'!$AL$4)</x:f>
        <x:v>Unknown</x:v>
      </x:c>
      <x:c r="AB9" s="54" t="n">
        <x:f>IF(ISBLANK('Deal_Master_Wide'!$AF$4),"",'Deal_Master_Wide'!$AF$4)</x:f>
        <x:v>354</x:v>
      </x:c>
      <x:c r="AC9" s="52" t="str">
        <x:f>IF(COUNT($P9,$Q9,$R9,$S9,$T9,$U9,$V9,$W9,$X9)=9,"Yes","No")</x:f>
        <x:v>No</x:v>
      </x:c>
      <x:c r="AD9" s="52" t="str">
        <x:f>IF(COUNT($Y9,$Z9)=2,"Yes","No")</x:f>
        <x:v>No</x:v>
      </x:c>
      <x:c r="AE9" s="50" t="str"/>
      <x:c r="AF9" t="str"/>
    </x:row>
    <x:row r="10" ht="20" customHeight="1">
      <x:c r="A10" s="50" t="str">
        <x:v>TRT-0002</x:v>
      </x:c>
      <x:c r="B10" s="50" t="str">
        <x:v>Candidate treatment group</x:v>
      </x:c>
      <x:c r="C10" s="52" t="str">
        <x:f>IF('Deal_Master_Wide'!$AU$4="","",'Deal_Master_Wide'!$AU$4)</x:f>
        <x:v>Not reviewed</x:v>
      </x:c>
      <x:c r="D10" s="52" t="str">
        <x:f>IF('Deal_Master_Wide'!$AV$4="","",'Deal_Master_Wide'!$AV$4)</x:f>
        <x:v>Not assessed</x:v>
      </x:c>
      <x:c r="E10" s="50" t="n">
        <x:v>1</x:v>
      </x:c>
      <x:c r="F10" s="52" t="str">
        <x:f>IF(OR($C10="High-confidence innovation-driven",$C10="Medium-confidence innovation-driven"),1,IF($C10="Clear alternative-rationale",0,""))</x:f>
      </x:c>
      <x:c r="G10" s="52" t="str">
        <x:f>IF('Deal_Master_Wide'!$M$4="","",'Deal_Master_Wide'!$M$4)</x:f>
        <x:v>Review</x:v>
      </x:c>
      <x:c r="H10" s="50" t="str">
        <x:v>Towa Pharmaceutical Co Ltd</x:v>
      </x:c>
      <x:c r="I10" s="50" t="str">
        <x:v>Pensa Investments, S.L.</x:v>
      </x:c>
      <x:c r="J10" s="50" t="n">
        <x:v>2020</x:v>
      </x:c>
      <x:c r="K10" s="50" t="n">
        <x:v>-2</x:v>
      </x:c>
      <x:c r="L10" s="50" t="n">
        <x:v>2018</x:v>
      </x:c>
      <x:c r="M10" s="50" t="n">
        <x:v>0</x:v>
      </x:c>
      <x:c r="N10" s="50" t="n">
        <x:v>0</x:v>
      </x:c>
      <x:c r="O10" s="52" t="str">
        <x:f>IF($F10="","",$F10*$M10)</x:f>
      </x:c>
      <x:c r="P10" s="54" t="str">
        <x:f>IF(ISBLANK('Deal_Master_Wide'!$BQ$4),"",'Deal_Master_Wide'!$BQ$4)</x:f>
      </x:c>
      <x:c r="Q10" s="54" t="str">
        <x:f>IF(ISBLANK('Deal_Master_Wide'!$BX$4),"",'Deal_Master_Wide'!$BX$4)</x:f>
      </x:c>
      <x:c r="R10" s="54" t="str">
        <x:f>IF(ISBLANK('Deal_Master_Wide'!$CE$4),"",'Deal_Master_Wide'!$CE$4)</x:f>
      </x:c>
      <x:c r="S10" s="54" t="str">
        <x:f>IF(ISBLANK('Deal_Master_Wide'!$CL$4),"",'Deal_Master_Wide'!$CL$4)</x:f>
      </x:c>
      <x:c r="T10" s="54" t="str">
        <x:f>IF(ISBLANK('Deal_Master_Wide'!$CS$4),"",'Deal_Master_Wide'!$CS$4)</x:f>
      </x:c>
      <x:c r="U10" s="54" t="str">
        <x:f>IF(ISBLANK('Deal_Master_Wide'!$CZ$4),"",'Deal_Master_Wide'!$CZ$4)</x:f>
      </x:c>
      <x:c r="V10" s="56" t="str">
        <x:f>IF(ISBLANK('Deal_Master_Wide'!$DG$4),"",'Deal_Master_Wide'!$DG$4)</x:f>
      </x:c>
      <x:c r="W10" s="56" t="str">
        <x:f>IF(ISBLANK('Deal_Master_Wide'!$DN$4),"",'Deal_Master_Wide'!$DN$4)</x:f>
      </x:c>
      <x:c r="X10" s="56" t="str">
        <x:f>IF(ISBLANK('Deal_Master_Wide'!$DU$4),"",'Deal_Master_Wide'!$DU$4)</x:f>
      </x:c>
      <x:c r="Y10" s="54" t="str">
        <x:f>IF(ISBLANK('Deal_Master_Wide'!$EB$4),"",'Deal_Master_Wide'!$EB$4)</x:f>
      </x:c>
      <x:c r="Z10" s="54" t="str">
        <x:f>IF(ISBLANK('Deal_Master_Wide'!$EI$4),"",'Deal_Master_Wide'!$EI$4)</x:f>
      </x:c>
      <x:c r="AA10" s="52" t="str">
        <x:f>IF(ISBLANK('Deal_Master_Wide'!$AL$4),"",'Deal_Master_Wide'!$AL$4)</x:f>
        <x:v>Unknown</x:v>
      </x:c>
      <x:c r="AB10" s="54" t="n">
        <x:f>IF(ISBLANK('Deal_Master_Wide'!$AF$4),"",'Deal_Master_Wide'!$AF$4)</x:f>
        <x:v>354</x:v>
      </x:c>
      <x:c r="AC10" s="52" t="str">
        <x:f>IF(COUNT($P10,$Q10,$R10,$S10,$T10,$U10,$V10,$W10,$X10)=9,"Yes","No")</x:f>
        <x:v>No</x:v>
      </x:c>
      <x:c r="AD10" s="52" t="str">
        <x:f>IF(COUNT($Y10,$Z10)=2,"Yes","No")</x:f>
        <x:v>No</x:v>
      </x:c>
      <x:c r="AE10" s="50" t="str"/>
      <x:c r="AF10" t="str"/>
    </x:row>
    <x:row r="11" ht="20" customHeight="1">
      <x:c r="A11" s="50" t="str">
        <x:v>TRT-0002</x:v>
      </x:c>
      <x:c r="B11" s="50" t="str">
        <x:v>Candidate treatment group</x:v>
      </x:c>
      <x:c r="C11" s="52" t="str">
        <x:f>IF('Deal_Master_Wide'!$AU$4="","",'Deal_Master_Wide'!$AU$4)</x:f>
        <x:v>Not reviewed</x:v>
      </x:c>
      <x:c r="D11" s="52" t="str">
        <x:f>IF('Deal_Master_Wide'!$AV$4="","",'Deal_Master_Wide'!$AV$4)</x:f>
        <x:v>Not assessed</x:v>
      </x:c>
      <x:c r="E11" s="50" t="n">
        <x:v>1</x:v>
      </x:c>
      <x:c r="F11" s="52" t="str">
        <x:f>IF(OR($C11="High-confidence innovation-driven",$C11="Medium-confidence innovation-driven"),1,IF($C11="Clear alternative-rationale",0,""))</x:f>
      </x:c>
      <x:c r="G11" s="52" t="str">
        <x:f>IF('Deal_Master_Wide'!$M$4="","",'Deal_Master_Wide'!$M$4)</x:f>
        <x:v>Review</x:v>
      </x:c>
      <x:c r="H11" s="50" t="str">
        <x:v>Towa Pharmaceutical Co Ltd</x:v>
      </x:c>
      <x:c r="I11" s="50" t="str">
        <x:v>Pensa Investments, S.L.</x:v>
      </x:c>
      <x:c r="J11" s="50" t="n">
        <x:v>2020</x:v>
      </x:c>
      <x:c r="K11" s="50" t="n">
        <x:v>-1</x:v>
      </x:c>
      <x:c r="L11" s="50" t="n">
        <x:v>2019</x:v>
      </x:c>
      <x:c r="M11" s="50" t="n">
        <x:v>0</x:v>
      </x:c>
      <x:c r="N11" s="50" t="n">
        <x:v>0</x:v>
      </x:c>
      <x:c r="O11" s="52" t="str">
        <x:f>IF($F11="","",$F11*$M11)</x:f>
      </x:c>
      <x:c r="P11" s="54" t="str">
        <x:f>IF(ISBLANK('Deal_Master_Wide'!$BR$4),"",'Deal_Master_Wide'!$BR$4)</x:f>
      </x:c>
      <x:c r="Q11" s="54" t="str">
        <x:f>IF(ISBLANK('Deal_Master_Wide'!$BY$4),"",'Deal_Master_Wide'!$BY$4)</x:f>
      </x:c>
      <x:c r="R11" s="54" t="str">
        <x:f>IF(ISBLANK('Deal_Master_Wide'!$CF$4),"",'Deal_Master_Wide'!$CF$4)</x:f>
      </x:c>
      <x:c r="S11" s="54" t="str">
        <x:f>IF(ISBLANK('Deal_Master_Wide'!$CM$4),"",'Deal_Master_Wide'!$CM$4)</x:f>
      </x:c>
      <x:c r="T11" s="54" t="str">
        <x:f>IF(ISBLANK('Deal_Master_Wide'!$CT$4),"",'Deal_Master_Wide'!$CT$4)</x:f>
      </x:c>
      <x:c r="U11" s="54" t="str">
        <x:f>IF(ISBLANK('Deal_Master_Wide'!$DA$4),"",'Deal_Master_Wide'!$DA$4)</x:f>
      </x:c>
      <x:c r="V11" s="56" t="str">
        <x:f>IF(ISBLANK('Deal_Master_Wide'!$DH$4),"",'Deal_Master_Wide'!$DH$4)</x:f>
      </x:c>
      <x:c r="W11" s="56" t="str">
        <x:f>IF(ISBLANK('Deal_Master_Wide'!$DO$4),"",'Deal_Master_Wide'!$DO$4)</x:f>
      </x:c>
      <x:c r="X11" s="56" t="str">
        <x:f>IF(ISBLANK('Deal_Master_Wide'!$DV$4),"",'Deal_Master_Wide'!$DV$4)</x:f>
      </x:c>
      <x:c r="Y11" s="54" t="str">
        <x:f>IF(ISBLANK('Deal_Master_Wide'!$EC$4),"",'Deal_Master_Wide'!$EC$4)</x:f>
      </x:c>
      <x:c r="Z11" s="54" t="str">
        <x:f>IF(ISBLANK('Deal_Master_Wide'!$EJ$4),"",'Deal_Master_Wide'!$EJ$4)</x:f>
      </x:c>
      <x:c r="AA11" s="52" t="str">
        <x:f>IF(ISBLANK('Deal_Master_Wide'!$AL$4),"",'Deal_Master_Wide'!$AL$4)</x:f>
        <x:v>Unknown</x:v>
      </x:c>
      <x:c r="AB11" s="54" t="n">
        <x:f>IF(ISBLANK('Deal_Master_Wide'!$AF$4),"",'Deal_Master_Wide'!$AF$4)</x:f>
        <x:v>354</x:v>
      </x:c>
      <x:c r="AC11" s="52" t="str">
        <x:f>IF(COUNT($P11,$Q11,$R11,$S11,$T11,$U11,$V11,$W11,$X11)=9,"Yes","No")</x:f>
        <x:v>No</x:v>
      </x:c>
      <x:c r="AD11" s="52" t="str">
        <x:f>IF(COUNT($Y11,$Z11)=2,"Yes","No")</x:f>
        <x:v>No</x:v>
      </x:c>
      <x:c r="AE11" s="50" t="str"/>
      <x:c r="AF11" t="str"/>
    </x:row>
    <x:row r="12" ht="20" customHeight="1">
      <x:c r="A12" s="50" t="str">
        <x:v>TRT-0002</x:v>
      </x:c>
      <x:c r="B12" s="50" t="str">
        <x:v>Candidate treatment group</x:v>
      </x:c>
      <x:c r="C12" s="52" t="str">
        <x:f>IF('Deal_Master_Wide'!$AU$4="","",'Deal_Master_Wide'!$AU$4)</x:f>
        <x:v>Not reviewed</x:v>
      </x:c>
      <x:c r="D12" s="52" t="str">
        <x:f>IF('Deal_Master_Wide'!$AV$4="","",'Deal_Master_Wide'!$AV$4)</x:f>
        <x:v>Not assessed</x:v>
      </x:c>
      <x:c r="E12" s="50" t="n">
        <x:v>1</x:v>
      </x:c>
      <x:c r="F12" s="52" t="str">
        <x:f>IF(OR($C12="High-confidence innovation-driven",$C12="Medium-confidence innovation-driven"),1,IF($C12="Clear alternative-rationale",0,""))</x:f>
      </x:c>
      <x:c r="G12" s="52" t="str">
        <x:f>IF('Deal_Master_Wide'!$M$4="","",'Deal_Master_Wide'!$M$4)</x:f>
        <x:v>Review</x:v>
      </x:c>
      <x:c r="H12" s="50" t="str">
        <x:v>Towa Pharmaceutical Co Ltd</x:v>
      </x:c>
      <x:c r="I12" s="50" t="str">
        <x:v>Pensa Investments, S.L.</x:v>
      </x:c>
      <x:c r="J12" s="50" t="n">
        <x:v>2020</x:v>
      </x:c>
      <x:c r="K12" s="50" t="n">
        <x:v>0</x:v>
      </x:c>
      <x:c r="L12" s="50" t="n">
        <x:v>2020</x:v>
      </x:c>
      <x:c r="M12" s="50" t="n">
        <x:v>0</x:v>
      </x:c>
      <x:c r="N12" s="50" t="n">
        <x:v>1</x:v>
      </x:c>
      <x:c r="O12" s="52" t="str">
        <x:f>IF($F12="","",$F12*$M12)</x:f>
      </x:c>
      <x:c r="P12" s="54" t="str">
        <x:f>IF(ISBLANK('Deal_Master_Wide'!$BS$4),"",'Deal_Master_Wide'!$BS$4)</x:f>
      </x:c>
      <x:c r="Q12" s="54" t="str">
        <x:f>IF(ISBLANK('Deal_Master_Wide'!$BZ$4),"",'Deal_Master_Wide'!$BZ$4)</x:f>
      </x:c>
      <x:c r="R12" s="54" t="str">
        <x:f>IF(ISBLANK('Deal_Master_Wide'!$CG$4),"",'Deal_Master_Wide'!$CG$4)</x:f>
      </x:c>
      <x:c r="S12" s="54" t="str">
        <x:f>IF(ISBLANK('Deal_Master_Wide'!$CN$4),"",'Deal_Master_Wide'!$CN$4)</x:f>
      </x:c>
      <x:c r="T12" s="54" t="str">
        <x:f>IF(ISBLANK('Deal_Master_Wide'!$CU$4),"",'Deal_Master_Wide'!$CU$4)</x:f>
      </x:c>
      <x:c r="U12" s="54" t="str">
        <x:f>IF(ISBLANK('Deal_Master_Wide'!$DB$4),"",'Deal_Master_Wide'!$DB$4)</x:f>
      </x:c>
      <x:c r="V12" s="56" t="str">
        <x:f>IF(ISBLANK('Deal_Master_Wide'!$DI$4),"",'Deal_Master_Wide'!$DI$4)</x:f>
      </x:c>
      <x:c r="W12" s="56" t="str">
        <x:f>IF(ISBLANK('Deal_Master_Wide'!$DP$4),"",'Deal_Master_Wide'!$DP$4)</x:f>
      </x:c>
      <x:c r="X12" s="56" t="str">
        <x:f>IF(ISBLANK('Deal_Master_Wide'!$DW$4),"",'Deal_Master_Wide'!$DW$4)</x:f>
      </x:c>
      <x:c r="Y12" s="54" t="str">
        <x:f>IF(ISBLANK('Deal_Master_Wide'!$ED$4),"",'Deal_Master_Wide'!$ED$4)</x:f>
      </x:c>
      <x:c r="Z12" s="54" t="str">
        <x:f>IF(ISBLANK('Deal_Master_Wide'!$EK$4),"",'Deal_Master_Wide'!$EK$4)</x:f>
      </x:c>
      <x:c r="AA12" s="52" t="str">
        <x:f>IF(ISBLANK('Deal_Master_Wide'!$AL$4),"",'Deal_Master_Wide'!$AL$4)</x:f>
        <x:v>Unknown</x:v>
      </x:c>
      <x:c r="AB12" s="54" t="n">
        <x:f>IF(ISBLANK('Deal_Master_Wide'!$AF$4),"",'Deal_Master_Wide'!$AF$4)</x:f>
        <x:v>354</x:v>
      </x:c>
      <x:c r="AC12" s="52" t="str">
        <x:f>IF(COUNT($P12,$Q12,$R12,$S12,$T12,$U12,$V12,$W12,$X12)=9,"Yes","No")</x:f>
        <x:v>No</x:v>
      </x:c>
      <x:c r="AD12" s="52" t="str">
        <x:f>IF(COUNT($Y12,$Z12)=2,"Yes","No")</x:f>
        <x:v>No</x:v>
      </x:c>
      <x:c r="AE12" s="50" t="str"/>
      <x:c r="AF12" t="str"/>
    </x:row>
    <x:row r="13" ht="20" customHeight="1">
      <x:c r="A13" s="50" t="str">
        <x:v>TRT-0002</x:v>
      </x:c>
      <x:c r="B13" s="50" t="str">
        <x:v>Candidate treatment group</x:v>
      </x:c>
      <x:c r="C13" s="52" t="str">
        <x:f>IF('Deal_Master_Wide'!$AU$4="","",'Deal_Master_Wide'!$AU$4)</x:f>
        <x:v>Not reviewed</x:v>
      </x:c>
      <x:c r="D13" s="52" t="str">
        <x:f>IF('Deal_Master_Wide'!$AV$4="","",'Deal_Master_Wide'!$AV$4)</x:f>
        <x:v>Not assessed</x:v>
      </x:c>
      <x:c r="E13" s="50" t="n">
        <x:v>1</x:v>
      </x:c>
      <x:c r="F13" s="52" t="str">
        <x:f>IF(OR($C13="High-confidence innovation-driven",$C13="Medium-confidence innovation-driven"),1,IF($C13="Clear alternative-rationale",0,""))</x:f>
      </x:c>
      <x:c r="G13" s="52" t="str">
        <x:f>IF('Deal_Master_Wide'!$M$4="","",'Deal_Master_Wide'!$M$4)</x:f>
        <x:v>Review</x:v>
      </x:c>
      <x:c r="H13" s="50" t="str">
        <x:v>Towa Pharmaceutical Co Ltd</x:v>
      </x:c>
      <x:c r="I13" s="50" t="str">
        <x:v>Pensa Investments, S.L.</x:v>
      </x:c>
      <x:c r="J13" s="50" t="n">
        <x:v>2020</x:v>
      </x:c>
      <x:c r="K13" s="50" t="n">
        <x:v>1</x:v>
      </x:c>
      <x:c r="L13" s="50" t="n">
        <x:v>2021</x:v>
      </x:c>
      <x:c r="M13" s="50" t="n">
        <x:v>1</x:v>
      </x:c>
      <x:c r="N13" s="50" t="n">
        <x:v>1</x:v>
      </x:c>
      <x:c r="O13" s="52" t="str">
        <x:f>IF($F13="","",$F13*$M13)</x:f>
      </x:c>
      <x:c r="P13" s="54" t="str">
        <x:f>IF(ISBLANK('Deal_Master_Wide'!$BT$4),"",'Deal_Master_Wide'!$BT$4)</x:f>
      </x:c>
      <x:c r="Q13" s="54" t="str">
        <x:f>IF(ISBLANK('Deal_Master_Wide'!$CA$4),"",'Deal_Master_Wide'!$CA$4)</x:f>
      </x:c>
      <x:c r="R13" s="54" t="str">
        <x:f>IF(ISBLANK('Deal_Master_Wide'!$CH$4),"",'Deal_Master_Wide'!$CH$4)</x:f>
      </x:c>
      <x:c r="S13" s="54" t="str">
        <x:f>IF(ISBLANK('Deal_Master_Wide'!$CO$4),"",'Deal_Master_Wide'!$CO$4)</x:f>
      </x:c>
      <x:c r="T13" s="54" t="str">
        <x:f>IF(ISBLANK('Deal_Master_Wide'!$CV$4),"",'Deal_Master_Wide'!$CV$4)</x:f>
      </x:c>
      <x:c r="U13" s="54" t="str">
        <x:f>IF(ISBLANK('Deal_Master_Wide'!$DC$4),"",'Deal_Master_Wide'!$DC$4)</x:f>
      </x:c>
      <x:c r="V13" s="56" t="str">
        <x:f>IF(ISBLANK('Deal_Master_Wide'!$DJ$4),"",'Deal_Master_Wide'!$DJ$4)</x:f>
      </x:c>
      <x:c r="W13" s="56" t="str">
        <x:f>IF(ISBLANK('Deal_Master_Wide'!$DQ$4),"",'Deal_Master_Wide'!$DQ$4)</x:f>
      </x:c>
      <x:c r="X13" s="56" t="str">
        <x:f>IF(ISBLANK('Deal_Master_Wide'!$DX$4),"",'Deal_Master_Wide'!$DX$4)</x:f>
      </x:c>
      <x:c r="Y13" s="54" t="str">
        <x:f>IF(ISBLANK('Deal_Master_Wide'!$EE$4),"",'Deal_Master_Wide'!$EE$4)</x:f>
      </x:c>
      <x:c r="Z13" s="54" t="str">
        <x:f>IF(ISBLANK('Deal_Master_Wide'!$EL$4),"",'Deal_Master_Wide'!$EL$4)</x:f>
      </x:c>
      <x:c r="AA13" s="52" t="str">
        <x:f>IF(ISBLANK('Deal_Master_Wide'!$AL$4),"",'Deal_Master_Wide'!$AL$4)</x:f>
        <x:v>Unknown</x:v>
      </x:c>
      <x:c r="AB13" s="54" t="n">
        <x:f>IF(ISBLANK('Deal_Master_Wide'!$AF$4),"",'Deal_Master_Wide'!$AF$4)</x:f>
        <x:v>354</x:v>
      </x:c>
      <x:c r="AC13" s="52" t="str">
        <x:f>IF(COUNT($P13,$Q13,$R13,$S13,$T13,$U13,$V13,$W13,$X13)=9,"Yes","No")</x:f>
        <x:v>No</x:v>
      </x:c>
      <x:c r="AD13" s="52" t="str">
        <x:f>IF(COUNT($Y13,$Z13)=2,"Yes","No")</x:f>
        <x:v>No</x:v>
      </x:c>
      <x:c r="AE13" s="50" t="str"/>
      <x:c r="AF13" t="str"/>
    </x:row>
    <x:row r="14" ht="20" customHeight="1">
      <x:c r="A14" s="50" t="str">
        <x:v>TRT-0002</x:v>
      </x:c>
      <x:c r="B14" s="50" t="str">
        <x:v>Candidate treatment group</x:v>
      </x:c>
      <x:c r="C14" s="52" t="str">
        <x:f>IF('Deal_Master_Wide'!$AU$4="","",'Deal_Master_Wide'!$AU$4)</x:f>
        <x:v>Not reviewed</x:v>
      </x:c>
      <x:c r="D14" s="52" t="str">
        <x:f>IF('Deal_Master_Wide'!$AV$4="","",'Deal_Master_Wide'!$AV$4)</x:f>
        <x:v>Not assessed</x:v>
      </x:c>
      <x:c r="E14" s="50" t="n">
        <x:v>1</x:v>
      </x:c>
      <x:c r="F14" s="52" t="str">
        <x:f>IF(OR($C14="High-confidence innovation-driven",$C14="Medium-confidence innovation-driven"),1,IF($C14="Clear alternative-rationale",0,""))</x:f>
      </x:c>
      <x:c r="G14" s="52" t="str">
        <x:f>IF('Deal_Master_Wide'!$M$4="","",'Deal_Master_Wide'!$M$4)</x:f>
        <x:v>Review</x:v>
      </x:c>
      <x:c r="H14" s="50" t="str">
        <x:v>Towa Pharmaceutical Co Ltd</x:v>
      </x:c>
      <x:c r="I14" s="50" t="str">
        <x:v>Pensa Investments, S.L.</x:v>
      </x:c>
      <x:c r="J14" s="50" t="n">
        <x:v>2020</x:v>
      </x:c>
      <x:c r="K14" s="50" t="n">
        <x:v>2</x:v>
      </x:c>
      <x:c r="L14" s="50" t="n">
        <x:v>2022</x:v>
      </x:c>
      <x:c r="M14" s="50" t="n">
        <x:v>1</x:v>
      </x:c>
      <x:c r="N14" s="50" t="n">
        <x:v>1</x:v>
      </x:c>
      <x:c r="O14" s="52" t="str">
        <x:f>IF($F14="","",$F14*$M14)</x:f>
      </x:c>
      <x:c r="P14" s="54" t="str">
        <x:f>IF(ISBLANK('Deal_Master_Wide'!$BU$4),"",'Deal_Master_Wide'!$BU$4)</x:f>
      </x:c>
      <x:c r="Q14" s="54" t="str">
        <x:f>IF(ISBLANK('Deal_Master_Wide'!$CB$4),"",'Deal_Master_Wide'!$CB$4)</x:f>
      </x:c>
      <x:c r="R14" s="54" t="str">
        <x:f>IF(ISBLANK('Deal_Master_Wide'!$CI$4),"",'Deal_Master_Wide'!$CI$4)</x:f>
      </x:c>
      <x:c r="S14" s="54" t="str">
        <x:f>IF(ISBLANK('Deal_Master_Wide'!$CP$4),"",'Deal_Master_Wide'!$CP$4)</x:f>
      </x:c>
      <x:c r="T14" s="54" t="str">
        <x:f>IF(ISBLANK('Deal_Master_Wide'!$CW$4),"",'Deal_Master_Wide'!$CW$4)</x:f>
      </x:c>
      <x:c r="U14" s="54" t="str">
        <x:f>IF(ISBLANK('Deal_Master_Wide'!$DD$4),"",'Deal_Master_Wide'!$DD$4)</x:f>
      </x:c>
      <x:c r="V14" s="56" t="str">
        <x:f>IF(ISBLANK('Deal_Master_Wide'!$DK$4),"",'Deal_Master_Wide'!$DK$4)</x:f>
      </x:c>
      <x:c r="W14" s="56" t="str">
        <x:f>IF(ISBLANK('Deal_Master_Wide'!$DR$4),"",'Deal_Master_Wide'!$DR$4)</x:f>
      </x:c>
      <x:c r="X14" s="56" t="str">
        <x:f>IF(ISBLANK('Deal_Master_Wide'!$DY$4),"",'Deal_Master_Wide'!$DY$4)</x:f>
      </x:c>
      <x:c r="Y14" s="54" t="str">
        <x:f>IF(ISBLANK('Deal_Master_Wide'!$EF$4),"",'Deal_Master_Wide'!$EF$4)</x:f>
      </x:c>
      <x:c r="Z14" s="54" t="str">
        <x:f>IF(ISBLANK('Deal_Master_Wide'!$EM$4),"",'Deal_Master_Wide'!$EM$4)</x:f>
      </x:c>
      <x:c r="AA14" s="52" t="str">
        <x:f>IF(ISBLANK('Deal_Master_Wide'!$AL$4),"",'Deal_Master_Wide'!$AL$4)</x:f>
        <x:v>Unknown</x:v>
      </x:c>
      <x:c r="AB14" s="54" t="n">
        <x:f>IF(ISBLANK('Deal_Master_Wide'!$AF$4),"",'Deal_Master_Wide'!$AF$4)</x:f>
        <x:v>354</x:v>
      </x:c>
      <x:c r="AC14" s="52" t="str">
        <x:f>IF(COUNT($P14,$Q14,$R14,$S14,$T14,$U14,$V14,$W14,$X14)=9,"Yes","No")</x:f>
        <x:v>No</x:v>
      </x:c>
      <x:c r="AD14" s="52" t="str">
        <x:f>IF(COUNT($Y14,$Z14)=2,"Yes","No")</x:f>
        <x:v>No</x:v>
      </x:c>
      <x:c r="AE14" s="50" t="str"/>
      <x:c r="AF14" t="str"/>
    </x:row>
    <x:row r="15" ht="20" customHeight="1">
      <x:c r="A15" s="50" t="str">
        <x:v>TRT-0002</x:v>
      </x:c>
      <x:c r="B15" s="50" t="str">
        <x:v>Candidate treatment group</x:v>
      </x:c>
      <x:c r="C15" s="52" t="str">
        <x:f>IF('Deal_Master_Wide'!$AU$4="","",'Deal_Master_Wide'!$AU$4)</x:f>
        <x:v>Not reviewed</x:v>
      </x:c>
      <x:c r="D15" s="52" t="str">
        <x:f>IF('Deal_Master_Wide'!$AV$4="","",'Deal_Master_Wide'!$AV$4)</x:f>
        <x:v>Not assessed</x:v>
      </x:c>
      <x:c r="E15" s="50" t="n">
        <x:v>1</x:v>
      </x:c>
      <x:c r="F15" s="52" t="str">
        <x:f>IF(OR($C15="High-confidence innovation-driven",$C15="Medium-confidence innovation-driven"),1,IF($C15="Clear alternative-rationale",0,""))</x:f>
      </x:c>
      <x:c r="G15" s="52" t="str">
        <x:f>IF('Deal_Master_Wide'!$M$4="","",'Deal_Master_Wide'!$M$4)</x:f>
        <x:v>Review</x:v>
      </x:c>
      <x:c r="H15" s="50" t="str">
        <x:v>Towa Pharmaceutical Co Ltd</x:v>
      </x:c>
      <x:c r="I15" s="50" t="str">
        <x:v>Pensa Investments, S.L.</x:v>
      </x:c>
      <x:c r="J15" s="50" t="n">
        <x:v>2020</x:v>
      </x:c>
      <x:c r="K15" s="50" t="n">
        <x:v>3</x:v>
      </x:c>
      <x:c r="L15" s="50" t="n">
        <x:v>2023</x:v>
      </x:c>
      <x:c r="M15" s="50" t="n">
        <x:v>1</x:v>
      </x:c>
      <x:c r="N15" s="50" t="n">
        <x:v>1</x:v>
      </x:c>
      <x:c r="O15" s="52" t="str">
        <x:f>IF($F15="","",$F15*$M15)</x:f>
      </x:c>
      <x:c r="P15" s="54" t="str">
        <x:f>IF(ISBLANK('Deal_Master_Wide'!$BV$4),"",'Deal_Master_Wide'!$BV$4)</x:f>
      </x:c>
      <x:c r="Q15" s="54" t="str">
        <x:f>IF(ISBLANK('Deal_Master_Wide'!$CC$4),"",'Deal_Master_Wide'!$CC$4)</x:f>
      </x:c>
      <x:c r="R15" s="54" t="str">
        <x:f>IF(ISBLANK('Deal_Master_Wide'!$CJ$4),"",'Deal_Master_Wide'!$CJ$4)</x:f>
      </x:c>
      <x:c r="S15" s="54" t="str">
        <x:f>IF(ISBLANK('Deal_Master_Wide'!$CQ$4),"",'Deal_Master_Wide'!$CQ$4)</x:f>
      </x:c>
      <x:c r="T15" s="54" t="str">
        <x:f>IF(ISBLANK('Deal_Master_Wide'!$CX$4),"",'Deal_Master_Wide'!$CX$4)</x:f>
      </x:c>
      <x:c r="U15" s="54" t="str">
        <x:f>IF(ISBLANK('Deal_Master_Wide'!$DE$4),"",'Deal_Master_Wide'!$DE$4)</x:f>
      </x:c>
      <x:c r="V15" s="56" t="str">
        <x:f>IF(ISBLANK('Deal_Master_Wide'!$DL$4),"",'Deal_Master_Wide'!$DL$4)</x:f>
      </x:c>
      <x:c r="W15" s="56" t="str">
        <x:f>IF(ISBLANK('Deal_Master_Wide'!$DS$4),"",'Deal_Master_Wide'!$DS$4)</x:f>
      </x:c>
      <x:c r="X15" s="56" t="str">
        <x:f>IF(ISBLANK('Deal_Master_Wide'!$DZ$4),"",'Deal_Master_Wide'!$DZ$4)</x:f>
      </x:c>
      <x:c r="Y15" s="54" t="str">
        <x:f>IF(ISBLANK('Deal_Master_Wide'!$EG$4),"",'Deal_Master_Wide'!$EG$4)</x:f>
      </x:c>
      <x:c r="Z15" s="54" t="str">
        <x:f>IF(ISBLANK('Deal_Master_Wide'!$EN$4),"",'Deal_Master_Wide'!$EN$4)</x:f>
      </x:c>
      <x:c r="AA15" s="52" t="str">
        <x:f>IF(ISBLANK('Deal_Master_Wide'!$AL$4),"",'Deal_Master_Wide'!$AL$4)</x:f>
        <x:v>Unknown</x:v>
      </x:c>
      <x:c r="AB15" s="54" t="n">
        <x:f>IF(ISBLANK('Deal_Master_Wide'!$AF$4),"",'Deal_Master_Wide'!$AF$4)</x:f>
        <x:v>354</x:v>
      </x:c>
      <x:c r="AC15" s="52" t="str">
        <x:f>IF(COUNT($P15,$Q15,$R15,$S15,$T15,$U15,$V15,$W15,$X15)=9,"Yes","No")</x:f>
        <x:v>No</x:v>
      </x:c>
      <x:c r="AD15" s="52" t="str">
        <x:f>IF(COUNT($Y15,$Z15)=2,"Yes","No")</x:f>
        <x:v>No</x:v>
      </x:c>
      <x:c r="AE15" s="50" t="str"/>
      <x:c r="AF15" t="str"/>
    </x:row>
    <x:row r="16" ht="20" customHeight="1">
      <x:c r="A16" s="50" t="str">
        <x:v>TRT-0003</x:v>
      </x:c>
      <x:c r="B16" s="50" t="str">
        <x:v>Candidate treatment group</x:v>
      </x:c>
      <x:c r="C16" s="52" t="str">
        <x:f>IF('Deal_Master_Wide'!$AU$5="","",'Deal_Master_Wide'!$AU$5)</x:f>
        <x:v>Not reviewed</x:v>
      </x:c>
      <x:c r="D16" s="52" t="str">
        <x:f>IF('Deal_Master_Wide'!$AV$5="","",'Deal_Master_Wide'!$AV$5)</x:f>
        <x:v>Not assessed</x:v>
      </x:c>
      <x:c r="E16" s="50" t="n">
        <x:v>1</x:v>
      </x:c>
      <x:c r="F16" s="52" t="str">
        <x:f>IF(OR($C16="High-confidence innovation-driven",$C16="Medium-confidence innovation-driven"),1,IF($C16="Clear alternative-rationale",0,""))</x:f>
      </x:c>
      <x:c r="G16" s="52" t="str">
        <x:f>IF('Deal_Master_Wide'!$M$5="","",'Deal_Master_Wide'!$M$5)</x:f>
        <x:v>Review</x:v>
      </x:c>
      <x:c r="H16" s="50" t="str">
        <x:v>Pfizer Inc</x:v>
      </x:c>
      <x:c r="I16" s="50" t="str">
        <x:v>Therachon AG (Inactive)</x:v>
      </x:c>
      <x:c r="J16" s="50" t="n">
        <x:v>2019</x:v>
      </x:c>
      <x:c r="K16" s="50" t="n">
        <x:v>-3</x:v>
      </x:c>
      <x:c r="L16" s="50" t="n">
        <x:v>2016</x:v>
      </x:c>
      <x:c r="M16" s="50" t="n">
        <x:v>0</x:v>
      </x:c>
      <x:c r="N16" s="50" t="n">
        <x:v>0</x:v>
      </x:c>
      <x:c r="O16" s="52" t="str">
        <x:f>IF($F16="","",$F16*$M16)</x:f>
      </x:c>
      <x:c r="P16" s="54" t="str">
        <x:f>IF(ISBLANK('Deal_Master_Wide'!$BP$5),"",'Deal_Master_Wide'!$BP$5)</x:f>
      </x:c>
      <x:c r="Q16" s="54" t="str">
        <x:f>IF(ISBLANK('Deal_Master_Wide'!$BW$5),"",'Deal_Master_Wide'!$BW$5)</x:f>
      </x:c>
      <x:c r="R16" s="54" t="str">
        <x:f>IF(ISBLANK('Deal_Master_Wide'!$CD$5),"",'Deal_Master_Wide'!$CD$5)</x:f>
      </x:c>
      <x:c r="S16" s="54" t="str">
        <x:f>IF(ISBLANK('Deal_Master_Wide'!$CK$5),"",'Deal_Master_Wide'!$CK$5)</x:f>
      </x:c>
      <x:c r="T16" s="54" t="str">
        <x:f>IF(ISBLANK('Deal_Master_Wide'!$CR$5),"",'Deal_Master_Wide'!$CR$5)</x:f>
      </x:c>
      <x:c r="U16" s="54" t="str">
        <x:f>IF(ISBLANK('Deal_Master_Wide'!$CY$5),"",'Deal_Master_Wide'!$CY$5)</x:f>
      </x:c>
      <x:c r="V16" s="56" t="str">
        <x:f>IF(ISBLANK('Deal_Master_Wide'!$DF$5),"",'Deal_Master_Wide'!$DF$5)</x:f>
      </x:c>
      <x:c r="W16" s="56" t="str">
        <x:f>IF(ISBLANK('Deal_Master_Wide'!$DM$5),"",'Deal_Master_Wide'!$DM$5)</x:f>
      </x:c>
      <x:c r="X16" s="56" t="str">
        <x:f>IF(ISBLANK('Deal_Master_Wide'!$DT$5),"",'Deal_Master_Wide'!$DT$5)</x:f>
      </x:c>
      <x:c r="Y16" s="54" t="str">
        <x:f>IF(ISBLANK('Deal_Master_Wide'!$EA$5),"",'Deal_Master_Wide'!$EA$5)</x:f>
      </x:c>
      <x:c r="Z16" s="54" t="str">
        <x:f>IF(ISBLANK('Deal_Master_Wide'!$EH$5),"",'Deal_Master_Wide'!$EH$5)</x:f>
      </x:c>
      <x:c r="AA16" s="52" t="str">
        <x:f>IF(ISBLANK('Deal_Master_Wide'!$AL$5),"",'Deal_Master_Wide'!$AL$5)</x:f>
        <x:v>Unknown</x:v>
      </x:c>
      <x:c r="AB16" s="54" t="n">
        <x:f>IF(ISBLANK('Deal_Master_Wide'!$AF$5),"",'Deal_Master_Wide'!$AF$5)</x:f>
        <x:v>810</x:v>
      </x:c>
      <x:c r="AC16" s="52" t="str">
        <x:f>IF(COUNT($P16,$Q16,$R16,$S16,$T16,$U16,$V16,$W16,$X16)=9,"Yes","No")</x:f>
        <x:v>No</x:v>
      </x:c>
      <x:c r="AD16" s="52" t="str">
        <x:f>IF(COUNT($Y16,$Z16)=2,"Yes","No")</x:f>
        <x:v>No</x:v>
      </x:c>
      <x:c r="AE16" s="50" t="str"/>
      <x:c r="AF16" t="str"/>
    </x:row>
    <x:row r="17" ht="20" customHeight="1">
      <x:c r="A17" s="50" t="str">
        <x:v>TRT-0003</x:v>
      </x:c>
      <x:c r="B17" s="50" t="str">
        <x:v>Candidate treatment group</x:v>
      </x:c>
      <x:c r="C17" s="52" t="str">
        <x:f>IF('Deal_Master_Wide'!$AU$5="","",'Deal_Master_Wide'!$AU$5)</x:f>
        <x:v>Not reviewed</x:v>
      </x:c>
      <x:c r="D17" s="52" t="str">
        <x:f>IF('Deal_Master_Wide'!$AV$5="","",'Deal_Master_Wide'!$AV$5)</x:f>
        <x:v>Not assessed</x:v>
      </x:c>
      <x:c r="E17" s="50" t="n">
        <x:v>1</x:v>
      </x:c>
      <x:c r="F17" s="52" t="str">
        <x:f>IF(OR($C17="High-confidence innovation-driven",$C17="Medium-confidence innovation-driven"),1,IF($C17="Clear alternative-rationale",0,""))</x:f>
      </x:c>
      <x:c r="G17" s="52" t="str">
        <x:f>IF('Deal_Master_Wide'!$M$5="","",'Deal_Master_Wide'!$M$5)</x:f>
        <x:v>Review</x:v>
      </x:c>
      <x:c r="H17" s="50" t="str">
        <x:v>Pfizer Inc</x:v>
      </x:c>
      <x:c r="I17" s="50" t="str">
        <x:v>Therachon AG (Inactive)</x:v>
      </x:c>
      <x:c r="J17" s="50" t="n">
        <x:v>2019</x:v>
      </x:c>
      <x:c r="K17" s="50" t="n">
        <x:v>-2</x:v>
      </x:c>
      <x:c r="L17" s="50" t="n">
        <x:v>2017</x:v>
      </x:c>
      <x:c r="M17" s="50" t="n">
        <x:v>0</x:v>
      </x:c>
      <x:c r="N17" s="50" t="n">
        <x:v>0</x:v>
      </x:c>
      <x:c r="O17" s="52" t="str">
        <x:f>IF($F17="","",$F17*$M17)</x:f>
      </x:c>
      <x:c r="P17" s="54" t="str">
        <x:f>IF(ISBLANK('Deal_Master_Wide'!$BQ$5),"",'Deal_Master_Wide'!$BQ$5)</x:f>
      </x:c>
      <x:c r="Q17" s="54" t="str">
        <x:f>IF(ISBLANK('Deal_Master_Wide'!$BX$5),"",'Deal_Master_Wide'!$BX$5)</x:f>
      </x:c>
      <x:c r="R17" s="54" t="str">
        <x:f>IF(ISBLANK('Deal_Master_Wide'!$CE$5),"",'Deal_Master_Wide'!$CE$5)</x:f>
      </x:c>
      <x:c r="S17" s="54" t="str">
        <x:f>IF(ISBLANK('Deal_Master_Wide'!$CL$5),"",'Deal_Master_Wide'!$CL$5)</x:f>
      </x:c>
      <x:c r="T17" s="54" t="str">
        <x:f>IF(ISBLANK('Deal_Master_Wide'!$CS$5),"",'Deal_Master_Wide'!$CS$5)</x:f>
      </x:c>
      <x:c r="U17" s="54" t="str">
        <x:f>IF(ISBLANK('Deal_Master_Wide'!$CZ$5),"",'Deal_Master_Wide'!$CZ$5)</x:f>
      </x:c>
      <x:c r="V17" s="56" t="str">
        <x:f>IF(ISBLANK('Deal_Master_Wide'!$DG$5),"",'Deal_Master_Wide'!$DG$5)</x:f>
      </x:c>
      <x:c r="W17" s="56" t="str">
        <x:f>IF(ISBLANK('Deal_Master_Wide'!$DN$5),"",'Deal_Master_Wide'!$DN$5)</x:f>
      </x:c>
      <x:c r="X17" s="56" t="str">
        <x:f>IF(ISBLANK('Deal_Master_Wide'!$DU$5),"",'Deal_Master_Wide'!$DU$5)</x:f>
      </x:c>
      <x:c r="Y17" s="54" t="str">
        <x:f>IF(ISBLANK('Deal_Master_Wide'!$EB$5),"",'Deal_Master_Wide'!$EB$5)</x:f>
      </x:c>
      <x:c r="Z17" s="54" t="str">
        <x:f>IF(ISBLANK('Deal_Master_Wide'!$EI$5),"",'Deal_Master_Wide'!$EI$5)</x:f>
      </x:c>
      <x:c r="AA17" s="52" t="str">
        <x:f>IF(ISBLANK('Deal_Master_Wide'!$AL$5),"",'Deal_Master_Wide'!$AL$5)</x:f>
        <x:v>Unknown</x:v>
      </x:c>
      <x:c r="AB17" s="54" t="n">
        <x:f>IF(ISBLANK('Deal_Master_Wide'!$AF$5),"",'Deal_Master_Wide'!$AF$5)</x:f>
        <x:v>810</x:v>
      </x:c>
      <x:c r="AC17" s="52" t="str">
        <x:f>IF(COUNT($P17,$Q17,$R17,$S17,$T17,$U17,$V17,$W17,$X17)=9,"Yes","No")</x:f>
        <x:v>No</x:v>
      </x:c>
      <x:c r="AD17" s="52" t="str">
        <x:f>IF(COUNT($Y17,$Z17)=2,"Yes","No")</x:f>
        <x:v>No</x:v>
      </x:c>
      <x:c r="AE17" s="50" t="str"/>
      <x:c r="AF17" t="str"/>
    </x:row>
    <x:row r="18" ht="20" customHeight="1">
      <x:c r="A18" s="50" t="str">
        <x:v>TRT-0003</x:v>
      </x:c>
      <x:c r="B18" s="50" t="str">
        <x:v>Candidate treatment group</x:v>
      </x:c>
      <x:c r="C18" s="52" t="str">
        <x:f>IF('Deal_Master_Wide'!$AU$5="","",'Deal_Master_Wide'!$AU$5)</x:f>
        <x:v>Not reviewed</x:v>
      </x:c>
      <x:c r="D18" s="52" t="str">
        <x:f>IF('Deal_Master_Wide'!$AV$5="","",'Deal_Master_Wide'!$AV$5)</x:f>
        <x:v>Not assessed</x:v>
      </x:c>
      <x:c r="E18" s="50" t="n">
        <x:v>1</x:v>
      </x:c>
      <x:c r="F18" s="52" t="str">
        <x:f>IF(OR($C18="High-confidence innovation-driven",$C18="Medium-confidence innovation-driven"),1,IF($C18="Clear alternative-rationale",0,""))</x:f>
      </x:c>
      <x:c r="G18" s="52" t="str">
        <x:f>IF('Deal_Master_Wide'!$M$5="","",'Deal_Master_Wide'!$M$5)</x:f>
        <x:v>Review</x:v>
      </x:c>
      <x:c r="H18" s="50" t="str">
        <x:v>Pfizer Inc</x:v>
      </x:c>
      <x:c r="I18" s="50" t="str">
        <x:v>Therachon AG (Inactive)</x:v>
      </x:c>
      <x:c r="J18" s="50" t="n">
        <x:v>2019</x:v>
      </x:c>
      <x:c r="K18" s="50" t="n">
        <x:v>-1</x:v>
      </x:c>
      <x:c r="L18" s="50" t="n">
        <x:v>2018</x:v>
      </x:c>
      <x:c r="M18" s="50" t="n">
        <x:v>0</x:v>
      </x:c>
      <x:c r="N18" s="50" t="n">
        <x:v>0</x:v>
      </x:c>
      <x:c r="O18" s="52" t="str">
        <x:f>IF($F18="","",$F18*$M18)</x:f>
      </x:c>
      <x:c r="P18" s="54" t="str">
        <x:f>IF(ISBLANK('Deal_Master_Wide'!$BR$5),"",'Deal_Master_Wide'!$BR$5)</x:f>
      </x:c>
      <x:c r="Q18" s="54" t="str">
        <x:f>IF(ISBLANK('Deal_Master_Wide'!$BY$5),"",'Deal_Master_Wide'!$BY$5)</x:f>
      </x:c>
      <x:c r="R18" s="54" t="str">
        <x:f>IF(ISBLANK('Deal_Master_Wide'!$CF$5),"",'Deal_Master_Wide'!$CF$5)</x:f>
      </x:c>
      <x:c r="S18" s="54" t="str">
        <x:f>IF(ISBLANK('Deal_Master_Wide'!$CM$5),"",'Deal_Master_Wide'!$CM$5)</x:f>
      </x:c>
      <x:c r="T18" s="54" t="str">
        <x:f>IF(ISBLANK('Deal_Master_Wide'!$CT$5),"",'Deal_Master_Wide'!$CT$5)</x:f>
      </x:c>
      <x:c r="U18" s="54" t="str">
        <x:f>IF(ISBLANK('Deal_Master_Wide'!$DA$5),"",'Deal_Master_Wide'!$DA$5)</x:f>
      </x:c>
      <x:c r="V18" s="56" t="str">
        <x:f>IF(ISBLANK('Deal_Master_Wide'!$DH$5),"",'Deal_Master_Wide'!$DH$5)</x:f>
      </x:c>
      <x:c r="W18" s="56" t="str">
        <x:f>IF(ISBLANK('Deal_Master_Wide'!$DO$5),"",'Deal_Master_Wide'!$DO$5)</x:f>
      </x:c>
      <x:c r="X18" s="56" t="str">
        <x:f>IF(ISBLANK('Deal_Master_Wide'!$DV$5),"",'Deal_Master_Wide'!$DV$5)</x:f>
      </x:c>
      <x:c r="Y18" s="54" t="str">
        <x:f>IF(ISBLANK('Deal_Master_Wide'!$EC$5),"",'Deal_Master_Wide'!$EC$5)</x:f>
      </x:c>
      <x:c r="Z18" s="54" t="str">
        <x:f>IF(ISBLANK('Deal_Master_Wide'!$EJ$5),"",'Deal_Master_Wide'!$EJ$5)</x:f>
      </x:c>
      <x:c r="AA18" s="52" t="str">
        <x:f>IF(ISBLANK('Deal_Master_Wide'!$AL$5),"",'Deal_Master_Wide'!$AL$5)</x:f>
        <x:v>Unknown</x:v>
      </x:c>
      <x:c r="AB18" s="54" t="n">
        <x:f>IF(ISBLANK('Deal_Master_Wide'!$AF$5),"",'Deal_Master_Wide'!$AF$5)</x:f>
        <x:v>810</x:v>
      </x:c>
      <x:c r="AC18" s="52" t="str">
        <x:f>IF(COUNT($P18,$Q18,$R18,$S18,$T18,$U18,$V18,$W18,$X18)=9,"Yes","No")</x:f>
        <x:v>No</x:v>
      </x:c>
      <x:c r="AD18" s="52" t="str">
        <x:f>IF(COUNT($Y18,$Z18)=2,"Yes","No")</x:f>
        <x:v>No</x:v>
      </x:c>
      <x:c r="AE18" s="50" t="str"/>
      <x:c r="AF18" t="str"/>
    </x:row>
    <x:row r="19" ht="20" customHeight="1">
      <x:c r="A19" s="50" t="str">
        <x:v>TRT-0003</x:v>
      </x:c>
      <x:c r="B19" s="50" t="str">
        <x:v>Candidate treatment group</x:v>
      </x:c>
      <x:c r="C19" s="52" t="str">
        <x:f>IF('Deal_Master_Wide'!$AU$5="","",'Deal_Master_Wide'!$AU$5)</x:f>
        <x:v>Not reviewed</x:v>
      </x:c>
      <x:c r="D19" s="52" t="str">
        <x:f>IF('Deal_Master_Wide'!$AV$5="","",'Deal_Master_Wide'!$AV$5)</x:f>
        <x:v>Not assessed</x:v>
      </x:c>
      <x:c r="E19" s="50" t="n">
        <x:v>1</x:v>
      </x:c>
      <x:c r="F19" s="52" t="str">
        <x:f>IF(OR($C19="High-confidence innovation-driven",$C19="Medium-confidence innovation-driven"),1,IF($C19="Clear alternative-rationale",0,""))</x:f>
      </x:c>
      <x:c r="G19" s="52" t="str">
        <x:f>IF('Deal_Master_Wide'!$M$5="","",'Deal_Master_Wide'!$M$5)</x:f>
        <x:v>Review</x:v>
      </x:c>
      <x:c r="H19" s="50" t="str">
        <x:v>Pfizer Inc</x:v>
      </x:c>
      <x:c r="I19" s="50" t="str">
        <x:v>Therachon AG (Inactive)</x:v>
      </x:c>
      <x:c r="J19" s="50" t="n">
        <x:v>2019</x:v>
      </x:c>
      <x:c r="K19" s="50" t="n">
        <x:v>0</x:v>
      </x:c>
      <x:c r="L19" s="50" t="n">
        <x:v>2019</x:v>
      </x:c>
      <x:c r="M19" s="50" t="n">
        <x:v>0</x:v>
      </x:c>
      <x:c r="N19" s="50" t="n">
        <x:v>1</x:v>
      </x:c>
      <x:c r="O19" s="52" t="str">
        <x:f>IF($F19="","",$F19*$M19)</x:f>
      </x:c>
      <x:c r="P19" s="54" t="str">
        <x:f>IF(ISBLANK('Deal_Master_Wide'!$BS$5),"",'Deal_Master_Wide'!$BS$5)</x:f>
      </x:c>
      <x:c r="Q19" s="54" t="str">
        <x:f>IF(ISBLANK('Deal_Master_Wide'!$BZ$5),"",'Deal_Master_Wide'!$BZ$5)</x:f>
      </x:c>
      <x:c r="R19" s="54" t="str">
        <x:f>IF(ISBLANK('Deal_Master_Wide'!$CG$5),"",'Deal_Master_Wide'!$CG$5)</x:f>
      </x:c>
      <x:c r="S19" s="54" t="str">
        <x:f>IF(ISBLANK('Deal_Master_Wide'!$CN$5),"",'Deal_Master_Wide'!$CN$5)</x:f>
      </x:c>
      <x:c r="T19" s="54" t="str">
        <x:f>IF(ISBLANK('Deal_Master_Wide'!$CU$5),"",'Deal_Master_Wide'!$CU$5)</x:f>
      </x:c>
      <x:c r="U19" s="54" t="str">
        <x:f>IF(ISBLANK('Deal_Master_Wide'!$DB$5),"",'Deal_Master_Wide'!$DB$5)</x:f>
      </x:c>
      <x:c r="V19" s="56" t="str">
        <x:f>IF(ISBLANK('Deal_Master_Wide'!$DI$5),"",'Deal_Master_Wide'!$DI$5)</x:f>
      </x:c>
      <x:c r="W19" s="56" t="str">
        <x:f>IF(ISBLANK('Deal_Master_Wide'!$DP$5),"",'Deal_Master_Wide'!$DP$5)</x:f>
      </x:c>
      <x:c r="X19" s="56" t="str">
        <x:f>IF(ISBLANK('Deal_Master_Wide'!$DW$5),"",'Deal_Master_Wide'!$DW$5)</x:f>
      </x:c>
      <x:c r="Y19" s="54" t="str">
        <x:f>IF(ISBLANK('Deal_Master_Wide'!$ED$5),"",'Deal_Master_Wide'!$ED$5)</x:f>
      </x:c>
      <x:c r="Z19" s="54" t="str">
        <x:f>IF(ISBLANK('Deal_Master_Wide'!$EK$5),"",'Deal_Master_Wide'!$EK$5)</x:f>
      </x:c>
      <x:c r="AA19" s="52" t="str">
        <x:f>IF(ISBLANK('Deal_Master_Wide'!$AL$5),"",'Deal_Master_Wide'!$AL$5)</x:f>
        <x:v>Unknown</x:v>
      </x:c>
      <x:c r="AB19" s="54" t="n">
        <x:f>IF(ISBLANK('Deal_Master_Wide'!$AF$5),"",'Deal_Master_Wide'!$AF$5)</x:f>
        <x:v>810</x:v>
      </x:c>
      <x:c r="AC19" s="52" t="str">
        <x:f>IF(COUNT($P19,$Q19,$R19,$S19,$T19,$U19,$V19,$W19,$X19)=9,"Yes","No")</x:f>
        <x:v>No</x:v>
      </x:c>
      <x:c r="AD19" s="52" t="str">
        <x:f>IF(COUNT($Y19,$Z19)=2,"Yes","No")</x:f>
        <x:v>No</x:v>
      </x:c>
      <x:c r="AE19" s="50" t="str"/>
      <x:c r="AF19" t="str"/>
    </x:row>
    <x:row r="20" ht="20" customHeight="1">
      <x:c r="A20" s="50" t="str">
        <x:v>TRT-0003</x:v>
      </x:c>
      <x:c r="B20" s="50" t="str">
        <x:v>Candidate treatment group</x:v>
      </x:c>
      <x:c r="C20" s="52" t="str">
        <x:f>IF('Deal_Master_Wide'!$AU$5="","",'Deal_Master_Wide'!$AU$5)</x:f>
        <x:v>Not reviewed</x:v>
      </x:c>
      <x:c r="D20" s="52" t="str">
        <x:f>IF('Deal_Master_Wide'!$AV$5="","",'Deal_Master_Wide'!$AV$5)</x:f>
        <x:v>Not assessed</x:v>
      </x:c>
      <x:c r="E20" s="50" t="n">
        <x:v>1</x:v>
      </x:c>
      <x:c r="F20" s="52" t="str">
        <x:f>IF(OR($C20="High-confidence innovation-driven",$C20="Medium-confidence innovation-driven"),1,IF($C20="Clear alternative-rationale",0,""))</x:f>
      </x:c>
      <x:c r="G20" s="52" t="str">
        <x:f>IF('Deal_Master_Wide'!$M$5="","",'Deal_Master_Wide'!$M$5)</x:f>
        <x:v>Review</x:v>
      </x:c>
      <x:c r="H20" s="50" t="str">
        <x:v>Pfizer Inc</x:v>
      </x:c>
      <x:c r="I20" s="50" t="str">
        <x:v>Therachon AG (Inactive)</x:v>
      </x:c>
      <x:c r="J20" s="50" t="n">
        <x:v>2019</x:v>
      </x:c>
      <x:c r="K20" s="50" t="n">
        <x:v>1</x:v>
      </x:c>
      <x:c r="L20" s="50" t="n">
        <x:v>2020</x:v>
      </x:c>
      <x:c r="M20" s="50" t="n">
        <x:v>1</x:v>
      </x:c>
      <x:c r="N20" s="50" t="n">
        <x:v>1</x:v>
      </x:c>
      <x:c r="O20" s="52" t="str">
        <x:f>IF($F20="","",$F20*$M20)</x:f>
      </x:c>
      <x:c r="P20" s="54" t="str">
        <x:f>IF(ISBLANK('Deal_Master_Wide'!$BT$5),"",'Deal_Master_Wide'!$BT$5)</x:f>
      </x:c>
      <x:c r="Q20" s="54" t="str">
        <x:f>IF(ISBLANK('Deal_Master_Wide'!$CA$5),"",'Deal_Master_Wide'!$CA$5)</x:f>
      </x:c>
      <x:c r="R20" s="54" t="str">
        <x:f>IF(ISBLANK('Deal_Master_Wide'!$CH$5),"",'Deal_Master_Wide'!$CH$5)</x:f>
      </x:c>
      <x:c r="S20" s="54" t="str">
        <x:f>IF(ISBLANK('Deal_Master_Wide'!$CO$5),"",'Deal_Master_Wide'!$CO$5)</x:f>
      </x:c>
      <x:c r="T20" s="54" t="str">
        <x:f>IF(ISBLANK('Deal_Master_Wide'!$CV$5),"",'Deal_Master_Wide'!$CV$5)</x:f>
      </x:c>
      <x:c r="U20" s="54" t="str">
        <x:f>IF(ISBLANK('Deal_Master_Wide'!$DC$5),"",'Deal_Master_Wide'!$DC$5)</x:f>
      </x:c>
      <x:c r="V20" s="56" t="str">
        <x:f>IF(ISBLANK('Deal_Master_Wide'!$DJ$5),"",'Deal_Master_Wide'!$DJ$5)</x:f>
      </x:c>
      <x:c r="W20" s="56" t="str">
        <x:f>IF(ISBLANK('Deal_Master_Wide'!$DQ$5),"",'Deal_Master_Wide'!$DQ$5)</x:f>
      </x:c>
      <x:c r="X20" s="56" t="str">
        <x:f>IF(ISBLANK('Deal_Master_Wide'!$DX$5),"",'Deal_Master_Wide'!$DX$5)</x:f>
      </x:c>
      <x:c r="Y20" s="54" t="str">
        <x:f>IF(ISBLANK('Deal_Master_Wide'!$EE$5),"",'Deal_Master_Wide'!$EE$5)</x:f>
      </x:c>
      <x:c r="Z20" s="54" t="str">
        <x:f>IF(ISBLANK('Deal_Master_Wide'!$EL$5),"",'Deal_Master_Wide'!$EL$5)</x:f>
      </x:c>
      <x:c r="AA20" s="52" t="str">
        <x:f>IF(ISBLANK('Deal_Master_Wide'!$AL$5),"",'Deal_Master_Wide'!$AL$5)</x:f>
        <x:v>Unknown</x:v>
      </x:c>
      <x:c r="AB20" s="54" t="n">
        <x:f>IF(ISBLANK('Deal_Master_Wide'!$AF$5),"",'Deal_Master_Wide'!$AF$5)</x:f>
        <x:v>810</x:v>
      </x:c>
      <x:c r="AC20" s="52" t="str">
        <x:f>IF(COUNT($P20,$Q20,$R20,$S20,$T20,$U20,$V20,$W20,$X20)=9,"Yes","No")</x:f>
        <x:v>No</x:v>
      </x:c>
      <x:c r="AD20" s="52" t="str">
        <x:f>IF(COUNT($Y20,$Z20)=2,"Yes","No")</x:f>
        <x:v>No</x:v>
      </x:c>
      <x:c r="AE20" s="50" t="str"/>
      <x:c r="AF20" t="str"/>
    </x:row>
    <x:row r="21" ht="20" customHeight="1">
      <x:c r="A21" s="50" t="str">
        <x:v>TRT-0003</x:v>
      </x:c>
      <x:c r="B21" s="50" t="str">
        <x:v>Candidate treatment group</x:v>
      </x:c>
      <x:c r="C21" s="52" t="str">
        <x:f>IF('Deal_Master_Wide'!$AU$5="","",'Deal_Master_Wide'!$AU$5)</x:f>
        <x:v>Not reviewed</x:v>
      </x:c>
      <x:c r="D21" s="52" t="str">
        <x:f>IF('Deal_Master_Wide'!$AV$5="","",'Deal_Master_Wide'!$AV$5)</x:f>
        <x:v>Not assessed</x:v>
      </x:c>
      <x:c r="E21" s="50" t="n">
        <x:v>1</x:v>
      </x:c>
      <x:c r="F21" s="52" t="str">
        <x:f>IF(OR($C21="High-confidence innovation-driven",$C21="Medium-confidence innovation-driven"),1,IF($C21="Clear alternative-rationale",0,""))</x:f>
      </x:c>
      <x:c r="G21" s="52" t="str">
        <x:f>IF('Deal_Master_Wide'!$M$5="","",'Deal_Master_Wide'!$M$5)</x:f>
        <x:v>Review</x:v>
      </x:c>
      <x:c r="H21" s="50" t="str">
        <x:v>Pfizer Inc</x:v>
      </x:c>
      <x:c r="I21" s="50" t="str">
        <x:v>Therachon AG (Inactive)</x:v>
      </x:c>
      <x:c r="J21" s="50" t="n">
        <x:v>2019</x:v>
      </x:c>
      <x:c r="K21" s="50" t="n">
        <x:v>2</x:v>
      </x:c>
      <x:c r="L21" s="50" t="n">
        <x:v>2021</x:v>
      </x:c>
      <x:c r="M21" s="50" t="n">
        <x:v>1</x:v>
      </x:c>
      <x:c r="N21" s="50" t="n">
        <x:v>1</x:v>
      </x:c>
      <x:c r="O21" s="52" t="str">
        <x:f>IF($F21="","",$F21*$M21)</x:f>
      </x:c>
      <x:c r="P21" s="54" t="str">
        <x:f>IF(ISBLANK('Deal_Master_Wide'!$BU$5),"",'Deal_Master_Wide'!$BU$5)</x:f>
      </x:c>
      <x:c r="Q21" s="54" t="str">
        <x:f>IF(ISBLANK('Deal_Master_Wide'!$CB$5),"",'Deal_Master_Wide'!$CB$5)</x:f>
      </x:c>
      <x:c r="R21" s="54" t="str">
        <x:f>IF(ISBLANK('Deal_Master_Wide'!$CI$5),"",'Deal_Master_Wide'!$CI$5)</x:f>
      </x:c>
      <x:c r="S21" s="54" t="str">
        <x:f>IF(ISBLANK('Deal_Master_Wide'!$CP$5),"",'Deal_Master_Wide'!$CP$5)</x:f>
      </x:c>
      <x:c r="T21" s="54" t="str">
        <x:f>IF(ISBLANK('Deal_Master_Wide'!$CW$5),"",'Deal_Master_Wide'!$CW$5)</x:f>
      </x:c>
      <x:c r="U21" s="54" t="str">
        <x:f>IF(ISBLANK('Deal_Master_Wide'!$DD$5),"",'Deal_Master_Wide'!$DD$5)</x:f>
      </x:c>
      <x:c r="V21" s="56" t="str">
        <x:f>IF(ISBLANK('Deal_Master_Wide'!$DK$5),"",'Deal_Master_Wide'!$DK$5)</x:f>
      </x:c>
      <x:c r="W21" s="56" t="str">
        <x:f>IF(ISBLANK('Deal_Master_Wide'!$DR$5),"",'Deal_Master_Wide'!$DR$5)</x:f>
      </x:c>
      <x:c r="X21" s="56" t="str">
        <x:f>IF(ISBLANK('Deal_Master_Wide'!$DY$5),"",'Deal_Master_Wide'!$DY$5)</x:f>
      </x:c>
      <x:c r="Y21" s="54" t="str">
        <x:f>IF(ISBLANK('Deal_Master_Wide'!$EF$5),"",'Deal_Master_Wide'!$EF$5)</x:f>
      </x:c>
      <x:c r="Z21" s="54" t="str">
        <x:f>IF(ISBLANK('Deal_Master_Wide'!$EM$5),"",'Deal_Master_Wide'!$EM$5)</x:f>
      </x:c>
      <x:c r="AA21" s="52" t="str">
        <x:f>IF(ISBLANK('Deal_Master_Wide'!$AL$5),"",'Deal_Master_Wide'!$AL$5)</x:f>
        <x:v>Unknown</x:v>
      </x:c>
      <x:c r="AB21" s="54" t="n">
        <x:f>IF(ISBLANK('Deal_Master_Wide'!$AF$5),"",'Deal_Master_Wide'!$AF$5)</x:f>
        <x:v>810</x:v>
      </x:c>
      <x:c r="AC21" s="52" t="str">
        <x:f>IF(COUNT($P21,$Q21,$R21,$S21,$T21,$U21,$V21,$W21,$X21)=9,"Yes","No")</x:f>
        <x:v>No</x:v>
      </x:c>
      <x:c r="AD21" s="52" t="str">
        <x:f>IF(COUNT($Y21,$Z21)=2,"Yes","No")</x:f>
        <x:v>No</x:v>
      </x:c>
      <x:c r="AE21" s="50" t="str"/>
      <x:c r="AF21" t="str"/>
    </x:row>
    <x:row r="22" ht="20" customHeight="1">
      <x:c r="A22" s="50" t="str">
        <x:v>TRT-0003</x:v>
      </x:c>
      <x:c r="B22" s="50" t="str">
        <x:v>Candidate treatment group</x:v>
      </x:c>
      <x:c r="C22" s="52" t="str">
        <x:f>IF('Deal_Master_Wide'!$AU$5="","",'Deal_Master_Wide'!$AU$5)</x:f>
        <x:v>Not reviewed</x:v>
      </x:c>
      <x:c r="D22" s="52" t="str">
        <x:f>IF('Deal_Master_Wide'!$AV$5="","",'Deal_Master_Wide'!$AV$5)</x:f>
        <x:v>Not assessed</x:v>
      </x:c>
      <x:c r="E22" s="50" t="n">
        <x:v>1</x:v>
      </x:c>
      <x:c r="F22" s="52" t="str">
        <x:f>IF(OR($C22="High-confidence innovation-driven",$C22="Medium-confidence innovation-driven"),1,IF($C22="Clear alternative-rationale",0,""))</x:f>
      </x:c>
      <x:c r="G22" s="52" t="str">
        <x:f>IF('Deal_Master_Wide'!$M$5="","",'Deal_Master_Wide'!$M$5)</x:f>
        <x:v>Review</x:v>
      </x:c>
      <x:c r="H22" s="50" t="str">
        <x:v>Pfizer Inc</x:v>
      </x:c>
      <x:c r="I22" s="50" t="str">
        <x:v>Therachon AG (Inactive)</x:v>
      </x:c>
      <x:c r="J22" s="50" t="n">
        <x:v>2019</x:v>
      </x:c>
      <x:c r="K22" s="50" t="n">
        <x:v>3</x:v>
      </x:c>
      <x:c r="L22" s="50" t="n">
        <x:v>2022</x:v>
      </x:c>
      <x:c r="M22" s="50" t="n">
        <x:v>1</x:v>
      </x:c>
      <x:c r="N22" s="50" t="n">
        <x:v>1</x:v>
      </x:c>
      <x:c r="O22" s="52" t="str">
        <x:f>IF($F22="","",$F22*$M22)</x:f>
      </x:c>
      <x:c r="P22" s="54" t="str">
        <x:f>IF(ISBLANK('Deal_Master_Wide'!$BV$5),"",'Deal_Master_Wide'!$BV$5)</x:f>
      </x:c>
      <x:c r="Q22" s="54" t="str">
        <x:f>IF(ISBLANK('Deal_Master_Wide'!$CC$5),"",'Deal_Master_Wide'!$CC$5)</x:f>
      </x:c>
      <x:c r="R22" s="54" t="str">
        <x:f>IF(ISBLANK('Deal_Master_Wide'!$CJ$5),"",'Deal_Master_Wide'!$CJ$5)</x:f>
      </x:c>
      <x:c r="S22" s="54" t="str">
        <x:f>IF(ISBLANK('Deal_Master_Wide'!$CQ$5),"",'Deal_Master_Wide'!$CQ$5)</x:f>
      </x:c>
      <x:c r="T22" s="54" t="str">
        <x:f>IF(ISBLANK('Deal_Master_Wide'!$CX$5),"",'Deal_Master_Wide'!$CX$5)</x:f>
      </x:c>
      <x:c r="U22" s="54" t="str">
        <x:f>IF(ISBLANK('Deal_Master_Wide'!$DE$5),"",'Deal_Master_Wide'!$DE$5)</x:f>
      </x:c>
      <x:c r="V22" s="56" t="str">
        <x:f>IF(ISBLANK('Deal_Master_Wide'!$DL$5),"",'Deal_Master_Wide'!$DL$5)</x:f>
      </x:c>
      <x:c r="W22" s="56" t="str">
        <x:f>IF(ISBLANK('Deal_Master_Wide'!$DS$5),"",'Deal_Master_Wide'!$DS$5)</x:f>
      </x:c>
      <x:c r="X22" s="56" t="str">
        <x:f>IF(ISBLANK('Deal_Master_Wide'!$DZ$5),"",'Deal_Master_Wide'!$DZ$5)</x:f>
      </x:c>
      <x:c r="Y22" s="54" t="str">
        <x:f>IF(ISBLANK('Deal_Master_Wide'!$EG$5),"",'Deal_Master_Wide'!$EG$5)</x:f>
      </x:c>
      <x:c r="Z22" s="54" t="str">
        <x:f>IF(ISBLANK('Deal_Master_Wide'!$EN$5),"",'Deal_Master_Wide'!$EN$5)</x:f>
      </x:c>
      <x:c r="AA22" s="52" t="str">
        <x:f>IF(ISBLANK('Deal_Master_Wide'!$AL$5),"",'Deal_Master_Wide'!$AL$5)</x:f>
        <x:v>Unknown</x:v>
      </x:c>
      <x:c r="AB22" s="54" t="n">
        <x:f>IF(ISBLANK('Deal_Master_Wide'!$AF$5),"",'Deal_Master_Wide'!$AF$5)</x:f>
        <x:v>810</x:v>
      </x:c>
      <x:c r="AC22" s="52" t="str">
        <x:f>IF(COUNT($P22,$Q22,$R22,$S22,$T22,$U22,$V22,$W22,$X22)=9,"Yes","No")</x:f>
        <x:v>No</x:v>
      </x:c>
      <x:c r="AD22" s="52" t="str">
        <x:f>IF(COUNT($Y22,$Z22)=2,"Yes","No")</x:f>
        <x:v>No</x:v>
      </x:c>
      <x:c r="AE22" s="50" t="str"/>
      <x:c r="AF22" t="str"/>
    </x:row>
    <x:row r="23" ht="20" customHeight="1">
      <x:c r="A23" s="50" t="str">
        <x:v>TRT-0004</x:v>
      </x:c>
      <x:c r="B23" s="50" t="str">
        <x:v>Candidate treatment group</x:v>
      </x:c>
      <x:c r="C23" s="52" t="str">
        <x:f>IF('Deal_Master_Wide'!$AU$6="","",'Deal_Master_Wide'!$AU$6)</x:f>
        <x:v>Not reviewed</x:v>
      </x:c>
      <x:c r="D23" s="52" t="str">
        <x:f>IF('Deal_Master_Wide'!$AV$6="","",'Deal_Master_Wide'!$AV$6)</x:f>
        <x:v>Not assessed</x:v>
      </x:c>
      <x:c r="E23" s="50" t="n">
        <x:v>1</x:v>
      </x:c>
      <x:c r="F23" s="52" t="str">
        <x:f>IF(OR($C23="High-confidence innovation-driven",$C23="Medium-confidence innovation-driven"),1,IF($C23="Clear alternative-rationale",0,""))</x:f>
      </x:c>
      <x:c r="G23" s="52" t="str">
        <x:f>IF('Deal_Master_Wide'!$M$6="","",'Deal_Master_Wide'!$M$6)</x:f>
        <x:v>Review</x:v>
      </x:c>
      <x:c r="H23" s="50" t="str">
        <x:v>Gyroscope Therapeutics Holdings Plc</x:v>
      </x:c>
      <x:c r="I23" s="50" t="str">
        <x:v>Orbit Biomedical Inc; Gyroscope Therapeutics Holdings Plc</x:v>
      </x:c>
      <x:c r="J23" s="50" t="n">
        <x:v>2019</x:v>
      </x:c>
      <x:c r="K23" s="50" t="n">
        <x:v>-3</x:v>
      </x:c>
      <x:c r="L23" s="50" t="n">
        <x:v>2016</x:v>
      </x:c>
      <x:c r="M23" s="50" t="n">
        <x:v>0</x:v>
      </x:c>
      <x:c r="N23" s="50" t="n">
        <x:v>0</x:v>
      </x:c>
      <x:c r="O23" s="52" t="str">
        <x:f>IF($F23="","",$F23*$M23)</x:f>
      </x:c>
      <x:c r="P23" s="54" t="str">
        <x:f>IF(ISBLANK('Deal_Master_Wide'!$BP$6),"",'Deal_Master_Wide'!$BP$6)</x:f>
      </x:c>
      <x:c r="Q23" s="54" t="str">
        <x:f>IF(ISBLANK('Deal_Master_Wide'!$BW$6),"",'Deal_Master_Wide'!$BW$6)</x:f>
      </x:c>
      <x:c r="R23" s="54" t="str">
        <x:f>IF(ISBLANK('Deal_Master_Wide'!$CD$6),"",'Deal_Master_Wide'!$CD$6)</x:f>
      </x:c>
      <x:c r="S23" s="54" t="str">
        <x:f>IF(ISBLANK('Deal_Master_Wide'!$CK$6),"",'Deal_Master_Wide'!$CK$6)</x:f>
      </x:c>
      <x:c r="T23" s="54" t="str">
        <x:f>IF(ISBLANK('Deal_Master_Wide'!$CR$6),"",'Deal_Master_Wide'!$CR$6)</x:f>
      </x:c>
      <x:c r="U23" s="54" t="str">
        <x:f>IF(ISBLANK('Deal_Master_Wide'!$CY$6),"",'Deal_Master_Wide'!$CY$6)</x:f>
      </x:c>
      <x:c r="V23" s="56" t="str">
        <x:f>IF(ISBLANK('Deal_Master_Wide'!$DF$6),"",'Deal_Master_Wide'!$DF$6)</x:f>
      </x:c>
      <x:c r="W23" s="56" t="str">
        <x:f>IF(ISBLANK('Deal_Master_Wide'!$DM$6),"",'Deal_Master_Wide'!$DM$6)</x:f>
      </x:c>
      <x:c r="X23" s="56" t="str">
        <x:f>IF(ISBLANK('Deal_Master_Wide'!$DT$6),"",'Deal_Master_Wide'!$DT$6)</x:f>
      </x:c>
      <x:c r="Y23" s="54" t="str">
        <x:f>IF(ISBLANK('Deal_Master_Wide'!$EA$6),"",'Deal_Master_Wide'!$EA$6)</x:f>
      </x:c>
      <x:c r="Z23" s="54" t="str">
        <x:f>IF(ISBLANK('Deal_Master_Wide'!$EH$6),"",'Deal_Master_Wide'!$EH$6)</x:f>
      </x:c>
      <x:c r="AA23" s="52" t="str">
        <x:f>IF(ISBLANK('Deal_Master_Wide'!$AL$6),"",'Deal_Master_Wide'!$AL$6)</x:f>
        <x:v>Unknown</x:v>
      </x:c>
      <x:c r="AB23" s="54" t="str">
        <x:f>IF(ISBLANK('Deal_Master_Wide'!$AF$6),"",'Deal_Master_Wide'!$AF$6)</x:f>
      </x:c>
      <x:c r="AC23" s="52" t="str">
        <x:f>IF(COUNT($P23,$Q23,$R23,$S23,$T23,$U23,$V23,$W23,$X23)=9,"Yes","No")</x:f>
        <x:v>No</x:v>
      </x:c>
      <x:c r="AD23" s="52" t="str">
        <x:f>IF(COUNT($Y23,$Z23)=2,"Yes","No")</x:f>
        <x:v>No</x:v>
      </x:c>
      <x:c r="AE23" s="50" t="str"/>
      <x:c r="AF23" t="str"/>
    </x:row>
    <x:row r="24" ht="20" customHeight="1">
      <x:c r="A24" s="50" t="str">
        <x:v>TRT-0004</x:v>
      </x:c>
      <x:c r="B24" s="50" t="str">
        <x:v>Candidate treatment group</x:v>
      </x:c>
      <x:c r="C24" s="52" t="str">
        <x:f>IF('Deal_Master_Wide'!$AU$6="","",'Deal_Master_Wide'!$AU$6)</x:f>
        <x:v>Not reviewed</x:v>
      </x:c>
      <x:c r="D24" s="52" t="str">
        <x:f>IF('Deal_Master_Wide'!$AV$6="","",'Deal_Master_Wide'!$AV$6)</x:f>
        <x:v>Not assessed</x:v>
      </x:c>
      <x:c r="E24" s="50" t="n">
        <x:v>1</x:v>
      </x:c>
      <x:c r="F24" s="52" t="str">
        <x:f>IF(OR($C24="High-confidence innovation-driven",$C24="Medium-confidence innovation-driven"),1,IF($C24="Clear alternative-rationale",0,""))</x:f>
      </x:c>
      <x:c r="G24" s="52" t="str">
        <x:f>IF('Deal_Master_Wide'!$M$6="","",'Deal_Master_Wide'!$M$6)</x:f>
        <x:v>Review</x:v>
      </x:c>
      <x:c r="H24" s="50" t="str">
        <x:v>Gyroscope Therapeutics Holdings Plc</x:v>
      </x:c>
      <x:c r="I24" s="50" t="str">
        <x:v>Orbit Biomedical Inc; Gyroscope Therapeutics Holdings Plc</x:v>
      </x:c>
      <x:c r="J24" s="50" t="n">
        <x:v>2019</x:v>
      </x:c>
      <x:c r="K24" s="50" t="n">
        <x:v>-2</x:v>
      </x:c>
      <x:c r="L24" s="50" t="n">
        <x:v>2017</x:v>
      </x:c>
      <x:c r="M24" s="50" t="n">
        <x:v>0</x:v>
      </x:c>
      <x:c r="N24" s="50" t="n">
        <x:v>0</x:v>
      </x:c>
      <x:c r="O24" s="52" t="str">
        <x:f>IF($F24="","",$F24*$M24)</x:f>
      </x:c>
      <x:c r="P24" s="54" t="str">
        <x:f>IF(ISBLANK('Deal_Master_Wide'!$BQ$6),"",'Deal_Master_Wide'!$BQ$6)</x:f>
      </x:c>
      <x:c r="Q24" s="54" t="str">
        <x:f>IF(ISBLANK('Deal_Master_Wide'!$BX$6),"",'Deal_Master_Wide'!$BX$6)</x:f>
      </x:c>
      <x:c r="R24" s="54" t="str">
        <x:f>IF(ISBLANK('Deal_Master_Wide'!$CE$6),"",'Deal_Master_Wide'!$CE$6)</x:f>
      </x:c>
      <x:c r="S24" s="54" t="str">
        <x:f>IF(ISBLANK('Deal_Master_Wide'!$CL$6),"",'Deal_Master_Wide'!$CL$6)</x:f>
      </x:c>
      <x:c r="T24" s="54" t="str">
        <x:f>IF(ISBLANK('Deal_Master_Wide'!$CS$6),"",'Deal_Master_Wide'!$CS$6)</x:f>
      </x:c>
      <x:c r="U24" s="54" t="str">
        <x:f>IF(ISBLANK('Deal_Master_Wide'!$CZ$6),"",'Deal_Master_Wide'!$CZ$6)</x:f>
      </x:c>
      <x:c r="V24" s="56" t="str">
        <x:f>IF(ISBLANK('Deal_Master_Wide'!$DG$6),"",'Deal_Master_Wide'!$DG$6)</x:f>
      </x:c>
      <x:c r="W24" s="56" t="str">
        <x:f>IF(ISBLANK('Deal_Master_Wide'!$DN$6),"",'Deal_Master_Wide'!$DN$6)</x:f>
      </x:c>
      <x:c r="X24" s="56" t="str">
        <x:f>IF(ISBLANK('Deal_Master_Wide'!$DU$6),"",'Deal_Master_Wide'!$DU$6)</x:f>
      </x:c>
      <x:c r="Y24" s="54" t="str">
        <x:f>IF(ISBLANK('Deal_Master_Wide'!$EB$6),"",'Deal_Master_Wide'!$EB$6)</x:f>
      </x:c>
      <x:c r="Z24" s="54" t="str">
        <x:f>IF(ISBLANK('Deal_Master_Wide'!$EI$6),"",'Deal_Master_Wide'!$EI$6)</x:f>
      </x:c>
      <x:c r="AA24" s="52" t="str">
        <x:f>IF(ISBLANK('Deal_Master_Wide'!$AL$6),"",'Deal_Master_Wide'!$AL$6)</x:f>
        <x:v>Unknown</x:v>
      </x:c>
      <x:c r="AB24" s="54" t="str">
        <x:f>IF(ISBLANK('Deal_Master_Wide'!$AF$6),"",'Deal_Master_Wide'!$AF$6)</x:f>
      </x:c>
      <x:c r="AC24" s="52" t="str">
        <x:f>IF(COUNT($P24,$Q24,$R24,$S24,$T24,$U24,$V24,$W24,$X24)=9,"Yes","No")</x:f>
        <x:v>No</x:v>
      </x:c>
      <x:c r="AD24" s="52" t="str">
        <x:f>IF(COUNT($Y24,$Z24)=2,"Yes","No")</x:f>
        <x:v>No</x:v>
      </x:c>
      <x:c r="AE24" s="50" t="str"/>
      <x:c r="AF24" t="str"/>
    </x:row>
    <x:row r="25" ht="20" customHeight="1">
      <x:c r="A25" s="50" t="str">
        <x:v>TRT-0004</x:v>
      </x:c>
      <x:c r="B25" s="50" t="str">
        <x:v>Candidate treatment group</x:v>
      </x:c>
      <x:c r="C25" s="52" t="str">
        <x:f>IF('Deal_Master_Wide'!$AU$6="","",'Deal_Master_Wide'!$AU$6)</x:f>
        <x:v>Not reviewed</x:v>
      </x:c>
      <x:c r="D25" s="52" t="str">
        <x:f>IF('Deal_Master_Wide'!$AV$6="","",'Deal_Master_Wide'!$AV$6)</x:f>
        <x:v>Not assessed</x:v>
      </x:c>
      <x:c r="E25" s="50" t="n">
        <x:v>1</x:v>
      </x:c>
      <x:c r="F25" s="52" t="str">
        <x:f>IF(OR($C25="High-confidence innovation-driven",$C25="Medium-confidence innovation-driven"),1,IF($C25="Clear alternative-rationale",0,""))</x:f>
      </x:c>
      <x:c r="G25" s="52" t="str">
        <x:f>IF('Deal_Master_Wide'!$M$6="","",'Deal_Master_Wide'!$M$6)</x:f>
        <x:v>Review</x:v>
      </x:c>
      <x:c r="H25" s="50" t="str">
        <x:v>Gyroscope Therapeutics Holdings Plc</x:v>
      </x:c>
      <x:c r="I25" s="50" t="str">
        <x:v>Orbit Biomedical Inc; Gyroscope Therapeutics Holdings Plc</x:v>
      </x:c>
      <x:c r="J25" s="50" t="n">
        <x:v>2019</x:v>
      </x:c>
      <x:c r="K25" s="50" t="n">
        <x:v>-1</x:v>
      </x:c>
      <x:c r="L25" s="50" t="n">
        <x:v>2018</x:v>
      </x:c>
      <x:c r="M25" s="50" t="n">
        <x:v>0</x:v>
      </x:c>
      <x:c r="N25" s="50" t="n">
        <x:v>0</x:v>
      </x:c>
      <x:c r="O25" s="52" t="str">
        <x:f>IF($F25="","",$F25*$M25)</x:f>
      </x:c>
      <x:c r="P25" s="54" t="str">
        <x:f>IF(ISBLANK('Deal_Master_Wide'!$BR$6),"",'Deal_Master_Wide'!$BR$6)</x:f>
      </x:c>
      <x:c r="Q25" s="54" t="str">
        <x:f>IF(ISBLANK('Deal_Master_Wide'!$BY$6),"",'Deal_Master_Wide'!$BY$6)</x:f>
      </x:c>
      <x:c r="R25" s="54" t="str">
        <x:f>IF(ISBLANK('Deal_Master_Wide'!$CF$6),"",'Deal_Master_Wide'!$CF$6)</x:f>
      </x:c>
      <x:c r="S25" s="54" t="str">
        <x:f>IF(ISBLANK('Deal_Master_Wide'!$CM$6),"",'Deal_Master_Wide'!$CM$6)</x:f>
      </x:c>
      <x:c r="T25" s="54" t="str">
        <x:f>IF(ISBLANK('Deal_Master_Wide'!$CT$6),"",'Deal_Master_Wide'!$CT$6)</x:f>
      </x:c>
      <x:c r="U25" s="54" t="str">
        <x:f>IF(ISBLANK('Deal_Master_Wide'!$DA$6),"",'Deal_Master_Wide'!$DA$6)</x:f>
      </x:c>
      <x:c r="V25" s="56" t="str">
        <x:f>IF(ISBLANK('Deal_Master_Wide'!$DH$6),"",'Deal_Master_Wide'!$DH$6)</x:f>
      </x:c>
      <x:c r="W25" s="56" t="str">
        <x:f>IF(ISBLANK('Deal_Master_Wide'!$DO$6),"",'Deal_Master_Wide'!$DO$6)</x:f>
      </x:c>
      <x:c r="X25" s="56" t="str">
        <x:f>IF(ISBLANK('Deal_Master_Wide'!$DV$6),"",'Deal_Master_Wide'!$DV$6)</x:f>
      </x:c>
      <x:c r="Y25" s="54" t="str">
        <x:f>IF(ISBLANK('Deal_Master_Wide'!$EC$6),"",'Deal_Master_Wide'!$EC$6)</x:f>
      </x:c>
      <x:c r="Z25" s="54" t="str">
        <x:f>IF(ISBLANK('Deal_Master_Wide'!$EJ$6),"",'Deal_Master_Wide'!$EJ$6)</x:f>
      </x:c>
      <x:c r="AA25" s="52" t="str">
        <x:f>IF(ISBLANK('Deal_Master_Wide'!$AL$6),"",'Deal_Master_Wide'!$AL$6)</x:f>
        <x:v>Unknown</x:v>
      </x:c>
      <x:c r="AB25" s="54" t="str">
        <x:f>IF(ISBLANK('Deal_Master_Wide'!$AF$6),"",'Deal_Master_Wide'!$AF$6)</x:f>
      </x:c>
      <x:c r="AC25" s="52" t="str">
        <x:f>IF(COUNT($P25,$Q25,$R25,$S25,$T25,$U25,$V25,$W25,$X25)=9,"Yes","No")</x:f>
        <x:v>No</x:v>
      </x:c>
      <x:c r="AD25" s="52" t="str">
        <x:f>IF(COUNT($Y25,$Z25)=2,"Yes","No")</x:f>
        <x:v>No</x:v>
      </x:c>
      <x:c r="AE25" s="50" t="str"/>
      <x:c r="AF25" t="str"/>
    </x:row>
    <x:row r="26" ht="20" customHeight="1">
      <x:c r="A26" s="50" t="str">
        <x:v>TRT-0004</x:v>
      </x:c>
      <x:c r="B26" s="50" t="str">
        <x:v>Candidate treatment group</x:v>
      </x:c>
      <x:c r="C26" s="52" t="str">
        <x:f>IF('Deal_Master_Wide'!$AU$6="","",'Deal_Master_Wide'!$AU$6)</x:f>
        <x:v>Not reviewed</x:v>
      </x:c>
      <x:c r="D26" s="52" t="str">
        <x:f>IF('Deal_Master_Wide'!$AV$6="","",'Deal_Master_Wide'!$AV$6)</x:f>
        <x:v>Not assessed</x:v>
      </x:c>
      <x:c r="E26" s="50" t="n">
        <x:v>1</x:v>
      </x:c>
      <x:c r="F26" s="52" t="str">
        <x:f>IF(OR($C26="High-confidence innovation-driven",$C26="Medium-confidence innovation-driven"),1,IF($C26="Clear alternative-rationale",0,""))</x:f>
      </x:c>
      <x:c r="G26" s="52" t="str">
        <x:f>IF('Deal_Master_Wide'!$M$6="","",'Deal_Master_Wide'!$M$6)</x:f>
        <x:v>Review</x:v>
      </x:c>
      <x:c r="H26" s="50" t="str">
        <x:v>Gyroscope Therapeutics Holdings Plc</x:v>
      </x:c>
      <x:c r="I26" s="50" t="str">
        <x:v>Orbit Biomedical Inc; Gyroscope Therapeutics Holdings Plc</x:v>
      </x:c>
      <x:c r="J26" s="50" t="n">
        <x:v>2019</x:v>
      </x:c>
      <x:c r="K26" s="50" t="n">
        <x:v>0</x:v>
      </x:c>
      <x:c r="L26" s="50" t="n">
        <x:v>2019</x:v>
      </x:c>
      <x:c r="M26" s="50" t="n">
        <x:v>0</x:v>
      </x:c>
      <x:c r="N26" s="50" t="n">
        <x:v>1</x:v>
      </x:c>
      <x:c r="O26" s="52" t="str">
        <x:f>IF($F26="","",$F26*$M26)</x:f>
      </x:c>
      <x:c r="P26" s="54" t="str">
        <x:f>IF(ISBLANK('Deal_Master_Wide'!$BS$6),"",'Deal_Master_Wide'!$BS$6)</x:f>
      </x:c>
      <x:c r="Q26" s="54" t="str">
        <x:f>IF(ISBLANK('Deal_Master_Wide'!$BZ$6),"",'Deal_Master_Wide'!$BZ$6)</x:f>
      </x:c>
      <x:c r="R26" s="54" t="str">
        <x:f>IF(ISBLANK('Deal_Master_Wide'!$CG$6),"",'Deal_Master_Wide'!$CG$6)</x:f>
      </x:c>
      <x:c r="S26" s="54" t="str">
        <x:f>IF(ISBLANK('Deal_Master_Wide'!$CN$6),"",'Deal_Master_Wide'!$CN$6)</x:f>
      </x:c>
      <x:c r="T26" s="54" t="str">
        <x:f>IF(ISBLANK('Deal_Master_Wide'!$CU$6),"",'Deal_Master_Wide'!$CU$6)</x:f>
      </x:c>
      <x:c r="U26" s="54" t="str">
        <x:f>IF(ISBLANK('Deal_Master_Wide'!$DB$6),"",'Deal_Master_Wide'!$DB$6)</x:f>
      </x:c>
      <x:c r="V26" s="56" t="str">
        <x:f>IF(ISBLANK('Deal_Master_Wide'!$DI$6),"",'Deal_Master_Wide'!$DI$6)</x:f>
      </x:c>
      <x:c r="W26" s="56" t="str">
        <x:f>IF(ISBLANK('Deal_Master_Wide'!$DP$6),"",'Deal_Master_Wide'!$DP$6)</x:f>
      </x:c>
      <x:c r="X26" s="56" t="str">
        <x:f>IF(ISBLANK('Deal_Master_Wide'!$DW$6),"",'Deal_Master_Wide'!$DW$6)</x:f>
      </x:c>
      <x:c r="Y26" s="54" t="str">
        <x:f>IF(ISBLANK('Deal_Master_Wide'!$ED$6),"",'Deal_Master_Wide'!$ED$6)</x:f>
      </x:c>
      <x:c r="Z26" s="54" t="str">
        <x:f>IF(ISBLANK('Deal_Master_Wide'!$EK$6),"",'Deal_Master_Wide'!$EK$6)</x:f>
      </x:c>
      <x:c r="AA26" s="52" t="str">
        <x:f>IF(ISBLANK('Deal_Master_Wide'!$AL$6),"",'Deal_Master_Wide'!$AL$6)</x:f>
        <x:v>Unknown</x:v>
      </x:c>
      <x:c r="AB26" s="54" t="str">
        <x:f>IF(ISBLANK('Deal_Master_Wide'!$AF$6),"",'Deal_Master_Wide'!$AF$6)</x:f>
      </x:c>
      <x:c r="AC26" s="52" t="str">
        <x:f>IF(COUNT($P26,$Q26,$R26,$S26,$T26,$U26,$V26,$W26,$X26)=9,"Yes","No")</x:f>
        <x:v>No</x:v>
      </x:c>
      <x:c r="AD26" s="52" t="str">
        <x:f>IF(COUNT($Y26,$Z26)=2,"Yes","No")</x:f>
        <x:v>No</x:v>
      </x:c>
      <x:c r="AE26" s="50" t="str"/>
      <x:c r="AF26" t="str"/>
    </x:row>
    <x:row r="27" ht="20" customHeight="1">
      <x:c r="A27" s="50" t="str">
        <x:v>TRT-0004</x:v>
      </x:c>
      <x:c r="B27" s="50" t="str">
        <x:v>Candidate treatment group</x:v>
      </x:c>
      <x:c r="C27" s="52" t="str">
        <x:f>IF('Deal_Master_Wide'!$AU$6="","",'Deal_Master_Wide'!$AU$6)</x:f>
        <x:v>Not reviewed</x:v>
      </x:c>
      <x:c r="D27" s="52" t="str">
        <x:f>IF('Deal_Master_Wide'!$AV$6="","",'Deal_Master_Wide'!$AV$6)</x:f>
        <x:v>Not assessed</x:v>
      </x:c>
      <x:c r="E27" s="50" t="n">
        <x:v>1</x:v>
      </x:c>
      <x:c r="F27" s="52" t="str">
        <x:f>IF(OR($C27="High-confidence innovation-driven",$C27="Medium-confidence innovation-driven"),1,IF($C27="Clear alternative-rationale",0,""))</x:f>
      </x:c>
      <x:c r="G27" s="52" t="str">
        <x:f>IF('Deal_Master_Wide'!$M$6="","",'Deal_Master_Wide'!$M$6)</x:f>
        <x:v>Review</x:v>
      </x:c>
      <x:c r="H27" s="50" t="str">
        <x:v>Gyroscope Therapeutics Holdings Plc</x:v>
      </x:c>
      <x:c r="I27" s="50" t="str">
        <x:v>Orbit Biomedical Inc; Gyroscope Therapeutics Holdings Plc</x:v>
      </x:c>
      <x:c r="J27" s="50" t="n">
        <x:v>2019</x:v>
      </x:c>
      <x:c r="K27" s="50" t="n">
        <x:v>1</x:v>
      </x:c>
      <x:c r="L27" s="50" t="n">
        <x:v>2020</x:v>
      </x:c>
      <x:c r="M27" s="50" t="n">
        <x:v>1</x:v>
      </x:c>
      <x:c r="N27" s="50" t="n">
        <x:v>1</x:v>
      </x:c>
      <x:c r="O27" s="52" t="str">
        <x:f>IF($F27="","",$F27*$M27)</x:f>
      </x:c>
      <x:c r="P27" s="54" t="str">
        <x:f>IF(ISBLANK('Deal_Master_Wide'!$BT$6),"",'Deal_Master_Wide'!$BT$6)</x:f>
      </x:c>
      <x:c r="Q27" s="54" t="str">
        <x:f>IF(ISBLANK('Deal_Master_Wide'!$CA$6),"",'Deal_Master_Wide'!$CA$6)</x:f>
      </x:c>
      <x:c r="R27" s="54" t="str">
        <x:f>IF(ISBLANK('Deal_Master_Wide'!$CH$6),"",'Deal_Master_Wide'!$CH$6)</x:f>
      </x:c>
      <x:c r="S27" s="54" t="str">
        <x:f>IF(ISBLANK('Deal_Master_Wide'!$CO$6),"",'Deal_Master_Wide'!$CO$6)</x:f>
      </x:c>
      <x:c r="T27" s="54" t="str">
        <x:f>IF(ISBLANK('Deal_Master_Wide'!$CV$6),"",'Deal_Master_Wide'!$CV$6)</x:f>
      </x:c>
      <x:c r="U27" s="54" t="str">
        <x:f>IF(ISBLANK('Deal_Master_Wide'!$DC$6),"",'Deal_Master_Wide'!$DC$6)</x:f>
      </x:c>
      <x:c r="V27" s="56" t="str">
        <x:f>IF(ISBLANK('Deal_Master_Wide'!$DJ$6),"",'Deal_Master_Wide'!$DJ$6)</x:f>
      </x:c>
      <x:c r="W27" s="56" t="str">
        <x:f>IF(ISBLANK('Deal_Master_Wide'!$DQ$6),"",'Deal_Master_Wide'!$DQ$6)</x:f>
      </x:c>
      <x:c r="X27" s="56" t="str">
        <x:f>IF(ISBLANK('Deal_Master_Wide'!$DX$6),"",'Deal_Master_Wide'!$DX$6)</x:f>
      </x:c>
      <x:c r="Y27" s="54" t="str">
        <x:f>IF(ISBLANK('Deal_Master_Wide'!$EE$6),"",'Deal_Master_Wide'!$EE$6)</x:f>
      </x:c>
      <x:c r="Z27" s="54" t="str">
        <x:f>IF(ISBLANK('Deal_Master_Wide'!$EL$6),"",'Deal_Master_Wide'!$EL$6)</x:f>
      </x:c>
      <x:c r="AA27" s="52" t="str">
        <x:f>IF(ISBLANK('Deal_Master_Wide'!$AL$6),"",'Deal_Master_Wide'!$AL$6)</x:f>
        <x:v>Unknown</x:v>
      </x:c>
      <x:c r="AB27" s="54" t="str">
        <x:f>IF(ISBLANK('Deal_Master_Wide'!$AF$6),"",'Deal_Master_Wide'!$AF$6)</x:f>
      </x:c>
      <x:c r="AC27" s="52" t="str">
        <x:f>IF(COUNT($P27,$Q27,$R27,$S27,$T27,$U27,$V27,$W27,$X27)=9,"Yes","No")</x:f>
        <x:v>No</x:v>
      </x:c>
      <x:c r="AD27" s="52" t="str">
        <x:f>IF(COUNT($Y27,$Z27)=2,"Yes","No")</x:f>
        <x:v>No</x:v>
      </x:c>
      <x:c r="AE27" s="50" t="str"/>
      <x:c r="AF27" t="str"/>
    </x:row>
    <x:row r="28" ht="20" customHeight="1">
      <x:c r="A28" s="50" t="str">
        <x:v>TRT-0004</x:v>
      </x:c>
      <x:c r="B28" s="50" t="str">
        <x:v>Candidate treatment group</x:v>
      </x:c>
      <x:c r="C28" s="52" t="str">
        <x:f>IF('Deal_Master_Wide'!$AU$6="","",'Deal_Master_Wide'!$AU$6)</x:f>
        <x:v>Not reviewed</x:v>
      </x:c>
      <x:c r="D28" s="52" t="str">
        <x:f>IF('Deal_Master_Wide'!$AV$6="","",'Deal_Master_Wide'!$AV$6)</x:f>
        <x:v>Not assessed</x:v>
      </x:c>
      <x:c r="E28" s="50" t="n">
        <x:v>1</x:v>
      </x:c>
      <x:c r="F28" s="52" t="str">
        <x:f>IF(OR($C28="High-confidence innovation-driven",$C28="Medium-confidence innovation-driven"),1,IF($C28="Clear alternative-rationale",0,""))</x:f>
      </x:c>
      <x:c r="G28" s="52" t="str">
        <x:f>IF('Deal_Master_Wide'!$M$6="","",'Deal_Master_Wide'!$M$6)</x:f>
        <x:v>Review</x:v>
      </x:c>
      <x:c r="H28" s="50" t="str">
        <x:v>Gyroscope Therapeutics Holdings Plc</x:v>
      </x:c>
      <x:c r="I28" s="50" t="str">
        <x:v>Orbit Biomedical Inc; Gyroscope Therapeutics Holdings Plc</x:v>
      </x:c>
      <x:c r="J28" s="50" t="n">
        <x:v>2019</x:v>
      </x:c>
      <x:c r="K28" s="50" t="n">
        <x:v>2</x:v>
      </x:c>
      <x:c r="L28" s="50" t="n">
        <x:v>2021</x:v>
      </x:c>
      <x:c r="M28" s="50" t="n">
        <x:v>1</x:v>
      </x:c>
      <x:c r="N28" s="50" t="n">
        <x:v>1</x:v>
      </x:c>
      <x:c r="O28" s="52" t="str">
        <x:f>IF($F28="","",$F28*$M28)</x:f>
      </x:c>
      <x:c r="P28" s="54" t="str">
        <x:f>IF(ISBLANK('Deal_Master_Wide'!$BU$6),"",'Deal_Master_Wide'!$BU$6)</x:f>
      </x:c>
      <x:c r="Q28" s="54" t="str">
        <x:f>IF(ISBLANK('Deal_Master_Wide'!$CB$6),"",'Deal_Master_Wide'!$CB$6)</x:f>
      </x:c>
      <x:c r="R28" s="54" t="str">
        <x:f>IF(ISBLANK('Deal_Master_Wide'!$CI$6),"",'Deal_Master_Wide'!$CI$6)</x:f>
      </x:c>
      <x:c r="S28" s="54" t="str">
        <x:f>IF(ISBLANK('Deal_Master_Wide'!$CP$6),"",'Deal_Master_Wide'!$CP$6)</x:f>
      </x:c>
      <x:c r="T28" s="54" t="str">
        <x:f>IF(ISBLANK('Deal_Master_Wide'!$CW$6),"",'Deal_Master_Wide'!$CW$6)</x:f>
      </x:c>
      <x:c r="U28" s="54" t="str">
        <x:f>IF(ISBLANK('Deal_Master_Wide'!$DD$6),"",'Deal_Master_Wide'!$DD$6)</x:f>
      </x:c>
      <x:c r="V28" s="56" t="str">
        <x:f>IF(ISBLANK('Deal_Master_Wide'!$DK$6),"",'Deal_Master_Wide'!$DK$6)</x:f>
      </x:c>
      <x:c r="W28" s="56" t="str">
        <x:f>IF(ISBLANK('Deal_Master_Wide'!$DR$6),"",'Deal_Master_Wide'!$DR$6)</x:f>
      </x:c>
      <x:c r="X28" s="56" t="str">
        <x:f>IF(ISBLANK('Deal_Master_Wide'!$DY$6),"",'Deal_Master_Wide'!$DY$6)</x:f>
      </x:c>
      <x:c r="Y28" s="54" t="str">
        <x:f>IF(ISBLANK('Deal_Master_Wide'!$EF$6),"",'Deal_Master_Wide'!$EF$6)</x:f>
      </x:c>
      <x:c r="Z28" s="54" t="str">
        <x:f>IF(ISBLANK('Deal_Master_Wide'!$EM$6),"",'Deal_Master_Wide'!$EM$6)</x:f>
      </x:c>
      <x:c r="AA28" s="52" t="str">
        <x:f>IF(ISBLANK('Deal_Master_Wide'!$AL$6),"",'Deal_Master_Wide'!$AL$6)</x:f>
        <x:v>Unknown</x:v>
      </x:c>
      <x:c r="AB28" s="54" t="str">
        <x:f>IF(ISBLANK('Deal_Master_Wide'!$AF$6),"",'Deal_Master_Wide'!$AF$6)</x:f>
      </x:c>
      <x:c r="AC28" s="52" t="str">
        <x:f>IF(COUNT($P28,$Q28,$R28,$S28,$T28,$U28,$V28,$W28,$X28)=9,"Yes","No")</x:f>
        <x:v>No</x:v>
      </x:c>
      <x:c r="AD28" s="52" t="str">
        <x:f>IF(COUNT($Y28,$Z28)=2,"Yes","No")</x:f>
        <x:v>No</x:v>
      </x:c>
      <x:c r="AE28" s="50" t="str"/>
      <x:c r="AF28" t="str"/>
    </x:row>
    <x:row r="29" ht="20" customHeight="1">
      <x:c r="A29" s="50" t="str">
        <x:v>TRT-0004</x:v>
      </x:c>
      <x:c r="B29" s="50" t="str">
        <x:v>Candidate treatment group</x:v>
      </x:c>
      <x:c r="C29" s="52" t="str">
        <x:f>IF('Deal_Master_Wide'!$AU$6="","",'Deal_Master_Wide'!$AU$6)</x:f>
        <x:v>Not reviewed</x:v>
      </x:c>
      <x:c r="D29" s="52" t="str">
        <x:f>IF('Deal_Master_Wide'!$AV$6="","",'Deal_Master_Wide'!$AV$6)</x:f>
        <x:v>Not assessed</x:v>
      </x:c>
      <x:c r="E29" s="50" t="n">
        <x:v>1</x:v>
      </x:c>
      <x:c r="F29" s="52" t="str">
        <x:f>IF(OR($C29="High-confidence innovation-driven",$C29="Medium-confidence innovation-driven"),1,IF($C29="Clear alternative-rationale",0,""))</x:f>
      </x:c>
      <x:c r="G29" s="52" t="str">
        <x:f>IF('Deal_Master_Wide'!$M$6="","",'Deal_Master_Wide'!$M$6)</x:f>
        <x:v>Review</x:v>
      </x:c>
      <x:c r="H29" s="50" t="str">
        <x:v>Gyroscope Therapeutics Holdings Plc</x:v>
      </x:c>
      <x:c r="I29" s="50" t="str">
        <x:v>Orbit Biomedical Inc; Gyroscope Therapeutics Holdings Plc</x:v>
      </x:c>
      <x:c r="J29" s="50" t="n">
        <x:v>2019</x:v>
      </x:c>
      <x:c r="K29" s="50" t="n">
        <x:v>3</x:v>
      </x:c>
      <x:c r="L29" s="50" t="n">
        <x:v>2022</x:v>
      </x:c>
      <x:c r="M29" s="50" t="n">
        <x:v>1</x:v>
      </x:c>
      <x:c r="N29" s="50" t="n">
        <x:v>1</x:v>
      </x:c>
      <x:c r="O29" s="52" t="str">
        <x:f>IF($F29="","",$F29*$M29)</x:f>
      </x:c>
      <x:c r="P29" s="54" t="str">
        <x:f>IF(ISBLANK('Deal_Master_Wide'!$BV$6),"",'Deal_Master_Wide'!$BV$6)</x:f>
      </x:c>
      <x:c r="Q29" s="54" t="str">
        <x:f>IF(ISBLANK('Deal_Master_Wide'!$CC$6),"",'Deal_Master_Wide'!$CC$6)</x:f>
      </x:c>
      <x:c r="R29" s="54" t="str">
        <x:f>IF(ISBLANK('Deal_Master_Wide'!$CJ$6),"",'Deal_Master_Wide'!$CJ$6)</x:f>
      </x:c>
      <x:c r="S29" s="54" t="str">
        <x:f>IF(ISBLANK('Deal_Master_Wide'!$CQ$6),"",'Deal_Master_Wide'!$CQ$6)</x:f>
      </x:c>
      <x:c r="T29" s="54" t="str">
        <x:f>IF(ISBLANK('Deal_Master_Wide'!$CX$6),"",'Deal_Master_Wide'!$CX$6)</x:f>
      </x:c>
      <x:c r="U29" s="54" t="str">
        <x:f>IF(ISBLANK('Deal_Master_Wide'!$DE$6),"",'Deal_Master_Wide'!$DE$6)</x:f>
      </x:c>
      <x:c r="V29" s="56" t="str">
        <x:f>IF(ISBLANK('Deal_Master_Wide'!$DL$6),"",'Deal_Master_Wide'!$DL$6)</x:f>
      </x:c>
      <x:c r="W29" s="56" t="str">
        <x:f>IF(ISBLANK('Deal_Master_Wide'!$DS$6),"",'Deal_Master_Wide'!$DS$6)</x:f>
      </x:c>
      <x:c r="X29" s="56" t="str">
        <x:f>IF(ISBLANK('Deal_Master_Wide'!$DZ$6),"",'Deal_Master_Wide'!$DZ$6)</x:f>
      </x:c>
      <x:c r="Y29" s="54" t="str">
        <x:f>IF(ISBLANK('Deal_Master_Wide'!$EG$6),"",'Deal_Master_Wide'!$EG$6)</x:f>
      </x:c>
      <x:c r="Z29" s="54" t="str">
        <x:f>IF(ISBLANK('Deal_Master_Wide'!$EN$6),"",'Deal_Master_Wide'!$EN$6)</x:f>
      </x:c>
      <x:c r="AA29" s="52" t="str">
        <x:f>IF(ISBLANK('Deal_Master_Wide'!$AL$6),"",'Deal_Master_Wide'!$AL$6)</x:f>
        <x:v>Unknown</x:v>
      </x:c>
      <x:c r="AB29" s="54" t="str">
        <x:f>IF(ISBLANK('Deal_Master_Wide'!$AF$6),"",'Deal_Master_Wide'!$AF$6)</x:f>
      </x:c>
      <x:c r="AC29" s="52" t="str">
        <x:f>IF(COUNT($P29,$Q29,$R29,$S29,$T29,$U29,$V29,$W29,$X29)=9,"Yes","No")</x:f>
        <x:v>No</x:v>
      </x:c>
      <x:c r="AD29" s="52" t="str">
        <x:f>IF(COUNT($Y29,$Z29)=2,"Yes","No")</x:f>
        <x:v>No</x:v>
      </x:c>
      <x:c r="AE29" s="50" t="str"/>
      <x:c r="AF29" t="str"/>
    </x:row>
    <x:row r="30" ht="20" customHeight="1">
      <x:c r="A30" s="50" t="str">
        <x:v>TRT-0005</x:v>
      </x:c>
      <x:c r="B30" s="50" t="str">
        <x:v>Candidate treatment group</x:v>
      </x:c>
      <x:c r="C30" s="52" t="str">
        <x:f>IF('Deal_Master_Wide'!$AU$7="","",'Deal_Master_Wide'!$AU$7)</x:f>
        <x:v>Not reviewed</x:v>
      </x:c>
      <x:c r="D30" s="52" t="str">
        <x:f>IF('Deal_Master_Wide'!$AV$7="","",'Deal_Master_Wide'!$AV$7)</x:f>
        <x:v>Not assessed</x:v>
      </x:c>
      <x:c r="E30" s="50" t="n">
        <x:v>1</x:v>
      </x:c>
      <x:c r="F30" s="52" t="str">
        <x:f>IF(OR($C30="High-confidence innovation-driven",$C30="Medium-confidence innovation-driven"),1,IF($C30="Clear alternative-rationale",0,""))</x:f>
      </x:c>
      <x:c r="G30" s="52" t="str">
        <x:f>IF('Deal_Master_Wide'!$M$7="","",'Deal_Master_Wide'!$M$7)</x:f>
        <x:v>Review</x:v>
      </x:c>
      <x:c r="H30" s="50" t="str">
        <x:v>TriNetX LLC</x:v>
      </x:c>
      <x:c r="I30" s="50" t="str">
        <x:v>Custodix NV</x:v>
      </x:c>
      <x:c r="J30" s="50" t="n">
        <x:v>2019</x:v>
      </x:c>
      <x:c r="K30" s="50" t="n">
        <x:v>-3</x:v>
      </x:c>
      <x:c r="L30" s="50" t="n">
        <x:v>2016</x:v>
      </x:c>
      <x:c r="M30" s="50" t="n">
        <x:v>0</x:v>
      </x:c>
      <x:c r="N30" s="50" t="n">
        <x:v>0</x:v>
      </x:c>
      <x:c r="O30" s="52" t="str">
        <x:f>IF($F30="","",$F30*$M30)</x:f>
      </x:c>
      <x:c r="P30" s="54" t="str">
        <x:f>IF(ISBLANK('Deal_Master_Wide'!$BP$7),"",'Deal_Master_Wide'!$BP$7)</x:f>
      </x:c>
      <x:c r="Q30" s="54" t="str">
        <x:f>IF(ISBLANK('Deal_Master_Wide'!$BW$7),"",'Deal_Master_Wide'!$BW$7)</x:f>
      </x:c>
      <x:c r="R30" s="54" t="str">
        <x:f>IF(ISBLANK('Deal_Master_Wide'!$CD$7),"",'Deal_Master_Wide'!$CD$7)</x:f>
      </x:c>
      <x:c r="S30" s="54" t="str">
        <x:f>IF(ISBLANK('Deal_Master_Wide'!$CK$7),"",'Deal_Master_Wide'!$CK$7)</x:f>
      </x:c>
      <x:c r="T30" s="54" t="str">
        <x:f>IF(ISBLANK('Deal_Master_Wide'!$CR$7),"",'Deal_Master_Wide'!$CR$7)</x:f>
      </x:c>
      <x:c r="U30" s="54" t="str">
        <x:f>IF(ISBLANK('Deal_Master_Wide'!$CY$7),"",'Deal_Master_Wide'!$CY$7)</x:f>
      </x:c>
      <x:c r="V30" s="56" t="str">
        <x:f>IF(ISBLANK('Deal_Master_Wide'!$DF$7),"",'Deal_Master_Wide'!$DF$7)</x:f>
      </x:c>
      <x:c r="W30" s="56" t="str">
        <x:f>IF(ISBLANK('Deal_Master_Wide'!$DM$7),"",'Deal_Master_Wide'!$DM$7)</x:f>
      </x:c>
      <x:c r="X30" s="56" t="str">
        <x:f>IF(ISBLANK('Deal_Master_Wide'!$DT$7),"",'Deal_Master_Wide'!$DT$7)</x:f>
      </x:c>
      <x:c r="Y30" s="54" t="str">
        <x:f>IF(ISBLANK('Deal_Master_Wide'!$EA$7),"",'Deal_Master_Wide'!$EA$7)</x:f>
      </x:c>
      <x:c r="Z30" s="54" t="str">
        <x:f>IF(ISBLANK('Deal_Master_Wide'!$EH$7),"",'Deal_Master_Wide'!$EH$7)</x:f>
      </x:c>
      <x:c r="AA30" s="52" t="str">
        <x:f>IF(ISBLANK('Deal_Master_Wide'!$AL$7),"",'Deal_Master_Wide'!$AL$7)</x:f>
        <x:v>Unknown</x:v>
      </x:c>
      <x:c r="AB30" s="54" t="str">
        <x:f>IF(ISBLANK('Deal_Master_Wide'!$AF$7),"",'Deal_Master_Wide'!$AF$7)</x:f>
      </x:c>
      <x:c r="AC30" s="52" t="str">
        <x:f>IF(COUNT($P30,$Q30,$R30,$S30,$T30,$U30,$V30,$W30,$X30)=9,"Yes","No")</x:f>
        <x:v>No</x:v>
      </x:c>
      <x:c r="AD30" s="52" t="str">
        <x:f>IF(COUNT($Y30,$Z30)=2,"Yes","No")</x:f>
        <x:v>No</x:v>
      </x:c>
      <x:c r="AE30" s="50" t="str"/>
      <x:c r="AF30" t="str"/>
    </x:row>
    <x:row r="31" ht="20" customHeight="1">
      <x:c r="A31" s="50" t="str">
        <x:v>TRT-0005</x:v>
      </x:c>
      <x:c r="B31" s="50" t="str">
        <x:v>Candidate treatment group</x:v>
      </x:c>
      <x:c r="C31" s="52" t="str">
        <x:f>IF('Deal_Master_Wide'!$AU$7="","",'Deal_Master_Wide'!$AU$7)</x:f>
        <x:v>Not reviewed</x:v>
      </x:c>
      <x:c r="D31" s="52" t="str">
        <x:f>IF('Deal_Master_Wide'!$AV$7="","",'Deal_Master_Wide'!$AV$7)</x:f>
        <x:v>Not assessed</x:v>
      </x:c>
      <x:c r="E31" s="50" t="n">
        <x:v>1</x:v>
      </x:c>
      <x:c r="F31" s="52" t="str">
        <x:f>IF(OR($C31="High-confidence innovation-driven",$C31="Medium-confidence innovation-driven"),1,IF($C31="Clear alternative-rationale",0,""))</x:f>
      </x:c>
      <x:c r="G31" s="52" t="str">
        <x:f>IF('Deal_Master_Wide'!$M$7="","",'Deal_Master_Wide'!$M$7)</x:f>
        <x:v>Review</x:v>
      </x:c>
      <x:c r="H31" s="50" t="str">
        <x:v>TriNetX LLC</x:v>
      </x:c>
      <x:c r="I31" s="50" t="str">
        <x:v>Custodix NV</x:v>
      </x:c>
      <x:c r="J31" s="50" t="n">
        <x:v>2019</x:v>
      </x:c>
      <x:c r="K31" s="50" t="n">
        <x:v>-2</x:v>
      </x:c>
      <x:c r="L31" s="50" t="n">
        <x:v>2017</x:v>
      </x:c>
      <x:c r="M31" s="50" t="n">
        <x:v>0</x:v>
      </x:c>
      <x:c r="N31" s="50" t="n">
        <x:v>0</x:v>
      </x:c>
      <x:c r="O31" s="52" t="str">
        <x:f>IF($F31="","",$F31*$M31)</x:f>
      </x:c>
      <x:c r="P31" s="54" t="str">
        <x:f>IF(ISBLANK('Deal_Master_Wide'!$BQ$7),"",'Deal_Master_Wide'!$BQ$7)</x:f>
      </x:c>
      <x:c r="Q31" s="54" t="str">
        <x:f>IF(ISBLANK('Deal_Master_Wide'!$BX$7),"",'Deal_Master_Wide'!$BX$7)</x:f>
      </x:c>
      <x:c r="R31" s="54" t="str">
        <x:f>IF(ISBLANK('Deal_Master_Wide'!$CE$7),"",'Deal_Master_Wide'!$CE$7)</x:f>
      </x:c>
      <x:c r="S31" s="54" t="str">
        <x:f>IF(ISBLANK('Deal_Master_Wide'!$CL$7),"",'Deal_Master_Wide'!$CL$7)</x:f>
      </x:c>
      <x:c r="T31" s="54" t="str">
        <x:f>IF(ISBLANK('Deal_Master_Wide'!$CS$7),"",'Deal_Master_Wide'!$CS$7)</x:f>
      </x:c>
      <x:c r="U31" s="54" t="str">
        <x:f>IF(ISBLANK('Deal_Master_Wide'!$CZ$7),"",'Deal_Master_Wide'!$CZ$7)</x:f>
      </x:c>
      <x:c r="V31" s="56" t="str">
        <x:f>IF(ISBLANK('Deal_Master_Wide'!$DG$7),"",'Deal_Master_Wide'!$DG$7)</x:f>
      </x:c>
      <x:c r="W31" s="56" t="str">
        <x:f>IF(ISBLANK('Deal_Master_Wide'!$DN$7),"",'Deal_Master_Wide'!$DN$7)</x:f>
      </x:c>
      <x:c r="X31" s="56" t="str">
        <x:f>IF(ISBLANK('Deal_Master_Wide'!$DU$7),"",'Deal_Master_Wide'!$DU$7)</x:f>
      </x:c>
      <x:c r="Y31" s="54" t="str">
        <x:f>IF(ISBLANK('Deal_Master_Wide'!$EB$7),"",'Deal_Master_Wide'!$EB$7)</x:f>
      </x:c>
      <x:c r="Z31" s="54" t="str">
        <x:f>IF(ISBLANK('Deal_Master_Wide'!$EI$7),"",'Deal_Master_Wide'!$EI$7)</x:f>
      </x:c>
      <x:c r="AA31" s="52" t="str">
        <x:f>IF(ISBLANK('Deal_Master_Wide'!$AL$7),"",'Deal_Master_Wide'!$AL$7)</x:f>
        <x:v>Unknown</x:v>
      </x:c>
      <x:c r="AB31" s="54" t="str">
        <x:f>IF(ISBLANK('Deal_Master_Wide'!$AF$7),"",'Deal_Master_Wide'!$AF$7)</x:f>
      </x:c>
      <x:c r="AC31" s="52" t="str">
        <x:f>IF(COUNT($P31,$Q31,$R31,$S31,$T31,$U31,$V31,$W31,$X31)=9,"Yes","No")</x:f>
        <x:v>No</x:v>
      </x:c>
      <x:c r="AD31" s="52" t="str">
        <x:f>IF(COUNT($Y31,$Z31)=2,"Yes","No")</x:f>
        <x:v>No</x:v>
      </x:c>
      <x:c r="AE31" s="50" t="str"/>
      <x:c r="AF31" t="str"/>
    </x:row>
    <x:row r="32" ht="20" customHeight="1">
      <x:c r="A32" s="50" t="str">
        <x:v>TRT-0005</x:v>
      </x:c>
      <x:c r="B32" s="50" t="str">
        <x:v>Candidate treatment group</x:v>
      </x:c>
      <x:c r="C32" s="52" t="str">
        <x:f>IF('Deal_Master_Wide'!$AU$7="","",'Deal_Master_Wide'!$AU$7)</x:f>
        <x:v>Not reviewed</x:v>
      </x:c>
      <x:c r="D32" s="52" t="str">
        <x:f>IF('Deal_Master_Wide'!$AV$7="","",'Deal_Master_Wide'!$AV$7)</x:f>
        <x:v>Not assessed</x:v>
      </x:c>
      <x:c r="E32" s="50" t="n">
        <x:v>1</x:v>
      </x:c>
      <x:c r="F32" s="52" t="str">
        <x:f>IF(OR($C32="High-confidence innovation-driven",$C32="Medium-confidence innovation-driven"),1,IF($C32="Clear alternative-rationale",0,""))</x:f>
      </x:c>
      <x:c r="G32" s="52" t="str">
        <x:f>IF('Deal_Master_Wide'!$M$7="","",'Deal_Master_Wide'!$M$7)</x:f>
        <x:v>Review</x:v>
      </x:c>
      <x:c r="H32" s="50" t="str">
        <x:v>TriNetX LLC</x:v>
      </x:c>
      <x:c r="I32" s="50" t="str">
        <x:v>Custodix NV</x:v>
      </x:c>
      <x:c r="J32" s="50" t="n">
        <x:v>2019</x:v>
      </x:c>
      <x:c r="K32" s="50" t="n">
        <x:v>-1</x:v>
      </x:c>
      <x:c r="L32" s="50" t="n">
        <x:v>2018</x:v>
      </x:c>
      <x:c r="M32" s="50" t="n">
        <x:v>0</x:v>
      </x:c>
      <x:c r="N32" s="50" t="n">
        <x:v>0</x:v>
      </x:c>
      <x:c r="O32" s="52" t="str">
        <x:f>IF($F32="","",$F32*$M32)</x:f>
      </x:c>
      <x:c r="P32" s="54" t="str">
        <x:f>IF(ISBLANK('Deal_Master_Wide'!$BR$7),"",'Deal_Master_Wide'!$BR$7)</x:f>
      </x:c>
      <x:c r="Q32" s="54" t="str">
        <x:f>IF(ISBLANK('Deal_Master_Wide'!$BY$7),"",'Deal_Master_Wide'!$BY$7)</x:f>
      </x:c>
      <x:c r="R32" s="54" t="str">
        <x:f>IF(ISBLANK('Deal_Master_Wide'!$CF$7),"",'Deal_Master_Wide'!$CF$7)</x:f>
      </x:c>
      <x:c r="S32" s="54" t="str">
        <x:f>IF(ISBLANK('Deal_Master_Wide'!$CM$7),"",'Deal_Master_Wide'!$CM$7)</x:f>
      </x:c>
      <x:c r="T32" s="54" t="str">
        <x:f>IF(ISBLANK('Deal_Master_Wide'!$CT$7),"",'Deal_Master_Wide'!$CT$7)</x:f>
      </x:c>
      <x:c r="U32" s="54" t="str">
        <x:f>IF(ISBLANK('Deal_Master_Wide'!$DA$7),"",'Deal_Master_Wide'!$DA$7)</x:f>
      </x:c>
      <x:c r="V32" s="56" t="str">
        <x:f>IF(ISBLANK('Deal_Master_Wide'!$DH$7),"",'Deal_Master_Wide'!$DH$7)</x:f>
      </x:c>
      <x:c r="W32" s="56" t="str">
        <x:f>IF(ISBLANK('Deal_Master_Wide'!$DO$7),"",'Deal_Master_Wide'!$DO$7)</x:f>
      </x:c>
      <x:c r="X32" s="56" t="str">
        <x:f>IF(ISBLANK('Deal_Master_Wide'!$DV$7),"",'Deal_Master_Wide'!$DV$7)</x:f>
      </x:c>
      <x:c r="Y32" s="54" t="str">
        <x:f>IF(ISBLANK('Deal_Master_Wide'!$EC$7),"",'Deal_Master_Wide'!$EC$7)</x:f>
      </x:c>
      <x:c r="Z32" s="54" t="str">
        <x:f>IF(ISBLANK('Deal_Master_Wide'!$EJ$7),"",'Deal_Master_Wide'!$EJ$7)</x:f>
      </x:c>
      <x:c r="AA32" s="52" t="str">
        <x:f>IF(ISBLANK('Deal_Master_Wide'!$AL$7),"",'Deal_Master_Wide'!$AL$7)</x:f>
        <x:v>Unknown</x:v>
      </x:c>
      <x:c r="AB32" s="54" t="str">
        <x:f>IF(ISBLANK('Deal_Master_Wide'!$AF$7),"",'Deal_Master_Wide'!$AF$7)</x:f>
      </x:c>
      <x:c r="AC32" s="52" t="str">
        <x:f>IF(COUNT($P32,$Q32,$R32,$S32,$T32,$U32,$V32,$W32,$X32)=9,"Yes","No")</x:f>
        <x:v>No</x:v>
      </x:c>
      <x:c r="AD32" s="52" t="str">
        <x:f>IF(COUNT($Y32,$Z32)=2,"Yes","No")</x:f>
        <x:v>No</x:v>
      </x:c>
      <x:c r="AE32" s="50" t="str"/>
      <x:c r="AF32" t="str"/>
    </x:row>
    <x:row r="33" ht="20" customHeight="1">
      <x:c r="A33" s="50" t="str">
        <x:v>TRT-0005</x:v>
      </x:c>
      <x:c r="B33" s="50" t="str">
        <x:v>Candidate treatment group</x:v>
      </x:c>
      <x:c r="C33" s="52" t="str">
        <x:f>IF('Deal_Master_Wide'!$AU$7="","",'Deal_Master_Wide'!$AU$7)</x:f>
        <x:v>Not reviewed</x:v>
      </x:c>
      <x:c r="D33" s="52" t="str">
        <x:f>IF('Deal_Master_Wide'!$AV$7="","",'Deal_Master_Wide'!$AV$7)</x:f>
        <x:v>Not assessed</x:v>
      </x:c>
      <x:c r="E33" s="50" t="n">
        <x:v>1</x:v>
      </x:c>
      <x:c r="F33" s="52" t="str">
        <x:f>IF(OR($C33="High-confidence innovation-driven",$C33="Medium-confidence innovation-driven"),1,IF($C33="Clear alternative-rationale",0,""))</x:f>
      </x:c>
      <x:c r="G33" s="52" t="str">
        <x:f>IF('Deal_Master_Wide'!$M$7="","",'Deal_Master_Wide'!$M$7)</x:f>
        <x:v>Review</x:v>
      </x:c>
      <x:c r="H33" s="50" t="str">
        <x:v>TriNetX LLC</x:v>
      </x:c>
      <x:c r="I33" s="50" t="str">
        <x:v>Custodix NV</x:v>
      </x:c>
      <x:c r="J33" s="50" t="n">
        <x:v>2019</x:v>
      </x:c>
      <x:c r="K33" s="50" t="n">
        <x:v>0</x:v>
      </x:c>
      <x:c r="L33" s="50" t="n">
        <x:v>2019</x:v>
      </x:c>
      <x:c r="M33" s="50" t="n">
        <x:v>0</x:v>
      </x:c>
      <x:c r="N33" s="50" t="n">
        <x:v>1</x:v>
      </x:c>
      <x:c r="O33" s="52" t="str">
        <x:f>IF($F33="","",$F33*$M33)</x:f>
      </x:c>
      <x:c r="P33" s="54" t="str">
        <x:f>IF(ISBLANK('Deal_Master_Wide'!$BS$7),"",'Deal_Master_Wide'!$BS$7)</x:f>
      </x:c>
      <x:c r="Q33" s="54" t="str">
        <x:f>IF(ISBLANK('Deal_Master_Wide'!$BZ$7),"",'Deal_Master_Wide'!$BZ$7)</x:f>
      </x:c>
      <x:c r="R33" s="54" t="str">
        <x:f>IF(ISBLANK('Deal_Master_Wide'!$CG$7),"",'Deal_Master_Wide'!$CG$7)</x:f>
      </x:c>
      <x:c r="S33" s="54" t="str">
        <x:f>IF(ISBLANK('Deal_Master_Wide'!$CN$7),"",'Deal_Master_Wide'!$CN$7)</x:f>
      </x:c>
      <x:c r="T33" s="54" t="str">
        <x:f>IF(ISBLANK('Deal_Master_Wide'!$CU$7),"",'Deal_Master_Wide'!$CU$7)</x:f>
      </x:c>
      <x:c r="U33" s="54" t="str">
        <x:f>IF(ISBLANK('Deal_Master_Wide'!$DB$7),"",'Deal_Master_Wide'!$DB$7)</x:f>
      </x:c>
      <x:c r="V33" s="56" t="str">
        <x:f>IF(ISBLANK('Deal_Master_Wide'!$DI$7),"",'Deal_Master_Wide'!$DI$7)</x:f>
      </x:c>
      <x:c r="W33" s="56" t="str">
        <x:f>IF(ISBLANK('Deal_Master_Wide'!$DP$7),"",'Deal_Master_Wide'!$DP$7)</x:f>
      </x:c>
      <x:c r="X33" s="56" t="str">
        <x:f>IF(ISBLANK('Deal_Master_Wide'!$DW$7),"",'Deal_Master_Wide'!$DW$7)</x:f>
      </x:c>
      <x:c r="Y33" s="54" t="str">
        <x:f>IF(ISBLANK('Deal_Master_Wide'!$ED$7),"",'Deal_Master_Wide'!$ED$7)</x:f>
      </x:c>
      <x:c r="Z33" s="54" t="str">
        <x:f>IF(ISBLANK('Deal_Master_Wide'!$EK$7),"",'Deal_Master_Wide'!$EK$7)</x:f>
      </x:c>
      <x:c r="AA33" s="52" t="str">
        <x:f>IF(ISBLANK('Deal_Master_Wide'!$AL$7),"",'Deal_Master_Wide'!$AL$7)</x:f>
        <x:v>Unknown</x:v>
      </x:c>
      <x:c r="AB33" s="54" t="str">
        <x:f>IF(ISBLANK('Deal_Master_Wide'!$AF$7),"",'Deal_Master_Wide'!$AF$7)</x:f>
      </x:c>
      <x:c r="AC33" s="52" t="str">
        <x:f>IF(COUNT($P33,$Q33,$R33,$S33,$T33,$U33,$V33,$W33,$X33)=9,"Yes","No")</x:f>
        <x:v>No</x:v>
      </x:c>
      <x:c r="AD33" s="52" t="str">
        <x:f>IF(COUNT($Y33,$Z33)=2,"Yes","No")</x:f>
        <x:v>No</x:v>
      </x:c>
      <x:c r="AE33" s="50" t="str"/>
      <x:c r="AF33" t="str"/>
    </x:row>
    <x:row r="34" ht="20" customHeight="1">
      <x:c r="A34" s="50" t="str">
        <x:v>TRT-0005</x:v>
      </x:c>
      <x:c r="B34" s="50" t="str">
        <x:v>Candidate treatment group</x:v>
      </x:c>
      <x:c r="C34" s="52" t="str">
        <x:f>IF('Deal_Master_Wide'!$AU$7="","",'Deal_Master_Wide'!$AU$7)</x:f>
        <x:v>Not reviewed</x:v>
      </x:c>
      <x:c r="D34" s="52" t="str">
        <x:f>IF('Deal_Master_Wide'!$AV$7="","",'Deal_Master_Wide'!$AV$7)</x:f>
        <x:v>Not assessed</x:v>
      </x:c>
      <x:c r="E34" s="50" t="n">
        <x:v>1</x:v>
      </x:c>
      <x:c r="F34" s="52" t="str">
        <x:f>IF(OR($C34="High-confidence innovation-driven",$C34="Medium-confidence innovation-driven"),1,IF($C34="Clear alternative-rationale",0,""))</x:f>
      </x:c>
      <x:c r="G34" s="52" t="str">
        <x:f>IF('Deal_Master_Wide'!$M$7="","",'Deal_Master_Wide'!$M$7)</x:f>
        <x:v>Review</x:v>
      </x:c>
      <x:c r="H34" s="50" t="str">
        <x:v>TriNetX LLC</x:v>
      </x:c>
      <x:c r="I34" s="50" t="str">
        <x:v>Custodix NV</x:v>
      </x:c>
      <x:c r="J34" s="50" t="n">
        <x:v>2019</x:v>
      </x:c>
      <x:c r="K34" s="50" t="n">
        <x:v>1</x:v>
      </x:c>
      <x:c r="L34" s="50" t="n">
        <x:v>2020</x:v>
      </x:c>
      <x:c r="M34" s="50" t="n">
        <x:v>1</x:v>
      </x:c>
      <x:c r="N34" s="50" t="n">
        <x:v>1</x:v>
      </x:c>
      <x:c r="O34" s="52" t="str">
        <x:f>IF($F34="","",$F34*$M34)</x:f>
      </x:c>
      <x:c r="P34" s="54" t="str">
        <x:f>IF(ISBLANK('Deal_Master_Wide'!$BT$7),"",'Deal_Master_Wide'!$BT$7)</x:f>
      </x:c>
      <x:c r="Q34" s="54" t="str">
        <x:f>IF(ISBLANK('Deal_Master_Wide'!$CA$7),"",'Deal_Master_Wide'!$CA$7)</x:f>
      </x:c>
      <x:c r="R34" s="54" t="str">
        <x:f>IF(ISBLANK('Deal_Master_Wide'!$CH$7),"",'Deal_Master_Wide'!$CH$7)</x:f>
      </x:c>
      <x:c r="S34" s="54" t="str">
        <x:f>IF(ISBLANK('Deal_Master_Wide'!$CO$7),"",'Deal_Master_Wide'!$CO$7)</x:f>
      </x:c>
      <x:c r="T34" s="54" t="str">
        <x:f>IF(ISBLANK('Deal_Master_Wide'!$CV$7),"",'Deal_Master_Wide'!$CV$7)</x:f>
      </x:c>
      <x:c r="U34" s="54" t="str">
        <x:f>IF(ISBLANK('Deal_Master_Wide'!$DC$7),"",'Deal_Master_Wide'!$DC$7)</x:f>
      </x:c>
      <x:c r="V34" s="56" t="str">
        <x:f>IF(ISBLANK('Deal_Master_Wide'!$DJ$7),"",'Deal_Master_Wide'!$DJ$7)</x:f>
      </x:c>
      <x:c r="W34" s="56" t="str">
        <x:f>IF(ISBLANK('Deal_Master_Wide'!$DQ$7),"",'Deal_Master_Wide'!$DQ$7)</x:f>
      </x:c>
      <x:c r="X34" s="56" t="str">
        <x:f>IF(ISBLANK('Deal_Master_Wide'!$DX$7),"",'Deal_Master_Wide'!$DX$7)</x:f>
      </x:c>
      <x:c r="Y34" s="54" t="str">
        <x:f>IF(ISBLANK('Deal_Master_Wide'!$EE$7),"",'Deal_Master_Wide'!$EE$7)</x:f>
      </x:c>
      <x:c r="Z34" s="54" t="str">
        <x:f>IF(ISBLANK('Deal_Master_Wide'!$EL$7),"",'Deal_Master_Wide'!$EL$7)</x:f>
      </x:c>
      <x:c r="AA34" s="52" t="str">
        <x:f>IF(ISBLANK('Deal_Master_Wide'!$AL$7),"",'Deal_Master_Wide'!$AL$7)</x:f>
        <x:v>Unknown</x:v>
      </x:c>
      <x:c r="AB34" s="54" t="str">
        <x:f>IF(ISBLANK('Deal_Master_Wide'!$AF$7),"",'Deal_Master_Wide'!$AF$7)</x:f>
      </x:c>
      <x:c r="AC34" s="52" t="str">
        <x:f>IF(COUNT($P34,$Q34,$R34,$S34,$T34,$U34,$V34,$W34,$X34)=9,"Yes","No")</x:f>
        <x:v>No</x:v>
      </x:c>
      <x:c r="AD34" s="52" t="str">
        <x:f>IF(COUNT($Y34,$Z34)=2,"Yes","No")</x:f>
        <x:v>No</x:v>
      </x:c>
      <x:c r="AE34" s="50" t="str"/>
      <x:c r="AF34" t="str"/>
    </x:row>
    <x:row r="35" ht="20" customHeight="1">
      <x:c r="A35" s="50" t="str">
        <x:v>TRT-0005</x:v>
      </x:c>
      <x:c r="B35" s="50" t="str">
        <x:v>Candidate treatment group</x:v>
      </x:c>
      <x:c r="C35" s="52" t="str">
        <x:f>IF('Deal_Master_Wide'!$AU$7="","",'Deal_Master_Wide'!$AU$7)</x:f>
        <x:v>Not reviewed</x:v>
      </x:c>
      <x:c r="D35" s="52" t="str">
        <x:f>IF('Deal_Master_Wide'!$AV$7="","",'Deal_Master_Wide'!$AV$7)</x:f>
        <x:v>Not assessed</x:v>
      </x:c>
      <x:c r="E35" s="50" t="n">
        <x:v>1</x:v>
      </x:c>
      <x:c r="F35" s="52" t="str">
        <x:f>IF(OR($C35="High-confidence innovation-driven",$C35="Medium-confidence innovation-driven"),1,IF($C35="Clear alternative-rationale",0,""))</x:f>
      </x:c>
      <x:c r="G35" s="52" t="str">
        <x:f>IF('Deal_Master_Wide'!$M$7="","",'Deal_Master_Wide'!$M$7)</x:f>
        <x:v>Review</x:v>
      </x:c>
      <x:c r="H35" s="50" t="str">
        <x:v>TriNetX LLC</x:v>
      </x:c>
      <x:c r="I35" s="50" t="str">
        <x:v>Custodix NV</x:v>
      </x:c>
      <x:c r="J35" s="50" t="n">
        <x:v>2019</x:v>
      </x:c>
      <x:c r="K35" s="50" t="n">
        <x:v>2</x:v>
      </x:c>
      <x:c r="L35" s="50" t="n">
        <x:v>2021</x:v>
      </x:c>
      <x:c r="M35" s="50" t="n">
        <x:v>1</x:v>
      </x:c>
      <x:c r="N35" s="50" t="n">
        <x:v>1</x:v>
      </x:c>
      <x:c r="O35" s="52" t="str">
        <x:f>IF($F35="","",$F35*$M35)</x:f>
      </x:c>
      <x:c r="P35" s="54" t="str">
        <x:f>IF(ISBLANK('Deal_Master_Wide'!$BU$7),"",'Deal_Master_Wide'!$BU$7)</x:f>
      </x:c>
      <x:c r="Q35" s="54" t="str">
        <x:f>IF(ISBLANK('Deal_Master_Wide'!$CB$7),"",'Deal_Master_Wide'!$CB$7)</x:f>
      </x:c>
      <x:c r="R35" s="54" t="str">
        <x:f>IF(ISBLANK('Deal_Master_Wide'!$CI$7),"",'Deal_Master_Wide'!$CI$7)</x:f>
      </x:c>
      <x:c r="S35" s="54" t="str">
        <x:f>IF(ISBLANK('Deal_Master_Wide'!$CP$7),"",'Deal_Master_Wide'!$CP$7)</x:f>
      </x:c>
      <x:c r="T35" s="54" t="str">
        <x:f>IF(ISBLANK('Deal_Master_Wide'!$CW$7),"",'Deal_Master_Wide'!$CW$7)</x:f>
      </x:c>
      <x:c r="U35" s="54" t="str">
        <x:f>IF(ISBLANK('Deal_Master_Wide'!$DD$7),"",'Deal_Master_Wide'!$DD$7)</x:f>
      </x:c>
      <x:c r="V35" s="56" t="str">
        <x:f>IF(ISBLANK('Deal_Master_Wide'!$DK$7),"",'Deal_Master_Wide'!$DK$7)</x:f>
      </x:c>
      <x:c r="W35" s="56" t="str">
        <x:f>IF(ISBLANK('Deal_Master_Wide'!$DR$7),"",'Deal_Master_Wide'!$DR$7)</x:f>
      </x:c>
      <x:c r="X35" s="56" t="str">
        <x:f>IF(ISBLANK('Deal_Master_Wide'!$DY$7),"",'Deal_Master_Wide'!$DY$7)</x:f>
      </x:c>
      <x:c r="Y35" s="54" t="str">
        <x:f>IF(ISBLANK('Deal_Master_Wide'!$EF$7),"",'Deal_Master_Wide'!$EF$7)</x:f>
      </x:c>
      <x:c r="Z35" s="54" t="str">
        <x:f>IF(ISBLANK('Deal_Master_Wide'!$EM$7),"",'Deal_Master_Wide'!$EM$7)</x:f>
      </x:c>
      <x:c r="AA35" s="52" t="str">
        <x:f>IF(ISBLANK('Deal_Master_Wide'!$AL$7),"",'Deal_Master_Wide'!$AL$7)</x:f>
        <x:v>Unknown</x:v>
      </x:c>
      <x:c r="AB35" s="54" t="str">
        <x:f>IF(ISBLANK('Deal_Master_Wide'!$AF$7),"",'Deal_Master_Wide'!$AF$7)</x:f>
      </x:c>
      <x:c r="AC35" s="52" t="str">
        <x:f>IF(COUNT($P35,$Q35,$R35,$S35,$T35,$U35,$V35,$W35,$X35)=9,"Yes","No")</x:f>
        <x:v>No</x:v>
      </x:c>
      <x:c r="AD35" s="52" t="str">
        <x:f>IF(COUNT($Y35,$Z35)=2,"Yes","No")</x:f>
        <x:v>No</x:v>
      </x:c>
      <x:c r="AE35" s="50" t="str"/>
      <x:c r="AF35" t="str"/>
    </x:row>
    <x:row r="36" ht="20" customHeight="1">
      <x:c r="A36" s="50" t="str">
        <x:v>TRT-0005</x:v>
      </x:c>
      <x:c r="B36" s="50" t="str">
        <x:v>Candidate treatment group</x:v>
      </x:c>
      <x:c r="C36" s="52" t="str">
        <x:f>IF('Deal_Master_Wide'!$AU$7="","",'Deal_Master_Wide'!$AU$7)</x:f>
        <x:v>Not reviewed</x:v>
      </x:c>
      <x:c r="D36" s="52" t="str">
        <x:f>IF('Deal_Master_Wide'!$AV$7="","",'Deal_Master_Wide'!$AV$7)</x:f>
        <x:v>Not assessed</x:v>
      </x:c>
      <x:c r="E36" s="50" t="n">
        <x:v>1</x:v>
      </x:c>
      <x:c r="F36" s="52" t="str">
        <x:f>IF(OR($C36="High-confidence innovation-driven",$C36="Medium-confidence innovation-driven"),1,IF($C36="Clear alternative-rationale",0,""))</x:f>
      </x:c>
      <x:c r="G36" s="52" t="str">
        <x:f>IF('Deal_Master_Wide'!$M$7="","",'Deal_Master_Wide'!$M$7)</x:f>
        <x:v>Review</x:v>
      </x:c>
      <x:c r="H36" s="50" t="str">
        <x:v>TriNetX LLC</x:v>
      </x:c>
      <x:c r="I36" s="50" t="str">
        <x:v>Custodix NV</x:v>
      </x:c>
      <x:c r="J36" s="50" t="n">
        <x:v>2019</x:v>
      </x:c>
      <x:c r="K36" s="50" t="n">
        <x:v>3</x:v>
      </x:c>
      <x:c r="L36" s="50" t="n">
        <x:v>2022</x:v>
      </x:c>
      <x:c r="M36" s="50" t="n">
        <x:v>1</x:v>
      </x:c>
      <x:c r="N36" s="50" t="n">
        <x:v>1</x:v>
      </x:c>
      <x:c r="O36" s="52" t="str">
        <x:f>IF($F36="","",$F36*$M36)</x:f>
      </x:c>
      <x:c r="P36" s="54" t="str">
        <x:f>IF(ISBLANK('Deal_Master_Wide'!$BV$7),"",'Deal_Master_Wide'!$BV$7)</x:f>
      </x:c>
      <x:c r="Q36" s="54" t="str">
        <x:f>IF(ISBLANK('Deal_Master_Wide'!$CC$7),"",'Deal_Master_Wide'!$CC$7)</x:f>
      </x:c>
      <x:c r="R36" s="54" t="str">
        <x:f>IF(ISBLANK('Deal_Master_Wide'!$CJ$7),"",'Deal_Master_Wide'!$CJ$7)</x:f>
      </x:c>
      <x:c r="S36" s="54" t="str">
        <x:f>IF(ISBLANK('Deal_Master_Wide'!$CQ$7),"",'Deal_Master_Wide'!$CQ$7)</x:f>
      </x:c>
      <x:c r="T36" s="54" t="str">
        <x:f>IF(ISBLANK('Deal_Master_Wide'!$CX$7),"",'Deal_Master_Wide'!$CX$7)</x:f>
      </x:c>
      <x:c r="U36" s="54" t="str">
        <x:f>IF(ISBLANK('Deal_Master_Wide'!$DE$7),"",'Deal_Master_Wide'!$DE$7)</x:f>
      </x:c>
      <x:c r="V36" s="56" t="str">
        <x:f>IF(ISBLANK('Deal_Master_Wide'!$DL$7),"",'Deal_Master_Wide'!$DL$7)</x:f>
      </x:c>
      <x:c r="W36" s="56" t="str">
        <x:f>IF(ISBLANK('Deal_Master_Wide'!$DS$7),"",'Deal_Master_Wide'!$DS$7)</x:f>
      </x:c>
      <x:c r="X36" s="56" t="str">
        <x:f>IF(ISBLANK('Deal_Master_Wide'!$DZ$7),"",'Deal_Master_Wide'!$DZ$7)</x:f>
      </x:c>
      <x:c r="Y36" s="54" t="str">
        <x:f>IF(ISBLANK('Deal_Master_Wide'!$EG$7),"",'Deal_Master_Wide'!$EG$7)</x:f>
      </x:c>
      <x:c r="Z36" s="54" t="str">
        <x:f>IF(ISBLANK('Deal_Master_Wide'!$EN$7),"",'Deal_Master_Wide'!$EN$7)</x:f>
      </x:c>
      <x:c r="AA36" s="52" t="str">
        <x:f>IF(ISBLANK('Deal_Master_Wide'!$AL$7),"",'Deal_Master_Wide'!$AL$7)</x:f>
        <x:v>Unknown</x:v>
      </x:c>
      <x:c r="AB36" s="54" t="str">
        <x:f>IF(ISBLANK('Deal_Master_Wide'!$AF$7),"",'Deal_Master_Wide'!$AF$7)</x:f>
      </x:c>
      <x:c r="AC36" s="52" t="str">
        <x:f>IF(COUNT($P36,$Q36,$R36,$S36,$T36,$U36,$V36,$W36,$X36)=9,"Yes","No")</x:f>
        <x:v>No</x:v>
      </x:c>
      <x:c r="AD36" s="52" t="str">
        <x:f>IF(COUNT($Y36,$Z36)=2,"Yes","No")</x:f>
        <x:v>No</x:v>
      </x:c>
      <x:c r="AE36" s="50" t="str"/>
      <x:c r="AF36" t="str"/>
    </x:row>
    <x:row r="37" ht="20" customHeight="1">
      <x:c r="A37" s="50" t="str">
        <x:v>TRT-0006</x:v>
      </x:c>
      <x:c r="B37" s="50" t="str">
        <x:v>Candidate treatment group</x:v>
      </x:c>
      <x:c r="C37" s="52" t="str">
        <x:f>IF('Deal_Master_Wide'!$AU$8="","",'Deal_Master_Wide'!$AU$8)</x:f>
        <x:v>Not reviewed</x:v>
      </x:c>
      <x:c r="D37" s="52" t="str">
        <x:f>IF('Deal_Master_Wide'!$AV$8="","",'Deal_Master_Wide'!$AV$8)</x:f>
        <x:v>Not assessed</x:v>
      </x:c>
      <x:c r="E37" s="50" t="n">
        <x:v>1</x:v>
      </x:c>
      <x:c r="F37" s="52" t="str">
        <x:f>IF(OR($C37="High-confidence innovation-driven",$C37="Medium-confidence innovation-driven"),1,IF($C37="Clear alternative-rationale",0,""))</x:f>
      </x:c>
      <x:c r="G37" s="52" t="str">
        <x:f>IF('Deal_Master_Wide'!$M$8="","",'Deal_Master_Wide'!$M$8)</x:f>
        <x:v>Review</x:v>
      </x:c>
      <x:c r="H37" s="50" t="str">
        <x:v>Bravo Bidco Ltd</x:v>
      </x:c>
      <x:c r="I37" s="50" t="str">
        <x:v>BTG Ltd</x:v>
      </x:c>
      <x:c r="J37" s="50" t="n">
        <x:v>2019</x:v>
      </x:c>
      <x:c r="K37" s="50" t="n">
        <x:v>-3</x:v>
      </x:c>
      <x:c r="L37" s="50" t="n">
        <x:v>2016</x:v>
      </x:c>
      <x:c r="M37" s="50" t="n">
        <x:v>0</x:v>
      </x:c>
      <x:c r="N37" s="50" t="n">
        <x:v>0</x:v>
      </x:c>
      <x:c r="O37" s="52" t="str">
        <x:f>IF($F37="","",$F37*$M37)</x:f>
      </x:c>
      <x:c r="P37" s="54" t="str">
        <x:f>IF(ISBLANK('Deal_Master_Wide'!$BP$8),"",'Deal_Master_Wide'!$BP$8)</x:f>
      </x:c>
      <x:c r="Q37" s="54" t="str">
        <x:f>IF(ISBLANK('Deal_Master_Wide'!$BW$8),"",'Deal_Master_Wide'!$BW$8)</x:f>
      </x:c>
      <x:c r="R37" s="54" t="str">
        <x:f>IF(ISBLANK('Deal_Master_Wide'!$CD$8),"",'Deal_Master_Wide'!$CD$8)</x:f>
      </x:c>
      <x:c r="S37" s="54" t="str">
        <x:f>IF(ISBLANK('Deal_Master_Wide'!$CK$8),"",'Deal_Master_Wide'!$CK$8)</x:f>
      </x:c>
      <x:c r="T37" s="54" t="str">
        <x:f>IF(ISBLANK('Deal_Master_Wide'!$CR$8),"",'Deal_Master_Wide'!$CR$8)</x:f>
      </x:c>
      <x:c r="U37" s="54" t="str">
        <x:f>IF(ISBLANK('Deal_Master_Wide'!$CY$8),"",'Deal_Master_Wide'!$CY$8)</x:f>
      </x:c>
      <x:c r="V37" s="56" t="str">
        <x:f>IF(ISBLANK('Deal_Master_Wide'!$DF$8),"",'Deal_Master_Wide'!$DF$8)</x:f>
      </x:c>
      <x:c r="W37" s="56" t="str">
        <x:f>IF(ISBLANK('Deal_Master_Wide'!$DM$8),"",'Deal_Master_Wide'!$DM$8)</x:f>
      </x:c>
      <x:c r="X37" s="56" t="str">
        <x:f>IF(ISBLANK('Deal_Master_Wide'!$DT$8),"",'Deal_Master_Wide'!$DT$8)</x:f>
      </x:c>
      <x:c r="Y37" s="54" t="str">
        <x:f>IF(ISBLANK('Deal_Master_Wide'!$EA$8),"",'Deal_Master_Wide'!$EA$8)</x:f>
      </x:c>
      <x:c r="Z37" s="54" t="str">
        <x:f>IF(ISBLANK('Deal_Master_Wide'!$EH$8),"",'Deal_Master_Wide'!$EH$8)</x:f>
      </x:c>
      <x:c r="AA37" s="52" t="str">
        <x:f>IF(ISBLANK('Deal_Master_Wide'!$AL$8),"",'Deal_Master_Wide'!$AL$8)</x:f>
        <x:v>Unknown</x:v>
      </x:c>
      <x:c r="AB37" s="54" t="n">
        <x:f>IF(ISBLANK('Deal_Master_Wide'!$AF$8),"",'Deal_Master_Wide'!$AF$8)</x:f>
        <x:v>4239</x:v>
      </x:c>
      <x:c r="AC37" s="52" t="str">
        <x:f>IF(COUNT($P37,$Q37,$R37,$S37,$T37,$U37,$V37,$W37,$X37)=9,"Yes","No")</x:f>
        <x:v>No</x:v>
      </x:c>
      <x:c r="AD37" s="52" t="str">
        <x:f>IF(COUNT($Y37,$Z37)=2,"Yes","No")</x:f>
        <x:v>No</x:v>
      </x:c>
      <x:c r="AE37" s="50" t="str"/>
      <x:c r="AF37" t="str"/>
    </x:row>
    <x:row r="38" ht="20" customHeight="1">
      <x:c r="A38" s="50" t="str">
        <x:v>TRT-0006</x:v>
      </x:c>
      <x:c r="B38" s="50" t="str">
        <x:v>Candidate treatment group</x:v>
      </x:c>
      <x:c r="C38" s="52" t="str">
        <x:f>IF('Deal_Master_Wide'!$AU$8="","",'Deal_Master_Wide'!$AU$8)</x:f>
        <x:v>Not reviewed</x:v>
      </x:c>
      <x:c r="D38" s="52" t="str">
        <x:f>IF('Deal_Master_Wide'!$AV$8="","",'Deal_Master_Wide'!$AV$8)</x:f>
        <x:v>Not assessed</x:v>
      </x:c>
      <x:c r="E38" s="50" t="n">
        <x:v>1</x:v>
      </x:c>
      <x:c r="F38" s="52" t="str">
        <x:f>IF(OR($C38="High-confidence innovation-driven",$C38="Medium-confidence innovation-driven"),1,IF($C38="Clear alternative-rationale",0,""))</x:f>
      </x:c>
      <x:c r="G38" s="52" t="str">
        <x:f>IF('Deal_Master_Wide'!$M$8="","",'Deal_Master_Wide'!$M$8)</x:f>
        <x:v>Review</x:v>
      </x:c>
      <x:c r="H38" s="50" t="str">
        <x:v>Bravo Bidco Ltd</x:v>
      </x:c>
      <x:c r="I38" s="50" t="str">
        <x:v>BTG Ltd</x:v>
      </x:c>
      <x:c r="J38" s="50" t="n">
        <x:v>2019</x:v>
      </x:c>
      <x:c r="K38" s="50" t="n">
        <x:v>-2</x:v>
      </x:c>
      <x:c r="L38" s="50" t="n">
        <x:v>2017</x:v>
      </x:c>
      <x:c r="M38" s="50" t="n">
        <x:v>0</x:v>
      </x:c>
      <x:c r="N38" s="50" t="n">
        <x:v>0</x:v>
      </x:c>
      <x:c r="O38" s="52" t="str">
        <x:f>IF($F38="","",$F38*$M38)</x:f>
      </x:c>
      <x:c r="P38" s="54" t="str">
        <x:f>IF(ISBLANK('Deal_Master_Wide'!$BQ$8),"",'Deal_Master_Wide'!$BQ$8)</x:f>
      </x:c>
      <x:c r="Q38" s="54" t="str">
        <x:f>IF(ISBLANK('Deal_Master_Wide'!$BX$8),"",'Deal_Master_Wide'!$BX$8)</x:f>
      </x:c>
      <x:c r="R38" s="54" t="str">
        <x:f>IF(ISBLANK('Deal_Master_Wide'!$CE$8),"",'Deal_Master_Wide'!$CE$8)</x:f>
      </x:c>
      <x:c r="S38" s="54" t="str">
        <x:f>IF(ISBLANK('Deal_Master_Wide'!$CL$8),"",'Deal_Master_Wide'!$CL$8)</x:f>
      </x:c>
      <x:c r="T38" s="54" t="str">
        <x:f>IF(ISBLANK('Deal_Master_Wide'!$CS$8),"",'Deal_Master_Wide'!$CS$8)</x:f>
      </x:c>
      <x:c r="U38" s="54" t="str">
        <x:f>IF(ISBLANK('Deal_Master_Wide'!$CZ$8),"",'Deal_Master_Wide'!$CZ$8)</x:f>
      </x:c>
      <x:c r="V38" s="56" t="str">
        <x:f>IF(ISBLANK('Deal_Master_Wide'!$DG$8),"",'Deal_Master_Wide'!$DG$8)</x:f>
      </x:c>
      <x:c r="W38" s="56" t="str">
        <x:f>IF(ISBLANK('Deal_Master_Wide'!$DN$8),"",'Deal_Master_Wide'!$DN$8)</x:f>
      </x:c>
      <x:c r="X38" s="56" t="str">
        <x:f>IF(ISBLANK('Deal_Master_Wide'!$DU$8),"",'Deal_Master_Wide'!$DU$8)</x:f>
      </x:c>
      <x:c r="Y38" s="54" t="str">
        <x:f>IF(ISBLANK('Deal_Master_Wide'!$EB$8),"",'Deal_Master_Wide'!$EB$8)</x:f>
      </x:c>
      <x:c r="Z38" s="54" t="str">
        <x:f>IF(ISBLANK('Deal_Master_Wide'!$EI$8),"",'Deal_Master_Wide'!$EI$8)</x:f>
      </x:c>
      <x:c r="AA38" s="52" t="str">
        <x:f>IF(ISBLANK('Deal_Master_Wide'!$AL$8),"",'Deal_Master_Wide'!$AL$8)</x:f>
        <x:v>Unknown</x:v>
      </x:c>
      <x:c r="AB38" s="54" t="n">
        <x:f>IF(ISBLANK('Deal_Master_Wide'!$AF$8),"",'Deal_Master_Wide'!$AF$8)</x:f>
        <x:v>4239</x:v>
      </x:c>
      <x:c r="AC38" s="52" t="str">
        <x:f>IF(COUNT($P38,$Q38,$R38,$S38,$T38,$U38,$V38,$W38,$X38)=9,"Yes","No")</x:f>
        <x:v>No</x:v>
      </x:c>
      <x:c r="AD38" s="52" t="str">
        <x:f>IF(COUNT($Y38,$Z38)=2,"Yes","No")</x:f>
        <x:v>No</x:v>
      </x:c>
      <x:c r="AE38" s="50" t="str"/>
      <x:c r="AF38" t="str"/>
    </x:row>
    <x:row r="39" ht="20" customHeight="1">
      <x:c r="A39" s="50" t="str">
        <x:v>TRT-0006</x:v>
      </x:c>
      <x:c r="B39" s="50" t="str">
        <x:v>Candidate treatment group</x:v>
      </x:c>
      <x:c r="C39" s="52" t="str">
        <x:f>IF('Deal_Master_Wide'!$AU$8="","",'Deal_Master_Wide'!$AU$8)</x:f>
        <x:v>Not reviewed</x:v>
      </x:c>
      <x:c r="D39" s="52" t="str">
        <x:f>IF('Deal_Master_Wide'!$AV$8="","",'Deal_Master_Wide'!$AV$8)</x:f>
        <x:v>Not assessed</x:v>
      </x:c>
      <x:c r="E39" s="50" t="n">
        <x:v>1</x:v>
      </x:c>
      <x:c r="F39" s="52" t="str">
        <x:f>IF(OR($C39="High-confidence innovation-driven",$C39="Medium-confidence innovation-driven"),1,IF($C39="Clear alternative-rationale",0,""))</x:f>
      </x:c>
      <x:c r="G39" s="52" t="str">
        <x:f>IF('Deal_Master_Wide'!$M$8="","",'Deal_Master_Wide'!$M$8)</x:f>
        <x:v>Review</x:v>
      </x:c>
      <x:c r="H39" s="50" t="str">
        <x:v>Bravo Bidco Ltd</x:v>
      </x:c>
      <x:c r="I39" s="50" t="str">
        <x:v>BTG Ltd</x:v>
      </x:c>
      <x:c r="J39" s="50" t="n">
        <x:v>2019</x:v>
      </x:c>
      <x:c r="K39" s="50" t="n">
        <x:v>-1</x:v>
      </x:c>
      <x:c r="L39" s="50" t="n">
        <x:v>2018</x:v>
      </x:c>
      <x:c r="M39" s="50" t="n">
        <x:v>0</x:v>
      </x:c>
      <x:c r="N39" s="50" t="n">
        <x:v>0</x:v>
      </x:c>
      <x:c r="O39" s="52" t="str">
        <x:f>IF($F39="","",$F39*$M39)</x:f>
      </x:c>
      <x:c r="P39" s="54" t="str">
        <x:f>IF(ISBLANK('Deal_Master_Wide'!$BR$8),"",'Deal_Master_Wide'!$BR$8)</x:f>
      </x:c>
      <x:c r="Q39" s="54" t="str">
        <x:f>IF(ISBLANK('Deal_Master_Wide'!$BY$8),"",'Deal_Master_Wide'!$BY$8)</x:f>
      </x:c>
      <x:c r="R39" s="54" t="str">
        <x:f>IF(ISBLANK('Deal_Master_Wide'!$CF$8),"",'Deal_Master_Wide'!$CF$8)</x:f>
      </x:c>
      <x:c r="S39" s="54" t="str">
        <x:f>IF(ISBLANK('Deal_Master_Wide'!$CM$8),"",'Deal_Master_Wide'!$CM$8)</x:f>
      </x:c>
      <x:c r="T39" s="54" t="str">
        <x:f>IF(ISBLANK('Deal_Master_Wide'!$CT$8),"",'Deal_Master_Wide'!$CT$8)</x:f>
      </x:c>
      <x:c r="U39" s="54" t="str">
        <x:f>IF(ISBLANK('Deal_Master_Wide'!$DA$8),"",'Deal_Master_Wide'!$DA$8)</x:f>
      </x:c>
      <x:c r="V39" s="56" t="str">
        <x:f>IF(ISBLANK('Deal_Master_Wide'!$DH$8),"",'Deal_Master_Wide'!$DH$8)</x:f>
      </x:c>
      <x:c r="W39" s="56" t="str">
        <x:f>IF(ISBLANK('Deal_Master_Wide'!$DO$8),"",'Deal_Master_Wide'!$DO$8)</x:f>
      </x:c>
      <x:c r="X39" s="56" t="str">
        <x:f>IF(ISBLANK('Deal_Master_Wide'!$DV$8),"",'Deal_Master_Wide'!$DV$8)</x:f>
      </x:c>
      <x:c r="Y39" s="54" t="str">
        <x:f>IF(ISBLANK('Deal_Master_Wide'!$EC$8),"",'Deal_Master_Wide'!$EC$8)</x:f>
      </x:c>
      <x:c r="Z39" s="54" t="str">
        <x:f>IF(ISBLANK('Deal_Master_Wide'!$EJ$8),"",'Deal_Master_Wide'!$EJ$8)</x:f>
      </x:c>
      <x:c r="AA39" s="52" t="str">
        <x:f>IF(ISBLANK('Deal_Master_Wide'!$AL$8),"",'Deal_Master_Wide'!$AL$8)</x:f>
        <x:v>Unknown</x:v>
      </x:c>
      <x:c r="AB39" s="54" t="n">
        <x:f>IF(ISBLANK('Deal_Master_Wide'!$AF$8),"",'Deal_Master_Wide'!$AF$8)</x:f>
        <x:v>4239</x:v>
      </x:c>
      <x:c r="AC39" s="52" t="str">
        <x:f>IF(COUNT($P39,$Q39,$R39,$S39,$T39,$U39,$V39,$W39,$X39)=9,"Yes","No")</x:f>
        <x:v>No</x:v>
      </x:c>
      <x:c r="AD39" s="52" t="str">
        <x:f>IF(COUNT($Y39,$Z39)=2,"Yes","No")</x:f>
        <x:v>No</x:v>
      </x:c>
      <x:c r="AE39" s="50" t="str"/>
      <x:c r="AF39" t="str"/>
    </x:row>
    <x:row r="40" ht="20" customHeight="1">
      <x:c r="A40" s="50" t="str">
        <x:v>TRT-0006</x:v>
      </x:c>
      <x:c r="B40" s="50" t="str">
        <x:v>Candidate treatment group</x:v>
      </x:c>
      <x:c r="C40" s="52" t="str">
        <x:f>IF('Deal_Master_Wide'!$AU$8="","",'Deal_Master_Wide'!$AU$8)</x:f>
        <x:v>Not reviewed</x:v>
      </x:c>
      <x:c r="D40" s="52" t="str">
        <x:f>IF('Deal_Master_Wide'!$AV$8="","",'Deal_Master_Wide'!$AV$8)</x:f>
        <x:v>Not assessed</x:v>
      </x:c>
      <x:c r="E40" s="50" t="n">
        <x:v>1</x:v>
      </x:c>
      <x:c r="F40" s="52" t="str">
        <x:f>IF(OR($C40="High-confidence innovation-driven",$C40="Medium-confidence innovation-driven"),1,IF($C40="Clear alternative-rationale",0,""))</x:f>
      </x:c>
      <x:c r="G40" s="52" t="str">
        <x:f>IF('Deal_Master_Wide'!$M$8="","",'Deal_Master_Wide'!$M$8)</x:f>
        <x:v>Review</x:v>
      </x:c>
      <x:c r="H40" s="50" t="str">
        <x:v>Bravo Bidco Ltd</x:v>
      </x:c>
      <x:c r="I40" s="50" t="str">
        <x:v>BTG Ltd</x:v>
      </x:c>
      <x:c r="J40" s="50" t="n">
        <x:v>2019</x:v>
      </x:c>
      <x:c r="K40" s="50" t="n">
        <x:v>0</x:v>
      </x:c>
      <x:c r="L40" s="50" t="n">
        <x:v>2019</x:v>
      </x:c>
      <x:c r="M40" s="50" t="n">
        <x:v>0</x:v>
      </x:c>
      <x:c r="N40" s="50" t="n">
        <x:v>1</x:v>
      </x:c>
      <x:c r="O40" s="52" t="str">
        <x:f>IF($F40="","",$F40*$M40)</x:f>
      </x:c>
      <x:c r="P40" s="54" t="str">
        <x:f>IF(ISBLANK('Deal_Master_Wide'!$BS$8),"",'Deal_Master_Wide'!$BS$8)</x:f>
      </x:c>
      <x:c r="Q40" s="54" t="str">
        <x:f>IF(ISBLANK('Deal_Master_Wide'!$BZ$8),"",'Deal_Master_Wide'!$BZ$8)</x:f>
      </x:c>
      <x:c r="R40" s="54" t="str">
        <x:f>IF(ISBLANK('Deal_Master_Wide'!$CG$8),"",'Deal_Master_Wide'!$CG$8)</x:f>
      </x:c>
      <x:c r="S40" s="54" t="str">
        <x:f>IF(ISBLANK('Deal_Master_Wide'!$CN$8),"",'Deal_Master_Wide'!$CN$8)</x:f>
      </x:c>
      <x:c r="T40" s="54" t="str">
        <x:f>IF(ISBLANK('Deal_Master_Wide'!$CU$8),"",'Deal_Master_Wide'!$CU$8)</x:f>
      </x:c>
      <x:c r="U40" s="54" t="str">
        <x:f>IF(ISBLANK('Deal_Master_Wide'!$DB$8),"",'Deal_Master_Wide'!$DB$8)</x:f>
      </x:c>
      <x:c r="V40" s="56" t="str">
        <x:f>IF(ISBLANK('Deal_Master_Wide'!$DI$8),"",'Deal_Master_Wide'!$DI$8)</x:f>
      </x:c>
      <x:c r="W40" s="56" t="str">
        <x:f>IF(ISBLANK('Deal_Master_Wide'!$DP$8),"",'Deal_Master_Wide'!$DP$8)</x:f>
      </x:c>
      <x:c r="X40" s="56" t="str">
        <x:f>IF(ISBLANK('Deal_Master_Wide'!$DW$8),"",'Deal_Master_Wide'!$DW$8)</x:f>
      </x:c>
      <x:c r="Y40" s="54" t="str">
        <x:f>IF(ISBLANK('Deal_Master_Wide'!$ED$8),"",'Deal_Master_Wide'!$ED$8)</x:f>
      </x:c>
      <x:c r="Z40" s="54" t="str">
        <x:f>IF(ISBLANK('Deal_Master_Wide'!$EK$8),"",'Deal_Master_Wide'!$EK$8)</x:f>
      </x:c>
      <x:c r="AA40" s="52" t="str">
        <x:f>IF(ISBLANK('Deal_Master_Wide'!$AL$8),"",'Deal_Master_Wide'!$AL$8)</x:f>
        <x:v>Unknown</x:v>
      </x:c>
      <x:c r="AB40" s="54" t="n">
        <x:f>IF(ISBLANK('Deal_Master_Wide'!$AF$8),"",'Deal_Master_Wide'!$AF$8)</x:f>
        <x:v>4239</x:v>
      </x:c>
      <x:c r="AC40" s="52" t="str">
        <x:f>IF(COUNT($P40,$Q40,$R40,$S40,$T40,$U40,$V40,$W40,$X40)=9,"Yes","No")</x:f>
        <x:v>No</x:v>
      </x:c>
      <x:c r="AD40" s="52" t="str">
        <x:f>IF(COUNT($Y40,$Z40)=2,"Yes","No")</x:f>
        <x:v>No</x:v>
      </x:c>
      <x:c r="AE40" s="50" t="str"/>
      <x:c r="AF40" t="str"/>
    </x:row>
    <x:row r="41" ht="20" customHeight="1">
      <x:c r="A41" s="50" t="str">
        <x:v>TRT-0006</x:v>
      </x:c>
      <x:c r="B41" s="50" t="str">
        <x:v>Candidate treatment group</x:v>
      </x:c>
      <x:c r="C41" s="52" t="str">
        <x:f>IF('Deal_Master_Wide'!$AU$8="","",'Deal_Master_Wide'!$AU$8)</x:f>
        <x:v>Not reviewed</x:v>
      </x:c>
      <x:c r="D41" s="52" t="str">
        <x:f>IF('Deal_Master_Wide'!$AV$8="","",'Deal_Master_Wide'!$AV$8)</x:f>
        <x:v>Not assessed</x:v>
      </x:c>
      <x:c r="E41" s="50" t="n">
        <x:v>1</x:v>
      </x:c>
      <x:c r="F41" s="52" t="str">
        <x:f>IF(OR($C41="High-confidence innovation-driven",$C41="Medium-confidence innovation-driven"),1,IF($C41="Clear alternative-rationale",0,""))</x:f>
      </x:c>
      <x:c r="G41" s="52" t="str">
        <x:f>IF('Deal_Master_Wide'!$M$8="","",'Deal_Master_Wide'!$M$8)</x:f>
        <x:v>Review</x:v>
      </x:c>
      <x:c r="H41" s="50" t="str">
        <x:v>Bravo Bidco Ltd</x:v>
      </x:c>
      <x:c r="I41" s="50" t="str">
        <x:v>BTG Ltd</x:v>
      </x:c>
      <x:c r="J41" s="50" t="n">
        <x:v>2019</x:v>
      </x:c>
      <x:c r="K41" s="50" t="n">
        <x:v>1</x:v>
      </x:c>
      <x:c r="L41" s="50" t="n">
        <x:v>2020</x:v>
      </x:c>
      <x:c r="M41" s="50" t="n">
        <x:v>1</x:v>
      </x:c>
      <x:c r="N41" s="50" t="n">
        <x:v>1</x:v>
      </x:c>
      <x:c r="O41" s="52" t="str">
        <x:f>IF($F41="","",$F41*$M41)</x:f>
      </x:c>
      <x:c r="P41" s="54" t="str">
        <x:f>IF(ISBLANK('Deal_Master_Wide'!$BT$8),"",'Deal_Master_Wide'!$BT$8)</x:f>
      </x:c>
      <x:c r="Q41" s="54" t="str">
        <x:f>IF(ISBLANK('Deal_Master_Wide'!$CA$8),"",'Deal_Master_Wide'!$CA$8)</x:f>
      </x:c>
      <x:c r="R41" s="54" t="str">
        <x:f>IF(ISBLANK('Deal_Master_Wide'!$CH$8),"",'Deal_Master_Wide'!$CH$8)</x:f>
      </x:c>
      <x:c r="S41" s="54" t="str">
        <x:f>IF(ISBLANK('Deal_Master_Wide'!$CO$8),"",'Deal_Master_Wide'!$CO$8)</x:f>
      </x:c>
      <x:c r="T41" s="54" t="str">
        <x:f>IF(ISBLANK('Deal_Master_Wide'!$CV$8),"",'Deal_Master_Wide'!$CV$8)</x:f>
      </x:c>
      <x:c r="U41" s="54" t="str">
        <x:f>IF(ISBLANK('Deal_Master_Wide'!$DC$8),"",'Deal_Master_Wide'!$DC$8)</x:f>
      </x:c>
      <x:c r="V41" s="56" t="str">
        <x:f>IF(ISBLANK('Deal_Master_Wide'!$DJ$8),"",'Deal_Master_Wide'!$DJ$8)</x:f>
      </x:c>
      <x:c r="W41" s="56" t="str">
        <x:f>IF(ISBLANK('Deal_Master_Wide'!$DQ$8),"",'Deal_Master_Wide'!$DQ$8)</x:f>
      </x:c>
      <x:c r="X41" s="56" t="str">
        <x:f>IF(ISBLANK('Deal_Master_Wide'!$DX$8),"",'Deal_Master_Wide'!$DX$8)</x:f>
      </x:c>
      <x:c r="Y41" s="54" t="str">
        <x:f>IF(ISBLANK('Deal_Master_Wide'!$EE$8),"",'Deal_Master_Wide'!$EE$8)</x:f>
      </x:c>
      <x:c r="Z41" s="54" t="str">
        <x:f>IF(ISBLANK('Deal_Master_Wide'!$EL$8),"",'Deal_Master_Wide'!$EL$8)</x:f>
      </x:c>
      <x:c r="AA41" s="52" t="str">
        <x:f>IF(ISBLANK('Deal_Master_Wide'!$AL$8),"",'Deal_Master_Wide'!$AL$8)</x:f>
        <x:v>Unknown</x:v>
      </x:c>
      <x:c r="AB41" s="54" t="n">
        <x:f>IF(ISBLANK('Deal_Master_Wide'!$AF$8),"",'Deal_Master_Wide'!$AF$8)</x:f>
        <x:v>4239</x:v>
      </x:c>
      <x:c r="AC41" s="52" t="str">
        <x:f>IF(COUNT($P41,$Q41,$R41,$S41,$T41,$U41,$V41,$W41,$X41)=9,"Yes","No")</x:f>
        <x:v>No</x:v>
      </x:c>
      <x:c r="AD41" s="52" t="str">
        <x:f>IF(COUNT($Y41,$Z41)=2,"Yes","No")</x:f>
        <x:v>No</x:v>
      </x:c>
      <x:c r="AE41" s="50" t="str"/>
      <x:c r="AF41" t="str"/>
    </x:row>
    <x:row r="42" ht="20" customHeight="1">
      <x:c r="A42" s="50" t="str">
        <x:v>TRT-0006</x:v>
      </x:c>
      <x:c r="B42" s="50" t="str">
        <x:v>Candidate treatment group</x:v>
      </x:c>
      <x:c r="C42" s="52" t="str">
        <x:f>IF('Deal_Master_Wide'!$AU$8="","",'Deal_Master_Wide'!$AU$8)</x:f>
        <x:v>Not reviewed</x:v>
      </x:c>
      <x:c r="D42" s="52" t="str">
        <x:f>IF('Deal_Master_Wide'!$AV$8="","",'Deal_Master_Wide'!$AV$8)</x:f>
        <x:v>Not assessed</x:v>
      </x:c>
      <x:c r="E42" s="50" t="n">
        <x:v>1</x:v>
      </x:c>
      <x:c r="F42" s="52" t="str">
        <x:f>IF(OR($C42="High-confidence innovation-driven",$C42="Medium-confidence innovation-driven"),1,IF($C42="Clear alternative-rationale",0,""))</x:f>
      </x:c>
      <x:c r="G42" s="52" t="str">
        <x:f>IF('Deal_Master_Wide'!$M$8="","",'Deal_Master_Wide'!$M$8)</x:f>
        <x:v>Review</x:v>
      </x:c>
      <x:c r="H42" s="50" t="str">
        <x:v>Bravo Bidco Ltd</x:v>
      </x:c>
      <x:c r="I42" s="50" t="str">
        <x:v>BTG Ltd</x:v>
      </x:c>
      <x:c r="J42" s="50" t="n">
        <x:v>2019</x:v>
      </x:c>
      <x:c r="K42" s="50" t="n">
        <x:v>2</x:v>
      </x:c>
      <x:c r="L42" s="50" t="n">
        <x:v>2021</x:v>
      </x:c>
      <x:c r="M42" s="50" t="n">
        <x:v>1</x:v>
      </x:c>
      <x:c r="N42" s="50" t="n">
        <x:v>1</x:v>
      </x:c>
      <x:c r="O42" s="52" t="str">
        <x:f>IF($F42="","",$F42*$M42)</x:f>
      </x:c>
      <x:c r="P42" s="54" t="str">
        <x:f>IF(ISBLANK('Deal_Master_Wide'!$BU$8),"",'Deal_Master_Wide'!$BU$8)</x:f>
      </x:c>
      <x:c r="Q42" s="54" t="str">
        <x:f>IF(ISBLANK('Deal_Master_Wide'!$CB$8),"",'Deal_Master_Wide'!$CB$8)</x:f>
      </x:c>
      <x:c r="R42" s="54" t="str">
        <x:f>IF(ISBLANK('Deal_Master_Wide'!$CI$8),"",'Deal_Master_Wide'!$CI$8)</x:f>
      </x:c>
      <x:c r="S42" s="54" t="str">
        <x:f>IF(ISBLANK('Deal_Master_Wide'!$CP$8),"",'Deal_Master_Wide'!$CP$8)</x:f>
      </x:c>
      <x:c r="T42" s="54" t="str">
        <x:f>IF(ISBLANK('Deal_Master_Wide'!$CW$8),"",'Deal_Master_Wide'!$CW$8)</x:f>
      </x:c>
      <x:c r="U42" s="54" t="str">
        <x:f>IF(ISBLANK('Deal_Master_Wide'!$DD$8),"",'Deal_Master_Wide'!$DD$8)</x:f>
      </x:c>
      <x:c r="V42" s="56" t="str">
        <x:f>IF(ISBLANK('Deal_Master_Wide'!$DK$8),"",'Deal_Master_Wide'!$DK$8)</x:f>
      </x:c>
      <x:c r="W42" s="56" t="str">
        <x:f>IF(ISBLANK('Deal_Master_Wide'!$DR$8),"",'Deal_Master_Wide'!$DR$8)</x:f>
      </x:c>
      <x:c r="X42" s="56" t="str">
        <x:f>IF(ISBLANK('Deal_Master_Wide'!$DY$8),"",'Deal_Master_Wide'!$DY$8)</x:f>
      </x:c>
      <x:c r="Y42" s="54" t="str">
        <x:f>IF(ISBLANK('Deal_Master_Wide'!$EF$8),"",'Deal_Master_Wide'!$EF$8)</x:f>
      </x:c>
      <x:c r="Z42" s="54" t="str">
        <x:f>IF(ISBLANK('Deal_Master_Wide'!$EM$8),"",'Deal_Master_Wide'!$EM$8)</x:f>
      </x:c>
      <x:c r="AA42" s="52" t="str">
        <x:f>IF(ISBLANK('Deal_Master_Wide'!$AL$8),"",'Deal_Master_Wide'!$AL$8)</x:f>
        <x:v>Unknown</x:v>
      </x:c>
      <x:c r="AB42" s="54" t="n">
        <x:f>IF(ISBLANK('Deal_Master_Wide'!$AF$8),"",'Deal_Master_Wide'!$AF$8)</x:f>
        <x:v>4239</x:v>
      </x:c>
      <x:c r="AC42" s="52" t="str">
        <x:f>IF(COUNT($P42,$Q42,$R42,$S42,$T42,$U42,$V42,$W42,$X42)=9,"Yes","No")</x:f>
        <x:v>No</x:v>
      </x:c>
      <x:c r="AD42" s="52" t="str">
        <x:f>IF(COUNT($Y42,$Z42)=2,"Yes","No")</x:f>
        <x:v>No</x:v>
      </x:c>
      <x:c r="AE42" s="50" t="str"/>
      <x:c r="AF42" t="str"/>
    </x:row>
    <x:row r="43" ht="20" customHeight="1">
      <x:c r="A43" s="50" t="str">
        <x:v>TRT-0006</x:v>
      </x:c>
      <x:c r="B43" s="50" t="str">
        <x:v>Candidate treatment group</x:v>
      </x:c>
      <x:c r="C43" s="52" t="str">
        <x:f>IF('Deal_Master_Wide'!$AU$8="","",'Deal_Master_Wide'!$AU$8)</x:f>
        <x:v>Not reviewed</x:v>
      </x:c>
      <x:c r="D43" s="52" t="str">
        <x:f>IF('Deal_Master_Wide'!$AV$8="","",'Deal_Master_Wide'!$AV$8)</x:f>
        <x:v>Not assessed</x:v>
      </x:c>
      <x:c r="E43" s="50" t="n">
        <x:v>1</x:v>
      </x:c>
      <x:c r="F43" s="52" t="str">
        <x:f>IF(OR($C43="High-confidence innovation-driven",$C43="Medium-confidence innovation-driven"),1,IF($C43="Clear alternative-rationale",0,""))</x:f>
      </x:c>
      <x:c r="G43" s="52" t="str">
        <x:f>IF('Deal_Master_Wide'!$M$8="","",'Deal_Master_Wide'!$M$8)</x:f>
        <x:v>Review</x:v>
      </x:c>
      <x:c r="H43" s="50" t="str">
        <x:v>Bravo Bidco Ltd</x:v>
      </x:c>
      <x:c r="I43" s="50" t="str">
        <x:v>BTG Ltd</x:v>
      </x:c>
      <x:c r="J43" s="50" t="n">
        <x:v>2019</x:v>
      </x:c>
      <x:c r="K43" s="50" t="n">
        <x:v>3</x:v>
      </x:c>
      <x:c r="L43" s="50" t="n">
        <x:v>2022</x:v>
      </x:c>
      <x:c r="M43" s="50" t="n">
        <x:v>1</x:v>
      </x:c>
      <x:c r="N43" s="50" t="n">
        <x:v>1</x:v>
      </x:c>
      <x:c r="O43" s="52" t="str">
        <x:f>IF($F43="","",$F43*$M43)</x:f>
      </x:c>
      <x:c r="P43" s="54" t="str">
        <x:f>IF(ISBLANK('Deal_Master_Wide'!$BV$8),"",'Deal_Master_Wide'!$BV$8)</x:f>
      </x:c>
      <x:c r="Q43" s="54" t="str">
        <x:f>IF(ISBLANK('Deal_Master_Wide'!$CC$8),"",'Deal_Master_Wide'!$CC$8)</x:f>
      </x:c>
      <x:c r="R43" s="54" t="str">
        <x:f>IF(ISBLANK('Deal_Master_Wide'!$CJ$8),"",'Deal_Master_Wide'!$CJ$8)</x:f>
      </x:c>
      <x:c r="S43" s="54" t="str">
        <x:f>IF(ISBLANK('Deal_Master_Wide'!$CQ$8),"",'Deal_Master_Wide'!$CQ$8)</x:f>
      </x:c>
      <x:c r="T43" s="54" t="str">
        <x:f>IF(ISBLANK('Deal_Master_Wide'!$CX$8),"",'Deal_Master_Wide'!$CX$8)</x:f>
      </x:c>
      <x:c r="U43" s="54" t="str">
        <x:f>IF(ISBLANK('Deal_Master_Wide'!$DE$8),"",'Deal_Master_Wide'!$DE$8)</x:f>
      </x:c>
      <x:c r="V43" s="56" t="str">
        <x:f>IF(ISBLANK('Deal_Master_Wide'!$DL$8),"",'Deal_Master_Wide'!$DL$8)</x:f>
      </x:c>
      <x:c r="W43" s="56" t="str">
        <x:f>IF(ISBLANK('Deal_Master_Wide'!$DS$8),"",'Deal_Master_Wide'!$DS$8)</x:f>
      </x:c>
      <x:c r="X43" s="56" t="str">
        <x:f>IF(ISBLANK('Deal_Master_Wide'!$DZ$8),"",'Deal_Master_Wide'!$DZ$8)</x:f>
      </x:c>
      <x:c r="Y43" s="54" t="str">
        <x:f>IF(ISBLANK('Deal_Master_Wide'!$EG$8),"",'Deal_Master_Wide'!$EG$8)</x:f>
      </x:c>
      <x:c r="Z43" s="54" t="str">
        <x:f>IF(ISBLANK('Deal_Master_Wide'!$EN$8),"",'Deal_Master_Wide'!$EN$8)</x:f>
      </x:c>
      <x:c r="AA43" s="52" t="str">
        <x:f>IF(ISBLANK('Deal_Master_Wide'!$AL$8),"",'Deal_Master_Wide'!$AL$8)</x:f>
        <x:v>Unknown</x:v>
      </x:c>
      <x:c r="AB43" s="54" t="n">
        <x:f>IF(ISBLANK('Deal_Master_Wide'!$AF$8),"",'Deal_Master_Wide'!$AF$8)</x:f>
        <x:v>4239</x:v>
      </x:c>
      <x:c r="AC43" s="52" t="str">
        <x:f>IF(COUNT($P43,$Q43,$R43,$S43,$T43,$U43,$V43,$W43,$X43)=9,"Yes","No")</x:f>
        <x:v>No</x:v>
      </x:c>
      <x:c r="AD43" s="52" t="str">
        <x:f>IF(COUNT($Y43,$Z43)=2,"Yes","No")</x:f>
        <x:v>No</x:v>
      </x:c>
      <x:c r="AE43" s="50" t="str"/>
      <x:c r="AF43" t="str"/>
    </x:row>
    <x:row r="44" ht="20" customHeight="1">
      <x:c r="A44" s="50" t="str">
        <x:v>TRT-0007</x:v>
      </x:c>
      <x:c r="B44" s="50" t="str">
        <x:v>Candidate treatment group</x:v>
      </x:c>
      <x:c r="C44" s="52" t="str">
        <x:f>IF('Deal_Master_Wide'!$AU$9="","",'Deal_Master_Wide'!$AU$9)</x:f>
        <x:v>Not reviewed</x:v>
      </x:c>
      <x:c r="D44" s="52" t="str">
        <x:f>IF('Deal_Master_Wide'!$AV$9="","",'Deal_Master_Wide'!$AV$9)</x:f>
        <x:v>Not assessed</x:v>
      </x:c>
      <x:c r="E44" s="50" t="n">
        <x:v>1</x:v>
      </x:c>
      <x:c r="F44" s="52" t="str">
        <x:f>IF(OR($C44="High-confidence innovation-driven",$C44="Medium-confidence innovation-driven"),1,IF($C44="Clear alternative-rationale",0,""))</x:f>
      </x:c>
      <x:c r="G44" s="52" t="str">
        <x:f>IF('Deal_Master_Wide'!$M$9="","",'Deal_Master_Wide'!$M$9)</x:f>
        <x:v>Review</x:v>
      </x:c>
      <x:c r="H44" s="50" t="str">
        <x:v>Aphria Inc</x:v>
      </x:c>
      <x:c r="I44" s="50" t="str">
        <x:v>CC Pharma GmbH</x:v>
      </x:c>
      <x:c r="J44" s="50" t="n">
        <x:v>2019</x:v>
      </x:c>
      <x:c r="K44" s="50" t="n">
        <x:v>-3</x:v>
      </x:c>
      <x:c r="L44" s="50" t="n">
        <x:v>2016</x:v>
      </x:c>
      <x:c r="M44" s="50" t="n">
        <x:v>0</x:v>
      </x:c>
      <x:c r="N44" s="50" t="n">
        <x:v>0</x:v>
      </x:c>
      <x:c r="O44" s="52" t="str">
        <x:f>IF($F44="","",$F44*$M44)</x:f>
      </x:c>
      <x:c r="P44" s="54" t="str">
        <x:f>IF(ISBLANK('Deal_Master_Wide'!$BP$9),"",'Deal_Master_Wide'!$BP$9)</x:f>
      </x:c>
      <x:c r="Q44" s="54" t="str">
        <x:f>IF(ISBLANK('Deal_Master_Wide'!$BW$9),"",'Deal_Master_Wide'!$BW$9)</x:f>
      </x:c>
      <x:c r="R44" s="54" t="str">
        <x:f>IF(ISBLANK('Deal_Master_Wide'!$CD$9),"",'Deal_Master_Wide'!$CD$9)</x:f>
      </x:c>
      <x:c r="S44" s="54" t="str">
        <x:f>IF(ISBLANK('Deal_Master_Wide'!$CK$9),"",'Deal_Master_Wide'!$CK$9)</x:f>
      </x:c>
      <x:c r="T44" s="54" t="str">
        <x:f>IF(ISBLANK('Deal_Master_Wide'!$CR$9),"",'Deal_Master_Wide'!$CR$9)</x:f>
      </x:c>
      <x:c r="U44" s="54" t="str">
        <x:f>IF(ISBLANK('Deal_Master_Wide'!$CY$9),"",'Deal_Master_Wide'!$CY$9)</x:f>
      </x:c>
      <x:c r="V44" s="56" t="str">
        <x:f>IF(ISBLANK('Deal_Master_Wide'!$DF$9),"",'Deal_Master_Wide'!$DF$9)</x:f>
      </x:c>
      <x:c r="W44" s="56" t="str">
        <x:f>IF(ISBLANK('Deal_Master_Wide'!$DM$9),"",'Deal_Master_Wide'!$DM$9)</x:f>
      </x:c>
      <x:c r="X44" s="56" t="str">
        <x:f>IF(ISBLANK('Deal_Master_Wide'!$DT$9),"",'Deal_Master_Wide'!$DT$9)</x:f>
      </x:c>
      <x:c r="Y44" s="54" t="str">
        <x:f>IF(ISBLANK('Deal_Master_Wide'!$EA$9),"",'Deal_Master_Wide'!$EA$9)</x:f>
      </x:c>
      <x:c r="Z44" s="54" t="str">
        <x:f>IF(ISBLANK('Deal_Master_Wide'!$EH$9),"",'Deal_Master_Wide'!$EH$9)</x:f>
      </x:c>
      <x:c r="AA44" s="52" t="str">
        <x:f>IF(ISBLANK('Deal_Master_Wide'!$AL$9),"",'Deal_Master_Wide'!$AL$9)</x:f>
        <x:v>Unknown</x:v>
      </x:c>
      <x:c r="AB44" s="54" t="n">
        <x:f>IF(ISBLANK('Deal_Master_Wide'!$AF$9),"",'Deal_Master_Wide'!$AF$9)</x:f>
        <x:v>28</x:v>
      </x:c>
      <x:c r="AC44" s="52" t="str">
        <x:f>IF(COUNT($P44,$Q44,$R44,$S44,$T44,$U44,$V44,$W44,$X44)=9,"Yes","No")</x:f>
        <x:v>No</x:v>
      </x:c>
      <x:c r="AD44" s="52" t="str">
        <x:f>IF(COUNT($Y44,$Z44)=2,"Yes","No")</x:f>
        <x:v>No</x:v>
      </x:c>
      <x:c r="AE44" s="50" t="str"/>
      <x:c r="AF44" t="str"/>
    </x:row>
    <x:row r="45" ht="20" customHeight="1">
      <x:c r="A45" s="50" t="str">
        <x:v>TRT-0007</x:v>
      </x:c>
      <x:c r="B45" s="50" t="str">
        <x:v>Candidate treatment group</x:v>
      </x:c>
      <x:c r="C45" s="52" t="str">
        <x:f>IF('Deal_Master_Wide'!$AU$9="","",'Deal_Master_Wide'!$AU$9)</x:f>
        <x:v>Not reviewed</x:v>
      </x:c>
      <x:c r="D45" s="52" t="str">
        <x:f>IF('Deal_Master_Wide'!$AV$9="","",'Deal_Master_Wide'!$AV$9)</x:f>
        <x:v>Not assessed</x:v>
      </x:c>
      <x:c r="E45" s="50" t="n">
        <x:v>1</x:v>
      </x:c>
      <x:c r="F45" s="52" t="str">
        <x:f>IF(OR($C45="High-confidence innovation-driven",$C45="Medium-confidence innovation-driven"),1,IF($C45="Clear alternative-rationale",0,""))</x:f>
      </x:c>
      <x:c r="G45" s="52" t="str">
        <x:f>IF('Deal_Master_Wide'!$M$9="","",'Deal_Master_Wide'!$M$9)</x:f>
        <x:v>Review</x:v>
      </x:c>
      <x:c r="H45" s="50" t="str">
        <x:v>Aphria Inc</x:v>
      </x:c>
      <x:c r="I45" s="50" t="str">
        <x:v>CC Pharma GmbH</x:v>
      </x:c>
      <x:c r="J45" s="50" t="n">
        <x:v>2019</x:v>
      </x:c>
      <x:c r="K45" s="50" t="n">
        <x:v>-2</x:v>
      </x:c>
      <x:c r="L45" s="50" t="n">
        <x:v>2017</x:v>
      </x:c>
      <x:c r="M45" s="50" t="n">
        <x:v>0</x:v>
      </x:c>
      <x:c r="N45" s="50" t="n">
        <x:v>0</x:v>
      </x:c>
      <x:c r="O45" s="52" t="str">
        <x:f>IF($F45="","",$F45*$M45)</x:f>
      </x:c>
      <x:c r="P45" s="54" t="str">
        <x:f>IF(ISBLANK('Deal_Master_Wide'!$BQ$9),"",'Deal_Master_Wide'!$BQ$9)</x:f>
      </x:c>
      <x:c r="Q45" s="54" t="str">
        <x:f>IF(ISBLANK('Deal_Master_Wide'!$BX$9),"",'Deal_Master_Wide'!$BX$9)</x:f>
      </x:c>
      <x:c r="R45" s="54" t="str">
        <x:f>IF(ISBLANK('Deal_Master_Wide'!$CE$9),"",'Deal_Master_Wide'!$CE$9)</x:f>
      </x:c>
      <x:c r="S45" s="54" t="str">
        <x:f>IF(ISBLANK('Deal_Master_Wide'!$CL$9),"",'Deal_Master_Wide'!$CL$9)</x:f>
      </x:c>
      <x:c r="T45" s="54" t="str">
        <x:f>IF(ISBLANK('Deal_Master_Wide'!$CS$9),"",'Deal_Master_Wide'!$CS$9)</x:f>
      </x:c>
      <x:c r="U45" s="54" t="str">
        <x:f>IF(ISBLANK('Deal_Master_Wide'!$CZ$9),"",'Deal_Master_Wide'!$CZ$9)</x:f>
      </x:c>
      <x:c r="V45" s="56" t="str">
        <x:f>IF(ISBLANK('Deal_Master_Wide'!$DG$9),"",'Deal_Master_Wide'!$DG$9)</x:f>
      </x:c>
      <x:c r="W45" s="56" t="str">
        <x:f>IF(ISBLANK('Deal_Master_Wide'!$DN$9),"",'Deal_Master_Wide'!$DN$9)</x:f>
      </x:c>
      <x:c r="X45" s="56" t="str">
        <x:f>IF(ISBLANK('Deal_Master_Wide'!$DU$9),"",'Deal_Master_Wide'!$DU$9)</x:f>
      </x:c>
      <x:c r="Y45" s="54" t="str">
        <x:f>IF(ISBLANK('Deal_Master_Wide'!$EB$9),"",'Deal_Master_Wide'!$EB$9)</x:f>
      </x:c>
      <x:c r="Z45" s="54" t="str">
        <x:f>IF(ISBLANK('Deal_Master_Wide'!$EI$9),"",'Deal_Master_Wide'!$EI$9)</x:f>
      </x:c>
      <x:c r="AA45" s="52" t="str">
        <x:f>IF(ISBLANK('Deal_Master_Wide'!$AL$9),"",'Deal_Master_Wide'!$AL$9)</x:f>
        <x:v>Unknown</x:v>
      </x:c>
      <x:c r="AB45" s="54" t="n">
        <x:f>IF(ISBLANK('Deal_Master_Wide'!$AF$9),"",'Deal_Master_Wide'!$AF$9)</x:f>
        <x:v>28</x:v>
      </x:c>
      <x:c r="AC45" s="52" t="str">
        <x:f>IF(COUNT($P45,$Q45,$R45,$S45,$T45,$U45,$V45,$W45,$X45)=9,"Yes","No")</x:f>
        <x:v>No</x:v>
      </x:c>
      <x:c r="AD45" s="52" t="str">
        <x:f>IF(COUNT($Y45,$Z45)=2,"Yes","No")</x:f>
        <x:v>No</x:v>
      </x:c>
      <x:c r="AE45" s="50" t="str"/>
      <x:c r="AF45" t="str"/>
    </x:row>
    <x:row r="46" ht="20" customHeight="1">
      <x:c r="A46" s="50" t="str">
        <x:v>TRT-0007</x:v>
      </x:c>
      <x:c r="B46" s="50" t="str">
        <x:v>Candidate treatment group</x:v>
      </x:c>
      <x:c r="C46" s="52" t="str">
        <x:f>IF('Deal_Master_Wide'!$AU$9="","",'Deal_Master_Wide'!$AU$9)</x:f>
        <x:v>Not reviewed</x:v>
      </x:c>
      <x:c r="D46" s="52" t="str">
        <x:f>IF('Deal_Master_Wide'!$AV$9="","",'Deal_Master_Wide'!$AV$9)</x:f>
        <x:v>Not assessed</x:v>
      </x:c>
      <x:c r="E46" s="50" t="n">
        <x:v>1</x:v>
      </x:c>
      <x:c r="F46" s="52" t="str">
        <x:f>IF(OR($C46="High-confidence innovation-driven",$C46="Medium-confidence innovation-driven"),1,IF($C46="Clear alternative-rationale",0,""))</x:f>
      </x:c>
      <x:c r="G46" s="52" t="str">
        <x:f>IF('Deal_Master_Wide'!$M$9="","",'Deal_Master_Wide'!$M$9)</x:f>
        <x:v>Review</x:v>
      </x:c>
      <x:c r="H46" s="50" t="str">
        <x:v>Aphria Inc</x:v>
      </x:c>
      <x:c r="I46" s="50" t="str">
        <x:v>CC Pharma GmbH</x:v>
      </x:c>
      <x:c r="J46" s="50" t="n">
        <x:v>2019</x:v>
      </x:c>
      <x:c r="K46" s="50" t="n">
        <x:v>-1</x:v>
      </x:c>
      <x:c r="L46" s="50" t="n">
        <x:v>2018</x:v>
      </x:c>
      <x:c r="M46" s="50" t="n">
        <x:v>0</x:v>
      </x:c>
      <x:c r="N46" s="50" t="n">
        <x:v>0</x:v>
      </x:c>
      <x:c r="O46" s="52" t="str">
        <x:f>IF($F46="","",$F46*$M46)</x:f>
      </x:c>
      <x:c r="P46" s="54" t="str">
        <x:f>IF(ISBLANK('Deal_Master_Wide'!$BR$9),"",'Deal_Master_Wide'!$BR$9)</x:f>
      </x:c>
      <x:c r="Q46" s="54" t="str">
        <x:f>IF(ISBLANK('Deal_Master_Wide'!$BY$9),"",'Deal_Master_Wide'!$BY$9)</x:f>
      </x:c>
      <x:c r="R46" s="54" t="str">
        <x:f>IF(ISBLANK('Deal_Master_Wide'!$CF$9),"",'Deal_Master_Wide'!$CF$9)</x:f>
      </x:c>
      <x:c r="S46" s="54" t="str">
        <x:f>IF(ISBLANK('Deal_Master_Wide'!$CM$9),"",'Deal_Master_Wide'!$CM$9)</x:f>
      </x:c>
      <x:c r="T46" s="54" t="str">
        <x:f>IF(ISBLANK('Deal_Master_Wide'!$CT$9),"",'Deal_Master_Wide'!$CT$9)</x:f>
      </x:c>
      <x:c r="U46" s="54" t="str">
        <x:f>IF(ISBLANK('Deal_Master_Wide'!$DA$9),"",'Deal_Master_Wide'!$DA$9)</x:f>
      </x:c>
      <x:c r="V46" s="56" t="str">
        <x:f>IF(ISBLANK('Deal_Master_Wide'!$DH$9),"",'Deal_Master_Wide'!$DH$9)</x:f>
      </x:c>
      <x:c r="W46" s="56" t="str">
        <x:f>IF(ISBLANK('Deal_Master_Wide'!$DO$9),"",'Deal_Master_Wide'!$DO$9)</x:f>
      </x:c>
      <x:c r="X46" s="56" t="str">
        <x:f>IF(ISBLANK('Deal_Master_Wide'!$DV$9),"",'Deal_Master_Wide'!$DV$9)</x:f>
      </x:c>
      <x:c r="Y46" s="54" t="str">
        <x:f>IF(ISBLANK('Deal_Master_Wide'!$EC$9),"",'Deal_Master_Wide'!$EC$9)</x:f>
      </x:c>
      <x:c r="Z46" s="54" t="str">
        <x:f>IF(ISBLANK('Deal_Master_Wide'!$EJ$9),"",'Deal_Master_Wide'!$EJ$9)</x:f>
      </x:c>
      <x:c r="AA46" s="52" t="str">
        <x:f>IF(ISBLANK('Deal_Master_Wide'!$AL$9),"",'Deal_Master_Wide'!$AL$9)</x:f>
        <x:v>Unknown</x:v>
      </x:c>
      <x:c r="AB46" s="54" t="n">
        <x:f>IF(ISBLANK('Deal_Master_Wide'!$AF$9),"",'Deal_Master_Wide'!$AF$9)</x:f>
        <x:v>28</x:v>
      </x:c>
      <x:c r="AC46" s="52" t="str">
        <x:f>IF(COUNT($P46,$Q46,$R46,$S46,$T46,$U46,$V46,$W46,$X46)=9,"Yes","No")</x:f>
        <x:v>No</x:v>
      </x:c>
      <x:c r="AD46" s="52" t="str">
        <x:f>IF(COUNT($Y46,$Z46)=2,"Yes","No")</x:f>
        <x:v>No</x:v>
      </x:c>
      <x:c r="AE46" s="50" t="str"/>
      <x:c r="AF46" t="str"/>
    </x:row>
    <x:row r="47" ht="20" customHeight="1">
      <x:c r="A47" s="50" t="str">
        <x:v>TRT-0007</x:v>
      </x:c>
      <x:c r="B47" s="50" t="str">
        <x:v>Candidate treatment group</x:v>
      </x:c>
      <x:c r="C47" s="52" t="str">
        <x:f>IF('Deal_Master_Wide'!$AU$9="","",'Deal_Master_Wide'!$AU$9)</x:f>
        <x:v>Not reviewed</x:v>
      </x:c>
      <x:c r="D47" s="52" t="str">
        <x:f>IF('Deal_Master_Wide'!$AV$9="","",'Deal_Master_Wide'!$AV$9)</x:f>
        <x:v>Not assessed</x:v>
      </x:c>
      <x:c r="E47" s="50" t="n">
        <x:v>1</x:v>
      </x:c>
      <x:c r="F47" s="52" t="str">
        <x:f>IF(OR($C47="High-confidence innovation-driven",$C47="Medium-confidence innovation-driven"),1,IF($C47="Clear alternative-rationale",0,""))</x:f>
      </x:c>
      <x:c r="G47" s="52" t="str">
        <x:f>IF('Deal_Master_Wide'!$M$9="","",'Deal_Master_Wide'!$M$9)</x:f>
        <x:v>Review</x:v>
      </x:c>
      <x:c r="H47" s="50" t="str">
        <x:v>Aphria Inc</x:v>
      </x:c>
      <x:c r="I47" s="50" t="str">
        <x:v>CC Pharma GmbH</x:v>
      </x:c>
      <x:c r="J47" s="50" t="n">
        <x:v>2019</x:v>
      </x:c>
      <x:c r="K47" s="50" t="n">
        <x:v>0</x:v>
      </x:c>
      <x:c r="L47" s="50" t="n">
        <x:v>2019</x:v>
      </x:c>
      <x:c r="M47" s="50" t="n">
        <x:v>0</x:v>
      </x:c>
      <x:c r="N47" s="50" t="n">
        <x:v>1</x:v>
      </x:c>
      <x:c r="O47" s="52" t="str">
        <x:f>IF($F47="","",$F47*$M47)</x:f>
      </x:c>
      <x:c r="P47" s="54" t="str">
        <x:f>IF(ISBLANK('Deal_Master_Wide'!$BS$9),"",'Deal_Master_Wide'!$BS$9)</x:f>
      </x:c>
      <x:c r="Q47" s="54" t="str">
        <x:f>IF(ISBLANK('Deal_Master_Wide'!$BZ$9),"",'Deal_Master_Wide'!$BZ$9)</x:f>
      </x:c>
      <x:c r="R47" s="54" t="str">
        <x:f>IF(ISBLANK('Deal_Master_Wide'!$CG$9),"",'Deal_Master_Wide'!$CG$9)</x:f>
      </x:c>
      <x:c r="S47" s="54" t="str">
        <x:f>IF(ISBLANK('Deal_Master_Wide'!$CN$9),"",'Deal_Master_Wide'!$CN$9)</x:f>
      </x:c>
      <x:c r="T47" s="54" t="str">
        <x:f>IF(ISBLANK('Deal_Master_Wide'!$CU$9),"",'Deal_Master_Wide'!$CU$9)</x:f>
      </x:c>
      <x:c r="U47" s="54" t="str">
        <x:f>IF(ISBLANK('Deal_Master_Wide'!$DB$9),"",'Deal_Master_Wide'!$DB$9)</x:f>
      </x:c>
      <x:c r="V47" s="56" t="str">
        <x:f>IF(ISBLANK('Deal_Master_Wide'!$DI$9),"",'Deal_Master_Wide'!$DI$9)</x:f>
      </x:c>
      <x:c r="W47" s="56" t="str">
        <x:f>IF(ISBLANK('Deal_Master_Wide'!$DP$9),"",'Deal_Master_Wide'!$DP$9)</x:f>
      </x:c>
      <x:c r="X47" s="56" t="str">
        <x:f>IF(ISBLANK('Deal_Master_Wide'!$DW$9),"",'Deal_Master_Wide'!$DW$9)</x:f>
      </x:c>
      <x:c r="Y47" s="54" t="str">
        <x:f>IF(ISBLANK('Deal_Master_Wide'!$ED$9),"",'Deal_Master_Wide'!$ED$9)</x:f>
      </x:c>
      <x:c r="Z47" s="54" t="str">
        <x:f>IF(ISBLANK('Deal_Master_Wide'!$EK$9),"",'Deal_Master_Wide'!$EK$9)</x:f>
      </x:c>
      <x:c r="AA47" s="52" t="str">
        <x:f>IF(ISBLANK('Deal_Master_Wide'!$AL$9),"",'Deal_Master_Wide'!$AL$9)</x:f>
        <x:v>Unknown</x:v>
      </x:c>
      <x:c r="AB47" s="54" t="n">
        <x:f>IF(ISBLANK('Deal_Master_Wide'!$AF$9),"",'Deal_Master_Wide'!$AF$9)</x:f>
        <x:v>28</x:v>
      </x:c>
      <x:c r="AC47" s="52" t="str">
        <x:f>IF(COUNT($P47,$Q47,$R47,$S47,$T47,$U47,$V47,$W47,$X47)=9,"Yes","No")</x:f>
        <x:v>No</x:v>
      </x:c>
      <x:c r="AD47" s="52" t="str">
        <x:f>IF(COUNT($Y47,$Z47)=2,"Yes","No")</x:f>
        <x:v>No</x:v>
      </x:c>
      <x:c r="AE47" s="50" t="str"/>
      <x:c r="AF47" t="str"/>
    </x:row>
    <x:row r="48" ht="20" customHeight="1">
      <x:c r="A48" s="50" t="str">
        <x:v>TRT-0007</x:v>
      </x:c>
      <x:c r="B48" s="50" t="str">
        <x:v>Candidate treatment group</x:v>
      </x:c>
      <x:c r="C48" s="52" t="str">
        <x:f>IF('Deal_Master_Wide'!$AU$9="","",'Deal_Master_Wide'!$AU$9)</x:f>
        <x:v>Not reviewed</x:v>
      </x:c>
      <x:c r="D48" s="52" t="str">
        <x:f>IF('Deal_Master_Wide'!$AV$9="","",'Deal_Master_Wide'!$AV$9)</x:f>
        <x:v>Not assessed</x:v>
      </x:c>
      <x:c r="E48" s="50" t="n">
        <x:v>1</x:v>
      </x:c>
      <x:c r="F48" s="52" t="str">
        <x:f>IF(OR($C48="High-confidence innovation-driven",$C48="Medium-confidence innovation-driven"),1,IF($C48="Clear alternative-rationale",0,""))</x:f>
      </x:c>
      <x:c r="G48" s="52" t="str">
        <x:f>IF('Deal_Master_Wide'!$M$9="","",'Deal_Master_Wide'!$M$9)</x:f>
        <x:v>Review</x:v>
      </x:c>
      <x:c r="H48" s="50" t="str">
        <x:v>Aphria Inc</x:v>
      </x:c>
      <x:c r="I48" s="50" t="str">
        <x:v>CC Pharma GmbH</x:v>
      </x:c>
      <x:c r="J48" s="50" t="n">
        <x:v>2019</x:v>
      </x:c>
      <x:c r="K48" s="50" t="n">
        <x:v>1</x:v>
      </x:c>
      <x:c r="L48" s="50" t="n">
        <x:v>2020</x:v>
      </x:c>
      <x:c r="M48" s="50" t="n">
        <x:v>1</x:v>
      </x:c>
      <x:c r="N48" s="50" t="n">
        <x:v>1</x:v>
      </x:c>
      <x:c r="O48" s="52" t="str">
        <x:f>IF($F48="","",$F48*$M48)</x:f>
      </x:c>
      <x:c r="P48" s="54" t="str">
        <x:f>IF(ISBLANK('Deal_Master_Wide'!$BT$9),"",'Deal_Master_Wide'!$BT$9)</x:f>
      </x:c>
      <x:c r="Q48" s="54" t="str">
        <x:f>IF(ISBLANK('Deal_Master_Wide'!$CA$9),"",'Deal_Master_Wide'!$CA$9)</x:f>
      </x:c>
      <x:c r="R48" s="54" t="str">
        <x:f>IF(ISBLANK('Deal_Master_Wide'!$CH$9),"",'Deal_Master_Wide'!$CH$9)</x:f>
      </x:c>
      <x:c r="S48" s="54" t="str">
        <x:f>IF(ISBLANK('Deal_Master_Wide'!$CO$9),"",'Deal_Master_Wide'!$CO$9)</x:f>
      </x:c>
      <x:c r="T48" s="54" t="str">
        <x:f>IF(ISBLANK('Deal_Master_Wide'!$CV$9),"",'Deal_Master_Wide'!$CV$9)</x:f>
      </x:c>
      <x:c r="U48" s="54" t="str">
        <x:f>IF(ISBLANK('Deal_Master_Wide'!$DC$9),"",'Deal_Master_Wide'!$DC$9)</x:f>
      </x:c>
      <x:c r="V48" s="56" t="str">
        <x:f>IF(ISBLANK('Deal_Master_Wide'!$DJ$9),"",'Deal_Master_Wide'!$DJ$9)</x:f>
      </x:c>
      <x:c r="W48" s="56" t="str">
        <x:f>IF(ISBLANK('Deal_Master_Wide'!$DQ$9),"",'Deal_Master_Wide'!$DQ$9)</x:f>
      </x:c>
      <x:c r="X48" s="56" t="str">
        <x:f>IF(ISBLANK('Deal_Master_Wide'!$DX$9),"",'Deal_Master_Wide'!$DX$9)</x:f>
      </x:c>
      <x:c r="Y48" s="54" t="str">
        <x:f>IF(ISBLANK('Deal_Master_Wide'!$EE$9),"",'Deal_Master_Wide'!$EE$9)</x:f>
      </x:c>
      <x:c r="Z48" s="54" t="str">
        <x:f>IF(ISBLANK('Deal_Master_Wide'!$EL$9),"",'Deal_Master_Wide'!$EL$9)</x:f>
      </x:c>
      <x:c r="AA48" s="52" t="str">
        <x:f>IF(ISBLANK('Deal_Master_Wide'!$AL$9),"",'Deal_Master_Wide'!$AL$9)</x:f>
        <x:v>Unknown</x:v>
      </x:c>
      <x:c r="AB48" s="54" t="n">
        <x:f>IF(ISBLANK('Deal_Master_Wide'!$AF$9),"",'Deal_Master_Wide'!$AF$9)</x:f>
        <x:v>28</x:v>
      </x:c>
      <x:c r="AC48" s="52" t="str">
        <x:f>IF(COUNT($P48,$Q48,$R48,$S48,$T48,$U48,$V48,$W48,$X48)=9,"Yes","No")</x:f>
        <x:v>No</x:v>
      </x:c>
      <x:c r="AD48" s="52" t="str">
        <x:f>IF(COUNT($Y48,$Z48)=2,"Yes","No")</x:f>
        <x:v>No</x:v>
      </x:c>
      <x:c r="AE48" s="50" t="str"/>
      <x:c r="AF48" t="str"/>
    </x:row>
    <x:row r="49" ht="20" customHeight="1">
      <x:c r="A49" s="50" t="str">
        <x:v>TRT-0007</x:v>
      </x:c>
      <x:c r="B49" s="50" t="str">
        <x:v>Candidate treatment group</x:v>
      </x:c>
      <x:c r="C49" s="52" t="str">
        <x:f>IF('Deal_Master_Wide'!$AU$9="","",'Deal_Master_Wide'!$AU$9)</x:f>
        <x:v>Not reviewed</x:v>
      </x:c>
      <x:c r="D49" s="52" t="str">
        <x:f>IF('Deal_Master_Wide'!$AV$9="","",'Deal_Master_Wide'!$AV$9)</x:f>
        <x:v>Not assessed</x:v>
      </x:c>
      <x:c r="E49" s="50" t="n">
        <x:v>1</x:v>
      </x:c>
      <x:c r="F49" s="52" t="str">
        <x:f>IF(OR($C49="High-confidence innovation-driven",$C49="Medium-confidence innovation-driven"),1,IF($C49="Clear alternative-rationale",0,""))</x:f>
      </x:c>
      <x:c r="G49" s="52" t="str">
        <x:f>IF('Deal_Master_Wide'!$M$9="","",'Deal_Master_Wide'!$M$9)</x:f>
        <x:v>Review</x:v>
      </x:c>
      <x:c r="H49" s="50" t="str">
        <x:v>Aphria Inc</x:v>
      </x:c>
      <x:c r="I49" s="50" t="str">
        <x:v>CC Pharma GmbH</x:v>
      </x:c>
      <x:c r="J49" s="50" t="n">
        <x:v>2019</x:v>
      </x:c>
      <x:c r="K49" s="50" t="n">
        <x:v>2</x:v>
      </x:c>
      <x:c r="L49" s="50" t="n">
        <x:v>2021</x:v>
      </x:c>
      <x:c r="M49" s="50" t="n">
        <x:v>1</x:v>
      </x:c>
      <x:c r="N49" s="50" t="n">
        <x:v>1</x:v>
      </x:c>
      <x:c r="O49" s="52" t="str">
        <x:f>IF($F49="","",$F49*$M49)</x:f>
      </x:c>
      <x:c r="P49" s="54" t="str">
        <x:f>IF(ISBLANK('Deal_Master_Wide'!$BU$9),"",'Deal_Master_Wide'!$BU$9)</x:f>
      </x:c>
      <x:c r="Q49" s="54" t="str">
        <x:f>IF(ISBLANK('Deal_Master_Wide'!$CB$9),"",'Deal_Master_Wide'!$CB$9)</x:f>
      </x:c>
      <x:c r="R49" s="54" t="str">
        <x:f>IF(ISBLANK('Deal_Master_Wide'!$CI$9),"",'Deal_Master_Wide'!$CI$9)</x:f>
      </x:c>
      <x:c r="S49" s="54" t="str">
        <x:f>IF(ISBLANK('Deal_Master_Wide'!$CP$9),"",'Deal_Master_Wide'!$CP$9)</x:f>
      </x:c>
      <x:c r="T49" s="54" t="str">
        <x:f>IF(ISBLANK('Deal_Master_Wide'!$CW$9),"",'Deal_Master_Wide'!$CW$9)</x:f>
      </x:c>
      <x:c r="U49" s="54" t="str">
        <x:f>IF(ISBLANK('Deal_Master_Wide'!$DD$9),"",'Deal_Master_Wide'!$DD$9)</x:f>
      </x:c>
      <x:c r="V49" s="56" t="str">
        <x:f>IF(ISBLANK('Deal_Master_Wide'!$DK$9),"",'Deal_Master_Wide'!$DK$9)</x:f>
      </x:c>
      <x:c r="W49" s="56" t="str">
        <x:f>IF(ISBLANK('Deal_Master_Wide'!$DR$9),"",'Deal_Master_Wide'!$DR$9)</x:f>
      </x:c>
      <x:c r="X49" s="56" t="str">
        <x:f>IF(ISBLANK('Deal_Master_Wide'!$DY$9),"",'Deal_Master_Wide'!$DY$9)</x:f>
      </x:c>
      <x:c r="Y49" s="54" t="str">
        <x:f>IF(ISBLANK('Deal_Master_Wide'!$EF$9),"",'Deal_Master_Wide'!$EF$9)</x:f>
      </x:c>
      <x:c r="Z49" s="54" t="str">
        <x:f>IF(ISBLANK('Deal_Master_Wide'!$EM$9),"",'Deal_Master_Wide'!$EM$9)</x:f>
      </x:c>
      <x:c r="AA49" s="52" t="str">
        <x:f>IF(ISBLANK('Deal_Master_Wide'!$AL$9),"",'Deal_Master_Wide'!$AL$9)</x:f>
        <x:v>Unknown</x:v>
      </x:c>
      <x:c r="AB49" s="54" t="n">
        <x:f>IF(ISBLANK('Deal_Master_Wide'!$AF$9),"",'Deal_Master_Wide'!$AF$9)</x:f>
        <x:v>28</x:v>
      </x:c>
      <x:c r="AC49" s="52" t="str">
        <x:f>IF(COUNT($P49,$Q49,$R49,$S49,$T49,$U49,$V49,$W49,$X49)=9,"Yes","No")</x:f>
        <x:v>No</x:v>
      </x:c>
      <x:c r="AD49" s="52" t="str">
        <x:f>IF(COUNT($Y49,$Z49)=2,"Yes","No")</x:f>
        <x:v>No</x:v>
      </x:c>
      <x:c r="AE49" s="50" t="str"/>
      <x:c r="AF49" t="str"/>
    </x:row>
    <x:row r="50" ht="20" customHeight="1">
      <x:c r="A50" s="50" t="str">
        <x:v>TRT-0007</x:v>
      </x:c>
      <x:c r="B50" s="50" t="str">
        <x:v>Candidate treatment group</x:v>
      </x:c>
      <x:c r="C50" s="52" t="str">
        <x:f>IF('Deal_Master_Wide'!$AU$9="","",'Deal_Master_Wide'!$AU$9)</x:f>
        <x:v>Not reviewed</x:v>
      </x:c>
      <x:c r="D50" s="52" t="str">
        <x:f>IF('Deal_Master_Wide'!$AV$9="","",'Deal_Master_Wide'!$AV$9)</x:f>
        <x:v>Not assessed</x:v>
      </x:c>
      <x:c r="E50" s="50" t="n">
        <x:v>1</x:v>
      </x:c>
      <x:c r="F50" s="52" t="str">
        <x:f>IF(OR($C50="High-confidence innovation-driven",$C50="Medium-confidence innovation-driven"),1,IF($C50="Clear alternative-rationale",0,""))</x:f>
      </x:c>
      <x:c r="G50" s="52" t="str">
        <x:f>IF('Deal_Master_Wide'!$M$9="","",'Deal_Master_Wide'!$M$9)</x:f>
        <x:v>Review</x:v>
      </x:c>
      <x:c r="H50" s="50" t="str">
        <x:v>Aphria Inc</x:v>
      </x:c>
      <x:c r="I50" s="50" t="str">
        <x:v>CC Pharma GmbH</x:v>
      </x:c>
      <x:c r="J50" s="50" t="n">
        <x:v>2019</x:v>
      </x:c>
      <x:c r="K50" s="50" t="n">
        <x:v>3</x:v>
      </x:c>
      <x:c r="L50" s="50" t="n">
        <x:v>2022</x:v>
      </x:c>
      <x:c r="M50" s="50" t="n">
        <x:v>1</x:v>
      </x:c>
      <x:c r="N50" s="50" t="n">
        <x:v>1</x:v>
      </x:c>
      <x:c r="O50" s="52" t="str">
        <x:f>IF($F50="","",$F50*$M50)</x:f>
      </x:c>
      <x:c r="P50" s="54" t="str">
        <x:f>IF(ISBLANK('Deal_Master_Wide'!$BV$9),"",'Deal_Master_Wide'!$BV$9)</x:f>
      </x:c>
      <x:c r="Q50" s="54" t="str">
        <x:f>IF(ISBLANK('Deal_Master_Wide'!$CC$9),"",'Deal_Master_Wide'!$CC$9)</x:f>
      </x:c>
      <x:c r="R50" s="54" t="str">
        <x:f>IF(ISBLANK('Deal_Master_Wide'!$CJ$9),"",'Deal_Master_Wide'!$CJ$9)</x:f>
      </x:c>
      <x:c r="S50" s="54" t="str">
        <x:f>IF(ISBLANK('Deal_Master_Wide'!$CQ$9),"",'Deal_Master_Wide'!$CQ$9)</x:f>
      </x:c>
      <x:c r="T50" s="54" t="str">
        <x:f>IF(ISBLANK('Deal_Master_Wide'!$CX$9),"",'Deal_Master_Wide'!$CX$9)</x:f>
      </x:c>
      <x:c r="U50" s="54" t="str">
        <x:f>IF(ISBLANK('Deal_Master_Wide'!$DE$9),"",'Deal_Master_Wide'!$DE$9)</x:f>
      </x:c>
      <x:c r="V50" s="56" t="str">
        <x:f>IF(ISBLANK('Deal_Master_Wide'!$DL$9),"",'Deal_Master_Wide'!$DL$9)</x:f>
      </x:c>
      <x:c r="W50" s="56" t="str">
        <x:f>IF(ISBLANK('Deal_Master_Wide'!$DS$9),"",'Deal_Master_Wide'!$DS$9)</x:f>
      </x:c>
      <x:c r="X50" s="56" t="str">
        <x:f>IF(ISBLANK('Deal_Master_Wide'!$DZ$9),"",'Deal_Master_Wide'!$DZ$9)</x:f>
      </x:c>
      <x:c r="Y50" s="54" t="str">
        <x:f>IF(ISBLANK('Deal_Master_Wide'!$EG$9),"",'Deal_Master_Wide'!$EG$9)</x:f>
      </x:c>
      <x:c r="Z50" s="54" t="str">
        <x:f>IF(ISBLANK('Deal_Master_Wide'!$EN$9),"",'Deal_Master_Wide'!$EN$9)</x:f>
      </x:c>
      <x:c r="AA50" s="52" t="str">
        <x:f>IF(ISBLANK('Deal_Master_Wide'!$AL$9),"",'Deal_Master_Wide'!$AL$9)</x:f>
        <x:v>Unknown</x:v>
      </x:c>
      <x:c r="AB50" s="54" t="n">
        <x:f>IF(ISBLANK('Deal_Master_Wide'!$AF$9),"",'Deal_Master_Wide'!$AF$9)</x:f>
        <x:v>28</x:v>
      </x:c>
      <x:c r="AC50" s="52" t="str">
        <x:f>IF(COUNT($P50,$Q50,$R50,$S50,$T50,$U50,$V50,$W50,$X50)=9,"Yes","No")</x:f>
        <x:v>No</x:v>
      </x:c>
      <x:c r="AD50" s="52" t="str">
        <x:f>IF(COUNT($Y50,$Z50)=2,"Yes","No")</x:f>
        <x:v>No</x:v>
      </x:c>
      <x:c r="AE50" s="50" t="str"/>
      <x:c r="AF50" t="str"/>
    </x:row>
    <x:row r="51" ht="20" customHeight="1">
      <x:c r="A51" s="50" t="str">
        <x:v>TRT-0008</x:v>
      </x:c>
      <x:c r="B51" s="50" t="str">
        <x:v>Candidate treatment group</x:v>
      </x:c>
      <x:c r="C51" s="52" t="str">
        <x:f>IF('Deal_Master_Wide'!$AU$10="","",'Deal_Master_Wide'!$AU$10)</x:f>
        <x:v>Not reviewed</x:v>
      </x:c>
      <x:c r="D51" s="52" t="str">
        <x:f>IF('Deal_Master_Wide'!$AV$10="","",'Deal_Master_Wide'!$AV$10)</x:f>
        <x:v>Not assessed</x:v>
      </x:c>
      <x:c r="E51" s="50" t="n">
        <x:v>1</x:v>
      </x:c>
      <x:c r="F51" s="52" t="str">
        <x:f>IF(OR($C51="High-confidence innovation-driven",$C51="Medium-confidence innovation-driven"),1,IF($C51="Clear alternative-rationale",0,""))</x:f>
      </x:c>
      <x:c r="G51" s="52" t="str">
        <x:f>IF('Deal_Master_Wide'!$M$10="","",'Deal_Master_Wide'!$M$10)</x:f>
        <x:v>Review</x:v>
      </x:c>
      <x:c r="H51" s="50" t="str">
        <x:v>Ingenza Ltd</x:v>
      </x:c>
      <x:c r="I51" s="50" t="str">
        <x:v>Amprologix Ltd</x:v>
      </x:c>
      <x:c r="J51" s="50" t="n">
        <x:v>2018</x:v>
      </x:c>
      <x:c r="K51" s="50" t="n">
        <x:v>-3</x:v>
      </x:c>
      <x:c r="L51" s="50" t="n">
        <x:v>2015</x:v>
      </x:c>
      <x:c r="M51" s="50" t="n">
        <x:v>0</x:v>
      </x:c>
      <x:c r="N51" s="50" t="n">
        <x:v>0</x:v>
      </x:c>
      <x:c r="O51" s="52" t="str">
        <x:f>IF($F51="","",$F51*$M51)</x:f>
      </x:c>
      <x:c r="P51" s="54" t="str">
        <x:f>IF(ISBLANK('Deal_Master_Wide'!$BP$10),"",'Deal_Master_Wide'!$BP$10)</x:f>
      </x:c>
      <x:c r="Q51" s="54" t="str">
        <x:f>IF(ISBLANK('Deal_Master_Wide'!$BW$10),"",'Deal_Master_Wide'!$BW$10)</x:f>
      </x:c>
      <x:c r="R51" s="54" t="str">
        <x:f>IF(ISBLANK('Deal_Master_Wide'!$CD$10),"",'Deal_Master_Wide'!$CD$10)</x:f>
      </x:c>
      <x:c r="S51" s="54" t="str">
        <x:f>IF(ISBLANK('Deal_Master_Wide'!$CK$10),"",'Deal_Master_Wide'!$CK$10)</x:f>
      </x:c>
      <x:c r="T51" s="54" t="str">
        <x:f>IF(ISBLANK('Deal_Master_Wide'!$CR$10),"",'Deal_Master_Wide'!$CR$10)</x:f>
      </x:c>
      <x:c r="U51" s="54" t="str">
        <x:f>IF(ISBLANK('Deal_Master_Wide'!$CY$10),"",'Deal_Master_Wide'!$CY$10)</x:f>
      </x:c>
      <x:c r="V51" s="56" t="str">
        <x:f>IF(ISBLANK('Deal_Master_Wide'!$DF$10),"",'Deal_Master_Wide'!$DF$10)</x:f>
      </x:c>
      <x:c r="W51" s="56" t="str">
        <x:f>IF(ISBLANK('Deal_Master_Wide'!$DM$10),"",'Deal_Master_Wide'!$DM$10)</x:f>
      </x:c>
      <x:c r="X51" s="56" t="str">
        <x:f>IF(ISBLANK('Deal_Master_Wide'!$DT$10),"",'Deal_Master_Wide'!$DT$10)</x:f>
      </x:c>
      <x:c r="Y51" s="54" t="str">
        <x:f>IF(ISBLANK('Deal_Master_Wide'!$EA$10),"",'Deal_Master_Wide'!$EA$10)</x:f>
      </x:c>
      <x:c r="Z51" s="54" t="str">
        <x:f>IF(ISBLANK('Deal_Master_Wide'!$EH$10),"",'Deal_Master_Wide'!$EH$10)</x:f>
      </x:c>
      <x:c r="AA51" s="52" t="str">
        <x:f>IF(ISBLANK('Deal_Master_Wide'!$AL$10),"",'Deal_Master_Wide'!$AL$10)</x:f>
        <x:v>Unknown</x:v>
      </x:c>
      <x:c r="AB51" s="54" t="str">
        <x:f>IF(ISBLANK('Deal_Master_Wide'!$AF$10),"",'Deal_Master_Wide'!$AF$10)</x:f>
      </x:c>
      <x:c r="AC51" s="52" t="str">
        <x:f>IF(COUNT($P51,$Q51,$R51,$S51,$T51,$U51,$V51,$W51,$X51)=9,"Yes","No")</x:f>
        <x:v>No</x:v>
      </x:c>
      <x:c r="AD51" s="52" t="str">
        <x:f>IF(COUNT($Y51,$Z51)=2,"Yes","No")</x:f>
        <x:v>No</x:v>
      </x:c>
      <x:c r="AE51" s="50" t="str"/>
      <x:c r="AF51" t="str"/>
    </x:row>
    <x:row r="52" ht="20" customHeight="1">
      <x:c r="A52" s="50" t="str">
        <x:v>TRT-0008</x:v>
      </x:c>
      <x:c r="B52" s="50" t="str">
        <x:v>Candidate treatment group</x:v>
      </x:c>
      <x:c r="C52" s="52" t="str">
        <x:f>IF('Deal_Master_Wide'!$AU$10="","",'Deal_Master_Wide'!$AU$10)</x:f>
        <x:v>Not reviewed</x:v>
      </x:c>
      <x:c r="D52" s="52" t="str">
        <x:f>IF('Deal_Master_Wide'!$AV$10="","",'Deal_Master_Wide'!$AV$10)</x:f>
        <x:v>Not assessed</x:v>
      </x:c>
      <x:c r="E52" s="50" t="n">
        <x:v>1</x:v>
      </x:c>
      <x:c r="F52" s="52" t="str">
        <x:f>IF(OR($C52="High-confidence innovation-driven",$C52="Medium-confidence innovation-driven"),1,IF($C52="Clear alternative-rationale",0,""))</x:f>
      </x:c>
      <x:c r="G52" s="52" t="str">
        <x:f>IF('Deal_Master_Wide'!$M$10="","",'Deal_Master_Wide'!$M$10)</x:f>
        <x:v>Review</x:v>
      </x:c>
      <x:c r="H52" s="50" t="str">
        <x:v>Ingenza Ltd</x:v>
      </x:c>
      <x:c r="I52" s="50" t="str">
        <x:v>Amprologix Ltd</x:v>
      </x:c>
      <x:c r="J52" s="50" t="n">
        <x:v>2018</x:v>
      </x:c>
      <x:c r="K52" s="50" t="n">
        <x:v>-2</x:v>
      </x:c>
      <x:c r="L52" s="50" t="n">
        <x:v>2016</x:v>
      </x:c>
      <x:c r="M52" s="50" t="n">
        <x:v>0</x:v>
      </x:c>
      <x:c r="N52" s="50" t="n">
        <x:v>0</x:v>
      </x:c>
      <x:c r="O52" s="52" t="str">
        <x:f>IF($F52="","",$F52*$M52)</x:f>
      </x:c>
      <x:c r="P52" s="54" t="str">
        <x:f>IF(ISBLANK('Deal_Master_Wide'!$BQ$10),"",'Deal_Master_Wide'!$BQ$10)</x:f>
      </x:c>
      <x:c r="Q52" s="54" t="str">
        <x:f>IF(ISBLANK('Deal_Master_Wide'!$BX$10),"",'Deal_Master_Wide'!$BX$10)</x:f>
      </x:c>
      <x:c r="R52" s="54" t="str">
        <x:f>IF(ISBLANK('Deal_Master_Wide'!$CE$10),"",'Deal_Master_Wide'!$CE$10)</x:f>
      </x:c>
      <x:c r="S52" s="54" t="str">
        <x:f>IF(ISBLANK('Deal_Master_Wide'!$CL$10),"",'Deal_Master_Wide'!$CL$10)</x:f>
      </x:c>
      <x:c r="T52" s="54" t="str">
        <x:f>IF(ISBLANK('Deal_Master_Wide'!$CS$10),"",'Deal_Master_Wide'!$CS$10)</x:f>
      </x:c>
      <x:c r="U52" s="54" t="str">
        <x:f>IF(ISBLANK('Deal_Master_Wide'!$CZ$10),"",'Deal_Master_Wide'!$CZ$10)</x:f>
      </x:c>
      <x:c r="V52" s="56" t="str">
        <x:f>IF(ISBLANK('Deal_Master_Wide'!$DG$10),"",'Deal_Master_Wide'!$DG$10)</x:f>
      </x:c>
      <x:c r="W52" s="56" t="str">
        <x:f>IF(ISBLANK('Deal_Master_Wide'!$DN$10),"",'Deal_Master_Wide'!$DN$10)</x:f>
      </x:c>
      <x:c r="X52" s="56" t="str">
        <x:f>IF(ISBLANK('Deal_Master_Wide'!$DU$10),"",'Deal_Master_Wide'!$DU$10)</x:f>
      </x:c>
      <x:c r="Y52" s="54" t="str">
        <x:f>IF(ISBLANK('Deal_Master_Wide'!$EB$10),"",'Deal_Master_Wide'!$EB$10)</x:f>
      </x:c>
      <x:c r="Z52" s="54" t="str">
        <x:f>IF(ISBLANK('Deal_Master_Wide'!$EI$10),"",'Deal_Master_Wide'!$EI$10)</x:f>
      </x:c>
      <x:c r="AA52" s="52" t="str">
        <x:f>IF(ISBLANK('Deal_Master_Wide'!$AL$10),"",'Deal_Master_Wide'!$AL$10)</x:f>
        <x:v>Unknown</x:v>
      </x:c>
      <x:c r="AB52" s="54" t="str">
        <x:f>IF(ISBLANK('Deal_Master_Wide'!$AF$10),"",'Deal_Master_Wide'!$AF$10)</x:f>
      </x:c>
      <x:c r="AC52" s="52" t="str">
        <x:f>IF(COUNT($P52,$Q52,$R52,$S52,$T52,$U52,$V52,$W52,$X52)=9,"Yes","No")</x:f>
        <x:v>No</x:v>
      </x:c>
      <x:c r="AD52" s="52" t="str">
        <x:f>IF(COUNT($Y52,$Z52)=2,"Yes","No")</x:f>
        <x:v>No</x:v>
      </x:c>
      <x:c r="AE52" s="50" t="str"/>
      <x:c r="AF52" t="str"/>
    </x:row>
    <x:row r="53" ht="20" customHeight="1">
      <x:c r="A53" s="50" t="str">
        <x:v>TRT-0008</x:v>
      </x:c>
      <x:c r="B53" s="50" t="str">
        <x:v>Candidate treatment group</x:v>
      </x:c>
      <x:c r="C53" s="52" t="str">
        <x:f>IF('Deal_Master_Wide'!$AU$10="","",'Deal_Master_Wide'!$AU$10)</x:f>
        <x:v>Not reviewed</x:v>
      </x:c>
      <x:c r="D53" s="52" t="str">
        <x:f>IF('Deal_Master_Wide'!$AV$10="","",'Deal_Master_Wide'!$AV$10)</x:f>
        <x:v>Not assessed</x:v>
      </x:c>
      <x:c r="E53" s="50" t="n">
        <x:v>1</x:v>
      </x:c>
      <x:c r="F53" s="52" t="str">
        <x:f>IF(OR($C53="High-confidence innovation-driven",$C53="Medium-confidence innovation-driven"),1,IF($C53="Clear alternative-rationale",0,""))</x:f>
      </x:c>
      <x:c r="G53" s="52" t="str">
        <x:f>IF('Deal_Master_Wide'!$M$10="","",'Deal_Master_Wide'!$M$10)</x:f>
        <x:v>Review</x:v>
      </x:c>
      <x:c r="H53" s="50" t="str">
        <x:v>Ingenza Ltd</x:v>
      </x:c>
      <x:c r="I53" s="50" t="str">
        <x:v>Amprologix Ltd</x:v>
      </x:c>
      <x:c r="J53" s="50" t="n">
        <x:v>2018</x:v>
      </x:c>
      <x:c r="K53" s="50" t="n">
        <x:v>-1</x:v>
      </x:c>
      <x:c r="L53" s="50" t="n">
        <x:v>2017</x:v>
      </x:c>
      <x:c r="M53" s="50" t="n">
        <x:v>0</x:v>
      </x:c>
      <x:c r="N53" s="50" t="n">
        <x:v>0</x:v>
      </x:c>
      <x:c r="O53" s="52" t="str">
        <x:f>IF($F53="","",$F53*$M53)</x:f>
      </x:c>
      <x:c r="P53" s="54" t="str">
        <x:f>IF(ISBLANK('Deal_Master_Wide'!$BR$10),"",'Deal_Master_Wide'!$BR$10)</x:f>
      </x:c>
      <x:c r="Q53" s="54" t="str">
        <x:f>IF(ISBLANK('Deal_Master_Wide'!$BY$10),"",'Deal_Master_Wide'!$BY$10)</x:f>
      </x:c>
      <x:c r="R53" s="54" t="str">
        <x:f>IF(ISBLANK('Deal_Master_Wide'!$CF$10),"",'Deal_Master_Wide'!$CF$10)</x:f>
      </x:c>
      <x:c r="S53" s="54" t="str">
        <x:f>IF(ISBLANK('Deal_Master_Wide'!$CM$10),"",'Deal_Master_Wide'!$CM$10)</x:f>
      </x:c>
      <x:c r="T53" s="54" t="str">
        <x:f>IF(ISBLANK('Deal_Master_Wide'!$CT$10),"",'Deal_Master_Wide'!$CT$10)</x:f>
      </x:c>
      <x:c r="U53" s="54" t="str">
        <x:f>IF(ISBLANK('Deal_Master_Wide'!$DA$10),"",'Deal_Master_Wide'!$DA$10)</x:f>
      </x:c>
      <x:c r="V53" s="56" t="str">
        <x:f>IF(ISBLANK('Deal_Master_Wide'!$DH$10),"",'Deal_Master_Wide'!$DH$10)</x:f>
      </x:c>
      <x:c r="W53" s="56" t="str">
        <x:f>IF(ISBLANK('Deal_Master_Wide'!$DO$10),"",'Deal_Master_Wide'!$DO$10)</x:f>
      </x:c>
      <x:c r="X53" s="56" t="str">
        <x:f>IF(ISBLANK('Deal_Master_Wide'!$DV$10),"",'Deal_Master_Wide'!$DV$10)</x:f>
      </x:c>
      <x:c r="Y53" s="54" t="str">
        <x:f>IF(ISBLANK('Deal_Master_Wide'!$EC$10),"",'Deal_Master_Wide'!$EC$10)</x:f>
      </x:c>
      <x:c r="Z53" s="54" t="str">
        <x:f>IF(ISBLANK('Deal_Master_Wide'!$EJ$10),"",'Deal_Master_Wide'!$EJ$10)</x:f>
      </x:c>
      <x:c r="AA53" s="52" t="str">
        <x:f>IF(ISBLANK('Deal_Master_Wide'!$AL$10),"",'Deal_Master_Wide'!$AL$10)</x:f>
        <x:v>Unknown</x:v>
      </x:c>
      <x:c r="AB53" s="54" t="str">
        <x:f>IF(ISBLANK('Deal_Master_Wide'!$AF$10),"",'Deal_Master_Wide'!$AF$10)</x:f>
      </x:c>
      <x:c r="AC53" s="52" t="str">
        <x:f>IF(COUNT($P53,$Q53,$R53,$S53,$T53,$U53,$V53,$W53,$X53)=9,"Yes","No")</x:f>
        <x:v>No</x:v>
      </x:c>
      <x:c r="AD53" s="52" t="str">
        <x:f>IF(COUNT($Y53,$Z53)=2,"Yes","No")</x:f>
        <x:v>No</x:v>
      </x:c>
      <x:c r="AE53" s="50" t="str"/>
      <x:c r="AF53" t="str"/>
    </x:row>
    <x:row r="54" ht="20" customHeight="1">
      <x:c r="A54" s="50" t="str">
        <x:v>TRT-0008</x:v>
      </x:c>
      <x:c r="B54" s="50" t="str">
        <x:v>Candidate treatment group</x:v>
      </x:c>
      <x:c r="C54" s="52" t="str">
        <x:f>IF('Deal_Master_Wide'!$AU$10="","",'Deal_Master_Wide'!$AU$10)</x:f>
        <x:v>Not reviewed</x:v>
      </x:c>
      <x:c r="D54" s="52" t="str">
        <x:f>IF('Deal_Master_Wide'!$AV$10="","",'Deal_Master_Wide'!$AV$10)</x:f>
        <x:v>Not assessed</x:v>
      </x:c>
      <x:c r="E54" s="50" t="n">
        <x:v>1</x:v>
      </x:c>
      <x:c r="F54" s="52" t="str">
        <x:f>IF(OR($C54="High-confidence innovation-driven",$C54="Medium-confidence innovation-driven"),1,IF($C54="Clear alternative-rationale",0,""))</x:f>
      </x:c>
      <x:c r="G54" s="52" t="str">
        <x:f>IF('Deal_Master_Wide'!$M$10="","",'Deal_Master_Wide'!$M$10)</x:f>
        <x:v>Review</x:v>
      </x:c>
      <x:c r="H54" s="50" t="str">
        <x:v>Ingenza Ltd</x:v>
      </x:c>
      <x:c r="I54" s="50" t="str">
        <x:v>Amprologix Ltd</x:v>
      </x:c>
      <x:c r="J54" s="50" t="n">
        <x:v>2018</x:v>
      </x:c>
      <x:c r="K54" s="50" t="n">
        <x:v>0</x:v>
      </x:c>
      <x:c r="L54" s="50" t="n">
        <x:v>2018</x:v>
      </x:c>
      <x:c r="M54" s="50" t="n">
        <x:v>0</x:v>
      </x:c>
      <x:c r="N54" s="50" t="n">
        <x:v>1</x:v>
      </x:c>
      <x:c r="O54" s="52" t="str">
        <x:f>IF($F54="","",$F54*$M54)</x:f>
      </x:c>
      <x:c r="P54" s="54" t="str">
        <x:f>IF(ISBLANK('Deal_Master_Wide'!$BS$10),"",'Deal_Master_Wide'!$BS$10)</x:f>
      </x:c>
      <x:c r="Q54" s="54" t="str">
        <x:f>IF(ISBLANK('Deal_Master_Wide'!$BZ$10),"",'Deal_Master_Wide'!$BZ$10)</x:f>
      </x:c>
      <x:c r="R54" s="54" t="str">
        <x:f>IF(ISBLANK('Deal_Master_Wide'!$CG$10),"",'Deal_Master_Wide'!$CG$10)</x:f>
      </x:c>
      <x:c r="S54" s="54" t="str">
        <x:f>IF(ISBLANK('Deal_Master_Wide'!$CN$10),"",'Deal_Master_Wide'!$CN$10)</x:f>
      </x:c>
      <x:c r="T54" s="54" t="str">
        <x:f>IF(ISBLANK('Deal_Master_Wide'!$CU$10),"",'Deal_Master_Wide'!$CU$10)</x:f>
      </x:c>
      <x:c r="U54" s="54" t="str">
        <x:f>IF(ISBLANK('Deal_Master_Wide'!$DB$10),"",'Deal_Master_Wide'!$DB$10)</x:f>
      </x:c>
      <x:c r="V54" s="56" t="str">
        <x:f>IF(ISBLANK('Deal_Master_Wide'!$DI$10),"",'Deal_Master_Wide'!$DI$10)</x:f>
      </x:c>
      <x:c r="W54" s="56" t="str">
        <x:f>IF(ISBLANK('Deal_Master_Wide'!$DP$10),"",'Deal_Master_Wide'!$DP$10)</x:f>
      </x:c>
      <x:c r="X54" s="56" t="str">
        <x:f>IF(ISBLANK('Deal_Master_Wide'!$DW$10),"",'Deal_Master_Wide'!$DW$10)</x:f>
      </x:c>
      <x:c r="Y54" s="54" t="str">
        <x:f>IF(ISBLANK('Deal_Master_Wide'!$ED$10),"",'Deal_Master_Wide'!$ED$10)</x:f>
      </x:c>
      <x:c r="Z54" s="54" t="str">
        <x:f>IF(ISBLANK('Deal_Master_Wide'!$EK$10),"",'Deal_Master_Wide'!$EK$10)</x:f>
      </x:c>
      <x:c r="AA54" s="52" t="str">
        <x:f>IF(ISBLANK('Deal_Master_Wide'!$AL$10),"",'Deal_Master_Wide'!$AL$10)</x:f>
        <x:v>Unknown</x:v>
      </x:c>
      <x:c r="AB54" s="54" t="str">
        <x:f>IF(ISBLANK('Deal_Master_Wide'!$AF$10),"",'Deal_Master_Wide'!$AF$10)</x:f>
      </x:c>
      <x:c r="AC54" s="52" t="str">
        <x:f>IF(COUNT($P54,$Q54,$R54,$S54,$T54,$U54,$V54,$W54,$X54)=9,"Yes","No")</x:f>
        <x:v>No</x:v>
      </x:c>
      <x:c r="AD54" s="52" t="str">
        <x:f>IF(COUNT($Y54,$Z54)=2,"Yes","No")</x:f>
        <x:v>No</x:v>
      </x:c>
      <x:c r="AE54" s="50" t="str"/>
      <x:c r="AF54" t="str"/>
    </x:row>
    <x:row r="55" ht="20" customHeight="1">
      <x:c r="A55" s="50" t="str">
        <x:v>TRT-0008</x:v>
      </x:c>
      <x:c r="B55" s="50" t="str">
        <x:v>Candidate treatment group</x:v>
      </x:c>
      <x:c r="C55" s="52" t="str">
        <x:f>IF('Deal_Master_Wide'!$AU$10="","",'Deal_Master_Wide'!$AU$10)</x:f>
        <x:v>Not reviewed</x:v>
      </x:c>
      <x:c r="D55" s="52" t="str">
        <x:f>IF('Deal_Master_Wide'!$AV$10="","",'Deal_Master_Wide'!$AV$10)</x:f>
        <x:v>Not assessed</x:v>
      </x:c>
      <x:c r="E55" s="50" t="n">
        <x:v>1</x:v>
      </x:c>
      <x:c r="F55" s="52" t="str">
        <x:f>IF(OR($C55="High-confidence innovation-driven",$C55="Medium-confidence innovation-driven"),1,IF($C55="Clear alternative-rationale",0,""))</x:f>
      </x:c>
      <x:c r="G55" s="52" t="str">
        <x:f>IF('Deal_Master_Wide'!$M$10="","",'Deal_Master_Wide'!$M$10)</x:f>
        <x:v>Review</x:v>
      </x:c>
      <x:c r="H55" s="50" t="str">
        <x:v>Ingenza Ltd</x:v>
      </x:c>
      <x:c r="I55" s="50" t="str">
        <x:v>Amprologix Ltd</x:v>
      </x:c>
      <x:c r="J55" s="50" t="n">
        <x:v>2018</x:v>
      </x:c>
      <x:c r="K55" s="50" t="n">
        <x:v>1</x:v>
      </x:c>
      <x:c r="L55" s="50" t="n">
        <x:v>2019</x:v>
      </x:c>
      <x:c r="M55" s="50" t="n">
        <x:v>1</x:v>
      </x:c>
      <x:c r="N55" s="50" t="n">
        <x:v>1</x:v>
      </x:c>
      <x:c r="O55" s="52" t="str">
        <x:f>IF($F55="","",$F55*$M55)</x:f>
      </x:c>
      <x:c r="P55" s="54" t="str">
        <x:f>IF(ISBLANK('Deal_Master_Wide'!$BT$10),"",'Deal_Master_Wide'!$BT$10)</x:f>
      </x:c>
      <x:c r="Q55" s="54" t="str">
        <x:f>IF(ISBLANK('Deal_Master_Wide'!$CA$10),"",'Deal_Master_Wide'!$CA$10)</x:f>
      </x:c>
      <x:c r="R55" s="54" t="str">
        <x:f>IF(ISBLANK('Deal_Master_Wide'!$CH$10),"",'Deal_Master_Wide'!$CH$10)</x:f>
      </x:c>
      <x:c r="S55" s="54" t="str">
        <x:f>IF(ISBLANK('Deal_Master_Wide'!$CO$10),"",'Deal_Master_Wide'!$CO$10)</x:f>
      </x:c>
      <x:c r="T55" s="54" t="str">
        <x:f>IF(ISBLANK('Deal_Master_Wide'!$CV$10),"",'Deal_Master_Wide'!$CV$10)</x:f>
      </x:c>
      <x:c r="U55" s="54" t="str">
        <x:f>IF(ISBLANK('Deal_Master_Wide'!$DC$10),"",'Deal_Master_Wide'!$DC$10)</x:f>
      </x:c>
      <x:c r="V55" s="56" t="str">
        <x:f>IF(ISBLANK('Deal_Master_Wide'!$DJ$10),"",'Deal_Master_Wide'!$DJ$10)</x:f>
      </x:c>
      <x:c r="W55" s="56" t="str">
        <x:f>IF(ISBLANK('Deal_Master_Wide'!$DQ$10),"",'Deal_Master_Wide'!$DQ$10)</x:f>
      </x:c>
      <x:c r="X55" s="56" t="str">
        <x:f>IF(ISBLANK('Deal_Master_Wide'!$DX$10),"",'Deal_Master_Wide'!$DX$10)</x:f>
      </x:c>
      <x:c r="Y55" s="54" t="str">
        <x:f>IF(ISBLANK('Deal_Master_Wide'!$EE$10),"",'Deal_Master_Wide'!$EE$10)</x:f>
      </x:c>
      <x:c r="Z55" s="54" t="str">
        <x:f>IF(ISBLANK('Deal_Master_Wide'!$EL$10),"",'Deal_Master_Wide'!$EL$10)</x:f>
      </x:c>
      <x:c r="AA55" s="52" t="str">
        <x:f>IF(ISBLANK('Deal_Master_Wide'!$AL$10),"",'Deal_Master_Wide'!$AL$10)</x:f>
        <x:v>Unknown</x:v>
      </x:c>
      <x:c r="AB55" s="54" t="str">
        <x:f>IF(ISBLANK('Deal_Master_Wide'!$AF$10),"",'Deal_Master_Wide'!$AF$10)</x:f>
      </x:c>
      <x:c r="AC55" s="52" t="str">
        <x:f>IF(COUNT($P55,$Q55,$R55,$S55,$T55,$U55,$V55,$W55,$X55)=9,"Yes","No")</x:f>
        <x:v>No</x:v>
      </x:c>
      <x:c r="AD55" s="52" t="str">
        <x:f>IF(COUNT($Y55,$Z55)=2,"Yes","No")</x:f>
        <x:v>No</x:v>
      </x:c>
      <x:c r="AE55" s="50" t="str"/>
      <x:c r="AF55" t="str"/>
    </x:row>
    <x:row r="56" ht="20" customHeight="1">
      <x:c r="A56" s="50" t="str">
        <x:v>TRT-0008</x:v>
      </x:c>
      <x:c r="B56" s="50" t="str">
        <x:v>Candidate treatment group</x:v>
      </x:c>
      <x:c r="C56" s="52" t="str">
        <x:f>IF('Deal_Master_Wide'!$AU$10="","",'Deal_Master_Wide'!$AU$10)</x:f>
        <x:v>Not reviewed</x:v>
      </x:c>
      <x:c r="D56" s="52" t="str">
        <x:f>IF('Deal_Master_Wide'!$AV$10="","",'Deal_Master_Wide'!$AV$10)</x:f>
        <x:v>Not assessed</x:v>
      </x:c>
      <x:c r="E56" s="50" t="n">
        <x:v>1</x:v>
      </x:c>
      <x:c r="F56" s="52" t="str">
        <x:f>IF(OR($C56="High-confidence innovation-driven",$C56="Medium-confidence innovation-driven"),1,IF($C56="Clear alternative-rationale",0,""))</x:f>
      </x:c>
      <x:c r="G56" s="52" t="str">
        <x:f>IF('Deal_Master_Wide'!$M$10="","",'Deal_Master_Wide'!$M$10)</x:f>
        <x:v>Review</x:v>
      </x:c>
      <x:c r="H56" s="50" t="str">
        <x:v>Ingenza Ltd</x:v>
      </x:c>
      <x:c r="I56" s="50" t="str">
        <x:v>Amprologix Ltd</x:v>
      </x:c>
      <x:c r="J56" s="50" t="n">
        <x:v>2018</x:v>
      </x:c>
      <x:c r="K56" s="50" t="n">
        <x:v>2</x:v>
      </x:c>
      <x:c r="L56" s="50" t="n">
        <x:v>2020</x:v>
      </x:c>
      <x:c r="M56" s="50" t="n">
        <x:v>1</x:v>
      </x:c>
      <x:c r="N56" s="50" t="n">
        <x:v>1</x:v>
      </x:c>
      <x:c r="O56" s="52" t="str">
        <x:f>IF($F56="","",$F56*$M56)</x:f>
      </x:c>
      <x:c r="P56" s="54" t="str">
        <x:f>IF(ISBLANK('Deal_Master_Wide'!$BU$10),"",'Deal_Master_Wide'!$BU$10)</x:f>
      </x:c>
      <x:c r="Q56" s="54" t="str">
        <x:f>IF(ISBLANK('Deal_Master_Wide'!$CB$10),"",'Deal_Master_Wide'!$CB$10)</x:f>
      </x:c>
      <x:c r="R56" s="54" t="str">
        <x:f>IF(ISBLANK('Deal_Master_Wide'!$CI$10),"",'Deal_Master_Wide'!$CI$10)</x:f>
      </x:c>
      <x:c r="S56" s="54" t="str">
        <x:f>IF(ISBLANK('Deal_Master_Wide'!$CP$10),"",'Deal_Master_Wide'!$CP$10)</x:f>
      </x:c>
      <x:c r="T56" s="54" t="str">
        <x:f>IF(ISBLANK('Deal_Master_Wide'!$CW$10),"",'Deal_Master_Wide'!$CW$10)</x:f>
      </x:c>
      <x:c r="U56" s="54" t="str">
        <x:f>IF(ISBLANK('Deal_Master_Wide'!$DD$10),"",'Deal_Master_Wide'!$DD$10)</x:f>
      </x:c>
      <x:c r="V56" s="56" t="str">
        <x:f>IF(ISBLANK('Deal_Master_Wide'!$DK$10),"",'Deal_Master_Wide'!$DK$10)</x:f>
      </x:c>
      <x:c r="W56" s="56" t="str">
        <x:f>IF(ISBLANK('Deal_Master_Wide'!$DR$10),"",'Deal_Master_Wide'!$DR$10)</x:f>
      </x:c>
      <x:c r="X56" s="56" t="str">
        <x:f>IF(ISBLANK('Deal_Master_Wide'!$DY$10),"",'Deal_Master_Wide'!$DY$10)</x:f>
      </x:c>
      <x:c r="Y56" s="54" t="str">
        <x:f>IF(ISBLANK('Deal_Master_Wide'!$EF$10),"",'Deal_Master_Wide'!$EF$10)</x:f>
      </x:c>
      <x:c r="Z56" s="54" t="str">
        <x:f>IF(ISBLANK('Deal_Master_Wide'!$EM$10),"",'Deal_Master_Wide'!$EM$10)</x:f>
      </x:c>
      <x:c r="AA56" s="52" t="str">
        <x:f>IF(ISBLANK('Deal_Master_Wide'!$AL$10),"",'Deal_Master_Wide'!$AL$10)</x:f>
        <x:v>Unknown</x:v>
      </x:c>
      <x:c r="AB56" s="54" t="str">
        <x:f>IF(ISBLANK('Deal_Master_Wide'!$AF$10),"",'Deal_Master_Wide'!$AF$10)</x:f>
      </x:c>
      <x:c r="AC56" s="52" t="str">
        <x:f>IF(COUNT($P56,$Q56,$R56,$S56,$T56,$U56,$V56,$W56,$X56)=9,"Yes","No")</x:f>
        <x:v>No</x:v>
      </x:c>
      <x:c r="AD56" s="52" t="str">
        <x:f>IF(COUNT($Y56,$Z56)=2,"Yes","No")</x:f>
        <x:v>No</x:v>
      </x:c>
      <x:c r="AE56" s="50" t="str"/>
      <x:c r="AF56" t="str"/>
    </x:row>
    <x:row r="57" ht="20" customHeight="1">
      <x:c r="A57" s="50" t="str">
        <x:v>TRT-0008</x:v>
      </x:c>
      <x:c r="B57" s="50" t="str">
        <x:v>Candidate treatment group</x:v>
      </x:c>
      <x:c r="C57" s="52" t="str">
        <x:f>IF('Deal_Master_Wide'!$AU$10="","",'Deal_Master_Wide'!$AU$10)</x:f>
        <x:v>Not reviewed</x:v>
      </x:c>
      <x:c r="D57" s="52" t="str">
        <x:f>IF('Deal_Master_Wide'!$AV$10="","",'Deal_Master_Wide'!$AV$10)</x:f>
        <x:v>Not assessed</x:v>
      </x:c>
      <x:c r="E57" s="50" t="n">
        <x:v>1</x:v>
      </x:c>
      <x:c r="F57" s="52" t="str">
        <x:f>IF(OR($C57="High-confidence innovation-driven",$C57="Medium-confidence innovation-driven"),1,IF($C57="Clear alternative-rationale",0,""))</x:f>
      </x:c>
      <x:c r="G57" s="52" t="str">
        <x:f>IF('Deal_Master_Wide'!$M$10="","",'Deal_Master_Wide'!$M$10)</x:f>
        <x:v>Review</x:v>
      </x:c>
      <x:c r="H57" s="50" t="str">
        <x:v>Ingenza Ltd</x:v>
      </x:c>
      <x:c r="I57" s="50" t="str">
        <x:v>Amprologix Ltd</x:v>
      </x:c>
      <x:c r="J57" s="50" t="n">
        <x:v>2018</x:v>
      </x:c>
      <x:c r="K57" s="50" t="n">
        <x:v>3</x:v>
      </x:c>
      <x:c r="L57" s="50" t="n">
        <x:v>2021</x:v>
      </x:c>
      <x:c r="M57" s="50" t="n">
        <x:v>1</x:v>
      </x:c>
      <x:c r="N57" s="50" t="n">
        <x:v>1</x:v>
      </x:c>
      <x:c r="O57" s="52" t="str">
        <x:f>IF($F57="","",$F57*$M57)</x:f>
      </x:c>
      <x:c r="P57" s="54" t="str">
        <x:f>IF(ISBLANK('Deal_Master_Wide'!$BV$10),"",'Deal_Master_Wide'!$BV$10)</x:f>
      </x:c>
      <x:c r="Q57" s="54" t="str">
        <x:f>IF(ISBLANK('Deal_Master_Wide'!$CC$10),"",'Deal_Master_Wide'!$CC$10)</x:f>
      </x:c>
      <x:c r="R57" s="54" t="str">
        <x:f>IF(ISBLANK('Deal_Master_Wide'!$CJ$10),"",'Deal_Master_Wide'!$CJ$10)</x:f>
      </x:c>
      <x:c r="S57" s="54" t="str">
        <x:f>IF(ISBLANK('Deal_Master_Wide'!$CQ$10),"",'Deal_Master_Wide'!$CQ$10)</x:f>
      </x:c>
      <x:c r="T57" s="54" t="str">
        <x:f>IF(ISBLANK('Deal_Master_Wide'!$CX$10),"",'Deal_Master_Wide'!$CX$10)</x:f>
      </x:c>
      <x:c r="U57" s="54" t="str">
        <x:f>IF(ISBLANK('Deal_Master_Wide'!$DE$10),"",'Deal_Master_Wide'!$DE$10)</x:f>
      </x:c>
      <x:c r="V57" s="56" t="str">
        <x:f>IF(ISBLANK('Deal_Master_Wide'!$DL$10),"",'Deal_Master_Wide'!$DL$10)</x:f>
      </x:c>
      <x:c r="W57" s="56" t="str">
        <x:f>IF(ISBLANK('Deal_Master_Wide'!$DS$10),"",'Deal_Master_Wide'!$DS$10)</x:f>
      </x:c>
      <x:c r="X57" s="56" t="str">
        <x:f>IF(ISBLANK('Deal_Master_Wide'!$DZ$10),"",'Deal_Master_Wide'!$DZ$10)</x:f>
      </x:c>
      <x:c r="Y57" s="54" t="str">
        <x:f>IF(ISBLANK('Deal_Master_Wide'!$EG$10),"",'Deal_Master_Wide'!$EG$10)</x:f>
      </x:c>
      <x:c r="Z57" s="54" t="str">
        <x:f>IF(ISBLANK('Deal_Master_Wide'!$EN$10),"",'Deal_Master_Wide'!$EN$10)</x:f>
      </x:c>
      <x:c r="AA57" s="52" t="str">
        <x:f>IF(ISBLANK('Deal_Master_Wide'!$AL$10),"",'Deal_Master_Wide'!$AL$10)</x:f>
        <x:v>Unknown</x:v>
      </x:c>
      <x:c r="AB57" s="54" t="str">
        <x:f>IF(ISBLANK('Deal_Master_Wide'!$AF$10),"",'Deal_Master_Wide'!$AF$10)</x:f>
      </x:c>
      <x:c r="AC57" s="52" t="str">
        <x:f>IF(COUNT($P57,$Q57,$R57,$S57,$T57,$U57,$V57,$W57,$X57)=9,"Yes","No")</x:f>
        <x:v>No</x:v>
      </x:c>
      <x:c r="AD57" s="52" t="str">
        <x:f>IF(COUNT($Y57,$Z57)=2,"Yes","No")</x:f>
        <x:v>No</x:v>
      </x:c>
      <x:c r="AE57" s="50" t="str"/>
      <x:c r="AF57" t="str"/>
    </x:row>
    <x:row r="58" ht="20" customHeight="1">
      <x:c r="A58" s="50" t="str">
        <x:v>TRT-0009</x:v>
      </x:c>
      <x:c r="B58" s="50" t="str">
        <x:v>Candidate treatment group</x:v>
      </x:c>
      <x:c r="C58" s="52" t="str">
        <x:f>IF('Deal_Master_Wide'!$AU$11="","",'Deal_Master_Wide'!$AU$11)</x:f>
        <x:v>Not reviewed</x:v>
      </x:c>
      <x:c r="D58" s="52" t="str">
        <x:f>IF('Deal_Master_Wide'!$AV$11="","",'Deal_Master_Wide'!$AV$11)</x:f>
        <x:v>Not assessed</x:v>
      </x:c>
      <x:c r="E58" s="50" t="n">
        <x:v>1</x:v>
      </x:c>
      <x:c r="F58" s="52" t="str">
        <x:f>IF(OR($C58="High-confidence innovation-driven",$C58="Medium-confidence innovation-driven"),1,IF($C58="Clear alternative-rationale",0,""))</x:f>
      </x:c>
      <x:c r="G58" s="52" t="str">
        <x:f>IF('Deal_Master_Wide'!$M$11="","",'Deal_Master_Wide'!$M$11)</x:f>
        <x:v>Review</x:v>
      </x:c>
      <x:c r="H58" s="50" t="str">
        <x:v>Telix Pharmaceuticals Ltd</x:v>
      </x:c>
      <x:c r="I58" s="50" t="str">
        <x:v>ATLAB Pharma SAS</x:v>
      </x:c>
      <x:c r="J58" s="50" t="n">
        <x:v>2018</x:v>
      </x:c>
      <x:c r="K58" s="50" t="n">
        <x:v>-3</x:v>
      </x:c>
      <x:c r="L58" s="50" t="n">
        <x:v>2015</x:v>
      </x:c>
      <x:c r="M58" s="50" t="n">
        <x:v>0</x:v>
      </x:c>
      <x:c r="N58" s="50" t="n">
        <x:v>0</x:v>
      </x:c>
      <x:c r="O58" s="52" t="str">
        <x:f>IF($F58="","",$F58*$M58)</x:f>
      </x:c>
      <x:c r="P58" s="54" t="str">
        <x:f>IF(ISBLANK('Deal_Master_Wide'!$BP$11),"",'Deal_Master_Wide'!$BP$11)</x:f>
      </x:c>
      <x:c r="Q58" s="54" t="str">
        <x:f>IF(ISBLANK('Deal_Master_Wide'!$BW$11),"",'Deal_Master_Wide'!$BW$11)</x:f>
      </x:c>
      <x:c r="R58" s="54" t="str">
        <x:f>IF(ISBLANK('Deal_Master_Wide'!$CD$11),"",'Deal_Master_Wide'!$CD$11)</x:f>
      </x:c>
      <x:c r="S58" s="54" t="str">
        <x:f>IF(ISBLANK('Deal_Master_Wide'!$CK$11),"",'Deal_Master_Wide'!$CK$11)</x:f>
      </x:c>
      <x:c r="T58" s="54" t="str">
        <x:f>IF(ISBLANK('Deal_Master_Wide'!$CR$11),"",'Deal_Master_Wide'!$CR$11)</x:f>
      </x:c>
      <x:c r="U58" s="54" t="str">
        <x:f>IF(ISBLANK('Deal_Master_Wide'!$CY$11),"",'Deal_Master_Wide'!$CY$11)</x:f>
      </x:c>
      <x:c r="V58" s="56" t="str">
        <x:f>IF(ISBLANK('Deal_Master_Wide'!$DF$11),"",'Deal_Master_Wide'!$DF$11)</x:f>
      </x:c>
      <x:c r="W58" s="56" t="str">
        <x:f>IF(ISBLANK('Deal_Master_Wide'!$DM$11),"",'Deal_Master_Wide'!$DM$11)</x:f>
      </x:c>
      <x:c r="X58" s="56" t="str">
        <x:f>IF(ISBLANK('Deal_Master_Wide'!$DT$11),"",'Deal_Master_Wide'!$DT$11)</x:f>
      </x:c>
      <x:c r="Y58" s="54" t="str">
        <x:f>IF(ISBLANK('Deal_Master_Wide'!$EA$11),"",'Deal_Master_Wide'!$EA$11)</x:f>
      </x:c>
      <x:c r="Z58" s="54" t="str">
        <x:f>IF(ISBLANK('Deal_Master_Wide'!$EH$11),"",'Deal_Master_Wide'!$EH$11)</x:f>
      </x:c>
      <x:c r="AA58" s="52" t="str">
        <x:f>IF(ISBLANK('Deal_Master_Wide'!$AL$11),"",'Deal_Master_Wide'!$AL$11)</x:f>
        <x:v>Unknown</x:v>
      </x:c>
      <x:c r="AB58" s="54" t="n">
        <x:f>IF(ISBLANK('Deal_Master_Wide'!$AF$11),"",'Deal_Master_Wide'!$AF$11)</x:f>
        <x:v>10</x:v>
      </x:c>
      <x:c r="AC58" s="52" t="str">
        <x:f>IF(COUNT($P58,$Q58,$R58,$S58,$T58,$U58,$V58,$W58,$X58)=9,"Yes","No")</x:f>
        <x:v>No</x:v>
      </x:c>
      <x:c r="AD58" s="52" t="str">
        <x:f>IF(COUNT($Y58,$Z58)=2,"Yes","No")</x:f>
        <x:v>No</x:v>
      </x:c>
      <x:c r="AE58" s="50" t="str"/>
      <x:c r="AF58" t="str"/>
    </x:row>
    <x:row r="59" ht="20" customHeight="1">
      <x:c r="A59" s="50" t="str">
        <x:v>TRT-0009</x:v>
      </x:c>
      <x:c r="B59" s="50" t="str">
        <x:v>Candidate treatment group</x:v>
      </x:c>
      <x:c r="C59" s="52" t="str">
        <x:f>IF('Deal_Master_Wide'!$AU$11="","",'Deal_Master_Wide'!$AU$11)</x:f>
        <x:v>Not reviewed</x:v>
      </x:c>
      <x:c r="D59" s="52" t="str">
        <x:f>IF('Deal_Master_Wide'!$AV$11="","",'Deal_Master_Wide'!$AV$11)</x:f>
        <x:v>Not assessed</x:v>
      </x:c>
      <x:c r="E59" s="50" t="n">
        <x:v>1</x:v>
      </x:c>
      <x:c r="F59" s="52" t="str">
        <x:f>IF(OR($C59="High-confidence innovation-driven",$C59="Medium-confidence innovation-driven"),1,IF($C59="Clear alternative-rationale",0,""))</x:f>
      </x:c>
      <x:c r="G59" s="52" t="str">
        <x:f>IF('Deal_Master_Wide'!$M$11="","",'Deal_Master_Wide'!$M$11)</x:f>
        <x:v>Review</x:v>
      </x:c>
      <x:c r="H59" s="50" t="str">
        <x:v>Telix Pharmaceuticals Ltd</x:v>
      </x:c>
      <x:c r="I59" s="50" t="str">
        <x:v>ATLAB Pharma SAS</x:v>
      </x:c>
      <x:c r="J59" s="50" t="n">
        <x:v>2018</x:v>
      </x:c>
      <x:c r="K59" s="50" t="n">
        <x:v>-2</x:v>
      </x:c>
      <x:c r="L59" s="50" t="n">
        <x:v>2016</x:v>
      </x:c>
      <x:c r="M59" s="50" t="n">
        <x:v>0</x:v>
      </x:c>
      <x:c r="N59" s="50" t="n">
        <x:v>0</x:v>
      </x:c>
      <x:c r="O59" s="52" t="str">
        <x:f>IF($F59="","",$F59*$M59)</x:f>
      </x:c>
      <x:c r="P59" s="54" t="str">
        <x:f>IF(ISBLANK('Deal_Master_Wide'!$BQ$11),"",'Deal_Master_Wide'!$BQ$11)</x:f>
      </x:c>
      <x:c r="Q59" s="54" t="str">
        <x:f>IF(ISBLANK('Deal_Master_Wide'!$BX$11),"",'Deal_Master_Wide'!$BX$11)</x:f>
      </x:c>
      <x:c r="R59" s="54" t="str">
        <x:f>IF(ISBLANK('Deal_Master_Wide'!$CE$11),"",'Deal_Master_Wide'!$CE$11)</x:f>
      </x:c>
      <x:c r="S59" s="54" t="str">
        <x:f>IF(ISBLANK('Deal_Master_Wide'!$CL$11),"",'Deal_Master_Wide'!$CL$11)</x:f>
      </x:c>
      <x:c r="T59" s="54" t="str">
        <x:f>IF(ISBLANK('Deal_Master_Wide'!$CS$11),"",'Deal_Master_Wide'!$CS$11)</x:f>
      </x:c>
      <x:c r="U59" s="54" t="str">
        <x:f>IF(ISBLANK('Deal_Master_Wide'!$CZ$11),"",'Deal_Master_Wide'!$CZ$11)</x:f>
      </x:c>
      <x:c r="V59" s="56" t="str">
        <x:f>IF(ISBLANK('Deal_Master_Wide'!$DG$11),"",'Deal_Master_Wide'!$DG$11)</x:f>
      </x:c>
      <x:c r="W59" s="56" t="str">
        <x:f>IF(ISBLANK('Deal_Master_Wide'!$DN$11),"",'Deal_Master_Wide'!$DN$11)</x:f>
      </x:c>
      <x:c r="X59" s="56" t="str">
        <x:f>IF(ISBLANK('Deal_Master_Wide'!$DU$11),"",'Deal_Master_Wide'!$DU$11)</x:f>
      </x:c>
      <x:c r="Y59" s="54" t="str">
        <x:f>IF(ISBLANK('Deal_Master_Wide'!$EB$11),"",'Deal_Master_Wide'!$EB$11)</x:f>
      </x:c>
      <x:c r="Z59" s="54" t="str">
        <x:f>IF(ISBLANK('Deal_Master_Wide'!$EI$11),"",'Deal_Master_Wide'!$EI$11)</x:f>
      </x:c>
      <x:c r="AA59" s="52" t="str">
        <x:f>IF(ISBLANK('Deal_Master_Wide'!$AL$11),"",'Deal_Master_Wide'!$AL$11)</x:f>
        <x:v>Unknown</x:v>
      </x:c>
      <x:c r="AB59" s="54" t="n">
        <x:f>IF(ISBLANK('Deal_Master_Wide'!$AF$11),"",'Deal_Master_Wide'!$AF$11)</x:f>
        <x:v>10</x:v>
      </x:c>
      <x:c r="AC59" s="52" t="str">
        <x:f>IF(COUNT($P59,$Q59,$R59,$S59,$T59,$U59,$V59,$W59,$X59)=9,"Yes","No")</x:f>
        <x:v>No</x:v>
      </x:c>
      <x:c r="AD59" s="52" t="str">
        <x:f>IF(COUNT($Y59,$Z59)=2,"Yes","No")</x:f>
        <x:v>No</x:v>
      </x:c>
      <x:c r="AE59" s="50" t="str"/>
      <x:c r="AF59" t="str"/>
    </x:row>
    <x:row r="60" ht="20" customHeight="1">
      <x:c r="A60" s="50" t="str">
        <x:v>TRT-0009</x:v>
      </x:c>
      <x:c r="B60" s="50" t="str">
        <x:v>Candidate treatment group</x:v>
      </x:c>
      <x:c r="C60" s="52" t="str">
        <x:f>IF('Deal_Master_Wide'!$AU$11="","",'Deal_Master_Wide'!$AU$11)</x:f>
        <x:v>Not reviewed</x:v>
      </x:c>
      <x:c r="D60" s="52" t="str">
        <x:f>IF('Deal_Master_Wide'!$AV$11="","",'Deal_Master_Wide'!$AV$11)</x:f>
        <x:v>Not assessed</x:v>
      </x:c>
      <x:c r="E60" s="50" t="n">
        <x:v>1</x:v>
      </x:c>
      <x:c r="F60" s="52" t="str">
        <x:f>IF(OR($C60="High-confidence innovation-driven",$C60="Medium-confidence innovation-driven"),1,IF($C60="Clear alternative-rationale",0,""))</x:f>
      </x:c>
      <x:c r="G60" s="52" t="str">
        <x:f>IF('Deal_Master_Wide'!$M$11="","",'Deal_Master_Wide'!$M$11)</x:f>
        <x:v>Review</x:v>
      </x:c>
      <x:c r="H60" s="50" t="str">
        <x:v>Telix Pharmaceuticals Ltd</x:v>
      </x:c>
      <x:c r="I60" s="50" t="str">
        <x:v>ATLAB Pharma SAS</x:v>
      </x:c>
      <x:c r="J60" s="50" t="n">
        <x:v>2018</x:v>
      </x:c>
      <x:c r="K60" s="50" t="n">
        <x:v>-1</x:v>
      </x:c>
      <x:c r="L60" s="50" t="n">
        <x:v>2017</x:v>
      </x:c>
      <x:c r="M60" s="50" t="n">
        <x:v>0</x:v>
      </x:c>
      <x:c r="N60" s="50" t="n">
        <x:v>0</x:v>
      </x:c>
      <x:c r="O60" s="52" t="str">
        <x:f>IF($F60="","",$F60*$M60)</x:f>
      </x:c>
      <x:c r="P60" s="54" t="str">
        <x:f>IF(ISBLANK('Deal_Master_Wide'!$BR$11),"",'Deal_Master_Wide'!$BR$11)</x:f>
      </x:c>
      <x:c r="Q60" s="54" t="str">
        <x:f>IF(ISBLANK('Deal_Master_Wide'!$BY$11),"",'Deal_Master_Wide'!$BY$11)</x:f>
      </x:c>
      <x:c r="R60" s="54" t="str">
        <x:f>IF(ISBLANK('Deal_Master_Wide'!$CF$11),"",'Deal_Master_Wide'!$CF$11)</x:f>
      </x:c>
      <x:c r="S60" s="54" t="str">
        <x:f>IF(ISBLANK('Deal_Master_Wide'!$CM$11),"",'Deal_Master_Wide'!$CM$11)</x:f>
      </x:c>
      <x:c r="T60" s="54" t="str">
        <x:f>IF(ISBLANK('Deal_Master_Wide'!$CT$11),"",'Deal_Master_Wide'!$CT$11)</x:f>
      </x:c>
      <x:c r="U60" s="54" t="str">
        <x:f>IF(ISBLANK('Deal_Master_Wide'!$DA$11),"",'Deal_Master_Wide'!$DA$11)</x:f>
      </x:c>
      <x:c r="V60" s="56" t="str">
        <x:f>IF(ISBLANK('Deal_Master_Wide'!$DH$11),"",'Deal_Master_Wide'!$DH$11)</x:f>
      </x:c>
      <x:c r="W60" s="56" t="str">
        <x:f>IF(ISBLANK('Deal_Master_Wide'!$DO$11),"",'Deal_Master_Wide'!$DO$11)</x:f>
      </x:c>
      <x:c r="X60" s="56" t="str">
        <x:f>IF(ISBLANK('Deal_Master_Wide'!$DV$11),"",'Deal_Master_Wide'!$DV$11)</x:f>
      </x:c>
      <x:c r="Y60" s="54" t="str">
        <x:f>IF(ISBLANK('Deal_Master_Wide'!$EC$11),"",'Deal_Master_Wide'!$EC$11)</x:f>
      </x:c>
      <x:c r="Z60" s="54" t="str">
        <x:f>IF(ISBLANK('Deal_Master_Wide'!$EJ$11),"",'Deal_Master_Wide'!$EJ$11)</x:f>
      </x:c>
      <x:c r="AA60" s="52" t="str">
        <x:f>IF(ISBLANK('Deal_Master_Wide'!$AL$11),"",'Deal_Master_Wide'!$AL$11)</x:f>
        <x:v>Unknown</x:v>
      </x:c>
      <x:c r="AB60" s="54" t="n">
        <x:f>IF(ISBLANK('Deal_Master_Wide'!$AF$11),"",'Deal_Master_Wide'!$AF$11)</x:f>
        <x:v>10</x:v>
      </x:c>
      <x:c r="AC60" s="52" t="str">
        <x:f>IF(COUNT($P60,$Q60,$R60,$S60,$T60,$U60,$V60,$W60,$X60)=9,"Yes","No")</x:f>
        <x:v>No</x:v>
      </x:c>
      <x:c r="AD60" s="52" t="str">
        <x:f>IF(COUNT($Y60,$Z60)=2,"Yes","No")</x:f>
        <x:v>No</x:v>
      </x:c>
      <x:c r="AE60" s="50" t="str"/>
      <x:c r="AF60" t="str"/>
    </x:row>
    <x:row r="61" ht="20" customHeight="1">
      <x:c r="A61" s="50" t="str">
        <x:v>TRT-0009</x:v>
      </x:c>
      <x:c r="B61" s="50" t="str">
        <x:v>Candidate treatment group</x:v>
      </x:c>
      <x:c r="C61" s="52" t="str">
        <x:f>IF('Deal_Master_Wide'!$AU$11="","",'Deal_Master_Wide'!$AU$11)</x:f>
        <x:v>Not reviewed</x:v>
      </x:c>
      <x:c r="D61" s="52" t="str">
        <x:f>IF('Deal_Master_Wide'!$AV$11="","",'Deal_Master_Wide'!$AV$11)</x:f>
        <x:v>Not assessed</x:v>
      </x:c>
      <x:c r="E61" s="50" t="n">
        <x:v>1</x:v>
      </x:c>
      <x:c r="F61" s="52" t="str">
        <x:f>IF(OR($C61="High-confidence innovation-driven",$C61="Medium-confidence innovation-driven"),1,IF($C61="Clear alternative-rationale",0,""))</x:f>
      </x:c>
      <x:c r="G61" s="52" t="str">
        <x:f>IF('Deal_Master_Wide'!$M$11="","",'Deal_Master_Wide'!$M$11)</x:f>
        <x:v>Review</x:v>
      </x:c>
      <x:c r="H61" s="50" t="str">
        <x:v>Telix Pharmaceuticals Ltd</x:v>
      </x:c>
      <x:c r="I61" s="50" t="str">
        <x:v>ATLAB Pharma SAS</x:v>
      </x:c>
      <x:c r="J61" s="50" t="n">
        <x:v>2018</x:v>
      </x:c>
      <x:c r="K61" s="50" t="n">
        <x:v>0</x:v>
      </x:c>
      <x:c r="L61" s="50" t="n">
        <x:v>2018</x:v>
      </x:c>
      <x:c r="M61" s="50" t="n">
        <x:v>0</x:v>
      </x:c>
      <x:c r="N61" s="50" t="n">
        <x:v>1</x:v>
      </x:c>
      <x:c r="O61" s="52" t="str">
        <x:f>IF($F61="","",$F61*$M61)</x:f>
      </x:c>
      <x:c r="P61" s="54" t="str">
        <x:f>IF(ISBLANK('Deal_Master_Wide'!$BS$11),"",'Deal_Master_Wide'!$BS$11)</x:f>
      </x:c>
      <x:c r="Q61" s="54" t="str">
        <x:f>IF(ISBLANK('Deal_Master_Wide'!$BZ$11),"",'Deal_Master_Wide'!$BZ$11)</x:f>
      </x:c>
      <x:c r="R61" s="54" t="str">
        <x:f>IF(ISBLANK('Deal_Master_Wide'!$CG$11),"",'Deal_Master_Wide'!$CG$11)</x:f>
      </x:c>
      <x:c r="S61" s="54" t="str">
        <x:f>IF(ISBLANK('Deal_Master_Wide'!$CN$11),"",'Deal_Master_Wide'!$CN$11)</x:f>
      </x:c>
      <x:c r="T61" s="54" t="str">
        <x:f>IF(ISBLANK('Deal_Master_Wide'!$CU$11),"",'Deal_Master_Wide'!$CU$11)</x:f>
      </x:c>
      <x:c r="U61" s="54" t="str">
        <x:f>IF(ISBLANK('Deal_Master_Wide'!$DB$11),"",'Deal_Master_Wide'!$DB$11)</x:f>
      </x:c>
      <x:c r="V61" s="56" t="str">
        <x:f>IF(ISBLANK('Deal_Master_Wide'!$DI$11),"",'Deal_Master_Wide'!$DI$11)</x:f>
      </x:c>
      <x:c r="W61" s="56" t="str">
        <x:f>IF(ISBLANK('Deal_Master_Wide'!$DP$11),"",'Deal_Master_Wide'!$DP$11)</x:f>
      </x:c>
      <x:c r="X61" s="56" t="str">
        <x:f>IF(ISBLANK('Deal_Master_Wide'!$DW$11),"",'Deal_Master_Wide'!$DW$11)</x:f>
      </x:c>
      <x:c r="Y61" s="54" t="str">
        <x:f>IF(ISBLANK('Deal_Master_Wide'!$ED$11),"",'Deal_Master_Wide'!$ED$11)</x:f>
      </x:c>
      <x:c r="Z61" s="54" t="str">
        <x:f>IF(ISBLANK('Deal_Master_Wide'!$EK$11),"",'Deal_Master_Wide'!$EK$11)</x:f>
      </x:c>
      <x:c r="AA61" s="52" t="str">
        <x:f>IF(ISBLANK('Deal_Master_Wide'!$AL$11),"",'Deal_Master_Wide'!$AL$11)</x:f>
        <x:v>Unknown</x:v>
      </x:c>
      <x:c r="AB61" s="54" t="n">
        <x:f>IF(ISBLANK('Deal_Master_Wide'!$AF$11),"",'Deal_Master_Wide'!$AF$11)</x:f>
        <x:v>10</x:v>
      </x:c>
      <x:c r="AC61" s="52" t="str">
        <x:f>IF(COUNT($P61,$Q61,$R61,$S61,$T61,$U61,$V61,$W61,$X61)=9,"Yes","No")</x:f>
        <x:v>No</x:v>
      </x:c>
      <x:c r="AD61" s="52" t="str">
        <x:f>IF(COUNT($Y61,$Z61)=2,"Yes","No")</x:f>
        <x:v>No</x:v>
      </x:c>
      <x:c r="AE61" s="50" t="str"/>
      <x:c r="AF61" t="str"/>
    </x:row>
    <x:row r="62" ht="20" customHeight="1">
      <x:c r="A62" s="50" t="str">
        <x:v>TRT-0009</x:v>
      </x:c>
      <x:c r="B62" s="50" t="str">
        <x:v>Candidate treatment group</x:v>
      </x:c>
      <x:c r="C62" s="52" t="str">
        <x:f>IF('Deal_Master_Wide'!$AU$11="","",'Deal_Master_Wide'!$AU$11)</x:f>
        <x:v>Not reviewed</x:v>
      </x:c>
      <x:c r="D62" s="52" t="str">
        <x:f>IF('Deal_Master_Wide'!$AV$11="","",'Deal_Master_Wide'!$AV$11)</x:f>
        <x:v>Not assessed</x:v>
      </x:c>
      <x:c r="E62" s="50" t="n">
        <x:v>1</x:v>
      </x:c>
      <x:c r="F62" s="52" t="str">
        <x:f>IF(OR($C62="High-confidence innovation-driven",$C62="Medium-confidence innovation-driven"),1,IF($C62="Clear alternative-rationale",0,""))</x:f>
      </x:c>
      <x:c r="G62" s="52" t="str">
        <x:f>IF('Deal_Master_Wide'!$M$11="","",'Deal_Master_Wide'!$M$11)</x:f>
        <x:v>Review</x:v>
      </x:c>
      <x:c r="H62" s="50" t="str">
        <x:v>Telix Pharmaceuticals Ltd</x:v>
      </x:c>
      <x:c r="I62" s="50" t="str">
        <x:v>ATLAB Pharma SAS</x:v>
      </x:c>
      <x:c r="J62" s="50" t="n">
        <x:v>2018</x:v>
      </x:c>
      <x:c r="K62" s="50" t="n">
        <x:v>1</x:v>
      </x:c>
      <x:c r="L62" s="50" t="n">
        <x:v>2019</x:v>
      </x:c>
      <x:c r="M62" s="50" t="n">
        <x:v>1</x:v>
      </x:c>
      <x:c r="N62" s="50" t="n">
        <x:v>1</x:v>
      </x:c>
      <x:c r="O62" s="52" t="str">
        <x:f>IF($F62="","",$F62*$M62)</x:f>
      </x:c>
      <x:c r="P62" s="54" t="str">
        <x:f>IF(ISBLANK('Deal_Master_Wide'!$BT$11),"",'Deal_Master_Wide'!$BT$11)</x:f>
      </x:c>
      <x:c r="Q62" s="54" t="str">
        <x:f>IF(ISBLANK('Deal_Master_Wide'!$CA$11),"",'Deal_Master_Wide'!$CA$11)</x:f>
      </x:c>
      <x:c r="R62" s="54" t="str">
        <x:f>IF(ISBLANK('Deal_Master_Wide'!$CH$11),"",'Deal_Master_Wide'!$CH$11)</x:f>
      </x:c>
      <x:c r="S62" s="54" t="str">
        <x:f>IF(ISBLANK('Deal_Master_Wide'!$CO$11),"",'Deal_Master_Wide'!$CO$11)</x:f>
      </x:c>
      <x:c r="T62" s="54" t="str">
        <x:f>IF(ISBLANK('Deal_Master_Wide'!$CV$11),"",'Deal_Master_Wide'!$CV$11)</x:f>
      </x:c>
      <x:c r="U62" s="54" t="str">
        <x:f>IF(ISBLANK('Deal_Master_Wide'!$DC$11),"",'Deal_Master_Wide'!$DC$11)</x:f>
      </x:c>
      <x:c r="V62" s="56" t="str">
        <x:f>IF(ISBLANK('Deal_Master_Wide'!$DJ$11),"",'Deal_Master_Wide'!$DJ$11)</x:f>
      </x:c>
      <x:c r="W62" s="56" t="str">
        <x:f>IF(ISBLANK('Deal_Master_Wide'!$DQ$11),"",'Deal_Master_Wide'!$DQ$11)</x:f>
      </x:c>
      <x:c r="X62" s="56" t="str">
        <x:f>IF(ISBLANK('Deal_Master_Wide'!$DX$11),"",'Deal_Master_Wide'!$DX$11)</x:f>
      </x:c>
      <x:c r="Y62" s="54" t="str">
        <x:f>IF(ISBLANK('Deal_Master_Wide'!$EE$11),"",'Deal_Master_Wide'!$EE$11)</x:f>
      </x:c>
      <x:c r="Z62" s="54" t="str">
        <x:f>IF(ISBLANK('Deal_Master_Wide'!$EL$11),"",'Deal_Master_Wide'!$EL$11)</x:f>
      </x:c>
      <x:c r="AA62" s="52" t="str">
        <x:f>IF(ISBLANK('Deal_Master_Wide'!$AL$11),"",'Deal_Master_Wide'!$AL$11)</x:f>
        <x:v>Unknown</x:v>
      </x:c>
      <x:c r="AB62" s="54" t="n">
        <x:f>IF(ISBLANK('Deal_Master_Wide'!$AF$11),"",'Deal_Master_Wide'!$AF$11)</x:f>
        <x:v>10</x:v>
      </x:c>
      <x:c r="AC62" s="52" t="str">
        <x:f>IF(COUNT($P62,$Q62,$R62,$S62,$T62,$U62,$V62,$W62,$X62)=9,"Yes","No")</x:f>
        <x:v>No</x:v>
      </x:c>
      <x:c r="AD62" s="52" t="str">
        <x:f>IF(COUNT($Y62,$Z62)=2,"Yes","No")</x:f>
        <x:v>No</x:v>
      </x:c>
      <x:c r="AE62" s="50" t="str"/>
      <x:c r="AF62" t="str"/>
    </x:row>
    <x:row r="63" ht="20" customHeight="1">
      <x:c r="A63" s="50" t="str">
        <x:v>TRT-0009</x:v>
      </x:c>
      <x:c r="B63" s="50" t="str">
        <x:v>Candidate treatment group</x:v>
      </x:c>
      <x:c r="C63" s="52" t="str">
        <x:f>IF('Deal_Master_Wide'!$AU$11="","",'Deal_Master_Wide'!$AU$11)</x:f>
        <x:v>Not reviewed</x:v>
      </x:c>
      <x:c r="D63" s="52" t="str">
        <x:f>IF('Deal_Master_Wide'!$AV$11="","",'Deal_Master_Wide'!$AV$11)</x:f>
        <x:v>Not assessed</x:v>
      </x:c>
      <x:c r="E63" s="50" t="n">
        <x:v>1</x:v>
      </x:c>
      <x:c r="F63" s="52" t="str">
        <x:f>IF(OR($C63="High-confidence innovation-driven",$C63="Medium-confidence innovation-driven"),1,IF($C63="Clear alternative-rationale",0,""))</x:f>
      </x:c>
      <x:c r="G63" s="52" t="str">
        <x:f>IF('Deal_Master_Wide'!$M$11="","",'Deal_Master_Wide'!$M$11)</x:f>
        <x:v>Review</x:v>
      </x:c>
      <x:c r="H63" s="50" t="str">
        <x:v>Telix Pharmaceuticals Ltd</x:v>
      </x:c>
      <x:c r="I63" s="50" t="str">
        <x:v>ATLAB Pharma SAS</x:v>
      </x:c>
      <x:c r="J63" s="50" t="n">
        <x:v>2018</x:v>
      </x:c>
      <x:c r="K63" s="50" t="n">
        <x:v>2</x:v>
      </x:c>
      <x:c r="L63" s="50" t="n">
        <x:v>2020</x:v>
      </x:c>
      <x:c r="M63" s="50" t="n">
        <x:v>1</x:v>
      </x:c>
      <x:c r="N63" s="50" t="n">
        <x:v>1</x:v>
      </x:c>
      <x:c r="O63" s="52" t="str">
        <x:f>IF($F63="","",$F63*$M63)</x:f>
      </x:c>
      <x:c r="P63" s="54" t="str">
        <x:f>IF(ISBLANK('Deal_Master_Wide'!$BU$11),"",'Deal_Master_Wide'!$BU$11)</x:f>
      </x:c>
      <x:c r="Q63" s="54" t="str">
        <x:f>IF(ISBLANK('Deal_Master_Wide'!$CB$11),"",'Deal_Master_Wide'!$CB$11)</x:f>
      </x:c>
      <x:c r="R63" s="54" t="str">
        <x:f>IF(ISBLANK('Deal_Master_Wide'!$CI$11),"",'Deal_Master_Wide'!$CI$11)</x:f>
      </x:c>
      <x:c r="S63" s="54" t="str">
        <x:f>IF(ISBLANK('Deal_Master_Wide'!$CP$11),"",'Deal_Master_Wide'!$CP$11)</x:f>
      </x:c>
      <x:c r="T63" s="54" t="str">
        <x:f>IF(ISBLANK('Deal_Master_Wide'!$CW$11),"",'Deal_Master_Wide'!$CW$11)</x:f>
      </x:c>
      <x:c r="U63" s="54" t="str">
        <x:f>IF(ISBLANK('Deal_Master_Wide'!$DD$11),"",'Deal_Master_Wide'!$DD$11)</x:f>
      </x:c>
      <x:c r="V63" s="56" t="str">
        <x:f>IF(ISBLANK('Deal_Master_Wide'!$DK$11),"",'Deal_Master_Wide'!$DK$11)</x:f>
      </x:c>
      <x:c r="W63" s="56" t="str">
        <x:f>IF(ISBLANK('Deal_Master_Wide'!$DR$11),"",'Deal_Master_Wide'!$DR$11)</x:f>
      </x:c>
      <x:c r="X63" s="56" t="str">
        <x:f>IF(ISBLANK('Deal_Master_Wide'!$DY$11),"",'Deal_Master_Wide'!$DY$11)</x:f>
      </x:c>
      <x:c r="Y63" s="54" t="str">
        <x:f>IF(ISBLANK('Deal_Master_Wide'!$EF$11),"",'Deal_Master_Wide'!$EF$11)</x:f>
      </x:c>
      <x:c r="Z63" s="54" t="str">
        <x:f>IF(ISBLANK('Deal_Master_Wide'!$EM$11),"",'Deal_Master_Wide'!$EM$11)</x:f>
      </x:c>
      <x:c r="AA63" s="52" t="str">
        <x:f>IF(ISBLANK('Deal_Master_Wide'!$AL$11),"",'Deal_Master_Wide'!$AL$11)</x:f>
        <x:v>Unknown</x:v>
      </x:c>
      <x:c r="AB63" s="54" t="n">
        <x:f>IF(ISBLANK('Deal_Master_Wide'!$AF$11),"",'Deal_Master_Wide'!$AF$11)</x:f>
        <x:v>10</x:v>
      </x:c>
      <x:c r="AC63" s="52" t="str">
        <x:f>IF(COUNT($P63,$Q63,$R63,$S63,$T63,$U63,$V63,$W63,$X63)=9,"Yes","No")</x:f>
        <x:v>No</x:v>
      </x:c>
      <x:c r="AD63" s="52" t="str">
        <x:f>IF(COUNT($Y63,$Z63)=2,"Yes","No")</x:f>
        <x:v>No</x:v>
      </x:c>
      <x:c r="AE63" s="50" t="str"/>
      <x:c r="AF63" t="str"/>
    </x:row>
    <x:row r="64" ht="20" customHeight="1">
      <x:c r="A64" s="50" t="str">
        <x:v>TRT-0009</x:v>
      </x:c>
      <x:c r="B64" s="50" t="str">
        <x:v>Candidate treatment group</x:v>
      </x:c>
      <x:c r="C64" s="52" t="str">
        <x:f>IF('Deal_Master_Wide'!$AU$11="","",'Deal_Master_Wide'!$AU$11)</x:f>
        <x:v>Not reviewed</x:v>
      </x:c>
      <x:c r="D64" s="52" t="str">
        <x:f>IF('Deal_Master_Wide'!$AV$11="","",'Deal_Master_Wide'!$AV$11)</x:f>
        <x:v>Not assessed</x:v>
      </x:c>
      <x:c r="E64" s="50" t="n">
        <x:v>1</x:v>
      </x:c>
      <x:c r="F64" s="52" t="str">
        <x:f>IF(OR($C64="High-confidence innovation-driven",$C64="Medium-confidence innovation-driven"),1,IF($C64="Clear alternative-rationale",0,""))</x:f>
      </x:c>
      <x:c r="G64" s="52" t="str">
        <x:f>IF('Deal_Master_Wide'!$M$11="","",'Deal_Master_Wide'!$M$11)</x:f>
        <x:v>Review</x:v>
      </x:c>
      <x:c r="H64" s="50" t="str">
        <x:v>Telix Pharmaceuticals Ltd</x:v>
      </x:c>
      <x:c r="I64" s="50" t="str">
        <x:v>ATLAB Pharma SAS</x:v>
      </x:c>
      <x:c r="J64" s="50" t="n">
        <x:v>2018</x:v>
      </x:c>
      <x:c r="K64" s="50" t="n">
        <x:v>3</x:v>
      </x:c>
      <x:c r="L64" s="50" t="n">
        <x:v>2021</x:v>
      </x:c>
      <x:c r="M64" s="50" t="n">
        <x:v>1</x:v>
      </x:c>
      <x:c r="N64" s="50" t="n">
        <x:v>1</x:v>
      </x:c>
      <x:c r="O64" s="52" t="str">
        <x:f>IF($F64="","",$F64*$M64)</x:f>
      </x:c>
      <x:c r="P64" s="54" t="str">
        <x:f>IF(ISBLANK('Deal_Master_Wide'!$BV$11),"",'Deal_Master_Wide'!$BV$11)</x:f>
      </x:c>
      <x:c r="Q64" s="54" t="str">
        <x:f>IF(ISBLANK('Deal_Master_Wide'!$CC$11),"",'Deal_Master_Wide'!$CC$11)</x:f>
      </x:c>
      <x:c r="R64" s="54" t="str">
        <x:f>IF(ISBLANK('Deal_Master_Wide'!$CJ$11),"",'Deal_Master_Wide'!$CJ$11)</x:f>
      </x:c>
      <x:c r="S64" s="54" t="str">
        <x:f>IF(ISBLANK('Deal_Master_Wide'!$CQ$11),"",'Deal_Master_Wide'!$CQ$11)</x:f>
      </x:c>
      <x:c r="T64" s="54" t="str">
        <x:f>IF(ISBLANK('Deal_Master_Wide'!$CX$11),"",'Deal_Master_Wide'!$CX$11)</x:f>
      </x:c>
      <x:c r="U64" s="54" t="str">
        <x:f>IF(ISBLANK('Deal_Master_Wide'!$DE$11),"",'Deal_Master_Wide'!$DE$11)</x:f>
      </x:c>
      <x:c r="V64" s="56" t="str">
        <x:f>IF(ISBLANK('Deal_Master_Wide'!$DL$11),"",'Deal_Master_Wide'!$DL$11)</x:f>
      </x:c>
      <x:c r="W64" s="56" t="str">
        <x:f>IF(ISBLANK('Deal_Master_Wide'!$DS$11),"",'Deal_Master_Wide'!$DS$11)</x:f>
      </x:c>
      <x:c r="X64" s="56" t="str">
        <x:f>IF(ISBLANK('Deal_Master_Wide'!$DZ$11),"",'Deal_Master_Wide'!$DZ$11)</x:f>
      </x:c>
      <x:c r="Y64" s="54" t="str">
        <x:f>IF(ISBLANK('Deal_Master_Wide'!$EG$11),"",'Deal_Master_Wide'!$EG$11)</x:f>
      </x:c>
      <x:c r="Z64" s="54" t="str">
        <x:f>IF(ISBLANK('Deal_Master_Wide'!$EN$11),"",'Deal_Master_Wide'!$EN$11)</x:f>
      </x:c>
      <x:c r="AA64" s="52" t="str">
        <x:f>IF(ISBLANK('Deal_Master_Wide'!$AL$11),"",'Deal_Master_Wide'!$AL$11)</x:f>
        <x:v>Unknown</x:v>
      </x:c>
      <x:c r="AB64" s="54" t="n">
        <x:f>IF(ISBLANK('Deal_Master_Wide'!$AF$11),"",'Deal_Master_Wide'!$AF$11)</x:f>
        <x:v>10</x:v>
      </x:c>
      <x:c r="AC64" s="52" t="str">
        <x:f>IF(COUNT($P64,$Q64,$R64,$S64,$T64,$U64,$V64,$W64,$X64)=9,"Yes","No")</x:f>
        <x:v>No</x:v>
      </x:c>
      <x:c r="AD64" s="52" t="str">
        <x:f>IF(COUNT($Y64,$Z64)=2,"Yes","No")</x:f>
        <x:v>No</x:v>
      </x:c>
      <x:c r="AE64" s="50" t="str"/>
      <x:c r="AF64" t="str"/>
    </x:row>
    <x:row r="65" ht="20" customHeight="1">
      <x:c r="A65" s="50" t="str">
        <x:v>TRT-0010</x:v>
      </x:c>
      <x:c r="B65" s="50" t="str">
        <x:v>Candidate treatment group</x:v>
      </x:c>
      <x:c r="C65" s="52" t="str">
        <x:f>IF('Deal_Master_Wide'!$AU$12="","",'Deal_Master_Wide'!$AU$12)</x:f>
        <x:v>Not reviewed</x:v>
      </x:c>
      <x:c r="D65" s="52" t="str">
        <x:f>IF('Deal_Master_Wide'!$AV$12="","",'Deal_Master_Wide'!$AV$12)</x:f>
        <x:v>Not assessed</x:v>
      </x:c>
      <x:c r="E65" s="50" t="n">
        <x:v>1</x:v>
      </x:c>
      <x:c r="F65" s="52" t="str">
        <x:f>IF(OR($C65="High-confidence innovation-driven",$C65="Medium-confidence innovation-driven"),1,IF($C65="Clear alternative-rationale",0,""))</x:f>
      </x:c>
      <x:c r="G65" s="52" t="str">
        <x:f>IF('Deal_Master_Wide'!$M$12="","",'Deal_Master_Wide'!$M$12)</x:f>
        <x:v>Review</x:v>
      </x:c>
      <x:c r="H65" s="50" t="str">
        <x:v>Sanofi</x:v>
      </x:c>
      <x:c r="I65" s="50" t="str">
        <x:v>Ablynx NV</x:v>
      </x:c>
      <x:c r="J65" s="50" t="n">
        <x:v>2018</x:v>
      </x:c>
      <x:c r="K65" s="50" t="n">
        <x:v>-3</x:v>
      </x:c>
      <x:c r="L65" s="50" t="n">
        <x:v>2015</x:v>
      </x:c>
      <x:c r="M65" s="50" t="n">
        <x:v>0</x:v>
      </x:c>
      <x:c r="N65" s="50" t="n">
        <x:v>0</x:v>
      </x:c>
      <x:c r="O65" s="52" t="str">
        <x:f>IF($F65="","",$F65*$M65)</x:f>
      </x:c>
      <x:c r="P65" s="54" t="n">
        <x:f>IF(ISBLANK('Deal_Master_Wide'!$BP$12),"",'Deal_Master_Wide'!$BP$12)</x:f>
        <x:v>34861</x:v>
      </x:c>
      <x:c r="Q65" s="54" t="n">
        <x:f>IF(ISBLANK('Deal_Master_Wide'!$BW$12),"",'Deal_Master_Wide'!$BW$12)</x:f>
        <x:v>7085</x:v>
      </x:c>
      <x:c r="R65" s="54" t="n">
        <x:f>IF(ISBLANK('Deal_Master_Wide'!$CD$12),"",'Deal_Master_Wide'!$CD$12)</x:f>
        <x:v>4287</x:v>
      </x:c>
      <x:c r="S65" s="54" t="n">
        <x:f>IF(ISBLANK('Deal_Master_Wide'!$CK$12),"",'Deal_Master_Wide'!$CK$12)</x:f>
        <x:v>102321</x:v>
      </x:c>
      <x:c r="T65" s="54" t="n">
        <x:f>IF(ISBLANK('Deal_Master_Wide'!$CR$12),"",'Deal_Master_Wide'!$CR$12)</x:f>
        <x:v>16589</x:v>
      </x:c>
      <x:c r="U65" s="54" t="n">
        <x:f>IF(ISBLANK('Deal_Master_Wide'!$CY$12),"",'Deal_Master_Wide'!$CY$12)</x:f>
        <x:v>5082</x:v>
      </x:c>
      <x:c r="V65" s="56" t="n">
        <x:f>IF(ISBLANK('Deal_Master_Wide'!$DF$12),"",'Deal_Master_Wide'!$DF$12)</x:f>
        <x:v>4.2932</x:v>
      </x:c>
      <x:c r="W65" s="56" t="n">
        <x:f>IF(ISBLANK('Deal_Master_Wide'!$DM$12),"",'Deal_Master_Wide'!$DM$12)</x:f>
        <x:v>16.4138</x:v>
      </x:c>
      <x:c r="X65" s="56" t="n">
        <x:f>IF(ISBLANK('Deal_Master_Wide'!$DT$12),"",'Deal_Master_Wide'!$DT$12)</x:f>
        <x:v>16.2127</x:v>
      </x:c>
      <x:c r="Y65" s="54" t="n">
        <x:f>IF(ISBLANK('Deal_Master_Wide'!$EA$12),"",'Deal_Master_Wide'!$EA$12)</x:f>
        <x:v>15</x:v>
      </x:c>
      <x:c r="Z65" s="54" t="n">
        <x:f>IF(ISBLANK('Deal_Master_Wide'!$EH$12),"",'Deal_Master_Wide'!$EH$12)</x:f>
        <x:v>9</x:v>
      </x:c>
      <x:c r="AA65" s="52" t="str">
        <x:f>IF(ISBLANK('Deal_Master_Wide'!$AL$12),"",'Deal_Master_Wide'!$AL$12)</x:f>
        <x:v>Unknown</x:v>
      </x:c>
      <x:c r="AB65" s="54" t="n">
        <x:f>IF(ISBLANK('Deal_Master_Wide'!$AF$12),"",'Deal_Master_Wide'!$AF$12)</x:f>
        <x:v>4847</x:v>
      </x:c>
      <x:c r="AC65" s="52" t="str">
        <x:f>IF(COUNT($P65,$Q65,$R65,$S65,$T65,$U65,$V65,$W65,$X65)=9,"Yes","No")</x:f>
        <x:v>Yes</x:v>
      </x:c>
      <x:c r="AD65" s="52" t="str">
        <x:f>IF(COUNT($Y65,$Z65)=2,"Yes","No")</x:f>
        <x:v>Yes</x:v>
      </x:c>
      <x:c r="AE65" s="50" t="str"/>
      <x:c r="AF65" t="str"/>
    </x:row>
    <x:row r="66" ht="20" customHeight="1">
      <x:c r="A66" s="50" t="str">
        <x:v>TRT-0010</x:v>
      </x:c>
      <x:c r="B66" s="50" t="str">
        <x:v>Candidate treatment group</x:v>
      </x:c>
      <x:c r="C66" s="52" t="str">
        <x:f>IF('Deal_Master_Wide'!$AU$12="","",'Deal_Master_Wide'!$AU$12)</x:f>
        <x:v>Not reviewed</x:v>
      </x:c>
      <x:c r="D66" s="52" t="str">
        <x:f>IF('Deal_Master_Wide'!$AV$12="","",'Deal_Master_Wide'!$AV$12)</x:f>
        <x:v>Not assessed</x:v>
      </x:c>
      <x:c r="E66" s="50" t="n">
        <x:v>1</x:v>
      </x:c>
      <x:c r="F66" s="52" t="str">
        <x:f>IF(OR($C66="High-confidence innovation-driven",$C66="Medium-confidence innovation-driven"),1,IF($C66="Clear alternative-rationale",0,""))</x:f>
      </x:c>
      <x:c r="G66" s="52" t="str">
        <x:f>IF('Deal_Master_Wide'!$M$12="","",'Deal_Master_Wide'!$M$12)</x:f>
        <x:v>Review</x:v>
      </x:c>
      <x:c r="H66" s="50" t="str">
        <x:v>Sanofi</x:v>
      </x:c>
      <x:c r="I66" s="50" t="str">
        <x:v>Ablynx NV</x:v>
      </x:c>
      <x:c r="J66" s="50" t="n">
        <x:v>2018</x:v>
      </x:c>
      <x:c r="K66" s="50" t="n">
        <x:v>-2</x:v>
      </x:c>
      <x:c r="L66" s="50" t="n">
        <x:v>2016</x:v>
      </x:c>
      <x:c r="M66" s="50" t="n">
        <x:v>0</x:v>
      </x:c>
      <x:c r="N66" s="50" t="n">
        <x:v>0</x:v>
      </x:c>
      <x:c r="O66" s="52" t="str">
        <x:f>IF($F66="","",$F66*$M66)</x:f>
      </x:c>
      <x:c r="P66" s="54" t="n">
        <x:f>IF(ISBLANK('Deal_Master_Wide'!$BQ$12),"",'Deal_Master_Wide'!$BQ$12)</x:f>
        <x:v>34708</x:v>
      </x:c>
      <x:c r="Q66" s="54" t="n">
        <x:f>IF(ISBLANK('Deal_Master_Wide'!$BX$12),"",'Deal_Master_Wide'!$BX$12)</x:f>
        <x:v>7489</x:v>
      </x:c>
      <x:c r="R66" s="54" t="n">
        <x:f>IF(ISBLANK('Deal_Master_Wide'!$CE$12),"",'Deal_Master_Wide'!$CE$12)</x:f>
        <x:v>4709</x:v>
      </x:c>
      <x:c r="S66" s="54" t="n">
        <x:f>IF(ISBLANK('Deal_Master_Wide'!$CL$12),"",'Deal_Master_Wide'!$CL$12)</x:f>
        <x:v>104672</x:v>
      </x:c>
      <x:c r="T66" s="54" t="n">
        <x:f>IF(ISBLANK('Deal_Master_Wide'!$CS$12),"",'Deal_Master_Wide'!$CS$12)</x:f>
        <x:v>18589</x:v>
      </x:c>
      <x:c r="U66" s="54" t="n">
        <x:f>IF(ISBLANK('Deal_Master_Wide'!$CZ$12),"",'Deal_Master_Wide'!$CZ$12)</x:f>
        <x:v>5172</x:v>
      </x:c>
      <x:c r="V66" s="56" t="n">
        <x:f>IF(ISBLANK('Deal_Master_Wide'!$DG$12),"",'Deal_Master_Wide'!$DG$12)</x:f>
        <x:v>4.5499</x:v>
      </x:c>
      <x:c r="W66" s="56" t="n">
        <x:f>IF(ISBLANK('Deal_Master_Wide'!$DN$12),"",'Deal_Master_Wide'!$DN$12)</x:f>
        <x:v>18.8256</x:v>
      </x:c>
      <x:c r="X66" s="56" t="n">
        <x:f>IF(ISBLANK('Deal_Master_Wide'!$DU$12),"",'Deal_Master_Wide'!$DU$12)</x:f>
        <x:v>17.7593</x:v>
      </x:c>
      <x:c r="Y66" s="54" t="n">
        <x:f>IF(ISBLANK('Deal_Master_Wide'!$EB$12),"",'Deal_Master_Wide'!$EB$12)</x:f>
        <x:v>28</x:v>
      </x:c>
      <x:c r="Z66" s="54" t="n">
        <x:f>IF(ISBLANK('Deal_Master_Wide'!$EI$12),"",'Deal_Master_Wide'!$EI$12)</x:f>
        <x:v>4</x:v>
      </x:c>
      <x:c r="AA66" s="52" t="str">
        <x:f>IF(ISBLANK('Deal_Master_Wide'!$AL$12),"",'Deal_Master_Wide'!$AL$12)</x:f>
        <x:v>Unknown</x:v>
      </x:c>
      <x:c r="AB66" s="54" t="n">
        <x:f>IF(ISBLANK('Deal_Master_Wide'!$AF$12),"",'Deal_Master_Wide'!$AF$12)</x:f>
        <x:v>4847</x:v>
      </x:c>
      <x:c r="AC66" s="52" t="str">
        <x:f>IF(COUNT($P66,$Q66,$R66,$S66,$T66,$U66,$V66,$W66,$X66)=9,"Yes","No")</x:f>
        <x:v>Yes</x:v>
      </x:c>
      <x:c r="AD66" s="52" t="str">
        <x:f>IF(COUNT($Y66,$Z66)=2,"Yes","No")</x:f>
        <x:v>Yes</x:v>
      </x:c>
      <x:c r="AE66" s="50" t="str"/>
      <x:c r="AF66" t="str"/>
    </x:row>
    <x:row r="67" ht="20" customHeight="1">
      <x:c r="A67" s="50" t="str">
        <x:v>TRT-0010</x:v>
      </x:c>
      <x:c r="B67" s="50" t="str">
        <x:v>Candidate treatment group</x:v>
      </x:c>
      <x:c r="C67" s="52" t="str">
        <x:f>IF('Deal_Master_Wide'!$AU$12="","",'Deal_Master_Wide'!$AU$12)</x:f>
        <x:v>Not reviewed</x:v>
      </x:c>
      <x:c r="D67" s="52" t="str">
        <x:f>IF('Deal_Master_Wide'!$AV$12="","",'Deal_Master_Wide'!$AV$12)</x:f>
        <x:v>Not assessed</x:v>
      </x:c>
      <x:c r="E67" s="50" t="n">
        <x:v>1</x:v>
      </x:c>
      <x:c r="F67" s="52" t="str">
        <x:f>IF(OR($C67="High-confidence innovation-driven",$C67="Medium-confidence innovation-driven"),1,IF($C67="Clear alternative-rationale",0,""))</x:f>
      </x:c>
      <x:c r="G67" s="52" t="str">
        <x:f>IF('Deal_Master_Wide'!$M$12="","",'Deal_Master_Wide'!$M$12)</x:f>
        <x:v>Review</x:v>
      </x:c>
      <x:c r="H67" s="50" t="str">
        <x:v>Sanofi</x:v>
      </x:c>
      <x:c r="I67" s="50" t="str">
        <x:v>Ablynx NV</x:v>
      </x:c>
      <x:c r="J67" s="50" t="n">
        <x:v>2018</x:v>
      </x:c>
      <x:c r="K67" s="50" t="n">
        <x:v>-1</x:v>
      </x:c>
      <x:c r="L67" s="50" t="n">
        <x:v>2017</x:v>
      </x:c>
      <x:c r="M67" s="50" t="n">
        <x:v>0</x:v>
      </x:c>
      <x:c r="N67" s="50" t="n">
        <x:v>0</x:v>
      </x:c>
      <x:c r="O67" s="52" t="str">
        <x:f>IF($F67="","",$F67*$M67)</x:f>
      </x:c>
      <x:c r="P67" s="54" t="n">
        <x:f>IF(ISBLANK('Deal_Master_Wide'!$BR$12),"",'Deal_Master_Wide'!$BR$12)</x:f>
        <x:v>36221</x:v>
      </x:c>
      <x:c r="Q67" s="54" t="n">
        <x:f>IF(ISBLANK('Deal_Master_Wide'!$BY$12),"",'Deal_Master_Wide'!$BY$12)</x:f>
        <x:v>7112</x:v>
      </x:c>
      <x:c r="R67" s="54" t="n">
        <x:f>IF(ISBLANK('Deal_Master_Wide'!$CF$12),"",'Deal_Master_Wide'!$CF$12)</x:f>
        <x:v>8416</x:v>
      </x:c>
      <x:c r="S67" s="54" t="n">
        <x:f>IF(ISBLANK('Deal_Master_Wide'!$CM$12),"",'Deal_Master_Wide'!$CM$12)</x:f>
        <x:v>99813</x:v>
      </x:c>
      <x:c r="T67" s="54" t="n">
        <x:f>IF(ISBLANK('Deal_Master_Wide'!$CT$12),"",'Deal_Master_Wide'!$CT$12)</x:f>
        <x:v>15601</x:v>
      </x:c>
      <x:c r="U67" s="54" t="n">
        <x:f>IF(ISBLANK('Deal_Master_Wide'!$DA$12),"",'Deal_Master_Wide'!$DA$12)</x:f>
        <x:v>5472</x:v>
      </x:c>
      <x:c r="V67" s="56" t="n">
        <x:f>IF(ISBLANK('Deal_Master_Wide'!$DH$12),"",'Deal_Master_Wide'!$DH$12)</x:f>
        <x:v>8.2314</x:v>
      </x:c>
      <x:c r="W67" s="56" t="n">
        <x:f>IF(ISBLANK('Deal_Master_Wide'!$DO$12),"",'Deal_Master_Wide'!$DO$12)</x:f>
        <x:v>16.0239</x:v>
      </x:c>
      <x:c r="X67" s="56" t="n">
        <x:f>IF(ISBLANK('Deal_Master_Wide'!$DV$12),"",'Deal_Master_Wide'!$DV$12)</x:f>
        <x:v>15.6302</x:v>
      </x:c>
      <x:c r="Y67" s="54" t="n">
        <x:f>IF(ISBLANK('Deal_Master_Wide'!$EC$12),"",'Deal_Master_Wide'!$EC$12)</x:f>
        <x:v>36</x:v>
      </x:c>
      <x:c r="Z67" s="54" t="n">
        <x:f>IF(ISBLANK('Deal_Master_Wide'!$EJ$12),"",'Deal_Master_Wide'!$EJ$12)</x:f>
        <x:v>0</x:v>
      </x:c>
      <x:c r="AA67" s="52" t="str">
        <x:f>IF(ISBLANK('Deal_Master_Wide'!$AL$12),"",'Deal_Master_Wide'!$AL$12)</x:f>
        <x:v>Unknown</x:v>
      </x:c>
      <x:c r="AB67" s="54" t="n">
        <x:f>IF(ISBLANK('Deal_Master_Wide'!$AF$12),"",'Deal_Master_Wide'!$AF$12)</x:f>
        <x:v>4847</x:v>
      </x:c>
      <x:c r="AC67" s="52" t="str">
        <x:f>IF(COUNT($P67,$Q67,$R67,$S67,$T67,$U67,$V67,$W67,$X67)=9,"Yes","No")</x:f>
        <x:v>Yes</x:v>
      </x:c>
      <x:c r="AD67" s="52" t="str">
        <x:f>IF(COUNT($Y67,$Z67)=2,"Yes","No")</x:f>
        <x:v>Yes</x:v>
      </x:c>
      <x:c r="AE67" s="50" t="str"/>
      <x:c r="AF67" t="str"/>
    </x:row>
    <x:row r="68" ht="20" customHeight="1">
      <x:c r="A68" s="50" t="str">
        <x:v>TRT-0010</x:v>
      </x:c>
      <x:c r="B68" s="50" t="str">
        <x:v>Candidate treatment group</x:v>
      </x:c>
      <x:c r="C68" s="52" t="str">
        <x:f>IF('Deal_Master_Wide'!$AU$12="","",'Deal_Master_Wide'!$AU$12)</x:f>
        <x:v>Not reviewed</x:v>
      </x:c>
      <x:c r="D68" s="52" t="str">
        <x:f>IF('Deal_Master_Wide'!$AV$12="","",'Deal_Master_Wide'!$AV$12)</x:f>
        <x:v>Not assessed</x:v>
      </x:c>
      <x:c r="E68" s="50" t="n">
        <x:v>1</x:v>
      </x:c>
      <x:c r="F68" s="52" t="str">
        <x:f>IF(OR($C68="High-confidence innovation-driven",$C68="Medium-confidence innovation-driven"),1,IF($C68="Clear alternative-rationale",0,""))</x:f>
      </x:c>
      <x:c r="G68" s="52" t="str">
        <x:f>IF('Deal_Master_Wide'!$M$12="","",'Deal_Master_Wide'!$M$12)</x:f>
        <x:v>Review</x:v>
      </x:c>
      <x:c r="H68" s="50" t="str">
        <x:v>Sanofi</x:v>
      </x:c>
      <x:c r="I68" s="50" t="str">
        <x:v>Ablynx NV</x:v>
      </x:c>
      <x:c r="J68" s="50" t="n">
        <x:v>2018</x:v>
      </x:c>
      <x:c r="K68" s="50" t="n">
        <x:v>0</x:v>
      </x:c>
      <x:c r="L68" s="50" t="n">
        <x:v>2018</x:v>
      </x:c>
      <x:c r="M68" s="50" t="n">
        <x:v>0</x:v>
      </x:c>
      <x:c r="N68" s="50" t="n">
        <x:v>1</x:v>
      </x:c>
      <x:c r="O68" s="52" t="str">
        <x:f>IF($F68="","",$F68*$M68)</x:f>
      </x:c>
      <x:c r="P68" s="54" t="n">
        <x:f>IF(ISBLANK('Deal_Master_Wide'!$BS$12),"",'Deal_Master_Wide'!$BS$12)</x:f>
        <x:v>35677</x:v>
      </x:c>
      <x:c r="Q68" s="54" t="n">
        <x:f>IF(ISBLANK('Deal_Master_Wide'!$BZ$12),"",'Deal_Master_Wide'!$BZ$12)</x:f>
        <x:v>5845</x:v>
      </x:c>
      <x:c r="R68" s="54" t="n">
        <x:f>IF(ISBLANK('Deal_Master_Wide'!$CG$12),"",'Deal_Master_Wide'!$CG$12)</x:f>
        <x:v>4306</x:v>
      </x:c>
      <x:c r="S68" s="54" t="n">
        <x:f>IF(ISBLANK('Deal_Master_Wide'!$CN$12),"",'Deal_Master_Wide'!$CN$12)</x:f>
        <x:v>111408</x:v>
      </x:c>
      <x:c r="T68" s="54" t="n">
        <x:f>IF(ISBLANK('Deal_Master_Wide'!$CU$12),"",'Deal_Master_Wide'!$CU$12)</x:f>
        <x:v>24640</x:v>
      </x:c>
      <x:c r="U68" s="54" t="n">
        <x:f>IF(ISBLANK('Deal_Master_Wide'!$DB$12),"",'Deal_Master_Wide'!$DB$12)</x:f>
        <x:v>5894</x:v>
      </x:c>
      <x:c r="V68" s="56" t="n">
        <x:f>IF(ISBLANK('Deal_Master_Wide'!$DI$12),"",'Deal_Master_Wide'!$DI$12)</x:f>
        <x:v>4.0772</x:v>
      </x:c>
      <x:c r="W68" s="56" t="n">
        <x:f>IF(ISBLANK('Deal_Master_Wide'!$DP$12),"",'Deal_Master_Wide'!$DP$12)</x:f>
        <x:v>13.1065</x:v>
      </x:c>
      <x:c r="X68" s="56" t="n">
        <x:f>IF(ISBLANK('Deal_Master_Wide'!$DW$12),"",'Deal_Master_Wide'!$DW$12)</x:f>
        <x:v>22.1169</x:v>
      </x:c>
      <x:c r="Y68" s="54" t="n">
        <x:f>IF(ISBLANK('Deal_Master_Wide'!$ED$12),"",'Deal_Master_Wide'!$ED$12)</x:f>
        <x:v>38</x:v>
      </x:c>
      <x:c r="Z68" s="54" t="n">
        <x:f>IF(ISBLANK('Deal_Master_Wide'!$EK$12),"",'Deal_Master_Wide'!$EK$12)</x:f>
        <x:v>1</x:v>
      </x:c>
      <x:c r="AA68" s="52" t="str">
        <x:f>IF(ISBLANK('Deal_Master_Wide'!$AL$12),"",'Deal_Master_Wide'!$AL$12)</x:f>
        <x:v>Unknown</x:v>
      </x:c>
      <x:c r="AB68" s="54" t="n">
        <x:f>IF(ISBLANK('Deal_Master_Wide'!$AF$12),"",'Deal_Master_Wide'!$AF$12)</x:f>
        <x:v>4847</x:v>
      </x:c>
      <x:c r="AC68" s="52" t="str">
        <x:f>IF(COUNT($P68,$Q68,$R68,$S68,$T68,$U68,$V68,$W68,$X68)=9,"Yes","No")</x:f>
        <x:v>Yes</x:v>
      </x:c>
      <x:c r="AD68" s="52" t="str">
        <x:f>IF(COUNT($Y68,$Z68)=2,"Yes","No")</x:f>
        <x:v>Yes</x:v>
      </x:c>
      <x:c r="AE68" s="50" t="str"/>
      <x:c r="AF68" t="str"/>
    </x:row>
    <x:row r="69" ht="20" customHeight="1">
      <x:c r="A69" s="50" t="str">
        <x:v>TRT-0010</x:v>
      </x:c>
      <x:c r="B69" s="50" t="str">
        <x:v>Candidate treatment group</x:v>
      </x:c>
      <x:c r="C69" s="52" t="str">
        <x:f>IF('Deal_Master_Wide'!$AU$12="","",'Deal_Master_Wide'!$AU$12)</x:f>
        <x:v>Not reviewed</x:v>
      </x:c>
      <x:c r="D69" s="52" t="str">
        <x:f>IF('Deal_Master_Wide'!$AV$12="","",'Deal_Master_Wide'!$AV$12)</x:f>
        <x:v>Not assessed</x:v>
      </x:c>
      <x:c r="E69" s="50" t="n">
        <x:v>1</x:v>
      </x:c>
      <x:c r="F69" s="52" t="str">
        <x:f>IF(OR($C69="High-confidence innovation-driven",$C69="Medium-confidence innovation-driven"),1,IF($C69="Clear alternative-rationale",0,""))</x:f>
      </x:c>
      <x:c r="G69" s="52" t="str">
        <x:f>IF('Deal_Master_Wide'!$M$12="","",'Deal_Master_Wide'!$M$12)</x:f>
        <x:v>Review</x:v>
      </x:c>
      <x:c r="H69" s="50" t="str">
        <x:v>Sanofi</x:v>
      </x:c>
      <x:c r="I69" s="50" t="str">
        <x:v>Ablynx NV</x:v>
      </x:c>
      <x:c r="J69" s="50" t="n">
        <x:v>2018</x:v>
      </x:c>
      <x:c r="K69" s="50" t="n">
        <x:v>1</x:v>
      </x:c>
      <x:c r="L69" s="50" t="n">
        <x:v>2019</x:v>
      </x:c>
      <x:c r="M69" s="50" t="n">
        <x:v>1</x:v>
      </x:c>
      <x:c r="N69" s="50" t="n">
        <x:v>1</x:v>
      </x:c>
      <x:c r="O69" s="52" t="str">
        <x:f>IF($F69="","",$F69*$M69)</x:f>
      </x:c>
      <x:c r="P69" s="54" t="n">
        <x:f>IF(ISBLANK('Deal_Master_Wide'!$BT$12),"",'Deal_Master_Wide'!$BT$12)</x:f>
        <x:v>37631</x:v>
      </x:c>
      <x:c r="Q69" s="54" t="n">
        <x:f>IF(ISBLANK('Deal_Master_Wide'!$CA$12),"",'Deal_Master_Wide'!$CA$12)</x:f>
        <x:v>6882</x:v>
      </x:c>
      <x:c r="R69" s="54" t="n">
        <x:f>IF(ISBLANK('Deal_Master_Wide'!$CH$12),"",'Deal_Master_Wide'!$CH$12)</x:f>
        <x:v>2754</x:v>
      </x:c>
      <x:c r="S69" s="54" t="n">
        <x:f>IF(ISBLANK('Deal_Master_Wide'!$CO$12),"",'Deal_Master_Wide'!$CO$12)</x:f>
        <x:v>112630</x:v>
      </x:c>
      <x:c r="T69" s="54" t="n">
        <x:f>IF(ISBLANK('Deal_Master_Wide'!$CV$12),"",'Deal_Master_Wide'!$CV$12)</x:f>
        <x:v>25933</x:v>
      </x:c>
      <x:c r="U69" s="54" t="n">
        <x:f>IF(ISBLANK('Deal_Master_Wide'!$DC$12),"",'Deal_Master_Wide'!$DC$12)</x:f>
        <x:v>6020</x:v>
      </x:c>
      <x:c r="V69" s="56" t="n">
        <x:f>IF(ISBLANK('Deal_Master_Wide'!$DJ$12),"",'Deal_Master_Wide'!$DJ$12)</x:f>
        <x:v>2.4585</x:v>
      </x:c>
      <x:c r="W69" s="56" t="n">
        <x:f>IF(ISBLANK('Deal_Master_Wide'!$DQ$12),"",'Deal_Master_Wide'!$DQ$12)</x:f>
        <x:v>8.1077</x:v>
      </x:c>
      <x:c r="X69" s="56" t="n">
        <x:f>IF(ISBLANK('Deal_Master_Wide'!$DX$12),"",'Deal_Master_Wide'!$DX$12)</x:f>
        <x:v>23.0249</x:v>
      </x:c>
      <x:c r="Y69" s="54" t="n">
        <x:f>IF(ISBLANK('Deal_Master_Wide'!$EE$12),"",'Deal_Master_Wide'!$EE$12)</x:f>
        <x:v>42</x:v>
      </x:c>
      <x:c r="Z69" s="54" t="n">
        <x:f>IF(ISBLANK('Deal_Master_Wide'!$EL$12),"",'Deal_Master_Wide'!$EL$12)</x:f>
        <x:v>4</x:v>
      </x:c>
      <x:c r="AA69" s="52" t="str">
        <x:f>IF(ISBLANK('Deal_Master_Wide'!$AL$12),"",'Deal_Master_Wide'!$AL$12)</x:f>
        <x:v>Unknown</x:v>
      </x:c>
      <x:c r="AB69" s="54" t="n">
        <x:f>IF(ISBLANK('Deal_Master_Wide'!$AF$12),"",'Deal_Master_Wide'!$AF$12)</x:f>
        <x:v>4847</x:v>
      </x:c>
      <x:c r="AC69" s="52" t="str">
        <x:f>IF(COUNT($P69,$Q69,$R69,$S69,$T69,$U69,$V69,$W69,$X69)=9,"Yes","No")</x:f>
        <x:v>Yes</x:v>
      </x:c>
      <x:c r="AD69" s="52" t="str">
        <x:f>IF(COUNT($Y69,$Z69)=2,"Yes","No")</x:f>
        <x:v>Yes</x:v>
      </x:c>
      <x:c r="AE69" s="50" t="str"/>
      <x:c r="AF69" t="str"/>
    </x:row>
    <x:row r="70" ht="20" customHeight="1">
      <x:c r="A70" s="50" t="str">
        <x:v>TRT-0010</x:v>
      </x:c>
      <x:c r="B70" s="50" t="str">
        <x:v>Candidate treatment group</x:v>
      </x:c>
      <x:c r="C70" s="52" t="str">
        <x:f>IF('Deal_Master_Wide'!$AU$12="","",'Deal_Master_Wide'!$AU$12)</x:f>
        <x:v>Not reviewed</x:v>
      </x:c>
      <x:c r="D70" s="52" t="str">
        <x:f>IF('Deal_Master_Wide'!$AV$12="","",'Deal_Master_Wide'!$AV$12)</x:f>
        <x:v>Not assessed</x:v>
      </x:c>
      <x:c r="E70" s="50" t="n">
        <x:v>1</x:v>
      </x:c>
      <x:c r="F70" s="52" t="str">
        <x:f>IF(OR($C70="High-confidence innovation-driven",$C70="Medium-confidence innovation-driven"),1,IF($C70="Clear alternative-rationale",0,""))</x:f>
      </x:c>
      <x:c r="G70" s="52" t="str">
        <x:f>IF('Deal_Master_Wide'!$M$12="","",'Deal_Master_Wide'!$M$12)</x:f>
        <x:v>Review</x:v>
      </x:c>
      <x:c r="H70" s="50" t="str">
        <x:v>Sanofi</x:v>
      </x:c>
      <x:c r="I70" s="50" t="str">
        <x:v>Ablynx NV</x:v>
      </x:c>
      <x:c r="J70" s="50" t="n">
        <x:v>2018</x:v>
      </x:c>
      <x:c r="K70" s="50" t="n">
        <x:v>2</x:v>
      </x:c>
      <x:c r="L70" s="50" t="n">
        <x:v>2020</x:v>
      </x:c>
      <x:c r="M70" s="50" t="n">
        <x:v>1</x:v>
      </x:c>
      <x:c r="N70" s="50" t="n">
        <x:v>1</x:v>
      </x:c>
      <x:c r="O70" s="52" t="str">
        <x:f>IF($F70="","",$F70*$M70)</x:f>
      </x:c>
      <x:c r="P70" s="54" t="n">
        <x:f>IF(ISBLANK('Deal_Master_Wide'!$BU$12),"",'Deal_Master_Wide'!$BU$12)</x:f>
        <x:v>37369</x:v>
      </x:c>
      <x:c r="Q70" s="54" t="n">
        <x:f>IF(ISBLANK('Deal_Master_Wide'!$CB$12),"",'Deal_Master_Wide'!$CB$12)</x:f>
        <x:v>7583</x:v>
      </x:c>
      <x:c r="R70" s="54" t="n">
        <x:f>IF(ISBLANK('Deal_Master_Wide'!$CI$12),"",'Deal_Master_Wide'!$CI$12)</x:f>
        <x:v>12294</x:v>
      </x:c>
      <x:c r="S70" s="54" t="n">
        <x:f>IF(ISBLANK('Deal_Master_Wide'!$CP$12),"",'Deal_Master_Wide'!$CP$12)</x:f>
        <x:v>114413</x:v>
      </x:c>
      <x:c r="T70" s="54" t="n">
        <x:f>IF(ISBLANK('Deal_Master_Wide'!$CW$12),"",'Deal_Master_Wide'!$CW$12)</x:f>
        <x:v>23675</x:v>
      </x:c>
      <x:c r="U70" s="54" t="n">
        <x:f>IF(ISBLANK('Deal_Master_Wide'!$DD$12),"",'Deal_Master_Wide'!$DD$12)</x:f>
        <x:v>5530</x:v>
      </x:c>
      <x:c r="V70" s="56" t="n">
        <x:f>IF(ISBLANK('Deal_Master_Wide'!$DK$12),"",'Deal_Master_Wide'!$DK$12)</x:f>
        <x:v>10.8297</x:v>
      </x:c>
      <x:c r="W70" s="56" t="n">
        <x:f>IF(ISBLANK('Deal_Master_Wide'!$DR$12),"",'Deal_Master_Wide'!$DR$12)</x:f>
        <x:v>37.7666</x:v>
      </x:c>
      <x:c r="X70" s="56" t="n">
        <x:f>IF(ISBLANK('Deal_Master_Wide'!$DY$12),"",'Deal_Master_Wide'!$DY$12)</x:f>
        <x:v>20.6926</x:v>
      </x:c>
      <x:c r="Y70" s="54" t="n">
        <x:f>IF(ISBLANK('Deal_Master_Wide'!$EF$12),"",'Deal_Master_Wide'!$EF$12)</x:f>
        <x:v>20</x:v>
      </x:c>
      <x:c r="Z70" s="54" t="n">
        <x:f>IF(ISBLANK('Deal_Master_Wide'!$EM$12),"",'Deal_Master_Wide'!$EM$12)</x:f>
        <x:v>1</x:v>
      </x:c>
      <x:c r="AA70" s="52" t="str">
        <x:f>IF(ISBLANK('Deal_Master_Wide'!$AL$12),"",'Deal_Master_Wide'!$AL$12)</x:f>
        <x:v>Unknown</x:v>
      </x:c>
      <x:c r="AB70" s="54" t="n">
        <x:f>IF(ISBLANK('Deal_Master_Wide'!$AF$12),"",'Deal_Master_Wide'!$AF$12)</x:f>
        <x:v>4847</x:v>
      </x:c>
      <x:c r="AC70" s="52" t="str">
        <x:f>IF(COUNT($P70,$Q70,$R70,$S70,$T70,$U70,$V70,$W70,$X70)=9,"Yes","No")</x:f>
        <x:v>Yes</x:v>
      </x:c>
      <x:c r="AD70" s="52" t="str">
        <x:f>IF(COUNT($Y70,$Z70)=2,"Yes","No")</x:f>
        <x:v>Yes</x:v>
      </x:c>
      <x:c r="AE70" s="50" t="str"/>
      <x:c r="AF70" t="str"/>
    </x:row>
    <x:row r="71" ht="20" customHeight="1">
      <x:c r="A71" s="50" t="str">
        <x:v>TRT-0010</x:v>
      </x:c>
      <x:c r="B71" s="50" t="str">
        <x:v>Candidate treatment group</x:v>
      </x:c>
      <x:c r="C71" s="52" t="str">
        <x:f>IF('Deal_Master_Wide'!$AU$12="","",'Deal_Master_Wide'!$AU$12)</x:f>
        <x:v>Not reviewed</x:v>
      </x:c>
      <x:c r="D71" s="52" t="str">
        <x:f>IF('Deal_Master_Wide'!$AV$12="","",'Deal_Master_Wide'!$AV$12)</x:f>
        <x:v>Not assessed</x:v>
      </x:c>
      <x:c r="E71" s="50" t="n">
        <x:v>1</x:v>
      </x:c>
      <x:c r="F71" s="52" t="str">
        <x:f>IF(OR($C71="High-confidence innovation-driven",$C71="Medium-confidence innovation-driven"),1,IF($C71="Clear alternative-rationale",0,""))</x:f>
      </x:c>
      <x:c r="G71" s="52" t="str">
        <x:f>IF('Deal_Master_Wide'!$M$12="","",'Deal_Master_Wide'!$M$12)</x:f>
        <x:v>Review</x:v>
      </x:c>
      <x:c r="H71" s="50" t="str">
        <x:v>Sanofi</x:v>
      </x:c>
      <x:c r="I71" s="50" t="str">
        <x:v>Ablynx NV</x:v>
      </x:c>
      <x:c r="J71" s="50" t="n">
        <x:v>2018</x:v>
      </x:c>
      <x:c r="K71" s="50" t="n">
        <x:v>3</x:v>
      </x:c>
      <x:c r="L71" s="50" t="n">
        <x:v>2021</x:v>
      </x:c>
      <x:c r="M71" s="50" t="n">
        <x:v>1</x:v>
      </x:c>
      <x:c r="N71" s="50" t="n">
        <x:v>1</x:v>
      </x:c>
      <x:c r="O71" s="52" t="str">
        <x:f>IF($F71="","",$F71*$M71)</x:f>
      </x:c>
      <x:c r="P71" s="54" t="n">
        <x:f>IF(ISBLANK('Deal_Master_Wide'!$BV$12),"",'Deal_Master_Wide'!$BV$12)</x:f>
        <x:v>39175</x:v>
      </x:c>
      <x:c r="Q71" s="54" t="n">
        <x:f>IF(ISBLANK('Deal_Master_Wide'!$CC$12),"",'Deal_Master_Wide'!$CC$12)</x:f>
        <x:v>8729</x:v>
      </x:c>
      <x:c r="R71" s="54" t="n">
        <x:f>IF(ISBLANK('Deal_Master_Wide'!$CJ$12),"",'Deal_Master_Wide'!$CJ$12)</x:f>
        <x:v>6223</x:v>
      </x:c>
      <x:c r="S71" s="54" t="n">
        <x:f>IF(ISBLANK('Deal_Master_Wide'!$CQ$12),"",'Deal_Master_Wide'!$CQ$12)</x:f>
        <x:v>120242</x:v>
      </x:c>
      <x:c r="T71" s="54" t="n">
        <x:f>IF(ISBLANK('Deal_Master_Wide'!$CX$12),"",'Deal_Master_Wide'!$CX$12)</x:f>
        <x:v>22414</x:v>
      </x:c>
      <x:c r="U71" s="54" t="n">
        <x:f>IF(ISBLANK('Deal_Master_Wide'!$DE$12),"",'Deal_Master_Wide'!$DE$12)</x:f>
        <x:v>5692</x:v>
      </x:c>
      <x:c r="V71" s="56" t="n">
        <x:f>IF(ISBLANK('Deal_Master_Wide'!$DL$12),"",'Deal_Master_Wide'!$DL$12)</x:f>
        <x:v>5.304</x:v>
      </x:c>
      <x:c r="W71" s="56" t="n">
        <x:f>IF(ISBLANK('Deal_Master_Wide'!$DS$12),"",'Deal_Master_Wide'!$DS$12)</x:f>
        <x:v>20.7428</x:v>
      </x:c>
      <x:c r="X71" s="56" t="n">
        <x:f>IF(ISBLANK('Deal_Master_Wide'!$DZ$12),"",'Deal_Master_Wide'!$DZ$12)</x:f>
        <x:v>18.6407</x:v>
      </x:c>
      <x:c r="Y71" s="54" t="n">
        <x:f>IF(ISBLANK('Deal_Master_Wide'!$EG$12),"",'Deal_Master_Wide'!$EG$12)</x:f>
        <x:v>13</x:v>
      </x:c>
      <x:c r="Z71" s="54" t="n">
        <x:f>IF(ISBLANK('Deal_Master_Wide'!$EN$12),"",'Deal_Master_Wide'!$EN$12)</x:f>
        <x:v>0</x:v>
      </x:c>
      <x:c r="AA71" s="52" t="str">
        <x:f>IF(ISBLANK('Deal_Master_Wide'!$AL$12),"",'Deal_Master_Wide'!$AL$12)</x:f>
        <x:v>Unknown</x:v>
      </x:c>
      <x:c r="AB71" s="54" t="n">
        <x:f>IF(ISBLANK('Deal_Master_Wide'!$AF$12),"",'Deal_Master_Wide'!$AF$12)</x:f>
        <x:v>4847</x:v>
      </x:c>
      <x:c r="AC71" s="52" t="str">
        <x:f>IF(COUNT($P71,$Q71,$R71,$S71,$T71,$U71,$V71,$W71,$X71)=9,"Yes","No")</x:f>
        <x:v>Yes</x:v>
      </x:c>
      <x:c r="AD71" s="52" t="str">
        <x:f>IF(COUNT($Y71,$Z71)=2,"Yes","No")</x:f>
        <x:v>Yes</x:v>
      </x:c>
      <x:c r="AE71" s="50" t="str"/>
      <x:c r="AF71" t="str"/>
    </x:row>
    <x:row r="72" ht="20" customHeight="1">
      <x:c r="A72" s="50" t="str">
        <x:v>TRT-0011</x:v>
      </x:c>
      <x:c r="B72" s="50" t="str">
        <x:v>Candidate treatment group</x:v>
      </x:c>
      <x:c r="C72" s="52" t="str">
        <x:f>IF('Deal_Master_Wide'!$AU$13="","",'Deal_Master_Wide'!$AU$13)</x:f>
        <x:v>Not reviewed</x:v>
      </x:c>
      <x:c r="D72" s="52" t="str">
        <x:f>IF('Deal_Master_Wide'!$AV$13="","",'Deal_Master_Wide'!$AV$13)</x:f>
        <x:v>Not assessed</x:v>
      </x:c>
      <x:c r="E72" s="50" t="n">
        <x:v>1</x:v>
      </x:c>
      <x:c r="F72" s="52" t="str">
        <x:f>IF(OR($C72="High-confidence innovation-driven",$C72="Medium-confidence innovation-driven"),1,IF($C72="Clear alternative-rationale",0,""))</x:f>
      </x:c>
      <x:c r="G72" s="52" t="str">
        <x:f>IF('Deal_Master_Wide'!$M$13="","",'Deal_Master_Wide'!$M$13)</x:f>
        <x:v>Review</x:v>
      </x:c>
      <x:c r="H72" s="50" t="str">
        <x:v>Takeda Pharmaceutical Co Ltd</x:v>
      </x:c>
      <x:c r="I72" s="50" t="str">
        <x:v>TiGenix NV</x:v>
      </x:c>
      <x:c r="J72" s="50" t="n">
        <x:v>2018</x:v>
      </x:c>
      <x:c r="K72" s="50" t="n">
        <x:v>-3</x:v>
      </x:c>
      <x:c r="L72" s="50" t="n">
        <x:v>2015</x:v>
      </x:c>
      <x:c r="M72" s="50" t="n">
        <x:v>0</x:v>
      </x:c>
      <x:c r="N72" s="50" t="n">
        <x:v>0</x:v>
      </x:c>
      <x:c r="O72" s="52" t="str">
        <x:f>IF($F72="","",$F72*$M72)</x:f>
      </x:c>
      <x:c r="P72" s="54" t="str">
        <x:f>IF(ISBLANK('Deal_Master_Wide'!$BP$13),"",'Deal_Master_Wide'!$BP$13)</x:f>
      </x:c>
      <x:c r="Q72" s="54" t="str">
        <x:f>IF(ISBLANK('Deal_Master_Wide'!$BW$13),"",'Deal_Master_Wide'!$BW$13)</x:f>
      </x:c>
      <x:c r="R72" s="54" t="str">
        <x:f>IF(ISBLANK('Deal_Master_Wide'!$CD$13),"",'Deal_Master_Wide'!$CD$13)</x:f>
      </x:c>
      <x:c r="S72" s="54" t="str">
        <x:f>IF(ISBLANK('Deal_Master_Wide'!$CK$13),"",'Deal_Master_Wide'!$CK$13)</x:f>
      </x:c>
      <x:c r="T72" s="54" t="str">
        <x:f>IF(ISBLANK('Deal_Master_Wide'!$CR$13),"",'Deal_Master_Wide'!$CR$13)</x:f>
      </x:c>
      <x:c r="U72" s="54" t="str">
        <x:f>IF(ISBLANK('Deal_Master_Wide'!$CY$13),"",'Deal_Master_Wide'!$CY$13)</x:f>
      </x:c>
      <x:c r="V72" s="56" t="str">
        <x:f>IF(ISBLANK('Deal_Master_Wide'!$DF$13),"",'Deal_Master_Wide'!$DF$13)</x:f>
      </x:c>
      <x:c r="W72" s="56" t="str">
        <x:f>IF(ISBLANK('Deal_Master_Wide'!$DM$13),"",'Deal_Master_Wide'!$DM$13)</x:f>
      </x:c>
      <x:c r="X72" s="56" t="str">
        <x:f>IF(ISBLANK('Deal_Master_Wide'!$DT$13),"",'Deal_Master_Wide'!$DT$13)</x:f>
      </x:c>
      <x:c r="Y72" s="54" t="str">
        <x:f>IF(ISBLANK('Deal_Master_Wide'!$EA$13),"",'Deal_Master_Wide'!$EA$13)</x:f>
      </x:c>
      <x:c r="Z72" s="54" t="str">
        <x:f>IF(ISBLANK('Deal_Master_Wide'!$EH$13),"",'Deal_Master_Wide'!$EH$13)</x:f>
      </x:c>
      <x:c r="AA72" s="52" t="str">
        <x:f>IF(ISBLANK('Deal_Master_Wide'!$AL$13),"",'Deal_Master_Wide'!$AL$13)</x:f>
        <x:v>Unknown</x:v>
      </x:c>
      <x:c r="AB72" s="54" t="n">
        <x:f>IF(ISBLANK('Deal_Master_Wide'!$AF$13),"",'Deal_Master_Wide'!$AF$13)</x:f>
        <x:v>626</x:v>
      </x:c>
      <x:c r="AC72" s="52" t="str">
        <x:f>IF(COUNT($P72,$Q72,$R72,$S72,$T72,$U72,$V72,$W72,$X72)=9,"Yes","No")</x:f>
        <x:v>No</x:v>
      </x:c>
      <x:c r="AD72" s="52" t="str">
        <x:f>IF(COUNT($Y72,$Z72)=2,"Yes","No")</x:f>
        <x:v>No</x:v>
      </x:c>
      <x:c r="AE72" s="50" t="str"/>
      <x:c r="AF72" t="str"/>
    </x:row>
    <x:row r="73" ht="20" customHeight="1">
      <x:c r="A73" s="50" t="str">
        <x:v>TRT-0011</x:v>
      </x:c>
      <x:c r="B73" s="50" t="str">
        <x:v>Candidate treatment group</x:v>
      </x:c>
      <x:c r="C73" s="52" t="str">
        <x:f>IF('Deal_Master_Wide'!$AU$13="","",'Deal_Master_Wide'!$AU$13)</x:f>
        <x:v>Not reviewed</x:v>
      </x:c>
      <x:c r="D73" s="52" t="str">
        <x:f>IF('Deal_Master_Wide'!$AV$13="","",'Deal_Master_Wide'!$AV$13)</x:f>
        <x:v>Not assessed</x:v>
      </x:c>
      <x:c r="E73" s="50" t="n">
        <x:v>1</x:v>
      </x:c>
      <x:c r="F73" s="52" t="str">
        <x:f>IF(OR($C73="High-confidence innovation-driven",$C73="Medium-confidence innovation-driven"),1,IF($C73="Clear alternative-rationale",0,""))</x:f>
      </x:c>
      <x:c r="G73" s="52" t="str">
        <x:f>IF('Deal_Master_Wide'!$M$13="","",'Deal_Master_Wide'!$M$13)</x:f>
        <x:v>Review</x:v>
      </x:c>
      <x:c r="H73" s="50" t="str">
        <x:v>Takeda Pharmaceutical Co Ltd</x:v>
      </x:c>
      <x:c r="I73" s="50" t="str">
        <x:v>TiGenix NV</x:v>
      </x:c>
      <x:c r="J73" s="50" t="n">
        <x:v>2018</x:v>
      </x:c>
      <x:c r="K73" s="50" t="n">
        <x:v>-2</x:v>
      </x:c>
      <x:c r="L73" s="50" t="n">
        <x:v>2016</x:v>
      </x:c>
      <x:c r="M73" s="50" t="n">
        <x:v>0</x:v>
      </x:c>
      <x:c r="N73" s="50" t="n">
        <x:v>0</x:v>
      </x:c>
      <x:c r="O73" s="52" t="str">
        <x:f>IF($F73="","",$F73*$M73)</x:f>
      </x:c>
      <x:c r="P73" s="54" t="str">
        <x:f>IF(ISBLANK('Deal_Master_Wide'!$BQ$13),"",'Deal_Master_Wide'!$BQ$13)</x:f>
      </x:c>
      <x:c r="Q73" s="54" t="str">
        <x:f>IF(ISBLANK('Deal_Master_Wide'!$BX$13),"",'Deal_Master_Wide'!$BX$13)</x:f>
      </x:c>
      <x:c r="R73" s="54" t="str">
        <x:f>IF(ISBLANK('Deal_Master_Wide'!$CE$13),"",'Deal_Master_Wide'!$CE$13)</x:f>
      </x:c>
      <x:c r="S73" s="54" t="str">
        <x:f>IF(ISBLANK('Deal_Master_Wide'!$CL$13),"",'Deal_Master_Wide'!$CL$13)</x:f>
      </x:c>
      <x:c r="T73" s="54" t="str">
        <x:f>IF(ISBLANK('Deal_Master_Wide'!$CS$13),"",'Deal_Master_Wide'!$CS$13)</x:f>
      </x:c>
      <x:c r="U73" s="54" t="str">
        <x:f>IF(ISBLANK('Deal_Master_Wide'!$CZ$13),"",'Deal_Master_Wide'!$CZ$13)</x:f>
      </x:c>
      <x:c r="V73" s="56" t="str">
        <x:f>IF(ISBLANK('Deal_Master_Wide'!$DG$13),"",'Deal_Master_Wide'!$DG$13)</x:f>
      </x:c>
      <x:c r="W73" s="56" t="str">
        <x:f>IF(ISBLANK('Deal_Master_Wide'!$DN$13),"",'Deal_Master_Wide'!$DN$13)</x:f>
      </x:c>
      <x:c r="X73" s="56" t="str">
        <x:f>IF(ISBLANK('Deal_Master_Wide'!$DU$13),"",'Deal_Master_Wide'!$DU$13)</x:f>
      </x:c>
      <x:c r="Y73" s="54" t="str">
        <x:f>IF(ISBLANK('Deal_Master_Wide'!$EB$13),"",'Deal_Master_Wide'!$EB$13)</x:f>
      </x:c>
      <x:c r="Z73" s="54" t="str">
        <x:f>IF(ISBLANK('Deal_Master_Wide'!$EI$13),"",'Deal_Master_Wide'!$EI$13)</x:f>
      </x:c>
      <x:c r="AA73" s="52" t="str">
        <x:f>IF(ISBLANK('Deal_Master_Wide'!$AL$13),"",'Deal_Master_Wide'!$AL$13)</x:f>
        <x:v>Unknown</x:v>
      </x:c>
      <x:c r="AB73" s="54" t="n">
        <x:f>IF(ISBLANK('Deal_Master_Wide'!$AF$13),"",'Deal_Master_Wide'!$AF$13)</x:f>
        <x:v>626</x:v>
      </x:c>
      <x:c r="AC73" s="52" t="str">
        <x:f>IF(COUNT($P73,$Q73,$R73,$S73,$T73,$U73,$V73,$W73,$X73)=9,"Yes","No")</x:f>
        <x:v>No</x:v>
      </x:c>
      <x:c r="AD73" s="52" t="str">
        <x:f>IF(COUNT($Y73,$Z73)=2,"Yes","No")</x:f>
        <x:v>No</x:v>
      </x:c>
      <x:c r="AE73" s="50" t="str"/>
      <x:c r="AF73" t="str"/>
    </x:row>
    <x:row r="74" ht="20" customHeight="1">
      <x:c r="A74" s="50" t="str">
        <x:v>TRT-0011</x:v>
      </x:c>
      <x:c r="B74" s="50" t="str">
        <x:v>Candidate treatment group</x:v>
      </x:c>
      <x:c r="C74" s="52" t="str">
        <x:f>IF('Deal_Master_Wide'!$AU$13="","",'Deal_Master_Wide'!$AU$13)</x:f>
        <x:v>Not reviewed</x:v>
      </x:c>
      <x:c r="D74" s="52" t="str">
        <x:f>IF('Deal_Master_Wide'!$AV$13="","",'Deal_Master_Wide'!$AV$13)</x:f>
        <x:v>Not assessed</x:v>
      </x:c>
      <x:c r="E74" s="50" t="n">
        <x:v>1</x:v>
      </x:c>
      <x:c r="F74" s="52" t="str">
        <x:f>IF(OR($C74="High-confidence innovation-driven",$C74="Medium-confidence innovation-driven"),1,IF($C74="Clear alternative-rationale",0,""))</x:f>
      </x:c>
      <x:c r="G74" s="52" t="str">
        <x:f>IF('Deal_Master_Wide'!$M$13="","",'Deal_Master_Wide'!$M$13)</x:f>
        <x:v>Review</x:v>
      </x:c>
      <x:c r="H74" s="50" t="str">
        <x:v>Takeda Pharmaceutical Co Ltd</x:v>
      </x:c>
      <x:c r="I74" s="50" t="str">
        <x:v>TiGenix NV</x:v>
      </x:c>
      <x:c r="J74" s="50" t="n">
        <x:v>2018</x:v>
      </x:c>
      <x:c r="K74" s="50" t="n">
        <x:v>-1</x:v>
      </x:c>
      <x:c r="L74" s="50" t="n">
        <x:v>2017</x:v>
      </x:c>
      <x:c r="M74" s="50" t="n">
        <x:v>0</x:v>
      </x:c>
      <x:c r="N74" s="50" t="n">
        <x:v>0</x:v>
      </x:c>
      <x:c r="O74" s="52" t="str">
        <x:f>IF($F74="","",$F74*$M74)</x:f>
      </x:c>
      <x:c r="P74" s="54" t="str">
        <x:f>IF(ISBLANK('Deal_Master_Wide'!$BR$13),"",'Deal_Master_Wide'!$BR$13)</x:f>
      </x:c>
      <x:c r="Q74" s="54" t="str">
        <x:f>IF(ISBLANK('Deal_Master_Wide'!$BY$13),"",'Deal_Master_Wide'!$BY$13)</x:f>
      </x:c>
      <x:c r="R74" s="54" t="str">
        <x:f>IF(ISBLANK('Deal_Master_Wide'!$CF$13),"",'Deal_Master_Wide'!$CF$13)</x:f>
      </x:c>
      <x:c r="S74" s="54" t="str">
        <x:f>IF(ISBLANK('Deal_Master_Wide'!$CM$13),"",'Deal_Master_Wide'!$CM$13)</x:f>
      </x:c>
      <x:c r="T74" s="54" t="str">
        <x:f>IF(ISBLANK('Deal_Master_Wide'!$CT$13),"",'Deal_Master_Wide'!$CT$13)</x:f>
      </x:c>
      <x:c r="U74" s="54" t="str">
        <x:f>IF(ISBLANK('Deal_Master_Wide'!$DA$13),"",'Deal_Master_Wide'!$DA$13)</x:f>
      </x:c>
      <x:c r="V74" s="56" t="str">
        <x:f>IF(ISBLANK('Deal_Master_Wide'!$DH$13),"",'Deal_Master_Wide'!$DH$13)</x:f>
      </x:c>
      <x:c r="W74" s="56" t="str">
        <x:f>IF(ISBLANK('Deal_Master_Wide'!$DO$13),"",'Deal_Master_Wide'!$DO$13)</x:f>
      </x:c>
      <x:c r="X74" s="56" t="str">
        <x:f>IF(ISBLANK('Deal_Master_Wide'!$DV$13),"",'Deal_Master_Wide'!$DV$13)</x:f>
      </x:c>
      <x:c r="Y74" s="54" t="str">
        <x:f>IF(ISBLANK('Deal_Master_Wide'!$EC$13),"",'Deal_Master_Wide'!$EC$13)</x:f>
      </x:c>
      <x:c r="Z74" s="54" t="str">
        <x:f>IF(ISBLANK('Deal_Master_Wide'!$EJ$13),"",'Deal_Master_Wide'!$EJ$13)</x:f>
      </x:c>
      <x:c r="AA74" s="52" t="str">
        <x:f>IF(ISBLANK('Deal_Master_Wide'!$AL$13),"",'Deal_Master_Wide'!$AL$13)</x:f>
        <x:v>Unknown</x:v>
      </x:c>
      <x:c r="AB74" s="54" t="n">
        <x:f>IF(ISBLANK('Deal_Master_Wide'!$AF$13),"",'Deal_Master_Wide'!$AF$13)</x:f>
        <x:v>626</x:v>
      </x:c>
      <x:c r="AC74" s="52" t="str">
        <x:f>IF(COUNT($P74,$Q74,$R74,$S74,$T74,$U74,$V74,$W74,$X74)=9,"Yes","No")</x:f>
        <x:v>No</x:v>
      </x:c>
      <x:c r="AD74" s="52" t="str">
        <x:f>IF(COUNT($Y74,$Z74)=2,"Yes","No")</x:f>
        <x:v>No</x:v>
      </x:c>
      <x:c r="AE74" s="50" t="str"/>
      <x:c r="AF74" t="str"/>
    </x:row>
    <x:row r="75" ht="20" customHeight="1">
      <x:c r="A75" s="50" t="str">
        <x:v>TRT-0011</x:v>
      </x:c>
      <x:c r="B75" s="50" t="str">
        <x:v>Candidate treatment group</x:v>
      </x:c>
      <x:c r="C75" s="52" t="str">
        <x:f>IF('Deal_Master_Wide'!$AU$13="","",'Deal_Master_Wide'!$AU$13)</x:f>
        <x:v>Not reviewed</x:v>
      </x:c>
      <x:c r="D75" s="52" t="str">
        <x:f>IF('Deal_Master_Wide'!$AV$13="","",'Deal_Master_Wide'!$AV$13)</x:f>
        <x:v>Not assessed</x:v>
      </x:c>
      <x:c r="E75" s="50" t="n">
        <x:v>1</x:v>
      </x:c>
      <x:c r="F75" s="52" t="str">
        <x:f>IF(OR($C75="High-confidence innovation-driven",$C75="Medium-confidence innovation-driven"),1,IF($C75="Clear alternative-rationale",0,""))</x:f>
      </x:c>
      <x:c r="G75" s="52" t="str">
        <x:f>IF('Deal_Master_Wide'!$M$13="","",'Deal_Master_Wide'!$M$13)</x:f>
        <x:v>Review</x:v>
      </x:c>
      <x:c r="H75" s="50" t="str">
        <x:v>Takeda Pharmaceutical Co Ltd</x:v>
      </x:c>
      <x:c r="I75" s="50" t="str">
        <x:v>TiGenix NV</x:v>
      </x:c>
      <x:c r="J75" s="50" t="n">
        <x:v>2018</x:v>
      </x:c>
      <x:c r="K75" s="50" t="n">
        <x:v>0</x:v>
      </x:c>
      <x:c r="L75" s="50" t="n">
        <x:v>2018</x:v>
      </x:c>
      <x:c r="M75" s="50" t="n">
        <x:v>0</x:v>
      </x:c>
      <x:c r="N75" s="50" t="n">
        <x:v>1</x:v>
      </x:c>
      <x:c r="O75" s="52" t="str">
        <x:f>IF($F75="","",$F75*$M75)</x:f>
      </x:c>
      <x:c r="P75" s="54" t="str">
        <x:f>IF(ISBLANK('Deal_Master_Wide'!$BS$13),"",'Deal_Master_Wide'!$BS$13)</x:f>
      </x:c>
      <x:c r="Q75" s="54" t="str">
        <x:f>IF(ISBLANK('Deal_Master_Wide'!$BZ$13),"",'Deal_Master_Wide'!$BZ$13)</x:f>
      </x:c>
      <x:c r="R75" s="54" t="str">
        <x:f>IF(ISBLANK('Deal_Master_Wide'!$CG$13),"",'Deal_Master_Wide'!$CG$13)</x:f>
      </x:c>
      <x:c r="S75" s="54" t="str">
        <x:f>IF(ISBLANK('Deal_Master_Wide'!$CN$13),"",'Deal_Master_Wide'!$CN$13)</x:f>
      </x:c>
      <x:c r="T75" s="54" t="str">
        <x:f>IF(ISBLANK('Deal_Master_Wide'!$CU$13),"",'Deal_Master_Wide'!$CU$13)</x:f>
      </x:c>
      <x:c r="U75" s="54" t="str">
        <x:f>IF(ISBLANK('Deal_Master_Wide'!$DB$13),"",'Deal_Master_Wide'!$DB$13)</x:f>
      </x:c>
      <x:c r="V75" s="56" t="str">
        <x:f>IF(ISBLANK('Deal_Master_Wide'!$DI$13),"",'Deal_Master_Wide'!$DI$13)</x:f>
      </x:c>
      <x:c r="W75" s="56" t="str">
        <x:f>IF(ISBLANK('Deal_Master_Wide'!$DP$13),"",'Deal_Master_Wide'!$DP$13)</x:f>
      </x:c>
      <x:c r="X75" s="56" t="str">
        <x:f>IF(ISBLANK('Deal_Master_Wide'!$DW$13),"",'Deal_Master_Wide'!$DW$13)</x:f>
      </x:c>
      <x:c r="Y75" s="54" t="str">
        <x:f>IF(ISBLANK('Deal_Master_Wide'!$ED$13),"",'Deal_Master_Wide'!$ED$13)</x:f>
      </x:c>
      <x:c r="Z75" s="54" t="str">
        <x:f>IF(ISBLANK('Deal_Master_Wide'!$EK$13),"",'Deal_Master_Wide'!$EK$13)</x:f>
      </x:c>
      <x:c r="AA75" s="52" t="str">
        <x:f>IF(ISBLANK('Deal_Master_Wide'!$AL$13),"",'Deal_Master_Wide'!$AL$13)</x:f>
        <x:v>Unknown</x:v>
      </x:c>
      <x:c r="AB75" s="54" t="n">
        <x:f>IF(ISBLANK('Deal_Master_Wide'!$AF$13),"",'Deal_Master_Wide'!$AF$13)</x:f>
        <x:v>626</x:v>
      </x:c>
      <x:c r="AC75" s="52" t="str">
        <x:f>IF(COUNT($P75,$Q75,$R75,$S75,$T75,$U75,$V75,$W75,$X75)=9,"Yes","No")</x:f>
        <x:v>No</x:v>
      </x:c>
      <x:c r="AD75" s="52" t="str">
        <x:f>IF(COUNT($Y75,$Z75)=2,"Yes","No")</x:f>
        <x:v>No</x:v>
      </x:c>
      <x:c r="AE75" s="50" t="str"/>
      <x:c r="AF75" t="str"/>
    </x:row>
    <x:row r="76" ht="20" customHeight="1">
      <x:c r="A76" s="50" t="str">
        <x:v>TRT-0011</x:v>
      </x:c>
      <x:c r="B76" s="50" t="str">
        <x:v>Candidate treatment group</x:v>
      </x:c>
      <x:c r="C76" s="52" t="str">
        <x:f>IF('Deal_Master_Wide'!$AU$13="","",'Deal_Master_Wide'!$AU$13)</x:f>
        <x:v>Not reviewed</x:v>
      </x:c>
      <x:c r="D76" s="52" t="str">
        <x:f>IF('Deal_Master_Wide'!$AV$13="","",'Deal_Master_Wide'!$AV$13)</x:f>
        <x:v>Not assessed</x:v>
      </x:c>
      <x:c r="E76" s="50" t="n">
        <x:v>1</x:v>
      </x:c>
      <x:c r="F76" s="52" t="str">
        <x:f>IF(OR($C76="High-confidence innovation-driven",$C76="Medium-confidence innovation-driven"),1,IF($C76="Clear alternative-rationale",0,""))</x:f>
      </x:c>
      <x:c r="G76" s="52" t="str">
        <x:f>IF('Deal_Master_Wide'!$M$13="","",'Deal_Master_Wide'!$M$13)</x:f>
        <x:v>Review</x:v>
      </x:c>
      <x:c r="H76" s="50" t="str">
        <x:v>Takeda Pharmaceutical Co Ltd</x:v>
      </x:c>
      <x:c r="I76" s="50" t="str">
        <x:v>TiGenix NV</x:v>
      </x:c>
      <x:c r="J76" s="50" t="n">
        <x:v>2018</x:v>
      </x:c>
      <x:c r="K76" s="50" t="n">
        <x:v>1</x:v>
      </x:c>
      <x:c r="L76" s="50" t="n">
        <x:v>2019</x:v>
      </x:c>
      <x:c r="M76" s="50" t="n">
        <x:v>1</x:v>
      </x:c>
      <x:c r="N76" s="50" t="n">
        <x:v>1</x:v>
      </x:c>
      <x:c r="O76" s="52" t="str">
        <x:f>IF($F76="","",$F76*$M76)</x:f>
      </x:c>
      <x:c r="P76" s="54" t="str">
        <x:f>IF(ISBLANK('Deal_Master_Wide'!$BT$13),"",'Deal_Master_Wide'!$BT$13)</x:f>
      </x:c>
      <x:c r="Q76" s="54" t="str">
        <x:f>IF(ISBLANK('Deal_Master_Wide'!$CA$13),"",'Deal_Master_Wide'!$CA$13)</x:f>
      </x:c>
      <x:c r="R76" s="54" t="str">
        <x:f>IF(ISBLANK('Deal_Master_Wide'!$CH$13),"",'Deal_Master_Wide'!$CH$13)</x:f>
      </x:c>
      <x:c r="S76" s="54" t="str">
        <x:f>IF(ISBLANK('Deal_Master_Wide'!$CO$13),"",'Deal_Master_Wide'!$CO$13)</x:f>
      </x:c>
      <x:c r="T76" s="54" t="str">
        <x:f>IF(ISBLANK('Deal_Master_Wide'!$CV$13),"",'Deal_Master_Wide'!$CV$13)</x:f>
      </x:c>
      <x:c r="U76" s="54" t="str">
        <x:f>IF(ISBLANK('Deal_Master_Wide'!$DC$13),"",'Deal_Master_Wide'!$DC$13)</x:f>
      </x:c>
      <x:c r="V76" s="56" t="str">
        <x:f>IF(ISBLANK('Deal_Master_Wide'!$DJ$13),"",'Deal_Master_Wide'!$DJ$13)</x:f>
      </x:c>
      <x:c r="W76" s="56" t="str">
        <x:f>IF(ISBLANK('Deal_Master_Wide'!$DQ$13),"",'Deal_Master_Wide'!$DQ$13)</x:f>
      </x:c>
      <x:c r="X76" s="56" t="str">
        <x:f>IF(ISBLANK('Deal_Master_Wide'!$DX$13),"",'Deal_Master_Wide'!$DX$13)</x:f>
      </x:c>
      <x:c r="Y76" s="54" t="str">
        <x:f>IF(ISBLANK('Deal_Master_Wide'!$EE$13),"",'Deal_Master_Wide'!$EE$13)</x:f>
      </x:c>
      <x:c r="Z76" s="54" t="str">
        <x:f>IF(ISBLANK('Deal_Master_Wide'!$EL$13),"",'Deal_Master_Wide'!$EL$13)</x:f>
      </x:c>
      <x:c r="AA76" s="52" t="str">
        <x:f>IF(ISBLANK('Deal_Master_Wide'!$AL$13),"",'Deal_Master_Wide'!$AL$13)</x:f>
        <x:v>Unknown</x:v>
      </x:c>
      <x:c r="AB76" s="54" t="n">
        <x:f>IF(ISBLANK('Deal_Master_Wide'!$AF$13),"",'Deal_Master_Wide'!$AF$13)</x:f>
        <x:v>626</x:v>
      </x:c>
      <x:c r="AC76" s="52" t="str">
        <x:f>IF(COUNT($P76,$Q76,$R76,$S76,$T76,$U76,$V76,$W76,$X76)=9,"Yes","No")</x:f>
        <x:v>No</x:v>
      </x:c>
      <x:c r="AD76" s="52" t="str">
        <x:f>IF(COUNT($Y76,$Z76)=2,"Yes","No")</x:f>
        <x:v>No</x:v>
      </x:c>
      <x:c r="AE76" s="50" t="str"/>
      <x:c r="AF76" t="str"/>
    </x:row>
    <x:row r="77" ht="20" customHeight="1">
      <x:c r="A77" s="50" t="str">
        <x:v>TRT-0011</x:v>
      </x:c>
      <x:c r="B77" s="50" t="str">
        <x:v>Candidate treatment group</x:v>
      </x:c>
      <x:c r="C77" s="52" t="str">
        <x:f>IF('Deal_Master_Wide'!$AU$13="","",'Deal_Master_Wide'!$AU$13)</x:f>
        <x:v>Not reviewed</x:v>
      </x:c>
      <x:c r="D77" s="52" t="str">
        <x:f>IF('Deal_Master_Wide'!$AV$13="","",'Deal_Master_Wide'!$AV$13)</x:f>
        <x:v>Not assessed</x:v>
      </x:c>
      <x:c r="E77" s="50" t="n">
        <x:v>1</x:v>
      </x:c>
      <x:c r="F77" s="52" t="str">
        <x:f>IF(OR($C77="High-confidence innovation-driven",$C77="Medium-confidence innovation-driven"),1,IF($C77="Clear alternative-rationale",0,""))</x:f>
      </x:c>
      <x:c r="G77" s="52" t="str">
        <x:f>IF('Deal_Master_Wide'!$M$13="","",'Deal_Master_Wide'!$M$13)</x:f>
        <x:v>Review</x:v>
      </x:c>
      <x:c r="H77" s="50" t="str">
        <x:v>Takeda Pharmaceutical Co Ltd</x:v>
      </x:c>
      <x:c r="I77" s="50" t="str">
        <x:v>TiGenix NV</x:v>
      </x:c>
      <x:c r="J77" s="50" t="n">
        <x:v>2018</x:v>
      </x:c>
      <x:c r="K77" s="50" t="n">
        <x:v>2</x:v>
      </x:c>
      <x:c r="L77" s="50" t="n">
        <x:v>2020</x:v>
      </x:c>
      <x:c r="M77" s="50" t="n">
        <x:v>1</x:v>
      </x:c>
      <x:c r="N77" s="50" t="n">
        <x:v>1</x:v>
      </x:c>
      <x:c r="O77" s="52" t="str">
        <x:f>IF($F77="","",$F77*$M77)</x:f>
      </x:c>
      <x:c r="P77" s="54" t="str">
        <x:f>IF(ISBLANK('Deal_Master_Wide'!$BU$13),"",'Deal_Master_Wide'!$BU$13)</x:f>
      </x:c>
      <x:c r="Q77" s="54" t="str">
        <x:f>IF(ISBLANK('Deal_Master_Wide'!$CB$13),"",'Deal_Master_Wide'!$CB$13)</x:f>
      </x:c>
      <x:c r="R77" s="54" t="str">
        <x:f>IF(ISBLANK('Deal_Master_Wide'!$CI$13),"",'Deal_Master_Wide'!$CI$13)</x:f>
      </x:c>
      <x:c r="S77" s="54" t="str">
        <x:f>IF(ISBLANK('Deal_Master_Wide'!$CP$13),"",'Deal_Master_Wide'!$CP$13)</x:f>
      </x:c>
      <x:c r="T77" s="54" t="str">
        <x:f>IF(ISBLANK('Deal_Master_Wide'!$CW$13),"",'Deal_Master_Wide'!$CW$13)</x:f>
      </x:c>
      <x:c r="U77" s="54" t="str">
        <x:f>IF(ISBLANK('Deal_Master_Wide'!$DD$13),"",'Deal_Master_Wide'!$DD$13)</x:f>
      </x:c>
      <x:c r="V77" s="56" t="str">
        <x:f>IF(ISBLANK('Deal_Master_Wide'!$DK$13),"",'Deal_Master_Wide'!$DK$13)</x:f>
      </x:c>
      <x:c r="W77" s="56" t="str">
        <x:f>IF(ISBLANK('Deal_Master_Wide'!$DR$13),"",'Deal_Master_Wide'!$DR$13)</x:f>
      </x:c>
      <x:c r="X77" s="56" t="str">
        <x:f>IF(ISBLANK('Deal_Master_Wide'!$DY$13),"",'Deal_Master_Wide'!$DY$13)</x:f>
      </x:c>
      <x:c r="Y77" s="54" t="str">
        <x:f>IF(ISBLANK('Deal_Master_Wide'!$EF$13),"",'Deal_Master_Wide'!$EF$13)</x:f>
      </x:c>
      <x:c r="Z77" s="54" t="str">
        <x:f>IF(ISBLANK('Deal_Master_Wide'!$EM$13),"",'Deal_Master_Wide'!$EM$13)</x:f>
      </x:c>
      <x:c r="AA77" s="52" t="str">
        <x:f>IF(ISBLANK('Deal_Master_Wide'!$AL$13),"",'Deal_Master_Wide'!$AL$13)</x:f>
        <x:v>Unknown</x:v>
      </x:c>
      <x:c r="AB77" s="54" t="n">
        <x:f>IF(ISBLANK('Deal_Master_Wide'!$AF$13),"",'Deal_Master_Wide'!$AF$13)</x:f>
        <x:v>626</x:v>
      </x:c>
      <x:c r="AC77" s="52" t="str">
        <x:f>IF(COUNT($P77,$Q77,$R77,$S77,$T77,$U77,$V77,$W77,$X77)=9,"Yes","No")</x:f>
        <x:v>No</x:v>
      </x:c>
      <x:c r="AD77" s="52" t="str">
        <x:f>IF(COUNT($Y77,$Z77)=2,"Yes","No")</x:f>
        <x:v>No</x:v>
      </x:c>
      <x:c r="AE77" s="50" t="str"/>
      <x:c r="AF77" t="str"/>
    </x:row>
    <x:row r="78" ht="20" customHeight="1">
      <x:c r="A78" s="50" t="str">
        <x:v>TRT-0011</x:v>
      </x:c>
      <x:c r="B78" s="50" t="str">
        <x:v>Candidate treatment group</x:v>
      </x:c>
      <x:c r="C78" s="52" t="str">
        <x:f>IF('Deal_Master_Wide'!$AU$13="","",'Deal_Master_Wide'!$AU$13)</x:f>
        <x:v>Not reviewed</x:v>
      </x:c>
      <x:c r="D78" s="52" t="str">
        <x:f>IF('Deal_Master_Wide'!$AV$13="","",'Deal_Master_Wide'!$AV$13)</x:f>
        <x:v>Not assessed</x:v>
      </x:c>
      <x:c r="E78" s="50" t="n">
        <x:v>1</x:v>
      </x:c>
      <x:c r="F78" s="52" t="str">
        <x:f>IF(OR($C78="High-confidence innovation-driven",$C78="Medium-confidence innovation-driven"),1,IF($C78="Clear alternative-rationale",0,""))</x:f>
      </x:c>
      <x:c r="G78" s="52" t="str">
        <x:f>IF('Deal_Master_Wide'!$M$13="","",'Deal_Master_Wide'!$M$13)</x:f>
        <x:v>Review</x:v>
      </x:c>
      <x:c r="H78" s="50" t="str">
        <x:v>Takeda Pharmaceutical Co Ltd</x:v>
      </x:c>
      <x:c r="I78" s="50" t="str">
        <x:v>TiGenix NV</x:v>
      </x:c>
      <x:c r="J78" s="50" t="n">
        <x:v>2018</x:v>
      </x:c>
      <x:c r="K78" s="50" t="n">
        <x:v>3</x:v>
      </x:c>
      <x:c r="L78" s="50" t="n">
        <x:v>2021</x:v>
      </x:c>
      <x:c r="M78" s="50" t="n">
        <x:v>1</x:v>
      </x:c>
      <x:c r="N78" s="50" t="n">
        <x:v>1</x:v>
      </x:c>
      <x:c r="O78" s="52" t="str">
        <x:f>IF($F78="","",$F78*$M78)</x:f>
      </x:c>
      <x:c r="P78" s="54" t="str">
        <x:f>IF(ISBLANK('Deal_Master_Wide'!$BV$13),"",'Deal_Master_Wide'!$BV$13)</x:f>
      </x:c>
      <x:c r="Q78" s="54" t="str">
        <x:f>IF(ISBLANK('Deal_Master_Wide'!$CC$13),"",'Deal_Master_Wide'!$CC$13)</x:f>
      </x:c>
      <x:c r="R78" s="54" t="str">
        <x:f>IF(ISBLANK('Deal_Master_Wide'!$CJ$13),"",'Deal_Master_Wide'!$CJ$13)</x:f>
      </x:c>
      <x:c r="S78" s="54" t="str">
        <x:f>IF(ISBLANK('Deal_Master_Wide'!$CQ$13),"",'Deal_Master_Wide'!$CQ$13)</x:f>
      </x:c>
      <x:c r="T78" s="54" t="str">
        <x:f>IF(ISBLANK('Deal_Master_Wide'!$CX$13),"",'Deal_Master_Wide'!$CX$13)</x:f>
      </x:c>
      <x:c r="U78" s="54" t="str">
        <x:f>IF(ISBLANK('Deal_Master_Wide'!$DE$13),"",'Deal_Master_Wide'!$DE$13)</x:f>
      </x:c>
      <x:c r="V78" s="56" t="str">
        <x:f>IF(ISBLANK('Deal_Master_Wide'!$DL$13),"",'Deal_Master_Wide'!$DL$13)</x:f>
      </x:c>
      <x:c r="W78" s="56" t="str">
        <x:f>IF(ISBLANK('Deal_Master_Wide'!$DS$13),"",'Deal_Master_Wide'!$DS$13)</x:f>
      </x:c>
      <x:c r="X78" s="56" t="str">
        <x:f>IF(ISBLANK('Deal_Master_Wide'!$DZ$13),"",'Deal_Master_Wide'!$DZ$13)</x:f>
      </x:c>
      <x:c r="Y78" s="54" t="str">
        <x:f>IF(ISBLANK('Deal_Master_Wide'!$EG$13),"",'Deal_Master_Wide'!$EG$13)</x:f>
      </x:c>
      <x:c r="Z78" s="54" t="str">
        <x:f>IF(ISBLANK('Deal_Master_Wide'!$EN$13),"",'Deal_Master_Wide'!$EN$13)</x:f>
      </x:c>
      <x:c r="AA78" s="52" t="str">
        <x:f>IF(ISBLANK('Deal_Master_Wide'!$AL$13),"",'Deal_Master_Wide'!$AL$13)</x:f>
        <x:v>Unknown</x:v>
      </x:c>
      <x:c r="AB78" s="54" t="n">
        <x:f>IF(ISBLANK('Deal_Master_Wide'!$AF$13),"",'Deal_Master_Wide'!$AF$13)</x:f>
        <x:v>626</x:v>
      </x:c>
      <x:c r="AC78" s="52" t="str">
        <x:f>IF(COUNT($P78,$Q78,$R78,$S78,$T78,$U78,$V78,$W78,$X78)=9,"Yes","No")</x:f>
        <x:v>No</x:v>
      </x:c>
      <x:c r="AD78" s="52" t="str">
        <x:f>IF(COUNT($Y78,$Z78)=2,"Yes","No")</x:f>
        <x:v>No</x:v>
      </x:c>
      <x:c r="AE78" s="50" t="str"/>
      <x:c r="AF78" t="str"/>
    </x:row>
    <x:row r="79" ht="20" customHeight="1">
      <x:c r="A79" s="50" t="str">
        <x:v>TRT-0012</x:v>
      </x:c>
      <x:c r="B79" s="50" t="str">
        <x:v>Candidate treatment group</x:v>
      </x:c>
      <x:c r="C79" s="52" t="str">
        <x:f>IF('Deal_Master_Wide'!$AU$14="","",'Deal_Master_Wide'!$AU$14)</x:f>
        <x:v>Not reviewed</x:v>
      </x:c>
      <x:c r="D79" s="52" t="str">
        <x:f>IF('Deal_Master_Wide'!$AV$14="","",'Deal_Master_Wide'!$AV$14)</x:f>
        <x:v>Not assessed</x:v>
      </x:c>
      <x:c r="E79" s="50" t="n">
        <x:v>1</x:v>
      </x:c>
      <x:c r="F79" s="52" t="str">
        <x:f>IF(OR($C79="High-confidence innovation-driven",$C79="Medium-confidence innovation-driven"),1,IF($C79="Clear alternative-rationale",0,""))</x:f>
      </x:c>
      <x:c r="G79" s="52" t="str">
        <x:f>IF('Deal_Master_Wide'!$M$14="","",'Deal_Master_Wide'!$M$14)</x:f>
        <x:v>Review</x:v>
      </x:c>
      <x:c r="H79" s="50" t="str">
        <x:v>Impilo AB</x:v>
      </x:c>
      <x:c r="I79" s="50" t="str">
        <x:v>Ferrosan Medical Devices AS</x:v>
      </x:c>
      <x:c r="J79" s="50" t="n">
        <x:v>2017</x:v>
      </x:c>
      <x:c r="K79" s="50" t="n">
        <x:v>-3</x:v>
      </x:c>
      <x:c r="L79" s="50" t="n">
        <x:v>2014</x:v>
      </x:c>
      <x:c r="M79" s="50" t="n">
        <x:v>0</x:v>
      </x:c>
      <x:c r="N79" s="50" t="n">
        <x:v>0</x:v>
      </x:c>
      <x:c r="O79" s="52" t="str">
        <x:f>IF($F79="","",$F79*$M79)</x:f>
      </x:c>
      <x:c r="P79" s="54" t="str">
        <x:f>IF(ISBLANK('Deal_Master_Wide'!$BP$14),"",'Deal_Master_Wide'!$BP$14)</x:f>
      </x:c>
      <x:c r="Q79" s="54" t="str">
        <x:f>IF(ISBLANK('Deal_Master_Wide'!$BW$14),"",'Deal_Master_Wide'!$BW$14)</x:f>
      </x:c>
      <x:c r="R79" s="54" t="str">
        <x:f>IF(ISBLANK('Deal_Master_Wide'!$CD$14),"",'Deal_Master_Wide'!$CD$14)</x:f>
      </x:c>
      <x:c r="S79" s="54" t="str">
        <x:f>IF(ISBLANK('Deal_Master_Wide'!$CK$14),"",'Deal_Master_Wide'!$CK$14)</x:f>
      </x:c>
      <x:c r="T79" s="54" t="str">
        <x:f>IF(ISBLANK('Deal_Master_Wide'!$CR$14),"",'Deal_Master_Wide'!$CR$14)</x:f>
      </x:c>
      <x:c r="U79" s="54" t="str">
        <x:f>IF(ISBLANK('Deal_Master_Wide'!$CY$14),"",'Deal_Master_Wide'!$CY$14)</x:f>
      </x:c>
      <x:c r="V79" s="56" t="str">
        <x:f>IF(ISBLANK('Deal_Master_Wide'!$DF$14),"",'Deal_Master_Wide'!$DF$14)</x:f>
      </x:c>
      <x:c r="W79" s="56" t="str">
        <x:f>IF(ISBLANK('Deal_Master_Wide'!$DM$14),"",'Deal_Master_Wide'!$DM$14)</x:f>
      </x:c>
      <x:c r="X79" s="56" t="str">
        <x:f>IF(ISBLANK('Deal_Master_Wide'!$DT$14),"",'Deal_Master_Wide'!$DT$14)</x:f>
      </x:c>
      <x:c r="Y79" s="54" t="str">
        <x:f>IF(ISBLANK('Deal_Master_Wide'!$EA$14),"",'Deal_Master_Wide'!$EA$14)</x:f>
      </x:c>
      <x:c r="Z79" s="54" t="str">
        <x:f>IF(ISBLANK('Deal_Master_Wide'!$EH$14),"",'Deal_Master_Wide'!$EH$14)</x:f>
      </x:c>
      <x:c r="AA79" s="52" t="str">
        <x:f>IF(ISBLANK('Deal_Master_Wide'!$AL$14),"",'Deal_Master_Wide'!$AL$14)</x:f>
        <x:v>Unknown</x:v>
      </x:c>
      <x:c r="AB79" s="54" t="str">
        <x:f>IF(ISBLANK('Deal_Master_Wide'!$AF$14),"",'Deal_Master_Wide'!$AF$14)</x:f>
      </x:c>
      <x:c r="AC79" s="52" t="str">
        <x:f>IF(COUNT($P79,$Q79,$R79,$S79,$T79,$U79,$V79,$W79,$X79)=9,"Yes","No")</x:f>
        <x:v>No</x:v>
      </x:c>
      <x:c r="AD79" s="52" t="str">
        <x:f>IF(COUNT($Y79,$Z79)=2,"Yes","No")</x:f>
        <x:v>No</x:v>
      </x:c>
      <x:c r="AE79" s="50" t="str"/>
      <x:c r="AF79" t="str"/>
    </x:row>
    <x:row r="80" ht="20" customHeight="1">
      <x:c r="A80" s="50" t="str">
        <x:v>TRT-0012</x:v>
      </x:c>
      <x:c r="B80" s="50" t="str">
        <x:v>Candidate treatment group</x:v>
      </x:c>
      <x:c r="C80" s="52" t="str">
        <x:f>IF('Deal_Master_Wide'!$AU$14="","",'Deal_Master_Wide'!$AU$14)</x:f>
        <x:v>Not reviewed</x:v>
      </x:c>
      <x:c r="D80" s="52" t="str">
        <x:f>IF('Deal_Master_Wide'!$AV$14="","",'Deal_Master_Wide'!$AV$14)</x:f>
        <x:v>Not assessed</x:v>
      </x:c>
      <x:c r="E80" s="50" t="n">
        <x:v>1</x:v>
      </x:c>
      <x:c r="F80" s="52" t="str">
        <x:f>IF(OR($C80="High-confidence innovation-driven",$C80="Medium-confidence innovation-driven"),1,IF($C80="Clear alternative-rationale",0,""))</x:f>
      </x:c>
      <x:c r="G80" s="52" t="str">
        <x:f>IF('Deal_Master_Wide'!$M$14="","",'Deal_Master_Wide'!$M$14)</x:f>
        <x:v>Review</x:v>
      </x:c>
      <x:c r="H80" s="50" t="str">
        <x:v>Impilo AB</x:v>
      </x:c>
      <x:c r="I80" s="50" t="str">
        <x:v>Ferrosan Medical Devices AS</x:v>
      </x:c>
      <x:c r="J80" s="50" t="n">
        <x:v>2017</x:v>
      </x:c>
      <x:c r="K80" s="50" t="n">
        <x:v>-2</x:v>
      </x:c>
      <x:c r="L80" s="50" t="n">
        <x:v>2015</x:v>
      </x:c>
      <x:c r="M80" s="50" t="n">
        <x:v>0</x:v>
      </x:c>
      <x:c r="N80" s="50" t="n">
        <x:v>0</x:v>
      </x:c>
      <x:c r="O80" s="52" t="str">
        <x:f>IF($F80="","",$F80*$M80)</x:f>
      </x:c>
      <x:c r="P80" s="54" t="str">
        <x:f>IF(ISBLANK('Deal_Master_Wide'!$BQ$14),"",'Deal_Master_Wide'!$BQ$14)</x:f>
      </x:c>
      <x:c r="Q80" s="54" t="str">
        <x:f>IF(ISBLANK('Deal_Master_Wide'!$BX$14),"",'Deal_Master_Wide'!$BX$14)</x:f>
      </x:c>
      <x:c r="R80" s="54" t="str">
        <x:f>IF(ISBLANK('Deal_Master_Wide'!$CE$14),"",'Deal_Master_Wide'!$CE$14)</x:f>
      </x:c>
      <x:c r="S80" s="54" t="str">
        <x:f>IF(ISBLANK('Deal_Master_Wide'!$CL$14),"",'Deal_Master_Wide'!$CL$14)</x:f>
      </x:c>
      <x:c r="T80" s="54" t="str">
        <x:f>IF(ISBLANK('Deal_Master_Wide'!$CS$14),"",'Deal_Master_Wide'!$CS$14)</x:f>
      </x:c>
      <x:c r="U80" s="54" t="str">
        <x:f>IF(ISBLANK('Deal_Master_Wide'!$CZ$14),"",'Deal_Master_Wide'!$CZ$14)</x:f>
      </x:c>
      <x:c r="V80" s="56" t="str">
        <x:f>IF(ISBLANK('Deal_Master_Wide'!$DG$14),"",'Deal_Master_Wide'!$DG$14)</x:f>
      </x:c>
      <x:c r="W80" s="56" t="str">
        <x:f>IF(ISBLANK('Deal_Master_Wide'!$DN$14),"",'Deal_Master_Wide'!$DN$14)</x:f>
      </x:c>
      <x:c r="X80" s="56" t="str">
        <x:f>IF(ISBLANK('Deal_Master_Wide'!$DU$14),"",'Deal_Master_Wide'!$DU$14)</x:f>
      </x:c>
      <x:c r="Y80" s="54" t="str">
        <x:f>IF(ISBLANK('Deal_Master_Wide'!$EB$14),"",'Deal_Master_Wide'!$EB$14)</x:f>
      </x:c>
      <x:c r="Z80" s="54" t="str">
        <x:f>IF(ISBLANK('Deal_Master_Wide'!$EI$14),"",'Deal_Master_Wide'!$EI$14)</x:f>
      </x:c>
      <x:c r="AA80" s="52" t="str">
        <x:f>IF(ISBLANK('Deal_Master_Wide'!$AL$14),"",'Deal_Master_Wide'!$AL$14)</x:f>
        <x:v>Unknown</x:v>
      </x:c>
      <x:c r="AB80" s="54" t="str">
        <x:f>IF(ISBLANK('Deal_Master_Wide'!$AF$14),"",'Deal_Master_Wide'!$AF$14)</x:f>
      </x:c>
      <x:c r="AC80" s="52" t="str">
        <x:f>IF(COUNT($P80,$Q80,$R80,$S80,$T80,$U80,$V80,$W80,$X80)=9,"Yes","No")</x:f>
        <x:v>No</x:v>
      </x:c>
      <x:c r="AD80" s="52" t="str">
        <x:f>IF(COUNT($Y80,$Z80)=2,"Yes","No")</x:f>
        <x:v>No</x:v>
      </x:c>
      <x:c r="AE80" s="50" t="str"/>
      <x:c r="AF80" t="str"/>
    </x:row>
    <x:row r="81" ht="20" customHeight="1">
      <x:c r="A81" s="50" t="str">
        <x:v>TRT-0012</x:v>
      </x:c>
      <x:c r="B81" s="50" t="str">
        <x:v>Candidate treatment group</x:v>
      </x:c>
      <x:c r="C81" s="52" t="str">
        <x:f>IF('Deal_Master_Wide'!$AU$14="","",'Deal_Master_Wide'!$AU$14)</x:f>
        <x:v>Not reviewed</x:v>
      </x:c>
      <x:c r="D81" s="52" t="str">
        <x:f>IF('Deal_Master_Wide'!$AV$14="","",'Deal_Master_Wide'!$AV$14)</x:f>
        <x:v>Not assessed</x:v>
      </x:c>
      <x:c r="E81" s="50" t="n">
        <x:v>1</x:v>
      </x:c>
      <x:c r="F81" s="52" t="str">
        <x:f>IF(OR($C81="High-confidence innovation-driven",$C81="Medium-confidence innovation-driven"),1,IF($C81="Clear alternative-rationale",0,""))</x:f>
      </x:c>
      <x:c r="G81" s="52" t="str">
        <x:f>IF('Deal_Master_Wide'!$M$14="","",'Deal_Master_Wide'!$M$14)</x:f>
        <x:v>Review</x:v>
      </x:c>
      <x:c r="H81" s="50" t="str">
        <x:v>Impilo AB</x:v>
      </x:c>
      <x:c r="I81" s="50" t="str">
        <x:v>Ferrosan Medical Devices AS</x:v>
      </x:c>
      <x:c r="J81" s="50" t="n">
        <x:v>2017</x:v>
      </x:c>
      <x:c r="K81" s="50" t="n">
        <x:v>-1</x:v>
      </x:c>
      <x:c r="L81" s="50" t="n">
        <x:v>2016</x:v>
      </x:c>
      <x:c r="M81" s="50" t="n">
        <x:v>0</x:v>
      </x:c>
      <x:c r="N81" s="50" t="n">
        <x:v>0</x:v>
      </x:c>
      <x:c r="O81" s="52" t="str">
        <x:f>IF($F81="","",$F81*$M81)</x:f>
      </x:c>
      <x:c r="P81" s="54" t="str">
        <x:f>IF(ISBLANK('Deal_Master_Wide'!$BR$14),"",'Deal_Master_Wide'!$BR$14)</x:f>
      </x:c>
      <x:c r="Q81" s="54" t="str">
        <x:f>IF(ISBLANK('Deal_Master_Wide'!$BY$14),"",'Deal_Master_Wide'!$BY$14)</x:f>
      </x:c>
      <x:c r="R81" s="54" t="str">
        <x:f>IF(ISBLANK('Deal_Master_Wide'!$CF$14),"",'Deal_Master_Wide'!$CF$14)</x:f>
      </x:c>
      <x:c r="S81" s="54" t="str">
        <x:f>IF(ISBLANK('Deal_Master_Wide'!$CM$14),"",'Deal_Master_Wide'!$CM$14)</x:f>
      </x:c>
      <x:c r="T81" s="54" t="str">
        <x:f>IF(ISBLANK('Deal_Master_Wide'!$CT$14),"",'Deal_Master_Wide'!$CT$14)</x:f>
      </x:c>
      <x:c r="U81" s="54" t="str">
        <x:f>IF(ISBLANK('Deal_Master_Wide'!$DA$14),"",'Deal_Master_Wide'!$DA$14)</x:f>
      </x:c>
      <x:c r="V81" s="56" t="str">
        <x:f>IF(ISBLANK('Deal_Master_Wide'!$DH$14),"",'Deal_Master_Wide'!$DH$14)</x:f>
      </x:c>
      <x:c r="W81" s="56" t="str">
        <x:f>IF(ISBLANK('Deal_Master_Wide'!$DO$14),"",'Deal_Master_Wide'!$DO$14)</x:f>
      </x:c>
      <x:c r="X81" s="56" t="str">
        <x:f>IF(ISBLANK('Deal_Master_Wide'!$DV$14),"",'Deal_Master_Wide'!$DV$14)</x:f>
      </x:c>
      <x:c r="Y81" s="54" t="str">
        <x:f>IF(ISBLANK('Deal_Master_Wide'!$EC$14),"",'Deal_Master_Wide'!$EC$14)</x:f>
      </x:c>
      <x:c r="Z81" s="54" t="str">
        <x:f>IF(ISBLANK('Deal_Master_Wide'!$EJ$14),"",'Deal_Master_Wide'!$EJ$14)</x:f>
      </x:c>
      <x:c r="AA81" s="52" t="str">
        <x:f>IF(ISBLANK('Deal_Master_Wide'!$AL$14),"",'Deal_Master_Wide'!$AL$14)</x:f>
        <x:v>Unknown</x:v>
      </x:c>
      <x:c r="AB81" s="54" t="str">
        <x:f>IF(ISBLANK('Deal_Master_Wide'!$AF$14),"",'Deal_Master_Wide'!$AF$14)</x:f>
      </x:c>
      <x:c r="AC81" s="52" t="str">
        <x:f>IF(COUNT($P81,$Q81,$R81,$S81,$T81,$U81,$V81,$W81,$X81)=9,"Yes","No")</x:f>
        <x:v>No</x:v>
      </x:c>
      <x:c r="AD81" s="52" t="str">
        <x:f>IF(COUNT($Y81,$Z81)=2,"Yes","No")</x:f>
        <x:v>No</x:v>
      </x:c>
      <x:c r="AE81" s="50" t="str"/>
      <x:c r="AF81" t="str"/>
    </x:row>
    <x:row r="82" ht="20" customHeight="1">
      <x:c r="A82" s="50" t="str">
        <x:v>TRT-0012</x:v>
      </x:c>
      <x:c r="B82" s="50" t="str">
        <x:v>Candidate treatment group</x:v>
      </x:c>
      <x:c r="C82" s="52" t="str">
        <x:f>IF('Deal_Master_Wide'!$AU$14="","",'Deal_Master_Wide'!$AU$14)</x:f>
        <x:v>Not reviewed</x:v>
      </x:c>
      <x:c r="D82" s="52" t="str">
        <x:f>IF('Deal_Master_Wide'!$AV$14="","",'Deal_Master_Wide'!$AV$14)</x:f>
        <x:v>Not assessed</x:v>
      </x:c>
      <x:c r="E82" s="50" t="n">
        <x:v>1</x:v>
      </x:c>
      <x:c r="F82" s="52" t="str">
        <x:f>IF(OR($C82="High-confidence innovation-driven",$C82="Medium-confidence innovation-driven"),1,IF($C82="Clear alternative-rationale",0,""))</x:f>
      </x:c>
      <x:c r="G82" s="52" t="str">
        <x:f>IF('Deal_Master_Wide'!$M$14="","",'Deal_Master_Wide'!$M$14)</x:f>
        <x:v>Review</x:v>
      </x:c>
      <x:c r="H82" s="50" t="str">
        <x:v>Impilo AB</x:v>
      </x:c>
      <x:c r="I82" s="50" t="str">
        <x:v>Ferrosan Medical Devices AS</x:v>
      </x:c>
      <x:c r="J82" s="50" t="n">
        <x:v>2017</x:v>
      </x:c>
      <x:c r="K82" s="50" t="n">
        <x:v>0</x:v>
      </x:c>
      <x:c r="L82" s="50" t="n">
        <x:v>2017</x:v>
      </x:c>
      <x:c r="M82" s="50" t="n">
        <x:v>0</x:v>
      </x:c>
      <x:c r="N82" s="50" t="n">
        <x:v>1</x:v>
      </x:c>
      <x:c r="O82" s="52" t="str">
        <x:f>IF($F82="","",$F82*$M82)</x:f>
      </x:c>
      <x:c r="P82" s="54" t="str">
        <x:f>IF(ISBLANK('Deal_Master_Wide'!$BS$14),"",'Deal_Master_Wide'!$BS$14)</x:f>
      </x:c>
      <x:c r="Q82" s="54" t="str">
        <x:f>IF(ISBLANK('Deal_Master_Wide'!$BZ$14),"",'Deal_Master_Wide'!$BZ$14)</x:f>
      </x:c>
      <x:c r="R82" s="54" t="str">
        <x:f>IF(ISBLANK('Deal_Master_Wide'!$CG$14),"",'Deal_Master_Wide'!$CG$14)</x:f>
      </x:c>
      <x:c r="S82" s="54" t="str">
        <x:f>IF(ISBLANK('Deal_Master_Wide'!$CN$14),"",'Deal_Master_Wide'!$CN$14)</x:f>
      </x:c>
      <x:c r="T82" s="54" t="str">
        <x:f>IF(ISBLANK('Deal_Master_Wide'!$CU$14),"",'Deal_Master_Wide'!$CU$14)</x:f>
      </x:c>
      <x:c r="U82" s="54" t="str">
        <x:f>IF(ISBLANK('Deal_Master_Wide'!$DB$14),"",'Deal_Master_Wide'!$DB$14)</x:f>
      </x:c>
      <x:c r="V82" s="56" t="str">
        <x:f>IF(ISBLANK('Deal_Master_Wide'!$DI$14),"",'Deal_Master_Wide'!$DI$14)</x:f>
      </x:c>
      <x:c r="W82" s="56" t="str">
        <x:f>IF(ISBLANK('Deal_Master_Wide'!$DP$14),"",'Deal_Master_Wide'!$DP$14)</x:f>
      </x:c>
      <x:c r="X82" s="56" t="str">
        <x:f>IF(ISBLANK('Deal_Master_Wide'!$DW$14),"",'Deal_Master_Wide'!$DW$14)</x:f>
      </x:c>
      <x:c r="Y82" s="54" t="str">
        <x:f>IF(ISBLANK('Deal_Master_Wide'!$ED$14),"",'Deal_Master_Wide'!$ED$14)</x:f>
      </x:c>
      <x:c r="Z82" s="54" t="str">
        <x:f>IF(ISBLANK('Deal_Master_Wide'!$EK$14),"",'Deal_Master_Wide'!$EK$14)</x:f>
      </x:c>
      <x:c r="AA82" s="52" t="str">
        <x:f>IF(ISBLANK('Deal_Master_Wide'!$AL$14),"",'Deal_Master_Wide'!$AL$14)</x:f>
        <x:v>Unknown</x:v>
      </x:c>
      <x:c r="AB82" s="54" t="str">
        <x:f>IF(ISBLANK('Deal_Master_Wide'!$AF$14),"",'Deal_Master_Wide'!$AF$14)</x:f>
      </x:c>
      <x:c r="AC82" s="52" t="str">
        <x:f>IF(COUNT($P82,$Q82,$R82,$S82,$T82,$U82,$V82,$W82,$X82)=9,"Yes","No")</x:f>
        <x:v>No</x:v>
      </x:c>
      <x:c r="AD82" s="52" t="str">
        <x:f>IF(COUNT($Y82,$Z82)=2,"Yes","No")</x:f>
        <x:v>No</x:v>
      </x:c>
      <x:c r="AE82" s="50" t="str"/>
      <x:c r="AF82" t="str"/>
    </x:row>
    <x:row r="83" ht="20" customHeight="1">
      <x:c r="A83" s="50" t="str">
        <x:v>TRT-0012</x:v>
      </x:c>
      <x:c r="B83" s="50" t="str">
        <x:v>Candidate treatment group</x:v>
      </x:c>
      <x:c r="C83" s="52" t="str">
        <x:f>IF('Deal_Master_Wide'!$AU$14="","",'Deal_Master_Wide'!$AU$14)</x:f>
        <x:v>Not reviewed</x:v>
      </x:c>
      <x:c r="D83" s="52" t="str">
        <x:f>IF('Deal_Master_Wide'!$AV$14="","",'Deal_Master_Wide'!$AV$14)</x:f>
        <x:v>Not assessed</x:v>
      </x:c>
      <x:c r="E83" s="50" t="n">
        <x:v>1</x:v>
      </x:c>
      <x:c r="F83" s="52" t="str">
        <x:f>IF(OR($C83="High-confidence innovation-driven",$C83="Medium-confidence innovation-driven"),1,IF($C83="Clear alternative-rationale",0,""))</x:f>
      </x:c>
      <x:c r="G83" s="52" t="str">
        <x:f>IF('Deal_Master_Wide'!$M$14="","",'Deal_Master_Wide'!$M$14)</x:f>
        <x:v>Review</x:v>
      </x:c>
      <x:c r="H83" s="50" t="str">
        <x:v>Impilo AB</x:v>
      </x:c>
      <x:c r="I83" s="50" t="str">
        <x:v>Ferrosan Medical Devices AS</x:v>
      </x:c>
      <x:c r="J83" s="50" t="n">
        <x:v>2017</x:v>
      </x:c>
      <x:c r="K83" s="50" t="n">
        <x:v>1</x:v>
      </x:c>
      <x:c r="L83" s="50" t="n">
        <x:v>2018</x:v>
      </x:c>
      <x:c r="M83" s="50" t="n">
        <x:v>1</x:v>
      </x:c>
      <x:c r="N83" s="50" t="n">
        <x:v>1</x:v>
      </x:c>
      <x:c r="O83" s="52" t="str">
        <x:f>IF($F83="","",$F83*$M83)</x:f>
      </x:c>
      <x:c r="P83" s="54" t="str">
        <x:f>IF(ISBLANK('Deal_Master_Wide'!$BT$14),"",'Deal_Master_Wide'!$BT$14)</x:f>
      </x:c>
      <x:c r="Q83" s="54" t="str">
        <x:f>IF(ISBLANK('Deal_Master_Wide'!$CA$14),"",'Deal_Master_Wide'!$CA$14)</x:f>
      </x:c>
      <x:c r="R83" s="54" t="str">
        <x:f>IF(ISBLANK('Deal_Master_Wide'!$CH$14),"",'Deal_Master_Wide'!$CH$14)</x:f>
      </x:c>
      <x:c r="S83" s="54" t="str">
        <x:f>IF(ISBLANK('Deal_Master_Wide'!$CO$14),"",'Deal_Master_Wide'!$CO$14)</x:f>
      </x:c>
      <x:c r="T83" s="54" t="str">
        <x:f>IF(ISBLANK('Deal_Master_Wide'!$CV$14),"",'Deal_Master_Wide'!$CV$14)</x:f>
      </x:c>
      <x:c r="U83" s="54" t="str">
        <x:f>IF(ISBLANK('Deal_Master_Wide'!$DC$14),"",'Deal_Master_Wide'!$DC$14)</x:f>
      </x:c>
      <x:c r="V83" s="56" t="str">
        <x:f>IF(ISBLANK('Deal_Master_Wide'!$DJ$14),"",'Deal_Master_Wide'!$DJ$14)</x:f>
      </x:c>
      <x:c r="W83" s="56" t="str">
        <x:f>IF(ISBLANK('Deal_Master_Wide'!$DQ$14),"",'Deal_Master_Wide'!$DQ$14)</x:f>
      </x:c>
      <x:c r="X83" s="56" t="str">
        <x:f>IF(ISBLANK('Deal_Master_Wide'!$DX$14),"",'Deal_Master_Wide'!$DX$14)</x:f>
      </x:c>
      <x:c r="Y83" s="54" t="str">
        <x:f>IF(ISBLANK('Deal_Master_Wide'!$EE$14),"",'Deal_Master_Wide'!$EE$14)</x:f>
      </x:c>
      <x:c r="Z83" s="54" t="str">
        <x:f>IF(ISBLANK('Deal_Master_Wide'!$EL$14),"",'Deal_Master_Wide'!$EL$14)</x:f>
      </x:c>
      <x:c r="AA83" s="52" t="str">
        <x:f>IF(ISBLANK('Deal_Master_Wide'!$AL$14),"",'Deal_Master_Wide'!$AL$14)</x:f>
        <x:v>Unknown</x:v>
      </x:c>
      <x:c r="AB83" s="54" t="str">
        <x:f>IF(ISBLANK('Deal_Master_Wide'!$AF$14),"",'Deal_Master_Wide'!$AF$14)</x:f>
      </x:c>
      <x:c r="AC83" s="52" t="str">
        <x:f>IF(COUNT($P83,$Q83,$R83,$S83,$T83,$U83,$V83,$W83,$X83)=9,"Yes","No")</x:f>
        <x:v>No</x:v>
      </x:c>
      <x:c r="AD83" s="52" t="str">
        <x:f>IF(COUNT($Y83,$Z83)=2,"Yes","No")</x:f>
        <x:v>No</x:v>
      </x:c>
      <x:c r="AE83" s="50" t="str"/>
      <x:c r="AF83" t="str"/>
    </x:row>
    <x:row r="84" ht="20" customHeight="1">
      <x:c r="A84" s="50" t="str">
        <x:v>TRT-0012</x:v>
      </x:c>
      <x:c r="B84" s="50" t="str">
        <x:v>Candidate treatment group</x:v>
      </x:c>
      <x:c r="C84" s="52" t="str">
        <x:f>IF('Deal_Master_Wide'!$AU$14="","",'Deal_Master_Wide'!$AU$14)</x:f>
        <x:v>Not reviewed</x:v>
      </x:c>
      <x:c r="D84" s="52" t="str">
        <x:f>IF('Deal_Master_Wide'!$AV$14="","",'Deal_Master_Wide'!$AV$14)</x:f>
        <x:v>Not assessed</x:v>
      </x:c>
      <x:c r="E84" s="50" t="n">
        <x:v>1</x:v>
      </x:c>
      <x:c r="F84" s="52" t="str">
        <x:f>IF(OR($C84="High-confidence innovation-driven",$C84="Medium-confidence innovation-driven"),1,IF($C84="Clear alternative-rationale",0,""))</x:f>
      </x:c>
      <x:c r="G84" s="52" t="str">
        <x:f>IF('Deal_Master_Wide'!$M$14="","",'Deal_Master_Wide'!$M$14)</x:f>
        <x:v>Review</x:v>
      </x:c>
      <x:c r="H84" s="50" t="str">
        <x:v>Impilo AB</x:v>
      </x:c>
      <x:c r="I84" s="50" t="str">
        <x:v>Ferrosan Medical Devices AS</x:v>
      </x:c>
      <x:c r="J84" s="50" t="n">
        <x:v>2017</x:v>
      </x:c>
      <x:c r="K84" s="50" t="n">
        <x:v>2</x:v>
      </x:c>
      <x:c r="L84" s="50" t="n">
        <x:v>2019</x:v>
      </x:c>
      <x:c r="M84" s="50" t="n">
        <x:v>1</x:v>
      </x:c>
      <x:c r="N84" s="50" t="n">
        <x:v>1</x:v>
      </x:c>
      <x:c r="O84" s="52" t="str">
        <x:f>IF($F84="","",$F84*$M84)</x:f>
      </x:c>
      <x:c r="P84" s="54" t="str">
        <x:f>IF(ISBLANK('Deal_Master_Wide'!$BU$14),"",'Deal_Master_Wide'!$BU$14)</x:f>
      </x:c>
      <x:c r="Q84" s="54" t="str">
        <x:f>IF(ISBLANK('Deal_Master_Wide'!$CB$14),"",'Deal_Master_Wide'!$CB$14)</x:f>
      </x:c>
      <x:c r="R84" s="54" t="str">
        <x:f>IF(ISBLANK('Deal_Master_Wide'!$CI$14),"",'Deal_Master_Wide'!$CI$14)</x:f>
      </x:c>
      <x:c r="S84" s="54" t="str">
        <x:f>IF(ISBLANK('Deal_Master_Wide'!$CP$14),"",'Deal_Master_Wide'!$CP$14)</x:f>
      </x:c>
      <x:c r="T84" s="54" t="str">
        <x:f>IF(ISBLANK('Deal_Master_Wide'!$CW$14),"",'Deal_Master_Wide'!$CW$14)</x:f>
      </x:c>
      <x:c r="U84" s="54" t="str">
        <x:f>IF(ISBLANK('Deal_Master_Wide'!$DD$14),"",'Deal_Master_Wide'!$DD$14)</x:f>
      </x:c>
      <x:c r="V84" s="56" t="str">
        <x:f>IF(ISBLANK('Deal_Master_Wide'!$DK$14),"",'Deal_Master_Wide'!$DK$14)</x:f>
      </x:c>
      <x:c r="W84" s="56" t="str">
        <x:f>IF(ISBLANK('Deal_Master_Wide'!$DR$14),"",'Deal_Master_Wide'!$DR$14)</x:f>
      </x:c>
      <x:c r="X84" s="56" t="str">
        <x:f>IF(ISBLANK('Deal_Master_Wide'!$DY$14),"",'Deal_Master_Wide'!$DY$14)</x:f>
      </x:c>
      <x:c r="Y84" s="54" t="str">
        <x:f>IF(ISBLANK('Deal_Master_Wide'!$EF$14),"",'Deal_Master_Wide'!$EF$14)</x:f>
      </x:c>
      <x:c r="Z84" s="54" t="str">
        <x:f>IF(ISBLANK('Deal_Master_Wide'!$EM$14),"",'Deal_Master_Wide'!$EM$14)</x:f>
      </x:c>
      <x:c r="AA84" s="52" t="str">
        <x:f>IF(ISBLANK('Deal_Master_Wide'!$AL$14),"",'Deal_Master_Wide'!$AL$14)</x:f>
        <x:v>Unknown</x:v>
      </x:c>
      <x:c r="AB84" s="54" t="str">
        <x:f>IF(ISBLANK('Deal_Master_Wide'!$AF$14),"",'Deal_Master_Wide'!$AF$14)</x:f>
      </x:c>
      <x:c r="AC84" s="52" t="str">
        <x:f>IF(COUNT($P84,$Q84,$R84,$S84,$T84,$U84,$V84,$W84,$X84)=9,"Yes","No")</x:f>
        <x:v>No</x:v>
      </x:c>
      <x:c r="AD84" s="52" t="str">
        <x:f>IF(COUNT($Y84,$Z84)=2,"Yes","No")</x:f>
        <x:v>No</x:v>
      </x:c>
      <x:c r="AE84" s="50" t="str"/>
      <x:c r="AF84" t="str"/>
    </x:row>
    <x:row r="85" ht="20" customHeight="1">
      <x:c r="A85" s="50" t="str">
        <x:v>TRT-0012</x:v>
      </x:c>
      <x:c r="B85" s="50" t="str">
        <x:v>Candidate treatment group</x:v>
      </x:c>
      <x:c r="C85" s="52" t="str">
        <x:f>IF('Deal_Master_Wide'!$AU$14="","",'Deal_Master_Wide'!$AU$14)</x:f>
        <x:v>Not reviewed</x:v>
      </x:c>
      <x:c r="D85" s="52" t="str">
        <x:f>IF('Deal_Master_Wide'!$AV$14="","",'Deal_Master_Wide'!$AV$14)</x:f>
        <x:v>Not assessed</x:v>
      </x:c>
      <x:c r="E85" s="50" t="n">
        <x:v>1</x:v>
      </x:c>
      <x:c r="F85" s="52" t="str">
        <x:f>IF(OR($C85="High-confidence innovation-driven",$C85="Medium-confidence innovation-driven"),1,IF($C85="Clear alternative-rationale",0,""))</x:f>
      </x:c>
      <x:c r="G85" s="52" t="str">
        <x:f>IF('Deal_Master_Wide'!$M$14="","",'Deal_Master_Wide'!$M$14)</x:f>
        <x:v>Review</x:v>
      </x:c>
      <x:c r="H85" s="50" t="str">
        <x:v>Impilo AB</x:v>
      </x:c>
      <x:c r="I85" s="50" t="str">
        <x:v>Ferrosan Medical Devices AS</x:v>
      </x:c>
      <x:c r="J85" s="50" t="n">
        <x:v>2017</x:v>
      </x:c>
      <x:c r="K85" s="50" t="n">
        <x:v>3</x:v>
      </x:c>
      <x:c r="L85" s="50" t="n">
        <x:v>2020</x:v>
      </x:c>
      <x:c r="M85" s="50" t="n">
        <x:v>1</x:v>
      </x:c>
      <x:c r="N85" s="50" t="n">
        <x:v>1</x:v>
      </x:c>
      <x:c r="O85" s="52" t="str">
        <x:f>IF($F85="","",$F85*$M85)</x:f>
      </x:c>
      <x:c r="P85" s="54" t="str">
        <x:f>IF(ISBLANK('Deal_Master_Wide'!$BV$14),"",'Deal_Master_Wide'!$BV$14)</x:f>
      </x:c>
      <x:c r="Q85" s="54" t="str">
        <x:f>IF(ISBLANK('Deal_Master_Wide'!$CC$14),"",'Deal_Master_Wide'!$CC$14)</x:f>
      </x:c>
      <x:c r="R85" s="54" t="str">
        <x:f>IF(ISBLANK('Deal_Master_Wide'!$CJ$14),"",'Deal_Master_Wide'!$CJ$14)</x:f>
      </x:c>
      <x:c r="S85" s="54" t="str">
        <x:f>IF(ISBLANK('Deal_Master_Wide'!$CQ$14),"",'Deal_Master_Wide'!$CQ$14)</x:f>
      </x:c>
      <x:c r="T85" s="54" t="str">
        <x:f>IF(ISBLANK('Deal_Master_Wide'!$CX$14),"",'Deal_Master_Wide'!$CX$14)</x:f>
      </x:c>
      <x:c r="U85" s="54" t="str">
        <x:f>IF(ISBLANK('Deal_Master_Wide'!$DE$14),"",'Deal_Master_Wide'!$DE$14)</x:f>
      </x:c>
      <x:c r="V85" s="56" t="str">
        <x:f>IF(ISBLANK('Deal_Master_Wide'!$DL$14),"",'Deal_Master_Wide'!$DL$14)</x:f>
      </x:c>
      <x:c r="W85" s="56" t="str">
        <x:f>IF(ISBLANK('Deal_Master_Wide'!$DS$14),"",'Deal_Master_Wide'!$DS$14)</x:f>
      </x:c>
      <x:c r="X85" s="56" t="str">
        <x:f>IF(ISBLANK('Deal_Master_Wide'!$DZ$14),"",'Deal_Master_Wide'!$DZ$14)</x:f>
      </x:c>
      <x:c r="Y85" s="54" t="str">
        <x:f>IF(ISBLANK('Deal_Master_Wide'!$EG$14),"",'Deal_Master_Wide'!$EG$14)</x:f>
      </x:c>
      <x:c r="Z85" s="54" t="str">
        <x:f>IF(ISBLANK('Deal_Master_Wide'!$EN$14),"",'Deal_Master_Wide'!$EN$14)</x:f>
      </x:c>
      <x:c r="AA85" s="52" t="str">
        <x:f>IF(ISBLANK('Deal_Master_Wide'!$AL$14),"",'Deal_Master_Wide'!$AL$14)</x:f>
        <x:v>Unknown</x:v>
      </x:c>
      <x:c r="AB85" s="54" t="str">
        <x:f>IF(ISBLANK('Deal_Master_Wide'!$AF$14),"",'Deal_Master_Wide'!$AF$14)</x:f>
      </x:c>
      <x:c r="AC85" s="52" t="str">
        <x:f>IF(COUNT($P85,$Q85,$R85,$S85,$T85,$U85,$V85,$W85,$X85)=9,"Yes","No")</x:f>
        <x:v>No</x:v>
      </x:c>
      <x:c r="AD85" s="52" t="str">
        <x:f>IF(COUNT($Y85,$Z85)=2,"Yes","No")</x:f>
        <x:v>No</x:v>
      </x:c>
      <x:c r="AE85" s="50" t="str"/>
      <x:c r="AF85" t="str"/>
    </x:row>
    <x:row r="86" ht="20" customHeight="1">
      <x:c r="A86" s="50" t="str">
        <x:v>TRT-0013</x:v>
      </x:c>
      <x:c r="B86" s="50" t="str">
        <x:v>Candidate treatment group</x:v>
      </x:c>
      <x:c r="C86" s="52" t="str">
        <x:f>IF('Deal_Master_Wide'!$AU$15="","",'Deal_Master_Wide'!$AU$15)</x:f>
        <x:v>Not reviewed</x:v>
      </x:c>
      <x:c r="D86" s="52" t="str">
        <x:f>IF('Deal_Master_Wide'!$AV$15="","",'Deal_Master_Wide'!$AV$15)</x:f>
        <x:v>Not assessed</x:v>
      </x:c>
      <x:c r="E86" s="50" t="n">
        <x:v>1</x:v>
      </x:c>
      <x:c r="F86" s="52" t="str">
        <x:f>IF(OR($C86="High-confidence innovation-driven",$C86="Medium-confidence innovation-driven"),1,IF($C86="Clear alternative-rationale",0,""))</x:f>
      </x:c>
      <x:c r="G86" s="52" t="str">
        <x:f>IF('Deal_Master_Wide'!$M$15="","",'Deal_Master_Wide'!$M$15)</x:f>
        <x:v>Review</x:v>
      </x:c>
      <x:c r="H86" s="50" t="str">
        <x:v>Kuur Therapeutics Ltd</x:v>
      </x:c>
      <x:c r="I86" s="50" t="str">
        <x:v>Cell Medica TCR Ltd</x:v>
      </x:c>
      <x:c r="J86" s="50" t="n">
        <x:v>2017</x:v>
      </x:c>
      <x:c r="K86" s="50" t="n">
        <x:v>-3</x:v>
      </x:c>
      <x:c r="L86" s="50" t="n">
        <x:v>2014</x:v>
      </x:c>
      <x:c r="M86" s="50" t="n">
        <x:v>0</x:v>
      </x:c>
      <x:c r="N86" s="50" t="n">
        <x:v>0</x:v>
      </x:c>
      <x:c r="O86" s="52" t="str">
        <x:f>IF($F86="","",$F86*$M86)</x:f>
      </x:c>
      <x:c r="P86" s="54" t="str">
        <x:f>IF(ISBLANK('Deal_Master_Wide'!$BP$15),"",'Deal_Master_Wide'!$BP$15)</x:f>
      </x:c>
      <x:c r="Q86" s="54" t="str">
        <x:f>IF(ISBLANK('Deal_Master_Wide'!$BW$15),"",'Deal_Master_Wide'!$BW$15)</x:f>
      </x:c>
      <x:c r="R86" s="54" t="str">
        <x:f>IF(ISBLANK('Deal_Master_Wide'!$CD$15),"",'Deal_Master_Wide'!$CD$15)</x:f>
      </x:c>
      <x:c r="S86" s="54" t="str">
        <x:f>IF(ISBLANK('Deal_Master_Wide'!$CK$15),"",'Deal_Master_Wide'!$CK$15)</x:f>
      </x:c>
      <x:c r="T86" s="54" t="str">
        <x:f>IF(ISBLANK('Deal_Master_Wide'!$CR$15),"",'Deal_Master_Wide'!$CR$15)</x:f>
      </x:c>
      <x:c r="U86" s="54" t="str">
        <x:f>IF(ISBLANK('Deal_Master_Wide'!$CY$15),"",'Deal_Master_Wide'!$CY$15)</x:f>
      </x:c>
      <x:c r="V86" s="56" t="str">
        <x:f>IF(ISBLANK('Deal_Master_Wide'!$DF$15),"",'Deal_Master_Wide'!$DF$15)</x:f>
      </x:c>
      <x:c r="W86" s="56" t="str">
        <x:f>IF(ISBLANK('Deal_Master_Wide'!$DM$15),"",'Deal_Master_Wide'!$DM$15)</x:f>
      </x:c>
      <x:c r="X86" s="56" t="str">
        <x:f>IF(ISBLANK('Deal_Master_Wide'!$DT$15),"",'Deal_Master_Wide'!$DT$15)</x:f>
      </x:c>
      <x:c r="Y86" s="54" t="str">
        <x:f>IF(ISBLANK('Deal_Master_Wide'!$EA$15),"",'Deal_Master_Wide'!$EA$15)</x:f>
      </x:c>
      <x:c r="Z86" s="54" t="str">
        <x:f>IF(ISBLANK('Deal_Master_Wide'!$EH$15),"",'Deal_Master_Wide'!$EH$15)</x:f>
      </x:c>
      <x:c r="AA86" s="52" t="str">
        <x:f>IF(ISBLANK('Deal_Master_Wide'!$AL$15),"",'Deal_Master_Wide'!$AL$15)</x:f>
        <x:v>Unknown</x:v>
      </x:c>
      <x:c r="AB86" s="54" t="str">
        <x:f>IF(ISBLANK('Deal_Master_Wide'!$AF$15),"",'Deal_Master_Wide'!$AF$15)</x:f>
      </x:c>
      <x:c r="AC86" s="52" t="str">
        <x:f>IF(COUNT($P86,$Q86,$R86,$S86,$T86,$U86,$V86,$W86,$X86)=9,"Yes","No")</x:f>
        <x:v>No</x:v>
      </x:c>
      <x:c r="AD86" s="52" t="str">
        <x:f>IF(COUNT($Y86,$Z86)=2,"Yes","No")</x:f>
        <x:v>No</x:v>
      </x:c>
      <x:c r="AE86" s="50" t="str"/>
      <x:c r="AF86" t="str"/>
    </x:row>
    <x:row r="87" ht="20" customHeight="1">
      <x:c r="A87" s="50" t="str">
        <x:v>TRT-0013</x:v>
      </x:c>
      <x:c r="B87" s="50" t="str">
        <x:v>Candidate treatment group</x:v>
      </x:c>
      <x:c r="C87" s="52" t="str">
        <x:f>IF('Deal_Master_Wide'!$AU$15="","",'Deal_Master_Wide'!$AU$15)</x:f>
        <x:v>Not reviewed</x:v>
      </x:c>
      <x:c r="D87" s="52" t="str">
        <x:f>IF('Deal_Master_Wide'!$AV$15="","",'Deal_Master_Wide'!$AV$15)</x:f>
        <x:v>Not assessed</x:v>
      </x:c>
      <x:c r="E87" s="50" t="n">
        <x:v>1</x:v>
      </x:c>
      <x:c r="F87" s="52" t="str">
        <x:f>IF(OR($C87="High-confidence innovation-driven",$C87="Medium-confidence innovation-driven"),1,IF($C87="Clear alternative-rationale",0,""))</x:f>
      </x:c>
      <x:c r="G87" s="52" t="str">
        <x:f>IF('Deal_Master_Wide'!$M$15="","",'Deal_Master_Wide'!$M$15)</x:f>
        <x:v>Review</x:v>
      </x:c>
      <x:c r="H87" s="50" t="str">
        <x:v>Kuur Therapeutics Ltd</x:v>
      </x:c>
      <x:c r="I87" s="50" t="str">
        <x:v>Cell Medica TCR Ltd</x:v>
      </x:c>
      <x:c r="J87" s="50" t="n">
        <x:v>2017</x:v>
      </x:c>
      <x:c r="K87" s="50" t="n">
        <x:v>-2</x:v>
      </x:c>
      <x:c r="L87" s="50" t="n">
        <x:v>2015</x:v>
      </x:c>
      <x:c r="M87" s="50" t="n">
        <x:v>0</x:v>
      </x:c>
      <x:c r="N87" s="50" t="n">
        <x:v>0</x:v>
      </x:c>
      <x:c r="O87" s="52" t="str">
        <x:f>IF($F87="","",$F87*$M87)</x:f>
      </x:c>
      <x:c r="P87" s="54" t="str">
        <x:f>IF(ISBLANK('Deal_Master_Wide'!$BQ$15),"",'Deal_Master_Wide'!$BQ$15)</x:f>
      </x:c>
      <x:c r="Q87" s="54" t="str">
        <x:f>IF(ISBLANK('Deal_Master_Wide'!$BX$15),"",'Deal_Master_Wide'!$BX$15)</x:f>
      </x:c>
      <x:c r="R87" s="54" t="str">
        <x:f>IF(ISBLANK('Deal_Master_Wide'!$CE$15),"",'Deal_Master_Wide'!$CE$15)</x:f>
      </x:c>
      <x:c r="S87" s="54" t="str">
        <x:f>IF(ISBLANK('Deal_Master_Wide'!$CL$15),"",'Deal_Master_Wide'!$CL$15)</x:f>
      </x:c>
      <x:c r="T87" s="54" t="str">
        <x:f>IF(ISBLANK('Deal_Master_Wide'!$CS$15),"",'Deal_Master_Wide'!$CS$15)</x:f>
      </x:c>
      <x:c r="U87" s="54" t="str">
        <x:f>IF(ISBLANK('Deal_Master_Wide'!$CZ$15),"",'Deal_Master_Wide'!$CZ$15)</x:f>
      </x:c>
      <x:c r="V87" s="56" t="str">
        <x:f>IF(ISBLANK('Deal_Master_Wide'!$DG$15),"",'Deal_Master_Wide'!$DG$15)</x:f>
      </x:c>
      <x:c r="W87" s="56" t="str">
        <x:f>IF(ISBLANK('Deal_Master_Wide'!$DN$15),"",'Deal_Master_Wide'!$DN$15)</x:f>
      </x:c>
      <x:c r="X87" s="56" t="str">
        <x:f>IF(ISBLANK('Deal_Master_Wide'!$DU$15),"",'Deal_Master_Wide'!$DU$15)</x:f>
      </x:c>
      <x:c r="Y87" s="54" t="str">
        <x:f>IF(ISBLANK('Deal_Master_Wide'!$EB$15),"",'Deal_Master_Wide'!$EB$15)</x:f>
      </x:c>
      <x:c r="Z87" s="54" t="str">
        <x:f>IF(ISBLANK('Deal_Master_Wide'!$EI$15),"",'Deal_Master_Wide'!$EI$15)</x:f>
      </x:c>
      <x:c r="AA87" s="52" t="str">
        <x:f>IF(ISBLANK('Deal_Master_Wide'!$AL$15),"",'Deal_Master_Wide'!$AL$15)</x:f>
        <x:v>Unknown</x:v>
      </x:c>
      <x:c r="AB87" s="54" t="str">
        <x:f>IF(ISBLANK('Deal_Master_Wide'!$AF$15),"",'Deal_Master_Wide'!$AF$15)</x:f>
      </x:c>
      <x:c r="AC87" s="52" t="str">
        <x:f>IF(COUNT($P87,$Q87,$R87,$S87,$T87,$U87,$V87,$W87,$X87)=9,"Yes","No")</x:f>
        <x:v>No</x:v>
      </x:c>
      <x:c r="AD87" s="52" t="str">
        <x:f>IF(COUNT($Y87,$Z87)=2,"Yes","No")</x:f>
        <x:v>No</x:v>
      </x:c>
      <x:c r="AE87" s="50" t="str"/>
      <x:c r="AF87" t="str"/>
    </x:row>
    <x:row r="88" ht="20" customHeight="1">
      <x:c r="A88" s="50" t="str">
        <x:v>TRT-0013</x:v>
      </x:c>
      <x:c r="B88" s="50" t="str">
        <x:v>Candidate treatment group</x:v>
      </x:c>
      <x:c r="C88" s="52" t="str">
        <x:f>IF('Deal_Master_Wide'!$AU$15="","",'Deal_Master_Wide'!$AU$15)</x:f>
        <x:v>Not reviewed</x:v>
      </x:c>
      <x:c r="D88" s="52" t="str">
        <x:f>IF('Deal_Master_Wide'!$AV$15="","",'Deal_Master_Wide'!$AV$15)</x:f>
        <x:v>Not assessed</x:v>
      </x:c>
      <x:c r="E88" s="50" t="n">
        <x:v>1</x:v>
      </x:c>
      <x:c r="F88" s="52" t="str">
        <x:f>IF(OR($C88="High-confidence innovation-driven",$C88="Medium-confidence innovation-driven"),1,IF($C88="Clear alternative-rationale",0,""))</x:f>
      </x:c>
      <x:c r="G88" s="52" t="str">
        <x:f>IF('Deal_Master_Wide'!$M$15="","",'Deal_Master_Wide'!$M$15)</x:f>
        <x:v>Review</x:v>
      </x:c>
      <x:c r="H88" s="50" t="str">
        <x:v>Kuur Therapeutics Ltd</x:v>
      </x:c>
      <x:c r="I88" s="50" t="str">
        <x:v>Cell Medica TCR Ltd</x:v>
      </x:c>
      <x:c r="J88" s="50" t="n">
        <x:v>2017</x:v>
      </x:c>
      <x:c r="K88" s="50" t="n">
        <x:v>-1</x:v>
      </x:c>
      <x:c r="L88" s="50" t="n">
        <x:v>2016</x:v>
      </x:c>
      <x:c r="M88" s="50" t="n">
        <x:v>0</x:v>
      </x:c>
      <x:c r="N88" s="50" t="n">
        <x:v>0</x:v>
      </x:c>
      <x:c r="O88" s="52" t="str">
        <x:f>IF($F88="","",$F88*$M88)</x:f>
      </x:c>
      <x:c r="P88" s="54" t="str">
        <x:f>IF(ISBLANK('Deal_Master_Wide'!$BR$15),"",'Deal_Master_Wide'!$BR$15)</x:f>
      </x:c>
      <x:c r="Q88" s="54" t="str">
        <x:f>IF(ISBLANK('Deal_Master_Wide'!$BY$15),"",'Deal_Master_Wide'!$BY$15)</x:f>
      </x:c>
      <x:c r="R88" s="54" t="str">
        <x:f>IF(ISBLANK('Deal_Master_Wide'!$CF$15),"",'Deal_Master_Wide'!$CF$15)</x:f>
      </x:c>
      <x:c r="S88" s="54" t="str">
        <x:f>IF(ISBLANK('Deal_Master_Wide'!$CM$15),"",'Deal_Master_Wide'!$CM$15)</x:f>
      </x:c>
      <x:c r="T88" s="54" t="str">
        <x:f>IF(ISBLANK('Deal_Master_Wide'!$CT$15),"",'Deal_Master_Wide'!$CT$15)</x:f>
      </x:c>
      <x:c r="U88" s="54" t="str">
        <x:f>IF(ISBLANK('Deal_Master_Wide'!$DA$15),"",'Deal_Master_Wide'!$DA$15)</x:f>
      </x:c>
      <x:c r="V88" s="56" t="str">
        <x:f>IF(ISBLANK('Deal_Master_Wide'!$DH$15),"",'Deal_Master_Wide'!$DH$15)</x:f>
      </x:c>
      <x:c r="W88" s="56" t="str">
        <x:f>IF(ISBLANK('Deal_Master_Wide'!$DO$15),"",'Deal_Master_Wide'!$DO$15)</x:f>
      </x:c>
      <x:c r="X88" s="56" t="str">
        <x:f>IF(ISBLANK('Deal_Master_Wide'!$DV$15),"",'Deal_Master_Wide'!$DV$15)</x:f>
      </x:c>
      <x:c r="Y88" s="54" t="str">
        <x:f>IF(ISBLANK('Deal_Master_Wide'!$EC$15),"",'Deal_Master_Wide'!$EC$15)</x:f>
      </x:c>
      <x:c r="Z88" s="54" t="str">
        <x:f>IF(ISBLANK('Deal_Master_Wide'!$EJ$15),"",'Deal_Master_Wide'!$EJ$15)</x:f>
      </x:c>
      <x:c r="AA88" s="52" t="str">
        <x:f>IF(ISBLANK('Deal_Master_Wide'!$AL$15),"",'Deal_Master_Wide'!$AL$15)</x:f>
        <x:v>Unknown</x:v>
      </x:c>
      <x:c r="AB88" s="54" t="str">
        <x:f>IF(ISBLANK('Deal_Master_Wide'!$AF$15),"",'Deal_Master_Wide'!$AF$15)</x:f>
      </x:c>
      <x:c r="AC88" s="52" t="str">
        <x:f>IF(COUNT($P88,$Q88,$R88,$S88,$T88,$U88,$V88,$W88,$X88)=9,"Yes","No")</x:f>
        <x:v>No</x:v>
      </x:c>
      <x:c r="AD88" s="52" t="str">
        <x:f>IF(COUNT($Y88,$Z88)=2,"Yes","No")</x:f>
        <x:v>No</x:v>
      </x:c>
      <x:c r="AE88" s="50" t="str"/>
      <x:c r="AF88" t="str"/>
    </x:row>
    <x:row r="89" ht="20" customHeight="1">
      <x:c r="A89" s="50" t="str">
        <x:v>TRT-0013</x:v>
      </x:c>
      <x:c r="B89" s="50" t="str">
        <x:v>Candidate treatment group</x:v>
      </x:c>
      <x:c r="C89" s="52" t="str">
        <x:f>IF('Deal_Master_Wide'!$AU$15="","",'Deal_Master_Wide'!$AU$15)</x:f>
        <x:v>Not reviewed</x:v>
      </x:c>
      <x:c r="D89" s="52" t="str">
        <x:f>IF('Deal_Master_Wide'!$AV$15="","",'Deal_Master_Wide'!$AV$15)</x:f>
        <x:v>Not assessed</x:v>
      </x:c>
      <x:c r="E89" s="50" t="n">
        <x:v>1</x:v>
      </x:c>
      <x:c r="F89" s="52" t="str">
        <x:f>IF(OR($C89="High-confidence innovation-driven",$C89="Medium-confidence innovation-driven"),1,IF($C89="Clear alternative-rationale",0,""))</x:f>
      </x:c>
      <x:c r="G89" s="52" t="str">
        <x:f>IF('Deal_Master_Wide'!$M$15="","",'Deal_Master_Wide'!$M$15)</x:f>
        <x:v>Review</x:v>
      </x:c>
      <x:c r="H89" s="50" t="str">
        <x:v>Kuur Therapeutics Ltd</x:v>
      </x:c>
      <x:c r="I89" s="50" t="str">
        <x:v>Cell Medica TCR Ltd</x:v>
      </x:c>
      <x:c r="J89" s="50" t="n">
        <x:v>2017</x:v>
      </x:c>
      <x:c r="K89" s="50" t="n">
        <x:v>0</x:v>
      </x:c>
      <x:c r="L89" s="50" t="n">
        <x:v>2017</x:v>
      </x:c>
      <x:c r="M89" s="50" t="n">
        <x:v>0</x:v>
      </x:c>
      <x:c r="N89" s="50" t="n">
        <x:v>1</x:v>
      </x:c>
      <x:c r="O89" s="52" t="str">
        <x:f>IF($F89="","",$F89*$M89)</x:f>
      </x:c>
      <x:c r="P89" s="54" t="str">
        <x:f>IF(ISBLANK('Deal_Master_Wide'!$BS$15),"",'Deal_Master_Wide'!$BS$15)</x:f>
      </x:c>
      <x:c r="Q89" s="54" t="str">
        <x:f>IF(ISBLANK('Deal_Master_Wide'!$BZ$15),"",'Deal_Master_Wide'!$BZ$15)</x:f>
      </x:c>
      <x:c r="R89" s="54" t="str">
        <x:f>IF(ISBLANK('Deal_Master_Wide'!$CG$15),"",'Deal_Master_Wide'!$CG$15)</x:f>
      </x:c>
      <x:c r="S89" s="54" t="str">
        <x:f>IF(ISBLANK('Deal_Master_Wide'!$CN$15),"",'Deal_Master_Wide'!$CN$15)</x:f>
      </x:c>
      <x:c r="T89" s="54" t="str">
        <x:f>IF(ISBLANK('Deal_Master_Wide'!$CU$15),"",'Deal_Master_Wide'!$CU$15)</x:f>
      </x:c>
      <x:c r="U89" s="54" t="str">
        <x:f>IF(ISBLANK('Deal_Master_Wide'!$DB$15),"",'Deal_Master_Wide'!$DB$15)</x:f>
      </x:c>
      <x:c r="V89" s="56" t="str">
        <x:f>IF(ISBLANK('Deal_Master_Wide'!$DI$15),"",'Deal_Master_Wide'!$DI$15)</x:f>
      </x:c>
      <x:c r="W89" s="56" t="str">
        <x:f>IF(ISBLANK('Deal_Master_Wide'!$DP$15),"",'Deal_Master_Wide'!$DP$15)</x:f>
      </x:c>
      <x:c r="X89" s="56" t="str">
        <x:f>IF(ISBLANK('Deal_Master_Wide'!$DW$15),"",'Deal_Master_Wide'!$DW$15)</x:f>
      </x:c>
      <x:c r="Y89" s="54" t="str">
        <x:f>IF(ISBLANK('Deal_Master_Wide'!$ED$15),"",'Deal_Master_Wide'!$ED$15)</x:f>
      </x:c>
      <x:c r="Z89" s="54" t="str">
        <x:f>IF(ISBLANK('Deal_Master_Wide'!$EK$15),"",'Deal_Master_Wide'!$EK$15)</x:f>
      </x:c>
      <x:c r="AA89" s="52" t="str">
        <x:f>IF(ISBLANK('Deal_Master_Wide'!$AL$15),"",'Deal_Master_Wide'!$AL$15)</x:f>
        <x:v>Unknown</x:v>
      </x:c>
      <x:c r="AB89" s="54" t="str">
        <x:f>IF(ISBLANK('Deal_Master_Wide'!$AF$15),"",'Deal_Master_Wide'!$AF$15)</x:f>
      </x:c>
      <x:c r="AC89" s="52" t="str">
        <x:f>IF(COUNT($P89,$Q89,$R89,$S89,$T89,$U89,$V89,$W89,$X89)=9,"Yes","No")</x:f>
        <x:v>No</x:v>
      </x:c>
      <x:c r="AD89" s="52" t="str">
        <x:f>IF(COUNT($Y89,$Z89)=2,"Yes","No")</x:f>
        <x:v>No</x:v>
      </x:c>
      <x:c r="AE89" s="50" t="str"/>
      <x:c r="AF89" t="str"/>
    </x:row>
    <x:row r="90" ht="20" customHeight="1">
      <x:c r="A90" s="50" t="str">
        <x:v>TRT-0013</x:v>
      </x:c>
      <x:c r="B90" s="50" t="str">
        <x:v>Candidate treatment group</x:v>
      </x:c>
      <x:c r="C90" s="52" t="str">
        <x:f>IF('Deal_Master_Wide'!$AU$15="","",'Deal_Master_Wide'!$AU$15)</x:f>
        <x:v>Not reviewed</x:v>
      </x:c>
      <x:c r="D90" s="52" t="str">
        <x:f>IF('Deal_Master_Wide'!$AV$15="","",'Deal_Master_Wide'!$AV$15)</x:f>
        <x:v>Not assessed</x:v>
      </x:c>
      <x:c r="E90" s="50" t="n">
        <x:v>1</x:v>
      </x:c>
      <x:c r="F90" s="52" t="str">
        <x:f>IF(OR($C90="High-confidence innovation-driven",$C90="Medium-confidence innovation-driven"),1,IF($C90="Clear alternative-rationale",0,""))</x:f>
      </x:c>
      <x:c r="G90" s="52" t="str">
        <x:f>IF('Deal_Master_Wide'!$M$15="","",'Deal_Master_Wide'!$M$15)</x:f>
        <x:v>Review</x:v>
      </x:c>
      <x:c r="H90" s="50" t="str">
        <x:v>Kuur Therapeutics Ltd</x:v>
      </x:c>
      <x:c r="I90" s="50" t="str">
        <x:v>Cell Medica TCR Ltd</x:v>
      </x:c>
      <x:c r="J90" s="50" t="n">
        <x:v>2017</x:v>
      </x:c>
      <x:c r="K90" s="50" t="n">
        <x:v>1</x:v>
      </x:c>
      <x:c r="L90" s="50" t="n">
        <x:v>2018</x:v>
      </x:c>
      <x:c r="M90" s="50" t="n">
        <x:v>1</x:v>
      </x:c>
      <x:c r="N90" s="50" t="n">
        <x:v>1</x:v>
      </x:c>
      <x:c r="O90" s="52" t="str">
        <x:f>IF($F90="","",$F90*$M90)</x:f>
      </x:c>
      <x:c r="P90" s="54" t="str">
        <x:f>IF(ISBLANK('Deal_Master_Wide'!$BT$15),"",'Deal_Master_Wide'!$BT$15)</x:f>
      </x:c>
      <x:c r="Q90" s="54" t="str">
        <x:f>IF(ISBLANK('Deal_Master_Wide'!$CA$15),"",'Deal_Master_Wide'!$CA$15)</x:f>
      </x:c>
      <x:c r="R90" s="54" t="str">
        <x:f>IF(ISBLANK('Deal_Master_Wide'!$CH$15),"",'Deal_Master_Wide'!$CH$15)</x:f>
      </x:c>
      <x:c r="S90" s="54" t="str">
        <x:f>IF(ISBLANK('Deal_Master_Wide'!$CO$15),"",'Deal_Master_Wide'!$CO$15)</x:f>
      </x:c>
      <x:c r="T90" s="54" t="str">
        <x:f>IF(ISBLANK('Deal_Master_Wide'!$CV$15),"",'Deal_Master_Wide'!$CV$15)</x:f>
      </x:c>
      <x:c r="U90" s="54" t="str">
        <x:f>IF(ISBLANK('Deal_Master_Wide'!$DC$15),"",'Deal_Master_Wide'!$DC$15)</x:f>
      </x:c>
      <x:c r="V90" s="56" t="str">
        <x:f>IF(ISBLANK('Deal_Master_Wide'!$DJ$15),"",'Deal_Master_Wide'!$DJ$15)</x:f>
      </x:c>
      <x:c r="W90" s="56" t="str">
        <x:f>IF(ISBLANK('Deal_Master_Wide'!$DQ$15),"",'Deal_Master_Wide'!$DQ$15)</x:f>
      </x:c>
      <x:c r="X90" s="56" t="str">
        <x:f>IF(ISBLANK('Deal_Master_Wide'!$DX$15),"",'Deal_Master_Wide'!$DX$15)</x:f>
      </x:c>
      <x:c r="Y90" s="54" t="str">
        <x:f>IF(ISBLANK('Deal_Master_Wide'!$EE$15),"",'Deal_Master_Wide'!$EE$15)</x:f>
      </x:c>
      <x:c r="Z90" s="54" t="str">
        <x:f>IF(ISBLANK('Deal_Master_Wide'!$EL$15),"",'Deal_Master_Wide'!$EL$15)</x:f>
      </x:c>
      <x:c r="AA90" s="52" t="str">
        <x:f>IF(ISBLANK('Deal_Master_Wide'!$AL$15),"",'Deal_Master_Wide'!$AL$15)</x:f>
        <x:v>Unknown</x:v>
      </x:c>
      <x:c r="AB90" s="54" t="str">
        <x:f>IF(ISBLANK('Deal_Master_Wide'!$AF$15),"",'Deal_Master_Wide'!$AF$15)</x:f>
      </x:c>
      <x:c r="AC90" s="52" t="str">
        <x:f>IF(COUNT($P90,$Q90,$R90,$S90,$T90,$U90,$V90,$W90,$X90)=9,"Yes","No")</x:f>
        <x:v>No</x:v>
      </x:c>
      <x:c r="AD90" s="52" t="str">
        <x:f>IF(COUNT($Y90,$Z90)=2,"Yes","No")</x:f>
        <x:v>No</x:v>
      </x:c>
      <x:c r="AE90" s="50" t="str"/>
      <x:c r="AF90" t="str"/>
    </x:row>
    <x:row r="91" ht="20" customHeight="1">
      <x:c r="A91" s="50" t="str">
        <x:v>TRT-0013</x:v>
      </x:c>
      <x:c r="B91" s="50" t="str">
        <x:v>Candidate treatment group</x:v>
      </x:c>
      <x:c r="C91" s="52" t="str">
        <x:f>IF('Deal_Master_Wide'!$AU$15="","",'Deal_Master_Wide'!$AU$15)</x:f>
        <x:v>Not reviewed</x:v>
      </x:c>
      <x:c r="D91" s="52" t="str">
        <x:f>IF('Deal_Master_Wide'!$AV$15="","",'Deal_Master_Wide'!$AV$15)</x:f>
        <x:v>Not assessed</x:v>
      </x:c>
      <x:c r="E91" s="50" t="n">
        <x:v>1</x:v>
      </x:c>
      <x:c r="F91" s="52" t="str">
        <x:f>IF(OR($C91="High-confidence innovation-driven",$C91="Medium-confidence innovation-driven"),1,IF($C91="Clear alternative-rationale",0,""))</x:f>
      </x:c>
      <x:c r="G91" s="52" t="str">
        <x:f>IF('Deal_Master_Wide'!$M$15="","",'Deal_Master_Wide'!$M$15)</x:f>
        <x:v>Review</x:v>
      </x:c>
      <x:c r="H91" s="50" t="str">
        <x:v>Kuur Therapeutics Ltd</x:v>
      </x:c>
      <x:c r="I91" s="50" t="str">
        <x:v>Cell Medica TCR Ltd</x:v>
      </x:c>
      <x:c r="J91" s="50" t="n">
        <x:v>2017</x:v>
      </x:c>
      <x:c r="K91" s="50" t="n">
        <x:v>2</x:v>
      </x:c>
      <x:c r="L91" s="50" t="n">
        <x:v>2019</x:v>
      </x:c>
      <x:c r="M91" s="50" t="n">
        <x:v>1</x:v>
      </x:c>
      <x:c r="N91" s="50" t="n">
        <x:v>1</x:v>
      </x:c>
      <x:c r="O91" s="52" t="str">
        <x:f>IF($F91="","",$F91*$M91)</x:f>
      </x:c>
      <x:c r="P91" s="54" t="str">
        <x:f>IF(ISBLANK('Deal_Master_Wide'!$BU$15),"",'Deal_Master_Wide'!$BU$15)</x:f>
      </x:c>
      <x:c r="Q91" s="54" t="str">
        <x:f>IF(ISBLANK('Deal_Master_Wide'!$CB$15),"",'Deal_Master_Wide'!$CB$15)</x:f>
      </x:c>
      <x:c r="R91" s="54" t="str">
        <x:f>IF(ISBLANK('Deal_Master_Wide'!$CI$15),"",'Deal_Master_Wide'!$CI$15)</x:f>
      </x:c>
      <x:c r="S91" s="54" t="str">
        <x:f>IF(ISBLANK('Deal_Master_Wide'!$CP$15),"",'Deal_Master_Wide'!$CP$15)</x:f>
      </x:c>
      <x:c r="T91" s="54" t="str">
        <x:f>IF(ISBLANK('Deal_Master_Wide'!$CW$15),"",'Deal_Master_Wide'!$CW$15)</x:f>
      </x:c>
      <x:c r="U91" s="54" t="str">
        <x:f>IF(ISBLANK('Deal_Master_Wide'!$DD$15),"",'Deal_Master_Wide'!$DD$15)</x:f>
      </x:c>
      <x:c r="V91" s="56" t="str">
        <x:f>IF(ISBLANK('Deal_Master_Wide'!$DK$15),"",'Deal_Master_Wide'!$DK$15)</x:f>
      </x:c>
      <x:c r="W91" s="56" t="str">
        <x:f>IF(ISBLANK('Deal_Master_Wide'!$DR$15),"",'Deal_Master_Wide'!$DR$15)</x:f>
      </x:c>
      <x:c r="X91" s="56" t="str">
        <x:f>IF(ISBLANK('Deal_Master_Wide'!$DY$15),"",'Deal_Master_Wide'!$DY$15)</x:f>
      </x:c>
      <x:c r="Y91" s="54" t="str">
        <x:f>IF(ISBLANK('Deal_Master_Wide'!$EF$15),"",'Deal_Master_Wide'!$EF$15)</x:f>
      </x:c>
      <x:c r="Z91" s="54" t="str">
        <x:f>IF(ISBLANK('Deal_Master_Wide'!$EM$15),"",'Deal_Master_Wide'!$EM$15)</x:f>
      </x:c>
      <x:c r="AA91" s="52" t="str">
        <x:f>IF(ISBLANK('Deal_Master_Wide'!$AL$15),"",'Deal_Master_Wide'!$AL$15)</x:f>
        <x:v>Unknown</x:v>
      </x:c>
      <x:c r="AB91" s="54" t="str">
        <x:f>IF(ISBLANK('Deal_Master_Wide'!$AF$15),"",'Deal_Master_Wide'!$AF$15)</x:f>
      </x:c>
      <x:c r="AC91" s="52" t="str">
        <x:f>IF(COUNT($P91,$Q91,$R91,$S91,$T91,$U91,$V91,$W91,$X91)=9,"Yes","No")</x:f>
        <x:v>No</x:v>
      </x:c>
      <x:c r="AD91" s="52" t="str">
        <x:f>IF(COUNT($Y91,$Z91)=2,"Yes","No")</x:f>
        <x:v>No</x:v>
      </x:c>
      <x:c r="AE91" s="50" t="str"/>
      <x:c r="AF91" t="str"/>
    </x:row>
    <x:row r="92" ht="20" customHeight="1">
      <x:c r="A92" s="50" t="str">
        <x:v>TRT-0013</x:v>
      </x:c>
      <x:c r="B92" s="50" t="str">
        <x:v>Candidate treatment group</x:v>
      </x:c>
      <x:c r="C92" s="52" t="str">
        <x:f>IF('Deal_Master_Wide'!$AU$15="","",'Deal_Master_Wide'!$AU$15)</x:f>
        <x:v>Not reviewed</x:v>
      </x:c>
      <x:c r="D92" s="52" t="str">
        <x:f>IF('Deal_Master_Wide'!$AV$15="","",'Deal_Master_Wide'!$AV$15)</x:f>
        <x:v>Not assessed</x:v>
      </x:c>
      <x:c r="E92" s="50" t="n">
        <x:v>1</x:v>
      </x:c>
      <x:c r="F92" s="52" t="str">
        <x:f>IF(OR($C92="High-confidence innovation-driven",$C92="Medium-confidence innovation-driven"),1,IF($C92="Clear alternative-rationale",0,""))</x:f>
      </x:c>
      <x:c r="G92" s="52" t="str">
        <x:f>IF('Deal_Master_Wide'!$M$15="","",'Deal_Master_Wide'!$M$15)</x:f>
        <x:v>Review</x:v>
      </x:c>
      <x:c r="H92" s="50" t="str">
        <x:v>Kuur Therapeutics Ltd</x:v>
      </x:c>
      <x:c r="I92" s="50" t="str">
        <x:v>Cell Medica TCR Ltd</x:v>
      </x:c>
      <x:c r="J92" s="50" t="n">
        <x:v>2017</x:v>
      </x:c>
      <x:c r="K92" s="50" t="n">
        <x:v>3</x:v>
      </x:c>
      <x:c r="L92" s="50" t="n">
        <x:v>2020</x:v>
      </x:c>
      <x:c r="M92" s="50" t="n">
        <x:v>1</x:v>
      </x:c>
      <x:c r="N92" s="50" t="n">
        <x:v>1</x:v>
      </x:c>
      <x:c r="O92" s="52" t="str">
        <x:f>IF($F92="","",$F92*$M92)</x:f>
      </x:c>
      <x:c r="P92" s="54" t="str">
        <x:f>IF(ISBLANK('Deal_Master_Wide'!$BV$15),"",'Deal_Master_Wide'!$BV$15)</x:f>
      </x:c>
      <x:c r="Q92" s="54" t="str">
        <x:f>IF(ISBLANK('Deal_Master_Wide'!$CC$15),"",'Deal_Master_Wide'!$CC$15)</x:f>
      </x:c>
      <x:c r="R92" s="54" t="str">
        <x:f>IF(ISBLANK('Deal_Master_Wide'!$CJ$15),"",'Deal_Master_Wide'!$CJ$15)</x:f>
      </x:c>
      <x:c r="S92" s="54" t="str">
        <x:f>IF(ISBLANK('Deal_Master_Wide'!$CQ$15),"",'Deal_Master_Wide'!$CQ$15)</x:f>
      </x:c>
      <x:c r="T92" s="54" t="str">
        <x:f>IF(ISBLANK('Deal_Master_Wide'!$CX$15),"",'Deal_Master_Wide'!$CX$15)</x:f>
      </x:c>
      <x:c r="U92" s="54" t="str">
        <x:f>IF(ISBLANK('Deal_Master_Wide'!$DE$15),"",'Deal_Master_Wide'!$DE$15)</x:f>
      </x:c>
      <x:c r="V92" s="56" t="str">
        <x:f>IF(ISBLANK('Deal_Master_Wide'!$DL$15),"",'Deal_Master_Wide'!$DL$15)</x:f>
      </x:c>
      <x:c r="W92" s="56" t="str">
        <x:f>IF(ISBLANK('Deal_Master_Wide'!$DS$15),"",'Deal_Master_Wide'!$DS$15)</x:f>
      </x:c>
      <x:c r="X92" s="56" t="str">
        <x:f>IF(ISBLANK('Deal_Master_Wide'!$DZ$15),"",'Deal_Master_Wide'!$DZ$15)</x:f>
      </x:c>
      <x:c r="Y92" s="54" t="str">
        <x:f>IF(ISBLANK('Deal_Master_Wide'!$EG$15),"",'Deal_Master_Wide'!$EG$15)</x:f>
      </x:c>
      <x:c r="Z92" s="54" t="str">
        <x:f>IF(ISBLANK('Deal_Master_Wide'!$EN$15),"",'Deal_Master_Wide'!$EN$15)</x:f>
      </x:c>
      <x:c r="AA92" s="52" t="str">
        <x:f>IF(ISBLANK('Deal_Master_Wide'!$AL$15),"",'Deal_Master_Wide'!$AL$15)</x:f>
        <x:v>Unknown</x:v>
      </x:c>
      <x:c r="AB92" s="54" t="str">
        <x:f>IF(ISBLANK('Deal_Master_Wide'!$AF$15),"",'Deal_Master_Wide'!$AF$15)</x:f>
      </x:c>
      <x:c r="AC92" s="52" t="str">
        <x:f>IF(COUNT($P92,$Q92,$R92,$S92,$T92,$U92,$V92,$W92,$X92)=9,"Yes","No")</x:f>
        <x:v>No</x:v>
      </x:c>
      <x:c r="AD92" s="52" t="str">
        <x:f>IF(COUNT($Y92,$Z92)=2,"Yes","No")</x:f>
        <x:v>No</x:v>
      </x:c>
      <x:c r="AE92" s="50" t="str"/>
      <x:c r="AF92" t="str"/>
    </x:row>
    <x:row r="93" ht="20" customHeight="1">
      <x:c r="A93" s="50" t="str">
        <x:v>TRT-0014</x:v>
      </x:c>
      <x:c r="B93" s="50" t="str">
        <x:v>Candidate treatment group</x:v>
      </x:c>
      <x:c r="C93" s="52" t="str">
        <x:f>IF('Deal_Master_Wide'!$AU$16="","",'Deal_Master_Wide'!$AU$16)</x:f>
        <x:v>Not reviewed</x:v>
      </x:c>
      <x:c r="D93" s="52" t="str">
        <x:f>IF('Deal_Master_Wide'!$AV$16="","",'Deal_Master_Wide'!$AV$16)</x:f>
        <x:v>Not assessed</x:v>
      </x:c>
      <x:c r="E93" s="50" t="n">
        <x:v>1</x:v>
      </x:c>
      <x:c r="F93" s="52" t="str">
        <x:f>IF(OR($C93="High-confidence innovation-driven",$C93="Medium-confidence innovation-driven"),1,IF($C93="Clear alternative-rationale",0,""))</x:f>
      </x:c>
      <x:c r="G93" s="52" t="str">
        <x:f>IF('Deal_Master_Wide'!$M$16="","",'Deal_Master_Wide'!$M$16)</x:f>
        <x:v>Review</x:v>
      </x:c>
      <x:c r="H93" s="50" t="str">
        <x:v>Astellas Pharma Inc</x:v>
      </x:c>
      <x:c r="I93" s="50" t="str">
        <x:v>Ogeda SA</x:v>
      </x:c>
      <x:c r="J93" s="50" t="n">
        <x:v>2017</x:v>
      </x:c>
      <x:c r="K93" s="50" t="n">
        <x:v>-3</x:v>
      </x:c>
      <x:c r="L93" s="50" t="n">
        <x:v>2014</x:v>
      </x:c>
      <x:c r="M93" s="50" t="n">
        <x:v>0</x:v>
      </x:c>
      <x:c r="N93" s="50" t="n">
        <x:v>0</x:v>
      </x:c>
      <x:c r="O93" s="52" t="str">
        <x:f>IF($F93="","",$F93*$M93)</x:f>
      </x:c>
      <x:c r="P93" s="54" t="str">
        <x:f>IF(ISBLANK('Deal_Master_Wide'!$BP$16),"",'Deal_Master_Wide'!$BP$16)</x:f>
      </x:c>
      <x:c r="Q93" s="54" t="str">
        <x:f>IF(ISBLANK('Deal_Master_Wide'!$BW$16),"",'Deal_Master_Wide'!$BW$16)</x:f>
      </x:c>
      <x:c r="R93" s="54" t="str">
        <x:f>IF(ISBLANK('Deal_Master_Wide'!$CD$16),"",'Deal_Master_Wide'!$CD$16)</x:f>
      </x:c>
      <x:c r="S93" s="54" t="str">
        <x:f>IF(ISBLANK('Deal_Master_Wide'!$CK$16),"",'Deal_Master_Wide'!$CK$16)</x:f>
      </x:c>
      <x:c r="T93" s="54" t="str">
        <x:f>IF(ISBLANK('Deal_Master_Wide'!$CR$16),"",'Deal_Master_Wide'!$CR$16)</x:f>
      </x:c>
      <x:c r="U93" s="54" t="str">
        <x:f>IF(ISBLANK('Deal_Master_Wide'!$CY$16),"",'Deal_Master_Wide'!$CY$16)</x:f>
      </x:c>
      <x:c r="V93" s="56" t="str">
        <x:f>IF(ISBLANK('Deal_Master_Wide'!$DF$16),"",'Deal_Master_Wide'!$DF$16)</x:f>
      </x:c>
      <x:c r="W93" s="56" t="str">
        <x:f>IF(ISBLANK('Deal_Master_Wide'!$DM$16),"",'Deal_Master_Wide'!$DM$16)</x:f>
      </x:c>
      <x:c r="X93" s="56" t="str">
        <x:f>IF(ISBLANK('Deal_Master_Wide'!$DT$16),"",'Deal_Master_Wide'!$DT$16)</x:f>
      </x:c>
      <x:c r="Y93" s="54" t="str">
        <x:f>IF(ISBLANK('Deal_Master_Wide'!$EA$16),"",'Deal_Master_Wide'!$EA$16)</x:f>
      </x:c>
      <x:c r="Z93" s="54" t="str">
        <x:f>IF(ISBLANK('Deal_Master_Wide'!$EH$16),"",'Deal_Master_Wide'!$EH$16)</x:f>
      </x:c>
      <x:c r="AA93" s="52" t="str">
        <x:f>IF(ISBLANK('Deal_Master_Wide'!$AL$16),"",'Deal_Master_Wide'!$AL$16)</x:f>
        <x:v>Unknown</x:v>
      </x:c>
      <x:c r="AB93" s="54" t="n">
        <x:f>IF(ISBLANK('Deal_Master_Wide'!$AF$16),"",'Deal_Master_Wide'!$AF$16)</x:f>
        <x:v>852</x:v>
      </x:c>
      <x:c r="AC93" s="52" t="str">
        <x:f>IF(COUNT($P93,$Q93,$R93,$S93,$T93,$U93,$V93,$W93,$X93)=9,"Yes","No")</x:f>
        <x:v>No</x:v>
      </x:c>
      <x:c r="AD93" s="52" t="str">
        <x:f>IF(COUNT($Y93,$Z93)=2,"Yes","No")</x:f>
        <x:v>No</x:v>
      </x:c>
      <x:c r="AE93" s="50" t="str"/>
      <x:c r="AF93" t="str"/>
    </x:row>
    <x:row r="94" ht="20" customHeight="1">
      <x:c r="A94" s="50" t="str">
        <x:v>TRT-0014</x:v>
      </x:c>
      <x:c r="B94" s="50" t="str">
        <x:v>Candidate treatment group</x:v>
      </x:c>
      <x:c r="C94" s="52" t="str">
        <x:f>IF('Deal_Master_Wide'!$AU$16="","",'Deal_Master_Wide'!$AU$16)</x:f>
        <x:v>Not reviewed</x:v>
      </x:c>
      <x:c r="D94" s="52" t="str">
        <x:f>IF('Deal_Master_Wide'!$AV$16="","",'Deal_Master_Wide'!$AV$16)</x:f>
        <x:v>Not assessed</x:v>
      </x:c>
      <x:c r="E94" s="50" t="n">
        <x:v>1</x:v>
      </x:c>
      <x:c r="F94" s="52" t="str">
        <x:f>IF(OR($C94="High-confidence innovation-driven",$C94="Medium-confidence innovation-driven"),1,IF($C94="Clear alternative-rationale",0,""))</x:f>
      </x:c>
      <x:c r="G94" s="52" t="str">
        <x:f>IF('Deal_Master_Wide'!$M$16="","",'Deal_Master_Wide'!$M$16)</x:f>
        <x:v>Review</x:v>
      </x:c>
      <x:c r="H94" s="50" t="str">
        <x:v>Astellas Pharma Inc</x:v>
      </x:c>
      <x:c r="I94" s="50" t="str">
        <x:v>Ogeda SA</x:v>
      </x:c>
      <x:c r="J94" s="50" t="n">
        <x:v>2017</x:v>
      </x:c>
      <x:c r="K94" s="50" t="n">
        <x:v>-2</x:v>
      </x:c>
      <x:c r="L94" s="50" t="n">
        <x:v>2015</x:v>
      </x:c>
      <x:c r="M94" s="50" t="n">
        <x:v>0</x:v>
      </x:c>
      <x:c r="N94" s="50" t="n">
        <x:v>0</x:v>
      </x:c>
      <x:c r="O94" s="52" t="str">
        <x:f>IF($F94="","",$F94*$M94)</x:f>
      </x:c>
      <x:c r="P94" s="54" t="str">
        <x:f>IF(ISBLANK('Deal_Master_Wide'!$BQ$16),"",'Deal_Master_Wide'!$BQ$16)</x:f>
      </x:c>
      <x:c r="Q94" s="54" t="str">
        <x:f>IF(ISBLANK('Deal_Master_Wide'!$BX$16),"",'Deal_Master_Wide'!$BX$16)</x:f>
      </x:c>
      <x:c r="R94" s="54" t="str">
        <x:f>IF(ISBLANK('Deal_Master_Wide'!$CE$16),"",'Deal_Master_Wide'!$CE$16)</x:f>
      </x:c>
      <x:c r="S94" s="54" t="str">
        <x:f>IF(ISBLANK('Deal_Master_Wide'!$CL$16),"",'Deal_Master_Wide'!$CL$16)</x:f>
      </x:c>
      <x:c r="T94" s="54" t="str">
        <x:f>IF(ISBLANK('Deal_Master_Wide'!$CS$16),"",'Deal_Master_Wide'!$CS$16)</x:f>
      </x:c>
      <x:c r="U94" s="54" t="str">
        <x:f>IF(ISBLANK('Deal_Master_Wide'!$CZ$16),"",'Deal_Master_Wide'!$CZ$16)</x:f>
      </x:c>
      <x:c r="V94" s="56" t="str">
        <x:f>IF(ISBLANK('Deal_Master_Wide'!$DG$16),"",'Deal_Master_Wide'!$DG$16)</x:f>
      </x:c>
      <x:c r="W94" s="56" t="str">
        <x:f>IF(ISBLANK('Deal_Master_Wide'!$DN$16),"",'Deal_Master_Wide'!$DN$16)</x:f>
      </x:c>
      <x:c r="X94" s="56" t="str">
        <x:f>IF(ISBLANK('Deal_Master_Wide'!$DU$16),"",'Deal_Master_Wide'!$DU$16)</x:f>
      </x:c>
      <x:c r="Y94" s="54" t="str">
        <x:f>IF(ISBLANK('Deal_Master_Wide'!$EB$16),"",'Deal_Master_Wide'!$EB$16)</x:f>
      </x:c>
      <x:c r="Z94" s="54" t="str">
        <x:f>IF(ISBLANK('Deal_Master_Wide'!$EI$16),"",'Deal_Master_Wide'!$EI$16)</x:f>
      </x:c>
      <x:c r="AA94" s="52" t="str">
        <x:f>IF(ISBLANK('Deal_Master_Wide'!$AL$16),"",'Deal_Master_Wide'!$AL$16)</x:f>
        <x:v>Unknown</x:v>
      </x:c>
      <x:c r="AB94" s="54" t="n">
        <x:f>IF(ISBLANK('Deal_Master_Wide'!$AF$16),"",'Deal_Master_Wide'!$AF$16)</x:f>
        <x:v>852</x:v>
      </x:c>
      <x:c r="AC94" s="52" t="str">
        <x:f>IF(COUNT($P94,$Q94,$R94,$S94,$T94,$U94,$V94,$W94,$X94)=9,"Yes","No")</x:f>
        <x:v>No</x:v>
      </x:c>
      <x:c r="AD94" s="52" t="str">
        <x:f>IF(COUNT($Y94,$Z94)=2,"Yes","No")</x:f>
        <x:v>No</x:v>
      </x:c>
      <x:c r="AE94" s="50" t="str"/>
      <x:c r="AF94" t="str"/>
    </x:row>
    <x:row r="95" ht="20" customHeight="1">
      <x:c r="A95" s="50" t="str">
        <x:v>TRT-0014</x:v>
      </x:c>
      <x:c r="B95" s="50" t="str">
        <x:v>Candidate treatment group</x:v>
      </x:c>
      <x:c r="C95" s="52" t="str">
        <x:f>IF('Deal_Master_Wide'!$AU$16="","",'Deal_Master_Wide'!$AU$16)</x:f>
        <x:v>Not reviewed</x:v>
      </x:c>
      <x:c r="D95" s="52" t="str">
        <x:f>IF('Deal_Master_Wide'!$AV$16="","",'Deal_Master_Wide'!$AV$16)</x:f>
        <x:v>Not assessed</x:v>
      </x:c>
      <x:c r="E95" s="50" t="n">
        <x:v>1</x:v>
      </x:c>
      <x:c r="F95" s="52" t="str">
        <x:f>IF(OR($C95="High-confidence innovation-driven",$C95="Medium-confidence innovation-driven"),1,IF($C95="Clear alternative-rationale",0,""))</x:f>
      </x:c>
      <x:c r="G95" s="52" t="str">
        <x:f>IF('Deal_Master_Wide'!$M$16="","",'Deal_Master_Wide'!$M$16)</x:f>
        <x:v>Review</x:v>
      </x:c>
      <x:c r="H95" s="50" t="str">
        <x:v>Astellas Pharma Inc</x:v>
      </x:c>
      <x:c r="I95" s="50" t="str">
        <x:v>Ogeda SA</x:v>
      </x:c>
      <x:c r="J95" s="50" t="n">
        <x:v>2017</x:v>
      </x:c>
      <x:c r="K95" s="50" t="n">
        <x:v>-1</x:v>
      </x:c>
      <x:c r="L95" s="50" t="n">
        <x:v>2016</x:v>
      </x:c>
      <x:c r="M95" s="50" t="n">
        <x:v>0</x:v>
      </x:c>
      <x:c r="N95" s="50" t="n">
        <x:v>0</x:v>
      </x:c>
      <x:c r="O95" s="52" t="str">
        <x:f>IF($F95="","",$F95*$M95)</x:f>
      </x:c>
      <x:c r="P95" s="54" t="str">
        <x:f>IF(ISBLANK('Deal_Master_Wide'!$BR$16),"",'Deal_Master_Wide'!$BR$16)</x:f>
      </x:c>
      <x:c r="Q95" s="54" t="str">
        <x:f>IF(ISBLANK('Deal_Master_Wide'!$BY$16),"",'Deal_Master_Wide'!$BY$16)</x:f>
      </x:c>
      <x:c r="R95" s="54" t="str">
        <x:f>IF(ISBLANK('Deal_Master_Wide'!$CF$16),"",'Deal_Master_Wide'!$CF$16)</x:f>
      </x:c>
      <x:c r="S95" s="54" t="str">
        <x:f>IF(ISBLANK('Deal_Master_Wide'!$CM$16),"",'Deal_Master_Wide'!$CM$16)</x:f>
      </x:c>
      <x:c r="T95" s="54" t="str">
        <x:f>IF(ISBLANK('Deal_Master_Wide'!$CT$16),"",'Deal_Master_Wide'!$CT$16)</x:f>
      </x:c>
      <x:c r="U95" s="54" t="str">
        <x:f>IF(ISBLANK('Deal_Master_Wide'!$DA$16),"",'Deal_Master_Wide'!$DA$16)</x:f>
      </x:c>
      <x:c r="V95" s="56" t="str">
        <x:f>IF(ISBLANK('Deal_Master_Wide'!$DH$16),"",'Deal_Master_Wide'!$DH$16)</x:f>
      </x:c>
      <x:c r="W95" s="56" t="str">
        <x:f>IF(ISBLANK('Deal_Master_Wide'!$DO$16),"",'Deal_Master_Wide'!$DO$16)</x:f>
      </x:c>
      <x:c r="X95" s="56" t="str">
        <x:f>IF(ISBLANK('Deal_Master_Wide'!$DV$16),"",'Deal_Master_Wide'!$DV$16)</x:f>
      </x:c>
      <x:c r="Y95" s="54" t="str">
        <x:f>IF(ISBLANK('Deal_Master_Wide'!$EC$16),"",'Deal_Master_Wide'!$EC$16)</x:f>
      </x:c>
      <x:c r="Z95" s="54" t="str">
        <x:f>IF(ISBLANK('Deal_Master_Wide'!$EJ$16),"",'Deal_Master_Wide'!$EJ$16)</x:f>
      </x:c>
      <x:c r="AA95" s="52" t="str">
        <x:f>IF(ISBLANK('Deal_Master_Wide'!$AL$16),"",'Deal_Master_Wide'!$AL$16)</x:f>
        <x:v>Unknown</x:v>
      </x:c>
      <x:c r="AB95" s="54" t="n">
        <x:f>IF(ISBLANK('Deal_Master_Wide'!$AF$16),"",'Deal_Master_Wide'!$AF$16)</x:f>
        <x:v>852</x:v>
      </x:c>
      <x:c r="AC95" s="52" t="str">
        <x:f>IF(COUNT($P95,$Q95,$R95,$S95,$T95,$U95,$V95,$W95,$X95)=9,"Yes","No")</x:f>
        <x:v>No</x:v>
      </x:c>
      <x:c r="AD95" s="52" t="str">
        <x:f>IF(COUNT($Y95,$Z95)=2,"Yes","No")</x:f>
        <x:v>No</x:v>
      </x:c>
      <x:c r="AE95" s="50" t="str"/>
      <x:c r="AF95" t="str"/>
    </x:row>
    <x:row r="96" ht="20" customHeight="1">
      <x:c r="A96" s="50" t="str">
        <x:v>TRT-0014</x:v>
      </x:c>
      <x:c r="B96" s="50" t="str">
        <x:v>Candidate treatment group</x:v>
      </x:c>
      <x:c r="C96" s="52" t="str">
        <x:f>IF('Deal_Master_Wide'!$AU$16="","",'Deal_Master_Wide'!$AU$16)</x:f>
        <x:v>Not reviewed</x:v>
      </x:c>
      <x:c r="D96" s="52" t="str">
        <x:f>IF('Deal_Master_Wide'!$AV$16="","",'Deal_Master_Wide'!$AV$16)</x:f>
        <x:v>Not assessed</x:v>
      </x:c>
      <x:c r="E96" s="50" t="n">
        <x:v>1</x:v>
      </x:c>
      <x:c r="F96" s="52" t="str">
        <x:f>IF(OR($C96="High-confidence innovation-driven",$C96="Medium-confidence innovation-driven"),1,IF($C96="Clear alternative-rationale",0,""))</x:f>
      </x:c>
      <x:c r="G96" s="52" t="str">
        <x:f>IF('Deal_Master_Wide'!$M$16="","",'Deal_Master_Wide'!$M$16)</x:f>
        <x:v>Review</x:v>
      </x:c>
      <x:c r="H96" s="50" t="str">
        <x:v>Astellas Pharma Inc</x:v>
      </x:c>
      <x:c r="I96" s="50" t="str">
        <x:v>Ogeda SA</x:v>
      </x:c>
      <x:c r="J96" s="50" t="n">
        <x:v>2017</x:v>
      </x:c>
      <x:c r="K96" s="50" t="n">
        <x:v>0</x:v>
      </x:c>
      <x:c r="L96" s="50" t="n">
        <x:v>2017</x:v>
      </x:c>
      <x:c r="M96" s="50" t="n">
        <x:v>0</x:v>
      </x:c>
      <x:c r="N96" s="50" t="n">
        <x:v>1</x:v>
      </x:c>
      <x:c r="O96" s="52" t="str">
        <x:f>IF($F96="","",$F96*$M96)</x:f>
      </x:c>
      <x:c r="P96" s="54" t="str">
        <x:f>IF(ISBLANK('Deal_Master_Wide'!$BS$16),"",'Deal_Master_Wide'!$BS$16)</x:f>
      </x:c>
      <x:c r="Q96" s="54" t="str">
        <x:f>IF(ISBLANK('Deal_Master_Wide'!$BZ$16),"",'Deal_Master_Wide'!$BZ$16)</x:f>
      </x:c>
      <x:c r="R96" s="54" t="str">
        <x:f>IF(ISBLANK('Deal_Master_Wide'!$CG$16),"",'Deal_Master_Wide'!$CG$16)</x:f>
      </x:c>
      <x:c r="S96" s="54" t="str">
        <x:f>IF(ISBLANK('Deal_Master_Wide'!$CN$16),"",'Deal_Master_Wide'!$CN$16)</x:f>
      </x:c>
      <x:c r="T96" s="54" t="str">
        <x:f>IF(ISBLANK('Deal_Master_Wide'!$CU$16),"",'Deal_Master_Wide'!$CU$16)</x:f>
      </x:c>
      <x:c r="U96" s="54" t="str">
        <x:f>IF(ISBLANK('Deal_Master_Wide'!$DB$16),"",'Deal_Master_Wide'!$DB$16)</x:f>
      </x:c>
      <x:c r="V96" s="56" t="str">
        <x:f>IF(ISBLANK('Deal_Master_Wide'!$DI$16),"",'Deal_Master_Wide'!$DI$16)</x:f>
      </x:c>
      <x:c r="W96" s="56" t="str">
        <x:f>IF(ISBLANK('Deal_Master_Wide'!$DP$16),"",'Deal_Master_Wide'!$DP$16)</x:f>
      </x:c>
      <x:c r="X96" s="56" t="str">
        <x:f>IF(ISBLANK('Deal_Master_Wide'!$DW$16),"",'Deal_Master_Wide'!$DW$16)</x:f>
      </x:c>
      <x:c r="Y96" s="54" t="str">
        <x:f>IF(ISBLANK('Deal_Master_Wide'!$ED$16),"",'Deal_Master_Wide'!$ED$16)</x:f>
      </x:c>
      <x:c r="Z96" s="54" t="str">
        <x:f>IF(ISBLANK('Deal_Master_Wide'!$EK$16),"",'Deal_Master_Wide'!$EK$16)</x:f>
      </x:c>
      <x:c r="AA96" s="52" t="str">
        <x:f>IF(ISBLANK('Deal_Master_Wide'!$AL$16),"",'Deal_Master_Wide'!$AL$16)</x:f>
        <x:v>Unknown</x:v>
      </x:c>
      <x:c r="AB96" s="54" t="n">
        <x:f>IF(ISBLANK('Deal_Master_Wide'!$AF$16),"",'Deal_Master_Wide'!$AF$16)</x:f>
        <x:v>852</x:v>
      </x:c>
      <x:c r="AC96" s="52" t="str">
        <x:f>IF(COUNT($P96,$Q96,$R96,$S96,$T96,$U96,$V96,$W96,$X96)=9,"Yes","No")</x:f>
        <x:v>No</x:v>
      </x:c>
      <x:c r="AD96" s="52" t="str">
        <x:f>IF(COUNT($Y96,$Z96)=2,"Yes","No")</x:f>
        <x:v>No</x:v>
      </x:c>
      <x:c r="AE96" s="50" t="str"/>
      <x:c r="AF96" t="str"/>
    </x:row>
    <x:row r="97" ht="20" customHeight="1">
      <x:c r="A97" s="50" t="str">
        <x:v>TRT-0014</x:v>
      </x:c>
      <x:c r="B97" s="50" t="str">
        <x:v>Candidate treatment group</x:v>
      </x:c>
      <x:c r="C97" s="52" t="str">
        <x:f>IF('Deal_Master_Wide'!$AU$16="","",'Deal_Master_Wide'!$AU$16)</x:f>
        <x:v>Not reviewed</x:v>
      </x:c>
      <x:c r="D97" s="52" t="str">
        <x:f>IF('Deal_Master_Wide'!$AV$16="","",'Deal_Master_Wide'!$AV$16)</x:f>
        <x:v>Not assessed</x:v>
      </x:c>
      <x:c r="E97" s="50" t="n">
        <x:v>1</x:v>
      </x:c>
      <x:c r="F97" s="52" t="str">
        <x:f>IF(OR($C97="High-confidence innovation-driven",$C97="Medium-confidence innovation-driven"),1,IF($C97="Clear alternative-rationale",0,""))</x:f>
      </x:c>
      <x:c r="G97" s="52" t="str">
        <x:f>IF('Deal_Master_Wide'!$M$16="","",'Deal_Master_Wide'!$M$16)</x:f>
        <x:v>Review</x:v>
      </x:c>
      <x:c r="H97" s="50" t="str">
        <x:v>Astellas Pharma Inc</x:v>
      </x:c>
      <x:c r="I97" s="50" t="str">
        <x:v>Ogeda SA</x:v>
      </x:c>
      <x:c r="J97" s="50" t="n">
        <x:v>2017</x:v>
      </x:c>
      <x:c r="K97" s="50" t="n">
        <x:v>1</x:v>
      </x:c>
      <x:c r="L97" s="50" t="n">
        <x:v>2018</x:v>
      </x:c>
      <x:c r="M97" s="50" t="n">
        <x:v>1</x:v>
      </x:c>
      <x:c r="N97" s="50" t="n">
        <x:v>1</x:v>
      </x:c>
      <x:c r="O97" s="52" t="str">
        <x:f>IF($F97="","",$F97*$M97)</x:f>
      </x:c>
      <x:c r="P97" s="54" t="str">
        <x:f>IF(ISBLANK('Deal_Master_Wide'!$BT$16),"",'Deal_Master_Wide'!$BT$16)</x:f>
      </x:c>
      <x:c r="Q97" s="54" t="str">
        <x:f>IF(ISBLANK('Deal_Master_Wide'!$CA$16),"",'Deal_Master_Wide'!$CA$16)</x:f>
      </x:c>
      <x:c r="R97" s="54" t="str">
        <x:f>IF(ISBLANK('Deal_Master_Wide'!$CH$16),"",'Deal_Master_Wide'!$CH$16)</x:f>
      </x:c>
      <x:c r="S97" s="54" t="str">
        <x:f>IF(ISBLANK('Deal_Master_Wide'!$CO$16),"",'Deal_Master_Wide'!$CO$16)</x:f>
      </x:c>
      <x:c r="T97" s="54" t="str">
        <x:f>IF(ISBLANK('Deal_Master_Wide'!$CV$16),"",'Deal_Master_Wide'!$CV$16)</x:f>
      </x:c>
      <x:c r="U97" s="54" t="str">
        <x:f>IF(ISBLANK('Deal_Master_Wide'!$DC$16),"",'Deal_Master_Wide'!$DC$16)</x:f>
      </x:c>
      <x:c r="V97" s="56" t="str">
        <x:f>IF(ISBLANK('Deal_Master_Wide'!$DJ$16),"",'Deal_Master_Wide'!$DJ$16)</x:f>
      </x:c>
      <x:c r="W97" s="56" t="str">
        <x:f>IF(ISBLANK('Deal_Master_Wide'!$DQ$16),"",'Deal_Master_Wide'!$DQ$16)</x:f>
      </x:c>
      <x:c r="X97" s="56" t="str">
        <x:f>IF(ISBLANK('Deal_Master_Wide'!$DX$16),"",'Deal_Master_Wide'!$DX$16)</x:f>
      </x:c>
      <x:c r="Y97" s="54" t="str">
        <x:f>IF(ISBLANK('Deal_Master_Wide'!$EE$16),"",'Deal_Master_Wide'!$EE$16)</x:f>
      </x:c>
      <x:c r="Z97" s="54" t="str">
        <x:f>IF(ISBLANK('Deal_Master_Wide'!$EL$16),"",'Deal_Master_Wide'!$EL$16)</x:f>
      </x:c>
      <x:c r="AA97" s="52" t="str">
        <x:f>IF(ISBLANK('Deal_Master_Wide'!$AL$16),"",'Deal_Master_Wide'!$AL$16)</x:f>
        <x:v>Unknown</x:v>
      </x:c>
      <x:c r="AB97" s="54" t="n">
        <x:f>IF(ISBLANK('Deal_Master_Wide'!$AF$16),"",'Deal_Master_Wide'!$AF$16)</x:f>
        <x:v>852</x:v>
      </x:c>
      <x:c r="AC97" s="52" t="str">
        <x:f>IF(COUNT($P97,$Q97,$R97,$S97,$T97,$U97,$V97,$W97,$X97)=9,"Yes","No")</x:f>
        <x:v>No</x:v>
      </x:c>
      <x:c r="AD97" s="52" t="str">
        <x:f>IF(COUNT($Y97,$Z97)=2,"Yes","No")</x:f>
        <x:v>No</x:v>
      </x:c>
      <x:c r="AE97" s="50" t="str"/>
      <x:c r="AF97" t="str"/>
    </x:row>
    <x:row r="98" ht="20" customHeight="1">
      <x:c r="A98" s="50" t="str">
        <x:v>TRT-0014</x:v>
      </x:c>
      <x:c r="B98" s="50" t="str">
        <x:v>Candidate treatment group</x:v>
      </x:c>
      <x:c r="C98" s="52" t="str">
        <x:f>IF('Deal_Master_Wide'!$AU$16="","",'Deal_Master_Wide'!$AU$16)</x:f>
        <x:v>Not reviewed</x:v>
      </x:c>
      <x:c r="D98" s="52" t="str">
        <x:f>IF('Deal_Master_Wide'!$AV$16="","",'Deal_Master_Wide'!$AV$16)</x:f>
        <x:v>Not assessed</x:v>
      </x:c>
      <x:c r="E98" s="50" t="n">
        <x:v>1</x:v>
      </x:c>
      <x:c r="F98" s="52" t="str">
        <x:f>IF(OR($C98="High-confidence innovation-driven",$C98="Medium-confidence innovation-driven"),1,IF($C98="Clear alternative-rationale",0,""))</x:f>
      </x:c>
      <x:c r="G98" s="52" t="str">
        <x:f>IF('Deal_Master_Wide'!$M$16="","",'Deal_Master_Wide'!$M$16)</x:f>
        <x:v>Review</x:v>
      </x:c>
      <x:c r="H98" s="50" t="str">
        <x:v>Astellas Pharma Inc</x:v>
      </x:c>
      <x:c r="I98" s="50" t="str">
        <x:v>Ogeda SA</x:v>
      </x:c>
      <x:c r="J98" s="50" t="n">
        <x:v>2017</x:v>
      </x:c>
      <x:c r="K98" s="50" t="n">
        <x:v>2</x:v>
      </x:c>
      <x:c r="L98" s="50" t="n">
        <x:v>2019</x:v>
      </x:c>
      <x:c r="M98" s="50" t="n">
        <x:v>1</x:v>
      </x:c>
      <x:c r="N98" s="50" t="n">
        <x:v>1</x:v>
      </x:c>
      <x:c r="O98" s="52" t="str">
        <x:f>IF($F98="","",$F98*$M98)</x:f>
      </x:c>
      <x:c r="P98" s="54" t="str">
        <x:f>IF(ISBLANK('Deal_Master_Wide'!$BU$16),"",'Deal_Master_Wide'!$BU$16)</x:f>
      </x:c>
      <x:c r="Q98" s="54" t="str">
        <x:f>IF(ISBLANK('Deal_Master_Wide'!$CB$16),"",'Deal_Master_Wide'!$CB$16)</x:f>
      </x:c>
      <x:c r="R98" s="54" t="str">
        <x:f>IF(ISBLANK('Deal_Master_Wide'!$CI$16),"",'Deal_Master_Wide'!$CI$16)</x:f>
      </x:c>
      <x:c r="S98" s="54" t="str">
        <x:f>IF(ISBLANK('Deal_Master_Wide'!$CP$16),"",'Deal_Master_Wide'!$CP$16)</x:f>
      </x:c>
      <x:c r="T98" s="54" t="str">
        <x:f>IF(ISBLANK('Deal_Master_Wide'!$CW$16),"",'Deal_Master_Wide'!$CW$16)</x:f>
      </x:c>
      <x:c r="U98" s="54" t="str">
        <x:f>IF(ISBLANK('Deal_Master_Wide'!$DD$16),"",'Deal_Master_Wide'!$DD$16)</x:f>
      </x:c>
      <x:c r="V98" s="56" t="str">
        <x:f>IF(ISBLANK('Deal_Master_Wide'!$DK$16),"",'Deal_Master_Wide'!$DK$16)</x:f>
      </x:c>
      <x:c r="W98" s="56" t="str">
        <x:f>IF(ISBLANK('Deal_Master_Wide'!$DR$16),"",'Deal_Master_Wide'!$DR$16)</x:f>
      </x:c>
      <x:c r="X98" s="56" t="str">
        <x:f>IF(ISBLANK('Deal_Master_Wide'!$DY$16),"",'Deal_Master_Wide'!$DY$16)</x:f>
      </x:c>
      <x:c r="Y98" s="54" t="str">
        <x:f>IF(ISBLANK('Deal_Master_Wide'!$EF$16),"",'Deal_Master_Wide'!$EF$16)</x:f>
      </x:c>
      <x:c r="Z98" s="54" t="str">
        <x:f>IF(ISBLANK('Deal_Master_Wide'!$EM$16),"",'Deal_Master_Wide'!$EM$16)</x:f>
      </x:c>
      <x:c r="AA98" s="52" t="str">
        <x:f>IF(ISBLANK('Deal_Master_Wide'!$AL$16),"",'Deal_Master_Wide'!$AL$16)</x:f>
        <x:v>Unknown</x:v>
      </x:c>
      <x:c r="AB98" s="54" t="n">
        <x:f>IF(ISBLANK('Deal_Master_Wide'!$AF$16),"",'Deal_Master_Wide'!$AF$16)</x:f>
        <x:v>852</x:v>
      </x:c>
      <x:c r="AC98" s="52" t="str">
        <x:f>IF(COUNT($P98,$Q98,$R98,$S98,$T98,$U98,$V98,$W98,$X98)=9,"Yes","No")</x:f>
        <x:v>No</x:v>
      </x:c>
      <x:c r="AD98" s="52" t="str">
        <x:f>IF(COUNT($Y98,$Z98)=2,"Yes","No")</x:f>
        <x:v>No</x:v>
      </x:c>
      <x:c r="AE98" s="50" t="str"/>
      <x:c r="AF98" t="str"/>
    </x:row>
    <x:row r="99" ht="20" customHeight="1">
      <x:c r="A99" s="50" t="str">
        <x:v>TRT-0014</x:v>
      </x:c>
      <x:c r="B99" s="50" t="str">
        <x:v>Candidate treatment group</x:v>
      </x:c>
      <x:c r="C99" s="52" t="str">
        <x:f>IF('Deal_Master_Wide'!$AU$16="","",'Deal_Master_Wide'!$AU$16)</x:f>
        <x:v>Not reviewed</x:v>
      </x:c>
      <x:c r="D99" s="52" t="str">
        <x:f>IF('Deal_Master_Wide'!$AV$16="","",'Deal_Master_Wide'!$AV$16)</x:f>
        <x:v>Not assessed</x:v>
      </x:c>
      <x:c r="E99" s="50" t="n">
        <x:v>1</x:v>
      </x:c>
      <x:c r="F99" s="52" t="str">
        <x:f>IF(OR($C99="High-confidence innovation-driven",$C99="Medium-confidence innovation-driven"),1,IF($C99="Clear alternative-rationale",0,""))</x:f>
      </x:c>
      <x:c r="G99" s="52" t="str">
        <x:f>IF('Deal_Master_Wide'!$M$16="","",'Deal_Master_Wide'!$M$16)</x:f>
        <x:v>Review</x:v>
      </x:c>
      <x:c r="H99" s="50" t="str">
        <x:v>Astellas Pharma Inc</x:v>
      </x:c>
      <x:c r="I99" s="50" t="str">
        <x:v>Ogeda SA</x:v>
      </x:c>
      <x:c r="J99" s="50" t="n">
        <x:v>2017</x:v>
      </x:c>
      <x:c r="K99" s="50" t="n">
        <x:v>3</x:v>
      </x:c>
      <x:c r="L99" s="50" t="n">
        <x:v>2020</x:v>
      </x:c>
      <x:c r="M99" s="50" t="n">
        <x:v>1</x:v>
      </x:c>
      <x:c r="N99" s="50" t="n">
        <x:v>1</x:v>
      </x:c>
      <x:c r="O99" s="52" t="str">
        <x:f>IF($F99="","",$F99*$M99)</x:f>
      </x:c>
      <x:c r="P99" s="54" t="str">
        <x:f>IF(ISBLANK('Deal_Master_Wide'!$BV$16),"",'Deal_Master_Wide'!$BV$16)</x:f>
      </x:c>
      <x:c r="Q99" s="54" t="str">
        <x:f>IF(ISBLANK('Deal_Master_Wide'!$CC$16),"",'Deal_Master_Wide'!$CC$16)</x:f>
      </x:c>
      <x:c r="R99" s="54" t="str">
        <x:f>IF(ISBLANK('Deal_Master_Wide'!$CJ$16),"",'Deal_Master_Wide'!$CJ$16)</x:f>
      </x:c>
      <x:c r="S99" s="54" t="str">
        <x:f>IF(ISBLANK('Deal_Master_Wide'!$CQ$16),"",'Deal_Master_Wide'!$CQ$16)</x:f>
      </x:c>
      <x:c r="T99" s="54" t="str">
        <x:f>IF(ISBLANK('Deal_Master_Wide'!$CX$16),"",'Deal_Master_Wide'!$CX$16)</x:f>
      </x:c>
      <x:c r="U99" s="54" t="str">
        <x:f>IF(ISBLANK('Deal_Master_Wide'!$DE$16),"",'Deal_Master_Wide'!$DE$16)</x:f>
      </x:c>
      <x:c r="V99" s="56" t="str">
        <x:f>IF(ISBLANK('Deal_Master_Wide'!$DL$16),"",'Deal_Master_Wide'!$DL$16)</x:f>
      </x:c>
      <x:c r="W99" s="56" t="str">
        <x:f>IF(ISBLANK('Deal_Master_Wide'!$DS$16),"",'Deal_Master_Wide'!$DS$16)</x:f>
      </x:c>
      <x:c r="X99" s="56" t="str">
        <x:f>IF(ISBLANK('Deal_Master_Wide'!$DZ$16),"",'Deal_Master_Wide'!$DZ$16)</x:f>
      </x:c>
      <x:c r="Y99" s="54" t="str">
        <x:f>IF(ISBLANK('Deal_Master_Wide'!$EG$16),"",'Deal_Master_Wide'!$EG$16)</x:f>
      </x:c>
      <x:c r="Z99" s="54" t="str">
        <x:f>IF(ISBLANK('Deal_Master_Wide'!$EN$16),"",'Deal_Master_Wide'!$EN$16)</x:f>
      </x:c>
      <x:c r="AA99" s="52" t="str">
        <x:f>IF(ISBLANK('Deal_Master_Wide'!$AL$16),"",'Deal_Master_Wide'!$AL$16)</x:f>
        <x:v>Unknown</x:v>
      </x:c>
      <x:c r="AB99" s="54" t="n">
        <x:f>IF(ISBLANK('Deal_Master_Wide'!$AF$16),"",'Deal_Master_Wide'!$AF$16)</x:f>
        <x:v>852</x:v>
      </x:c>
      <x:c r="AC99" s="52" t="str">
        <x:f>IF(COUNT($P99,$Q99,$R99,$S99,$T99,$U99,$V99,$W99,$X99)=9,"Yes","No")</x:f>
        <x:v>No</x:v>
      </x:c>
      <x:c r="AD99" s="52" t="str">
        <x:f>IF(COUNT($Y99,$Z99)=2,"Yes","No")</x:f>
        <x:v>No</x:v>
      </x:c>
      <x:c r="AE99" s="50" t="str"/>
      <x:c r="AF99" t="str"/>
    </x:row>
    <x:row r="100" ht="20" customHeight="1">
      <x:c r="A100" s="50" t="str">
        <x:v>TRT-0015</x:v>
      </x:c>
      <x:c r="B100" s="50" t="str">
        <x:v>Candidate treatment group</x:v>
      </x:c>
      <x:c r="C100" s="52" t="str">
        <x:f>IF('Deal_Master_Wide'!$AU$17="","",'Deal_Master_Wide'!$AU$17)</x:f>
        <x:v>Not reviewed</x:v>
      </x:c>
      <x:c r="D100" s="52" t="str">
        <x:f>IF('Deal_Master_Wide'!$AV$17="","",'Deal_Master_Wide'!$AV$17)</x:f>
        <x:v>Not assessed</x:v>
      </x:c>
      <x:c r="E100" s="50" t="n">
        <x:v>1</x:v>
      </x:c>
      <x:c r="F100" s="52" t="str">
        <x:f>IF(OR($C100="High-confidence innovation-driven",$C100="Medium-confidence innovation-driven"),1,IF($C100="Clear alternative-rationale",0,""))</x:f>
      </x:c>
      <x:c r="G100" s="52" t="str">
        <x:f>IF('Deal_Master_Wide'!$M$17="","",'Deal_Master_Wide'!$M$17)</x:f>
        <x:v>Review</x:v>
      </x:c>
      <x:c r="H100" s="50" t="str">
        <x:v>Boston Scientific Corp</x:v>
      </x:c>
      <x:c r="I100" s="50" t="str">
        <x:v>Symetis SA (Inactive)</x:v>
      </x:c>
      <x:c r="J100" s="50" t="n">
        <x:v>2017</x:v>
      </x:c>
      <x:c r="K100" s="50" t="n">
        <x:v>-3</x:v>
      </x:c>
      <x:c r="L100" s="50" t="n">
        <x:v>2014</x:v>
      </x:c>
      <x:c r="M100" s="50" t="n">
        <x:v>0</x:v>
      </x:c>
      <x:c r="N100" s="50" t="n">
        <x:v>0</x:v>
      </x:c>
      <x:c r="O100" s="52" t="str">
        <x:f>IF($F100="","",$F100*$M100)</x:f>
      </x:c>
      <x:c r="P100" s="54" t="str">
        <x:f>IF(ISBLANK('Deal_Master_Wide'!$BP$17),"",'Deal_Master_Wide'!$BP$17)</x:f>
      </x:c>
      <x:c r="Q100" s="54" t="str">
        <x:f>IF(ISBLANK('Deal_Master_Wide'!$BW$17),"",'Deal_Master_Wide'!$BW$17)</x:f>
      </x:c>
      <x:c r="R100" s="54" t="str">
        <x:f>IF(ISBLANK('Deal_Master_Wide'!$CD$17),"",'Deal_Master_Wide'!$CD$17)</x:f>
      </x:c>
      <x:c r="S100" s="54" t="str">
        <x:f>IF(ISBLANK('Deal_Master_Wide'!$CK$17),"",'Deal_Master_Wide'!$CK$17)</x:f>
      </x:c>
      <x:c r="T100" s="54" t="str">
        <x:f>IF(ISBLANK('Deal_Master_Wide'!$CR$17),"",'Deal_Master_Wide'!$CR$17)</x:f>
      </x:c>
      <x:c r="U100" s="54" t="str">
        <x:f>IF(ISBLANK('Deal_Master_Wide'!$CY$17),"",'Deal_Master_Wide'!$CY$17)</x:f>
      </x:c>
      <x:c r="V100" s="56" t="str">
        <x:f>IF(ISBLANK('Deal_Master_Wide'!$DF$17),"",'Deal_Master_Wide'!$DF$17)</x:f>
      </x:c>
      <x:c r="W100" s="56" t="str">
        <x:f>IF(ISBLANK('Deal_Master_Wide'!$DM$17),"",'Deal_Master_Wide'!$DM$17)</x:f>
      </x:c>
      <x:c r="X100" s="56" t="str">
        <x:f>IF(ISBLANK('Deal_Master_Wide'!$DT$17),"",'Deal_Master_Wide'!$DT$17)</x:f>
      </x:c>
      <x:c r="Y100" s="54" t="str">
        <x:f>IF(ISBLANK('Deal_Master_Wide'!$EA$17),"",'Deal_Master_Wide'!$EA$17)</x:f>
      </x:c>
      <x:c r="Z100" s="54" t="str">
        <x:f>IF(ISBLANK('Deal_Master_Wide'!$EH$17),"",'Deal_Master_Wide'!$EH$17)</x:f>
      </x:c>
      <x:c r="AA100" s="52" t="str">
        <x:f>IF(ISBLANK('Deal_Master_Wide'!$AL$17),"",'Deal_Master_Wide'!$AL$17)</x:f>
        <x:v>Unknown</x:v>
      </x:c>
      <x:c r="AB100" s="54" t="n">
        <x:f>IF(ISBLANK('Deal_Master_Wide'!$AF$17),"",'Deal_Master_Wide'!$AF$17)</x:f>
        <x:v>435</x:v>
      </x:c>
      <x:c r="AC100" s="52" t="str">
        <x:f>IF(COUNT($P100,$Q100,$R100,$S100,$T100,$U100,$V100,$W100,$X100)=9,"Yes","No")</x:f>
        <x:v>No</x:v>
      </x:c>
      <x:c r="AD100" s="52" t="str">
        <x:f>IF(COUNT($Y100,$Z100)=2,"Yes","No")</x:f>
        <x:v>No</x:v>
      </x:c>
      <x:c r="AE100" s="50" t="str"/>
      <x:c r="AF100" t="str"/>
    </x:row>
    <x:row r="101" ht="20" customHeight="1">
      <x:c r="A101" s="50" t="str">
        <x:v>TRT-0015</x:v>
      </x:c>
      <x:c r="B101" s="50" t="str">
        <x:v>Candidate treatment group</x:v>
      </x:c>
      <x:c r="C101" s="52" t="str">
        <x:f>IF('Deal_Master_Wide'!$AU$17="","",'Deal_Master_Wide'!$AU$17)</x:f>
        <x:v>Not reviewed</x:v>
      </x:c>
      <x:c r="D101" s="52" t="str">
        <x:f>IF('Deal_Master_Wide'!$AV$17="","",'Deal_Master_Wide'!$AV$17)</x:f>
        <x:v>Not assessed</x:v>
      </x:c>
      <x:c r="E101" s="50" t="n">
        <x:v>1</x:v>
      </x:c>
      <x:c r="F101" s="52" t="str">
        <x:f>IF(OR($C101="High-confidence innovation-driven",$C101="Medium-confidence innovation-driven"),1,IF($C101="Clear alternative-rationale",0,""))</x:f>
      </x:c>
      <x:c r="G101" s="52" t="str">
        <x:f>IF('Deal_Master_Wide'!$M$17="","",'Deal_Master_Wide'!$M$17)</x:f>
        <x:v>Review</x:v>
      </x:c>
      <x:c r="H101" s="50" t="str">
        <x:v>Boston Scientific Corp</x:v>
      </x:c>
      <x:c r="I101" s="50" t="str">
        <x:v>Symetis SA (Inactive)</x:v>
      </x:c>
      <x:c r="J101" s="50" t="n">
        <x:v>2017</x:v>
      </x:c>
      <x:c r="K101" s="50" t="n">
        <x:v>-2</x:v>
      </x:c>
      <x:c r="L101" s="50" t="n">
        <x:v>2015</x:v>
      </x:c>
      <x:c r="M101" s="50" t="n">
        <x:v>0</x:v>
      </x:c>
      <x:c r="N101" s="50" t="n">
        <x:v>0</x:v>
      </x:c>
      <x:c r="O101" s="52" t="str">
        <x:f>IF($F101="","",$F101*$M101)</x:f>
      </x:c>
      <x:c r="P101" s="54" t="str">
        <x:f>IF(ISBLANK('Deal_Master_Wide'!$BQ$17),"",'Deal_Master_Wide'!$BQ$17)</x:f>
      </x:c>
      <x:c r="Q101" s="54" t="str">
        <x:f>IF(ISBLANK('Deal_Master_Wide'!$BX$17),"",'Deal_Master_Wide'!$BX$17)</x:f>
      </x:c>
      <x:c r="R101" s="54" t="str">
        <x:f>IF(ISBLANK('Deal_Master_Wide'!$CE$17),"",'Deal_Master_Wide'!$CE$17)</x:f>
      </x:c>
      <x:c r="S101" s="54" t="str">
        <x:f>IF(ISBLANK('Deal_Master_Wide'!$CL$17),"",'Deal_Master_Wide'!$CL$17)</x:f>
      </x:c>
      <x:c r="T101" s="54" t="str">
        <x:f>IF(ISBLANK('Deal_Master_Wide'!$CS$17),"",'Deal_Master_Wide'!$CS$17)</x:f>
      </x:c>
      <x:c r="U101" s="54" t="str">
        <x:f>IF(ISBLANK('Deal_Master_Wide'!$CZ$17),"",'Deal_Master_Wide'!$CZ$17)</x:f>
      </x:c>
      <x:c r="V101" s="56" t="str">
        <x:f>IF(ISBLANK('Deal_Master_Wide'!$DG$17),"",'Deal_Master_Wide'!$DG$17)</x:f>
      </x:c>
      <x:c r="W101" s="56" t="str">
        <x:f>IF(ISBLANK('Deal_Master_Wide'!$DN$17),"",'Deal_Master_Wide'!$DN$17)</x:f>
      </x:c>
      <x:c r="X101" s="56" t="str">
        <x:f>IF(ISBLANK('Deal_Master_Wide'!$DU$17),"",'Deal_Master_Wide'!$DU$17)</x:f>
      </x:c>
      <x:c r="Y101" s="54" t="str">
        <x:f>IF(ISBLANK('Deal_Master_Wide'!$EB$17),"",'Deal_Master_Wide'!$EB$17)</x:f>
      </x:c>
      <x:c r="Z101" s="54" t="str">
        <x:f>IF(ISBLANK('Deal_Master_Wide'!$EI$17),"",'Deal_Master_Wide'!$EI$17)</x:f>
      </x:c>
      <x:c r="AA101" s="52" t="str">
        <x:f>IF(ISBLANK('Deal_Master_Wide'!$AL$17),"",'Deal_Master_Wide'!$AL$17)</x:f>
        <x:v>Unknown</x:v>
      </x:c>
      <x:c r="AB101" s="54" t="n">
        <x:f>IF(ISBLANK('Deal_Master_Wide'!$AF$17),"",'Deal_Master_Wide'!$AF$17)</x:f>
        <x:v>435</x:v>
      </x:c>
      <x:c r="AC101" s="52" t="str">
        <x:f>IF(COUNT($P101,$Q101,$R101,$S101,$T101,$U101,$V101,$W101,$X101)=9,"Yes","No")</x:f>
        <x:v>No</x:v>
      </x:c>
      <x:c r="AD101" s="52" t="str">
        <x:f>IF(COUNT($Y101,$Z101)=2,"Yes","No")</x:f>
        <x:v>No</x:v>
      </x:c>
      <x:c r="AE101" s="50" t="str"/>
      <x:c r="AF101" t="str"/>
    </x:row>
    <x:row r="102" ht="20" customHeight="1">
      <x:c r="A102" s="50" t="str">
        <x:v>TRT-0015</x:v>
      </x:c>
      <x:c r="B102" s="50" t="str">
        <x:v>Candidate treatment group</x:v>
      </x:c>
      <x:c r="C102" s="52" t="str">
        <x:f>IF('Deal_Master_Wide'!$AU$17="","",'Deal_Master_Wide'!$AU$17)</x:f>
        <x:v>Not reviewed</x:v>
      </x:c>
      <x:c r="D102" s="52" t="str">
        <x:f>IF('Deal_Master_Wide'!$AV$17="","",'Deal_Master_Wide'!$AV$17)</x:f>
        <x:v>Not assessed</x:v>
      </x:c>
      <x:c r="E102" s="50" t="n">
        <x:v>1</x:v>
      </x:c>
      <x:c r="F102" s="52" t="str">
        <x:f>IF(OR($C102="High-confidence innovation-driven",$C102="Medium-confidence innovation-driven"),1,IF($C102="Clear alternative-rationale",0,""))</x:f>
      </x:c>
      <x:c r="G102" s="52" t="str">
        <x:f>IF('Deal_Master_Wide'!$M$17="","",'Deal_Master_Wide'!$M$17)</x:f>
        <x:v>Review</x:v>
      </x:c>
      <x:c r="H102" s="50" t="str">
        <x:v>Boston Scientific Corp</x:v>
      </x:c>
      <x:c r="I102" s="50" t="str">
        <x:v>Symetis SA (Inactive)</x:v>
      </x:c>
      <x:c r="J102" s="50" t="n">
        <x:v>2017</x:v>
      </x:c>
      <x:c r="K102" s="50" t="n">
        <x:v>-1</x:v>
      </x:c>
      <x:c r="L102" s="50" t="n">
        <x:v>2016</x:v>
      </x:c>
      <x:c r="M102" s="50" t="n">
        <x:v>0</x:v>
      </x:c>
      <x:c r="N102" s="50" t="n">
        <x:v>0</x:v>
      </x:c>
      <x:c r="O102" s="52" t="str">
        <x:f>IF($F102="","",$F102*$M102)</x:f>
      </x:c>
      <x:c r="P102" s="54" t="str">
        <x:f>IF(ISBLANK('Deal_Master_Wide'!$BR$17),"",'Deal_Master_Wide'!$BR$17)</x:f>
      </x:c>
      <x:c r="Q102" s="54" t="str">
        <x:f>IF(ISBLANK('Deal_Master_Wide'!$BY$17),"",'Deal_Master_Wide'!$BY$17)</x:f>
      </x:c>
      <x:c r="R102" s="54" t="str">
        <x:f>IF(ISBLANK('Deal_Master_Wide'!$CF$17),"",'Deal_Master_Wide'!$CF$17)</x:f>
      </x:c>
      <x:c r="S102" s="54" t="str">
        <x:f>IF(ISBLANK('Deal_Master_Wide'!$CM$17),"",'Deal_Master_Wide'!$CM$17)</x:f>
      </x:c>
      <x:c r="T102" s="54" t="str">
        <x:f>IF(ISBLANK('Deal_Master_Wide'!$CT$17),"",'Deal_Master_Wide'!$CT$17)</x:f>
      </x:c>
      <x:c r="U102" s="54" t="str">
        <x:f>IF(ISBLANK('Deal_Master_Wide'!$DA$17),"",'Deal_Master_Wide'!$DA$17)</x:f>
      </x:c>
      <x:c r="V102" s="56" t="str">
        <x:f>IF(ISBLANK('Deal_Master_Wide'!$DH$17),"",'Deal_Master_Wide'!$DH$17)</x:f>
      </x:c>
      <x:c r="W102" s="56" t="str">
        <x:f>IF(ISBLANK('Deal_Master_Wide'!$DO$17),"",'Deal_Master_Wide'!$DO$17)</x:f>
      </x:c>
      <x:c r="X102" s="56" t="str">
        <x:f>IF(ISBLANK('Deal_Master_Wide'!$DV$17),"",'Deal_Master_Wide'!$DV$17)</x:f>
      </x:c>
      <x:c r="Y102" s="54" t="str">
        <x:f>IF(ISBLANK('Deal_Master_Wide'!$EC$17),"",'Deal_Master_Wide'!$EC$17)</x:f>
      </x:c>
      <x:c r="Z102" s="54" t="str">
        <x:f>IF(ISBLANK('Deal_Master_Wide'!$EJ$17),"",'Deal_Master_Wide'!$EJ$17)</x:f>
      </x:c>
      <x:c r="AA102" s="52" t="str">
        <x:f>IF(ISBLANK('Deal_Master_Wide'!$AL$17),"",'Deal_Master_Wide'!$AL$17)</x:f>
        <x:v>Unknown</x:v>
      </x:c>
      <x:c r="AB102" s="54" t="n">
        <x:f>IF(ISBLANK('Deal_Master_Wide'!$AF$17),"",'Deal_Master_Wide'!$AF$17)</x:f>
        <x:v>435</x:v>
      </x:c>
      <x:c r="AC102" s="52" t="str">
        <x:f>IF(COUNT($P102,$Q102,$R102,$S102,$T102,$U102,$V102,$W102,$X102)=9,"Yes","No")</x:f>
        <x:v>No</x:v>
      </x:c>
      <x:c r="AD102" s="52" t="str">
        <x:f>IF(COUNT($Y102,$Z102)=2,"Yes","No")</x:f>
        <x:v>No</x:v>
      </x:c>
      <x:c r="AE102" s="50" t="str"/>
      <x:c r="AF102" t="str"/>
    </x:row>
    <x:row r="103" ht="20" customHeight="1">
      <x:c r="A103" s="50" t="str">
        <x:v>TRT-0015</x:v>
      </x:c>
      <x:c r="B103" s="50" t="str">
        <x:v>Candidate treatment group</x:v>
      </x:c>
      <x:c r="C103" s="52" t="str">
        <x:f>IF('Deal_Master_Wide'!$AU$17="","",'Deal_Master_Wide'!$AU$17)</x:f>
        <x:v>Not reviewed</x:v>
      </x:c>
      <x:c r="D103" s="52" t="str">
        <x:f>IF('Deal_Master_Wide'!$AV$17="","",'Deal_Master_Wide'!$AV$17)</x:f>
        <x:v>Not assessed</x:v>
      </x:c>
      <x:c r="E103" s="50" t="n">
        <x:v>1</x:v>
      </x:c>
      <x:c r="F103" s="52" t="str">
        <x:f>IF(OR($C103="High-confidence innovation-driven",$C103="Medium-confidence innovation-driven"),1,IF($C103="Clear alternative-rationale",0,""))</x:f>
      </x:c>
      <x:c r="G103" s="52" t="str">
        <x:f>IF('Deal_Master_Wide'!$M$17="","",'Deal_Master_Wide'!$M$17)</x:f>
        <x:v>Review</x:v>
      </x:c>
      <x:c r="H103" s="50" t="str">
        <x:v>Boston Scientific Corp</x:v>
      </x:c>
      <x:c r="I103" s="50" t="str">
        <x:v>Symetis SA (Inactive)</x:v>
      </x:c>
      <x:c r="J103" s="50" t="n">
        <x:v>2017</x:v>
      </x:c>
      <x:c r="K103" s="50" t="n">
        <x:v>0</x:v>
      </x:c>
      <x:c r="L103" s="50" t="n">
        <x:v>2017</x:v>
      </x:c>
      <x:c r="M103" s="50" t="n">
        <x:v>0</x:v>
      </x:c>
      <x:c r="N103" s="50" t="n">
        <x:v>1</x:v>
      </x:c>
      <x:c r="O103" s="52" t="str">
        <x:f>IF($F103="","",$F103*$M103)</x:f>
      </x:c>
      <x:c r="P103" s="54" t="str">
        <x:f>IF(ISBLANK('Deal_Master_Wide'!$BS$17),"",'Deal_Master_Wide'!$BS$17)</x:f>
      </x:c>
      <x:c r="Q103" s="54" t="str">
        <x:f>IF(ISBLANK('Deal_Master_Wide'!$BZ$17),"",'Deal_Master_Wide'!$BZ$17)</x:f>
      </x:c>
      <x:c r="R103" s="54" t="str">
        <x:f>IF(ISBLANK('Deal_Master_Wide'!$CG$17),"",'Deal_Master_Wide'!$CG$17)</x:f>
      </x:c>
      <x:c r="S103" s="54" t="str">
        <x:f>IF(ISBLANK('Deal_Master_Wide'!$CN$17),"",'Deal_Master_Wide'!$CN$17)</x:f>
      </x:c>
      <x:c r="T103" s="54" t="str">
        <x:f>IF(ISBLANK('Deal_Master_Wide'!$CU$17),"",'Deal_Master_Wide'!$CU$17)</x:f>
      </x:c>
      <x:c r="U103" s="54" t="str">
        <x:f>IF(ISBLANK('Deal_Master_Wide'!$DB$17),"",'Deal_Master_Wide'!$DB$17)</x:f>
      </x:c>
      <x:c r="V103" s="56" t="str">
        <x:f>IF(ISBLANK('Deal_Master_Wide'!$DI$17),"",'Deal_Master_Wide'!$DI$17)</x:f>
      </x:c>
      <x:c r="W103" s="56" t="str">
        <x:f>IF(ISBLANK('Deal_Master_Wide'!$DP$17),"",'Deal_Master_Wide'!$DP$17)</x:f>
      </x:c>
      <x:c r="X103" s="56" t="str">
        <x:f>IF(ISBLANK('Deal_Master_Wide'!$DW$17),"",'Deal_Master_Wide'!$DW$17)</x:f>
      </x:c>
      <x:c r="Y103" s="54" t="str">
        <x:f>IF(ISBLANK('Deal_Master_Wide'!$ED$17),"",'Deal_Master_Wide'!$ED$17)</x:f>
      </x:c>
      <x:c r="Z103" s="54" t="str">
        <x:f>IF(ISBLANK('Deal_Master_Wide'!$EK$17),"",'Deal_Master_Wide'!$EK$17)</x:f>
      </x:c>
      <x:c r="AA103" s="52" t="str">
        <x:f>IF(ISBLANK('Deal_Master_Wide'!$AL$17),"",'Deal_Master_Wide'!$AL$17)</x:f>
        <x:v>Unknown</x:v>
      </x:c>
      <x:c r="AB103" s="54" t="n">
        <x:f>IF(ISBLANK('Deal_Master_Wide'!$AF$17),"",'Deal_Master_Wide'!$AF$17)</x:f>
        <x:v>435</x:v>
      </x:c>
      <x:c r="AC103" s="52" t="str">
        <x:f>IF(COUNT($P103,$Q103,$R103,$S103,$T103,$U103,$V103,$W103,$X103)=9,"Yes","No")</x:f>
        <x:v>No</x:v>
      </x:c>
      <x:c r="AD103" s="52" t="str">
        <x:f>IF(COUNT($Y103,$Z103)=2,"Yes","No")</x:f>
        <x:v>No</x:v>
      </x:c>
      <x:c r="AE103" s="50" t="str"/>
      <x:c r="AF103" t="str"/>
    </x:row>
    <x:row r="104" ht="20" customHeight="1">
      <x:c r="A104" s="50" t="str">
        <x:v>TRT-0015</x:v>
      </x:c>
      <x:c r="B104" s="50" t="str">
        <x:v>Candidate treatment group</x:v>
      </x:c>
      <x:c r="C104" s="52" t="str">
        <x:f>IF('Deal_Master_Wide'!$AU$17="","",'Deal_Master_Wide'!$AU$17)</x:f>
        <x:v>Not reviewed</x:v>
      </x:c>
      <x:c r="D104" s="52" t="str">
        <x:f>IF('Deal_Master_Wide'!$AV$17="","",'Deal_Master_Wide'!$AV$17)</x:f>
        <x:v>Not assessed</x:v>
      </x:c>
      <x:c r="E104" s="50" t="n">
        <x:v>1</x:v>
      </x:c>
      <x:c r="F104" s="52" t="str">
        <x:f>IF(OR($C104="High-confidence innovation-driven",$C104="Medium-confidence innovation-driven"),1,IF($C104="Clear alternative-rationale",0,""))</x:f>
      </x:c>
      <x:c r="G104" s="52" t="str">
        <x:f>IF('Deal_Master_Wide'!$M$17="","",'Deal_Master_Wide'!$M$17)</x:f>
        <x:v>Review</x:v>
      </x:c>
      <x:c r="H104" s="50" t="str">
        <x:v>Boston Scientific Corp</x:v>
      </x:c>
      <x:c r="I104" s="50" t="str">
        <x:v>Symetis SA (Inactive)</x:v>
      </x:c>
      <x:c r="J104" s="50" t="n">
        <x:v>2017</x:v>
      </x:c>
      <x:c r="K104" s="50" t="n">
        <x:v>1</x:v>
      </x:c>
      <x:c r="L104" s="50" t="n">
        <x:v>2018</x:v>
      </x:c>
      <x:c r="M104" s="50" t="n">
        <x:v>1</x:v>
      </x:c>
      <x:c r="N104" s="50" t="n">
        <x:v>1</x:v>
      </x:c>
      <x:c r="O104" s="52" t="str">
        <x:f>IF($F104="","",$F104*$M104)</x:f>
      </x:c>
      <x:c r="P104" s="54" t="str">
        <x:f>IF(ISBLANK('Deal_Master_Wide'!$BT$17),"",'Deal_Master_Wide'!$BT$17)</x:f>
      </x:c>
      <x:c r="Q104" s="54" t="str">
        <x:f>IF(ISBLANK('Deal_Master_Wide'!$CA$17),"",'Deal_Master_Wide'!$CA$17)</x:f>
      </x:c>
      <x:c r="R104" s="54" t="str">
        <x:f>IF(ISBLANK('Deal_Master_Wide'!$CH$17),"",'Deal_Master_Wide'!$CH$17)</x:f>
      </x:c>
      <x:c r="S104" s="54" t="str">
        <x:f>IF(ISBLANK('Deal_Master_Wide'!$CO$17),"",'Deal_Master_Wide'!$CO$17)</x:f>
      </x:c>
      <x:c r="T104" s="54" t="str">
        <x:f>IF(ISBLANK('Deal_Master_Wide'!$CV$17),"",'Deal_Master_Wide'!$CV$17)</x:f>
      </x:c>
      <x:c r="U104" s="54" t="str">
        <x:f>IF(ISBLANK('Deal_Master_Wide'!$DC$17),"",'Deal_Master_Wide'!$DC$17)</x:f>
      </x:c>
      <x:c r="V104" s="56" t="str">
        <x:f>IF(ISBLANK('Deal_Master_Wide'!$DJ$17),"",'Deal_Master_Wide'!$DJ$17)</x:f>
      </x:c>
      <x:c r="W104" s="56" t="str">
        <x:f>IF(ISBLANK('Deal_Master_Wide'!$DQ$17),"",'Deal_Master_Wide'!$DQ$17)</x:f>
      </x:c>
      <x:c r="X104" s="56" t="str">
        <x:f>IF(ISBLANK('Deal_Master_Wide'!$DX$17),"",'Deal_Master_Wide'!$DX$17)</x:f>
      </x:c>
      <x:c r="Y104" s="54" t="str">
        <x:f>IF(ISBLANK('Deal_Master_Wide'!$EE$17),"",'Deal_Master_Wide'!$EE$17)</x:f>
      </x:c>
      <x:c r="Z104" s="54" t="str">
        <x:f>IF(ISBLANK('Deal_Master_Wide'!$EL$17),"",'Deal_Master_Wide'!$EL$17)</x:f>
      </x:c>
      <x:c r="AA104" s="52" t="str">
        <x:f>IF(ISBLANK('Deal_Master_Wide'!$AL$17),"",'Deal_Master_Wide'!$AL$17)</x:f>
        <x:v>Unknown</x:v>
      </x:c>
      <x:c r="AB104" s="54" t="n">
        <x:f>IF(ISBLANK('Deal_Master_Wide'!$AF$17),"",'Deal_Master_Wide'!$AF$17)</x:f>
        <x:v>435</x:v>
      </x:c>
      <x:c r="AC104" s="52" t="str">
        <x:f>IF(COUNT($P104,$Q104,$R104,$S104,$T104,$U104,$V104,$W104,$X104)=9,"Yes","No")</x:f>
        <x:v>No</x:v>
      </x:c>
      <x:c r="AD104" s="52" t="str">
        <x:f>IF(COUNT($Y104,$Z104)=2,"Yes","No")</x:f>
        <x:v>No</x:v>
      </x:c>
      <x:c r="AE104" s="50" t="str"/>
      <x:c r="AF104" t="str"/>
    </x:row>
    <x:row r="105" ht="20" customHeight="1">
      <x:c r="A105" s="50" t="str">
        <x:v>TRT-0015</x:v>
      </x:c>
      <x:c r="B105" s="50" t="str">
        <x:v>Candidate treatment group</x:v>
      </x:c>
      <x:c r="C105" s="52" t="str">
        <x:f>IF('Deal_Master_Wide'!$AU$17="","",'Deal_Master_Wide'!$AU$17)</x:f>
        <x:v>Not reviewed</x:v>
      </x:c>
      <x:c r="D105" s="52" t="str">
        <x:f>IF('Deal_Master_Wide'!$AV$17="","",'Deal_Master_Wide'!$AV$17)</x:f>
        <x:v>Not assessed</x:v>
      </x:c>
      <x:c r="E105" s="50" t="n">
        <x:v>1</x:v>
      </x:c>
      <x:c r="F105" s="52" t="str">
        <x:f>IF(OR($C105="High-confidence innovation-driven",$C105="Medium-confidence innovation-driven"),1,IF($C105="Clear alternative-rationale",0,""))</x:f>
      </x:c>
      <x:c r="G105" s="52" t="str">
        <x:f>IF('Deal_Master_Wide'!$M$17="","",'Deal_Master_Wide'!$M$17)</x:f>
        <x:v>Review</x:v>
      </x:c>
      <x:c r="H105" s="50" t="str">
        <x:v>Boston Scientific Corp</x:v>
      </x:c>
      <x:c r="I105" s="50" t="str">
        <x:v>Symetis SA (Inactive)</x:v>
      </x:c>
      <x:c r="J105" s="50" t="n">
        <x:v>2017</x:v>
      </x:c>
      <x:c r="K105" s="50" t="n">
        <x:v>2</x:v>
      </x:c>
      <x:c r="L105" s="50" t="n">
        <x:v>2019</x:v>
      </x:c>
      <x:c r="M105" s="50" t="n">
        <x:v>1</x:v>
      </x:c>
      <x:c r="N105" s="50" t="n">
        <x:v>1</x:v>
      </x:c>
      <x:c r="O105" s="52" t="str">
        <x:f>IF($F105="","",$F105*$M105)</x:f>
      </x:c>
      <x:c r="P105" s="54" t="str">
        <x:f>IF(ISBLANK('Deal_Master_Wide'!$BU$17),"",'Deal_Master_Wide'!$BU$17)</x:f>
      </x:c>
      <x:c r="Q105" s="54" t="str">
        <x:f>IF(ISBLANK('Deal_Master_Wide'!$CB$17),"",'Deal_Master_Wide'!$CB$17)</x:f>
      </x:c>
      <x:c r="R105" s="54" t="str">
        <x:f>IF(ISBLANK('Deal_Master_Wide'!$CI$17),"",'Deal_Master_Wide'!$CI$17)</x:f>
      </x:c>
      <x:c r="S105" s="54" t="str">
        <x:f>IF(ISBLANK('Deal_Master_Wide'!$CP$17),"",'Deal_Master_Wide'!$CP$17)</x:f>
      </x:c>
      <x:c r="T105" s="54" t="str">
        <x:f>IF(ISBLANK('Deal_Master_Wide'!$CW$17),"",'Deal_Master_Wide'!$CW$17)</x:f>
      </x:c>
      <x:c r="U105" s="54" t="str">
        <x:f>IF(ISBLANK('Deal_Master_Wide'!$DD$17),"",'Deal_Master_Wide'!$DD$17)</x:f>
      </x:c>
      <x:c r="V105" s="56" t="str">
        <x:f>IF(ISBLANK('Deal_Master_Wide'!$DK$17),"",'Deal_Master_Wide'!$DK$17)</x:f>
      </x:c>
      <x:c r="W105" s="56" t="str">
        <x:f>IF(ISBLANK('Deal_Master_Wide'!$DR$17),"",'Deal_Master_Wide'!$DR$17)</x:f>
      </x:c>
      <x:c r="X105" s="56" t="str">
        <x:f>IF(ISBLANK('Deal_Master_Wide'!$DY$17),"",'Deal_Master_Wide'!$DY$17)</x:f>
      </x:c>
      <x:c r="Y105" s="54" t="str">
        <x:f>IF(ISBLANK('Deal_Master_Wide'!$EF$17),"",'Deal_Master_Wide'!$EF$17)</x:f>
      </x:c>
      <x:c r="Z105" s="54" t="str">
        <x:f>IF(ISBLANK('Deal_Master_Wide'!$EM$17),"",'Deal_Master_Wide'!$EM$17)</x:f>
      </x:c>
      <x:c r="AA105" s="52" t="str">
        <x:f>IF(ISBLANK('Deal_Master_Wide'!$AL$17),"",'Deal_Master_Wide'!$AL$17)</x:f>
        <x:v>Unknown</x:v>
      </x:c>
      <x:c r="AB105" s="54" t="n">
        <x:f>IF(ISBLANK('Deal_Master_Wide'!$AF$17),"",'Deal_Master_Wide'!$AF$17)</x:f>
        <x:v>435</x:v>
      </x:c>
      <x:c r="AC105" s="52" t="str">
        <x:f>IF(COUNT($P105,$Q105,$R105,$S105,$T105,$U105,$V105,$W105,$X105)=9,"Yes","No")</x:f>
        <x:v>No</x:v>
      </x:c>
      <x:c r="AD105" s="52" t="str">
        <x:f>IF(COUNT($Y105,$Z105)=2,"Yes","No")</x:f>
        <x:v>No</x:v>
      </x:c>
      <x:c r="AE105" s="50" t="str"/>
      <x:c r="AF105" t="str"/>
    </x:row>
    <x:row r="106" ht="20" customHeight="1">
      <x:c r="A106" s="50" t="str">
        <x:v>TRT-0015</x:v>
      </x:c>
      <x:c r="B106" s="50" t="str">
        <x:v>Candidate treatment group</x:v>
      </x:c>
      <x:c r="C106" s="52" t="str">
        <x:f>IF('Deal_Master_Wide'!$AU$17="","",'Deal_Master_Wide'!$AU$17)</x:f>
        <x:v>Not reviewed</x:v>
      </x:c>
      <x:c r="D106" s="52" t="str">
        <x:f>IF('Deal_Master_Wide'!$AV$17="","",'Deal_Master_Wide'!$AV$17)</x:f>
        <x:v>Not assessed</x:v>
      </x:c>
      <x:c r="E106" s="50" t="n">
        <x:v>1</x:v>
      </x:c>
      <x:c r="F106" s="52" t="str">
        <x:f>IF(OR($C106="High-confidence innovation-driven",$C106="Medium-confidence innovation-driven"),1,IF($C106="Clear alternative-rationale",0,""))</x:f>
      </x:c>
      <x:c r="G106" s="52" t="str">
        <x:f>IF('Deal_Master_Wide'!$M$17="","",'Deal_Master_Wide'!$M$17)</x:f>
        <x:v>Review</x:v>
      </x:c>
      <x:c r="H106" s="50" t="str">
        <x:v>Boston Scientific Corp</x:v>
      </x:c>
      <x:c r="I106" s="50" t="str">
        <x:v>Symetis SA (Inactive)</x:v>
      </x:c>
      <x:c r="J106" s="50" t="n">
        <x:v>2017</x:v>
      </x:c>
      <x:c r="K106" s="50" t="n">
        <x:v>3</x:v>
      </x:c>
      <x:c r="L106" s="50" t="n">
        <x:v>2020</x:v>
      </x:c>
      <x:c r="M106" s="50" t="n">
        <x:v>1</x:v>
      </x:c>
      <x:c r="N106" s="50" t="n">
        <x:v>1</x:v>
      </x:c>
      <x:c r="O106" s="52" t="str">
        <x:f>IF($F106="","",$F106*$M106)</x:f>
      </x:c>
      <x:c r="P106" s="54" t="str">
        <x:f>IF(ISBLANK('Deal_Master_Wide'!$BV$17),"",'Deal_Master_Wide'!$BV$17)</x:f>
      </x:c>
      <x:c r="Q106" s="54" t="str">
        <x:f>IF(ISBLANK('Deal_Master_Wide'!$CC$17),"",'Deal_Master_Wide'!$CC$17)</x:f>
      </x:c>
      <x:c r="R106" s="54" t="str">
        <x:f>IF(ISBLANK('Deal_Master_Wide'!$CJ$17),"",'Deal_Master_Wide'!$CJ$17)</x:f>
      </x:c>
      <x:c r="S106" s="54" t="str">
        <x:f>IF(ISBLANK('Deal_Master_Wide'!$CQ$17),"",'Deal_Master_Wide'!$CQ$17)</x:f>
      </x:c>
      <x:c r="T106" s="54" t="str">
        <x:f>IF(ISBLANK('Deal_Master_Wide'!$CX$17),"",'Deal_Master_Wide'!$CX$17)</x:f>
      </x:c>
      <x:c r="U106" s="54" t="str">
        <x:f>IF(ISBLANK('Deal_Master_Wide'!$DE$17),"",'Deal_Master_Wide'!$DE$17)</x:f>
      </x:c>
      <x:c r="V106" s="56" t="str">
        <x:f>IF(ISBLANK('Deal_Master_Wide'!$DL$17),"",'Deal_Master_Wide'!$DL$17)</x:f>
      </x:c>
      <x:c r="W106" s="56" t="str">
        <x:f>IF(ISBLANK('Deal_Master_Wide'!$DS$17),"",'Deal_Master_Wide'!$DS$17)</x:f>
      </x:c>
      <x:c r="X106" s="56" t="str">
        <x:f>IF(ISBLANK('Deal_Master_Wide'!$DZ$17),"",'Deal_Master_Wide'!$DZ$17)</x:f>
      </x:c>
      <x:c r="Y106" s="54" t="str">
        <x:f>IF(ISBLANK('Deal_Master_Wide'!$EG$17),"",'Deal_Master_Wide'!$EG$17)</x:f>
      </x:c>
      <x:c r="Z106" s="54" t="str">
        <x:f>IF(ISBLANK('Deal_Master_Wide'!$EN$17),"",'Deal_Master_Wide'!$EN$17)</x:f>
      </x:c>
      <x:c r="AA106" s="52" t="str">
        <x:f>IF(ISBLANK('Deal_Master_Wide'!$AL$17),"",'Deal_Master_Wide'!$AL$17)</x:f>
        <x:v>Unknown</x:v>
      </x:c>
      <x:c r="AB106" s="54" t="n">
        <x:f>IF(ISBLANK('Deal_Master_Wide'!$AF$17),"",'Deal_Master_Wide'!$AF$17)</x:f>
        <x:v>435</x:v>
      </x:c>
      <x:c r="AC106" s="52" t="str">
        <x:f>IF(COUNT($P106,$Q106,$R106,$S106,$T106,$U106,$V106,$W106,$X106)=9,"Yes","No")</x:f>
        <x:v>No</x:v>
      </x:c>
      <x:c r="AD106" s="52" t="str">
        <x:f>IF(COUNT($Y106,$Z106)=2,"Yes","No")</x:f>
        <x:v>No</x:v>
      </x:c>
      <x:c r="AE106" s="50" t="str"/>
      <x:c r="AF106" t="str"/>
    </x:row>
    <x:row r="107" ht="20" customHeight="1">
      <x:c r="A107" s="50" t="str">
        <x:v>TRT-0016</x:v>
      </x:c>
      <x:c r="B107" s="50" t="str">
        <x:v>Candidate treatment group</x:v>
      </x:c>
      <x:c r="C107" s="52" t="str">
        <x:f>IF('Deal_Master_Wide'!$AU$18="","",'Deal_Master_Wide'!$AU$18)</x:f>
        <x:v>Not reviewed</x:v>
      </x:c>
      <x:c r="D107" s="52" t="str">
        <x:f>IF('Deal_Master_Wide'!$AV$18="","",'Deal_Master_Wide'!$AV$18)</x:f>
        <x:v>Not assessed</x:v>
      </x:c>
      <x:c r="E107" s="50" t="n">
        <x:v>1</x:v>
      </x:c>
      <x:c r="F107" s="52" t="str">
        <x:f>IF(OR($C107="High-confidence innovation-driven",$C107="Medium-confidence innovation-driven"),1,IF($C107="Clear alternative-rationale",0,""))</x:f>
      </x:c>
      <x:c r="G107" s="52" t="str">
        <x:f>IF('Deal_Master_Wide'!$M$18="","",'Deal_Master_Wide'!$M$18)</x:f>
        <x:v>Review</x:v>
      </x:c>
      <x:c r="H107" s="50" t="str">
        <x:v>BioLineRx Ltd</x:v>
      </x:c>
      <x:c r="I107" s="50" t="str">
        <x:v>Agalimmune Ltd</x:v>
      </x:c>
      <x:c r="J107" s="50" t="n">
        <x:v>2017</x:v>
      </x:c>
      <x:c r="K107" s="50" t="n">
        <x:v>-3</x:v>
      </x:c>
      <x:c r="L107" s="50" t="n">
        <x:v>2014</x:v>
      </x:c>
      <x:c r="M107" s="50" t="n">
        <x:v>0</x:v>
      </x:c>
      <x:c r="N107" s="50" t="n">
        <x:v>0</x:v>
      </x:c>
      <x:c r="O107" s="52" t="str">
        <x:f>IF($F107="","",$F107*$M107)</x:f>
      </x:c>
      <x:c r="P107" s="54" t="str">
        <x:f>IF(ISBLANK('Deal_Master_Wide'!$BP$18),"",'Deal_Master_Wide'!$BP$18)</x:f>
      </x:c>
      <x:c r="Q107" s="54" t="str">
        <x:f>IF(ISBLANK('Deal_Master_Wide'!$BW$18),"",'Deal_Master_Wide'!$BW$18)</x:f>
      </x:c>
      <x:c r="R107" s="54" t="str">
        <x:f>IF(ISBLANK('Deal_Master_Wide'!$CD$18),"",'Deal_Master_Wide'!$CD$18)</x:f>
      </x:c>
      <x:c r="S107" s="54" t="str">
        <x:f>IF(ISBLANK('Deal_Master_Wide'!$CK$18),"",'Deal_Master_Wide'!$CK$18)</x:f>
      </x:c>
      <x:c r="T107" s="54" t="str">
        <x:f>IF(ISBLANK('Deal_Master_Wide'!$CR$18),"",'Deal_Master_Wide'!$CR$18)</x:f>
      </x:c>
      <x:c r="U107" s="54" t="str">
        <x:f>IF(ISBLANK('Deal_Master_Wide'!$CY$18),"",'Deal_Master_Wide'!$CY$18)</x:f>
      </x:c>
      <x:c r="V107" s="56" t="str">
        <x:f>IF(ISBLANK('Deal_Master_Wide'!$DF$18),"",'Deal_Master_Wide'!$DF$18)</x:f>
      </x:c>
      <x:c r="W107" s="56" t="str">
        <x:f>IF(ISBLANK('Deal_Master_Wide'!$DM$18),"",'Deal_Master_Wide'!$DM$18)</x:f>
      </x:c>
      <x:c r="X107" s="56" t="str">
        <x:f>IF(ISBLANK('Deal_Master_Wide'!$DT$18),"",'Deal_Master_Wide'!$DT$18)</x:f>
      </x:c>
      <x:c r="Y107" s="54" t="str">
        <x:f>IF(ISBLANK('Deal_Master_Wide'!$EA$18),"",'Deal_Master_Wide'!$EA$18)</x:f>
      </x:c>
      <x:c r="Z107" s="54" t="str">
        <x:f>IF(ISBLANK('Deal_Master_Wide'!$EH$18),"",'Deal_Master_Wide'!$EH$18)</x:f>
      </x:c>
      <x:c r="AA107" s="52" t="str">
        <x:f>IF(ISBLANK('Deal_Master_Wide'!$AL$18),"",'Deal_Master_Wide'!$AL$18)</x:f>
        <x:v>Unknown</x:v>
      </x:c>
      <x:c r="AB107" s="54" t="n">
        <x:f>IF(ISBLANK('Deal_Master_Wide'!$AF$18),"",'Deal_Master_Wide'!$AF$18)</x:f>
        <x:v>6</x:v>
      </x:c>
      <x:c r="AC107" s="52" t="str">
        <x:f>IF(COUNT($P107,$Q107,$R107,$S107,$T107,$U107,$V107,$W107,$X107)=9,"Yes","No")</x:f>
        <x:v>No</x:v>
      </x:c>
      <x:c r="AD107" s="52" t="str">
        <x:f>IF(COUNT($Y107,$Z107)=2,"Yes","No")</x:f>
        <x:v>No</x:v>
      </x:c>
      <x:c r="AE107" s="50" t="str"/>
      <x:c r="AF107" t="str"/>
    </x:row>
    <x:row r="108" ht="20" customHeight="1">
      <x:c r="A108" s="50" t="str">
        <x:v>TRT-0016</x:v>
      </x:c>
      <x:c r="B108" s="50" t="str">
        <x:v>Candidate treatment group</x:v>
      </x:c>
      <x:c r="C108" s="52" t="str">
        <x:f>IF('Deal_Master_Wide'!$AU$18="","",'Deal_Master_Wide'!$AU$18)</x:f>
        <x:v>Not reviewed</x:v>
      </x:c>
      <x:c r="D108" s="52" t="str">
        <x:f>IF('Deal_Master_Wide'!$AV$18="","",'Deal_Master_Wide'!$AV$18)</x:f>
        <x:v>Not assessed</x:v>
      </x:c>
      <x:c r="E108" s="50" t="n">
        <x:v>1</x:v>
      </x:c>
      <x:c r="F108" s="52" t="str">
        <x:f>IF(OR($C108="High-confidence innovation-driven",$C108="Medium-confidence innovation-driven"),1,IF($C108="Clear alternative-rationale",0,""))</x:f>
      </x:c>
      <x:c r="G108" s="52" t="str">
        <x:f>IF('Deal_Master_Wide'!$M$18="","",'Deal_Master_Wide'!$M$18)</x:f>
        <x:v>Review</x:v>
      </x:c>
      <x:c r="H108" s="50" t="str">
        <x:v>BioLineRx Ltd</x:v>
      </x:c>
      <x:c r="I108" s="50" t="str">
        <x:v>Agalimmune Ltd</x:v>
      </x:c>
      <x:c r="J108" s="50" t="n">
        <x:v>2017</x:v>
      </x:c>
      <x:c r="K108" s="50" t="n">
        <x:v>-2</x:v>
      </x:c>
      <x:c r="L108" s="50" t="n">
        <x:v>2015</x:v>
      </x:c>
      <x:c r="M108" s="50" t="n">
        <x:v>0</x:v>
      </x:c>
      <x:c r="N108" s="50" t="n">
        <x:v>0</x:v>
      </x:c>
      <x:c r="O108" s="52" t="str">
        <x:f>IF($F108="","",$F108*$M108)</x:f>
      </x:c>
      <x:c r="P108" s="54" t="str">
        <x:f>IF(ISBLANK('Deal_Master_Wide'!$BQ$18),"",'Deal_Master_Wide'!$BQ$18)</x:f>
      </x:c>
      <x:c r="Q108" s="54" t="str">
        <x:f>IF(ISBLANK('Deal_Master_Wide'!$BX$18),"",'Deal_Master_Wide'!$BX$18)</x:f>
      </x:c>
      <x:c r="R108" s="54" t="str">
        <x:f>IF(ISBLANK('Deal_Master_Wide'!$CE$18),"",'Deal_Master_Wide'!$CE$18)</x:f>
      </x:c>
      <x:c r="S108" s="54" t="str">
        <x:f>IF(ISBLANK('Deal_Master_Wide'!$CL$18),"",'Deal_Master_Wide'!$CL$18)</x:f>
      </x:c>
      <x:c r="T108" s="54" t="str">
        <x:f>IF(ISBLANK('Deal_Master_Wide'!$CS$18),"",'Deal_Master_Wide'!$CS$18)</x:f>
      </x:c>
      <x:c r="U108" s="54" t="str">
        <x:f>IF(ISBLANK('Deal_Master_Wide'!$CZ$18),"",'Deal_Master_Wide'!$CZ$18)</x:f>
      </x:c>
      <x:c r="V108" s="56" t="str">
        <x:f>IF(ISBLANK('Deal_Master_Wide'!$DG$18),"",'Deal_Master_Wide'!$DG$18)</x:f>
      </x:c>
      <x:c r="W108" s="56" t="str">
        <x:f>IF(ISBLANK('Deal_Master_Wide'!$DN$18),"",'Deal_Master_Wide'!$DN$18)</x:f>
      </x:c>
      <x:c r="X108" s="56" t="str">
        <x:f>IF(ISBLANK('Deal_Master_Wide'!$DU$18),"",'Deal_Master_Wide'!$DU$18)</x:f>
      </x:c>
      <x:c r="Y108" s="54" t="str">
        <x:f>IF(ISBLANK('Deal_Master_Wide'!$EB$18),"",'Deal_Master_Wide'!$EB$18)</x:f>
      </x:c>
      <x:c r="Z108" s="54" t="str">
        <x:f>IF(ISBLANK('Deal_Master_Wide'!$EI$18),"",'Deal_Master_Wide'!$EI$18)</x:f>
      </x:c>
      <x:c r="AA108" s="52" t="str">
        <x:f>IF(ISBLANK('Deal_Master_Wide'!$AL$18),"",'Deal_Master_Wide'!$AL$18)</x:f>
        <x:v>Unknown</x:v>
      </x:c>
      <x:c r="AB108" s="54" t="n">
        <x:f>IF(ISBLANK('Deal_Master_Wide'!$AF$18),"",'Deal_Master_Wide'!$AF$18)</x:f>
        <x:v>6</x:v>
      </x:c>
      <x:c r="AC108" s="52" t="str">
        <x:f>IF(COUNT($P108,$Q108,$R108,$S108,$T108,$U108,$V108,$W108,$X108)=9,"Yes","No")</x:f>
        <x:v>No</x:v>
      </x:c>
      <x:c r="AD108" s="52" t="str">
        <x:f>IF(COUNT($Y108,$Z108)=2,"Yes","No")</x:f>
        <x:v>No</x:v>
      </x:c>
      <x:c r="AE108" s="50" t="str"/>
      <x:c r="AF108" t="str"/>
    </x:row>
    <x:row r="109" ht="20" customHeight="1">
      <x:c r="A109" s="50" t="str">
        <x:v>TRT-0016</x:v>
      </x:c>
      <x:c r="B109" s="50" t="str">
        <x:v>Candidate treatment group</x:v>
      </x:c>
      <x:c r="C109" s="52" t="str">
        <x:f>IF('Deal_Master_Wide'!$AU$18="","",'Deal_Master_Wide'!$AU$18)</x:f>
        <x:v>Not reviewed</x:v>
      </x:c>
      <x:c r="D109" s="52" t="str">
        <x:f>IF('Deal_Master_Wide'!$AV$18="","",'Deal_Master_Wide'!$AV$18)</x:f>
        <x:v>Not assessed</x:v>
      </x:c>
      <x:c r="E109" s="50" t="n">
        <x:v>1</x:v>
      </x:c>
      <x:c r="F109" s="52" t="str">
        <x:f>IF(OR($C109="High-confidence innovation-driven",$C109="Medium-confidence innovation-driven"),1,IF($C109="Clear alternative-rationale",0,""))</x:f>
      </x:c>
      <x:c r="G109" s="52" t="str">
        <x:f>IF('Deal_Master_Wide'!$M$18="","",'Deal_Master_Wide'!$M$18)</x:f>
        <x:v>Review</x:v>
      </x:c>
      <x:c r="H109" s="50" t="str">
        <x:v>BioLineRx Ltd</x:v>
      </x:c>
      <x:c r="I109" s="50" t="str">
        <x:v>Agalimmune Ltd</x:v>
      </x:c>
      <x:c r="J109" s="50" t="n">
        <x:v>2017</x:v>
      </x:c>
      <x:c r="K109" s="50" t="n">
        <x:v>-1</x:v>
      </x:c>
      <x:c r="L109" s="50" t="n">
        <x:v>2016</x:v>
      </x:c>
      <x:c r="M109" s="50" t="n">
        <x:v>0</x:v>
      </x:c>
      <x:c r="N109" s="50" t="n">
        <x:v>0</x:v>
      </x:c>
      <x:c r="O109" s="52" t="str">
        <x:f>IF($F109="","",$F109*$M109)</x:f>
      </x:c>
      <x:c r="P109" s="54" t="str">
        <x:f>IF(ISBLANK('Deal_Master_Wide'!$BR$18),"",'Deal_Master_Wide'!$BR$18)</x:f>
      </x:c>
      <x:c r="Q109" s="54" t="str">
        <x:f>IF(ISBLANK('Deal_Master_Wide'!$BY$18),"",'Deal_Master_Wide'!$BY$18)</x:f>
      </x:c>
      <x:c r="R109" s="54" t="str">
        <x:f>IF(ISBLANK('Deal_Master_Wide'!$CF$18),"",'Deal_Master_Wide'!$CF$18)</x:f>
      </x:c>
      <x:c r="S109" s="54" t="str">
        <x:f>IF(ISBLANK('Deal_Master_Wide'!$CM$18),"",'Deal_Master_Wide'!$CM$18)</x:f>
      </x:c>
      <x:c r="T109" s="54" t="str">
        <x:f>IF(ISBLANK('Deal_Master_Wide'!$CT$18),"",'Deal_Master_Wide'!$CT$18)</x:f>
      </x:c>
      <x:c r="U109" s="54" t="str">
        <x:f>IF(ISBLANK('Deal_Master_Wide'!$DA$18),"",'Deal_Master_Wide'!$DA$18)</x:f>
      </x:c>
      <x:c r="V109" s="56" t="str">
        <x:f>IF(ISBLANK('Deal_Master_Wide'!$DH$18),"",'Deal_Master_Wide'!$DH$18)</x:f>
      </x:c>
      <x:c r="W109" s="56" t="str">
        <x:f>IF(ISBLANK('Deal_Master_Wide'!$DO$18),"",'Deal_Master_Wide'!$DO$18)</x:f>
      </x:c>
      <x:c r="X109" s="56" t="str">
        <x:f>IF(ISBLANK('Deal_Master_Wide'!$DV$18),"",'Deal_Master_Wide'!$DV$18)</x:f>
      </x:c>
      <x:c r="Y109" s="54" t="str">
        <x:f>IF(ISBLANK('Deal_Master_Wide'!$EC$18),"",'Deal_Master_Wide'!$EC$18)</x:f>
      </x:c>
      <x:c r="Z109" s="54" t="str">
        <x:f>IF(ISBLANK('Deal_Master_Wide'!$EJ$18),"",'Deal_Master_Wide'!$EJ$18)</x:f>
      </x:c>
      <x:c r="AA109" s="52" t="str">
        <x:f>IF(ISBLANK('Deal_Master_Wide'!$AL$18),"",'Deal_Master_Wide'!$AL$18)</x:f>
        <x:v>Unknown</x:v>
      </x:c>
      <x:c r="AB109" s="54" t="n">
        <x:f>IF(ISBLANK('Deal_Master_Wide'!$AF$18),"",'Deal_Master_Wide'!$AF$18)</x:f>
        <x:v>6</x:v>
      </x:c>
      <x:c r="AC109" s="52" t="str">
        <x:f>IF(COUNT($P109,$Q109,$R109,$S109,$T109,$U109,$V109,$W109,$X109)=9,"Yes","No")</x:f>
        <x:v>No</x:v>
      </x:c>
      <x:c r="AD109" s="52" t="str">
        <x:f>IF(COUNT($Y109,$Z109)=2,"Yes","No")</x:f>
        <x:v>No</x:v>
      </x:c>
      <x:c r="AE109" s="50" t="str"/>
      <x:c r="AF109" t="str"/>
    </x:row>
    <x:row r="110" ht="20" customHeight="1">
      <x:c r="A110" s="50" t="str">
        <x:v>TRT-0016</x:v>
      </x:c>
      <x:c r="B110" s="50" t="str">
        <x:v>Candidate treatment group</x:v>
      </x:c>
      <x:c r="C110" s="52" t="str">
        <x:f>IF('Deal_Master_Wide'!$AU$18="","",'Deal_Master_Wide'!$AU$18)</x:f>
        <x:v>Not reviewed</x:v>
      </x:c>
      <x:c r="D110" s="52" t="str">
        <x:f>IF('Deal_Master_Wide'!$AV$18="","",'Deal_Master_Wide'!$AV$18)</x:f>
        <x:v>Not assessed</x:v>
      </x:c>
      <x:c r="E110" s="50" t="n">
        <x:v>1</x:v>
      </x:c>
      <x:c r="F110" s="52" t="str">
        <x:f>IF(OR($C110="High-confidence innovation-driven",$C110="Medium-confidence innovation-driven"),1,IF($C110="Clear alternative-rationale",0,""))</x:f>
      </x:c>
      <x:c r="G110" s="52" t="str">
        <x:f>IF('Deal_Master_Wide'!$M$18="","",'Deal_Master_Wide'!$M$18)</x:f>
        <x:v>Review</x:v>
      </x:c>
      <x:c r="H110" s="50" t="str">
        <x:v>BioLineRx Ltd</x:v>
      </x:c>
      <x:c r="I110" s="50" t="str">
        <x:v>Agalimmune Ltd</x:v>
      </x:c>
      <x:c r="J110" s="50" t="n">
        <x:v>2017</x:v>
      </x:c>
      <x:c r="K110" s="50" t="n">
        <x:v>0</x:v>
      </x:c>
      <x:c r="L110" s="50" t="n">
        <x:v>2017</x:v>
      </x:c>
      <x:c r="M110" s="50" t="n">
        <x:v>0</x:v>
      </x:c>
      <x:c r="N110" s="50" t="n">
        <x:v>1</x:v>
      </x:c>
      <x:c r="O110" s="52" t="str">
        <x:f>IF($F110="","",$F110*$M110)</x:f>
      </x:c>
      <x:c r="P110" s="54" t="str">
        <x:f>IF(ISBLANK('Deal_Master_Wide'!$BS$18),"",'Deal_Master_Wide'!$BS$18)</x:f>
      </x:c>
      <x:c r="Q110" s="54" t="str">
        <x:f>IF(ISBLANK('Deal_Master_Wide'!$BZ$18),"",'Deal_Master_Wide'!$BZ$18)</x:f>
      </x:c>
      <x:c r="R110" s="54" t="str">
        <x:f>IF(ISBLANK('Deal_Master_Wide'!$CG$18),"",'Deal_Master_Wide'!$CG$18)</x:f>
      </x:c>
      <x:c r="S110" s="54" t="str">
        <x:f>IF(ISBLANK('Deal_Master_Wide'!$CN$18),"",'Deal_Master_Wide'!$CN$18)</x:f>
      </x:c>
      <x:c r="T110" s="54" t="str">
        <x:f>IF(ISBLANK('Deal_Master_Wide'!$CU$18),"",'Deal_Master_Wide'!$CU$18)</x:f>
      </x:c>
      <x:c r="U110" s="54" t="str">
        <x:f>IF(ISBLANK('Deal_Master_Wide'!$DB$18),"",'Deal_Master_Wide'!$DB$18)</x:f>
      </x:c>
      <x:c r="V110" s="56" t="str">
        <x:f>IF(ISBLANK('Deal_Master_Wide'!$DI$18),"",'Deal_Master_Wide'!$DI$18)</x:f>
      </x:c>
      <x:c r="W110" s="56" t="str">
        <x:f>IF(ISBLANK('Deal_Master_Wide'!$DP$18),"",'Deal_Master_Wide'!$DP$18)</x:f>
      </x:c>
      <x:c r="X110" s="56" t="str">
        <x:f>IF(ISBLANK('Deal_Master_Wide'!$DW$18),"",'Deal_Master_Wide'!$DW$18)</x:f>
      </x:c>
      <x:c r="Y110" s="54" t="str">
        <x:f>IF(ISBLANK('Deal_Master_Wide'!$ED$18),"",'Deal_Master_Wide'!$ED$18)</x:f>
      </x:c>
      <x:c r="Z110" s="54" t="str">
        <x:f>IF(ISBLANK('Deal_Master_Wide'!$EK$18),"",'Deal_Master_Wide'!$EK$18)</x:f>
      </x:c>
      <x:c r="AA110" s="52" t="str">
        <x:f>IF(ISBLANK('Deal_Master_Wide'!$AL$18),"",'Deal_Master_Wide'!$AL$18)</x:f>
        <x:v>Unknown</x:v>
      </x:c>
      <x:c r="AB110" s="54" t="n">
        <x:f>IF(ISBLANK('Deal_Master_Wide'!$AF$18),"",'Deal_Master_Wide'!$AF$18)</x:f>
        <x:v>6</x:v>
      </x:c>
      <x:c r="AC110" s="52" t="str">
        <x:f>IF(COUNT($P110,$Q110,$R110,$S110,$T110,$U110,$V110,$W110,$X110)=9,"Yes","No")</x:f>
        <x:v>No</x:v>
      </x:c>
      <x:c r="AD110" s="52" t="str">
        <x:f>IF(COUNT($Y110,$Z110)=2,"Yes","No")</x:f>
        <x:v>No</x:v>
      </x:c>
      <x:c r="AE110" s="50" t="str"/>
      <x:c r="AF110" t="str"/>
    </x:row>
    <x:row r="111" ht="20" customHeight="1">
      <x:c r="A111" s="50" t="str">
        <x:v>TRT-0016</x:v>
      </x:c>
      <x:c r="B111" s="50" t="str">
        <x:v>Candidate treatment group</x:v>
      </x:c>
      <x:c r="C111" s="52" t="str">
        <x:f>IF('Deal_Master_Wide'!$AU$18="","",'Deal_Master_Wide'!$AU$18)</x:f>
        <x:v>Not reviewed</x:v>
      </x:c>
      <x:c r="D111" s="52" t="str">
        <x:f>IF('Deal_Master_Wide'!$AV$18="","",'Deal_Master_Wide'!$AV$18)</x:f>
        <x:v>Not assessed</x:v>
      </x:c>
      <x:c r="E111" s="50" t="n">
        <x:v>1</x:v>
      </x:c>
      <x:c r="F111" s="52" t="str">
        <x:f>IF(OR($C111="High-confidence innovation-driven",$C111="Medium-confidence innovation-driven"),1,IF($C111="Clear alternative-rationale",0,""))</x:f>
      </x:c>
      <x:c r="G111" s="52" t="str">
        <x:f>IF('Deal_Master_Wide'!$M$18="","",'Deal_Master_Wide'!$M$18)</x:f>
        <x:v>Review</x:v>
      </x:c>
      <x:c r="H111" s="50" t="str">
        <x:v>BioLineRx Ltd</x:v>
      </x:c>
      <x:c r="I111" s="50" t="str">
        <x:v>Agalimmune Ltd</x:v>
      </x:c>
      <x:c r="J111" s="50" t="n">
        <x:v>2017</x:v>
      </x:c>
      <x:c r="K111" s="50" t="n">
        <x:v>1</x:v>
      </x:c>
      <x:c r="L111" s="50" t="n">
        <x:v>2018</x:v>
      </x:c>
      <x:c r="M111" s="50" t="n">
        <x:v>1</x:v>
      </x:c>
      <x:c r="N111" s="50" t="n">
        <x:v>1</x:v>
      </x:c>
      <x:c r="O111" s="52" t="str">
        <x:f>IF($F111="","",$F111*$M111)</x:f>
      </x:c>
      <x:c r="P111" s="54" t="str">
        <x:f>IF(ISBLANK('Deal_Master_Wide'!$BT$18),"",'Deal_Master_Wide'!$BT$18)</x:f>
      </x:c>
      <x:c r="Q111" s="54" t="str">
        <x:f>IF(ISBLANK('Deal_Master_Wide'!$CA$18),"",'Deal_Master_Wide'!$CA$18)</x:f>
      </x:c>
      <x:c r="R111" s="54" t="str">
        <x:f>IF(ISBLANK('Deal_Master_Wide'!$CH$18),"",'Deal_Master_Wide'!$CH$18)</x:f>
      </x:c>
      <x:c r="S111" s="54" t="str">
        <x:f>IF(ISBLANK('Deal_Master_Wide'!$CO$18),"",'Deal_Master_Wide'!$CO$18)</x:f>
      </x:c>
      <x:c r="T111" s="54" t="str">
        <x:f>IF(ISBLANK('Deal_Master_Wide'!$CV$18),"",'Deal_Master_Wide'!$CV$18)</x:f>
      </x:c>
      <x:c r="U111" s="54" t="str">
        <x:f>IF(ISBLANK('Deal_Master_Wide'!$DC$18),"",'Deal_Master_Wide'!$DC$18)</x:f>
      </x:c>
      <x:c r="V111" s="56" t="str">
        <x:f>IF(ISBLANK('Deal_Master_Wide'!$DJ$18),"",'Deal_Master_Wide'!$DJ$18)</x:f>
      </x:c>
      <x:c r="W111" s="56" t="str">
        <x:f>IF(ISBLANK('Deal_Master_Wide'!$DQ$18),"",'Deal_Master_Wide'!$DQ$18)</x:f>
      </x:c>
      <x:c r="X111" s="56" t="str">
        <x:f>IF(ISBLANK('Deal_Master_Wide'!$DX$18),"",'Deal_Master_Wide'!$DX$18)</x:f>
      </x:c>
      <x:c r="Y111" s="54" t="str">
        <x:f>IF(ISBLANK('Deal_Master_Wide'!$EE$18),"",'Deal_Master_Wide'!$EE$18)</x:f>
      </x:c>
      <x:c r="Z111" s="54" t="str">
        <x:f>IF(ISBLANK('Deal_Master_Wide'!$EL$18),"",'Deal_Master_Wide'!$EL$18)</x:f>
      </x:c>
      <x:c r="AA111" s="52" t="str">
        <x:f>IF(ISBLANK('Deal_Master_Wide'!$AL$18),"",'Deal_Master_Wide'!$AL$18)</x:f>
        <x:v>Unknown</x:v>
      </x:c>
      <x:c r="AB111" s="54" t="n">
        <x:f>IF(ISBLANK('Deal_Master_Wide'!$AF$18),"",'Deal_Master_Wide'!$AF$18)</x:f>
        <x:v>6</x:v>
      </x:c>
      <x:c r="AC111" s="52" t="str">
        <x:f>IF(COUNT($P111,$Q111,$R111,$S111,$T111,$U111,$V111,$W111,$X111)=9,"Yes","No")</x:f>
        <x:v>No</x:v>
      </x:c>
      <x:c r="AD111" s="52" t="str">
        <x:f>IF(COUNT($Y111,$Z111)=2,"Yes","No")</x:f>
        <x:v>No</x:v>
      </x:c>
      <x:c r="AE111" s="50" t="str"/>
      <x:c r="AF111" t="str"/>
    </x:row>
    <x:row r="112" ht="20" customHeight="1">
      <x:c r="A112" s="50" t="str">
        <x:v>TRT-0016</x:v>
      </x:c>
      <x:c r="B112" s="50" t="str">
        <x:v>Candidate treatment group</x:v>
      </x:c>
      <x:c r="C112" s="52" t="str">
        <x:f>IF('Deal_Master_Wide'!$AU$18="","",'Deal_Master_Wide'!$AU$18)</x:f>
        <x:v>Not reviewed</x:v>
      </x:c>
      <x:c r="D112" s="52" t="str">
        <x:f>IF('Deal_Master_Wide'!$AV$18="","",'Deal_Master_Wide'!$AV$18)</x:f>
        <x:v>Not assessed</x:v>
      </x:c>
      <x:c r="E112" s="50" t="n">
        <x:v>1</x:v>
      </x:c>
      <x:c r="F112" s="52" t="str">
        <x:f>IF(OR($C112="High-confidence innovation-driven",$C112="Medium-confidence innovation-driven"),1,IF($C112="Clear alternative-rationale",0,""))</x:f>
      </x:c>
      <x:c r="G112" s="52" t="str">
        <x:f>IF('Deal_Master_Wide'!$M$18="","",'Deal_Master_Wide'!$M$18)</x:f>
        <x:v>Review</x:v>
      </x:c>
      <x:c r="H112" s="50" t="str">
        <x:v>BioLineRx Ltd</x:v>
      </x:c>
      <x:c r="I112" s="50" t="str">
        <x:v>Agalimmune Ltd</x:v>
      </x:c>
      <x:c r="J112" s="50" t="n">
        <x:v>2017</x:v>
      </x:c>
      <x:c r="K112" s="50" t="n">
        <x:v>2</x:v>
      </x:c>
      <x:c r="L112" s="50" t="n">
        <x:v>2019</x:v>
      </x:c>
      <x:c r="M112" s="50" t="n">
        <x:v>1</x:v>
      </x:c>
      <x:c r="N112" s="50" t="n">
        <x:v>1</x:v>
      </x:c>
      <x:c r="O112" s="52" t="str">
        <x:f>IF($F112="","",$F112*$M112)</x:f>
      </x:c>
      <x:c r="P112" s="54" t="str">
        <x:f>IF(ISBLANK('Deal_Master_Wide'!$BU$18),"",'Deal_Master_Wide'!$BU$18)</x:f>
      </x:c>
      <x:c r="Q112" s="54" t="str">
        <x:f>IF(ISBLANK('Deal_Master_Wide'!$CB$18),"",'Deal_Master_Wide'!$CB$18)</x:f>
      </x:c>
      <x:c r="R112" s="54" t="str">
        <x:f>IF(ISBLANK('Deal_Master_Wide'!$CI$18),"",'Deal_Master_Wide'!$CI$18)</x:f>
      </x:c>
      <x:c r="S112" s="54" t="str">
        <x:f>IF(ISBLANK('Deal_Master_Wide'!$CP$18),"",'Deal_Master_Wide'!$CP$18)</x:f>
      </x:c>
      <x:c r="T112" s="54" t="str">
        <x:f>IF(ISBLANK('Deal_Master_Wide'!$CW$18),"",'Deal_Master_Wide'!$CW$18)</x:f>
      </x:c>
      <x:c r="U112" s="54" t="str">
        <x:f>IF(ISBLANK('Deal_Master_Wide'!$DD$18),"",'Deal_Master_Wide'!$DD$18)</x:f>
      </x:c>
      <x:c r="V112" s="56" t="str">
        <x:f>IF(ISBLANK('Deal_Master_Wide'!$DK$18),"",'Deal_Master_Wide'!$DK$18)</x:f>
      </x:c>
      <x:c r="W112" s="56" t="str">
        <x:f>IF(ISBLANK('Deal_Master_Wide'!$DR$18),"",'Deal_Master_Wide'!$DR$18)</x:f>
      </x:c>
      <x:c r="X112" s="56" t="str">
        <x:f>IF(ISBLANK('Deal_Master_Wide'!$DY$18),"",'Deal_Master_Wide'!$DY$18)</x:f>
      </x:c>
      <x:c r="Y112" s="54" t="str">
        <x:f>IF(ISBLANK('Deal_Master_Wide'!$EF$18),"",'Deal_Master_Wide'!$EF$18)</x:f>
      </x:c>
      <x:c r="Z112" s="54" t="str">
        <x:f>IF(ISBLANK('Deal_Master_Wide'!$EM$18),"",'Deal_Master_Wide'!$EM$18)</x:f>
      </x:c>
      <x:c r="AA112" s="52" t="str">
        <x:f>IF(ISBLANK('Deal_Master_Wide'!$AL$18),"",'Deal_Master_Wide'!$AL$18)</x:f>
        <x:v>Unknown</x:v>
      </x:c>
      <x:c r="AB112" s="54" t="n">
        <x:f>IF(ISBLANK('Deal_Master_Wide'!$AF$18),"",'Deal_Master_Wide'!$AF$18)</x:f>
        <x:v>6</x:v>
      </x:c>
      <x:c r="AC112" s="52" t="str">
        <x:f>IF(COUNT($P112,$Q112,$R112,$S112,$T112,$U112,$V112,$W112,$X112)=9,"Yes","No")</x:f>
        <x:v>No</x:v>
      </x:c>
      <x:c r="AD112" s="52" t="str">
        <x:f>IF(COUNT($Y112,$Z112)=2,"Yes","No")</x:f>
        <x:v>No</x:v>
      </x:c>
      <x:c r="AE112" s="50" t="str"/>
      <x:c r="AF112" t="str"/>
    </x:row>
    <x:row r="113" ht="20" customHeight="1">
      <x:c r="A113" s="50" t="str">
        <x:v>TRT-0016</x:v>
      </x:c>
      <x:c r="B113" s="50" t="str">
        <x:v>Candidate treatment group</x:v>
      </x:c>
      <x:c r="C113" s="52" t="str">
        <x:f>IF('Deal_Master_Wide'!$AU$18="","",'Deal_Master_Wide'!$AU$18)</x:f>
        <x:v>Not reviewed</x:v>
      </x:c>
      <x:c r="D113" s="52" t="str">
        <x:f>IF('Deal_Master_Wide'!$AV$18="","",'Deal_Master_Wide'!$AV$18)</x:f>
        <x:v>Not assessed</x:v>
      </x:c>
      <x:c r="E113" s="50" t="n">
        <x:v>1</x:v>
      </x:c>
      <x:c r="F113" s="52" t="str">
        <x:f>IF(OR($C113="High-confidence innovation-driven",$C113="Medium-confidence innovation-driven"),1,IF($C113="Clear alternative-rationale",0,""))</x:f>
      </x:c>
      <x:c r="G113" s="52" t="str">
        <x:f>IF('Deal_Master_Wide'!$M$18="","",'Deal_Master_Wide'!$M$18)</x:f>
        <x:v>Review</x:v>
      </x:c>
      <x:c r="H113" s="50" t="str">
        <x:v>BioLineRx Ltd</x:v>
      </x:c>
      <x:c r="I113" s="50" t="str">
        <x:v>Agalimmune Ltd</x:v>
      </x:c>
      <x:c r="J113" s="50" t="n">
        <x:v>2017</x:v>
      </x:c>
      <x:c r="K113" s="50" t="n">
        <x:v>3</x:v>
      </x:c>
      <x:c r="L113" s="50" t="n">
        <x:v>2020</x:v>
      </x:c>
      <x:c r="M113" s="50" t="n">
        <x:v>1</x:v>
      </x:c>
      <x:c r="N113" s="50" t="n">
        <x:v>1</x:v>
      </x:c>
      <x:c r="O113" s="52" t="str">
        <x:f>IF($F113="","",$F113*$M113)</x:f>
      </x:c>
      <x:c r="P113" s="54" t="str">
        <x:f>IF(ISBLANK('Deal_Master_Wide'!$BV$18),"",'Deal_Master_Wide'!$BV$18)</x:f>
      </x:c>
      <x:c r="Q113" s="54" t="str">
        <x:f>IF(ISBLANK('Deal_Master_Wide'!$CC$18),"",'Deal_Master_Wide'!$CC$18)</x:f>
      </x:c>
      <x:c r="R113" s="54" t="str">
        <x:f>IF(ISBLANK('Deal_Master_Wide'!$CJ$18),"",'Deal_Master_Wide'!$CJ$18)</x:f>
      </x:c>
      <x:c r="S113" s="54" t="str">
        <x:f>IF(ISBLANK('Deal_Master_Wide'!$CQ$18),"",'Deal_Master_Wide'!$CQ$18)</x:f>
      </x:c>
      <x:c r="T113" s="54" t="str">
        <x:f>IF(ISBLANK('Deal_Master_Wide'!$CX$18),"",'Deal_Master_Wide'!$CX$18)</x:f>
      </x:c>
      <x:c r="U113" s="54" t="str">
        <x:f>IF(ISBLANK('Deal_Master_Wide'!$DE$18),"",'Deal_Master_Wide'!$DE$18)</x:f>
      </x:c>
      <x:c r="V113" s="56" t="str">
        <x:f>IF(ISBLANK('Deal_Master_Wide'!$DL$18),"",'Deal_Master_Wide'!$DL$18)</x:f>
      </x:c>
      <x:c r="W113" s="56" t="str">
        <x:f>IF(ISBLANK('Deal_Master_Wide'!$DS$18),"",'Deal_Master_Wide'!$DS$18)</x:f>
      </x:c>
      <x:c r="X113" s="56" t="str">
        <x:f>IF(ISBLANK('Deal_Master_Wide'!$DZ$18),"",'Deal_Master_Wide'!$DZ$18)</x:f>
      </x:c>
      <x:c r="Y113" s="54" t="str">
        <x:f>IF(ISBLANK('Deal_Master_Wide'!$EG$18),"",'Deal_Master_Wide'!$EG$18)</x:f>
      </x:c>
      <x:c r="Z113" s="54" t="str">
        <x:f>IF(ISBLANK('Deal_Master_Wide'!$EN$18),"",'Deal_Master_Wide'!$EN$18)</x:f>
      </x:c>
      <x:c r="AA113" s="52" t="str">
        <x:f>IF(ISBLANK('Deal_Master_Wide'!$AL$18),"",'Deal_Master_Wide'!$AL$18)</x:f>
        <x:v>Unknown</x:v>
      </x:c>
      <x:c r="AB113" s="54" t="n">
        <x:f>IF(ISBLANK('Deal_Master_Wide'!$AF$18),"",'Deal_Master_Wide'!$AF$18)</x:f>
        <x:v>6</x:v>
      </x:c>
      <x:c r="AC113" s="52" t="str">
        <x:f>IF(COUNT($P113,$Q113,$R113,$S113,$T113,$U113,$V113,$W113,$X113)=9,"Yes","No")</x:f>
        <x:v>No</x:v>
      </x:c>
      <x:c r="AD113" s="52" t="str">
        <x:f>IF(COUNT($Y113,$Z113)=2,"Yes","No")</x:f>
        <x:v>No</x:v>
      </x:c>
      <x:c r="AE113" s="50" t="str"/>
      <x:c r="AF113" t="str"/>
    </x:row>
    <x:row r="114" ht="20" customHeight="1">
      <x:c r="A114" s="50" t="str">
        <x:v>TRT-0017</x:v>
      </x:c>
      <x:c r="B114" s="50" t="str">
        <x:v>Candidate treatment group</x:v>
      </x:c>
      <x:c r="C114" s="52" t="str">
        <x:f>IF('Deal_Master_Wide'!$AU$19="","",'Deal_Master_Wide'!$AU$19)</x:f>
        <x:v>Not reviewed</x:v>
      </x:c>
      <x:c r="D114" s="52" t="str">
        <x:f>IF('Deal_Master_Wide'!$AV$19="","",'Deal_Master_Wide'!$AV$19)</x:f>
        <x:v>Not assessed</x:v>
      </x:c>
      <x:c r="E114" s="50" t="n">
        <x:v>1</x:v>
      </x:c>
      <x:c r="F114" s="52" t="str">
        <x:f>IF(OR($C114="High-confidence innovation-driven",$C114="Medium-confidence innovation-driven"),1,IF($C114="Clear alternative-rationale",0,""))</x:f>
      </x:c>
      <x:c r="G114" s="52" t="str">
        <x:f>IF('Deal_Master_Wide'!$M$19="","",'Deal_Master_Wide'!$M$19)</x:f>
        <x:v>Review</x:v>
      </x:c>
      <x:c r="H114" s="50" t="str">
        <x:v>Mediolanum farmaceutici SpA</x:v>
      </x:c>
      <x:c r="I114" s="50" t="str">
        <x:v>Therabel Pharma SA</x:v>
      </x:c>
      <x:c r="J114" s="50" t="n">
        <x:v>2017</x:v>
      </x:c>
      <x:c r="K114" s="50" t="n">
        <x:v>-3</x:v>
      </x:c>
      <x:c r="L114" s="50" t="n">
        <x:v>2014</x:v>
      </x:c>
      <x:c r="M114" s="50" t="n">
        <x:v>0</x:v>
      </x:c>
      <x:c r="N114" s="50" t="n">
        <x:v>0</x:v>
      </x:c>
      <x:c r="O114" s="52" t="str">
        <x:f>IF($F114="","",$F114*$M114)</x:f>
      </x:c>
      <x:c r="P114" s="54" t="str">
        <x:f>IF(ISBLANK('Deal_Master_Wide'!$BP$19),"",'Deal_Master_Wide'!$BP$19)</x:f>
      </x:c>
      <x:c r="Q114" s="54" t="str">
        <x:f>IF(ISBLANK('Deal_Master_Wide'!$BW$19),"",'Deal_Master_Wide'!$BW$19)</x:f>
      </x:c>
      <x:c r="R114" s="54" t="str">
        <x:f>IF(ISBLANK('Deal_Master_Wide'!$CD$19),"",'Deal_Master_Wide'!$CD$19)</x:f>
      </x:c>
      <x:c r="S114" s="54" t="str">
        <x:f>IF(ISBLANK('Deal_Master_Wide'!$CK$19),"",'Deal_Master_Wide'!$CK$19)</x:f>
      </x:c>
      <x:c r="T114" s="54" t="str">
        <x:f>IF(ISBLANK('Deal_Master_Wide'!$CR$19),"",'Deal_Master_Wide'!$CR$19)</x:f>
      </x:c>
      <x:c r="U114" s="54" t="str">
        <x:f>IF(ISBLANK('Deal_Master_Wide'!$CY$19),"",'Deal_Master_Wide'!$CY$19)</x:f>
      </x:c>
      <x:c r="V114" s="56" t="str">
        <x:f>IF(ISBLANK('Deal_Master_Wide'!$DF$19),"",'Deal_Master_Wide'!$DF$19)</x:f>
      </x:c>
      <x:c r="W114" s="56" t="str">
        <x:f>IF(ISBLANK('Deal_Master_Wide'!$DM$19),"",'Deal_Master_Wide'!$DM$19)</x:f>
      </x:c>
      <x:c r="X114" s="56" t="str">
        <x:f>IF(ISBLANK('Deal_Master_Wide'!$DT$19),"",'Deal_Master_Wide'!$DT$19)</x:f>
      </x:c>
      <x:c r="Y114" s="54" t="str">
        <x:f>IF(ISBLANK('Deal_Master_Wide'!$EA$19),"",'Deal_Master_Wide'!$EA$19)</x:f>
      </x:c>
      <x:c r="Z114" s="54" t="str">
        <x:f>IF(ISBLANK('Deal_Master_Wide'!$EH$19),"",'Deal_Master_Wide'!$EH$19)</x:f>
      </x:c>
      <x:c r="AA114" s="52" t="str">
        <x:f>IF(ISBLANK('Deal_Master_Wide'!$AL$19),"",'Deal_Master_Wide'!$AL$19)</x:f>
        <x:v>Unknown</x:v>
      </x:c>
      <x:c r="AB114" s="54" t="str">
        <x:f>IF(ISBLANK('Deal_Master_Wide'!$AF$19),"",'Deal_Master_Wide'!$AF$19)</x:f>
      </x:c>
      <x:c r="AC114" s="52" t="str">
        <x:f>IF(COUNT($P114,$Q114,$R114,$S114,$T114,$U114,$V114,$W114,$X114)=9,"Yes","No")</x:f>
        <x:v>No</x:v>
      </x:c>
      <x:c r="AD114" s="52" t="str">
        <x:f>IF(COUNT($Y114,$Z114)=2,"Yes","No")</x:f>
        <x:v>No</x:v>
      </x:c>
      <x:c r="AE114" s="50" t="str"/>
      <x:c r="AF114" t="str"/>
    </x:row>
    <x:row r="115" ht="20" customHeight="1">
      <x:c r="A115" s="50" t="str">
        <x:v>TRT-0017</x:v>
      </x:c>
      <x:c r="B115" s="50" t="str">
        <x:v>Candidate treatment group</x:v>
      </x:c>
      <x:c r="C115" s="52" t="str">
        <x:f>IF('Deal_Master_Wide'!$AU$19="","",'Deal_Master_Wide'!$AU$19)</x:f>
        <x:v>Not reviewed</x:v>
      </x:c>
      <x:c r="D115" s="52" t="str">
        <x:f>IF('Deal_Master_Wide'!$AV$19="","",'Deal_Master_Wide'!$AV$19)</x:f>
        <x:v>Not assessed</x:v>
      </x:c>
      <x:c r="E115" s="50" t="n">
        <x:v>1</x:v>
      </x:c>
      <x:c r="F115" s="52" t="str">
        <x:f>IF(OR($C115="High-confidence innovation-driven",$C115="Medium-confidence innovation-driven"),1,IF($C115="Clear alternative-rationale",0,""))</x:f>
      </x:c>
      <x:c r="G115" s="52" t="str">
        <x:f>IF('Deal_Master_Wide'!$M$19="","",'Deal_Master_Wide'!$M$19)</x:f>
        <x:v>Review</x:v>
      </x:c>
      <x:c r="H115" s="50" t="str">
        <x:v>Mediolanum farmaceutici SpA</x:v>
      </x:c>
      <x:c r="I115" s="50" t="str">
        <x:v>Therabel Pharma SA</x:v>
      </x:c>
      <x:c r="J115" s="50" t="n">
        <x:v>2017</x:v>
      </x:c>
      <x:c r="K115" s="50" t="n">
        <x:v>-2</x:v>
      </x:c>
      <x:c r="L115" s="50" t="n">
        <x:v>2015</x:v>
      </x:c>
      <x:c r="M115" s="50" t="n">
        <x:v>0</x:v>
      </x:c>
      <x:c r="N115" s="50" t="n">
        <x:v>0</x:v>
      </x:c>
      <x:c r="O115" s="52" t="str">
        <x:f>IF($F115="","",$F115*$M115)</x:f>
      </x:c>
      <x:c r="P115" s="54" t="str">
        <x:f>IF(ISBLANK('Deal_Master_Wide'!$BQ$19),"",'Deal_Master_Wide'!$BQ$19)</x:f>
      </x:c>
      <x:c r="Q115" s="54" t="str">
        <x:f>IF(ISBLANK('Deal_Master_Wide'!$BX$19),"",'Deal_Master_Wide'!$BX$19)</x:f>
      </x:c>
      <x:c r="R115" s="54" t="str">
        <x:f>IF(ISBLANK('Deal_Master_Wide'!$CE$19),"",'Deal_Master_Wide'!$CE$19)</x:f>
      </x:c>
      <x:c r="S115" s="54" t="str">
        <x:f>IF(ISBLANK('Deal_Master_Wide'!$CL$19),"",'Deal_Master_Wide'!$CL$19)</x:f>
      </x:c>
      <x:c r="T115" s="54" t="str">
        <x:f>IF(ISBLANK('Deal_Master_Wide'!$CS$19),"",'Deal_Master_Wide'!$CS$19)</x:f>
      </x:c>
      <x:c r="U115" s="54" t="str">
        <x:f>IF(ISBLANK('Deal_Master_Wide'!$CZ$19),"",'Deal_Master_Wide'!$CZ$19)</x:f>
      </x:c>
      <x:c r="V115" s="56" t="str">
        <x:f>IF(ISBLANK('Deal_Master_Wide'!$DG$19),"",'Deal_Master_Wide'!$DG$19)</x:f>
      </x:c>
      <x:c r="W115" s="56" t="str">
        <x:f>IF(ISBLANK('Deal_Master_Wide'!$DN$19),"",'Deal_Master_Wide'!$DN$19)</x:f>
      </x:c>
      <x:c r="X115" s="56" t="str">
        <x:f>IF(ISBLANK('Deal_Master_Wide'!$DU$19),"",'Deal_Master_Wide'!$DU$19)</x:f>
      </x:c>
      <x:c r="Y115" s="54" t="str">
        <x:f>IF(ISBLANK('Deal_Master_Wide'!$EB$19),"",'Deal_Master_Wide'!$EB$19)</x:f>
      </x:c>
      <x:c r="Z115" s="54" t="str">
        <x:f>IF(ISBLANK('Deal_Master_Wide'!$EI$19),"",'Deal_Master_Wide'!$EI$19)</x:f>
      </x:c>
      <x:c r="AA115" s="52" t="str">
        <x:f>IF(ISBLANK('Deal_Master_Wide'!$AL$19),"",'Deal_Master_Wide'!$AL$19)</x:f>
        <x:v>Unknown</x:v>
      </x:c>
      <x:c r="AB115" s="54" t="str">
        <x:f>IF(ISBLANK('Deal_Master_Wide'!$AF$19),"",'Deal_Master_Wide'!$AF$19)</x:f>
      </x:c>
      <x:c r="AC115" s="52" t="str">
        <x:f>IF(COUNT($P115,$Q115,$R115,$S115,$T115,$U115,$V115,$W115,$X115)=9,"Yes","No")</x:f>
        <x:v>No</x:v>
      </x:c>
      <x:c r="AD115" s="52" t="str">
        <x:f>IF(COUNT($Y115,$Z115)=2,"Yes","No")</x:f>
        <x:v>No</x:v>
      </x:c>
      <x:c r="AE115" s="50" t="str"/>
      <x:c r="AF115" t="str"/>
    </x:row>
    <x:row r="116" ht="20" customHeight="1">
      <x:c r="A116" s="50" t="str">
        <x:v>TRT-0017</x:v>
      </x:c>
      <x:c r="B116" s="50" t="str">
        <x:v>Candidate treatment group</x:v>
      </x:c>
      <x:c r="C116" s="52" t="str">
        <x:f>IF('Deal_Master_Wide'!$AU$19="","",'Deal_Master_Wide'!$AU$19)</x:f>
        <x:v>Not reviewed</x:v>
      </x:c>
      <x:c r="D116" s="52" t="str">
        <x:f>IF('Deal_Master_Wide'!$AV$19="","",'Deal_Master_Wide'!$AV$19)</x:f>
        <x:v>Not assessed</x:v>
      </x:c>
      <x:c r="E116" s="50" t="n">
        <x:v>1</x:v>
      </x:c>
      <x:c r="F116" s="52" t="str">
        <x:f>IF(OR($C116="High-confidence innovation-driven",$C116="Medium-confidence innovation-driven"),1,IF($C116="Clear alternative-rationale",0,""))</x:f>
      </x:c>
      <x:c r="G116" s="52" t="str">
        <x:f>IF('Deal_Master_Wide'!$M$19="","",'Deal_Master_Wide'!$M$19)</x:f>
        <x:v>Review</x:v>
      </x:c>
      <x:c r="H116" s="50" t="str">
        <x:v>Mediolanum farmaceutici SpA</x:v>
      </x:c>
      <x:c r="I116" s="50" t="str">
        <x:v>Therabel Pharma SA</x:v>
      </x:c>
      <x:c r="J116" s="50" t="n">
        <x:v>2017</x:v>
      </x:c>
      <x:c r="K116" s="50" t="n">
        <x:v>-1</x:v>
      </x:c>
      <x:c r="L116" s="50" t="n">
        <x:v>2016</x:v>
      </x:c>
      <x:c r="M116" s="50" t="n">
        <x:v>0</x:v>
      </x:c>
      <x:c r="N116" s="50" t="n">
        <x:v>0</x:v>
      </x:c>
      <x:c r="O116" s="52" t="str">
        <x:f>IF($F116="","",$F116*$M116)</x:f>
      </x:c>
      <x:c r="P116" s="54" t="str">
        <x:f>IF(ISBLANK('Deal_Master_Wide'!$BR$19),"",'Deal_Master_Wide'!$BR$19)</x:f>
      </x:c>
      <x:c r="Q116" s="54" t="str">
        <x:f>IF(ISBLANK('Deal_Master_Wide'!$BY$19),"",'Deal_Master_Wide'!$BY$19)</x:f>
      </x:c>
      <x:c r="R116" s="54" t="str">
        <x:f>IF(ISBLANK('Deal_Master_Wide'!$CF$19),"",'Deal_Master_Wide'!$CF$19)</x:f>
      </x:c>
      <x:c r="S116" s="54" t="str">
        <x:f>IF(ISBLANK('Deal_Master_Wide'!$CM$19),"",'Deal_Master_Wide'!$CM$19)</x:f>
      </x:c>
      <x:c r="T116" s="54" t="str">
        <x:f>IF(ISBLANK('Deal_Master_Wide'!$CT$19),"",'Deal_Master_Wide'!$CT$19)</x:f>
      </x:c>
      <x:c r="U116" s="54" t="str">
        <x:f>IF(ISBLANK('Deal_Master_Wide'!$DA$19),"",'Deal_Master_Wide'!$DA$19)</x:f>
      </x:c>
      <x:c r="V116" s="56" t="str">
        <x:f>IF(ISBLANK('Deal_Master_Wide'!$DH$19),"",'Deal_Master_Wide'!$DH$19)</x:f>
      </x:c>
      <x:c r="W116" s="56" t="str">
        <x:f>IF(ISBLANK('Deal_Master_Wide'!$DO$19),"",'Deal_Master_Wide'!$DO$19)</x:f>
      </x:c>
      <x:c r="X116" s="56" t="str">
        <x:f>IF(ISBLANK('Deal_Master_Wide'!$DV$19),"",'Deal_Master_Wide'!$DV$19)</x:f>
      </x:c>
      <x:c r="Y116" s="54" t="str">
        <x:f>IF(ISBLANK('Deal_Master_Wide'!$EC$19),"",'Deal_Master_Wide'!$EC$19)</x:f>
      </x:c>
      <x:c r="Z116" s="54" t="str">
        <x:f>IF(ISBLANK('Deal_Master_Wide'!$EJ$19),"",'Deal_Master_Wide'!$EJ$19)</x:f>
      </x:c>
      <x:c r="AA116" s="52" t="str">
        <x:f>IF(ISBLANK('Deal_Master_Wide'!$AL$19),"",'Deal_Master_Wide'!$AL$19)</x:f>
        <x:v>Unknown</x:v>
      </x:c>
      <x:c r="AB116" s="54" t="str">
        <x:f>IF(ISBLANK('Deal_Master_Wide'!$AF$19),"",'Deal_Master_Wide'!$AF$19)</x:f>
      </x:c>
      <x:c r="AC116" s="52" t="str">
        <x:f>IF(COUNT($P116,$Q116,$R116,$S116,$T116,$U116,$V116,$W116,$X116)=9,"Yes","No")</x:f>
        <x:v>No</x:v>
      </x:c>
      <x:c r="AD116" s="52" t="str">
        <x:f>IF(COUNT($Y116,$Z116)=2,"Yes","No")</x:f>
        <x:v>No</x:v>
      </x:c>
      <x:c r="AE116" s="50" t="str"/>
      <x:c r="AF116" t="str"/>
    </x:row>
    <x:row r="117" ht="20" customHeight="1">
      <x:c r="A117" s="50" t="str">
        <x:v>TRT-0017</x:v>
      </x:c>
      <x:c r="B117" s="50" t="str">
        <x:v>Candidate treatment group</x:v>
      </x:c>
      <x:c r="C117" s="52" t="str">
        <x:f>IF('Deal_Master_Wide'!$AU$19="","",'Deal_Master_Wide'!$AU$19)</x:f>
        <x:v>Not reviewed</x:v>
      </x:c>
      <x:c r="D117" s="52" t="str">
        <x:f>IF('Deal_Master_Wide'!$AV$19="","",'Deal_Master_Wide'!$AV$19)</x:f>
        <x:v>Not assessed</x:v>
      </x:c>
      <x:c r="E117" s="50" t="n">
        <x:v>1</x:v>
      </x:c>
      <x:c r="F117" s="52" t="str">
        <x:f>IF(OR($C117="High-confidence innovation-driven",$C117="Medium-confidence innovation-driven"),1,IF($C117="Clear alternative-rationale",0,""))</x:f>
      </x:c>
      <x:c r="G117" s="52" t="str">
        <x:f>IF('Deal_Master_Wide'!$M$19="","",'Deal_Master_Wide'!$M$19)</x:f>
        <x:v>Review</x:v>
      </x:c>
      <x:c r="H117" s="50" t="str">
        <x:v>Mediolanum farmaceutici SpA</x:v>
      </x:c>
      <x:c r="I117" s="50" t="str">
        <x:v>Therabel Pharma SA</x:v>
      </x:c>
      <x:c r="J117" s="50" t="n">
        <x:v>2017</x:v>
      </x:c>
      <x:c r="K117" s="50" t="n">
        <x:v>0</x:v>
      </x:c>
      <x:c r="L117" s="50" t="n">
        <x:v>2017</x:v>
      </x:c>
      <x:c r="M117" s="50" t="n">
        <x:v>0</x:v>
      </x:c>
      <x:c r="N117" s="50" t="n">
        <x:v>1</x:v>
      </x:c>
      <x:c r="O117" s="52" t="str">
        <x:f>IF($F117="","",$F117*$M117)</x:f>
      </x:c>
      <x:c r="P117" s="54" t="str">
        <x:f>IF(ISBLANK('Deal_Master_Wide'!$BS$19),"",'Deal_Master_Wide'!$BS$19)</x:f>
      </x:c>
      <x:c r="Q117" s="54" t="str">
        <x:f>IF(ISBLANK('Deal_Master_Wide'!$BZ$19),"",'Deal_Master_Wide'!$BZ$19)</x:f>
      </x:c>
      <x:c r="R117" s="54" t="str">
        <x:f>IF(ISBLANK('Deal_Master_Wide'!$CG$19),"",'Deal_Master_Wide'!$CG$19)</x:f>
      </x:c>
      <x:c r="S117" s="54" t="str">
        <x:f>IF(ISBLANK('Deal_Master_Wide'!$CN$19),"",'Deal_Master_Wide'!$CN$19)</x:f>
      </x:c>
      <x:c r="T117" s="54" t="str">
        <x:f>IF(ISBLANK('Deal_Master_Wide'!$CU$19),"",'Deal_Master_Wide'!$CU$19)</x:f>
      </x:c>
      <x:c r="U117" s="54" t="str">
        <x:f>IF(ISBLANK('Deal_Master_Wide'!$DB$19),"",'Deal_Master_Wide'!$DB$19)</x:f>
      </x:c>
      <x:c r="V117" s="56" t="str">
        <x:f>IF(ISBLANK('Deal_Master_Wide'!$DI$19),"",'Deal_Master_Wide'!$DI$19)</x:f>
      </x:c>
      <x:c r="W117" s="56" t="str">
        <x:f>IF(ISBLANK('Deal_Master_Wide'!$DP$19),"",'Deal_Master_Wide'!$DP$19)</x:f>
      </x:c>
      <x:c r="X117" s="56" t="str">
        <x:f>IF(ISBLANK('Deal_Master_Wide'!$DW$19),"",'Deal_Master_Wide'!$DW$19)</x:f>
      </x:c>
      <x:c r="Y117" s="54" t="str">
        <x:f>IF(ISBLANK('Deal_Master_Wide'!$ED$19),"",'Deal_Master_Wide'!$ED$19)</x:f>
      </x:c>
      <x:c r="Z117" s="54" t="str">
        <x:f>IF(ISBLANK('Deal_Master_Wide'!$EK$19),"",'Deal_Master_Wide'!$EK$19)</x:f>
      </x:c>
      <x:c r="AA117" s="52" t="str">
        <x:f>IF(ISBLANK('Deal_Master_Wide'!$AL$19),"",'Deal_Master_Wide'!$AL$19)</x:f>
        <x:v>Unknown</x:v>
      </x:c>
      <x:c r="AB117" s="54" t="str">
        <x:f>IF(ISBLANK('Deal_Master_Wide'!$AF$19),"",'Deal_Master_Wide'!$AF$19)</x:f>
      </x:c>
      <x:c r="AC117" s="52" t="str">
        <x:f>IF(COUNT($P117,$Q117,$R117,$S117,$T117,$U117,$V117,$W117,$X117)=9,"Yes","No")</x:f>
        <x:v>No</x:v>
      </x:c>
      <x:c r="AD117" s="52" t="str">
        <x:f>IF(COUNT($Y117,$Z117)=2,"Yes","No")</x:f>
        <x:v>No</x:v>
      </x:c>
      <x:c r="AE117" s="50" t="str"/>
      <x:c r="AF117" t="str"/>
    </x:row>
    <x:row r="118" ht="20" customHeight="1">
      <x:c r="A118" s="50" t="str">
        <x:v>TRT-0017</x:v>
      </x:c>
      <x:c r="B118" s="50" t="str">
        <x:v>Candidate treatment group</x:v>
      </x:c>
      <x:c r="C118" s="52" t="str">
        <x:f>IF('Deal_Master_Wide'!$AU$19="","",'Deal_Master_Wide'!$AU$19)</x:f>
        <x:v>Not reviewed</x:v>
      </x:c>
      <x:c r="D118" s="52" t="str">
        <x:f>IF('Deal_Master_Wide'!$AV$19="","",'Deal_Master_Wide'!$AV$19)</x:f>
        <x:v>Not assessed</x:v>
      </x:c>
      <x:c r="E118" s="50" t="n">
        <x:v>1</x:v>
      </x:c>
      <x:c r="F118" s="52" t="str">
        <x:f>IF(OR($C118="High-confidence innovation-driven",$C118="Medium-confidence innovation-driven"),1,IF($C118="Clear alternative-rationale",0,""))</x:f>
      </x:c>
      <x:c r="G118" s="52" t="str">
        <x:f>IF('Deal_Master_Wide'!$M$19="","",'Deal_Master_Wide'!$M$19)</x:f>
        <x:v>Review</x:v>
      </x:c>
      <x:c r="H118" s="50" t="str">
        <x:v>Mediolanum farmaceutici SpA</x:v>
      </x:c>
      <x:c r="I118" s="50" t="str">
        <x:v>Therabel Pharma SA</x:v>
      </x:c>
      <x:c r="J118" s="50" t="n">
        <x:v>2017</x:v>
      </x:c>
      <x:c r="K118" s="50" t="n">
        <x:v>1</x:v>
      </x:c>
      <x:c r="L118" s="50" t="n">
        <x:v>2018</x:v>
      </x:c>
      <x:c r="M118" s="50" t="n">
        <x:v>1</x:v>
      </x:c>
      <x:c r="N118" s="50" t="n">
        <x:v>1</x:v>
      </x:c>
      <x:c r="O118" s="52" t="str">
        <x:f>IF($F118="","",$F118*$M118)</x:f>
      </x:c>
      <x:c r="P118" s="54" t="str">
        <x:f>IF(ISBLANK('Deal_Master_Wide'!$BT$19),"",'Deal_Master_Wide'!$BT$19)</x:f>
      </x:c>
      <x:c r="Q118" s="54" t="str">
        <x:f>IF(ISBLANK('Deal_Master_Wide'!$CA$19),"",'Deal_Master_Wide'!$CA$19)</x:f>
      </x:c>
      <x:c r="R118" s="54" t="str">
        <x:f>IF(ISBLANK('Deal_Master_Wide'!$CH$19),"",'Deal_Master_Wide'!$CH$19)</x:f>
      </x:c>
      <x:c r="S118" s="54" t="str">
        <x:f>IF(ISBLANK('Deal_Master_Wide'!$CO$19),"",'Deal_Master_Wide'!$CO$19)</x:f>
      </x:c>
      <x:c r="T118" s="54" t="str">
        <x:f>IF(ISBLANK('Deal_Master_Wide'!$CV$19),"",'Deal_Master_Wide'!$CV$19)</x:f>
      </x:c>
      <x:c r="U118" s="54" t="str">
        <x:f>IF(ISBLANK('Deal_Master_Wide'!$DC$19),"",'Deal_Master_Wide'!$DC$19)</x:f>
      </x:c>
      <x:c r="V118" s="56" t="str">
        <x:f>IF(ISBLANK('Deal_Master_Wide'!$DJ$19),"",'Deal_Master_Wide'!$DJ$19)</x:f>
      </x:c>
      <x:c r="W118" s="56" t="str">
        <x:f>IF(ISBLANK('Deal_Master_Wide'!$DQ$19),"",'Deal_Master_Wide'!$DQ$19)</x:f>
      </x:c>
      <x:c r="X118" s="56" t="str">
        <x:f>IF(ISBLANK('Deal_Master_Wide'!$DX$19),"",'Deal_Master_Wide'!$DX$19)</x:f>
      </x:c>
      <x:c r="Y118" s="54" t="str">
        <x:f>IF(ISBLANK('Deal_Master_Wide'!$EE$19),"",'Deal_Master_Wide'!$EE$19)</x:f>
      </x:c>
      <x:c r="Z118" s="54" t="str">
        <x:f>IF(ISBLANK('Deal_Master_Wide'!$EL$19),"",'Deal_Master_Wide'!$EL$19)</x:f>
      </x:c>
      <x:c r="AA118" s="52" t="str">
        <x:f>IF(ISBLANK('Deal_Master_Wide'!$AL$19),"",'Deal_Master_Wide'!$AL$19)</x:f>
        <x:v>Unknown</x:v>
      </x:c>
      <x:c r="AB118" s="54" t="str">
        <x:f>IF(ISBLANK('Deal_Master_Wide'!$AF$19),"",'Deal_Master_Wide'!$AF$19)</x:f>
      </x:c>
      <x:c r="AC118" s="52" t="str">
        <x:f>IF(COUNT($P118,$Q118,$R118,$S118,$T118,$U118,$V118,$W118,$X118)=9,"Yes","No")</x:f>
        <x:v>No</x:v>
      </x:c>
      <x:c r="AD118" s="52" t="str">
        <x:f>IF(COUNT($Y118,$Z118)=2,"Yes","No")</x:f>
        <x:v>No</x:v>
      </x:c>
      <x:c r="AE118" s="50" t="str"/>
      <x:c r="AF118" t="str"/>
    </x:row>
    <x:row r="119" ht="20" customHeight="1">
      <x:c r="A119" s="50" t="str">
        <x:v>TRT-0017</x:v>
      </x:c>
      <x:c r="B119" s="50" t="str">
        <x:v>Candidate treatment group</x:v>
      </x:c>
      <x:c r="C119" s="52" t="str">
        <x:f>IF('Deal_Master_Wide'!$AU$19="","",'Deal_Master_Wide'!$AU$19)</x:f>
        <x:v>Not reviewed</x:v>
      </x:c>
      <x:c r="D119" s="52" t="str">
        <x:f>IF('Deal_Master_Wide'!$AV$19="","",'Deal_Master_Wide'!$AV$19)</x:f>
        <x:v>Not assessed</x:v>
      </x:c>
      <x:c r="E119" s="50" t="n">
        <x:v>1</x:v>
      </x:c>
      <x:c r="F119" s="52" t="str">
        <x:f>IF(OR($C119="High-confidence innovation-driven",$C119="Medium-confidence innovation-driven"),1,IF($C119="Clear alternative-rationale",0,""))</x:f>
      </x:c>
      <x:c r="G119" s="52" t="str">
        <x:f>IF('Deal_Master_Wide'!$M$19="","",'Deal_Master_Wide'!$M$19)</x:f>
        <x:v>Review</x:v>
      </x:c>
      <x:c r="H119" s="50" t="str">
        <x:v>Mediolanum farmaceutici SpA</x:v>
      </x:c>
      <x:c r="I119" s="50" t="str">
        <x:v>Therabel Pharma SA</x:v>
      </x:c>
      <x:c r="J119" s="50" t="n">
        <x:v>2017</x:v>
      </x:c>
      <x:c r="K119" s="50" t="n">
        <x:v>2</x:v>
      </x:c>
      <x:c r="L119" s="50" t="n">
        <x:v>2019</x:v>
      </x:c>
      <x:c r="M119" s="50" t="n">
        <x:v>1</x:v>
      </x:c>
      <x:c r="N119" s="50" t="n">
        <x:v>1</x:v>
      </x:c>
      <x:c r="O119" s="52" t="str">
        <x:f>IF($F119="","",$F119*$M119)</x:f>
      </x:c>
      <x:c r="P119" s="54" t="str">
        <x:f>IF(ISBLANK('Deal_Master_Wide'!$BU$19),"",'Deal_Master_Wide'!$BU$19)</x:f>
      </x:c>
      <x:c r="Q119" s="54" t="str">
        <x:f>IF(ISBLANK('Deal_Master_Wide'!$CB$19),"",'Deal_Master_Wide'!$CB$19)</x:f>
      </x:c>
      <x:c r="R119" s="54" t="str">
        <x:f>IF(ISBLANK('Deal_Master_Wide'!$CI$19),"",'Deal_Master_Wide'!$CI$19)</x:f>
      </x:c>
      <x:c r="S119" s="54" t="str">
        <x:f>IF(ISBLANK('Deal_Master_Wide'!$CP$19),"",'Deal_Master_Wide'!$CP$19)</x:f>
      </x:c>
      <x:c r="T119" s="54" t="str">
        <x:f>IF(ISBLANK('Deal_Master_Wide'!$CW$19),"",'Deal_Master_Wide'!$CW$19)</x:f>
      </x:c>
      <x:c r="U119" s="54" t="str">
        <x:f>IF(ISBLANK('Deal_Master_Wide'!$DD$19),"",'Deal_Master_Wide'!$DD$19)</x:f>
      </x:c>
      <x:c r="V119" s="56" t="str">
        <x:f>IF(ISBLANK('Deal_Master_Wide'!$DK$19),"",'Deal_Master_Wide'!$DK$19)</x:f>
      </x:c>
      <x:c r="W119" s="56" t="str">
        <x:f>IF(ISBLANK('Deal_Master_Wide'!$DR$19),"",'Deal_Master_Wide'!$DR$19)</x:f>
      </x:c>
      <x:c r="X119" s="56" t="str">
        <x:f>IF(ISBLANK('Deal_Master_Wide'!$DY$19),"",'Deal_Master_Wide'!$DY$19)</x:f>
      </x:c>
      <x:c r="Y119" s="54" t="str">
        <x:f>IF(ISBLANK('Deal_Master_Wide'!$EF$19),"",'Deal_Master_Wide'!$EF$19)</x:f>
      </x:c>
      <x:c r="Z119" s="54" t="str">
        <x:f>IF(ISBLANK('Deal_Master_Wide'!$EM$19),"",'Deal_Master_Wide'!$EM$19)</x:f>
      </x:c>
      <x:c r="AA119" s="52" t="str">
        <x:f>IF(ISBLANK('Deal_Master_Wide'!$AL$19),"",'Deal_Master_Wide'!$AL$19)</x:f>
        <x:v>Unknown</x:v>
      </x:c>
      <x:c r="AB119" s="54" t="str">
        <x:f>IF(ISBLANK('Deal_Master_Wide'!$AF$19),"",'Deal_Master_Wide'!$AF$19)</x:f>
      </x:c>
      <x:c r="AC119" s="52" t="str">
        <x:f>IF(COUNT($P119,$Q119,$R119,$S119,$T119,$U119,$V119,$W119,$X119)=9,"Yes","No")</x:f>
        <x:v>No</x:v>
      </x:c>
      <x:c r="AD119" s="52" t="str">
        <x:f>IF(COUNT($Y119,$Z119)=2,"Yes","No")</x:f>
        <x:v>No</x:v>
      </x:c>
      <x:c r="AE119" s="50" t="str"/>
      <x:c r="AF119" t="str"/>
    </x:row>
    <x:row r="120" ht="20" customHeight="1">
      <x:c r="A120" s="50" t="str">
        <x:v>TRT-0017</x:v>
      </x:c>
      <x:c r="B120" s="50" t="str">
        <x:v>Candidate treatment group</x:v>
      </x:c>
      <x:c r="C120" s="52" t="str">
        <x:f>IF('Deal_Master_Wide'!$AU$19="","",'Deal_Master_Wide'!$AU$19)</x:f>
        <x:v>Not reviewed</x:v>
      </x:c>
      <x:c r="D120" s="52" t="str">
        <x:f>IF('Deal_Master_Wide'!$AV$19="","",'Deal_Master_Wide'!$AV$19)</x:f>
        <x:v>Not assessed</x:v>
      </x:c>
      <x:c r="E120" s="50" t="n">
        <x:v>1</x:v>
      </x:c>
      <x:c r="F120" s="52" t="str">
        <x:f>IF(OR($C120="High-confidence innovation-driven",$C120="Medium-confidence innovation-driven"),1,IF($C120="Clear alternative-rationale",0,""))</x:f>
      </x:c>
      <x:c r="G120" s="52" t="str">
        <x:f>IF('Deal_Master_Wide'!$M$19="","",'Deal_Master_Wide'!$M$19)</x:f>
        <x:v>Review</x:v>
      </x:c>
      <x:c r="H120" s="50" t="str">
        <x:v>Mediolanum farmaceutici SpA</x:v>
      </x:c>
      <x:c r="I120" s="50" t="str">
        <x:v>Therabel Pharma SA</x:v>
      </x:c>
      <x:c r="J120" s="50" t="n">
        <x:v>2017</x:v>
      </x:c>
      <x:c r="K120" s="50" t="n">
        <x:v>3</x:v>
      </x:c>
      <x:c r="L120" s="50" t="n">
        <x:v>2020</x:v>
      </x:c>
      <x:c r="M120" s="50" t="n">
        <x:v>1</x:v>
      </x:c>
      <x:c r="N120" s="50" t="n">
        <x:v>1</x:v>
      </x:c>
      <x:c r="O120" s="52" t="str">
        <x:f>IF($F120="","",$F120*$M120)</x:f>
      </x:c>
      <x:c r="P120" s="54" t="str">
        <x:f>IF(ISBLANK('Deal_Master_Wide'!$BV$19),"",'Deal_Master_Wide'!$BV$19)</x:f>
      </x:c>
      <x:c r="Q120" s="54" t="str">
        <x:f>IF(ISBLANK('Deal_Master_Wide'!$CC$19),"",'Deal_Master_Wide'!$CC$19)</x:f>
      </x:c>
      <x:c r="R120" s="54" t="str">
        <x:f>IF(ISBLANK('Deal_Master_Wide'!$CJ$19),"",'Deal_Master_Wide'!$CJ$19)</x:f>
      </x:c>
      <x:c r="S120" s="54" t="str">
        <x:f>IF(ISBLANK('Deal_Master_Wide'!$CQ$19),"",'Deal_Master_Wide'!$CQ$19)</x:f>
      </x:c>
      <x:c r="T120" s="54" t="str">
        <x:f>IF(ISBLANK('Deal_Master_Wide'!$CX$19),"",'Deal_Master_Wide'!$CX$19)</x:f>
      </x:c>
      <x:c r="U120" s="54" t="str">
        <x:f>IF(ISBLANK('Deal_Master_Wide'!$DE$19),"",'Deal_Master_Wide'!$DE$19)</x:f>
      </x:c>
      <x:c r="V120" s="56" t="str">
        <x:f>IF(ISBLANK('Deal_Master_Wide'!$DL$19),"",'Deal_Master_Wide'!$DL$19)</x:f>
      </x:c>
      <x:c r="W120" s="56" t="str">
        <x:f>IF(ISBLANK('Deal_Master_Wide'!$DS$19),"",'Deal_Master_Wide'!$DS$19)</x:f>
      </x:c>
      <x:c r="X120" s="56" t="str">
        <x:f>IF(ISBLANK('Deal_Master_Wide'!$DZ$19),"",'Deal_Master_Wide'!$DZ$19)</x:f>
      </x:c>
      <x:c r="Y120" s="54" t="str">
        <x:f>IF(ISBLANK('Deal_Master_Wide'!$EG$19),"",'Deal_Master_Wide'!$EG$19)</x:f>
      </x:c>
      <x:c r="Z120" s="54" t="str">
        <x:f>IF(ISBLANK('Deal_Master_Wide'!$EN$19),"",'Deal_Master_Wide'!$EN$19)</x:f>
      </x:c>
      <x:c r="AA120" s="52" t="str">
        <x:f>IF(ISBLANK('Deal_Master_Wide'!$AL$19),"",'Deal_Master_Wide'!$AL$19)</x:f>
        <x:v>Unknown</x:v>
      </x:c>
      <x:c r="AB120" s="54" t="str">
        <x:f>IF(ISBLANK('Deal_Master_Wide'!$AF$19),"",'Deal_Master_Wide'!$AF$19)</x:f>
      </x:c>
      <x:c r="AC120" s="52" t="str">
        <x:f>IF(COUNT($P120,$Q120,$R120,$S120,$T120,$U120,$V120,$W120,$X120)=9,"Yes","No")</x:f>
        <x:v>No</x:v>
      </x:c>
      <x:c r="AD120" s="52" t="str">
        <x:f>IF(COUNT($Y120,$Z120)=2,"Yes","No")</x:f>
        <x:v>No</x:v>
      </x:c>
      <x:c r="AE120" s="50" t="str"/>
      <x:c r="AF120" t="str"/>
    </x:row>
    <x:row r="121" ht="20" customHeight="1">
      <x:c r="A121" s="50" t="str">
        <x:v>TRT-0018</x:v>
      </x:c>
      <x:c r="B121" s="50" t="str">
        <x:v>Candidate treatment group</x:v>
      </x:c>
      <x:c r="C121" s="52" t="str">
        <x:f>IF('Deal_Master_Wide'!$AU$20="","",'Deal_Master_Wide'!$AU$20)</x:f>
        <x:v>Not reviewed</x:v>
      </x:c>
      <x:c r="D121" s="52" t="str">
        <x:f>IF('Deal_Master_Wide'!$AV$20="","",'Deal_Master_Wide'!$AV$20)</x:f>
        <x:v>Not assessed</x:v>
      </x:c>
      <x:c r="E121" s="50" t="n">
        <x:v>1</x:v>
      </x:c>
      <x:c r="F121" s="52" t="str">
        <x:f>IF(OR($C121="High-confidence innovation-driven",$C121="Medium-confidence innovation-driven"),1,IF($C121="Clear alternative-rationale",0,""))</x:f>
      </x:c>
      <x:c r="G121" s="52" t="str">
        <x:f>IF('Deal_Master_Wide'!$M$20="","",'Deal_Master_Wide'!$M$20)</x:f>
        <x:v>Review</x:v>
      </x:c>
      <x:c r="H121" s="50" t="str">
        <x:v>Agile Pharma BV</x:v>
      </x:c>
      <x:c r="I121" s="50" t="str">
        <x:v>Generis Pharmaceuticals SA</x:v>
      </x:c>
      <x:c r="J121" s="50" t="n">
        <x:v>2017</x:v>
      </x:c>
      <x:c r="K121" s="50" t="n">
        <x:v>-3</x:v>
      </x:c>
      <x:c r="L121" s="50" t="n">
        <x:v>2014</x:v>
      </x:c>
      <x:c r="M121" s="50" t="n">
        <x:v>0</x:v>
      </x:c>
      <x:c r="N121" s="50" t="n">
        <x:v>0</x:v>
      </x:c>
      <x:c r="O121" s="52" t="str">
        <x:f>IF($F121="","",$F121*$M121)</x:f>
      </x:c>
      <x:c r="P121" s="54" t="str">
        <x:f>IF(ISBLANK('Deal_Master_Wide'!$BP$20),"",'Deal_Master_Wide'!$BP$20)</x:f>
      </x:c>
      <x:c r="Q121" s="54" t="str">
        <x:f>IF(ISBLANK('Deal_Master_Wide'!$BW$20),"",'Deal_Master_Wide'!$BW$20)</x:f>
      </x:c>
      <x:c r="R121" s="54" t="str">
        <x:f>IF(ISBLANK('Deal_Master_Wide'!$CD$20),"",'Deal_Master_Wide'!$CD$20)</x:f>
      </x:c>
      <x:c r="S121" s="54" t="str">
        <x:f>IF(ISBLANK('Deal_Master_Wide'!$CK$20),"",'Deal_Master_Wide'!$CK$20)</x:f>
      </x:c>
      <x:c r="T121" s="54" t="str">
        <x:f>IF(ISBLANK('Deal_Master_Wide'!$CR$20),"",'Deal_Master_Wide'!$CR$20)</x:f>
      </x:c>
      <x:c r="U121" s="54" t="str">
        <x:f>IF(ISBLANK('Deal_Master_Wide'!$CY$20),"",'Deal_Master_Wide'!$CY$20)</x:f>
      </x:c>
      <x:c r="V121" s="56" t="str">
        <x:f>IF(ISBLANK('Deal_Master_Wide'!$DF$20),"",'Deal_Master_Wide'!$DF$20)</x:f>
      </x:c>
      <x:c r="W121" s="56" t="str">
        <x:f>IF(ISBLANK('Deal_Master_Wide'!$DM$20),"",'Deal_Master_Wide'!$DM$20)</x:f>
      </x:c>
      <x:c r="X121" s="56" t="str">
        <x:f>IF(ISBLANK('Deal_Master_Wide'!$DT$20),"",'Deal_Master_Wide'!$DT$20)</x:f>
      </x:c>
      <x:c r="Y121" s="54" t="str">
        <x:f>IF(ISBLANK('Deal_Master_Wide'!$EA$20),"",'Deal_Master_Wide'!$EA$20)</x:f>
      </x:c>
      <x:c r="Z121" s="54" t="str">
        <x:f>IF(ISBLANK('Deal_Master_Wide'!$EH$20),"",'Deal_Master_Wide'!$EH$20)</x:f>
      </x:c>
      <x:c r="AA121" s="52" t="str">
        <x:f>IF(ISBLANK('Deal_Master_Wide'!$AL$20),"",'Deal_Master_Wide'!$AL$20)</x:f>
        <x:v>Unknown</x:v>
      </x:c>
      <x:c r="AB121" s="54" t="n">
        <x:f>IF(ISBLANK('Deal_Master_Wide'!$AF$20),"",'Deal_Master_Wide'!$AF$20)</x:f>
        <x:v>143</x:v>
      </x:c>
      <x:c r="AC121" s="52" t="str">
        <x:f>IF(COUNT($P121,$Q121,$R121,$S121,$T121,$U121,$V121,$W121,$X121)=9,"Yes","No")</x:f>
        <x:v>No</x:v>
      </x:c>
      <x:c r="AD121" s="52" t="str">
        <x:f>IF(COUNT($Y121,$Z121)=2,"Yes","No")</x:f>
        <x:v>No</x:v>
      </x:c>
      <x:c r="AE121" s="50" t="str"/>
      <x:c r="AF121" t="str"/>
    </x:row>
    <x:row r="122" ht="20" customHeight="1">
      <x:c r="A122" s="50" t="str">
        <x:v>TRT-0018</x:v>
      </x:c>
      <x:c r="B122" s="50" t="str">
        <x:v>Candidate treatment group</x:v>
      </x:c>
      <x:c r="C122" s="52" t="str">
        <x:f>IF('Deal_Master_Wide'!$AU$20="","",'Deal_Master_Wide'!$AU$20)</x:f>
        <x:v>Not reviewed</x:v>
      </x:c>
      <x:c r="D122" s="52" t="str">
        <x:f>IF('Deal_Master_Wide'!$AV$20="","",'Deal_Master_Wide'!$AV$20)</x:f>
        <x:v>Not assessed</x:v>
      </x:c>
      <x:c r="E122" s="50" t="n">
        <x:v>1</x:v>
      </x:c>
      <x:c r="F122" s="52" t="str">
        <x:f>IF(OR($C122="High-confidence innovation-driven",$C122="Medium-confidence innovation-driven"),1,IF($C122="Clear alternative-rationale",0,""))</x:f>
      </x:c>
      <x:c r="G122" s="52" t="str">
        <x:f>IF('Deal_Master_Wide'!$M$20="","",'Deal_Master_Wide'!$M$20)</x:f>
        <x:v>Review</x:v>
      </x:c>
      <x:c r="H122" s="50" t="str">
        <x:v>Agile Pharma BV</x:v>
      </x:c>
      <x:c r="I122" s="50" t="str">
        <x:v>Generis Pharmaceuticals SA</x:v>
      </x:c>
      <x:c r="J122" s="50" t="n">
        <x:v>2017</x:v>
      </x:c>
      <x:c r="K122" s="50" t="n">
        <x:v>-2</x:v>
      </x:c>
      <x:c r="L122" s="50" t="n">
        <x:v>2015</x:v>
      </x:c>
      <x:c r="M122" s="50" t="n">
        <x:v>0</x:v>
      </x:c>
      <x:c r="N122" s="50" t="n">
        <x:v>0</x:v>
      </x:c>
      <x:c r="O122" s="52" t="str">
        <x:f>IF($F122="","",$F122*$M122)</x:f>
      </x:c>
      <x:c r="P122" s="54" t="str">
        <x:f>IF(ISBLANK('Deal_Master_Wide'!$BQ$20),"",'Deal_Master_Wide'!$BQ$20)</x:f>
      </x:c>
      <x:c r="Q122" s="54" t="str">
        <x:f>IF(ISBLANK('Deal_Master_Wide'!$BX$20),"",'Deal_Master_Wide'!$BX$20)</x:f>
      </x:c>
      <x:c r="R122" s="54" t="str">
        <x:f>IF(ISBLANK('Deal_Master_Wide'!$CE$20),"",'Deal_Master_Wide'!$CE$20)</x:f>
      </x:c>
      <x:c r="S122" s="54" t="str">
        <x:f>IF(ISBLANK('Deal_Master_Wide'!$CL$20),"",'Deal_Master_Wide'!$CL$20)</x:f>
      </x:c>
      <x:c r="T122" s="54" t="str">
        <x:f>IF(ISBLANK('Deal_Master_Wide'!$CS$20),"",'Deal_Master_Wide'!$CS$20)</x:f>
      </x:c>
      <x:c r="U122" s="54" t="str">
        <x:f>IF(ISBLANK('Deal_Master_Wide'!$CZ$20),"",'Deal_Master_Wide'!$CZ$20)</x:f>
      </x:c>
      <x:c r="V122" s="56" t="str">
        <x:f>IF(ISBLANK('Deal_Master_Wide'!$DG$20),"",'Deal_Master_Wide'!$DG$20)</x:f>
      </x:c>
      <x:c r="W122" s="56" t="str">
        <x:f>IF(ISBLANK('Deal_Master_Wide'!$DN$20),"",'Deal_Master_Wide'!$DN$20)</x:f>
      </x:c>
      <x:c r="X122" s="56" t="str">
        <x:f>IF(ISBLANK('Deal_Master_Wide'!$DU$20),"",'Deal_Master_Wide'!$DU$20)</x:f>
      </x:c>
      <x:c r="Y122" s="54" t="str">
        <x:f>IF(ISBLANK('Deal_Master_Wide'!$EB$20),"",'Deal_Master_Wide'!$EB$20)</x:f>
      </x:c>
      <x:c r="Z122" s="54" t="str">
        <x:f>IF(ISBLANK('Deal_Master_Wide'!$EI$20),"",'Deal_Master_Wide'!$EI$20)</x:f>
      </x:c>
      <x:c r="AA122" s="52" t="str">
        <x:f>IF(ISBLANK('Deal_Master_Wide'!$AL$20),"",'Deal_Master_Wide'!$AL$20)</x:f>
        <x:v>Unknown</x:v>
      </x:c>
      <x:c r="AB122" s="54" t="n">
        <x:f>IF(ISBLANK('Deal_Master_Wide'!$AF$20),"",'Deal_Master_Wide'!$AF$20)</x:f>
        <x:v>143</x:v>
      </x:c>
      <x:c r="AC122" s="52" t="str">
        <x:f>IF(COUNT($P122,$Q122,$R122,$S122,$T122,$U122,$V122,$W122,$X122)=9,"Yes","No")</x:f>
        <x:v>No</x:v>
      </x:c>
      <x:c r="AD122" s="52" t="str">
        <x:f>IF(COUNT($Y122,$Z122)=2,"Yes","No")</x:f>
        <x:v>No</x:v>
      </x:c>
      <x:c r="AE122" s="50" t="str"/>
      <x:c r="AF122" t="str"/>
    </x:row>
    <x:row r="123" ht="20" customHeight="1">
      <x:c r="A123" s="50" t="str">
        <x:v>TRT-0018</x:v>
      </x:c>
      <x:c r="B123" s="50" t="str">
        <x:v>Candidate treatment group</x:v>
      </x:c>
      <x:c r="C123" s="52" t="str">
        <x:f>IF('Deal_Master_Wide'!$AU$20="","",'Deal_Master_Wide'!$AU$20)</x:f>
        <x:v>Not reviewed</x:v>
      </x:c>
      <x:c r="D123" s="52" t="str">
        <x:f>IF('Deal_Master_Wide'!$AV$20="","",'Deal_Master_Wide'!$AV$20)</x:f>
        <x:v>Not assessed</x:v>
      </x:c>
      <x:c r="E123" s="50" t="n">
        <x:v>1</x:v>
      </x:c>
      <x:c r="F123" s="52" t="str">
        <x:f>IF(OR($C123="High-confidence innovation-driven",$C123="Medium-confidence innovation-driven"),1,IF($C123="Clear alternative-rationale",0,""))</x:f>
      </x:c>
      <x:c r="G123" s="52" t="str">
        <x:f>IF('Deal_Master_Wide'!$M$20="","",'Deal_Master_Wide'!$M$20)</x:f>
        <x:v>Review</x:v>
      </x:c>
      <x:c r="H123" s="50" t="str">
        <x:v>Agile Pharma BV</x:v>
      </x:c>
      <x:c r="I123" s="50" t="str">
        <x:v>Generis Pharmaceuticals SA</x:v>
      </x:c>
      <x:c r="J123" s="50" t="n">
        <x:v>2017</x:v>
      </x:c>
      <x:c r="K123" s="50" t="n">
        <x:v>-1</x:v>
      </x:c>
      <x:c r="L123" s="50" t="n">
        <x:v>2016</x:v>
      </x:c>
      <x:c r="M123" s="50" t="n">
        <x:v>0</x:v>
      </x:c>
      <x:c r="N123" s="50" t="n">
        <x:v>0</x:v>
      </x:c>
      <x:c r="O123" s="52" t="str">
        <x:f>IF($F123="","",$F123*$M123)</x:f>
      </x:c>
      <x:c r="P123" s="54" t="str">
        <x:f>IF(ISBLANK('Deal_Master_Wide'!$BR$20),"",'Deal_Master_Wide'!$BR$20)</x:f>
      </x:c>
      <x:c r="Q123" s="54" t="str">
        <x:f>IF(ISBLANK('Deal_Master_Wide'!$BY$20),"",'Deal_Master_Wide'!$BY$20)</x:f>
      </x:c>
      <x:c r="R123" s="54" t="str">
        <x:f>IF(ISBLANK('Deal_Master_Wide'!$CF$20),"",'Deal_Master_Wide'!$CF$20)</x:f>
      </x:c>
      <x:c r="S123" s="54" t="str">
        <x:f>IF(ISBLANK('Deal_Master_Wide'!$CM$20),"",'Deal_Master_Wide'!$CM$20)</x:f>
      </x:c>
      <x:c r="T123" s="54" t="str">
        <x:f>IF(ISBLANK('Deal_Master_Wide'!$CT$20),"",'Deal_Master_Wide'!$CT$20)</x:f>
      </x:c>
      <x:c r="U123" s="54" t="str">
        <x:f>IF(ISBLANK('Deal_Master_Wide'!$DA$20),"",'Deal_Master_Wide'!$DA$20)</x:f>
      </x:c>
      <x:c r="V123" s="56" t="str">
        <x:f>IF(ISBLANK('Deal_Master_Wide'!$DH$20),"",'Deal_Master_Wide'!$DH$20)</x:f>
      </x:c>
      <x:c r="W123" s="56" t="str">
        <x:f>IF(ISBLANK('Deal_Master_Wide'!$DO$20),"",'Deal_Master_Wide'!$DO$20)</x:f>
      </x:c>
      <x:c r="X123" s="56" t="str">
        <x:f>IF(ISBLANK('Deal_Master_Wide'!$DV$20),"",'Deal_Master_Wide'!$DV$20)</x:f>
      </x:c>
      <x:c r="Y123" s="54" t="str">
        <x:f>IF(ISBLANK('Deal_Master_Wide'!$EC$20),"",'Deal_Master_Wide'!$EC$20)</x:f>
      </x:c>
      <x:c r="Z123" s="54" t="str">
        <x:f>IF(ISBLANK('Deal_Master_Wide'!$EJ$20),"",'Deal_Master_Wide'!$EJ$20)</x:f>
      </x:c>
      <x:c r="AA123" s="52" t="str">
        <x:f>IF(ISBLANK('Deal_Master_Wide'!$AL$20),"",'Deal_Master_Wide'!$AL$20)</x:f>
        <x:v>Unknown</x:v>
      </x:c>
      <x:c r="AB123" s="54" t="n">
        <x:f>IF(ISBLANK('Deal_Master_Wide'!$AF$20),"",'Deal_Master_Wide'!$AF$20)</x:f>
        <x:v>143</x:v>
      </x:c>
      <x:c r="AC123" s="52" t="str">
        <x:f>IF(COUNT($P123,$Q123,$R123,$S123,$T123,$U123,$V123,$W123,$X123)=9,"Yes","No")</x:f>
        <x:v>No</x:v>
      </x:c>
      <x:c r="AD123" s="52" t="str">
        <x:f>IF(COUNT($Y123,$Z123)=2,"Yes","No")</x:f>
        <x:v>No</x:v>
      </x:c>
      <x:c r="AE123" s="50" t="str"/>
      <x:c r="AF123" t="str"/>
    </x:row>
    <x:row r="124" ht="20" customHeight="1">
      <x:c r="A124" s="50" t="str">
        <x:v>TRT-0018</x:v>
      </x:c>
      <x:c r="B124" s="50" t="str">
        <x:v>Candidate treatment group</x:v>
      </x:c>
      <x:c r="C124" s="52" t="str">
        <x:f>IF('Deal_Master_Wide'!$AU$20="","",'Deal_Master_Wide'!$AU$20)</x:f>
        <x:v>Not reviewed</x:v>
      </x:c>
      <x:c r="D124" s="52" t="str">
        <x:f>IF('Deal_Master_Wide'!$AV$20="","",'Deal_Master_Wide'!$AV$20)</x:f>
        <x:v>Not assessed</x:v>
      </x:c>
      <x:c r="E124" s="50" t="n">
        <x:v>1</x:v>
      </x:c>
      <x:c r="F124" s="52" t="str">
        <x:f>IF(OR($C124="High-confidence innovation-driven",$C124="Medium-confidence innovation-driven"),1,IF($C124="Clear alternative-rationale",0,""))</x:f>
      </x:c>
      <x:c r="G124" s="52" t="str">
        <x:f>IF('Deal_Master_Wide'!$M$20="","",'Deal_Master_Wide'!$M$20)</x:f>
        <x:v>Review</x:v>
      </x:c>
      <x:c r="H124" s="50" t="str">
        <x:v>Agile Pharma BV</x:v>
      </x:c>
      <x:c r="I124" s="50" t="str">
        <x:v>Generis Pharmaceuticals SA</x:v>
      </x:c>
      <x:c r="J124" s="50" t="n">
        <x:v>2017</x:v>
      </x:c>
      <x:c r="K124" s="50" t="n">
        <x:v>0</x:v>
      </x:c>
      <x:c r="L124" s="50" t="n">
        <x:v>2017</x:v>
      </x:c>
      <x:c r="M124" s="50" t="n">
        <x:v>0</x:v>
      </x:c>
      <x:c r="N124" s="50" t="n">
        <x:v>1</x:v>
      </x:c>
      <x:c r="O124" s="52" t="str">
        <x:f>IF($F124="","",$F124*$M124)</x:f>
      </x:c>
      <x:c r="P124" s="54" t="str">
        <x:f>IF(ISBLANK('Deal_Master_Wide'!$BS$20),"",'Deal_Master_Wide'!$BS$20)</x:f>
      </x:c>
      <x:c r="Q124" s="54" t="str">
        <x:f>IF(ISBLANK('Deal_Master_Wide'!$BZ$20),"",'Deal_Master_Wide'!$BZ$20)</x:f>
      </x:c>
      <x:c r="R124" s="54" t="str">
        <x:f>IF(ISBLANK('Deal_Master_Wide'!$CG$20),"",'Deal_Master_Wide'!$CG$20)</x:f>
      </x:c>
      <x:c r="S124" s="54" t="str">
        <x:f>IF(ISBLANK('Deal_Master_Wide'!$CN$20),"",'Deal_Master_Wide'!$CN$20)</x:f>
      </x:c>
      <x:c r="T124" s="54" t="str">
        <x:f>IF(ISBLANK('Deal_Master_Wide'!$CU$20),"",'Deal_Master_Wide'!$CU$20)</x:f>
      </x:c>
      <x:c r="U124" s="54" t="str">
        <x:f>IF(ISBLANK('Deal_Master_Wide'!$DB$20),"",'Deal_Master_Wide'!$DB$20)</x:f>
      </x:c>
      <x:c r="V124" s="56" t="str">
        <x:f>IF(ISBLANK('Deal_Master_Wide'!$DI$20),"",'Deal_Master_Wide'!$DI$20)</x:f>
      </x:c>
      <x:c r="W124" s="56" t="str">
        <x:f>IF(ISBLANK('Deal_Master_Wide'!$DP$20),"",'Deal_Master_Wide'!$DP$20)</x:f>
      </x:c>
      <x:c r="X124" s="56" t="str">
        <x:f>IF(ISBLANK('Deal_Master_Wide'!$DW$20),"",'Deal_Master_Wide'!$DW$20)</x:f>
      </x:c>
      <x:c r="Y124" s="54" t="str">
        <x:f>IF(ISBLANK('Deal_Master_Wide'!$ED$20),"",'Deal_Master_Wide'!$ED$20)</x:f>
      </x:c>
      <x:c r="Z124" s="54" t="str">
        <x:f>IF(ISBLANK('Deal_Master_Wide'!$EK$20),"",'Deal_Master_Wide'!$EK$20)</x:f>
      </x:c>
      <x:c r="AA124" s="52" t="str">
        <x:f>IF(ISBLANK('Deal_Master_Wide'!$AL$20),"",'Deal_Master_Wide'!$AL$20)</x:f>
        <x:v>Unknown</x:v>
      </x:c>
      <x:c r="AB124" s="54" t="n">
        <x:f>IF(ISBLANK('Deal_Master_Wide'!$AF$20),"",'Deal_Master_Wide'!$AF$20)</x:f>
        <x:v>143</x:v>
      </x:c>
      <x:c r="AC124" s="52" t="str">
        <x:f>IF(COUNT($P124,$Q124,$R124,$S124,$T124,$U124,$V124,$W124,$X124)=9,"Yes","No")</x:f>
        <x:v>No</x:v>
      </x:c>
      <x:c r="AD124" s="52" t="str">
        <x:f>IF(COUNT($Y124,$Z124)=2,"Yes","No")</x:f>
        <x:v>No</x:v>
      </x:c>
      <x:c r="AE124" s="50" t="str"/>
      <x:c r="AF124" t="str"/>
    </x:row>
    <x:row r="125" ht="20" customHeight="1">
      <x:c r="A125" s="50" t="str">
        <x:v>TRT-0018</x:v>
      </x:c>
      <x:c r="B125" s="50" t="str">
        <x:v>Candidate treatment group</x:v>
      </x:c>
      <x:c r="C125" s="52" t="str">
        <x:f>IF('Deal_Master_Wide'!$AU$20="","",'Deal_Master_Wide'!$AU$20)</x:f>
        <x:v>Not reviewed</x:v>
      </x:c>
      <x:c r="D125" s="52" t="str">
        <x:f>IF('Deal_Master_Wide'!$AV$20="","",'Deal_Master_Wide'!$AV$20)</x:f>
        <x:v>Not assessed</x:v>
      </x:c>
      <x:c r="E125" s="50" t="n">
        <x:v>1</x:v>
      </x:c>
      <x:c r="F125" s="52" t="str">
        <x:f>IF(OR($C125="High-confidence innovation-driven",$C125="Medium-confidence innovation-driven"),1,IF($C125="Clear alternative-rationale",0,""))</x:f>
      </x:c>
      <x:c r="G125" s="52" t="str">
        <x:f>IF('Deal_Master_Wide'!$M$20="","",'Deal_Master_Wide'!$M$20)</x:f>
        <x:v>Review</x:v>
      </x:c>
      <x:c r="H125" s="50" t="str">
        <x:v>Agile Pharma BV</x:v>
      </x:c>
      <x:c r="I125" s="50" t="str">
        <x:v>Generis Pharmaceuticals SA</x:v>
      </x:c>
      <x:c r="J125" s="50" t="n">
        <x:v>2017</x:v>
      </x:c>
      <x:c r="K125" s="50" t="n">
        <x:v>1</x:v>
      </x:c>
      <x:c r="L125" s="50" t="n">
        <x:v>2018</x:v>
      </x:c>
      <x:c r="M125" s="50" t="n">
        <x:v>1</x:v>
      </x:c>
      <x:c r="N125" s="50" t="n">
        <x:v>1</x:v>
      </x:c>
      <x:c r="O125" s="52" t="str">
        <x:f>IF($F125="","",$F125*$M125)</x:f>
      </x:c>
      <x:c r="P125" s="54" t="str">
        <x:f>IF(ISBLANK('Deal_Master_Wide'!$BT$20),"",'Deal_Master_Wide'!$BT$20)</x:f>
      </x:c>
      <x:c r="Q125" s="54" t="str">
        <x:f>IF(ISBLANK('Deal_Master_Wide'!$CA$20),"",'Deal_Master_Wide'!$CA$20)</x:f>
      </x:c>
      <x:c r="R125" s="54" t="str">
        <x:f>IF(ISBLANK('Deal_Master_Wide'!$CH$20),"",'Deal_Master_Wide'!$CH$20)</x:f>
      </x:c>
      <x:c r="S125" s="54" t="str">
        <x:f>IF(ISBLANK('Deal_Master_Wide'!$CO$20),"",'Deal_Master_Wide'!$CO$20)</x:f>
      </x:c>
      <x:c r="T125" s="54" t="str">
        <x:f>IF(ISBLANK('Deal_Master_Wide'!$CV$20),"",'Deal_Master_Wide'!$CV$20)</x:f>
      </x:c>
      <x:c r="U125" s="54" t="str">
        <x:f>IF(ISBLANK('Deal_Master_Wide'!$DC$20),"",'Deal_Master_Wide'!$DC$20)</x:f>
      </x:c>
      <x:c r="V125" s="56" t="str">
        <x:f>IF(ISBLANK('Deal_Master_Wide'!$DJ$20),"",'Deal_Master_Wide'!$DJ$20)</x:f>
      </x:c>
      <x:c r="W125" s="56" t="str">
        <x:f>IF(ISBLANK('Deal_Master_Wide'!$DQ$20),"",'Deal_Master_Wide'!$DQ$20)</x:f>
      </x:c>
      <x:c r="X125" s="56" t="str">
        <x:f>IF(ISBLANK('Deal_Master_Wide'!$DX$20),"",'Deal_Master_Wide'!$DX$20)</x:f>
      </x:c>
      <x:c r="Y125" s="54" t="str">
        <x:f>IF(ISBLANK('Deal_Master_Wide'!$EE$20),"",'Deal_Master_Wide'!$EE$20)</x:f>
      </x:c>
      <x:c r="Z125" s="54" t="str">
        <x:f>IF(ISBLANK('Deal_Master_Wide'!$EL$20),"",'Deal_Master_Wide'!$EL$20)</x:f>
      </x:c>
      <x:c r="AA125" s="52" t="str">
        <x:f>IF(ISBLANK('Deal_Master_Wide'!$AL$20),"",'Deal_Master_Wide'!$AL$20)</x:f>
        <x:v>Unknown</x:v>
      </x:c>
      <x:c r="AB125" s="54" t="n">
        <x:f>IF(ISBLANK('Deal_Master_Wide'!$AF$20),"",'Deal_Master_Wide'!$AF$20)</x:f>
        <x:v>143</x:v>
      </x:c>
      <x:c r="AC125" s="52" t="str">
        <x:f>IF(COUNT($P125,$Q125,$R125,$S125,$T125,$U125,$V125,$W125,$X125)=9,"Yes","No")</x:f>
        <x:v>No</x:v>
      </x:c>
      <x:c r="AD125" s="52" t="str">
        <x:f>IF(COUNT($Y125,$Z125)=2,"Yes","No")</x:f>
        <x:v>No</x:v>
      </x:c>
      <x:c r="AE125" s="50" t="str"/>
      <x:c r="AF125" t="str"/>
    </x:row>
    <x:row r="126" ht="20" customHeight="1">
      <x:c r="A126" s="50" t="str">
        <x:v>TRT-0018</x:v>
      </x:c>
      <x:c r="B126" s="50" t="str">
        <x:v>Candidate treatment group</x:v>
      </x:c>
      <x:c r="C126" s="52" t="str">
        <x:f>IF('Deal_Master_Wide'!$AU$20="","",'Deal_Master_Wide'!$AU$20)</x:f>
        <x:v>Not reviewed</x:v>
      </x:c>
      <x:c r="D126" s="52" t="str">
        <x:f>IF('Deal_Master_Wide'!$AV$20="","",'Deal_Master_Wide'!$AV$20)</x:f>
        <x:v>Not assessed</x:v>
      </x:c>
      <x:c r="E126" s="50" t="n">
        <x:v>1</x:v>
      </x:c>
      <x:c r="F126" s="52" t="str">
        <x:f>IF(OR($C126="High-confidence innovation-driven",$C126="Medium-confidence innovation-driven"),1,IF($C126="Clear alternative-rationale",0,""))</x:f>
      </x:c>
      <x:c r="G126" s="52" t="str">
        <x:f>IF('Deal_Master_Wide'!$M$20="","",'Deal_Master_Wide'!$M$20)</x:f>
        <x:v>Review</x:v>
      </x:c>
      <x:c r="H126" s="50" t="str">
        <x:v>Agile Pharma BV</x:v>
      </x:c>
      <x:c r="I126" s="50" t="str">
        <x:v>Generis Pharmaceuticals SA</x:v>
      </x:c>
      <x:c r="J126" s="50" t="n">
        <x:v>2017</x:v>
      </x:c>
      <x:c r="K126" s="50" t="n">
        <x:v>2</x:v>
      </x:c>
      <x:c r="L126" s="50" t="n">
        <x:v>2019</x:v>
      </x:c>
      <x:c r="M126" s="50" t="n">
        <x:v>1</x:v>
      </x:c>
      <x:c r="N126" s="50" t="n">
        <x:v>1</x:v>
      </x:c>
      <x:c r="O126" s="52" t="str">
        <x:f>IF($F126="","",$F126*$M126)</x:f>
      </x:c>
      <x:c r="P126" s="54" t="str">
        <x:f>IF(ISBLANK('Deal_Master_Wide'!$BU$20),"",'Deal_Master_Wide'!$BU$20)</x:f>
      </x:c>
      <x:c r="Q126" s="54" t="str">
        <x:f>IF(ISBLANK('Deal_Master_Wide'!$CB$20),"",'Deal_Master_Wide'!$CB$20)</x:f>
      </x:c>
      <x:c r="R126" s="54" t="str">
        <x:f>IF(ISBLANK('Deal_Master_Wide'!$CI$20),"",'Deal_Master_Wide'!$CI$20)</x:f>
      </x:c>
      <x:c r="S126" s="54" t="str">
        <x:f>IF(ISBLANK('Deal_Master_Wide'!$CP$20),"",'Deal_Master_Wide'!$CP$20)</x:f>
      </x:c>
      <x:c r="T126" s="54" t="str">
        <x:f>IF(ISBLANK('Deal_Master_Wide'!$CW$20),"",'Deal_Master_Wide'!$CW$20)</x:f>
      </x:c>
      <x:c r="U126" s="54" t="str">
        <x:f>IF(ISBLANK('Deal_Master_Wide'!$DD$20),"",'Deal_Master_Wide'!$DD$20)</x:f>
      </x:c>
      <x:c r="V126" s="56" t="str">
        <x:f>IF(ISBLANK('Deal_Master_Wide'!$DK$20),"",'Deal_Master_Wide'!$DK$20)</x:f>
      </x:c>
      <x:c r="W126" s="56" t="str">
        <x:f>IF(ISBLANK('Deal_Master_Wide'!$DR$20),"",'Deal_Master_Wide'!$DR$20)</x:f>
      </x:c>
      <x:c r="X126" s="56" t="str">
        <x:f>IF(ISBLANK('Deal_Master_Wide'!$DY$20),"",'Deal_Master_Wide'!$DY$20)</x:f>
      </x:c>
      <x:c r="Y126" s="54" t="str">
        <x:f>IF(ISBLANK('Deal_Master_Wide'!$EF$20),"",'Deal_Master_Wide'!$EF$20)</x:f>
      </x:c>
      <x:c r="Z126" s="54" t="str">
        <x:f>IF(ISBLANK('Deal_Master_Wide'!$EM$20),"",'Deal_Master_Wide'!$EM$20)</x:f>
      </x:c>
      <x:c r="AA126" s="52" t="str">
        <x:f>IF(ISBLANK('Deal_Master_Wide'!$AL$20),"",'Deal_Master_Wide'!$AL$20)</x:f>
        <x:v>Unknown</x:v>
      </x:c>
      <x:c r="AB126" s="54" t="n">
        <x:f>IF(ISBLANK('Deal_Master_Wide'!$AF$20),"",'Deal_Master_Wide'!$AF$20)</x:f>
        <x:v>143</x:v>
      </x:c>
      <x:c r="AC126" s="52" t="str">
        <x:f>IF(COUNT($P126,$Q126,$R126,$S126,$T126,$U126,$V126,$W126,$X126)=9,"Yes","No")</x:f>
        <x:v>No</x:v>
      </x:c>
      <x:c r="AD126" s="52" t="str">
        <x:f>IF(COUNT($Y126,$Z126)=2,"Yes","No")</x:f>
        <x:v>No</x:v>
      </x:c>
      <x:c r="AE126" s="50" t="str"/>
      <x:c r="AF126" t="str"/>
    </x:row>
    <x:row r="127" ht="20" customHeight="1">
      <x:c r="A127" s="50" t="str">
        <x:v>TRT-0018</x:v>
      </x:c>
      <x:c r="B127" s="50" t="str">
        <x:v>Candidate treatment group</x:v>
      </x:c>
      <x:c r="C127" s="52" t="str">
        <x:f>IF('Deal_Master_Wide'!$AU$20="","",'Deal_Master_Wide'!$AU$20)</x:f>
        <x:v>Not reviewed</x:v>
      </x:c>
      <x:c r="D127" s="52" t="str">
        <x:f>IF('Deal_Master_Wide'!$AV$20="","",'Deal_Master_Wide'!$AV$20)</x:f>
        <x:v>Not assessed</x:v>
      </x:c>
      <x:c r="E127" s="50" t="n">
        <x:v>1</x:v>
      </x:c>
      <x:c r="F127" s="52" t="str">
        <x:f>IF(OR($C127="High-confidence innovation-driven",$C127="Medium-confidence innovation-driven"),1,IF($C127="Clear alternative-rationale",0,""))</x:f>
      </x:c>
      <x:c r="G127" s="52" t="str">
        <x:f>IF('Deal_Master_Wide'!$M$20="","",'Deal_Master_Wide'!$M$20)</x:f>
        <x:v>Review</x:v>
      </x:c>
      <x:c r="H127" s="50" t="str">
        <x:v>Agile Pharma BV</x:v>
      </x:c>
      <x:c r="I127" s="50" t="str">
        <x:v>Generis Pharmaceuticals SA</x:v>
      </x:c>
      <x:c r="J127" s="50" t="n">
        <x:v>2017</x:v>
      </x:c>
      <x:c r="K127" s="50" t="n">
        <x:v>3</x:v>
      </x:c>
      <x:c r="L127" s="50" t="n">
        <x:v>2020</x:v>
      </x:c>
      <x:c r="M127" s="50" t="n">
        <x:v>1</x:v>
      </x:c>
      <x:c r="N127" s="50" t="n">
        <x:v>1</x:v>
      </x:c>
      <x:c r="O127" s="52" t="str">
        <x:f>IF($F127="","",$F127*$M127)</x:f>
      </x:c>
      <x:c r="P127" s="54" t="str">
        <x:f>IF(ISBLANK('Deal_Master_Wide'!$BV$20),"",'Deal_Master_Wide'!$BV$20)</x:f>
      </x:c>
      <x:c r="Q127" s="54" t="str">
        <x:f>IF(ISBLANK('Deal_Master_Wide'!$CC$20),"",'Deal_Master_Wide'!$CC$20)</x:f>
      </x:c>
      <x:c r="R127" s="54" t="str">
        <x:f>IF(ISBLANK('Deal_Master_Wide'!$CJ$20),"",'Deal_Master_Wide'!$CJ$20)</x:f>
      </x:c>
      <x:c r="S127" s="54" t="str">
        <x:f>IF(ISBLANK('Deal_Master_Wide'!$CQ$20),"",'Deal_Master_Wide'!$CQ$20)</x:f>
      </x:c>
      <x:c r="T127" s="54" t="str">
        <x:f>IF(ISBLANK('Deal_Master_Wide'!$CX$20),"",'Deal_Master_Wide'!$CX$20)</x:f>
      </x:c>
      <x:c r="U127" s="54" t="str">
        <x:f>IF(ISBLANK('Deal_Master_Wide'!$DE$20),"",'Deal_Master_Wide'!$DE$20)</x:f>
      </x:c>
      <x:c r="V127" s="56" t="str">
        <x:f>IF(ISBLANK('Deal_Master_Wide'!$DL$20),"",'Deal_Master_Wide'!$DL$20)</x:f>
      </x:c>
      <x:c r="W127" s="56" t="str">
        <x:f>IF(ISBLANK('Deal_Master_Wide'!$DS$20),"",'Deal_Master_Wide'!$DS$20)</x:f>
      </x:c>
      <x:c r="X127" s="56" t="str">
        <x:f>IF(ISBLANK('Deal_Master_Wide'!$DZ$20),"",'Deal_Master_Wide'!$DZ$20)</x:f>
      </x:c>
      <x:c r="Y127" s="54" t="str">
        <x:f>IF(ISBLANK('Deal_Master_Wide'!$EG$20),"",'Deal_Master_Wide'!$EG$20)</x:f>
      </x:c>
      <x:c r="Z127" s="54" t="str">
        <x:f>IF(ISBLANK('Deal_Master_Wide'!$EN$20),"",'Deal_Master_Wide'!$EN$20)</x:f>
      </x:c>
      <x:c r="AA127" s="52" t="str">
        <x:f>IF(ISBLANK('Deal_Master_Wide'!$AL$20),"",'Deal_Master_Wide'!$AL$20)</x:f>
        <x:v>Unknown</x:v>
      </x:c>
      <x:c r="AB127" s="54" t="n">
        <x:f>IF(ISBLANK('Deal_Master_Wide'!$AF$20),"",'Deal_Master_Wide'!$AF$20)</x:f>
        <x:v>143</x:v>
      </x:c>
      <x:c r="AC127" s="52" t="str">
        <x:f>IF(COUNT($P127,$Q127,$R127,$S127,$T127,$U127,$V127,$W127,$X127)=9,"Yes","No")</x:f>
        <x:v>No</x:v>
      </x:c>
      <x:c r="AD127" s="52" t="str">
        <x:f>IF(COUNT($Y127,$Z127)=2,"Yes","No")</x:f>
        <x:v>No</x:v>
      </x:c>
      <x:c r="AE127" s="50" t="str"/>
      <x:c r="AF127" t="str"/>
    </x:row>
    <x:row r="128" ht="20" customHeight="1">
      <x:c r="A128" s="50" t="str">
        <x:v>TRT-0019</x:v>
      </x:c>
      <x:c r="B128" s="50" t="str">
        <x:v>Candidate treatment group</x:v>
      </x:c>
      <x:c r="C128" s="52" t="str">
        <x:f>IF('Deal_Master_Wide'!$AU$21="","",'Deal_Master_Wide'!$AU$21)</x:f>
        <x:v>Not reviewed</x:v>
      </x:c>
      <x:c r="D128" s="52" t="str">
        <x:f>IF('Deal_Master_Wide'!$AV$21="","",'Deal_Master_Wide'!$AV$21)</x:f>
        <x:v>Not assessed</x:v>
      </x:c>
      <x:c r="E128" s="50" t="n">
        <x:v>1</x:v>
      </x:c>
      <x:c r="F128" s="52" t="str">
        <x:f>IF(OR($C128="High-confidence innovation-driven",$C128="Medium-confidence innovation-driven"),1,IF($C128="Clear alternative-rationale",0,""))</x:f>
      </x:c>
      <x:c r="G128" s="52" t="str">
        <x:f>IF('Deal_Master_Wide'!$M$21="","",'Deal_Master_Wide'!$M$21)</x:f>
        <x:v>Review</x:v>
      </x:c>
      <x:c r="H128" s="50" t="str">
        <x:v>Calliditas Therapeutics France SAS</x:v>
      </x:c>
      <x:c r="I128" s="50" t="str">
        <x:v>Calliditas Therapeutics France SAS; Calliditas Therapeutics France SAS</x:v>
      </x:c>
      <x:c r="J128" s="50" t="n">
        <x:v>2017</x:v>
      </x:c>
      <x:c r="K128" s="50" t="n">
        <x:v>-3</x:v>
      </x:c>
      <x:c r="L128" s="50" t="n">
        <x:v>2014</x:v>
      </x:c>
      <x:c r="M128" s="50" t="n">
        <x:v>0</x:v>
      </x:c>
      <x:c r="N128" s="50" t="n">
        <x:v>0</x:v>
      </x:c>
      <x:c r="O128" s="52" t="str">
        <x:f>IF($F128="","",$F128*$M128)</x:f>
      </x:c>
      <x:c r="P128" s="54" t="str">
        <x:f>IF(ISBLANK('Deal_Master_Wide'!$BP$21),"",'Deal_Master_Wide'!$BP$21)</x:f>
      </x:c>
      <x:c r="Q128" s="54" t="str">
        <x:f>IF(ISBLANK('Deal_Master_Wide'!$BW$21),"",'Deal_Master_Wide'!$BW$21)</x:f>
      </x:c>
      <x:c r="R128" s="54" t="str">
        <x:f>IF(ISBLANK('Deal_Master_Wide'!$CD$21),"",'Deal_Master_Wide'!$CD$21)</x:f>
      </x:c>
      <x:c r="S128" s="54" t="str">
        <x:f>IF(ISBLANK('Deal_Master_Wide'!$CK$21),"",'Deal_Master_Wide'!$CK$21)</x:f>
      </x:c>
      <x:c r="T128" s="54" t="str">
        <x:f>IF(ISBLANK('Deal_Master_Wide'!$CR$21),"",'Deal_Master_Wide'!$CR$21)</x:f>
      </x:c>
      <x:c r="U128" s="54" t="str">
        <x:f>IF(ISBLANK('Deal_Master_Wide'!$CY$21),"",'Deal_Master_Wide'!$CY$21)</x:f>
      </x:c>
      <x:c r="V128" s="56" t="str">
        <x:f>IF(ISBLANK('Deal_Master_Wide'!$DF$21),"",'Deal_Master_Wide'!$DF$21)</x:f>
      </x:c>
      <x:c r="W128" s="56" t="str">
        <x:f>IF(ISBLANK('Deal_Master_Wide'!$DM$21),"",'Deal_Master_Wide'!$DM$21)</x:f>
      </x:c>
      <x:c r="X128" s="56" t="str">
        <x:f>IF(ISBLANK('Deal_Master_Wide'!$DT$21),"",'Deal_Master_Wide'!$DT$21)</x:f>
      </x:c>
      <x:c r="Y128" s="54" t="str">
        <x:f>IF(ISBLANK('Deal_Master_Wide'!$EA$21),"",'Deal_Master_Wide'!$EA$21)</x:f>
      </x:c>
      <x:c r="Z128" s="54" t="str">
        <x:f>IF(ISBLANK('Deal_Master_Wide'!$EH$21),"",'Deal_Master_Wide'!$EH$21)</x:f>
      </x:c>
      <x:c r="AA128" s="52" t="str">
        <x:f>IF(ISBLANK('Deal_Master_Wide'!$AL$21),"",'Deal_Master_Wide'!$AL$21)</x:f>
        <x:v>Unknown</x:v>
      </x:c>
      <x:c r="AB128" s="54" t="n">
        <x:f>IF(ISBLANK('Deal_Master_Wide'!$AF$21),"",'Deal_Master_Wide'!$AF$21)</x:f>
        <x:v>156</x:v>
      </x:c>
      <x:c r="AC128" s="52" t="str">
        <x:f>IF(COUNT($P128,$Q128,$R128,$S128,$T128,$U128,$V128,$W128,$X128)=9,"Yes","No")</x:f>
        <x:v>No</x:v>
      </x:c>
      <x:c r="AD128" s="52" t="str">
        <x:f>IF(COUNT($Y128,$Z128)=2,"Yes","No")</x:f>
        <x:v>No</x:v>
      </x:c>
      <x:c r="AE128" s="50" t="str"/>
      <x:c r="AF128" t="str"/>
    </x:row>
    <x:row r="129" ht="20" customHeight="1">
      <x:c r="A129" s="50" t="str">
        <x:v>TRT-0019</x:v>
      </x:c>
      <x:c r="B129" s="50" t="str">
        <x:v>Candidate treatment group</x:v>
      </x:c>
      <x:c r="C129" s="52" t="str">
        <x:f>IF('Deal_Master_Wide'!$AU$21="","",'Deal_Master_Wide'!$AU$21)</x:f>
        <x:v>Not reviewed</x:v>
      </x:c>
      <x:c r="D129" s="52" t="str">
        <x:f>IF('Deal_Master_Wide'!$AV$21="","",'Deal_Master_Wide'!$AV$21)</x:f>
        <x:v>Not assessed</x:v>
      </x:c>
      <x:c r="E129" s="50" t="n">
        <x:v>1</x:v>
      </x:c>
      <x:c r="F129" s="52" t="str">
        <x:f>IF(OR($C129="High-confidence innovation-driven",$C129="Medium-confidence innovation-driven"),1,IF($C129="Clear alternative-rationale",0,""))</x:f>
      </x:c>
      <x:c r="G129" s="52" t="str">
        <x:f>IF('Deal_Master_Wide'!$M$21="","",'Deal_Master_Wide'!$M$21)</x:f>
        <x:v>Review</x:v>
      </x:c>
      <x:c r="H129" s="50" t="str">
        <x:v>Calliditas Therapeutics France SAS</x:v>
      </x:c>
      <x:c r="I129" s="50" t="str">
        <x:v>Calliditas Therapeutics France SAS; Calliditas Therapeutics France SAS</x:v>
      </x:c>
      <x:c r="J129" s="50" t="n">
        <x:v>2017</x:v>
      </x:c>
      <x:c r="K129" s="50" t="n">
        <x:v>-2</x:v>
      </x:c>
      <x:c r="L129" s="50" t="n">
        <x:v>2015</x:v>
      </x:c>
      <x:c r="M129" s="50" t="n">
        <x:v>0</x:v>
      </x:c>
      <x:c r="N129" s="50" t="n">
        <x:v>0</x:v>
      </x:c>
      <x:c r="O129" s="52" t="str">
        <x:f>IF($F129="","",$F129*$M129)</x:f>
      </x:c>
      <x:c r="P129" s="54" t="str">
        <x:f>IF(ISBLANK('Deal_Master_Wide'!$BQ$21),"",'Deal_Master_Wide'!$BQ$21)</x:f>
      </x:c>
      <x:c r="Q129" s="54" t="str">
        <x:f>IF(ISBLANK('Deal_Master_Wide'!$BX$21),"",'Deal_Master_Wide'!$BX$21)</x:f>
      </x:c>
      <x:c r="R129" s="54" t="str">
        <x:f>IF(ISBLANK('Deal_Master_Wide'!$CE$21),"",'Deal_Master_Wide'!$CE$21)</x:f>
      </x:c>
      <x:c r="S129" s="54" t="str">
        <x:f>IF(ISBLANK('Deal_Master_Wide'!$CL$21),"",'Deal_Master_Wide'!$CL$21)</x:f>
      </x:c>
      <x:c r="T129" s="54" t="str">
        <x:f>IF(ISBLANK('Deal_Master_Wide'!$CS$21),"",'Deal_Master_Wide'!$CS$21)</x:f>
      </x:c>
      <x:c r="U129" s="54" t="str">
        <x:f>IF(ISBLANK('Deal_Master_Wide'!$CZ$21),"",'Deal_Master_Wide'!$CZ$21)</x:f>
      </x:c>
      <x:c r="V129" s="56" t="str">
        <x:f>IF(ISBLANK('Deal_Master_Wide'!$DG$21),"",'Deal_Master_Wide'!$DG$21)</x:f>
      </x:c>
      <x:c r="W129" s="56" t="str">
        <x:f>IF(ISBLANK('Deal_Master_Wide'!$DN$21),"",'Deal_Master_Wide'!$DN$21)</x:f>
      </x:c>
      <x:c r="X129" s="56" t="str">
        <x:f>IF(ISBLANK('Deal_Master_Wide'!$DU$21),"",'Deal_Master_Wide'!$DU$21)</x:f>
      </x:c>
      <x:c r="Y129" s="54" t="str">
        <x:f>IF(ISBLANK('Deal_Master_Wide'!$EB$21),"",'Deal_Master_Wide'!$EB$21)</x:f>
      </x:c>
      <x:c r="Z129" s="54" t="str">
        <x:f>IF(ISBLANK('Deal_Master_Wide'!$EI$21),"",'Deal_Master_Wide'!$EI$21)</x:f>
      </x:c>
      <x:c r="AA129" s="52" t="str">
        <x:f>IF(ISBLANK('Deal_Master_Wide'!$AL$21),"",'Deal_Master_Wide'!$AL$21)</x:f>
        <x:v>Unknown</x:v>
      </x:c>
      <x:c r="AB129" s="54" t="n">
        <x:f>IF(ISBLANK('Deal_Master_Wide'!$AF$21),"",'Deal_Master_Wide'!$AF$21)</x:f>
        <x:v>156</x:v>
      </x:c>
      <x:c r="AC129" s="52" t="str">
        <x:f>IF(COUNT($P129,$Q129,$R129,$S129,$T129,$U129,$V129,$W129,$X129)=9,"Yes","No")</x:f>
        <x:v>No</x:v>
      </x:c>
      <x:c r="AD129" s="52" t="str">
        <x:f>IF(COUNT($Y129,$Z129)=2,"Yes","No")</x:f>
        <x:v>No</x:v>
      </x:c>
      <x:c r="AE129" s="50" t="str"/>
      <x:c r="AF129" t="str"/>
    </x:row>
    <x:row r="130" ht="20" customHeight="1">
      <x:c r="A130" s="50" t="str">
        <x:v>TRT-0019</x:v>
      </x:c>
      <x:c r="B130" s="50" t="str">
        <x:v>Candidate treatment group</x:v>
      </x:c>
      <x:c r="C130" s="52" t="str">
        <x:f>IF('Deal_Master_Wide'!$AU$21="","",'Deal_Master_Wide'!$AU$21)</x:f>
        <x:v>Not reviewed</x:v>
      </x:c>
      <x:c r="D130" s="52" t="str">
        <x:f>IF('Deal_Master_Wide'!$AV$21="","",'Deal_Master_Wide'!$AV$21)</x:f>
        <x:v>Not assessed</x:v>
      </x:c>
      <x:c r="E130" s="50" t="n">
        <x:v>1</x:v>
      </x:c>
      <x:c r="F130" s="52" t="str">
        <x:f>IF(OR($C130="High-confidence innovation-driven",$C130="Medium-confidence innovation-driven"),1,IF($C130="Clear alternative-rationale",0,""))</x:f>
      </x:c>
      <x:c r="G130" s="52" t="str">
        <x:f>IF('Deal_Master_Wide'!$M$21="","",'Deal_Master_Wide'!$M$21)</x:f>
        <x:v>Review</x:v>
      </x:c>
      <x:c r="H130" s="50" t="str">
        <x:v>Calliditas Therapeutics France SAS</x:v>
      </x:c>
      <x:c r="I130" s="50" t="str">
        <x:v>Calliditas Therapeutics France SAS; Calliditas Therapeutics France SAS</x:v>
      </x:c>
      <x:c r="J130" s="50" t="n">
        <x:v>2017</x:v>
      </x:c>
      <x:c r="K130" s="50" t="n">
        <x:v>-1</x:v>
      </x:c>
      <x:c r="L130" s="50" t="n">
        <x:v>2016</x:v>
      </x:c>
      <x:c r="M130" s="50" t="n">
        <x:v>0</x:v>
      </x:c>
      <x:c r="N130" s="50" t="n">
        <x:v>0</x:v>
      </x:c>
      <x:c r="O130" s="52" t="str">
        <x:f>IF($F130="","",$F130*$M130)</x:f>
      </x:c>
      <x:c r="P130" s="54" t="str">
        <x:f>IF(ISBLANK('Deal_Master_Wide'!$BR$21),"",'Deal_Master_Wide'!$BR$21)</x:f>
      </x:c>
      <x:c r="Q130" s="54" t="str">
        <x:f>IF(ISBLANK('Deal_Master_Wide'!$BY$21),"",'Deal_Master_Wide'!$BY$21)</x:f>
      </x:c>
      <x:c r="R130" s="54" t="str">
        <x:f>IF(ISBLANK('Deal_Master_Wide'!$CF$21),"",'Deal_Master_Wide'!$CF$21)</x:f>
      </x:c>
      <x:c r="S130" s="54" t="str">
        <x:f>IF(ISBLANK('Deal_Master_Wide'!$CM$21),"",'Deal_Master_Wide'!$CM$21)</x:f>
      </x:c>
      <x:c r="T130" s="54" t="str">
        <x:f>IF(ISBLANK('Deal_Master_Wide'!$CT$21),"",'Deal_Master_Wide'!$CT$21)</x:f>
      </x:c>
      <x:c r="U130" s="54" t="str">
        <x:f>IF(ISBLANK('Deal_Master_Wide'!$DA$21),"",'Deal_Master_Wide'!$DA$21)</x:f>
      </x:c>
      <x:c r="V130" s="56" t="str">
        <x:f>IF(ISBLANK('Deal_Master_Wide'!$DH$21),"",'Deal_Master_Wide'!$DH$21)</x:f>
      </x:c>
      <x:c r="W130" s="56" t="str">
        <x:f>IF(ISBLANK('Deal_Master_Wide'!$DO$21),"",'Deal_Master_Wide'!$DO$21)</x:f>
      </x:c>
      <x:c r="X130" s="56" t="str">
        <x:f>IF(ISBLANK('Deal_Master_Wide'!$DV$21),"",'Deal_Master_Wide'!$DV$21)</x:f>
      </x:c>
      <x:c r="Y130" s="54" t="str">
        <x:f>IF(ISBLANK('Deal_Master_Wide'!$EC$21),"",'Deal_Master_Wide'!$EC$21)</x:f>
      </x:c>
      <x:c r="Z130" s="54" t="str">
        <x:f>IF(ISBLANK('Deal_Master_Wide'!$EJ$21),"",'Deal_Master_Wide'!$EJ$21)</x:f>
      </x:c>
      <x:c r="AA130" s="52" t="str">
        <x:f>IF(ISBLANK('Deal_Master_Wide'!$AL$21),"",'Deal_Master_Wide'!$AL$21)</x:f>
        <x:v>Unknown</x:v>
      </x:c>
      <x:c r="AB130" s="54" t="n">
        <x:f>IF(ISBLANK('Deal_Master_Wide'!$AF$21),"",'Deal_Master_Wide'!$AF$21)</x:f>
        <x:v>156</x:v>
      </x:c>
      <x:c r="AC130" s="52" t="str">
        <x:f>IF(COUNT($P130,$Q130,$R130,$S130,$T130,$U130,$V130,$W130,$X130)=9,"Yes","No")</x:f>
        <x:v>No</x:v>
      </x:c>
      <x:c r="AD130" s="52" t="str">
        <x:f>IF(COUNT($Y130,$Z130)=2,"Yes","No")</x:f>
        <x:v>No</x:v>
      </x:c>
      <x:c r="AE130" s="50" t="str"/>
      <x:c r="AF130" t="str"/>
    </x:row>
    <x:row r="131" ht="20" customHeight="1">
      <x:c r="A131" s="50" t="str">
        <x:v>TRT-0019</x:v>
      </x:c>
      <x:c r="B131" s="50" t="str">
        <x:v>Candidate treatment group</x:v>
      </x:c>
      <x:c r="C131" s="52" t="str">
        <x:f>IF('Deal_Master_Wide'!$AU$21="","",'Deal_Master_Wide'!$AU$21)</x:f>
        <x:v>Not reviewed</x:v>
      </x:c>
      <x:c r="D131" s="52" t="str">
        <x:f>IF('Deal_Master_Wide'!$AV$21="","",'Deal_Master_Wide'!$AV$21)</x:f>
        <x:v>Not assessed</x:v>
      </x:c>
      <x:c r="E131" s="50" t="n">
        <x:v>1</x:v>
      </x:c>
      <x:c r="F131" s="52" t="str">
        <x:f>IF(OR($C131="High-confidence innovation-driven",$C131="Medium-confidence innovation-driven"),1,IF($C131="Clear alternative-rationale",0,""))</x:f>
      </x:c>
      <x:c r="G131" s="52" t="str">
        <x:f>IF('Deal_Master_Wide'!$M$21="","",'Deal_Master_Wide'!$M$21)</x:f>
        <x:v>Review</x:v>
      </x:c>
      <x:c r="H131" s="50" t="str">
        <x:v>Calliditas Therapeutics France SAS</x:v>
      </x:c>
      <x:c r="I131" s="50" t="str">
        <x:v>Calliditas Therapeutics France SAS; Calliditas Therapeutics France SAS</x:v>
      </x:c>
      <x:c r="J131" s="50" t="n">
        <x:v>2017</x:v>
      </x:c>
      <x:c r="K131" s="50" t="n">
        <x:v>0</x:v>
      </x:c>
      <x:c r="L131" s="50" t="n">
        <x:v>2017</x:v>
      </x:c>
      <x:c r="M131" s="50" t="n">
        <x:v>0</x:v>
      </x:c>
      <x:c r="N131" s="50" t="n">
        <x:v>1</x:v>
      </x:c>
      <x:c r="O131" s="52" t="str">
        <x:f>IF($F131="","",$F131*$M131)</x:f>
      </x:c>
      <x:c r="P131" s="54" t="str">
        <x:f>IF(ISBLANK('Deal_Master_Wide'!$BS$21),"",'Deal_Master_Wide'!$BS$21)</x:f>
      </x:c>
      <x:c r="Q131" s="54" t="str">
        <x:f>IF(ISBLANK('Deal_Master_Wide'!$BZ$21),"",'Deal_Master_Wide'!$BZ$21)</x:f>
      </x:c>
      <x:c r="R131" s="54" t="str">
        <x:f>IF(ISBLANK('Deal_Master_Wide'!$CG$21),"",'Deal_Master_Wide'!$CG$21)</x:f>
      </x:c>
      <x:c r="S131" s="54" t="str">
        <x:f>IF(ISBLANK('Deal_Master_Wide'!$CN$21),"",'Deal_Master_Wide'!$CN$21)</x:f>
      </x:c>
      <x:c r="T131" s="54" t="str">
        <x:f>IF(ISBLANK('Deal_Master_Wide'!$CU$21),"",'Deal_Master_Wide'!$CU$21)</x:f>
      </x:c>
      <x:c r="U131" s="54" t="str">
        <x:f>IF(ISBLANK('Deal_Master_Wide'!$DB$21),"",'Deal_Master_Wide'!$DB$21)</x:f>
      </x:c>
      <x:c r="V131" s="56" t="str">
        <x:f>IF(ISBLANK('Deal_Master_Wide'!$DI$21),"",'Deal_Master_Wide'!$DI$21)</x:f>
      </x:c>
      <x:c r="W131" s="56" t="str">
        <x:f>IF(ISBLANK('Deal_Master_Wide'!$DP$21),"",'Deal_Master_Wide'!$DP$21)</x:f>
      </x:c>
      <x:c r="X131" s="56" t="str">
        <x:f>IF(ISBLANK('Deal_Master_Wide'!$DW$21),"",'Deal_Master_Wide'!$DW$21)</x:f>
      </x:c>
      <x:c r="Y131" s="54" t="str">
        <x:f>IF(ISBLANK('Deal_Master_Wide'!$ED$21),"",'Deal_Master_Wide'!$ED$21)</x:f>
      </x:c>
      <x:c r="Z131" s="54" t="str">
        <x:f>IF(ISBLANK('Deal_Master_Wide'!$EK$21),"",'Deal_Master_Wide'!$EK$21)</x:f>
      </x:c>
      <x:c r="AA131" s="52" t="str">
        <x:f>IF(ISBLANK('Deal_Master_Wide'!$AL$21),"",'Deal_Master_Wide'!$AL$21)</x:f>
        <x:v>Unknown</x:v>
      </x:c>
      <x:c r="AB131" s="54" t="n">
        <x:f>IF(ISBLANK('Deal_Master_Wide'!$AF$21),"",'Deal_Master_Wide'!$AF$21)</x:f>
        <x:v>156</x:v>
      </x:c>
      <x:c r="AC131" s="52" t="str">
        <x:f>IF(COUNT($P131,$Q131,$R131,$S131,$T131,$U131,$V131,$W131,$X131)=9,"Yes","No")</x:f>
        <x:v>No</x:v>
      </x:c>
      <x:c r="AD131" s="52" t="str">
        <x:f>IF(COUNT($Y131,$Z131)=2,"Yes","No")</x:f>
        <x:v>No</x:v>
      </x:c>
      <x:c r="AE131" s="50" t="str"/>
      <x:c r="AF131" t="str"/>
    </x:row>
    <x:row r="132" ht="20" customHeight="1">
      <x:c r="A132" s="50" t="str">
        <x:v>TRT-0019</x:v>
      </x:c>
      <x:c r="B132" s="50" t="str">
        <x:v>Candidate treatment group</x:v>
      </x:c>
      <x:c r="C132" s="52" t="str">
        <x:f>IF('Deal_Master_Wide'!$AU$21="","",'Deal_Master_Wide'!$AU$21)</x:f>
        <x:v>Not reviewed</x:v>
      </x:c>
      <x:c r="D132" s="52" t="str">
        <x:f>IF('Deal_Master_Wide'!$AV$21="","",'Deal_Master_Wide'!$AV$21)</x:f>
        <x:v>Not assessed</x:v>
      </x:c>
      <x:c r="E132" s="50" t="n">
        <x:v>1</x:v>
      </x:c>
      <x:c r="F132" s="52" t="str">
        <x:f>IF(OR($C132="High-confidence innovation-driven",$C132="Medium-confidence innovation-driven"),1,IF($C132="Clear alternative-rationale",0,""))</x:f>
      </x:c>
      <x:c r="G132" s="52" t="str">
        <x:f>IF('Deal_Master_Wide'!$M$21="","",'Deal_Master_Wide'!$M$21)</x:f>
        <x:v>Review</x:v>
      </x:c>
      <x:c r="H132" s="50" t="str">
        <x:v>Calliditas Therapeutics France SAS</x:v>
      </x:c>
      <x:c r="I132" s="50" t="str">
        <x:v>Calliditas Therapeutics France SAS; Calliditas Therapeutics France SAS</x:v>
      </x:c>
      <x:c r="J132" s="50" t="n">
        <x:v>2017</x:v>
      </x:c>
      <x:c r="K132" s="50" t="n">
        <x:v>1</x:v>
      </x:c>
      <x:c r="L132" s="50" t="n">
        <x:v>2018</x:v>
      </x:c>
      <x:c r="M132" s="50" t="n">
        <x:v>1</x:v>
      </x:c>
      <x:c r="N132" s="50" t="n">
        <x:v>1</x:v>
      </x:c>
      <x:c r="O132" s="52" t="str">
        <x:f>IF($F132="","",$F132*$M132)</x:f>
      </x:c>
      <x:c r="P132" s="54" t="str">
        <x:f>IF(ISBLANK('Deal_Master_Wide'!$BT$21),"",'Deal_Master_Wide'!$BT$21)</x:f>
      </x:c>
      <x:c r="Q132" s="54" t="str">
        <x:f>IF(ISBLANK('Deal_Master_Wide'!$CA$21),"",'Deal_Master_Wide'!$CA$21)</x:f>
      </x:c>
      <x:c r="R132" s="54" t="str">
        <x:f>IF(ISBLANK('Deal_Master_Wide'!$CH$21),"",'Deal_Master_Wide'!$CH$21)</x:f>
      </x:c>
      <x:c r="S132" s="54" t="str">
        <x:f>IF(ISBLANK('Deal_Master_Wide'!$CO$21),"",'Deal_Master_Wide'!$CO$21)</x:f>
      </x:c>
      <x:c r="T132" s="54" t="str">
        <x:f>IF(ISBLANK('Deal_Master_Wide'!$CV$21),"",'Deal_Master_Wide'!$CV$21)</x:f>
      </x:c>
      <x:c r="U132" s="54" t="str">
        <x:f>IF(ISBLANK('Deal_Master_Wide'!$DC$21),"",'Deal_Master_Wide'!$DC$21)</x:f>
      </x:c>
      <x:c r="V132" s="56" t="str">
        <x:f>IF(ISBLANK('Deal_Master_Wide'!$DJ$21),"",'Deal_Master_Wide'!$DJ$21)</x:f>
      </x:c>
      <x:c r="W132" s="56" t="str">
        <x:f>IF(ISBLANK('Deal_Master_Wide'!$DQ$21),"",'Deal_Master_Wide'!$DQ$21)</x:f>
      </x:c>
      <x:c r="X132" s="56" t="str">
        <x:f>IF(ISBLANK('Deal_Master_Wide'!$DX$21),"",'Deal_Master_Wide'!$DX$21)</x:f>
      </x:c>
      <x:c r="Y132" s="54" t="str">
        <x:f>IF(ISBLANK('Deal_Master_Wide'!$EE$21),"",'Deal_Master_Wide'!$EE$21)</x:f>
      </x:c>
      <x:c r="Z132" s="54" t="str">
        <x:f>IF(ISBLANK('Deal_Master_Wide'!$EL$21),"",'Deal_Master_Wide'!$EL$21)</x:f>
      </x:c>
      <x:c r="AA132" s="52" t="str">
        <x:f>IF(ISBLANK('Deal_Master_Wide'!$AL$21),"",'Deal_Master_Wide'!$AL$21)</x:f>
        <x:v>Unknown</x:v>
      </x:c>
      <x:c r="AB132" s="54" t="n">
        <x:f>IF(ISBLANK('Deal_Master_Wide'!$AF$21),"",'Deal_Master_Wide'!$AF$21)</x:f>
        <x:v>156</x:v>
      </x:c>
      <x:c r="AC132" s="52" t="str">
        <x:f>IF(COUNT($P132,$Q132,$R132,$S132,$T132,$U132,$V132,$W132,$X132)=9,"Yes","No")</x:f>
        <x:v>No</x:v>
      </x:c>
      <x:c r="AD132" s="52" t="str">
        <x:f>IF(COUNT($Y132,$Z132)=2,"Yes","No")</x:f>
        <x:v>No</x:v>
      </x:c>
      <x:c r="AE132" s="50" t="str"/>
      <x:c r="AF132" t="str"/>
    </x:row>
    <x:row r="133" ht="20" customHeight="1">
      <x:c r="A133" s="50" t="str">
        <x:v>TRT-0019</x:v>
      </x:c>
      <x:c r="B133" s="50" t="str">
        <x:v>Candidate treatment group</x:v>
      </x:c>
      <x:c r="C133" s="52" t="str">
        <x:f>IF('Deal_Master_Wide'!$AU$21="","",'Deal_Master_Wide'!$AU$21)</x:f>
        <x:v>Not reviewed</x:v>
      </x:c>
      <x:c r="D133" s="52" t="str">
        <x:f>IF('Deal_Master_Wide'!$AV$21="","",'Deal_Master_Wide'!$AV$21)</x:f>
        <x:v>Not assessed</x:v>
      </x:c>
      <x:c r="E133" s="50" t="n">
        <x:v>1</x:v>
      </x:c>
      <x:c r="F133" s="52" t="str">
        <x:f>IF(OR($C133="High-confidence innovation-driven",$C133="Medium-confidence innovation-driven"),1,IF($C133="Clear alternative-rationale",0,""))</x:f>
      </x:c>
      <x:c r="G133" s="52" t="str">
        <x:f>IF('Deal_Master_Wide'!$M$21="","",'Deal_Master_Wide'!$M$21)</x:f>
        <x:v>Review</x:v>
      </x:c>
      <x:c r="H133" s="50" t="str">
        <x:v>Calliditas Therapeutics France SAS</x:v>
      </x:c>
      <x:c r="I133" s="50" t="str">
        <x:v>Calliditas Therapeutics France SAS; Calliditas Therapeutics France SAS</x:v>
      </x:c>
      <x:c r="J133" s="50" t="n">
        <x:v>2017</x:v>
      </x:c>
      <x:c r="K133" s="50" t="n">
        <x:v>2</x:v>
      </x:c>
      <x:c r="L133" s="50" t="n">
        <x:v>2019</x:v>
      </x:c>
      <x:c r="M133" s="50" t="n">
        <x:v>1</x:v>
      </x:c>
      <x:c r="N133" s="50" t="n">
        <x:v>1</x:v>
      </x:c>
      <x:c r="O133" s="52" t="str">
        <x:f>IF($F133="","",$F133*$M133)</x:f>
      </x:c>
      <x:c r="P133" s="54" t="str">
        <x:f>IF(ISBLANK('Deal_Master_Wide'!$BU$21),"",'Deal_Master_Wide'!$BU$21)</x:f>
      </x:c>
      <x:c r="Q133" s="54" t="str">
        <x:f>IF(ISBLANK('Deal_Master_Wide'!$CB$21),"",'Deal_Master_Wide'!$CB$21)</x:f>
      </x:c>
      <x:c r="R133" s="54" t="str">
        <x:f>IF(ISBLANK('Deal_Master_Wide'!$CI$21),"",'Deal_Master_Wide'!$CI$21)</x:f>
      </x:c>
      <x:c r="S133" s="54" t="str">
        <x:f>IF(ISBLANK('Deal_Master_Wide'!$CP$21),"",'Deal_Master_Wide'!$CP$21)</x:f>
      </x:c>
      <x:c r="T133" s="54" t="str">
        <x:f>IF(ISBLANK('Deal_Master_Wide'!$CW$21),"",'Deal_Master_Wide'!$CW$21)</x:f>
      </x:c>
      <x:c r="U133" s="54" t="str">
        <x:f>IF(ISBLANK('Deal_Master_Wide'!$DD$21),"",'Deal_Master_Wide'!$DD$21)</x:f>
      </x:c>
      <x:c r="V133" s="56" t="str">
        <x:f>IF(ISBLANK('Deal_Master_Wide'!$DK$21),"",'Deal_Master_Wide'!$DK$21)</x:f>
      </x:c>
      <x:c r="W133" s="56" t="str">
        <x:f>IF(ISBLANK('Deal_Master_Wide'!$DR$21),"",'Deal_Master_Wide'!$DR$21)</x:f>
      </x:c>
      <x:c r="X133" s="56" t="str">
        <x:f>IF(ISBLANK('Deal_Master_Wide'!$DY$21),"",'Deal_Master_Wide'!$DY$21)</x:f>
      </x:c>
      <x:c r="Y133" s="54" t="str">
        <x:f>IF(ISBLANK('Deal_Master_Wide'!$EF$21),"",'Deal_Master_Wide'!$EF$21)</x:f>
      </x:c>
      <x:c r="Z133" s="54" t="str">
        <x:f>IF(ISBLANK('Deal_Master_Wide'!$EM$21),"",'Deal_Master_Wide'!$EM$21)</x:f>
      </x:c>
      <x:c r="AA133" s="52" t="str">
        <x:f>IF(ISBLANK('Deal_Master_Wide'!$AL$21),"",'Deal_Master_Wide'!$AL$21)</x:f>
        <x:v>Unknown</x:v>
      </x:c>
      <x:c r="AB133" s="54" t="n">
        <x:f>IF(ISBLANK('Deal_Master_Wide'!$AF$21),"",'Deal_Master_Wide'!$AF$21)</x:f>
        <x:v>156</x:v>
      </x:c>
      <x:c r="AC133" s="52" t="str">
        <x:f>IF(COUNT($P133,$Q133,$R133,$S133,$T133,$U133,$V133,$W133,$X133)=9,"Yes","No")</x:f>
        <x:v>No</x:v>
      </x:c>
      <x:c r="AD133" s="52" t="str">
        <x:f>IF(COUNT($Y133,$Z133)=2,"Yes","No")</x:f>
        <x:v>No</x:v>
      </x:c>
      <x:c r="AE133" s="50" t="str"/>
      <x:c r="AF133" t="str"/>
    </x:row>
    <x:row r="134" ht="20" customHeight="1">
      <x:c r="A134" s="50" t="str">
        <x:v>TRT-0019</x:v>
      </x:c>
      <x:c r="B134" s="50" t="str">
        <x:v>Candidate treatment group</x:v>
      </x:c>
      <x:c r="C134" s="52" t="str">
        <x:f>IF('Deal_Master_Wide'!$AU$21="","",'Deal_Master_Wide'!$AU$21)</x:f>
        <x:v>Not reviewed</x:v>
      </x:c>
      <x:c r="D134" s="52" t="str">
        <x:f>IF('Deal_Master_Wide'!$AV$21="","",'Deal_Master_Wide'!$AV$21)</x:f>
        <x:v>Not assessed</x:v>
      </x:c>
      <x:c r="E134" s="50" t="n">
        <x:v>1</x:v>
      </x:c>
      <x:c r="F134" s="52" t="str">
        <x:f>IF(OR($C134="High-confidence innovation-driven",$C134="Medium-confidence innovation-driven"),1,IF($C134="Clear alternative-rationale",0,""))</x:f>
      </x:c>
      <x:c r="G134" s="52" t="str">
        <x:f>IF('Deal_Master_Wide'!$M$21="","",'Deal_Master_Wide'!$M$21)</x:f>
        <x:v>Review</x:v>
      </x:c>
      <x:c r="H134" s="50" t="str">
        <x:v>Calliditas Therapeutics France SAS</x:v>
      </x:c>
      <x:c r="I134" s="50" t="str">
        <x:v>Calliditas Therapeutics France SAS; Calliditas Therapeutics France SAS</x:v>
      </x:c>
      <x:c r="J134" s="50" t="n">
        <x:v>2017</x:v>
      </x:c>
      <x:c r="K134" s="50" t="n">
        <x:v>3</x:v>
      </x:c>
      <x:c r="L134" s="50" t="n">
        <x:v>2020</x:v>
      </x:c>
      <x:c r="M134" s="50" t="n">
        <x:v>1</x:v>
      </x:c>
      <x:c r="N134" s="50" t="n">
        <x:v>1</x:v>
      </x:c>
      <x:c r="O134" s="52" t="str">
        <x:f>IF($F134="","",$F134*$M134)</x:f>
      </x:c>
      <x:c r="P134" s="54" t="str">
        <x:f>IF(ISBLANK('Deal_Master_Wide'!$BV$21),"",'Deal_Master_Wide'!$BV$21)</x:f>
      </x:c>
      <x:c r="Q134" s="54" t="str">
        <x:f>IF(ISBLANK('Deal_Master_Wide'!$CC$21),"",'Deal_Master_Wide'!$CC$21)</x:f>
      </x:c>
      <x:c r="R134" s="54" t="str">
        <x:f>IF(ISBLANK('Deal_Master_Wide'!$CJ$21),"",'Deal_Master_Wide'!$CJ$21)</x:f>
      </x:c>
      <x:c r="S134" s="54" t="str">
        <x:f>IF(ISBLANK('Deal_Master_Wide'!$CQ$21),"",'Deal_Master_Wide'!$CQ$21)</x:f>
      </x:c>
      <x:c r="T134" s="54" t="str">
        <x:f>IF(ISBLANK('Deal_Master_Wide'!$CX$21),"",'Deal_Master_Wide'!$CX$21)</x:f>
      </x:c>
      <x:c r="U134" s="54" t="str">
        <x:f>IF(ISBLANK('Deal_Master_Wide'!$DE$21),"",'Deal_Master_Wide'!$DE$21)</x:f>
      </x:c>
      <x:c r="V134" s="56" t="str">
        <x:f>IF(ISBLANK('Deal_Master_Wide'!$DL$21),"",'Deal_Master_Wide'!$DL$21)</x:f>
      </x:c>
      <x:c r="W134" s="56" t="str">
        <x:f>IF(ISBLANK('Deal_Master_Wide'!$DS$21),"",'Deal_Master_Wide'!$DS$21)</x:f>
      </x:c>
      <x:c r="X134" s="56" t="str">
        <x:f>IF(ISBLANK('Deal_Master_Wide'!$DZ$21),"",'Deal_Master_Wide'!$DZ$21)</x:f>
      </x:c>
      <x:c r="Y134" s="54" t="str">
        <x:f>IF(ISBLANK('Deal_Master_Wide'!$EG$21),"",'Deal_Master_Wide'!$EG$21)</x:f>
      </x:c>
      <x:c r="Z134" s="54" t="str">
        <x:f>IF(ISBLANK('Deal_Master_Wide'!$EN$21),"",'Deal_Master_Wide'!$EN$21)</x:f>
      </x:c>
      <x:c r="AA134" s="52" t="str">
        <x:f>IF(ISBLANK('Deal_Master_Wide'!$AL$21),"",'Deal_Master_Wide'!$AL$21)</x:f>
        <x:v>Unknown</x:v>
      </x:c>
      <x:c r="AB134" s="54" t="n">
        <x:f>IF(ISBLANK('Deal_Master_Wide'!$AF$21),"",'Deal_Master_Wide'!$AF$21)</x:f>
        <x:v>156</x:v>
      </x:c>
      <x:c r="AC134" s="52" t="str">
        <x:f>IF(COUNT($P134,$Q134,$R134,$S134,$T134,$U134,$V134,$W134,$X134)=9,"Yes","No")</x:f>
        <x:v>No</x:v>
      </x:c>
      <x:c r="AD134" s="52" t="str">
        <x:f>IF(COUNT($Y134,$Z134)=2,"Yes","No")</x:f>
        <x:v>No</x:v>
      </x:c>
      <x:c r="AE134" s="50" t="str"/>
      <x:c r="AF134" t="str"/>
    </x:row>
    <x:row r="135" ht="20" customHeight="1">
      <x:c r="A135" s="50" t="str">
        <x:v>TRT-0020</x:v>
      </x:c>
      <x:c r="B135" s="50" t="str">
        <x:v>Candidate treatment group</x:v>
      </x:c>
      <x:c r="C135" s="52" t="str">
        <x:f>IF('Deal_Master_Wide'!$AU$22="","",'Deal_Master_Wide'!$AU$22)</x:f>
        <x:v>Not reviewed</x:v>
      </x:c>
      <x:c r="D135" s="52" t="str">
        <x:f>IF('Deal_Master_Wide'!$AV$22="","",'Deal_Master_Wide'!$AV$22)</x:f>
        <x:v>Not assessed</x:v>
      </x:c>
      <x:c r="E135" s="50" t="n">
        <x:v>1</x:v>
      </x:c>
      <x:c r="F135" s="52" t="str">
        <x:f>IF(OR($C135="High-confidence innovation-driven",$C135="Medium-confidence innovation-driven"),1,IF($C135="Clear alternative-rationale",0,""))</x:f>
      </x:c>
      <x:c r="G135" s="52" t="str">
        <x:f>IF('Deal_Master_Wide'!$M$22="","",'Deal_Master_Wide'!$M$22)</x:f>
        <x:v>Review</x:v>
      </x:c>
      <x:c r="H135" s="50" t="str">
        <x:v>BioGaia AB</x:v>
      </x:c>
      <x:c r="I135" s="50" t="str">
        <x:v>MetaboGen AB</x:v>
      </x:c>
      <x:c r="J135" s="50" t="n">
        <x:v>2016</x:v>
      </x:c>
      <x:c r="K135" s="50" t="n">
        <x:v>-3</x:v>
      </x:c>
      <x:c r="L135" s="50" t="n">
        <x:v>2013</x:v>
      </x:c>
      <x:c r="M135" s="50" t="n">
        <x:v>0</x:v>
      </x:c>
      <x:c r="N135" s="50" t="n">
        <x:v>0</x:v>
      </x:c>
      <x:c r="O135" s="52" t="str">
        <x:f>IF($F135="","",$F135*$M135)</x:f>
      </x:c>
      <x:c r="P135" s="54" t="str">
        <x:f>IF(ISBLANK('Deal_Master_Wide'!$BP$22),"",'Deal_Master_Wide'!$BP$22)</x:f>
      </x:c>
      <x:c r="Q135" s="54" t="str">
        <x:f>IF(ISBLANK('Deal_Master_Wide'!$BW$22),"",'Deal_Master_Wide'!$BW$22)</x:f>
      </x:c>
      <x:c r="R135" s="54" t="str">
        <x:f>IF(ISBLANK('Deal_Master_Wide'!$CD$22),"",'Deal_Master_Wide'!$CD$22)</x:f>
      </x:c>
      <x:c r="S135" s="54" t="str">
        <x:f>IF(ISBLANK('Deal_Master_Wide'!$CK$22),"",'Deal_Master_Wide'!$CK$22)</x:f>
      </x:c>
      <x:c r="T135" s="54" t="str">
        <x:f>IF(ISBLANK('Deal_Master_Wide'!$CR$22),"",'Deal_Master_Wide'!$CR$22)</x:f>
      </x:c>
      <x:c r="U135" s="54" t="str">
        <x:f>IF(ISBLANK('Deal_Master_Wide'!$CY$22),"",'Deal_Master_Wide'!$CY$22)</x:f>
      </x:c>
      <x:c r="V135" s="56" t="str">
        <x:f>IF(ISBLANK('Deal_Master_Wide'!$DF$22),"",'Deal_Master_Wide'!$DF$22)</x:f>
      </x:c>
      <x:c r="W135" s="56" t="str">
        <x:f>IF(ISBLANK('Deal_Master_Wide'!$DM$22),"",'Deal_Master_Wide'!$DM$22)</x:f>
      </x:c>
      <x:c r="X135" s="56" t="str">
        <x:f>IF(ISBLANK('Deal_Master_Wide'!$DT$22),"",'Deal_Master_Wide'!$DT$22)</x:f>
      </x:c>
      <x:c r="Y135" s="54" t="str">
        <x:f>IF(ISBLANK('Deal_Master_Wide'!$EA$22),"",'Deal_Master_Wide'!$EA$22)</x:f>
      </x:c>
      <x:c r="Z135" s="54" t="str">
        <x:f>IF(ISBLANK('Deal_Master_Wide'!$EH$22),"",'Deal_Master_Wide'!$EH$22)</x:f>
      </x:c>
      <x:c r="AA135" s="52" t="str">
        <x:f>IF(ISBLANK('Deal_Master_Wide'!$AL$22),"",'Deal_Master_Wide'!$AL$22)</x:f>
        <x:v>Unknown</x:v>
      </x:c>
      <x:c r="AB135" s="54" t="n">
        <x:f>IF(ISBLANK('Deal_Master_Wide'!$AF$22),"",'Deal_Master_Wide'!$AF$22)</x:f>
        <x:v>0</x:v>
      </x:c>
      <x:c r="AC135" s="52" t="str">
        <x:f>IF(COUNT($P135,$Q135,$R135,$S135,$T135,$U135,$V135,$W135,$X135)=9,"Yes","No")</x:f>
        <x:v>No</x:v>
      </x:c>
      <x:c r="AD135" s="52" t="str">
        <x:f>IF(COUNT($Y135,$Z135)=2,"Yes","No")</x:f>
        <x:v>No</x:v>
      </x:c>
      <x:c r="AE135" s="50" t="str"/>
      <x:c r="AF135" t="str"/>
    </x:row>
    <x:row r="136" ht="20" customHeight="1">
      <x:c r="A136" s="50" t="str">
        <x:v>TRT-0020</x:v>
      </x:c>
      <x:c r="B136" s="50" t="str">
        <x:v>Candidate treatment group</x:v>
      </x:c>
      <x:c r="C136" s="52" t="str">
        <x:f>IF('Deal_Master_Wide'!$AU$22="","",'Deal_Master_Wide'!$AU$22)</x:f>
        <x:v>Not reviewed</x:v>
      </x:c>
      <x:c r="D136" s="52" t="str">
        <x:f>IF('Deal_Master_Wide'!$AV$22="","",'Deal_Master_Wide'!$AV$22)</x:f>
        <x:v>Not assessed</x:v>
      </x:c>
      <x:c r="E136" s="50" t="n">
        <x:v>1</x:v>
      </x:c>
      <x:c r="F136" s="52" t="str">
        <x:f>IF(OR($C136="High-confidence innovation-driven",$C136="Medium-confidence innovation-driven"),1,IF($C136="Clear alternative-rationale",0,""))</x:f>
      </x:c>
      <x:c r="G136" s="52" t="str">
        <x:f>IF('Deal_Master_Wide'!$M$22="","",'Deal_Master_Wide'!$M$22)</x:f>
        <x:v>Review</x:v>
      </x:c>
      <x:c r="H136" s="50" t="str">
        <x:v>BioGaia AB</x:v>
      </x:c>
      <x:c r="I136" s="50" t="str">
        <x:v>MetaboGen AB</x:v>
      </x:c>
      <x:c r="J136" s="50" t="n">
        <x:v>2016</x:v>
      </x:c>
      <x:c r="K136" s="50" t="n">
        <x:v>-2</x:v>
      </x:c>
      <x:c r="L136" s="50" t="n">
        <x:v>2014</x:v>
      </x:c>
      <x:c r="M136" s="50" t="n">
        <x:v>0</x:v>
      </x:c>
      <x:c r="N136" s="50" t="n">
        <x:v>0</x:v>
      </x:c>
      <x:c r="O136" s="52" t="str">
        <x:f>IF($F136="","",$F136*$M136)</x:f>
      </x:c>
      <x:c r="P136" s="54" t="str">
        <x:f>IF(ISBLANK('Deal_Master_Wide'!$BQ$22),"",'Deal_Master_Wide'!$BQ$22)</x:f>
      </x:c>
      <x:c r="Q136" s="54" t="str">
        <x:f>IF(ISBLANK('Deal_Master_Wide'!$BX$22),"",'Deal_Master_Wide'!$BX$22)</x:f>
      </x:c>
      <x:c r="R136" s="54" t="str">
        <x:f>IF(ISBLANK('Deal_Master_Wide'!$CE$22),"",'Deal_Master_Wide'!$CE$22)</x:f>
      </x:c>
      <x:c r="S136" s="54" t="str">
        <x:f>IF(ISBLANK('Deal_Master_Wide'!$CL$22),"",'Deal_Master_Wide'!$CL$22)</x:f>
      </x:c>
      <x:c r="T136" s="54" t="str">
        <x:f>IF(ISBLANK('Deal_Master_Wide'!$CS$22),"",'Deal_Master_Wide'!$CS$22)</x:f>
      </x:c>
      <x:c r="U136" s="54" t="str">
        <x:f>IF(ISBLANK('Deal_Master_Wide'!$CZ$22),"",'Deal_Master_Wide'!$CZ$22)</x:f>
      </x:c>
      <x:c r="V136" s="56" t="str">
        <x:f>IF(ISBLANK('Deal_Master_Wide'!$DG$22),"",'Deal_Master_Wide'!$DG$22)</x:f>
      </x:c>
      <x:c r="W136" s="56" t="str">
        <x:f>IF(ISBLANK('Deal_Master_Wide'!$DN$22),"",'Deal_Master_Wide'!$DN$22)</x:f>
      </x:c>
      <x:c r="X136" s="56" t="str">
        <x:f>IF(ISBLANK('Deal_Master_Wide'!$DU$22),"",'Deal_Master_Wide'!$DU$22)</x:f>
      </x:c>
      <x:c r="Y136" s="54" t="str">
        <x:f>IF(ISBLANK('Deal_Master_Wide'!$EB$22),"",'Deal_Master_Wide'!$EB$22)</x:f>
      </x:c>
      <x:c r="Z136" s="54" t="str">
        <x:f>IF(ISBLANK('Deal_Master_Wide'!$EI$22),"",'Deal_Master_Wide'!$EI$22)</x:f>
      </x:c>
      <x:c r="AA136" s="52" t="str">
        <x:f>IF(ISBLANK('Deal_Master_Wide'!$AL$22),"",'Deal_Master_Wide'!$AL$22)</x:f>
        <x:v>Unknown</x:v>
      </x:c>
      <x:c r="AB136" s="54" t="n">
        <x:f>IF(ISBLANK('Deal_Master_Wide'!$AF$22),"",'Deal_Master_Wide'!$AF$22)</x:f>
        <x:v>0</x:v>
      </x:c>
      <x:c r="AC136" s="52" t="str">
        <x:f>IF(COUNT($P136,$Q136,$R136,$S136,$T136,$U136,$V136,$W136,$X136)=9,"Yes","No")</x:f>
        <x:v>No</x:v>
      </x:c>
      <x:c r="AD136" s="52" t="str">
        <x:f>IF(COUNT($Y136,$Z136)=2,"Yes","No")</x:f>
        <x:v>No</x:v>
      </x:c>
      <x:c r="AE136" s="50" t="str"/>
      <x:c r="AF136" t="str"/>
    </x:row>
    <x:row r="137" ht="20" customHeight="1">
      <x:c r="A137" s="50" t="str">
        <x:v>TRT-0020</x:v>
      </x:c>
      <x:c r="B137" s="50" t="str">
        <x:v>Candidate treatment group</x:v>
      </x:c>
      <x:c r="C137" s="52" t="str">
        <x:f>IF('Deal_Master_Wide'!$AU$22="","",'Deal_Master_Wide'!$AU$22)</x:f>
        <x:v>Not reviewed</x:v>
      </x:c>
      <x:c r="D137" s="52" t="str">
        <x:f>IF('Deal_Master_Wide'!$AV$22="","",'Deal_Master_Wide'!$AV$22)</x:f>
        <x:v>Not assessed</x:v>
      </x:c>
      <x:c r="E137" s="50" t="n">
        <x:v>1</x:v>
      </x:c>
      <x:c r="F137" s="52" t="str">
        <x:f>IF(OR($C137="High-confidence innovation-driven",$C137="Medium-confidence innovation-driven"),1,IF($C137="Clear alternative-rationale",0,""))</x:f>
      </x:c>
      <x:c r="G137" s="52" t="str">
        <x:f>IF('Deal_Master_Wide'!$M$22="","",'Deal_Master_Wide'!$M$22)</x:f>
        <x:v>Review</x:v>
      </x:c>
      <x:c r="H137" s="50" t="str">
        <x:v>BioGaia AB</x:v>
      </x:c>
      <x:c r="I137" s="50" t="str">
        <x:v>MetaboGen AB</x:v>
      </x:c>
      <x:c r="J137" s="50" t="n">
        <x:v>2016</x:v>
      </x:c>
      <x:c r="K137" s="50" t="n">
        <x:v>-1</x:v>
      </x:c>
      <x:c r="L137" s="50" t="n">
        <x:v>2015</x:v>
      </x:c>
      <x:c r="M137" s="50" t="n">
        <x:v>0</x:v>
      </x:c>
      <x:c r="N137" s="50" t="n">
        <x:v>0</x:v>
      </x:c>
      <x:c r="O137" s="52" t="str">
        <x:f>IF($F137="","",$F137*$M137)</x:f>
      </x:c>
      <x:c r="P137" s="54" t="str">
        <x:f>IF(ISBLANK('Deal_Master_Wide'!$BR$22),"",'Deal_Master_Wide'!$BR$22)</x:f>
      </x:c>
      <x:c r="Q137" s="54" t="str">
        <x:f>IF(ISBLANK('Deal_Master_Wide'!$BY$22),"",'Deal_Master_Wide'!$BY$22)</x:f>
      </x:c>
      <x:c r="R137" s="54" t="str">
        <x:f>IF(ISBLANK('Deal_Master_Wide'!$CF$22),"",'Deal_Master_Wide'!$CF$22)</x:f>
      </x:c>
      <x:c r="S137" s="54" t="str">
        <x:f>IF(ISBLANK('Deal_Master_Wide'!$CM$22),"",'Deal_Master_Wide'!$CM$22)</x:f>
      </x:c>
      <x:c r="T137" s="54" t="str">
        <x:f>IF(ISBLANK('Deal_Master_Wide'!$CT$22),"",'Deal_Master_Wide'!$CT$22)</x:f>
      </x:c>
      <x:c r="U137" s="54" t="str">
        <x:f>IF(ISBLANK('Deal_Master_Wide'!$DA$22),"",'Deal_Master_Wide'!$DA$22)</x:f>
      </x:c>
      <x:c r="V137" s="56" t="str">
        <x:f>IF(ISBLANK('Deal_Master_Wide'!$DH$22),"",'Deal_Master_Wide'!$DH$22)</x:f>
      </x:c>
      <x:c r="W137" s="56" t="str">
        <x:f>IF(ISBLANK('Deal_Master_Wide'!$DO$22),"",'Deal_Master_Wide'!$DO$22)</x:f>
      </x:c>
      <x:c r="X137" s="56" t="str">
        <x:f>IF(ISBLANK('Deal_Master_Wide'!$DV$22),"",'Deal_Master_Wide'!$DV$22)</x:f>
      </x:c>
      <x:c r="Y137" s="54" t="str">
        <x:f>IF(ISBLANK('Deal_Master_Wide'!$EC$22),"",'Deal_Master_Wide'!$EC$22)</x:f>
      </x:c>
      <x:c r="Z137" s="54" t="str">
        <x:f>IF(ISBLANK('Deal_Master_Wide'!$EJ$22),"",'Deal_Master_Wide'!$EJ$22)</x:f>
      </x:c>
      <x:c r="AA137" s="52" t="str">
        <x:f>IF(ISBLANK('Deal_Master_Wide'!$AL$22),"",'Deal_Master_Wide'!$AL$22)</x:f>
        <x:v>Unknown</x:v>
      </x:c>
      <x:c r="AB137" s="54" t="n">
        <x:f>IF(ISBLANK('Deal_Master_Wide'!$AF$22),"",'Deal_Master_Wide'!$AF$22)</x:f>
        <x:v>0</x:v>
      </x:c>
      <x:c r="AC137" s="52" t="str">
        <x:f>IF(COUNT($P137,$Q137,$R137,$S137,$T137,$U137,$V137,$W137,$X137)=9,"Yes","No")</x:f>
        <x:v>No</x:v>
      </x:c>
      <x:c r="AD137" s="52" t="str">
        <x:f>IF(COUNT($Y137,$Z137)=2,"Yes","No")</x:f>
        <x:v>No</x:v>
      </x:c>
      <x:c r="AE137" s="50" t="str"/>
      <x:c r="AF137" t="str"/>
    </x:row>
    <x:row r="138" ht="20" customHeight="1">
      <x:c r="A138" s="50" t="str">
        <x:v>TRT-0020</x:v>
      </x:c>
      <x:c r="B138" s="50" t="str">
        <x:v>Candidate treatment group</x:v>
      </x:c>
      <x:c r="C138" s="52" t="str">
        <x:f>IF('Deal_Master_Wide'!$AU$22="","",'Deal_Master_Wide'!$AU$22)</x:f>
        <x:v>Not reviewed</x:v>
      </x:c>
      <x:c r="D138" s="52" t="str">
        <x:f>IF('Deal_Master_Wide'!$AV$22="","",'Deal_Master_Wide'!$AV$22)</x:f>
        <x:v>Not assessed</x:v>
      </x:c>
      <x:c r="E138" s="50" t="n">
        <x:v>1</x:v>
      </x:c>
      <x:c r="F138" s="52" t="str">
        <x:f>IF(OR($C138="High-confidence innovation-driven",$C138="Medium-confidence innovation-driven"),1,IF($C138="Clear alternative-rationale",0,""))</x:f>
      </x:c>
      <x:c r="G138" s="52" t="str">
        <x:f>IF('Deal_Master_Wide'!$M$22="","",'Deal_Master_Wide'!$M$22)</x:f>
        <x:v>Review</x:v>
      </x:c>
      <x:c r="H138" s="50" t="str">
        <x:v>BioGaia AB</x:v>
      </x:c>
      <x:c r="I138" s="50" t="str">
        <x:v>MetaboGen AB</x:v>
      </x:c>
      <x:c r="J138" s="50" t="n">
        <x:v>2016</x:v>
      </x:c>
      <x:c r="K138" s="50" t="n">
        <x:v>0</x:v>
      </x:c>
      <x:c r="L138" s="50" t="n">
        <x:v>2016</x:v>
      </x:c>
      <x:c r="M138" s="50" t="n">
        <x:v>0</x:v>
      </x:c>
      <x:c r="N138" s="50" t="n">
        <x:v>1</x:v>
      </x:c>
      <x:c r="O138" s="52" t="str">
        <x:f>IF($F138="","",$F138*$M138)</x:f>
      </x:c>
      <x:c r="P138" s="54" t="str">
        <x:f>IF(ISBLANK('Deal_Master_Wide'!$BS$22),"",'Deal_Master_Wide'!$BS$22)</x:f>
      </x:c>
      <x:c r="Q138" s="54" t="str">
        <x:f>IF(ISBLANK('Deal_Master_Wide'!$BZ$22),"",'Deal_Master_Wide'!$BZ$22)</x:f>
      </x:c>
      <x:c r="R138" s="54" t="str">
        <x:f>IF(ISBLANK('Deal_Master_Wide'!$CG$22),"",'Deal_Master_Wide'!$CG$22)</x:f>
      </x:c>
      <x:c r="S138" s="54" t="str">
        <x:f>IF(ISBLANK('Deal_Master_Wide'!$CN$22),"",'Deal_Master_Wide'!$CN$22)</x:f>
      </x:c>
      <x:c r="T138" s="54" t="str">
        <x:f>IF(ISBLANK('Deal_Master_Wide'!$CU$22),"",'Deal_Master_Wide'!$CU$22)</x:f>
      </x:c>
      <x:c r="U138" s="54" t="str">
        <x:f>IF(ISBLANK('Deal_Master_Wide'!$DB$22),"",'Deal_Master_Wide'!$DB$22)</x:f>
      </x:c>
      <x:c r="V138" s="56" t="str">
        <x:f>IF(ISBLANK('Deal_Master_Wide'!$DI$22),"",'Deal_Master_Wide'!$DI$22)</x:f>
      </x:c>
      <x:c r="W138" s="56" t="str">
        <x:f>IF(ISBLANK('Deal_Master_Wide'!$DP$22),"",'Deal_Master_Wide'!$DP$22)</x:f>
      </x:c>
      <x:c r="X138" s="56" t="str">
        <x:f>IF(ISBLANK('Deal_Master_Wide'!$DW$22),"",'Deal_Master_Wide'!$DW$22)</x:f>
      </x:c>
      <x:c r="Y138" s="54" t="str">
        <x:f>IF(ISBLANK('Deal_Master_Wide'!$ED$22),"",'Deal_Master_Wide'!$ED$22)</x:f>
      </x:c>
      <x:c r="Z138" s="54" t="str">
        <x:f>IF(ISBLANK('Deal_Master_Wide'!$EK$22),"",'Deal_Master_Wide'!$EK$22)</x:f>
      </x:c>
      <x:c r="AA138" s="52" t="str">
        <x:f>IF(ISBLANK('Deal_Master_Wide'!$AL$22),"",'Deal_Master_Wide'!$AL$22)</x:f>
        <x:v>Unknown</x:v>
      </x:c>
      <x:c r="AB138" s="54" t="n">
        <x:f>IF(ISBLANK('Deal_Master_Wide'!$AF$22),"",'Deal_Master_Wide'!$AF$22)</x:f>
        <x:v>0</x:v>
      </x:c>
      <x:c r="AC138" s="52" t="str">
        <x:f>IF(COUNT($P138,$Q138,$R138,$S138,$T138,$U138,$V138,$W138,$X138)=9,"Yes","No")</x:f>
        <x:v>No</x:v>
      </x:c>
      <x:c r="AD138" s="52" t="str">
        <x:f>IF(COUNT($Y138,$Z138)=2,"Yes","No")</x:f>
        <x:v>No</x:v>
      </x:c>
      <x:c r="AE138" s="50" t="str"/>
      <x:c r="AF138" t="str"/>
    </x:row>
    <x:row r="139" ht="20" customHeight="1">
      <x:c r="A139" s="50" t="str">
        <x:v>TRT-0020</x:v>
      </x:c>
      <x:c r="B139" s="50" t="str">
        <x:v>Candidate treatment group</x:v>
      </x:c>
      <x:c r="C139" s="52" t="str">
        <x:f>IF('Deal_Master_Wide'!$AU$22="","",'Deal_Master_Wide'!$AU$22)</x:f>
        <x:v>Not reviewed</x:v>
      </x:c>
      <x:c r="D139" s="52" t="str">
        <x:f>IF('Deal_Master_Wide'!$AV$22="","",'Deal_Master_Wide'!$AV$22)</x:f>
        <x:v>Not assessed</x:v>
      </x:c>
      <x:c r="E139" s="50" t="n">
        <x:v>1</x:v>
      </x:c>
      <x:c r="F139" s="52" t="str">
        <x:f>IF(OR($C139="High-confidence innovation-driven",$C139="Medium-confidence innovation-driven"),1,IF($C139="Clear alternative-rationale",0,""))</x:f>
      </x:c>
      <x:c r="G139" s="52" t="str">
        <x:f>IF('Deal_Master_Wide'!$M$22="","",'Deal_Master_Wide'!$M$22)</x:f>
        <x:v>Review</x:v>
      </x:c>
      <x:c r="H139" s="50" t="str">
        <x:v>BioGaia AB</x:v>
      </x:c>
      <x:c r="I139" s="50" t="str">
        <x:v>MetaboGen AB</x:v>
      </x:c>
      <x:c r="J139" s="50" t="n">
        <x:v>2016</x:v>
      </x:c>
      <x:c r="K139" s="50" t="n">
        <x:v>1</x:v>
      </x:c>
      <x:c r="L139" s="50" t="n">
        <x:v>2017</x:v>
      </x:c>
      <x:c r="M139" s="50" t="n">
        <x:v>1</x:v>
      </x:c>
      <x:c r="N139" s="50" t="n">
        <x:v>1</x:v>
      </x:c>
      <x:c r="O139" s="52" t="str">
        <x:f>IF($F139="","",$F139*$M139)</x:f>
      </x:c>
      <x:c r="P139" s="54" t="str">
        <x:f>IF(ISBLANK('Deal_Master_Wide'!$BT$22),"",'Deal_Master_Wide'!$BT$22)</x:f>
      </x:c>
      <x:c r="Q139" s="54" t="str">
        <x:f>IF(ISBLANK('Deal_Master_Wide'!$CA$22),"",'Deal_Master_Wide'!$CA$22)</x:f>
      </x:c>
      <x:c r="R139" s="54" t="str">
        <x:f>IF(ISBLANK('Deal_Master_Wide'!$CH$22),"",'Deal_Master_Wide'!$CH$22)</x:f>
      </x:c>
      <x:c r="S139" s="54" t="str">
        <x:f>IF(ISBLANK('Deal_Master_Wide'!$CO$22),"",'Deal_Master_Wide'!$CO$22)</x:f>
      </x:c>
      <x:c r="T139" s="54" t="str">
        <x:f>IF(ISBLANK('Deal_Master_Wide'!$CV$22),"",'Deal_Master_Wide'!$CV$22)</x:f>
      </x:c>
      <x:c r="U139" s="54" t="str">
        <x:f>IF(ISBLANK('Deal_Master_Wide'!$DC$22),"",'Deal_Master_Wide'!$DC$22)</x:f>
      </x:c>
      <x:c r="V139" s="56" t="str">
        <x:f>IF(ISBLANK('Deal_Master_Wide'!$DJ$22),"",'Deal_Master_Wide'!$DJ$22)</x:f>
      </x:c>
      <x:c r="W139" s="56" t="str">
        <x:f>IF(ISBLANK('Deal_Master_Wide'!$DQ$22),"",'Deal_Master_Wide'!$DQ$22)</x:f>
      </x:c>
      <x:c r="X139" s="56" t="str">
        <x:f>IF(ISBLANK('Deal_Master_Wide'!$DX$22),"",'Deal_Master_Wide'!$DX$22)</x:f>
      </x:c>
      <x:c r="Y139" s="54" t="str">
        <x:f>IF(ISBLANK('Deal_Master_Wide'!$EE$22),"",'Deal_Master_Wide'!$EE$22)</x:f>
      </x:c>
      <x:c r="Z139" s="54" t="str">
        <x:f>IF(ISBLANK('Deal_Master_Wide'!$EL$22),"",'Deal_Master_Wide'!$EL$22)</x:f>
      </x:c>
      <x:c r="AA139" s="52" t="str">
        <x:f>IF(ISBLANK('Deal_Master_Wide'!$AL$22),"",'Deal_Master_Wide'!$AL$22)</x:f>
        <x:v>Unknown</x:v>
      </x:c>
      <x:c r="AB139" s="54" t="n">
        <x:f>IF(ISBLANK('Deal_Master_Wide'!$AF$22),"",'Deal_Master_Wide'!$AF$22)</x:f>
        <x:v>0</x:v>
      </x:c>
      <x:c r="AC139" s="52" t="str">
        <x:f>IF(COUNT($P139,$Q139,$R139,$S139,$T139,$U139,$V139,$W139,$X139)=9,"Yes","No")</x:f>
        <x:v>No</x:v>
      </x:c>
      <x:c r="AD139" s="52" t="str">
        <x:f>IF(COUNT($Y139,$Z139)=2,"Yes","No")</x:f>
        <x:v>No</x:v>
      </x:c>
      <x:c r="AE139" s="50" t="str"/>
      <x:c r="AF139" t="str"/>
    </x:row>
    <x:row r="140" ht="20" customHeight="1">
      <x:c r="A140" s="50" t="str">
        <x:v>TRT-0020</x:v>
      </x:c>
      <x:c r="B140" s="50" t="str">
        <x:v>Candidate treatment group</x:v>
      </x:c>
      <x:c r="C140" s="52" t="str">
        <x:f>IF('Deal_Master_Wide'!$AU$22="","",'Deal_Master_Wide'!$AU$22)</x:f>
        <x:v>Not reviewed</x:v>
      </x:c>
      <x:c r="D140" s="52" t="str">
        <x:f>IF('Deal_Master_Wide'!$AV$22="","",'Deal_Master_Wide'!$AV$22)</x:f>
        <x:v>Not assessed</x:v>
      </x:c>
      <x:c r="E140" s="50" t="n">
        <x:v>1</x:v>
      </x:c>
      <x:c r="F140" s="52" t="str">
        <x:f>IF(OR($C140="High-confidence innovation-driven",$C140="Medium-confidence innovation-driven"),1,IF($C140="Clear alternative-rationale",0,""))</x:f>
      </x:c>
      <x:c r="G140" s="52" t="str">
        <x:f>IF('Deal_Master_Wide'!$M$22="","",'Deal_Master_Wide'!$M$22)</x:f>
        <x:v>Review</x:v>
      </x:c>
      <x:c r="H140" s="50" t="str">
        <x:v>BioGaia AB</x:v>
      </x:c>
      <x:c r="I140" s="50" t="str">
        <x:v>MetaboGen AB</x:v>
      </x:c>
      <x:c r="J140" s="50" t="n">
        <x:v>2016</x:v>
      </x:c>
      <x:c r="K140" s="50" t="n">
        <x:v>2</x:v>
      </x:c>
      <x:c r="L140" s="50" t="n">
        <x:v>2018</x:v>
      </x:c>
      <x:c r="M140" s="50" t="n">
        <x:v>1</x:v>
      </x:c>
      <x:c r="N140" s="50" t="n">
        <x:v>1</x:v>
      </x:c>
      <x:c r="O140" s="52" t="str">
        <x:f>IF($F140="","",$F140*$M140)</x:f>
      </x:c>
      <x:c r="P140" s="54" t="str">
        <x:f>IF(ISBLANK('Deal_Master_Wide'!$BU$22),"",'Deal_Master_Wide'!$BU$22)</x:f>
      </x:c>
      <x:c r="Q140" s="54" t="str">
        <x:f>IF(ISBLANK('Deal_Master_Wide'!$CB$22),"",'Deal_Master_Wide'!$CB$22)</x:f>
      </x:c>
      <x:c r="R140" s="54" t="str">
        <x:f>IF(ISBLANK('Deal_Master_Wide'!$CI$22),"",'Deal_Master_Wide'!$CI$22)</x:f>
      </x:c>
      <x:c r="S140" s="54" t="str">
        <x:f>IF(ISBLANK('Deal_Master_Wide'!$CP$22),"",'Deal_Master_Wide'!$CP$22)</x:f>
      </x:c>
      <x:c r="T140" s="54" t="str">
        <x:f>IF(ISBLANK('Deal_Master_Wide'!$CW$22),"",'Deal_Master_Wide'!$CW$22)</x:f>
      </x:c>
      <x:c r="U140" s="54" t="str">
        <x:f>IF(ISBLANK('Deal_Master_Wide'!$DD$22),"",'Deal_Master_Wide'!$DD$22)</x:f>
      </x:c>
      <x:c r="V140" s="56" t="str">
        <x:f>IF(ISBLANK('Deal_Master_Wide'!$DK$22),"",'Deal_Master_Wide'!$DK$22)</x:f>
      </x:c>
      <x:c r="W140" s="56" t="str">
        <x:f>IF(ISBLANK('Deal_Master_Wide'!$DR$22),"",'Deal_Master_Wide'!$DR$22)</x:f>
      </x:c>
      <x:c r="X140" s="56" t="str">
        <x:f>IF(ISBLANK('Deal_Master_Wide'!$DY$22),"",'Deal_Master_Wide'!$DY$22)</x:f>
      </x:c>
      <x:c r="Y140" s="54" t="str">
        <x:f>IF(ISBLANK('Deal_Master_Wide'!$EF$22),"",'Deal_Master_Wide'!$EF$22)</x:f>
      </x:c>
      <x:c r="Z140" s="54" t="str">
        <x:f>IF(ISBLANK('Deal_Master_Wide'!$EM$22),"",'Deal_Master_Wide'!$EM$22)</x:f>
      </x:c>
      <x:c r="AA140" s="52" t="str">
        <x:f>IF(ISBLANK('Deal_Master_Wide'!$AL$22),"",'Deal_Master_Wide'!$AL$22)</x:f>
        <x:v>Unknown</x:v>
      </x:c>
      <x:c r="AB140" s="54" t="n">
        <x:f>IF(ISBLANK('Deal_Master_Wide'!$AF$22),"",'Deal_Master_Wide'!$AF$22)</x:f>
        <x:v>0</x:v>
      </x:c>
      <x:c r="AC140" s="52" t="str">
        <x:f>IF(COUNT($P140,$Q140,$R140,$S140,$T140,$U140,$V140,$W140,$X140)=9,"Yes","No")</x:f>
        <x:v>No</x:v>
      </x:c>
      <x:c r="AD140" s="52" t="str">
        <x:f>IF(COUNT($Y140,$Z140)=2,"Yes","No")</x:f>
        <x:v>No</x:v>
      </x:c>
      <x:c r="AE140" s="50" t="str"/>
      <x:c r="AF140" t="str"/>
    </x:row>
    <x:row r="141" ht="20" customHeight="1">
      <x:c r="A141" s="50" t="str">
        <x:v>TRT-0020</x:v>
      </x:c>
      <x:c r="B141" s="50" t="str">
        <x:v>Candidate treatment group</x:v>
      </x:c>
      <x:c r="C141" s="52" t="str">
        <x:f>IF('Deal_Master_Wide'!$AU$22="","",'Deal_Master_Wide'!$AU$22)</x:f>
        <x:v>Not reviewed</x:v>
      </x:c>
      <x:c r="D141" s="52" t="str">
        <x:f>IF('Deal_Master_Wide'!$AV$22="","",'Deal_Master_Wide'!$AV$22)</x:f>
        <x:v>Not assessed</x:v>
      </x:c>
      <x:c r="E141" s="50" t="n">
        <x:v>1</x:v>
      </x:c>
      <x:c r="F141" s="52" t="str">
        <x:f>IF(OR($C141="High-confidence innovation-driven",$C141="Medium-confidence innovation-driven"),1,IF($C141="Clear alternative-rationale",0,""))</x:f>
      </x:c>
      <x:c r="G141" s="52" t="str">
        <x:f>IF('Deal_Master_Wide'!$M$22="","",'Deal_Master_Wide'!$M$22)</x:f>
        <x:v>Review</x:v>
      </x:c>
      <x:c r="H141" s="50" t="str">
        <x:v>BioGaia AB</x:v>
      </x:c>
      <x:c r="I141" s="50" t="str">
        <x:v>MetaboGen AB</x:v>
      </x:c>
      <x:c r="J141" s="50" t="n">
        <x:v>2016</x:v>
      </x:c>
      <x:c r="K141" s="50" t="n">
        <x:v>3</x:v>
      </x:c>
      <x:c r="L141" s="50" t="n">
        <x:v>2019</x:v>
      </x:c>
      <x:c r="M141" s="50" t="n">
        <x:v>1</x:v>
      </x:c>
      <x:c r="N141" s="50" t="n">
        <x:v>1</x:v>
      </x:c>
      <x:c r="O141" s="52" t="str">
        <x:f>IF($F141="","",$F141*$M141)</x:f>
      </x:c>
      <x:c r="P141" s="54" t="str">
        <x:f>IF(ISBLANK('Deal_Master_Wide'!$BV$22),"",'Deal_Master_Wide'!$BV$22)</x:f>
      </x:c>
      <x:c r="Q141" s="54" t="str">
        <x:f>IF(ISBLANK('Deal_Master_Wide'!$CC$22),"",'Deal_Master_Wide'!$CC$22)</x:f>
      </x:c>
      <x:c r="R141" s="54" t="str">
        <x:f>IF(ISBLANK('Deal_Master_Wide'!$CJ$22),"",'Deal_Master_Wide'!$CJ$22)</x:f>
      </x:c>
      <x:c r="S141" s="54" t="str">
        <x:f>IF(ISBLANK('Deal_Master_Wide'!$CQ$22),"",'Deal_Master_Wide'!$CQ$22)</x:f>
      </x:c>
      <x:c r="T141" s="54" t="str">
        <x:f>IF(ISBLANK('Deal_Master_Wide'!$CX$22),"",'Deal_Master_Wide'!$CX$22)</x:f>
      </x:c>
      <x:c r="U141" s="54" t="str">
        <x:f>IF(ISBLANK('Deal_Master_Wide'!$DE$22),"",'Deal_Master_Wide'!$DE$22)</x:f>
      </x:c>
      <x:c r="V141" s="56" t="str">
        <x:f>IF(ISBLANK('Deal_Master_Wide'!$DL$22),"",'Deal_Master_Wide'!$DL$22)</x:f>
      </x:c>
      <x:c r="W141" s="56" t="str">
        <x:f>IF(ISBLANK('Deal_Master_Wide'!$DS$22),"",'Deal_Master_Wide'!$DS$22)</x:f>
      </x:c>
      <x:c r="X141" s="56" t="str">
        <x:f>IF(ISBLANK('Deal_Master_Wide'!$DZ$22),"",'Deal_Master_Wide'!$DZ$22)</x:f>
      </x:c>
      <x:c r="Y141" s="54" t="str">
        <x:f>IF(ISBLANK('Deal_Master_Wide'!$EG$22),"",'Deal_Master_Wide'!$EG$22)</x:f>
      </x:c>
      <x:c r="Z141" s="54" t="str">
        <x:f>IF(ISBLANK('Deal_Master_Wide'!$EN$22),"",'Deal_Master_Wide'!$EN$22)</x:f>
      </x:c>
      <x:c r="AA141" s="52" t="str">
        <x:f>IF(ISBLANK('Deal_Master_Wide'!$AL$22),"",'Deal_Master_Wide'!$AL$22)</x:f>
        <x:v>Unknown</x:v>
      </x:c>
      <x:c r="AB141" s="54" t="n">
        <x:f>IF(ISBLANK('Deal_Master_Wide'!$AF$22),"",'Deal_Master_Wide'!$AF$22)</x:f>
        <x:v>0</x:v>
      </x:c>
      <x:c r="AC141" s="52" t="str">
        <x:f>IF(COUNT($P141,$Q141,$R141,$S141,$T141,$U141,$V141,$W141,$X141)=9,"Yes","No")</x:f>
        <x:v>No</x:v>
      </x:c>
      <x:c r="AD141" s="52" t="str">
        <x:f>IF(COUNT($Y141,$Z141)=2,"Yes","No")</x:f>
        <x:v>No</x:v>
      </x:c>
      <x:c r="AE141" s="50" t="str"/>
      <x:c r="AF141" t="str"/>
    </x:row>
    <x:row r="142" ht="20" customHeight="1">
      <x:c r="A142" s="50" t="str">
        <x:v>TRT-0021</x:v>
      </x:c>
      <x:c r="B142" s="50" t="str">
        <x:v>Candidate treatment group</x:v>
      </x:c>
      <x:c r="C142" s="52" t="str">
        <x:f>IF('Deal_Master_Wide'!$AU$23="","",'Deal_Master_Wide'!$AU$23)</x:f>
        <x:v>Not reviewed</x:v>
      </x:c>
      <x:c r="D142" s="52" t="str">
        <x:f>IF('Deal_Master_Wide'!$AV$23="","",'Deal_Master_Wide'!$AV$23)</x:f>
        <x:v>Not assessed</x:v>
      </x:c>
      <x:c r="E142" s="50" t="n">
        <x:v>1</x:v>
      </x:c>
      <x:c r="F142" s="52" t="str">
        <x:f>IF(OR($C142="High-confidence innovation-driven",$C142="Medium-confidence innovation-driven"),1,IF($C142="Clear alternative-rationale",0,""))</x:f>
      </x:c>
      <x:c r="G142" s="52" t="str">
        <x:f>IF('Deal_Master_Wide'!$M$23="","",'Deal_Master_Wide'!$M$23)</x:f>
        <x:v>Review</x:v>
      </x:c>
      <x:c r="H142" s="50" t="str">
        <x:v>Martindale Pharma</x:v>
      </x:c>
      <x:c r="I142" s="50" t="str">
        <x:v>Viridian Pharma Ltd</x:v>
      </x:c>
      <x:c r="J142" s="50" t="n">
        <x:v>2016</x:v>
      </x:c>
      <x:c r="K142" s="50" t="n">
        <x:v>-3</x:v>
      </x:c>
      <x:c r="L142" s="50" t="n">
        <x:v>2013</x:v>
      </x:c>
      <x:c r="M142" s="50" t="n">
        <x:v>0</x:v>
      </x:c>
      <x:c r="N142" s="50" t="n">
        <x:v>0</x:v>
      </x:c>
      <x:c r="O142" s="52" t="str">
        <x:f>IF($F142="","",$F142*$M142)</x:f>
      </x:c>
      <x:c r="P142" s="54" t="str">
        <x:f>IF(ISBLANK('Deal_Master_Wide'!$BP$23),"",'Deal_Master_Wide'!$BP$23)</x:f>
      </x:c>
      <x:c r="Q142" s="54" t="str">
        <x:f>IF(ISBLANK('Deal_Master_Wide'!$BW$23),"",'Deal_Master_Wide'!$BW$23)</x:f>
      </x:c>
      <x:c r="R142" s="54" t="str">
        <x:f>IF(ISBLANK('Deal_Master_Wide'!$CD$23),"",'Deal_Master_Wide'!$CD$23)</x:f>
      </x:c>
      <x:c r="S142" s="54" t="str">
        <x:f>IF(ISBLANK('Deal_Master_Wide'!$CK$23),"",'Deal_Master_Wide'!$CK$23)</x:f>
      </x:c>
      <x:c r="T142" s="54" t="str">
        <x:f>IF(ISBLANK('Deal_Master_Wide'!$CR$23),"",'Deal_Master_Wide'!$CR$23)</x:f>
      </x:c>
      <x:c r="U142" s="54" t="str">
        <x:f>IF(ISBLANK('Deal_Master_Wide'!$CY$23),"",'Deal_Master_Wide'!$CY$23)</x:f>
      </x:c>
      <x:c r="V142" s="56" t="str">
        <x:f>IF(ISBLANK('Deal_Master_Wide'!$DF$23),"",'Deal_Master_Wide'!$DF$23)</x:f>
      </x:c>
      <x:c r="W142" s="56" t="str">
        <x:f>IF(ISBLANK('Deal_Master_Wide'!$DM$23),"",'Deal_Master_Wide'!$DM$23)</x:f>
      </x:c>
      <x:c r="X142" s="56" t="str">
        <x:f>IF(ISBLANK('Deal_Master_Wide'!$DT$23),"",'Deal_Master_Wide'!$DT$23)</x:f>
      </x:c>
      <x:c r="Y142" s="54" t="str">
        <x:f>IF(ISBLANK('Deal_Master_Wide'!$EA$23),"",'Deal_Master_Wide'!$EA$23)</x:f>
      </x:c>
      <x:c r="Z142" s="54" t="str">
        <x:f>IF(ISBLANK('Deal_Master_Wide'!$EH$23),"",'Deal_Master_Wide'!$EH$23)</x:f>
      </x:c>
      <x:c r="AA142" s="52" t="str">
        <x:f>IF(ISBLANK('Deal_Master_Wide'!$AL$23),"",'Deal_Master_Wide'!$AL$23)</x:f>
        <x:v>Unknown</x:v>
      </x:c>
      <x:c r="AB142" s="54" t="str">
        <x:f>IF(ISBLANK('Deal_Master_Wide'!$AF$23),"",'Deal_Master_Wide'!$AF$23)</x:f>
      </x:c>
      <x:c r="AC142" s="52" t="str">
        <x:f>IF(COUNT($P142,$Q142,$R142,$S142,$T142,$U142,$V142,$W142,$X142)=9,"Yes","No")</x:f>
        <x:v>No</x:v>
      </x:c>
      <x:c r="AD142" s="52" t="str">
        <x:f>IF(COUNT($Y142,$Z142)=2,"Yes","No")</x:f>
        <x:v>No</x:v>
      </x:c>
      <x:c r="AE142" s="50" t="str"/>
      <x:c r="AF142" t="str"/>
    </x:row>
    <x:row r="143" ht="20" customHeight="1">
      <x:c r="A143" s="50" t="str">
        <x:v>TRT-0021</x:v>
      </x:c>
      <x:c r="B143" s="50" t="str">
        <x:v>Candidate treatment group</x:v>
      </x:c>
      <x:c r="C143" s="52" t="str">
        <x:f>IF('Deal_Master_Wide'!$AU$23="","",'Deal_Master_Wide'!$AU$23)</x:f>
        <x:v>Not reviewed</x:v>
      </x:c>
      <x:c r="D143" s="52" t="str">
        <x:f>IF('Deal_Master_Wide'!$AV$23="","",'Deal_Master_Wide'!$AV$23)</x:f>
        <x:v>Not assessed</x:v>
      </x:c>
      <x:c r="E143" s="50" t="n">
        <x:v>1</x:v>
      </x:c>
      <x:c r="F143" s="52" t="str">
        <x:f>IF(OR($C143="High-confidence innovation-driven",$C143="Medium-confidence innovation-driven"),1,IF($C143="Clear alternative-rationale",0,""))</x:f>
      </x:c>
      <x:c r="G143" s="52" t="str">
        <x:f>IF('Deal_Master_Wide'!$M$23="","",'Deal_Master_Wide'!$M$23)</x:f>
        <x:v>Review</x:v>
      </x:c>
      <x:c r="H143" s="50" t="str">
        <x:v>Martindale Pharma</x:v>
      </x:c>
      <x:c r="I143" s="50" t="str">
        <x:v>Viridian Pharma Ltd</x:v>
      </x:c>
      <x:c r="J143" s="50" t="n">
        <x:v>2016</x:v>
      </x:c>
      <x:c r="K143" s="50" t="n">
        <x:v>-2</x:v>
      </x:c>
      <x:c r="L143" s="50" t="n">
        <x:v>2014</x:v>
      </x:c>
      <x:c r="M143" s="50" t="n">
        <x:v>0</x:v>
      </x:c>
      <x:c r="N143" s="50" t="n">
        <x:v>0</x:v>
      </x:c>
      <x:c r="O143" s="52" t="str">
        <x:f>IF($F143="","",$F143*$M143)</x:f>
      </x:c>
      <x:c r="P143" s="54" t="str">
        <x:f>IF(ISBLANK('Deal_Master_Wide'!$BQ$23),"",'Deal_Master_Wide'!$BQ$23)</x:f>
      </x:c>
      <x:c r="Q143" s="54" t="str">
        <x:f>IF(ISBLANK('Deal_Master_Wide'!$BX$23),"",'Deal_Master_Wide'!$BX$23)</x:f>
      </x:c>
      <x:c r="R143" s="54" t="str">
        <x:f>IF(ISBLANK('Deal_Master_Wide'!$CE$23),"",'Deal_Master_Wide'!$CE$23)</x:f>
      </x:c>
      <x:c r="S143" s="54" t="str">
        <x:f>IF(ISBLANK('Deal_Master_Wide'!$CL$23),"",'Deal_Master_Wide'!$CL$23)</x:f>
      </x:c>
      <x:c r="T143" s="54" t="str">
        <x:f>IF(ISBLANK('Deal_Master_Wide'!$CS$23),"",'Deal_Master_Wide'!$CS$23)</x:f>
      </x:c>
      <x:c r="U143" s="54" t="str">
        <x:f>IF(ISBLANK('Deal_Master_Wide'!$CZ$23),"",'Deal_Master_Wide'!$CZ$23)</x:f>
      </x:c>
      <x:c r="V143" s="56" t="str">
        <x:f>IF(ISBLANK('Deal_Master_Wide'!$DG$23),"",'Deal_Master_Wide'!$DG$23)</x:f>
      </x:c>
      <x:c r="W143" s="56" t="str">
        <x:f>IF(ISBLANK('Deal_Master_Wide'!$DN$23),"",'Deal_Master_Wide'!$DN$23)</x:f>
      </x:c>
      <x:c r="X143" s="56" t="str">
        <x:f>IF(ISBLANK('Deal_Master_Wide'!$DU$23),"",'Deal_Master_Wide'!$DU$23)</x:f>
      </x:c>
      <x:c r="Y143" s="54" t="str">
        <x:f>IF(ISBLANK('Deal_Master_Wide'!$EB$23),"",'Deal_Master_Wide'!$EB$23)</x:f>
      </x:c>
      <x:c r="Z143" s="54" t="str">
        <x:f>IF(ISBLANK('Deal_Master_Wide'!$EI$23),"",'Deal_Master_Wide'!$EI$23)</x:f>
      </x:c>
      <x:c r="AA143" s="52" t="str">
        <x:f>IF(ISBLANK('Deal_Master_Wide'!$AL$23),"",'Deal_Master_Wide'!$AL$23)</x:f>
        <x:v>Unknown</x:v>
      </x:c>
      <x:c r="AB143" s="54" t="str">
        <x:f>IF(ISBLANK('Deal_Master_Wide'!$AF$23),"",'Deal_Master_Wide'!$AF$23)</x:f>
      </x:c>
      <x:c r="AC143" s="52" t="str">
        <x:f>IF(COUNT($P143,$Q143,$R143,$S143,$T143,$U143,$V143,$W143,$X143)=9,"Yes","No")</x:f>
        <x:v>No</x:v>
      </x:c>
      <x:c r="AD143" s="52" t="str">
        <x:f>IF(COUNT($Y143,$Z143)=2,"Yes","No")</x:f>
        <x:v>No</x:v>
      </x:c>
      <x:c r="AE143" s="50" t="str"/>
      <x:c r="AF143" t="str"/>
    </x:row>
    <x:row r="144" ht="20" customHeight="1">
      <x:c r="A144" s="50" t="str">
        <x:v>TRT-0021</x:v>
      </x:c>
      <x:c r="B144" s="50" t="str">
        <x:v>Candidate treatment group</x:v>
      </x:c>
      <x:c r="C144" s="52" t="str">
        <x:f>IF('Deal_Master_Wide'!$AU$23="","",'Deal_Master_Wide'!$AU$23)</x:f>
        <x:v>Not reviewed</x:v>
      </x:c>
      <x:c r="D144" s="52" t="str">
        <x:f>IF('Deal_Master_Wide'!$AV$23="","",'Deal_Master_Wide'!$AV$23)</x:f>
        <x:v>Not assessed</x:v>
      </x:c>
      <x:c r="E144" s="50" t="n">
        <x:v>1</x:v>
      </x:c>
      <x:c r="F144" s="52" t="str">
        <x:f>IF(OR($C144="High-confidence innovation-driven",$C144="Medium-confidence innovation-driven"),1,IF($C144="Clear alternative-rationale",0,""))</x:f>
      </x:c>
      <x:c r="G144" s="52" t="str">
        <x:f>IF('Deal_Master_Wide'!$M$23="","",'Deal_Master_Wide'!$M$23)</x:f>
        <x:v>Review</x:v>
      </x:c>
      <x:c r="H144" s="50" t="str">
        <x:v>Martindale Pharma</x:v>
      </x:c>
      <x:c r="I144" s="50" t="str">
        <x:v>Viridian Pharma Ltd</x:v>
      </x:c>
      <x:c r="J144" s="50" t="n">
        <x:v>2016</x:v>
      </x:c>
      <x:c r="K144" s="50" t="n">
        <x:v>-1</x:v>
      </x:c>
      <x:c r="L144" s="50" t="n">
        <x:v>2015</x:v>
      </x:c>
      <x:c r="M144" s="50" t="n">
        <x:v>0</x:v>
      </x:c>
      <x:c r="N144" s="50" t="n">
        <x:v>0</x:v>
      </x:c>
      <x:c r="O144" s="52" t="str">
        <x:f>IF($F144="","",$F144*$M144)</x:f>
      </x:c>
      <x:c r="P144" s="54" t="str">
        <x:f>IF(ISBLANK('Deal_Master_Wide'!$BR$23),"",'Deal_Master_Wide'!$BR$23)</x:f>
      </x:c>
      <x:c r="Q144" s="54" t="str">
        <x:f>IF(ISBLANK('Deal_Master_Wide'!$BY$23),"",'Deal_Master_Wide'!$BY$23)</x:f>
      </x:c>
      <x:c r="R144" s="54" t="str">
        <x:f>IF(ISBLANK('Deal_Master_Wide'!$CF$23),"",'Deal_Master_Wide'!$CF$23)</x:f>
      </x:c>
      <x:c r="S144" s="54" t="str">
        <x:f>IF(ISBLANK('Deal_Master_Wide'!$CM$23),"",'Deal_Master_Wide'!$CM$23)</x:f>
      </x:c>
      <x:c r="T144" s="54" t="str">
        <x:f>IF(ISBLANK('Deal_Master_Wide'!$CT$23),"",'Deal_Master_Wide'!$CT$23)</x:f>
      </x:c>
      <x:c r="U144" s="54" t="str">
        <x:f>IF(ISBLANK('Deal_Master_Wide'!$DA$23),"",'Deal_Master_Wide'!$DA$23)</x:f>
      </x:c>
      <x:c r="V144" s="56" t="str">
        <x:f>IF(ISBLANK('Deal_Master_Wide'!$DH$23),"",'Deal_Master_Wide'!$DH$23)</x:f>
      </x:c>
      <x:c r="W144" s="56" t="str">
        <x:f>IF(ISBLANK('Deal_Master_Wide'!$DO$23),"",'Deal_Master_Wide'!$DO$23)</x:f>
      </x:c>
      <x:c r="X144" s="56" t="str">
        <x:f>IF(ISBLANK('Deal_Master_Wide'!$DV$23),"",'Deal_Master_Wide'!$DV$23)</x:f>
      </x:c>
      <x:c r="Y144" s="54" t="str">
        <x:f>IF(ISBLANK('Deal_Master_Wide'!$EC$23),"",'Deal_Master_Wide'!$EC$23)</x:f>
      </x:c>
      <x:c r="Z144" s="54" t="str">
        <x:f>IF(ISBLANK('Deal_Master_Wide'!$EJ$23),"",'Deal_Master_Wide'!$EJ$23)</x:f>
      </x:c>
      <x:c r="AA144" s="52" t="str">
        <x:f>IF(ISBLANK('Deal_Master_Wide'!$AL$23),"",'Deal_Master_Wide'!$AL$23)</x:f>
        <x:v>Unknown</x:v>
      </x:c>
      <x:c r="AB144" s="54" t="str">
        <x:f>IF(ISBLANK('Deal_Master_Wide'!$AF$23),"",'Deal_Master_Wide'!$AF$23)</x:f>
      </x:c>
      <x:c r="AC144" s="52" t="str">
        <x:f>IF(COUNT($P144,$Q144,$R144,$S144,$T144,$U144,$V144,$W144,$X144)=9,"Yes","No")</x:f>
        <x:v>No</x:v>
      </x:c>
      <x:c r="AD144" s="52" t="str">
        <x:f>IF(COUNT($Y144,$Z144)=2,"Yes","No")</x:f>
        <x:v>No</x:v>
      </x:c>
      <x:c r="AE144" s="50" t="str"/>
      <x:c r="AF144" t="str"/>
    </x:row>
    <x:row r="145" ht="20" customHeight="1">
      <x:c r="A145" s="50" t="str">
        <x:v>TRT-0021</x:v>
      </x:c>
      <x:c r="B145" s="50" t="str">
        <x:v>Candidate treatment group</x:v>
      </x:c>
      <x:c r="C145" s="52" t="str">
        <x:f>IF('Deal_Master_Wide'!$AU$23="","",'Deal_Master_Wide'!$AU$23)</x:f>
        <x:v>Not reviewed</x:v>
      </x:c>
      <x:c r="D145" s="52" t="str">
        <x:f>IF('Deal_Master_Wide'!$AV$23="","",'Deal_Master_Wide'!$AV$23)</x:f>
        <x:v>Not assessed</x:v>
      </x:c>
      <x:c r="E145" s="50" t="n">
        <x:v>1</x:v>
      </x:c>
      <x:c r="F145" s="52" t="str">
        <x:f>IF(OR($C145="High-confidence innovation-driven",$C145="Medium-confidence innovation-driven"),1,IF($C145="Clear alternative-rationale",0,""))</x:f>
      </x:c>
      <x:c r="G145" s="52" t="str">
        <x:f>IF('Deal_Master_Wide'!$M$23="","",'Deal_Master_Wide'!$M$23)</x:f>
        <x:v>Review</x:v>
      </x:c>
      <x:c r="H145" s="50" t="str">
        <x:v>Martindale Pharma</x:v>
      </x:c>
      <x:c r="I145" s="50" t="str">
        <x:v>Viridian Pharma Ltd</x:v>
      </x:c>
      <x:c r="J145" s="50" t="n">
        <x:v>2016</x:v>
      </x:c>
      <x:c r="K145" s="50" t="n">
        <x:v>0</x:v>
      </x:c>
      <x:c r="L145" s="50" t="n">
        <x:v>2016</x:v>
      </x:c>
      <x:c r="M145" s="50" t="n">
        <x:v>0</x:v>
      </x:c>
      <x:c r="N145" s="50" t="n">
        <x:v>1</x:v>
      </x:c>
      <x:c r="O145" s="52" t="str">
        <x:f>IF($F145="","",$F145*$M145)</x:f>
      </x:c>
      <x:c r="P145" s="54" t="str">
        <x:f>IF(ISBLANK('Deal_Master_Wide'!$BS$23),"",'Deal_Master_Wide'!$BS$23)</x:f>
      </x:c>
      <x:c r="Q145" s="54" t="str">
        <x:f>IF(ISBLANK('Deal_Master_Wide'!$BZ$23),"",'Deal_Master_Wide'!$BZ$23)</x:f>
      </x:c>
      <x:c r="R145" s="54" t="str">
        <x:f>IF(ISBLANK('Deal_Master_Wide'!$CG$23),"",'Deal_Master_Wide'!$CG$23)</x:f>
      </x:c>
      <x:c r="S145" s="54" t="str">
        <x:f>IF(ISBLANK('Deal_Master_Wide'!$CN$23),"",'Deal_Master_Wide'!$CN$23)</x:f>
      </x:c>
      <x:c r="T145" s="54" t="str">
        <x:f>IF(ISBLANK('Deal_Master_Wide'!$CU$23),"",'Deal_Master_Wide'!$CU$23)</x:f>
      </x:c>
      <x:c r="U145" s="54" t="str">
        <x:f>IF(ISBLANK('Deal_Master_Wide'!$DB$23),"",'Deal_Master_Wide'!$DB$23)</x:f>
      </x:c>
      <x:c r="V145" s="56" t="str">
        <x:f>IF(ISBLANK('Deal_Master_Wide'!$DI$23),"",'Deal_Master_Wide'!$DI$23)</x:f>
      </x:c>
      <x:c r="W145" s="56" t="str">
        <x:f>IF(ISBLANK('Deal_Master_Wide'!$DP$23),"",'Deal_Master_Wide'!$DP$23)</x:f>
      </x:c>
      <x:c r="X145" s="56" t="str">
        <x:f>IF(ISBLANK('Deal_Master_Wide'!$DW$23),"",'Deal_Master_Wide'!$DW$23)</x:f>
      </x:c>
      <x:c r="Y145" s="54" t="str">
        <x:f>IF(ISBLANK('Deal_Master_Wide'!$ED$23),"",'Deal_Master_Wide'!$ED$23)</x:f>
      </x:c>
      <x:c r="Z145" s="54" t="str">
        <x:f>IF(ISBLANK('Deal_Master_Wide'!$EK$23),"",'Deal_Master_Wide'!$EK$23)</x:f>
      </x:c>
      <x:c r="AA145" s="52" t="str">
        <x:f>IF(ISBLANK('Deal_Master_Wide'!$AL$23),"",'Deal_Master_Wide'!$AL$23)</x:f>
        <x:v>Unknown</x:v>
      </x:c>
      <x:c r="AB145" s="54" t="str">
        <x:f>IF(ISBLANK('Deal_Master_Wide'!$AF$23),"",'Deal_Master_Wide'!$AF$23)</x:f>
      </x:c>
      <x:c r="AC145" s="52" t="str">
        <x:f>IF(COUNT($P145,$Q145,$R145,$S145,$T145,$U145,$V145,$W145,$X145)=9,"Yes","No")</x:f>
        <x:v>No</x:v>
      </x:c>
      <x:c r="AD145" s="52" t="str">
        <x:f>IF(COUNT($Y145,$Z145)=2,"Yes","No")</x:f>
        <x:v>No</x:v>
      </x:c>
      <x:c r="AE145" s="50" t="str"/>
      <x:c r="AF145" t="str"/>
    </x:row>
    <x:row r="146" ht="20" customHeight="1">
      <x:c r="A146" s="50" t="str">
        <x:v>TRT-0021</x:v>
      </x:c>
      <x:c r="B146" s="50" t="str">
        <x:v>Candidate treatment group</x:v>
      </x:c>
      <x:c r="C146" s="52" t="str">
        <x:f>IF('Deal_Master_Wide'!$AU$23="","",'Deal_Master_Wide'!$AU$23)</x:f>
        <x:v>Not reviewed</x:v>
      </x:c>
      <x:c r="D146" s="52" t="str">
        <x:f>IF('Deal_Master_Wide'!$AV$23="","",'Deal_Master_Wide'!$AV$23)</x:f>
        <x:v>Not assessed</x:v>
      </x:c>
      <x:c r="E146" s="50" t="n">
        <x:v>1</x:v>
      </x:c>
      <x:c r="F146" s="52" t="str">
        <x:f>IF(OR($C146="High-confidence innovation-driven",$C146="Medium-confidence innovation-driven"),1,IF($C146="Clear alternative-rationale",0,""))</x:f>
      </x:c>
      <x:c r="G146" s="52" t="str">
        <x:f>IF('Deal_Master_Wide'!$M$23="","",'Deal_Master_Wide'!$M$23)</x:f>
        <x:v>Review</x:v>
      </x:c>
      <x:c r="H146" s="50" t="str">
        <x:v>Martindale Pharma</x:v>
      </x:c>
      <x:c r="I146" s="50" t="str">
        <x:v>Viridian Pharma Ltd</x:v>
      </x:c>
      <x:c r="J146" s="50" t="n">
        <x:v>2016</x:v>
      </x:c>
      <x:c r="K146" s="50" t="n">
        <x:v>1</x:v>
      </x:c>
      <x:c r="L146" s="50" t="n">
        <x:v>2017</x:v>
      </x:c>
      <x:c r="M146" s="50" t="n">
        <x:v>1</x:v>
      </x:c>
      <x:c r="N146" s="50" t="n">
        <x:v>1</x:v>
      </x:c>
      <x:c r="O146" s="52" t="str">
        <x:f>IF($F146="","",$F146*$M146)</x:f>
      </x:c>
      <x:c r="P146" s="54" t="str">
        <x:f>IF(ISBLANK('Deal_Master_Wide'!$BT$23),"",'Deal_Master_Wide'!$BT$23)</x:f>
      </x:c>
      <x:c r="Q146" s="54" t="str">
        <x:f>IF(ISBLANK('Deal_Master_Wide'!$CA$23),"",'Deal_Master_Wide'!$CA$23)</x:f>
      </x:c>
      <x:c r="R146" s="54" t="str">
        <x:f>IF(ISBLANK('Deal_Master_Wide'!$CH$23),"",'Deal_Master_Wide'!$CH$23)</x:f>
      </x:c>
      <x:c r="S146" s="54" t="str">
        <x:f>IF(ISBLANK('Deal_Master_Wide'!$CO$23),"",'Deal_Master_Wide'!$CO$23)</x:f>
      </x:c>
      <x:c r="T146" s="54" t="str">
        <x:f>IF(ISBLANK('Deal_Master_Wide'!$CV$23),"",'Deal_Master_Wide'!$CV$23)</x:f>
      </x:c>
      <x:c r="U146" s="54" t="str">
        <x:f>IF(ISBLANK('Deal_Master_Wide'!$DC$23),"",'Deal_Master_Wide'!$DC$23)</x:f>
      </x:c>
      <x:c r="V146" s="56" t="str">
        <x:f>IF(ISBLANK('Deal_Master_Wide'!$DJ$23),"",'Deal_Master_Wide'!$DJ$23)</x:f>
      </x:c>
      <x:c r="W146" s="56" t="str">
        <x:f>IF(ISBLANK('Deal_Master_Wide'!$DQ$23),"",'Deal_Master_Wide'!$DQ$23)</x:f>
      </x:c>
      <x:c r="X146" s="56" t="str">
        <x:f>IF(ISBLANK('Deal_Master_Wide'!$DX$23),"",'Deal_Master_Wide'!$DX$23)</x:f>
      </x:c>
      <x:c r="Y146" s="54" t="str">
        <x:f>IF(ISBLANK('Deal_Master_Wide'!$EE$23),"",'Deal_Master_Wide'!$EE$23)</x:f>
      </x:c>
      <x:c r="Z146" s="54" t="str">
        <x:f>IF(ISBLANK('Deal_Master_Wide'!$EL$23),"",'Deal_Master_Wide'!$EL$23)</x:f>
      </x:c>
      <x:c r="AA146" s="52" t="str">
        <x:f>IF(ISBLANK('Deal_Master_Wide'!$AL$23),"",'Deal_Master_Wide'!$AL$23)</x:f>
        <x:v>Unknown</x:v>
      </x:c>
      <x:c r="AB146" s="54" t="str">
        <x:f>IF(ISBLANK('Deal_Master_Wide'!$AF$23),"",'Deal_Master_Wide'!$AF$23)</x:f>
      </x:c>
      <x:c r="AC146" s="52" t="str">
        <x:f>IF(COUNT($P146,$Q146,$R146,$S146,$T146,$U146,$V146,$W146,$X146)=9,"Yes","No")</x:f>
        <x:v>No</x:v>
      </x:c>
      <x:c r="AD146" s="52" t="str">
        <x:f>IF(COUNT($Y146,$Z146)=2,"Yes","No")</x:f>
        <x:v>No</x:v>
      </x:c>
      <x:c r="AE146" s="50" t="str"/>
      <x:c r="AF146" t="str"/>
    </x:row>
    <x:row r="147" ht="20" customHeight="1">
      <x:c r="A147" s="50" t="str">
        <x:v>TRT-0021</x:v>
      </x:c>
      <x:c r="B147" s="50" t="str">
        <x:v>Candidate treatment group</x:v>
      </x:c>
      <x:c r="C147" s="52" t="str">
        <x:f>IF('Deal_Master_Wide'!$AU$23="","",'Deal_Master_Wide'!$AU$23)</x:f>
        <x:v>Not reviewed</x:v>
      </x:c>
      <x:c r="D147" s="52" t="str">
        <x:f>IF('Deal_Master_Wide'!$AV$23="","",'Deal_Master_Wide'!$AV$23)</x:f>
        <x:v>Not assessed</x:v>
      </x:c>
      <x:c r="E147" s="50" t="n">
        <x:v>1</x:v>
      </x:c>
      <x:c r="F147" s="52" t="str">
        <x:f>IF(OR($C147="High-confidence innovation-driven",$C147="Medium-confidence innovation-driven"),1,IF($C147="Clear alternative-rationale",0,""))</x:f>
      </x:c>
      <x:c r="G147" s="52" t="str">
        <x:f>IF('Deal_Master_Wide'!$M$23="","",'Deal_Master_Wide'!$M$23)</x:f>
        <x:v>Review</x:v>
      </x:c>
      <x:c r="H147" s="50" t="str">
        <x:v>Martindale Pharma</x:v>
      </x:c>
      <x:c r="I147" s="50" t="str">
        <x:v>Viridian Pharma Ltd</x:v>
      </x:c>
      <x:c r="J147" s="50" t="n">
        <x:v>2016</x:v>
      </x:c>
      <x:c r="K147" s="50" t="n">
        <x:v>2</x:v>
      </x:c>
      <x:c r="L147" s="50" t="n">
        <x:v>2018</x:v>
      </x:c>
      <x:c r="M147" s="50" t="n">
        <x:v>1</x:v>
      </x:c>
      <x:c r="N147" s="50" t="n">
        <x:v>1</x:v>
      </x:c>
      <x:c r="O147" s="52" t="str">
        <x:f>IF($F147="","",$F147*$M147)</x:f>
      </x:c>
      <x:c r="P147" s="54" t="str">
        <x:f>IF(ISBLANK('Deal_Master_Wide'!$BU$23),"",'Deal_Master_Wide'!$BU$23)</x:f>
      </x:c>
      <x:c r="Q147" s="54" t="str">
        <x:f>IF(ISBLANK('Deal_Master_Wide'!$CB$23),"",'Deal_Master_Wide'!$CB$23)</x:f>
      </x:c>
      <x:c r="R147" s="54" t="str">
        <x:f>IF(ISBLANK('Deal_Master_Wide'!$CI$23),"",'Deal_Master_Wide'!$CI$23)</x:f>
      </x:c>
      <x:c r="S147" s="54" t="str">
        <x:f>IF(ISBLANK('Deal_Master_Wide'!$CP$23),"",'Deal_Master_Wide'!$CP$23)</x:f>
      </x:c>
      <x:c r="T147" s="54" t="str">
        <x:f>IF(ISBLANK('Deal_Master_Wide'!$CW$23),"",'Deal_Master_Wide'!$CW$23)</x:f>
      </x:c>
      <x:c r="U147" s="54" t="str">
        <x:f>IF(ISBLANK('Deal_Master_Wide'!$DD$23),"",'Deal_Master_Wide'!$DD$23)</x:f>
      </x:c>
      <x:c r="V147" s="56" t="str">
        <x:f>IF(ISBLANK('Deal_Master_Wide'!$DK$23),"",'Deal_Master_Wide'!$DK$23)</x:f>
      </x:c>
      <x:c r="W147" s="56" t="str">
        <x:f>IF(ISBLANK('Deal_Master_Wide'!$DR$23),"",'Deal_Master_Wide'!$DR$23)</x:f>
      </x:c>
      <x:c r="X147" s="56" t="str">
        <x:f>IF(ISBLANK('Deal_Master_Wide'!$DY$23),"",'Deal_Master_Wide'!$DY$23)</x:f>
      </x:c>
      <x:c r="Y147" s="54" t="str">
        <x:f>IF(ISBLANK('Deal_Master_Wide'!$EF$23),"",'Deal_Master_Wide'!$EF$23)</x:f>
      </x:c>
      <x:c r="Z147" s="54" t="str">
        <x:f>IF(ISBLANK('Deal_Master_Wide'!$EM$23),"",'Deal_Master_Wide'!$EM$23)</x:f>
      </x:c>
      <x:c r="AA147" s="52" t="str">
        <x:f>IF(ISBLANK('Deal_Master_Wide'!$AL$23),"",'Deal_Master_Wide'!$AL$23)</x:f>
        <x:v>Unknown</x:v>
      </x:c>
      <x:c r="AB147" s="54" t="str">
        <x:f>IF(ISBLANK('Deal_Master_Wide'!$AF$23),"",'Deal_Master_Wide'!$AF$23)</x:f>
      </x:c>
      <x:c r="AC147" s="52" t="str">
        <x:f>IF(COUNT($P147,$Q147,$R147,$S147,$T147,$U147,$V147,$W147,$X147)=9,"Yes","No")</x:f>
        <x:v>No</x:v>
      </x:c>
      <x:c r="AD147" s="52" t="str">
        <x:f>IF(COUNT($Y147,$Z147)=2,"Yes","No")</x:f>
        <x:v>No</x:v>
      </x:c>
      <x:c r="AE147" s="50" t="str"/>
      <x:c r="AF147" t="str"/>
    </x:row>
    <x:row r="148" ht="20" customHeight="1">
      <x:c r="A148" s="50" t="str">
        <x:v>TRT-0021</x:v>
      </x:c>
      <x:c r="B148" s="50" t="str">
        <x:v>Candidate treatment group</x:v>
      </x:c>
      <x:c r="C148" s="52" t="str">
        <x:f>IF('Deal_Master_Wide'!$AU$23="","",'Deal_Master_Wide'!$AU$23)</x:f>
        <x:v>Not reviewed</x:v>
      </x:c>
      <x:c r="D148" s="52" t="str">
        <x:f>IF('Deal_Master_Wide'!$AV$23="","",'Deal_Master_Wide'!$AV$23)</x:f>
        <x:v>Not assessed</x:v>
      </x:c>
      <x:c r="E148" s="50" t="n">
        <x:v>1</x:v>
      </x:c>
      <x:c r="F148" s="52" t="str">
        <x:f>IF(OR($C148="High-confidence innovation-driven",$C148="Medium-confidence innovation-driven"),1,IF($C148="Clear alternative-rationale",0,""))</x:f>
      </x:c>
      <x:c r="G148" s="52" t="str">
        <x:f>IF('Deal_Master_Wide'!$M$23="","",'Deal_Master_Wide'!$M$23)</x:f>
        <x:v>Review</x:v>
      </x:c>
      <x:c r="H148" s="50" t="str">
        <x:v>Martindale Pharma</x:v>
      </x:c>
      <x:c r="I148" s="50" t="str">
        <x:v>Viridian Pharma Ltd</x:v>
      </x:c>
      <x:c r="J148" s="50" t="n">
        <x:v>2016</x:v>
      </x:c>
      <x:c r="K148" s="50" t="n">
        <x:v>3</x:v>
      </x:c>
      <x:c r="L148" s="50" t="n">
        <x:v>2019</x:v>
      </x:c>
      <x:c r="M148" s="50" t="n">
        <x:v>1</x:v>
      </x:c>
      <x:c r="N148" s="50" t="n">
        <x:v>1</x:v>
      </x:c>
      <x:c r="O148" s="52" t="str">
        <x:f>IF($F148="","",$F148*$M148)</x:f>
      </x:c>
      <x:c r="P148" s="54" t="str">
        <x:f>IF(ISBLANK('Deal_Master_Wide'!$BV$23),"",'Deal_Master_Wide'!$BV$23)</x:f>
      </x:c>
      <x:c r="Q148" s="54" t="str">
        <x:f>IF(ISBLANK('Deal_Master_Wide'!$CC$23),"",'Deal_Master_Wide'!$CC$23)</x:f>
      </x:c>
      <x:c r="R148" s="54" t="str">
        <x:f>IF(ISBLANK('Deal_Master_Wide'!$CJ$23),"",'Deal_Master_Wide'!$CJ$23)</x:f>
      </x:c>
      <x:c r="S148" s="54" t="str">
        <x:f>IF(ISBLANK('Deal_Master_Wide'!$CQ$23),"",'Deal_Master_Wide'!$CQ$23)</x:f>
      </x:c>
      <x:c r="T148" s="54" t="str">
        <x:f>IF(ISBLANK('Deal_Master_Wide'!$CX$23),"",'Deal_Master_Wide'!$CX$23)</x:f>
      </x:c>
      <x:c r="U148" s="54" t="str">
        <x:f>IF(ISBLANK('Deal_Master_Wide'!$DE$23),"",'Deal_Master_Wide'!$DE$23)</x:f>
      </x:c>
      <x:c r="V148" s="56" t="str">
        <x:f>IF(ISBLANK('Deal_Master_Wide'!$DL$23),"",'Deal_Master_Wide'!$DL$23)</x:f>
      </x:c>
      <x:c r="W148" s="56" t="str">
        <x:f>IF(ISBLANK('Deal_Master_Wide'!$DS$23),"",'Deal_Master_Wide'!$DS$23)</x:f>
      </x:c>
      <x:c r="X148" s="56" t="str">
        <x:f>IF(ISBLANK('Deal_Master_Wide'!$DZ$23),"",'Deal_Master_Wide'!$DZ$23)</x:f>
      </x:c>
      <x:c r="Y148" s="54" t="str">
        <x:f>IF(ISBLANK('Deal_Master_Wide'!$EG$23),"",'Deal_Master_Wide'!$EG$23)</x:f>
      </x:c>
      <x:c r="Z148" s="54" t="str">
        <x:f>IF(ISBLANK('Deal_Master_Wide'!$EN$23),"",'Deal_Master_Wide'!$EN$23)</x:f>
      </x:c>
      <x:c r="AA148" s="52" t="str">
        <x:f>IF(ISBLANK('Deal_Master_Wide'!$AL$23),"",'Deal_Master_Wide'!$AL$23)</x:f>
        <x:v>Unknown</x:v>
      </x:c>
      <x:c r="AB148" s="54" t="str">
        <x:f>IF(ISBLANK('Deal_Master_Wide'!$AF$23),"",'Deal_Master_Wide'!$AF$23)</x:f>
      </x:c>
      <x:c r="AC148" s="52" t="str">
        <x:f>IF(COUNT($P148,$Q148,$R148,$S148,$T148,$U148,$V148,$W148,$X148)=9,"Yes","No")</x:f>
        <x:v>No</x:v>
      </x:c>
      <x:c r="AD148" s="52" t="str">
        <x:f>IF(COUNT($Y148,$Z148)=2,"Yes","No")</x:f>
        <x:v>No</x:v>
      </x:c>
      <x:c r="AE148" s="50" t="str"/>
      <x:c r="AF148" t="str"/>
    </x:row>
    <x:row r="149" ht="20" customHeight="1">
      <x:c r="A149" s="50" t="str">
        <x:v>TRT-0022</x:v>
      </x:c>
      <x:c r="B149" s="50" t="str">
        <x:v>Candidate treatment group</x:v>
      </x:c>
      <x:c r="C149" s="52" t="str">
        <x:f>IF('Deal_Master_Wide'!$AU$24="","",'Deal_Master_Wide'!$AU$24)</x:f>
        <x:v>Not reviewed</x:v>
      </x:c>
      <x:c r="D149" s="52" t="str">
        <x:f>IF('Deal_Master_Wide'!$AV$24="","",'Deal_Master_Wide'!$AV$24)</x:f>
        <x:v>Not assessed</x:v>
      </x:c>
      <x:c r="E149" s="50" t="n">
        <x:v>1</x:v>
      </x:c>
      <x:c r="F149" s="52" t="str">
        <x:f>IF(OR($C149="High-confidence innovation-driven",$C149="Medium-confidence innovation-driven"),1,IF($C149="Clear alternative-rationale",0,""))</x:f>
      </x:c>
      <x:c r="G149" s="52" t="str">
        <x:f>IF('Deal_Master_Wide'!$M$24="","",'Deal_Master_Wide'!$M$24)</x:f>
        <x:v>Review</x:v>
      </x:c>
      <x:c r="H149" s="50" t="str">
        <x:v>Kalvista Pharmaceuticals Inc</x:v>
      </x:c>
      <x:c r="I149" s="50" t="str">
        <x:v>Kalvista Pharmaceuticals Ltd</x:v>
      </x:c>
      <x:c r="J149" s="50" t="n">
        <x:v>2016</x:v>
      </x:c>
      <x:c r="K149" s="50" t="n">
        <x:v>-3</x:v>
      </x:c>
      <x:c r="L149" s="50" t="n">
        <x:v>2013</x:v>
      </x:c>
      <x:c r="M149" s="50" t="n">
        <x:v>0</x:v>
      </x:c>
      <x:c r="N149" s="50" t="n">
        <x:v>0</x:v>
      </x:c>
      <x:c r="O149" s="52" t="str">
        <x:f>IF($F149="","",$F149*$M149)</x:f>
      </x:c>
      <x:c r="P149" s="54" t="str">
        <x:f>IF(ISBLANK('Deal_Master_Wide'!$BP$24),"",'Deal_Master_Wide'!$BP$24)</x:f>
      </x:c>
      <x:c r="Q149" s="54" t="str">
        <x:f>IF(ISBLANK('Deal_Master_Wide'!$BW$24),"",'Deal_Master_Wide'!$BW$24)</x:f>
      </x:c>
      <x:c r="R149" s="54" t="str">
        <x:f>IF(ISBLANK('Deal_Master_Wide'!$CD$24),"",'Deal_Master_Wide'!$CD$24)</x:f>
      </x:c>
      <x:c r="S149" s="54" t="str">
        <x:f>IF(ISBLANK('Deal_Master_Wide'!$CK$24),"",'Deal_Master_Wide'!$CK$24)</x:f>
      </x:c>
      <x:c r="T149" s="54" t="str">
        <x:f>IF(ISBLANK('Deal_Master_Wide'!$CR$24),"",'Deal_Master_Wide'!$CR$24)</x:f>
      </x:c>
      <x:c r="U149" s="54" t="str">
        <x:f>IF(ISBLANK('Deal_Master_Wide'!$CY$24),"",'Deal_Master_Wide'!$CY$24)</x:f>
      </x:c>
      <x:c r="V149" s="56" t="str">
        <x:f>IF(ISBLANK('Deal_Master_Wide'!$DF$24),"",'Deal_Master_Wide'!$DF$24)</x:f>
      </x:c>
      <x:c r="W149" s="56" t="str">
        <x:f>IF(ISBLANK('Deal_Master_Wide'!$DM$24),"",'Deal_Master_Wide'!$DM$24)</x:f>
      </x:c>
      <x:c r="X149" s="56" t="str">
        <x:f>IF(ISBLANK('Deal_Master_Wide'!$DT$24),"",'Deal_Master_Wide'!$DT$24)</x:f>
      </x:c>
      <x:c r="Y149" s="54" t="str">
        <x:f>IF(ISBLANK('Deal_Master_Wide'!$EA$24),"",'Deal_Master_Wide'!$EA$24)</x:f>
      </x:c>
      <x:c r="Z149" s="54" t="str">
        <x:f>IF(ISBLANK('Deal_Master_Wide'!$EH$24),"",'Deal_Master_Wide'!$EH$24)</x:f>
      </x:c>
      <x:c r="AA149" s="52" t="str">
        <x:f>IF(ISBLANK('Deal_Master_Wide'!$AL$24),"",'Deal_Master_Wide'!$AL$24)</x:f>
        <x:v>Unknown</x:v>
      </x:c>
      <x:c r="AB149" s="54" t="str">
        <x:f>IF(ISBLANK('Deal_Master_Wide'!$AF$24),"",'Deal_Master_Wide'!$AF$24)</x:f>
      </x:c>
      <x:c r="AC149" s="52" t="str">
        <x:f>IF(COUNT($P149,$Q149,$R149,$S149,$T149,$U149,$V149,$W149,$X149)=9,"Yes","No")</x:f>
        <x:v>No</x:v>
      </x:c>
      <x:c r="AD149" s="52" t="str">
        <x:f>IF(COUNT($Y149,$Z149)=2,"Yes","No")</x:f>
        <x:v>No</x:v>
      </x:c>
      <x:c r="AE149" s="50" t="str"/>
      <x:c r="AF149" t="str"/>
    </x:row>
    <x:row r="150" ht="20" customHeight="1">
      <x:c r="A150" s="50" t="str">
        <x:v>TRT-0022</x:v>
      </x:c>
      <x:c r="B150" s="50" t="str">
        <x:v>Candidate treatment group</x:v>
      </x:c>
      <x:c r="C150" s="52" t="str">
        <x:f>IF('Deal_Master_Wide'!$AU$24="","",'Deal_Master_Wide'!$AU$24)</x:f>
        <x:v>Not reviewed</x:v>
      </x:c>
      <x:c r="D150" s="52" t="str">
        <x:f>IF('Deal_Master_Wide'!$AV$24="","",'Deal_Master_Wide'!$AV$24)</x:f>
        <x:v>Not assessed</x:v>
      </x:c>
      <x:c r="E150" s="50" t="n">
        <x:v>1</x:v>
      </x:c>
      <x:c r="F150" s="52" t="str">
        <x:f>IF(OR($C150="High-confidence innovation-driven",$C150="Medium-confidence innovation-driven"),1,IF($C150="Clear alternative-rationale",0,""))</x:f>
      </x:c>
      <x:c r="G150" s="52" t="str">
        <x:f>IF('Deal_Master_Wide'!$M$24="","",'Deal_Master_Wide'!$M$24)</x:f>
        <x:v>Review</x:v>
      </x:c>
      <x:c r="H150" s="50" t="str">
        <x:v>Kalvista Pharmaceuticals Inc</x:v>
      </x:c>
      <x:c r="I150" s="50" t="str">
        <x:v>Kalvista Pharmaceuticals Ltd</x:v>
      </x:c>
      <x:c r="J150" s="50" t="n">
        <x:v>2016</x:v>
      </x:c>
      <x:c r="K150" s="50" t="n">
        <x:v>-2</x:v>
      </x:c>
      <x:c r="L150" s="50" t="n">
        <x:v>2014</x:v>
      </x:c>
      <x:c r="M150" s="50" t="n">
        <x:v>0</x:v>
      </x:c>
      <x:c r="N150" s="50" t="n">
        <x:v>0</x:v>
      </x:c>
      <x:c r="O150" s="52" t="str">
        <x:f>IF($F150="","",$F150*$M150)</x:f>
      </x:c>
      <x:c r="P150" s="54" t="str">
        <x:f>IF(ISBLANK('Deal_Master_Wide'!$BQ$24),"",'Deal_Master_Wide'!$BQ$24)</x:f>
      </x:c>
      <x:c r="Q150" s="54" t="str">
        <x:f>IF(ISBLANK('Deal_Master_Wide'!$BX$24),"",'Deal_Master_Wide'!$BX$24)</x:f>
      </x:c>
      <x:c r="R150" s="54" t="str">
        <x:f>IF(ISBLANK('Deal_Master_Wide'!$CE$24),"",'Deal_Master_Wide'!$CE$24)</x:f>
      </x:c>
      <x:c r="S150" s="54" t="str">
        <x:f>IF(ISBLANK('Deal_Master_Wide'!$CL$24),"",'Deal_Master_Wide'!$CL$24)</x:f>
      </x:c>
      <x:c r="T150" s="54" t="str">
        <x:f>IF(ISBLANK('Deal_Master_Wide'!$CS$24),"",'Deal_Master_Wide'!$CS$24)</x:f>
      </x:c>
      <x:c r="U150" s="54" t="str">
        <x:f>IF(ISBLANK('Deal_Master_Wide'!$CZ$24),"",'Deal_Master_Wide'!$CZ$24)</x:f>
      </x:c>
      <x:c r="V150" s="56" t="str">
        <x:f>IF(ISBLANK('Deal_Master_Wide'!$DG$24),"",'Deal_Master_Wide'!$DG$24)</x:f>
      </x:c>
      <x:c r="W150" s="56" t="str">
        <x:f>IF(ISBLANK('Deal_Master_Wide'!$DN$24),"",'Deal_Master_Wide'!$DN$24)</x:f>
      </x:c>
      <x:c r="X150" s="56" t="str">
        <x:f>IF(ISBLANK('Deal_Master_Wide'!$DU$24),"",'Deal_Master_Wide'!$DU$24)</x:f>
      </x:c>
      <x:c r="Y150" s="54" t="str">
        <x:f>IF(ISBLANK('Deal_Master_Wide'!$EB$24),"",'Deal_Master_Wide'!$EB$24)</x:f>
      </x:c>
      <x:c r="Z150" s="54" t="str">
        <x:f>IF(ISBLANK('Deal_Master_Wide'!$EI$24),"",'Deal_Master_Wide'!$EI$24)</x:f>
      </x:c>
      <x:c r="AA150" s="52" t="str">
        <x:f>IF(ISBLANK('Deal_Master_Wide'!$AL$24),"",'Deal_Master_Wide'!$AL$24)</x:f>
        <x:v>Unknown</x:v>
      </x:c>
      <x:c r="AB150" s="54" t="str">
        <x:f>IF(ISBLANK('Deal_Master_Wide'!$AF$24),"",'Deal_Master_Wide'!$AF$24)</x:f>
      </x:c>
      <x:c r="AC150" s="52" t="str">
        <x:f>IF(COUNT($P150,$Q150,$R150,$S150,$T150,$U150,$V150,$W150,$X150)=9,"Yes","No")</x:f>
        <x:v>No</x:v>
      </x:c>
      <x:c r="AD150" s="52" t="str">
        <x:f>IF(COUNT($Y150,$Z150)=2,"Yes","No")</x:f>
        <x:v>No</x:v>
      </x:c>
      <x:c r="AE150" s="50" t="str"/>
      <x:c r="AF150" t="str"/>
    </x:row>
    <x:row r="151" ht="20" customHeight="1">
      <x:c r="A151" s="50" t="str">
        <x:v>TRT-0022</x:v>
      </x:c>
      <x:c r="B151" s="50" t="str">
        <x:v>Candidate treatment group</x:v>
      </x:c>
      <x:c r="C151" s="52" t="str">
        <x:f>IF('Deal_Master_Wide'!$AU$24="","",'Deal_Master_Wide'!$AU$24)</x:f>
        <x:v>Not reviewed</x:v>
      </x:c>
      <x:c r="D151" s="52" t="str">
        <x:f>IF('Deal_Master_Wide'!$AV$24="","",'Deal_Master_Wide'!$AV$24)</x:f>
        <x:v>Not assessed</x:v>
      </x:c>
      <x:c r="E151" s="50" t="n">
        <x:v>1</x:v>
      </x:c>
      <x:c r="F151" s="52" t="str">
        <x:f>IF(OR($C151="High-confidence innovation-driven",$C151="Medium-confidence innovation-driven"),1,IF($C151="Clear alternative-rationale",0,""))</x:f>
      </x:c>
      <x:c r="G151" s="52" t="str">
        <x:f>IF('Deal_Master_Wide'!$M$24="","",'Deal_Master_Wide'!$M$24)</x:f>
        <x:v>Review</x:v>
      </x:c>
      <x:c r="H151" s="50" t="str">
        <x:v>Kalvista Pharmaceuticals Inc</x:v>
      </x:c>
      <x:c r="I151" s="50" t="str">
        <x:v>Kalvista Pharmaceuticals Ltd</x:v>
      </x:c>
      <x:c r="J151" s="50" t="n">
        <x:v>2016</x:v>
      </x:c>
      <x:c r="K151" s="50" t="n">
        <x:v>-1</x:v>
      </x:c>
      <x:c r="L151" s="50" t="n">
        <x:v>2015</x:v>
      </x:c>
      <x:c r="M151" s="50" t="n">
        <x:v>0</x:v>
      </x:c>
      <x:c r="N151" s="50" t="n">
        <x:v>0</x:v>
      </x:c>
      <x:c r="O151" s="52" t="str">
        <x:f>IF($F151="","",$F151*$M151)</x:f>
      </x:c>
      <x:c r="P151" s="54" t="str">
        <x:f>IF(ISBLANK('Deal_Master_Wide'!$BR$24),"",'Deal_Master_Wide'!$BR$24)</x:f>
      </x:c>
      <x:c r="Q151" s="54" t="str">
        <x:f>IF(ISBLANK('Deal_Master_Wide'!$BY$24),"",'Deal_Master_Wide'!$BY$24)</x:f>
      </x:c>
      <x:c r="R151" s="54" t="str">
        <x:f>IF(ISBLANK('Deal_Master_Wide'!$CF$24),"",'Deal_Master_Wide'!$CF$24)</x:f>
      </x:c>
      <x:c r="S151" s="54" t="str">
        <x:f>IF(ISBLANK('Deal_Master_Wide'!$CM$24),"",'Deal_Master_Wide'!$CM$24)</x:f>
      </x:c>
      <x:c r="T151" s="54" t="str">
        <x:f>IF(ISBLANK('Deal_Master_Wide'!$CT$24),"",'Deal_Master_Wide'!$CT$24)</x:f>
      </x:c>
      <x:c r="U151" s="54" t="str">
        <x:f>IF(ISBLANK('Deal_Master_Wide'!$DA$24),"",'Deal_Master_Wide'!$DA$24)</x:f>
      </x:c>
      <x:c r="V151" s="56" t="str">
        <x:f>IF(ISBLANK('Deal_Master_Wide'!$DH$24),"",'Deal_Master_Wide'!$DH$24)</x:f>
      </x:c>
      <x:c r="W151" s="56" t="str">
        <x:f>IF(ISBLANK('Deal_Master_Wide'!$DO$24),"",'Deal_Master_Wide'!$DO$24)</x:f>
      </x:c>
      <x:c r="X151" s="56" t="str">
        <x:f>IF(ISBLANK('Deal_Master_Wide'!$DV$24),"",'Deal_Master_Wide'!$DV$24)</x:f>
      </x:c>
      <x:c r="Y151" s="54" t="str">
        <x:f>IF(ISBLANK('Deal_Master_Wide'!$EC$24),"",'Deal_Master_Wide'!$EC$24)</x:f>
      </x:c>
      <x:c r="Z151" s="54" t="str">
        <x:f>IF(ISBLANK('Deal_Master_Wide'!$EJ$24),"",'Deal_Master_Wide'!$EJ$24)</x:f>
      </x:c>
      <x:c r="AA151" s="52" t="str">
        <x:f>IF(ISBLANK('Deal_Master_Wide'!$AL$24),"",'Deal_Master_Wide'!$AL$24)</x:f>
        <x:v>Unknown</x:v>
      </x:c>
      <x:c r="AB151" s="54" t="str">
        <x:f>IF(ISBLANK('Deal_Master_Wide'!$AF$24),"",'Deal_Master_Wide'!$AF$24)</x:f>
      </x:c>
      <x:c r="AC151" s="52" t="str">
        <x:f>IF(COUNT($P151,$Q151,$R151,$S151,$T151,$U151,$V151,$W151,$X151)=9,"Yes","No")</x:f>
        <x:v>No</x:v>
      </x:c>
      <x:c r="AD151" s="52" t="str">
        <x:f>IF(COUNT($Y151,$Z151)=2,"Yes","No")</x:f>
        <x:v>No</x:v>
      </x:c>
      <x:c r="AE151" s="50" t="str"/>
      <x:c r="AF151" t="str"/>
    </x:row>
    <x:row r="152" ht="20" customHeight="1">
      <x:c r="A152" s="50" t="str">
        <x:v>TRT-0022</x:v>
      </x:c>
      <x:c r="B152" s="50" t="str">
        <x:v>Candidate treatment group</x:v>
      </x:c>
      <x:c r="C152" s="52" t="str">
        <x:f>IF('Deal_Master_Wide'!$AU$24="","",'Deal_Master_Wide'!$AU$24)</x:f>
        <x:v>Not reviewed</x:v>
      </x:c>
      <x:c r="D152" s="52" t="str">
        <x:f>IF('Deal_Master_Wide'!$AV$24="","",'Deal_Master_Wide'!$AV$24)</x:f>
        <x:v>Not assessed</x:v>
      </x:c>
      <x:c r="E152" s="50" t="n">
        <x:v>1</x:v>
      </x:c>
      <x:c r="F152" s="52" t="str">
        <x:f>IF(OR($C152="High-confidence innovation-driven",$C152="Medium-confidence innovation-driven"),1,IF($C152="Clear alternative-rationale",0,""))</x:f>
      </x:c>
      <x:c r="G152" s="52" t="str">
        <x:f>IF('Deal_Master_Wide'!$M$24="","",'Deal_Master_Wide'!$M$24)</x:f>
        <x:v>Review</x:v>
      </x:c>
      <x:c r="H152" s="50" t="str">
        <x:v>Kalvista Pharmaceuticals Inc</x:v>
      </x:c>
      <x:c r="I152" s="50" t="str">
        <x:v>Kalvista Pharmaceuticals Ltd</x:v>
      </x:c>
      <x:c r="J152" s="50" t="n">
        <x:v>2016</x:v>
      </x:c>
      <x:c r="K152" s="50" t="n">
        <x:v>0</x:v>
      </x:c>
      <x:c r="L152" s="50" t="n">
        <x:v>2016</x:v>
      </x:c>
      <x:c r="M152" s="50" t="n">
        <x:v>0</x:v>
      </x:c>
      <x:c r="N152" s="50" t="n">
        <x:v>1</x:v>
      </x:c>
      <x:c r="O152" s="52" t="str">
        <x:f>IF($F152="","",$F152*$M152)</x:f>
      </x:c>
      <x:c r="P152" s="54" t="str">
        <x:f>IF(ISBLANK('Deal_Master_Wide'!$BS$24),"",'Deal_Master_Wide'!$BS$24)</x:f>
      </x:c>
      <x:c r="Q152" s="54" t="str">
        <x:f>IF(ISBLANK('Deal_Master_Wide'!$BZ$24),"",'Deal_Master_Wide'!$BZ$24)</x:f>
      </x:c>
      <x:c r="R152" s="54" t="str">
        <x:f>IF(ISBLANK('Deal_Master_Wide'!$CG$24),"",'Deal_Master_Wide'!$CG$24)</x:f>
      </x:c>
      <x:c r="S152" s="54" t="str">
        <x:f>IF(ISBLANK('Deal_Master_Wide'!$CN$24),"",'Deal_Master_Wide'!$CN$24)</x:f>
      </x:c>
      <x:c r="T152" s="54" t="str">
        <x:f>IF(ISBLANK('Deal_Master_Wide'!$CU$24),"",'Deal_Master_Wide'!$CU$24)</x:f>
      </x:c>
      <x:c r="U152" s="54" t="str">
        <x:f>IF(ISBLANK('Deal_Master_Wide'!$DB$24),"",'Deal_Master_Wide'!$DB$24)</x:f>
      </x:c>
      <x:c r="V152" s="56" t="str">
        <x:f>IF(ISBLANK('Deal_Master_Wide'!$DI$24),"",'Deal_Master_Wide'!$DI$24)</x:f>
      </x:c>
      <x:c r="W152" s="56" t="str">
        <x:f>IF(ISBLANK('Deal_Master_Wide'!$DP$24),"",'Deal_Master_Wide'!$DP$24)</x:f>
      </x:c>
      <x:c r="X152" s="56" t="str">
        <x:f>IF(ISBLANK('Deal_Master_Wide'!$DW$24),"",'Deal_Master_Wide'!$DW$24)</x:f>
      </x:c>
      <x:c r="Y152" s="54" t="str">
        <x:f>IF(ISBLANK('Deal_Master_Wide'!$ED$24),"",'Deal_Master_Wide'!$ED$24)</x:f>
      </x:c>
      <x:c r="Z152" s="54" t="str">
        <x:f>IF(ISBLANK('Deal_Master_Wide'!$EK$24),"",'Deal_Master_Wide'!$EK$24)</x:f>
      </x:c>
      <x:c r="AA152" s="52" t="str">
        <x:f>IF(ISBLANK('Deal_Master_Wide'!$AL$24),"",'Deal_Master_Wide'!$AL$24)</x:f>
        <x:v>Unknown</x:v>
      </x:c>
      <x:c r="AB152" s="54" t="str">
        <x:f>IF(ISBLANK('Deal_Master_Wide'!$AF$24),"",'Deal_Master_Wide'!$AF$24)</x:f>
      </x:c>
      <x:c r="AC152" s="52" t="str">
        <x:f>IF(COUNT($P152,$Q152,$R152,$S152,$T152,$U152,$V152,$W152,$X152)=9,"Yes","No")</x:f>
        <x:v>No</x:v>
      </x:c>
      <x:c r="AD152" s="52" t="str">
        <x:f>IF(COUNT($Y152,$Z152)=2,"Yes","No")</x:f>
        <x:v>No</x:v>
      </x:c>
      <x:c r="AE152" s="50" t="str"/>
      <x:c r="AF152" t="str"/>
    </x:row>
    <x:row r="153" ht="20" customHeight="1">
      <x:c r="A153" s="50" t="str">
        <x:v>TRT-0022</x:v>
      </x:c>
      <x:c r="B153" s="50" t="str">
        <x:v>Candidate treatment group</x:v>
      </x:c>
      <x:c r="C153" s="52" t="str">
        <x:f>IF('Deal_Master_Wide'!$AU$24="","",'Deal_Master_Wide'!$AU$24)</x:f>
        <x:v>Not reviewed</x:v>
      </x:c>
      <x:c r="D153" s="52" t="str">
        <x:f>IF('Deal_Master_Wide'!$AV$24="","",'Deal_Master_Wide'!$AV$24)</x:f>
        <x:v>Not assessed</x:v>
      </x:c>
      <x:c r="E153" s="50" t="n">
        <x:v>1</x:v>
      </x:c>
      <x:c r="F153" s="52" t="str">
        <x:f>IF(OR($C153="High-confidence innovation-driven",$C153="Medium-confidence innovation-driven"),1,IF($C153="Clear alternative-rationale",0,""))</x:f>
      </x:c>
      <x:c r="G153" s="52" t="str">
        <x:f>IF('Deal_Master_Wide'!$M$24="","",'Deal_Master_Wide'!$M$24)</x:f>
        <x:v>Review</x:v>
      </x:c>
      <x:c r="H153" s="50" t="str">
        <x:v>Kalvista Pharmaceuticals Inc</x:v>
      </x:c>
      <x:c r="I153" s="50" t="str">
        <x:v>Kalvista Pharmaceuticals Ltd</x:v>
      </x:c>
      <x:c r="J153" s="50" t="n">
        <x:v>2016</x:v>
      </x:c>
      <x:c r="K153" s="50" t="n">
        <x:v>1</x:v>
      </x:c>
      <x:c r="L153" s="50" t="n">
        <x:v>2017</x:v>
      </x:c>
      <x:c r="M153" s="50" t="n">
        <x:v>1</x:v>
      </x:c>
      <x:c r="N153" s="50" t="n">
        <x:v>1</x:v>
      </x:c>
      <x:c r="O153" s="52" t="str">
        <x:f>IF($F153="","",$F153*$M153)</x:f>
      </x:c>
      <x:c r="P153" s="54" t="str">
        <x:f>IF(ISBLANK('Deal_Master_Wide'!$BT$24),"",'Deal_Master_Wide'!$BT$24)</x:f>
      </x:c>
      <x:c r="Q153" s="54" t="str">
        <x:f>IF(ISBLANK('Deal_Master_Wide'!$CA$24),"",'Deal_Master_Wide'!$CA$24)</x:f>
      </x:c>
      <x:c r="R153" s="54" t="str">
        <x:f>IF(ISBLANK('Deal_Master_Wide'!$CH$24),"",'Deal_Master_Wide'!$CH$24)</x:f>
      </x:c>
      <x:c r="S153" s="54" t="str">
        <x:f>IF(ISBLANK('Deal_Master_Wide'!$CO$24),"",'Deal_Master_Wide'!$CO$24)</x:f>
      </x:c>
      <x:c r="T153" s="54" t="str">
        <x:f>IF(ISBLANK('Deal_Master_Wide'!$CV$24),"",'Deal_Master_Wide'!$CV$24)</x:f>
      </x:c>
      <x:c r="U153" s="54" t="str">
        <x:f>IF(ISBLANK('Deal_Master_Wide'!$DC$24),"",'Deal_Master_Wide'!$DC$24)</x:f>
      </x:c>
      <x:c r="V153" s="56" t="str">
        <x:f>IF(ISBLANK('Deal_Master_Wide'!$DJ$24),"",'Deal_Master_Wide'!$DJ$24)</x:f>
      </x:c>
      <x:c r="W153" s="56" t="str">
        <x:f>IF(ISBLANK('Deal_Master_Wide'!$DQ$24),"",'Deal_Master_Wide'!$DQ$24)</x:f>
      </x:c>
      <x:c r="X153" s="56" t="str">
        <x:f>IF(ISBLANK('Deal_Master_Wide'!$DX$24),"",'Deal_Master_Wide'!$DX$24)</x:f>
      </x:c>
      <x:c r="Y153" s="54" t="str">
        <x:f>IF(ISBLANK('Deal_Master_Wide'!$EE$24),"",'Deal_Master_Wide'!$EE$24)</x:f>
      </x:c>
      <x:c r="Z153" s="54" t="str">
        <x:f>IF(ISBLANK('Deal_Master_Wide'!$EL$24),"",'Deal_Master_Wide'!$EL$24)</x:f>
      </x:c>
      <x:c r="AA153" s="52" t="str">
        <x:f>IF(ISBLANK('Deal_Master_Wide'!$AL$24),"",'Deal_Master_Wide'!$AL$24)</x:f>
        <x:v>Unknown</x:v>
      </x:c>
      <x:c r="AB153" s="54" t="str">
        <x:f>IF(ISBLANK('Deal_Master_Wide'!$AF$24),"",'Deal_Master_Wide'!$AF$24)</x:f>
      </x:c>
      <x:c r="AC153" s="52" t="str">
        <x:f>IF(COUNT($P153,$Q153,$R153,$S153,$T153,$U153,$V153,$W153,$X153)=9,"Yes","No")</x:f>
        <x:v>No</x:v>
      </x:c>
      <x:c r="AD153" s="52" t="str">
        <x:f>IF(COUNT($Y153,$Z153)=2,"Yes","No")</x:f>
        <x:v>No</x:v>
      </x:c>
      <x:c r="AE153" s="50" t="str"/>
      <x:c r="AF153" t="str"/>
    </x:row>
    <x:row r="154" ht="20" customHeight="1">
      <x:c r="A154" s="50" t="str">
        <x:v>TRT-0022</x:v>
      </x:c>
      <x:c r="B154" s="50" t="str">
        <x:v>Candidate treatment group</x:v>
      </x:c>
      <x:c r="C154" s="52" t="str">
        <x:f>IF('Deal_Master_Wide'!$AU$24="","",'Deal_Master_Wide'!$AU$24)</x:f>
        <x:v>Not reviewed</x:v>
      </x:c>
      <x:c r="D154" s="52" t="str">
        <x:f>IF('Deal_Master_Wide'!$AV$24="","",'Deal_Master_Wide'!$AV$24)</x:f>
        <x:v>Not assessed</x:v>
      </x:c>
      <x:c r="E154" s="50" t="n">
        <x:v>1</x:v>
      </x:c>
      <x:c r="F154" s="52" t="str">
        <x:f>IF(OR($C154="High-confidence innovation-driven",$C154="Medium-confidence innovation-driven"),1,IF($C154="Clear alternative-rationale",0,""))</x:f>
      </x:c>
      <x:c r="G154" s="52" t="str">
        <x:f>IF('Deal_Master_Wide'!$M$24="","",'Deal_Master_Wide'!$M$24)</x:f>
        <x:v>Review</x:v>
      </x:c>
      <x:c r="H154" s="50" t="str">
        <x:v>Kalvista Pharmaceuticals Inc</x:v>
      </x:c>
      <x:c r="I154" s="50" t="str">
        <x:v>Kalvista Pharmaceuticals Ltd</x:v>
      </x:c>
      <x:c r="J154" s="50" t="n">
        <x:v>2016</x:v>
      </x:c>
      <x:c r="K154" s="50" t="n">
        <x:v>2</x:v>
      </x:c>
      <x:c r="L154" s="50" t="n">
        <x:v>2018</x:v>
      </x:c>
      <x:c r="M154" s="50" t="n">
        <x:v>1</x:v>
      </x:c>
      <x:c r="N154" s="50" t="n">
        <x:v>1</x:v>
      </x:c>
      <x:c r="O154" s="52" t="str">
        <x:f>IF($F154="","",$F154*$M154)</x:f>
      </x:c>
      <x:c r="P154" s="54" t="str">
        <x:f>IF(ISBLANK('Deal_Master_Wide'!$BU$24),"",'Deal_Master_Wide'!$BU$24)</x:f>
      </x:c>
      <x:c r="Q154" s="54" t="str">
        <x:f>IF(ISBLANK('Deal_Master_Wide'!$CB$24),"",'Deal_Master_Wide'!$CB$24)</x:f>
      </x:c>
      <x:c r="R154" s="54" t="str">
        <x:f>IF(ISBLANK('Deal_Master_Wide'!$CI$24),"",'Deal_Master_Wide'!$CI$24)</x:f>
      </x:c>
      <x:c r="S154" s="54" t="str">
        <x:f>IF(ISBLANK('Deal_Master_Wide'!$CP$24),"",'Deal_Master_Wide'!$CP$24)</x:f>
      </x:c>
      <x:c r="T154" s="54" t="str">
        <x:f>IF(ISBLANK('Deal_Master_Wide'!$CW$24),"",'Deal_Master_Wide'!$CW$24)</x:f>
      </x:c>
      <x:c r="U154" s="54" t="str">
        <x:f>IF(ISBLANK('Deal_Master_Wide'!$DD$24),"",'Deal_Master_Wide'!$DD$24)</x:f>
      </x:c>
      <x:c r="V154" s="56" t="str">
        <x:f>IF(ISBLANK('Deal_Master_Wide'!$DK$24),"",'Deal_Master_Wide'!$DK$24)</x:f>
      </x:c>
      <x:c r="W154" s="56" t="str">
        <x:f>IF(ISBLANK('Deal_Master_Wide'!$DR$24),"",'Deal_Master_Wide'!$DR$24)</x:f>
      </x:c>
      <x:c r="X154" s="56" t="str">
        <x:f>IF(ISBLANK('Deal_Master_Wide'!$DY$24),"",'Deal_Master_Wide'!$DY$24)</x:f>
      </x:c>
      <x:c r="Y154" s="54" t="str">
        <x:f>IF(ISBLANK('Deal_Master_Wide'!$EF$24),"",'Deal_Master_Wide'!$EF$24)</x:f>
      </x:c>
      <x:c r="Z154" s="54" t="str">
        <x:f>IF(ISBLANK('Deal_Master_Wide'!$EM$24),"",'Deal_Master_Wide'!$EM$24)</x:f>
      </x:c>
      <x:c r="AA154" s="52" t="str">
        <x:f>IF(ISBLANK('Deal_Master_Wide'!$AL$24),"",'Deal_Master_Wide'!$AL$24)</x:f>
        <x:v>Unknown</x:v>
      </x:c>
      <x:c r="AB154" s="54" t="str">
        <x:f>IF(ISBLANK('Deal_Master_Wide'!$AF$24),"",'Deal_Master_Wide'!$AF$24)</x:f>
      </x:c>
      <x:c r="AC154" s="52" t="str">
        <x:f>IF(COUNT($P154,$Q154,$R154,$S154,$T154,$U154,$V154,$W154,$X154)=9,"Yes","No")</x:f>
        <x:v>No</x:v>
      </x:c>
      <x:c r="AD154" s="52" t="str">
        <x:f>IF(COUNT($Y154,$Z154)=2,"Yes","No")</x:f>
        <x:v>No</x:v>
      </x:c>
      <x:c r="AE154" s="50" t="str"/>
      <x:c r="AF154" t="str"/>
    </x:row>
    <x:row r="155" ht="20" customHeight="1">
      <x:c r="A155" s="50" t="str">
        <x:v>TRT-0022</x:v>
      </x:c>
      <x:c r="B155" s="50" t="str">
        <x:v>Candidate treatment group</x:v>
      </x:c>
      <x:c r="C155" s="52" t="str">
        <x:f>IF('Deal_Master_Wide'!$AU$24="","",'Deal_Master_Wide'!$AU$24)</x:f>
        <x:v>Not reviewed</x:v>
      </x:c>
      <x:c r="D155" s="52" t="str">
        <x:f>IF('Deal_Master_Wide'!$AV$24="","",'Deal_Master_Wide'!$AV$24)</x:f>
        <x:v>Not assessed</x:v>
      </x:c>
      <x:c r="E155" s="50" t="n">
        <x:v>1</x:v>
      </x:c>
      <x:c r="F155" s="52" t="str">
        <x:f>IF(OR($C155="High-confidence innovation-driven",$C155="Medium-confidence innovation-driven"),1,IF($C155="Clear alternative-rationale",0,""))</x:f>
      </x:c>
      <x:c r="G155" s="52" t="str">
        <x:f>IF('Deal_Master_Wide'!$M$24="","",'Deal_Master_Wide'!$M$24)</x:f>
        <x:v>Review</x:v>
      </x:c>
      <x:c r="H155" s="50" t="str">
        <x:v>Kalvista Pharmaceuticals Inc</x:v>
      </x:c>
      <x:c r="I155" s="50" t="str">
        <x:v>Kalvista Pharmaceuticals Ltd</x:v>
      </x:c>
      <x:c r="J155" s="50" t="n">
        <x:v>2016</x:v>
      </x:c>
      <x:c r="K155" s="50" t="n">
        <x:v>3</x:v>
      </x:c>
      <x:c r="L155" s="50" t="n">
        <x:v>2019</x:v>
      </x:c>
      <x:c r="M155" s="50" t="n">
        <x:v>1</x:v>
      </x:c>
      <x:c r="N155" s="50" t="n">
        <x:v>1</x:v>
      </x:c>
      <x:c r="O155" s="52" t="str">
        <x:f>IF($F155="","",$F155*$M155)</x:f>
      </x:c>
      <x:c r="P155" s="54" t="str">
        <x:f>IF(ISBLANK('Deal_Master_Wide'!$BV$24),"",'Deal_Master_Wide'!$BV$24)</x:f>
      </x:c>
      <x:c r="Q155" s="54" t="str">
        <x:f>IF(ISBLANK('Deal_Master_Wide'!$CC$24),"",'Deal_Master_Wide'!$CC$24)</x:f>
      </x:c>
      <x:c r="R155" s="54" t="str">
        <x:f>IF(ISBLANK('Deal_Master_Wide'!$CJ$24),"",'Deal_Master_Wide'!$CJ$24)</x:f>
      </x:c>
      <x:c r="S155" s="54" t="str">
        <x:f>IF(ISBLANK('Deal_Master_Wide'!$CQ$24),"",'Deal_Master_Wide'!$CQ$24)</x:f>
      </x:c>
      <x:c r="T155" s="54" t="str">
        <x:f>IF(ISBLANK('Deal_Master_Wide'!$CX$24),"",'Deal_Master_Wide'!$CX$24)</x:f>
      </x:c>
      <x:c r="U155" s="54" t="str">
        <x:f>IF(ISBLANK('Deal_Master_Wide'!$DE$24),"",'Deal_Master_Wide'!$DE$24)</x:f>
      </x:c>
      <x:c r="V155" s="56" t="str">
        <x:f>IF(ISBLANK('Deal_Master_Wide'!$DL$24),"",'Deal_Master_Wide'!$DL$24)</x:f>
      </x:c>
      <x:c r="W155" s="56" t="str">
        <x:f>IF(ISBLANK('Deal_Master_Wide'!$DS$24),"",'Deal_Master_Wide'!$DS$24)</x:f>
      </x:c>
      <x:c r="X155" s="56" t="str">
        <x:f>IF(ISBLANK('Deal_Master_Wide'!$DZ$24),"",'Deal_Master_Wide'!$DZ$24)</x:f>
      </x:c>
      <x:c r="Y155" s="54" t="str">
        <x:f>IF(ISBLANK('Deal_Master_Wide'!$EG$24),"",'Deal_Master_Wide'!$EG$24)</x:f>
      </x:c>
      <x:c r="Z155" s="54" t="str">
        <x:f>IF(ISBLANK('Deal_Master_Wide'!$EN$24),"",'Deal_Master_Wide'!$EN$24)</x:f>
      </x:c>
      <x:c r="AA155" s="52" t="str">
        <x:f>IF(ISBLANK('Deal_Master_Wide'!$AL$24),"",'Deal_Master_Wide'!$AL$24)</x:f>
        <x:v>Unknown</x:v>
      </x:c>
      <x:c r="AB155" s="54" t="str">
        <x:f>IF(ISBLANK('Deal_Master_Wide'!$AF$24),"",'Deal_Master_Wide'!$AF$24)</x:f>
      </x:c>
      <x:c r="AC155" s="52" t="str">
        <x:f>IF(COUNT($P155,$Q155,$R155,$S155,$T155,$U155,$V155,$W155,$X155)=9,"Yes","No")</x:f>
        <x:v>No</x:v>
      </x:c>
      <x:c r="AD155" s="52" t="str">
        <x:f>IF(COUNT($Y155,$Z155)=2,"Yes","No")</x:f>
        <x:v>No</x:v>
      </x:c>
      <x:c r="AE155" s="50" t="str"/>
      <x:c r="AF155" t="str"/>
    </x:row>
    <x:row r="156" ht="20" customHeight="1">
      <x:c r="A156" s="50" t="str">
        <x:v>TRT-0023</x:v>
      </x:c>
      <x:c r="B156" s="50" t="str">
        <x:v>Candidate treatment group</x:v>
      </x:c>
      <x:c r="C156" s="52" t="str">
        <x:f>IF('Deal_Master_Wide'!$AU$25="","",'Deal_Master_Wide'!$AU$25)</x:f>
        <x:v>Not reviewed</x:v>
      </x:c>
      <x:c r="D156" s="52" t="str">
        <x:f>IF('Deal_Master_Wide'!$AV$25="","",'Deal_Master_Wide'!$AV$25)</x:f>
        <x:v>Not assessed</x:v>
      </x:c>
      <x:c r="E156" s="50" t="n">
        <x:v>1</x:v>
      </x:c>
      <x:c r="F156" s="52" t="str">
        <x:f>IF(OR($C156="High-confidence innovation-driven",$C156="Medium-confidence innovation-driven"),1,IF($C156="Clear alternative-rationale",0,""))</x:f>
      </x:c>
      <x:c r="G156" s="52" t="str">
        <x:f>IF('Deal_Master_Wide'!$M$25="","",'Deal_Master_Wide'!$M$25)</x:f>
        <x:v>Review</x:v>
      </x:c>
      <x:c r="H156" s="50" t="str">
        <x:v>Albany Molecular Research, Inc.</x:v>
      </x:c>
      <x:c r="I156" s="50" t="str">
        <x:v>Euticals SpA</x:v>
      </x:c>
      <x:c r="J156" s="50" t="n">
        <x:v>2016</x:v>
      </x:c>
      <x:c r="K156" s="50" t="n">
        <x:v>-3</x:v>
      </x:c>
      <x:c r="L156" s="50" t="n">
        <x:v>2013</x:v>
      </x:c>
      <x:c r="M156" s="50" t="n">
        <x:v>0</x:v>
      </x:c>
      <x:c r="N156" s="50" t="n">
        <x:v>0</x:v>
      </x:c>
      <x:c r="O156" s="52" t="str">
        <x:f>IF($F156="","",$F156*$M156)</x:f>
      </x:c>
      <x:c r="P156" s="54" t="str">
        <x:f>IF(ISBLANK('Deal_Master_Wide'!$BP$25),"",'Deal_Master_Wide'!$BP$25)</x:f>
      </x:c>
      <x:c r="Q156" s="54" t="str">
        <x:f>IF(ISBLANK('Deal_Master_Wide'!$BW$25),"",'Deal_Master_Wide'!$BW$25)</x:f>
      </x:c>
      <x:c r="R156" s="54" t="str">
        <x:f>IF(ISBLANK('Deal_Master_Wide'!$CD$25),"",'Deal_Master_Wide'!$CD$25)</x:f>
      </x:c>
      <x:c r="S156" s="54" t="str">
        <x:f>IF(ISBLANK('Deal_Master_Wide'!$CK$25),"",'Deal_Master_Wide'!$CK$25)</x:f>
      </x:c>
      <x:c r="T156" s="54" t="str">
        <x:f>IF(ISBLANK('Deal_Master_Wide'!$CR$25),"",'Deal_Master_Wide'!$CR$25)</x:f>
      </x:c>
      <x:c r="U156" s="54" t="str">
        <x:f>IF(ISBLANK('Deal_Master_Wide'!$CY$25),"",'Deal_Master_Wide'!$CY$25)</x:f>
      </x:c>
      <x:c r="V156" s="56" t="str">
        <x:f>IF(ISBLANK('Deal_Master_Wide'!$DF$25),"",'Deal_Master_Wide'!$DF$25)</x:f>
      </x:c>
      <x:c r="W156" s="56" t="str">
        <x:f>IF(ISBLANK('Deal_Master_Wide'!$DM$25),"",'Deal_Master_Wide'!$DM$25)</x:f>
      </x:c>
      <x:c r="X156" s="56" t="str">
        <x:f>IF(ISBLANK('Deal_Master_Wide'!$DT$25),"",'Deal_Master_Wide'!$DT$25)</x:f>
      </x:c>
      <x:c r="Y156" s="54" t="str">
        <x:f>IF(ISBLANK('Deal_Master_Wide'!$EA$25),"",'Deal_Master_Wide'!$EA$25)</x:f>
      </x:c>
      <x:c r="Z156" s="54" t="str">
        <x:f>IF(ISBLANK('Deal_Master_Wide'!$EH$25),"",'Deal_Master_Wide'!$EH$25)</x:f>
      </x:c>
      <x:c r="AA156" s="52" t="str">
        <x:f>IF(ISBLANK('Deal_Master_Wide'!$AL$25),"",'Deal_Master_Wide'!$AL$25)</x:f>
        <x:v>Unknown</x:v>
      </x:c>
      <x:c r="AB156" s="54" t="n">
        <x:f>IF(ISBLANK('Deal_Master_Wide'!$AF$25),"",'Deal_Master_Wide'!$AF$25)</x:f>
        <x:v>358</x:v>
      </x:c>
      <x:c r="AC156" s="52" t="str">
        <x:f>IF(COUNT($P156,$Q156,$R156,$S156,$T156,$U156,$V156,$W156,$X156)=9,"Yes","No")</x:f>
        <x:v>No</x:v>
      </x:c>
      <x:c r="AD156" s="52" t="str">
        <x:f>IF(COUNT($Y156,$Z156)=2,"Yes","No")</x:f>
        <x:v>No</x:v>
      </x:c>
      <x:c r="AE156" s="50" t="str"/>
      <x:c r="AF156" t="str"/>
    </x:row>
    <x:row r="157" ht="20" customHeight="1">
      <x:c r="A157" s="50" t="str">
        <x:v>TRT-0023</x:v>
      </x:c>
      <x:c r="B157" s="50" t="str">
        <x:v>Candidate treatment group</x:v>
      </x:c>
      <x:c r="C157" s="52" t="str">
        <x:f>IF('Deal_Master_Wide'!$AU$25="","",'Deal_Master_Wide'!$AU$25)</x:f>
        <x:v>Not reviewed</x:v>
      </x:c>
      <x:c r="D157" s="52" t="str">
        <x:f>IF('Deal_Master_Wide'!$AV$25="","",'Deal_Master_Wide'!$AV$25)</x:f>
        <x:v>Not assessed</x:v>
      </x:c>
      <x:c r="E157" s="50" t="n">
        <x:v>1</x:v>
      </x:c>
      <x:c r="F157" s="52" t="str">
        <x:f>IF(OR($C157="High-confidence innovation-driven",$C157="Medium-confidence innovation-driven"),1,IF($C157="Clear alternative-rationale",0,""))</x:f>
      </x:c>
      <x:c r="G157" s="52" t="str">
        <x:f>IF('Deal_Master_Wide'!$M$25="","",'Deal_Master_Wide'!$M$25)</x:f>
        <x:v>Review</x:v>
      </x:c>
      <x:c r="H157" s="50" t="str">
        <x:v>Albany Molecular Research, Inc.</x:v>
      </x:c>
      <x:c r="I157" s="50" t="str">
        <x:v>Euticals SpA</x:v>
      </x:c>
      <x:c r="J157" s="50" t="n">
        <x:v>2016</x:v>
      </x:c>
      <x:c r="K157" s="50" t="n">
        <x:v>-2</x:v>
      </x:c>
      <x:c r="L157" s="50" t="n">
        <x:v>2014</x:v>
      </x:c>
      <x:c r="M157" s="50" t="n">
        <x:v>0</x:v>
      </x:c>
      <x:c r="N157" s="50" t="n">
        <x:v>0</x:v>
      </x:c>
      <x:c r="O157" s="52" t="str">
        <x:f>IF($F157="","",$F157*$M157)</x:f>
      </x:c>
      <x:c r="P157" s="54" t="str">
        <x:f>IF(ISBLANK('Deal_Master_Wide'!$BQ$25),"",'Deal_Master_Wide'!$BQ$25)</x:f>
      </x:c>
      <x:c r="Q157" s="54" t="str">
        <x:f>IF(ISBLANK('Deal_Master_Wide'!$BX$25),"",'Deal_Master_Wide'!$BX$25)</x:f>
      </x:c>
      <x:c r="R157" s="54" t="str">
        <x:f>IF(ISBLANK('Deal_Master_Wide'!$CE$25),"",'Deal_Master_Wide'!$CE$25)</x:f>
      </x:c>
      <x:c r="S157" s="54" t="str">
        <x:f>IF(ISBLANK('Deal_Master_Wide'!$CL$25),"",'Deal_Master_Wide'!$CL$25)</x:f>
      </x:c>
      <x:c r="T157" s="54" t="str">
        <x:f>IF(ISBLANK('Deal_Master_Wide'!$CS$25),"",'Deal_Master_Wide'!$CS$25)</x:f>
      </x:c>
      <x:c r="U157" s="54" t="str">
        <x:f>IF(ISBLANK('Deal_Master_Wide'!$CZ$25),"",'Deal_Master_Wide'!$CZ$25)</x:f>
      </x:c>
      <x:c r="V157" s="56" t="str">
        <x:f>IF(ISBLANK('Deal_Master_Wide'!$DG$25),"",'Deal_Master_Wide'!$DG$25)</x:f>
      </x:c>
      <x:c r="W157" s="56" t="str">
        <x:f>IF(ISBLANK('Deal_Master_Wide'!$DN$25),"",'Deal_Master_Wide'!$DN$25)</x:f>
      </x:c>
      <x:c r="X157" s="56" t="str">
        <x:f>IF(ISBLANK('Deal_Master_Wide'!$DU$25),"",'Deal_Master_Wide'!$DU$25)</x:f>
      </x:c>
      <x:c r="Y157" s="54" t="str">
        <x:f>IF(ISBLANK('Deal_Master_Wide'!$EB$25),"",'Deal_Master_Wide'!$EB$25)</x:f>
      </x:c>
      <x:c r="Z157" s="54" t="str">
        <x:f>IF(ISBLANK('Deal_Master_Wide'!$EI$25),"",'Deal_Master_Wide'!$EI$25)</x:f>
      </x:c>
      <x:c r="AA157" s="52" t="str">
        <x:f>IF(ISBLANK('Deal_Master_Wide'!$AL$25),"",'Deal_Master_Wide'!$AL$25)</x:f>
        <x:v>Unknown</x:v>
      </x:c>
      <x:c r="AB157" s="54" t="n">
        <x:f>IF(ISBLANK('Deal_Master_Wide'!$AF$25),"",'Deal_Master_Wide'!$AF$25)</x:f>
        <x:v>358</x:v>
      </x:c>
      <x:c r="AC157" s="52" t="str">
        <x:f>IF(COUNT($P157,$Q157,$R157,$S157,$T157,$U157,$V157,$W157,$X157)=9,"Yes","No")</x:f>
        <x:v>No</x:v>
      </x:c>
      <x:c r="AD157" s="52" t="str">
        <x:f>IF(COUNT($Y157,$Z157)=2,"Yes","No")</x:f>
        <x:v>No</x:v>
      </x:c>
      <x:c r="AE157" s="50" t="str"/>
      <x:c r="AF157" t="str"/>
    </x:row>
    <x:row r="158" ht="20" customHeight="1">
      <x:c r="A158" s="50" t="str">
        <x:v>TRT-0023</x:v>
      </x:c>
      <x:c r="B158" s="50" t="str">
        <x:v>Candidate treatment group</x:v>
      </x:c>
      <x:c r="C158" s="52" t="str">
        <x:f>IF('Deal_Master_Wide'!$AU$25="","",'Deal_Master_Wide'!$AU$25)</x:f>
        <x:v>Not reviewed</x:v>
      </x:c>
      <x:c r="D158" s="52" t="str">
        <x:f>IF('Deal_Master_Wide'!$AV$25="","",'Deal_Master_Wide'!$AV$25)</x:f>
        <x:v>Not assessed</x:v>
      </x:c>
      <x:c r="E158" s="50" t="n">
        <x:v>1</x:v>
      </x:c>
      <x:c r="F158" s="52" t="str">
        <x:f>IF(OR($C158="High-confidence innovation-driven",$C158="Medium-confidence innovation-driven"),1,IF($C158="Clear alternative-rationale",0,""))</x:f>
      </x:c>
      <x:c r="G158" s="52" t="str">
        <x:f>IF('Deal_Master_Wide'!$M$25="","",'Deal_Master_Wide'!$M$25)</x:f>
        <x:v>Review</x:v>
      </x:c>
      <x:c r="H158" s="50" t="str">
        <x:v>Albany Molecular Research, Inc.</x:v>
      </x:c>
      <x:c r="I158" s="50" t="str">
        <x:v>Euticals SpA</x:v>
      </x:c>
      <x:c r="J158" s="50" t="n">
        <x:v>2016</x:v>
      </x:c>
      <x:c r="K158" s="50" t="n">
        <x:v>-1</x:v>
      </x:c>
      <x:c r="L158" s="50" t="n">
        <x:v>2015</x:v>
      </x:c>
      <x:c r="M158" s="50" t="n">
        <x:v>0</x:v>
      </x:c>
      <x:c r="N158" s="50" t="n">
        <x:v>0</x:v>
      </x:c>
      <x:c r="O158" s="52" t="str">
        <x:f>IF($F158="","",$F158*$M158)</x:f>
      </x:c>
      <x:c r="P158" s="54" t="str">
        <x:f>IF(ISBLANK('Deal_Master_Wide'!$BR$25),"",'Deal_Master_Wide'!$BR$25)</x:f>
      </x:c>
      <x:c r="Q158" s="54" t="str">
        <x:f>IF(ISBLANK('Deal_Master_Wide'!$BY$25),"",'Deal_Master_Wide'!$BY$25)</x:f>
      </x:c>
      <x:c r="R158" s="54" t="str">
        <x:f>IF(ISBLANK('Deal_Master_Wide'!$CF$25),"",'Deal_Master_Wide'!$CF$25)</x:f>
      </x:c>
      <x:c r="S158" s="54" t="str">
        <x:f>IF(ISBLANK('Deal_Master_Wide'!$CM$25),"",'Deal_Master_Wide'!$CM$25)</x:f>
      </x:c>
      <x:c r="T158" s="54" t="str">
        <x:f>IF(ISBLANK('Deal_Master_Wide'!$CT$25),"",'Deal_Master_Wide'!$CT$25)</x:f>
      </x:c>
      <x:c r="U158" s="54" t="str">
        <x:f>IF(ISBLANK('Deal_Master_Wide'!$DA$25),"",'Deal_Master_Wide'!$DA$25)</x:f>
      </x:c>
      <x:c r="V158" s="56" t="str">
        <x:f>IF(ISBLANK('Deal_Master_Wide'!$DH$25),"",'Deal_Master_Wide'!$DH$25)</x:f>
      </x:c>
      <x:c r="W158" s="56" t="str">
        <x:f>IF(ISBLANK('Deal_Master_Wide'!$DO$25),"",'Deal_Master_Wide'!$DO$25)</x:f>
      </x:c>
      <x:c r="X158" s="56" t="str">
        <x:f>IF(ISBLANK('Deal_Master_Wide'!$DV$25),"",'Deal_Master_Wide'!$DV$25)</x:f>
      </x:c>
      <x:c r="Y158" s="54" t="str">
        <x:f>IF(ISBLANK('Deal_Master_Wide'!$EC$25),"",'Deal_Master_Wide'!$EC$25)</x:f>
      </x:c>
      <x:c r="Z158" s="54" t="str">
        <x:f>IF(ISBLANK('Deal_Master_Wide'!$EJ$25),"",'Deal_Master_Wide'!$EJ$25)</x:f>
      </x:c>
      <x:c r="AA158" s="52" t="str">
        <x:f>IF(ISBLANK('Deal_Master_Wide'!$AL$25),"",'Deal_Master_Wide'!$AL$25)</x:f>
        <x:v>Unknown</x:v>
      </x:c>
      <x:c r="AB158" s="54" t="n">
        <x:f>IF(ISBLANK('Deal_Master_Wide'!$AF$25),"",'Deal_Master_Wide'!$AF$25)</x:f>
        <x:v>358</x:v>
      </x:c>
      <x:c r="AC158" s="52" t="str">
        <x:f>IF(COUNT($P158,$Q158,$R158,$S158,$T158,$U158,$V158,$W158,$X158)=9,"Yes","No")</x:f>
        <x:v>No</x:v>
      </x:c>
      <x:c r="AD158" s="52" t="str">
        <x:f>IF(COUNT($Y158,$Z158)=2,"Yes","No")</x:f>
        <x:v>No</x:v>
      </x:c>
      <x:c r="AE158" s="50" t="str"/>
      <x:c r="AF158" t="str"/>
    </x:row>
    <x:row r="159" ht="20" customHeight="1">
      <x:c r="A159" s="50" t="str">
        <x:v>TRT-0023</x:v>
      </x:c>
      <x:c r="B159" s="50" t="str">
        <x:v>Candidate treatment group</x:v>
      </x:c>
      <x:c r="C159" s="52" t="str">
        <x:f>IF('Deal_Master_Wide'!$AU$25="","",'Deal_Master_Wide'!$AU$25)</x:f>
        <x:v>Not reviewed</x:v>
      </x:c>
      <x:c r="D159" s="52" t="str">
        <x:f>IF('Deal_Master_Wide'!$AV$25="","",'Deal_Master_Wide'!$AV$25)</x:f>
        <x:v>Not assessed</x:v>
      </x:c>
      <x:c r="E159" s="50" t="n">
        <x:v>1</x:v>
      </x:c>
      <x:c r="F159" s="52" t="str">
        <x:f>IF(OR($C159="High-confidence innovation-driven",$C159="Medium-confidence innovation-driven"),1,IF($C159="Clear alternative-rationale",0,""))</x:f>
      </x:c>
      <x:c r="G159" s="52" t="str">
        <x:f>IF('Deal_Master_Wide'!$M$25="","",'Deal_Master_Wide'!$M$25)</x:f>
        <x:v>Review</x:v>
      </x:c>
      <x:c r="H159" s="50" t="str">
        <x:v>Albany Molecular Research, Inc.</x:v>
      </x:c>
      <x:c r="I159" s="50" t="str">
        <x:v>Euticals SpA</x:v>
      </x:c>
      <x:c r="J159" s="50" t="n">
        <x:v>2016</x:v>
      </x:c>
      <x:c r="K159" s="50" t="n">
        <x:v>0</x:v>
      </x:c>
      <x:c r="L159" s="50" t="n">
        <x:v>2016</x:v>
      </x:c>
      <x:c r="M159" s="50" t="n">
        <x:v>0</x:v>
      </x:c>
      <x:c r="N159" s="50" t="n">
        <x:v>1</x:v>
      </x:c>
      <x:c r="O159" s="52" t="str">
        <x:f>IF($F159="","",$F159*$M159)</x:f>
      </x:c>
      <x:c r="P159" s="54" t="str">
        <x:f>IF(ISBLANK('Deal_Master_Wide'!$BS$25),"",'Deal_Master_Wide'!$BS$25)</x:f>
      </x:c>
      <x:c r="Q159" s="54" t="str">
        <x:f>IF(ISBLANK('Deal_Master_Wide'!$BZ$25),"",'Deal_Master_Wide'!$BZ$25)</x:f>
      </x:c>
      <x:c r="R159" s="54" t="str">
        <x:f>IF(ISBLANK('Deal_Master_Wide'!$CG$25),"",'Deal_Master_Wide'!$CG$25)</x:f>
      </x:c>
      <x:c r="S159" s="54" t="str">
        <x:f>IF(ISBLANK('Deal_Master_Wide'!$CN$25),"",'Deal_Master_Wide'!$CN$25)</x:f>
      </x:c>
      <x:c r="T159" s="54" t="str">
        <x:f>IF(ISBLANK('Deal_Master_Wide'!$CU$25),"",'Deal_Master_Wide'!$CU$25)</x:f>
      </x:c>
      <x:c r="U159" s="54" t="str">
        <x:f>IF(ISBLANK('Deal_Master_Wide'!$DB$25),"",'Deal_Master_Wide'!$DB$25)</x:f>
      </x:c>
      <x:c r="V159" s="56" t="str">
        <x:f>IF(ISBLANK('Deal_Master_Wide'!$DI$25),"",'Deal_Master_Wide'!$DI$25)</x:f>
      </x:c>
      <x:c r="W159" s="56" t="str">
        <x:f>IF(ISBLANK('Deal_Master_Wide'!$DP$25),"",'Deal_Master_Wide'!$DP$25)</x:f>
      </x:c>
      <x:c r="X159" s="56" t="str">
        <x:f>IF(ISBLANK('Deal_Master_Wide'!$DW$25),"",'Deal_Master_Wide'!$DW$25)</x:f>
      </x:c>
      <x:c r="Y159" s="54" t="str">
        <x:f>IF(ISBLANK('Deal_Master_Wide'!$ED$25),"",'Deal_Master_Wide'!$ED$25)</x:f>
      </x:c>
      <x:c r="Z159" s="54" t="str">
        <x:f>IF(ISBLANK('Deal_Master_Wide'!$EK$25),"",'Deal_Master_Wide'!$EK$25)</x:f>
      </x:c>
      <x:c r="AA159" s="52" t="str">
        <x:f>IF(ISBLANK('Deal_Master_Wide'!$AL$25),"",'Deal_Master_Wide'!$AL$25)</x:f>
        <x:v>Unknown</x:v>
      </x:c>
      <x:c r="AB159" s="54" t="n">
        <x:f>IF(ISBLANK('Deal_Master_Wide'!$AF$25),"",'Deal_Master_Wide'!$AF$25)</x:f>
        <x:v>358</x:v>
      </x:c>
      <x:c r="AC159" s="52" t="str">
        <x:f>IF(COUNT($P159,$Q159,$R159,$S159,$T159,$U159,$V159,$W159,$X159)=9,"Yes","No")</x:f>
        <x:v>No</x:v>
      </x:c>
      <x:c r="AD159" s="52" t="str">
        <x:f>IF(COUNT($Y159,$Z159)=2,"Yes","No")</x:f>
        <x:v>No</x:v>
      </x:c>
      <x:c r="AE159" s="50" t="str"/>
      <x:c r="AF159" t="str"/>
    </x:row>
    <x:row r="160" ht="20" customHeight="1">
      <x:c r="A160" s="50" t="str">
        <x:v>TRT-0023</x:v>
      </x:c>
      <x:c r="B160" s="50" t="str">
        <x:v>Candidate treatment group</x:v>
      </x:c>
      <x:c r="C160" s="52" t="str">
        <x:f>IF('Deal_Master_Wide'!$AU$25="","",'Deal_Master_Wide'!$AU$25)</x:f>
        <x:v>Not reviewed</x:v>
      </x:c>
      <x:c r="D160" s="52" t="str">
        <x:f>IF('Deal_Master_Wide'!$AV$25="","",'Deal_Master_Wide'!$AV$25)</x:f>
        <x:v>Not assessed</x:v>
      </x:c>
      <x:c r="E160" s="50" t="n">
        <x:v>1</x:v>
      </x:c>
      <x:c r="F160" s="52" t="str">
        <x:f>IF(OR($C160="High-confidence innovation-driven",$C160="Medium-confidence innovation-driven"),1,IF($C160="Clear alternative-rationale",0,""))</x:f>
      </x:c>
      <x:c r="G160" s="52" t="str">
        <x:f>IF('Deal_Master_Wide'!$M$25="","",'Deal_Master_Wide'!$M$25)</x:f>
        <x:v>Review</x:v>
      </x:c>
      <x:c r="H160" s="50" t="str">
        <x:v>Albany Molecular Research, Inc.</x:v>
      </x:c>
      <x:c r="I160" s="50" t="str">
        <x:v>Euticals SpA</x:v>
      </x:c>
      <x:c r="J160" s="50" t="n">
        <x:v>2016</x:v>
      </x:c>
      <x:c r="K160" s="50" t="n">
        <x:v>1</x:v>
      </x:c>
      <x:c r="L160" s="50" t="n">
        <x:v>2017</x:v>
      </x:c>
      <x:c r="M160" s="50" t="n">
        <x:v>1</x:v>
      </x:c>
      <x:c r="N160" s="50" t="n">
        <x:v>1</x:v>
      </x:c>
      <x:c r="O160" s="52" t="str">
        <x:f>IF($F160="","",$F160*$M160)</x:f>
      </x:c>
      <x:c r="P160" s="54" t="str">
        <x:f>IF(ISBLANK('Deal_Master_Wide'!$BT$25),"",'Deal_Master_Wide'!$BT$25)</x:f>
      </x:c>
      <x:c r="Q160" s="54" t="str">
        <x:f>IF(ISBLANK('Deal_Master_Wide'!$CA$25),"",'Deal_Master_Wide'!$CA$25)</x:f>
      </x:c>
      <x:c r="R160" s="54" t="str">
        <x:f>IF(ISBLANK('Deal_Master_Wide'!$CH$25),"",'Deal_Master_Wide'!$CH$25)</x:f>
      </x:c>
      <x:c r="S160" s="54" t="str">
        <x:f>IF(ISBLANK('Deal_Master_Wide'!$CO$25),"",'Deal_Master_Wide'!$CO$25)</x:f>
      </x:c>
      <x:c r="T160" s="54" t="str">
        <x:f>IF(ISBLANK('Deal_Master_Wide'!$CV$25),"",'Deal_Master_Wide'!$CV$25)</x:f>
      </x:c>
      <x:c r="U160" s="54" t="str">
        <x:f>IF(ISBLANK('Deal_Master_Wide'!$DC$25),"",'Deal_Master_Wide'!$DC$25)</x:f>
      </x:c>
      <x:c r="V160" s="56" t="str">
        <x:f>IF(ISBLANK('Deal_Master_Wide'!$DJ$25),"",'Deal_Master_Wide'!$DJ$25)</x:f>
      </x:c>
      <x:c r="W160" s="56" t="str">
        <x:f>IF(ISBLANK('Deal_Master_Wide'!$DQ$25),"",'Deal_Master_Wide'!$DQ$25)</x:f>
      </x:c>
      <x:c r="X160" s="56" t="str">
        <x:f>IF(ISBLANK('Deal_Master_Wide'!$DX$25),"",'Deal_Master_Wide'!$DX$25)</x:f>
      </x:c>
      <x:c r="Y160" s="54" t="str">
        <x:f>IF(ISBLANK('Deal_Master_Wide'!$EE$25),"",'Deal_Master_Wide'!$EE$25)</x:f>
      </x:c>
      <x:c r="Z160" s="54" t="str">
        <x:f>IF(ISBLANK('Deal_Master_Wide'!$EL$25),"",'Deal_Master_Wide'!$EL$25)</x:f>
      </x:c>
      <x:c r="AA160" s="52" t="str">
        <x:f>IF(ISBLANK('Deal_Master_Wide'!$AL$25),"",'Deal_Master_Wide'!$AL$25)</x:f>
        <x:v>Unknown</x:v>
      </x:c>
      <x:c r="AB160" s="54" t="n">
        <x:f>IF(ISBLANK('Deal_Master_Wide'!$AF$25),"",'Deal_Master_Wide'!$AF$25)</x:f>
        <x:v>358</x:v>
      </x:c>
      <x:c r="AC160" s="52" t="str">
        <x:f>IF(COUNT($P160,$Q160,$R160,$S160,$T160,$U160,$V160,$W160,$X160)=9,"Yes","No")</x:f>
        <x:v>No</x:v>
      </x:c>
      <x:c r="AD160" s="52" t="str">
        <x:f>IF(COUNT($Y160,$Z160)=2,"Yes","No")</x:f>
        <x:v>No</x:v>
      </x:c>
      <x:c r="AE160" s="50" t="str"/>
      <x:c r="AF160" t="str"/>
    </x:row>
    <x:row r="161" ht="20" customHeight="1">
      <x:c r="A161" s="50" t="str">
        <x:v>TRT-0023</x:v>
      </x:c>
      <x:c r="B161" s="50" t="str">
        <x:v>Candidate treatment group</x:v>
      </x:c>
      <x:c r="C161" s="52" t="str">
        <x:f>IF('Deal_Master_Wide'!$AU$25="","",'Deal_Master_Wide'!$AU$25)</x:f>
        <x:v>Not reviewed</x:v>
      </x:c>
      <x:c r="D161" s="52" t="str">
        <x:f>IF('Deal_Master_Wide'!$AV$25="","",'Deal_Master_Wide'!$AV$25)</x:f>
        <x:v>Not assessed</x:v>
      </x:c>
      <x:c r="E161" s="50" t="n">
        <x:v>1</x:v>
      </x:c>
      <x:c r="F161" s="52" t="str">
        <x:f>IF(OR($C161="High-confidence innovation-driven",$C161="Medium-confidence innovation-driven"),1,IF($C161="Clear alternative-rationale",0,""))</x:f>
      </x:c>
      <x:c r="G161" s="52" t="str">
        <x:f>IF('Deal_Master_Wide'!$M$25="","",'Deal_Master_Wide'!$M$25)</x:f>
        <x:v>Review</x:v>
      </x:c>
      <x:c r="H161" s="50" t="str">
        <x:v>Albany Molecular Research, Inc.</x:v>
      </x:c>
      <x:c r="I161" s="50" t="str">
        <x:v>Euticals SpA</x:v>
      </x:c>
      <x:c r="J161" s="50" t="n">
        <x:v>2016</x:v>
      </x:c>
      <x:c r="K161" s="50" t="n">
        <x:v>2</x:v>
      </x:c>
      <x:c r="L161" s="50" t="n">
        <x:v>2018</x:v>
      </x:c>
      <x:c r="M161" s="50" t="n">
        <x:v>1</x:v>
      </x:c>
      <x:c r="N161" s="50" t="n">
        <x:v>1</x:v>
      </x:c>
      <x:c r="O161" s="52" t="str">
        <x:f>IF($F161="","",$F161*$M161)</x:f>
      </x:c>
      <x:c r="P161" s="54" t="str">
        <x:f>IF(ISBLANK('Deal_Master_Wide'!$BU$25),"",'Deal_Master_Wide'!$BU$25)</x:f>
      </x:c>
      <x:c r="Q161" s="54" t="str">
        <x:f>IF(ISBLANK('Deal_Master_Wide'!$CB$25),"",'Deal_Master_Wide'!$CB$25)</x:f>
      </x:c>
      <x:c r="R161" s="54" t="str">
        <x:f>IF(ISBLANK('Deal_Master_Wide'!$CI$25),"",'Deal_Master_Wide'!$CI$25)</x:f>
      </x:c>
      <x:c r="S161" s="54" t="str">
        <x:f>IF(ISBLANK('Deal_Master_Wide'!$CP$25),"",'Deal_Master_Wide'!$CP$25)</x:f>
      </x:c>
      <x:c r="T161" s="54" t="str">
        <x:f>IF(ISBLANK('Deal_Master_Wide'!$CW$25),"",'Deal_Master_Wide'!$CW$25)</x:f>
      </x:c>
      <x:c r="U161" s="54" t="str">
        <x:f>IF(ISBLANK('Deal_Master_Wide'!$DD$25),"",'Deal_Master_Wide'!$DD$25)</x:f>
      </x:c>
      <x:c r="V161" s="56" t="str">
        <x:f>IF(ISBLANK('Deal_Master_Wide'!$DK$25),"",'Deal_Master_Wide'!$DK$25)</x:f>
      </x:c>
      <x:c r="W161" s="56" t="str">
        <x:f>IF(ISBLANK('Deal_Master_Wide'!$DR$25),"",'Deal_Master_Wide'!$DR$25)</x:f>
      </x:c>
      <x:c r="X161" s="56" t="str">
        <x:f>IF(ISBLANK('Deal_Master_Wide'!$DY$25),"",'Deal_Master_Wide'!$DY$25)</x:f>
      </x:c>
      <x:c r="Y161" s="54" t="str">
        <x:f>IF(ISBLANK('Deal_Master_Wide'!$EF$25),"",'Deal_Master_Wide'!$EF$25)</x:f>
      </x:c>
      <x:c r="Z161" s="54" t="str">
        <x:f>IF(ISBLANK('Deal_Master_Wide'!$EM$25),"",'Deal_Master_Wide'!$EM$25)</x:f>
      </x:c>
      <x:c r="AA161" s="52" t="str">
        <x:f>IF(ISBLANK('Deal_Master_Wide'!$AL$25),"",'Deal_Master_Wide'!$AL$25)</x:f>
        <x:v>Unknown</x:v>
      </x:c>
      <x:c r="AB161" s="54" t="n">
        <x:f>IF(ISBLANK('Deal_Master_Wide'!$AF$25),"",'Deal_Master_Wide'!$AF$25)</x:f>
        <x:v>358</x:v>
      </x:c>
      <x:c r="AC161" s="52" t="str">
        <x:f>IF(COUNT($P161,$Q161,$R161,$S161,$T161,$U161,$V161,$W161,$X161)=9,"Yes","No")</x:f>
        <x:v>No</x:v>
      </x:c>
      <x:c r="AD161" s="52" t="str">
        <x:f>IF(COUNT($Y161,$Z161)=2,"Yes","No")</x:f>
        <x:v>No</x:v>
      </x:c>
      <x:c r="AE161" s="50" t="str"/>
      <x:c r="AF161" t="str"/>
    </x:row>
    <x:row r="162" ht="20" customHeight="1">
      <x:c r="A162" s="50" t="str">
        <x:v>TRT-0023</x:v>
      </x:c>
      <x:c r="B162" s="50" t="str">
        <x:v>Candidate treatment group</x:v>
      </x:c>
      <x:c r="C162" s="52" t="str">
        <x:f>IF('Deal_Master_Wide'!$AU$25="","",'Deal_Master_Wide'!$AU$25)</x:f>
        <x:v>Not reviewed</x:v>
      </x:c>
      <x:c r="D162" s="52" t="str">
        <x:f>IF('Deal_Master_Wide'!$AV$25="","",'Deal_Master_Wide'!$AV$25)</x:f>
        <x:v>Not assessed</x:v>
      </x:c>
      <x:c r="E162" s="50" t="n">
        <x:v>1</x:v>
      </x:c>
      <x:c r="F162" s="52" t="str">
        <x:f>IF(OR($C162="High-confidence innovation-driven",$C162="Medium-confidence innovation-driven"),1,IF($C162="Clear alternative-rationale",0,""))</x:f>
      </x:c>
      <x:c r="G162" s="52" t="str">
        <x:f>IF('Deal_Master_Wide'!$M$25="","",'Deal_Master_Wide'!$M$25)</x:f>
        <x:v>Review</x:v>
      </x:c>
      <x:c r="H162" s="50" t="str">
        <x:v>Albany Molecular Research, Inc.</x:v>
      </x:c>
      <x:c r="I162" s="50" t="str">
        <x:v>Euticals SpA</x:v>
      </x:c>
      <x:c r="J162" s="50" t="n">
        <x:v>2016</x:v>
      </x:c>
      <x:c r="K162" s="50" t="n">
        <x:v>3</x:v>
      </x:c>
      <x:c r="L162" s="50" t="n">
        <x:v>2019</x:v>
      </x:c>
      <x:c r="M162" s="50" t="n">
        <x:v>1</x:v>
      </x:c>
      <x:c r="N162" s="50" t="n">
        <x:v>1</x:v>
      </x:c>
      <x:c r="O162" s="52" t="str">
        <x:f>IF($F162="","",$F162*$M162)</x:f>
      </x:c>
      <x:c r="P162" s="54" t="str">
        <x:f>IF(ISBLANK('Deal_Master_Wide'!$BV$25),"",'Deal_Master_Wide'!$BV$25)</x:f>
      </x:c>
      <x:c r="Q162" s="54" t="str">
        <x:f>IF(ISBLANK('Deal_Master_Wide'!$CC$25),"",'Deal_Master_Wide'!$CC$25)</x:f>
      </x:c>
      <x:c r="R162" s="54" t="str">
        <x:f>IF(ISBLANK('Deal_Master_Wide'!$CJ$25),"",'Deal_Master_Wide'!$CJ$25)</x:f>
      </x:c>
      <x:c r="S162" s="54" t="str">
        <x:f>IF(ISBLANK('Deal_Master_Wide'!$CQ$25),"",'Deal_Master_Wide'!$CQ$25)</x:f>
      </x:c>
      <x:c r="T162" s="54" t="str">
        <x:f>IF(ISBLANK('Deal_Master_Wide'!$CX$25),"",'Deal_Master_Wide'!$CX$25)</x:f>
      </x:c>
      <x:c r="U162" s="54" t="str">
        <x:f>IF(ISBLANK('Deal_Master_Wide'!$DE$25),"",'Deal_Master_Wide'!$DE$25)</x:f>
      </x:c>
      <x:c r="V162" s="56" t="str">
        <x:f>IF(ISBLANK('Deal_Master_Wide'!$DL$25),"",'Deal_Master_Wide'!$DL$25)</x:f>
      </x:c>
      <x:c r="W162" s="56" t="str">
        <x:f>IF(ISBLANK('Deal_Master_Wide'!$DS$25),"",'Deal_Master_Wide'!$DS$25)</x:f>
      </x:c>
      <x:c r="X162" s="56" t="str">
        <x:f>IF(ISBLANK('Deal_Master_Wide'!$DZ$25),"",'Deal_Master_Wide'!$DZ$25)</x:f>
      </x:c>
      <x:c r="Y162" s="54" t="str">
        <x:f>IF(ISBLANK('Deal_Master_Wide'!$EG$25),"",'Deal_Master_Wide'!$EG$25)</x:f>
      </x:c>
      <x:c r="Z162" s="54" t="str">
        <x:f>IF(ISBLANK('Deal_Master_Wide'!$EN$25),"",'Deal_Master_Wide'!$EN$25)</x:f>
      </x:c>
      <x:c r="AA162" s="52" t="str">
        <x:f>IF(ISBLANK('Deal_Master_Wide'!$AL$25),"",'Deal_Master_Wide'!$AL$25)</x:f>
        <x:v>Unknown</x:v>
      </x:c>
      <x:c r="AB162" s="54" t="n">
        <x:f>IF(ISBLANK('Deal_Master_Wide'!$AF$25),"",'Deal_Master_Wide'!$AF$25)</x:f>
        <x:v>358</x:v>
      </x:c>
      <x:c r="AC162" s="52" t="str">
        <x:f>IF(COUNT($P162,$Q162,$R162,$S162,$T162,$U162,$V162,$W162,$X162)=9,"Yes","No")</x:f>
        <x:v>No</x:v>
      </x:c>
      <x:c r="AD162" s="52" t="str">
        <x:f>IF(COUNT($Y162,$Z162)=2,"Yes","No")</x:f>
        <x:v>No</x:v>
      </x:c>
      <x:c r="AE162" s="50" t="str"/>
      <x:c r="AF162" t="str"/>
    </x:row>
    <x:row r="163" ht="20" customHeight="1">
      <x:c r="A163" s="50" t="str">
        <x:v>TRT-0024</x:v>
      </x:c>
      <x:c r="B163" s="50" t="str">
        <x:v>Candidate treatment group</x:v>
      </x:c>
      <x:c r="C163" s="52" t="str">
        <x:f>IF('Deal_Master_Wide'!$AU$26="","",'Deal_Master_Wide'!$AU$26)</x:f>
        <x:v>Not reviewed</x:v>
      </x:c>
      <x:c r="D163" s="52" t="str">
        <x:f>IF('Deal_Master_Wide'!$AV$26="","",'Deal_Master_Wide'!$AV$26)</x:f>
        <x:v>Not assessed</x:v>
      </x:c>
      <x:c r="E163" s="50" t="n">
        <x:v>1</x:v>
      </x:c>
      <x:c r="F163" s="52" t="str">
        <x:f>IF(OR($C163="High-confidence innovation-driven",$C163="Medium-confidence innovation-driven"),1,IF($C163="Clear alternative-rationale",0,""))</x:f>
      </x:c>
      <x:c r="G163" s="52" t="str">
        <x:f>IF('Deal_Master_Wide'!$M$26="","",'Deal_Master_Wide'!$M$26)</x:f>
        <x:v>Review</x:v>
      </x:c>
      <x:c r="H163" s="50" t="str">
        <x:v>Vectura Group Limited</x:v>
      </x:c>
      <x:c r="I163" s="50" t="str">
        <x:v>Skyepharma PLC</x:v>
      </x:c>
      <x:c r="J163" s="50" t="n">
        <x:v>2016</x:v>
      </x:c>
      <x:c r="K163" s="50" t="n">
        <x:v>-3</x:v>
      </x:c>
      <x:c r="L163" s="50" t="n">
        <x:v>2013</x:v>
      </x:c>
      <x:c r="M163" s="50" t="n">
        <x:v>0</x:v>
      </x:c>
      <x:c r="N163" s="50" t="n">
        <x:v>0</x:v>
      </x:c>
      <x:c r="O163" s="52" t="str">
        <x:f>IF($F163="","",$F163*$M163)</x:f>
      </x:c>
      <x:c r="P163" s="54" t="str">
        <x:f>IF(ISBLANK('Deal_Master_Wide'!$BP$26),"",'Deal_Master_Wide'!$BP$26)</x:f>
      </x:c>
      <x:c r="Q163" s="54" t="str">
        <x:f>IF(ISBLANK('Deal_Master_Wide'!$BW$26),"",'Deal_Master_Wide'!$BW$26)</x:f>
      </x:c>
      <x:c r="R163" s="54" t="str">
        <x:f>IF(ISBLANK('Deal_Master_Wide'!$CD$26),"",'Deal_Master_Wide'!$CD$26)</x:f>
      </x:c>
      <x:c r="S163" s="54" t="str">
        <x:f>IF(ISBLANK('Deal_Master_Wide'!$CK$26),"",'Deal_Master_Wide'!$CK$26)</x:f>
      </x:c>
      <x:c r="T163" s="54" t="str">
        <x:f>IF(ISBLANK('Deal_Master_Wide'!$CR$26),"",'Deal_Master_Wide'!$CR$26)</x:f>
      </x:c>
      <x:c r="U163" s="54" t="str">
        <x:f>IF(ISBLANK('Deal_Master_Wide'!$CY$26),"",'Deal_Master_Wide'!$CY$26)</x:f>
      </x:c>
      <x:c r="V163" s="56" t="str">
        <x:f>IF(ISBLANK('Deal_Master_Wide'!$DF$26),"",'Deal_Master_Wide'!$DF$26)</x:f>
      </x:c>
      <x:c r="W163" s="56" t="str">
        <x:f>IF(ISBLANK('Deal_Master_Wide'!$DM$26),"",'Deal_Master_Wide'!$DM$26)</x:f>
      </x:c>
      <x:c r="X163" s="56" t="str">
        <x:f>IF(ISBLANK('Deal_Master_Wide'!$DT$26),"",'Deal_Master_Wide'!$DT$26)</x:f>
      </x:c>
      <x:c r="Y163" s="54" t="str">
        <x:f>IF(ISBLANK('Deal_Master_Wide'!$EA$26),"",'Deal_Master_Wide'!$EA$26)</x:f>
      </x:c>
      <x:c r="Z163" s="54" t="str">
        <x:f>IF(ISBLANK('Deal_Master_Wide'!$EH$26),"",'Deal_Master_Wide'!$EH$26)</x:f>
      </x:c>
      <x:c r="AA163" s="52" t="str">
        <x:f>IF(ISBLANK('Deal_Master_Wide'!$AL$26),"",'Deal_Master_Wide'!$AL$26)</x:f>
        <x:v>Unknown</x:v>
      </x:c>
      <x:c r="AB163" s="54" t="n">
        <x:f>IF(ISBLANK('Deal_Master_Wide'!$AF$26),"",'Deal_Master_Wide'!$AF$26)</x:f>
        <x:v>627</x:v>
      </x:c>
      <x:c r="AC163" s="52" t="str">
        <x:f>IF(COUNT($P163,$Q163,$R163,$S163,$T163,$U163,$V163,$W163,$X163)=9,"Yes","No")</x:f>
        <x:v>No</x:v>
      </x:c>
      <x:c r="AD163" s="52" t="str">
        <x:f>IF(COUNT($Y163,$Z163)=2,"Yes","No")</x:f>
        <x:v>No</x:v>
      </x:c>
      <x:c r="AE163" s="50" t="str"/>
      <x:c r="AF163" t="str"/>
    </x:row>
    <x:row r="164" ht="20" customHeight="1">
      <x:c r="A164" s="50" t="str">
        <x:v>TRT-0024</x:v>
      </x:c>
      <x:c r="B164" s="50" t="str">
        <x:v>Candidate treatment group</x:v>
      </x:c>
      <x:c r="C164" s="52" t="str">
        <x:f>IF('Deal_Master_Wide'!$AU$26="","",'Deal_Master_Wide'!$AU$26)</x:f>
        <x:v>Not reviewed</x:v>
      </x:c>
      <x:c r="D164" s="52" t="str">
        <x:f>IF('Deal_Master_Wide'!$AV$26="","",'Deal_Master_Wide'!$AV$26)</x:f>
        <x:v>Not assessed</x:v>
      </x:c>
      <x:c r="E164" s="50" t="n">
        <x:v>1</x:v>
      </x:c>
      <x:c r="F164" s="52" t="str">
        <x:f>IF(OR($C164="High-confidence innovation-driven",$C164="Medium-confidence innovation-driven"),1,IF($C164="Clear alternative-rationale",0,""))</x:f>
      </x:c>
      <x:c r="G164" s="52" t="str">
        <x:f>IF('Deal_Master_Wide'!$M$26="","",'Deal_Master_Wide'!$M$26)</x:f>
        <x:v>Review</x:v>
      </x:c>
      <x:c r="H164" s="50" t="str">
        <x:v>Vectura Group Limited</x:v>
      </x:c>
      <x:c r="I164" s="50" t="str">
        <x:v>Skyepharma PLC</x:v>
      </x:c>
      <x:c r="J164" s="50" t="n">
        <x:v>2016</x:v>
      </x:c>
      <x:c r="K164" s="50" t="n">
        <x:v>-2</x:v>
      </x:c>
      <x:c r="L164" s="50" t="n">
        <x:v>2014</x:v>
      </x:c>
      <x:c r="M164" s="50" t="n">
        <x:v>0</x:v>
      </x:c>
      <x:c r="N164" s="50" t="n">
        <x:v>0</x:v>
      </x:c>
      <x:c r="O164" s="52" t="str">
        <x:f>IF($F164="","",$F164*$M164)</x:f>
      </x:c>
      <x:c r="P164" s="54" t="str">
        <x:f>IF(ISBLANK('Deal_Master_Wide'!$BQ$26),"",'Deal_Master_Wide'!$BQ$26)</x:f>
      </x:c>
      <x:c r="Q164" s="54" t="str">
        <x:f>IF(ISBLANK('Deal_Master_Wide'!$BX$26),"",'Deal_Master_Wide'!$BX$26)</x:f>
      </x:c>
      <x:c r="R164" s="54" t="str">
        <x:f>IF(ISBLANK('Deal_Master_Wide'!$CE$26),"",'Deal_Master_Wide'!$CE$26)</x:f>
      </x:c>
      <x:c r="S164" s="54" t="str">
        <x:f>IF(ISBLANK('Deal_Master_Wide'!$CL$26),"",'Deal_Master_Wide'!$CL$26)</x:f>
      </x:c>
      <x:c r="T164" s="54" t="str">
        <x:f>IF(ISBLANK('Deal_Master_Wide'!$CS$26),"",'Deal_Master_Wide'!$CS$26)</x:f>
      </x:c>
      <x:c r="U164" s="54" t="str">
        <x:f>IF(ISBLANK('Deal_Master_Wide'!$CZ$26),"",'Deal_Master_Wide'!$CZ$26)</x:f>
      </x:c>
      <x:c r="V164" s="56" t="str">
        <x:f>IF(ISBLANK('Deal_Master_Wide'!$DG$26),"",'Deal_Master_Wide'!$DG$26)</x:f>
      </x:c>
      <x:c r="W164" s="56" t="str">
        <x:f>IF(ISBLANK('Deal_Master_Wide'!$DN$26),"",'Deal_Master_Wide'!$DN$26)</x:f>
      </x:c>
      <x:c r="X164" s="56" t="str">
        <x:f>IF(ISBLANK('Deal_Master_Wide'!$DU$26),"",'Deal_Master_Wide'!$DU$26)</x:f>
      </x:c>
      <x:c r="Y164" s="54" t="str">
        <x:f>IF(ISBLANK('Deal_Master_Wide'!$EB$26),"",'Deal_Master_Wide'!$EB$26)</x:f>
      </x:c>
      <x:c r="Z164" s="54" t="str">
        <x:f>IF(ISBLANK('Deal_Master_Wide'!$EI$26),"",'Deal_Master_Wide'!$EI$26)</x:f>
      </x:c>
      <x:c r="AA164" s="52" t="str">
        <x:f>IF(ISBLANK('Deal_Master_Wide'!$AL$26),"",'Deal_Master_Wide'!$AL$26)</x:f>
        <x:v>Unknown</x:v>
      </x:c>
      <x:c r="AB164" s="54" t="n">
        <x:f>IF(ISBLANK('Deal_Master_Wide'!$AF$26),"",'Deal_Master_Wide'!$AF$26)</x:f>
        <x:v>627</x:v>
      </x:c>
      <x:c r="AC164" s="52" t="str">
        <x:f>IF(COUNT($P164,$Q164,$R164,$S164,$T164,$U164,$V164,$W164,$X164)=9,"Yes","No")</x:f>
        <x:v>No</x:v>
      </x:c>
      <x:c r="AD164" s="52" t="str">
        <x:f>IF(COUNT($Y164,$Z164)=2,"Yes","No")</x:f>
        <x:v>No</x:v>
      </x:c>
      <x:c r="AE164" s="50" t="str"/>
      <x:c r="AF164" t="str"/>
    </x:row>
    <x:row r="165" ht="20" customHeight="1">
      <x:c r="A165" s="50" t="str">
        <x:v>TRT-0024</x:v>
      </x:c>
      <x:c r="B165" s="50" t="str">
        <x:v>Candidate treatment group</x:v>
      </x:c>
      <x:c r="C165" s="52" t="str">
        <x:f>IF('Deal_Master_Wide'!$AU$26="","",'Deal_Master_Wide'!$AU$26)</x:f>
        <x:v>Not reviewed</x:v>
      </x:c>
      <x:c r="D165" s="52" t="str">
        <x:f>IF('Deal_Master_Wide'!$AV$26="","",'Deal_Master_Wide'!$AV$26)</x:f>
        <x:v>Not assessed</x:v>
      </x:c>
      <x:c r="E165" s="50" t="n">
        <x:v>1</x:v>
      </x:c>
      <x:c r="F165" s="52" t="str">
        <x:f>IF(OR($C165="High-confidence innovation-driven",$C165="Medium-confidence innovation-driven"),1,IF($C165="Clear alternative-rationale",0,""))</x:f>
      </x:c>
      <x:c r="G165" s="52" t="str">
        <x:f>IF('Deal_Master_Wide'!$M$26="","",'Deal_Master_Wide'!$M$26)</x:f>
        <x:v>Review</x:v>
      </x:c>
      <x:c r="H165" s="50" t="str">
        <x:v>Vectura Group Limited</x:v>
      </x:c>
      <x:c r="I165" s="50" t="str">
        <x:v>Skyepharma PLC</x:v>
      </x:c>
      <x:c r="J165" s="50" t="n">
        <x:v>2016</x:v>
      </x:c>
      <x:c r="K165" s="50" t="n">
        <x:v>-1</x:v>
      </x:c>
      <x:c r="L165" s="50" t="n">
        <x:v>2015</x:v>
      </x:c>
      <x:c r="M165" s="50" t="n">
        <x:v>0</x:v>
      </x:c>
      <x:c r="N165" s="50" t="n">
        <x:v>0</x:v>
      </x:c>
      <x:c r="O165" s="52" t="str">
        <x:f>IF($F165="","",$F165*$M165)</x:f>
      </x:c>
      <x:c r="P165" s="54" t="str">
        <x:f>IF(ISBLANK('Deal_Master_Wide'!$BR$26),"",'Deal_Master_Wide'!$BR$26)</x:f>
      </x:c>
      <x:c r="Q165" s="54" t="str">
        <x:f>IF(ISBLANK('Deal_Master_Wide'!$BY$26),"",'Deal_Master_Wide'!$BY$26)</x:f>
      </x:c>
      <x:c r="R165" s="54" t="str">
        <x:f>IF(ISBLANK('Deal_Master_Wide'!$CF$26),"",'Deal_Master_Wide'!$CF$26)</x:f>
      </x:c>
      <x:c r="S165" s="54" t="str">
        <x:f>IF(ISBLANK('Deal_Master_Wide'!$CM$26),"",'Deal_Master_Wide'!$CM$26)</x:f>
      </x:c>
      <x:c r="T165" s="54" t="str">
        <x:f>IF(ISBLANK('Deal_Master_Wide'!$CT$26),"",'Deal_Master_Wide'!$CT$26)</x:f>
      </x:c>
      <x:c r="U165" s="54" t="str">
        <x:f>IF(ISBLANK('Deal_Master_Wide'!$DA$26),"",'Deal_Master_Wide'!$DA$26)</x:f>
      </x:c>
      <x:c r="V165" s="56" t="str">
        <x:f>IF(ISBLANK('Deal_Master_Wide'!$DH$26),"",'Deal_Master_Wide'!$DH$26)</x:f>
      </x:c>
      <x:c r="W165" s="56" t="str">
        <x:f>IF(ISBLANK('Deal_Master_Wide'!$DO$26),"",'Deal_Master_Wide'!$DO$26)</x:f>
      </x:c>
      <x:c r="X165" s="56" t="str">
        <x:f>IF(ISBLANK('Deal_Master_Wide'!$DV$26),"",'Deal_Master_Wide'!$DV$26)</x:f>
      </x:c>
      <x:c r="Y165" s="54" t="str">
        <x:f>IF(ISBLANK('Deal_Master_Wide'!$EC$26),"",'Deal_Master_Wide'!$EC$26)</x:f>
      </x:c>
      <x:c r="Z165" s="54" t="str">
        <x:f>IF(ISBLANK('Deal_Master_Wide'!$EJ$26),"",'Deal_Master_Wide'!$EJ$26)</x:f>
      </x:c>
      <x:c r="AA165" s="52" t="str">
        <x:f>IF(ISBLANK('Deal_Master_Wide'!$AL$26),"",'Deal_Master_Wide'!$AL$26)</x:f>
        <x:v>Unknown</x:v>
      </x:c>
      <x:c r="AB165" s="54" t="n">
        <x:f>IF(ISBLANK('Deal_Master_Wide'!$AF$26),"",'Deal_Master_Wide'!$AF$26)</x:f>
        <x:v>627</x:v>
      </x:c>
      <x:c r="AC165" s="52" t="str">
        <x:f>IF(COUNT($P165,$Q165,$R165,$S165,$T165,$U165,$V165,$W165,$X165)=9,"Yes","No")</x:f>
        <x:v>No</x:v>
      </x:c>
      <x:c r="AD165" s="52" t="str">
        <x:f>IF(COUNT($Y165,$Z165)=2,"Yes","No")</x:f>
        <x:v>No</x:v>
      </x:c>
      <x:c r="AE165" s="50" t="str"/>
      <x:c r="AF165" t="str"/>
    </x:row>
    <x:row r="166" ht="20" customHeight="1">
      <x:c r="A166" s="50" t="str">
        <x:v>TRT-0024</x:v>
      </x:c>
      <x:c r="B166" s="50" t="str">
        <x:v>Candidate treatment group</x:v>
      </x:c>
      <x:c r="C166" s="52" t="str">
        <x:f>IF('Deal_Master_Wide'!$AU$26="","",'Deal_Master_Wide'!$AU$26)</x:f>
        <x:v>Not reviewed</x:v>
      </x:c>
      <x:c r="D166" s="52" t="str">
        <x:f>IF('Deal_Master_Wide'!$AV$26="","",'Deal_Master_Wide'!$AV$26)</x:f>
        <x:v>Not assessed</x:v>
      </x:c>
      <x:c r="E166" s="50" t="n">
        <x:v>1</x:v>
      </x:c>
      <x:c r="F166" s="52" t="str">
        <x:f>IF(OR($C166="High-confidence innovation-driven",$C166="Medium-confidence innovation-driven"),1,IF($C166="Clear alternative-rationale",0,""))</x:f>
      </x:c>
      <x:c r="G166" s="52" t="str">
        <x:f>IF('Deal_Master_Wide'!$M$26="","",'Deal_Master_Wide'!$M$26)</x:f>
        <x:v>Review</x:v>
      </x:c>
      <x:c r="H166" s="50" t="str">
        <x:v>Vectura Group Limited</x:v>
      </x:c>
      <x:c r="I166" s="50" t="str">
        <x:v>Skyepharma PLC</x:v>
      </x:c>
      <x:c r="J166" s="50" t="n">
        <x:v>2016</x:v>
      </x:c>
      <x:c r="K166" s="50" t="n">
        <x:v>0</x:v>
      </x:c>
      <x:c r="L166" s="50" t="n">
        <x:v>2016</x:v>
      </x:c>
      <x:c r="M166" s="50" t="n">
        <x:v>0</x:v>
      </x:c>
      <x:c r="N166" s="50" t="n">
        <x:v>1</x:v>
      </x:c>
      <x:c r="O166" s="52" t="str">
        <x:f>IF($F166="","",$F166*$M166)</x:f>
      </x:c>
      <x:c r="P166" s="54" t="str">
        <x:f>IF(ISBLANK('Deal_Master_Wide'!$BS$26),"",'Deal_Master_Wide'!$BS$26)</x:f>
      </x:c>
      <x:c r="Q166" s="54" t="str">
        <x:f>IF(ISBLANK('Deal_Master_Wide'!$BZ$26),"",'Deal_Master_Wide'!$BZ$26)</x:f>
      </x:c>
      <x:c r="R166" s="54" t="str">
        <x:f>IF(ISBLANK('Deal_Master_Wide'!$CG$26),"",'Deal_Master_Wide'!$CG$26)</x:f>
      </x:c>
      <x:c r="S166" s="54" t="str">
        <x:f>IF(ISBLANK('Deal_Master_Wide'!$CN$26),"",'Deal_Master_Wide'!$CN$26)</x:f>
      </x:c>
      <x:c r="T166" s="54" t="str">
        <x:f>IF(ISBLANK('Deal_Master_Wide'!$CU$26),"",'Deal_Master_Wide'!$CU$26)</x:f>
      </x:c>
      <x:c r="U166" s="54" t="str">
        <x:f>IF(ISBLANK('Deal_Master_Wide'!$DB$26),"",'Deal_Master_Wide'!$DB$26)</x:f>
      </x:c>
      <x:c r="V166" s="56" t="str">
        <x:f>IF(ISBLANK('Deal_Master_Wide'!$DI$26),"",'Deal_Master_Wide'!$DI$26)</x:f>
      </x:c>
      <x:c r="W166" s="56" t="str">
        <x:f>IF(ISBLANK('Deal_Master_Wide'!$DP$26),"",'Deal_Master_Wide'!$DP$26)</x:f>
      </x:c>
      <x:c r="X166" s="56" t="str">
        <x:f>IF(ISBLANK('Deal_Master_Wide'!$DW$26),"",'Deal_Master_Wide'!$DW$26)</x:f>
      </x:c>
      <x:c r="Y166" s="54" t="str">
        <x:f>IF(ISBLANK('Deal_Master_Wide'!$ED$26),"",'Deal_Master_Wide'!$ED$26)</x:f>
      </x:c>
      <x:c r="Z166" s="54" t="str">
        <x:f>IF(ISBLANK('Deal_Master_Wide'!$EK$26),"",'Deal_Master_Wide'!$EK$26)</x:f>
      </x:c>
      <x:c r="AA166" s="52" t="str">
        <x:f>IF(ISBLANK('Deal_Master_Wide'!$AL$26),"",'Deal_Master_Wide'!$AL$26)</x:f>
        <x:v>Unknown</x:v>
      </x:c>
      <x:c r="AB166" s="54" t="n">
        <x:f>IF(ISBLANK('Deal_Master_Wide'!$AF$26),"",'Deal_Master_Wide'!$AF$26)</x:f>
        <x:v>627</x:v>
      </x:c>
      <x:c r="AC166" s="52" t="str">
        <x:f>IF(COUNT($P166,$Q166,$R166,$S166,$T166,$U166,$V166,$W166,$X166)=9,"Yes","No")</x:f>
        <x:v>No</x:v>
      </x:c>
      <x:c r="AD166" s="52" t="str">
        <x:f>IF(COUNT($Y166,$Z166)=2,"Yes","No")</x:f>
        <x:v>No</x:v>
      </x:c>
      <x:c r="AE166" s="50" t="str"/>
      <x:c r="AF166" t="str"/>
    </x:row>
    <x:row r="167" ht="20" customHeight="1">
      <x:c r="A167" s="50" t="str">
        <x:v>TRT-0024</x:v>
      </x:c>
      <x:c r="B167" s="50" t="str">
        <x:v>Candidate treatment group</x:v>
      </x:c>
      <x:c r="C167" s="52" t="str">
        <x:f>IF('Deal_Master_Wide'!$AU$26="","",'Deal_Master_Wide'!$AU$26)</x:f>
        <x:v>Not reviewed</x:v>
      </x:c>
      <x:c r="D167" s="52" t="str">
        <x:f>IF('Deal_Master_Wide'!$AV$26="","",'Deal_Master_Wide'!$AV$26)</x:f>
        <x:v>Not assessed</x:v>
      </x:c>
      <x:c r="E167" s="50" t="n">
        <x:v>1</x:v>
      </x:c>
      <x:c r="F167" s="52" t="str">
        <x:f>IF(OR($C167="High-confidence innovation-driven",$C167="Medium-confidence innovation-driven"),1,IF($C167="Clear alternative-rationale",0,""))</x:f>
      </x:c>
      <x:c r="G167" s="52" t="str">
        <x:f>IF('Deal_Master_Wide'!$M$26="","",'Deal_Master_Wide'!$M$26)</x:f>
        <x:v>Review</x:v>
      </x:c>
      <x:c r="H167" s="50" t="str">
        <x:v>Vectura Group Limited</x:v>
      </x:c>
      <x:c r="I167" s="50" t="str">
        <x:v>Skyepharma PLC</x:v>
      </x:c>
      <x:c r="J167" s="50" t="n">
        <x:v>2016</x:v>
      </x:c>
      <x:c r="K167" s="50" t="n">
        <x:v>1</x:v>
      </x:c>
      <x:c r="L167" s="50" t="n">
        <x:v>2017</x:v>
      </x:c>
      <x:c r="M167" s="50" t="n">
        <x:v>1</x:v>
      </x:c>
      <x:c r="N167" s="50" t="n">
        <x:v>1</x:v>
      </x:c>
      <x:c r="O167" s="52" t="str">
        <x:f>IF($F167="","",$F167*$M167)</x:f>
      </x:c>
      <x:c r="P167" s="54" t="str">
        <x:f>IF(ISBLANK('Deal_Master_Wide'!$BT$26),"",'Deal_Master_Wide'!$BT$26)</x:f>
      </x:c>
      <x:c r="Q167" s="54" t="str">
        <x:f>IF(ISBLANK('Deal_Master_Wide'!$CA$26),"",'Deal_Master_Wide'!$CA$26)</x:f>
      </x:c>
      <x:c r="R167" s="54" t="str">
        <x:f>IF(ISBLANK('Deal_Master_Wide'!$CH$26),"",'Deal_Master_Wide'!$CH$26)</x:f>
      </x:c>
      <x:c r="S167" s="54" t="str">
        <x:f>IF(ISBLANK('Deal_Master_Wide'!$CO$26),"",'Deal_Master_Wide'!$CO$26)</x:f>
      </x:c>
      <x:c r="T167" s="54" t="str">
        <x:f>IF(ISBLANK('Deal_Master_Wide'!$CV$26),"",'Deal_Master_Wide'!$CV$26)</x:f>
      </x:c>
      <x:c r="U167" s="54" t="str">
        <x:f>IF(ISBLANK('Deal_Master_Wide'!$DC$26),"",'Deal_Master_Wide'!$DC$26)</x:f>
      </x:c>
      <x:c r="V167" s="56" t="str">
        <x:f>IF(ISBLANK('Deal_Master_Wide'!$DJ$26),"",'Deal_Master_Wide'!$DJ$26)</x:f>
      </x:c>
      <x:c r="W167" s="56" t="str">
        <x:f>IF(ISBLANK('Deal_Master_Wide'!$DQ$26),"",'Deal_Master_Wide'!$DQ$26)</x:f>
      </x:c>
      <x:c r="X167" s="56" t="str">
        <x:f>IF(ISBLANK('Deal_Master_Wide'!$DX$26),"",'Deal_Master_Wide'!$DX$26)</x:f>
      </x:c>
      <x:c r="Y167" s="54" t="str">
        <x:f>IF(ISBLANK('Deal_Master_Wide'!$EE$26),"",'Deal_Master_Wide'!$EE$26)</x:f>
      </x:c>
      <x:c r="Z167" s="54" t="str">
        <x:f>IF(ISBLANK('Deal_Master_Wide'!$EL$26),"",'Deal_Master_Wide'!$EL$26)</x:f>
      </x:c>
      <x:c r="AA167" s="52" t="str">
        <x:f>IF(ISBLANK('Deal_Master_Wide'!$AL$26),"",'Deal_Master_Wide'!$AL$26)</x:f>
        <x:v>Unknown</x:v>
      </x:c>
      <x:c r="AB167" s="54" t="n">
        <x:f>IF(ISBLANK('Deal_Master_Wide'!$AF$26),"",'Deal_Master_Wide'!$AF$26)</x:f>
        <x:v>627</x:v>
      </x:c>
      <x:c r="AC167" s="52" t="str">
        <x:f>IF(COUNT($P167,$Q167,$R167,$S167,$T167,$U167,$V167,$W167,$X167)=9,"Yes","No")</x:f>
        <x:v>No</x:v>
      </x:c>
      <x:c r="AD167" s="52" t="str">
        <x:f>IF(COUNT($Y167,$Z167)=2,"Yes","No")</x:f>
        <x:v>No</x:v>
      </x:c>
      <x:c r="AE167" s="50" t="str"/>
      <x:c r="AF167" t="str"/>
    </x:row>
    <x:row r="168" ht="20" customHeight="1">
      <x:c r="A168" s="50" t="str">
        <x:v>TRT-0024</x:v>
      </x:c>
      <x:c r="B168" s="50" t="str">
        <x:v>Candidate treatment group</x:v>
      </x:c>
      <x:c r="C168" s="52" t="str">
        <x:f>IF('Deal_Master_Wide'!$AU$26="","",'Deal_Master_Wide'!$AU$26)</x:f>
        <x:v>Not reviewed</x:v>
      </x:c>
      <x:c r="D168" s="52" t="str">
        <x:f>IF('Deal_Master_Wide'!$AV$26="","",'Deal_Master_Wide'!$AV$26)</x:f>
        <x:v>Not assessed</x:v>
      </x:c>
      <x:c r="E168" s="50" t="n">
        <x:v>1</x:v>
      </x:c>
      <x:c r="F168" s="52" t="str">
        <x:f>IF(OR($C168="High-confidence innovation-driven",$C168="Medium-confidence innovation-driven"),1,IF($C168="Clear alternative-rationale",0,""))</x:f>
      </x:c>
      <x:c r="G168" s="52" t="str">
        <x:f>IF('Deal_Master_Wide'!$M$26="","",'Deal_Master_Wide'!$M$26)</x:f>
        <x:v>Review</x:v>
      </x:c>
      <x:c r="H168" s="50" t="str">
        <x:v>Vectura Group Limited</x:v>
      </x:c>
      <x:c r="I168" s="50" t="str">
        <x:v>Skyepharma PLC</x:v>
      </x:c>
      <x:c r="J168" s="50" t="n">
        <x:v>2016</x:v>
      </x:c>
      <x:c r="K168" s="50" t="n">
        <x:v>2</x:v>
      </x:c>
      <x:c r="L168" s="50" t="n">
        <x:v>2018</x:v>
      </x:c>
      <x:c r="M168" s="50" t="n">
        <x:v>1</x:v>
      </x:c>
      <x:c r="N168" s="50" t="n">
        <x:v>1</x:v>
      </x:c>
      <x:c r="O168" s="52" t="str">
        <x:f>IF($F168="","",$F168*$M168)</x:f>
      </x:c>
      <x:c r="P168" s="54" t="str">
        <x:f>IF(ISBLANK('Deal_Master_Wide'!$BU$26),"",'Deal_Master_Wide'!$BU$26)</x:f>
      </x:c>
      <x:c r="Q168" s="54" t="str">
        <x:f>IF(ISBLANK('Deal_Master_Wide'!$CB$26),"",'Deal_Master_Wide'!$CB$26)</x:f>
      </x:c>
      <x:c r="R168" s="54" t="str">
        <x:f>IF(ISBLANK('Deal_Master_Wide'!$CI$26),"",'Deal_Master_Wide'!$CI$26)</x:f>
      </x:c>
      <x:c r="S168" s="54" t="str">
        <x:f>IF(ISBLANK('Deal_Master_Wide'!$CP$26),"",'Deal_Master_Wide'!$CP$26)</x:f>
      </x:c>
      <x:c r="T168" s="54" t="str">
        <x:f>IF(ISBLANK('Deal_Master_Wide'!$CW$26),"",'Deal_Master_Wide'!$CW$26)</x:f>
      </x:c>
      <x:c r="U168" s="54" t="str">
        <x:f>IF(ISBLANK('Deal_Master_Wide'!$DD$26),"",'Deal_Master_Wide'!$DD$26)</x:f>
      </x:c>
      <x:c r="V168" s="56" t="str">
        <x:f>IF(ISBLANK('Deal_Master_Wide'!$DK$26),"",'Deal_Master_Wide'!$DK$26)</x:f>
      </x:c>
      <x:c r="W168" s="56" t="str">
        <x:f>IF(ISBLANK('Deal_Master_Wide'!$DR$26),"",'Deal_Master_Wide'!$DR$26)</x:f>
      </x:c>
      <x:c r="X168" s="56" t="str">
        <x:f>IF(ISBLANK('Deal_Master_Wide'!$DY$26),"",'Deal_Master_Wide'!$DY$26)</x:f>
      </x:c>
      <x:c r="Y168" s="54" t="str">
        <x:f>IF(ISBLANK('Deal_Master_Wide'!$EF$26),"",'Deal_Master_Wide'!$EF$26)</x:f>
      </x:c>
      <x:c r="Z168" s="54" t="str">
        <x:f>IF(ISBLANK('Deal_Master_Wide'!$EM$26),"",'Deal_Master_Wide'!$EM$26)</x:f>
      </x:c>
      <x:c r="AA168" s="52" t="str">
        <x:f>IF(ISBLANK('Deal_Master_Wide'!$AL$26),"",'Deal_Master_Wide'!$AL$26)</x:f>
        <x:v>Unknown</x:v>
      </x:c>
      <x:c r="AB168" s="54" t="n">
        <x:f>IF(ISBLANK('Deal_Master_Wide'!$AF$26),"",'Deal_Master_Wide'!$AF$26)</x:f>
        <x:v>627</x:v>
      </x:c>
      <x:c r="AC168" s="52" t="str">
        <x:f>IF(COUNT($P168,$Q168,$R168,$S168,$T168,$U168,$V168,$W168,$X168)=9,"Yes","No")</x:f>
        <x:v>No</x:v>
      </x:c>
      <x:c r="AD168" s="52" t="str">
        <x:f>IF(COUNT($Y168,$Z168)=2,"Yes","No")</x:f>
        <x:v>No</x:v>
      </x:c>
      <x:c r="AE168" s="50" t="str"/>
      <x:c r="AF168" t="str"/>
    </x:row>
    <x:row r="169" ht="20" customHeight="1">
      <x:c r="A169" s="50" t="str">
        <x:v>TRT-0024</x:v>
      </x:c>
      <x:c r="B169" s="50" t="str">
        <x:v>Candidate treatment group</x:v>
      </x:c>
      <x:c r="C169" s="52" t="str">
        <x:f>IF('Deal_Master_Wide'!$AU$26="","",'Deal_Master_Wide'!$AU$26)</x:f>
        <x:v>Not reviewed</x:v>
      </x:c>
      <x:c r="D169" s="52" t="str">
        <x:f>IF('Deal_Master_Wide'!$AV$26="","",'Deal_Master_Wide'!$AV$26)</x:f>
        <x:v>Not assessed</x:v>
      </x:c>
      <x:c r="E169" s="50" t="n">
        <x:v>1</x:v>
      </x:c>
      <x:c r="F169" s="52" t="str">
        <x:f>IF(OR($C169="High-confidence innovation-driven",$C169="Medium-confidence innovation-driven"),1,IF($C169="Clear alternative-rationale",0,""))</x:f>
      </x:c>
      <x:c r="G169" s="52" t="str">
        <x:f>IF('Deal_Master_Wide'!$M$26="","",'Deal_Master_Wide'!$M$26)</x:f>
        <x:v>Review</x:v>
      </x:c>
      <x:c r="H169" s="50" t="str">
        <x:v>Vectura Group Limited</x:v>
      </x:c>
      <x:c r="I169" s="50" t="str">
        <x:v>Skyepharma PLC</x:v>
      </x:c>
      <x:c r="J169" s="50" t="n">
        <x:v>2016</x:v>
      </x:c>
      <x:c r="K169" s="50" t="n">
        <x:v>3</x:v>
      </x:c>
      <x:c r="L169" s="50" t="n">
        <x:v>2019</x:v>
      </x:c>
      <x:c r="M169" s="50" t="n">
        <x:v>1</x:v>
      </x:c>
      <x:c r="N169" s="50" t="n">
        <x:v>1</x:v>
      </x:c>
      <x:c r="O169" s="52" t="str">
        <x:f>IF($F169="","",$F169*$M169)</x:f>
      </x:c>
      <x:c r="P169" s="54" t="str">
        <x:f>IF(ISBLANK('Deal_Master_Wide'!$BV$26),"",'Deal_Master_Wide'!$BV$26)</x:f>
      </x:c>
      <x:c r="Q169" s="54" t="str">
        <x:f>IF(ISBLANK('Deal_Master_Wide'!$CC$26),"",'Deal_Master_Wide'!$CC$26)</x:f>
      </x:c>
      <x:c r="R169" s="54" t="str">
        <x:f>IF(ISBLANK('Deal_Master_Wide'!$CJ$26),"",'Deal_Master_Wide'!$CJ$26)</x:f>
      </x:c>
      <x:c r="S169" s="54" t="str">
        <x:f>IF(ISBLANK('Deal_Master_Wide'!$CQ$26),"",'Deal_Master_Wide'!$CQ$26)</x:f>
      </x:c>
      <x:c r="T169" s="54" t="str">
        <x:f>IF(ISBLANK('Deal_Master_Wide'!$CX$26),"",'Deal_Master_Wide'!$CX$26)</x:f>
      </x:c>
      <x:c r="U169" s="54" t="str">
        <x:f>IF(ISBLANK('Deal_Master_Wide'!$DE$26),"",'Deal_Master_Wide'!$DE$26)</x:f>
      </x:c>
      <x:c r="V169" s="56" t="str">
        <x:f>IF(ISBLANK('Deal_Master_Wide'!$DL$26),"",'Deal_Master_Wide'!$DL$26)</x:f>
      </x:c>
      <x:c r="W169" s="56" t="str">
        <x:f>IF(ISBLANK('Deal_Master_Wide'!$DS$26),"",'Deal_Master_Wide'!$DS$26)</x:f>
      </x:c>
      <x:c r="X169" s="56" t="str">
        <x:f>IF(ISBLANK('Deal_Master_Wide'!$DZ$26),"",'Deal_Master_Wide'!$DZ$26)</x:f>
      </x:c>
      <x:c r="Y169" s="54" t="str">
        <x:f>IF(ISBLANK('Deal_Master_Wide'!$EG$26),"",'Deal_Master_Wide'!$EG$26)</x:f>
      </x:c>
      <x:c r="Z169" s="54" t="str">
        <x:f>IF(ISBLANK('Deal_Master_Wide'!$EN$26),"",'Deal_Master_Wide'!$EN$26)</x:f>
      </x:c>
      <x:c r="AA169" s="52" t="str">
        <x:f>IF(ISBLANK('Deal_Master_Wide'!$AL$26),"",'Deal_Master_Wide'!$AL$26)</x:f>
        <x:v>Unknown</x:v>
      </x:c>
      <x:c r="AB169" s="54" t="n">
        <x:f>IF(ISBLANK('Deal_Master_Wide'!$AF$26),"",'Deal_Master_Wide'!$AF$26)</x:f>
        <x:v>627</x:v>
      </x:c>
      <x:c r="AC169" s="52" t="str">
        <x:f>IF(COUNT($P169,$Q169,$R169,$S169,$T169,$U169,$V169,$W169,$X169)=9,"Yes","No")</x:f>
        <x:v>No</x:v>
      </x:c>
      <x:c r="AD169" s="52" t="str">
        <x:f>IF(COUNT($Y169,$Z169)=2,"Yes","No")</x:f>
        <x:v>No</x:v>
      </x:c>
      <x:c r="AE169" s="50" t="str"/>
      <x:c r="AF169" t="str"/>
    </x:row>
    <x:row r="170" ht="20" customHeight="1">
      <x:c r="A170" s="50" t="str">
        <x:v>TRT-0025</x:v>
      </x:c>
      <x:c r="B170" s="50" t="str">
        <x:v>Candidate treatment group</x:v>
      </x:c>
      <x:c r="C170" s="52" t="str">
        <x:f>IF('Deal_Master_Wide'!$AU$27="","",'Deal_Master_Wide'!$AU$27)</x:f>
        <x:v>Not reviewed</x:v>
      </x:c>
      <x:c r="D170" s="52" t="str">
        <x:f>IF('Deal_Master_Wide'!$AV$27="","",'Deal_Master_Wide'!$AV$27)</x:f>
        <x:v>Not assessed</x:v>
      </x:c>
      <x:c r="E170" s="50" t="n">
        <x:v>1</x:v>
      </x:c>
      <x:c r="F170" s="52" t="str">
        <x:f>IF(OR($C170="High-confidence innovation-driven",$C170="Medium-confidence innovation-driven"),1,IF($C170="Clear alternative-rationale",0,""))</x:f>
      </x:c>
      <x:c r="G170" s="52" t="str">
        <x:f>IF('Deal_Master_Wide'!$M$27="","",'Deal_Master_Wide'!$M$27)</x:f>
        <x:v>Review</x:v>
      </x:c>
      <x:c r="H170" s="50" t="str">
        <x:v>Vectura Group Ltd</x:v>
      </x:c>
      <x:c r="I170" s="50" t="str">
        <x:v>SkyePharma Ltd; Vectura Group Ltd</x:v>
      </x:c>
      <x:c r="J170" s="50" t="n">
        <x:v>2016</x:v>
      </x:c>
      <x:c r="K170" s="50" t="n">
        <x:v>-3</x:v>
      </x:c>
      <x:c r="L170" s="50" t="n">
        <x:v>2013</x:v>
      </x:c>
      <x:c r="M170" s="50" t="n">
        <x:v>0</x:v>
      </x:c>
      <x:c r="N170" s="50" t="n">
        <x:v>0</x:v>
      </x:c>
      <x:c r="O170" s="52" t="str">
        <x:f>IF($F170="","",$F170*$M170)</x:f>
      </x:c>
      <x:c r="P170" s="54" t="str">
        <x:f>IF(ISBLANK('Deal_Master_Wide'!$BP$27),"",'Deal_Master_Wide'!$BP$27)</x:f>
      </x:c>
      <x:c r="Q170" s="54" t="str">
        <x:f>IF(ISBLANK('Deal_Master_Wide'!$BW$27),"",'Deal_Master_Wide'!$BW$27)</x:f>
      </x:c>
      <x:c r="R170" s="54" t="str">
        <x:f>IF(ISBLANK('Deal_Master_Wide'!$CD$27),"",'Deal_Master_Wide'!$CD$27)</x:f>
      </x:c>
      <x:c r="S170" s="54" t="str">
        <x:f>IF(ISBLANK('Deal_Master_Wide'!$CK$27),"",'Deal_Master_Wide'!$CK$27)</x:f>
      </x:c>
      <x:c r="T170" s="54" t="str">
        <x:f>IF(ISBLANK('Deal_Master_Wide'!$CR$27),"",'Deal_Master_Wide'!$CR$27)</x:f>
      </x:c>
      <x:c r="U170" s="54" t="str">
        <x:f>IF(ISBLANK('Deal_Master_Wide'!$CY$27),"",'Deal_Master_Wide'!$CY$27)</x:f>
      </x:c>
      <x:c r="V170" s="56" t="str">
        <x:f>IF(ISBLANK('Deal_Master_Wide'!$DF$27),"",'Deal_Master_Wide'!$DF$27)</x:f>
      </x:c>
      <x:c r="W170" s="56" t="str">
        <x:f>IF(ISBLANK('Deal_Master_Wide'!$DM$27),"",'Deal_Master_Wide'!$DM$27)</x:f>
      </x:c>
      <x:c r="X170" s="56" t="str">
        <x:f>IF(ISBLANK('Deal_Master_Wide'!$DT$27),"",'Deal_Master_Wide'!$DT$27)</x:f>
      </x:c>
      <x:c r="Y170" s="54" t="str">
        <x:f>IF(ISBLANK('Deal_Master_Wide'!$EA$27),"",'Deal_Master_Wide'!$EA$27)</x:f>
      </x:c>
      <x:c r="Z170" s="54" t="str">
        <x:f>IF(ISBLANK('Deal_Master_Wide'!$EH$27),"",'Deal_Master_Wide'!$EH$27)</x:f>
      </x:c>
      <x:c r="AA170" s="52" t="str">
        <x:f>IF(ISBLANK('Deal_Master_Wide'!$AL$27),"",'Deal_Master_Wide'!$AL$27)</x:f>
        <x:v>Unknown</x:v>
      </x:c>
      <x:c r="AB170" s="54" t="n">
        <x:f>IF(ISBLANK('Deal_Master_Wide'!$AF$27),"",'Deal_Master_Wide'!$AF$27)</x:f>
        <x:v>627</x:v>
      </x:c>
      <x:c r="AC170" s="52" t="str">
        <x:f>IF(COUNT($P170,$Q170,$R170,$S170,$T170,$U170,$V170,$W170,$X170)=9,"Yes","No")</x:f>
        <x:v>No</x:v>
      </x:c>
      <x:c r="AD170" s="52" t="str">
        <x:f>IF(COUNT($Y170,$Z170)=2,"Yes","No")</x:f>
        <x:v>No</x:v>
      </x:c>
      <x:c r="AE170" s="50" t="str"/>
      <x:c r="AF170" t="str"/>
    </x:row>
    <x:row r="171" ht="20" customHeight="1">
      <x:c r="A171" s="50" t="str">
        <x:v>TRT-0025</x:v>
      </x:c>
      <x:c r="B171" s="50" t="str">
        <x:v>Candidate treatment group</x:v>
      </x:c>
      <x:c r="C171" s="52" t="str">
        <x:f>IF('Deal_Master_Wide'!$AU$27="","",'Deal_Master_Wide'!$AU$27)</x:f>
        <x:v>Not reviewed</x:v>
      </x:c>
      <x:c r="D171" s="52" t="str">
        <x:f>IF('Deal_Master_Wide'!$AV$27="","",'Deal_Master_Wide'!$AV$27)</x:f>
        <x:v>Not assessed</x:v>
      </x:c>
      <x:c r="E171" s="50" t="n">
        <x:v>1</x:v>
      </x:c>
      <x:c r="F171" s="52" t="str">
        <x:f>IF(OR($C171="High-confidence innovation-driven",$C171="Medium-confidence innovation-driven"),1,IF($C171="Clear alternative-rationale",0,""))</x:f>
      </x:c>
      <x:c r="G171" s="52" t="str">
        <x:f>IF('Deal_Master_Wide'!$M$27="","",'Deal_Master_Wide'!$M$27)</x:f>
        <x:v>Review</x:v>
      </x:c>
      <x:c r="H171" s="50" t="str">
        <x:v>Vectura Group Ltd</x:v>
      </x:c>
      <x:c r="I171" s="50" t="str">
        <x:v>SkyePharma Ltd; Vectura Group Ltd</x:v>
      </x:c>
      <x:c r="J171" s="50" t="n">
        <x:v>2016</x:v>
      </x:c>
      <x:c r="K171" s="50" t="n">
        <x:v>-2</x:v>
      </x:c>
      <x:c r="L171" s="50" t="n">
        <x:v>2014</x:v>
      </x:c>
      <x:c r="M171" s="50" t="n">
        <x:v>0</x:v>
      </x:c>
      <x:c r="N171" s="50" t="n">
        <x:v>0</x:v>
      </x:c>
      <x:c r="O171" s="52" t="str">
        <x:f>IF($F171="","",$F171*$M171)</x:f>
      </x:c>
      <x:c r="P171" s="54" t="str">
        <x:f>IF(ISBLANK('Deal_Master_Wide'!$BQ$27),"",'Deal_Master_Wide'!$BQ$27)</x:f>
      </x:c>
      <x:c r="Q171" s="54" t="str">
        <x:f>IF(ISBLANK('Deal_Master_Wide'!$BX$27),"",'Deal_Master_Wide'!$BX$27)</x:f>
      </x:c>
      <x:c r="R171" s="54" t="str">
        <x:f>IF(ISBLANK('Deal_Master_Wide'!$CE$27),"",'Deal_Master_Wide'!$CE$27)</x:f>
      </x:c>
      <x:c r="S171" s="54" t="str">
        <x:f>IF(ISBLANK('Deal_Master_Wide'!$CL$27),"",'Deal_Master_Wide'!$CL$27)</x:f>
      </x:c>
      <x:c r="T171" s="54" t="str">
        <x:f>IF(ISBLANK('Deal_Master_Wide'!$CS$27),"",'Deal_Master_Wide'!$CS$27)</x:f>
      </x:c>
      <x:c r="U171" s="54" t="str">
        <x:f>IF(ISBLANK('Deal_Master_Wide'!$CZ$27),"",'Deal_Master_Wide'!$CZ$27)</x:f>
      </x:c>
      <x:c r="V171" s="56" t="str">
        <x:f>IF(ISBLANK('Deal_Master_Wide'!$DG$27),"",'Deal_Master_Wide'!$DG$27)</x:f>
      </x:c>
      <x:c r="W171" s="56" t="str">
        <x:f>IF(ISBLANK('Deal_Master_Wide'!$DN$27),"",'Deal_Master_Wide'!$DN$27)</x:f>
      </x:c>
      <x:c r="X171" s="56" t="str">
        <x:f>IF(ISBLANK('Deal_Master_Wide'!$DU$27),"",'Deal_Master_Wide'!$DU$27)</x:f>
      </x:c>
      <x:c r="Y171" s="54" t="str">
        <x:f>IF(ISBLANK('Deal_Master_Wide'!$EB$27),"",'Deal_Master_Wide'!$EB$27)</x:f>
      </x:c>
      <x:c r="Z171" s="54" t="str">
        <x:f>IF(ISBLANK('Deal_Master_Wide'!$EI$27),"",'Deal_Master_Wide'!$EI$27)</x:f>
      </x:c>
      <x:c r="AA171" s="52" t="str">
        <x:f>IF(ISBLANK('Deal_Master_Wide'!$AL$27),"",'Deal_Master_Wide'!$AL$27)</x:f>
        <x:v>Unknown</x:v>
      </x:c>
      <x:c r="AB171" s="54" t="n">
        <x:f>IF(ISBLANK('Deal_Master_Wide'!$AF$27),"",'Deal_Master_Wide'!$AF$27)</x:f>
        <x:v>627</x:v>
      </x:c>
      <x:c r="AC171" s="52" t="str">
        <x:f>IF(COUNT($P171,$Q171,$R171,$S171,$T171,$U171,$V171,$W171,$X171)=9,"Yes","No")</x:f>
        <x:v>No</x:v>
      </x:c>
      <x:c r="AD171" s="52" t="str">
        <x:f>IF(COUNT($Y171,$Z171)=2,"Yes","No")</x:f>
        <x:v>No</x:v>
      </x:c>
      <x:c r="AE171" s="50" t="str"/>
      <x:c r="AF171" t="str"/>
    </x:row>
    <x:row r="172" ht="20" customHeight="1">
      <x:c r="A172" s="50" t="str">
        <x:v>TRT-0025</x:v>
      </x:c>
      <x:c r="B172" s="50" t="str">
        <x:v>Candidate treatment group</x:v>
      </x:c>
      <x:c r="C172" s="52" t="str">
        <x:f>IF('Deal_Master_Wide'!$AU$27="","",'Deal_Master_Wide'!$AU$27)</x:f>
        <x:v>Not reviewed</x:v>
      </x:c>
      <x:c r="D172" s="52" t="str">
        <x:f>IF('Deal_Master_Wide'!$AV$27="","",'Deal_Master_Wide'!$AV$27)</x:f>
        <x:v>Not assessed</x:v>
      </x:c>
      <x:c r="E172" s="50" t="n">
        <x:v>1</x:v>
      </x:c>
      <x:c r="F172" s="52" t="str">
        <x:f>IF(OR($C172="High-confidence innovation-driven",$C172="Medium-confidence innovation-driven"),1,IF($C172="Clear alternative-rationale",0,""))</x:f>
      </x:c>
      <x:c r="G172" s="52" t="str">
        <x:f>IF('Deal_Master_Wide'!$M$27="","",'Deal_Master_Wide'!$M$27)</x:f>
        <x:v>Review</x:v>
      </x:c>
      <x:c r="H172" s="50" t="str">
        <x:v>Vectura Group Ltd</x:v>
      </x:c>
      <x:c r="I172" s="50" t="str">
        <x:v>SkyePharma Ltd; Vectura Group Ltd</x:v>
      </x:c>
      <x:c r="J172" s="50" t="n">
        <x:v>2016</x:v>
      </x:c>
      <x:c r="K172" s="50" t="n">
        <x:v>-1</x:v>
      </x:c>
      <x:c r="L172" s="50" t="n">
        <x:v>2015</x:v>
      </x:c>
      <x:c r="M172" s="50" t="n">
        <x:v>0</x:v>
      </x:c>
      <x:c r="N172" s="50" t="n">
        <x:v>0</x:v>
      </x:c>
      <x:c r="O172" s="52" t="str">
        <x:f>IF($F172="","",$F172*$M172)</x:f>
      </x:c>
      <x:c r="P172" s="54" t="str">
        <x:f>IF(ISBLANK('Deal_Master_Wide'!$BR$27),"",'Deal_Master_Wide'!$BR$27)</x:f>
      </x:c>
      <x:c r="Q172" s="54" t="str">
        <x:f>IF(ISBLANK('Deal_Master_Wide'!$BY$27),"",'Deal_Master_Wide'!$BY$27)</x:f>
      </x:c>
      <x:c r="R172" s="54" t="str">
        <x:f>IF(ISBLANK('Deal_Master_Wide'!$CF$27),"",'Deal_Master_Wide'!$CF$27)</x:f>
      </x:c>
      <x:c r="S172" s="54" t="str">
        <x:f>IF(ISBLANK('Deal_Master_Wide'!$CM$27),"",'Deal_Master_Wide'!$CM$27)</x:f>
      </x:c>
      <x:c r="T172" s="54" t="str">
        <x:f>IF(ISBLANK('Deal_Master_Wide'!$CT$27),"",'Deal_Master_Wide'!$CT$27)</x:f>
      </x:c>
      <x:c r="U172" s="54" t="str">
        <x:f>IF(ISBLANK('Deal_Master_Wide'!$DA$27),"",'Deal_Master_Wide'!$DA$27)</x:f>
      </x:c>
      <x:c r="V172" s="56" t="str">
        <x:f>IF(ISBLANK('Deal_Master_Wide'!$DH$27),"",'Deal_Master_Wide'!$DH$27)</x:f>
      </x:c>
      <x:c r="W172" s="56" t="str">
        <x:f>IF(ISBLANK('Deal_Master_Wide'!$DO$27),"",'Deal_Master_Wide'!$DO$27)</x:f>
      </x:c>
      <x:c r="X172" s="56" t="str">
        <x:f>IF(ISBLANK('Deal_Master_Wide'!$DV$27),"",'Deal_Master_Wide'!$DV$27)</x:f>
      </x:c>
      <x:c r="Y172" s="54" t="str">
        <x:f>IF(ISBLANK('Deal_Master_Wide'!$EC$27),"",'Deal_Master_Wide'!$EC$27)</x:f>
      </x:c>
      <x:c r="Z172" s="54" t="str">
        <x:f>IF(ISBLANK('Deal_Master_Wide'!$EJ$27),"",'Deal_Master_Wide'!$EJ$27)</x:f>
      </x:c>
      <x:c r="AA172" s="52" t="str">
        <x:f>IF(ISBLANK('Deal_Master_Wide'!$AL$27),"",'Deal_Master_Wide'!$AL$27)</x:f>
        <x:v>Unknown</x:v>
      </x:c>
      <x:c r="AB172" s="54" t="n">
        <x:f>IF(ISBLANK('Deal_Master_Wide'!$AF$27),"",'Deal_Master_Wide'!$AF$27)</x:f>
        <x:v>627</x:v>
      </x:c>
      <x:c r="AC172" s="52" t="str">
        <x:f>IF(COUNT($P172,$Q172,$R172,$S172,$T172,$U172,$V172,$W172,$X172)=9,"Yes","No")</x:f>
        <x:v>No</x:v>
      </x:c>
      <x:c r="AD172" s="52" t="str">
        <x:f>IF(COUNT($Y172,$Z172)=2,"Yes","No")</x:f>
        <x:v>No</x:v>
      </x:c>
      <x:c r="AE172" s="50" t="str"/>
      <x:c r="AF172" t="str"/>
    </x:row>
    <x:row r="173" ht="20" customHeight="1">
      <x:c r="A173" s="50" t="str">
        <x:v>TRT-0025</x:v>
      </x:c>
      <x:c r="B173" s="50" t="str">
        <x:v>Candidate treatment group</x:v>
      </x:c>
      <x:c r="C173" s="52" t="str">
        <x:f>IF('Deal_Master_Wide'!$AU$27="","",'Deal_Master_Wide'!$AU$27)</x:f>
        <x:v>Not reviewed</x:v>
      </x:c>
      <x:c r="D173" s="52" t="str">
        <x:f>IF('Deal_Master_Wide'!$AV$27="","",'Deal_Master_Wide'!$AV$27)</x:f>
        <x:v>Not assessed</x:v>
      </x:c>
      <x:c r="E173" s="50" t="n">
        <x:v>1</x:v>
      </x:c>
      <x:c r="F173" s="52" t="str">
        <x:f>IF(OR($C173="High-confidence innovation-driven",$C173="Medium-confidence innovation-driven"),1,IF($C173="Clear alternative-rationale",0,""))</x:f>
      </x:c>
      <x:c r="G173" s="52" t="str">
        <x:f>IF('Deal_Master_Wide'!$M$27="","",'Deal_Master_Wide'!$M$27)</x:f>
        <x:v>Review</x:v>
      </x:c>
      <x:c r="H173" s="50" t="str">
        <x:v>Vectura Group Ltd</x:v>
      </x:c>
      <x:c r="I173" s="50" t="str">
        <x:v>SkyePharma Ltd; Vectura Group Ltd</x:v>
      </x:c>
      <x:c r="J173" s="50" t="n">
        <x:v>2016</x:v>
      </x:c>
      <x:c r="K173" s="50" t="n">
        <x:v>0</x:v>
      </x:c>
      <x:c r="L173" s="50" t="n">
        <x:v>2016</x:v>
      </x:c>
      <x:c r="M173" s="50" t="n">
        <x:v>0</x:v>
      </x:c>
      <x:c r="N173" s="50" t="n">
        <x:v>1</x:v>
      </x:c>
      <x:c r="O173" s="52" t="str">
        <x:f>IF($F173="","",$F173*$M173)</x:f>
      </x:c>
      <x:c r="P173" s="54" t="str">
        <x:f>IF(ISBLANK('Deal_Master_Wide'!$BS$27),"",'Deal_Master_Wide'!$BS$27)</x:f>
      </x:c>
      <x:c r="Q173" s="54" t="str">
        <x:f>IF(ISBLANK('Deal_Master_Wide'!$BZ$27),"",'Deal_Master_Wide'!$BZ$27)</x:f>
      </x:c>
      <x:c r="R173" s="54" t="str">
        <x:f>IF(ISBLANK('Deal_Master_Wide'!$CG$27),"",'Deal_Master_Wide'!$CG$27)</x:f>
      </x:c>
      <x:c r="S173" s="54" t="str">
        <x:f>IF(ISBLANK('Deal_Master_Wide'!$CN$27),"",'Deal_Master_Wide'!$CN$27)</x:f>
      </x:c>
      <x:c r="T173" s="54" t="str">
        <x:f>IF(ISBLANK('Deal_Master_Wide'!$CU$27),"",'Deal_Master_Wide'!$CU$27)</x:f>
      </x:c>
      <x:c r="U173" s="54" t="str">
        <x:f>IF(ISBLANK('Deal_Master_Wide'!$DB$27),"",'Deal_Master_Wide'!$DB$27)</x:f>
      </x:c>
      <x:c r="V173" s="56" t="str">
        <x:f>IF(ISBLANK('Deal_Master_Wide'!$DI$27),"",'Deal_Master_Wide'!$DI$27)</x:f>
      </x:c>
      <x:c r="W173" s="56" t="str">
        <x:f>IF(ISBLANK('Deal_Master_Wide'!$DP$27),"",'Deal_Master_Wide'!$DP$27)</x:f>
      </x:c>
      <x:c r="X173" s="56" t="str">
        <x:f>IF(ISBLANK('Deal_Master_Wide'!$DW$27),"",'Deal_Master_Wide'!$DW$27)</x:f>
      </x:c>
      <x:c r="Y173" s="54" t="str">
        <x:f>IF(ISBLANK('Deal_Master_Wide'!$ED$27),"",'Deal_Master_Wide'!$ED$27)</x:f>
      </x:c>
      <x:c r="Z173" s="54" t="str">
        <x:f>IF(ISBLANK('Deal_Master_Wide'!$EK$27),"",'Deal_Master_Wide'!$EK$27)</x:f>
      </x:c>
      <x:c r="AA173" s="52" t="str">
        <x:f>IF(ISBLANK('Deal_Master_Wide'!$AL$27),"",'Deal_Master_Wide'!$AL$27)</x:f>
        <x:v>Unknown</x:v>
      </x:c>
      <x:c r="AB173" s="54" t="n">
        <x:f>IF(ISBLANK('Deal_Master_Wide'!$AF$27),"",'Deal_Master_Wide'!$AF$27)</x:f>
        <x:v>627</x:v>
      </x:c>
      <x:c r="AC173" s="52" t="str">
        <x:f>IF(COUNT($P173,$Q173,$R173,$S173,$T173,$U173,$V173,$W173,$X173)=9,"Yes","No")</x:f>
        <x:v>No</x:v>
      </x:c>
      <x:c r="AD173" s="52" t="str">
        <x:f>IF(COUNT($Y173,$Z173)=2,"Yes","No")</x:f>
        <x:v>No</x:v>
      </x:c>
      <x:c r="AE173" s="50" t="str"/>
      <x:c r="AF173" t="str"/>
    </x:row>
    <x:row r="174" ht="20" customHeight="1">
      <x:c r="A174" s="50" t="str">
        <x:v>TRT-0025</x:v>
      </x:c>
      <x:c r="B174" s="50" t="str">
        <x:v>Candidate treatment group</x:v>
      </x:c>
      <x:c r="C174" s="52" t="str">
        <x:f>IF('Deal_Master_Wide'!$AU$27="","",'Deal_Master_Wide'!$AU$27)</x:f>
        <x:v>Not reviewed</x:v>
      </x:c>
      <x:c r="D174" s="52" t="str">
        <x:f>IF('Deal_Master_Wide'!$AV$27="","",'Deal_Master_Wide'!$AV$27)</x:f>
        <x:v>Not assessed</x:v>
      </x:c>
      <x:c r="E174" s="50" t="n">
        <x:v>1</x:v>
      </x:c>
      <x:c r="F174" s="52" t="str">
        <x:f>IF(OR($C174="High-confidence innovation-driven",$C174="Medium-confidence innovation-driven"),1,IF($C174="Clear alternative-rationale",0,""))</x:f>
      </x:c>
      <x:c r="G174" s="52" t="str">
        <x:f>IF('Deal_Master_Wide'!$M$27="","",'Deal_Master_Wide'!$M$27)</x:f>
        <x:v>Review</x:v>
      </x:c>
      <x:c r="H174" s="50" t="str">
        <x:v>Vectura Group Ltd</x:v>
      </x:c>
      <x:c r="I174" s="50" t="str">
        <x:v>SkyePharma Ltd; Vectura Group Ltd</x:v>
      </x:c>
      <x:c r="J174" s="50" t="n">
        <x:v>2016</x:v>
      </x:c>
      <x:c r="K174" s="50" t="n">
        <x:v>1</x:v>
      </x:c>
      <x:c r="L174" s="50" t="n">
        <x:v>2017</x:v>
      </x:c>
      <x:c r="M174" s="50" t="n">
        <x:v>1</x:v>
      </x:c>
      <x:c r="N174" s="50" t="n">
        <x:v>1</x:v>
      </x:c>
      <x:c r="O174" s="52" t="str">
        <x:f>IF($F174="","",$F174*$M174)</x:f>
      </x:c>
      <x:c r="P174" s="54" t="str">
        <x:f>IF(ISBLANK('Deal_Master_Wide'!$BT$27),"",'Deal_Master_Wide'!$BT$27)</x:f>
      </x:c>
      <x:c r="Q174" s="54" t="str">
        <x:f>IF(ISBLANK('Deal_Master_Wide'!$CA$27),"",'Deal_Master_Wide'!$CA$27)</x:f>
      </x:c>
      <x:c r="R174" s="54" t="str">
        <x:f>IF(ISBLANK('Deal_Master_Wide'!$CH$27),"",'Deal_Master_Wide'!$CH$27)</x:f>
      </x:c>
      <x:c r="S174" s="54" t="str">
        <x:f>IF(ISBLANK('Deal_Master_Wide'!$CO$27),"",'Deal_Master_Wide'!$CO$27)</x:f>
      </x:c>
      <x:c r="T174" s="54" t="str">
        <x:f>IF(ISBLANK('Deal_Master_Wide'!$CV$27),"",'Deal_Master_Wide'!$CV$27)</x:f>
      </x:c>
      <x:c r="U174" s="54" t="str">
        <x:f>IF(ISBLANK('Deal_Master_Wide'!$DC$27),"",'Deal_Master_Wide'!$DC$27)</x:f>
      </x:c>
      <x:c r="V174" s="56" t="str">
        <x:f>IF(ISBLANK('Deal_Master_Wide'!$DJ$27),"",'Deal_Master_Wide'!$DJ$27)</x:f>
      </x:c>
      <x:c r="W174" s="56" t="str">
        <x:f>IF(ISBLANK('Deal_Master_Wide'!$DQ$27),"",'Deal_Master_Wide'!$DQ$27)</x:f>
      </x:c>
      <x:c r="X174" s="56" t="str">
        <x:f>IF(ISBLANK('Deal_Master_Wide'!$DX$27),"",'Deal_Master_Wide'!$DX$27)</x:f>
      </x:c>
      <x:c r="Y174" s="54" t="str">
        <x:f>IF(ISBLANK('Deal_Master_Wide'!$EE$27),"",'Deal_Master_Wide'!$EE$27)</x:f>
      </x:c>
      <x:c r="Z174" s="54" t="str">
        <x:f>IF(ISBLANK('Deal_Master_Wide'!$EL$27),"",'Deal_Master_Wide'!$EL$27)</x:f>
      </x:c>
      <x:c r="AA174" s="52" t="str">
        <x:f>IF(ISBLANK('Deal_Master_Wide'!$AL$27),"",'Deal_Master_Wide'!$AL$27)</x:f>
        <x:v>Unknown</x:v>
      </x:c>
      <x:c r="AB174" s="54" t="n">
        <x:f>IF(ISBLANK('Deal_Master_Wide'!$AF$27),"",'Deal_Master_Wide'!$AF$27)</x:f>
        <x:v>627</x:v>
      </x:c>
      <x:c r="AC174" s="52" t="str">
        <x:f>IF(COUNT($P174,$Q174,$R174,$S174,$T174,$U174,$V174,$W174,$X174)=9,"Yes","No")</x:f>
        <x:v>No</x:v>
      </x:c>
      <x:c r="AD174" s="52" t="str">
        <x:f>IF(COUNT($Y174,$Z174)=2,"Yes","No")</x:f>
        <x:v>No</x:v>
      </x:c>
      <x:c r="AE174" s="50" t="str"/>
      <x:c r="AF174" t="str"/>
    </x:row>
    <x:row r="175" ht="20" customHeight="1">
      <x:c r="A175" s="50" t="str">
        <x:v>TRT-0025</x:v>
      </x:c>
      <x:c r="B175" s="50" t="str">
        <x:v>Candidate treatment group</x:v>
      </x:c>
      <x:c r="C175" s="52" t="str">
        <x:f>IF('Deal_Master_Wide'!$AU$27="","",'Deal_Master_Wide'!$AU$27)</x:f>
        <x:v>Not reviewed</x:v>
      </x:c>
      <x:c r="D175" s="52" t="str">
        <x:f>IF('Deal_Master_Wide'!$AV$27="","",'Deal_Master_Wide'!$AV$27)</x:f>
        <x:v>Not assessed</x:v>
      </x:c>
      <x:c r="E175" s="50" t="n">
        <x:v>1</x:v>
      </x:c>
      <x:c r="F175" s="52" t="str">
        <x:f>IF(OR($C175="High-confidence innovation-driven",$C175="Medium-confidence innovation-driven"),1,IF($C175="Clear alternative-rationale",0,""))</x:f>
      </x:c>
      <x:c r="G175" s="52" t="str">
        <x:f>IF('Deal_Master_Wide'!$M$27="","",'Deal_Master_Wide'!$M$27)</x:f>
        <x:v>Review</x:v>
      </x:c>
      <x:c r="H175" s="50" t="str">
        <x:v>Vectura Group Ltd</x:v>
      </x:c>
      <x:c r="I175" s="50" t="str">
        <x:v>SkyePharma Ltd; Vectura Group Ltd</x:v>
      </x:c>
      <x:c r="J175" s="50" t="n">
        <x:v>2016</x:v>
      </x:c>
      <x:c r="K175" s="50" t="n">
        <x:v>2</x:v>
      </x:c>
      <x:c r="L175" s="50" t="n">
        <x:v>2018</x:v>
      </x:c>
      <x:c r="M175" s="50" t="n">
        <x:v>1</x:v>
      </x:c>
      <x:c r="N175" s="50" t="n">
        <x:v>1</x:v>
      </x:c>
      <x:c r="O175" s="52" t="str">
        <x:f>IF($F175="","",$F175*$M175)</x:f>
      </x:c>
      <x:c r="P175" s="54" t="str">
        <x:f>IF(ISBLANK('Deal_Master_Wide'!$BU$27),"",'Deal_Master_Wide'!$BU$27)</x:f>
      </x:c>
      <x:c r="Q175" s="54" t="str">
        <x:f>IF(ISBLANK('Deal_Master_Wide'!$CB$27),"",'Deal_Master_Wide'!$CB$27)</x:f>
      </x:c>
      <x:c r="R175" s="54" t="str">
        <x:f>IF(ISBLANK('Deal_Master_Wide'!$CI$27),"",'Deal_Master_Wide'!$CI$27)</x:f>
      </x:c>
      <x:c r="S175" s="54" t="str">
        <x:f>IF(ISBLANK('Deal_Master_Wide'!$CP$27),"",'Deal_Master_Wide'!$CP$27)</x:f>
      </x:c>
      <x:c r="T175" s="54" t="str">
        <x:f>IF(ISBLANK('Deal_Master_Wide'!$CW$27),"",'Deal_Master_Wide'!$CW$27)</x:f>
      </x:c>
      <x:c r="U175" s="54" t="str">
        <x:f>IF(ISBLANK('Deal_Master_Wide'!$DD$27),"",'Deal_Master_Wide'!$DD$27)</x:f>
      </x:c>
      <x:c r="V175" s="56" t="str">
        <x:f>IF(ISBLANK('Deal_Master_Wide'!$DK$27),"",'Deal_Master_Wide'!$DK$27)</x:f>
      </x:c>
      <x:c r="W175" s="56" t="str">
        <x:f>IF(ISBLANK('Deal_Master_Wide'!$DR$27),"",'Deal_Master_Wide'!$DR$27)</x:f>
      </x:c>
      <x:c r="X175" s="56" t="str">
        <x:f>IF(ISBLANK('Deal_Master_Wide'!$DY$27),"",'Deal_Master_Wide'!$DY$27)</x:f>
      </x:c>
      <x:c r="Y175" s="54" t="str">
        <x:f>IF(ISBLANK('Deal_Master_Wide'!$EF$27),"",'Deal_Master_Wide'!$EF$27)</x:f>
      </x:c>
      <x:c r="Z175" s="54" t="str">
        <x:f>IF(ISBLANK('Deal_Master_Wide'!$EM$27),"",'Deal_Master_Wide'!$EM$27)</x:f>
      </x:c>
      <x:c r="AA175" s="52" t="str">
        <x:f>IF(ISBLANK('Deal_Master_Wide'!$AL$27),"",'Deal_Master_Wide'!$AL$27)</x:f>
        <x:v>Unknown</x:v>
      </x:c>
      <x:c r="AB175" s="54" t="n">
        <x:f>IF(ISBLANK('Deal_Master_Wide'!$AF$27),"",'Deal_Master_Wide'!$AF$27)</x:f>
        <x:v>627</x:v>
      </x:c>
      <x:c r="AC175" s="52" t="str">
        <x:f>IF(COUNT($P175,$Q175,$R175,$S175,$T175,$U175,$V175,$W175,$X175)=9,"Yes","No")</x:f>
        <x:v>No</x:v>
      </x:c>
      <x:c r="AD175" s="52" t="str">
        <x:f>IF(COUNT($Y175,$Z175)=2,"Yes","No")</x:f>
        <x:v>No</x:v>
      </x:c>
      <x:c r="AE175" s="50" t="str"/>
      <x:c r="AF175" t="str"/>
    </x:row>
    <x:row r="176" ht="20" customHeight="1">
      <x:c r="A176" s="50" t="str">
        <x:v>TRT-0025</x:v>
      </x:c>
      <x:c r="B176" s="50" t="str">
        <x:v>Candidate treatment group</x:v>
      </x:c>
      <x:c r="C176" s="52" t="str">
        <x:f>IF('Deal_Master_Wide'!$AU$27="","",'Deal_Master_Wide'!$AU$27)</x:f>
        <x:v>Not reviewed</x:v>
      </x:c>
      <x:c r="D176" s="52" t="str">
        <x:f>IF('Deal_Master_Wide'!$AV$27="","",'Deal_Master_Wide'!$AV$27)</x:f>
        <x:v>Not assessed</x:v>
      </x:c>
      <x:c r="E176" s="50" t="n">
        <x:v>1</x:v>
      </x:c>
      <x:c r="F176" s="52" t="str">
        <x:f>IF(OR($C176="High-confidence innovation-driven",$C176="Medium-confidence innovation-driven"),1,IF($C176="Clear alternative-rationale",0,""))</x:f>
      </x:c>
      <x:c r="G176" s="52" t="str">
        <x:f>IF('Deal_Master_Wide'!$M$27="","",'Deal_Master_Wide'!$M$27)</x:f>
        <x:v>Review</x:v>
      </x:c>
      <x:c r="H176" s="50" t="str">
        <x:v>Vectura Group Ltd</x:v>
      </x:c>
      <x:c r="I176" s="50" t="str">
        <x:v>SkyePharma Ltd; Vectura Group Ltd</x:v>
      </x:c>
      <x:c r="J176" s="50" t="n">
        <x:v>2016</x:v>
      </x:c>
      <x:c r="K176" s="50" t="n">
        <x:v>3</x:v>
      </x:c>
      <x:c r="L176" s="50" t="n">
        <x:v>2019</x:v>
      </x:c>
      <x:c r="M176" s="50" t="n">
        <x:v>1</x:v>
      </x:c>
      <x:c r="N176" s="50" t="n">
        <x:v>1</x:v>
      </x:c>
      <x:c r="O176" s="52" t="str">
        <x:f>IF($F176="","",$F176*$M176)</x:f>
      </x:c>
      <x:c r="P176" s="54" t="str">
        <x:f>IF(ISBLANK('Deal_Master_Wide'!$BV$27),"",'Deal_Master_Wide'!$BV$27)</x:f>
      </x:c>
      <x:c r="Q176" s="54" t="str">
        <x:f>IF(ISBLANK('Deal_Master_Wide'!$CC$27),"",'Deal_Master_Wide'!$CC$27)</x:f>
      </x:c>
      <x:c r="R176" s="54" t="str">
        <x:f>IF(ISBLANK('Deal_Master_Wide'!$CJ$27),"",'Deal_Master_Wide'!$CJ$27)</x:f>
      </x:c>
      <x:c r="S176" s="54" t="str">
        <x:f>IF(ISBLANK('Deal_Master_Wide'!$CQ$27),"",'Deal_Master_Wide'!$CQ$27)</x:f>
      </x:c>
      <x:c r="T176" s="54" t="str">
        <x:f>IF(ISBLANK('Deal_Master_Wide'!$CX$27),"",'Deal_Master_Wide'!$CX$27)</x:f>
      </x:c>
      <x:c r="U176" s="54" t="str">
        <x:f>IF(ISBLANK('Deal_Master_Wide'!$DE$27),"",'Deal_Master_Wide'!$DE$27)</x:f>
      </x:c>
      <x:c r="V176" s="56" t="str">
        <x:f>IF(ISBLANK('Deal_Master_Wide'!$DL$27),"",'Deal_Master_Wide'!$DL$27)</x:f>
      </x:c>
      <x:c r="W176" s="56" t="str">
        <x:f>IF(ISBLANK('Deal_Master_Wide'!$DS$27),"",'Deal_Master_Wide'!$DS$27)</x:f>
      </x:c>
      <x:c r="X176" s="56" t="str">
        <x:f>IF(ISBLANK('Deal_Master_Wide'!$DZ$27),"",'Deal_Master_Wide'!$DZ$27)</x:f>
      </x:c>
      <x:c r="Y176" s="54" t="str">
        <x:f>IF(ISBLANK('Deal_Master_Wide'!$EG$27),"",'Deal_Master_Wide'!$EG$27)</x:f>
      </x:c>
      <x:c r="Z176" s="54" t="str">
        <x:f>IF(ISBLANK('Deal_Master_Wide'!$EN$27),"",'Deal_Master_Wide'!$EN$27)</x:f>
      </x:c>
      <x:c r="AA176" s="52" t="str">
        <x:f>IF(ISBLANK('Deal_Master_Wide'!$AL$27),"",'Deal_Master_Wide'!$AL$27)</x:f>
        <x:v>Unknown</x:v>
      </x:c>
      <x:c r="AB176" s="54" t="n">
        <x:f>IF(ISBLANK('Deal_Master_Wide'!$AF$27),"",'Deal_Master_Wide'!$AF$27)</x:f>
        <x:v>627</x:v>
      </x:c>
      <x:c r="AC176" s="52" t="str">
        <x:f>IF(COUNT($P176,$Q176,$R176,$S176,$T176,$U176,$V176,$W176,$X176)=9,"Yes","No")</x:f>
        <x:v>No</x:v>
      </x:c>
      <x:c r="AD176" s="52" t="str">
        <x:f>IF(COUNT($Y176,$Z176)=2,"Yes","No")</x:f>
        <x:v>No</x:v>
      </x:c>
      <x:c r="AE176" s="50" t="str"/>
      <x:c r="AF176" t="str"/>
    </x:row>
    <x:row r="177" ht="20" customHeight="1">
      <x:c r="A177" s="50" t="str">
        <x:v>TRT-0026</x:v>
      </x:c>
      <x:c r="B177" s="50" t="str">
        <x:v>Candidate treatment group</x:v>
      </x:c>
      <x:c r="C177" s="52" t="str">
        <x:f>IF('Deal_Master_Wide'!$AU$28="","",'Deal_Master_Wide'!$AU$28)</x:f>
        <x:v>Not reviewed</x:v>
      </x:c>
      <x:c r="D177" s="52" t="str">
        <x:f>IF('Deal_Master_Wide'!$AV$28="","",'Deal_Master_Wide'!$AV$28)</x:f>
        <x:v>Not assessed</x:v>
      </x:c>
      <x:c r="E177" s="50" t="n">
        <x:v>1</x:v>
      </x:c>
      <x:c r="F177" s="52" t="str">
        <x:f>IF(OR($C177="High-confidence innovation-driven",$C177="Medium-confidence innovation-driven"),1,IF($C177="Clear alternative-rationale",0,""))</x:f>
      </x:c>
      <x:c r="G177" s="52" t="str">
        <x:f>IF('Deal_Master_Wide'!$M$28="","",'Deal_Master_Wide'!$M$28)</x:f>
        <x:v>Review</x:v>
      </x:c>
      <x:c r="H177" s="50" t="str">
        <x:v>Relief Therapeutics Holding AG; Sonnet BioTherapeutics CH SA</x:v>
      </x:c>
      <x:c r="I177" s="50" t="str">
        <x:v>THERAMetrics holding AG (Inactive); Sonnet BioTherapeutics CH SA</x:v>
      </x:c>
      <x:c r="J177" s="50" t="n">
        <x:v>2016</x:v>
      </x:c>
      <x:c r="K177" s="50" t="n">
        <x:v>-3</x:v>
      </x:c>
      <x:c r="L177" s="50" t="n">
        <x:v>2013</x:v>
      </x:c>
      <x:c r="M177" s="50" t="n">
        <x:v>0</x:v>
      </x:c>
      <x:c r="N177" s="50" t="n">
        <x:v>0</x:v>
      </x:c>
      <x:c r="O177" s="52" t="str">
        <x:f>IF($F177="","",$F177*$M177)</x:f>
      </x:c>
      <x:c r="P177" s="54" t="str">
        <x:f>IF(ISBLANK('Deal_Master_Wide'!$BP$28),"",'Deal_Master_Wide'!$BP$28)</x:f>
      </x:c>
      <x:c r="Q177" s="54" t="str">
        <x:f>IF(ISBLANK('Deal_Master_Wide'!$BW$28),"",'Deal_Master_Wide'!$BW$28)</x:f>
      </x:c>
      <x:c r="R177" s="54" t="str">
        <x:f>IF(ISBLANK('Deal_Master_Wide'!$CD$28),"",'Deal_Master_Wide'!$CD$28)</x:f>
      </x:c>
      <x:c r="S177" s="54" t="str">
        <x:f>IF(ISBLANK('Deal_Master_Wide'!$CK$28),"",'Deal_Master_Wide'!$CK$28)</x:f>
      </x:c>
      <x:c r="T177" s="54" t="str">
        <x:f>IF(ISBLANK('Deal_Master_Wide'!$CR$28),"",'Deal_Master_Wide'!$CR$28)</x:f>
      </x:c>
      <x:c r="U177" s="54" t="str">
        <x:f>IF(ISBLANK('Deal_Master_Wide'!$CY$28),"",'Deal_Master_Wide'!$CY$28)</x:f>
      </x:c>
      <x:c r="V177" s="56" t="str">
        <x:f>IF(ISBLANK('Deal_Master_Wide'!$DF$28),"",'Deal_Master_Wide'!$DF$28)</x:f>
      </x:c>
      <x:c r="W177" s="56" t="str">
        <x:f>IF(ISBLANK('Deal_Master_Wide'!$DM$28),"",'Deal_Master_Wide'!$DM$28)</x:f>
      </x:c>
      <x:c r="X177" s="56" t="str">
        <x:f>IF(ISBLANK('Deal_Master_Wide'!$DT$28),"",'Deal_Master_Wide'!$DT$28)</x:f>
      </x:c>
      <x:c r="Y177" s="54" t="str">
        <x:f>IF(ISBLANK('Deal_Master_Wide'!$EA$28),"",'Deal_Master_Wide'!$EA$28)</x:f>
      </x:c>
      <x:c r="Z177" s="54" t="str">
        <x:f>IF(ISBLANK('Deal_Master_Wide'!$EH$28),"",'Deal_Master_Wide'!$EH$28)</x:f>
      </x:c>
      <x:c r="AA177" s="52" t="str">
        <x:f>IF(ISBLANK('Deal_Master_Wide'!$AL$28),"",'Deal_Master_Wide'!$AL$28)</x:f>
        <x:v>Unknown</x:v>
      </x:c>
      <x:c r="AB177" s="54" t="str">
        <x:f>IF(ISBLANK('Deal_Master_Wide'!$AF$28),"",'Deal_Master_Wide'!$AF$28)</x:f>
      </x:c>
      <x:c r="AC177" s="52" t="str">
        <x:f>IF(COUNT($P177,$Q177,$R177,$S177,$T177,$U177,$V177,$W177,$X177)=9,"Yes","No")</x:f>
        <x:v>No</x:v>
      </x:c>
      <x:c r="AD177" s="52" t="str">
        <x:f>IF(COUNT($Y177,$Z177)=2,"Yes","No")</x:f>
        <x:v>No</x:v>
      </x:c>
      <x:c r="AE177" s="50" t="str"/>
      <x:c r="AF177" t="str"/>
    </x:row>
    <x:row r="178" ht="20" customHeight="1">
      <x:c r="A178" s="50" t="str">
        <x:v>TRT-0026</x:v>
      </x:c>
      <x:c r="B178" s="50" t="str">
        <x:v>Candidate treatment group</x:v>
      </x:c>
      <x:c r="C178" s="52" t="str">
        <x:f>IF('Deal_Master_Wide'!$AU$28="","",'Deal_Master_Wide'!$AU$28)</x:f>
        <x:v>Not reviewed</x:v>
      </x:c>
      <x:c r="D178" s="52" t="str">
        <x:f>IF('Deal_Master_Wide'!$AV$28="","",'Deal_Master_Wide'!$AV$28)</x:f>
        <x:v>Not assessed</x:v>
      </x:c>
      <x:c r="E178" s="50" t="n">
        <x:v>1</x:v>
      </x:c>
      <x:c r="F178" s="52" t="str">
        <x:f>IF(OR($C178="High-confidence innovation-driven",$C178="Medium-confidence innovation-driven"),1,IF($C178="Clear alternative-rationale",0,""))</x:f>
      </x:c>
      <x:c r="G178" s="52" t="str">
        <x:f>IF('Deal_Master_Wide'!$M$28="","",'Deal_Master_Wide'!$M$28)</x:f>
        <x:v>Review</x:v>
      </x:c>
      <x:c r="H178" s="50" t="str">
        <x:v>Relief Therapeutics Holding AG; Sonnet BioTherapeutics CH SA</x:v>
      </x:c>
      <x:c r="I178" s="50" t="str">
        <x:v>THERAMetrics holding AG (Inactive); Sonnet BioTherapeutics CH SA</x:v>
      </x:c>
      <x:c r="J178" s="50" t="n">
        <x:v>2016</x:v>
      </x:c>
      <x:c r="K178" s="50" t="n">
        <x:v>-2</x:v>
      </x:c>
      <x:c r="L178" s="50" t="n">
        <x:v>2014</x:v>
      </x:c>
      <x:c r="M178" s="50" t="n">
        <x:v>0</x:v>
      </x:c>
      <x:c r="N178" s="50" t="n">
        <x:v>0</x:v>
      </x:c>
      <x:c r="O178" s="52" t="str">
        <x:f>IF($F178="","",$F178*$M178)</x:f>
      </x:c>
      <x:c r="P178" s="54" t="str">
        <x:f>IF(ISBLANK('Deal_Master_Wide'!$BQ$28),"",'Deal_Master_Wide'!$BQ$28)</x:f>
      </x:c>
      <x:c r="Q178" s="54" t="str">
        <x:f>IF(ISBLANK('Deal_Master_Wide'!$BX$28),"",'Deal_Master_Wide'!$BX$28)</x:f>
      </x:c>
      <x:c r="R178" s="54" t="str">
        <x:f>IF(ISBLANK('Deal_Master_Wide'!$CE$28),"",'Deal_Master_Wide'!$CE$28)</x:f>
      </x:c>
      <x:c r="S178" s="54" t="str">
        <x:f>IF(ISBLANK('Deal_Master_Wide'!$CL$28),"",'Deal_Master_Wide'!$CL$28)</x:f>
      </x:c>
      <x:c r="T178" s="54" t="str">
        <x:f>IF(ISBLANK('Deal_Master_Wide'!$CS$28),"",'Deal_Master_Wide'!$CS$28)</x:f>
      </x:c>
      <x:c r="U178" s="54" t="str">
        <x:f>IF(ISBLANK('Deal_Master_Wide'!$CZ$28),"",'Deal_Master_Wide'!$CZ$28)</x:f>
      </x:c>
      <x:c r="V178" s="56" t="str">
        <x:f>IF(ISBLANK('Deal_Master_Wide'!$DG$28),"",'Deal_Master_Wide'!$DG$28)</x:f>
      </x:c>
      <x:c r="W178" s="56" t="str">
        <x:f>IF(ISBLANK('Deal_Master_Wide'!$DN$28),"",'Deal_Master_Wide'!$DN$28)</x:f>
      </x:c>
      <x:c r="X178" s="56" t="str">
        <x:f>IF(ISBLANK('Deal_Master_Wide'!$DU$28),"",'Deal_Master_Wide'!$DU$28)</x:f>
      </x:c>
      <x:c r="Y178" s="54" t="str">
        <x:f>IF(ISBLANK('Deal_Master_Wide'!$EB$28),"",'Deal_Master_Wide'!$EB$28)</x:f>
      </x:c>
      <x:c r="Z178" s="54" t="str">
        <x:f>IF(ISBLANK('Deal_Master_Wide'!$EI$28),"",'Deal_Master_Wide'!$EI$28)</x:f>
      </x:c>
      <x:c r="AA178" s="52" t="str">
        <x:f>IF(ISBLANK('Deal_Master_Wide'!$AL$28),"",'Deal_Master_Wide'!$AL$28)</x:f>
        <x:v>Unknown</x:v>
      </x:c>
      <x:c r="AB178" s="54" t="str">
        <x:f>IF(ISBLANK('Deal_Master_Wide'!$AF$28),"",'Deal_Master_Wide'!$AF$28)</x:f>
      </x:c>
      <x:c r="AC178" s="52" t="str">
        <x:f>IF(COUNT($P178,$Q178,$R178,$S178,$T178,$U178,$V178,$W178,$X178)=9,"Yes","No")</x:f>
        <x:v>No</x:v>
      </x:c>
      <x:c r="AD178" s="52" t="str">
        <x:f>IF(COUNT($Y178,$Z178)=2,"Yes","No")</x:f>
        <x:v>No</x:v>
      </x:c>
      <x:c r="AE178" s="50" t="str"/>
      <x:c r="AF178" t="str"/>
    </x:row>
    <x:row r="179" ht="20" customHeight="1">
      <x:c r="A179" s="50" t="str">
        <x:v>TRT-0026</x:v>
      </x:c>
      <x:c r="B179" s="50" t="str">
        <x:v>Candidate treatment group</x:v>
      </x:c>
      <x:c r="C179" s="52" t="str">
        <x:f>IF('Deal_Master_Wide'!$AU$28="","",'Deal_Master_Wide'!$AU$28)</x:f>
        <x:v>Not reviewed</x:v>
      </x:c>
      <x:c r="D179" s="52" t="str">
        <x:f>IF('Deal_Master_Wide'!$AV$28="","",'Deal_Master_Wide'!$AV$28)</x:f>
        <x:v>Not assessed</x:v>
      </x:c>
      <x:c r="E179" s="50" t="n">
        <x:v>1</x:v>
      </x:c>
      <x:c r="F179" s="52" t="str">
        <x:f>IF(OR($C179="High-confidence innovation-driven",$C179="Medium-confidence innovation-driven"),1,IF($C179="Clear alternative-rationale",0,""))</x:f>
      </x:c>
      <x:c r="G179" s="52" t="str">
        <x:f>IF('Deal_Master_Wide'!$M$28="","",'Deal_Master_Wide'!$M$28)</x:f>
        <x:v>Review</x:v>
      </x:c>
      <x:c r="H179" s="50" t="str">
        <x:v>Relief Therapeutics Holding AG; Sonnet BioTherapeutics CH SA</x:v>
      </x:c>
      <x:c r="I179" s="50" t="str">
        <x:v>THERAMetrics holding AG (Inactive); Sonnet BioTherapeutics CH SA</x:v>
      </x:c>
      <x:c r="J179" s="50" t="n">
        <x:v>2016</x:v>
      </x:c>
      <x:c r="K179" s="50" t="n">
        <x:v>-1</x:v>
      </x:c>
      <x:c r="L179" s="50" t="n">
        <x:v>2015</x:v>
      </x:c>
      <x:c r="M179" s="50" t="n">
        <x:v>0</x:v>
      </x:c>
      <x:c r="N179" s="50" t="n">
        <x:v>0</x:v>
      </x:c>
      <x:c r="O179" s="52" t="str">
        <x:f>IF($F179="","",$F179*$M179)</x:f>
      </x:c>
      <x:c r="P179" s="54" t="str">
        <x:f>IF(ISBLANK('Deal_Master_Wide'!$BR$28),"",'Deal_Master_Wide'!$BR$28)</x:f>
      </x:c>
      <x:c r="Q179" s="54" t="str">
        <x:f>IF(ISBLANK('Deal_Master_Wide'!$BY$28),"",'Deal_Master_Wide'!$BY$28)</x:f>
      </x:c>
      <x:c r="R179" s="54" t="str">
        <x:f>IF(ISBLANK('Deal_Master_Wide'!$CF$28),"",'Deal_Master_Wide'!$CF$28)</x:f>
      </x:c>
      <x:c r="S179" s="54" t="str">
        <x:f>IF(ISBLANK('Deal_Master_Wide'!$CM$28),"",'Deal_Master_Wide'!$CM$28)</x:f>
      </x:c>
      <x:c r="T179" s="54" t="str">
        <x:f>IF(ISBLANK('Deal_Master_Wide'!$CT$28),"",'Deal_Master_Wide'!$CT$28)</x:f>
      </x:c>
      <x:c r="U179" s="54" t="str">
        <x:f>IF(ISBLANK('Deal_Master_Wide'!$DA$28),"",'Deal_Master_Wide'!$DA$28)</x:f>
      </x:c>
      <x:c r="V179" s="56" t="str">
        <x:f>IF(ISBLANK('Deal_Master_Wide'!$DH$28),"",'Deal_Master_Wide'!$DH$28)</x:f>
      </x:c>
      <x:c r="W179" s="56" t="str">
        <x:f>IF(ISBLANK('Deal_Master_Wide'!$DO$28),"",'Deal_Master_Wide'!$DO$28)</x:f>
      </x:c>
      <x:c r="X179" s="56" t="str">
        <x:f>IF(ISBLANK('Deal_Master_Wide'!$DV$28),"",'Deal_Master_Wide'!$DV$28)</x:f>
      </x:c>
      <x:c r="Y179" s="54" t="str">
        <x:f>IF(ISBLANK('Deal_Master_Wide'!$EC$28),"",'Deal_Master_Wide'!$EC$28)</x:f>
      </x:c>
      <x:c r="Z179" s="54" t="str">
        <x:f>IF(ISBLANK('Deal_Master_Wide'!$EJ$28),"",'Deal_Master_Wide'!$EJ$28)</x:f>
      </x:c>
      <x:c r="AA179" s="52" t="str">
        <x:f>IF(ISBLANK('Deal_Master_Wide'!$AL$28),"",'Deal_Master_Wide'!$AL$28)</x:f>
        <x:v>Unknown</x:v>
      </x:c>
      <x:c r="AB179" s="54" t="str">
        <x:f>IF(ISBLANK('Deal_Master_Wide'!$AF$28),"",'Deal_Master_Wide'!$AF$28)</x:f>
      </x:c>
      <x:c r="AC179" s="52" t="str">
        <x:f>IF(COUNT($P179,$Q179,$R179,$S179,$T179,$U179,$V179,$W179,$X179)=9,"Yes","No")</x:f>
        <x:v>No</x:v>
      </x:c>
      <x:c r="AD179" s="52" t="str">
        <x:f>IF(COUNT($Y179,$Z179)=2,"Yes","No")</x:f>
        <x:v>No</x:v>
      </x:c>
      <x:c r="AE179" s="50" t="str"/>
      <x:c r="AF179" t="str"/>
    </x:row>
    <x:row r="180" ht="20" customHeight="1">
      <x:c r="A180" s="50" t="str">
        <x:v>TRT-0026</x:v>
      </x:c>
      <x:c r="B180" s="50" t="str">
        <x:v>Candidate treatment group</x:v>
      </x:c>
      <x:c r="C180" s="52" t="str">
        <x:f>IF('Deal_Master_Wide'!$AU$28="","",'Deal_Master_Wide'!$AU$28)</x:f>
        <x:v>Not reviewed</x:v>
      </x:c>
      <x:c r="D180" s="52" t="str">
        <x:f>IF('Deal_Master_Wide'!$AV$28="","",'Deal_Master_Wide'!$AV$28)</x:f>
        <x:v>Not assessed</x:v>
      </x:c>
      <x:c r="E180" s="50" t="n">
        <x:v>1</x:v>
      </x:c>
      <x:c r="F180" s="52" t="str">
        <x:f>IF(OR($C180="High-confidence innovation-driven",$C180="Medium-confidence innovation-driven"),1,IF($C180="Clear alternative-rationale",0,""))</x:f>
      </x:c>
      <x:c r="G180" s="52" t="str">
        <x:f>IF('Deal_Master_Wide'!$M$28="","",'Deal_Master_Wide'!$M$28)</x:f>
        <x:v>Review</x:v>
      </x:c>
      <x:c r="H180" s="50" t="str">
        <x:v>Relief Therapeutics Holding AG; Sonnet BioTherapeutics CH SA</x:v>
      </x:c>
      <x:c r="I180" s="50" t="str">
        <x:v>THERAMetrics holding AG (Inactive); Sonnet BioTherapeutics CH SA</x:v>
      </x:c>
      <x:c r="J180" s="50" t="n">
        <x:v>2016</x:v>
      </x:c>
      <x:c r="K180" s="50" t="n">
        <x:v>0</x:v>
      </x:c>
      <x:c r="L180" s="50" t="n">
        <x:v>2016</x:v>
      </x:c>
      <x:c r="M180" s="50" t="n">
        <x:v>0</x:v>
      </x:c>
      <x:c r="N180" s="50" t="n">
        <x:v>1</x:v>
      </x:c>
      <x:c r="O180" s="52" t="str">
        <x:f>IF($F180="","",$F180*$M180)</x:f>
      </x:c>
      <x:c r="P180" s="54" t="str">
        <x:f>IF(ISBLANK('Deal_Master_Wide'!$BS$28),"",'Deal_Master_Wide'!$BS$28)</x:f>
      </x:c>
      <x:c r="Q180" s="54" t="str">
        <x:f>IF(ISBLANK('Deal_Master_Wide'!$BZ$28),"",'Deal_Master_Wide'!$BZ$28)</x:f>
      </x:c>
      <x:c r="R180" s="54" t="str">
        <x:f>IF(ISBLANK('Deal_Master_Wide'!$CG$28),"",'Deal_Master_Wide'!$CG$28)</x:f>
      </x:c>
      <x:c r="S180" s="54" t="str">
        <x:f>IF(ISBLANK('Deal_Master_Wide'!$CN$28),"",'Deal_Master_Wide'!$CN$28)</x:f>
      </x:c>
      <x:c r="T180" s="54" t="str">
        <x:f>IF(ISBLANK('Deal_Master_Wide'!$CU$28),"",'Deal_Master_Wide'!$CU$28)</x:f>
      </x:c>
      <x:c r="U180" s="54" t="str">
        <x:f>IF(ISBLANK('Deal_Master_Wide'!$DB$28),"",'Deal_Master_Wide'!$DB$28)</x:f>
      </x:c>
      <x:c r="V180" s="56" t="str">
        <x:f>IF(ISBLANK('Deal_Master_Wide'!$DI$28),"",'Deal_Master_Wide'!$DI$28)</x:f>
      </x:c>
      <x:c r="W180" s="56" t="str">
        <x:f>IF(ISBLANK('Deal_Master_Wide'!$DP$28),"",'Deal_Master_Wide'!$DP$28)</x:f>
      </x:c>
      <x:c r="X180" s="56" t="str">
        <x:f>IF(ISBLANK('Deal_Master_Wide'!$DW$28),"",'Deal_Master_Wide'!$DW$28)</x:f>
      </x:c>
      <x:c r="Y180" s="54" t="str">
        <x:f>IF(ISBLANK('Deal_Master_Wide'!$ED$28),"",'Deal_Master_Wide'!$ED$28)</x:f>
      </x:c>
      <x:c r="Z180" s="54" t="str">
        <x:f>IF(ISBLANK('Deal_Master_Wide'!$EK$28),"",'Deal_Master_Wide'!$EK$28)</x:f>
      </x:c>
      <x:c r="AA180" s="52" t="str">
        <x:f>IF(ISBLANK('Deal_Master_Wide'!$AL$28),"",'Deal_Master_Wide'!$AL$28)</x:f>
        <x:v>Unknown</x:v>
      </x:c>
      <x:c r="AB180" s="54" t="str">
        <x:f>IF(ISBLANK('Deal_Master_Wide'!$AF$28),"",'Deal_Master_Wide'!$AF$28)</x:f>
      </x:c>
      <x:c r="AC180" s="52" t="str">
        <x:f>IF(COUNT($P180,$Q180,$R180,$S180,$T180,$U180,$V180,$W180,$X180)=9,"Yes","No")</x:f>
        <x:v>No</x:v>
      </x:c>
      <x:c r="AD180" s="52" t="str">
        <x:f>IF(COUNT($Y180,$Z180)=2,"Yes","No")</x:f>
        <x:v>No</x:v>
      </x:c>
      <x:c r="AE180" s="50" t="str"/>
      <x:c r="AF180" t="str"/>
    </x:row>
    <x:row r="181" ht="20" customHeight="1">
      <x:c r="A181" s="50" t="str">
        <x:v>TRT-0026</x:v>
      </x:c>
      <x:c r="B181" s="50" t="str">
        <x:v>Candidate treatment group</x:v>
      </x:c>
      <x:c r="C181" s="52" t="str">
        <x:f>IF('Deal_Master_Wide'!$AU$28="","",'Deal_Master_Wide'!$AU$28)</x:f>
        <x:v>Not reviewed</x:v>
      </x:c>
      <x:c r="D181" s="52" t="str">
        <x:f>IF('Deal_Master_Wide'!$AV$28="","",'Deal_Master_Wide'!$AV$28)</x:f>
        <x:v>Not assessed</x:v>
      </x:c>
      <x:c r="E181" s="50" t="n">
        <x:v>1</x:v>
      </x:c>
      <x:c r="F181" s="52" t="str">
        <x:f>IF(OR($C181="High-confidence innovation-driven",$C181="Medium-confidence innovation-driven"),1,IF($C181="Clear alternative-rationale",0,""))</x:f>
      </x:c>
      <x:c r="G181" s="52" t="str">
        <x:f>IF('Deal_Master_Wide'!$M$28="","",'Deal_Master_Wide'!$M$28)</x:f>
        <x:v>Review</x:v>
      </x:c>
      <x:c r="H181" s="50" t="str">
        <x:v>Relief Therapeutics Holding AG; Sonnet BioTherapeutics CH SA</x:v>
      </x:c>
      <x:c r="I181" s="50" t="str">
        <x:v>THERAMetrics holding AG (Inactive); Sonnet BioTherapeutics CH SA</x:v>
      </x:c>
      <x:c r="J181" s="50" t="n">
        <x:v>2016</x:v>
      </x:c>
      <x:c r="K181" s="50" t="n">
        <x:v>1</x:v>
      </x:c>
      <x:c r="L181" s="50" t="n">
        <x:v>2017</x:v>
      </x:c>
      <x:c r="M181" s="50" t="n">
        <x:v>1</x:v>
      </x:c>
      <x:c r="N181" s="50" t="n">
        <x:v>1</x:v>
      </x:c>
      <x:c r="O181" s="52" t="str">
        <x:f>IF($F181="","",$F181*$M181)</x:f>
      </x:c>
      <x:c r="P181" s="54" t="str">
        <x:f>IF(ISBLANK('Deal_Master_Wide'!$BT$28),"",'Deal_Master_Wide'!$BT$28)</x:f>
      </x:c>
      <x:c r="Q181" s="54" t="str">
        <x:f>IF(ISBLANK('Deal_Master_Wide'!$CA$28),"",'Deal_Master_Wide'!$CA$28)</x:f>
      </x:c>
      <x:c r="R181" s="54" t="str">
        <x:f>IF(ISBLANK('Deal_Master_Wide'!$CH$28),"",'Deal_Master_Wide'!$CH$28)</x:f>
      </x:c>
      <x:c r="S181" s="54" t="str">
        <x:f>IF(ISBLANK('Deal_Master_Wide'!$CO$28),"",'Deal_Master_Wide'!$CO$28)</x:f>
      </x:c>
      <x:c r="T181" s="54" t="str">
        <x:f>IF(ISBLANK('Deal_Master_Wide'!$CV$28),"",'Deal_Master_Wide'!$CV$28)</x:f>
      </x:c>
      <x:c r="U181" s="54" t="str">
        <x:f>IF(ISBLANK('Deal_Master_Wide'!$DC$28),"",'Deal_Master_Wide'!$DC$28)</x:f>
      </x:c>
      <x:c r="V181" s="56" t="str">
        <x:f>IF(ISBLANK('Deal_Master_Wide'!$DJ$28),"",'Deal_Master_Wide'!$DJ$28)</x:f>
      </x:c>
      <x:c r="W181" s="56" t="str">
        <x:f>IF(ISBLANK('Deal_Master_Wide'!$DQ$28),"",'Deal_Master_Wide'!$DQ$28)</x:f>
      </x:c>
      <x:c r="X181" s="56" t="str">
        <x:f>IF(ISBLANK('Deal_Master_Wide'!$DX$28),"",'Deal_Master_Wide'!$DX$28)</x:f>
      </x:c>
      <x:c r="Y181" s="54" t="str">
        <x:f>IF(ISBLANK('Deal_Master_Wide'!$EE$28),"",'Deal_Master_Wide'!$EE$28)</x:f>
      </x:c>
      <x:c r="Z181" s="54" t="str">
        <x:f>IF(ISBLANK('Deal_Master_Wide'!$EL$28),"",'Deal_Master_Wide'!$EL$28)</x:f>
      </x:c>
      <x:c r="AA181" s="52" t="str">
        <x:f>IF(ISBLANK('Deal_Master_Wide'!$AL$28),"",'Deal_Master_Wide'!$AL$28)</x:f>
        <x:v>Unknown</x:v>
      </x:c>
      <x:c r="AB181" s="54" t="str">
        <x:f>IF(ISBLANK('Deal_Master_Wide'!$AF$28),"",'Deal_Master_Wide'!$AF$28)</x:f>
      </x:c>
      <x:c r="AC181" s="52" t="str">
        <x:f>IF(COUNT($P181,$Q181,$R181,$S181,$T181,$U181,$V181,$W181,$X181)=9,"Yes","No")</x:f>
        <x:v>No</x:v>
      </x:c>
      <x:c r="AD181" s="52" t="str">
        <x:f>IF(COUNT($Y181,$Z181)=2,"Yes","No")</x:f>
        <x:v>No</x:v>
      </x:c>
      <x:c r="AE181" s="50" t="str"/>
      <x:c r="AF181" t="str"/>
    </x:row>
    <x:row r="182" ht="20" customHeight="1">
      <x:c r="A182" s="50" t="str">
        <x:v>TRT-0026</x:v>
      </x:c>
      <x:c r="B182" s="50" t="str">
        <x:v>Candidate treatment group</x:v>
      </x:c>
      <x:c r="C182" s="52" t="str">
        <x:f>IF('Deal_Master_Wide'!$AU$28="","",'Deal_Master_Wide'!$AU$28)</x:f>
        <x:v>Not reviewed</x:v>
      </x:c>
      <x:c r="D182" s="52" t="str">
        <x:f>IF('Deal_Master_Wide'!$AV$28="","",'Deal_Master_Wide'!$AV$28)</x:f>
        <x:v>Not assessed</x:v>
      </x:c>
      <x:c r="E182" s="50" t="n">
        <x:v>1</x:v>
      </x:c>
      <x:c r="F182" s="52" t="str">
        <x:f>IF(OR($C182="High-confidence innovation-driven",$C182="Medium-confidence innovation-driven"),1,IF($C182="Clear alternative-rationale",0,""))</x:f>
      </x:c>
      <x:c r="G182" s="52" t="str">
        <x:f>IF('Deal_Master_Wide'!$M$28="","",'Deal_Master_Wide'!$M$28)</x:f>
        <x:v>Review</x:v>
      </x:c>
      <x:c r="H182" s="50" t="str">
        <x:v>Relief Therapeutics Holding AG; Sonnet BioTherapeutics CH SA</x:v>
      </x:c>
      <x:c r="I182" s="50" t="str">
        <x:v>THERAMetrics holding AG (Inactive); Sonnet BioTherapeutics CH SA</x:v>
      </x:c>
      <x:c r="J182" s="50" t="n">
        <x:v>2016</x:v>
      </x:c>
      <x:c r="K182" s="50" t="n">
        <x:v>2</x:v>
      </x:c>
      <x:c r="L182" s="50" t="n">
        <x:v>2018</x:v>
      </x:c>
      <x:c r="M182" s="50" t="n">
        <x:v>1</x:v>
      </x:c>
      <x:c r="N182" s="50" t="n">
        <x:v>1</x:v>
      </x:c>
      <x:c r="O182" s="52" t="str">
        <x:f>IF($F182="","",$F182*$M182)</x:f>
      </x:c>
      <x:c r="P182" s="54" t="str">
        <x:f>IF(ISBLANK('Deal_Master_Wide'!$BU$28),"",'Deal_Master_Wide'!$BU$28)</x:f>
      </x:c>
      <x:c r="Q182" s="54" t="str">
        <x:f>IF(ISBLANK('Deal_Master_Wide'!$CB$28),"",'Deal_Master_Wide'!$CB$28)</x:f>
      </x:c>
      <x:c r="R182" s="54" t="str">
        <x:f>IF(ISBLANK('Deal_Master_Wide'!$CI$28),"",'Deal_Master_Wide'!$CI$28)</x:f>
      </x:c>
      <x:c r="S182" s="54" t="str">
        <x:f>IF(ISBLANK('Deal_Master_Wide'!$CP$28),"",'Deal_Master_Wide'!$CP$28)</x:f>
      </x:c>
      <x:c r="T182" s="54" t="str">
        <x:f>IF(ISBLANK('Deal_Master_Wide'!$CW$28),"",'Deal_Master_Wide'!$CW$28)</x:f>
      </x:c>
      <x:c r="U182" s="54" t="str">
        <x:f>IF(ISBLANK('Deal_Master_Wide'!$DD$28),"",'Deal_Master_Wide'!$DD$28)</x:f>
      </x:c>
      <x:c r="V182" s="56" t="str">
        <x:f>IF(ISBLANK('Deal_Master_Wide'!$DK$28),"",'Deal_Master_Wide'!$DK$28)</x:f>
      </x:c>
      <x:c r="W182" s="56" t="str">
        <x:f>IF(ISBLANK('Deal_Master_Wide'!$DR$28),"",'Deal_Master_Wide'!$DR$28)</x:f>
      </x:c>
      <x:c r="X182" s="56" t="str">
        <x:f>IF(ISBLANK('Deal_Master_Wide'!$DY$28),"",'Deal_Master_Wide'!$DY$28)</x:f>
      </x:c>
      <x:c r="Y182" s="54" t="str">
        <x:f>IF(ISBLANK('Deal_Master_Wide'!$EF$28),"",'Deal_Master_Wide'!$EF$28)</x:f>
      </x:c>
      <x:c r="Z182" s="54" t="str">
        <x:f>IF(ISBLANK('Deal_Master_Wide'!$EM$28),"",'Deal_Master_Wide'!$EM$28)</x:f>
      </x:c>
      <x:c r="AA182" s="52" t="str">
        <x:f>IF(ISBLANK('Deal_Master_Wide'!$AL$28),"",'Deal_Master_Wide'!$AL$28)</x:f>
        <x:v>Unknown</x:v>
      </x:c>
      <x:c r="AB182" s="54" t="str">
        <x:f>IF(ISBLANK('Deal_Master_Wide'!$AF$28),"",'Deal_Master_Wide'!$AF$28)</x:f>
      </x:c>
      <x:c r="AC182" s="52" t="str">
        <x:f>IF(COUNT($P182,$Q182,$R182,$S182,$T182,$U182,$V182,$W182,$X182)=9,"Yes","No")</x:f>
        <x:v>No</x:v>
      </x:c>
      <x:c r="AD182" s="52" t="str">
        <x:f>IF(COUNT($Y182,$Z182)=2,"Yes","No")</x:f>
        <x:v>No</x:v>
      </x:c>
      <x:c r="AE182" s="50" t="str"/>
      <x:c r="AF182" t="str"/>
    </x:row>
    <x:row r="183" ht="20" customHeight="1">
      <x:c r="A183" s="50" t="str">
        <x:v>TRT-0026</x:v>
      </x:c>
      <x:c r="B183" s="50" t="str">
        <x:v>Candidate treatment group</x:v>
      </x:c>
      <x:c r="C183" s="52" t="str">
        <x:f>IF('Deal_Master_Wide'!$AU$28="","",'Deal_Master_Wide'!$AU$28)</x:f>
        <x:v>Not reviewed</x:v>
      </x:c>
      <x:c r="D183" s="52" t="str">
        <x:f>IF('Deal_Master_Wide'!$AV$28="","",'Deal_Master_Wide'!$AV$28)</x:f>
        <x:v>Not assessed</x:v>
      </x:c>
      <x:c r="E183" s="50" t="n">
        <x:v>1</x:v>
      </x:c>
      <x:c r="F183" s="52" t="str">
        <x:f>IF(OR($C183="High-confidence innovation-driven",$C183="Medium-confidence innovation-driven"),1,IF($C183="Clear alternative-rationale",0,""))</x:f>
      </x:c>
      <x:c r="G183" s="52" t="str">
        <x:f>IF('Deal_Master_Wide'!$M$28="","",'Deal_Master_Wide'!$M$28)</x:f>
        <x:v>Review</x:v>
      </x:c>
      <x:c r="H183" s="50" t="str">
        <x:v>Relief Therapeutics Holding AG; Sonnet BioTherapeutics CH SA</x:v>
      </x:c>
      <x:c r="I183" s="50" t="str">
        <x:v>THERAMetrics holding AG (Inactive); Sonnet BioTherapeutics CH SA</x:v>
      </x:c>
      <x:c r="J183" s="50" t="n">
        <x:v>2016</x:v>
      </x:c>
      <x:c r="K183" s="50" t="n">
        <x:v>3</x:v>
      </x:c>
      <x:c r="L183" s="50" t="n">
        <x:v>2019</x:v>
      </x:c>
      <x:c r="M183" s="50" t="n">
        <x:v>1</x:v>
      </x:c>
      <x:c r="N183" s="50" t="n">
        <x:v>1</x:v>
      </x:c>
      <x:c r="O183" s="52" t="str">
        <x:f>IF($F183="","",$F183*$M183)</x:f>
      </x:c>
      <x:c r="P183" s="54" t="str">
        <x:f>IF(ISBLANK('Deal_Master_Wide'!$BV$28),"",'Deal_Master_Wide'!$BV$28)</x:f>
      </x:c>
      <x:c r="Q183" s="54" t="str">
        <x:f>IF(ISBLANK('Deal_Master_Wide'!$CC$28),"",'Deal_Master_Wide'!$CC$28)</x:f>
      </x:c>
      <x:c r="R183" s="54" t="str">
        <x:f>IF(ISBLANK('Deal_Master_Wide'!$CJ$28),"",'Deal_Master_Wide'!$CJ$28)</x:f>
      </x:c>
      <x:c r="S183" s="54" t="str">
        <x:f>IF(ISBLANK('Deal_Master_Wide'!$CQ$28),"",'Deal_Master_Wide'!$CQ$28)</x:f>
      </x:c>
      <x:c r="T183" s="54" t="str">
        <x:f>IF(ISBLANK('Deal_Master_Wide'!$CX$28),"",'Deal_Master_Wide'!$CX$28)</x:f>
      </x:c>
      <x:c r="U183" s="54" t="str">
        <x:f>IF(ISBLANK('Deal_Master_Wide'!$DE$28),"",'Deal_Master_Wide'!$DE$28)</x:f>
      </x:c>
      <x:c r="V183" s="56" t="str">
        <x:f>IF(ISBLANK('Deal_Master_Wide'!$DL$28),"",'Deal_Master_Wide'!$DL$28)</x:f>
      </x:c>
      <x:c r="W183" s="56" t="str">
        <x:f>IF(ISBLANK('Deal_Master_Wide'!$DS$28),"",'Deal_Master_Wide'!$DS$28)</x:f>
      </x:c>
      <x:c r="X183" s="56" t="str">
        <x:f>IF(ISBLANK('Deal_Master_Wide'!$DZ$28),"",'Deal_Master_Wide'!$DZ$28)</x:f>
      </x:c>
      <x:c r="Y183" s="54" t="str">
        <x:f>IF(ISBLANK('Deal_Master_Wide'!$EG$28),"",'Deal_Master_Wide'!$EG$28)</x:f>
      </x:c>
      <x:c r="Z183" s="54" t="str">
        <x:f>IF(ISBLANK('Deal_Master_Wide'!$EN$28),"",'Deal_Master_Wide'!$EN$28)</x:f>
      </x:c>
      <x:c r="AA183" s="52" t="str">
        <x:f>IF(ISBLANK('Deal_Master_Wide'!$AL$28),"",'Deal_Master_Wide'!$AL$28)</x:f>
        <x:v>Unknown</x:v>
      </x:c>
      <x:c r="AB183" s="54" t="str">
        <x:f>IF(ISBLANK('Deal_Master_Wide'!$AF$28),"",'Deal_Master_Wide'!$AF$28)</x:f>
      </x:c>
      <x:c r="AC183" s="52" t="str">
        <x:f>IF(COUNT($P183,$Q183,$R183,$S183,$T183,$U183,$V183,$W183,$X183)=9,"Yes","No")</x:f>
        <x:v>No</x:v>
      </x:c>
      <x:c r="AD183" s="52" t="str">
        <x:f>IF(COUNT($Y183,$Z183)=2,"Yes","No")</x:f>
        <x:v>No</x:v>
      </x:c>
      <x:c r="AE183" s="50" t="str"/>
      <x:c r="AF183" t="str"/>
    </x:row>
    <x:row r="184" ht="20" customHeight="1">
      <x:c r="A184" s="50" t="str">
        <x:v>TRT-0027</x:v>
      </x:c>
      <x:c r="B184" s="50" t="str">
        <x:v>Candidate treatment group</x:v>
      </x:c>
      <x:c r="C184" s="52" t="str">
        <x:f>IF('Deal_Master_Wide'!$AU$29="","",'Deal_Master_Wide'!$AU$29)</x:f>
        <x:v>Not reviewed</x:v>
      </x:c>
      <x:c r="D184" s="52" t="str">
        <x:f>IF('Deal_Master_Wide'!$AV$29="","",'Deal_Master_Wide'!$AV$29)</x:f>
        <x:v>Not assessed</x:v>
      </x:c>
      <x:c r="E184" s="50" t="n">
        <x:v>1</x:v>
      </x:c>
      <x:c r="F184" s="52" t="str">
        <x:f>IF(OR($C184="High-confidence innovation-driven",$C184="Medium-confidence innovation-driven"),1,IF($C184="Clear alternative-rationale",0,""))</x:f>
      </x:c>
      <x:c r="G184" s="52" t="str">
        <x:f>IF('Deal_Master_Wide'!$M$29="","",'Deal_Master_Wide'!$M$29)</x:f>
        <x:v>Review</x:v>
      </x:c>
      <x:c r="H184" s="50" t="str">
        <x:v>BioGaia AB</x:v>
      </x:c>
      <x:c r="I184" s="50" t="str">
        <x:v>MetaboGen AB</x:v>
      </x:c>
      <x:c r="J184" s="50" t="n">
        <x:v>2015</x:v>
      </x:c>
      <x:c r="K184" s="50" t="n">
        <x:v>-3</x:v>
      </x:c>
      <x:c r="L184" s="50" t="n">
        <x:v>2012</x:v>
      </x:c>
      <x:c r="M184" s="50" t="n">
        <x:v>0</x:v>
      </x:c>
      <x:c r="N184" s="50" t="n">
        <x:v>0</x:v>
      </x:c>
      <x:c r="O184" s="52" t="str">
        <x:f>IF($F184="","",$F184*$M184)</x:f>
      </x:c>
      <x:c r="P184" s="54" t="str">
        <x:f>IF(ISBLANK('Deal_Master_Wide'!$BP$29),"",'Deal_Master_Wide'!$BP$29)</x:f>
      </x:c>
      <x:c r="Q184" s="54" t="str">
        <x:f>IF(ISBLANK('Deal_Master_Wide'!$BW$29),"",'Deal_Master_Wide'!$BW$29)</x:f>
      </x:c>
      <x:c r="R184" s="54" t="str">
        <x:f>IF(ISBLANK('Deal_Master_Wide'!$CD$29),"",'Deal_Master_Wide'!$CD$29)</x:f>
      </x:c>
      <x:c r="S184" s="54" t="str">
        <x:f>IF(ISBLANK('Deal_Master_Wide'!$CK$29),"",'Deal_Master_Wide'!$CK$29)</x:f>
      </x:c>
      <x:c r="T184" s="54" t="str">
        <x:f>IF(ISBLANK('Deal_Master_Wide'!$CR$29),"",'Deal_Master_Wide'!$CR$29)</x:f>
      </x:c>
      <x:c r="U184" s="54" t="str">
        <x:f>IF(ISBLANK('Deal_Master_Wide'!$CY$29),"",'Deal_Master_Wide'!$CY$29)</x:f>
      </x:c>
      <x:c r="V184" s="56" t="str">
        <x:f>IF(ISBLANK('Deal_Master_Wide'!$DF$29),"",'Deal_Master_Wide'!$DF$29)</x:f>
      </x:c>
      <x:c r="W184" s="56" t="str">
        <x:f>IF(ISBLANK('Deal_Master_Wide'!$DM$29),"",'Deal_Master_Wide'!$DM$29)</x:f>
      </x:c>
      <x:c r="X184" s="56" t="str">
        <x:f>IF(ISBLANK('Deal_Master_Wide'!$DT$29),"",'Deal_Master_Wide'!$DT$29)</x:f>
      </x:c>
      <x:c r="Y184" s="54" t="str">
        <x:f>IF(ISBLANK('Deal_Master_Wide'!$EA$29),"",'Deal_Master_Wide'!$EA$29)</x:f>
      </x:c>
      <x:c r="Z184" s="54" t="str">
        <x:f>IF(ISBLANK('Deal_Master_Wide'!$EH$29),"",'Deal_Master_Wide'!$EH$29)</x:f>
      </x:c>
      <x:c r="AA184" s="52" t="str">
        <x:f>IF(ISBLANK('Deal_Master_Wide'!$AL$29),"",'Deal_Master_Wide'!$AL$29)</x:f>
        <x:v>Unknown</x:v>
      </x:c>
      <x:c r="AB184" s="54" t="n">
        <x:f>IF(ISBLANK('Deal_Master_Wide'!$AF$29),"",'Deal_Master_Wide'!$AF$29)</x:f>
        <x:v>0</x:v>
      </x:c>
      <x:c r="AC184" s="52" t="str">
        <x:f>IF(COUNT($P184,$Q184,$R184,$S184,$T184,$U184,$V184,$W184,$X184)=9,"Yes","No")</x:f>
        <x:v>No</x:v>
      </x:c>
      <x:c r="AD184" s="52" t="str">
        <x:f>IF(COUNT($Y184,$Z184)=2,"Yes","No")</x:f>
        <x:v>No</x:v>
      </x:c>
      <x:c r="AE184" s="50" t="str"/>
      <x:c r="AF184" t="str"/>
    </x:row>
    <x:row r="185" ht="20" customHeight="1">
      <x:c r="A185" s="50" t="str">
        <x:v>TRT-0027</x:v>
      </x:c>
      <x:c r="B185" s="50" t="str">
        <x:v>Candidate treatment group</x:v>
      </x:c>
      <x:c r="C185" s="52" t="str">
        <x:f>IF('Deal_Master_Wide'!$AU$29="","",'Deal_Master_Wide'!$AU$29)</x:f>
        <x:v>Not reviewed</x:v>
      </x:c>
      <x:c r="D185" s="52" t="str">
        <x:f>IF('Deal_Master_Wide'!$AV$29="","",'Deal_Master_Wide'!$AV$29)</x:f>
        <x:v>Not assessed</x:v>
      </x:c>
      <x:c r="E185" s="50" t="n">
        <x:v>1</x:v>
      </x:c>
      <x:c r="F185" s="52" t="str">
        <x:f>IF(OR($C185="High-confidence innovation-driven",$C185="Medium-confidence innovation-driven"),1,IF($C185="Clear alternative-rationale",0,""))</x:f>
      </x:c>
      <x:c r="G185" s="52" t="str">
        <x:f>IF('Deal_Master_Wide'!$M$29="","",'Deal_Master_Wide'!$M$29)</x:f>
        <x:v>Review</x:v>
      </x:c>
      <x:c r="H185" s="50" t="str">
        <x:v>BioGaia AB</x:v>
      </x:c>
      <x:c r="I185" s="50" t="str">
        <x:v>MetaboGen AB</x:v>
      </x:c>
      <x:c r="J185" s="50" t="n">
        <x:v>2015</x:v>
      </x:c>
      <x:c r="K185" s="50" t="n">
        <x:v>-2</x:v>
      </x:c>
      <x:c r="L185" s="50" t="n">
        <x:v>2013</x:v>
      </x:c>
      <x:c r="M185" s="50" t="n">
        <x:v>0</x:v>
      </x:c>
      <x:c r="N185" s="50" t="n">
        <x:v>0</x:v>
      </x:c>
      <x:c r="O185" s="52" t="str">
        <x:f>IF($F185="","",$F185*$M185)</x:f>
      </x:c>
      <x:c r="P185" s="54" t="str">
        <x:f>IF(ISBLANK('Deal_Master_Wide'!$BQ$29),"",'Deal_Master_Wide'!$BQ$29)</x:f>
      </x:c>
      <x:c r="Q185" s="54" t="str">
        <x:f>IF(ISBLANK('Deal_Master_Wide'!$BX$29),"",'Deal_Master_Wide'!$BX$29)</x:f>
      </x:c>
      <x:c r="R185" s="54" t="str">
        <x:f>IF(ISBLANK('Deal_Master_Wide'!$CE$29),"",'Deal_Master_Wide'!$CE$29)</x:f>
      </x:c>
      <x:c r="S185" s="54" t="str">
        <x:f>IF(ISBLANK('Deal_Master_Wide'!$CL$29),"",'Deal_Master_Wide'!$CL$29)</x:f>
      </x:c>
      <x:c r="T185" s="54" t="str">
        <x:f>IF(ISBLANK('Deal_Master_Wide'!$CS$29),"",'Deal_Master_Wide'!$CS$29)</x:f>
      </x:c>
      <x:c r="U185" s="54" t="str">
        <x:f>IF(ISBLANK('Deal_Master_Wide'!$CZ$29),"",'Deal_Master_Wide'!$CZ$29)</x:f>
      </x:c>
      <x:c r="V185" s="56" t="str">
        <x:f>IF(ISBLANK('Deal_Master_Wide'!$DG$29),"",'Deal_Master_Wide'!$DG$29)</x:f>
      </x:c>
      <x:c r="W185" s="56" t="str">
        <x:f>IF(ISBLANK('Deal_Master_Wide'!$DN$29),"",'Deal_Master_Wide'!$DN$29)</x:f>
      </x:c>
      <x:c r="X185" s="56" t="str">
        <x:f>IF(ISBLANK('Deal_Master_Wide'!$DU$29),"",'Deal_Master_Wide'!$DU$29)</x:f>
      </x:c>
      <x:c r="Y185" s="54" t="str">
        <x:f>IF(ISBLANK('Deal_Master_Wide'!$EB$29),"",'Deal_Master_Wide'!$EB$29)</x:f>
      </x:c>
      <x:c r="Z185" s="54" t="str">
        <x:f>IF(ISBLANK('Deal_Master_Wide'!$EI$29),"",'Deal_Master_Wide'!$EI$29)</x:f>
      </x:c>
      <x:c r="AA185" s="52" t="str">
        <x:f>IF(ISBLANK('Deal_Master_Wide'!$AL$29),"",'Deal_Master_Wide'!$AL$29)</x:f>
        <x:v>Unknown</x:v>
      </x:c>
      <x:c r="AB185" s="54" t="n">
        <x:f>IF(ISBLANK('Deal_Master_Wide'!$AF$29),"",'Deal_Master_Wide'!$AF$29)</x:f>
        <x:v>0</x:v>
      </x:c>
      <x:c r="AC185" s="52" t="str">
        <x:f>IF(COUNT($P185,$Q185,$R185,$S185,$T185,$U185,$V185,$W185,$X185)=9,"Yes","No")</x:f>
        <x:v>No</x:v>
      </x:c>
      <x:c r="AD185" s="52" t="str">
        <x:f>IF(COUNT($Y185,$Z185)=2,"Yes","No")</x:f>
        <x:v>No</x:v>
      </x:c>
      <x:c r="AE185" s="50" t="str"/>
      <x:c r="AF185" t="str"/>
    </x:row>
    <x:row r="186" ht="20" customHeight="1">
      <x:c r="A186" s="50" t="str">
        <x:v>TRT-0027</x:v>
      </x:c>
      <x:c r="B186" s="50" t="str">
        <x:v>Candidate treatment group</x:v>
      </x:c>
      <x:c r="C186" s="52" t="str">
        <x:f>IF('Deal_Master_Wide'!$AU$29="","",'Deal_Master_Wide'!$AU$29)</x:f>
        <x:v>Not reviewed</x:v>
      </x:c>
      <x:c r="D186" s="52" t="str">
        <x:f>IF('Deal_Master_Wide'!$AV$29="","",'Deal_Master_Wide'!$AV$29)</x:f>
        <x:v>Not assessed</x:v>
      </x:c>
      <x:c r="E186" s="50" t="n">
        <x:v>1</x:v>
      </x:c>
      <x:c r="F186" s="52" t="str">
        <x:f>IF(OR($C186="High-confidence innovation-driven",$C186="Medium-confidence innovation-driven"),1,IF($C186="Clear alternative-rationale",0,""))</x:f>
      </x:c>
      <x:c r="G186" s="52" t="str">
        <x:f>IF('Deal_Master_Wide'!$M$29="","",'Deal_Master_Wide'!$M$29)</x:f>
        <x:v>Review</x:v>
      </x:c>
      <x:c r="H186" s="50" t="str">
        <x:v>BioGaia AB</x:v>
      </x:c>
      <x:c r="I186" s="50" t="str">
        <x:v>MetaboGen AB</x:v>
      </x:c>
      <x:c r="J186" s="50" t="n">
        <x:v>2015</x:v>
      </x:c>
      <x:c r="K186" s="50" t="n">
        <x:v>-1</x:v>
      </x:c>
      <x:c r="L186" s="50" t="n">
        <x:v>2014</x:v>
      </x:c>
      <x:c r="M186" s="50" t="n">
        <x:v>0</x:v>
      </x:c>
      <x:c r="N186" s="50" t="n">
        <x:v>0</x:v>
      </x:c>
      <x:c r="O186" s="52" t="str">
        <x:f>IF($F186="","",$F186*$M186)</x:f>
      </x:c>
      <x:c r="P186" s="54" t="str">
        <x:f>IF(ISBLANK('Deal_Master_Wide'!$BR$29),"",'Deal_Master_Wide'!$BR$29)</x:f>
      </x:c>
      <x:c r="Q186" s="54" t="str">
        <x:f>IF(ISBLANK('Deal_Master_Wide'!$BY$29),"",'Deal_Master_Wide'!$BY$29)</x:f>
      </x:c>
      <x:c r="R186" s="54" t="str">
        <x:f>IF(ISBLANK('Deal_Master_Wide'!$CF$29),"",'Deal_Master_Wide'!$CF$29)</x:f>
      </x:c>
      <x:c r="S186" s="54" t="str">
        <x:f>IF(ISBLANK('Deal_Master_Wide'!$CM$29),"",'Deal_Master_Wide'!$CM$29)</x:f>
      </x:c>
      <x:c r="T186" s="54" t="str">
        <x:f>IF(ISBLANK('Deal_Master_Wide'!$CT$29),"",'Deal_Master_Wide'!$CT$29)</x:f>
      </x:c>
      <x:c r="U186" s="54" t="str">
        <x:f>IF(ISBLANK('Deal_Master_Wide'!$DA$29),"",'Deal_Master_Wide'!$DA$29)</x:f>
      </x:c>
      <x:c r="V186" s="56" t="str">
        <x:f>IF(ISBLANK('Deal_Master_Wide'!$DH$29),"",'Deal_Master_Wide'!$DH$29)</x:f>
      </x:c>
      <x:c r="W186" s="56" t="str">
        <x:f>IF(ISBLANK('Deal_Master_Wide'!$DO$29),"",'Deal_Master_Wide'!$DO$29)</x:f>
      </x:c>
      <x:c r="X186" s="56" t="str">
        <x:f>IF(ISBLANK('Deal_Master_Wide'!$DV$29),"",'Deal_Master_Wide'!$DV$29)</x:f>
      </x:c>
      <x:c r="Y186" s="54" t="str">
        <x:f>IF(ISBLANK('Deal_Master_Wide'!$EC$29),"",'Deal_Master_Wide'!$EC$29)</x:f>
      </x:c>
      <x:c r="Z186" s="54" t="str">
        <x:f>IF(ISBLANK('Deal_Master_Wide'!$EJ$29),"",'Deal_Master_Wide'!$EJ$29)</x:f>
      </x:c>
      <x:c r="AA186" s="52" t="str">
        <x:f>IF(ISBLANK('Deal_Master_Wide'!$AL$29),"",'Deal_Master_Wide'!$AL$29)</x:f>
        <x:v>Unknown</x:v>
      </x:c>
      <x:c r="AB186" s="54" t="n">
        <x:f>IF(ISBLANK('Deal_Master_Wide'!$AF$29),"",'Deal_Master_Wide'!$AF$29)</x:f>
        <x:v>0</x:v>
      </x:c>
      <x:c r="AC186" s="52" t="str">
        <x:f>IF(COUNT($P186,$Q186,$R186,$S186,$T186,$U186,$V186,$W186,$X186)=9,"Yes","No")</x:f>
        <x:v>No</x:v>
      </x:c>
      <x:c r="AD186" s="52" t="str">
        <x:f>IF(COUNT($Y186,$Z186)=2,"Yes","No")</x:f>
        <x:v>No</x:v>
      </x:c>
      <x:c r="AE186" s="50" t="str"/>
      <x:c r="AF186" t="str"/>
    </x:row>
    <x:row r="187" ht="20" customHeight="1">
      <x:c r="A187" s="50" t="str">
        <x:v>TRT-0027</x:v>
      </x:c>
      <x:c r="B187" s="50" t="str">
        <x:v>Candidate treatment group</x:v>
      </x:c>
      <x:c r="C187" s="52" t="str">
        <x:f>IF('Deal_Master_Wide'!$AU$29="","",'Deal_Master_Wide'!$AU$29)</x:f>
        <x:v>Not reviewed</x:v>
      </x:c>
      <x:c r="D187" s="52" t="str">
        <x:f>IF('Deal_Master_Wide'!$AV$29="","",'Deal_Master_Wide'!$AV$29)</x:f>
        <x:v>Not assessed</x:v>
      </x:c>
      <x:c r="E187" s="50" t="n">
        <x:v>1</x:v>
      </x:c>
      <x:c r="F187" s="52" t="str">
        <x:f>IF(OR($C187="High-confidence innovation-driven",$C187="Medium-confidence innovation-driven"),1,IF($C187="Clear alternative-rationale",0,""))</x:f>
      </x:c>
      <x:c r="G187" s="52" t="str">
        <x:f>IF('Deal_Master_Wide'!$M$29="","",'Deal_Master_Wide'!$M$29)</x:f>
        <x:v>Review</x:v>
      </x:c>
      <x:c r="H187" s="50" t="str">
        <x:v>BioGaia AB</x:v>
      </x:c>
      <x:c r="I187" s="50" t="str">
        <x:v>MetaboGen AB</x:v>
      </x:c>
      <x:c r="J187" s="50" t="n">
        <x:v>2015</x:v>
      </x:c>
      <x:c r="K187" s="50" t="n">
        <x:v>0</x:v>
      </x:c>
      <x:c r="L187" s="50" t="n">
        <x:v>2015</x:v>
      </x:c>
      <x:c r="M187" s="50" t="n">
        <x:v>0</x:v>
      </x:c>
      <x:c r="N187" s="50" t="n">
        <x:v>1</x:v>
      </x:c>
      <x:c r="O187" s="52" t="str">
        <x:f>IF($F187="","",$F187*$M187)</x:f>
      </x:c>
      <x:c r="P187" s="54" t="str">
        <x:f>IF(ISBLANK('Deal_Master_Wide'!$BS$29),"",'Deal_Master_Wide'!$BS$29)</x:f>
      </x:c>
      <x:c r="Q187" s="54" t="str">
        <x:f>IF(ISBLANK('Deal_Master_Wide'!$BZ$29),"",'Deal_Master_Wide'!$BZ$29)</x:f>
      </x:c>
      <x:c r="R187" s="54" t="str">
        <x:f>IF(ISBLANK('Deal_Master_Wide'!$CG$29),"",'Deal_Master_Wide'!$CG$29)</x:f>
      </x:c>
      <x:c r="S187" s="54" t="str">
        <x:f>IF(ISBLANK('Deal_Master_Wide'!$CN$29),"",'Deal_Master_Wide'!$CN$29)</x:f>
      </x:c>
      <x:c r="T187" s="54" t="str">
        <x:f>IF(ISBLANK('Deal_Master_Wide'!$CU$29),"",'Deal_Master_Wide'!$CU$29)</x:f>
      </x:c>
      <x:c r="U187" s="54" t="str">
        <x:f>IF(ISBLANK('Deal_Master_Wide'!$DB$29),"",'Deal_Master_Wide'!$DB$29)</x:f>
      </x:c>
      <x:c r="V187" s="56" t="str">
        <x:f>IF(ISBLANK('Deal_Master_Wide'!$DI$29),"",'Deal_Master_Wide'!$DI$29)</x:f>
      </x:c>
      <x:c r="W187" s="56" t="str">
        <x:f>IF(ISBLANK('Deal_Master_Wide'!$DP$29),"",'Deal_Master_Wide'!$DP$29)</x:f>
      </x:c>
      <x:c r="X187" s="56" t="str">
        <x:f>IF(ISBLANK('Deal_Master_Wide'!$DW$29),"",'Deal_Master_Wide'!$DW$29)</x:f>
      </x:c>
      <x:c r="Y187" s="54" t="str">
        <x:f>IF(ISBLANK('Deal_Master_Wide'!$ED$29),"",'Deal_Master_Wide'!$ED$29)</x:f>
      </x:c>
      <x:c r="Z187" s="54" t="str">
        <x:f>IF(ISBLANK('Deal_Master_Wide'!$EK$29),"",'Deal_Master_Wide'!$EK$29)</x:f>
      </x:c>
      <x:c r="AA187" s="52" t="str">
        <x:f>IF(ISBLANK('Deal_Master_Wide'!$AL$29),"",'Deal_Master_Wide'!$AL$29)</x:f>
        <x:v>Unknown</x:v>
      </x:c>
      <x:c r="AB187" s="54" t="n">
        <x:f>IF(ISBLANK('Deal_Master_Wide'!$AF$29),"",'Deal_Master_Wide'!$AF$29)</x:f>
        <x:v>0</x:v>
      </x:c>
      <x:c r="AC187" s="52" t="str">
        <x:f>IF(COUNT($P187,$Q187,$R187,$S187,$T187,$U187,$V187,$W187,$X187)=9,"Yes","No")</x:f>
        <x:v>No</x:v>
      </x:c>
      <x:c r="AD187" s="52" t="str">
        <x:f>IF(COUNT($Y187,$Z187)=2,"Yes","No")</x:f>
        <x:v>No</x:v>
      </x:c>
      <x:c r="AE187" s="50" t="str"/>
      <x:c r="AF187" t="str"/>
    </x:row>
    <x:row r="188" ht="20" customHeight="1">
      <x:c r="A188" s="50" t="str">
        <x:v>TRT-0027</x:v>
      </x:c>
      <x:c r="B188" s="50" t="str">
        <x:v>Candidate treatment group</x:v>
      </x:c>
      <x:c r="C188" s="52" t="str">
        <x:f>IF('Deal_Master_Wide'!$AU$29="","",'Deal_Master_Wide'!$AU$29)</x:f>
        <x:v>Not reviewed</x:v>
      </x:c>
      <x:c r="D188" s="52" t="str">
        <x:f>IF('Deal_Master_Wide'!$AV$29="","",'Deal_Master_Wide'!$AV$29)</x:f>
        <x:v>Not assessed</x:v>
      </x:c>
      <x:c r="E188" s="50" t="n">
        <x:v>1</x:v>
      </x:c>
      <x:c r="F188" s="52" t="str">
        <x:f>IF(OR($C188="High-confidence innovation-driven",$C188="Medium-confidence innovation-driven"),1,IF($C188="Clear alternative-rationale",0,""))</x:f>
      </x:c>
      <x:c r="G188" s="52" t="str">
        <x:f>IF('Deal_Master_Wide'!$M$29="","",'Deal_Master_Wide'!$M$29)</x:f>
        <x:v>Review</x:v>
      </x:c>
      <x:c r="H188" s="50" t="str">
        <x:v>BioGaia AB</x:v>
      </x:c>
      <x:c r="I188" s="50" t="str">
        <x:v>MetaboGen AB</x:v>
      </x:c>
      <x:c r="J188" s="50" t="n">
        <x:v>2015</x:v>
      </x:c>
      <x:c r="K188" s="50" t="n">
        <x:v>1</x:v>
      </x:c>
      <x:c r="L188" s="50" t="n">
        <x:v>2016</x:v>
      </x:c>
      <x:c r="M188" s="50" t="n">
        <x:v>1</x:v>
      </x:c>
      <x:c r="N188" s="50" t="n">
        <x:v>1</x:v>
      </x:c>
      <x:c r="O188" s="52" t="str">
        <x:f>IF($F188="","",$F188*$M188)</x:f>
      </x:c>
      <x:c r="P188" s="54" t="str">
        <x:f>IF(ISBLANK('Deal_Master_Wide'!$BT$29),"",'Deal_Master_Wide'!$BT$29)</x:f>
      </x:c>
      <x:c r="Q188" s="54" t="str">
        <x:f>IF(ISBLANK('Deal_Master_Wide'!$CA$29),"",'Deal_Master_Wide'!$CA$29)</x:f>
      </x:c>
      <x:c r="R188" s="54" t="str">
        <x:f>IF(ISBLANK('Deal_Master_Wide'!$CH$29),"",'Deal_Master_Wide'!$CH$29)</x:f>
      </x:c>
      <x:c r="S188" s="54" t="str">
        <x:f>IF(ISBLANK('Deal_Master_Wide'!$CO$29),"",'Deal_Master_Wide'!$CO$29)</x:f>
      </x:c>
      <x:c r="T188" s="54" t="str">
        <x:f>IF(ISBLANK('Deal_Master_Wide'!$CV$29),"",'Deal_Master_Wide'!$CV$29)</x:f>
      </x:c>
      <x:c r="U188" s="54" t="str">
        <x:f>IF(ISBLANK('Deal_Master_Wide'!$DC$29),"",'Deal_Master_Wide'!$DC$29)</x:f>
      </x:c>
      <x:c r="V188" s="56" t="str">
        <x:f>IF(ISBLANK('Deal_Master_Wide'!$DJ$29),"",'Deal_Master_Wide'!$DJ$29)</x:f>
      </x:c>
      <x:c r="W188" s="56" t="str">
        <x:f>IF(ISBLANK('Deal_Master_Wide'!$DQ$29),"",'Deal_Master_Wide'!$DQ$29)</x:f>
      </x:c>
      <x:c r="X188" s="56" t="str">
        <x:f>IF(ISBLANK('Deal_Master_Wide'!$DX$29),"",'Deal_Master_Wide'!$DX$29)</x:f>
      </x:c>
      <x:c r="Y188" s="54" t="str">
        <x:f>IF(ISBLANK('Deal_Master_Wide'!$EE$29),"",'Deal_Master_Wide'!$EE$29)</x:f>
      </x:c>
      <x:c r="Z188" s="54" t="str">
        <x:f>IF(ISBLANK('Deal_Master_Wide'!$EL$29),"",'Deal_Master_Wide'!$EL$29)</x:f>
      </x:c>
      <x:c r="AA188" s="52" t="str">
        <x:f>IF(ISBLANK('Deal_Master_Wide'!$AL$29),"",'Deal_Master_Wide'!$AL$29)</x:f>
        <x:v>Unknown</x:v>
      </x:c>
      <x:c r="AB188" s="54" t="n">
        <x:f>IF(ISBLANK('Deal_Master_Wide'!$AF$29),"",'Deal_Master_Wide'!$AF$29)</x:f>
        <x:v>0</x:v>
      </x:c>
      <x:c r="AC188" s="52" t="str">
        <x:f>IF(COUNT($P188,$Q188,$R188,$S188,$T188,$U188,$V188,$W188,$X188)=9,"Yes","No")</x:f>
        <x:v>No</x:v>
      </x:c>
      <x:c r="AD188" s="52" t="str">
        <x:f>IF(COUNT($Y188,$Z188)=2,"Yes","No")</x:f>
        <x:v>No</x:v>
      </x:c>
      <x:c r="AE188" s="50" t="str"/>
      <x:c r="AF188" t="str"/>
    </x:row>
    <x:row r="189" ht="20" customHeight="1">
      <x:c r="A189" s="50" t="str">
        <x:v>TRT-0027</x:v>
      </x:c>
      <x:c r="B189" s="50" t="str">
        <x:v>Candidate treatment group</x:v>
      </x:c>
      <x:c r="C189" s="52" t="str">
        <x:f>IF('Deal_Master_Wide'!$AU$29="","",'Deal_Master_Wide'!$AU$29)</x:f>
        <x:v>Not reviewed</x:v>
      </x:c>
      <x:c r="D189" s="52" t="str">
        <x:f>IF('Deal_Master_Wide'!$AV$29="","",'Deal_Master_Wide'!$AV$29)</x:f>
        <x:v>Not assessed</x:v>
      </x:c>
      <x:c r="E189" s="50" t="n">
        <x:v>1</x:v>
      </x:c>
      <x:c r="F189" s="52" t="str">
        <x:f>IF(OR($C189="High-confidence innovation-driven",$C189="Medium-confidence innovation-driven"),1,IF($C189="Clear alternative-rationale",0,""))</x:f>
      </x:c>
      <x:c r="G189" s="52" t="str">
        <x:f>IF('Deal_Master_Wide'!$M$29="","",'Deal_Master_Wide'!$M$29)</x:f>
        <x:v>Review</x:v>
      </x:c>
      <x:c r="H189" s="50" t="str">
        <x:v>BioGaia AB</x:v>
      </x:c>
      <x:c r="I189" s="50" t="str">
        <x:v>MetaboGen AB</x:v>
      </x:c>
      <x:c r="J189" s="50" t="n">
        <x:v>2015</x:v>
      </x:c>
      <x:c r="K189" s="50" t="n">
        <x:v>2</x:v>
      </x:c>
      <x:c r="L189" s="50" t="n">
        <x:v>2017</x:v>
      </x:c>
      <x:c r="M189" s="50" t="n">
        <x:v>1</x:v>
      </x:c>
      <x:c r="N189" s="50" t="n">
        <x:v>1</x:v>
      </x:c>
      <x:c r="O189" s="52" t="str">
        <x:f>IF($F189="","",$F189*$M189)</x:f>
      </x:c>
      <x:c r="P189" s="54" t="str">
        <x:f>IF(ISBLANK('Deal_Master_Wide'!$BU$29),"",'Deal_Master_Wide'!$BU$29)</x:f>
      </x:c>
      <x:c r="Q189" s="54" t="str">
        <x:f>IF(ISBLANK('Deal_Master_Wide'!$CB$29),"",'Deal_Master_Wide'!$CB$29)</x:f>
      </x:c>
      <x:c r="R189" s="54" t="str">
        <x:f>IF(ISBLANK('Deal_Master_Wide'!$CI$29),"",'Deal_Master_Wide'!$CI$29)</x:f>
      </x:c>
      <x:c r="S189" s="54" t="str">
        <x:f>IF(ISBLANK('Deal_Master_Wide'!$CP$29),"",'Deal_Master_Wide'!$CP$29)</x:f>
      </x:c>
      <x:c r="T189" s="54" t="str">
        <x:f>IF(ISBLANK('Deal_Master_Wide'!$CW$29),"",'Deal_Master_Wide'!$CW$29)</x:f>
      </x:c>
      <x:c r="U189" s="54" t="str">
        <x:f>IF(ISBLANK('Deal_Master_Wide'!$DD$29),"",'Deal_Master_Wide'!$DD$29)</x:f>
      </x:c>
      <x:c r="V189" s="56" t="str">
        <x:f>IF(ISBLANK('Deal_Master_Wide'!$DK$29),"",'Deal_Master_Wide'!$DK$29)</x:f>
      </x:c>
      <x:c r="W189" s="56" t="str">
        <x:f>IF(ISBLANK('Deal_Master_Wide'!$DR$29),"",'Deal_Master_Wide'!$DR$29)</x:f>
      </x:c>
      <x:c r="X189" s="56" t="str">
        <x:f>IF(ISBLANK('Deal_Master_Wide'!$DY$29),"",'Deal_Master_Wide'!$DY$29)</x:f>
      </x:c>
      <x:c r="Y189" s="54" t="str">
        <x:f>IF(ISBLANK('Deal_Master_Wide'!$EF$29),"",'Deal_Master_Wide'!$EF$29)</x:f>
      </x:c>
      <x:c r="Z189" s="54" t="str">
        <x:f>IF(ISBLANK('Deal_Master_Wide'!$EM$29),"",'Deal_Master_Wide'!$EM$29)</x:f>
      </x:c>
      <x:c r="AA189" s="52" t="str">
        <x:f>IF(ISBLANK('Deal_Master_Wide'!$AL$29),"",'Deal_Master_Wide'!$AL$29)</x:f>
        <x:v>Unknown</x:v>
      </x:c>
      <x:c r="AB189" s="54" t="n">
        <x:f>IF(ISBLANK('Deal_Master_Wide'!$AF$29),"",'Deal_Master_Wide'!$AF$29)</x:f>
        <x:v>0</x:v>
      </x:c>
      <x:c r="AC189" s="52" t="str">
        <x:f>IF(COUNT($P189,$Q189,$R189,$S189,$T189,$U189,$V189,$W189,$X189)=9,"Yes","No")</x:f>
        <x:v>No</x:v>
      </x:c>
      <x:c r="AD189" s="52" t="str">
        <x:f>IF(COUNT($Y189,$Z189)=2,"Yes","No")</x:f>
        <x:v>No</x:v>
      </x:c>
      <x:c r="AE189" s="50" t="str"/>
      <x:c r="AF189" t="str"/>
    </x:row>
    <x:row r="190" ht="20" customHeight="1">
      <x:c r="A190" s="50" t="str">
        <x:v>TRT-0027</x:v>
      </x:c>
      <x:c r="B190" s="50" t="str">
        <x:v>Candidate treatment group</x:v>
      </x:c>
      <x:c r="C190" s="52" t="str">
        <x:f>IF('Deal_Master_Wide'!$AU$29="","",'Deal_Master_Wide'!$AU$29)</x:f>
        <x:v>Not reviewed</x:v>
      </x:c>
      <x:c r="D190" s="52" t="str">
        <x:f>IF('Deal_Master_Wide'!$AV$29="","",'Deal_Master_Wide'!$AV$29)</x:f>
        <x:v>Not assessed</x:v>
      </x:c>
      <x:c r="E190" s="50" t="n">
        <x:v>1</x:v>
      </x:c>
      <x:c r="F190" s="52" t="str">
        <x:f>IF(OR($C190="High-confidence innovation-driven",$C190="Medium-confidence innovation-driven"),1,IF($C190="Clear alternative-rationale",0,""))</x:f>
      </x:c>
      <x:c r="G190" s="52" t="str">
        <x:f>IF('Deal_Master_Wide'!$M$29="","",'Deal_Master_Wide'!$M$29)</x:f>
        <x:v>Review</x:v>
      </x:c>
      <x:c r="H190" s="50" t="str">
        <x:v>BioGaia AB</x:v>
      </x:c>
      <x:c r="I190" s="50" t="str">
        <x:v>MetaboGen AB</x:v>
      </x:c>
      <x:c r="J190" s="50" t="n">
        <x:v>2015</x:v>
      </x:c>
      <x:c r="K190" s="50" t="n">
        <x:v>3</x:v>
      </x:c>
      <x:c r="L190" s="50" t="n">
        <x:v>2018</x:v>
      </x:c>
      <x:c r="M190" s="50" t="n">
        <x:v>1</x:v>
      </x:c>
      <x:c r="N190" s="50" t="n">
        <x:v>1</x:v>
      </x:c>
      <x:c r="O190" s="52" t="str">
        <x:f>IF($F190="","",$F190*$M190)</x:f>
      </x:c>
      <x:c r="P190" s="54" t="str">
        <x:f>IF(ISBLANK('Deal_Master_Wide'!$BV$29),"",'Deal_Master_Wide'!$BV$29)</x:f>
      </x:c>
      <x:c r="Q190" s="54" t="str">
        <x:f>IF(ISBLANK('Deal_Master_Wide'!$CC$29),"",'Deal_Master_Wide'!$CC$29)</x:f>
      </x:c>
      <x:c r="R190" s="54" t="str">
        <x:f>IF(ISBLANK('Deal_Master_Wide'!$CJ$29),"",'Deal_Master_Wide'!$CJ$29)</x:f>
      </x:c>
      <x:c r="S190" s="54" t="str">
        <x:f>IF(ISBLANK('Deal_Master_Wide'!$CQ$29),"",'Deal_Master_Wide'!$CQ$29)</x:f>
      </x:c>
      <x:c r="T190" s="54" t="str">
        <x:f>IF(ISBLANK('Deal_Master_Wide'!$CX$29),"",'Deal_Master_Wide'!$CX$29)</x:f>
      </x:c>
      <x:c r="U190" s="54" t="str">
        <x:f>IF(ISBLANK('Deal_Master_Wide'!$DE$29),"",'Deal_Master_Wide'!$DE$29)</x:f>
      </x:c>
      <x:c r="V190" s="56" t="str">
        <x:f>IF(ISBLANK('Deal_Master_Wide'!$DL$29),"",'Deal_Master_Wide'!$DL$29)</x:f>
      </x:c>
      <x:c r="W190" s="56" t="str">
        <x:f>IF(ISBLANK('Deal_Master_Wide'!$DS$29),"",'Deal_Master_Wide'!$DS$29)</x:f>
      </x:c>
      <x:c r="X190" s="56" t="str">
        <x:f>IF(ISBLANK('Deal_Master_Wide'!$DZ$29),"",'Deal_Master_Wide'!$DZ$29)</x:f>
      </x:c>
      <x:c r="Y190" s="54" t="str">
        <x:f>IF(ISBLANK('Deal_Master_Wide'!$EG$29),"",'Deal_Master_Wide'!$EG$29)</x:f>
      </x:c>
      <x:c r="Z190" s="54" t="str">
        <x:f>IF(ISBLANK('Deal_Master_Wide'!$EN$29),"",'Deal_Master_Wide'!$EN$29)</x:f>
      </x:c>
      <x:c r="AA190" s="52" t="str">
        <x:f>IF(ISBLANK('Deal_Master_Wide'!$AL$29),"",'Deal_Master_Wide'!$AL$29)</x:f>
        <x:v>Unknown</x:v>
      </x:c>
      <x:c r="AB190" s="54" t="n">
        <x:f>IF(ISBLANK('Deal_Master_Wide'!$AF$29),"",'Deal_Master_Wide'!$AF$29)</x:f>
        <x:v>0</x:v>
      </x:c>
      <x:c r="AC190" s="52" t="str">
        <x:f>IF(COUNT($P190,$Q190,$R190,$S190,$T190,$U190,$V190,$W190,$X190)=9,"Yes","No")</x:f>
        <x:v>No</x:v>
      </x:c>
      <x:c r="AD190" s="52" t="str">
        <x:f>IF(COUNT($Y190,$Z190)=2,"Yes","No")</x:f>
        <x:v>No</x:v>
      </x:c>
      <x:c r="AE190" s="50" t="str"/>
      <x:c r="AF190" t="str"/>
    </x:row>
    <x:row r="191" ht="20" customHeight="1">
      <x:c r="A191" s="50" t="str">
        <x:v>TRT-0028</x:v>
      </x:c>
      <x:c r="B191" s="50" t="str">
        <x:v>Candidate treatment group</x:v>
      </x:c>
      <x:c r="C191" s="52" t="str">
        <x:f>IF('Deal_Master_Wide'!$AU$30="","",'Deal_Master_Wide'!$AU$30)</x:f>
        <x:v>Not reviewed</x:v>
      </x:c>
      <x:c r="D191" s="52" t="str">
        <x:f>IF('Deal_Master_Wide'!$AV$30="","",'Deal_Master_Wide'!$AV$30)</x:f>
        <x:v>Not assessed</x:v>
      </x:c>
      <x:c r="E191" s="50" t="n">
        <x:v>1</x:v>
      </x:c>
      <x:c r="F191" s="52" t="str">
        <x:f>IF(OR($C191="High-confidence innovation-driven",$C191="Medium-confidence innovation-driven"),1,IF($C191="Clear alternative-rationale",0,""))</x:f>
      </x:c>
      <x:c r="G191" s="52" t="str">
        <x:f>IF('Deal_Master_Wide'!$M$30="","",'Deal_Master_Wide'!$M$30)</x:f>
        <x:v>Review</x:v>
      </x:c>
      <x:c r="H191" s="50" t="str">
        <x:v>Chinook Therapeutics Inc</x:v>
      </x:c>
      <x:c r="I191" s="50" t="str">
        <x:v>BioNovion Holding B.V.</x:v>
      </x:c>
      <x:c r="J191" s="50" t="n">
        <x:v>2015</x:v>
      </x:c>
      <x:c r="K191" s="50" t="n">
        <x:v>-3</x:v>
      </x:c>
      <x:c r="L191" s="50" t="n">
        <x:v>2012</x:v>
      </x:c>
      <x:c r="M191" s="50" t="n">
        <x:v>0</x:v>
      </x:c>
      <x:c r="N191" s="50" t="n">
        <x:v>0</x:v>
      </x:c>
      <x:c r="O191" s="52" t="str">
        <x:f>IF($F191="","",$F191*$M191)</x:f>
      </x:c>
      <x:c r="P191" s="54" t="str">
        <x:f>IF(ISBLANK('Deal_Master_Wide'!$BP$30),"",'Deal_Master_Wide'!$BP$30)</x:f>
      </x:c>
      <x:c r="Q191" s="54" t="str">
        <x:f>IF(ISBLANK('Deal_Master_Wide'!$BW$30),"",'Deal_Master_Wide'!$BW$30)</x:f>
      </x:c>
      <x:c r="R191" s="54" t="str">
        <x:f>IF(ISBLANK('Deal_Master_Wide'!$CD$30),"",'Deal_Master_Wide'!$CD$30)</x:f>
      </x:c>
      <x:c r="S191" s="54" t="str">
        <x:f>IF(ISBLANK('Deal_Master_Wide'!$CK$30),"",'Deal_Master_Wide'!$CK$30)</x:f>
      </x:c>
      <x:c r="T191" s="54" t="str">
        <x:f>IF(ISBLANK('Deal_Master_Wide'!$CR$30),"",'Deal_Master_Wide'!$CR$30)</x:f>
      </x:c>
      <x:c r="U191" s="54" t="str">
        <x:f>IF(ISBLANK('Deal_Master_Wide'!$CY$30),"",'Deal_Master_Wide'!$CY$30)</x:f>
      </x:c>
      <x:c r="V191" s="56" t="str">
        <x:f>IF(ISBLANK('Deal_Master_Wide'!$DF$30),"",'Deal_Master_Wide'!$DF$30)</x:f>
      </x:c>
      <x:c r="W191" s="56" t="str">
        <x:f>IF(ISBLANK('Deal_Master_Wide'!$DM$30),"",'Deal_Master_Wide'!$DM$30)</x:f>
      </x:c>
      <x:c r="X191" s="56" t="str">
        <x:f>IF(ISBLANK('Deal_Master_Wide'!$DT$30),"",'Deal_Master_Wide'!$DT$30)</x:f>
      </x:c>
      <x:c r="Y191" s="54" t="str">
        <x:f>IF(ISBLANK('Deal_Master_Wide'!$EA$30),"",'Deal_Master_Wide'!$EA$30)</x:f>
      </x:c>
      <x:c r="Z191" s="54" t="str">
        <x:f>IF(ISBLANK('Deal_Master_Wide'!$EH$30),"",'Deal_Master_Wide'!$EH$30)</x:f>
      </x:c>
      <x:c r="AA191" s="52" t="str">
        <x:f>IF(ISBLANK('Deal_Master_Wide'!$AL$30),"",'Deal_Master_Wide'!$AL$30)</x:f>
        <x:v>Unknown</x:v>
      </x:c>
      <x:c r="AB191" s="54" t="n">
        <x:f>IF(ISBLANK('Deal_Master_Wide'!$AF$30),"",'Deal_Master_Wide'!$AF$30)</x:f>
        <x:v>32</x:v>
      </x:c>
      <x:c r="AC191" s="52" t="str">
        <x:f>IF(COUNT($P191,$Q191,$R191,$S191,$T191,$U191,$V191,$W191,$X191)=9,"Yes","No")</x:f>
        <x:v>No</x:v>
      </x:c>
      <x:c r="AD191" s="52" t="str">
        <x:f>IF(COUNT($Y191,$Z191)=2,"Yes","No")</x:f>
        <x:v>No</x:v>
      </x:c>
      <x:c r="AE191" s="50" t="str"/>
      <x:c r="AF191" t="str"/>
    </x:row>
    <x:row r="192" ht="20" customHeight="1">
      <x:c r="A192" s="50" t="str">
        <x:v>TRT-0028</x:v>
      </x:c>
      <x:c r="B192" s="50" t="str">
        <x:v>Candidate treatment group</x:v>
      </x:c>
      <x:c r="C192" s="52" t="str">
        <x:f>IF('Deal_Master_Wide'!$AU$30="","",'Deal_Master_Wide'!$AU$30)</x:f>
        <x:v>Not reviewed</x:v>
      </x:c>
      <x:c r="D192" s="52" t="str">
        <x:f>IF('Deal_Master_Wide'!$AV$30="","",'Deal_Master_Wide'!$AV$30)</x:f>
        <x:v>Not assessed</x:v>
      </x:c>
      <x:c r="E192" s="50" t="n">
        <x:v>1</x:v>
      </x:c>
      <x:c r="F192" s="52" t="str">
        <x:f>IF(OR($C192="High-confidence innovation-driven",$C192="Medium-confidence innovation-driven"),1,IF($C192="Clear alternative-rationale",0,""))</x:f>
      </x:c>
      <x:c r="G192" s="52" t="str">
        <x:f>IF('Deal_Master_Wide'!$M$30="","",'Deal_Master_Wide'!$M$30)</x:f>
        <x:v>Review</x:v>
      </x:c>
      <x:c r="H192" s="50" t="str">
        <x:v>Chinook Therapeutics Inc</x:v>
      </x:c>
      <x:c r="I192" s="50" t="str">
        <x:v>BioNovion Holding B.V.</x:v>
      </x:c>
      <x:c r="J192" s="50" t="n">
        <x:v>2015</x:v>
      </x:c>
      <x:c r="K192" s="50" t="n">
        <x:v>-2</x:v>
      </x:c>
      <x:c r="L192" s="50" t="n">
        <x:v>2013</x:v>
      </x:c>
      <x:c r="M192" s="50" t="n">
        <x:v>0</x:v>
      </x:c>
      <x:c r="N192" s="50" t="n">
        <x:v>0</x:v>
      </x:c>
      <x:c r="O192" s="52" t="str">
        <x:f>IF($F192="","",$F192*$M192)</x:f>
      </x:c>
      <x:c r="P192" s="54" t="n">
        <x:f>IF(ISBLANK('Deal_Master_Wide'!$BQ$30),"",'Deal_Master_Wide'!$BQ$30)</x:f>
        <x:v>0.6236</x:v>
      </x:c>
      <x:c r="Q192" s="54" t="n">
        <x:f>IF(ISBLANK('Deal_Master_Wide'!$BX$30),"",'Deal_Master_Wide'!$BX$30)</x:f>
        <x:v>-10.9476</x:v>
      </x:c>
      <x:c r="R192" s="54" t="str">
        <x:f>IF(ISBLANK('Deal_Master_Wide'!$CE$30),"",'Deal_Master_Wide'!$CE$30)</x:f>
      </x:c>
      <x:c r="S192" s="54" t="n">
        <x:f>IF(ISBLANK('Deal_Master_Wide'!$CL$30),"",'Deal_Master_Wide'!$CL$30)</x:f>
        <x:v>7.1651</x:v>
      </x:c>
      <x:c r="T192" s="54" t="n">
        <x:f>IF(ISBLANK('Deal_Master_Wide'!$CS$30),"",'Deal_Master_Wide'!$CS$30)</x:f>
        <x:v>9.4198</x:v>
      </x:c>
      <x:c r="U192" s="54" t="n">
        <x:f>IF(ISBLANK('Deal_Master_Wide'!$CZ$30),"",'Deal_Master_Wide'!$CZ$30)</x:f>
        <x:v>8.0488</x:v>
      </x:c>
      <x:c r="V192" s="56" t="str">
        <x:f>IF(ISBLANK('Deal_Master_Wide'!$DG$30),"",'Deal_Master_Wide'!$DG$30)</x:f>
      </x:c>
      <x:c r="W192" s="56" t="n">
        <x:f>IF(ISBLANK('Deal_Master_Wide'!$DN$30),"",'Deal_Master_Wide'!$DN$30)</x:f>
        <x:v>-1755.5556</x:v>
      </x:c>
      <x:c r="X192" s="56" t="n">
        <x:f>IF(ISBLANK('Deal_Master_Wide'!$DU$30),"",'Deal_Master_Wide'!$DU$30)</x:f>
        <x:v>131.4676</x:v>
      </x:c>
      <x:c r="Y192" s="54" t="str">
        <x:f>IF(ISBLANK('Deal_Master_Wide'!$EB$30),"",'Deal_Master_Wide'!$EB$30)</x:f>
      </x:c>
      <x:c r="Z192" s="54" t="str">
        <x:f>IF(ISBLANK('Deal_Master_Wide'!$EI$30),"",'Deal_Master_Wide'!$EI$30)</x:f>
      </x:c>
      <x:c r="AA192" s="52" t="str">
        <x:f>IF(ISBLANK('Deal_Master_Wide'!$AL$30),"",'Deal_Master_Wide'!$AL$30)</x:f>
        <x:v>Unknown</x:v>
      </x:c>
      <x:c r="AB192" s="54" t="n">
        <x:f>IF(ISBLANK('Deal_Master_Wide'!$AF$30),"",'Deal_Master_Wide'!$AF$30)</x:f>
        <x:v>32</x:v>
      </x:c>
      <x:c r="AC192" s="52" t="str">
        <x:f>IF(COUNT($P192,$Q192,$R192,$S192,$T192,$U192,$V192,$W192,$X192)=9,"Yes","No")</x:f>
        <x:v>No</x:v>
      </x:c>
      <x:c r="AD192" s="52" t="str">
        <x:f>IF(COUNT($Y192,$Z192)=2,"Yes","No")</x:f>
        <x:v>No</x:v>
      </x:c>
      <x:c r="AE192" s="50" t="str"/>
      <x:c r="AF192" t="str"/>
    </x:row>
    <x:row r="193" ht="20" customHeight="1">
      <x:c r="A193" s="50" t="str">
        <x:v>TRT-0028</x:v>
      </x:c>
      <x:c r="B193" s="50" t="str">
        <x:v>Candidate treatment group</x:v>
      </x:c>
      <x:c r="C193" s="52" t="str">
        <x:f>IF('Deal_Master_Wide'!$AU$30="","",'Deal_Master_Wide'!$AU$30)</x:f>
        <x:v>Not reviewed</x:v>
      </x:c>
      <x:c r="D193" s="52" t="str">
        <x:f>IF('Deal_Master_Wide'!$AV$30="","",'Deal_Master_Wide'!$AV$30)</x:f>
        <x:v>Not assessed</x:v>
      </x:c>
      <x:c r="E193" s="50" t="n">
        <x:v>1</x:v>
      </x:c>
      <x:c r="F193" s="52" t="str">
        <x:f>IF(OR($C193="High-confidence innovation-driven",$C193="Medium-confidence innovation-driven"),1,IF($C193="Clear alternative-rationale",0,""))</x:f>
      </x:c>
      <x:c r="G193" s="52" t="str">
        <x:f>IF('Deal_Master_Wide'!$M$30="","",'Deal_Master_Wide'!$M$30)</x:f>
        <x:v>Review</x:v>
      </x:c>
      <x:c r="H193" s="50" t="str">
        <x:v>Chinook Therapeutics Inc</x:v>
      </x:c>
      <x:c r="I193" s="50" t="str">
        <x:v>BioNovion Holding B.V.</x:v>
      </x:c>
      <x:c r="J193" s="50" t="n">
        <x:v>2015</x:v>
      </x:c>
      <x:c r="K193" s="50" t="n">
        <x:v>-1</x:v>
      </x:c>
      <x:c r="L193" s="50" t="n">
        <x:v>2014</x:v>
      </x:c>
      <x:c r="M193" s="50" t="n">
        <x:v>0</x:v>
      </x:c>
      <x:c r="N193" s="50" t="n">
        <x:v>0</x:v>
      </x:c>
      <x:c r="O193" s="52" t="str">
        <x:f>IF($F193="","",$F193*$M193)</x:f>
      </x:c>
      <x:c r="P193" s="54" t="n">
        <x:f>IF(ISBLANK('Deal_Master_Wide'!$BR$30),"",'Deal_Master_Wide'!$BR$30)</x:f>
        <x:v>10.0952</x:v>
      </x:c>
      <x:c r="Q193" s="54" t="n">
        <x:f>IF(ISBLANK('Deal_Master_Wide'!$BY$30),"",'Deal_Master_Wide'!$BY$30)</x:f>
        <x:v>-14.4148</x:v>
      </x:c>
      <x:c r="R193" s="54" t="n">
        <x:f>IF(ISBLANK('Deal_Master_Wide'!$CF$30),"",'Deal_Master_Wide'!$CF$30)</x:f>
        <x:v>-12.8284</x:v>
      </x:c>
      <x:c r="S193" s="54" t="n">
        <x:f>IF(ISBLANK('Deal_Master_Wide'!$CM$30),"",'Deal_Master_Wide'!$CM$30)</x:f>
        <x:v>104.514</x:v>
      </x:c>
      <x:c r="T193" s="54" t="n">
        <x:f>IF(ISBLANK('Deal_Master_Wide'!$CT$30),"",'Deal_Master_Wide'!$CT$30)</x:f>
        <x:v>0</x:v>
      </x:c>
      <x:c r="U193" s="54" t="n">
        <x:f>IF(ISBLANK('Deal_Master_Wide'!$DA$30),"",'Deal_Master_Wide'!$DA$30)</x:f>
        <x:v>17.7286</x:v>
      </x:c>
      <x:c r="V193" s="56" t="n">
        <x:f>IF(ISBLANK('Deal_Master_Wide'!$DH$30),"",'Deal_Master_Wide'!$DH$30)</x:f>
        <x:v>-24.9578</x:v>
      </x:c>
      <x:c r="W193" s="56" t="n">
        <x:f>IF(ISBLANK('Deal_Master_Wide'!$DO$30),"",'Deal_Master_Wide'!$DO$30)</x:f>
        <x:v>-142.7889</x:v>
      </x:c>
      <x:c r="X193" s="56" t="n">
        <x:f>IF(ISBLANK('Deal_Master_Wide'!$DV$30),"",'Deal_Master_Wide'!$DV$30)</x:f>
        <x:v>0</x:v>
      </x:c>
      <x:c r="Y193" s="54" t="str">
        <x:f>IF(ISBLANK('Deal_Master_Wide'!$EC$30),"",'Deal_Master_Wide'!$EC$30)</x:f>
      </x:c>
      <x:c r="Z193" s="54" t="str">
        <x:f>IF(ISBLANK('Deal_Master_Wide'!$EJ$30),"",'Deal_Master_Wide'!$EJ$30)</x:f>
      </x:c>
      <x:c r="AA193" s="52" t="str">
        <x:f>IF(ISBLANK('Deal_Master_Wide'!$AL$30),"",'Deal_Master_Wide'!$AL$30)</x:f>
        <x:v>Unknown</x:v>
      </x:c>
      <x:c r="AB193" s="54" t="n">
        <x:f>IF(ISBLANK('Deal_Master_Wide'!$AF$30),"",'Deal_Master_Wide'!$AF$30)</x:f>
        <x:v>32</x:v>
      </x:c>
      <x:c r="AC193" s="52" t="str">
        <x:f>IF(COUNT($P193,$Q193,$R193,$S193,$T193,$U193,$V193,$W193,$X193)=9,"Yes","No")</x:f>
        <x:v>Yes</x:v>
      </x:c>
      <x:c r="AD193" s="52" t="str">
        <x:f>IF(COUNT($Y193,$Z193)=2,"Yes","No")</x:f>
        <x:v>No</x:v>
      </x:c>
      <x:c r="AE193" s="50" t="str"/>
      <x:c r="AF193" t="str"/>
    </x:row>
    <x:row r="194" ht="20" customHeight="1">
      <x:c r="A194" s="50" t="str">
        <x:v>TRT-0028</x:v>
      </x:c>
      <x:c r="B194" s="50" t="str">
        <x:v>Candidate treatment group</x:v>
      </x:c>
      <x:c r="C194" s="52" t="str">
        <x:f>IF('Deal_Master_Wide'!$AU$30="","",'Deal_Master_Wide'!$AU$30)</x:f>
        <x:v>Not reviewed</x:v>
      </x:c>
      <x:c r="D194" s="52" t="str">
        <x:f>IF('Deal_Master_Wide'!$AV$30="","",'Deal_Master_Wide'!$AV$30)</x:f>
        <x:v>Not assessed</x:v>
      </x:c>
      <x:c r="E194" s="50" t="n">
        <x:v>1</x:v>
      </x:c>
      <x:c r="F194" s="52" t="str">
        <x:f>IF(OR($C194="High-confidence innovation-driven",$C194="Medium-confidence innovation-driven"),1,IF($C194="Clear alternative-rationale",0,""))</x:f>
      </x:c>
      <x:c r="G194" s="52" t="str">
        <x:f>IF('Deal_Master_Wide'!$M$30="","",'Deal_Master_Wide'!$M$30)</x:f>
        <x:v>Review</x:v>
      </x:c>
      <x:c r="H194" s="50" t="str">
        <x:v>Chinook Therapeutics Inc</x:v>
      </x:c>
      <x:c r="I194" s="50" t="str">
        <x:v>BioNovion Holding B.V.</x:v>
      </x:c>
      <x:c r="J194" s="50" t="n">
        <x:v>2015</x:v>
      </x:c>
      <x:c r="K194" s="50" t="n">
        <x:v>0</x:v>
      </x:c>
      <x:c r="L194" s="50" t="n">
        <x:v>2015</x:v>
      </x:c>
      <x:c r="M194" s="50" t="n">
        <x:v>0</x:v>
      </x:c>
      <x:c r="N194" s="50" t="n">
        <x:v>1</x:v>
      </x:c>
      <x:c r="O194" s="52" t="str">
        <x:f>IF($F194="","",$F194*$M194)</x:f>
      </x:c>
      <x:c r="P194" s="54" t="n">
        <x:f>IF(ISBLANK('Deal_Master_Wide'!$BS$30),"",'Deal_Master_Wide'!$BS$30)</x:f>
        <x:v>65.7915</x:v>
      </x:c>
      <x:c r="Q194" s="54" t="n">
        <x:f>IF(ISBLANK('Deal_Master_Wide'!$BZ$30),"",'Deal_Master_Wide'!$BZ$30)</x:f>
        <x:v>-12.2281</x:v>
      </x:c>
      <x:c r="R194" s="54" t="n">
        <x:f>IF(ISBLANK('Deal_Master_Wide'!$CG$30),"",'Deal_Master_Wide'!$CG$30)</x:f>
        <x:v>-35.3474</x:v>
      </x:c>
      <x:c r="S194" s="54" t="n">
        <x:f>IF(ISBLANK('Deal_Master_Wide'!$CN$30),"",'Deal_Master_Wide'!$CN$30)</x:f>
        <x:v>443.4244</x:v>
      </x:c>
      <x:c r="T194" s="54" t="n">
        <x:f>IF(ISBLANK('Deal_Master_Wide'!$CU$30),"",'Deal_Master_Wide'!$CU$30)</x:f>
        <x:v>0</x:v>
      </x:c>
      <x:c r="U194" s="54" t="n">
        <x:f>IF(ISBLANK('Deal_Master_Wide'!$DB$30),"",'Deal_Master_Wide'!$DB$30)</x:f>
        <x:v>52.8728</x:v>
      </x:c>
      <x:c r="V194" s="56" t="n">
        <x:f>IF(ISBLANK('Deal_Master_Wide'!$DI$30),"",'Deal_Master_Wide'!$DI$30)</x:f>
        <x:v>-12.8916</x:v>
      </x:c>
      <x:c r="W194" s="56" t="n">
        <x:f>IF(ISBLANK('Deal_Master_Wide'!$DP$30),"",'Deal_Master_Wide'!$DP$30)</x:f>
        <x:v>-18.5862</x:v>
      </x:c>
      <x:c r="X194" s="56" t="n">
        <x:f>IF(ISBLANK('Deal_Master_Wide'!$DW$30),"",'Deal_Master_Wide'!$DW$30)</x:f>
        <x:v>0</x:v>
      </x:c>
      <x:c r="Y194" s="54" t="n">
        <x:f>IF(ISBLANK('Deal_Master_Wide'!$ED$30),"",'Deal_Master_Wide'!$ED$30)</x:f>
        <x:v>2</x:v>
      </x:c>
      <x:c r="Z194" s="54" t="n">
        <x:f>IF(ISBLANK('Deal_Master_Wide'!$EK$30),"",'Deal_Master_Wide'!$EK$30)</x:f>
        <x:v>3</x:v>
      </x:c>
      <x:c r="AA194" s="52" t="str">
        <x:f>IF(ISBLANK('Deal_Master_Wide'!$AL$30),"",'Deal_Master_Wide'!$AL$30)</x:f>
        <x:v>Unknown</x:v>
      </x:c>
      <x:c r="AB194" s="54" t="n">
        <x:f>IF(ISBLANK('Deal_Master_Wide'!$AF$30),"",'Deal_Master_Wide'!$AF$30)</x:f>
        <x:v>32</x:v>
      </x:c>
      <x:c r="AC194" s="52" t="str">
        <x:f>IF(COUNT($P194,$Q194,$R194,$S194,$T194,$U194,$V194,$W194,$X194)=9,"Yes","No")</x:f>
        <x:v>Yes</x:v>
      </x:c>
      <x:c r="AD194" s="52" t="str">
        <x:f>IF(COUNT($Y194,$Z194)=2,"Yes","No")</x:f>
        <x:v>Yes</x:v>
      </x:c>
      <x:c r="AE194" s="50" t="str"/>
      <x:c r="AF194" t="str"/>
    </x:row>
    <x:row r="195" ht="20" customHeight="1">
      <x:c r="A195" s="50" t="str">
        <x:v>TRT-0028</x:v>
      </x:c>
      <x:c r="B195" s="50" t="str">
        <x:v>Candidate treatment group</x:v>
      </x:c>
      <x:c r="C195" s="52" t="str">
        <x:f>IF('Deal_Master_Wide'!$AU$30="","",'Deal_Master_Wide'!$AU$30)</x:f>
        <x:v>Not reviewed</x:v>
      </x:c>
      <x:c r="D195" s="52" t="str">
        <x:f>IF('Deal_Master_Wide'!$AV$30="","",'Deal_Master_Wide'!$AV$30)</x:f>
        <x:v>Not assessed</x:v>
      </x:c>
      <x:c r="E195" s="50" t="n">
        <x:v>1</x:v>
      </x:c>
      <x:c r="F195" s="52" t="str">
        <x:f>IF(OR($C195="High-confidence innovation-driven",$C195="Medium-confidence innovation-driven"),1,IF($C195="Clear alternative-rationale",0,""))</x:f>
      </x:c>
      <x:c r="G195" s="52" t="str">
        <x:f>IF('Deal_Master_Wide'!$M$30="","",'Deal_Master_Wide'!$M$30)</x:f>
        <x:v>Review</x:v>
      </x:c>
      <x:c r="H195" s="50" t="str">
        <x:v>Chinook Therapeutics Inc</x:v>
      </x:c>
      <x:c r="I195" s="50" t="str">
        <x:v>BioNovion Holding B.V.</x:v>
      </x:c>
      <x:c r="J195" s="50" t="n">
        <x:v>2015</x:v>
      </x:c>
      <x:c r="K195" s="50" t="n">
        <x:v>1</x:v>
      </x:c>
      <x:c r="L195" s="50" t="n">
        <x:v>2016</x:v>
      </x:c>
      <x:c r="M195" s="50" t="n">
        <x:v>1</x:v>
      </x:c>
      <x:c r="N195" s="50" t="n">
        <x:v>1</x:v>
      </x:c>
      <x:c r="O195" s="52" t="str">
        <x:f>IF($F195="","",$F195*$M195)</x:f>
      </x:c>
      <x:c r="P195" s="54" t="n">
        <x:f>IF(ISBLANK('Deal_Master_Wide'!$BT$30),"",'Deal_Master_Wide'!$BT$30)</x:f>
        <x:v>45.8136</x:v>
      </x:c>
      <x:c r="Q195" s="54" t="n">
        <x:f>IF(ISBLANK('Deal_Master_Wide'!$CA$30),"",'Deal_Master_Wide'!$CA$30)</x:f>
        <x:v>-64.9613</x:v>
      </x:c>
      <x:c r="R195" s="54" t="n">
        <x:f>IF(ISBLANK('Deal_Master_Wide'!$CH$30),"",'Deal_Master_Wide'!$CH$30)</x:f>
        <x:v>-82.3942</x:v>
      </x:c>
      <x:c r="S195" s="54" t="n">
        <x:f>IF(ISBLANK('Deal_Master_Wide'!$CO$30),"",'Deal_Master_Wide'!$CO$30)</x:f>
        <x:v>415.8633</x:v>
      </x:c>
      <x:c r="T195" s="54" t="n">
        <x:f>IF(ISBLANK('Deal_Master_Wide'!$CV$30),"",'Deal_Master_Wide'!$CV$30)</x:f>
        <x:v>0</x:v>
      </x:c>
      <x:c r="U195" s="54" t="n">
        <x:f>IF(ISBLANK('Deal_Master_Wide'!$DC$30),"",'Deal_Master_Wide'!$DC$30)</x:f>
        <x:v>79.2936</x:v>
      </x:c>
      <x:c r="V195" s="56" t="n">
        <x:f>IF(ISBLANK('Deal_Master_Wide'!$DJ$30),"",'Deal_Master_Wide'!$DJ$30)</x:f>
        <x:v>-19.8054</x:v>
      </x:c>
      <x:c r="W195" s="56" t="n">
        <x:f>IF(ISBLANK('Deal_Master_Wide'!$DQ$30),"",'Deal_Master_Wide'!$DQ$30)</x:f>
        <x:v>-141.7948</x:v>
      </x:c>
      <x:c r="X195" s="56" t="n">
        <x:f>IF(ISBLANK('Deal_Master_Wide'!$DX$30),"",'Deal_Master_Wide'!$DX$30)</x:f>
        <x:v>0</x:v>
      </x:c>
      <x:c r="Y195" s="54" t="n">
        <x:f>IF(ISBLANK('Deal_Master_Wide'!$EE$30),"",'Deal_Master_Wide'!$EE$30)</x:f>
        <x:v>1</x:v>
      </x:c>
      <x:c r="Z195" s="54" t="n">
        <x:f>IF(ISBLANK('Deal_Master_Wide'!$EL$30),"",'Deal_Master_Wide'!$EL$30)</x:f>
        <x:v>0</x:v>
      </x:c>
      <x:c r="AA195" s="52" t="str">
        <x:f>IF(ISBLANK('Deal_Master_Wide'!$AL$30),"",'Deal_Master_Wide'!$AL$30)</x:f>
        <x:v>Unknown</x:v>
      </x:c>
      <x:c r="AB195" s="54" t="n">
        <x:f>IF(ISBLANK('Deal_Master_Wide'!$AF$30),"",'Deal_Master_Wide'!$AF$30)</x:f>
        <x:v>32</x:v>
      </x:c>
      <x:c r="AC195" s="52" t="str">
        <x:f>IF(COUNT($P195,$Q195,$R195,$S195,$T195,$U195,$V195,$W195,$X195)=9,"Yes","No")</x:f>
        <x:v>Yes</x:v>
      </x:c>
      <x:c r="AD195" s="52" t="str">
        <x:f>IF(COUNT($Y195,$Z195)=2,"Yes","No")</x:f>
        <x:v>Yes</x:v>
      </x:c>
      <x:c r="AE195" s="50" t="str"/>
      <x:c r="AF195" t="str"/>
    </x:row>
    <x:row r="196" ht="20" customHeight="1">
      <x:c r="A196" s="50" t="str">
        <x:v>TRT-0028</x:v>
      </x:c>
      <x:c r="B196" s="50" t="str">
        <x:v>Candidate treatment group</x:v>
      </x:c>
      <x:c r="C196" s="52" t="str">
        <x:f>IF('Deal_Master_Wide'!$AU$30="","",'Deal_Master_Wide'!$AU$30)</x:f>
        <x:v>Not reviewed</x:v>
      </x:c>
      <x:c r="D196" s="52" t="str">
        <x:f>IF('Deal_Master_Wide'!$AV$30="","",'Deal_Master_Wide'!$AV$30)</x:f>
        <x:v>Not assessed</x:v>
      </x:c>
      <x:c r="E196" s="50" t="n">
        <x:v>1</x:v>
      </x:c>
      <x:c r="F196" s="52" t="str">
        <x:f>IF(OR($C196="High-confidence innovation-driven",$C196="Medium-confidence innovation-driven"),1,IF($C196="Clear alternative-rationale",0,""))</x:f>
      </x:c>
      <x:c r="G196" s="52" t="str">
        <x:f>IF('Deal_Master_Wide'!$M$30="","",'Deal_Master_Wide'!$M$30)</x:f>
        <x:v>Review</x:v>
      </x:c>
      <x:c r="H196" s="50" t="str">
        <x:v>Chinook Therapeutics Inc</x:v>
      </x:c>
      <x:c r="I196" s="50" t="str">
        <x:v>BioNovion Holding B.V.</x:v>
      </x:c>
      <x:c r="J196" s="50" t="n">
        <x:v>2015</x:v>
      </x:c>
      <x:c r="K196" s="50" t="n">
        <x:v>2</x:v>
      </x:c>
      <x:c r="L196" s="50" t="n">
        <x:v>2017</x:v>
      </x:c>
      <x:c r="M196" s="50" t="n">
        <x:v>1</x:v>
      </x:c>
      <x:c r="N196" s="50" t="n">
        <x:v>1</x:v>
      </x:c>
      <x:c r="O196" s="52" t="str">
        <x:f>IF($F196="","",$F196*$M196)</x:f>
      </x:c>
      <x:c r="P196" s="54" t="n">
        <x:f>IF(ISBLANK('Deal_Master_Wide'!$BU$30),"",'Deal_Master_Wide'!$BU$30)</x:f>
        <x:v>15.2911</x:v>
      </x:c>
      <x:c r="Q196" s="54" t="n">
        <x:f>IF(ISBLANK('Deal_Master_Wide'!$CB$30),"",'Deal_Master_Wide'!$CB$30)</x:f>
        <x:v>-94.4247</x:v>
      </x:c>
      <x:c r="R196" s="54" t="n">
        <x:f>IF(ISBLANK('Deal_Master_Wide'!$CI$30),"",'Deal_Master_Wide'!$CI$30)</x:f>
        <x:v>-81.4833</x:v>
      </x:c>
      <x:c r="S196" s="54" t="n">
        <x:f>IF(ISBLANK('Deal_Master_Wide'!$CP$30),"",'Deal_Master_Wide'!$CP$30)</x:f>
        <x:v>370.2612</x:v>
      </x:c>
      <x:c r="T196" s="54" t="n">
        <x:f>IF(ISBLANK('Deal_Master_Wide'!$CW$30),"",'Deal_Master_Wide'!$CW$30)</x:f>
        <x:v>0</x:v>
      </x:c>
      <x:c r="U196" s="54" t="n">
        <x:f>IF(ISBLANK('Deal_Master_Wide'!$DD$30),"",'Deal_Master_Wide'!$DD$30)</x:f>
        <x:v>79.2826</x:v>
      </x:c>
      <x:c r="V196" s="56" t="n">
        <x:f>IF(ISBLANK('Deal_Master_Wide'!$DK$30),"",'Deal_Master_Wide'!$DK$30)</x:f>
        <x:v>-20.7896</x:v>
      </x:c>
      <x:c r="W196" s="56" t="n">
        <x:f>IF(ISBLANK('Deal_Master_Wide'!$DR$30),"",'Deal_Master_Wide'!$DR$30)</x:f>
        <x:v>-617.5126</x:v>
      </x:c>
      <x:c r="X196" s="56" t="n">
        <x:f>IF(ISBLANK('Deal_Master_Wide'!$DY$30),"",'Deal_Master_Wide'!$DY$30)</x:f>
        <x:v>0</x:v>
      </x:c>
      <x:c r="Y196" s="54" t="n">
        <x:f>IF(ISBLANK('Deal_Master_Wide'!$EF$30),"",'Deal_Master_Wide'!$EF$30)</x:f>
        <x:v>2</x:v>
      </x:c>
      <x:c r="Z196" s="54" t="n">
        <x:f>IF(ISBLANK('Deal_Master_Wide'!$EM$30),"",'Deal_Master_Wide'!$EM$30)</x:f>
        <x:v>0</x:v>
      </x:c>
      <x:c r="AA196" s="52" t="str">
        <x:f>IF(ISBLANK('Deal_Master_Wide'!$AL$30),"",'Deal_Master_Wide'!$AL$30)</x:f>
        <x:v>Unknown</x:v>
      </x:c>
      <x:c r="AB196" s="54" t="n">
        <x:f>IF(ISBLANK('Deal_Master_Wide'!$AF$30),"",'Deal_Master_Wide'!$AF$30)</x:f>
        <x:v>32</x:v>
      </x:c>
      <x:c r="AC196" s="52" t="str">
        <x:f>IF(COUNT($P196,$Q196,$R196,$S196,$T196,$U196,$V196,$W196,$X196)=9,"Yes","No")</x:f>
        <x:v>Yes</x:v>
      </x:c>
      <x:c r="AD196" s="52" t="str">
        <x:f>IF(COUNT($Y196,$Z196)=2,"Yes","No")</x:f>
        <x:v>Yes</x:v>
      </x:c>
      <x:c r="AE196" s="50" t="str"/>
      <x:c r="AF196" t="str"/>
    </x:row>
    <x:row r="197" ht="20" customHeight="1">
      <x:c r="A197" s="50" t="str">
        <x:v>TRT-0028</x:v>
      </x:c>
      <x:c r="B197" s="50" t="str">
        <x:v>Candidate treatment group</x:v>
      </x:c>
      <x:c r="C197" s="52" t="str">
        <x:f>IF('Deal_Master_Wide'!$AU$30="","",'Deal_Master_Wide'!$AU$30)</x:f>
        <x:v>Not reviewed</x:v>
      </x:c>
      <x:c r="D197" s="52" t="str">
        <x:f>IF('Deal_Master_Wide'!$AV$30="","",'Deal_Master_Wide'!$AV$30)</x:f>
        <x:v>Not assessed</x:v>
      </x:c>
      <x:c r="E197" s="50" t="n">
        <x:v>1</x:v>
      </x:c>
      <x:c r="F197" s="52" t="str">
        <x:f>IF(OR($C197="High-confidence innovation-driven",$C197="Medium-confidence innovation-driven"),1,IF($C197="Clear alternative-rationale",0,""))</x:f>
      </x:c>
      <x:c r="G197" s="52" t="str">
        <x:f>IF('Deal_Master_Wide'!$M$30="","",'Deal_Master_Wide'!$M$30)</x:f>
        <x:v>Review</x:v>
      </x:c>
      <x:c r="H197" s="50" t="str">
        <x:v>Chinook Therapeutics Inc</x:v>
      </x:c>
      <x:c r="I197" s="50" t="str">
        <x:v>BioNovion Holding B.V.</x:v>
      </x:c>
      <x:c r="J197" s="50" t="n">
        <x:v>2015</x:v>
      </x:c>
      <x:c r="K197" s="50" t="n">
        <x:v>3</x:v>
      </x:c>
      <x:c r="L197" s="50" t="n">
        <x:v>2018</x:v>
      </x:c>
      <x:c r="M197" s="50" t="n">
        <x:v>1</x:v>
      </x:c>
      <x:c r="N197" s="50" t="n">
        <x:v>1</x:v>
      </x:c>
      <x:c r="O197" s="52" t="str">
        <x:f>IF($F197="","",$F197*$M197)</x:f>
      </x:c>
      <x:c r="P197" s="54" t="n">
        <x:f>IF(ISBLANK('Deal_Master_Wide'!$BV$30),"",'Deal_Master_Wide'!$BV$30)</x:f>
        <x:v>12.7858</x:v>
      </x:c>
      <x:c r="Q197" s="54" t="n">
        <x:f>IF(ISBLANK('Deal_Master_Wide'!$CC$30),"",'Deal_Master_Wide'!$CC$30)</x:f>
        <x:v>-82.5163</x:v>
      </x:c>
      <x:c r="R197" s="54" t="n">
        <x:f>IF(ISBLANK('Deal_Master_Wide'!$CJ$30),"",'Deal_Master_Wide'!$CJ$30)</x:f>
        <x:v>-80.812</x:v>
      </x:c>
      <x:c r="S197" s="54" t="n">
        <x:f>IF(ISBLANK('Deal_Master_Wide'!$CQ$30),"",'Deal_Master_Wide'!$CQ$30)</x:f>
        <x:v>312.176</x:v>
      </x:c>
      <x:c r="T197" s="54" t="n">
        <x:f>IF(ISBLANK('Deal_Master_Wide'!$CX$30),"",'Deal_Master_Wide'!$CX$30)</x:f>
        <x:v>0</x:v>
      </x:c>
      <x:c r="U197" s="54" t="n">
        <x:f>IF(ISBLANK('Deal_Master_Wide'!$DE$30),"",'Deal_Master_Wide'!$DE$30)</x:f>
        <x:v>64.2686</x:v>
      </x:c>
      <x:c r="V197" s="56" t="n">
        <x:f>IF(ISBLANK('Deal_Master_Wide'!$DL$30),"",'Deal_Master_Wide'!$DL$30)</x:f>
        <x:v>-23.7611</x:v>
      </x:c>
      <x:c r="W197" s="56" t="n">
        <x:f>IF(ISBLANK('Deal_Master_Wide'!$DS$30),"",'Deal_Master_Wide'!$DS$30)</x:f>
        <x:v>-671.8367</x:v>
      </x:c>
      <x:c r="X197" s="56" t="n">
        <x:f>IF(ISBLANK('Deal_Master_Wide'!$DZ$30),"",'Deal_Master_Wide'!$DZ$30)</x:f>
        <x:v>0</x:v>
      </x:c>
      <x:c r="Y197" s="54" t="n">
        <x:f>IF(ISBLANK('Deal_Master_Wide'!$EG$30),"",'Deal_Master_Wide'!$EG$30)</x:f>
        <x:v>1</x:v>
      </x:c>
      <x:c r="Z197" s="54" t="n">
        <x:f>IF(ISBLANK('Deal_Master_Wide'!$EN$30),"",'Deal_Master_Wide'!$EN$30)</x:f>
        <x:v>0</x:v>
      </x:c>
      <x:c r="AA197" s="52" t="str">
        <x:f>IF(ISBLANK('Deal_Master_Wide'!$AL$30),"",'Deal_Master_Wide'!$AL$30)</x:f>
        <x:v>Unknown</x:v>
      </x:c>
      <x:c r="AB197" s="54" t="n">
        <x:f>IF(ISBLANK('Deal_Master_Wide'!$AF$30),"",'Deal_Master_Wide'!$AF$30)</x:f>
        <x:v>32</x:v>
      </x:c>
      <x:c r="AC197" s="52" t="str">
        <x:f>IF(COUNT($P197,$Q197,$R197,$S197,$T197,$U197,$V197,$W197,$X197)=9,"Yes","No")</x:f>
        <x:v>Yes</x:v>
      </x:c>
      <x:c r="AD197" s="52" t="str">
        <x:f>IF(COUNT($Y197,$Z197)=2,"Yes","No")</x:f>
        <x:v>Yes</x:v>
      </x:c>
      <x:c r="AE197" s="50" t="str"/>
      <x:c r="AF197" t="str"/>
    </x:row>
    <x:row r="198" ht="20" customHeight="1">
      <x:c r="A198" s="50" t="str">
        <x:v>TRT-0029</x:v>
      </x:c>
      <x:c r="B198" s="50" t="str">
        <x:v>Candidate treatment group</x:v>
      </x:c>
      <x:c r="C198" s="52" t="str">
        <x:f>IF('Deal_Master_Wide'!$AU$31="","",'Deal_Master_Wide'!$AU$31)</x:f>
        <x:v>Not reviewed</x:v>
      </x:c>
      <x:c r="D198" s="52" t="str">
        <x:f>IF('Deal_Master_Wide'!$AV$31="","",'Deal_Master_Wide'!$AV$31)</x:f>
        <x:v>Not assessed</x:v>
      </x:c>
      <x:c r="E198" s="50" t="n">
        <x:v>1</x:v>
      </x:c>
      <x:c r="F198" s="52" t="str">
        <x:f>IF(OR($C198="High-confidence innovation-driven",$C198="Medium-confidence innovation-driven"),1,IF($C198="Clear alternative-rationale",0,""))</x:f>
      </x:c>
      <x:c r="G198" s="52" t="str">
        <x:f>IF('Deal_Master_Wide'!$M$31="","",'Deal_Master_Wide'!$M$31)</x:f>
        <x:v>Review</x:v>
      </x:c>
      <x:c r="H198" s="50" t="str">
        <x:v>Stallergenes Greer Ltd</x:v>
      </x:c>
      <x:c r="I198" s="50" t="str">
        <x:v>Greer Laboratories Inc; Stallergenes SA; Stallergenes Greer Ltd</x:v>
      </x:c>
      <x:c r="J198" s="50" t="n">
        <x:v>2015</x:v>
      </x:c>
      <x:c r="K198" s="50" t="n">
        <x:v>-3</x:v>
      </x:c>
      <x:c r="L198" s="50" t="n">
        <x:v>2012</x:v>
      </x:c>
      <x:c r="M198" s="50" t="n">
        <x:v>0</x:v>
      </x:c>
      <x:c r="N198" s="50" t="n">
        <x:v>0</x:v>
      </x:c>
      <x:c r="O198" s="52" t="str">
        <x:f>IF($F198="","",$F198*$M198)</x:f>
      </x:c>
      <x:c r="P198" s="54" t="str">
        <x:f>IF(ISBLANK('Deal_Master_Wide'!$BP$31),"",'Deal_Master_Wide'!$BP$31)</x:f>
      </x:c>
      <x:c r="Q198" s="54" t="str">
        <x:f>IF(ISBLANK('Deal_Master_Wide'!$BW$31),"",'Deal_Master_Wide'!$BW$31)</x:f>
      </x:c>
      <x:c r="R198" s="54" t="str">
        <x:f>IF(ISBLANK('Deal_Master_Wide'!$CD$31),"",'Deal_Master_Wide'!$CD$31)</x:f>
      </x:c>
      <x:c r="S198" s="54" t="str">
        <x:f>IF(ISBLANK('Deal_Master_Wide'!$CK$31),"",'Deal_Master_Wide'!$CK$31)</x:f>
      </x:c>
      <x:c r="T198" s="54" t="str">
        <x:f>IF(ISBLANK('Deal_Master_Wide'!$CR$31),"",'Deal_Master_Wide'!$CR$31)</x:f>
      </x:c>
      <x:c r="U198" s="54" t="str">
        <x:f>IF(ISBLANK('Deal_Master_Wide'!$CY$31),"",'Deal_Master_Wide'!$CY$31)</x:f>
      </x:c>
      <x:c r="V198" s="56" t="str">
        <x:f>IF(ISBLANK('Deal_Master_Wide'!$DF$31),"",'Deal_Master_Wide'!$DF$31)</x:f>
      </x:c>
      <x:c r="W198" s="56" t="str">
        <x:f>IF(ISBLANK('Deal_Master_Wide'!$DM$31),"",'Deal_Master_Wide'!$DM$31)</x:f>
      </x:c>
      <x:c r="X198" s="56" t="str">
        <x:f>IF(ISBLANK('Deal_Master_Wide'!$DT$31),"",'Deal_Master_Wide'!$DT$31)</x:f>
      </x:c>
      <x:c r="Y198" s="54" t="str">
        <x:f>IF(ISBLANK('Deal_Master_Wide'!$EA$31),"",'Deal_Master_Wide'!$EA$31)</x:f>
      </x:c>
      <x:c r="Z198" s="54" t="str">
        <x:f>IF(ISBLANK('Deal_Master_Wide'!$EH$31),"",'Deal_Master_Wide'!$EH$31)</x:f>
      </x:c>
      <x:c r="AA198" s="52" t="str">
        <x:f>IF(ISBLANK('Deal_Master_Wide'!$AL$31),"",'Deal_Master_Wide'!$AL$31)</x:f>
        <x:v>Unknown</x:v>
      </x:c>
      <x:c r="AB198" s="54" t="str">
        <x:f>IF(ISBLANK('Deal_Master_Wide'!$AF$31),"",'Deal_Master_Wide'!$AF$31)</x:f>
      </x:c>
      <x:c r="AC198" s="52" t="str">
        <x:f>IF(COUNT($P198,$Q198,$R198,$S198,$T198,$U198,$V198,$W198,$X198)=9,"Yes","No")</x:f>
        <x:v>No</x:v>
      </x:c>
      <x:c r="AD198" s="52" t="str">
        <x:f>IF(COUNT($Y198,$Z198)=2,"Yes","No")</x:f>
        <x:v>No</x:v>
      </x:c>
      <x:c r="AE198" s="50" t="str"/>
      <x:c r="AF198" t="str"/>
    </x:row>
    <x:row r="199" ht="20" customHeight="1">
      <x:c r="A199" s="50" t="str">
        <x:v>TRT-0029</x:v>
      </x:c>
      <x:c r="B199" s="50" t="str">
        <x:v>Candidate treatment group</x:v>
      </x:c>
      <x:c r="C199" s="52" t="str">
        <x:f>IF('Deal_Master_Wide'!$AU$31="","",'Deal_Master_Wide'!$AU$31)</x:f>
        <x:v>Not reviewed</x:v>
      </x:c>
      <x:c r="D199" s="52" t="str">
        <x:f>IF('Deal_Master_Wide'!$AV$31="","",'Deal_Master_Wide'!$AV$31)</x:f>
        <x:v>Not assessed</x:v>
      </x:c>
      <x:c r="E199" s="50" t="n">
        <x:v>1</x:v>
      </x:c>
      <x:c r="F199" s="52" t="str">
        <x:f>IF(OR($C199="High-confidence innovation-driven",$C199="Medium-confidence innovation-driven"),1,IF($C199="Clear alternative-rationale",0,""))</x:f>
      </x:c>
      <x:c r="G199" s="52" t="str">
        <x:f>IF('Deal_Master_Wide'!$M$31="","",'Deal_Master_Wide'!$M$31)</x:f>
        <x:v>Review</x:v>
      </x:c>
      <x:c r="H199" s="50" t="str">
        <x:v>Stallergenes Greer Ltd</x:v>
      </x:c>
      <x:c r="I199" s="50" t="str">
        <x:v>Greer Laboratories Inc; Stallergenes SA; Stallergenes Greer Ltd</x:v>
      </x:c>
      <x:c r="J199" s="50" t="n">
        <x:v>2015</x:v>
      </x:c>
      <x:c r="K199" s="50" t="n">
        <x:v>-2</x:v>
      </x:c>
      <x:c r="L199" s="50" t="n">
        <x:v>2013</x:v>
      </x:c>
      <x:c r="M199" s="50" t="n">
        <x:v>0</x:v>
      </x:c>
      <x:c r="N199" s="50" t="n">
        <x:v>0</x:v>
      </x:c>
      <x:c r="O199" s="52" t="str">
        <x:f>IF($F199="","",$F199*$M199)</x:f>
      </x:c>
      <x:c r="P199" s="54" t="str">
        <x:f>IF(ISBLANK('Deal_Master_Wide'!$BQ$31),"",'Deal_Master_Wide'!$BQ$31)</x:f>
      </x:c>
      <x:c r="Q199" s="54" t="str">
        <x:f>IF(ISBLANK('Deal_Master_Wide'!$BX$31),"",'Deal_Master_Wide'!$BX$31)</x:f>
      </x:c>
      <x:c r="R199" s="54" t="str">
        <x:f>IF(ISBLANK('Deal_Master_Wide'!$CE$31),"",'Deal_Master_Wide'!$CE$31)</x:f>
      </x:c>
      <x:c r="S199" s="54" t="str">
        <x:f>IF(ISBLANK('Deal_Master_Wide'!$CL$31),"",'Deal_Master_Wide'!$CL$31)</x:f>
      </x:c>
      <x:c r="T199" s="54" t="str">
        <x:f>IF(ISBLANK('Deal_Master_Wide'!$CS$31),"",'Deal_Master_Wide'!$CS$31)</x:f>
      </x:c>
      <x:c r="U199" s="54" t="str">
        <x:f>IF(ISBLANK('Deal_Master_Wide'!$CZ$31),"",'Deal_Master_Wide'!$CZ$31)</x:f>
      </x:c>
      <x:c r="V199" s="56" t="str">
        <x:f>IF(ISBLANK('Deal_Master_Wide'!$DG$31),"",'Deal_Master_Wide'!$DG$31)</x:f>
      </x:c>
      <x:c r="W199" s="56" t="str">
        <x:f>IF(ISBLANK('Deal_Master_Wide'!$DN$31),"",'Deal_Master_Wide'!$DN$31)</x:f>
      </x:c>
      <x:c r="X199" s="56" t="str">
        <x:f>IF(ISBLANK('Deal_Master_Wide'!$DU$31),"",'Deal_Master_Wide'!$DU$31)</x:f>
      </x:c>
      <x:c r="Y199" s="54" t="str">
        <x:f>IF(ISBLANK('Deal_Master_Wide'!$EB$31),"",'Deal_Master_Wide'!$EB$31)</x:f>
      </x:c>
      <x:c r="Z199" s="54" t="str">
        <x:f>IF(ISBLANK('Deal_Master_Wide'!$EI$31),"",'Deal_Master_Wide'!$EI$31)</x:f>
      </x:c>
      <x:c r="AA199" s="52" t="str">
        <x:f>IF(ISBLANK('Deal_Master_Wide'!$AL$31),"",'Deal_Master_Wide'!$AL$31)</x:f>
        <x:v>Unknown</x:v>
      </x:c>
      <x:c r="AB199" s="54" t="str">
        <x:f>IF(ISBLANK('Deal_Master_Wide'!$AF$31),"",'Deal_Master_Wide'!$AF$31)</x:f>
      </x:c>
      <x:c r="AC199" s="52" t="str">
        <x:f>IF(COUNT($P199,$Q199,$R199,$S199,$T199,$U199,$V199,$W199,$X199)=9,"Yes","No")</x:f>
        <x:v>No</x:v>
      </x:c>
      <x:c r="AD199" s="52" t="str">
        <x:f>IF(COUNT($Y199,$Z199)=2,"Yes","No")</x:f>
        <x:v>No</x:v>
      </x:c>
      <x:c r="AE199" s="50" t="str"/>
      <x:c r="AF199" t="str"/>
    </x:row>
    <x:row r="200" ht="20" customHeight="1">
      <x:c r="A200" s="50" t="str">
        <x:v>TRT-0029</x:v>
      </x:c>
      <x:c r="B200" s="50" t="str">
        <x:v>Candidate treatment group</x:v>
      </x:c>
      <x:c r="C200" s="52" t="str">
        <x:f>IF('Deal_Master_Wide'!$AU$31="","",'Deal_Master_Wide'!$AU$31)</x:f>
        <x:v>Not reviewed</x:v>
      </x:c>
      <x:c r="D200" s="52" t="str">
        <x:f>IF('Deal_Master_Wide'!$AV$31="","",'Deal_Master_Wide'!$AV$31)</x:f>
        <x:v>Not assessed</x:v>
      </x:c>
      <x:c r="E200" s="50" t="n">
        <x:v>1</x:v>
      </x:c>
      <x:c r="F200" s="52" t="str">
        <x:f>IF(OR($C200="High-confidence innovation-driven",$C200="Medium-confidence innovation-driven"),1,IF($C200="Clear alternative-rationale",0,""))</x:f>
      </x:c>
      <x:c r="G200" s="52" t="str">
        <x:f>IF('Deal_Master_Wide'!$M$31="","",'Deal_Master_Wide'!$M$31)</x:f>
        <x:v>Review</x:v>
      </x:c>
      <x:c r="H200" s="50" t="str">
        <x:v>Stallergenes Greer Ltd</x:v>
      </x:c>
      <x:c r="I200" s="50" t="str">
        <x:v>Greer Laboratories Inc; Stallergenes SA; Stallergenes Greer Ltd</x:v>
      </x:c>
      <x:c r="J200" s="50" t="n">
        <x:v>2015</x:v>
      </x:c>
      <x:c r="K200" s="50" t="n">
        <x:v>-1</x:v>
      </x:c>
      <x:c r="L200" s="50" t="n">
        <x:v>2014</x:v>
      </x:c>
      <x:c r="M200" s="50" t="n">
        <x:v>0</x:v>
      </x:c>
      <x:c r="N200" s="50" t="n">
        <x:v>0</x:v>
      </x:c>
      <x:c r="O200" s="52" t="str">
        <x:f>IF($F200="","",$F200*$M200)</x:f>
      </x:c>
      <x:c r="P200" s="54" t="str">
        <x:f>IF(ISBLANK('Deal_Master_Wide'!$BR$31),"",'Deal_Master_Wide'!$BR$31)</x:f>
      </x:c>
      <x:c r="Q200" s="54" t="str">
        <x:f>IF(ISBLANK('Deal_Master_Wide'!$BY$31),"",'Deal_Master_Wide'!$BY$31)</x:f>
      </x:c>
      <x:c r="R200" s="54" t="str">
        <x:f>IF(ISBLANK('Deal_Master_Wide'!$CF$31),"",'Deal_Master_Wide'!$CF$31)</x:f>
      </x:c>
      <x:c r="S200" s="54" t="str">
        <x:f>IF(ISBLANK('Deal_Master_Wide'!$CM$31),"",'Deal_Master_Wide'!$CM$31)</x:f>
      </x:c>
      <x:c r="T200" s="54" t="str">
        <x:f>IF(ISBLANK('Deal_Master_Wide'!$CT$31),"",'Deal_Master_Wide'!$CT$31)</x:f>
      </x:c>
      <x:c r="U200" s="54" t="str">
        <x:f>IF(ISBLANK('Deal_Master_Wide'!$DA$31),"",'Deal_Master_Wide'!$DA$31)</x:f>
      </x:c>
      <x:c r="V200" s="56" t="str">
        <x:f>IF(ISBLANK('Deal_Master_Wide'!$DH$31),"",'Deal_Master_Wide'!$DH$31)</x:f>
      </x:c>
      <x:c r="W200" s="56" t="str">
        <x:f>IF(ISBLANK('Deal_Master_Wide'!$DO$31),"",'Deal_Master_Wide'!$DO$31)</x:f>
      </x:c>
      <x:c r="X200" s="56" t="str">
        <x:f>IF(ISBLANK('Deal_Master_Wide'!$DV$31),"",'Deal_Master_Wide'!$DV$31)</x:f>
      </x:c>
      <x:c r="Y200" s="54" t="str">
        <x:f>IF(ISBLANK('Deal_Master_Wide'!$EC$31),"",'Deal_Master_Wide'!$EC$31)</x:f>
      </x:c>
      <x:c r="Z200" s="54" t="str">
        <x:f>IF(ISBLANK('Deal_Master_Wide'!$EJ$31),"",'Deal_Master_Wide'!$EJ$31)</x:f>
      </x:c>
      <x:c r="AA200" s="52" t="str">
        <x:f>IF(ISBLANK('Deal_Master_Wide'!$AL$31),"",'Deal_Master_Wide'!$AL$31)</x:f>
        <x:v>Unknown</x:v>
      </x:c>
      <x:c r="AB200" s="54" t="str">
        <x:f>IF(ISBLANK('Deal_Master_Wide'!$AF$31),"",'Deal_Master_Wide'!$AF$31)</x:f>
      </x:c>
      <x:c r="AC200" s="52" t="str">
        <x:f>IF(COUNT($P200,$Q200,$R200,$S200,$T200,$U200,$V200,$W200,$X200)=9,"Yes","No")</x:f>
        <x:v>No</x:v>
      </x:c>
      <x:c r="AD200" s="52" t="str">
        <x:f>IF(COUNT($Y200,$Z200)=2,"Yes","No")</x:f>
        <x:v>No</x:v>
      </x:c>
      <x:c r="AE200" s="50" t="str"/>
      <x:c r="AF200" t="str"/>
    </x:row>
    <x:row r="201" ht="20" customHeight="1">
      <x:c r="A201" s="50" t="str">
        <x:v>TRT-0029</x:v>
      </x:c>
      <x:c r="B201" s="50" t="str">
        <x:v>Candidate treatment group</x:v>
      </x:c>
      <x:c r="C201" s="52" t="str">
        <x:f>IF('Deal_Master_Wide'!$AU$31="","",'Deal_Master_Wide'!$AU$31)</x:f>
        <x:v>Not reviewed</x:v>
      </x:c>
      <x:c r="D201" s="52" t="str">
        <x:f>IF('Deal_Master_Wide'!$AV$31="","",'Deal_Master_Wide'!$AV$31)</x:f>
        <x:v>Not assessed</x:v>
      </x:c>
      <x:c r="E201" s="50" t="n">
        <x:v>1</x:v>
      </x:c>
      <x:c r="F201" s="52" t="str">
        <x:f>IF(OR($C201="High-confidence innovation-driven",$C201="Medium-confidence innovation-driven"),1,IF($C201="Clear alternative-rationale",0,""))</x:f>
      </x:c>
      <x:c r="G201" s="52" t="str">
        <x:f>IF('Deal_Master_Wide'!$M$31="","",'Deal_Master_Wide'!$M$31)</x:f>
        <x:v>Review</x:v>
      </x:c>
      <x:c r="H201" s="50" t="str">
        <x:v>Stallergenes Greer Ltd</x:v>
      </x:c>
      <x:c r="I201" s="50" t="str">
        <x:v>Greer Laboratories Inc; Stallergenes SA; Stallergenes Greer Ltd</x:v>
      </x:c>
      <x:c r="J201" s="50" t="n">
        <x:v>2015</x:v>
      </x:c>
      <x:c r="K201" s="50" t="n">
        <x:v>0</x:v>
      </x:c>
      <x:c r="L201" s="50" t="n">
        <x:v>2015</x:v>
      </x:c>
      <x:c r="M201" s="50" t="n">
        <x:v>0</x:v>
      </x:c>
      <x:c r="N201" s="50" t="n">
        <x:v>1</x:v>
      </x:c>
      <x:c r="O201" s="52" t="str">
        <x:f>IF($F201="","",$F201*$M201)</x:f>
      </x:c>
      <x:c r="P201" s="54" t="str">
        <x:f>IF(ISBLANK('Deal_Master_Wide'!$BS$31),"",'Deal_Master_Wide'!$BS$31)</x:f>
      </x:c>
      <x:c r="Q201" s="54" t="str">
        <x:f>IF(ISBLANK('Deal_Master_Wide'!$BZ$31),"",'Deal_Master_Wide'!$BZ$31)</x:f>
      </x:c>
      <x:c r="R201" s="54" t="str">
        <x:f>IF(ISBLANK('Deal_Master_Wide'!$CG$31),"",'Deal_Master_Wide'!$CG$31)</x:f>
      </x:c>
      <x:c r="S201" s="54" t="str">
        <x:f>IF(ISBLANK('Deal_Master_Wide'!$CN$31),"",'Deal_Master_Wide'!$CN$31)</x:f>
      </x:c>
      <x:c r="T201" s="54" t="str">
        <x:f>IF(ISBLANK('Deal_Master_Wide'!$CU$31),"",'Deal_Master_Wide'!$CU$31)</x:f>
      </x:c>
      <x:c r="U201" s="54" t="str">
        <x:f>IF(ISBLANK('Deal_Master_Wide'!$DB$31),"",'Deal_Master_Wide'!$DB$31)</x:f>
      </x:c>
      <x:c r="V201" s="56" t="str">
        <x:f>IF(ISBLANK('Deal_Master_Wide'!$DI$31),"",'Deal_Master_Wide'!$DI$31)</x:f>
      </x:c>
      <x:c r="W201" s="56" t="str">
        <x:f>IF(ISBLANK('Deal_Master_Wide'!$DP$31),"",'Deal_Master_Wide'!$DP$31)</x:f>
      </x:c>
      <x:c r="X201" s="56" t="str">
        <x:f>IF(ISBLANK('Deal_Master_Wide'!$DW$31),"",'Deal_Master_Wide'!$DW$31)</x:f>
      </x:c>
      <x:c r="Y201" s="54" t="str">
        <x:f>IF(ISBLANK('Deal_Master_Wide'!$ED$31),"",'Deal_Master_Wide'!$ED$31)</x:f>
      </x:c>
      <x:c r="Z201" s="54" t="str">
        <x:f>IF(ISBLANK('Deal_Master_Wide'!$EK$31),"",'Deal_Master_Wide'!$EK$31)</x:f>
      </x:c>
      <x:c r="AA201" s="52" t="str">
        <x:f>IF(ISBLANK('Deal_Master_Wide'!$AL$31),"",'Deal_Master_Wide'!$AL$31)</x:f>
        <x:v>Unknown</x:v>
      </x:c>
      <x:c r="AB201" s="54" t="str">
        <x:f>IF(ISBLANK('Deal_Master_Wide'!$AF$31),"",'Deal_Master_Wide'!$AF$31)</x:f>
      </x:c>
      <x:c r="AC201" s="52" t="str">
        <x:f>IF(COUNT($P201,$Q201,$R201,$S201,$T201,$U201,$V201,$W201,$X201)=9,"Yes","No")</x:f>
        <x:v>No</x:v>
      </x:c>
      <x:c r="AD201" s="52" t="str">
        <x:f>IF(COUNT($Y201,$Z201)=2,"Yes","No")</x:f>
        <x:v>No</x:v>
      </x:c>
      <x:c r="AE201" s="50" t="str"/>
      <x:c r="AF201" t="str"/>
    </x:row>
    <x:row r="202" ht="20" customHeight="1">
      <x:c r="A202" s="50" t="str">
        <x:v>TRT-0029</x:v>
      </x:c>
      <x:c r="B202" s="50" t="str">
        <x:v>Candidate treatment group</x:v>
      </x:c>
      <x:c r="C202" s="52" t="str">
        <x:f>IF('Deal_Master_Wide'!$AU$31="","",'Deal_Master_Wide'!$AU$31)</x:f>
        <x:v>Not reviewed</x:v>
      </x:c>
      <x:c r="D202" s="52" t="str">
        <x:f>IF('Deal_Master_Wide'!$AV$31="","",'Deal_Master_Wide'!$AV$31)</x:f>
        <x:v>Not assessed</x:v>
      </x:c>
      <x:c r="E202" s="50" t="n">
        <x:v>1</x:v>
      </x:c>
      <x:c r="F202" s="52" t="str">
        <x:f>IF(OR($C202="High-confidence innovation-driven",$C202="Medium-confidence innovation-driven"),1,IF($C202="Clear alternative-rationale",0,""))</x:f>
      </x:c>
      <x:c r="G202" s="52" t="str">
        <x:f>IF('Deal_Master_Wide'!$M$31="","",'Deal_Master_Wide'!$M$31)</x:f>
        <x:v>Review</x:v>
      </x:c>
      <x:c r="H202" s="50" t="str">
        <x:v>Stallergenes Greer Ltd</x:v>
      </x:c>
      <x:c r="I202" s="50" t="str">
        <x:v>Greer Laboratories Inc; Stallergenes SA; Stallergenes Greer Ltd</x:v>
      </x:c>
      <x:c r="J202" s="50" t="n">
        <x:v>2015</x:v>
      </x:c>
      <x:c r="K202" s="50" t="n">
        <x:v>1</x:v>
      </x:c>
      <x:c r="L202" s="50" t="n">
        <x:v>2016</x:v>
      </x:c>
      <x:c r="M202" s="50" t="n">
        <x:v>1</x:v>
      </x:c>
      <x:c r="N202" s="50" t="n">
        <x:v>1</x:v>
      </x:c>
      <x:c r="O202" s="52" t="str">
        <x:f>IF($F202="","",$F202*$M202)</x:f>
      </x:c>
      <x:c r="P202" s="54" t="str">
        <x:f>IF(ISBLANK('Deal_Master_Wide'!$BT$31),"",'Deal_Master_Wide'!$BT$31)</x:f>
      </x:c>
      <x:c r="Q202" s="54" t="str">
        <x:f>IF(ISBLANK('Deal_Master_Wide'!$CA$31),"",'Deal_Master_Wide'!$CA$31)</x:f>
      </x:c>
      <x:c r="R202" s="54" t="str">
        <x:f>IF(ISBLANK('Deal_Master_Wide'!$CH$31),"",'Deal_Master_Wide'!$CH$31)</x:f>
      </x:c>
      <x:c r="S202" s="54" t="str">
        <x:f>IF(ISBLANK('Deal_Master_Wide'!$CO$31),"",'Deal_Master_Wide'!$CO$31)</x:f>
      </x:c>
      <x:c r="T202" s="54" t="str">
        <x:f>IF(ISBLANK('Deal_Master_Wide'!$CV$31),"",'Deal_Master_Wide'!$CV$31)</x:f>
      </x:c>
      <x:c r="U202" s="54" t="str">
        <x:f>IF(ISBLANK('Deal_Master_Wide'!$DC$31),"",'Deal_Master_Wide'!$DC$31)</x:f>
      </x:c>
      <x:c r="V202" s="56" t="str">
        <x:f>IF(ISBLANK('Deal_Master_Wide'!$DJ$31),"",'Deal_Master_Wide'!$DJ$31)</x:f>
      </x:c>
      <x:c r="W202" s="56" t="str">
        <x:f>IF(ISBLANK('Deal_Master_Wide'!$DQ$31),"",'Deal_Master_Wide'!$DQ$31)</x:f>
      </x:c>
      <x:c r="X202" s="56" t="str">
        <x:f>IF(ISBLANK('Deal_Master_Wide'!$DX$31),"",'Deal_Master_Wide'!$DX$31)</x:f>
      </x:c>
      <x:c r="Y202" s="54" t="str">
        <x:f>IF(ISBLANK('Deal_Master_Wide'!$EE$31),"",'Deal_Master_Wide'!$EE$31)</x:f>
      </x:c>
      <x:c r="Z202" s="54" t="str">
        <x:f>IF(ISBLANK('Deal_Master_Wide'!$EL$31),"",'Deal_Master_Wide'!$EL$31)</x:f>
      </x:c>
      <x:c r="AA202" s="52" t="str">
        <x:f>IF(ISBLANK('Deal_Master_Wide'!$AL$31),"",'Deal_Master_Wide'!$AL$31)</x:f>
        <x:v>Unknown</x:v>
      </x:c>
      <x:c r="AB202" s="54" t="str">
        <x:f>IF(ISBLANK('Deal_Master_Wide'!$AF$31),"",'Deal_Master_Wide'!$AF$31)</x:f>
      </x:c>
      <x:c r="AC202" s="52" t="str">
        <x:f>IF(COUNT($P202,$Q202,$R202,$S202,$T202,$U202,$V202,$W202,$X202)=9,"Yes","No")</x:f>
        <x:v>No</x:v>
      </x:c>
      <x:c r="AD202" s="52" t="str">
        <x:f>IF(COUNT($Y202,$Z202)=2,"Yes","No")</x:f>
        <x:v>No</x:v>
      </x:c>
      <x:c r="AE202" s="50" t="str"/>
      <x:c r="AF202" t="str"/>
    </x:row>
    <x:row r="203" ht="20" customHeight="1">
      <x:c r="A203" s="50" t="str">
        <x:v>TRT-0029</x:v>
      </x:c>
      <x:c r="B203" s="50" t="str">
        <x:v>Candidate treatment group</x:v>
      </x:c>
      <x:c r="C203" s="52" t="str">
        <x:f>IF('Deal_Master_Wide'!$AU$31="","",'Deal_Master_Wide'!$AU$31)</x:f>
        <x:v>Not reviewed</x:v>
      </x:c>
      <x:c r="D203" s="52" t="str">
        <x:f>IF('Deal_Master_Wide'!$AV$31="","",'Deal_Master_Wide'!$AV$31)</x:f>
        <x:v>Not assessed</x:v>
      </x:c>
      <x:c r="E203" s="50" t="n">
        <x:v>1</x:v>
      </x:c>
      <x:c r="F203" s="52" t="str">
        <x:f>IF(OR($C203="High-confidence innovation-driven",$C203="Medium-confidence innovation-driven"),1,IF($C203="Clear alternative-rationale",0,""))</x:f>
      </x:c>
      <x:c r="G203" s="52" t="str">
        <x:f>IF('Deal_Master_Wide'!$M$31="","",'Deal_Master_Wide'!$M$31)</x:f>
        <x:v>Review</x:v>
      </x:c>
      <x:c r="H203" s="50" t="str">
        <x:v>Stallergenes Greer Ltd</x:v>
      </x:c>
      <x:c r="I203" s="50" t="str">
        <x:v>Greer Laboratories Inc; Stallergenes SA; Stallergenes Greer Ltd</x:v>
      </x:c>
      <x:c r="J203" s="50" t="n">
        <x:v>2015</x:v>
      </x:c>
      <x:c r="K203" s="50" t="n">
        <x:v>2</x:v>
      </x:c>
      <x:c r="L203" s="50" t="n">
        <x:v>2017</x:v>
      </x:c>
      <x:c r="M203" s="50" t="n">
        <x:v>1</x:v>
      </x:c>
      <x:c r="N203" s="50" t="n">
        <x:v>1</x:v>
      </x:c>
      <x:c r="O203" s="52" t="str">
        <x:f>IF($F203="","",$F203*$M203)</x:f>
      </x:c>
      <x:c r="P203" s="54" t="str">
        <x:f>IF(ISBLANK('Deal_Master_Wide'!$BU$31),"",'Deal_Master_Wide'!$BU$31)</x:f>
      </x:c>
      <x:c r="Q203" s="54" t="str">
        <x:f>IF(ISBLANK('Deal_Master_Wide'!$CB$31),"",'Deal_Master_Wide'!$CB$31)</x:f>
      </x:c>
      <x:c r="R203" s="54" t="str">
        <x:f>IF(ISBLANK('Deal_Master_Wide'!$CI$31),"",'Deal_Master_Wide'!$CI$31)</x:f>
      </x:c>
      <x:c r="S203" s="54" t="str">
        <x:f>IF(ISBLANK('Deal_Master_Wide'!$CP$31),"",'Deal_Master_Wide'!$CP$31)</x:f>
      </x:c>
      <x:c r="T203" s="54" t="str">
        <x:f>IF(ISBLANK('Deal_Master_Wide'!$CW$31),"",'Deal_Master_Wide'!$CW$31)</x:f>
      </x:c>
      <x:c r="U203" s="54" t="str">
        <x:f>IF(ISBLANK('Deal_Master_Wide'!$DD$31),"",'Deal_Master_Wide'!$DD$31)</x:f>
      </x:c>
      <x:c r="V203" s="56" t="str">
        <x:f>IF(ISBLANK('Deal_Master_Wide'!$DK$31),"",'Deal_Master_Wide'!$DK$31)</x:f>
      </x:c>
      <x:c r="W203" s="56" t="str">
        <x:f>IF(ISBLANK('Deal_Master_Wide'!$DR$31),"",'Deal_Master_Wide'!$DR$31)</x:f>
      </x:c>
      <x:c r="X203" s="56" t="str">
        <x:f>IF(ISBLANK('Deal_Master_Wide'!$DY$31),"",'Deal_Master_Wide'!$DY$31)</x:f>
      </x:c>
      <x:c r="Y203" s="54" t="str">
        <x:f>IF(ISBLANK('Deal_Master_Wide'!$EF$31),"",'Deal_Master_Wide'!$EF$31)</x:f>
      </x:c>
      <x:c r="Z203" s="54" t="str">
        <x:f>IF(ISBLANK('Deal_Master_Wide'!$EM$31),"",'Deal_Master_Wide'!$EM$31)</x:f>
      </x:c>
      <x:c r="AA203" s="52" t="str">
        <x:f>IF(ISBLANK('Deal_Master_Wide'!$AL$31),"",'Deal_Master_Wide'!$AL$31)</x:f>
        <x:v>Unknown</x:v>
      </x:c>
      <x:c r="AB203" s="54" t="str">
        <x:f>IF(ISBLANK('Deal_Master_Wide'!$AF$31),"",'Deal_Master_Wide'!$AF$31)</x:f>
      </x:c>
      <x:c r="AC203" s="52" t="str">
        <x:f>IF(COUNT($P203,$Q203,$R203,$S203,$T203,$U203,$V203,$W203,$X203)=9,"Yes","No")</x:f>
        <x:v>No</x:v>
      </x:c>
      <x:c r="AD203" s="52" t="str">
        <x:f>IF(COUNT($Y203,$Z203)=2,"Yes","No")</x:f>
        <x:v>No</x:v>
      </x:c>
      <x:c r="AE203" s="50" t="str"/>
      <x:c r="AF203" t="str"/>
    </x:row>
    <x:row r="204" ht="20" customHeight="1">
      <x:c r="A204" s="50" t="str">
        <x:v>TRT-0029</x:v>
      </x:c>
      <x:c r="B204" s="50" t="str">
        <x:v>Candidate treatment group</x:v>
      </x:c>
      <x:c r="C204" s="52" t="str">
        <x:f>IF('Deal_Master_Wide'!$AU$31="","",'Deal_Master_Wide'!$AU$31)</x:f>
        <x:v>Not reviewed</x:v>
      </x:c>
      <x:c r="D204" s="52" t="str">
        <x:f>IF('Deal_Master_Wide'!$AV$31="","",'Deal_Master_Wide'!$AV$31)</x:f>
        <x:v>Not assessed</x:v>
      </x:c>
      <x:c r="E204" s="50" t="n">
        <x:v>1</x:v>
      </x:c>
      <x:c r="F204" s="52" t="str">
        <x:f>IF(OR($C204="High-confidence innovation-driven",$C204="Medium-confidence innovation-driven"),1,IF($C204="Clear alternative-rationale",0,""))</x:f>
      </x:c>
      <x:c r="G204" s="52" t="str">
        <x:f>IF('Deal_Master_Wide'!$M$31="","",'Deal_Master_Wide'!$M$31)</x:f>
        <x:v>Review</x:v>
      </x:c>
      <x:c r="H204" s="50" t="str">
        <x:v>Stallergenes Greer Ltd</x:v>
      </x:c>
      <x:c r="I204" s="50" t="str">
        <x:v>Greer Laboratories Inc; Stallergenes SA; Stallergenes Greer Ltd</x:v>
      </x:c>
      <x:c r="J204" s="50" t="n">
        <x:v>2015</x:v>
      </x:c>
      <x:c r="K204" s="50" t="n">
        <x:v>3</x:v>
      </x:c>
      <x:c r="L204" s="50" t="n">
        <x:v>2018</x:v>
      </x:c>
      <x:c r="M204" s="50" t="n">
        <x:v>1</x:v>
      </x:c>
      <x:c r="N204" s="50" t="n">
        <x:v>1</x:v>
      </x:c>
      <x:c r="O204" s="52" t="str">
        <x:f>IF($F204="","",$F204*$M204)</x:f>
      </x:c>
      <x:c r="P204" s="54" t="str">
        <x:f>IF(ISBLANK('Deal_Master_Wide'!$BV$31),"",'Deal_Master_Wide'!$BV$31)</x:f>
      </x:c>
      <x:c r="Q204" s="54" t="str">
        <x:f>IF(ISBLANK('Deal_Master_Wide'!$CC$31),"",'Deal_Master_Wide'!$CC$31)</x:f>
      </x:c>
      <x:c r="R204" s="54" t="str">
        <x:f>IF(ISBLANK('Deal_Master_Wide'!$CJ$31),"",'Deal_Master_Wide'!$CJ$31)</x:f>
      </x:c>
      <x:c r="S204" s="54" t="str">
        <x:f>IF(ISBLANK('Deal_Master_Wide'!$CQ$31),"",'Deal_Master_Wide'!$CQ$31)</x:f>
      </x:c>
      <x:c r="T204" s="54" t="str">
        <x:f>IF(ISBLANK('Deal_Master_Wide'!$CX$31),"",'Deal_Master_Wide'!$CX$31)</x:f>
      </x:c>
      <x:c r="U204" s="54" t="str">
        <x:f>IF(ISBLANK('Deal_Master_Wide'!$DE$31),"",'Deal_Master_Wide'!$DE$31)</x:f>
      </x:c>
      <x:c r="V204" s="56" t="str">
        <x:f>IF(ISBLANK('Deal_Master_Wide'!$DL$31),"",'Deal_Master_Wide'!$DL$31)</x:f>
      </x:c>
      <x:c r="W204" s="56" t="str">
        <x:f>IF(ISBLANK('Deal_Master_Wide'!$DS$31),"",'Deal_Master_Wide'!$DS$31)</x:f>
      </x:c>
      <x:c r="X204" s="56" t="str">
        <x:f>IF(ISBLANK('Deal_Master_Wide'!$DZ$31),"",'Deal_Master_Wide'!$DZ$31)</x:f>
      </x:c>
      <x:c r="Y204" s="54" t="str">
        <x:f>IF(ISBLANK('Deal_Master_Wide'!$EG$31),"",'Deal_Master_Wide'!$EG$31)</x:f>
      </x:c>
      <x:c r="Z204" s="54" t="str">
        <x:f>IF(ISBLANK('Deal_Master_Wide'!$EN$31),"",'Deal_Master_Wide'!$EN$31)</x:f>
      </x:c>
      <x:c r="AA204" s="52" t="str">
        <x:f>IF(ISBLANK('Deal_Master_Wide'!$AL$31),"",'Deal_Master_Wide'!$AL$31)</x:f>
        <x:v>Unknown</x:v>
      </x:c>
      <x:c r="AB204" s="54" t="str">
        <x:f>IF(ISBLANK('Deal_Master_Wide'!$AF$31),"",'Deal_Master_Wide'!$AF$31)</x:f>
      </x:c>
      <x:c r="AC204" s="52" t="str">
        <x:f>IF(COUNT($P204,$Q204,$R204,$S204,$T204,$U204,$V204,$W204,$X204)=9,"Yes","No")</x:f>
        <x:v>No</x:v>
      </x:c>
      <x:c r="AD204" s="52" t="str">
        <x:f>IF(COUNT($Y204,$Z204)=2,"Yes","No")</x:f>
        <x:v>No</x:v>
      </x:c>
      <x:c r="AE204" s="50" t="str"/>
      <x:c r="AF204" t="str"/>
    </x:row>
    <x:row r="205" ht="20" customHeight="1">
      <x:c r="A205" s="50" t="str">
        <x:v>TRT-0030</x:v>
      </x:c>
      <x:c r="B205" s="50" t="str">
        <x:v>Candidate treatment group</x:v>
      </x:c>
      <x:c r="C205" s="52" t="str">
        <x:f>IF('Deal_Master_Wide'!$AU$32="","",'Deal_Master_Wide'!$AU$32)</x:f>
        <x:v>Not reviewed</x:v>
      </x:c>
      <x:c r="D205" s="52" t="str">
        <x:f>IF('Deal_Master_Wide'!$AV$32="","",'Deal_Master_Wide'!$AV$32)</x:f>
        <x:v>Not assessed</x:v>
      </x:c>
      <x:c r="E205" s="50" t="n">
        <x:v>1</x:v>
      </x:c>
      <x:c r="F205" s="52" t="str">
        <x:f>IF(OR($C205="High-confidence innovation-driven",$C205="Medium-confidence innovation-driven"),1,IF($C205="Clear alternative-rationale",0,""))</x:f>
      </x:c>
      <x:c r="G205" s="52" t="str">
        <x:f>IF('Deal_Master_Wide'!$M$32="","",'Deal_Master_Wide'!$M$32)</x:f>
        <x:v>Review</x:v>
      </x:c>
      <x:c r="H205" s="50" t="str">
        <x:v>Stada Arzneimittel AG</x:v>
      </x:c>
      <x:c r="I205" s="50" t="str">
        <x:v>SCIOTEC Diagnostic Technologies GmbH</x:v>
      </x:c>
      <x:c r="J205" s="50" t="n">
        <x:v>2015</x:v>
      </x:c>
      <x:c r="K205" s="50" t="n">
        <x:v>-3</x:v>
      </x:c>
      <x:c r="L205" s="50" t="n">
        <x:v>2012</x:v>
      </x:c>
      <x:c r="M205" s="50" t="n">
        <x:v>0</x:v>
      </x:c>
      <x:c r="N205" s="50" t="n">
        <x:v>0</x:v>
      </x:c>
      <x:c r="O205" s="52" t="str">
        <x:f>IF($F205="","",$F205*$M205)</x:f>
      </x:c>
      <x:c r="P205" s="54" t="str">
        <x:f>IF(ISBLANK('Deal_Master_Wide'!$BP$32),"",'Deal_Master_Wide'!$BP$32)</x:f>
      </x:c>
      <x:c r="Q205" s="54" t="str">
        <x:f>IF(ISBLANK('Deal_Master_Wide'!$BW$32),"",'Deal_Master_Wide'!$BW$32)</x:f>
      </x:c>
      <x:c r="R205" s="54" t="str">
        <x:f>IF(ISBLANK('Deal_Master_Wide'!$CD$32),"",'Deal_Master_Wide'!$CD$32)</x:f>
      </x:c>
      <x:c r="S205" s="54" t="str">
        <x:f>IF(ISBLANK('Deal_Master_Wide'!$CK$32),"",'Deal_Master_Wide'!$CK$32)</x:f>
      </x:c>
      <x:c r="T205" s="54" t="str">
        <x:f>IF(ISBLANK('Deal_Master_Wide'!$CR$32),"",'Deal_Master_Wide'!$CR$32)</x:f>
      </x:c>
      <x:c r="U205" s="54" t="str">
        <x:f>IF(ISBLANK('Deal_Master_Wide'!$CY$32),"",'Deal_Master_Wide'!$CY$32)</x:f>
      </x:c>
      <x:c r="V205" s="56" t="str">
        <x:f>IF(ISBLANK('Deal_Master_Wide'!$DF$32),"",'Deal_Master_Wide'!$DF$32)</x:f>
      </x:c>
      <x:c r="W205" s="56" t="str">
        <x:f>IF(ISBLANK('Deal_Master_Wide'!$DM$32),"",'Deal_Master_Wide'!$DM$32)</x:f>
      </x:c>
      <x:c r="X205" s="56" t="str">
        <x:f>IF(ISBLANK('Deal_Master_Wide'!$DT$32),"",'Deal_Master_Wide'!$DT$32)</x:f>
      </x:c>
      <x:c r="Y205" s="54" t="str">
        <x:f>IF(ISBLANK('Deal_Master_Wide'!$EA$32),"",'Deal_Master_Wide'!$EA$32)</x:f>
      </x:c>
      <x:c r="Z205" s="54" t="str">
        <x:f>IF(ISBLANK('Deal_Master_Wide'!$EH$32),"",'Deal_Master_Wide'!$EH$32)</x:f>
      </x:c>
      <x:c r="AA205" s="52" t="str">
        <x:f>IF(ISBLANK('Deal_Master_Wide'!$AL$32),"",'Deal_Master_Wide'!$AL$32)</x:f>
        <x:v>Unknown</x:v>
      </x:c>
      <x:c r="AB205" s="54" t="n">
        <x:f>IF(ISBLANK('Deal_Master_Wide'!$AF$32),"",'Deal_Master_Wide'!$AF$32)</x:f>
        <x:v>20</x:v>
      </x:c>
      <x:c r="AC205" s="52" t="str">
        <x:f>IF(COUNT($P205,$Q205,$R205,$S205,$T205,$U205,$V205,$W205,$X205)=9,"Yes","No")</x:f>
        <x:v>No</x:v>
      </x:c>
      <x:c r="AD205" s="52" t="str">
        <x:f>IF(COUNT($Y205,$Z205)=2,"Yes","No")</x:f>
        <x:v>No</x:v>
      </x:c>
      <x:c r="AE205" s="50" t="str"/>
      <x:c r="AF205" t="str"/>
    </x:row>
    <x:row r="206" ht="20" customHeight="1">
      <x:c r="A206" s="50" t="str">
        <x:v>TRT-0030</x:v>
      </x:c>
      <x:c r="B206" s="50" t="str">
        <x:v>Candidate treatment group</x:v>
      </x:c>
      <x:c r="C206" s="52" t="str">
        <x:f>IF('Deal_Master_Wide'!$AU$32="","",'Deal_Master_Wide'!$AU$32)</x:f>
        <x:v>Not reviewed</x:v>
      </x:c>
      <x:c r="D206" s="52" t="str">
        <x:f>IF('Deal_Master_Wide'!$AV$32="","",'Deal_Master_Wide'!$AV$32)</x:f>
        <x:v>Not assessed</x:v>
      </x:c>
      <x:c r="E206" s="50" t="n">
        <x:v>1</x:v>
      </x:c>
      <x:c r="F206" s="52" t="str">
        <x:f>IF(OR($C206="High-confidence innovation-driven",$C206="Medium-confidence innovation-driven"),1,IF($C206="Clear alternative-rationale",0,""))</x:f>
      </x:c>
      <x:c r="G206" s="52" t="str">
        <x:f>IF('Deal_Master_Wide'!$M$32="","",'Deal_Master_Wide'!$M$32)</x:f>
        <x:v>Review</x:v>
      </x:c>
      <x:c r="H206" s="50" t="str">
        <x:v>Stada Arzneimittel AG</x:v>
      </x:c>
      <x:c r="I206" s="50" t="str">
        <x:v>SCIOTEC Diagnostic Technologies GmbH</x:v>
      </x:c>
      <x:c r="J206" s="50" t="n">
        <x:v>2015</x:v>
      </x:c>
      <x:c r="K206" s="50" t="n">
        <x:v>-2</x:v>
      </x:c>
      <x:c r="L206" s="50" t="n">
        <x:v>2013</x:v>
      </x:c>
      <x:c r="M206" s="50" t="n">
        <x:v>0</x:v>
      </x:c>
      <x:c r="N206" s="50" t="n">
        <x:v>0</x:v>
      </x:c>
      <x:c r="O206" s="52" t="str">
        <x:f>IF($F206="","",$F206*$M206)</x:f>
      </x:c>
      <x:c r="P206" s="54" t="str">
        <x:f>IF(ISBLANK('Deal_Master_Wide'!$BQ$32),"",'Deal_Master_Wide'!$BQ$32)</x:f>
      </x:c>
      <x:c r="Q206" s="54" t="str">
        <x:f>IF(ISBLANK('Deal_Master_Wide'!$BX$32),"",'Deal_Master_Wide'!$BX$32)</x:f>
      </x:c>
      <x:c r="R206" s="54" t="str">
        <x:f>IF(ISBLANK('Deal_Master_Wide'!$CE$32),"",'Deal_Master_Wide'!$CE$32)</x:f>
      </x:c>
      <x:c r="S206" s="54" t="str">
        <x:f>IF(ISBLANK('Deal_Master_Wide'!$CL$32),"",'Deal_Master_Wide'!$CL$32)</x:f>
      </x:c>
      <x:c r="T206" s="54" t="str">
        <x:f>IF(ISBLANK('Deal_Master_Wide'!$CS$32),"",'Deal_Master_Wide'!$CS$32)</x:f>
      </x:c>
      <x:c r="U206" s="54" t="str">
        <x:f>IF(ISBLANK('Deal_Master_Wide'!$CZ$32),"",'Deal_Master_Wide'!$CZ$32)</x:f>
      </x:c>
      <x:c r="V206" s="56" t="str">
        <x:f>IF(ISBLANK('Deal_Master_Wide'!$DG$32),"",'Deal_Master_Wide'!$DG$32)</x:f>
      </x:c>
      <x:c r="W206" s="56" t="str">
        <x:f>IF(ISBLANK('Deal_Master_Wide'!$DN$32),"",'Deal_Master_Wide'!$DN$32)</x:f>
      </x:c>
      <x:c r="X206" s="56" t="str">
        <x:f>IF(ISBLANK('Deal_Master_Wide'!$DU$32),"",'Deal_Master_Wide'!$DU$32)</x:f>
      </x:c>
      <x:c r="Y206" s="54" t="str">
        <x:f>IF(ISBLANK('Deal_Master_Wide'!$EB$32),"",'Deal_Master_Wide'!$EB$32)</x:f>
      </x:c>
      <x:c r="Z206" s="54" t="str">
        <x:f>IF(ISBLANK('Deal_Master_Wide'!$EI$32),"",'Deal_Master_Wide'!$EI$32)</x:f>
      </x:c>
      <x:c r="AA206" s="52" t="str">
        <x:f>IF(ISBLANK('Deal_Master_Wide'!$AL$32),"",'Deal_Master_Wide'!$AL$32)</x:f>
        <x:v>Unknown</x:v>
      </x:c>
      <x:c r="AB206" s="54" t="n">
        <x:f>IF(ISBLANK('Deal_Master_Wide'!$AF$32),"",'Deal_Master_Wide'!$AF$32)</x:f>
        <x:v>20</x:v>
      </x:c>
      <x:c r="AC206" s="52" t="str">
        <x:f>IF(COUNT($P206,$Q206,$R206,$S206,$T206,$U206,$V206,$W206,$X206)=9,"Yes","No")</x:f>
        <x:v>No</x:v>
      </x:c>
      <x:c r="AD206" s="52" t="str">
        <x:f>IF(COUNT($Y206,$Z206)=2,"Yes","No")</x:f>
        <x:v>No</x:v>
      </x:c>
      <x:c r="AE206" s="50" t="str"/>
      <x:c r="AF206" t="str"/>
    </x:row>
    <x:row r="207" ht="20" customHeight="1">
      <x:c r="A207" s="50" t="str">
        <x:v>TRT-0030</x:v>
      </x:c>
      <x:c r="B207" s="50" t="str">
        <x:v>Candidate treatment group</x:v>
      </x:c>
      <x:c r="C207" s="52" t="str">
        <x:f>IF('Deal_Master_Wide'!$AU$32="","",'Deal_Master_Wide'!$AU$32)</x:f>
        <x:v>Not reviewed</x:v>
      </x:c>
      <x:c r="D207" s="52" t="str">
        <x:f>IF('Deal_Master_Wide'!$AV$32="","",'Deal_Master_Wide'!$AV$32)</x:f>
        <x:v>Not assessed</x:v>
      </x:c>
      <x:c r="E207" s="50" t="n">
        <x:v>1</x:v>
      </x:c>
      <x:c r="F207" s="52" t="str">
        <x:f>IF(OR($C207="High-confidence innovation-driven",$C207="Medium-confidence innovation-driven"),1,IF($C207="Clear alternative-rationale",0,""))</x:f>
      </x:c>
      <x:c r="G207" s="52" t="str">
        <x:f>IF('Deal_Master_Wide'!$M$32="","",'Deal_Master_Wide'!$M$32)</x:f>
        <x:v>Review</x:v>
      </x:c>
      <x:c r="H207" s="50" t="str">
        <x:v>Stada Arzneimittel AG</x:v>
      </x:c>
      <x:c r="I207" s="50" t="str">
        <x:v>SCIOTEC Diagnostic Technologies GmbH</x:v>
      </x:c>
      <x:c r="J207" s="50" t="n">
        <x:v>2015</x:v>
      </x:c>
      <x:c r="K207" s="50" t="n">
        <x:v>-1</x:v>
      </x:c>
      <x:c r="L207" s="50" t="n">
        <x:v>2014</x:v>
      </x:c>
      <x:c r="M207" s="50" t="n">
        <x:v>0</x:v>
      </x:c>
      <x:c r="N207" s="50" t="n">
        <x:v>0</x:v>
      </x:c>
      <x:c r="O207" s="52" t="str">
        <x:f>IF($F207="","",$F207*$M207)</x:f>
      </x:c>
      <x:c r="P207" s="54" t="str">
        <x:f>IF(ISBLANK('Deal_Master_Wide'!$BR$32),"",'Deal_Master_Wide'!$BR$32)</x:f>
      </x:c>
      <x:c r="Q207" s="54" t="str">
        <x:f>IF(ISBLANK('Deal_Master_Wide'!$BY$32),"",'Deal_Master_Wide'!$BY$32)</x:f>
      </x:c>
      <x:c r="R207" s="54" t="str">
        <x:f>IF(ISBLANK('Deal_Master_Wide'!$CF$32),"",'Deal_Master_Wide'!$CF$32)</x:f>
      </x:c>
      <x:c r="S207" s="54" t="str">
        <x:f>IF(ISBLANK('Deal_Master_Wide'!$CM$32),"",'Deal_Master_Wide'!$CM$32)</x:f>
      </x:c>
      <x:c r="T207" s="54" t="str">
        <x:f>IF(ISBLANK('Deal_Master_Wide'!$CT$32),"",'Deal_Master_Wide'!$CT$32)</x:f>
      </x:c>
      <x:c r="U207" s="54" t="str">
        <x:f>IF(ISBLANK('Deal_Master_Wide'!$DA$32),"",'Deal_Master_Wide'!$DA$32)</x:f>
      </x:c>
      <x:c r="V207" s="56" t="str">
        <x:f>IF(ISBLANK('Deal_Master_Wide'!$DH$32),"",'Deal_Master_Wide'!$DH$32)</x:f>
      </x:c>
      <x:c r="W207" s="56" t="str">
        <x:f>IF(ISBLANK('Deal_Master_Wide'!$DO$32),"",'Deal_Master_Wide'!$DO$32)</x:f>
      </x:c>
      <x:c r="X207" s="56" t="str">
        <x:f>IF(ISBLANK('Deal_Master_Wide'!$DV$32),"",'Deal_Master_Wide'!$DV$32)</x:f>
      </x:c>
      <x:c r="Y207" s="54" t="str">
        <x:f>IF(ISBLANK('Deal_Master_Wide'!$EC$32),"",'Deal_Master_Wide'!$EC$32)</x:f>
      </x:c>
      <x:c r="Z207" s="54" t="str">
        <x:f>IF(ISBLANK('Deal_Master_Wide'!$EJ$32),"",'Deal_Master_Wide'!$EJ$32)</x:f>
      </x:c>
      <x:c r="AA207" s="52" t="str">
        <x:f>IF(ISBLANK('Deal_Master_Wide'!$AL$32),"",'Deal_Master_Wide'!$AL$32)</x:f>
        <x:v>Unknown</x:v>
      </x:c>
      <x:c r="AB207" s="54" t="n">
        <x:f>IF(ISBLANK('Deal_Master_Wide'!$AF$32),"",'Deal_Master_Wide'!$AF$32)</x:f>
        <x:v>20</x:v>
      </x:c>
      <x:c r="AC207" s="52" t="str">
        <x:f>IF(COUNT($P207,$Q207,$R207,$S207,$T207,$U207,$V207,$W207,$X207)=9,"Yes","No")</x:f>
        <x:v>No</x:v>
      </x:c>
      <x:c r="AD207" s="52" t="str">
        <x:f>IF(COUNT($Y207,$Z207)=2,"Yes","No")</x:f>
        <x:v>No</x:v>
      </x:c>
      <x:c r="AE207" s="50" t="str"/>
      <x:c r="AF207" t="str"/>
    </x:row>
    <x:row r="208" ht="20" customHeight="1">
      <x:c r="A208" s="50" t="str">
        <x:v>TRT-0030</x:v>
      </x:c>
      <x:c r="B208" s="50" t="str">
        <x:v>Candidate treatment group</x:v>
      </x:c>
      <x:c r="C208" s="52" t="str">
        <x:f>IF('Deal_Master_Wide'!$AU$32="","",'Deal_Master_Wide'!$AU$32)</x:f>
        <x:v>Not reviewed</x:v>
      </x:c>
      <x:c r="D208" s="52" t="str">
        <x:f>IF('Deal_Master_Wide'!$AV$32="","",'Deal_Master_Wide'!$AV$32)</x:f>
        <x:v>Not assessed</x:v>
      </x:c>
      <x:c r="E208" s="50" t="n">
        <x:v>1</x:v>
      </x:c>
      <x:c r="F208" s="52" t="str">
        <x:f>IF(OR($C208="High-confidence innovation-driven",$C208="Medium-confidence innovation-driven"),1,IF($C208="Clear alternative-rationale",0,""))</x:f>
      </x:c>
      <x:c r="G208" s="52" t="str">
        <x:f>IF('Deal_Master_Wide'!$M$32="","",'Deal_Master_Wide'!$M$32)</x:f>
        <x:v>Review</x:v>
      </x:c>
      <x:c r="H208" s="50" t="str">
        <x:v>Stada Arzneimittel AG</x:v>
      </x:c>
      <x:c r="I208" s="50" t="str">
        <x:v>SCIOTEC Diagnostic Technologies GmbH</x:v>
      </x:c>
      <x:c r="J208" s="50" t="n">
        <x:v>2015</x:v>
      </x:c>
      <x:c r="K208" s="50" t="n">
        <x:v>0</x:v>
      </x:c>
      <x:c r="L208" s="50" t="n">
        <x:v>2015</x:v>
      </x:c>
      <x:c r="M208" s="50" t="n">
        <x:v>0</x:v>
      </x:c>
      <x:c r="N208" s="50" t="n">
        <x:v>1</x:v>
      </x:c>
      <x:c r="O208" s="52" t="str">
        <x:f>IF($F208="","",$F208*$M208)</x:f>
      </x:c>
      <x:c r="P208" s="54" t="str">
        <x:f>IF(ISBLANK('Deal_Master_Wide'!$BS$32),"",'Deal_Master_Wide'!$BS$32)</x:f>
      </x:c>
      <x:c r="Q208" s="54" t="str">
        <x:f>IF(ISBLANK('Deal_Master_Wide'!$BZ$32),"",'Deal_Master_Wide'!$BZ$32)</x:f>
      </x:c>
      <x:c r="R208" s="54" t="str">
        <x:f>IF(ISBLANK('Deal_Master_Wide'!$CG$32),"",'Deal_Master_Wide'!$CG$32)</x:f>
      </x:c>
      <x:c r="S208" s="54" t="str">
        <x:f>IF(ISBLANK('Deal_Master_Wide'!$CN$32),"",'Deal_Master_Wide'!$CN$32)</x:f>
      </x:c>
      <x:c r="T208" s="54" t="str">
        <x:f>IF(ISBLANK('Deal_Master_Wide'!$CU$32),"",'Deal_Master_Wide'!$CU$32)</x:f>
      </x:c>
      <x:c r="U208" s="54" t="str">
        <x:f>IF(ISBLANK('Deal_Master_Wide'!$DB$32),"",'Deal_Master_Wide'!$DB$32)</x:f>
      </x:c>
      <x:c r="V208" s="56" t="str">
        <x:f>IF(ISBLANK('Deal_Master_Wide'!$DI$32),"",'Deal_Master_Wide'!$DI$32)</x:f>
      </x:c>
      <x:c r="W208" s="56" t="str">
        <x:f>IF(ISBLANK('Deal_Master_Wide'!$DP$32),"",'Deal_Master_Wide'!$DP$32)</x:f>
      </x:c>
      <x:c r="X208" s="56" t="str">
        <x:f>IF(ISBLANK('Deal_Master_Wide'!$DW$32),"",'Deal_Master_Wide'!$DW$32)</x:f>
      </x:c>
      <x:c r="Y208" s="54" t="str">
        <x:f>IF(ISBLANK('Deal_Master_Wide'!$ED$32),"",'Deal_Master_Wide'!$ED$32)</x:f>
      </x:c>
      <x:c r="Z208" s="54" t="str">
        <x:f>IF(ISBLANK('Deal_Master_Wide'!$EK$32),"",'Deal_Master_Wide'!$EK$32)</x:f>
      </x:c>
      <x:c r="AA208" s="52" t="str">
        <x:f>IF(ISBLANK('Deal_Master_Wide'!$AL$32),"",'Deal_Master_Wide'!$AL$32)</x:f>
        <x:v>Unknown</x:v>
      </x:c>
      <x:c r="AB208" s="54" t="n">
        <x:f>IF(ISBLANK('Deal_Master_Wide'!$AF$32),"",'Deal_Master_Wide'!$AF$32)</x:f>
        <x:v>20</x:v>
      </x:c>
      <x:c r="AC208" s="52" t="str">
        <x:f>IF(COUNT($P208,$Q208,$R208,$S208,$T208,$U208,$V208,$W208,$X208)=9,"Yes","No")</x:f>
        <x:v>No</x:v>
      </x:c>
      <x:c r="AD208" s="52" t="str">
        <x:f>IF(COUNT($Y208,$Z208)=2,"Yes","No")</x:f>
        <x:v>No</x:v>
      </x:c>
      <x:c r="AE208" s="50" t="str"/>
      <x:c r="AF208" t="str"/>
    </x:row>
    <x:row r="209" ht="20" customHeight="1">
      <x:c r="A209" s="50" t="str">
        <x:v>TRT-0030</x:v>
      </x:c>
      <x:c r="B209" s="50" t="str">
        <x:v>Candidate treatment group</x:v>
      </x:c>
      <x:c r="C209" s="52" t="str">
        <x:f>IF('Deal_Master_Wide'!$AU$32="","",'Deal_Master_Wide'!$AU$32)</x:f>
        <x:v>Not reviewed</x:v>
      </x:c>
      <x:c r="D209" s="52" t="str">
        <x:f>IF('Deal_Master_Wide'!$AV$32="","",'Deal_Master_Wide'!$AV$32)</x:f>
        <x:v>Not assessed</x:v>
      </x:c>
      <x:c r="E209" s="50" t="n">
        <x:v>1</x:v>
      </x:c>
      <x:c r="F209" s="52" t="str">
        <x:f>IF(OR($C209="High-confidence innovation-driven",$C209="Medium-confidence innovation-driven"),1,IF($C209="Clear alternative-rationale",0,""))</x:f>
      </x:c>
      <x:c r="G209" s="52" t="str">
        <x:f>IF('Deal_Master_Wide'!$M$32="","",'Deal_Master_Wide'!$M$32)</x:f>
        <x:v>Review</x:v>
      </x:c>
      <x:c r="H209" s="50" t="str">
        <x:v>Stada Arzneimittel AG</x:v>
      </x:c>
      <x:c r="I209" s="50" t="str">
        <x:v>SCIOTEC Diagnostic Technologies GmbH</x:v>
      </x:c>
      <x:c r="J209" s="50" t="n">
        <x:v>2015</x:v>
      </x:c>
      <x:c r="K209" s="50" t="n">
        <x:v>1</x:v>
      </x:c>
      <x:c r="L209" s="50" t="n">
        <x:v>2016</x:v>
      </x:c>
      <x:c r="M209" s="50" t="n">
        <x:v>1</x:v>
      </x:c>
      <x:c r="N209" s="50" t="n">
        <x:v>1</x:v>
      </x:c>
      <x:c r="O209" s="52" t="str">
        <x:f>IF($F209="","",$F209*$M209)</x:f>
      </x:c>
      <x:c r="P209" s="54" t="str">
        <x:f>IF(ISBLANK('Deal_Master_Wide'!$BT$32),"",'Deal_Master_Wide'!$BT$32)</x:f>
      </x:c>
      <x:c r="Q209" s="54" t="str">
        <x:f>IF(ISBLANK('Deal_Master_Wide'!$CA$32),"",'Deal_Master_Wide'!$CA$32)</x:f>
      </x:c>
      <x:c r="R209" s="54" t="str">
        <x:f>IF(ISBLANK('Deal_Master_Wide'!$CH$32),"",'Deal_Master_Wide'!$CH$32)</x:f>
      </x:c>
      <x:c r="S209" s="54" t="str">
        <x:f>IF(ISBLANK('Deal_Master_Wide'!$CO$32),"",'Deal_Master_Wide'!$CO$32)</x:f>
      </x:c>
      <x:c r="T209" s="54" t="str">
        <x:f>IF(ISBLANK('Deal_Master_Wide'!$CV$32),"",'Deal_Master_Wide'!$CV$32)</x:f>
      </x:c>
      <x:c r="U209" s="54" t="str">
        <x:f>IF(ISBLANK('Deal_Master_Wide'!$DC$32),"",'Deal_Master_Wide'!$DC$32)</x:f>
      </x:c>
      <x:c r="V209" s="56" t="str">
        <x:f>IF(ISBLANK('Deal_Master_Wide'!$DJ$32),"",'Deal_Master_Wide'!$DJ$32)</x:f>
      </x:c>
      <x:c r="W209" s="56" t="str">
        <x:f>IF(ISBLANK('Deal_Master_Wide'!$DQ$32),"",'Deal_Master_Wide'!$DQ$32)</x:f>
      </x:c>
      <x:c r="X209" s="56" t="str">
        <x:f>IF(ISBLANK('Deal_Master_Wide'!$DX$32),"",'Deal_Master_Wide'!$DX$32)</x:f>
      </x:c>
      <x:c r="Y209" s="54" t="str">
        <x:f>IF(ISBLANK('Deal_Master_Wide'!$EE$32),"",'Deal_Master_Wide'!$EE$32)</x:f>
      </x:c>
      <x:c r="Z209" s="54" t="str">
        <x:f>IF(ISBLANK('Deal_Master_Wide'!$EL$32),"",'Deal_Master_Wide'!$EL$32)</x:f>
      </x:c>
      <x:c r="AA209" s="52" t="str">
        <x:f>IF(ISBLANK('Deal_Master_Wide'!$AL$32),"",'Deal_Master_Wide'!$AL$32)</x:f>
        <x:v>Unknown</x:v>
      </x:c>
      <x:c r="AB209" s="54" t="n">
        <x:f>IF(ISBLANK('Deal_Master_Wide'!$AF$32),"",'Deal_Master_Wide'!$AF$32)</x:f>
        <x:v>20</x:v>
      </x:c>
      <x:c r="AC209" s="52" t="str">
        <x:f>IF(COUNT($P209,$Q209,$R209,$S209,$T209,$U209,$V209,$W209,$X209)=9,"Yes","No")</x:f>
        <x:v>No</x:v>
      </x:c>
      <x:c r="AD209" s="52" t="str">
        <x:f>IF(COUNT($Y209,$Z209)=2,"Yes","No")</x:f>
        <x:v>No</x:v>
      </x:c>
      <x:c r="AE209" s="50" t="str"/>
      <x:c r="AF209" t="str"/>
    </x:row>
    <x:row r="210" ht="20" customHeight="1">
      <x:c r="A210" s="50" t="str">
        <x:v>TRT-0030</x:v>
      </x:c>
      <x:c r="B210" s="50" t="str">
        <x:v>Candidate treatment group</x:v>
      </x:c>
      <x:c r="C210" s="52" t="str">
        <x:f>IF('Deal_Master_Wide'!$AU$32="","",'Deal_Master_Wide'!$AU$32)</x:f>
        <x:v>Not reviewed</x:v>
      </x:c>
      <x:c r="D210" s="52" t="str">
        <x:f>IF('Deal_Master_Wide'!$AV$32="","",'Deal_Master_Wide'!$AV$32)</x:f>
        <x:v>Not assessed</x:v>
      </x:c>
      <x:c r="E210" s="50" t="n">
        <x:v>1</x:v>
      </x:c>
      <x:c r="F210" s="52" t="str">
        <x:f>IF(OR($C210="High-confidence innovation-driven",$C210="Medium-confidence innovation-driven"),1,IF($C210="Clear alternative-rationale",0,""))</x:f>
      </x:c>
      <x:c r="G210" s="52" t="str">
        <x:f>IF('Deal_Master_Wide'!$M$32="","",'Deal_Master_Wide'!$M$32)</x:f>
        <x:v>Review</x:v>
      </x:c>
      <x:c r="H210" s="50" t="str">
        <x:v>Stada Arzneimittel AG</x:v>
      </x:c>
      <x:c r="I210" s="50" t="str">
        <x:v>SCIOTEC Diagnostic Technologies GmbH</x:v>
      </x:c>
      <x:c r="J210" s="50" t="n">
        <x:v>2015</x:v>
      </x:c>
      <x:c r="K210" s="50" t="n">
        <x:v>2</x:v>
      </x:c>
      <x:c r="L210" s="50" t="n">
        <x:v>2017</x:v>
      </x:c>
      <x:c r="M210" s="50" t="n">
        <x:v>1</x:v>
      </x:c>
      <x:c r="N210" s="50" t="n">
        <x:v>1</x:v>
      </x:c>
      <x:c r="O210" s="52" t="str">
        <x:f>IF($F210="","",$F210*$M210)</x:f>
      </x:c>
      <x:c r="P210" s="54" t="str">
        <x:f>IF(ISBLANK('Deal_Master_Wide'!$BU$32),"",'Deal_Master_Wide'!$BU$32)</x:f>
      </x:c>
      <x:c r="Q210" s="54" t="str">
        <x:f>IF(ISBLANK('Deal_Master_Wide'!$CB$32),"",'Deal_Master_Wide'!$CB$32)</x:f>
      </x:c>
      <x:c r="R210" s="54" t="str">
        <x:f>IF(ISBLANK('Deal_Master_Wide'!$CI$32),"",'Deal_Master_Wide'!$CI$32)</x:f>
      </x:c>
      <x:c r="S210" s="54" t="str">
        <x:f>IF(ISBLANK('Deal_Master_Wide'!$CP$32),"",'Deal_Master_Wide'!$CP$32)</x:f>
      </x:c>
      <x:c r="T210" s="54" t="str">
        <x:f>IF(ISBLANK('Deal_Master_Wide'!$CW$32),"",'Deal_Master_Wide'!$CW$32)</x:f>
      </x:c>
      <x:c r="U210" s="54" t="str">
        <x:f>IF(ISBLANK('Deal_Master_Wide'!$DD$32),"",'Deal_Master_Wide'!$DD$32)</x:f>
      </x:c>
      <x:c r="V210" s="56" t="str">
        <x:f>IF(ISBLANK('Deal_Master_Wide'!$DK$32),"",'Deal_Master_Wide'!$DK$32)</x:f>
      </x:c>
      <x:c r="W210" s="56" t="str">
        <x:f>IF(ISBLANK('Deal_Master_Wide'!$DR$32),"",'Deal_Master_Wide'!$DR$32)</x:f>
      </x:c>
      <x:c r="X210" s="56" t="str">
        <x:f>IF(ISBLANK('Deal_Master_Wide'!$DY$32),"",'Deal_Master_Wide'!$DY$32)</x:f>
      </x:c>
      <x:c r="Y210" s="54" t="str">
        <x:f>IF(ISBLANK('Deal_Master_Wide'!$EF$32),"",'Deal_Master_Wide'!$EF$32)</x:f>
      </x:c>
      <x:c r="Z210" s="54" t="str">
        <x:f>IF(ISBLANK('Deal_Master_Wide'!$EM$32),"",'Deal_Master_Wide'!$EM$32)</x:f>
      </x:c>
      <x:c r="AA210" s="52" t="str">
        <x:f>IF(ISBLANK('Deal_Master_Wide'!$AL$32),"",'Deal_Master_Wide'!$AL$32)</x:f>
        <x:v>Unknown</x:v>
      </x:c>
      <x:c r="AB210" s="54" t="n">
        <x:f>IF(ISBLANK('Deal_Master_Wide'!$AF$32),"",'Deal_Master_Wide'!$AF$32)</x:f>
        <x:v>20</x:v>
      </x:c>
      <x:c r="AC210" s="52" t="str">
        <x:f>IF(COUNT($P210,$Q210,$R210,$S210,$T210,$U210,$V210,$W210,$X210)=9,"Yes","No")</x:f>
        <x:v>No</x:v>
      </x:c>
      <x:c r="AD210" s="52" t="str">
        <x:f>IF(COUNT($Y210,$Z210)=2,"Yes","No")</x:f>
        <x:v>No</x:v>
      </x:c>
      <x:c r="AE210" s="50" t="str"/>
      <x:c r="AF210" t="str"/>
    </x:row>
    <x:row r="211" ht="20" customHeight="1">
      <x:c r="A211" s="50" t="str">
        <x:v>TRT-0030</x:v>
      </x:c>
      <x:c r="B211" s="50" t="str">
        <x:v>Candidate treatment group</x:v>
      </x:c>
      <x:c r="C211" s="52" t="str">
        <x:f>IF('Deal_Master_Wide'!$AU$32="","",'Deal_Master_Wide'!$AU$32)</x:f>
        <x:v>Not reviewed</x:v>
      </x:c>
      <x:c r="D211" s="52" t="str">
        <x:f>IF('Deal_Master_Wide'!$AV$32="","",'Deal_Master_Wide'!$AV$32)</x:f>
        <x:v>Not assessed</x:v>
      </x:c>
      <x:c r="E211" s="50" t="n">
        <x:v>1</x:v>
      </x:c>
      <x:c r="F211" s="52" t="str">
        <x:f>IF(OR($C211="High-confidence innovation-driven",$C211="Medium-confidence innovation-driven"),1,IF($C211="Clear alternative-rationale",0,""))</x:f>
      </x:c>
      <x:c r="G211" s="52" t="str">
        <x:f>IF('Deal_Master_Wide'!$M$32="","",'Deal_Master_Wide'!$M$32)</x:f>
        <x:v>Review</x:v>
      </x:c>
      <x:c r="H211" s="50" t="str">
        <x:v>Stada Arzneimittel AG</x:v>
      </x:c>
      <x:c r="I211" s="50" t="str">
        <x:v>SCIOTEC Diagnostic Technologies GmbH</x:v>
      </x:c>
      <x:c r="J211" s="50" t="n">
        <x:v>2015</x:v>
      </x:c>
      <x:c r="K211" s="50" t="n">
        <x:v>3</x:v>
      </x:c>
      <x:c r="L211" s="50" t="n">
        <x:v>2018</x:v>
      </x:c>
      <x:c r="M211" s="50" t="n">
        <x:v>1</x:v>
      </x:c>
      <x:c r="N211" s="50" t="n">
        <x:v>1</x:v>
      </x:c>
      <x:c r="O211" s="52" t="str">
        <x:f>IF($F211="","",$F211*$M211)</x:f>
      </x:c>
      <x:c r="P211" s="54" t="str">
        <x:f>IF(ISBLANK('Deal_Master_Wide'!$BV$32),"",'Deal_Master_Wide'!$BV$32)</x:f>
      </x:c>
      <x:c r="Q211" s="54" t="str">
        <x:f>IF(ISBLANK('Deal_Master_Wide'!$CC$32),"",'Deal_Master_Wide'!$CC$32)</x:f>
      </x:c>
      <x:c r="R211" s="54" t="str">
        <x:f>IF(ISBLANK('Deal_Master_Wide'!$CJ$32),"",'Deal_Master_Wide'!$CJ$32)</x:f>
      </x:c>
      <x:c r="S211" s="54" t="str">
        <x:f>IF(ISBLANK('Deal_Master_Wide'!$CQ$32),"",'Deal_Master_Wide'!$CQ$32)</x:f>
      </x:c>
      <x:c r="T211" s="54" t="str">
        <x:f>IF(ISBLANK('Deal_Master_Wide'!$CX$32),"",'Deal_Master_Wide'!$CX$32)</x:f>
      </x:c>
      <x:c r="U211" s="54" t="str">
        <x:f>IF(ISBLANK('Deal_Master_Wide'!$DE$32),"",'Deal_Master_Wide'!$DE$32)</x:f>
      </x:c>
      <x:c r="V211" s="56" t="str">
        <x:f>IF(ISBLANK('Deal_Master_Wide'!$DL$32),"",'Deal_Master_Wide'!$DL$32)</x:f>
      </x:c>
      <x:c r="W211" s="56" t="str">
        <x:f>IF(ISBLANK('Deal_Master_Wide'!$DS$32),"",'Deal_Master_Wide'!$DS$32)</x:f>
      </x:c>
      <x:c r="X211" s="56" t="str">
        <x:f>IF(ISBLANK('Deal_Master_Wide'!$DZ$32),"",'Deal_Master_Wide'!$DZ$32)</x:f>
      </x:c>
      <x:c r="Y211" s="54" t="str">
        <x:f>IF(ISBLANK('Deal_Master_Wide'!$EG$32),"",'Deal_Master_Wide'!$EG$32)</x:f>
      </x:c>
      <x:c r="Z211" s="54" t="str">
        <x:f>IF(ISBLANK('Deal_Master_Wide'!$EN$32),"",'Deal_Master_Wide'!$EN$32)</x:f>
      </x:c>
      <x:c r="AA211" s="52" t="str">
        <x:f>IF(ISBLANK('Deal_Master_Wide'!$AL$32),"",'Deal_Master_Wide'!$AL$32)</x:f>
        <x:v>Unknown</x:v>
      </x:c>
      <x:c r="AB211" s="54" t="n">
        <x:f>IF(ISBLANK('Deal_Master_Wide'!$AF$32),"",'Deal_Master_Wide'!$AF$32)</x:f>
        <x:v>20</x:v>
      </x:c>
      <x:c r="AC211" s="52" t="str">
        <x:f>IF(COUNT($P211,$Q211,$R211,$S211,$T211,$U211,$V211,$W211,$X211)=9,"Yes","No")</x:f>
        <x:v>No</x:v>
      </x:c>
      <x:c r="AD211" s="52" t="str">
        <x:f>IF(COUNT($Y211,$Z211)=2,"Yes","No")</x:f>
        <x:v>No</x:v>
      </x:c>
      <x:c r="AE211" s="50" t="str"/>
      <x:c r="AF211" t="str"/>
    </x:row>
    <x:row r="212" ht="20" customHeight="1">
      <x:c r="A212" s="50" t="str">
        <x:v>TRT-0031</x:v>
      </x:c>
      <x:c r="B212" s="50" t="str">
        <x:v>Candidate treatment group</x:v>
      </x:c>
      <x:c r="C212" s="52" t="str">
        <x:f>IF('Deal_Master_Wide'!$AU$33="","",'Deal_Master_Wide'!$AU$33)</x:f>
        <x:v>Not reviewed</x:v>
      </x:c>
      <x:c r="D212" s="52" t="str">
        <x:f>IF('Deal_Master_Wide'!$AV$33="","",'Deal_Master_Wide'!$AV$33)</x:f>
        <x:v>Not assessed</x:v>
      </x:c>
      <x:c r="E212" s="50" t="n">
        <x:v>1</x:v>
      </x:c>
      <x:c r="F212" s="52" t="str">
        <x:f>IF(OR($C212="High-confidence innovation-driven",$C212="Medium-confidence innovation-driven"),1,IF($C212="Clear alternative-rationale",0,""))</x:f>
      </x:c>
      <x:c r="G212" s="52" t="str">
        <x:f>IF('Deal_Master_Wide'!$M$33="","",'Deal_Master_Wide'!$M$33)</x:f>
        <x:v>Review</x:v>
      </x:c>
      <x:c r="H212" s="50" t="str">
        <x:v>TiGenix NV</x:v>
      </x:c>
      <x:c r="I212" s="50" t="str">
        <x:v>Coretherapix SLU</x:v>
      </x:c>
      <x:c r="J212" s="50" t="n">
        <x:v>2015</x:v>
      </x:c>
      <x:c r="K212" s="50" t="n">
        <x:v>-3</x:v>
      </x:c>
      <x:c r="L212" s="50" t="n">
        <x:v>2012</x:v>
      </x:c>
      <x:c r="M212" s="50" t="n">
        <x:v>0</x:v>
      </x:c>
      <x:c r="N212" s="50" t="n">
        <x:v>0</x:v>
      </x:c>
      <x:c r="O212" s="52" t="str">
        <x:f>IF($F212="","",$F212*$M212)</x:f>
      </x:c>
      <x:c r="P212" s="54" t="str">
        <x:f>IF(ISBLANK('Deal_Master_Wide'!$BP$33),"",'Deal_Master_Wide'!$BP$33)</x:f>
      </x:c>
      <x:c r="Q212" s="54" t="str">
        <x:f>IF(ISBLANK('Deal_Master_Wide'!$BW$33),"",'Deal_Master_Wide'!$BW$33)</x:f>
      </x:c>
      <x:c r="R212" s="54" t="str">
        <x:f>IF(ISBLANK('Deal_Master_Wide'!$CD$33),"",'Deal_Master_Wide'!$CD$33)</x:f>
      </x:c>
      <x:c r="S212" s="54" t="str">
        <x:f>IF(ISBLANK('Deal_Master_Wide'!$CK$33),"",'Deal_Master_Wide'!$CK$33)</x:f>
      </x:c>
      <x:c r="T212" s="54" t="str">
        <x:f>IF(ISBLANK('Deal_Master_Wide'!$CR$33),"",'Deal_Master_Wide'!$CR$33)</x:f>
      </x:c>
      <x:c r="U212" s="54" t="str">
        <x:f>IF(ISBLANK('Deal_Master_Wide'!$CY$33),"",'Deal_Master_Wide'!$CY$33)</x:f>
      </x:c>
      <x:c r="V212" s="56" t="str">
        <x:f>IF(ISBLANK('Deal_Master_Wide'!$DF$33),"",'Deal_Master_Wide'!$DF$33)</x:f>
      </x:c>
      <x:c r="W212" s="56" t="str">
        <x:f>IF(ISBLANK('Deal_Master_Wide'!$DM$33),"",'Deal_Master_Wide'!$DM$33)</x:f>
      </x:c>
      <x:c r="X212" s="56" t="str">
        <x:f>IF(ISBLANK('Deal_Master_Wide'!$DT$33),"",'Deal_Master_Wide'!$DT$33)</x:f>
      </x:c>
      <x:c r="Y212" s="54" t="str">
        <x:f>IF(ISBLANK('Deal_Master_Wide'!$EA$33),"",'Deal_Master_Wide'!$EA$33)</x:f>
      </x:c>
      <x:c r="Z212" s="54" t="str">
        <x:f>IF(ISBLANK('Deal_Master_Wide'!$EH$33),"",'Deal_Master_Wide'!$EH$33)</x:f>
      </x:c>
      <x:c r="AA212" s="52" t="str">
        <x:f>IF(ISBLANK('Deal_Master_Wide'!$AL$33),"",'Deal_Master_Wide'!$AL$33)</x:f>
        <x:v>Unknown</x:v>
      </x:c>
      <x:c r="AB212" s="54" t="n">
        <x:f>IF(ISBLANK('Deal_Master_Wide'!$AF$33),"",'Deal_Master_Wide'!$AF$33)</x:f>
        <x:v>7</x:v>
      </x:c>
      <x:c r="AC212" s="52" t="str">
        <x:f>IF(COUNT($P212,$Q212,$R212,$S212,$T212,$U212,$V212,$W212,$X212)=9,"Yes","No")</x:f>
        <x:v>No</x:v>
      </x:c>
      <x:c r="AD212" s="52" t="str">
        <x:f>IF(COUNT($Y212,$Z212)=2,"Yes","No")</x:f>
        <x:v>No</x:v>
      </x:c>
      <x:c r="AE212" s="50" t="str"/>
      <x:c r="AF212" t="str"/>
    </x:row>
    <x:row r="213" ht="20" customHeight="1">
      <x:c r="A213" s="50" t="str">
        <x:v>TRT-0031</x:v>
      </x:c>
      <x:c r="B213" s="50" t="str">
        <x:v>Candidate treatment group</x:v>
      </x:c>
      <x:c r="C213" s="52" t="str">
        <x:f>IF('Deal_Master_Wide'!$AU$33="","",'Deal_Master_Wide'!$AU$33)</x:f>
        <x:v>Not reviewed</x:v>
      </x:c>
      <x:c r="D213" s="52" t="str">
        <x:f>IF('Deal_Master_Wide'!$AV$33="","",'Deal_Master_Wide'!$AV$33)</x:f>
        <x:v>Not assessed</x:v>
      </x:c>
      <x:c r="E213" s="50" t="n">
        <x:v>1</x:v>
      </x:c>
      <x:c r="F213" s="52" t="str">
        <x:f>IF(OR($C213="High-confidence innovation-driven",$C213="Medium-confidence innovation-driven"),1,IF($C213="Clear alternative-rationale",0,""))</x:f>
      </x:c>
      <x:c r="G213" s="52" t="str">
        <x:f>IF('Deal_Master_Wide'!$M$33="","",'Deal_Master_Wide'!$M$33)</x:f>
        <x:v>Review</x:v>
      </x:c>
      <x:c r="H213" s="50" t="str">
        <x:v>TiGenix NV</x:v>
      </x:c>
      <x:c r="I213" s="50" t="str">
        <x:v>Coretherapix SLU</x:v>
      </x:c>
      <x:c r="J213" s="50" t="n">
        <x:v>2015</x:v>
      </x:c>
      <x:c r="K213" s="50" t="n">
        <x:v>-2</x:v>
      </x:c>
      <x:c r="L213" s="50" t="n">
        <x:v>2013</x:v>
      </x:c>
      <x:c r="M213" s="50" t="n">
        <x:v>0</x:v>
      </x:c>
      <x:c r="N213" s="50" t="n">
        <x:v>0</x:v>
      </x:c>
      <x:c r="O213" s="52" t="str">
        <x:f>IF($F213="","",$F213*$M213)</x:f>
      </x:c>
      <x:c r="P213" s="54" t="str">
        <x:f>IF(ISBLANK('Deal_Master_Wide'!$BQ$33),"",'Deal_Master_Wide'!$BQ$33)</x:f>
      </x:c>
      <x:c r="Q213" s="54" t="str">
        <x:f>IF(ISBLANK('Deal_Master_Wide'!$BX$33),"",'Deal_Master_Wide'!$BX$33)</x:f>
      </x:c>
      <x:c r="R213" s="54" t="str">
        <x:f>IF(ISBLANK('Deal_Master_Wide'!$CE$33),"",'Deal_Master_Wide'!$CE$33)</x:f>
      </x:c>
      <x:c r="S213" s="54" t="str">
        <x:f>IF(ISBLANK('Deal_Master_Wide'!$CL$33),"",'Deal_Master_Wide'!$CL$33)</x:f>
      </x:c>
      <x:c r="T213" s="54" t="str">
        <x:f>IF(ISBLANK('Deal_Master_Wide'!$CS$33),"",'Deal_Master_Wide'!$CS$33)</x:f>
      </x:c>
      <x:c r="U213" s="54" t="str">
        <x:f>IF(ISBLANK('Deal_Master_Wide'!$CZ$33),"",'Deal_Master_Wide'!$CZ$33)</x:f>
      </x:c>
      <x:c r="V213" s="56" t="str">
        <x:f>IF(ISBLANK('Deal_Master_Wide'!$DG$33),"",'Deal_Master_Wide'!$DG$33)</x:f>
      </x:c>
      <x:c r="W213" s="56" t="str">
        <x:f>IF(ISBLANK('Deal_Master_Wide'!$DN$33),"",'Deal_Master_Wide'!$DN$33)</x:f>
      </x:c>
      <x:c r="X213" s="56" t="str">
        <x:f>IF(ISBLANK('Deal_Master_Wide'!$DU$33),"",'Deal_Master_Wide'!$DU$33)</x:f>
      </x:c>
      <x:c r="Y213" s="54" t="str">
        <x:f>IF(ISBLANK('Deal_Master_Wide'!$EB$33),"",'Deal_Master_Wide'!$EB$33)</x:f>
      </x:c>
      <x:c r="Z213" s="54" t="str">
        <x:f>IF(ISBLANK('Deal_Master_Wide'!$EI$33),"",'Deal_Master_Wide'!$EI$33)</x:f>
      </x:c>
      <x:c r="AA213" s="52" t="str">
        <x:f>IF(ISBLANK('Deal_Master_Wide'!$AL$33),"",'Deal_Master_Wide'!$AL$33)</x:f>
        <x:v>Unknown</x:v>
      </x:c>
      <x:c r="AB213" s="54" t="n">
        <x:f>IF(ISBLANK('Deal_Master_Wide'!$AF$33),"",'Deal_Master_Wide'!$AF$33)</x:f>
        <x:v>7</x:v>
      </x:c>
      <x:c r="AC213" s="52" t="str">
        <x:f>IF(COUNT($P213,$Q213,$R213,$S213,$T213,$U213,$V213,$W213,$X213)=9,"Yes","No")</x:f>
        <x:v>No</x:v>
      </x:c>
      <x:c r="AD213" s="52" t="str">
        <x:f>IF(COUNT($Y213,$Z213)=2,"Yes","No")</x:f>
        <x:v>No</x:v>
      </x:c>
      <x:c r="AE213" s="50" t="str"/>
      <x:c r="AF213" t="str"/>
    </x:row>
    <x:row r="214" ht="20" customHeight="1">
      <x:c r="A214" s="50" t="str">
        <x:v>TRT-0031</x:v>
      </x:c>
      <x:c r="B214" s="50" t="str">
        <x:v>Candidate treatment group</x:v>
      </x:c>
      <x:c r="C214" s="52" t="str">
        <x:f>IF('Deal_Master_Wide'!$AU$33="","",'Deal_Master_Wide'!$AU$33)</x:f>
        <x:v>Not reviewed</x:v>
      </x:c>
      <x:c r="D214" s="52" t="str">
        <x:f>IF('Deal_Master_Wide'!$AV$33="","",'Deal_Master_Wide'!$AV$33)</x:f>
        <x:v>Not assessed</x:v>
      </x:c>
      <x:c r="E214" s="50" t="n">
        <x:v>1</x:v>
      </x:c>
      <x:c r="F214" s="52" t="str">
        <x:f>IF(OR($C214="High-confidence innovation-driven",$C214="Medium-confidence innovation-driven"),1,IF($C214="Clear alternative-rationale",0,""))</x:f>
      </x:c>
      <x:c r="G214" s="52" t="str">
        <x:f>IF('Deal_Master_Wide'!$M$33="","",'Deal_Master_Wide'!$M$33)</x:f>
        <x:v>Review</x:v>
      </x:c>
      <x:c r="H214" s="50" t="str">
        <x:v>TiGenix NV</x:v>
      </x:c>
      <x:c r="I214" s="50" t="str">
        <x:v>Coretherapix SLU</x:v>
      </x:c>
      <x:c r="J214" s="50" t="n">
        <x:v>2015</x:v>
      </x:c>
      <x:c r="K214" s="50" t="n">
        <x:v>-1</x:v>
      </x:c>
      <x:c r="L214" s="50" t="n">
        <x:v>2014</x:v>
      </x:c>
      <x:c r="M214" s="50" t="n">
        <x:v>0</x:v>
      </x:c>
      <x:c r="N214" s="50" t="n">
        <x:v>0</x:v>
      </x:c>
      <x:c r="O214" s="52" t="str">
        <x:f>IF($F214="","",$F214*$M214)</x:f>
      </x:c>
      <x:c r="P214" s="54" t="str">
        <x:f>IF(ISBLANK('Deal_Master_Wide'!$BR$33),"",'Deal_Master_Wide'!$BR$33)</x:f>
      </x:c>
      <x:c r="Q214" s="54" t="str">
        <x:f>IF(ISBLANK('Deal_Master_Wide'!$BY$33),"",'Deal_Master_Wide'!$BY$33)</x:f>
      </x:c>
      <x:c r="R214" s="54" t="str">
        <x:f>IF(ISBLANK('Deal_Master_Wide'!$CF$33),"",'Deal_Master_Wide'!$CF$33)</x:f>
      </x:c>
      <x:c r="S214" s="54" t="str">
        <x:f>IF(ISBLANK('Deal_Master_Wide'!$CM$33),"",'Deal_Master_Wide'!$CM$33)</x:f>
      </x:c>
      <x:c r="T214" s="54" t="str">
        <x:f>IF(ISBLANK('Deal_Master_Wide'!$CT$33),"",'Deal_Master_Wide'!$CT$33)</x:f>
      </x:c>
      <x:c r="U214" s="54" t="str">
        <x:f>IF(ISBLANK('Deal_Master_Wide'!$DA$33),"",'Deal_Master_Wide'!$DA$33)</x:f>
      </x:c>
      <x:c r="V214" s="56" t="str">
        <x:f>IF(ISBLANK('Deal_Master_Wide'!$DH$33),"",'Deal_Master_Wide'!$DH$33)</x:f>
      </x:c>
      <x:c r="W214" s="56" t="str">
        <x:f>IF(ISBLANK('Deal_Master_Wide'!$DO$33),"",'Deal_Master_Wide'!$DO$33)</x:f>
      </x:c>
      <x:c r="X214" s="56" t="str">
        <x:f>IF(ISBLANK('Deal_Master_Wide'!$DV$33),"",'Deal_Master_Wide'!$DV$33)</x:f>
      </x:c>
      <x:c r="Y214" s="54" t="str">
        <x:f>IF(ISBLANK('Deal_Master_Wide'!$EC$33),"",'Deal_Master_Wide'!$EC$33)</x:f>
      </x:c>
      <x:c r="Z214" s="54" t="str">
        <x:f>IF(ISBLANK('Deal_Master_Wide'!$EJ$33),"",'Deal_Master_Wide'!$EJ$33)</x:f>
      </x:c>
      <x:c r="AA214" s="52" t="str">
        <x:f>IF(ISBLANK('Deal_Master_Wide'!$AL$33),"",'Deal_Master_Wide'!$AL$33)</x:f>
        <x:v>Unknown</x:v>
      </x:c>
      <x:c r="AB214" s="54" t="n">
        <x:f>IF(ISBLANK('Deal_Master_Wide'!$AF$33),"",'Deal_Master_Wide'!$AF$33)</x:f>
        <x:v>7</x:v>
      </x:c>
      <x:c r="AC214" s="52" t="str">
        <x:f>IF(COUNT($P214,$Q214,$R214,$S214,$T214,$U214,$V214,$W214,$X214)=9,"Yes","No")</x:f>
        <x:v>No</x:v>
      </x:c>
      <x:c r="AD214" s="52" t="str">
        <x:f>IF(COUNT($Y214,$Z214)=2,"Yes","No")</x:f>
        <x:v>No</x:v>
      </x:c>
      <x:c r="AE214" s="50" t="str"/>
      <x:c r="AF214" t="str"/>
    </x:row>
    <x:row r="215" ht="20" customHeight="1">
      <x:c r="A215" s="50" t="str">
        <x:v>TRT-0031</x:v>
      </x:c>
      <x:c r="B215" s="50" t="str">
        <x:v>Candidate treatment group</x:v>
      </x:c>
      <x:c r="C215" s="52" t="str">
        <x:f>IF('Deal_Master_Wide'!$AU$33="","",'Deal_Master_Wide'!$AU$33)</x:f>
        <x:v>Not reviewed</x:v>
      </x:c>
      <x:c r="D215" s="52" t="str">
        <x:f>IF('Deal_Master_Wide'!$AV$33="","",'Deal_Master_Wide'!$AV$33)</x:f>
        <x:v>Not assessed</x:v>
      </x:c>
      <x:c r="E215" s="50" t="n">
        <x:v>1</x:v>
      </x:c>
      <x:c r="F215" s="52" t="str">
        <x:f>IF(OR($C215="High-confidence innovation-driven",$C215="Medium-confidence innovation-driven"),1,IF($C215="Clear alternative-rationale",0,""))</x:f>
      </x:c>
      <x:c r="G215" s="52" t="str">
        <x:f>IF('Deal_Master_Wide'!$M$33="","",'Deal_Master_Wide'!$M$33)</x:f>
        <x:v>Review</x:v>
      </x:c>
      <x:c r="H215" s="50" t="str">
        <x:v>TiGenix NV</x:v>
      </x:c>
      <x:c r="I215" s="50" t="str">
        <x:v>Coretherapix SLU</x:v>
      </x:c>
      <x:c r="J215" s="50" t="n">
        <x:v>2015</x:v>
      </x:c>
      <x:c r="K215" s="50" t="n">
        <x:v>0</x:v>
      </x:c>
      <x:c r="L215" s="50" t="n">
        <x:v>2015</x:v>
      </x:c>
      <x:c r="M215" s="50" t="n">
        <x:v>0</x:v>
      </x:c>
      <x:c r="N215" s="50" t="n">
        <x:v>1</x:v>
      </x:c>
      <x:c r="O215" s="52" t="str">
        <x:f>IF($F215="","",$F215*$M215)</x:f>
      </x:c>
      <x:c r="P215" s="54" t="str">
        <x:f>IF(ISBLANK('Deal_Master_Wide'!$BS$33),"",'Deal_Master_Wide'!$BS$33)</x:f>
      </x:c>
      <x:c r="Q215" s="54" t="str">
        <x:f>IF(ISBLANK('Deal_Master_Wide'!$BZ$33),"",'Deal_Master_Wide'!$BZ$33)</x:f>
      </x:c>
      <x:c r="R215" s="54" t="str">
        <x:f>IF(ISBLANK('Deal_Master_Wide'!$CG$33),"",'Deal_Master_Wide'!$CG$33)</x:f>
      </x:c>
      <x:c r="S215" s="54" t="str">
        <x:f>IF(ISBLANK('Deal_Master_Wide'!$CN$33),"",'Deal_Master_Wide'!$CN$33)</x:f>
      </x:c>
      <x:c r="T215" s="54" t="str">
        <x:f>IF(ISBLANK('Deal_Master_Wide'!$CU$33),"",'Deal_Master_Wide'!$CU$33)</x:f>
      </x:c>
      <x:c r="U215" s="54" t="str">
        <x:f>IF(ISBLANK('Deal_Master_Wide'!$DB$33),"",'Deal_Master_Wide'!$DB$33)</x:f>
      </x:c>
      <x:c r="V215" s="56" t="str">
        <x:f>IF(ISBLANK('Deal_Master_Wide'!$DI$33),"",'Deal_Master_Wide'!$DI$33)</x:f>
      </x:c>
      <x:c r="W215" s="56" t="str">
        <x:f>IF(ISBLANK('Deal_Master_Wide'!$DP$33),"",'Deal_Master_Wide'!$DP$33)</x:f>
      </x:c>
      <x:c r="X215" s="56" t="str">
        <x:f>IF(ISBLANK('Deal_Master_Wide'!$DW$33),"",'Deal_Master_Wide'!$DW$33)</x:f>
      </x:c>
      <x:c r="Y215" s="54" t="str">
        <x:f>IF(ISBLANK('Deal_Master_Wide'!$ED$33),"",'Deal_Master_Wide'!$ED$33)</x:f>
      </x:c>
      <x:c r="Z215" s="54" t="str">
        <x:f>IF(ISBLANK('Deal_Master_Wide'!$EK$33),"",'Deal_Master_Wide'!$EK$33)</x:f>
      </x:c>
      <x:c r="AA215" s="52" t="str">
        <x:f>IF(ISBLANK('Deal_Master_Wide'!$AL$33),"",'Deal_Master_Wide'!$AL$33)</x:f>
        <x:v>Unknown</x:v>
      </x:c>
      <x:c r="AB215" s="54" t="n">
        <x:f>IF(ISBLANK('Deal_Master_Wide'!$AF$33),"",'Deal_Master_Wide'!$AF$33)</x:f>
        <x:v>7</x:v>
      </x:c>
      <x:c r="AC215" s="52" t="str">
        <x:f>IF(COUNT($P215,$Q215,$R215,$S215,$T215,$U215,$V215,$W215,$X215)=9,"Yes","No")</x:f>
        <x:v>No</x:v>
      </x:c>
      <x:c r="AD215" s="52" t="str">
        <x:f>IF(COUNT($Y215,$Z215)=2,"Yes","No")</x:f>
        <x:v>No</x:v>
      </x:c>
      <x:c r="AE215" s="50" t="str"/>
      <x:c r="AF215" t="str"/>
    </x:row>
    <x:row r="216" ht="20" customHeight="1">
      <x:c r="A216" s="50" t="str">
        <x:v>TRT-0031</x:v>
      </x:c>
      <x:c r="B216" s="50" t="str">
        <x:v>Candidate treatment group</x:v>
      </x:c>
      <x:c r="C216" s="52" t="str">
        <x:f>IF('Deal_Master_Wide'!$AU$33="","",'Deal_Master_Wide'!$AU$33)</x:f>
        <x:v>Not reviewed</x:v>
      </x:c>
      <x:c r="D216" s="52" t="str">
        <x:f>IF('Deal_Master_Wide'!$AV$33="","",'Deal_Master_Wide'!$AV$33)</x:f>
        <x:v>Not assessed</x:v>
      </x:c>
      <x:c r="E216" s="50" t="n">
        <x:v>1</x:v>
      </x:c>
      <x:c r="F216" s="52" t="str">
        <x:f>IF(OR($C216="High-confidence innovation-driven",$C216="Medium-confidence innovation-driven"),1,IF($C216="Clear alternative-rationale",0,""))</x:f>
      </x:c>
      <x:c r="G216" s="52" t="str">
        <x:f>IF('Deal_Master_Wide'!$M$33="","",'Deal_Master_Wide'!$M$33)</x:f>
        <x:v>Review</x:v>
      </x:c>
      <x:c r="H216" s="50" t="str">
        <x:v>TiGenix NV</x:v>
      </x:c>
      <x:c r="I216" s="50" t="str">
        <x:v>Coretherapix SLU</x:v>
      </x:c>
      <x:c r="J216" s="50" t="n">
        <x:v>2015</x:v>
      </x:c>
      <x:c r="K216" s="50" t="n">
        <x:v>1</x:v>
      </x:c>
      <x:c r="L216" s="50" t="n">
        <x:v>2016</x:v>
      </x:c>
      <x:c r="M216" s="50" t="n">
        <x:v>1</x:v>
      </x:c>
      <x:c r="N216" s="50" t="n">
        <x:v>1</x:v>
      </x:c>
      <x:c r="O216" s="52" t="str">
        <x:f>IF($F216="","",$F216*$M216)</x:f>
      </x:c>
      <x:c r="P216" s="54" t="str">
        <x:f>IF(ISBLANK('Deal_Master_Wide'!$BT$33),"",'Deal_Master_Wide'!$BT$33)</x:f>
      </x:c>
      <x:c r="Q216" s="54" t="str">
        <x:f>IF(ISBLANK('Deal_Master_Wide'!$CA$33),"",'Deal_Master_Wide'!$CA$33)</x:f>
      </x:c>
      <x:c r="R216" s="54" t="str">
        <x:f>IF(ISBLANK('Deal_Master_Wide'!$CH$33),"",'Deal_Master_Wide'!$CH$33)</x:f>
      </x:c>
      <x:c r="S216" s="54" t="str">
        <x:f>IF(ISBLANK('Deal_Master_Wide'!$CO$33),"",'Deal_Master_Wide'!$CO$33)</x:f>
      </x:c>
      <x:c r="T216" s="54" t="str">
        <x:f>IF(ISBLANK('Deal_Master_Wide'!$CV$33),"",'Deal_Master_Wide'!$CV$33)</x:f>
      </x:c>
      <x:c r="U216" s="54" t="str">
        <x:f>IF(ISBLANK('Deal_Master_Wide'!$DC$33),"",'Deal_Master_Wide'!$DC$33)</x:f>
      </x:c>
      <x:c r="V216" s="56" t="str">
        <x:f>IF(ISBLANK('Deal_Master_Wide'!$DJ$33),"",'Deal_Master_Wide'!$DJ$33)</x:f>
      </x:c>
      <x:c r="W216" s="56" t="str">
        <x:f>IF(ISBLANK('Deal_Master_Wide'!$DQ$33),"",'Deal_Master_Wide'!$DQ$33)</x:f>
      </x:c>
      <x:c r="X216" s="56" t="str">
        <x:f>IF(ISBLANK('Deal_Master_Wide'!$DX$33),"",'Deal_Master_Wide'!$DX$33)</x:f>
      </x:c>
      <x:c r="Y216" s="54" t="str">
        <x:f>IF(ISBLANK('Deal_Master_Wide'!$EE$33),"",'Deal_Master_Wide'!$EE$33)</x:f>
      </x:c>
      <x:c r="Z216" s="54" t="str">
        <x:f>IF(ISBLANK('Deal_Master_Wide'!$EL$33),"",'Deal_Master_Wide'!$EL$33)</x:f>
      </x:c>
      <x:c r="AA216" s="52" t="str">
        <x:f>IF(ISBLANK('Deal_Master_Wide'!$AL$33),"",'Deal_Master_Wide'!$AL$33)</x:f>
        <x:v>Unknown</x:v>
      </x:c>
      <x:c r="AB216" s="54" t="n">
        <x:f>IF(ISBLANK('Deal_Master_Wide'!$AF$33),"",'Deal_Master_Wide'!$AF$33)</x:f>
        <x:v>7</x:v>
      </x:c>
      <x:c r="AC216" s="52" t="str">
        <x:f>IF(COUNT($P216,$Q216,$R216,$S216,$T216,$U216,$V216,$W216,$X216)=9,"Yes","No")</x:f>
        <x:v>No</x:v>
      </x:c>
      <x:c r="AD216" s="52" t="str">
        <x:f>IF(COUNT($Y216,$Z216)=2,"Yes","No")</x:f>
        <x:v>No</x:v>
      </x:c>
      <x:c r="AE216" s="50" t="str"/>
      <x:c r="AF216" t="str"/>
    </x:row>
    <x:row r="217" ht="20" customHeight="1">
      <x:c r="A217" s="50" t="str">
        <x:v>TRT-0031</x:v>
      </x:c>
      <x:c r="B217" s="50" t="str">
        <x:v>Candidate treatment group</x:v>
      </x:c>
      <x:c r="C217" s="52" t="str">
        <x:f>IF('Deal_Master_Wide'!$AU$33="","",'Deal_Master_Wide'!$AU$33)</x:f>
        <x:v>Not reviewed</x:v>
      </x:c>
      <x:c r="D217" s="52" t="str">
        <x:f>IF('Deal_Master_Wide'!$AV$33="","",'Deal_Master_Wide'!$AV$33)</x:f>
        <x:v>Not assessed</x:v>
      </x:c>
      <x:c r="E217" s="50" t="n">
        <x:v>1</x:v>
      </x:c>
      <x:c r="F217" s="52" t="str">
        <x:f>IF(OR($C217="High-confidence innovation-driven",$C217="Medium-confidence innovation-driven"),1,IF($C217="Clear alternative-rationale",0,""))</x:f>
      </x:c>
      <x:c r="G217" s="52" t="str">
        <x:f>IF('Deal_Master_Wide'!$M$33="","",'Deal_Master_Wide'!$M$33)</x:f>
        <x:v>Review</x:v>
      </x:c>
      <x:c r="H217" s="50" t="str">
        <x:v>TiGenix NV</x:v>
      </x:c>
      <x:c r="I217" s="50" t="str">
        <x:v>Coretherapix SLU</x:v>
      </x:c>
      <x:c r="J217" s="50" t="n">
        <x:v>2015</x:v>
      </x:c>
      <x:c r="K217" s="50" t="n">
        <x:v>2</x:v>
      </x:c>
      <x:c r="L217" s="50" t="n">
        <x:v>2017</x:v>
      </x:c>
      <x:c r="M217" s="50" t="n">
        <x:v>1</x:v>
      </x:c>
      <x:c r="N217" s="50" t="n">
        <x:v>1</x:v>
      </x:c>
      <x:c r="O217" s="52" t="str">
        <x:f>IF($F217="","",$F217*$M217)</x:f>
      </x:c>
      <x:c r="P217" s="54" t="str">
        <x:f>IF(ISBLANK('Deal_Master_Wide'!$BU$33),"",'Deal_Master_Wide'!$BU$33)</x:f>
      </x:c>
      <x:c r="Q217" s="54" t="str">
        <x:f>IF(ISBLANK('Deal_Master_Wide'!$CB$33),"",'Deal_Master_Wide'!$CB$33)</x:f>
      </x:c>
      <x:c r="R217" s="54" t="str">
        <x:f>IF(ISBLANK('Deal_Master_Wide'!$CI$33),"",'Deal_Master_Wide'!$CI$33)</x:f>
      </x:c>
      <x:c r="S217" s="54" t="str">
        <x:f>IF(ISBLANK('Deal_Master_Wide'!$CP$33),"",'Deal_Master_Wide'!$CP$33)</x:f>
      </x:c>
      <x:c r="T217" s="54" t="str">
        <x:f>IF(ISBLANK('Deal_Master_Wide'!$CW$33),"",'Deal_Master_Wide'!$CW$33)</x:f>
      </x:c>
      <x:c r="U217" s="54" t="str">
        <x:f>IF(ISBLANK('Deal_Master_Wide'!$DD$33),"",'Deal_Master_Wide'!$DD$33)</x:f>
      </x:c>
      <x:c r="V217" s="56" t="str">
        <x:f>IF(ISBLANK('Deal_Master_Wide'!$DK$33),"",'Deal_Master_Wide'!$DK$33)</x:f>
      </x:c>
      <x:c r="W217" s="56" t="str">
        <x:f>IF(ISBLANK('Deal_Master_Wide'!$DR$33),"",'Deal_Master_Wide'!$DR$33)</x:f>
      </x:c>
      <x:c r="X217" s="56" t="str">
        <x:f>IF(ISBLANK('Deal_Master_Wide'!$DY$33),"",'Deal_Master_Wide'!$DY$33)</x:f>
      </x:c>
      <x:c r="Y217" s="54" t="str">
        <x:f>IF(ISBLANK('Deal_Master_Wide'!$EF$33),"",'Deal_Master_Wide'!$EF$33)</x:f>
      </x:c>
      <x:c r="Z217" s="54" t="str">
        <x:f>IF(ISBLANK('Deal_Master_Wide'!$EM$33),"",'Deal_Master_Wide'!$EM$33)</x:f>
      </x:c>
      <x:c r="AA217" s="52" t="str">
        <x:f>IF(ISBLANK('Deal_Master_Wide'!$AL$33),"",'Deal_Master_Wide'!$AL$33)</x:f>
        <x:v>Unknown</x:v>
      </x:c>
      <x:c r="AB217" s="54" t="n">
        <x:f>IF(ISBLANK('Deal_Master_Wide'!$AF$33),"",'Deal_Master_Wide'!$AF$33)</x:f>
        <x:v>7</x:v>
      </x:c>
      <x:c r="AC217" s="52" t="str">
        <x:f>IF(COUNT($P217,$Q217,$R217,$S217,$T217,$U217,$V217,$W217,$X217)=9,"Yes","No")</x:f>
        <x:v>No</x:v>
      </x:c>
      <x:c r="AD217" s="52" t="str">
        <x:f>IF(COUNT($Y217,$Z217)=2,"Yes","No")</x:f>
        <x:v>No</x:v>
      </x:c>
      <x:c r="AE217" s="50" t="str"/>
      <x:c r="AF217" t="str"/>
    </x:row>
    <x:row r="218" ht="20" customHeight="1">
      <x:c r="A218" s="50" t="str">
        <x:v>TRT-0031</x:v>
      </x:c>
      <x:c r="B218" s="50" t="str">
        <x:v>Candidate treatment group</x:v>
      </x:c>
      <x:c r="C218" s="52" t="str">
        <x:f>IF('Deal_Master_Wide'!$AU$33="","",'Deal_Master_Wide'!$AU$33)</x:f>
        <x:v>Not reviewed</x:v>
      </x:c>
      <x:c r="D218" s="52" t="str">
        <x:f>IF('Deal_Master_Wide'!$AV$33="","",'Deal_Master_Wide'!$AV$33)</x:f>
        <x:v>Not assessed</x:v>
      </x:c>
      <x:c r="E218" s="50" t="n">
        <x:v>1</x:v>
      </x:c>
      <x:c r="F218" s="52" t="str">
        <x:f>IF(OR($C218="High-confidence innovation-driven",$C218="Medium-confidence innovation-driven"),1,IF($C218="Clear alternative-rationale",0,""))</x:f>
      </x:c>
      <x:c r="G218" s="52" t="str">
        <x:f>IF('Deal_Master_Wide'!$M$33="","",'Deal_Master_Wide'!$M$33)</x:f>
        <x:v>Review</x:v>
      </x:c>
      <x:c r="H218" s="50" t="str">
        <x:v>TiGenix NV</x:v>
      </x:c>
      <x:c r="I218" s="50" t="str">
        <x:v>Coretherapix SLU</x:v>
      </x:c>
      <x:c r="J218" s="50" t="n">
        <x:v>2015</x:v>
      </x:c>
      <x:c r="K218" s="50" t="n">
        <x:v>3</x:v>
      </x:c>
      <x:c r="L218" s="50" t="n">
        <x:v>2018</x:v>
      </x:c>
      <x:c r="M218" s="50" t="n">
        <x:v>1</x:v>
      </x:c>
      <x:c r="N218" s="50" t="n">
        <x:v>1</x:v>
      </x:c>
      <x:c r="O218" s="52" t="str">
        <x:f>IF($F218="","",$F218*$M218)</x:f>
      </x:c>
      <x:c r="P218" s="54" t="str">
        <x:f>IF(ISBLANK('Deal_Master_Wide'!$BV$33),"",'Deal_Master_Wide'!$BV$33)</x:f>
      </x:c>
      <x:c r="Q218" s="54" t="str">
        <x:f>IF(ISBLANK('Deal_Master_Wide'!$CC$33),"",'Deal_Master_Wide'!$CC$33)</x:f>
      </x:c>
      <x:c r="R218" s="54" t="str">
        <x:f>IF(ISBLANK('Deal_Master_Wide'!$CJ$33),"",'Deal_Master_Wide'!$CJ$33)</x:f>
      </x:c>
      <x:c r="S218" s="54" t="str">
        <x:f>IF(ISBLANK('Deal_Master_Wide'!$CQ$33),"",'Deal_Master_Wide'!$CQ$33)</x:f>
      </x:c>
      <x:c r="T218" s="54" t="str">
        <x:f>IF(ISBLANK('Deal_Master_Wide'!$CX$33),"",'Deal_Master_Wide'!$CX$33)</x:f>
      </x:c>
      <x:c r="U218" s="54" t="str">
        <x:f>IF(ISBLANK('Deal_Master_Wide'!$DE$33),"",'Deal_Master_Wide'!$DE$33)</x:f>
      </x:c>
      <x:c r="V218" s="56" t="str">
        <x:f>IF(ISBLANK('Deal_Master_Wide'!$DL$33),"",'Deal_Master_Wide'!$DL$33)</x:f>
      </x:c>
      <x:c r="W218" s="56" t="str">
        <x:f>IF(ISBLANK('Deal_Master_Wide'!$DS$33),"",'Deal_Master_Wide'!$DS$33)</x:f>
      </x:c>
      <x:c r="X218" s="56" t="str">
        <x:f>IF(ISBLANK('Deal_Master_Wide'!$DZ$33),"",'Deal_Master_Wide'!$DZ$33)</x:f>
      </x:c>
      <x:c r="Y218" s="54" t="str">
        <x:f>IF(ISBLANK('Deal_Master_Wide'!$EG$33),"",'Deal_Master_Wide'!$EG$33)</x:f>
      </x:c>
      <x:c r="Z218" s="54" t="str">
        <x:f>IF(ISBLANK('Deal_Master_Wide'!$EN$33),"",'Deal_Master_Wide'!$EN$33)</x:f>
      </x:c>
      <x:c r="AA218" s="52" t="str">
        <x:f>IF(ISBLANK('Deal_Master_Wide'!$AL$33),"",'Deal_Master_Wide'!$AL$33)</x:f>
        <x:v>Unknown</x:v>
      </x:c>
      <x:c r="AB218" s="54" t="n">
        <x:f>IF(ISBLANK('Deal_Master_Wide'!$AF$33),"",'Deal_Master_Wide'!$AF$33)</x:f>
        <x:v>7</x:v>
      </x:c>
      <x:c r="AC218" s="52" t="str">
        <x:f>IF(COUNT($P218,$Q218,$R218,$S218,$T218,$U218,$V218,$W218,$X218)=9,"Yes","No")</x:f>
        <x:v>No</x:v>
      </x:c>
      <x:c r="AD218" s="52" t="str">
        <x:f>IF(COUNT($Y218,$Z218)=2,"Yes","No")</x:f>
        <x:v>No</x:v>
      </x:c>
      <x:c r="AE218" s="50" t="str"/>
      <x:c r="AF218" t="str"/>
    </x:row>
    <x:row r="219" ht="20" customHeight="1">
      <x:c r="A219" s="50" t="str">
        <x:v>TRT-0032</x:v>
      </x:c>
      <x:c r="B219" s="50" t="str">
        <x:v>Candidate treatment group</x:v>
      </x:c>
      <x:c r="C219" s="52" t="str">
        <x:f>IF('Deal_Master_Wide'!$AU$34="","",'Deal_Master_Wide'!$AU$34)</x:f>
        <x:v>Not reviewed</x:v>
      </x:c>
      <x:c r="D219" s="52" t="str">
        <x:f>IF('Deal_Master_Wide'!$AV$34="","",'Deal_Master_Wide'!$AV$34)</x:f>
        <x:v>Not assessed</x:v>
      </x:c>
      <x:c r="E219" s="50" t="n">
        <x:v>1</x:v>
      </x:c>
      <x:c r="F219" s="52" t="str">
        <x:f>IF(OR($C219="High-confidence innovation-driven",$C219="Medium-confidence innovation-driven"),1,IF($C219="Clear alternative-rationale",0,""))</x:f>
      </x:c>
      <x:c r="G219" s="52" t="str">
        <x:f>IF('Deal_Master_Wide'!$M$34="","",'Deal_Master_Wide'!$M$34)</x:f>
        <x:v>Review</x:v>
      </x:c>
      <x:c r="H219" s="50" t="str">
        <x:v>Auspex Pharmaceuticals Inc</x:v>
      </x:c>
      <x:c r="I219" s="50" t="str">
        <x:v>imphar AG</x:v>
      </x:c>
      <x:c r="J219" s="50" t="n">
        <x:v>2015</x:v>
      </x:c>
      <x:c r="K219" s="50" t="n">
        <x:v>-3</x:v>
      </x:c>
      <x:c r="L219" s="50" t="n">
        <x:v>2012</x:v>
      </x:c>
      <x:c r="M219" s="50" t="n">
        <x:v>0</x:v>
      </x:c>
      <x:c r="N219" s="50" t="n">
        <x:v>0</x:v>
      </x:c>
      <x:c r="O219" s="52" t="str">
        <x:f>IF($F219="","",$F219*$M219)</x:f>
      </x:c>
      <x:c r="P219" s="54" t="str">
        <x:f>IF(ISBLANK('Deal_Master_Wide'!$BP$34),"",'Deal_Master_Wide'!$BP$34)</x:f>
      </x:c>
      <x:c r="Q219" s="54" t="str">
        <x:f>IF(ISBLANK('Deal_Master_Wide'!$BW$34),"",'Deal_Master_Wide'!$BW$34)</x:f>
      </x:c>
      <x:c r="R219" s="54" t="str">
        <x:f>IF(ISBLANK('Deal_Master_Wide'!$CD$34),"",'Deal_Master_Wide'!$CD$34)</x:f>
      </x:c>
      <x:c r="S219" s="54" t="str">
        <x:f>IF(ISBLANK('Deal_Master_Wide'!$CK$34),"",'Deal_Master_Wide'!$CK$34)</x:f>
      </x:c>
      <x:c r="T219" s="54" t="str">
        <x:f>IF(ISBLANK('Deal_Master_Wide'!$CR$34),"",'Deal_Master_Wide'!$CR$34)</x:f>
      </x:c>
      <x:c r="U219" s="54" t="str">
        <x:f>IF(ISBLANK('Deal_Master_Wide'!$CY$34),"",'Deal_Master_Wide'!$CY$34)</x:f>
      </x:c>
      <x:c r="V219" s="56" t="str">
        <x:f>IF(ISBLANK('Deal_Master_Wide'!$DF$34),"",'Deal_Master_Wide'!$DF$34)</x:f>
      </x:c>
      <x:c r="W219" s="56" t="str">
        <x:f>IF(ISBLANK('Deal_Master_Wide'!$DM$34),"",'Deal_Master_Wide'!$DM$34)</x:f>
      </x:c>
      <x:c r="X219" s="56" t="str">
        <x:f>IF(ISBLANK('Deal_Master_Wide'!$DT$34),"",'Deal_Master_Wide'!$DT$34)</x:f>
      </x:c>
      <x:c r="Y219" s="54" t="str">
        <x:f>IF(ISBLANK('Deal_Master_Wide'!$EA$34),"",'Deal_Master_Wide'!$EA$34)</x:f>
      </x:c>
      <x:c r="Z219" s="54" t="str">
        <x:f>IF(ISBLANK('Deal_Master_Wide'!$EH$34),"",'Deal_Master_Wide'!$EH$34)</x:f>
      </x:c>
      <x:c r="AA219" s="52" t="str">
        <x:f>IF(ISBLANK('Deal_Master_Wide'!$AL$34),"",'Deal_Master_Wide'!$AL$34)</x:f>
        <x:v>Unknown</x:v>
      </x:c>
      <x:c r="AB219" s="54" t="str">
        <x:f>IF(ISBLANK('Deal_Master_Wide'!$AF$34),"",'Deal_Master_Wide'!$AF$34)</x:f>
      </x:c>
      <x:c r="AC219" s="52" t="str">
        <x:f>IF(COUNT($P219,$Q219,$R219,$S219,$T219,$U219,$V219,$W219,$X219)=9,"Yes","No")</x:f>
        <x:v>No</x:v>
      </x:c>
      <x:c r="AD219" s="52" t="str">
        <x:f>IF(COUNT($Y219,$Z219)=2,"Yes","No")</x:f>
        <x:v>No</x:v>
      </x:c>
      <x:c r="AE219" s="50" t="str"/>
      <x:c r="AF219" t="str"/>
    </x:row>
    <x:row r="220" ht="20" customHeight="1">
      <x:c r="A220" s="50" t="str">
        <x:v>TRT-0032</x:v>
      </x:c>
      <x:c r="B220" s="50" t="str">
        <x:v>Candidate treatment group</x:v>
      </x:c>
      <x:c r="C220" s="52" t="str">
        <x:f>IF('Deal_Master_Wide'!$AU$34="","",'Deal_Master_Wide'!$AU$34)</x:f>
        <x:v>Not reviewed</x:v>
      </x:c>
      <x:c r="D220" s="52" t="str">
        <x:f>IF('Deal_Master_Wide'!$AV$34="","",'Deal_Master_Wide'!$AV$34)</x:f>
        <x:v>Not assessed</x:v>
      </x:c>
      <x:c r="E220" s="50" t="n">
        <x:v>1</x:v>
      </x:c>
      <x:c r="F220" s="52" t="str">
        <x:f>IF(OR($C220="High-confidence innovation-driven",$C220="Medium-confidence innovation-driven"),1,IF($C220="Clear alternative-rationale",0,""))</x:f>
      </x:c>
      <x:c r="G220" s="52" t="str">
        <x:f>IF('Deal_Master_Wide'!$M$34="","",'Deal_Master_Wide'!$M$34)</x:f>
        <x:v>Review</x:v>
      </x:c>
      <x:c r="H220" s="50" t="str">
        <x:v>Auspex Pharmaceuticals Inc</x:v>
      </x:c>
      <x:c r="I220" s="50" t="str">
        <x:v>imphar AG</x:v>
      </x:c>
      <x:c r="J220" s="50" t="n">
        <x:v>2015</x:v>
      </x:c>
      <x:c r="K220" s="50" t="n">
        <x:v>-2</x:v>
      </x:c>
      <x:c r="L220" s="50" t="n">
        <x:v>2013</x:v>
      </x:c>
      <x:c r="M220" s="50" t="n">
        <x:v>0</x:v>
      </x:c>
      <x:c r="N220" s="50" t="n">
        <x:v>0</x:v>
      </x:c>
      <x:c r="O220" s="52" t="str">
        <x:f>IF($F220="","",$F220*$M220)</x:f>
      </x:c>
      <x:c r="P220" s="54" t="str">
        <x:f>IF(ISBLANK('Deal_Master_Wide'!$BQ$34),"",'Deal_Master_Wide'!$BQ$34)</x:f>
      </x:c>
      <x:c r="Q220" s="54" t="str">
        <x:f>IF(ISBLANK('Deal_Master_Wide'!$BX$34),"",'Deal_Master_Wide'!$BX$34)</x:f>
      </x:c>
      <x:c r="R220" s="54" t="str">
        <x:f>IF(ISBLANK('Deal_Master_Wide'!$CE$34),"",'Deal_Master_Wide'!$CE$34)</x:f>
      </x:c>
      <x:c r="S220" s="54" t="str">
        <x:f>IF(ISBLANK('Deal_Master_Wide'!$CL$34),"",'Deal_Master_Wide'!$CL$34)</x:f>
      </x:c>
      <x:c r="T220" s="54" t="str">
        <x:f>IF(ISBLANK('Deal_Master_Wide'!$CS$34),"",'Deal_Master_Wide'!$CS$34)</x:f>
      </x:c>
      <x:c r="U220" s="54" t="str">
        <x:f>IF(ISBLANK('Deal_Master_Wide'!$CZ$34),"",'Deal_Master_Wide'!$CZ$34)</x:f>
      </x:c>
      <x:c r="V220" s="56" t="str">
        <x:f>IF(ISBLANK('Deal_Master_Wide'!$DG$34),"",'Deal_Master_Wide'!$DG$34)</x:f>
      </x:c>
      <x:c r="W220" s="56" t="str">
        <x:f>IF(ISBLANK('Deal_Master_Wide'!$DN$34),"",'Deal_Master_Wide'!$DN$34)</x:f>
      </x:c>
      <x:c r="X220" s="56" t="str">
        <x:f>IF(ISBLANK('Deal_Master_Wide'!$DU$34),"",'Deal_Master_Wide'!$DU$34)</x:f>
      </x:c>
      <x:c r="Y220" s="54" t="str">
        <x:f>IF(ISBLANK('Deal_Master_Wide'!$EB$34),"",'Deal_Master_Wide'!$EB$34)</x:f>
      </x:c>
      <x:c r="Z220" s="54" t="str">
        <x:f>IF(ISBLANK('Deal_Master_Wide'!$EI$34),"",'Deal_Master_Wide'!$EI$34)</x:f>
      </x:c>
      <x:c r="AA220" s="52" t="str">
        <x:f>IF(ISBLANK('Deal_Master_Wide'!$AL$34),"",'Deal_Master_Wide'!$AL$34)</x:f>
        <x:v>Unknown</x:v>
      </x:c>
      <x:c r="AB220" s="54" t="str">
        <x:f>IF(ISBLANK('Deal_Master_Wide'!$AF$34),"",'Deal_Master_Wide'!$AF$34)</x:f>
      </x:c>
      <x:c r="AC220" s="52" t="str">
        <x:f>IF(COUNT($P220,$Q220,$R220,$S220,$T220,$U220,$V220,$W220,$X220)=9,"Yes","No")</x:f>
        <x:v>No</x:v>
      </x:c>
      <x:c r="AD220" s="52" t="str">
        <x:f>IF(COUNT($Y220,$Z220)=2,"Yes","No")</x:f>
        <x:v>No</x:v>
      </x:c>
      <x:c r="AE220" s="50" t="str"/>
      <x:c r="AF220" t="str"/>
    </x:row>
    <x:row r="221" ht="20" customHeight="1">
      <x:c r="A221" s="50" t="str">
        <x:v>TRT-0032</x:v>
      </x:c>
      <x:c r="B221" s="50" t="str">
        <x:v>Candidate treatment group</x:v>
      </x:c>
      <x:c r="C221" s="52" t="str">
        <x:f>IF('Deal_Master_Wide'!$AU$34="","",'Deal_Master_Wide'!$AU$34)</x:f>
        <x:v>Not reviewed</x:v>
      </x:c>
      <x:c r="D221" s="52" t="str">
        <x:f>IF('Deal_Master_Wide'!$AV$34="","",'Deal_Master_Wide'!$AV$34)</x:f>
        <x:v>Not assessed</x:v>
      </x:c>
      <x:c r="E221" s="50" t="n">
        <x:v>1</x:v>
      </x:c>
      <x:c r="F221" s="52" t="str">
        <x:f>IF(OR($C221="High-confidence innovation-driven",$C221="Medium-confidence innovation-driven"),1,IF($C221="Clear alternative-rationale",0,""))</x:f>
      </x:c>
      <x:c r="G221" s="52" t="str">
        <x:f>IF('Deal_Master_Wide'!$M$34="","",'Deal_Master_Wide'!$M$34)</x:f>
        <x:v>Review</x:v>
      </x:c>
      <x:c r="H221" s="50" t="str">
        <x:v>Auspex Pharmaceuticals Inc</x:v>
      </x:c>
      <x:c r="I221" s="50" t="str">
        <x:v>imphar AG</x:v>
      </x:c>
      <x:c r="J221" s="50" t="n">
        <x:v>2015</x:v>
      </x:c>
      <x:c r="K221" s="50" t="n">
        <x:v>-1</x:v>
      </x:c>
      <x:c r="L221" s="50" t="n">
        <x:v>2014</x:v>
      </x:c>
      <x:c r="M221" s="50" t="n">
        <x:v>0</x:v>
      </x:c>
      <x:c r="N221" s="50" t="n">
        <x:v>0</x:v>
      </x:c>
      <x:c r="O221" s="52" t="str">
        <x:f>IF($F221="","",$F221*$M221)</x:f>
      </x:c>
      <x:c r="P221" s="54" t="str">
        <x:f>IF(ISBLANK('Deal_Master_Wide'!$BR$34),"",'Deal_Master_Wide'!$BR$34)</x:f>
      </x:c>
      <x:c r="Q221" s="54" t="str">
        <x:f>IF(ISBLANK('Deal_Master_Wide'!$BY$34),"",'Deal_Master_Wide'!$BY$34)</x:f>
      </x:c>
      <x:c r="R221" s="54" t="str">
        <x:f>IF(ISBLANK('Deal_Master_Wide'!$CF$34),"",'Deal_Master_Wide'!$CF$34)</x:f>
      </x:c>
      <x:c r="S221" s="54" t="str">
        <x:f>IF(ISBLANK('Deal_Master_Wide'!$CM$34),"",'Deal_Master_Wide'!$CM$34)</x:f>
      </x:c>
      <x:c r="T221" s="54" t="str">
        <x:f>IF(ISBLANK('Deal_Master_Wide'!$CT$34),"",'Deal_Master_Wide'!$CT$34)</x:f>
      </x:c>
      <x:c r="U221" s="54" t="str">
        <x:f>IF(ISBLANK('Deal_Master_Wide'!$DA$34),"",'Deal_Master_Wide'!$DA$34)</x:f>
      </x:c>
      <x:c r="V221" s="56" t="str">
        <x:f>IF(ISBLANK('Deal_Master_Wide'!$DH$34),"",'Deal_Master_Wide'!$DH$34)</x:f>
      </x:c>
      <x:c r="W221" s="56" t="str">
        <x:f>IF(ISBLANK('Deal_Master_Wide'!$DO$34),"",'Deal_Master_Wide'!$DO$34)</x:f>
      </x:c>
      <x:c r="X221" s="56" t="str">
        <x:f>IF(ISBLANK('Deal_Master_Wide'!$DV$34),"",'Deal_Master_Wide'!$DV$34)</x:f>
      </x:c>
      <x:c r="Y221" s="54" t="str">
        <x:f>IF(ISBLANK('Deal_Master_Wide'!$EC$34),"",'Deal_Master_Wide'!$EC$34)</x:f>
      </x:c>
      <x:c r="Z221" s="54" t="str">
        <x:f>IF(ISBLANK('Deal_Master_Wide'!$EJ$34),"",'Deal_Master_Wide'!$EJ$34)</x:f>
      </x:c>
      <x:c r="AA221" s="52" t="str">
        <x:f>IF(ISBLANK('Deal_Master_Wide'!$AL$34),"",'Deal_Master_Wide'!$AL$34)</x:f>
        <x:v>Unknown</x:v>
      </x:c>
      <x:c r="AB221" s="54" t="str">
        <x:f>IF(ISBLANK('Deal_Master_Wide'!$AF$34),"",'Deal_Master_Wide'!$AF$34)</x:f>
      </x:c>
      <x:c r="AC221" s="52" t="str">
        <x:f>IF(COUNT($P221,$Q221,$R221,$S221,$T221,$U221,$V221,$W221,$X221)=9,"Yes","No")</x:f>
        <x:v>No</x:v>
      </x:c>
      <x:c r="AD221" s="52" t="str">
        <x:f>IF(COUNT($Y221,$Z221)=2,"Yes","No")</x:f>
        <x:v>No</x:v>
      </x:c>
      <x:c r="AE221" s="50" t="str"/>
      <x:c r="AF221" t="str"/>
    </x:row>
    <x:row r="222" ht="20" customHeight="1">
      <x:c r="A222" s="50" t="str">
        <x:v>TRT-0032</x:v>
      </x:c>
      <x:c r="B222" s="50" t="str">
        <x:v>Candidate treatment group</x:v>
      </x:c>
      <x:c r="C222" s="52" t="str">
        <x:f>IF('Deal_Master_Wide'!$AU$34="","",'Deal_Master_Wide'!$AU$34)</x:f>
        <x:v>Not reviewed</x:v>
      </x:c>
      <x:c r="D222" s="52" t="str">
        <x:f>IF('Deal_Master_Wide'!$AV$34="","",'Deal_Master_Wide'!$AV$34)</x:f>
        <x:v>Not assessed</x:v>
      </x:c>
      <x:c r="E222" s="50" t="n">
        <x:v>1</x:v>
      </x:c>
      <x:c r="F222" s="52" t="str">
        <x:f>IF(OR($C222="High-confidence innovation-driven",$C222="Medium-confidence innovation-driven"),1,IF($C222="Clear alternative-rationale",0,""))</x:f>
      </x:c>
      <x:c r="G222" s="52" t="str">
        <x:f>IF('Deal_Master_Wide'!$M$34="","",'Deal_Master_Wide'!$M$34)</x:f>
        <x:v>Review</x:v>
      </x:c>
      <x:c r="H222" s="50" t="str">
        <x:v>Auspex Pharmaceuticals Inc</x:v>
      </x:c>
      <x:c r="I222" s="50" t="str">
        <x:v>imphar AG</x:v>
      </x:c>
      <x:c r="J222" s="50" t="n">
        <x:v>2015</x:v>
      </x:c>
      <x:c r="K222" s="50" t="n">
        <x:v>0</x:v>
      </x:c>
      <x:c r="L222" s="50" t="n">
        <x:v>2015</x:v>
      </x:c>
      <x:c r="M222" s="50" t="n">
        <x:v>0</x:v>
      </x:c>
      <x:c r="N222" s="50" t="n">
        <x:v>1</x:v>
      </x:c>
      <x:c r="O222" s="52" t="str">
        <x:f>IF($F222="","",$F222*$M222)</x:f>
      </x:c>
      <x:c r="P222" s="54" t="str">
        <x:f>IF(ISBLANK('Deal_Master_Wide'!$BS$34),"",'Deal_Master_Wide'!$BS$34)</x:f>
      </x:c>
      <x:c r="Q222" s="54" t="str">
        <x:f>IF(ISBLANK('Deal_Master_Wide'!$BZ$34),"",'Deal_Master_Wide'!$BZ$34)</x:f>
      </x:c>
      <x:c r="R222" s="54" t="str">
        <x:f>IF(ISBLANK('Deal_Master_Wide'!$CG$34),"",'Deal_Master_Wide'!$CG$34)</x:f>
      </x:c>
      <x:c r="S222" s="54" t="str">
        <x:f>IF(ISBLANK('Deal_Master_Wide'!$CN$34),"",'Deal_Master_Wide'!$CN$34)</x:f>
      </x:c>
      <x:c r="T222" s="54" t="str">
        <x:f>IF(ISBLANK('Deal_Master_Wide'!$CU$34),"",'Deal_Master_Wide'!$CU$34)</x:f>
      </x:c>
      <x:c r="U222" s="54" t="str">
        <x:f>IF(ISBLANK('Deal_Master_Wide'!$DB$34),"",'Deal_Master_Wide'!$DB$34)</x:f>
      </x:c>
      <x:c r="V222" s="56" t="str">
        <x:f>IF(ISBLANK('Deal_Master_Wide'!$DI$34),"",'Deal_Master_Wide'!$DI$34)</x:f>
      </x:c>
      <x:c r="W222" s="56" t="str">
        <x:f>IF(ISBLANK('Deal_Master_Wide'!$DP$34),"",'Deal_Master_Wide'!$DP$34)</x:f>
      </x:c>
      <x:c r="X222" s="56" t="str">
        <x:f>IF(ISBLANK('Deal_Master_Wide'!$DW$34),"",'Deal_Master_Wide'!$DW$34)</x:f>
      </x:c>
      <x:c r="Y222" s="54" t="str">
        <x:f>IF(ISBLANK('Deal_Master_Wide'!$ED$34),"",'Deal_Master_Wide'!$ED$34)</x:f>
      </x:c>
      <x:c r="Z222" s="54" t="str">
        <x:f>IF(ISBLANK('Deal_Master_Wide'!$EK$34),"",'Deal_Master_Wide'!$EK$34)</x:f>
      </x:c>
      <x:c r="AA222" s="52" t="str">
        <x:f>IF(ISBLANK('Deal_Master_Wide'!$AL$34),"",'Deal_Master_Wide'!$AL$34)</x:f>
        <x:v>Unknown</x:v>
      </x:c>
      <x:c r="AB222" s="54" t="str">
        <x:f>IF(ISBLANK('Deal_Master_Wide'!$AF$34),"",'Deal_Master_Wide'!$AF$34)</x:f>
      </x:c>
      <x:c r="AC222" s="52" t="str">
        <x:f>IF(COUNT($P222,$Q222,$R222,$S222,$T222,$U222,$V222,$W222,$X222)=9,"Yes","No")</x:f>
        <x:v>No</x:v>
      </x:c>
      <x:c r="AD222" s="52" t="str">
        <x:f>IF(COUNT($Y222,$Z222)=2,"Yes","No")</x:f>
        <x:v>No</x:v>
      </x:c>
      <x:c r="AE222" s="50" t="str"/>
      <x:c r="AF222" t="str"/>
    </x:row>
    <x:row r="223" ht="20" customHeight="1">
      <x:c r="A223" s="50" t="str">
        <x:v>TRT-0032</x:v>
      </x:c>
      <x:c r="B223" s="50" t="str">
        <x:v>Candidate treatment group</x:v>
      </x:c>
      <x:c r="C223" s="52" t="str">
        <x:f>IF('Deal_Master_Wide'!$AU$34="","",'Deal_Master_Wide'!$AU$34)</x:f>
        <x:v>Not reviewed</x:v>
      </x:c>
      <x:c r="D223" s="52" t="str">
        <x:f>IF('Deal_Master_Wide'!$AV$34="","",'Deal_Master_Wide'!$AV$34)</x:f>
        <x:v>Not assessed</x:v>
      </x:c>
      <x:c r="E223" s="50" t="n">
        <x:v>1</x:v>
      </x:c>
      <x:c r="F223" s="52" t="str">
        <x:f>IF(OR($C223="High-confidence innovation-driven",$C223="Medium-confidence innovation-driven"),1,IF($C223="Clear alternative-rationale",0,""))</x:f>
      </x:c>
      <x:c r="G223" s="52" t="str">
        <x:f>IF('Deal_Master_Wide'!$M$34="","",'Deal_Master_Wide'!$M$34)</x:f>
        <x:v>Review</x:v>
      </x:c>
      <x:c r="H223" s="50" t="str">
        <x:v>Auspex Pharmaceuticals Inc</x:v>
      </x:c>
      <x:c r="I223" s="50" t="str">
        <x:v>imphar AG</x:v>
      </x:c>
      <x:c r="J223" s="50" t="n">
        <x:v>2015</x:v>
      </x:c>
      <x:c r="K223" s="50" t="n">
        <x:v>1</x:v>
      </x:c>
      <x:c r="L223" s="50" t="n">
        <x:v>2016</x:v>
      </x:c>
      <x:c r="M223" s="50" t="n">
        <x:v>1</x:v>
      </x:c>
      <x:c r="N223" s="50" t="n">
        <x:v>1</x:v>
      </x:c>
      <x:c r="O223" s="52" t="str">
        <x:f>IF($F223="","",$F223*$M223)</x:f>
      </x:c>
      <x:c r="P223" s="54" t="str">
        <x:f>IF(ISBLANK('Deal_Master_Wide'!$BT$34),"",'Deal_Master_Wide'!$BT$34)</x:f>
      </x:c>
      <x:c r="Q223" s="54" t="str">
        <x:f>IF(ISBLANK('Deal_Master_Wide'!$CA$34),"",'Deal_Master_Wide'!$CA$34)</x:f>
      </x:c>
      <x:c r="R223" s="54" t="str">
        <x:f>IF(ISBLANK('Deal_Master_Wide'!$CH$34),"",'Deal_Master_Wide'!$CH$34)</x:f>
      </x:c>
      <x:c r="S223" s="54" t="str">
        <x:f>IF(ISBLANK('Deal_Master_Wide'!$CO$34),"",'Deal_Master_Wide'!$CO$34)</x:f>
      </x:c>
      <x:c r="T223" s="54" t="str">
        <x:f>IF(ISBLANK('Deal_Master_Wide'!$CV$34),"",'Deal_Master_Wide'!$CV$34)</x:f>
      </x:c>
      <x:c r="U223" s="54" t="str">
        <x:f>IF(ISBLANK('Deal_Master_Wide'!$DC$34),"",'Deal_Master_Wide'!$DC$34)</x:f>
      </x:c>
      <x:c r="V223" s="56" t="str">
        <x:f>IF(ISBLANK('Deal_Master_Wide'!$DJ$34),"",'Deal_Master_Wide'!$DJ$34)</x:f>
      </x:c>
      <x:c r="W223" s="56" t="str">
        <x:f>IF(ISBLANK('Deal_Master_Wide'!$DQ$34),"",'Deal_Master_Wide'!$DQ$34)</x:f>
      </x:c>
      <x:c r="X223" s="56" t="str">
        <x:f>IF(ISBLANK('Deal_Master_Wide'!$DX$34),"",'Deal_Master_Wide'!$DX$34)</x:f>
      </x:c>
      <x:c r="Y223" s="54" t="str">
        <x:f>IF(ISBLANK('Deal_Master_Wide'!$EE$34),"",'Deal_Master_Wide'!$EE$34)</x:f>
      </x:c>
      <x:c r="Z223" s="54" t="str">
        <x:f>IF(ISBLANK('Deal_Master_Wide'!$EL$34),"",'Deal_Master_Wide'!$EL$34)</x:f>
      </x:c>
      <x:c r="AA223" s="52" t="str">
        <x:f>IF(ISBLANK('Deal_Master_Wide'!$AL$34),"",'Deal_Master_Wide'!$AL$34)</x:f>
        <x:v>Unknown</x:v>
      </x:c>
      <x:c r="AB223" s="54" t="str">
        <x:f>IF(ISBLANK('Deal_Master_Wide'!$AF$34),"",'Deal_Master_Wide'!$AF$34)</x:f>
      </x:c>
      <x:c r="AC223" s="52" t="str">
        <x:f>IF(COUNT($P223,$Q223,$R223,$S223,$T223,$U223,$V223,$W223,$X223)=9,"Yes","No")</x:f>
        <x:v>No</x:v>
      </x:c>
      <x:c r="AD223" s="52" t="str">
        <x:f>IF(COUNT($Y223,$Z223)=2,"Yes","No")</x:f>
        <x:v>No</x:v>
      </x:c>
      <x:c r="AE223" s="50" t="str"/>
      <x:c r="AF223" t="str"/>
    </x:row>
    <x:row r="224" ht="20" customHeight="1">
      <x:c r="A224" s="50" t="str">
        <x:v>TRT-0032</x:v>
      </x:c>
      <x:c r="B224" s="50" t="str">
        <x:v>Candidate treatment group</x:v>
      </x:c>
      <x:c r="C224" s="52" t="str">
        <x:f>IF('Deal_Master_Wide'!$AU$34="","",'Deal_Master_Wide'!$AU$34)</x:f>
        <x:v>Not reviewed</x:v>
      </x:c>
      <x:c r="D224" s="52" t="str">
        <x:f>IF('Deal_Master_Wide'!$AV$34="","",'Deal_Master_Wide'!$AV$34)</x:f>
        <x:v>Not assessed</x:v>
      </x:c>
      <x:c r="E224" s="50" t="n">
        <x:v>1</x:v>
      </x:c>
      <x:c r="F224" s="52" t="str">
        <x:f>IF(OR($C224="High-confidence innovation-driven",$C224="Medium-confidence innovation-driven"),1,IF($C224="Clear alternative-rationale",0,""))</x:f>
      </x:c>
      <x:c r="G224" s="52" t="str">
        <x:f>IF('Deal_Master_Wide'!$M$34="","",'Deal_Master_Wide'!$M$34)</x:f>
        <x:v>Review</x:v>
      </x:c>
      <x:c r="H224" s="50" t="str">
        <x:v>Auspex Pharmaceuticals Inc</x:v>
      </x:c>
      <x:c r="I224" s="50" t="str">
        <x:v>imphar AG</x:v>
      </x:c>
      <x:c r="J224" s="50" t="n">
        <x:v>2015</x:v>
      </x:c>
      <x:c r="K224" s="50" t="n">
        <x:v>2</x:v>
      </x:c>
      <x:c r="L224" s="50" t="n">
        <x:v>2017</x:v>
      </x:c>
      <x:c r="M224" s="50" t="n">
        <x:v>1</x:v>
      </x:c>
      <x:c r="N224" s="50" t="n">
        <x:v>1</x:v>
      </x:c>
      <x:c r="O224" s="52" t="str">
        <x:f>IF($F224="","",$F224*$M224)</x:f>
      </x:c>
      <x:c r="P224" s="54" t="str">
        <x:f>IF(ISBLANK('Deal_Master_Wide'!$BU$34),"",'Deal_Master_Wide'!$BU$34)</x:f>
      </x:c>
      <x:c r="Q224" s="54" t="str">
        <x:f>IF(ISBLANK('Deal_Master_Wide'!$CB$34),"",'Deal_Master_Wide'!$CB$34)</x:f>
      </x:c>
      <x:c r="R224" s="54" t="str">
        <x:f>IF(ISBLANK('Deal_Master_Wide'!$CI$34),"",'Deal_Master_Wide'!$CI$34)</x:f>
      </x:c>
      <x:c r="S224" s="54" t="str">
        <x:f>IF(ISBLANK('Deal_Master_Wide'!$CP$34),"",'Deal_Master_Wide'!$CP$34)</x:f>
      </x:c>
      <x:c r="T224" s="54" t="str">
        <x:f>IF(ISBLANK('Deal_Master_Wide'!$CW$34),"",'Deal_Master_Wide'!$CW$34)</x:f>
      </x:c>
      <x:c r="U224" s="54" t="str">
        <x:f>IF(ISBLANK('Deal_Master_Wide'!$DD$34),"",'Deal_Master_Wide'!$DD$34)</x:f>
      </x:c>
      <x:c r="V224" s="56" t="str">
        <x:f>IF(ISBLANK('Deal_Master_Wide'!$DK$34),"",'Deal_Master_Wide'!$DK$34)</x:f>
      </x:c>
      <x:c r="W224" s="56" t="str">
        <x:f>IF(ISBLANK('Deal_Master_Wide'!$DR$34),"",'Deal_Master_Wide'!$DR$34)</x:f>
      </x:c>
      <x:c r="X224" s="56" t="str">
        <x:f>IF(ISBLANK('Deal_Master_Wide'!$DY$34),"",'Deal_Master_Wide'!$DY$34)</x:f>
      </x:c>
      <x:c r="Y224" s="54" t="str">
        <x:f>IF(ISBLANK('Deal_Master_Wide'!$EF$34),"",'Deal_Master_Wide'!$EF$34)</x:f>
      </x:c>
      <x:c r="Z224" s="54" t="str">
        <x:f>IF(ISBLANK('Deal_Master_Wide'!$EM$34),"",'Deal_Master_Wide'!$EM$34)</x:f>
      </x:c>
      <x:c r="AA224" s="52" t="str">
        <x:f>IF(ISBLANK('Deal_Master_Wide'!$AL$34),"",'Deal_Master_Wide'!$AL$34)</x:f>
        <x:v>Unknown</x:v>
      </x:c>
      <x:c r="AB224" s="54" t="str">
        <x:f>IF(ISBLANK('Deal_Master_Wide'!$AF$34),"",'Deal_Master_Wide'!$AF$34)</x:f>
      </x:c>
      <x:c r="AC224" s="52" t="str">
        <x:f>IF(COUNT($P224,$Q224,$R224,$S224,$T224,$U224,$V224,$W224,$X224)=9,"Yes","No")</x:f>
        <x:v>No</x:v>
      </x:c>
      <x:c r="AD224" s="52" t="str">
        <x:f>IF(COUNT($Y224,$Z224)=2,"Yes","No")</x:f>
        <x:v>No</x:v>
      </x:c>
      <x:c r="AE224" s="50" t="str"/>
      <x:c r="AF224" t="str"/>
    </x:row>
    <x:row r="225" ht="20" customHeight="1">
      <x:c r="A225" s="50" t="str">
        <x:v>TRT-0032</x:v>
      </x:c>
      <x:c r="B225" s="50" t="str">
        <x:v>Candidate treatment group</x:v>
      </x:c>
      <x:c r="C225" s="52" t="str">
        <x:f>IF('Deal_Master_Wide'!$AU$34="","",'Deal_Master_Wide'!$AU$34)</x:f>
        <x:v>Not reviewed</x:v>
      </x:c>
      <x:c r="D225" s="52" t="str">
        <x:f>IF('Deal_Master_Wide'!$AV$34="","",'Deal_Master_Wide'!$AV$34)</x:f>
        <x:v>Not assessed</x:v>
      </x:c>
      <x:c r="E225" s="50" t="n">
        <x:v>1</x:v>
      </x:c>
      <x:c r="F225" s="52" t="str">
        <x:f>IF(OR($C225="High-confidence innovation-driven",$C225="Medium-confidence innovation-driven"),1,IF($C225="Clear alternative-rationale",0,""))</x:f>
      </x:c>
      <x:c r="G225" s="52" t="str">
        <x:f>IF('Deal_Master_Wide'!$M$34="","",'Deal_Master_Wide'!$M$34)</x:f>
        <x:v>Review</x:v>
      </x:c>
      <x:c r="H225" s="50" t="str">
        <x:v>Auspex Pharmaceuticals Inc</x:v>
      </x:c>
      <x:c r="I225" s="50" t="str">
        <x:v>imphar AG</x:v>
      </x:c>
      <x:c r="J225" s="50" t="n">
        <x:v>2015</x:v>
      </x:c>
      <x:c r="K225" s="50" t="n">
        <x:v>3</x:v>
      </x:c>
      <x:c r="L225" s="50" t="n">
        <x:v>2018</x:v>
      </x:c>
      <x:c r="M225" s="50" t="n">
        <x:v>1</x:v>
      </x:c>
      <x:c r="N225" s="50" t="n">
        <x:v>1</x:v>
      </x:c>
      <x:c r="O225" s="52" t="str">
        <x:f>IF($F225="","",$F225*$M225)</x:f>
      </x:c>
      <x:c r="P225" s="54" t="str">
        <x:f>IF(ISBLANK('Deal_Master_Wide'!$BV$34),"",'Deal_Master_Wide'!$BV$34)</x:f>
      </x:c>
      <x:c r="Q225" s="54" t="str">
        <x:f>IF(ISBLANK('Deal_Master_Wide'!$CC$34),"",'Deal_Master_Wide'!$CC$34)</x:f>
      </x:c>
      <x:c r="R225" s="54" t="str">
        <x:f>IF(ISBLANK('Deal_Master_Wide'!$CJ$34),"",'Deal_Master_Wide'!$CJ$34)</x:f>
      </x:c>
      <x:c r="S225" s="54" t="str">
        <x:f>IF(ISBLANK('Deal_Master_Wide'!$CQ$34),"",'Deal_Master_Wide'!$CQ$34)</x:f>
      </x:c>
      <x:c r="T225" s="54" t="str">
        <x:f>IF(ISBLANK('Deal_Master_Wide'!$CX$34),"",'Deal_Master_Wide'!$CX$34)</x:f>
      </x:c>
      <x:c r="U225" s="54" t="str">
        <x:f>IF(ISBLANK('Deal_Master_Wide'!$DE$34),"",'Deal_Master_Wide'!$DE$34)</x:f>
      </x:c>
      <x:c r="V225" s="56" t="str">
        <x:f>IF(ISBLANK('Deal_Master_Wide'!$DL$34),"",'Deal_Master_Wide'!$DL$34)</x:f>
      </x:c>
      <x:c r="W225" s="56" t="str">
        <x:f>IF(ISBLANK('Deal_Master_Wide'!$DS$34),"",'Deal_Master_Wide'!$DS$34)</x:f>
      </x:c>
      <x:c r="X225" s="56" t="str">
        <x:f>IF(ISBLANK('Deal_Master_Wide'!$DZ$34),"",'Deal_Master_Wide'!$DZ$34)</x:f>
      </x:c>
      <x:c r="Y225" s="54" t="str">
        <x:f>IF(ISBLANK('Deal_Master_Wide'!$EG$34),"",'Deal_Master_Wide'!$EG$34)</x:f>
      </x:c>
      <x:c r="Z225" s="54" t="str">
        <x:f>IF(ISBLANK('Deal_Master_Wide'!$EN$34),"",'Deal_Master_Wide'!$EN$34)</x:f>
      </x:c>
      <x:c r="AA225" s="52" t="str">
        <x:f>IF(ISBLANK('Deal_Master_Wide'!$AL$34),"",'Deal_Master_Wide'!$AL$34)</x:f>
        <x:v>Unknown</x:v>
      </x:c>
      <x:c r="AB225" s="54" t="str">
        <x:f>IF(ISBLANK('Deal_Master_Wide'!$AF$34),"",'Deal_Master_Wide'!$AF$34)</x:f>
      </x:c>
      <x:c r="AC225" s="52" t="str">
        <x:f>IF(COUNT($P225,$Q225,$R225,$S225,$T225,$U225,$V225,$W225,$X225)=9,"Yes","No")</x:f>
        <x:v>No</x:v>
      </x:c>
      <x:c r="AD225" s="52" t="str">
        <x:f>IF(COUNT($Y225,$Z225)=2,"Yes","No")</x:f>
        <x:v>No</x:v>
      </x:c>
      <x:c r="AE225" s="50" t="str"/>
      <x:c r="AF225" t="str"/>
    </x:row>
    <x:row r="226" ht="20" customHeight="1">
      <x:c r="A226" s="50" t="str">
        <x:v>TRT-0033</x:v>
      </x:c>
      <x:c r="B226" s="50" t="str">
        <x:v>Candidate treatment group</x:v>
      </x:c>
      <x:c r="C226" s="52" t="str">
        <x:f>IF('Deal_Master_Wide'!$AU$35="","",'Deal_Master_Wide'!$AU$35)</x:f>
        <x:v>Not reviewed</x:v>
      </x:c>
      <x:c r="D226" s="52" t="str">
        <x:f>IF('Deal_Master_Wide'!$AV$35="","",'Deal_Master_Wide'!$AV$35)</x:f>
        <x:v>Not assessed</x:v>
      </x:c>
      <x:c r="E226" s="50" t="n">
        <x:v>1</x:v>
      </x:c>
      <x:c r="F226" s="52" t="str">
        <x:f>IF(OR($C226="High-confidence innovation-driven",$C226="Medium-confidence innovation-driven"),1,IF($C226="Clear alternative-rationale",0,""))</x:f>
      </x:c>
      <x:c r="G226" s="52" t="str">
        <x:f>IF('Deal_Master_Wide'!$M$35="","",'Deal_Master_Wide'!$M$35)</x:f>
        <x:v>Review</x:v>
      </x:c>
      <x:c r="H226" s="50" t="str">
        <x:v>Cadila Pharmaceuticals Sweden AB</x:v>
      </x:c>
      <x:c r="I226" s="50" t="str">
        <x:v>BioChromix NewCo AB</x:v>
      </x:c>
      <x:c r="J226" s="50" t="n">
        <x:v>2014</x:v>
      </x:c>
      <x:c r="K226" s="50" t="n">
        <x:v>-3</x:v>
      </x:c>
      <x:c r="L226" s="50" t="n">
        <x:v>2011</x:v>
      </x:c>
      <x:c r="M226" s="50" t="n">
        <x:v>0</x:v>
      </x:c>
      <x:c r="N226" s="50" t="n">
        <x:v>0</x:v>
      </x:c>
      <x:c r="O226" s="52" t="str">
        <x:f>IF($F226="","",$F226*$M226)</x:f>
      </x:c>
      <x:c r="P226" s="54" t="str">
        <x:f>IF(ISBLANK('Deal_Master_Wide'!$BP$35),"",'Deal_Master_Wide'!$BP$35)</x:f>
      </x:c>
      <x:c r="Q226" s="54" t="str">
        <x:f>IF(ISBLANK('Deal_Master_Wide'!$BW$35),"",'Deal_Master_Wide'!$BW$35)</x:f>
      </x:c>
      <x:c r="R226" s="54" t="str">
        <x:f>IF(ISBLANK('Deal_Master_Wide'!$CD$35),"",'Deal_Master_Wide'!$CD$35)</x:f>
      </x:c>
      <x:c r="S226" s="54" t="str">
        <x:f>IF(ISBLANK('Deal_Master_Wide'!$CK$35),"",'Deal_Master_Wide'!$CK$35)</x:f>
      </x:c>
      <x:c r="T226" s="54" t="str">
        <x:f>IF(ISBLANK('Deal_Master_Wide'!$CR$35),"",'Deal_Master_Wide'!$CR$35)</x:f>
      </x:c>
      <x:c r="U226" s="54" t="str">
        <x:f>IF(ISBLANK('Deal_Master_Wide'!$CY$35),"",'Deal_Master_Wide'!$CY$35)</x:f>
      </x:c>
      <x:c r="V226" s="56" t="str">
        <x:f>IF(ISBLANK('Deal_Master_Wide'!$DF$35),"",'Deal_Master_Wide'!$DF$35)</x:f>
      </x:c>
      <x:c r="W226" s="56" t="str">
        <x:f>IF(ISBLANK('Deal_Master_Wide'!$DM$35),"",'Deal_Master_Wide'!$DM$35)</x:f>
      </x:c>
      <x:c r="X226" s="56" t="str">
        <x:f>IF(ISBLANK('Deal_Master_Wide'!$DT$35),"",'Deal_Master_Wide'!$DT$35)</x:f>
      </x:c>
      <x:c r="Y226" s="54" t="str">
        <x:f>IF(ISBLANK('Deal_Master_Wide'!$EA$35),"",'Deal_Master_Wide'!$EA$35)</x:f>
      </x:c>
      <x:c r="Z226" s="54" t="str">
        <x:f>IF(ISBLANK('Deal_Master_Wide'!$EH$35),"",'Deal_Master_Wide'!$EH$35)</x:f>
      </x:c>
      <x:c r="AA226" s="52" t="str">
        <x:f>IF(ISBLANK('Deal_Master_Wide'!$AL$35),"",'Deal_Master_Wide'!$AL$35)</x:f>
        <x:v>Unknown</x:v>
      </x:c>
      <x:c r="AB226" s="54" t="str">
        <x:f>IF(ISBLANK('Deal_Master_Wide'!$AF$35),"",'Deal_Master_Wide'!$AF$35)</x:f>
      </x:c>
      <x:c r="AC226" s="52" t="str">
        <x:f>IF(COUNT($P226,$Q226,$R226,$S226,$T226,$U226,$V226,$W226,$X226)=9,"Yes","No")</x:f>
        <x:v>No</x:v>
      </x:c>
      <x:c r="AD226" s="52" t="str">
        <x:f>IF(COUNT($Y226,$Z226)=2,"Yes","No")</x:f>
        <x:v>No</x:v>
      </x:c>
      <x:c r="AE226" s="50" t="str"/>
      <x:c r="AF226" t="str"/>
    </x:row>
    <x:row r="227" ht="20" customHeight="1">
      <x:c r="A227" s="50" t="str">
        <x:v>TRT-0033</x:v>
      </x:c>
      <x:c r="B227" s="50" t="str">
        <x:v>Candidate treatment group</x:v>
      </x:c>
      <x:c r="C227" s="52" t="str">
        <x:f>IF('Deal_Master_Wide'!$AU$35="","",'Deal_Master_Wide'!$AU$35)</x:f>
        <x:v>Not reviewed</x:v>
      </x:c>
      <x:c r="D227" s="52" t="str">
        <x:f>IF('Deal_Master_Wide'!$AV$35="","",'Deal_Master_Wide'!$AV$35)</x:f>
        <x:v>Not assessed</x:v>
      </x:c>
      <x:c r="E227" s="50" t="n">
        <x:v>1</x:v>
      </x:c>
      <x:c r="F227" s="52" t="str">
        <x:f>IF(OR($C227="High-confidence innovation-driven",$C227="Medium-confidence innovation-driven"),1,IF($C227="Clear alternative-rationale",0,""))</x:f>
      </x:c>
      <x:c r="G227" s="52" t="str">
        <x:f>IF('Deal_Master_Wide'!$M$35="","",'Deal_Master_Wide'!$M$35)</x:f>
        <x:v>Review</x:v>
      </x:c>
      <x:c r="H227" s="50" t="str">
        <x:v>Cadila Pharmaceuticals Sweden AB</x:v>
      </x:c>
      <x:c r="I227" s="50" t="str">
        <x:v>BioChromix NewCo AB</x:v>
      </x:c>
      <x:c r="J227" s="50" t="n">
        <x:v>2014</x:v>
      </x:c>
      <x:c r="K227" s="50" t="n">
        <x:v>-2</x:v>
      </x:c>
      <x:c r="L227" s="50" t="n">
        <x:v>2012</x:v>
      </x:c>
      <x:c r="M227" s="50" t="n">
        <x:v>0</x:v>
      </x:c>
      <x:c r="N227" s="50" t="n">
        <x:v>0</x:v>
      </x:c>
      <x:c r="O227" s="52" t="str">
        <x:f>IF($F227="","",$F227*$M227)</x:f>
      </x:c>
      <x:c r="P227" s="54" t="str">
        <x:f>IF(ISBLANK('Deal_Master_Wide'!$BQ$35),"",'Deal_Master_Wide'!$BQ$35)</x:f>
      </x:c>
      <x:c r="Q227" s="54" t="str">
        <x:f>IF(ISBLANK('Deal_Master_Wide'!$BX$35),"",'Deal_Master_Wide'!$BX$35)</x:f>
      </x:c>
      <x:c r="R227" s="54" t="str">
        <x:f>IF(ISBLANK('Deal_Master_Wide'!$CE$35),"",'Deal_Master_Wide'!$CE$35)</x:f>
      </x:c>
      <x:c r="S227" s="54" t="str">
        <x:f>IF(ISBLANK('Deal_Master_Wide'!$CL$35),"",'Deal_Master_Wide'!$CL$35)</x:f>
      </x:c>
      <x:c r="T227" s="54" t="str">
        <x:f>IF(ISBLANK('Deal_Master_Wide'!$CS$35),"",'Deal_Master_Wide'!$CS$35)</x:f>
      </x:c>
      <x:c r="U227" s="54" t="str">
        <x:f>IF(ISBLANK('Deal_Master_Wide'!$CZ$35),"",'Deal_Master_Wide'!$CZ$35)</x:f>
      </x:c>
      <x:c r="V227" s="56" t="str">
        <x:f>IF(ISBLANK('Deal_Master_Wide'!$DG$35),"",'Deal_Master_Wide'!$DG$35)</x:f>
      </x:c>
      <x:c r="W227" s="56" t="str">
        <x:f>IF(ISBLANK('Deal_Master_Wide'!$DN$35),"",'Deal_Master_Wide'!$DN$35)</x:f>
      </x:c>
      <x:c r="X227" s="56" t="str">
        <x:f>IF(ISBLANK('Deal_Master_Wide'!$DU$35),"",'Deal_Master_Wide'!$DU$35)</x:f>
      </x:c>
      <x:c r="Y227" s="54" t="str">
        <x:f>IF(ISBLANK('Deal_Master_Wide'!$EB$35),"",'Deal_Master_Wide'!$EB$35)</x:f>
      </x:c>
      <x:c r="Z227" s="54" t="str">
        <x:f>IF(ISBLANK('Deal_Master_Wide'!$EI$35),"",'Deal_Master_Wide'!$EI$35)</x:f>
      </x:c>
      <x:c r="AA227" s="52" t="str">
        <x:f>IF(ISBLANK('Deal_Master_Wide'!$AL$35),"",'Deal_Master_Wide'!$AL$35)</x:f>
        <x:v>Unknown</x:v>
      </x:c>
      <x:c r="AB227" s="54" t="str">
        <x:f>IF(ISBLANK('Deal_Master_Wide'!$AF$35),"",'Deal_Master_Wide'!$AF$35)</x:f>
      </x:c>
      <x:c r="AC227" s="52" t="str">
        <x:f>IF(COUNT($P227,$Q227,$R227,$S227,$T227,$U227,$V227,$W227,$X227)=9,"Yes","No")</x:f>
        <x:v>No</x:v>
      </x:c>
      <x:c r="AD227" s="52" t="str">
        <x:f>IF(COUNT($Y227,$Z227)=2,"Yes","No")</x:f>
        <x:v>No</x:v>
      </x:c>
      <x:c r="AE227" s="50" t="str"/>
      <x:c r="AF227" t="str"/>
    </x:row>
    <x:row r="228" ht="20" customHeight="1">
      <x:c r="A228" s="50" t="str">
        <x:v>TRT-0033</x:v>
      </x:c>
      <x:c r="B228" s="50" t="str">
        <x:v>Candidate treatment group</x:v>
      </x:c>
      <x:c r="C228" s="52" t="str">
        <x:f>IF('Deal_Master_Wide'!$AU$35="","",'Deal_Master_Wide'!$AU$35)</x:f>
        <x:v>Not reviewed</x:v>
      </x:c>
      <x:c r="D228" s="52" t="str">
        <x:f>IF('Deal_Master_Wide'!$AV$35="","",'Deal_Master_Wide'!$AV$35)</x:f>
        <x:v>Not assessed</x:v>
      </x:c>
      <x:c r="E228" s="50" t="n">
        <x:v>1</x:v>
      </x:c>
      <x:c r="F228" s="52" t="str">
        <x:f>IF(OR($C228="High-confidence innovation-driven",$C228="Medium-confidence innovation-driven"),1,IF($C228="Clear alternative-rationale",0,""))</x:f>
      </x:c>
      <x:c r="G228" s="52" t="str">
        <x:f>IF('Deal_Master_Wide'!$M$35="","",'Deal_Master_Wide'!$M$35)</x:f>
        <x:v>Review</x:v>
      </x:c>
      <x:c r="H228" s="50" t="str">
        <x:v>Cadila Pharmaceuticals Sweden AB</x:v>
      </x:c>
      <x:c r="I228" s="50" t="str">
        <x:v>BioChromix NewCo AB</x:v>
      </x:c>
      <x:c r="J228" s="50" t="n">
        <x:v>2014</x:v>
      </x:c>
      <x:c r="K228" s="50" t="n">
        <x:v>-1</x:v>
      </x:c>
      <x:c r="L228" s="50" t="n">
        <x:v>2013</x:v>
      </x:c>
      <x:c r="M228" s="50" t="n">
        <x:v>0</x:v>
      </x:c>
      <x:c r="N228" s="50" t="n">
        <x:v>0</x:v>
      </x:c>
      <x:c r="O228" s="52" t="str">
        <x:f>IF($F228="","",$F228*$M228)</x:f>
      </x:c>
      <x:c r="P228" s="54" t="str">
        <x:f>IF(ISBLANK('Deal_Master_Wide'!$BR$35),"",'Deal_Master_Wide'!$BR$35)</x:f>
      </x:c>
      <x:c r="Q228" s="54" t="str">
        <x:f>IF(ISBLANK('Deal_Master_Wide'!$BY$35),"",'Deal_Master_Wide'!$BY$35)</x:f>
      </x:c>
      <x:c r="R228" s="54" t="str">
        <x:f>IF(ISBLANK('Deal_Master_Wide'!$CF$35),"",'Deal_Master_Wide'!$CF$35)</x:f>
      </x:c>
      <x:c r="S228" s="54" t="str">
        <x:f>IF(ISBLANK('Deal_Master_Wide'!$CM$35),"",'Deal_Master_Wide'!$CM$35)</x:f>
      </x:c>
      <x:c r="T228" s="54" t="str">
        <x:f>IF(ISBLANK('Deal_Master_Wide'!$CT$35),"",'Deal_Master_Wide'!$CT$35)</x:f>
      </x:c>
      <x:c r="U228" s="54" t="str">
        <x:f>IF(ISBLANK('Deal_Master_Wide'!$DA$35),"",'Deal_Master_Wide'!$DA$35)</x:f>
      </x:c>
      <x:c r="V228" s="56" t="str">
        <x:f>IF(ISBLANK('Deal_Master_Wide'!$DH$35),"",'Deal_Master_Wide'!$DH$35)</x:f>
      </x:c>
      <x:c r="W228" s="56" t="str">
        <x:f>IF(ISBLANK('Deal_Master_Wide'!$DO$35),"",'Deal_Master_Wide'!$DO$35)</x:f>
      </x:c>
      <x:c r="X228" s="56" t="str">
        <x:f>IF(ISBLANK('Deal_Master_Wide'!$DV$35),"",'Deal_Master_Wide'!$DV$35)</x:f>
      </x:c>
      <x:c r="Y228" s="54" t="str">
        <x:f>IF(ISBLANK('Deal_Master_Wide'!$EC$35),"",'Deal_Master_Wide'!$EC$35)</x:f>
      </x:c>
      <x:c r="Z228" s="54" t="str">
        <x:f>IF(ISBLANK('Deal_Master_Wide'!$EJ$35),"",'Deal_Master_Wide'!$EJ$35)</x:f>
      </x:c>
      <x:c r="AA228" s="52" t="str">
        <x:f>IF(ISBLANK('Deal_Master_Wide'!$AL$35),"",'Deal_Master_Wide'!$AL$35)</x:f>
        <x:v>Unknown</x:v>
      </x:c>
      <x:c r="AB228" s="54" t="str">
        <x:f>IF(ISBLANK('Deal_Master_Wide'!$AF$35),"",'Deal_Master_Wide'!$AF$35)</x:f>
      </x:c>
      <x:c r="AC228" s="52" t="str">
        <x:f>IF(COUNT($P228,$Q228,$R228,$S228,$T228,$U228,$V228,$W228,$X228)=9,"Yes","No")</x:f>
        <x:v>No</x:v>
      </x:c>
      <x:c r="AD228" s="52" t="str">
        <x:f>IF(COUNT($Y228,$Z228)=2,"Yes","No")</x:f>
        <x:v>No</x:v>
      </x:c>
      <x:c r="AE228" s="50" t="str"/>
      <x:c r="AF228" t="str"/>
    </x:row>
    <x:row r="229" ht="20" customHeight="1">
      <x:c r="A229" s="50" t="str">
        <x:v>TRT-0033</x:v>
      </x:c>
      <x:c r="B229" s="50" t="str">
        <x:v>Candidate treatment group</x:v>
      </x:c>
      <x:c r="C229" s="52" t="str">
        <x:f>IF('Deal_Master_Wide'!$AU$35="","",'Deal_Master_Wide'!$AU$35)</x:f>
        <x:v>Not reviewed</x:v>
      </x:c>
      <x:c r="D229" s="52" t="str">
        <x:f>IF('Deal_Master_Wide'!$AV$35="","",'Deal_Master_Wide'!$AV$35)</x:f>
        <x:v>Not assessed</x:v>
      </x:c>
      <x:c r="E229" s="50" t="n">
        <x:v>1</x:v>
      </x:c>
      <x:c r="F229" s="52" t="str">
        <x:f>IF(OR($C229="High-confidence innovation-driven",$C229="Medium-confidence innovation-driven"),1,IF($C229="Clear alternative-rationale",0,""))</x:f>
      </x:c>
      <x:c r="G229" s="52" t="str">
        <x:f>IF('Deal_Master_Wide'!$M$35="","",'Deal_Master_Wide'!$M$35)</x:f>
        <x:v>Review</x:v>
      </x:c>
      <x:c r="H229" s="50" t="str">
        <x:v>Cadila Pharmaceuticals Sweden AB</x:v>
      </x:c>
      <x:c r="I229" s="50" t="str">
        <x:v>BioChromix NewCo AB</x:v>
      </x:c>
      <x:c r="J229" s="50" t="n">
        <x:v>2014</x:v>
      </x:c>
      <x:c r="K229" s="50" t="n">
        <x:v>0</x:v>
      </x:c>
      <x:c r="L229" s="50" t="n">
        <x:v>2014</x:v>
      </x:c>
      <x:c r="M229" s="50" t="n">
        <x:v>0</x:v>
      </x:c>
      <x:c r="N229" s="50" t="n">
        <x:v>1</x:v>
      </x:c>
      <x:c r="O229" s="52" t="str">
        <x:f>IF($F229="","",$F229*$M229)</x:f>
      </x:c>
      <x:c r="P229" s="54" t="str">
        <x:f>IF(ISBLANK('Deal_Master_Wide'!$BS$35),"",'Deal_Master_Wide'!$BS$35)</x:f>
      </x:c>
      <x:c r="Q229" s="54" t="str">
        <x:f>IF(ISBLANK('Deal_Master_Wide'!$BZ$35),"",'Deal_Master_Wide'!$BZ$35)</x:f>
      </x:c>
      <x:c r="R229" s="54" t="str">
        <x:f>IF(ISBLANK('Deal_Master_Wide'!$CG$35),"",'Deal_Master_Wide'!$CG$35)</x:f>
      </x:c>
      <x:c r="S229" s="54" t="str">
        <x:f>IF(ISBLANK('Deal_Master_Wide'!$CN$35),"",'Deal_Master_Wide'!$CN$35)</x:f>
      </x:c>
      <x:c r="T229" s="54" t="str">
        <x:f>IF(ISBLANK('Deal_Master_Wide'!$CU$35),"",'Deal_Master_Wide'!$CU$35)</x:f>
      </x:c>
      <x:c r="U229" s="54" t="str">
        <x:f>IF(ISBLANK('Deal_Master_Wide'!$DB$35),"",'Deal_Master_Wide'!$DB$35)</x:f>
      </x:c>
      <x:c r="V229" s="56" t="str">
        <x:f>IF(ISBLANK('Deal_Master_Wide'!$DI$35),"",'Deal_Master_Wide'!$DI$35)</x:f>
      </x:c>
      <x:c r="W229" s="56" t="str">
        <x:f>IF(ISBLANK('Deal_Master_Wide'!$DP$35),"",'Deal_Master_Wide'!$DP$35)</x:f>
      </x:c>
      <x:c r="X229" s="56" t="str">
        <x:f>IF(ISBLANK('Deal_Master_Wide'!$DW$35),"",'Deal_Master_Wide'!$DW$35)</x:f>
      </x:c>
      <x:c r="Y229" s="54" t="str">
        <x:f>IF(ISBLANK('Deal_Master_Wide'!$ED$35),"",'Deal_Master_Wide'!$ED$35)</x:f>
      </x:c>
      <x:c r="Z229" s="54" t="str">
        <x:f>IF(ISBLANK('Deal_Master_Wide'!$EK$35),"",'Deal_Master_Wide'!$EK$35)</x:f>
      </x:c>
      <x:c r="AA229" s="52" t="str">
        <x:f>IF(ISBLANK('Deal_Master_Wide'!$AL$35),"",'Deal_Master_Wide'!$AL$35)</x:f>
        <x:v>Unknown</x:v>
      </x:c>
      <x:c r="AB229" s="54" t="str">
        <x:f>IF(ISBLANK('Deal_Master_Wide'!$AF$35),"",'Deal_Master_Wide'!$AF$35)</x:f>
      </x:c>
      <x:c r="AC229" s="52" t="str">
        <x:f>IF(COUNT($P229,$Q229,$R229,$S229,$T229,$U229,$V229,$W229,$X229)=9,"Yes","No")</x:f>
        <x:v>No</x:v>
      </x:c>
      <x:c r="AD229" s="52" t="str">
        <x:f>IF(COUNT($Y229,$Z229)=2,"Yes","No")</x:f>
        <x:v>No</x:v>
      </x:c>
      <x:c r="AE229" s="50" t="str"/>
      <x:c r="AF229" t="str"/>
    </x:row>
    <x:row r="230" ht="20" customHeight="1">
      <x:c r="A230" s="50" t="str">
        <x:v>TRT-0033</x:v>
      </x:c>
      <x:c r="B230" s="50" t="str">
        <x:v>Candidate treatment group</x:v>
      </x:c>
      <x:c r="C230" s="52" t="str">
        <x:f>IF('Deal_Master_Wide'!$AU$35="","",'Deal_Master_Wide'!$AU$35)</x:f>
        <x:v>Not reviewed</x:v>
      </x:c>
      <x:c r="D230" s="52" t="str">
        <x:f>IF('Deal_Master_Wide'!$AV$35="","",'Deal_Master_Wide'!$AV$35)</x:f>
        <x:v>Not assessed</x:v>
      </x:c>
      <x:c r="E230" s="50" t="n">
        <x:v>1</x:v>
      </x:c>
      <x:c r="F230" s="52" t="str">
        <x:f>IF(OR($C230="High-confidence innovation-driven",$C230="Medium-confidence innovation-driven"),1,IF($C230="Clear alternative-rationale",0,""))</x:f>
      </x:c>
      <x:c r="G230" s="52" t="str">
        <x:f>IF('Deal_Master_Wide'!$M$35="","",'Deal_Master_Wide'!$M$35)</x:f>
        <x:v>Review</x:v>
      </x:c>
      <x:c r="H230" s="50" t="str">
        <x:v>Cadila Pharmaceuticals Sweden AB</x:v>
      </x:c>
      <x:c r="I230" s="50" t="str">
        <x:v>BioChromix NewCo AB</x:v>
      </x:c>
      <x:c r="J230" s="50" t="n">
        <x:v>2014</x:v>
      </x:c>
      <x:c r="K230" s="50" t="n">
        <x:v>1</x:v>
      </x:c>
      <x:c r="L230" s="50" t="n">
        <x:v>2015</x:v>
      </x:c>
      <x:c r="M230" s="50" t="n">
        <x:v>1</x:v>
      </x:c>
      <x:c r="N230" s="50" t="n">
        <x:v>1</x:v>
      </x:c>
      <x:c r="O230" s="52" t="str">
        <x:f>IF($F230="","",$F230*$M230)</x:f>
      </x:c>
      <x:c r="P230" s="54" t="str">
        <x:f>IF(ISBLANK('Deal_Master_Wide'!$BT$35),"",'Deal_Master_Wide'!$BT$35)</x:f>
      </x:c>
      <x:c r="Q230" s="54" t="str">
        <x:f>IF(ISBLANK('Deal_Master_Wide'!$CA$35),"",'Deal_Master_Wide'!$CA$35)</x:f>
      </x:c>
      <x:c r="R230" s="54" t="str">
        <x:f>IF(ISBLANK('Deal_Master_Wide'!$CH$35),"",'Deal_Master_Wide'!$CH$35)</x:f>
      </x:c>
      <x:c r="S230" s="54" t="str">
        <x:f>IF(ISBLANK('Deal_Master_Wide'!$CO$35),"",'Deal_Master_Wide'!$CO$35)</x:f>
      </x:c>
      <x:c r="T230" s="54" t="str">
        <x:f>IF(ISBLANK('Deal_Master_Wide'!$CV$35),"",'Deal_Master_Wide'!$CV$35)</x:f>
      </x:c>
      <x:c r="U230" s="54" t="str">
        <x:f>IF(ISBLANK('Deal_Master_Wide'!$DC$35),"",'Deal_Master_Wide'!$DC$35)</x:f>
      </x:c>
      <x:c r="V230" s="56" t="str">
        <x:f>IF(ISBLANK('Deal_Master_Wide'!$DJ$35),"",'Deal_Master_Wide'!$DJ$35)</x:f>
      </x:c>
      <x:c r="W230" s="56" t="str">
        <x:f>IF(ISBLANK('Deal_Master_Wide'!$DQ$35),"",'Deal_Master_Wide'!$DQ$35)</x:f>
      </x:c>
      <x:c r="X230" s="56" t="str">
        <x:f>IF(ISBLANK('Deal_Master_Wide'!$DX$35),"",'Deal_Master_Wide'!$DX$35)</x:f>
      </x:c>
      <x:c r="Y230" s="54" t="str">
        <x:f>IF(ISBLANK('Deal_Master_Wide'!$EE$35),"",'Deal_Master_Wide'!$EE$35)</x:f>
      </x:c>
      <x:c r="Z230" s="54" t="str">
        <x:f>IF(ISBLANK('Deal_Master_Wide'!$EL$35),"",'Deal_Master_Wide'!$EL$35)</x:f>
      </x:c>
      <x:c r="AA230" s="52" t="str">
        <x:f>IF(ISBLANK('Deal_Master_Wide'!$AL$35),"",'Deal_Master_Wide'!$AL$35)</x:f>
        <x:v>Unknown</x:v>
      </x:c>
      <x:c r="AB230" s="54" t="str">
        <x:f>IF(ISBLANK('Deal_Master_Wide'!$AF$35),"",'Deal_Master_Wide'!$AF$35)</x:f>
      </x:c>
      <x:c r="AC230" s="52" t="str">
        <x:f>IF(COUNT($P230,$Q230,$R230,$S230,$T230,$U230,$V230,$W230,$X230)=9,"Yes","No")</x:f>
        <x:v>No</x:v>
      </x:c>
      <x:c r="AD230" s="52" t="str">
        <x:f>IF(COUNT($Y230,$Z230)=2,"Yes","No")</x:f>
        <x:v>No</x:v>
      </x:c>
      <x:c r="AE230" s="50" t="str"/>
      <x:c r="AF230" t="str"/>
    </x:row>
    <x:row r="231" ht="20" customHeight="1">
      <x:c r="A231" s="50" t="str">
        <x:v>TRT-0033</x:v>
      </x:c>
      <x:c r="B231" s="50" t="str">
        <x:v>Candidate treatment group</x:v>
      </x:c>
      <x:c r="C231" s="52" t="str">
        <x:f>IF('Deal_Master_Wide'!$AU$35="","",'Deal_Master_Wide'!$AU$35)</x:f>
        <x:v>Not reviewed</x:v>
      </x:c>
      <x:c r="D231" s="52" t="str">
        <x:f>IF('Deal_Master_Wide'!$AV$35="","",'Deal_Master_Wide'!$AV$35)</x:f>
        <x:v>Not assessed</x:v>
      </x:c>
      <x:c r="E231" s="50" t="n">
        <x:v>1</x:v>
      </x:c>
      <x:c r="F231" s="52" t="str">
        <x:f>IF(OR($C231="High-confidence innovation-driven",$C231="Medium-confidence innovation-driven"),1,IF($C231="Clear alternative-rationale",0,""))</x:f>
      </x:c>
      <x:c r="G231" s="52" t="str">
        <x:f>IF('Deal_Master_Wide'!$M$35="","",'Deal_Master_Wide'!$M$35)</x:f>
        <x:v>Review</x:v>
      </x:c>
      <x:c r="H231" s="50" t="str">
        <x:v>Cadila Pharmaceuticals Sweden AB</x:v>
      </x:c>
      <x:c r="I231" s="50" t="str">
        <x:v>BioChromix NewCo AB</x:v>
      </x:c>
      <x:c r="J231" s="50" t="n">
        <x:v>2014</x:v>
      </x:c>
      <x:c r="K231" s="50" t="n">
        <x:v>2</x:v>
      </x:c>
      <x:c r="L231" s="50" t="n">
        <x:v>2016</x:v>
      </x:c>
      <x:c r="M231" s="50" t="n">
        <x:v>1</x:v>
      </x:c>
      <x:c r="N231" s="50" t="n">
        <x:v>1</x:v>
      </x:c>
      <x:c r="O231" s="52" t="str">
        <x:f>IF($F231="","",$F231*$M231)</x:f>
      </x:c>
      <x:c r="P231" s="54" t="str">
        <x:f>IF(ISBLANK('Deal_Master_Wide'!$BU$35),"",'Deal_Master_Wide'!$BU$35)</x:f>
      </x:c>
      <x:c r="Q231" s="54" t="str">
        <x:f>IF(ISBLANK('Deal_Master_Wide'!$CB$35),"",'Deal_Master_Wide'!$CB$35)</x:f>
      </x:c>
      <x:c r="R231" s="54" t="str">
        <x:f>IF(ISBLANK('Deal_Master_Wide'!$CI$35),"",'Deal_Master_Wide'!$CI$35)</x:f>
      </x:c>
      <x:c r="S231" s="54" t="str">
        <x:f>IF(ISBLANK('Deal_Master_Wide'!$CP$35),"",'Deal_Master_Wide'!$CP$35)</x:f>
      </x:c>
      <x:c r="T231" s="54" t="str">
        <x:f>IF(ISBLANK('Deal_Master_Wide'!$CW$35),"",'Deal_Master_Wide'!$CW$35)</x:f>
      </x:c>
      <x:c r="U231" s="54" t="str">
        <x:f>IF(ISBLANK('Deal_Master_Wide'!$DD$35),"",'Deal_Master_Wide'!$DD$35)</x:f>
      </x:c>
      <x:c r="V231" s="56" t="str">
        <x:f>IF(ISBLANK('Deal_Master_Wide'!$DK$35),"",'Deal_Master_Wide'!$DK$35)</x:f>
      </x:c>
      <x:c r="W231" s="56" t="str">
        <x:f>IF(ISBLANK('Deal_Master_Wide'!$DR$35),"",'Deal_Master_Wide'!$DR$35)</x:f>
      </x:c>
      <x:c r="X231" s="56" t="str">
        <x:f>IF(ISBLANK('Deal_Master_Wide'!$DY$35),"",'Deal_Master_Wide'!$DY$35)</x:f>
      </x:c>
      <x:c r="Y231" s="54" t="str">
        <x:f>IF(ISBLANK('Deal_Master_Wide'!$EF$35),"",'Deal_Master_Wide'!$EF$35)</x:f>
      </x:c>
      <x:c r="Z231" s="54" t="str">
        <x:f>IF(ISBLANK('Deal_Master_Wide'!$EM$35),"",'Deal_Master_Wide'!$EM$35)</x:f>
      </x:c>
      <x:c r="AA231" s="52" t="str">
        <x:f>IF(ISBLANK('Deal_Master_Wide'!$AL$35),"",'Deal_Master_Wide'!$AL$35)</x:f>
        <x:v>Unknown</x:v>
      </x:c>
      <x:c r="AB231" s="54" t="str">
        <x:f>IF(ISBLANK('Deal_Master_Wide'!$AF$35),"",'Deal_Master_Wide'!$AF$35)</x:f>
      </x:c>
      <x:c r="AC231" s="52" t="str">
        <x:f>IF(COUNT($P231,$Q231,$R231,$S231,$T231,$U231,$V231,$W231,$X231)=9,"Yes","No")</x:f>
        <x:v>No</x:v>
      </x:c>
      <x:c r="AD231" s="52" t="str">
        <x:f>IF(COUNT($Y231,$Z231)=2,"Yes","No")</x:f>
        <x:v>No</x:v>
      </x:c>
      <x:c r="AE231" s="50" t="str"/>
      <x:c r="AF231" t="str"/>
    </x:row>
    <x:row r="232" ht="20" customHeight="1">
      <x:c r="A232" s="50" t="str">
        <x:v>TRT-0033</x:v>
      </x:c>
      <x:c r="B232" s="50" t="str">
        <x:v>Candidate treatment group</x:v>
      </x:c>
      <x:c r="C232" s="52" t="str">
        <x:f>IF('Deal_Master_Wide'!$AU$35="","",'Deal_Master_Wide'!$AU$35)</x:f>
        <x:v>Not reviewed</x:v>
      </x:c>
      <x:c r="D232" s="52" t="str">
        <x:f>IF('Deal_Master_Wide'!$AV$35="","",'Deal_Master_Wide'!$AV$35)</x:f>
        <x:v>Not assessed</x:v>
      </x:c>
      <x:c r="E232" s="50" t="n">
        <x:v>1</x:v>
      </x:c>
      <x:c r="F232" s="52" t="str">
        <x:f>IF(OR($C232="High-confidence innovation-driven",$C232="Medium-confidence innovation-driven"),1,IF($C232="Clear alternative-rationale",0,""))</x:f>
      </x:c>
      <x:c r="G232" s="52" t="str">
        <x:f>IF('Deal_Master_Wide'!$M$35="","",'Deal_Master_Wide'!$M$35)</x:f>
        <x:v>Review</x:v>
      </x:c>
      <x:c r="H232" s="50" t="str">
        <x:v>Cadila Pharmaceuticals Sweden AB</x:v>
      </x:c>
      <x:c r="I232" s="50" t="str">
        <x:v>BioChromix NewCo AB</x:v>
      </x:c>
      <x:c r="J232" s="50" t="n">
        <x:v>2014</x:v>
      </x:c>
      <x:c r="K232" s="50" t="n">
        <x:v>3</x:v>
      </x:c>
      <x:c r="L232" s="50" t="n">
        <x:v>2017</x:v>
      </x:c>
      <x:c r="M232" s="50" t="n">
        <x:v>1</x:v>
      </x:c>
      <x:c r="N232" s="50" t="n">
        <x:v>1</x:v>
      </x:c>
      <x:c r="O232" s="52" t="str">
        <x:f>IF($F232="","",$F232*$M232)</x:f>
      </x:c>
      <x:c r="P232" s="54" t="str">
        <x:f>IF(ISBLANK('Deal_Master_Wide'!$BV$35),"",'Deal_Master_Wide'!$BV$35)</x:f>
      </x:c>
      <x:c r="Q232" s="54" t="str">
        <x:f>IF(ISBLANK('Deal_Master_Wide'!$CC$35),"",'Deal_Master_Wide'!$CC$35)</x:f>
      </x:c>
      <x:c r="R232" s="54" t="str">
        <x:f>IF(ISBLANK('Deal_Master_Wide'!$CJ$35),"",'Deal_Master_Wide'!$CJ$35)</x:f>
      </x:c>
      <x:c r="S232" s="54" t="str">
        <x:f>IF(ISBLANK('Deal_Master_Wide'!$CQ$35),"",'Deal_Master_Wide'!$CQ$35)</x:f>
      </x:c>
      <x:c r="T232" s="54" t="str">
        <x:f>IF(ISBLANK('Deal_Master_Wide'!$CX$35),"",'Deal_Master_Wide'!$CX$35)</x:f>
      </x:c>
      <x:c r="U232" s="54" t="str">
        <x:f>IF(ISBLANK('Deal_Master_Wide'!$DE$35),"",'Deal_Master_Wide'!$DE$35)</x:f>
      </x:c>
      <x:c r="V232" s="56" t="str">
        <x:f>IF(ISBLANK('Deal_Master_Wide'!$DL$35),"",'Deal_Master_Wide'!$DL$35)</x:f>
      </x:c>
      <x:c r="W232" s="56" t="str">
        <x:f>IF(ISBLANK('Deal_Master_Wide'!$DS$35),"",'Deal_Master_Wide'!$DS$35)</x:f>
      </x:c>
      <x:c r="X232" s="56" t="str">
        <x:f>IF(ISBLANK('Deal_Master_Wide'!$DZ$35),"",'Deal_Master_Wide'!$DZ$35)</x:f>
      </x:c>
      <x:c r="Y232" s="54" t="str">
        <x:f>IF(ISBLANK('Deal_Master_Wide'!$EG$35),"",'Deal_Master_Wide'!$EG$35)</x:f>
      </x:c>
      <x:c r="Z232" s="54" t="str">
        <x:f>IF(ISBLANK('Deal_Master_Wide'!$EN$35),"",'Deal_Master_Wide'!$EN$35)</x:f>
      </x:c>
      <x:c r="AA232" s="52" t="str">
        <x:f>IF(ISBLANK('Deal_Master_Wide'!$AL$35),"",'Deal_Master_Wide'!$AL$35)</x:f>
        <x:v>Unknown</x:v>
      </x:c>
      <x:c r="AB232" s="54" t="str">
        <x:f>IF(ISBLANK('Deal_Master_Wide'!$AF$35),"",'Deal_Master_Wide'!$AF$35)</x:f>
      </x:c>
      <x:c r="AC232" s="52" t="str">
        <x:f>IF(COUNT($P232,$Q232,$R232,$S232,$T232,$U232,$V232,$W232,$X232)=9,"Yes","No")</x:f>
        <x:v>No</x:v>
      </x:c>
      <x:c r="AD232" s="52" t="str">
        <x:f>IF(COUNT($Y232,$Z232)=2,"Yes","No")</x:f>
        <x:v>No</x:v>
      </x:c>
      <x:c r="AE232" s="50" t="str"/>
      <x:c r="AF232" t="str"/>
    </x:row>
    <x:row r="233" ht="20" customHeight="1">
      <x:c r="A233" s="50" t="str">
        <x:v>TRT-0034</x:v>
      </x:c>
      <x:c r="B233" s="50" t="str">
        <x:v>Candidate treatment group</x:v>
      </x:c>
      <x:c r="C233" s="52" t="str">
        <x:f>IF('Deal_Master_Wide'!$AU$36="","",'Deal_Master_Wide'!$AU$36)</x:f>
        <x:v>Not reviewed</x:v>
      </x:c>
      <x:c r="D233" s="52" t="str">
        <x:f>IF('Deal_Master_Wide'!$AV$36="","",'Deal_Master_Wide'!$AV$36)</x:f>
        <x:v>Not assessed</x:v>
      </x:c>
      <x:c r="E233" s="50" t="n">
        <x:v>1</x:v>
      </x:c>
      <x:c r="F233" s="52" t="str">
        <x:f>IF(OR($C233="High-confidence innovation-driven",$C233="Medium-confidence innovation-driven"),1,IF($C233="Clear alternative-rationale",0,""))</x:f>
      </x:c>
      <x:c r="G233" s="52" t="str">
        <x:f>IF('Deal_Master_Wide'!$M$36="","",'Deal_Master_Wide'!$M$36)</x:f>
        <x:v>Review</x:v>
      </x:c>
      <x:c r="H233" s="50" t="str">
        <x:v>Nicox SA</x:v>
      </x:c>
      <x:c r="I233" s="50" t="str">
        <x:v>Doliage</x:v>
      </x:c>
      <x:c r="J233" s="50" t="n">
        <x:v>2014</x:v>
      </x:c>
      <x:c r="K233" s="50" t="n">
        <x:v>-3</x:v>
      </x:c>
      <x:c r="L233" s="50" t="n">
        <x:v>2011</x:v>
      </x:c>
      <x:c r="M233" s="50" t="n">
        <x:v>0</x:v>
      </x:c>
      <x:c r="N233" s="50" t="n">
        <x:v>0</x:v>
      </x:c>
      <x:c r="O233" s="52" t="str">
        <x:f>IF($F233="","",$F233*$M233)</x:f>
      </x:c>
      <x:c r="P233" s="54" t="n">
        <x:f>IF(ISBLANK('Deal_Master_Wide'!$BP$36),"",'Deal_Master_Wide'!$BP$36)</x:f>
        <x:v>0</x:v>
      </x:c>
      <x:c r="Q233" s="54" t="n">
        <x:f>IF(ISBLANK('Deal_Master_Wide'!$BW$36),"",'Deal_Master_Wide'!$BW$36)</x:f>
        <x:v>-13.184</x:v>
      </x:c>
      <x:c r="R233" s="54" t="n">
        <x:f>IF(ISBLANK('Deal_Master_Wide'!$CD$36),"",'Deal_Master_Wide'!$CD$36)</x:f>
        <x:v>-16.635</x:v>
      </x:c>
      <x:c r="S233" s="54" t="n">
        <x:f>IF(ISBLANK('Deal_Master_Wide'!$CK$36),"",'Deal_Master_Wide'!$CK$36)</x:f>
        <x:v>95.829</x:v>
      </x:c>
      <x:c r="T233" s="54" t="n">
        <x:f>IF(ISBLANK('Deal_Master_Wide'!$CR$36),"",'Deal_Master_Wide'!$CR$36)</x:f>
        <x:v>0.082</x:v>
      </x:c>
      <x:c r="U233" s="54" t="n">
        <x:f>IF(ISBLANK('Deal_Master_Wide'!$CY$36),"",'Deal_Master_Wide'!$CY$36)</x:f>
        <x:v>8.998</x:v>
      </x:c>
      <x:c r="V233" s="56" t="n">
        <x:f>IF(ISBLANK('Deal_Master_Wide'!$DF$36),"",'Deal_Master_Wide'!$DF$36)</x:f>
        <x:v>-15.9369</x:v>
      </x:c>
      <x:c r="W233" s="56" t="str">
        <x:f>IF(ISBLANK('Deal_Master_Wide'!$DM$36),"",'Deal_Master_Wide'!$DM$36)</x:f>
      </x:c>
      <x:c r="X233" s="56" t="n">
        <x:f>IF(ISBLANK('Deal_Master_Wide'!$DT$36),"",'Deal_Master_Wide'!$DT$36)</x:f>
        <x:v>0.0856</x:v>
      </x:c>
      <x:c r="Y233" s="54" t="n">
        <x:f>IF(ISBLANK('Deal_Master_Wide'!$EA$36),"",'Deal_Master_Wide'!$EA$36)</x:f>
        <x:v>2</x:v>
      </x:c>
      <x:c r="Z233" s="54" t="n">
        <x:f>IF(ISBLANK('Deal_Master_Wide'!$EH$36),"",'Deal_Master_Wide'!$EH$36)</x:f>
        <x:v>8</x:v>
      </x:c>
      <x:c r="AA233" s="52" t="str">
        <x:f>IF(ISBLANK('Deal_Master_Wide'!$AL$36),"",'Deal_Master_Wide'!$AL$36)</x:f>
        <x:v>Unknown</x:v>
      </x:c>
      <x:c r="AB233" s="54" t="n">
        <x:f>IF(ISBLANK('Deal_Master_Wide'!$AF$36),"",'Deal_Master_Wide'!$AF$36)</x:f>
        <x:v>6</x:v>
      </x:c>
      <x:c r="AC233" s="52" t="str">
        <x:f>IF(COUNT($P233,$Q233,$R233,$S233,$T233,$U233,$V233,$W233,$X233)=9,"Yes","No")</x:f>
        <x:v>No</x:v>
      </x:c>
      <x:c r="AD233" s="52" t="str">
        <x:f>IF(COUNT($Y233,$Z233)=2,"Yes","No")</x:f>
        <x:v>Yes</x:v>
      </x:c>
      <x:c r="AE233" s="50" t="str"/>
      <x:c r="AF233" t="str"/>
    </x:row>
    <x:row r="234" ht="20" customHeight="1">
      <x:c r="A234" s="50" t="str">
        <x:v>TRT-0034</x:v>
      </x:c>
      <x:c r="B234" s="50" t="str">
        <x:v>Candidate treatment group</x:v>
      </x:c>
      <x:c r="C234" s="52" t="str">
        <x:f>IF('Deal_Master_Wide'!$AU$36="","",'Deal_Master_Wide'!$AU$36)</x:f>
        <x:v>Not reviewed</x:v>
      </x:c>
      <x:c r="D234" s="52" t="str">
        <x:f>IF('Deal_Master_Wide'!$AV$36="","",'Deal_Master_Wide'!$AV$36)</x:f>
        <x:v>Not assessed</x:v>
      </x:c>
      <x:c r="E234" s="50" t="n">
        <x:v>1</x:v>
      </x:c>
      <x:c r="F234" s="52" t="str">
        <x:f>IF(OR($C234="High-confidence innovation-driven",$C234="Medium-confidence innovation-driven"),1,IF($C234="Clear alternative-rationale",0,""))</x:f>
      </x:c>
      <x:c r="G234" s="52" t="str">
        <x:f>IF('Deal_Master_Wide'!$M$36="","",'Deal_Master_Wide'!$M$36)</x:f>
        <x:v>Review</x:v>
      </x:c>
      <x:c r="H234" s="50" t="str">
        <x:v>Nicox SA</x:v>
      </x:c>
      <x:c r="I234" s="50" t="str">
        <x:v>Doliage</x:v>
      </x:c>
      <x:c r="J234" s="50" t="n">
        <x:v>2014</x:v>
      </x:c>
      <x:c r="K234" s="50" t="n">
        <x:v>-2</x:v>
      </x:c>
      <x:c r="L234" s="50" t="n">
        <x:v>2012</x:v>
      </x:c>
      <x:c r="M234" s="50" t="n">
        <x:v>0</x:v>
      </x:c>
      <x:c r="N234" s="50" t="n">
        <x:v>0</x:v>
      </x:c>
      <x:c r="O234" s="52" t="str">
        <x:f>IF($F234="","",$F234*$M234)</x:f>
      </x:c>
      <x:c r="P234" s="54" t="n">
        <x:f>IF(ISBLANK('Deal_Master_Wide'!$BQ$36),"",'Deal_Master_Wide'!$BQ$36)</x:f>
        <x:v>7.614</x:v>
      </x:c>
      <x:c r="Q234" s="54" t="n">
        <x:f>IF(ISBLANK('Deal_Master_Wide'!$BX$36),"",'Deal_Master_Wide'!$BX$36)</x:f>
        <x:v>-6.619</x:v>
      </x:c>
      <x:c r="R234" s="54" t="n">
        <x:f>IF(ISBLANK('Deal_Master_Wide'!$CE$36),"",'Deal_Master_Wide'!$CE$36)</x:f>
        <x:v>-10.247</x:v>
      </x:c>
      <x:c r="S234" s="54" t="n">
        <x:f>IF(ISBLANK('Deal_Master_Wide'!$CL$36),"",'Deal_Master_Wide'!$CL$36)</x:f>
        <x:v>84.147</x:v>
      </x:c>
      <x:c r="T234" s="54" t="n">
        <x:f>IF(ISBLANK('Deal_Master_Wide'!$CS$36),"",'Deal_Master_Wide'!$CS$36)</x:f>
        <x:v>0.157</x:v>
      </x:c>
      <x:c r="U234" s="54" t="n">
        <x:f>IF(ISBLANK('Deal_Master_Wide'!$CZ$36),"",'Deal_Master_Wide'!$CZ$36)</x:f>
        <x:v>6.471</x:v>
      </x:c>
      <x:c r="V234" s="56" t="n">
        <x:f>IF(ISBLANK('Deal_Master_Wide'!$DG$36),"",'Deal_Master_Wide'!$DG$36)</x:f>
        <x:v>-11.3871</x:v>
      </x:c>
      <x:c r="W234" s="56" t="n">
        <x:f>IF(ISBLANK('Deal_Master_Wide'!$DN$36),"",'Deal_Master_Wide'!$DN$36)</x:f>
        <x:v>-114.8805</x:v>
      </x:c>
      <x:c r="X234" s="56" t="n">
        <x:f>IF(ISBLANK('Deal_Master_Wide'!$DU$36),"",'Deal_Master_Wide'!$DU$36)</x:f>
        <x:v>0.1866</x:v>
      </x:c>
      <x:c r="Y234" s="54" t="n">
        <x:f>IF(ISBLANK('Deal_Master_Wide'!$EB$36),"",'Deal_Master_Wide'!$EB$36)</x:f>
        <x:v>3</x:v>
      </x:c>
      <x:c r="Z234" s="54" t="n">
        <x:f>IF(ISBLANK('Deal_Master_Wide'!$EI$36),"",'Deal_Master_Wide'!$EI$36)</x:f>
        <x:v>7</x:v>
      </x:c>
      <x:c r="AA234" s="52" t="str">
        <x:f>IF(ISBLANK('Deal_Master_Wide'!$AL$36),"",'Deal_Master_Wide'!$AL$36)</x:f>
        <x:v>Unknown</x:v>
      </x:c>
      <x:c r="AB234" s="54" t="n">
        <x:f>IF(ISBLANK('Deal_Master_Wide'!$AF$36),"",'Deal_Master_Wide'!$AF$36)</x:f>
        <x:v>6</x:v>
      </x:c>
      <x:c r="AC234" s="52" t="str">
        <x:f>IF(COUNT($P234,$Q234,$R234,$S234,$T234,$U234,$V234,$W234,$X234)=9,"Yes","No")</x:f>
        <x:v>Yes</x:v>
      </x:c>
      <x:c r="AD234" s="52" t="str">
        <x:f>IF(COUNT($Y234,$Z234)=2,"Yes","No")</x:f>
        <x:v>Yes</x:v>
      </x:c>
      <x:c r="AE234" s="50" t="str"/>
      <x:c r="AF234" t="str"/>
    </x:row>
    <x:row r="235" ht="20" customHeight="1">
      <x:c r="A235" s="50" t="str">
        <x:v>TRT-0034</x:v>
      </x:c>
      <x:c r="B235" s="50" t="str">
        <x:v>Candidate treatment group</x:v>
      </x:c>
      <x:c r="C235" s="52" t="str">
        <x:f>IF('Deal_Master_Wide'!$AU$36="","",'Deal_Master_Wide'!$AU$36)</x:f>
        <x:v>Not reviewed</x:v>
      </x:c>
      <x:c r="D235" s="52" t="str">
        <x:f>IF('Deal_Master_Wide'!$AV$36="","",'Deal_Master_Wide'!$AV$36)</x:f>
        <x:v>Not assessed</x:v>
      </x:c>
      <x:c r="E235" s="50" t="n">
        <x:v>1</x:v>
      </x:c>
      <x:c r="F235" s="52" t="str">
        <x:f>IF(OR($C235="High-confidence innovation-driven",$C235="Medium-confidence innovation-driven"),1,IF($C235="Clear alternative-rationale",0,""))</x:f>
      </x:c>
      <x:c r="G235" s="52" t="str">
        <x:f>IF('Deal_Master_Wide'!$M$36="","",'Deal_Master_Wide'!$M$36)</x:f>
        <x:v>Review</x:v>
      </x:c>
      <x:c r="H235" s="50" t="str">
        <x:v>Nicox SA</x:v>
      </x:c>
      <x:c r="I235" s="50" t="str">
        <x:v>Doliage</x:v>
      </x:c>
      <x:c r="J235" s="50" t="n">
        <x:v>2014</x:v>
      </x:c>
      <x:c r="K235" s="50" t="n">
        <x:v>-1</x:v>
      </x:c>
      <x:c r="L235" s="50" t="n">
        <x:v>2013</x:v>
      </x:c>
      <x:c r="M235" s="50" t="n">
        <x:v>0</x:v>
      </x:c>
      <x:c r="N235" s="50" t="n">
        <x:v>0</x:v>
      </x:c>
      <x:c r="O235" s="52" t="str">
        <x:f>IF($F235="","",$F235*$M235)</x:f>
      </x:c>
      <x:c r="P235" s="54" t="n">
        <x:f>IF(ISBLANK('Deal_Master_Wide'!$BR$36),"",'Deal_Master_Wide'!$BR$36)</x:f>
        <x:v>0.436</x:v>
      </x:c>
      <x:c r="Q235" s="54" t="n">
        <x:f>IF(ISBLANK('Deal_Master_Wide'!$BY$36),"",'Deal_Master_Wide'!$BY$36)</x:f>
        <x:v>-14.224</x:v>
      </x:c>
      <x:c r="R235" s="54" t="n">
        <x:f>IF(ISBLANK('Deal_Master_Wide'!$CF$36),"",'Deal_Master_Wide'!$CF$36)</x:f>
        <x:v>-18.145</x:v>
      </x:c>
      <x:c r="S235" s="54" t="n">
        <x:f>IF(ISBLANK('Deal_Master_Wide'!$CM$36),"",'Deal_Master_Wide'!$CM$36)</x:f>
        <x:v>72.178</x:v>
      </x:c>
      <x:c r="T235" s="54" t="n">
        <x:f>IF(ISBLANK('Deal_Master_Wide'!$CT$36),"",'Deal_Master_Wide'!$CT$36)</x:f>
        <x:v>0.152</x:v>
      </x:c>
      <x:c r="U235" s="54" t="n">
        <x:f>IF(ISBLANK('Deal_Master_Wide'!$DA$36),"",'Deal_Master_Wide'!$DA$36)</x:f>
        <x:v>3.685</x:v>
      </x:c>
      <x:c r="V235" s="56" t="n">
        <x:f>IF(ISBLANK('Deal_Master_Wide'!$DH$36),"",'Deal_Master_Wide'!$DH$36)</x:f>
        <x:v>-23.2145</x:v>
      </x:c>
      <x:c r="W235" s="56" t="n">
        <x:f>IF(ISBLANK('Deal_Master_Wide'!$DO$36),"",'Deal_Master_Wide'!$DO$36)</x:f>
        <x:v>-2537.844</x:v>
      </x:c>
      <x:c r="X235" s="56" t="n">
        <x:f>IF(ISBLANK('Deal_Master_Wide'!$DV$36),"",'Deal_Master_Wide'!$DV$36)</x:f>
        <x:v>0.2106</x:v>
      </x:c>
      <x:c r="Y235" s="54" t="n">
        <x:f>IF(ISBLANK('Deal_Master_Wide'!$EC$36),"",'Deal_Master_Wide'!$EC$36)</x:f>
        <x:v>4</x:v>
      </x:c>
      <x:c r="Z235" s="54" t="n">
        <x:f>IF(ISBLANK('Deal_Master_Wide'!$EJ$36),"",'Deal_Master_Wide'!$EJ$36)</x:f>
        <x:v>1</x:v>
      </x:c>
      <x:c r="AA235" s="52" t="str">
        <x:f>IF(ISBLANK('Deal_Master_Wide'!$AL$36),"",'Deal_Master_Wide'!$AL$36)</x:f>
        <x:v>Unknown</x:v>
      </x:c>
      <x:c r="AB235" s="54" t="n">
        <x:f>IF(ISBLANK('Deal_Master_Wide'!$AF$36),"",'Deal_Master_Wide'!$AF$36)</x:f>
        <x:v>6</x:v>
      </x:c>
      <x:c r="AC235" s="52" t="str">
        <x:f>IF(COUNT($P235,$Q235,$R235,$S235,$T235,$U235,$V235,$W235,$X235)=9,"Yes","No")</x:f>
        <x:v>Yes</x:v>
      </x:c>
      <x:c r="AD235" s="52" t="str">
        <x:f>IF(COUNT($Y235,$Z235)=2,"Yes","No")</x:f>
        <x:v>Yes</x:v>
      </x:c>
      <x:c r="AE235" s="50" t="str"/>
      <x:c r="AF235" t="str"/>
    </x:row>
    <x:row r="236" ht="20" customHeight="1">
      <x:c r="A236" s="50" t="str">
        <x:v>TRT-0034</x:v>
      </x:c>
      <x:c r="B236" s="50" t="str">
        <x:v>Candidate treatment group</x:v>
      </x:c>
      <x:c r="C236" s="52" t="str">
        <x:f>IF('Deal_Master_Wide'!$AU$36="","",'Deal_Master_Wide'!$AU$36)</x:f>
        <x:v>Not reviewed</x:v>
      </x:c>
      <x:c r="D236" s="52" t="str">
        <x:f>IF('Deal_Master_Wide'!$AV$36="","",'Deal_Master_Wide'!$AV$36)</x:f>
        <x:v>Not assessed</x:v>
      </x:c>
      <x:c r="E236" s="50" t="n">
        <x:v>1</x:v>
      </x:c>
      <x:c r="F236" s="52" t="str">
        <x:f>IF(OR($C236="High-confidence innovation-driven",$C236="Medium-confidence innovation-driven"),1,IF($C236="Clear alternative-rationale",0,""))</x:f>
      </x:c>
      <x:c r="G236" s="52" t="str">
        <x:f>IF('Deal_Master_Wide'!$M$36="","",'Deal_Master_Wide'!$M$36)</x:f>
        <x:v>Review</x:v>
      </x:c>
      <x:c r="H236" s="50" t="str">
        <x:v>Nicox SA</x:v>
      </x:c>
      <x:c r="I236" s="50" t="str">
        <x:v>Doliage</x:v>
      </x:c>
      <x:c r="J236" s="50" t="n">
        <x:v>2014</x:v>
      </x:c>
      <x:c r="K236" s="50" t="n">
        <x:v>0</x:v>
      </x:c>
      <x:c r="L236" s="50" t="n">
        <x:v>2014</x:v>
      </x:c>
      <x:c r="M236" s="50" t="n">
        <x:v>0</x:v>
      </x:c>
      <x:c r="N236" s="50" t="n">
        <x:v>1</x:v>
      </x:c>
      <x:c r="O236" s="52" t="str">
        <x:f>IF($F236="","",$F236*$M236)</x:f>
      </x:c>
      <x:c r="P236" s="54" t="n">
        <x:f>IF(ISBLANK('Deal_Master_Wide'!$BS$36),"",'Deal_Master_Wide'!$BS$36)</x:f>
        <x:v>5.982</x:v>
      </x:c>
      <x:c r="Q236" s="54" t="n">
        <x:f>IF(ISBLANK('Deal_Master_Wide'!$BZ$36),"",'Deal_Master_Wide'!$BZ$36)</x:f>
        <x:v>-20.921</x:v>
      </x:c>
      <x:c r="R236" s="54" t="n">
        <x:f>IF(ISBLANK('Deal_Master_Wide'!$CG$36),"",'Deal_Master_Wide'!$CG$36)</x:f>
        <x:v>-23.158</x:v>
      </x:c>
      <x:c r="S236" s="54" t="n">
        <x:f>IF(ISBLANK('Deal_Master_Wide'!$CN$36),"",'Deal_Master_Wide'!$CN$36)</x:f>
        <x:v>150.041</x:v>
      </x:c>
      <x:c r="T236" s="54" t="n">
        <x:f>IF(ISBLANK('Deal_Master_Wide'!$CU$36),"",'Deal_Master_Wide'!$CU$36)</x:f>
        <x:v>16.538</x:v>
      </x:c>
      <x:c r="U236" s="54" t="n">
        <x:f>IF(ISBLANK('Deal_Master_Wide'!$DB$36),"",'Deal_Master_Wide'!$DB$36)</x:f>
        <x:v>4.432</x:v>
      </x:c>
      <x:c r="V236" s="56" t="n">
        <x:f>IF(ISBLANK('Deal_Master_Wide'!$DI$36),"",'Deal_Master_Wide'!$DI$36)</x:f>
        <x:v>-20.8425</x:v>
      </x:c>
      <x:c r="W236" s="56" t="n">
        <x:f>IF(ISBLANK('Deal_Master_Wide'!$DP$36),"",'Deal_Master_Wide'!$DP$36)</x:f>
        <x:v>-360.5316</x:v>
      </x:c>
      <x:c r="X236" s="56" t="n">
        <x:f>IF(ISBLANK('Deal_Master_Wide'!$DW$36),"",'Deal_Master_Wide'!$DW$36)</x:f>
        <x:v>11.0223</x:v>
      </x:c>
      <x:c r="Y236" s="54" t="n">
        <x:f>IF(ISBLANK('Deal_Master_Wide'!$ED$36),"",'Deal_Master_Wide'!$ED$36)</x:f>
        <x:v>3</x:v>
      </x:c>
      <x:c r="Z236" s="54" t="n">
        <x:f>IF(ISBLANK('Deal_Master_Wide'!$EK$36),"",'Deal_Master_Wide'!$EK$36)</x:f>
        <x:v>0</x:v>
      </x:c>
      <x:c r="AA236" s="52" t="str">
        <x:f>IF(ISBLANK('Deal_Master_Wide'!$AL$36),"",'Deal_Master_Wide'!$AL$36)</x:f>
        <x:v>Unknown</x:v>
      </x:c>
      <x:c r="AB236" s="54" t="n">
        <x:f>IF(ISBLANK('Deal_Master_Wide'!$AF$36),"",'Deal_Master_Wide'!$AF$36)</x:f>
        <x:v>6</x:v>
      </x:c>
      <x:c r="AC236" s="52" t="str">
        <x:f>IF(COUNT($P236,$Q236,$R236,$S236,$T236,$U236,$V236,$W236,$X236)=9,"Yes","No")</x:f>
        <x:v>Yes</x:v>
      </x:c>
      <x:c r="AD236" s="52" t="str">
        <x:f>IF(COUNT($Y236,$Z236)=2,"Yes","No")</x:f>
        <x:v>Yes</x:v>
      </x:c>
      <x:c r="AE236" s="50" t="str"/>
      <x:c r="AF236" t="str"/>
    </x:row>
    <x:row r="237" ht="20" customHeight="1">
      <x:c r="A237" s="50" t="str">
        <x:v>TRT-0034</x:v>
      </x:c>
      <x:c r="B237" s="50" t="str">
        <x:v>Candidate treatment group</x:v>
      </x:c>
      <x:c r="C237" s="52" t="str">
        <x:f>IF('Deal_Master_Wide'!$AU$36="","",'Deal_Master_Wide'!$AU$36)</x:f>
        <x:v>Not reviewed</x:v>
      </x:c>
      <x:c r="D237" s="52" t="str">
        <x:f>IF('Deal_Master_Wide'!$AV$36="","",'Deal_Master_Wide'!$AV$36)</x:f>
        <x:v>Not assessed</x:v>
      </x:c>
      <x:c r="E237" s="50" t="n">
        <x:v>1</x:v>
      </x:c>
      <x:c r="F237" s="52" t="str">
        <x:f>IF(OR($C237="High-confidence innovation-driven",$C237="Medium-confidence innovation-driven"),1,IF($C237="Clear alternative-rationale",0,""))</x:f>
      </x:c>
      <x:c r="G237" s="52" t="str">
        <x:f>IF('Deal_Master_Wide'!$M$36="","",'Deal_Master_Wide'!$M$36)</x:f>
        <x:v>Review</x:v>
      </x:c>
      <x:c r="H237" s="50" t="str">
        <x:v>Nicox SA</x:v>
      </x:c>
      <x:c r="I237" s="50" t="str">
        <x:v>Doliage</x:v>
      </x:c>
      <x:c r="J237" s="50" t="n">
        <x:v>2014</x:v>
      </x:c>
      <x:c r="K237" s="50" t="n">
        <x:v>1</x:v>
      </x:c>
      <x:c r="L237" s="50" t="n">
        <x:v>2015</x:v>
      </x:c>
      <x:c r="M237" s="50" t="n">
        <x:v>1</x:v>
      </x:c>
      <x:c r="N237" s="50" t="n">
        <x:v>1</x:v>
      </x:c>
      <x:c r="O237" s="52" t="str">
        <x:f>IF($F237="","",$F237*$M237)</x:f>
      </x:c>
      <x:c r="P237" s="54" t="n">
        <x:f>IF(ISBLANK('Deal_Master_Wide'!$BT$36),"",'Deal_Master_Wide'!$BT$36)</x:f>
        <x:v>0.067</x:v>
      </x:c>
      <x:c r="Q237" s="54" t="n">
        <x:f>IF(ISBLANK('Deal_Master_Wide'!$CA$36),"",'Deal_Master_Wide'!$CA$36)</x:f>
        <x:v>-19.639</x:v>
      </x:c>
      <x:c r="R237" s="54" t="n">
        <x:f>IF(ISBLANK('Deal_Master_Wide'!$CH$36),"",'Deal_Master_Wide'!$CH$36)</x:f>
        <x:v>-27.939</x:v>
      </x:c>
      <x:c r="S237" s="54" t="n">
        <x:f>IF(ISBLANK('Deal_Master_Wide'!$CO$36),"",'Deal_Master_Wide'!$CO$36)</x:f>
        <x:v>163.348</x:v>
      </x:c>
      <x:c r="T237" s="54" t="n">
        <x:f>IF(ISBLANK('Deal_Master_Wide'!$CV$36),"",'Deal_Master_Wide'!$CV$36)</x:f>
        <x:v>3.941</x:v>
      </x:c>
      <x:c r="U237" s="54" t="n">
        <x:f>IF(ISBLANK('Deal_Master_Wide'!$DC$36),"",'Deal_Master_Wide'!$DC$36)</x:f>
        <x:v>6.159</x:v>
      </x:c>
      <x:c r="V237" s="56" t="n">
        <x:f>IF(ISBLANK('Deal_Master_Wide'!$DJ$36),"",'Deal_Master_Wide'!$DJ$36)</x:f>
        <x:v>-17.8302</x:v>
      </x:c>
      <x:c r="W237" s="56" t="n">
        <x:f>IF(ISBLANK('Deal_Master_Wide'!$DQ$36),"",'Deal_Master_Wide'!$DQ$36)</x:f>
        <x:v>-30931.3433</x:v>
      </x:c>
      <x:c r="X237" s="56" t="n">
        <x:f>IF(ISBLANK('Deal_Master_Wide'!$DX$36),"",'Deal_Master_Wide'!$DX$36)</x:f>
        <x:v>2.4126</x:v>
      </x:c>
      <x:c r="Y237" s="54" t="n">
        <x:f>IF(ISBLANK('Deal_Master_Wide'!$EE$36),"",'Deal_Master_Wide'!$EE$36)</x:f>
        <x:v>2</x:v>
      </x:c>
      <x:c r="Z237" s="54" t="n">
        <x:f>IF(ISBLANK('Deal_Master_Wide'!$EL$36),"",'Deal_Master_Wide'!$EL$36)</x:f>
        <x:v>0</x:v>
      </x:c>
      <x:c r="AA237" s="52" t="str">
        <x:f>IF(ISBLANK('Deal_Master_Wide'!$AL$36),"",'Deal_Master_Wide'!$AL$36)</x:f>
        <x:v>Unknown</x:v>
      </x:c>
      <x:c r="AB237" s="54" t="n">
        <x:f>IF(ISBLANK('Deal_Master_Wide'!$AF$36),"",'Deal_Master_Wide'!$AF$36)</x:f>
        <x:v>6</x:v>
      </x:c>
      <x:c r="AC237" s="52" t="str">
        <x:f>IF(COUNT($P237,$Q237,$R237,$S237,$T237,$U237,$V237,$W237,$X237)=9,"Yes","No")</x:f>
        <x:v>Yes</x:v>
      </x:c>
      <x:c r="AD237" s="52" t="str">
        <x:f>IF(COUNT($Y237,$Z237)=2,"Yes","No")</x:f>
        <x:v>Yes</x:v>
      </x:c>
      <x:c r="AE237" s="50" t="str"/>
      <x:c r="AF237" t="str"/>
    </x:row>
    <x:row r="238" ht="20" customHeight="1">
      <x:c r="A238" s="50" t="str">
        <x:v>TRT-0034</x:v>
      </x:c>
      <x:c r="B238" s="50" t="str">
        <x:v>Candidate treatment group</x:v>
      </x:c>
      <x:c r="C238" s="52" t="str">
        <x:f>IF('Deal_Master_Wide'!$AU$36="","",'Deal_Master_Wide'!$AU$36)</x:f>
        <x:v>Not reviewed</x:v>
      </x:c>
      <x:c r="D238" s="52" t="str">
        <x:f>IF('Deal_Master_Wide'!$AV$36="","",'Deal_Master_Wide'!$AV$36)</x:f>
        <x:v>Not assessed</x:v>
      </x:c>
      <x:c r="E238" s="50" t="n">
        <x:v>1</x:v>
      </x:c>
      <x:c r="F238" s="52" t="str">
        <x:f>IF(OR($C238="High-confidence innovation-driven",$C238="Medium-confidence innovation-driven"),1,IF($C238="Clear alternative-rationale",0,""))</x:f>
      </x:c>
      <x:c r="G238" s="52" t="str">
        <x:f>IF('Deal_Master_Wide'!$M$36="","",'Deal_Master_Wide'!$M$36)</x:f>
        <x:v>Review</x:v>
      </x:c>
      <x:c r="H238" s="50" t="str">
        <x:v>Nicox SA</x:v>
      </x:c>
      <x:c r="I238" s="50" t="str">
        <x:v>Doliage</x:v>
      </x:c>
      <x:c r="J238" s="50" t="n">
        <x:v>2014</x:v>
      </x:c>
      <x:c r="K238" s="50" t="n">
        <x:v>2</x:v>
      </x:c>
      <x:c r="L238" s="50" t="n">
        <x:v>2016</x:v>
      </x:c>
      <x:c r="M238" s="50" t="n">
        <x:v>1</x:v>
      </x:c>
      <x:c r="N238" s="50" t="n">
        <x:v>1</x:v>
      </x:c>
      <x:c r="O238" s="52" t="str">
        <x:f>IF($F238="","",$F238*$M238)</x:f>
      </x:c>
      <x:c r="P238" s="54" t="n">
        <x:f>IF(ISBLANK('Deal_Master_Wide'!$BU$36),"",'Deal_Master_Wide'!$BU$36)</x:f>
        <x:v>0.016</x:v>
      </x:c>
      <x:c r="Q238" s="54" t="n">
        <x:f>IF(ISBLANK('Deal_Master_Wide'!$CB$36),"",'Deal_Master_Wide'!$CB$36)</x:f>
        <x:v>-6.929</x:v>
      </x:c>
      <x:c r="R238" s="54" t="n">
        <x:f>IF(ISBLANK('Deal_Master_Wide'!$CI$36),"",'Deal_Master_Wide'!$CI$36)</x:f>
        <x:v>-19.035</x:v>
      </x:c>
      <x:c r="S238" s="54" t="n">
        <x:f>IF(ISBLANK('Deal_Master_Wide'!$CP$36),"",'Deal_Master_Wide'!$CP$36)</x:f>
        <x:v>148.748</x:v>
      </x:c>
      <x:c r="T238" s="54" t="n">
        <x:f>IF(ISBLANK('Deal_Master_Wide'!$CW$36),"",'Deal_Master_Wide'!$CW$36)</x:f>
        <x:v>0.985</x:v>
      </x:c>
      <x:c r="U238" s="54" t="n">
        <x:f>IF(ISBLANK('Deal_Master_Wide'!$DD$36),"",'Deal_Master_Wide'!$DD$36)</x:f>
        <x:v>12.168</x:v>
      </x:c>
      <x:c r="V238" s="56" t="n">
        <x:f>IF(ISBLANK('Deal_Master_Wide'!$DK$36),"",'Deal_Master_Wide'!$DK$36)</x:f>
        <x:v>-12.1982</x:v>
      </x:c>
      <x:c r="W238" s="56" t="n">
        <x:f>IF(ISBLANK('Deal_Master_Wide'!$DR$36),"",'Deal_Master_Wide'!$DR$36)</x:f>
        <x:v>-48650</x:v>
      </x:c>
      <x:c r="X238" s="56" t="n">
        <x:f>IF(ISBLANK('Deal_Master_Wide'!$DY$36),"",'Deal_Master_Wide'!$DY$36)</x:f>
        <x:v>0.6622</x:v>
      </x:c>
      <x:c r="Y238" s="54" t="n">
        <x:f>IF(ISBLANK('Deal_Master_Wide'!$EF$36),"",'Deal_Master_Wide'!$EF$36)</x:f>
        <x:v>1</x:v>
      </x:c>
      <x:c r="Z238" s="54" t="n">
        <x:f>IF(ISBLANK('Deal_Master_Wide'!$EM$36),"",'Deal_Master_Wide'!$EM$36)</x:f>
        <x:v>0</x:v>
      </x:c>
      <x:c r="AA238" s="52" t="str">
        <x:f>IF(ISBLANK('Deal_Master_Wide'!$AL$36),"",'Deal_Master_Wide'!$AL$36)</x:f>
        <x:v>Unknown</x:v>
      </x:c>
      <x:c r="AB238" s="54" t="n">
        <x:f>IF(ISBLANK('Deal_Master_Wide'!$AF$36),"",'Deal_Master_Wide'!$AF$36)</x:f>
        <x:v>6</x:v>
      </x:c>
      <x:c r="AC238" s="52" t="str">
        <x:f>IF(COUNT($P238,$Q238,$R238,$S238,$T238,$U238,$V238,$W238,$X238)=9,"Yes","No")</x:f>
        <x:v>Yes</x:v>
      </x:c>
      <x:c r="AD238" s="52" t="str">
        <x:f>IF(COUNT($Y238,$Z238)=2,"Yes","No")</x:f>
        <x:v>Yes</x:v>
      </x:c>
      <x:c r="AE238" s="50" t="str"/>
      <x:c r="AF238" t="str"/>
    </x:row>
    <x:row r="239" ht="20" customHeight="1">
      <x:c r="A239" s="50" t="str">
        <x:v>TRT-0034</x:v>
      </x:c>
      <x:c r="B239" s="50" t="str">
        <x:v>Candidate treatment group</x:v>
      </x:c>
      <x:c r="C239" s="52" t="str">
        <x:f>IF('Deal_Master_Wide'!$AU$36="","",'Deal_Master_Wide'!$AU$36)</x:f>
        <x:v>Not reviewed</x:v>
      </x:c>
      <x:c r="D239" s="52" t="str">
        <x:f>IF('Deal_Master_Wide'!$AV$36="","",'Deal_Master_Wide'!$AV$36)</x:f>
        <x:v>Not assessed</x:v>
      </x:c>
      <x:c r="E239" s="50" t="n">
        <x:v>1</x:v>
      </x:c>
      <x:c r="F239" s="52" t="str">
        <x:f>IF(OR($C239="High-confidence innovation-driven",$C239="Medium-confidence innovation-driven"),1,IF($C239="Clear alternative-rationale",0,""))</x:f>
      </x:c>
      <x:c r="G239" s="52" t="str">
        <x:f>IF('Deal_Master_Wide'!$M$36="","",'Deal_Master_Wide'!$M$36)</x:f>
        <x:v>Review</x:v>
      </x:c>
      <x:c r="H239" s="50" t="str">
        <x:v>Nicox SA</x:v>
      </x:c>
      <x:c r="I239" s="50" t="str">
        <x:v>Doliage</x:v>
      </x:c>
      <x:c r="J239" s="50" t="n">
        <x:v>2014</x:v>
      </x:c>
      <x:c r="K239" s="50" t="n">
        <x:v>3</x:v>
      </x:c>
      <x:c r="L239" s="50" t="n">
        <x:v>2017</x:v>
      </x:c>
      <x:c r="M239" s="50" t="n">
        <x:v>1</x:v>
      </x:c>
      <x:c r="N239" s="50" t="n">
        <x:v>1</x:v>
      </x:c>
      <x:c r="O239" s="52" t="str">
        <x:f>IF($F239="","",$F239*$M239)</x:f>
      </x:c>
      <x:c r="P239" s="54" t="n">
        <x:f>IF(ISBLANK('Deal_Master_Wide'!$BV$36),"",'Deal_Master_Wide'!$BV$36)</x:f>
        <x:v>15.08</x:v>
      </x:c>
      <x:c r="Q239" s="54" t="n">
        <x:f>IF(ISBLANK('Deal_Master_Wide'!$CC$36),"",'Deal_Master_Wide'!$CC$36)</x:f>
        <x:v>-17.534</x:v>
      </x:c>
      <x:c r="R239" s="54" t="n">
        <x:f>IF(ISBLANK('Deal_Master_Wide'!$CJ$36),"",'Deal_Master_Wide'!$CJ$36)</x:f>
        <x:v>-3.618</x:v>
      </x:c>
      <x:c r="S239" s="54" t="n">
        <x:f>IF(ISBLANK('Deal_Master_Wide'!$CQ$36),"",'Deal_Master_Wide'!$CQ$36)</x:f>
        <x:v>152.252</x:v>
      </x:c>
      <x:c r="T239" s="54" t="n">
        <x:f>IF(ISBLANK('Deal_Master_Wide'!$CX$36),"",'Deal_Master_Wide'!$CX$36)</x:f>
        <x:v>0.05</x:v>
      </x:c>
      <x:c r="U239" s="54" t="n">
        <x:f>IF(ISBLANK('Deal_Master_Wide'!$DE$36),"",'Deal_Master_Wide'!$DE$36)</x:f>
        <x:v>9.75</x:v>
      </x:c>
      <x:c r="V239" s="56" t="n">
        <x:f>IF(ISBLANK('Deal_Master_Wide'!$DL$36),"",'Deal_Master_Wide'!$DL$36)</x:f>
        <x:v>-2.404</x:v>
      </x:c>
      <x:c r="W239" s="56" t="n">
        <x:f>IF(ISBLANK('Deal_Master_Wide'!$DS$36),"",'Deal_Master_Wide'!$DS$36)</x:f>
        <x:v>-122.7984</x:v>
      </x:c>
      <x:c r="X239" s="56" t="n">
        <x:f>IF(ISBLANK('Deal_Master_Wide'!$DZ$36),"",'Deal_Master_Wide'!$DZ$36)</x:f>
        <x:v>0.0328</x:v>
      </x:c>
      <x:c r="Y239" s="54" t="n">
        <x:f>IF(ISBLANK('Deal_Master_Wide'!$EG$36),"",'Deal_Master_Wide'!$EG$36)</x:f>
        <x:v>0</x:v>
      </x:c>
      <x:c r="Z239" s="54" t="n">
        <x:f>IF(ISBLANK('Deal_Master_Wide'!$EN$36),"",'Deal_Master_Wide'!$EN$36)</x:f>
        <x:v>0</x:v>
      </x:c>
      <x:c r="AA239" s="52" t="str">
        <x:f>IF(ISBLANK('Deal_Master_Wide'!$AL$36),"",'Deal_Master_Wide'!$AL$36)</x:f>
        <x:v>Unknown</x:v>
      </x:c>
      <x:c r="AB239" s="54" t="n">
        <x:f>IF(ISBLANK('Deal_Master_Wide'!$AF$36),"",'Deal_Master_Wide'!$AF$36)</x:f>
        <x:v>6</x:v>
      </x:c>
      <x:c r="AC239" s="52" t="str">
        <x:f>IF(COUNT($P239,$Q239,$R239,$S239,$T239,$U239,$V239,$W239,$X239)=9,"Yes","No")</x:f>
        <x:v>Yes</x:v>
      </x:c>
      <x:c r="AD239" s="52" t="str">
        <x:f>IF(COUNT($Y239,$Z239)=2,"Yes","No")</x:f>
        <x:v>Yes</x:v>
      </x:c>
      <x:c r="AE239" s="50" t="str"/>
      <x:c r="AF239" t="str"/>
    </x:row>
    <x:row r="240" ht="20" customHeight="1">
      <x:c r="A240" s="50" t="str">
        <x:v>TRT-0035</x:v>
      </x:c>
      <x:c r="B240" s="50" t="str">
        <x:v>Candidate treatment group</x:v>
      </x:c>
      <x:c r="C240" s="52" t="str">
        <x:f>IF('Deal_Master_Wide'!$AU$37="","",'Deal_Master_Wide'!$AU$37)</x:f>
        <x:v>Not reviewed</x:v>
      </x:c>
      <x:c r="D240" s="52" t="str">
        <x:f>IF('Deal_Master_Wide'!$AV$37="","",'Deal_Master_Wide'!$AV$37)</x:f>
        <x:v>Not assessed</x:v>
      </x:c>
      <x:c r="E240" s="50" t="n">
        <x:v>1</x:v>
      </x:c>
      <x:c r="F240" s="52" t="str">
        <x:f>IF(OR($C240="High-confidence innovation-driven",$C240="Medium-confidence innovation-driven"),1,IF($C240="Clear alternative-rationale",0,""))</x:f>
      </x:c>
      <x:c r="G240" s="52" t="str">
        <x:f>IF('Deal_Master_Wide'!$M$37="","",'Deal_Master_Wide'!$M$37)</x:f>
        <x:v>Review</x:v>
      </x:c>
      <x:c r="H240" s="50" t="str">
        <x:v>ProductLife Group</x:v>
      </x:c>
      <x:c r="I240" s="50" t="str">
        <x:v>Kohne Pharma GmbH</x:v>
      </x:c>
      <x:c r="J240" s="50" t="n">
        <x:v>2014</x:v>
      </x:c>
      <x:c r="K240" s="50" t="n">
        <x:v>-3</x:v>
      </x:c>
      <x:c r="L240" s="50" t="n">
        <x:v>2011</x:v>
      </x:c>
      <x:c r="M240" s="50" t="n">
        <x:v>0</x:v>
      </x:c>
      <x:c r="N240" s="50" t="n">
        <x:v>0</x:v>
      </x:c>
      <x:c r="O240" s="52" t="str">
        <x:f>IF($F240="","",$F240*$M240)</x:f>
      </x:c>
      <x:c r="P240" s="54" t="str">
        <x:f>IF(ISBLANK('Deal_Master_Wide'!$BP$37),"",'Deal_Master_Wide'!$BP$37)</x:f>
      </x:c>
      <x:c r="Q240" s="54" t="str">
        <x:f>IF(ISBLANK('Deal_Master_Wide'!$BW$37),"",'Deal_Master_Wide'!$BW$37)</x:f>
      </x:c>
      <x:c r="R240" s="54" t="str">
        <x:f>IF(ISBLANK('Deal_Master_Wide'!$CD$37),"",'Deal_Master_Wide'!$CD$37)</x:f>
      </x:c>
      <x:c r="S240" s="54" t="str">
        <x:f>IF(ISBLANK('Deal_Master_Wide'!$CK$37),"",'Deal_Master_Wide'!$CK$37)</x:f>
      </x:c>
      <x:c r="T240" s="54" t="str">
        <x:f>IF(ISBLANK('Deal_Master_Wide'!$CR$37),"",'Deal_Master_Wide'!$CR$37)</x:f>
      </x:c>
      <x:c r="U240" s="54" t="str">
        <x:f>IF(ISBLANK('Deal_Master_Wide'!$CY$37),"",'Deal_Master_Wide'!$CY$37)</x:f>
      </x:c>
      <x:c r="V240" s="56" t="str">
        <x:f>IF(ISBLANK('Deal_Master_Wide'!$DF$37),"",'Deal_Master_Wide'!$DF$37)</x:f>
      </x:c>
      <x:c r="W240" s="56" t="str">
        <x:f>IF(ISBLANK('Deal_Master_Wide'!$DM$37),"",'Deal_Master_Wide'!$DM$37)</x:f>
      </x:c>
      <x:c r="X240" s="56" t="str">
        <x:f>IF(ISBLANK('Deal_Master_Wide'!$DT$37),"",'Deal_Master_Wide'!$DT$37)</x:f>
      </x:c>
      <x:c r="Y240" s="54" t="str">
        <x:f>IF(ISBLANK('Deal_Master_Wide'!$EA$37),"",'Deal_Master_Wide'!$EA$37)</x:f>
      </x:c>
      <x:c r="Z240" s="54" t="str">
        <x:f>IF(ISBLANK('Deal_Master_Wide'!$EH$37),"",'Deal_Master_Wide'!$EH$37)</x:f>
      </x:c>
      <x:c r="AA240" s="52" t="str">
        <x:f>IF(ISBLANK('Deal_Master_Wide'!$AL$37),"",'Deal_Master_Wide'!$AL$37)</x:f>
        <x:v>Unknown</x:v>
      </x:c>
      <x:c r="AB240" s="54" t="str">
        <x:f>IF(ISBLANK('Deal_Master_Wide'!$AF$37),"",'Deal_Master_Wide'!$AF$37)</x:f>
      </x:c>
      <x:c r="AC240" s="52" t="str">
        <x:f>IF(COUNT($P240,$Q240,$R240,$S240,$T240,$U240,$V240,$W240,$X240)=9,"Yes","No")</x:f>
        <x:v>No</x:v>
      </x:c>
      <x:c r="AD240" s="52" t="str">
        <x:f>IF(COUNT($Y240,$Z240)=2,"Yes","No")</x:f>
        <x:v>No</x:v>
      </x:c>
      <x:c r="AE240" s="50" t="str"/>
      <x:c r="AF240" t="str"/>
    </x:row>
    <x:row r="241" ht="20" customHeight="1">
      <x:c r="A241" s="50" t="str">
        <x:v>TRT-0035</x:v>
      </x:c>
      <x:c r="B241" s="50" t="str">
        <x:v>Candidate treatment group</x:v>
      </x:c>
      <x:c r="C241" s="52" t="str">
        <x:f>IF('Deal_Master_Wide'!$AU$37="","",'Deal_Master_Wide'!$AU$37)</x:f>
        <x:v>Not reviewed</x:v>
      </x:c>
      <x:c r="D241" s="52" t="str">
        <x:f>IF('Deal_Master_Wide'!$AV$37="","",'Deal_Master_Wide'!$AV$37)</x:f>
        <x:v>Not assessed</x:v>
      </x:c>
      <x:c r="E241" s="50" t="n">
        <x:v>1</x:v>
      </x:c>
      <x:c r="F241" s="52" t="str">
        <x:f>IF(OR($C241="High-confidence innovation-driven",$C241="Medium-confidence innovation-driven"),1,IF($C241="Clear alternative-rationale",0,""))</x:f>
      </x:c>
      <x:c r="G241" s="52" t="str">
        <x:f>IF('Deal_Master_Wide'!$M$37="","",'Deal_Master_Wide'!$M$37)</x:f>
        <x:v>Review</x:v>
      </x:c>
      <x:c r="H241" s="50" t="str">
        <x:v>ProductLife Group</x:v>
      </x:c>
      <x:c r="I241" s="50" t="str">
        <x:v>Kohne Pharma GmbH</x:v>
      </x:c>
      <x:c r="J241" s="50" t="n">
        <x:v>2014</x:v>
      </x:c>
      <x:c r="K241" s="50" t="n">
        <x:v>-2</x:v>
      </x:c>
      <x:c r="L241" s="50" t="n">
        <x:v>2012</x:v>
      </x:c>
      <x:c r="M241" s="50" t="n">
        <x:v>0</x:v>
      </x:c>
      <x:c r="N241" s="50" t="n">
        <x:v>0</x:v>
      </x:c>
      <x:c r="O241" s="52" t="str">
        <x:f>IF($F241="","",$F241*$M241)</x:f>
      </x:c>
      <x:c r="P241" s="54" t="str">
        <x:f>IF(ISBLANK('Deal_Master_Wide'!$BQ$37),"",'Deal_Master_Wide'!$BQ$37)</x:f>
      </x:c>
      <x:c r="Q241" s="54" t="str">
        <x:f>IF(ISBLANK('Deal_Master_Wide'!$BX$37),"",'Deal_Master_Wide'!$BX$37)</x:f>
      </x:c>
      <x:c r="R241" s="54" t="str">
        <x:f>IF(ISBLANK('Deal_Master_Wide'!$CE$37),"",'Deal_Master_Wide'!$CE$37)</x:f>
      </x:c>
      <x:c r="S241" s="54" t="str">
        <x:f>IF(ISBLANK('Deal_Master_Wide'!$CL$37),"",'Deal_Master_Wide'!$CL$37)</x:f>
      </x:c>
      <x:c r="T241" s="54" t="str">
        <x:f>IF(ISBLANK('Deal_Master_Wide'!$CS$37),"",'Deal_Master_Wide'!$CS$37)</x:f>
      </x:c>
      <x:c r="U241" s="54" t="str">
        <x:f>IF(ISBLANK('Deal_Master_Wide'!$CZ$37),"",'Deal_Master_Wide'!$CZ$37)</x:f>
      </x:c>
      <x:c r="V241" s="56" t="str">
        <x:f>IF(ISBLANK('Deal_Master_Wide'!$DG$37),"",'Deal_Master_Wide'!$DG$37)</x:f>
      </x:c>
      <x:c r="W241" s="56" t="str">
        <x:f>IF(ISBLANK('Deal_Master_Wide'!$DN$37),"",'Deal_Master_Wide'!$DN$37)</x:f>
      </x:c>
      <x:c r="X241" s="56" t="str">
        <x:f>IF(ISBLANK('Deal_Master_Wide'!$DU$37),"",'Deal_Master_Wide'!$DU$37)</x:f>
      </x:c>
      <x:c r="Y241" s="54" t="str">
        <x:f>IF(ISBLANK('Deal_Master_Wide'!$EB$37),"",'Deal_Master_Wide'!$EB$37)</x:f>
      </x:c>
      <x:c r="Z241" s="54" t="str">
        <x:f>IF(ISBLANK('Deal_Master_Wide'!$EI$37),"",'Deal_Master_Wide'!$EI$37)</x:f>
      </x:c>
      <x:c r="AA241" s="52" t="str">
        <x:f>IF(ISBLANK('Deal_Master_Wide'!$AL$37),"",'Deal_Master_Wide'!$AL$37)</x:f>
        <x:v>Unknown</x:v>
      </x:c>
      <x:c r="AB241" s="54" t="str">
        <x:f>IF(ISBLANK('Deal_Master_Wide'!$AF$37),"",'Deal_Master_Wide'!$AF$37)</x:f>
      </x:c>
      <x:c r="AC241" s="52" t="str">
        <x:f>IF(COUNT($P241,$Q241,$R241,$S241,$T241,$U241,$V241,$W241,$X241)=9,"Yes","No")</x:f>
        <x:v>No</x:v>
      </x:c>
      <x:c r="AD241" s="52" t="str">
        <x:f>IF(COUNT($Y241,$Z241)=2,"Yes","No")</x:f>
        <x:v>No</x:v>
      </x:c>
      <x:c r="AE241" s="50" t="str"/>
      <x:c r="AF241" t="str"/>
    </x:row>
    <x:row r="242" ht="20" customHeight="1">
      <x:c r="A242" s="50" t="str">
        <x:v>TRT-0035</x:v>
      </x:c>
      <x:c r="B242" s="50" t="str">
        <x:v>Candidate treatment group</x:v>
      </x:c>
      <x:c r="C242" s="52" t="str">
        <x:f>IF('Deal_Master_Wide'!$AU$37="","",'Deal_Master_Wide'!$AU$37)</x:f>
        <x:v>Not reviewed</x:v>
      </x:c>
      <x:c r="D242" s="52" t="str">
        <x:f>IF('Deal_Master_Wide'!$AV$37="","",'Deal_Master_Wide'!$AV$37)</x:f>
        <x:v>Not assessed</x:v>
      </x:c>
      <x:c r="E242" s="50" t="n">
        <x:v>1</x:v>
      </x:c>
      <x:c r="F242" s="52" t="str">
        <x:f>IF(OR($C242="High-confidence innovation-driven",$C242="Medium-confidence innovation-driven"),1,IF($C242="Clear alternative-rationale",0,""))</x:f>
      </x:c>
      <x:c r="G242" s="52" t="str">
        <x:f>IF('Deal_Master_Wide'!$M$37="","",'Deal_Master_Wide'!$M$37)</x:f>
        <x:v>Review</x:v>
      </x:c>
      <x:c r="H242" s="50" t="str">
        <x:v>ProductLife Group</x:v>
      </x:c>
      <x:c r="I242" s="50" t="str">
        <x:v>Kohne Pharma GmbH</x:v>
      </x:c>
      <x:c r="J242" s="50" t="n">
        <x:v>2014</x:v>
      </x:c>
      <x:c r="K242" s="50" t="n">
        <x:v>-1</x:v>
      </x:c>
      <x:c r="L242" s="50" t="n">
        <x:v>2013</x:v>
      </x:c>
      <x:c r="M242" s="50" t="n">
        <x:v>0</x:v>
      </x:c>
      <x:c r="N242" s="50" t="n">
        <x:v>0</x:v>
      </x:c>
      <x:c r="O242" s="52" t="str">
        <x:f>IF($F242="","",$F242*$M242)</x:f>
      </x:c>
      <x:c r="P242" s="54" t="str">
        <x:f>IF(ISBLANK('Deal_Master_Wide'!$BR$37),"",'Deal_Master_Wide'!$BR$37)</x:f>
      </x:c>
      <x:c r="Q242" s="54" t="str">
        <x:f>IF(ISBLANK('Deal_Master_Wide'!$BY$37),"",'Deal_Master_Wide'!$BY$37)</x:f>
      </x:c>
      <x:c r="R242" s="54" t="str">
        <x:f>IF(ISBLANK('Deal_Master_Wide'!$CF$37),"",'Deal_Master_Wide'!$CF$37)</x:f>
      </x:c>
      <x:c r="S242" s="54" t="str">
        <x:f>IF(ISBLANK('Deal_Master_Wide'!$CM$37),"",'Deal_Master_Wide'!$CM$37)</x:f>
      </x:c>
      <x:c r="T242" s="54" t="str">
        <x:f>IF(ISBLANK('Deal_Master_Wide'!$CT$37),"",'Deal_Master_Wide'!$CT$37)</x:f>
      </x:c>
      <x:c r="U242" s="54" t="str">
        <x:f>IF(ISBLANK('Deal_Master_Wide'!$DA$37),"",'Deal_Master_Wide'!$DA$37)</x:f>
      </x:c>
      <x:c r="V242" s="56" t="str">
        <x:f>IF(ISBLANK('Deal_Master_Wide'!$DH$37),"",'Deal_Master_Wide'!$DH$37)</x:f>
      </x:c>
      <x:c r="W242" s="56" t="str">
        <x:f>IF(ISBLANK('Deal_Master_Wide'!$DO$37),"",'Deal_Master_Wide'!$DO$37)</x:f>
      </x:c>
      <x:c r="X242" s="56" t="str">
        <x:f>IF(ISBLANK('Deal_Master_Wide'!$DV$37),"",'Deal_Master_Wide'!$DV$37)</x:f>
      </x:c>
      <x:c r="Y242" s="54" t="str">
        <x:f>IF(ISBLANK('Deal_Master_Wide'!$EC$37),"",'Deal_Master_Wide'!$EC$37)</x:f>
      </x:c>
      <x:c r="Z242" s="54" t="str">
        <x:f>IF(ISBLANK('Deal_Master_Wide'!$EJ$37),"",'Deal_Master_Wide'!$EJ$37)</x:f>
      </x:c>
      <x:c r="AA242" s="52" t="str">
        <x:f>IF(ISBLANK('Deal_Master_Wide'!$AL$37),"",'Deal_Master_Wide'!$AL$37)</x:f>
        <x:v>Unknown</x:v>
      </x:c>
      <x:c r="AB242" s="54" t="str">
        <x:f>IF(ISBLANK('Deal_Master_Wide'!$AF$37),"",'Deal_Master_Wide'!$AF$37)</x:f>
      </x:c>
      <x:c r="AC242" s="52" t="str">
        <x:f>IF(COUNT($P242,$Q242,$R242,$S242,$T242,$U242,$V242,$W242,$X242)=9,"Yes","No")</x:f>
        <x:v>No</x:v>
      </x:c>
      <x:c r="AD242" s="52" t="str">
        <x:f>IF(COUNT($Y242,$Z242)=2,"Yes","No")</x:f>
        <x:v>No</x:v>
      </x:c>
      <x:c r="AE242" s="50" t="str"/>
      <x:c r="AF242" t="str"/>
    </x:row>
    <x:row r="243" ht="20" customHeight="1">
      <x:c r="A243" s="50" t="str">
        <x:v>TRT-0035</x:v>
      </x:c>
      <x:c r="B243" s="50" t="str">
        <x:v>Candidate treatment group</x:v>
      </x:c>
      <x:c r="C243" s="52" t="str">
        <x:f>IF('Deal_Master_Wide'!$AU$37="","",'Deal_Master_Wide'!$AU$37)</x:f>
        <x:v>Not reviewed</x:v>
      </x:c>
      <x:c r="D243" s="52" t="str">
        <x:f>IF('Deal_Master_Wide'!$AV$37="","",'Deal_Master_Wide'!$AV$37)</x:f>
        <x:v>Not assessed</x:v>
      </x:c>
      <x:c r="E243" s="50" t="n">
        <x:v>1</x:v>
      </x:c>
      <x:c r="F243" s="52" t="str">
        <x:f>IF(OR($C243="High-confidence innovation-driven",$C243="Medium-confidence innovation-driven"),1,IF($C243="Clear alternative-rationale",0,""))</x:f>
      </x:c>
      <x:c r="G243" s="52" t="str">
        <x:f>IF('Deal_Master_Wide'!$M$37="","",'Deal_Master_Wide'!$M$37)</x:f>
        <x:v>Review</x:v>
      </x:c>
      <x:c r="H243" s="50" t="str">
        <x:v>ProductLife Group</x:v>
      </x:c>
      <x:c r="I243" s="50" t="str">
        <x:v>Kohne Pharma GmbH</x:v>
      </x:c>
      <x:c r="J243" s="50" t="n">
        <x:v>2014</x:v>
      </x:c>
      <x:c r="K243" s="50" t="n">
        <x:v>0</x:v>
      </x:c>
      <x:c r="L243" s="50" t="n">
        <x:v>2014</x:v>
      </x:c>
      <x:c r="M243" s="50" t="n">
        <x:v>0</x:v>
      </x:c>
      <x:c r="N243" s="50" t="n">
        <x:v>1</x:v>
      </x:c>
      <x:c r="O243" s="52" t="str">
        <x:f>IF($F243="","",$F243*$M243)</x:f>
      </x:c>
      <x:c r="P243" s="54" t="str">
        <x:f>IF(ISBLANK('Deal_Master_Wide'!$BS$37),"",'Deal_Master_Wide'!$BS$37)</x:f>
      </x:c>
      <x:c r="Q243" s="54" t="str">
        <x:f>IF(ISBLANK('Deal_Master_Wide'!$BZ$37),"",'Deal_Master_Wide'!$BZ$37)</x:f>
      </x:c>
      <x:c r="R243" s="54" t="str">
        <x:f>IF(ISBLANK('Deal_Master_Wide'!$CG$37),"",'Deal_Master_Wide'!$CG$37)</x:f>
      </x:c>
      <x:c r="S243" s="54" t="str">
        <x:f>IF(ISBLANK('Deal_Master_Wide'!$CN$37),"",'Deal_Master_Wide'!$CN$37)</x:f>
      </x:c>
      <x:c r="T243" s="54" t="str">
        <x:f>IF(ISBLANK('Deal_Master_Wide'!$CU$37),"",'Deal_Master_Wide'!$CU$37)</x:f>
      </x:c>
      <x:c r="U243" s="54" t="str">
        <x:f>IF(ISBLANK('Deal_Master_Wide'!$DB$37),"",'Deal_Master_Wide'!$DB$37)</x:f>
      </x:c>
      <x:c r="V243" s="56" t="str">
        <x:f>IF(ISBLANK('Deal_Master_Wide'!$DI$37),"",'Deal_Master_Wide'!$DI$37)</x:f>
      </x:c>
      <x:c r="W243" s="56" t="str">
        <x:f>IF(ISBLANK('Deal_Master_Wide'!$DP$37),"",'Deal_Master_Wide'!$DP$37)</x:f>
      </x:c>
      <x:c r="X243" s="56" t="str">
        <x:f>IF(ISBLANK('Deal_Master_Wide'!$DW$37),"",'Deal_Master_Wide'!$DW$37)</x:f>
      </x:c>
      <x:c r="Y243" s="54" t="str">
        <x:f>IF(ISBLANK('Deal_Master_Wide'!$ED$37),"",'Deal_Master_Wide'!$ED$37)</x:f>
      </x:c>
      <x:c r="Z243" s="54" t="str">
        <x:f>IF(ISBLANK('Deal_Master_Wide'!$EK$37),"",'Deal_Master_Wide'!$EK$37)</x:f>
      </x:c>
      <x:c r="AA243" s="52" t="str">
        <x:f>IF(ISBLANK('Deal_Master_Wide'!$AL$37),"",'Deal_Master_Wide'!$AL$37)</x:f>
        <x:v>Unknown</x:v>
      </x:c>
      <x:c r="AB243" s="54" t="str">
        <x:f>IF(ISBLANK('Deal_Master_Wide'!$AF$37),"",'Deal_Master_Wide'!$AF$37)</x:f>
      </x:c>
      <x:c r="AC243" s="52" t="str">
        <x:f>IF(COUNT($P243,$Q243,$R243,$S243,$T243,$U243,$V243,$W243,$X243)=9,"Yes","No")</x:f>
        <x:v>No</x:v>
      </x:c>
      <x:c r="AD243" s="52" t="str">
        <x:f>IF(COUNT($Y243,$Z243)=2,"Yes","No")</x:f>
        <x:v>No</x:v>
      </x:c>
      <x:c r="AE243" s="50" t="str"/>
      <x:c r="AF243" t="str"/>
    </x:row>
    <x:row r="244" ht="20" customHeight="1">
      <x:c r="A244" s="50" t="str">
        <x:v>TRT-0035</x:v>
      </x:c>
      <x:c r="B244" s="50" t="str">
        <x:v>Candidate treatment group</x:v>
      </x:c>
      <x:c r="C244" s="52" t="str">
        <x:f>IF('Deal_Master_Wide'!$AU$37="","",'Deal_Master_Wide'!$AU$37)</x:f>
        <x:v>Not reviewed</x:v>
      </x:c>
      <x:c r="D244" s="52" t="str">
        <x:f>IF('Deal_Master_Wide'!$AV$37="","",'Deal_Master_Wide'!$AV$37)</x:f>
        <x:v>Not assessed</x:v>
      </x:c>
      <x:c r="E244" s="50" t="n">
        <x:v>1</x:v>
      </x:c>
      <x:c r="F244" s="52" t="str">
        <x:f>IF(OR($C244="High-confidence innovation-driven",$C244="Medium-confidence innovation-driven"),1,IF($C244="Clear alternative-rationale",0,""))</x:f>
      </x:c>
      <x:c r="G244" s="52" t="str">
        <x:f>IF('Deal_Master_Wide'!$M$37="","",'Deal_Master_Wide'!$M$37)</x:f>
        <x:v>Review</x:v>
      </x:c>
      <x:c r="H244" s="50" t="str">
        <x:v>ProductLife Group</x:v>
      </x:c>
      <x:c r="I244" s="50" t="str">
        <x:v>Kohne Pharma GmbH</x:v>
      </x:c>
      <x:c r="J244" s="50" t="n">
        <x:v>2014</x:v>
      </x:c>
      <x:c r="K244" s="50" t="n">
        <x:v>1</x:v>
      </x:c>
      <x:c r="L244" s="50" t="n">
        <x:v>2015</x:v>
      </x:c>
      <x:c r="M244" s="50" t="n">
        <x:v>1</x:v>
      </x:c>
      <x:c r="N244" s="50" t="n">
        <x:v>1</x:v>
      </x:c>
      <x:c r="O244" s="52" t="str">
        <x:f>IF($F244="","",$F244*$M244)</x:f>
      </x:c>
      <x:c r="P244" s="54" t="str">
        <x:f>IF(ISBLANK('Deal_Master_Wide'!$BT$37),"",'Deal_Master_Wide'!$BT$37)</x:f>
      </x:c>
      <x:c r="Q244" s="54" t="str">
        <x:f>IF(ISBLANK('Deal_Master_Wide'!$CA$37),"",'Deal_Master_Wide'!$CA$37)</x:f>
      </x:c>
      <x:c r="R244" s="54" t="str">
        <x:f>IF(ISBLANK('Deal_Master_Wide'!$CH$37),"",'Deal_Master_Wide'!$CH$37)</x:f>
      </x:c>
      <x:c r="S244" s="54" t="str">
        <x:f>IF(ISBLANK('Deal_Master_Wide'!$CO$37),"",'Deal_Master_Wide'!$CO$37)</x:f>
      </x:c>
      <x:c r="T244" s="54" t="str">
        <x:f>IF(ISBLANK('Deal_Master_Wide'!$CV$37),"",'Deal_Master_Wide'!$CV$37)</x:f>
      </x:c>
      <x:c r="U244" s="54" t="str">
        <x:f>IF(ISBLANK('Deal_Master_Wide'!$DC$37),"",'Deal_Master_Wide'!$DC$37)</x:f>
      </x:c>
      <x:c r="V244" s="56" t="str">
        <x:f>IF(ISBLANK('Deal_Master_Wide'!$DJ$37),"",'Deal_Master_Wide'!$DJ$37)</x:f>
      </x:c>
      <x:c r="W244" s="56" t="str">
        <x:f>IF(ISBLANK('Deal_Master_Wide'!$DQ$37),"",'Deal_Master_Wide'!$DQ$37)</x:f>
      </x:c>
      <x:c r="X244" s="56" t="str">
        <x:f>IF(ISBLANK('Deal_Master_Wide'!$DX$37),"",'Deal_Master_Wide'!$DX$37)</x:f>
      </x:c>
      <x:c r="Y244" s="54" t="str">
        <x:f>IF(ISBLANK('Deal_Master_Wide'!$EE$37),"",'Deal_Master_Wide'!$EE$37)</x:f>
      </x:c>
      <x:c r="Z244" s="54" t="str">
        <x:f>IF(ISBLANK('Deal_Master_Wide'!$EL$37),"",'Deal_Master_Wide'!$EL$37)</x:f>
      </x:c>
      <x:c r="AA244" s="52" t="str">
        <x:f>IF(ISBLANK('Deal_Master_Wide'!$AL$37),"",'Deal_Master_Wide'!$AL$37)</x:f>
        <x:v>Unknown</x:v>
      </x:c>
      <x:c r="AB244" s="54" t="str">
        <x:f>IF(ISBLANK('Deal_Master_Wide'!$AF$37),"",'Deal_Master_Wide'!$AF$37)</x:f>
      </x:c>
      <x:c r="AC244" s="52" t="str">
        <x:f>IF(COUNT($P244,$Q244,$R244,$S244,$T244,$U244,$V244,$W244,$X244)=9,"Yes","No")</x:f>
        <x:v>No</x:v>
      </x:c>
      <x:c r="AD244" s="52" t="str">
        <x:f>IF(COUNT($Y244,$Z244)=2,"Yes","No")</x:f>
        <x:v>No</x:v>
      </x:c>
      <x:c r="AE244" s="50" t="str"/>
      <x:c r="AF244" t="str"/>
    </x:row>
    <x:row r="245" ht="20" customHeight="1">
      <x:c r="A245" s="50" t="str">
        <x:v>TRT-0035</x:v>
      </x:c>
      <x:c r="B245" s="50" t="str">
        <x:v>Candidate treatment group</x:v>
      </x:c>
      <x:c r="C245" s="52" t="str">
        <x:f>IF('Deal_Master_Wide'!$AU$37="","",'Deal_Master_Wide'!$AU$37)</x:f>
        <x:v>Not reviewed</x:v>
      </x:c>
      <x:c r="D245" s="52" t="str">
        <x:f>IF('Deal_Master_Wide'!$AV$37="","",'Deal_Master_Wide'!$AV$37)</x:f>
        <x:v>Not assessed</x:v>
      </x:c>
      <x:c r="E245" s="50" t="n">
        <x:v>1</x:v>
      </x:c>
      <x:c r="F245" s="52" t="str">
        <x:f>IF(OR($C245="High-confidence innovation-driven",$C245="Medium-confidence innovation-driven"),1,IF($C245="Clear alternative-rationale",0,""))</x:f>
      </x:c>
      <x:c r="G245" s="52" t="str">
        <x:f>IF('Deal_Master_Wide'!$M$37="","",'Deal_Master_Wide'!$M$37)</x:f>
        <x:v>Review</x:v>
      </x:c>
      <x:c r="H245" s="50" t="str">
        <x:v>ProductLife Group</x:v>
      </x:c>
      <x:c r="I245" s="50" t="str">
        <x:v>Kohne Pharma GmbH</x:v>
      </x:c>
      <x:c r="J245" s="50" t="n">
        <x:v>2014</x:v>
      </x:c>
      <x:c r="K245" s="50" t="n">
        <x:v>2</x:v>
      </x:c>
      <x:c r="L245" s="50" t="n">
        <x:v>2016</x:v>
      </x:c>
      <x:c r="M245" s="50" t="n">
        <x:v>1</x:v>
      </x:c>
      <x:c r="N245" s="50" t="n">
        <x:v>1</x:v>
      </x:c>
      <x:c r="O245" s="52" t="str">
        <x:f>IF($F245="","",$F245*$M245)</x:f>
      </x:c>
      <x:c r="P245" s="54" t="str">
        <x:f>IF(ISBLANK('Deal_Master_Wide'!$BU$37),"",'Deal_Master_Wide'!$BU$37)</x:f>
      </x:c>
      <x:c r="Q245" s="54" t="str">
        <x:f>IF(ISBLANK('Deal_Master_Wide'!$CB$37),"",'Deal_Master_Wide'!$CB$37)</x:f>
      </x:c>
      <x:c r="R245" s="54" t="str">
        <x:f>IF(ISBLANK('Deal_Master_Wide'!$CI$37),"",'Deal_Master_Wide'!$CI$37)</x:f>
      </x:c>
      <x:c r="S245" s="54" t="str">
        <x:f>IF(ISBLANK('Deal_Master_Wide'!$CP$37),"",'Deal_Master_Wide'!$CP$37)</x:f>
      </x:c>
      <x:c r="T245" s="54" t="str">
        <x:f>IF(ISBLANK('Deal_Master_Wide'!$CW$37),"",'Deal_Master_Wide'!$CW$37)</x:f>
      </x:c>
      <x:c r="U245" s="54" t="str">
        <x:f>IF(ISBLANK('Deal_Master_Wide'!$DD$37),"",'Deal_Master_Wide'!$DD$37)</x:f>
      </x:c>
      <x:c r="V245" s="56" t="str">
        <x:f>IF(ISBLANK('Deal_Master_Wide'!$DK$37),"",'Deal_Master_Wide'!$DK$37)</x:f>
      </x:c>
      <x:c r="W245" s="56" t="str">
        <x:f>IF(ISBLANK('Deal_Master_Wide'!$DR$37),"",'Deal_Master_Wide'!$DR$37)</x:f>
      </x:c>
      <x:c r="X245" s="56" t="str">
        <x:f>IF(ISBLANK('Deal_Master_Wide'!$DY$37),"",'Deal_Master_Wide'!$DY$37)</x:f>
      </x:c>
      <x:c r="Y245" s="54" t="str">
        <x:f>IF(ISBLANK('Deal_Master_Wide'!$EF$37),"",'Deal_Master_Wide'!$EF$37)</x:f>
      </x:c>
      <x:c r="Z245" s="54" t="str">
        <x:f>IF(ISBLANK('Deal_Master_Wide'!$EM$37),"",'Deal_Master_Wide'!$EM$37)</x:f>
      </x:c>
      <x:c r="AA245" s="52" t="str">
        <x:f>IF(ISBLANK('Deal_Master_Wide'!$AL$37),"",'Deal_Master_Wide'!$AL$37)</x:f>
        <x:v>Unknown</x:v>
      </x:c>
      <x:c r="AB245" s="54" t="str">
        <x:f>IF(ISBLANK('Deal_Master_Wide'!$AF$37),"",'Deal_Master_Wide'!$AF$37)</x:f>
      </x:c>
      <x:c r="AC245" s="52" t="str">
        <x:f>IF(COUNT($P245,$Q245,$R245,$S245,$T245,$U245,$V245,$W245,$X245)=9,"Yes","No")</x:f>
        <x:v>No</x:v>
      </x:c>
      <x:c r="AD245" s="52" t="str">
        <x:f>IF(COUNT($Y245,$Z245)=2,"Yes","No")</x:f>
        <x:v>No</x:v>
      </x:c>
      <x:c r="AE245" s="50" t="str"/>
      <x:c r="AF245" t="str"/>
    </x:row>
    <x:row r="246" ht="20" customHeight="1">
      <x:c r="A246" s="50" t="str">
        <x:v>TRT-0035</x:v>
      </x:c>
      <x:c r="B246" s="50" t="str">
        <x:v>Candidate treatment group</x:v>
      </x:c>
      <x:c r="C246" s="52" t="str">
        <x:f>IF('Deal_Master_Wide'!$AU$37="","",'Deal_Master_Wide'!$AU$37)</x:f>
        <x:v>Not reviewed</x:v>
      </x:c>
      <x:c r="D246" s="52" t="str">
        <x:f>IF('Deal_Master_Wide'!$AV$37="","",'Deal_Master_Wide'!$AV$37)</x:f>
        <x:v>Not assessed</x:v>
      </x:c>
      <x:c r="E246" s="50" t="n">
        <x:v>1</x:v>
      </x:c>
      <x:c r="F246" s="52" t="str">
        <x:f>IF(OR($C246="High-confidence innovation-driven",$C246="Medium-confidence innovation-driven"),1,IF($C246="Clear alternative-rationale",0,""))</x:f>
      </x:c>
      <x:c r="G246" s="52" t="str">
        <x:f>IF('Deal_Master_Wide'!$M$37="","",'Deal_Master_Wide'!$M$37)</x:f>
        <x:v>Review</x:v>
      </x:c>
      <x:c r="H246" s="50" t="str">
        <x:v>ProductLife Group</x:v>
      </x:c>
      <x:c r="I246" s="50" t="str">
        <x:v>Kohne Pharma GmbH</x:v>
      </x:c>
      <x:c r="J246" s="50" t="n">
        <x:v>2014</x:v>
      </x:c>
      <x:c r="K246" s="50" t="n">
        <x:v>3</x:v>
      </x:c>
      <x:c r="L246" s="50" t="n">
        <x:v>2017</x:v>
      </x:c>
      <x:c r="M246" s="50" t="n">
        <x:v>1</x:v>
      </x:c>
      <x:c r="N246" s="50" t="n">
        <x:v>1</x:v>
      </x:c>
      <x:c r="O246" s="52" t="str">
        <x:f>IF($F246="","",$F246*$M246)</x:f>
      </x:c>
      <x:c r="P246" s="54" t="str">
        <x:f>IF(ISBLANK('Deal_Master_Wide'!$BV$37),"",'Deal_Master_Wide'!$BV$37)</x:f>
      </x:c>
      <x:c r="Q246" s="54" t="str">
        <x:f>IF(ISBLANK('Deal_Master_Wide'!$CC$37),"",'Deal_Master_Wide'!$CC$37)</x:f>
      </x:c>
      <x:c r="R246" s="54" t="str">
        <x:f>IF(ISBLANK('Deal_Master_Wide'!$CJ$37),"",'Deal_Master_Wide'!$CJ$37)</x:f>
      </x:c>
      <x:c r="S246" s="54" t="str">
        <x:f>IF(ISBLANK('Deal_Master_Wide'!$CQ$37),"",'Deal_Master_Wide'!$CQ$37)</x:f>
      </x:c>
      <x:c r="T246" s="54" t="str">
        <x:f>IF(ISBLANK('Deal_Master_Wide'!$CX$37),"",'Deal_Master_Wide'!$CX$37)</x:f>
      </x:c>
      <x:c r="U246" s="54" t="str">
        <x:f>IF(ISBLANK('Deal_Master_Wide'!$DE$37),"",'Deal_Master_Wide'!$DE$37)</x:f>
      </x:c>
      <x:c r="V246" s="56" t="str">
        <x:f>IF(ISBLANK('Deal_Master_Wide'!$DL$37),"",'Deal_Master_Wide'!$DL$37)</x:f>
      </x:c>
      <x:c r="W246" s="56" t="str">
        <x:f>IF(ISBLANK('Deal_Master_Wide'!$DS$37),"",'Deal_Master_Wide'!$DS$37)</x:f>
      </x:c>
      <x:c r="X246" s="56" t="str">
        <x:f>IF(ISBLANK('Deal_Master_Wide'!$DZ$37),"",'Deal_Master_Wide'!$DZ$37)</x:f>
      </x:c>
      <x:c r="Y246" s="54" t="str">
        <x:f>IF(ISBLANK('Deal_Master_Wide'!$EG$37),"",'Deal_Master_Wide'!$EG$37)</x:f>
      </x:c>
      <x:c r="Z246" s="54" t="str">
        <x:f>IF(ISBLANK('Deal_Master_Wide'!$EN$37),"",'Deal_Master_Wide'!$EN$37)</x:f>
      </x:c>
      <x:c r="AA246" s="52" t="str">
        <x:f>IF(ISBLANK('Deal_Master_Wide'!$AL$37),"",'Deal_Master_Wide'!$AL$37)</x:f>
        <x:v>Unknown</x:v>
      </x:c>
      <x:c r="AB246" s="54" t="str">
        <x:f>IF(ISBLANK('Deal_Master_Wide'!$AF$37),"",'Deal_Master_Wide'!$AF$37)</x:f>
      </x:c>
      <x:c r="AC246" s="52" t="str">
        <x:f>IF(COUNT($P246,$Q246,$R246,$S246,$T246,$U246,$V246,$W246,$X246)=9,"Yes","No")</x:f>
        <x:v>No</x:v>
      </x:c>
      <x:c r="AD246" s="52" t="str">
        <x:f>IF(COUNT($Y246,$Z246)=2,"Yes","No")</x:f>
        <x:v>No</x:v>
      </x:c>
      <x:c r="AE246" s="50" t="str"/>
      <x:c r="AF246" t="str"/>
    </x:row>
    <x:row r="247" ht="20" customHeight="1">
      <x:c r="A247" s="50" t="str">
        <x:v>TRT-0036</x:v>
      </x:c>
      <x:c r="B247" s="50" t="str">
        <x:v>Candidate treatment group</x:v>
      </x:c>
      <x:c r="C247" s="52" t="str">
        <x:f>IF('Deal_Master_Wide'!$AU$38="","",'Deal_Master_Wide'!$AU$38)</x:f>
        <x:v>Not reviewed</x:v>
      </x:c>
      <x:c r="D247" s="52" t="str">
        <x:f>IF('Deal_Master_Wide'!$AV$38="","",'Deal_Master_Wide'!$AV$38)</x:f>
        <x:v>Not assessed</x:v>
      </x:c>
      <x:c r="E247" s="50" t="n">
        <x:v>1</x:v>
      </x:c>
      <x:c r="F247" s="52" t="str">
        <x:f>IF(OR($C247="High-confidence innovation-driven",$C247="Medium-confidence innovation-driven"),1,IF($C247="Clear alternative-rationale",0,""))</x:f>
      </x:c>
      <x:c r="G247" s="52" t="str">
        <x:f>IF('Deal_Master_Wide'!$M$38="","",'Deal_Master_Wide'!$M$38)</x:f>
        <x:v>Review</x:v>
      </x:c>
      <x:c r="H247" s="50" t="str">
        <x:v>Correvio Pharma Corp.</x:v>
      </x:c>
      <x:c r="I247" s="50" t="str">
        <x:v>Correvio International Sarl</x:v>
      </x:c>
      <x:c r="J247" s="50" t="n">
        <x:v>2013</x:v>
      </x:c>
      <x:c r="K247" s="50" t="n">
        <x:v>-3</x:v>
      </x:c>
      <x:c r="L247" s="50" t="n">
        <x:v>2010</x:v>
      </x:c>
      <x:c r="M247" s="50" t="n">
        <x:v>0</x:v>
      </x:c>
      <x:c r="N247" s="50" t="n">
        <x:v>0</x:v>
      </x:c>
      <x:c r="O247" s="52" t="str">
        <x:f>IF($F247="","",$F247*$M247)</x:f>
      </x:c>
      <x:c r="P247" s="54" t="str">
        <x:f>IF(ISBLANK('Deal_Master_Wide'!$BP$38),"",'Deal_Master_Wide'!$BP$38)</x:f>
      </x:c>
      <x:c r="Q247" s="54" t="str">
        <x:f>IF(ISBLANK('Deal_Master_Wide'!$BW$38),"",'Deal_Master_Wide'!$BW$38)</x:f>
      </x:c>
      <x:c r="R247" s="54" t="str">
        <x:f>IF(ISBLANK('Deal_Master_Wide'!$CD$38),"",'Deal_Master_Wide'!$CD$38)</x:f>
      </x:c>
      <x:c r="S247" s="54" t="str">
        <x:f>IF(ISBLANK('Deal_Master_Wide'!$CK$38),"",'Deal_Master_Wide'!$CK$38)</x:f>
      </x:c>
      <x:c r="T247" s="54" t="str">
        <x:f>IF(ISBLANK('Deal_Master_Wide'!$CR$38),"",'Deal_Master_Wide'!$CR$38)</x:f>
      </x:c>
      <x:c r="U247" s="54" t="str">
        <x:f>IF(ISBLANK('Deal_Master_Wide'!$CY$38),"",'Deal_Master_Wide'!$CY$38)</x:f>
      </x:c>
      <x:c r="V247" s="56" t="str">
        <x:f>IF(ISBLANK('Deal_Master_Wide'!$DF$38),"",'Deal_Master_Wide'!$DF$38)</x:f>
      </x:c>
      <x:c r="W247" s="56" t="str">
        <x:f>IF(ISBLANK('Deal_Master_Wide'!$DM$38),"",'Deal_Master_Wide'!$DM$38)</x:f>
      </x:c>
      <x:c r="X247" s="56" t="str">
        <x:f>IF(ISBLANK('Deal_Master_Wide'!$DT$38),"",'Deal_Master_Wide'!$DT$38)</x:f>
      </x:c>
      <x:c r="Y247" s="54" t="str">
        <x:f>IF(ISBLANK('Deal_Master_Wide'!$EA$38),"",'Deal_Master_Wide'!$EA$38)</x:f>
      </x:c>
      <x:c r="Z247" s="54" t="str">
        <x:f>IF(ISBLANK('Deal_Master_Wide'!$EH$38),"",'Deal_Master_Wide'!$EH$38)</x:f>
      </x:c>
      <x:c r="AA247" s="52" t="str">
        <x:f>IF(ISBLANK('Deal_Master_Wide'!$AL$38),"",'Deal_Master_Wide'!$AL$38)</x:f>
        <x:v>Unknown</x:v>
      </x:c>
      <x:c r="AB247" s="54" t="n">
        <x:f>IF(ISBLANK('Deal_Master_Wide'!$AF$38),"",'Deal_Master_Wide'!$AF$38)</x:f>
        <x:v>23</x:v>
      </x:c>
      <x:c r="AC247" s="52" t="str">
        <x:f>IF(COUNT($P247,$Q247,$R247,$S247,$T247,$U247,$V247,$W247,$X247)=9,"Yes","No")</x:f>
        <x:v>No</x:v>
      </x:c>
      <x:c r="AD247" s="52" t="str">
        <x:f>IF(COUNT($Y247,$Z247)=2,"Yes","No")</x:f>
        <x:v>No</x:v>
      </x:c>
      <x:c r="AE247" s="50" t="str"/>
      <x:c r="AF247" t="str"/>
    </x:row>
    <x:row r="248" ht="20" customHeight="1">
      <x:c r="A248" s="50" t="str">
        <x:v>TRT-0036</x:v>
      </x:c>
      <x:c r="B248" s="50" t="str">
        <x:v>Candidate treatment group</x:v>
      </x:c>
      <x:c r="C248" s="52" t="str">
        <x:f>IF('Deal_Master_Wide'!$AU$38="","",'Deal_Master_Wide'!$AU$38)</x:f>
        <x:v>Not reviewed</x:v>
      </x:c>
      <x:c r="D248" s="52" t="str">
        <x:f>IF('Deal_Master_Wide'!$AV$38="","",'Deal_Master_Wide'!$AV$38)</x:f>
        <x:v>Not assessed</x:v>
      </x:c>
      <x:c r="E248" s="50" t="n">
        <x:v>1</x:v>
      </x:c>
      <x:c r="F248" s="52" t="str">
        <x:f>IF(OR($C248="High-confidence innovation-driven",$C248="Medium-confidence innovation-driven"),1,IF($C248="Clear alternative-rationale",0,""))</x:f>
      </x:c>
      <x:c r="G248" s="52" t="str">
        <x:f>IF('Deal_Master_Wide'!$M$38="","",'Deal_Master_Wide'!$M$38)</x:f>
        <x:v>Review</x:v>
      </x:c>
      <x:c r="H248" s="50" t="str">
        <x:v>Correvio Pharma Corp.</x:v>
      </x:c>
      <x:c r="I248" s="50" t="str">
        <x:v>Correvio International Sarl</x:v>
      </x:c>
      <x:c r="J248" s="50" t="n">
        <x:v>2013</x:v>
      </x:c>
      <x:c r="K248" s="50" t="n">
        <x:v>-2</x:v>
      </x:c>
      <x:c r="L248" s="50" t="n">
        <x:v>2011</x:v>
      </x:c>
      <x:c r="M248" s="50" t="n">
        <x:v>0</x:v>
      </x:c>
      <x:c r="N248" s="50" t="n">
        <x:v>0</x:v>
      </x:c>
      <x:c r="O248" s="52" t="str">
        <x:f>IF($F248="","",$F248*$M248)</x:f>
      </x:c>
      <x:c r="P248" s="54" t="str">
        <x:f>IF(ISBLANK('Deal_Master_Wide'!$BQ$38),"",'Deal_Master_Wide'!$BQ$38)</x:f>
      </x:c>
      <x:c r="Q248" s="54" t="str">
        <x:f>IF(ISBLANK('Deal_Master_Wide'!$BX$38),"",'Deal_Master_Wide'!$BX$38)</x:f>
      </x:c>
      <x:c r="R248" s="54" t="str">
        <x:f>IF(ISBLANK('Deal_Master_Wide'!$CE$38),"",'Deal_Master_Wide'!$CE$38)</x:f>
      </x:c>
      <x:c r="S248" s="54" t="str">
        <x:f>IF(ISBLANK('Deal_Master_Wide'!$CL$38),"",'Deal_Master_Wide'!$CL$38)</x:f>
      </x:c>
      <x:c r="T248" s="54" t="str">
        <x:f>IF(ISBLANK('Deal_Master_Wide'!$CS$38),"",'Deal_Master_Wide'!$CS$38)</x:f>
      </x:c>
      <x:c r="U248" s="54" t="str">
        <x:f>IF(ISBLANK('Deal_Master_Wide'!$CZ$38),"",'Deal_Master_Wide'!$CZ$38)</x:f>
      </x:c>
      <x:c r="V248" s="56" t="str">
        <x:f>IF(ISBLANK('Deal_Master_Wide'!$DG$38),"",'Deal_Master_Wide'!$DG$38)</x:f>
      </x:c>
      <x:c r="W248" s="56" t="str">
        <x:f>IF(ISBLANK('Deal_Master_Wide'!$DN$38),"",'Deal_Master_Wide'!$DN$38)</x:f>
      </x:c>
      <x:c r="X248" s="56" t="str">
        <x:f>IF(ISBLANK('Deal_Master_Wide'!$DU$38),"",'Deal_Master_Wide'!$DU$38)</x:f>
      </x:c>
      <x:c r="Y248" s="54" t="str">
        <x:f>IF(ISBLANK('Deal_Master_Wide'!$EB$38),"",'Deal_Master_Wide'!$EB$38)</x:f>
      </x:c>
      <x:c r="Z248" s="54" t="str">
        <x:f>IF(ISBLANK('Deal_Master_Wide'!$EI$38),"",'Deal_Master_Wide'!$EI$38)</x:f>
      </x:c>
      <x:c r="AA248" s="52" t="str">
        <x:f>IF(ISBLANK('Deal_Master_Wide'!$AL$38),"",'Deal_Master_Wide'!$AL$38)</x:f>
        <x:v>Unknown</x:v>
      </x:c>
      <x:c r="AB248" s="54" t="n">
        <x:f>IF(ISBLANK('Deal_Master_Wide'!$AF$38),"",'Deal_Master_Wide'!$AF$38)</x:f>
        <x:v>23</x:v>
      </x:c>
      <x:c r="AC248" s="52" t="str">
        <x:f>IF(COUNT($P248,$Q248,$R248,$S248,$T248,$U248,$V248,$W248,$X248)=9,"Yes","No")</x:f>
        <x:v>No</x:v>
      </x:c>
      <x:c r="AD248" s="52" t="str">
        <x:f>IF(COUNT($Y248,$Z248)=2,"Yes","No")</x:f>
        <x:v>No</x:v>
      </x:c>
      <x:c r="AE248" s="50" t="str"/>
      <x:c r="AF248" t="str"/>
    </x:row>
    <x:row r="249" ht="20" customHeight="1">
      <x:c r="A249" s="50" t="str">
        <x:v>TRT-0036</x:v>
      </x:c>
      <x:c r="B249" s="50" t="str">
        <x:v>Candidate treatment group</x:v>
      </x:c>
      <x:c r="C249" s="52" t="str">
        <x:f>IF('Deal_Master_Wide'!$AU$38="","",'Deal_Master_Wide'!$AU$38)</x:f>
        <x:v>Not reviewed</x:v>
      </x:c>
      <x:c r="D249" s="52" t="str">
        <x:f>IF('Deal_Master_Wide'!$AV$38="","",'Deal_Master_Wide'!$AV$38)</x:f>
        <x:v>Not assessed</x:v>
      </x:c>
      <x:c r="E249" s="50" t="n">
        <x:v>1</x:v>
      </x:c>
      <x:c r="F249" s="52" t="str">
        <x:f>IF(OR($C249="High-confidence innovation-driven",$C249="Medium-confidence innovation-driven"),1,IF($C249="Clear alternative-rationale",0,""))</x:f>
      </x:c>
      <x:c r="G249" s="52" t="str">
        <x:f>IF('Deal_Master_Wide'!$M$38="","",'Deal_Master_Wide'!$M$38)</x:f>
        <x:v>Review</x:v>
      </x:c>
      <x:c r="H249" s="50" t="str">
        <x:v>Correvio Pharma Corp.</x:v>
      </x:c>
      <x:c r="I249" s="50" t="str">
        <x:v>Correvio International Sarl</x:v>
      </x:c>
      <x:c r="J249" s="50" t="n">
        <x:v>2013</x:v>
      </x:c>
      <x:c r="K249" s="50" t="n">
        <x:v>-1</x:v>
      </x:c>
      <x:c r="L249" s="50" t="n">
        <x:v>2012</x:v>
      </x:c>
      <x:c r="M249" s="50" t="n">
        <x:v>0</x:v>
      </x:c>
      <x:c r="N249" s="50" t="n">
        <x:v>0</x:v>
      </x:c>
      <x:c r="O249" s="52" t="str">
        <x:f>IF($F249="","",$F249*$M249)</x:f>
      </x:c>
      <x:c r="P249" s="54" t="str">
        <x:f>IF(ISBLANK('Deal_Master_Wide'!$BR$38),"",'Deal_Master_Wide'!$BR$38)</x:f>
      </x:c>
      <x:c r="Q249" s="54" t="str">
        <x:f>IF(ISBLANK('Deal_Master_Wide'!$BY$38),"",'Deal_Master_Wide'!$BY$38)</x:f>
      </x:c>
      <x:c r="R249" s="54" t="str">
        <x:f>IF(ISBLANK('Deal_Master_Wide'!$CF$38),"",'Deal_Master_Wide'!$CF$38)</x:f>
      </x:c>
      <x:c r="S249" s="54" t="str">
        <x:f>IF(ISBLANK('Deal_Master_Wide'!$CM$38),"",'Deal_Master_Wide'!$CM$38)</x:f>
      </x:c>
      <x:c r="T249" s="54" t="str">
        <x:f>IF(ISBLANK('Deal_Master_Wide'!$CT$38),"",'Deal_Master_Wide'!$CT$38)</x:f>
      </x:c>
      <x:c r="U249" s="54" t="str">
        <x:f>IF(ISBLANK('Deal_Master_Wide'!$DA$38),"",'Deal_Master_Wide'!$DA$38)</x:f>
      </x:c>
      <x:c r="V249" s="56" t="str">
        <x:f>IF(ISBLANK('Deal_Master_Wide'!$DH$38),"",'Deal_Master_Wide'!$DH$38)</x:f>
      </x:c>
      <x:c r="W249" s="56" t="str">
        <x:f>IF(ISBLANK('Deal_Master_Wide'!$DO$38),"",'Deal_Master_Wide'!$DO$38)</x:f>
      </x:c>
      <x:c r="X249" s="56" t="str">
        <x:f>IF(ISBLANK('Deal_Master_Wide'!$DV$38),"",'Deal_Master_Wide'!$DV$38)</x:f>
      </x:c>
      <x:c r="Y249" s="54" t="str">
        <x:f>IF(ISBLANK('Deal_Master_Wide'!$EC$38),"",'Deal_Master_Wide'!$EC$38)</x:f>
      </x:c>
      <x:c r="Z249" s="54" t="str">
        <x:f>IF(ISBLANK('Deal_Master_Wide'!$EJ$38),"",'Deal_Master_Wide'!$EJ$38)</x:f>
      </x:c>
      <x:c r="AA249" s="52" t="str">
        <x:f>IF(ISBLANK('Deal_Master_Wide'!$AL$38),"",'Deal_Master_Wide'!$AL$38)</x:f>
        <x:v>Unknown</x:v>
      </x:c>
      <x:c r="AB249" s="54" t="n">
        <x:f>IF(ISBLANK('Deal_Master_Wide'!$AF$38),"",'Deal_Master_Wide'!$AF$38)</x:f>
        <x:v>23</x:v>
      </x:c>
      <x:c r="AC249" s="52" t="str">
        <x:f>IF(COUNT($P249,$Q249,$R249,$S249,$T249,$U249,$V249,$W249,$X249)=9,"Yes","No")</x:f>
        <x:v>No</x:v>
      </x:c>
      <x:c r="AD249" s="52" t="str">
        <x:f>IF(COUNT($Y249,$Z249)=2,"Yes","No")</x:f>
        <x:v>No</x:v>
      </x:c>
      <x:c r="AE249" s="50" t="str"/>
      <x:c r="AF249" t="str"/>
    </x:row>
    <x:row r="250" ht="20" customHeight="1">
      <x:c r="A250" s="50" t="str">
        <x:v>TRT-0036</x:v>
      </x:c>
      <x:c r="B250" s="50" t="str">
        <x:v>Candidate treatment group</x:v>
      </x:c>
      <x:c r="C250" s="52" t="str">
        <x:f>IF('Deal_Master_Wide'!$AU$38="","",'Deal_Master_Wide'!$AU$38)</x:f>
        <x:v>Not reviewed</x:v>
      </x:c>
      <x:c r="D250" s="52" t="str">
        <x:f>IF('Deal_Master_Wide'!$AV$38="","",'Deal_Master_Wide'!$AV$38)</x:f>
        <x:v>Not assessed</x:v>
      </x:c>
      <x:c r="E250" s="50" t="n">
        <x:v>1</x:v>
      </x:c>
      <x:c r="F250" s="52" t="str">
        <x:f>IF(OR($C250="High-confidence innovation-driven",$C250="Medium-confidence innovation-driven"),1,IF($C250="Clear alternative-rationale",0,""))</x:f>
      </x:c>
      <x:c r="G250" s="52" t="str">
        <x:f>IF('Deal_Master_Wide'!$M$38="","",'Deal_Master_Wide'!$M$38)</x:f>
        <x:v>Review</x:v>
      </x:c>
      <x:c r="H250" s="50" t="str">
        <x:v>Correvio Pharma Corp.</x:v>
      </x:c>
      <x:c r="I250" s="50" t="str">
        <x:v>Correvio International Sarl</x:v>
      </x:c>
      <x:c r="J250" s="50" t="n">
        <x:v>2013</x:v>
      </x:c>
      <x:c r="K250" s="50" t="n">
        <x:v>0</x:v>
      </x:c>
      <x:c r="L250" s="50" t="n">
        <x:v>2013</x:v>
      </x:c>
      <x:c r="M250" s="50" t="n">
        <x:v>0</x:v>
      </x:c>
      <x:c r="N250" s="50" t="n">
        <x:v>1</x:v>
      </x:c>
      <x:c r="O250" s="52" t="str">
        <x:f>IF($F250="","",$F250*$M250)</x:f>
      </x:c>
      <x:c r="P250" s="54" t="str">
        <x:f>IF(ISBLANK('Deal_Master_Wide'!$BS$38),"",'Deal_Master_Wide'!$BS$38)</x:f>
      </x:c>
      <x:c r="Q250" s="54" t="str">
        <x:f>IF(ISBLANK('Deal_Master_Wide'!$BZ$38),"",'Deal_Master_Wide'!$BZ$38)</x:f>
      </x:c>
      <x:c r="R250" s="54" t="str">
        <x:f>IF(ISBLANK('Deal_Master_Wide'!$CG$38),"",'Deal_Master_Wide'!$CG$38)</x:f>
      </x:c>
      <x:c r="S250" s="54" t="str">
        <x:f>IF(ISBLANK('Deal_Master_Wide'!$CN$38),"",'Deal_Master_Wide'!$CN$38)</x:f>
      </x:c>
      <x:c r="T250" s="54" t="str">
        <x:f>IF(ISBLANK('Deal_Master_Wide'!$CU$38),"",'Deal_Master_Wide'!$CU$38)</x:f>
      </x:c>
      <x:c r="U250" s="54" t="str">
        <x:f>IF(ISBLANK('Deal_Master_Wide'!$DB$38),"",'Deal_Master_Wide'!$DB$38)</x:f>
      </x:c>
      <x:c r="V250" s="56" t="str">
        <x:f>IF(ISBLANK('Deal_Master_Wide'!$DI$38),"",'Deal_Master_Wide'!$DI$38)</x:f>
      </x:c>
      <x:c r="W250" s="56" t="str">
        <x:f>IF(ISBLANK('Deal_Master_Wide'!$DP$38),"",'Deal_Master_Wide'!$DP$38)</x:f>
      </x:c>
      <x:c r="X250" s="56" t="str">
        <x:f>IF(ISBLANK('Deal_Master_Wide'!$DW$38),"",'Deal_Master_Wide'!$DW$38)</x:f>
      </x:c>
      <x:c r="Y250" s="54" t="str">
        <x:f>IF(ISBLANK('Deal_Master_Wide'!$ED$38),"",'Deal_Master_Wide'!$ED$38)</x:f>
      </x:c>
      <x:c r="Z250" s="54" t="str">
        <x:f>IF(ISBLANK('Deal_Master_Wide'!$EK$38),"",'Deal_Master_Wide'!$EK$38)</x:f>
      </x:c>
      <x:c r="AA250" s="52" t="str">
        <x:f>IF(ISBLANK('Deal_Master_Wide'!$AL$38),"",'Deal_Master_Wide'!$AL$38)</x:f>
        <x:v>Unknown</x:v>
      </x:c>
      <x:c r="AB250" s="54" t="n">
        <x:f>IF(ISBLANK('Deal_Master_Wide'!$AF$38),"",'Deal_Master_Wide'!$AF$38)</x:f>
        <x:v>23</x:v>
      </x:c>
      <x:c r="AC250" s="52" t="str">
        <x:f>IF(COUNT($P250,$Q250,$R250,$S250,$T250,$U250,$V250,$W250,$X250)=9,"Yes","No")</x:f>
        <x:v>No</x:v>
      </x:c>
      <x:c r="AD250" s="52" t="str">
        <x:f>IF(COUNT($Y250,$Z250)=2,"Yes","No")</x:f>
        <x:v>No</x:v>
      </x:c>
      <x:c r="AE250" s="50" t="str"/>
      <x:c r="AF250" t="str"/>
    </x:row>
    <x:row r="251" ht="20" customHeight="1">
      <x:c r="A251" s="50" t="str">
        <x:v>TRT-0036</x:v>
      </x:c>
      <x:c r="B251" s="50" t="str">
        <x:v>Candidate treatment group</x:v>
      </x:c>
      <x:c r="C251" s="52" t="str">
        <x:f>IF('Deal_Master_Wide'!$AU$38="","",'Deal_Master_Wide'!$AU$38)</x:f>
        <x:v>Not reviewed</x:v>
      </x:c>
      <x:c r="D251" s="52" t="str">
        <x:f>IF('Deal_Master_Wide'!$AV$38="","",'Deal_Master_Wide'!$AV$38)</x:f>
        <x:v>Not assessed</x:v>
      </x:c>
      <x:c r="E251" s="50" t="n">
        <x:v>1</x:v>
      </x:c>
      <x:c r="F251" s="52" t="str">
        <x:f>IF(OR($C251="High-confidence innovation-driven",$C251="Medium-confidence innovation-driven"),1,IF($C251="Clear alternative-rationale",0,""))</x:f>
      </x:c>
      <x:c r="G251" s="52" t="str">
        <x:f>IF('Deal_Master_Wide'!$M$38="","",'Deal_Master_Wide'!$M$38)</x:f>
        <x:v>Review</x:v>
      </x:c>
      <x:c r="H251" s="50" t="str">
        <x:v>Correvio Pharma Corp.</x:v>
      </x:c>
      <x:c r="I251" s="50" t="str">
        <x:v>Correvio International Sarl</x:v>
      </x:c>
      <x:c r="J251" s="50" t="n">
        <x:v>2013</x:v>
      </x:c>
      <x:c r="K251" s="50" t="n">
        <x:v>1</x:v>
      </x:c>
      <x:c r="L251" s="50" t="n">
        <x:v>2014</x:v>
      </x:c>
      <x:c r="M251" s="50" t="n">
        <x:v>1</x:v>
      </x:c>
      <x:c r="N251" s="50" t="n">
        <x:v>1</x:v>
      </x:c>
      <x:c r="O251" s="52" t="str">
        <x:f>IF($F251="","",$F251*$M251)</x:f>
      </x:c>
      <x:c r="P251" s="54" t="str">
        <x:f>IF(ISBLANK('Deal_Master_Wide'!$BT$38),"",'Deal_Master_Wide'!$BT$38)</x:f>
      </x:c>
      <x:c r="Q251" s="54" t="str">
        <x:f>IF(ISBLANK('Deal_Master_Wide'!$CA$38),"",'Deal_Master_Wide'!$CA$38)</x:f>
      </x:c>
      <x:c r="R251" s="54" t="str">
        <x:f>IF(ISBLANK('Deal_Master_Wide'!$CH$38),"",'Deal_Master_Wide'!$CH$38)</x:f>
      </x:c>
      <x:c r="S251" s="54" t="str">
        <x:f>IF(ISBLANK('Deal_Master_Wide'!$CO$38),"",'Deal_Master_Wide'!$CO$38)</x:f>
      </x:c>
      <x:c r="T251" s="54" t="str">
        <x:f>IF(ISBLANK('Deal_Master_Wide'!$CV$38),"",'Deal_Master_Wide'!$CV$38)</x:f>
      </x:c>
      <x:c r="U251" s="54" t="str">
        <x:f>IF(ISBLANK('Deal_Master_Wide'!$DC$38),"",'Deal_Master_Wide'!$DC$38)</x:f>
      </x:c>
      <x:c r="V251" s="56" t="str">
        <x:f>IF(ISBLANK('Deal_Master_Wide'!$DJ$38),"",'Deal_Master_Wide'!$DJ$38)</x:f>
      </x:c>
      <x:c r="W251" s="56" t="str">
        <x:f>IF(ISBLANK('Deal_Master_Wide'!$DQ$38),"",'Deal_Master_Wide'!$DQ$38)</x:f>
      </x:c>
      <x:c r="X251" s="56" t="str">
        <x:f>IF(ISBLANK('Deal_Master_Wide'!$DX$38),"",'Deal_Master_Wide'!$DX$38)</x:f>
      </x:c>
      <x:c r="Y251" s="54" t="str">
        <x:f>IF(ISBLANK('Deal_Master_Wide'!$EE$38),"",'Deal_Master_Wide'!$EE$38)</x:f>
      </x:c>
      <x:c r="Z251" s="54" t="str">
        <x:f>IF(ISBLANK('Deal_Master_Wide'!$EL$38),"",'Deal_Master_Wide'!$EL$38)</x:f>
      </x:c>
      <x:c r="AA251" s="52" t="str">
        <x:f>IF(ISBLANK('Deal_Master_Wide'!$AL$38),"",'Deal_Master_Wide'!$AL$38)</x:f>
        <x:v>Unknown</x:v>
      </x:c>
      <x:c r="AB251" s="54" t="n">
        <x:f>IF(ISBLANK('Deal_Master_Wide'!$AF$38),"",'Deal_Master_Wide'!$AF$38)</x:f>
        <x:v>23</x:v>
      </x:c>
      <x:c r="AC251" s="52" t="str">
        <x:f>IF(COUNT($P251,$Q251,$R251,$S251,$T251,$U251,$V251,$W251,$X251)=9,"Yes","No")</x:f>
        <x:v>No</x:v>
      </x:c>
      <x:c r="AD251" s="52" t="str">
        <x:f>IF(COUNT($Y251,$Z251)=2,"Yes","No")</x:f>
        <x:v>No</x:v>
      </x:c>
      <x:c r="AE251" s="50" t="str"/>
      <x:c r="AF251" t="str"/>
    </x:row>
    <x:row r="252" ht="20" customHeight="1">
      <x:c r="A252" s="50" t="str">
        <x:v>TRT-0036</x:v>
      </x:c>
      <x:c r="B252" s="50" t="str">
        <x:v>Candidate treatment group</x:v>
      </x:c>
      <x:c r="C252" s="52" t="str">
        <x:f>IF('Deal_Master_Wide'!$AU$38="","",'Deal_Master_Wide'!$AU$38)</x:f>
        <x:v>Not reviewed</x:v>
      </x:c>
      <x:c r="D252" s="52" t="str">
        <x:f>IF('Deal_Master_Wide'!$AV$38="","",'Deal_Master_Wide'!$AV$38)</x:f>
        <x:v>Not assessed</x:v>
      </x:c>
      <x:c r="E252" s="50" t="n">
        <x:v>1</x:v>
      </x:c>
      <x:c r="F252" s="52" t="str">
        <x:f>IF(OR($C252="High-confidence innovation-driven",$C252="Medium-confidence innovation-driven"),1,IF($C252="Clear alternative-rationale",0,""))</x:f>
      </x:c>
      <x:c r="G252" s="52" t="str">
        <x:f>IF('Deal_Master_Wide'!$M$38="","",'Deal_Master_Wide'!$M$38)</x:f>
        <x:v>Review</x:v>
      </x:c>
      <x:c r="H252" s="50" t="str">
        <x:v>Correvio Pharma Corp.</x:v>
      </x:c>
      <x:c r="I252" s="50" t="str">
        <x:v>Correvio International Sarl</x:v>
      </x:c>
      <x:c r="J252" s="50" t="n">
        <x:v>2013</x:v>
      </x:c>
      <x:c r="K252" s="50" t="n">
        <x:v>2</x:v>
      </x:c>
      <x:c r="L252" s="50" t="n">
        <x:v>2015</x:v>
      </x:c>
      <x:c r="M252" s="50" t="n">
        <x:v>1</x:v>
      </x:c>
      <x:c r="N252" s="50" t="n">
        <x:v>1</x:v>
      </x:c>
      <x:c r="O252" s="52" t="str">
        <x:f>IF($F252="","",$F252*$M252)</x:f>
      </x:c>
      <x:c r="P252" s="54" t="str">
        <x:f>IF(ISBLANK('Deal_Master_Wide'!$BU$38),"",'Deal_Master_Wide'!$BU$38)</x:f>
      </x:c>
      <x:c r="Q252" s="54" t="str">
        <x:f>IF(ISBLANK('Deal_Master_Wide'!$CB$38),"",'Deal_Master_Wide'!$CB$38)</x:f>
      </x:c>
      <x:c r="R252" s="54" t="str">
        <x:f>IF(ISBLANK('Deal_Master_Wide'!$CI$38),"",'Deal_Master_Wide'!$CI$38)</x:f>
      </x:c>
      <x:c r="S252" s="54" t="str">
        <x:f>IF(ISBLANK('Deal_Master_Wide'!$CP$38),"",'Deal_Master_Wide'!$CP$38)</x:f>
      </x:c>
      <x:c r="T252" s="54" t="str">
        <x:f>IF(ISBLANK('Deal_Master_Wide'!$CW$38),"",'Deal_Master_Wide'!$CW$38)</x:f>
      </x:c>
      <x:c r="U252" s="54" t="str">
        <x:f>IF(ISBLANK('Deal_Master_Wide'!$DD$38),"",'Deal_Master_Wide'!$DD$38)</x:f>
      </x:c>
      <x:c r="V252" s="56" t="str">
        <x:f>IF(ISBLANK('Deal_Master_Wide'!$DK$38),"",'Deal_Master_Wide'!$DK$38)</x:f>
      </x:c>
      <x:c r="W252" s="56" t="str">
        <x:f>IF(ISBLANK('Deal_Master_Wide'!$DR$38),"",'Deal_Master_Wide'!$DR$38)</x:f>
      </x:c>
      <x:c r="X252" s="56" t="str">
        <x:f>IF(ISBLANK('Deal_Master_Wide'!$DY$38),"",'Deal_Master_Wide'!$DY$38)</x:f>
      </x:c>
      <x:c r="Y252" s="54" t="str">
        <x:f>IF(ISBLANK('Deal_Master_Wide'!$EF$38),"",'Deal_Master_Wide'!$EF$38)</x:f>
      </x:c>
      <x:c r="Z252" s="54" t="str">
        <x:f>IF(ISBLANK('Deal_Master_Wide'!$EM$38),"",'Deal_Master_Wide'!$EM$38)</x:f>
      </x:c>
      <x:c r="AA252" s="52" t="str">
        <x:f>IF(ISBLANK('Deal_Master_Wide'!$AL$38),"",'Deal_Master_Wide'!$AL$38)</x:f>
        <x:v>Unknown</x:v>
      </x:c>
      <x:c r="AB252" s="54" t="n">
        <x:f>IF(ISBLANK('Deal_Master_Wide'!$AF$38),"",'Deal_Master_Wide'!$AF$38)</x:f>
        <x:v>23</x:v>
      </x:c>
      <x:c r="AC252" s="52" t="str">
        <x:f>IF(COUNT($P252,$Q252,$R252,$S252,$T252,$U252,$V252,$W252,$X252)=9,"Yes","No")</x:f>
        <x:v>No</x:v>
      </x:c>
      <x:c r="AD252" s="52" t="str">
        <x:f>IF(COUNT($Y252,$Z252)=2,"Yes","No")</x:f>
        <x:v>No</x:v>
      </x:c>
      <x:c r="AE252" s="50" t="str"/>
      <x:c r="AF252" t="str"/>
    </x:row>
    <x:row r="253" ht="20" customHeight="1">
      <x:c r="A253" s="50" t="str">
        <x:v>TRT-0036</x:v>
      </x:c>
      <x:c r="B253" s="50" t="str">
        <x:v>Candidate treatment group</x:v>
      </x:c>
      <x:c r="C253" s="52" t="str">
        <x:f>IF('Deal_Master_Wide'!$AU$38="","",'Deal_Master_Wide'!$AU$38)</x:f>
        <x:v>Not reviewed</x:v>
      </x:c>
      <x:c r="D253" s="52" t="str">
        <x:f>IF('Deal_Master_Wide'!$AV$38="","",'Deal_Master_Wide'!$AV$38)</x:f>
        <x:v>Not assessed</x:v>
      </x:c>
      <x:c r="E253" s="50" t="n">
        <x:v>1</x:v>
      </x:c>
      <x:c r="F253" s="52" t="str">
        <x:f>IF(OR($C253="High-confidence innovation-driven",$C253="Medium-confidence innovation-driven"),1,IF($C253="Clear alternative-rationale",0,""))</x:f>
      </x:c>
      <x:c r="G253" s="52" t="str">
        <x:f>IF('Deal_Master_Wide'!$M$38="","",'Deal_Master_Wide'!$M$38)</x:f>
        <x:v>Review</x:v>
      </x:c>
      <x:c r="H253" s="50" t="str">
        <x:v>Correvio Pharma Corp.</x:v>
      </x:c>
      <x:c r="I253" s="50" t="str">
        <x:v>Correvio International Sarl</x:v>
      </x:c>
      <x:c r="J253" s="50" t="n">
        <x:v>2013</x:v>
      </x:c>
      <x:c r="K253" s="50" t="n">
        <x:v>3</x:v>
      </x:c>
      <x:c r="L253" s="50" t="n">
        <x:v>2016</x:v>
      </x:c>
      <x:c r="M253" s="50" t="n">
        <x:v>1</x:v>
      </x:c>
      <x:c r="N253" s="50" t="n">
        <x:v>1</x:v>
      </x:c>
      <x:c r="O253" s="52" t="str">
        <x:f>IF($F253="","",$F253*$M253)</x:f>
      </x:c>
      <x:c r="P253" s="54" t="str">
        <x:f>IF(ISBLANK('Deal_Master_Wide'!$BV$38),"",'Deal_Master_Wide'!$BV$38)</x:f>
      </x:c>
      <x:c r="Q253" s="54" t="str">
        <x:f>IF(ISBLANK('Deal_Master_Wide'!$CC$38),"",'Deal_Master_Wide'!$CC$38)</x:f>
      </x:c>
      <x:c r="R253" s="54" t="str">
        <x:f>IF(ISBLANK('Deal_Master_Wide'!$CJ$38),"",'Deal_Master_Wide'!$CJ$38)</x:f>
      </x:c>
      <x:c r="S253" s="54" t="str">
        <x:f>IF(ISBLANK('Deal_Master_Wide'!$CQ$38),"",'Deal_Master_Wide'!$CQ$38)</x:f>
      </x:c>
      <x:c r="T253" s="54" t="str">
        <x:f>IF(ISBLANK('Deal_Master_Wide'!$CX$38),"",'Deal_Master_Wide'!$CX$38)</x:f>
      </x:c>
      <x:c r="U253" s="54" t="str">
        <x:f>IF(ISBLANK('Deal_Master_Wide'!$DE$38),"",'Deal_Master_Wide'!$DE$38)</x:f>
      </x:c>
      <x:c r="V253" s="56" t="str">
        <x:f>IF(ISBLANK('Deal_Master_Wide'!$DL$38),"",'Deal_Master_Wide'!$DL$38)</x:f>
      </x:c>
      <x:c r="W253" s="56" t="str">
        <x:f>IF(ISBLANK('Deal_Master_Wide'!$DS$38),"",'Deal_Master_Wide'!$DS$38)</x:f>
      </x:c>
      <x:c r="X253" s="56" t="str">
        <x:f>IF(ISBLANK('Deal_Master_Wide'!$DZ$38),"",'Deal_Master_Wide'!$DZ$38)</x:f>
      </x:c>
      <x:c r="Y253" s="54" t="str">
        <x:f>IF(ISBLANK('Deal_Master_Wide'!$EG$38),"",'Deal_Master_Wide'!$EG$38)</x:f>
      </x:c>
      <x:c r="Z253" s="54" t="str">
        <x:f>IF(ISBLANK('Deal_Master_Wide'!$EN$38),"",'Deal_Master_Wide'!$EN$38)</x:f>
      </x:c>
      <x:c r="AA253" s="52" t="str">
        <x:f>IF(ISBLANK('Deal_Master_Wide'!$AL$38),"",'Deal_Master_Wide'!$AL$38)</x:f>
        <x:v>Unknown</x:v>
      </x:c>
      <x:c r="AB253" s="54" t="n">
        <x:f>IF(ISBLANK('Deal_Master_Wide'!$AF$38),"",'Deal_Master_Wide'!$AF$38)</x:f>
        <x:v>23</x:v>
      </x:c>
      <x:c r="AC253" s="52" t="str">
        <x:f>IF(COUNT($P253,$Q253,$R253,$S253,$T253,$U253,$V253,$W253,$X253)=9,"Yes","No")</x:f>
        <x:v>No</x:v>
      </x:c>
      <x:c r="AD253" s="52" t="str">
        <x:f>IF(COUNT($Y253,$Z253)=2,"Yes","No")</x:f>
        <x:v>No</x:v>
      </x:c>
      <x:c r="AE253" s="50" t="str"/>
      <x:c r="AF253" t="str"/>
    </x:row>
    <x:row r="254" ht="20" customHeight="1">
      <x:c r="A254" s="50" t="str">
        <x:v>TRT-0037</x:v>
      </x:c>
      <x:c r="B254" s="50" t="str">
        <x:v>Candidate treatment group</x:v>
      </x:c>
      <x:c r="C254" s="52" t="str">
        <x:f>IF('Deal_Master_Wide'!$AU$39="","",'Deal_Master_Wide'!$AU$39)</x:f>
        <x:v>Not reviewed</x:v>
      </x:c>
      <x:c r="D254" s="52" t="str">
        <x:f>IF('Deal_Master_Wide'!$AV$39="","",'Deal_Master_Wide'!$AV$39)</x:f>
        <x:v>Not assessed</x:v>
      </x:c>
      <x:c r="E254" s="50" t="n">
        <x:v>1</x:v>
      </x:c>
      <x:c r="F254" s="52" t="str">
        <x:f>IF(OR($C254="High-confidence innovation-driven",$C254="Medium-confidence innovation-driven"),1,IF($C254="Clear alternative-rationale",0,""))</x:f>
      </x:c>
      <x:c r="G254" s="52" t="str">
        <x:f>IF('Deal_Master_Wide'!$M$39="","",'Deal_Master_Wide'!$M$39)</x:f>
        <x:v>Review</x:v>
      </x:c>
      <x:c r="H254" s="50" t="str">
        <x:v>Abzena UK Ltd</x:v>
      </x:c>
      <x:c r="I254" s="50" t="str">
        <x:v>Antitope Ltd</x:v>
      </x:c>
      <x:c r="J254" s="50" t="n">
        <x:v>2013</x:v>
      </x:c>
      <x:c r="K254" s="50" t="n">
        <x:v>-3</x:v>
      </x:c>
      <x:c r="L254" s="50" t="n">
        <x:v>2010</x:v>
      </x:c>
      <x:c r="M254" s="50" t="n">
        <x:v>0</x:v>
      </x:c>
      <x:c r="N254" s="50" t="n">
        <x:v>0</x:v>
      </x:c>
      <x:c r="O254" s="52" t="str">
        <x:f>IF($F254="","",$F254*$M254)</x:f>
      </x:c>
      <x:c r="P254" s="54" t="str">
        <x:f>IF(ISBLANK('Deal_Master_Wide'!$BP$39),"",'Deal_Master_Wide'!$BP$39)</x:f>
      </x:c>
      <x:c r="Q254" s="54" t="str">
        <x:f>IF(ISBLANK('Deal_Master_Wide'!$BW$39),"",'Deal_Master_Wide'!$BW$39)</x:f>
      </x:c>
      <x:c r="R254" s="54" t="str">
        <x:f>IF(ISBLANK('Deal_Master_Wide'!$CD$39),"",'Deal_Master_Wide'!$CD$39)</x:f>
      </x:c>
      <x:c r="S254" s="54" t="str">
        <x:f>IF(ISBLANK('Deal_Master_Wide'!$CK$39),"",'Deal_Master_Wide'!$CK$39)</x:f>
      </x:c>
      <x:c r="T254" s="54" t="str">
        <x:f>IF(ISBLANK('Deal_Master_Wide'!$CR$39),"",'Deal_Master_Wide'!$CR$39)</x:f>
      </x:c>
      <x:c r="U254" s="54" t="str">
        <x:f>IF(ISBLANK('Deal_Master_Wide'!$CY$39),"",'Deal_Master_Wide'!$CY$39)</x:f>
      </x:c>
      <x:c r="V254" s="56" t="str">
        <x:f>IF(ISBLANK('Deal_Master_Wide'!$DF$39),"",'Deal_Master_Wide'!$DF$39)</x:f>
      </x:c>
      <x:c r="W254" s="56" t="str">
        <x:f>IF(ISBLANK('Deal_Master_Wide'!$DM$39),"",'Deal_Master_Wide'!$DM$39)</x:f>
      </x:c>
      <x:c r="X254" s="56" t="str">
        <x:f>IF(ISBLANK('Deal_Master_Wide'!$DT$39),"",'Deal_Master_Wide'!$DT$39)</x:f>
      </x:c>
      <x:c r="Y254" s="54" t="str">
        <x:f>IF(ISBLANK('Deal_Master_Wide'!$EA$39),"",'Deal_Master_Wide'!$EA$39)</x:f>
      </x:c>
      <x:c r="Z254" s="54" t="str">
        <x:f>IF(ISBLANK('Deal_Master_Wide'!$EH$39),"",'Deal_Master_Wide'!$EH$39)</x:f>
      </x:c>
      <x:c r="AA254" s="52" t="str">
        <x:f>IF(ISBLANK('Deal_Master_Wide'!$AL$39),"",'Deal_Master_Wide'!$AL$39)</x:f>
        <x:v>Unknown</x:v>
      </x:c>
      <x:c r="AB254" s="54" t="str">
        <x:f>IF(ISBLANK('Deal_Master_Wide'!$AF$39),"",'Deal_Master_Wide'!$AF$39)</x:f>
      </x:c>
      <x:c r="AC254" s="52" t="str">
        <x:f>IF(COUNT($P254,$Q254,$R254,$S254,$T254,$U254,$V254,$W254,$X254)=9,"Yes","No")</x:f>
        <x:v>No</x:v>
      </x:c>
      <x:c r="AD254" s="52" t="str">
        <x:f>IF(COUNT($Y254,$Z254)=2,"Yes","No")</x:f>
        <x:v>No</x:v>
      </x:c>
      <x:c r="AE254" s="50" t="str"/>
      <x:c r="AF254" t="str"/>
    </x:row>
    <x:row r="255" ht="20" customHeight="1">
      <x:c r="A255" s="50" t="str">
        <x:v>TRT-0037</x:v>
      </x:c>
      <x:c r="B255" s="50" t="str">
        <x:v>Candidate treatment group</x:v>
      </x:c>
      <x:c r="C255" s="52" t="str">
        <x:f>IF('Deal_Master_Wide'!$AU$39="","",'Deal_Master_Wide'!$AU$39)</x:f>
        <x:v>Not reviewed</x:v>
      </x:c>
      <x:c r="D255" s="52" t="str">
        <x:f>IF('Deal_Master_Wide'!$AV$39="","",'Deal_Master_Wide'!$AV$39)</x:f>
        <x:v>Not assessed</x:v>
      </x:c>
      <x:c r="E255" s="50" t="n">
        <x:v>1</x:v>
      </x:c>
      <x:c r="F255" s="52" t="str">
        <x:f>IF(OR($C255="High-confidence innovation-driven",$C255="Medium-confidence innovation-driven"),1,IF($C255="Clear alternative-rationale",0,""))</x:f>
      </x:c>
      <x:c r="G255" s="52" t="str">
        <x:f>IF('Deal_Master_Wide'!$M$39="","",'Deal_Master_Wide'!$M$39)</x:f>
        <x:v>Review</x:v>
      </x:c>
      <x:c r="H255" s="50" t="str">
        <x:v>Abzena UK Ltd</x:v>
      </x:c>
      <x:c r="I255" s="50" t="str">
        <x:v>Antitope Ltd</x:v>
      </x:c>
      <x:c r="J255" s="50" t="n">
        <x:v>2013</x:v>
      </x:c>
      <x:c r="K255" s="50" t="n">
        <x:v>-2</x:v>
      </x:c>
      <x:c r="L255" s="50" t="n">
        <x:v>2011</x:v>
      </x:c>
      <x:c r="M255" s="50" t="n">
        <x:v>0</x:v>
      </x:c>
      <x:c r="N255" s="50" t="n">
        <x:v>0</x:v>
      </x:c>
      <x:c r="O255" s="52" t="str">
        <x:f>IF($F255="","",$F255*$M255)</x:f>
      </x:c>
      <x:c r="P255" s="54" t="str">
        <x:f>IF(ISBLANK('Deal_Master_Wide'!$BQ$39),"",'Deal_Master_Wide'!$BQ$39)</x:f>
      </x:c>
      <x:c r="Q255" s="54" t="str">
        <x:f>IF(ISBLANK('Deal_Master_Wide'!$BX$39),"",'Deal_Master_Wide'!$BX$39)</x:f>
      </x:c>
      <x:c r="R255" s="54" t="str">
        <x:f>IF(ISBLANK('Deal_Master_Wide'!$CE$39),"",'Deal_Master_Wide'!$CE$39)</x:f>
      </x:c>
      <x:c r="S255" s="54" t="str">
        <x:f>IF(ISBLANK('Deal_Master_Wide'!$CL$39),"",'Deal_Master_Wide'!$CL$39)</x:f>
      </x:c>
      <x:c r="T255" s="54" t="str">
        <x:f>IF(ISBLANK('Deal_Master_Wide'!$CS$39),"",'Deal_Master_Wide'!$CS$39)</x:f>
      </x:c>
      <x:c r="U255" s="54" t="str">
        <x:f>IF(ISBLANK('Deal_Master_Wide'!$CZ$39),"",'Deal_Master_Wide'!$CZ$39)</x:f>
      </x:c>
      <x:c r="V255" s="56" t="str">
        <x:f>IF(ISBLANK('Deal_Master_Wide'!$DG$39),"",'Deal_Master_Wide'!$DG$39)</x:f>
      </x:c>
      <x:c r="W255" s="56" t="str">
        <x:f>IF(ISBLANK('Deal_Master_Wide'!$DN$39),"",'Deal_Master_Wide'!$DN$39)</x:f>
      </x:c>
      <x:c r="X255" s="56" t="str">
        <x:f>IF(ISBLANK('Deal_Master_Wide'!$DU$39),"",'Deal_Master_Wide'!$DU$39)</x:f>
      </x:c>
      <x:c r="Y255" s="54" t="str">
        <x:f>IF(ISBLANK('Deal_Master_Wide'!$EB$39),"",'Deal_Master_Wide'!$EB$39)</x:f>
      </x:c>
      <x:c r="Z255" s="54" t="str">
        <x:f>IF(ISBLANK('Deal_Master_Wide'!$EI$39),"",'Deal_Master_Wide'!$EI$39)</x:f>
      </x:c>
      <x:c r="AA255" s="52" t="str">
        <x:f>IF(ISBLANK('Deal_Master_Wide'!$AL$39),"",'Deal_Master_Wide'!$AL$39)</x:f>
        <x:v>Unknown</x:v>
      </x:c>
      <x:c r="AB255" s="54" t="str">
        <x:f>IF(ISBLANK('Deal_Master_Wide'!$AF$39),"",'Deal_Master_Wide'!$AF$39)</x:f>
      </x:c>
      <x:c r="AC255" s="52" t="str">
        <x:f>IF(COUNT($P255,$Q255,$R255,$S255,$T255,$U255,$V255,$W255,$X255)=9,"Yes","No")</x:f>
        <x:v>No</x:v>
      </x:c>
      <x:c r="AD255" s="52" t="str">
        <x:f>IF(COUNT($Y255,$Z255)=2,"Yes","No")</x:f>
        <x:v>No</x:v>
      </x:c>
      <x:c r="AE255" s="50" t="str"/>
      <x:c r="AF255" t="str"/>
    </x:row>
    <x:row r="256" ht="20" customHeight="1">
      <x:c r="A256" s="50" t="str">
        <x:v>TRT-0037</x:v>
      </x:c>
      <x:c r="B256" s="50" t="str">
        <x:v>Candidate treatment group</x:v>
      </x:c>
      <x:c r="C256" s="52" t="str">
        <x:f>IF('Deal_Master_Wide'!$AU$39="","",'Deal_Master_Wide'!$AU$39)</x:f>
        <x:v>Not reviewed</x:v>
      </x:c>
      <x:c r="D256" s="52" t="str">
        <x:f>IF('Deal_Master_Wide'!$AV$39="","",'Deal_Master_Wide'!$AV$39)</x:f>
        <x:v>Not assessed</x:v>
      </x:c>
      <x:c r="E256" s="50" t="n">
        <x:v>1</x:v>
      </x:c>
      <x:c r="F256" s="52" t="str">
        <x:f>IF(OR($C256="High-confidence innovation-driven",$C256="Medium-confidence innovation-driven"),1,IF($C256="Clear alternative-rationale",0,""))</x:f>
      </x:c>
      <x:c r="G256" s="52" t="str">
        <x:f>IF('Deal_Master_Wide'!$M$39="","",'Deal_Master_Wide'!$M$39)</x:f>
        <x:v>Review</x:v>
      </x:c>
      <x:c r="H256" s="50" t="str">
        <x:v>Abzena UK Ltd</x:v>
      </x:c>
      <x:c r="I256" s="50" t="str">
        <x:v>Antitope Ltd</x:v>
      </x:c>
      <x:c r="J256" s="50" t="n">
        <x:v>2013</x:v>
      </x:c>
      <x:c r="K256" s="50" t="n">
        <x:v>-1</x:v>
      </x:c>
      <x:c r="L256" s="50" t="n">
        <x:v>2012</x:v>
      </x:c>
      <x:c r="M256" s="50" t="n">
        <x:v>0</x:v>
      </x:c>
      <x:c r="N256" s="50" t="n">
        <x:v>0</x:v>
      </x:c>
      <x:c r="O256" s="52" t="str">
        <x:f>IF($F256="","",$F256*$M256)</x:f>
      </x:c>
      <x:c r="P256" s="54" t="str">
        <x:f>IF(ISBLANK('Deal_Master_Wide'!$BR$39),"",'Deal_Master_Wide'!$BR$39)</x:f>
      </x:c>
      <x:c r="Q256" s="54" t="str">
        <x:f>IF(ISBLANK('Deal_Master_Wide'!$BY$39),"",'Deal_Master_Wide'!$BY$39)</x:f>
      </x:c>
      <x:c r="R256" s="54" t="str">
        <x:f>IF(ISBLANK('Deal_Master_Wide'!$CF$39),"",'Deal_Master_Wide'!$CF$39)</x:f>
      </x:c>
      <x:c r="S256" s="54" t="str">
        <x:f>IF(ISBLANK('Deal_Master_Wide'!$CM$39),"",'Deal_Master_Wide'!$CM$39)</x:f>
      </x:c>
      <x:c r="T256" s="54" t="str">
        <x:f>IF(ISBLANK('Deal_Master_Wide'!$CT$39),"",'Deal_Master_Wide'!$CT$39)</x:f>
      </x:c>
      <x:c r="U256" s="54" t="str">
        <x:f>IF(ISBLANK('Deal_Master_Wide'!$DA$39),"",'Deal_Master_Wide'!$DA$39)</x:f>
      </x:c>
      <x:c r="V256" s="56" t="str">
        <x:f>IF(ISBLANK('Deal_Master_Wide'!$DH$39),"",'Deal_Master_Wide'!$DH$39)</x:f>
      </x:c>
      <x:c r="W256" s="56" t="str">
        <x:f>IF(ISBLANK('Deal_Master_Wide'!$DO$39),"",'Deal_Master_Wide'!$DO$39)</x:f>
      </x:c>
      <x:c r="X256" s="56" t="str">
        <x:f>IF(ISBLANK('Deal_Master_Wide'!$DV$39),"",'Deal_Master_Wide'!$DV$39)</x:f>
      </x:c>
      <x:c r="Y256" s="54" t="str">
        <x:f>IF(ISBLANK('Deal_Master_Wide'!$EC$39),"",'Deal_Master_Wide'!$EC$39)</x:f>
      </x:c>
      <x:c r="Z256" s="54" t="str">
        <x:f>IF(ISBLANK('Deal_Master_Wide'!$EJ$39),"",'Deal_Master_Wide'!$EJ$39)</x:f>
      </x:c>
      <x:c r="AA256" s="52" t="str">
        <x:f>IF(ISBLANK('Deal_Master_Wide'!$AL$39),"",'Deal_Master_Wide'!$AL$39)</x:f>
        <x:v>Unknown</x:v>
      </x:c>
      <x:c r="AB256" s="54" t="str">
        <x:f>IF(ISBLANK('Deal_Master_Wide'!$AF$39),"",'Deal_Master_Wide'!$AF$39)</x:f>
      </x:c>
      <x:c r="AC256" s="52" t="str">
        <x:f>IF(COUNT($P256,$Q256,$R256,$S256,$T256,$U256,$V256,$W256,$X256)=9,"Yes","No")</x:f>
        <x:v>No</x:v>
      </x:c>
      <x:c r="AD256" s="52" t="str">
        <x:f>IF(COUNT($Y256,$Z256)=2,"Yes","No")</x:f>
        <x:v>No</x:v>
      </x:c>
      <x:c r="AE256" s="50" t="str"/>
      <x:c r="AF256" t="str"/>
    </x:row>
    <x:row r="257" ht="20" customHeight="1">
      <x:c r="A257" s="50" t="str">
        <x:v>TRT-0037</x:v>
      </x:c>
      <x:c r="B257" s="50" t="str">
        <x:v>Candidate treatment group</x:v>
      </x:c>
      <x:c r="C257" s="52" t="str">
        <x:f>IF('Deal_Master_Wide'!$AU$39="","",'Deal_Master_Wide'!$AU$39)</x:f>
        <x:v>Not reviewed</x:v>
      </x:c>
      <x:c r="D257" s="52" t="str">
        <x:f>IF('Deal_Master_Wide'!$AV$39="","",'Deal_Master_Wide'!$AV$39)</x:f>
        <x:v>Not assessed</x:v>
      </x:c>
      <x:c r="E257" s="50" t="n">
        <x:v>1</x:v>
      </x:c>
      <x:c r="F257" s="52" t="str">
        <x:f>IF(OR($C257="High-confidence innovation-driven",$C257="Medium-confidence innovation-driven"),1,IF($C257="Clear alternative-rationale",0,""))</x:f>
      </x:c>
      <x:c r="G257" s="52" t="str">
        <x:f>IF('Deal_Master_Wide'!$M$39="","",'Deal_Master_Wide'!$M$39)</x:f>
        <x:v>Review</x:v>
      </x:c>
      <x:c r="H257" s="50" t="str">
        <x:v>Abzena UK Ltd</x:v>
      </x:c>
      <x:c r="I257" s="50" t="str">
        <x:v>Antitope Ltd</x:v>
      </x:c>
      <x:c r="J257" s="50" t="n">
        <x:v>2013</x:v>
      </x:c>
      <x:c r="K257" s="50" t="n">
        <x:v>0</x:v>
      </x:c>
      <x:c r="L257" s="50" t="n">
        <x:v>2013</x:v>
      </x:c>
      <x:c r="M257" s="50" t="n">
        <x:v>0</x:v>
      </x:c>
      <x:c r="N257" s="50" t="n">
        <x:v>1</x:v>
      </x:c>
      <x:c r="O257" s="52" t="str">
        <x:f>IF($F257="","",$F257*$M257)</x:f>
      </x:c>
      <x:c r="P257" s="54" t="str">
        <x:f>IF(ISBLANK('Deal_Master_Wide'!$BS$39),"",'Deal_Master_Wide'!$BS$39)</x:f>
      </x:c>
      <x:c r="Q257" s="54" t="str">
        <x:f>IF(ISBLANK('Deal_Master_Wide'!$BZ$39),"",'Deal_Master_Wide'!$BZ$39)</x:f>
      </x:c>
      <x:c r="R257" s="54" t="str">
        <x:f>IF(ISBLANK('Deal_Master_Wide'!$CG$39),"",'Deal_Master_Wide'!$CG$39)</x:f>
      </x:c>
      <x:c r="S257" s="54" t="str">
        <x:f>IF(ISBLANK('Deal_Master_Wide'!$CN$39),"",'Deal_Master_Wide'!$CN$39)</x:f>
      </x:c>
      <x:c r="T257" s="54" t="str">
        <x:f>IF(ISBLANK('Deal_Master_Wide'!$CU$39),"",'Deal_Master_Wide'!$CU$39)</x:f>
      </x:c>
      <x:c r="U257" s="54" t="str">
        <x:f>IF(ISBLANK('Deal_Master_Wide'!$DB$39),"",'Deal_Master_Wide'!$DB$39)</x:f>
      </x:c>
      <x:c r="V257" s="56" t="str">
        <x:f>IF(ISBLANK('Deal_Master_Wide'!$DI$39),"",'Deal_Master_Wide'!$DI$39)</x:f>
      </x:c>
      <x:c r="W257" s="56" t="str">
        <x:f>IF(ISBLANK('Deal_Master_Wide'!$DP$39),"",'Deal_Master_Wide'!$DP$39)</x:f>
      </x:c>
      <x:c r="X257" s="56" t="str">
        <x:f>IF(ISBLANK('Deal_Master_Wide'!$DW$39),"",'Deal_Master_Wide'!$DW$39)</x:f>
      </x:c>
      <x:c r="Y257" s="54" t="str">
        <x:f>IF(ISBLANK('Deal_Master_Wide'!$ED$39),"",'Deal_Master_Wide'!$ED$39)</x:f>
      </x:c>
      <x:c r="Z257" s="54" t="str">
        <x:f>IF(ISBLANK('Deal_Master_Wide'!$EK$39),"",'Deal_Master_Wide'!$EK$39)</x:f>
      </x:c>
      <x:c r="AA257" s="52" t="str">
        <x:f>IF(ISBLANK('Deal_Master_Wide'!$AL$39),"",'Deal_Master_Wide'!$AL$39)</x:f>
        <x:v>Unknown</x:v>
      </x:c>
      <x:c r="AB257" s="54" t="str">
        <x:f>IF(ISBLANK('Deal_Master_Wide'!$AF$39),"",'Deal_Master_Wide'!$AF$39)</x:f>
      </x:c>
      <x:c r="AC257" s="52" t="str">
        <x:f>IF(COUNT($P257,$Q257,$R257,$S257,$T257,$U257,$V257,$W257,$X257)=9,"Yes","No")</x:f>
        <x:v>No</x:v>
      </x:c>
      <x:c r="AD257" s="52" t="str">
        <x:f>IF(COUNT($Y257,$Z257)=2,"Yes","No")</x:f>
        <x:v>No</x:v>
      </x:c>
      <x:c r="AE257" s="50" t="str"/>
      <x:c r="AF257" t="str"/>
    </x:row>
    <x:row r="258" ht="20" customHeight="1">
      <x:c r="A258" s="50" t="str">
        <x:v>TRT-0037</x:v>
      </x:c>
      <x:c r="B258" s="50" t="str">
        <x:v>Candidate treatment group</x:v>
      </x:c>
      <x:c r="C258" s="52" t="str">
        <x:f>IF('Deal_Master_Wide'!$AU$39="","",'Deal_Master_Wide'!$AU$39)</x:f>
        <x:v>Not reviewed</x:v>
      </x:c>
      <x:c r="D258" s="52" t="str">
        <x:f>IF('Deal_Master_Wide'!$AV$39="","",'Deal_Master_Wide'!$AV$39)</x:f>
        <x:v>Not assessed</x:v>
      </x:c>
      <x:c r="E258" s="50" t="n">
        <x:v>1</x:v>
      </x:c>
      <x:c r="F258" s="52" t="str">
        <x:f>IF(OR($C258="High-confidence innovation-driven",$C258="Medium-confidence innovation-driven"),1,IF($C258="Clear alternative-rationale",0,""))</x:f>
      </x:c>
      <x:c r="G258" s="52" t="str">
        <x:f>IF('Deal_Master_Wide'!$M$39="","",'Deal_Master_Wide'!$M$39)</x:f>
        <x:v>Review</x:v>
      </x:c>
      <x:c r="H258" s="50" t="str">
        <x:v>Abzena UK Ltd</x:v>
      </x:c>
      <x:c r="I258" s="50" t="str">
        <x:v>Antitope Ltd</x:v>
      </x:c>
      <x:c r="J258" s="50" t="n">
        <x:v>2013</x:v>
      </x:c>
      <x:c r="K258" s="50" t="n">
        <x:v>1</x:v>
      </x:c>
      <x:c r="L258" s="50" t="n">
        <x:v>2014</x:v>
      </x:c>
      <x:c r="M258" s="50" t="n">
        <x:v>1</x:v>
      </x:c>
      <x:c r="N258" s="50" t="n">
        <x:v>1</x:v>
      </x:c>
      <x:c r="O258" s="52" t="str">
        <x:f>IF($F258="","",$F258*$M258)</x:f>
      </x:c>
      <x:c r="P258" s="54" t="str">
        <x:f>IF(ISBLANK('Deal_Master_Wide'!$BT$39),"",'Deal_Master_Wide'!$BT$39)</x:f>
      </x:c>
      <x:c r="Q258" s="54" t="str">
        <x:f>IF(ISBLANK('Deal_Master_Wide'!$CA$39),"",'Deal_Master_Wide'!$CA$39)</x:f>
      </x:c>
      <x:c r="R258" s="54" t="str">
        <x:f>IF(ISBLANK('Deal_Master_Wide'!$CH$39),"",'Deal_Master_Wide'!$CH$39)</x:f>
      </x:c>
      <x:c r="S258" s="54" t="str">
        <x:f>IF(ISBLANK('Deal_Master_Wide'!$CO$39),"",'Deal_Master_Wide'!$CO$39)</x:f>
      </x:c>
      <x:c r="T258" s="54" t="str">
        <x:f>IF(ISBLANK('Deal_Master_Wide'!$CV$39),"",'Deal_Master_Wide'!$CV$39)</x:f>
      </x:c>
      <x:c r="U258" s="54" t="str">
        <x:f>IF(ISBLANK('Deal_Master_Wide'!$DC$39),"",'Deal_Master_Wide'!$DC$39)</x:f>
      </x:c>
      <x:c r="V258" s="56" t="str">
        <x:f>IF(ISBLANK('Deal_Master_Wide'!$DJ$39),"",'Deal_Master_Wide'!$DJ$39)</x:f>
      </x:c>
      <x:c r="W258" s="56" t="str">
        <x:f>IF(ISBLANK('Deal_Master_Wide'!$DQ$39),"",'Deal_Master_Wide'!$DQ$39)</x:f>
      </x:c>
      <x:c r="X258" s="56" t="str">
        <x:f>IF(ISBLANK('Deal_Master_Wide'!$DX$39),"",'Deal_Master_Wide'!$DX$39)</x:f>
      </x:c>
      <x:c r="Y258" s="54" t="str">
        <x:f>IF(ISBLANK('Deal_Master_Wide'!$EE$39),"",'Deal_Master_Wide'!$EE$39)</x:f>
      </x:c>
      <x:c r="Z258" s="54" t="str">
        <x:f>IF(ISBLANK('Deal_Master_Wide'!$EL$39),"",'Deal_Master_Wide'!$EL$39)</x:f>
      </x:c>
      <x:c r="AA258" s="52" t="str">
        <x:f>IF(ISBLANK('Deal_Master_Wide'!$AL$39),"",'Deal_Master_Wide'!$AL$39)</x:f>
        <x:v>Unknown</x:v>
      </x:c>
      <x:c r="AB258" s="54" t="str">
        <x:f>IF(ISBLANK('Deal_Master_Wide'!$AF$39),"",'Deal_Master_Wide'!$AF$39)</x:f>
      </x:c>
      <x:c r="AC258" s="52" t="str">
        <x:f>IF(COUNT($P258,$Q258,$R258,$S258,$T258,$U258,$V258,$W258,$X258)=9,"Yes","No")</x:f>
        <x:v>No</x:v>
      </x:c>
      <x:c r="AD258" s="52" t="str">
        <x:f>IF(COUNT($Y258,$Z258)=2,"Yes","No")</x:f>
        <x:v>No</x:v>
      </x:c>
      <x:c r="AE258" s="50" t="str"/>
      <x:c r="AF258" t="str"/>
    </x:row>
    <x:row r="259" ht="20" customHeight="1">
      <x:c r="A259" s="50" t="str">
        <x:v>TRT-0037</x:v>
      </x:c>
      <x:c r="B259" s="50" t="str">
        <x:v>Candidate treatment group</x:v>
      </x:c>
      <x:c r="C259" s="52" t="str">
        <x:f>IF('Deal_Master_Wide'!$AU$39="","",'Deal_Master_Wide'!$AU$39)</x:f>
        <x:v>Not reviewed</x:v>
      </x:c>
      <x:c r="D259" s="52" t="str">
        <x:f>IF('Deal_Master_Wide'!$AV$39="","",'Deal_Master_Wide'!$AV$39)</x:f>
        <x:v>Not assessed</x:v>
      </x:c>
      <x:c r="E259" s="50" t="n">
        <x:v>1</x:v>
      </x:c>
      <x:c r="F259" s="52" t="str">
        <x:f>IF(OR($C259="High-confidence innovation-driven",$C259="Medium-confidence innovation-driven"),1,IF($C259="Clear alternative-rationale",0,""))</x:f>
      </x:c>
      <x:c r="G259" s="52" t="str">
        <x:f>IF('Deal_Master_Wide'!$M$39="","",'Deal_Master_Wide'!$M$39)</x:f>
        <x:v>Review</x:v>
      </x:c>
      <x:c r="H259" s="50" t="str">
        <x:v>Abzena UK Ltd</x:v>
      </x:c>
      <x:c r="I259" s="50" t="str">
        <x:v>Antitope Ltd</x:v>
      </x:c>
      <x:c r="J259" s="50" t="n">
        <x:v>2013</x:v>
      </x:c>
      <x:c r="K259" s="50" t="n">
        <x:v>2</x:v>
      </x:c>
      <x:c r="L259" s="50" t="n">
        <x:v>2015</x:v>
      </x:c>
      <x:c r="M259" s="50" t="n">
        <x:v>1</x:v>
      </x:c>
      <x:c r="N259" s="50" t="n">
        <x:v>1</x:v>
      </x:c>
      <x:c r="O259" s="52" t="str">
        <x:f>IF($F259="","",$F259*$M259)</x:f>
      </x:c>
      <x:c r="P259" s="54" t="str">
        <x:f>IF(ISBLANK('Deal_Master_Wide'!$BU$39),"",'Deal_Master_Wide'!$BU$39)</x:f>
      </x:c>
      <x:c r="Q259" s="54" t="str">
        <x:f>IF(ISBLANK('Deal_Master_Wide'!$CB$39),"",'Deal_Master_Wide'!$CB$39)</x:f>
      </x:c>
      <x:c r="R259" s="54" t="str">
        <x:f>IF(ISBLANK('Deal_Master_Wide'!$CI$39),"",'Deal_Master_Wide'!$CI$39)</x:f>
      </x:c>
      <x:c r="S259" s="54" t="str">
        <x:f>IF(ISBLANK('Deal_Master_Wide'!$CP$39),"",'Deal_Master_Wide'!$CP$39)</x:f>
      </x:c>
      <x:c r="T259" s="54" t="str">
        <x:f>IF(ISBLANK('Deal_Master_Wide'!$CW$39),"",'Deal_Master_Wide'!$CW$39)</x:f>
      </x:c>
      <x:c r="U259" s="54" t="str">
        <x:f>IF(ISBLANK('Deal_Master_Wide'!$DD$39),"",'Deal_Master_Wide'!$DD$39)</x:f>
      </x:c>
      <x:c r="V259" s="56" t="str">
        <x:f>IF(ISBLANK('Deal_Master_Wide'!$DK$39),"",'Deal_Master_Wide'!$DK$39)</x:f>
      </x:c>
      <x:c r="W259" s="56" t="str">
        <x:f>IF(ISBLANK('Deal_Master_Wide'!$DR$39),"",'Deal_Master_Wide'!$DR$39)</x:f>
      </x:c>
      <x:c r="X259" s="56" t="str">
        <x:f>IF(ISBLANK('Deal_Master_Wide'!$DY$39),"",'Deal_Master_Wide'!$DY$39)</x:f>
      </x:c>
      <x:c r="Y259" s="54" t="str">
        <x:f>IF(ISBLANK('Deal_Master_Wide'!$EF$39),"",'Deal_Master_Wide'!$EF$39)</x:f>
      </x:c>
      <x:c r="Z259" s="54" t="str">
        <x:f>IF(ISBLANK('Deal_Master_Wide'!$EM$39),"",'Deal_Master_Wide'!$EM$39)</x:f>
      </x:c>
      <x:c r="AA259" s="52" t="str">
        <x:f>IF(ISBLANK('Deal_Master_Wide'!$AL$39),"",'Deal_Master_Wide'!$AL$39)</x:f>
        <x:v>Unknown</x:v>
      </x:c>
      <x:c r="AB259" s="54" t="str">
        <x:f>IF(ISBLANK('Deal_Master_Wide'!$AF$39),"",'Deal_Master_Wide'!$AF$39)</x:f>
      </x:c>
      <x:c r="AC259" s="52" t="str">
        <x:f>IF(COUNT($P259,$Q259,$R259,$S259,$T259,$U259,$V259,$W259,$X259)=9,"Yes","No")</x:f>
        <x:v>No</x:v>
      </x:c>
      <x:c r="AD259" s="52" t="str">
        <x:f>IF(COUNT($Y259,$Z259)=2,"Yes","No")</x:f>
        <x:v>No</x:v>
      </x:c>
      <x:c r="AE259" s="50" t="str"/>
      <x:c r="AF259" t="str"/>
    </x:row>
    <x:row r="260" ht="20" customHeight="1">
      <x:c r="A260" s="50" t="str">
        <x:v>TRT-0037</x:v>
      </x:c>
      <x:c r="B260" s="50" t="str">
        <x:v>Candidate treatment group</x:v>
      </x:c>
      <x:c r="C260" s="52" t="str">
        <x:f>IF('Deal_Master_Wide'!$AU$39="","",'Deal_Master_Wide'!$AU$39)</x:f>
        <x:v>Not reviewed</x:v>
      </x:c>
      <x:c r="D260" s="52" t="str">
        <x:f>IF('Deal_Master_Wide'!$AV$39="","",'Deal_Master_Wide'!$AV$39)</x:f>
        <x:v>Not assessed</x:v>
      </x:c>
      <x:c r="E260" s="50" t="n">
        <x:v>1</x:v>
      </x:c>
      <x:c r="F260" s="52" t="str">
        <x:f>IF(OR($C260="High-confidence innovation-driven",$C260="Medium-confidence innovation-driven"),1,IF($C260="Clear alternative-rationale",0,""))</x:f>
      </x:c>
      <x:c r="G260" s="52" t="str">
        <x:f>IF('Deal_Master_Wide'!$M$39="","",'Deal_Master_Wide'!$M$39)</x:f>
        <x:v>Review</x:v>
      </x:c>
      <x:c r="H260" s="50" t="str">
        <x:v>Abzena UK Ltd</x:v>
      </x:c>
      <x:c r="I260" s="50" t="str">
        <x:v>Antitope Ltd</x:v>
      </x:c>
      <x:c r="J260" s="50" t="n">
        <x:v>2013</x:v>
      </x:c>
      <x:c r="K260" s="50" t="n">
        <x:v>3</x:v>
      </x:c>
      <x:c r="L260" s="50" t="n">
        <x:v>2016</x:v>
      </x:c>
      <x:c r="M260" s="50" t="n">
        <x:v>1</x:v>
      </x:c>
      <x:c r="N260" s="50" t="n">
        <x:v>1</x:v>
      </x:c>
      <x:c r="O260" s="52" t="str">
        <x:f>IF($F260="","",$F260*$M260)</x:f>
      </x:c>
      <x:c r="P260" s="54" t="str">
        <x:f>IF(ISBLANK('Deal_Master_Wide'!$BV$39),"",'Deal_Master_Wide'!$BV$39)</x:f>
      </x:c>
      <x:c r="Q260" s="54" t="str">
        <x:f>IF(ISBLANK('Deal_Master_Wide'!$CC$39),"",'Deal_Master_Wide'!$CC$39)</x:f>
      </x:c>
      <x:c r="R260" s="54" t="str">
        <x:f>IF(ISBLANK('Deal_Master_Wide'!$CJ$39),"",'Deal_Master_Wide'!$CJ$39)</x:f>
      </x:c>
      <x:c r="S260" s="54" t="str">
        <x:f>IF(ISBLANK('Deal_Master_Wide'!$CQ$39),"",'Deal_Master_Wide'!$CQ$39)</x:f>
      </x:c>
      <x:c r="T260" s="54" t="str">
        <x:f>IF(ISBLANK('Deal_Master_Wide'!$CX$39),"",'Deal_Master_Wide'!$CX$39)</x:f>
      </x:c>
      <x:c r="U260" s="54" t="str">
        <x:f>IF(ISBLANK('Deal_Master_Wide'!$DE$39),"",'Deal_Master_Wide'!$DE$39)</x:f>
      </x:c>
      <x:c r="V260" s="56" t="str">
        <x:f>IF(ISBLANK('Deal_Master_Wide'!$DL$39),"",'Deal_Master_Wide'!$DL$39)</x:f>
      </x:c>
      <x:c r="W260" s="56" t="str">
        <x:f>IF(ISBLANK('Deal_Master_Wide'!$DS$39),"",'Deal_Master_Wide'!$DS$39)</x:f>
      </x:c>
      <x:c r="X260" s="56" t="str">
        <x:f>IF(ISBLANK('Deal_Master_Wide'!$DZ$39),"",'Deal_Master_Wide'!$DZ$39)</x:f>
      </x:c>
      <x:c r="Y260" s="54" t="str">
        <x:f>IF(ISBLANK('Deal_Master_Wide'!$EG$39),"",'Deal_Master_Wide'!$EG$39)</x:f>
      </x:c>
      <x:c r="Z260" s="54" t="str">
        <x:f>IF(ISBLANK('Deal_Master_Wide'!$EN$39),"",'Deal_Master_Wide'!$EN$39)</x:f>
      </x:c>
      <x:c r="AA260" s="52" t="str">
        <x:f>IF(ISBLANK('Deal_Master_Wide'!$AL$39),"",'Deal_Master_Wide'!$AL$39)</x:f>
        <x:v>Unknown</x:v>
      </x:c>
      <x:c r="AB260" s="54" t="str">
        <x:f>IF(ISBLANK('Deal_Master_Wide'!$AF$39),"",'Deal_Master_Wide'!$AF$39)</x:f>
      </x:c>
      <x:c r="AC260" s="52" t="str">
        <x:f>IF(COUNT($P260,$Q260,$R260,$S260,$T260,$U260,$V260,$W260,$X260)=9,"Yes","No")</x:f>
        <x:v>No</x:v>
      </x:c>
      <x:c r="AD260" s="52" t="str">
        <x:f>IF(COUNT($Y260,$Z260)=2,"Yes","No")</x:f>
        <x:v>No</x:v>
      </x:c>
      <x:c r="AE260" s="50" t="str"/>
      <x:c r="AF260" t="str"/>
    </x:row>
    <x:row r="261" ht="20" customHeight="1">
      <x:c r="A261" s="50" t="str">
        <x:v>TRT-0038</x:v>
      </x:c>
      <x:c r="B261" s="50" t="str">
        <x:v>Candidate treatment group</x:v>
      </x:c>
      <x:c r="C261" s="52" t="str">
        <x:f>IF('Deal_Master_Wide'!$AU$40="","",'Deal_Master_Wide'!$AU$40)</x:f>
        <x:v>Not reviewed</x:v>
      </x:c>
      <x:c r="D261" s="52" t="str">
        <x:f>IF('Deal_Master_Wide'!$AV$40="","",'Deal_Master_Wide'!$AV$40)</x:f>
        <x:v>Not assessed</x:v>
      </x:c>
      <x:c r="E261" s="50" t="n">
        <x:v>1</x:v>
      </x:c>
      <x:c r="F261" s="52" t="str">
        <x:f>IF(OR($C261="High-confidence innovation-driven",$C261="Medium-confidence innovation-driven"),1,IF($C261="Clear alternative-rationale",0,""))</x:f>
      </x:c>
      <x:c r="G261" s="52" t="str">
        <x:f>IF('Deal_Master_Wide'!$M$40="","",'Deal_Master_Wide'!$M$40)</x:f>
        <x:v>Review</x:v>
      </x:c>
      <x:c r="H261" s="50" t="str">
        <x:v>GSK plc.</x:v>
      </x:c>
      <x:c r="I261" s="50" t="str">
        <x:v>ReiThera Srl</x:v>
      </x:c>
      <x:c r="J261" s="50" t="n">
        <x:v>2013</x:v>
      </x:c>
      <x:c r="K261" s="50" t="n">
        <x:v>-3</x:v>
      </x:c>
      <x:c r="L261" s="50" t="n">
        <x:v>2010</x:v>
      </x:c>
      <x:c r="M261" s="50" t="n">
        <x:v>0</x:v>
      </x:c>
      <x:c r="N261" s="50" t="n">
        <x:v>0</x:v>
      </x:c>
      <x:c r="O261" s="52" t="str">
        <x:f>IF($F261="","",$F261*$M261)</x:f>
      </x:c>
      <x:c r="P261" s="54" t="n">
        <x:f>IF(ISBLANK('Deal_Master_Wide'!$BP$40),"",'Deal_Master_Wide'!$BP$40)</x:f>
        <x:v>33112.4809</x:v>
      </x:c>
      <x:c r="Q261" s="54" t="n">
        <x:f>IF(ISBLANK('Deal_Master_Wide'!$BW$40),"",'Deal_Master_Wide'!$BW$40)</x:f>
        <x:v>6050.5618</x:v>
      </x:c>
      <x:c r="R261" s="54" t="n">
        <x:f>IF(ISBLANK('Deal_Master_Wide'!$CD$40),"",'Deal_Master_Wide'!$CD$40)</x:f>
        <x:v>1905.6704</x:v>
      </x:c>
      <x:c r="S261" s="54" t="n">
        <x:f>IF(ISBLANK('Deal_Master_Wide'!$CK$40),"",'Deal_Master_Wide'!$CK$40)</x:f>
        <x:v>49259.908</x:v>
      </x:c>
      <x:c r="T261" s="54" t="n">
        <x:f>IF(ISBLANK('Deal_Master_Wide'!$CR$40),"",'Deal_Master_Wide'!$CR$40)</x:f>
        <x:v>17613.654</x:v>
      </x:c>
      <x:c r="U261" s="54" t="n">
        <x:f>IF(ISBLANK('Deal_Master_Wide'!$CY$40),"",'Deal_Master_Wide'!$CY$40)</x:f>
        <x:v>4623.0584</x:v>
      </x:c>
      <x:c r="V261" s="56" t="n">
        <x:f>IF(ISBLANK('Deal_Master_Wide'!$DF$40),"",'Deal_Master_Wide'!$DF$40)</x:f>
        <x:v>3.8405</x:v>
      </x:c>
      <x:c r="W261" s="56" t="n">
        <x:f>IF(ISBLANK('Deal_Master_Wide'!$DM$40),"",'Deal_Master_Wide'!$DM$40)</x:f>
        <x:v>13.5355</x:v>
      </x:c>
      <x:c r="X261" s="56" t="n">
        <x:f>IF(ISBLANK('Deal_Master_Wide'!$DT$40),"",'Deal_Master_Wide'!$DT$40)</x:f>
        <x:v>35.7566</x:v>
      </x:c>
      <x:c r="Y261" s="54" t="str">
        <x:f>IF(ISBLANK('Deal_Master_Wide'!$EA$40),"",'Deal_Master_Wide'!$EA$40)</x:f>
      </x:c>
      <x:c r="Z261" s="54" t="str">
        <x:f>IF(ISBLANK('Deal_Master_Wide'!$EH$40),"",'Deal_Master_Wide'!$EH$40)</x:f>
      </x:c>
      <x:c r="AA261" s="52" t="str">
        <x:f>IF(ISBLANK('Deal_Master_Wide'!$AL$40),"",'Deal_Master_Wide'!$AL$40)</x:f>
        <x:v>Unknown</x:v>
      </x:c>
      <x:c r="AB261" s="54" t="n">
        <x:f>IF(ISBLANK('Deal_Master_Wide'!$AF$40),"",'Deal_Master_Wide'!$AF$40)</x:f>
        <x:v>325</x:v>
      </x:c>
      <x:c r="AC261" s="52" t="str">
        <x:f>IF(COUNT($P261,$Q261,$R261,$S261,$T261,$U261,$V261,$W261,$X261)=9,"Yes","No")</x:f>
        <x:v>Yes</x:v>
      </x:c>
      <x:c r="AD261" s="52" t="str">
        <x:f>IF(COUNT($Y261,$Z261)=2,"Yes","No")</x:f>
        <x:v>No</x:v>
      </x:c>
      <x:c r="AE261" s="50" t="str"/>
      <x:c r="AF261" t="str"/>
    </x:row>
    <x:row r="262" ht="20" customHeight="1">
      <x:c r="A262" s="50" t="str">
        <x:v>TRT-0038</x:v>
      </x:c>
      <x:c r="B262" s="50" t="str">
        <x:v>Candidate treatment group</x:v>
      </x:c>
      <x:c r="C262" s="52" t="str">
        <x:f>IF('Deal_Master_Wide'!$AU$40="","",'Deal_Master_Wide'!$AU$40)</x:f>
        <x:v>Not reviewed</x:v>
      </x:c>
      <x:c r="D262" s="52" t="str">
        <x:f>IF('Deal_Master_Wide'!$AV$40="","",'Deal_Master_Wide'!$AV$40)</x:f>
        <x:v>Not assessed</x:v>
      </x:c>
      <x:c r="E262" s="50" t="n">
        <x:v>1</x:v>
      </x:c>
      <x:c r="F262" s="52" t="str">
        <x:f>IF(OR($C262="High-confidence innovation-driven",$C262="Medium-confidence innovation-driven"),1,IF($C262="Clear alternative-rationale",0,""))</x:f>
      </x:c>
      <x:c r="G262" s="52" t="str">
        <x:f>IF('Deal_Master_Wide'!$M$40="","",'Deal_Master_Wide'!$M$40)</x:f>
        <x:v>Review</x:v>
      </x:c>
      <x:c r="H262" s="50" t="str">
        <x:v>GSK plc.</x:v>
      </x:c>
      <x:c r="I262" s="50" t="str">
        <x:v>ReiThera Srl</x:v>
      </x:c>
      <x:c r="J262" s="50" t="n">
        <x:v>2013</x:v>
      </x:c>
      <x:c r="K262" s="50" t="n">
        <x:v>-2</x:v>
      </x:c>
      <x:c r="L262" s="50" t="n">
        <x:v>2011</x:v>
      </x:c>
      <x:c r="M262" s="50" t="n">
        <x:v>0</x:v>
      </x:c>
      <x:c r="N262" s="50" t="n">
        <x:v>0</x:v>
      </x:c>
      <x:c r="O262" s="52" t="str">
        <x:f>IF($F262="","",$F262*$M262)</x:f>
      </x:c>
      <x:c r="P262" s="54" t="n">
        <x:f>IF(ISBLANK('Deal_Master_Wide'!$BQ$40),"",'Deal_Master_Wide'!$BQ$40)</x:f>
        <x:v>31564.1246</x:v>
      </x:c>
      <x:c r="Q262" s="54" t="n">
        <x:f>IF(ISBLANK('Deal_Master_Wide'!$BX$40),"",'Deal_Master_Wide'!$BX$40)</x:f>
        <x:v>9666.2034</x:v>
      </x:c>
      <x:c r="R262" s="54" t="n">
        <x:f>IF(ISBLANK('Deal_Master_Wide'!$CE$40),"",'Deal_Master_Wide'!$CE$40)</x:f>
        <x:v>6063.4191</x:v>
      </x:c>
      <x:c r="S262" s="54" t="n">
        <x:f>IF(ISBLANK('Deal_Master_Wide'!$CL$40),"",'Deal_Master_Wide'!$CL$40)</x:f>
        <x:v>49159.7006</x:v>
      </x:c>
      <x:c r="T262" s="54" t="n">
        <x:f>IF(ISBLANK('Deal_Master_Wide'!$CS$40),"",'Deal_Master_Wide'!$CS$40)</x:f>
        <x:v>17831.76</x:v>
      </x:c>
      <x:c r="U262" s="54" t="n">
        <x:f>IF(ISBLANK('Deal_Master_Wide'!$CZ$40),"",'Deal_Master_Wide'!$CZ$40)</x:f>
        <x:v>4396.8721</x:v>
      </x:c>
      <x:c r="V262" s="56" t="n">
        <x:f>IF(ISBLANK('Deal_Master_Wide'!$DG$40),"",'Deal_Master_Wide'!$DG$40)</x:f>
        <x:v>12.6299</x:v>
      </x:c>
      <x:c r="W262" s="56" t="n">
        <x:f>IF(ISBLANK('Deal_Master_Wide'!$DN$40),"",'Deal_Master_Wide'!$DN$40)</x:f>
        <x:v>28.5975</x:v>
      </x:c>
      <x:c r="X262" s="56" t="n">
        <x:f>IF(ISBLANK('Deal_Master_Wide'!$DU$40),"",'Deal_Master_Wide'!$DU$40)</x:f>
        <x:v>36.2731</x:v>
      </x:c>
      <x:c r="Y262" s="54" t="n">
        <x:f>IF(ISBLANK('Deal_Master_Wide'!$EB$40),"",'Deal_Master_Wide'!$EB$40)</x:f>
        <x:v>1</x:v>
      </x:c>
      <x:c r="Z262" s="54" t="n">
        <x:f>IF(ISBLANK('Deal_Master_Wide'!$EI$40),"",'Deal_Master_Wide'!$EI$40)</x:f>
        <x:v>0</x:v>
      </x:c>
      <x:c r="AA262" s="52" t="str">
        <x:f>IF(ISBLANK('Deal_Master_Wide'!$AL$40),"",'Deal_Master_Wide'!$AL$40)</x:f>
        <x:v>Unknown</x:v>
      </x:c>
      <x:c r="AB262" s="54" t="n">
        <x:f>IF(ISBLANK('Deal_Master_Wide'!$AF$40),"",'Deal_Master_Wide'!$AF$40)</x:f>
        <x:v>325</x:v>
      </x:c>
      <x:c r="AC262" s="52" t="str">
        <x:f>IF(COUNT($P262,$Q262,$R262,$S262,$T262,$U262,$V262,$W262,$X262)=9,"Yes","No")</x:f>
        <x:v>Yes</x:v>
      </x:c>
      <x:c r="AD262" s="52" t="str">
        <x:f>IF(COUNT($Y262,$Z262)=2,"Yes","No")</x:f>
        <x:v>Yes</x:v>
      </x:c>
      <x:c r="AE262" s="50" t="str"/>
      <x:c r="AF262" t="str"/>
    </x:row>
    <x:row r="263" ht="20" customHeight="1">
      <x:c r="A263" s="50" t="str">
        <x:v>TRT-0038</x:v>
      </x:c>
      <x:c r="B263" s="50" t="str">
        <x:v>Candidate treatment group</x:v>
      </x:c>
      <x:c r="C263" s="52" t="str">
        <x:f>IF('Deal_Master_Wide'!$AU$40="","",'Deal_Master_Wide'!$AU$40)</x:f>
        <x:v>Not reviewed</x:v>
      </x:c>
      <x:c r="D263" s="52" t="str">
        <x:f>IF('Deal_Master_Wide'!$AV$40="","",'Deal_Master_Wide'!$AV$40)</x:f>
        <x:v>Not assessed</x:v>
      </x:c>
      <x:c r="E263" s="50" t="n">
        <x:v>1</x:v>
      </x:c>
      <x:c r="F263" s="52" t="str">
        <x:f>IF(OR($C263="High-confidence innovation-driven",$C263="Medium-confidence innovation-driven"),1,IF($C263="Clear alternative-rationale",0,""))</x:f>
      </x:c>
      <x:c r="G263" s="52" t="str">
        <x:f>IF('Deal_Master_Wide'!$M$40="","",'Deal_Master_Wide'!$M$40)</x:f>
        <x:v>Review</x:v>
      </x:c>
      <x:c r="H263" s="50" t="str">
        <x:v>GSK plc.</x:v>
      </x:c>
      <x:c r="I263" s="50" t="str">
        <x:v>ReiThera Srl</x:v>
      </x:c>
      <x:c r="J263" s="50" t="n">
        <x:v>2013</x:v>
      </x:c>
      <x:c r="K263" s="50" t="n">
        <x:v>-1</x:v>
      </x:c>
      <x:c r="L263" s="50" t="n">
        <x:v>2012</x:v>
      </x:c>
      <x:c r="M263" s="50" t="n">
        <x:v>0</x:v>
      </x:c>
      <x:c r="N263" s="50" t="n">
        <x:v>0</x:v>
      </x:c>
      <x:c r="O263" s="52" t="str">
        <x:f>IF($F263="","",$F263*$M263)</x:f>
      </x:c>
      <x:c r="P263" s="54" t="n">
        <x:f>IF(ISBLANK('Deal_Master_Wide'!$BR$40),"",'Deal_Master_Wide'!$BR$40)</x:f>
        <x:v>32595.1901</x:v>
      </x:c>
      <x:c r="Q263" s="54" t="n">
        <x:f>IF(ISBLANK('Deal_Master_Wide'!$BY$40),"",'Deal_Master_Wide'!$BY$40)</x:f>
        <x:v>9646.2327</x:v>
      </x:c>
      <x:c r="R263" s="54" t="n">
        <x:f>IF(ISBLANK('Deal_Master_Wide'!$CF$40),"",'Deal_Master_Wide'!$CF$40)</x:f>
        <x:v>5548.2487</x:v>
      </x:c>
      <x:c r="S263" s="54" t="n">
        <x:f>IF(ISBLANK('Deal_Master_Wide'!$CM$40),"",'Deal_Master_Wide'!$CM$40)</x:f>
        <x:v>51052.0877</x:v>
      </x:c>
      <x:c r="T263" s="54" t="n">
        <x:f>IF(ISBLANK('Deal_Master_Wide'!$CT$40),"",'Deal_Master_Wide'!$CT$40)</x:f>
        <x:v>22524.8984</x:v>
      </x:c>
      <x:c r="U263" s="54" t="n">
        <x:f>IF(ISBLANK('Deal_Master_Wide'!$DA$40),"",'Deal_Master_Wide'!$DA$40)</x:f>
        <x:v>4419.854</x:v>
      </x:c>
      <x:c r="V263" s="56" t="n">
        <x:f>IF(ISBLANK('Deal_Master_Wide'!$DH$40),"",'Deal_Master_Wide'!$DH$40)</x:f>
        <x:v>10.8986</x:v>
      </x:c>
      <x:c r="W263" s="56" t="n">
        <x:f>IF(ISBLANK('Deal_Master_Wide'!$DO$40),"",'Deal_Master_Wide'!$DO$40)</x:f>
        <x:v>27.8499</x:v>
      </x:c>
      <x:c r="X263" s="56" t="n">
        <x:f>IF(ISBLANK('Deal_Master_Wide'!$DV$40),"",'Deal_Master_Wide'!$DV$40)</x:f>
        <x:v>44.1214</x:v>
      </x:c>
      <x:c r="Y263" s="54" t="n">
        <x:f>IF(ISBLANK('Deal_Master_Wide'!$EC$40),"",'Deal_Master_Wide'!$EC$40)</x:f>
        <x:v>0</x:v>
      </x:c>
      <x:c r="Z263" s="54" t="n">
        <x:f>IF(ISBLANK('Deal_Master_Wide'!$EJ$40),"",'Deal_Master_Wide'!$EJ$40)</x:f>
        <x:v>0</x:v>
      </x:c>
      <x:c r="AA263" s="52" t="str">
        <x:f>IF(ISBLANK('Deal_Master_Wide'!$AL$40),"",'Deal_Master_Wide'!$AL$40)</x:f>
        <x:v>Unknown</x:v>
      </x:c>
      <x:c r="AB263" s="54" t="n">
        <x:f>IF(ISBLANK('Deal_Master_Wide'!$AF$40),"",'Deal_Master_Wide'!$AF$40)</x:f>
        <x:v>325</x:v>
      </x:c>
      <x:c r="AC263" s="52" t="str">
        <x:f>IF(COUNT($P263,$Q263,$R263,$S263,$T263,$U263,$V263,$W263,$X263)=9,"Yes","No")</x:f>
        <x:v>Yes</x:v>
      </x:c>
      <x:c r="AD263" s="52" t="str">
        <x:f>IF(COUNT($Y263,$Z263)=2,"Yes","No")</x:f>
        <x:v>Yes</x:v>
      </x:c>
      <x:c r="AE263" s="50" t="str"/>
      <x:c r="AF263" t="str"/>
    </x:row>
    <x:row r="264" ht="20" customHeight="1">
      <x:c r="A264" s="50" t="str">
        <x:v>TRT-0038</x:v>
      </x:c>
      <x:c r="B264" s="50" t="str">
        <x:v>Candidate treatment group</x:v>
      </x:c>
      <x:c r="C264" s="52" t="str">
        <x:f>IF('Deal_Master_Wide'!$AU$40="","",'Deal_Master_Wide'!$AU$40)</x:f>
        <x:v>Not reviewed</x:v>
      </x:c>
      <x:c r="D264" s="52" t="str">
        <x:f>IF('Deal_Master_Wide'!$AV$40="","",'Deal_Master_Wide'!$AV$40)</x:f>
        <x:v>Not assessed</x:v>
      </x:c>
      <x:c r="E264" s="50" t="n">
        <x:v>1</x:v>
      </x:c>
      <x:c r="F264" s="52" t="str">
        <x:f>IF(OR($C264="High-confidence innovation-driven",$C264="Medium-confidence innovation-driven"),1,IF($C264="Clear alternative-rationale",0,""))</x:f>
      </x:c>
      <x:c r="G264" s="52" t="str">
        <x:f>IF('Deal_Master_Wide'!$M$40="","",'Deal_Master_Wide'!$M$40)</x:f>
        <x:v>Review</x:v>
      </x:c>
      <x:c r="H264" s="50" t="str">
        <x:v>GSK plc.</x:v>
      </x:c>
      <x:c r="I264" s="50" t="str">
        <x:v>ReiThera Srl</x:v>
      </x:c>
      <x:c r="J264" s="50" t="n">
        <x:v>2013</x:v>
      </x:c>
      <x:c r="K264" s="50" t="n">
        <x:v>0</x:v>
      </x:c>
      <x:c r="L264" s="50" t="n">
        <x:v>2013</x:v>
      </x:c>
      <x:c r="M264" s="50" t="n">
        <x:v>0</x:v>
      </x:c>
      <x:c r="N264" s="50" t="n">
        <x:v>1</x:v>
      </x:c>
      <x:c r="O264" s="52" t="str">
        <x:f>IF($F264="","",$F264*$M264)</x:f>
      </x:c>
      <x:c r="P264" s="54" t="n">
        <x:f>IF(ISBLANK('Deal_Master_Wide'!$BS$40),"",'Deal_Master_Wide'!$BS$40)</x:f>
        <x:v>31221.028</x:v>
      </x:c>
      <x:c r="Q264" s="54" t="n">
        <x:f>IF(ISBLANK('Deal_Master_Wide'!$BZ$40),"",'Deal_Master_Wide'!$BZ$40)</x:f>
        <x:v>8845.0745</x:v>
      </x:c>
      <x:c r="R264" s="54" t="n">
        <x:f>IF(ISBLANK('Deal_Master_Wide'!$CG$40),"",'Deal_Master_Wide'!$CG$40)</x:f>
        <x:v>6403.2261</x:v>
      </x:c>
      <x:c r="S264" s="54" t="n">
        <x:f>IF(ISBLANK('Deal_Master_Wide'!$CN$40),"",'Deal_Master_Wide'!$CN$40)</x:f>
        <x:v>50561.8011</x:v>
      </x:c>
      <x:c r="T264" s="54" t="n">
        <x:f>IF(ISBLANK('Deal_Master_Wide'!$CU$40),"",'Deal_Master_Wide'!$CU$40)</x:f>
        <x:v>21919.4046</x:v>
      </x:c>
      <x:c r="U264" s="54" t="n">
        <x:f>IF(ISBLANK('Deal_Master_Wide'!$DB$40),"",'Deal_Master_Wide'!$DB$40)</x:f>
        <x:v>4119.2203</x:v>
      </x:c>
      <x:c r="V264" s="56" t="n">
        <x:f>IF(ISBLANK('Deal_Master_Wide'!$DI$40),"",'Deal_Master_Wide'!$DI$40)</x:f>
        <x:v>13.0099</x:v>
      </x:c>
      <x:c r="W264" s="56" t="n">
        <x:f>IF(ISBLANK('Deal_Master_Wide'!$DP$40),"",'Deal_Master_Wide'!$DP$40)</x:f>
        <x:v>26.6704</x:v>
      </x:c>
      <x:c r="X264" s="56" t="n">
        <x:f>IF(ISBLANK('Deal_Master_Wide'!$DW$40),"",'Deal_Master_Wide'!$DW$40)</x:f>
        <x:v>43.3517</x:v>
      </x:c>
      <x:c r="Y264" s="54" t="n">
        <x:f>IF(ISBLANK('Deal_Master_Wide'!$ED$40),"",'Deal_Master_Wide'!$ED$40)</x:f>
        <x:v>7</x:v>
      </x:c>
      <x:c r="Z264" s="54" t="n">
        <x:f>IF(ISBLANK('Deal_Master_Wide'!$EK$40),"",'Deal_Master_Wide'!$EK$40)</x:f>
        <x:v>37</x:v>
      </x:c>
      <x:c r="AA264" s="52" t="str">
        <x:f>IF(ISBLANK('Deal_Master_Wide'!$AL$40),"",'Deal_Master_Wide'!$AL$40)</x:f>
        <x:v>Unknown</x:v>
      </x:c>
      <x:c r="AB264" s="54" t="n">
        <x:f>IF(ISBLANK('Deal_Master_Wide'!$AF$40),"",'Deal_Master_Wide'!$AF$40)</x:f>
        <x:v>325</x:v>
      </x:c>
      <x:c r="AC264" s="52" t="str">
        <x:f>IF(COUNT($P264,$Q264,$R264,$S264,$T264,$U264,$V264,$W264,$X264)=9,"Yes","No")</x:f>
        <x:v>Yes</x:v>
      </x:c>
      <x:c r="AD264" s="52" t="str">
        <x:f>IF(COUNT($Y264,$Z264)=2,"Yes","No")</x:f>
        <x:v>Yes</x:v>
      </x:c>
      <x:c r="AE264" s="50" t="str"/>
      <x:c r="AF264" t="str"/>
    </x:row>
    <x:row r="265" ht="20" customHeight="1">
      <x:c r="A265" s="50" t="str">
        <x:v>TRT-0038</x:v>
      </x:c>
      <x:c r="B265" s="50" t="str">
        <x:v>Candidate treatment group</x:v>
      </x:c>
      <x:c r="C265" s="52" t="str">
        <x:f>IF('Deal_Master_Wide'!$AU$40="","",'Deal_Master_Wide'!$AU$40)</x:f>
        <x:v>Not reviewed</x:v>
      </x:c>
      <x:c r="D265" s="52" t="str">
        <x:f>IF('Deal_Master_Wide'!$AV$40="","",'Deal_Master_Wide'!$AV$40)</x:f>
        <x:v>Not assessed</x:v>
      </x:c>
      <x:c r="E265" s="50" t="n">
        <x:v>1</x:v>
      </x:c>
      <x:c r="F265" s="52" t="str">
        <x:f>IF(OR($C265="High-confidence innovation-driven",$C265="Medium-confidence innovation-driven"),1,IF($C265="Clear alternative-rationale",0,""))</x:f>
      </x:c>
      <x:c r="G265" s="52" t="str">
        <x:f>IF('Deal_Master_Wide'!$M$40="","",'Deal_Master_Wide'!$M$40)</x:f>
        <x:v>Review</x:v>
      </x:c>
      <x:c r="H265" s="50" t="str">
        <x:v>GSK plc.</x:v>
      </x:c>
      <x:c r="I265" s="50" t="str">
        <x:v>ReiThera Srl</x:v>
      </x:c>
      <x:c r="J265" s="50" t="n">
        <x:v>2013</x:v>
      </x:c>
      <x:c r="K265" s="50" t="n">
        <x:v>1</x:v>
      </x:c>
      <x:c r="L265" s="50" t="n">
        <x:v>2014</x:v>
      </x:c>
      <x:c r="M265" s="50" t="n">
        <x:v>1</x:v>
      </x:c>
      <x:c r="N265" s="50" t="n">
        <x:v>1</x:v>
      </x:c>
      <x:c r="O265" s="52" t="str">
        <x:f>IF($F265="","",$F265*$M265)</x:f>
      </x:c>
      <x:c r="P265" s="54" t="n">
        <x:f>IF(ISBLANK('Deal_Master_Wide'!$BT$40),"",'Deal_Master_Wide'!$BT$40)</x:f>
        <x:v>28547.6471</x:v>
      </x:c>
      <x:c r="Q265" s="54" t="n">
        <x:f>IF(ISBLANK('Deal_Master_Wide'!$CA$40),"",'Deal_Master_Wide'!$CA$40)</x:f>
        <x:v>7446.5109</x:v>
      </x:c>
      <x:c r="R265" s="54" t="n">
        <x:f>IF(ISBLANK('Deal_Master_Wide'!$CH$40),"",'Deal_Master_Wide'!$CH$40)</x:f>
        <x:v>3419.8607</x:v>
      </x:c>
      <x:c r="S265" s="54" t="n">
        <x:f>IF(ISBLANK('Deal_Master_Wide'!$CO$40),"",'Deal_Master_Wide'!$CO$40)</x:f>
        <x:v>52345.7216</x:v>
      </x:c>
      <x:c r="T265" s="54" t="n">
        <x:f>IF(ISBLANK('Deal_Master_Wide'!$CV$40),"",'Deal_Master_Wide'!$CV$40)</x:f>
        <x:v>24187.8929</x:v>
      </x:c>
      <x:c r="U265" s="54" t="n">
        <x:f>IF(ISBLANK('Deal_Master_Wide'!$DC$40),"",'Deal_Master_Wide'!$DC$40)</x:f>
        <x:v>3952.1975</x:v>
      </x:c>
      <x:c r="V265" s="56" t="n">
        <x:f>IF(ISBLANK('Deal_Master_Wide'!$DJ$40),"",'Deal_Master_Wide'!$DJ$40)</x:f>
        <x:v>6.6621</x:v>
      </x:c>
      <x:c r="W265" s="56" t="n">
        <x:f>IF(ISBLANK('Deal_Master_Wide'!$DQ$40),"",'Deal_Master_Wide'!$DQ$40)</x:f>
        <x:v>15.5568</x:v>
      </x:c>
      <x:c r="X265" s="56" t="n">
        <x:f>IF(ISBLANK('Deal_Master_Wide'!$DX$40),"",'Deal_Master_Wide'!$DX$40)</x:f>
        <x:v>46.208</x:v>
      </x:c>
      <x:c r="Y265" s="54" t="n">
        <x:f>IF(ISBLANK('Deal_Master_Wide'!$EE$40),"",'Deal_Master_Wide'!$EE$40)</x:f>
        <x:v>1</x:v>
      </x:c>
      <x:c r="Z265" s="54" t="n">
        <x:f>IF(ISBLANK('Deal_Master_Wide'!$EL$40),"",'Deal_Master_Wide'!$EL$40)</x:f>
        <x:v>0</x:v>
      </x:c>
      <x:c r="AA265" s="52" t="str">
        <x:f>IF(ISBLANK('Deal_Master_Wide'!$AL$40),"",'Deal_Master_Wide'!$AL$40)</x:f>
        <x:v>Unknown</x:v>
      </x:c>
      <x:c r="AB265" s="54" t="n">
        <x:f>IF(ISBLANK('Deal_Master_Wide'!$AF$40),"",'Deal_Master_Wide'!$AF$40)</x:f>
        <x:v>325</x:v>
      </x:c>
      <x:c r="AC265" s="52" t="str">
        <x:f>IF(COUNT($P265,$Q265,$R265,$S265,$T265,$U265,$V265,$W265,$X265)=9,"Yes","No")</x:f>
        <x:v>Yes</x:v>
      </x:c>
      <x:c r="AD265" s="52" t="str">
        <x:f>IF(COUNT($Y265,$Z265)=2,"Yes","No")</x:f>
        <x:v>Yes</x:v>
      </x:c>
      <x:c r="AE265" s="50" t="str"/>
      <x:c r="AF265" t="str"/>
    </x:row>
    <x:row r="266" ht="20" customHeight="1">
      <x:c r="A266" s="50" t="str">
        <x:v>TRT-0038</x:v>
      </x:c>
      <x:c r="B266" s="50" t="str">
        <x:v>Candidate treatment group</x:v>
      </x:c>
      <x:c r="C266" s="52" t="str">
        <x:f>IF('Deal_Master_Wide'!$AU$40="","",'Deal_Master_Wide'!$AU$40)</x:f>
        <x:v>Not reviewed</x:v>
      </x:c>
      <x:c r="D266" s="52" t="str">
        <x:f>IF('Deal_Master_Wide'!$AV$40="","",'Deal_Master_Wide'!$AV$40)</x:f>
        <x:v>Not assessed</x:v>
      </x:c>
      <x:c r="E266" s="50" t="n">
        <x:v>1</x:v>
      </x:c>
      <x:c r="F266" s="52" t="str">
        <x:f>IF(OR($C266="High-confidence innovation-driven",$C266="Medium-confidence innovation-driven"),1,IF($C266="Clear alternative-rationale",0,""))</x:f>
      </x:c>
      <x:c r="G266" s="52" t="str">
        <x:f>IF('Deal_Master_Wide'!$M$40="","",'Deal_Master_Wide'!$M$40)</x:f>
        <x:v>Review</x:v>
      </x:c>
      <x:c r="H266" s="50" t="str">
        <x:v>GSK plc.</x:v>
      </x:c>
      <x:c r="I266" s="50" t="str">
        <x:v>ReiThera Srl</x:v>
      </x:c>
      <x:c r="J266" s="50" t="n">
        <x:v>2013</x:v>
      </x:c>
      <x:c r="K266" s="50" t="n">
        <x:v>2</x:v>
      </x:c>
      <x:c r="L266" s="50" t="n">
        <x:v>2015</x:v>
      </x:c>
      <x:c r="M266" s="50" t="n">
        <x:v>1</x:v>
      </x:c>
      <x:c r="N266" s="50" t="n">
        <x:v>1</x:v>
      </x:c>
      <x:c r="O266" s="52" t="str">
        <x:f>IF($F266="","",$F266*$M266)</x:f>
      </x:c>
      <x:c r="P266" s="54" t="n">
        <x:f>IF(ISBLANK('Deal_Master_Wide'!$BU$40),"",'Deal_Master_Wide'!$BU$40)</x:f>
        <x:v>32954.9709</x:v>
      </x:c>
      <x:c r="Q266" s="54" t="n">
        <x:f>IF(ISBLANK('Deal_Master_Wide'!$CB$40),"",'Deal_Master_Wide'!$CB$40)</x:f>
        <x:v>7646.7434</x:v>
      </x:c>
      <x:c r="R266" s="54" t="n">
        <x:f>IF(ISBLANK('Deal_Master_Wide'!$CI$40),"",'Deal_Master_Wide'!$CI$40)</x:f>
        <x:v>11601.6706</x:v>
      </x:c>
      <x:c r="S266" s="54" t="n">
        <x:f>IF(ISBLANK('Deal_Master_Wide'!$CP$40),"",'Deal_Master_Wide'!$CP$40)</x:f>
        <x:v>72471.3201</x:v>
      </x:c>
      <x:c r="T266" s="54" t="n">
        <x:f>IF(ISBLANK('Deal_Master_Wide'!$CW$40),"",'Deal_Master_Wide'!$CW$40)</x:f>
        <x:v>22552.5389</x:v>
      </x:c>
      <x:c r="U266" s="54" t="n">
        <x:f>IF(ISBLANK('Deal_Master_Wide'!$DD$40),"",'Deal_Master_Wide'!$DD$40)</x:f>
        <x:v>4321.3537</x:v>
      </x:c>
      <x:c r="V266" s="56" t="n">
        <x:f>IF(ISBLANK('Deal_Master_Wide'!$DK$40),"",'Deal_Master_Wide'!$DK$40)</x:f>
        <x:v>17.9007</x:v>
      </x:c>
      <x:c r="W266" s="56" t="n">
        <x:f>IF(ISBLANK('Deal_Master_Wide'!$DR$40),"",'Deal_Master_Wide'!$DR$40)</x:f>
        <x:v>43.3432</x:v>
      </x:c>
      <x:c r="X266" s="56" t="n">
        <x:f>IF(ISBLANK('Deal_Master_Wide'!$DY$40),"",'Deal_Master_Wide'!$DY$40)</x:f>
        <x:v>31.1193</x:v>
      </x:c>
      <x:c r="Y266" s="54" t="n">
        <x:f>IF(ISBLANK('Deal_Master_Wide'!$EF$40),"",'Deal_Master_Wide'!$EF$40)</x:f>
        <x:v>2</x:v>
      </x:c>
      <x:c r="Z266" s="54" t="n">
        <x:f>IF(ISBLANK('Deal_Master_Wide'!$EM$40),"",'Deal_Master_Wide'!$EM$40)</x:f>
        <x:v>1</x:v>
      </x:c>
      <x:c r="AA266" s="52" t="str">
        <x:f>IF(ISBLANK('Deal_Master_Wide'!$AL$40),"",'Deal_Master_Wide'!$AL$40)</x:f>
        <x:v>Unknown</x:v>
      </x:c>
      <x:c r="AB266" s="54" t="n">
        <x:f>IF(ISBLANK('Deal_Master_Wide'!$AF$40),"",'Deal_Master_Wide'!$AF$40)</x:f>
        <x:v>325</x:v>
      </x:c>
      <x:c r="AC266" s="52" t="str">
        <x:f>IF(COUNT($P266,$Q266,$R266,$S266,$T266,$U266,$V266,$W266,$X266)=9,"Yes","No")</x:f>
        <x:v>Yes</x:v>
      </x:c>
      <x:c r="AD266" s="52" t="str">
        <x:f>IF(COUNT($Y266,$Z266)=2,"Yes","No")</x:f>
        <x:v>Yes</x:v>
      </x:c>
      <x:c r="AE266" s="50" t="str"/>
      <x:c r="AF266" t="str"/>
    </x:row>
    <x:row r="267" ht="20" customHeight="1">
      <x:c r="A267" s="50" t="str">
        <x:v>TRT-0038</x:v>
      </x:c>
      <x:c r="B267" s="50" t="str">
        <x:v>Candidate treatment group</x:v>
      </x:c>
      <x:c r="C267" s="52" t="str">
        <x:f>IF('Deal_Master_Wide'!$AU$40="","",'Deal_Master_Wide'!$AU$40)</x:f>
        <x:v>Not reviewed</x:v>
      </x:c>
      <x:c r="D267" s="52" t="str">
        <x:f>IF('Deal_Master_Wide'!$AV$40="","",'Deal_Master_Wide'!$AV$40)</x:f>
        <x:v>Not assessed</x:v>
      </x:c>
      <x:c r="E267" s="50" t="n">
        <x:v>1</x:v>
      </x:c>
      <x:c r="F267" s="52" t="str">
        <x:f>IF(OR($C267="High-confidence innovation-driven",$C267="Medium-confidence innovation-driven"),1,IF($C267="Clear alternative-rationale",0,""))</x:f>
      </x:c>
      <x:c r="G267" s="52" t="str">
        <x:f>IF('Deal_Master_Wide'!$M$40="","",'Deal_Master_Wide'!$M$40)</x:f>
        <x:v>Review</x:v>
      </x:c>
      <x:c r="H267" s="50" t="str">
        <x:v>GSK plc.</x:v>
      </x:c>
      <x:c r="I267" s="50" t="str">
        <x:v>ReiThera Srl</x:v>
      </x:c>
      <x:c r="J267" s="50" t="n">
        <x:v>2013</x:v>
      </x:c>
      <x:c r="K267" s="50" t="n">
        <x:v>3</x:v>
      </x:c>
      <x:c r="L267" s="50" t="n">
        <x:v>2016</x:v>
      </x:c>
      <x:c r="M267" s="50" t="n">
        <x:v>1</x:v>
      </x:c>
      <x:c r="N267" s="50" t="n">
        <x:v>1</x:v>
      </x:c>
      <x:c r="O267" s="52" t="str">
        <x:f>IF($F267="","",$F267*$M267)</x:f>
      </x:c>
      <x:c r="P267" s="54" t="n">
        <x:f>IF(ISBLANK('Deal_Master_Wide'!$BV$40),"",'Deal_Master_Wide'!$BV$40)</x:f>
        <x:v>34143.3059</x:v>
      </x:c>
      <x:c r="Q267" s="54" t="n">
        <x:f>IF(ISBLANK('Deal_Master_Wide'!$CC$40),"",'Deal_Master_Wide'!$CC$40)</x:f>
        <x:v>9044.8114</x:v>
      </x:c>
      <x:c r="R267" s="54" t="n">
        <x:f>IF(ISBLANK('Deal_Master_Wide'!$CJ$40),"",'Deal_Master_Wide'!$CJ$40)</x:f>
        <x:v>1116.5225</x:v>
      </x:c>
      <x:c r="S267" s="54" t="n">
        <x:f>IF(ISBLANK('Deal_Master_Wide'!$CQ$40),"",'Deal_Master_Wide'!$CQ$40)</x:f>
        <x:v>69152.8345</x:v>
      </x:c>
      <x:c r="T267" s="54" t="n">
        <x:f>IF(ISBLANK('Deal_Master_Wide'!$CX$40),"",'Deal_Master_Wide'!$CX$40)</x:f>
        <x:v>21993.2256</x:v>
      </x:c>
      <x:c r="U267" s="54" t="n">
        <x:f>IF(ISBLANK('Deal_Master_Wide'!$DE$40),"",'Deal_Master_Wide'!$DE$40)</x:f>
        <x:v>4295.9181</x:v>
      </x:c>
      <x:c r="V267" s="56" t="n">
        <x:f>IF(ISBLANK('Deal_Master_Wide'!$DL$40),"",'Deal_Master_Wide'!$DL$40)</x:f>
        <x:v>1.6209</x:v>
      </x:c>
      <x:c r="W267" s="56" t="n">
        <x:f>IF(ISBLANK('Deal_Master_Wide'!$DS$40),"",'Deal_Master_Wide'!$DS$40)</x:f>
        <x:v>9.5055</x:v>
      </x:c>
      <x:c r="X267" s="56" t="n">
        <x:f>IF(ISBLANK('Deal_Master_Wide'!$DZ$40),"",'Deal_Master_Wide'!$DZ$40)</x:f>
        <x:v>31.8038</x:v>
      </x:c>
      <x:c r="Y267" s="54" t="n">
        <x:f>IF(ISBLANK('Deal_Master_Wide'!$EG$40),"",'Deal_Master_Wide'!$EG$40)</x:f>
        <x:v>6</x:v>
      </x:c>
      <x:c r="Z267" s="54" t="n">
        <x:f>IF(ISBLANK('Deal_Master_Wide'!$EN$40),"",'Deal_Master_Wide'!$EN$40)</x:f>
        <x:v>18</x:v>
      </x:c>
      <x:c r="AA267" s="52" t="str">
        <x:f>IF(ISBLANK('Deal_Master_Wide'!$AL$40),"",'Deal_Master_Wide'!$AL$40)</x:f>
        <x:v>Unknown</x:v>
      </x:c>
      <x:c r="AB267" s="54" t="n">
        <x:f>IF(ISBLANK('Deal_Master_Wide'!$AF$40),"",'Deal_Master_Wide'!$AF$40)</x:f>
        <x:v>325</x:v>
      </x:c>
      <x:c r="AC267" s="52" t="str">
        <x:f>IF(COUNT($P267,$Q267,$R267,$S267,$T267,$U267,$V267,$W267,$X267)=9,"Yes","No")</x:f>
        <x:v>Yes</x:v>
      </x:c>
      <x:c r="AD267" s="52" t="str">
        <x:f>IF(COUNT($Y267,$Z267)=2,"Yes","No")</x:f>
        <x:v>Yes</x:v>
      </x:c>
      <x:c r="AE267" s="50" t="str"/>
      <x:c r="AF267" t="str"/>
    </x:row>
    <x:row r="268" ht="20" customHeight="1">
      <x:c r="A268" s="50" t="str">
        <x:v>TRT-0039</x:v>
      </x:c>
      <x:c r="B268" s="50" t="str">
        <x:v>Candidate treatment group</x:v>
      </x:c>
      <x:c r="C268" s="52" t="str">
        <x:f>IF('Deal_Master_Wide'!$AU$41="","",'Deal_Master_Wide'!$AU$41)</x:f>
        <x:v>Not reviewed</x:v>
      </x:c>
      <x:c r="D268" s="52" t="str">
        <x:f>IF('Deal_Master_Wide'!$AV$41="","",'Deal_Master_Wide'!$AV$41)</x:f>
        <x:v>Not assessed</x:v>
      </x:c>
      <x:c r="E268" s="50" t="n">
        <x:v>1</x:v>
      </x:c>
      <x:c r="F268" s="52" t="str">
        <x:f>IF(OR($C268="High-confidence innovation-driven",$C268="Medium-confidence innovation-driven"),1,IF($C268="Clear alternative-rationale",0,""))</x:f>
      </x:c>
      <x:c r="G268" s="52" t="str">
        <x:f>IF('Deal_Master_Wide'!$M$41="","",'Deal_Master_Wide'!$M$41)</x:f>
        <x:v>Review</x:v>
      </x:c>
      <x:c r="H268" s="50" t="str">
        <x:v>Eurofins Scientific SE</x:v>
      </x:c>
      <x:c r="I268" s="50" t="str">
        <x:v>AROS Applied Biotechnology AS</x:v>
      </x:c>
      <x:c r="J268" s="50" t="n">
        <x:v>2013</x:v>
      </x:c>
      <x:c r="K268" s="50" t="n">
        <x:v>-3</x:v>
      </x:c>
      <x:c r="L268" s="50" t="n">
        <x:v>2010</x:v>
      </x:c>
      <x:c r="M268" s="50" t="n">
        <x:v>0</x:v>
      </x:c>
      <x:c r="N268" s="50" t="n">
        <x:v>0</x:v>
      </x:c>
      <x:c r="O268" s="52" t="str">
        <x:f>IF($F268="","",$F268*$M268)</x:f>
      </x:c>
      <x:c r="P268" s="54" t="n">
        <x:f>IF(ISBLANK('Deal_Master_Wide'!$BP$41),"",'Deal_Master_Wide'!$BP$41)</x:f>
        <x:v>680.333</x:v>
      </x:c>
      <x:c r="Q268" s="54" t="n">
        <x:f>IF(ISBLANK('Deal_Master_Wide'!$BW$41),"",'Deal_Master_Wide'!$BW$41)</x:f>
        <x:v>61.971</x:v>
      </x:c>
      <x:c r="R268" s="54" t="n">
        <x:f>IF(ISBLANK('Deal_Master_Wide'!$CD$41),"",'Deal_Master_Wide'!$CD$41)</x:f>
        <x:v>23.4</x:v>
      </x:c>
      <x:c r="S268" s="54" t="n">
        <x:f>IF(ISBLANK('Deal_Master_Wide'!$CK$41),"",'Deal_Master_Wide'!$CK$41)</x:f>
        <x:v>736.161</x:v>
      </x:c>
      <x:c r="T268" s="54" t="n">
        <x:f>IF(ISBLANK('Deal_Master_Wide'!$CR$41),"",'Deal_Master_Wide'!$CR$41)</x:f>
        <x:v>276.718</x:v>
      </x:c>
      <x:c r="U268" s="54" t="str">
        <x:f>IF(ISBLANK('Deal_Master_Wide'!$CY$41),"",'Deal_Master_Wide'!$CY$41)</x:f>
      </x:c>
      <x:c r="V268" s="56" t="n">
        <x:f>IF(ISBLANK('Deal_Master_Wide'!$DF$41),"",'Deal_Master_Wide'!$DF$41)</x:f>
        <x:v>13.1527</x:v>
      </x:c>
      <x:c r="W268" s="56" t="n">
        <x:f>IF(ISBLANK('Deal_Master_Wide'!$DM$41),"",'Deal_Master_Wide'!$DM$41)</x:f>
        <x:v>108.0344</x:v>
      </x:c>
      <x:c r="X268" s="56" t="n">
        <x:f>IF(ISBLANK('Deal_Master_Wide'!$DT$41),"",'Deal_Master_Wide'!$DT$41)</x:f>
        <x:v>37.58933168152076</x:v>
      </x:c>
      <x:c r="Y268" s="54" t="str">
        <x:f>IF(ISBLANK('Deal_Master_Wide'!$EA$41),"",'Deal_Master_Wide'!$EA$41)</x:f>
      </x:c>
      <x:c r="Z268" s="54" t="str">
        <x:f>IF(ISBLANK('Deal_Master_Wide'!$EH$41),"",'Deal_Master_Wide'!$EH$41)</x:f>
      </x:c>
      <x:c r="AA268" s="52" t="str">
        <x:f>IF(ISBLANK('Deal_Master_Wide'!$AL$41),"",'Deal_Master_Wide'!$AL$41)</x:f>
        <x:v>Unknown</x:v>
      </x:c>
      <x:c r="AB268" s="54" t="str">
        <x:f>IF(ISBLANK('Deal_Master_Wide'!$AF$41),"",'Deal_Master_Wide'!$AF$41)</x:f>
      </x:c>
      <x:c r="AC268" s="52" t="str">
        <x:f>IF(COUNT($P268,$Q268,$R268,$S268,$T268,$U268,$V268,$W268,$X268)=9,"Yes","No")</x:f>
        <x:v>No</x:v>
      </x:c>
      <x:c r="AD268" s="52" t="str">
        <x:f>IF(COUNT($Y268,$Z268)=2,"Yes","No")</x:f>
        <x:v>No</x:v>
      </x:c>
      <x:c r="AE268" s="50" t="str"/>
      <x:c r="AF268" t="str"/>
    </x:row>
    <x:row r="269" ht="20" customHeight="1">
      <x:c r="A269" s="50" t="str">
        <x:v>TRT-0039</x:v>
      </x:c>
      <x:c r="B269" s="50" t="str">
        <x:v>Candidate treatment group</x:v>
      </x:c>
      <x:c r="C269" s="52" t="str">
        <x:f>IF('Deal_Master_Wide'!$AU$41="","",'Deal_Master_Wide'!$AU$41)</x:f>
        <x:v>Not reviewed</x:v>
      </x:c>
      <x:c r="D269" s="52" t="str">
        <x:f>IF('Deal_Master_Wide'!$AV$41="","",'Deal_Master_Wide'!$AV$41)</x:f>
        <x:v>Not assessed</x:v>
      </x:c>
      <x:c r="E269" s="50" t="n">
        <x:v>1</x:v>
      </x:c>
      <x:c r="F269" s="52" t="str">
        <x:f>IF(OR($C269="High-confidence innovation-driven",$C269="Medium-confidence innovation-driven"),1,IF($C269="Clear alternative-rationale",0,""))</x:f>
      </x:c>
      <x:c r="G269" s="52" t="str">
        <x:f>IF('Deal_Master_Wide'!$M$41="","",'Deal_Master_Wide'!$M$41)</x:f>
        <x:v>Review</x:v>
      </x:c>
      <x:c r="H269" s="50" t="str">
        <x:v>Eurofins Scientific SE</x:v>
      </x:c>
      <x:c r="I269" s="50" t="str">
        <x:v>AROS Applied Biotechnology AS</x:v>
      </x:c>
      <x:c r="J269" s="50" t="n">
        <x:v>2013</x:v>
      </x:c>
      <x:c r="K269" s="50" t="n">
        <x:v>-2</x:v>
      </x:c>
      <x:c r="L269" s="50" t="n">
        <x:v>2011</x:v>
      </x:c>
      <x:c r="M269" s="50" t="n">
        <x:v>0</x:v>
      </x:c>
      <x:c r="N269" s="50" t="n">
        <x:v>0</x:v>
      </x:c>
      <x:c r="O269" s="52" t="str">
        <x:f>IF($F269="","",$F269*$M269)</x:f>
      </x:c>
      <x:c r="P269" s="54" t="n">
        <x:f>IF(ISBLANK('Deal_Master_Wide'!$BQ$41),"",'Deal_Master_Wide'!$BQ$41)</x:f>
        <x:v>828.934</x:v>
      </x:c>
      <x:c r="Q269" s="54" t="n">
        <x:f>IF(ISBLANK('Deal_Master_Wide'!$BX$41),"",'Deal_Master_Wide'!$BX$41)</x:f>
        <x:v>91.366</x:v>
      </x:c>
      <x:c r="R269" s="54" t="n">
        <x:f>IF(ISBLANK('Deal_Master_Wide'!$CE$41),"",'Deal_Master_Wide'!$CE$41)</x:f>
        <x:v>55.407</x:v>
      </x:c>
      <x:c r="S269" s="54" t="n">
        <x:f>IF(ISBLANK('Deal_Master_Wide'!$CL$41),"",'Deal_Master_Wide'!$CL$41)</x:f>
        <x:v>1074.575</x:v>
      </x:c>
      <x:c r="T269" s="54" t="n">
        <x:f>IF(ISBLANK('Deal_Master_Wide'!$CS$41),"",'Deal_Master_Wide'!$CS$41)</x:f>
        <x:v>434.67699999999996</x:v>
      </x:c>
      <x:c r="U269" s="54" t="str">
        <x:f>IF(ISBLANK('Deal_Master_Wide'!$CZ$41),"",'Deal_Master_Wide'!$CZ$41)</x:f>
      </x:c>
      <x:c r="V269" s="56" t="n">
        <x:f>IF(ISBLANK('Deal_Master_Wide'!$DG$41),"",'Deal_Master_Wide'!$DG$41)</x:f>
        <x:v>13.426</x:v>
      </x:c>
      <x:c r="W269" s="56" t="n">
        <x:f>IF(ISBLANK('Deal_Master_Wide'!$DN$41),"",'Deal_Master_Wide'!$DN$41)</x:f>
        <x:v>108.3867</x:v>
      </x:c>
      <x:c r="X269" s="56" t="n">
        <x:f>IF(ISBLANK('Deal_Master_Wide'!$DU$41),"",'Deal_Master_Wide'!$DU$41)</x:f>
        <x:v>40.45106204778633</x:v>
      </x:c>
      <x:c r="Y269" s="54" t="str">
        <x:f>IF(ISBLANK('Deal_Master_Wide'!$EB$41),"",'Deal_Master_Wide'!$EB$41)</x:f>
      </x:c>
      <x:c r="Z269" s="54" t="str">
        <x:f>IF(ISBLANK('Deal_Master_Wide'!$EI$41),"",'Deal_Master_Wide'!$EI$41)</x:f>
      </x:c>
      <x:c r="AA269" s="52" t="str">
        <x:f>IF(ISBLANK('Deal_Master_Wide'!$AL$41),"",'Deal_Master_Wide'!$AL$41)</x:f>
        <x:v>Unknown</x:v>
      </x:c>
      <x:c r="AB269" s="54" t="str">
        <x:f>IF(ISBLANK('Deal_Master_Wide'!$AF$41),"",'Deal_Master_Wide'!$AF$41)</x:f>
      </x:c>
      <x:c r="AC269" s="52" t="str">
        <x:f>IF(COUNT($P269,$Q269,$R269,$S269,$T269,$U269,$V269,$W269,$X269)=9,"Yes","No")</x:f>
        <x:v>No</x:v>
      </x:c>
      <x:c r="AD269" s="52" t="str">
        <x:f>IF(COUNT($Y269,$Z269)=2,"Yes","No")</x:f>
        <x:v>No</x:v>
      </x:c>
      <x:c r="AE269" s="50" t="str"/>
      <x:c r="AF269" t="str"/>
    </x:row>
    <x:row r="270" ht="20" customHeight="1">
      <x:c r="A270" s="50" t="str">
        <x:v>TRT-0039</x:v>
      </x:c>
      <x:c r="B270" s="50" t="str">
        <x:v>Candidate treatment group</x:v>
      </x:c>
      <x:c r="C270" s="52" t="str">
        <x:f>IF('Deal_Master_Wide'!$AU$41="","",'Deal_Master_Wide'!$AU$41)</x:f>
        <x:v>Not reviewed</x:v>
      </x:c>
      <x:c r="D270" s="52" t="str">
        <x:f>IF('Deal_Master_Wide'!$AV$41="","",'Deal_Master_Wide'!$AV$41)</x:f>
        <x:v>Not assessed</x:v>
      </x:c>
      <x:c r="E270" s="50" t="n">
        <x:v>1</x:v>
      </x:c>
      <x:c r="F270" s="52" t="str">
        <x:f>IF(OR($C270="High-confidence innovation-driven",$C270="Medium-confidence innovation-driven"),1,IF($C270="Clear alternative-rationale",0,""))</x:f>
      </x:c>
      <x:c r="G270" s="52" t="str">
        <x:f>IF('Deal_Master_Wide'!$M$41="","",'Deal_Master_Wide'!$M$41)</x:f>
        <x:v>Review</x:v>
      </x:c>
      <x:c r="H270" s="50" t="str">
        <x:v>Eurofins Scientific SE</x:v>
      </x:c>
      <x:c r="I270" s="50" t="str">
        <x:v>AROS Applied Biotechnology AS</x:v>
      </x:c>
      <x:c r="J270" s="50" t="n">
        <x:v>2013</x:v>
      </x:c>
      <x:c r="K270" s="50" t="n">
        <x:v>-1</x:v>
      </x:c>
      <x:c r="L270" s="50" t="n">
        <x:v>2012</x:v>
      </x:c>
      <x:c r="M270" s="50" t="n">
        <x:v>0</x:v>
      </x:c>
      <x:c r="N270" s="50" t="n">
        <x:v>0</x:v>
      </x:c>
      <x:c r="O270" s="52" t="str">
        <x:f>IF($F270="","",$F270*$M270)</x:f>
      </x:c>
      <x:c r="P270" s="54" t="n">
        <x:f>IF(ISBLANK('Deal_Master_Wide'!$BR$41),"",'Deal_Master_Wide'!$BR$41)</x:f>
        <x:v>1043.963</x:v>
      </x:c>
      <x:c r="Q270" s="54" t="n">
        <x:f>IF(ISBLANK('Deal_Master_Wide'!$BY$41),"",'Deal_Master_Wide'!$BY$41)</x:f>
        <x:v>124.738</x:v>
      </x:c>
      <x:c r="R270" s="54" t="n">
        <x:f>IF(ISBLANK('Deal_Master_Wide'!$CF$41),"",'Deal_Master_Wide'!$CF$41)</x:f>
        <x:v>65.924</x:v>
      </x:c>
      <x:c r="S270" s="54" t="n">
        <x:f>IF(ISBLANK('Deal_Master_Wide'!$CM$41),"",'Deal_Master_Wide'!$CM$41)</x:f>
        <x:v>1159.096</x:v>
      </x:c>
      <x:c r="T270" s="54" t="n">
        <x:f>IF(ISBLANK('Deal_Master_Wide'!$CT$41),"",'Deal_Master_Wide'!$CT$41)</x:f>
        <x:v>435.11899999999997</x:v>
      </x:c>
      <x:c r="U270" s="54" t="str">
        <x:f>IF(ISBLANK('Deal_Master_Wide'!$DA$41),"",'Deal_Master_Wide'!$DA$41)</x:f>
      </x:c>
      <x:c r="V270" s="56" t="n">
        <x:f>IF(ISBLANK('Deal_Master_Wide'!$DH$41),"",'Deal_Master_Wide'!$DH$41)</x:f>
        <x:v>5.9027493305862855</x:v>
      </x:c>
      <x:c r="W270" s="56" t="n">
        <x:f>IF(ISBLANK('Deal_Master_Wide'!$DO$41),"",'Deal_Master_Wide'!$DO$41)</x:f>
        <x:v>11.948507753627283</x:v>
      </x:c>
      <x:c r="X270" s="56" t="n">
        <x:f>IF(ISBLANK('Deal_Master_Wide'!$DV$41),"",'Deal_Master_Wide'!$DV$41)</x:f>
        <x:v>37.53951355194047</x:v>
      </x:c>
      <x:c r="Y270" s="54" t="str">
        <x:f>IF(ISBLANK('Deal_Master_Wide'!$EC$41),"",'Deal_Master_Wide'!$EC$41)</x:f>
      </x:c>
      <x:c r="Z270" s="54" t="str">
        <x:f>IF(ISBLANK('Deal_Master_Wide'!$EJ$41),"",'Deal_Master_Wide'!$EJ$41)</x:f>
      </x:c>
      <x:c r="AA270" s="52" t="str">
        <x:f>IF(ISBLANK('Deal_Master_Wide'!$AL$41),"",'Deal_Master_Wide'!$AL$41)</x:f>
        <x:v>Unknown</x:v>
      </x:c>
      <x:c r="AB270" s="54" t="str">
        <x:f>IF(ISBLANK('Deal_Master_Wide'!$AF$41),"",'Deal_Master_Wide'!$AF$41)</x:f>
      </x:c>
      <x:c r="AC270" s="52" t="str">
        <x:f>IF(COUNT($P270,$Q270,$R270,$S270,$T270,$U270,$V270,$W270,$X270)=9,"Yes","No")</x:f>
        <x:v>No</x:v>
      </x:c>
      <x:c r="AD270" s="52" t="str">
        <x:f>IF(COUNT($Y270,$Z270)=2,"Yes","No")</x:f>
        <x:v>No</x:v>
      </x:c>
      <x:c r="AE270" s="50" t="str"/>
      <x:c r="AF270" t="str"/>
    </x:row>
    <x:row r="271" ht="20" customHeight="1">
      <x:c r="A271" s="50" t="str">
        <x:v>TRT-0039</x:v>
      </x:c>
      <x:c r="B271" s="50" t="str">
        <x:v>Candidate treatment group</x:v>
      </x:c>
      <x:c r="C271" s="52" t="str">
        <x:f>IF('Deal_Master_Wide'!$AU$41="","",'Deal_Master_Wide'!$AU$41)</x:f>
        <x:v>Not reviewed</x:v>
      </x:c>
      <x:c r="D271" s="52" t="str">
        <x:f>IF('Deal_Master_Wide'!$AV$41="","",'Deal_Master_Wide'!$AV$41)</x:f>
        <x:v>Not assessed</x:v>
      </x:c>
      <x:c r="E271" s="50" t="n">
        <x:v>1</x:v>
      </x:c>
      <x:c r="F271" s="52" t="str">
        <x:f>IF(OR($C271="High-confidence innovation-driven",$C271="Medium-confidence innovation-driven"),1,IF($C271="Clear alternative-rationale",0,""))</x:f>
      </x:c>
      <x:c r="G271" s="52" t="str">
        <x:f>IF('Deal_Master_Wide'!$M$41="","",'Deal_Master_Wide'!$M$41)</x:f>
        <x:v>Review</x:v>
      </x:c>
      <x:c r="H271" s="50" t="str">
        <x:v>Eurofins Scientific SE</x:v>
      </x:c>
      <x:c r="I271" s="50" t="str">
        <x:v>AROS Applied Biotechnology AS</x:v>
      </x:c>
      <x:c r="J271" s="50" t="n">
        <x:v>2013</x:v>
      </x:c>
      <x:c r="K271" s="50" t="n">
        <x:v>0</x:v>
      </x:c>
      <x:c r="L271" s="50" t="n">
        <x:v>2013</x:v>
      </x:c>
      <x:c r="M271" s="50" t="n">
        <x:v>0</x:v>
      </x:c>
      <x:c r="N271" s="50" t="n">
        <x:v>1</x:v>
      </x:c>
      <x:c r="O271" s="52" t="str">
        <x:f>IF($F271="","",$F271*$M271)</x:f>
      </x:c>
      <x:c r="P271" s="54" t="n">
        <x:f>IF(ISBLANK('Deal_Master_Wide'!$BS$41),"",'Deal_Master_Wide'!$BS$41)</x:f>
        <x:v>1225.572</x:v>
      </x:c>
      <x:c r="Q271" s="54" t="n">
        <x:f>IF(ISBLANK('Deal_Master_Wide'!$BZ$41),"",'Deal_Master_Wide'!$BZ$41)</x:f>
        <x:v>151.279</x:v>
      </x:c>
      <x:c r="R271" s="54" t="n">
        <x:f>IF(ISBLANK('Deal_Master_Wide'!$CG$41),"",'Deal_Master_Wide'!$CG$41)</x:f>
        <x:v>72.18</x:v>
      </x:c>
      <x:c r="S271" s="54" t="n">
        <x:f>IF(ISBLANK('Deal_Master_Wide'!$CN$41),"",'Deal_Master_Wide'!$CN$41)</x:f>
        <x:v>1497.016</x:v>
      </x:c>
      <x:c r="T271" s="54" t="n">
        <x:f>IF(ISBLANK('Deal_Master_Wide'!$CU$41),"",'Deal_Master_Wide'!$CU$41)</x:f>
        <x:v>684.103</x:v>
      </x:c>
      <x:c r="U271" s="54" t="str">
        <x:f>IF(ISBLANK('Deal_Master_Wide'!$DB$41),"",'Deal_Master_Wide'!$DB$41)</x:f>
      </x:c>
      <x:c r="V271" s="56" t="n">
        <x:f>IF(ISBLANK('Deal_Master_Wide'!$DI$41),"",'Deal_Master_Wide'!$DI$41)</x:f>
        <x:v>5.43501177661183</x:v>
      </x:c>
      <x:c r="W271" s="56" t="n">
        <x:f>IF(ISBLANK('Deal_Master_Wide'!$DP$41),"",'Deal_Master_Wide'!$DP$41)</x:f>
        <x:v>12.343542443854789</x:v>
      </x:c>
      <x:c r="X271" s="56" t="n">
        <x:f>IF(ISBLANK('Deal_Master_Wide'!$DW$41),"",'Deal_Master_Wide'!$DW$41)</x:f>
        <x:v>45.697774773282305</x:v>
      </x:c>
      <x:c r="Y271" s="54" t="str">
        <x:f>IF(ISBLANK('Deal_Master_Wide'!$ED$41),"",'Deal_Master_Wide'!$ED$41)</x:f>
      </x:c>
      <x:c r="Z271" s="54" t="str">
        <x:f>IF(ISBLANK('Deal_Master_Wide'!$EK$41),"",'Deal_Master_Wide'!$EK$41)</x:f>
      </x:c>
      <x:c r="AA271" s="52" t="str">
        <x:f>IF(ISBLANK('Deal_Master_Wide'!$AL$41),"",'Deal_Master_Wide'!$AL$41)</x:f>
        <x:v>Unknown</x:v>
      </x:c>
      <x:c r="AB271" s="54" t="str">
        <x:f>IF(ISBLANK('Deal_Master_Wide'!$AF$41),"",'Deal_Master_Wide'!$AF$41)</x:f>
      </x:c>
      <x:c r="AC271" s="52" t="str">
        <x:f>IF(COUNT($P271,$Q271,$R271,$S271,$T271,$U271,$V271,$W271,$X271)=9,"Yes","No")</x:f>
        <x:v>No</x:v>
      </x:c>
      <x:c r="AD271" s="52" t="str">
        <x:f>IF(COUNT($Y271,$Z271)=2,"Yes","No")</x:f>
        <x:v>No</x:v>
      </x:c>
      <x:c r="AE271" s="50" t="str"/>
      <x:c r="AF271" t="str"/>
    </x:row>
    <x:row r="272" ht="20" customHeight="1">
      <x:c r="A272" s="50" t="str">
        <x:v>TRT-0039</x:v>
      </x:c>
      <x:c r="B272" s="50" t="str">
        <x:v>Candidate treatment group</x:v>
      </x:c>
      <x:c r="C272" s="52" t="str">
        <x:f>IF('Deal_Master_Wide'!$AU$41="","",'Deal_Master_Wide'!$AU$41)</x:f>
        <x:v>Not reviewed</x:v>
      </x:c>
      <x:c r="D272" s="52" t="str">
        <x:f>IF('Deal_Master_Wide'!$AV$41="","",'Deal_Master_Wide'!$AV$41)</x:f>
        <x:v>Not assessed</x:v>
      </x:c>
      <x:c r="E272" s="50" t="n">
        <x:v>1</x:v>
      </x:c>
      <x:c r="F272" s="52" t="str">
        <x:f>IF(OR($C272="High-confidence innovation-driven",$C272="Medium-confidence innovation-driven"),1,IF($C272="Clear alternative-rationale",0,""))</x:f>
      </x:c>
      <x:c r="G272" s="52" t="str">
        <x:f>IF('Deal_Master_Wide'!$M$41="","",'Deal_Master_Wide'!$M$41)</x:f>
        <x:v>Review</x:v>
      </x:c>
      <x:c r="H272" s="50" t="str">
        <x:v>Eurofins Scientific SE</x:v>
      </x:c>
      <x:c r="I272" s="50" t="str">
        <x:v>AROS Applied Biotechnology AS</x:v>
      </x:c>
      <x:c r="J272" s="50" t="n">
        <x:v>2013</x:v>
      </x:c>
      <x:c r="K272" s="50" t="n">
        <x:v>1</x:v>
      </x:c>
      <x:c r="L272" s="50" t="n">
        <x:v>2014</x:v>
      </x:c>
      <x:c r="M272" s="50" t="n">
        <x:v>1</x:v>
      </x:c>
      <x:c r="N272" s="50" t="n">
        <x:v>1</x:v>
      </x:c>
      <x:c r="O272" s="52" t="str">
        <x:f>IF($F272="","",$F272*$M272)</x:f>
      </x:c>
      <x:c r="P272" s="54" t="n">
        <x:f>IF(ISBLANK('Deal_Master_Wide'!$BT$41),"",'Deal_Master_Wide'!$BT$41)</x:f>
        <x:v>1410.227</x:v>
      </x:c>
      <x:c r="Q272" s="54" t="n">
        <x:f>IF(ISBLANK('Deal_Master_Wide'!$CA$41),"",'Deal_Master_Wide'!$CA$41)</x:f>
        <x:v>174.39</x:v>
      </x:c>
      <x:c r="R272" s="54" t="n">
        <x:f>IF(ISBLANK('Deal_Master_Wide'!$CH$41),"",'Deal_Master_Wide'!$CH$41)</x:f>
        <x:v>79.104</x:v>
      </x:c>
      <x:c r="S272" s="54" t="n">
        <x:f>IF(ISBLANK('Deal_Master_Wide'!$CO$41),"",'Deal_Master_Wide'!$CO$41)</x:f>
        <x:v>1873.19</x:v>
      </x:c>
      <x:c r="T272" s="54" t="n">
        <x:f>IF(ISBLANK('Deal_Master_Wide'!$CV$41),"",'Deal_Master_Wide'!$CV$41)</x:f>
        <x:v>710.232</x:v>
      </x:c>
      <x:c r="U272" s="54" t="str">
        <x:f>IF(ISBLANK('Deal_Master_Wide'!$DC$41),"",'Deal_Master_Wide'!$DC$41)</x:f>
      </x:c>
      <x:c r="V272" s="56" t="n">
        <x:f>IF(ISBLANK('Deal_Master_Wide'!$DJ$41),"",'Deal_Master_Wide'!$DJ$41)</x:f>
        <x:v>4.694312454490912</x:v>
      </x:c>
      <x:c r="W272" s="56" t="n">
        <x:f>IF(ISBLANK('Deal_Master_Wide'!$DQ$41),"",'Deal_Master_Wide'!$DQ$41)</x:f>
        <x:v>12.366094252911056</x:v>
      </x:c>
      <x:c r="X272" s="56" t="n">
        <x:f>IF(ISBLANK('Deal_Master_Wide'!$DX$41),"",'Deal_Master_Wide'!$DX$41)</x:f>
        <x:v>37.91564123233628</x:v>
      </x:c>
      <x:c r="Y272" s="54" t="str">
        <x:f>IF(ISBLANK('Deal_Master_Wide'!$EE$41),"",'Deal_Master_Wide'!$EE$41)</x:f>
      </x:c>
      <x:c r="Z272" s="54" t="str">
        <x:f>IF(ISBLANK('Deal_Master_Wide'!$EL$41),"",'Deal_Master_Wide'!$EL$41)</x:f>
      </x:c>
      <x:c r="AA272" s="52" t="str">
        <x:f>IF(ISBLANK('Deal_Master_Wide'!$AL$41),"",'Deal_Master_Wide'!$AL$41)</x:f>
        <x:v>Unknown</x:v>
      </x:c>
      <x:c r="AB272" s="54" t="str">
        <x:f>IF(ISBLANK('Deal_Master_Wide'!$AF$41),"",'Deal_Master_Wide'!$AF$41)</x:f>
      </x:c>
      <x:c r="AC272" s="52" t="str">
        <x:f>IF(COUNT($P272,$Q272,$R272,$S272,$T272,$U272,$V272,$W272,$X272)=9,"Yes","No")</x:f>
        <x:v>No</x:v>
      </x:c>
      <x:c r="AD272" s="52" t="str">
        <x:f>IF(COUNT($Y272,$Z272)=2,"Yes","No")</x:f>
        <x:v>No</x:v>
      </x:c>
      <x:c r="AE272" s="50" t="str"/>
      <x:c r="AF272" t="str"/>
    </x:row>
    <x:row r="273" ht="20" customHeight="1">
      <x:c r="A273" s="50" t="str">
        <x:v>TRT-0039</x:v>
      </x:c>
      <x:c r="B273" s="50" t="str">
        <x:v>Candidate treatment group</x:v>
      </x:c>
      <x:c r="C273" s="52" t="str">
        <x:f>IF('Deal_Master_Wide'!$AU$41="","",'Deal_Master_Wide'!$AU$41)</x:f>
        <x:v>Not reviewed</x:v>
      </x:c>
      <x:c r="D273" s="52" t="str">
        <x:f>IF('Deal_Master_Wide'!$AV$41="","",'Deal_Master_Wide'!$AV$41)</x:f>
        <x:v>Not assessed</x:v>
      </x:c>
      <x:c r="E273" s="50" t="n">
        <x:v>1</x:v>
      </x:c>
      <x:c r="F273" s="52" t="str">
        <x:f>IF(OR($C273="High-confidence innovation-driven",$C273="Medium-confidence innovation-driven"),1,IF($C273="Clear alternative-rationale",0,""))</x:f>
      </x:c>
      <x:c r="G273" s="52" t="str">
        <x:f>IF('Deal_Master_Wide'!$M$41="","",'Deal_Master_Wide'!$M$41)</x:f>
        <x:v>Review</x:v>
      </x:c>
      <x:c r="H273" s="50" t="str">
        <x:v>Eurofins Scientific SE</x:v>
      </x:c>
      <x:c r="I273" s="50" t="str">
        <x:v>AROS Applied Biotechnology AS</x:v>
      </x:c>
      <x:c r="J273" s="50" t="n">
        <x:v>2013</x:v>
      </x:c>
      <x:c r="K273" s="50" t="n">
        <x:v>2</x:v>
      </x:c>
      <x:c r="L273" s="50" t="n">
        <x:v>2015</x:v>
      </x:c>
      <x:c r="M273" s="50" t="n">
        <x:v>1</x:v>
      </x:c>
      <x:c r="N273" s="50" t="n">
        <x:v>1</x:v>
      </x:c>
      <x:c r="O273" s="52" t="str">
        <x:f>IF($F273="","",$F273*$M273)</x:f>
      </x:c>
      <x:c r="P273" s="54" t="n">
        <x:f>IF(ISBLANK('Deal_Master_Wide'!$BU$41),"",'Deal_Master_Wide'!$BU$41)</x:f>
        <x:v>1950.074</x:v>
      </x:c>
      <x:c r="Q273" s="54" t="n">
        <x:f>IF(ISBLANK('Deal_Master_Wide'!$CB$41),"",'Deal_Master_Wide'!$CB$41)</x:f>
        <x:v>235.358</x:v>
      </x:c>
      <x:c r="R273" s="54" t="n">
        <x:f>IF(ISBLANK('Deal_Master_Wide'!$CI$41),"",'Deal_Master_Wide'!$CI$41)</x:f>
        <x:v>87.316</x:v>
      </x:c>
      <x:c r="S273" s="54" t="n">
        <x:f>IF(ISBLANK('Deal_Master_Wide'!$CP$41),"",'Deal_Master_Wide'!$CP$41)</x:f>
        <x:v>3699.833</x:v>
      </x:c>
      <x:c r="T273" s="54" t="n">
        <x:f>IF(ISBLANK('Deal_Master_Wide'!$CW$41),"",'Deal_Master_Wide'!$CW$41)</x:f>
        <x:v>1710.0330000000001</x:v>
      </x:c>
      <x:c r="U273" s="54" t="n">
        <x:f>IF(ISBLANK('Deal_Master_Wide'!$DD$41),"",'Deal_Master_Wide'!$DD$41)</x:f>
        <x:v>0</x:v>
      </x:c>
      <x:c r="V273" s="56" t="n">
        <x:f>IF(ISBLANK('Deal_Master_Wide'!$DK$41),"",'Deal_Master_Wide'!$DK$41)</x:f>
        <x:v>3.133523762597068</x:v>
      </x:c>
      <x:c r="W273" s="56" t="n">
        <x:f>IF(ISBLANK('Deal_Master_Wide'!$DR$41),"",'Deal_Master_Wide'!$DR$41)</x:f>
        <x:v>12.069183015618894</x:v>
      </x:c>
      <x:c r="X273" s="56" t="n">
        <x:f>IF(ISBLANK('Deal_Master_Wide'!$DY$41),"",'Deal_Master_Wide'!$DY$41)</x:f>
        <x:v>46.219194217684965</x:v>
      </x:c>
      <x:c r="Y273" s="54" t="str">
        <x:f>IF(ISBLANK('Deal_Master_Wide'!$EF$41),"",'Deal_Master_Wide'!$EF$41)</x:f>
      </x:c>
      <x:c r="Z273" s="54" t="str">
        <x:f>IF(ISBLANK('Deal_Master_Wide'!$EM$41),"",'Deal_Master_Wide'!$EM$41)</x:f>
      </x:c>
      <x:c r="AA273" s="52" t="str">
        <x:f>IF(ISBLANK('Deal_Master_Wide'!$AL$41),"",'Deal_Master_Wide'!$AL$41)</x:f>
        <x:v>Unknown</x:v>
      </x:c>
      <x:c r="AB273" s="54" t="str">
        <x:f>IF(ISBLANK('Deal_Master_Wide'!$AF$41),"",'Deal_Master_Wide'!$AF$41)</x:f>
      </x:c>
      <x:c r="AC273" s="52" t="str">
        <x:f>IF(COUNT($P273,$Q273,$R273,$S273,$T273,$U273,$V273,$W273,$X273)=9,"Yes","No")</x:f>
        <x:v>Yes</x:v>
      </x:c>
      <x:c r="AD273" s="52" t="str">
        <x:f>IF(COUNT($Y273,$Z273)=2,"Yes","No")</x:f>
        <x:v>No</x:v>
      </x:c>
      <x:c r="AE273" s="50" t="str"/>
      <x:c r="AF273" t="str"/>
    </x:row>
    <x:row r="274" ht="20" customHeight="1">
      <x:c r="A274" s="50" t="str">
        <x:v>TRT-0039</x:v>
      </x:c>
      <x:c r="B274" s="50" t="str">
        <x:v>Candidate treatment group</x:v>
      </x:c>
      <x:c r="C274" s="52" t="str">
        <x:f>IF('Deal_Master_Wide'!$AU$41="","",'Deal_Master_Wide'!$AU$41)</x:f>
        <x:v>Not reviewed</x:v>
      </x:c>
      <x:c r="D274" s="52" t="str">
        <x:f>IF('Deal_Master_Wide'!$AV$41="","",'Deal_Master_Wide'!$AV$41)</x:f>
        <x:v>Not assessed</x:v>
      </x:c>
      <x:c r="E274" s="50" t="n">
        <x:v>1</x:v>
      </x:c>
      <x:c r="F274" s="52" t="str">
        <x:f>IF(OR($C274="High-confidence innovation-driven",$C274="Medium-confidence innovation-driven"),1,IF($C274="Clear alternative-rationale",0,""))</x:f>
      </x:c>
      <x:c r="G274" s="52" t="str">
        <x:f>IF('Deal_Master_Wide'!$M$41="","",'Deal_Master_Wide'!$M$41)</x:f>
        <x:v>Review</x:v>
      </x:c>
      <x:c r="H274" s="50" t="str">
        <x:v>Eurofins Scientific SE</x:v>
      </x:c>
      <x:c r="I274" s="50" t="str">
        <x:v>AROS Applied Biotechnology AS</x:v>
      </x:c>
      <x:c r="J274" s="50" t="n">
        <x:v>2013</x:v>
      </x:c>
      <x:c r="K274" s="50" t="n">
        <x:v>3</x:v>
      </x:c>
      <x:c r="L274" s="50" t="n">
        <x:v>2016</x:v>
      </x:c>
      <x:c r="M274" s="50" t="n">
        <x:v>1</x:v>
      </x:c>
      <x:c r="N274" s="50" t="n">
        <x:v>1</x:v>
      </x:c>
      <x:c r="O274" s="52" t="str">
        <x:f>IF($F274="","",$F274*$M274)</x:f>
      </x:c>
      <x:c r="P274" s="54" t="n">
        <x:f>IF(ISBLANK('Deal_Master_Wide'!$BV$41),"",'Deal_Master_Wide'!$BV$41)</x:f>
        <x:v>2536.608</x:v>
      </x:c>
      <x:c r="Q274" s="54" t="n">
        <x:f>IF(ISBLANK('Deal_Master_Wide'!$CC$41),"",'Deal_Master_Wide'!$CC$41)</x:f>
        <x:v>317.946</x:v>
      </x:c>
      <x:c r="R274" s="54" t="n">
        <x:f>IF(ISBLANK('Deal_Master_Wide'!$CJ$41),"",'Deal_Master_Wide'!$CJ$41)</x:f>
        <x:v>173.997</x:v>
      </x:c>
      <x:c r="S274" s="54" t="n">
        <x:f>IF(ISBLANK('Deal_Master_Wide'!$CQ$41),"",'Deal_Master_Wide'!$CQ$41)</x:f>
        <x:v>4129.415</x:v>
      </x:c>
      <x:c r="T274" s="54" t="n">
        <x:f>IF(ISBLANK('Deal_Master_Wide'!$CX$41),"",'Deal_Master_Wide'!$CX$41)</x:f>
        <x:v>1383.878</x:v>
      </x:c>
      <x:c r="U274" s="54" t="n">
        <x:f>IF(ISBLANK('Deal_Master_Wide'!$DE$41),"",'Deal_Master_Wide'!$DE$41)</x:f>
        <x:v>0</x:v>
      </x:c>
      <x:c r="V274" s="56" t="n">
        <x:f>IF(ISBLANK('Deal_Master_Wide'!$DL$41),"",'Deal_Master_Wide'!$DL$41)</x:f>
        <x:v>4.4447946980348565</x:v>
      </x:c>
      <x:c r="W274" s="56" t="n">
        <x:f>IF(ISBLANK('Deal_Master_Wide'!$DS$41),"",'Deal_Master_Wide'!$DS$41)</x:f>
        <x:v>12.534297770881428</x:v>
      </x:c>
      <x:c r="X274" s="56" t="n">
        <x:f>IF(ISBLANK('Deal_Master_Wide'!$DZ$41),"",'Deal_Master_Wide'!$DZ$41)</x:f>
        <x:v>33.51268884333495</x:v>
      </x:c>
      <x:c r="Y274" s="54" t="str">
        <x:f>IF(ISBLANK('Deal_Master_Wide'!$EG$41),"",'Deal_Master_Wide'!$EG$41)</x:f>
      </x:c>
      <x:c r="Z274" s="54" t="str">
        <x:f>IF(ISBLANK('Deal_Master_Wide'!$EN$41),"",'Deal_Master_Wide'!$EN$41)</x:f>
      </x:c>
      <x:c r="AA274" s="52" t="str">
        <x:f>IF(ISBLANK('Deal_Master_Wide'!$AL$41),"",'Deal_Master_Wide'!$AL$41)</x:f>
        <x:v>Unknown</x:v>
      </x:c>
      <x:c r="AB274" s="54" t="str">
        <x:f>IF(ISBLANK('Deal_Master_Wide'!$AF$41),"",'Deal_Master_Wide'!$AF$41)</x:f>
      </x:c>
      <x:c r="AC274" s="52" t="str">
        <x:f>IF(COUNT($P274,$Q274,$R274,$S274,$T274,$U274,$V274,$W274,$X274)=9,"Yes","No")</x:f>
        <x:v>Yes</x:v>
      </x:c>
      <x:c r="AD274" s="52" t="str">
        <x:f>IF(COUNT($Y274,$Z274)=2,"Yes","No")</x:f>
        <x:v>No</x:v>
      </x:c>
      <x:c r="AE274" s="50" t="str"/>
      <x:c r="AF274" t="str"/>
    </x:row>
    <x:row r="275" ht="20" customHeight="1">
      <x:c r="A275" s="50" t="str">
        <x:v>TRT-0040</x:v>
      </x:c>
      <x:c r="B275" s="50" t="str">
        <x:v>Candidate treatment group</x:v>
      </x:c>
      <x:c r="C275" s="52" t="str">
        <x:f>IF('Deal_Master_Wide'!$AU$42="","",'Deal_Master_Wide'!$AU$42)</x:f>
        <x:v>Not reviewed</x:v>
      </x:c>
      <x:c r="D275" s="52" t="str">
        <x:f>IF('Deal_Master_Wide'!$AV$42="","",'Deal_Master_Wide'!$AV$42)</x:f>
        <x:v>Not assessed</x:v>
      </x:c>
      <x:c r="E275" s="50" t="n">
        <x:v>1</x:v>
      </x:c>
      <x:c r="F275" s="52" t="str">
        <x:f>IF(OR($C275="High-confidence innovation-driven",$C275="Medium-confidence innovation-driven"),1,IF($C275="Clear alternative-rationale",0,""))</x:f>
      </x:c>
      <x:c r="G275" s="52" t="str">
        <x:f>IF('Deal_Master_Wide'!$M$42="","",'Deal_Master_Wide'!$M$42)</x:f>
        <x:v>Review</x:v>
      </x:c>
      <x:c r="H275" s="50" t="str">
        <x:v>Alvogen Inc</x:v>
      </x:c>
      <x:c r="I275" s="50" t="str">
        <x:v>LaborMed Pharma SA</x:v>
      </x:c>
      <x:c r="J275" s="50" t="n">
        <x:v>2012</x:v>
      </x:c>
      <x:c r="K275" s="50" t="n">
        <x:v>-3</x:v>
      </x:c>
      <x:c r="L275" s="50" t="n">
        <x:v>2009</x:v>
      </x:c>
      <x:c r="M275" s="50" t="n">
        <x:v>0</x:v>
      </x:c>
      <x:c r="N275" s="50" t="n">
        <x:v>0</x:v>
      </x:c>
      <x:c r="O275" s="52" t="str">
        <x:f>IF($F275="","",$F275*$M275)</x:f>
      </x:c>
      <x:c r="P275" s="54" t="str">
        <x:f>IF(ISBLANK('Deal_Master_Wide'!$BP$42),"",'Deal_Master_Wide'!$BP$42)</x:f>
      </x:c>
      <x:c r="Q275" s="54" t="str">
        <x:f>IF(ISBLANK('Deal_Master_Wide'!$BW$42),"",'Deal_Master_Wide'!$BW$42)</x:f>
      </x:c>
      <x:c r="R275" s="54" t="str">
        <x:f>IF(ISBLANK('Deal_Master_Wide'!$CD$42),"",'Deal_Master_Wide'!$CD$42)</x:f>
      </x:c>
      <x:c r="S275" s="54" t="str">
        <x:f>IF(ISBLANK('Deal_Master_Wide'!$CK$42),"",'Deal_Master_Wide'!$CK$42)</x:f>
      </x:c>
      <x:c r="T275" s="54" t="str">
        <x:f>IF(ISBLANK('Deal_Master_Wide'!$CR$42),"",'Deal_Master_Wide'!$CR$42)</x:f>
      </x:c>
      <x:c r="U275" s="54" t="str">
        <x:f>IF(ISBLANK('Deal_Master_Wide'!$CY$42),"",'Deal_Master_Wide'!$CY$42)</x:f>
      </x:c>
      <x:c r="V275" s="56" t="str">
        <x:f>IF(ISBLANK('Deal_Master_Wide'!$DF$42),"",'Deal_Master_Wide'!$DF$42)</x:f>
      </x:c>
      <x:c r="W275" s="56" t="str">
        <x:f>IF(ISBLANK('Deal_Master_Wide'!$DM$42),"",'Deal_Master_Wide'!$DM$42)</x:f>
      </x:c>
      <x:c r="X275" s="56" t="str">
        <x:f>IF(ISBLANK('Deal_Master_Wide'!$DT$42),"",'Deal_Master_Wide'!$DT$42)</x:f>
      </x:c>
      <x:c r="Y275" s="54" t="str">
        <x:f>IF(ISBLANK('Deal_Master_Wide'!$EA$42),"",'Deal_Master_Wide'!$EA$42)</x:f>
      </x:c>
      <x:c r="Z275" s="54" t="str">
        <x:f>IF(ISBLANK('Deal_Master_Wide'!$EH$42),"",'Deal_Master_Wide'!$EH$42)</x:f>
      </x:c>
      <x:c r="AA275" s="52" t="str">
        <x:f>IF(ISBLANK('Deal_Master_Wide'!$AL$42),"",'Deal_Master_Wide'!$AL$42)</x:f>
        <x:v>Unknown</x:v>
      </x:c>
      <x:c r="AB275" s="54" t="str">
        <x:f>IF(ISBLANK('Deal_Master_Wide'!$AF$42),"",'Deal_Master_Wide'!$AF$42)</x:f>
      </x:c>
      <x:c r="AC275" s="52" t="str">
        <x:f>IF(COUNT($P275,$Q275,$R275,$S275,$T275,$U275,$V275,$W275,$X275)=9,"Yes","No")</x:f>
        <x:v>No</x:v>
      </x:c>
      <x:c r="AD275" s="52" t="str">
        <x:f>IF(COUNT($Y275,$Z275)=2,"Yes","No")</x:f>
        <x:v>No</x:v>
      </x:c>
      <x:c r="AE275" s="50" t="str"/>
      <x:c r="AF275" t="str"/>
    </x:row>
    <x:row r="276" ht="20" customHeight="1">
      <x:c r="A276" s="50" t="str">
        <x:v>TRT-0040</x:v>
      </x:c>
      <x:c r="B276" s="50" t="str">
        <x:v>Candidate treatment group</x:v>
      </x:c>
      <x:c r="C276" s="52" t="str">
        <x:f>IF('Deal_Master_Wide'!$AU$42="","",'Deal_Master_Wide'!$AU$42)</x:f>
        <x:v>Not reviewed</x:v>
      </x:c>
      <x:c r="D276" s="52" t="str">
        <x:f>IF('Deal_Master_Wide'!$AV$42="","",'Deal_Master_Wide'!$AV$42)</x:f>
        <x:v>Not assessed</x:v>
      </x:c>
      <x:c r="E276" s="50" t="n">
        <x:v>1</x:v>
      </x:c>
      <x:c r="F276" s="52" t="str">
        <x:f>IF(OR($C276="High-confidence innovation-driven",$C276="Medium-confidence innovation-driven"),1,IF($C276="Clear alternative-rationale",0,""))</x:f>
      </x:c>
      <x:c r="G276" s="52" t="str">
        <x:f>IF('Deal_Master_Wide'!$M$42="","",'Deal_Master_Wide'!$M$42)</x:f>
        <x:v>Review</x:v>
      </x:c>
      <x:c r="H276" s="50" t="str">
        <x:v>Alvogen Inc</x:v>
      </x:c>
      <x:c r="I276" s="50" t="str">
        <x:v>LaborMed Pharma SA</x:v>
      </x:c>
      <x:c r="J276" s="50" t="n">
        <x:v>2012</x:v>
      </x:c>
      <x:c r="K276" s="50" t="n">
        <x:v>-2</x:v>
      </x:c>
      <x:c r="L276" s="50" t="n">
        <x:v>2010</x:v>
      </x:c>
      <x:c r="M276" s="50" t="n">
        <x:v>0</x:v>
      </x:c>
      <x:c r="N276" s="50" t="n">
        <x:v>0</x:v>
      </x:c>
      <x:c r="O276" s="52" t="str">
        <x:f>IF($F276="","",$F276*$M276)</x:f>
      </x:c>
      <x:c r="P276" s="54" t="str">
        <x:f>IF(ISBLANK('Deal_Master_Wide'!$BQ$42),"",'Deal_Master_Wide'!$BQ$42)</x:f>
      </x:c>
      <x:c r="Q276" s="54" t="str">
        <x:f>IF(ISBLANK('Deal_Master_Wide'!$BX$42),"",'Deal_Master_Wide'!$BX$42)</x:f>
      </x:c>
      <x:c r="R276" s="54" t="str">
        <x:f>IF(ISBLANK('Deal_Master_Wide'!$CE$42),"",'Deal_Master_Wide'!$CE$42)</x:f>
      </x:c>
      <x:c r="S276" s="54" t="str">
        <x:f>IF(ISBLANK('Deal_Master_Wide'!$CL$42),"",'Deal_Master_Wide'!$CL$42)</x:f>
      </x:c>
      <x:c r="T276" s="54" t="str">
        <x:f>IF(ISBLANK('Deal_Master_Wide'!$CS$42),"",'Deal_Master_Wide'!$CS$42)</x:f>
      </x:c>
      <x:c r="U276" s="54" t="str">
        <x:f>IF(ISBLANK('Deal_Master_Wide'!$CZ$42),"",'Deal_Master_Wide'!$CZ$42)</x:f>
      </x:c>
      <x:c r="V276" s="56" t="str">
        <x:f>IF(ISBLANK('Deal_Master_Wide'!$DG$42),"",'Deal_Master_Wide'!$DG$42)</x:f>
      </x:c>
      <x:c r="W276" s="56" t="str">
        <x:f>IF(ISBLANK('Deal_Master_Wide'!$DN$42),"",'Deal_Master_Wide'!$DN$42)</x:f>
      </x:c>
      <x:c r="X276" s="56" t="str">
        <x:f>IF(ISBLANK('Deal_Master_Wide'!$DU$42),"",'Deal_Master_Wide'!$DU$42)</x:f>
      </x:c>
      <x:c r="Y276" s="54" t="str">
        <x:f>IF(ISBLANK('Deal_Master_Wide'!$EB$42),"",'Deal_Master_Wide'!$EB$42)</x:f>
      </x:c>
      <x:c r="Z276" s="54" t="str">
        <x:f>IF(ISBLANK('Deal_Master_Wide'!$EI$42),"",'Deal_Master_Wide'!$EI$42)</x:f>
      </x:c>
      <x:c r="AA276" s="52" t="str">
        <x:f>IF(ISBLANK('Deal_Master_Wide'!$AL$42),"",'Deal_Master_Wide'!$AL$42)</x:f>
        <x:v>Unknown</x:v>
      </x:c>
      <x:c r="AB276" s="54" t="str">
        <x:f>IF(ISBLANK('Deal_Master_Wide'!$AF$42),"",'Deal_Master_Wide'!$AF$42)</x:f>
      </x:c>
      <x:c r="AC276" s="52" t="str">
        <x:f>IF(COUNT($P276,$Q276,$R276,$S276,$T276,$U276,$V276,$W276,$X276)=9,"Yes","No")</x:f>
        <x:v>No</x:v>
      </x:c>
      <x:c r="AD276" s="52" t="str">
        <x:f>IF(COUNT($Y276,$Z276)=2,"Yes","No")</x:f>
        <x:v>No</x:v>
      </x:c>
      <x:c r="AE276" s="50" t="str"/>
      <x:c r="AF276" t="str"/>
    </x:row>
    <x:row r="277" ht="20" customHeight="1">
      <x:c r="A277" s="50" t="str">
        <x:v>TRT-0040</x:v>
      </x:c>
      <x:c r="B277" s="50" t="str">
        <x:v>Candidate treatment group</x:v>
      </x:c>
      <x:c r="C277" s="52" t="str">
        <x:f>IF('Deal_Master_Wide'!$AU$42="","",'Deal_Master_Wide'!$AU$42)</x:f>
        <x:v>Not reviewed</x:v>
      </x:c>
      <x:c r="D277" s="52" t="str">
        <x:f>IF('Deal_Master_Wide'!$AV$42="","",'Deal_Master_Wide'!$AV$42)</x:f>
        <x:v>Not assessed</x:v>
      </x:c>
      <x:c r="E277" s="50" t="n">
        <x:v>1</x:v>
      </x:c>
      <x:c r="F277" s="52" t="str">
        <x:f>IF(OR($C277="High-confidence innovation-driven",$C277="Medium-confidence innovation-driven"),1,IF($C277="Clear alternative-rationale",0,""))</x:f>
      </x:c>
      <x:c r="G277" s="52" t="str">
        <x:f>IF('Deal_Master_Wide'!$M$42="","",'Deal_Master_Wide'!$M$42)</x:f>
        <x:v>Review</x:v>
      </x:c>
      <x:c r="H277" s="50" t="str">
        <x:v>Alvogen Inc</x:v>
      </x:c>
      <x:c r="I277" s="50" t="str">
        <x:v>LaborMed Pharma SA</x:v>
      </x:c>
      <x:c r="J277" s="50" t="n">
        <x:v>2012</x:v>
      </x:c>
      <x:c r="K277" s="50" t="n">
        <x:v>-1</x:v>
      </x:c>
      <x:c r="L277" s="50" t="n">
        <x:v>2011</x:v>
      </x:c>
      <x:c r="M277" s="50" t="n">
        <x:v>0</x:v>
      </x:c>
      <x:c r="N277" s="50" t="n">
        <x:v>0</x:v>
      </x:c>
      <x:c r="O277" s="52" t="str">
        <x:f>IF($F277="","",$F277*$M277)</x:f>
      </x:c>
      <x:c r="P277" s="54" t="str">
        <x:f>IF(ISBLANK('Deal_Master_Wide'!$BR$42),"",'Deal_Master_Wide'!$BR$42)</x:f>
      </x:c>
      <x:c r="Q277" s="54" t="str">
        <x:f>IF(ISBLANK('Deal_Master_Wide'!$BY$42),"",'Deal_Master_Wide'!$BY$42)</x:f>
      </x:c>
      <x:c r="R277" s="54" t="str">
        <x:f>IF(ISBLANK('Deal_Master_Wide'!$CF$42),"",'Deal_Master_Wide'!$CF$42)</x:f>
      </x:c>
      <x:c r="S277" s="54" t="str">
        <x:f>IF(ISBLANK('Deal_Master_Wide'!$CM$42),"",'Deal_Master_Wide'!$CM$42)</x:f>
      </x:c>
      <x:c r="T277" s="54" t="str">
        <x:f>IF(ISBLANK('Deal_Master_Wide'!$CT$42),"",'Deal_Master_Wide'!$CT$42)</x:f>
      </x:c>
      <x:c r="U277" s="54" t="str">
        <x:f>IF(ISBLANK('Deal_Master_Wide'!$DA$42),"",'Deal_Master_Wide'!$DA$42)</x:f>
      </x:c>
      <x:c r="V277" s="56" t="str">
        <x:f>IF(ISBLANK('Deal_Master_Wide'!$DH$42),"",'Deal_Master_Wide'!$DH$42)</x:f>
      </x:c>
      <x:c r="W277" s="56" t="str">
        <x:f>IF(ISBLANK('Deal_Master_Wide'!$DO$42),"",'Deal_Master_Wide'!$DO$42)</x:f>
      </x:c>
      <x:c r="X277" s="56" t="str">
        <x:f>IF(ISBLANK('Deal_Master_Wide'!$DV$42),"",'Deal_Master_Wide'!$DV$42)</x:f>
      </x:c>
      <x:c r="Y277" s="54" t="str">
        <x:f>IF(ISBLANK('Deal_Master_Wide'!$EC$42),"",'Deal_Master_Wide'!$EC$42)</x:f>
      </x:c>
      <x:c r="Z277" s="54" t="str">
        <x:f>IF(ISBLANK('Deal_Master_Wide'!$EJ$42),"",'Deal_Master_Wide'!$EJ$42)</x:f>
      </x:c>
      <x:c r="AA277" s="52" t="str">
        <x:f>IF(ISBLANK('Deal_Master_Wide'!$AL$42),"",'Deal_Master_Wide'!$AL$42)</x:f>
        <x:v>Unknown</x:v>
      </x:c>
      <x:c r="AB277" s="54" t="str">
        <x:f>IF(ISBLANK('Deal_Master_Wide'!$AF$42),"",'Deal_Master_Wide'!$AF$42)</x:f>
      </x:c>
      <x:c r="AC277" s="52" t="str">
        <x:f>IF(COUNT($P277,$Q277,$R277,$S277,$T277,$U277,$V277,$W277,$X277)=9,"Yes","No")</x:f>
        <x:v>No</x:v>
      </x:c>
      <x:c r="AD277" s="52" t="str">
        <x:f>IF(COUNT($Y277,$Z277)=2,"Yes","No")</x:f>
        <x:v>No</x:v>
      </x:c>
      <x:c r="AE277" s="50" t="str"/>
      <x:c r="AF277" t="str"/>
    </x:row>
    <x:row r="278" ht="20" customHeight="1">
      <x:c r="A278" s="50" t="str">
        <x:v>TRT-0040</x:v>
      </x:c>
      <x:c r="B278" s="50" t="str">
        <x:v>Candidate treatment group</x:v>
      </x:c>
      <x:c r="C278" s="52" t="str">
        <x:f>IF('Deal_Master_Wide'!$AU$42="","",'Deal_Master_Wide'!$AU$42)</x:f>
        <x:v>Not reviewed</x:v>
      </x:c>
      <x:c r="D278" s="52" t="str">
        <x:f>IF('Deal_Master_Wide'!$AV$42="","",'Deal_Master_Wide'!$AV$42)</x:f>
        <x:v>Not assessed</x:v>
      </x:c>
      <x:c r="E278" s="50" t="n">
        <x:v>1</x:v>
      </x:c>
      <x:c r="F278" s="52" t="str">
        <x:f>IF(OR($C278="High-confidence innovation-driven",$C278="Medium-confidence innovation-driven"),1,IF($C278="Clear alternative-rationale",0,""))</x:f>
      </x:c>
      <x:c r="G278" s="52" t="str">
        <x:f>IF('Deal_Master_Wide'!$M$42="","",'Deal_Master_Wide'!$M$42)</x:f>
        <x:v>Review</x:v>
      </x:c>
      <x:c r="H278" s="50" t="str">
        <x:v>Alvogen Inc</x:v>
      </x:c>
      <x:c r="I278" s="50" t="str">
        <x:v>LaborMed Pharma SA</x:v>
      </x:c>
      <x:c r="J278" s="50" t="n">
        <x:v>2012</x:v>
      </x:c>
      <x:c r="K278" s="50" t="n">
        <x:v>0</x:v>
      </x:c>
      <x:c r="L278" s="50" t="n">
        <x:v>2012</x:v>
      </x:c>
      <x:c r="M278" s="50" t="n">
        <x:v>0</x:v>
      </x:c>
      <x:c r="N278" s="50" t="n">
        <x:v>1</x:v>
      </x:c>
      <x:c r="O278" s="52" t="str">
        <x:f>IF($F278="","",$F278*$M278)</x:f>
      </x:c>
      <x:c r="P278" s="54" t="str">
        <x:f>IF(ISBLANK('Deal_Master_Wide'!$BS$42),"",'Deal_Master_Wide'!$BS$42)</x:f>
      </x:c>
      <x:c r="Q278" s="54" t="str">
        <x:f>IF(ISBLANK('Deal_Master_Wide'!$BZ$42),"",'Deal_Master_Wide'!$BZ$42)</x:f>
      </x:c>
      <x:c r="R278" s="54" t="str">
        <x:f>IF(ISBLANK('Deal_Master_Wide'!$CG$42),"",'Deal_Master_Wide'!$CG$42)</x:f>
      </x:c>
      <x:c r="S278" s="54" t="str">
        <x:f>IF(ISBLANK('Deal_Master_Wide'!$CN$42),"",'Deal_Master_Wide'!$CN$42)</x:f>
      </x:c>
      <x:c r="T278" s="54" t="str">
        <x:f>IF(ISBLANK('Deal_Master_Wide'!$CU$42),"",'Deal_Master_Wide'!$CU$42)</x:f>
      </x:c>
      <x:c r="U278" s="54" t="str">
        <x:f>IF(ISBLANK('Deal_Master_Wide'!$DB$42),"",'Deal_Master_Wide'!$DB$42)</x:f>
      </x:c>
      <x:c r="V278" s="56" t="str">
        <x:f>IF(ISBLANK('Deal_Master_Wide'!$DI$42),"",'Deal_Master_Wide'!$DI$42)</x:f>
      </x:c>
      <x:c r="W278" s="56" t="str">
        <x:f>IF(ISBLANK('Deal_Master_Wide'!$DP$42),"",'Deal_Master_Wide'!$DP$42)</x:f>
      </x:c>
      <x:c r="X278" s="56" t="str">
        <x:f>IF(ISBLANK('Deal_Master_Wide'!$DW$42),"",'Deal_Master_Wide'!$DW$42)</x:f>
      </x:c>
      <x:c r="Y278" s="54" t="str">
        <x:f>IF(ISBLANK('Deal_Master_Wide'!$ED$42),"",'Deal_Master_Wide'!$ED$42)</x:f>
      </x:c>
      <x:c r="Z278" s="54" t="str">
        <x:f>IF(ISBLANK('Deal_Master_Wide'!$EK$42),"",'Deal_Master_Wide'!$EK$42)</x:f>
      </x:c>
      <x:c r="AA278" s="52" t="str">
        <x:f>IF(ISBLANK('Deal_Master_Wide'!$AL$42),"",'Deal_Master_Wide'!$AL$42)</x:f>
        <x:v>Unknown</x:v>
      </x:c>
      <x:c r="AB278" s="54" t="str">
        <x:f>IF(ISBLANK('Deal_Master_Wide'!$AF$42),"",'Deal_Master_Wide'!$AF$42)</x:f>
      </x:c>
      <x:c r="AC278" s="52" t="str">
        <x:f>IF(COUNT($P278,$Q278,$R278,$S278,$T278,$U278,$V278,$W278,$X278)=9,"Yes","No")</x:f>
        <x:v>No</x:v>
      </x:c>
      <x:c r="AD278" s="52" t="str">
        <x:f>IF(COUNT($Y278,$Z278)=2,"Yes","No")</x:f>
        <x:v>No</x:v>
      </x:c>
      <x:c r="AE278" s="50" t="str"/>
      <x:c r="AF278" t="str"/>
    </x:row>
    <x:row r="279" ht="20" customHeight="1">
      <x:c r="A279" s="50" t="str">
        <x:v>TRT-0040</x:v>
      </x:c>
      <x:c r="B279" s="50" t="str">
        <x:v>Candidate treatment group</x:v>
      </x:c>
      <x:c r="C279" s="52" t="str">
        <x:f>IF('Deal_Master_Wide'!$AU$42="","",'Deal_Master_Wide'!$AU$42)</x:f>
        <x:v>Not reviewed</x:v>
      </x:c>
      <x:c r="D279" s="52" t="str">
        <x:f>IF('Deal_Master_Wide'!$AV$42="","",'Deal_Master_Wide'!$AV$42)</x:f>
        <x:v>Not assessed</x:v>
      </x:c>
      <x:c r="E279" s="50" t="n">
        <x:v>1</x:v>
      </x:c>
      <x:c r="F279" s="52" t="str">
        <x:f>IF(OR($C279="High-confidence innovation-driven",$C279="Medium-confidence innovation-driven"),1,IF($C279="Clear alternative-rationale",0,""))</x:f>
      </x:c>
      <x:c r="G279" s="52" t="str">
        <x:f>IF('Deal_Master_Wide'!$M$42="","",'Deal_Master_Wide'!$M$42)</x:f>
        <x:v>Review</x:v>
      </x:c>
      <x:c r="H279" s="50" t="str">
        <x:v>Alvogen Inc</x:v>
      </x:c>
      <x:c r="I279" s="50" t="str">
        <x:v>LaborMed Pharma SA</x:v>
      </x:c>
      <x:c r="J279" s="50" t="n">
        <x:v>2012</x:v>
      </x:c>
      <x:c r="K279" s="50" t="n">
        <x:v>1</x:v>
      </x:c>
      <x:c r="L279" s="50" t="n">
        <x:v>2013</x:v>
      </x:c>
      <x:c r="M279" s="50" t="n">
        <x:v>1</x:v>
      </x:c>
      <x:c r="N279" s="50" t="n">
        <x:v>1</x:v>
      </x:c>
      <x:c r="O279" s="52" t="str">
        <x:f>IF($F279="","",$F279*$M279)</x:f>
      </x:c>
      <x:c r="P279" s="54" t="str">
        <x:f>IF(ISBLANK('Deal_Master_Wide'!$BT$42),"",'Deal_Master_Wide'!$BT$42)</x:f>
      </x:c>
      <x:c r="Q279" s="54" t="str">
        <x:f>IF(ISBLANK('Deal_Master_Wide'!$CA$42),"",'Deal_Master_Wide'!$CA$42)</x:f>
      </x:c>
      <x:c r="R279" s="54" t="str">
        <x:f>IF(ISBLANK('Deal_Master_Wide'!$CH$42),"",'Deal_Master_Wide'!$CH$42)</x:f>
      </x:c>
      <x:c r="S279" s="54" t="str">
        <x:f>IF(ISBLANK('Deal_Master_Wide'!$CO$42),"",'Deal_Master_Wide'!$CO$42)</x:f>
      </x:c>
      <x:c r="T279" s="54" t="str">
        <x:f>IF(ISBLANK('Deal_Master_Wide'!$CV$42),"",'Deal_Master_Wide'!$CV$42)</x:f>
      </x:c>
      <x:c r="U279" s="54" t="str">
        <x:f>IF(ISBLANK('Deal_Master_Wide'!$DC$42),"",'Deal_Master_Wide'!$DC$42)</x:f>
      </x:c>
      <x:c r="V279" s="56" t="str">
        <x:f>IF(ISBLANK('Deal_Master_Wide'!$DJ$42),"",'Deal_Master_Wide'!$DJ$42)</x:f>
      </x:c>
      <x:c r="W279" s="56" t="str">
        <x:f>IF(ISBLANK('Deal_Master_Wide'!$DQ$42),"",'Deal_Master_Wide'!$DQ$42)</x:f>
      </x:c>
      <x:c r="X279" s="56" t="str">
        <x:f>IF(ISBLANK('Deal_Master_Wide'!$DX$42),"",'Deal_Master_Wide'!$DX$42)</x:f>
      </x:c>
      <x:c r="Y279" s="54" t="str">
        <x:f>IF(ISBLANK('Deal_Master_Wide'!$EE$42),"",'Deal_Master_Wide'!$EE$42)</x:f>
      </x:c>
      <x:c r="Z279" s="54" t="str">
        <x:f>IF(ISBLANK('Deal_Master_Wide'!$EL$42),"",'Deal_Master_Wide'!$EL$42)</x:f>
      </x:c>
      <x:c r="AA279" s="52" t="str">
        <x:f>IF(ISBLANK('Deal_Master_Wide'!$AL$42),"",'Deal_Master_Wide'!$AL$42)</x:f>
        <x:v>Unknown</x:v>
      </x:c>
      <x:c r="AB279" s="54" t="str">
        <x:f>IF(ISBLANK('Deal_Master_Wide'!$AF$42),"",'Deal_Master_Wide'!$AF$42)</x:f>
      </x:c>
      <x:c r="AC279" s="52" t="str">
        <x:f>IF(COUNT($P279,$Q279,$R279,$S279,$T279,$U279,$V279,$W279,$X279)=9,"Yes","No")</x:f>
        <x:v>No</x:v>
      </x:c>
      <x:c r="AD279" s="52" t="str">
        <x:f>IF(COUNT($Y279,$Z279)=2,"Yes","No")</x:f>
        <x:v>No</x:v>
      </x:c>
      <x:c r="AE279" s="50" t="str"/>
      <x:c r="AF279" t="str"/>
    </x:row>
    <x:row r="280" ht="20" customHeight="1">
      <x:c r="A280" s="50" t="str">
        <x:v>TRT-0040</x:v>
      </x:c>
      <x:c r="B280" s="50" t="str">
        <x:v>Candidate treatment group</x:v>
      </x:c>
      <x:c r="C280" s="52" t="str">
        <x:f>IF('Deal_Master_Wide'!$AU$42="","",'Deal_Master_Wide'!$AU$42)</x:f>
        <x:v>Not reviewed</x:v>
      </x:c>
      <x:c r="D280" s="52" t="str">
        <x:f>IF('Deal_Master_Wide'!$AV$42="","",'Deal_Master_Wide'!$AV$42)</x:f>
        <x:v>Not assessed</x:v>
      </x:c>
      <x:c r="E280" s="50" t="n">
        <x:v>1</x:v>
      </x:c>
      <x:c r="F280" s="52" t="str">
        <x:f>IF(OR($C280="High-confidence innovation-driven",$C280="Medium-confidence innovation-driven"),1,IF($C280="Clear alternative-rationale",0,""))</x:f>
      </x:c>
      <x:c r="G280" s="52" t="str">
        <x:f>IF('Deal_Master_Wide'!$M$42="","",'Deal_Master_Wide'!$M$42)</x:f>
        <x:v>Review</x:v>
      </x:c>
      <x:c r="H280" s="50" t="str">
        <x:v>Alvogen Inc</x:v>
      </x:c>
      <x:c r="I280" s="50" t="str">
        <x:v>LaborMed Pharma SA</x:v>
      </x:c>
      <x:c r="J280" s="50" t="n">
        <x:v>2012</x:v>
      </x:c>
      <x:c r="K280" s="50" t="n">
        <x:v>2</x:v>
      </x:c>
      <x:c r="L280" s="50" t="n">
        <x:v>2014</x:v>
      </x:c>
      <x:c r="M280" s="50" t="n">
        <x:v>1</x:v>
      </x:c>
      <x:c r="N280" s="50" t="n">
        <x:v>1</x:v>
      </x:c>
      <x:c r="O280" s="52" t="str">
        <x:f>IF($F280="","",$F280*$M280)</x:f>
      </x:c>
      <x:c r="P280" s="54" t="str">
        <x:f>IF(ISBLANK('Deal_Master_Wide'!$BU$42),"",'Deal_Master_Wide'!$BU$42)</x:f>
      </x:c>
      <x:c r="Q280" s="54" t="str">
        <x:f>IF(ISBLANK('Deal_Master_Wide'!$CB$42),"",'Deal_Master_Wide'!$CB$42)</x:f>
      </x:c>
      <x:c r="R280" s="54" t="str">
        <x:f>IF(ISBLANK('Deal_Master_Wide'!$CI$42),"",'Deal_Master_Wide'!$CI$42)</x:f>
      </x:c>
      <x:c r="S280" s="54" t="str">
        <x:f>IF(ISBLANK('Deal_Master_Wide'!$CP$42),"",'Deal_Master_Wide'!$CP$42)</x:f>
      </x:c>
      <x:c r="T280" s="54" t="str">
        <x:f>IF(ISBLANK('Deal_Master_Wide'!$CW$42),"",'Deal_Master_Wide'!$CW$42)</x:f>
      </x:c>
      <x:c r="U280" s="54" t="str">
        <x:f>IF(ISBLANK('Deal_Master_Wide'!$DD$42),"",'Deal_Master_Wide'!$DD$42)</x:f>
      </x:c>
      <x:c r="V280" s="56" t="str">
        <x:f>IF(ISBLANK('Deal_Master_Wide'!$DK$42),"",'Deal_Master_Wide'!$DK$42)</x:f>
      </x:c>
      <x:c r="W280" s="56" t="str">
        <x:f>IF(ISBLANK('Deal_Master_Wide'!$DR$42),"",'Deal_Master_Wide'!$DR$42)</x:f>
      </x:c>
      <x:c r="X280" s="56" t="str">
        <x:f>IF(ISBLANK('Deal_Master_Wide'!$DY$42),"",'Deal_Master_Wide'!$DY$42)</x:f>
      </x:c>
      <x:c r="Y280" s="54" t="str">
        <x:f>IF(ISBLANK('Deal_Master_Wide'!$EF$42),"",'Deal_Master_Wide'!$EF$42)</x:f>
      </x:c>
      <x:c r="Z280" s="54" t="str">
        <x:f>IF(ISBLANK('Deal_Master_Wide'!$EM$42),"",'Deal_Master_Wide'!$EM$42)</x:f>
      </x:c>
      <x:c r="AA280" s="52" t="str">
        <x:f>IF(ISBLANK('Deal_Master_Wide'!$AL$42),"",'Deal_Master_Wide'!$AL$42)</x:f>
        <x:v>Unknown</x:v>
      </x:c>
      <x:c r="AB280" s="54" t="str">
        <x:f>IF(ISBLANK('Deal_Master_Wide'!$AF$42),"",'Deal_Master_Wide'!$AF$42)</x:f>
      </x:c>
      <x:c r="AC280" s="52" t="str">
        <x:f>IF(COUNT($P280,$Q280,$R280,$S280,$T280,$U280,$V280,$W280,$X280)=9,"Yes","No")</x:f>
        <x:v>No</x:v>
      </x:c>
      <x:c r="AD280" s="52" t="str">
        <x:f>IF(COUNT($Y280,$Z280)=2,"Yes","No")</x:f>
        <x:v>No</x:v>
      </x:c>
      <x:c r="AE280" s="50" t="str"/>
      <x:c r="AF280" t="str"/>
    </x:row>
    <x:row r="281" ht="20" customHeight="1">
      <x:c r="A281" s="50" t="str">
        <x:v>TRT-0040</x:v>
      </x:c>
      <x:c r="B281" s="50" t="str">
        <x:v>Candidate treatment group</x:v>
      </x:c>
      <x:c r="C281" s="52" t="str">
        <x:f>IF('Deal_Master_Wide'!$AU$42="","",'Deal_Master_Wide'!$AU$42)</x:f>
        <x:v>Not reviewed</x:v>
      </x:c>
      <x:c r="D281" s="52" t="str">
        <x:f>IF('Deal_Master_Wide'!$AV$42="","",'Deal_Master_Wide'!$AV$42)</x:f>
        <x:v>Not assessed</x:v>
      </x:c>
      <x:c r="E281" s="50" t="n">
        <x:v>1</x:v>
      </x:c>
      <x:c r="F281" s="52" t="str">
        <x:f>IF(OR($C281="High-confidence innovation-driven",$C281="Medium-confidence innovation-driven"),1,IF($C281="Clear alternative-rationale",0,""))</x:f>
      </x:c>
      <x:c r="G281" s="52" t="str">
        <x:f>IF('Deal_Master_Wide'!$M$42="","",'Deal_Master_Wide'!$M$42)</x:f>
        <x:v>Review</x:v>
      </x:c>
      <x:c r="H281" s="50" t="str">
        <x:v>Alvogen Inc</x:v>
      </x:c>
      <x:c r="I281" s="50" t="str">
        <x:v>LaborMed Pharma SA</x:v>
      </x:c>
      <x:c r="J281" s="50" t="n">
        <x:v>2012</x:v>
      </x:c>
      <x:c r="K281" s="50" t="n">
        <x:v>3</x:v>
      </x:c>
      <x:c r="L281" s="50" t="n">
        <x:v>2015</x:v>
      </x:c>
      <x:c r="M281" s="50" t="n">
        <x:v>1</x:v>
      </x:c>
      <x:c r="N281" s="50" t="n">
        <x:v>1</x:v>
      </x:c>
      <x:c r="O281" s="52" t="str">
        <x:f>IF($F281="","",$F281*$M281)</x:f>
      </x:c>
      <x:c r="P281" s="54" t="str">
        <x:f>IF(ISBLANK('Deal_Master_Wide'!$BV$42),"",'Deal_Master_Wide'!$BV$42)</x:f>
      </x:c>
      <x:c r="Q281" s="54" t="str">
        <x:f>IF(ISBLANK('Deal_Master_Wide'!$CC$42),"",'Deal_Master_Wide'!$CC$42)</x:f>
      </x:c>
      <x:c r="R281" s="54" t="str">
        <x:f>IF(ISBLANK('Deal_Master_Wide'!$CJ$42),"",'Deal_Master_Wide'!$CJ$42)</x:f>
      </x:c>
      <x:c r="S281" s="54" t="str">
        <x:f>IF(ISBLANK('Deal_Master_Wide'!$CQ$42),"",'Deal_Master_Wide'!$CQ$42)</x:f>
      </x:c>
      <x:c r="T281" s="54" t="str">
        <x:f>IF(ISBLANK('Deal_Master_Wide'!$CX$42),"",'Deal_Master_Wide'!$CX$42)</x:f>
      </x:c>
      <x:c r="U281" s="54" t="str">
        <x:f>IF(ISBLANK('Deal_Master_Wide'!$DE$42),"",'Deal_Master_Wide'!$DE$42)</x:f>
      </x:c>
      <x:c r="V281" s="56" t="str">
        <x:f>IF(ISBLANK('Deal_Master_Wide'!$DL$42),"",'Deal_Master_Wide'!$DL$42)</x:f>
      </x:c>
      <x:c r="W281" s="56" t="str">
        <x:f>IF(ISBLANK('Deal_Master_Wide'!$DS$42),"",'Deal_Master_Wide'!$DS$42)</x:f>
      </x:c>
      <x:c r="X281" s="56" t="str">
        <x:f>IF(ISBLANK('Deal_Master_Wide'!$DZ$42),"",'Deal_Master_Wide'!$DZ$42)</x:f>
      </x:c>
      <x:c r="Y281" s="54" t="str">
        <x:f>IF(ISBLANK('Deal_Master_Wide'!$EG$42),"",'Deal_Master_Wide'!$EG$42)</x:f>
      </x:c>
      <x:c r="Z281" s="54" t="str">
        <x:f>IF(ISBLANK('Deal_Master_Wide'!$EN$42),"",'Deal_Master_Wide'!$EN$42)</x:f>
      </x:c>
      <x:c r="AA281" s="52" t="str">
        <x:f>IF(ISBLANK('Deal_Master_Wide'!$AL$42),"",'Deal_Master_Wide'!$AL$42)</x:f>
        <x:v>Unknown</x:v>
      </x:c>
      <x:c r="AB281" s="54" t="str">
        <x:f>IF(ISBLANK('Deal_Master_Wide'!$AF$42),"",'Deal_Master_Wide'!$AF$42)</x:f>
      </x:c>
      <x:c r="AC281" s="52" t="str">
        <x:f>IF(COUNT($P281,$Q281,$R281,$S281,$T281,$U281,$V281,$W281,$X281)=9,"Yes","No")</x:f>
        <x:v>No</x:v>
      </x:c>
      <x:c r="AD281" s="52" t="str">
        <x:f>IF(COUNT($Y281,$Z281)=2,"Yes","No")</x:f>
        <x:v>No</x:v>
      </x:c>
      <x:c r="AE281" s="50" t="str"/>
      <x:c r="AF281" t="str"/>
    </x:row>
    <x:row r="282" ht="20" customHeight="1">
      <x:c r="A282" s="50" t="str">
        <x:v>TRT-0041</x:v>
      </x:c>
      <x:c r="B282" s="50" t="str">
        <x:v>Candidate treatment group</x:v>
      </x:c>
      <x:c r="C282" s="52" t="str">
        <x:f>IF('Deal_Master_Wide'!$AU$43="","",'Deal_Master_Wide'!$AU$43)</x:f>
        <x:v>Not reviewed</x:v>
      </x:c>
      <x:c r="D282" s="52" t="str">
        <x:f>IF('Deal_Master_Wide'!$AV$43="","",'Deal_Master_Wide'!$AV$43)</x:f>
        <x:v>Not assessed</x:v>
      </x:c>
      <x:c r="E282" s="50" t="n">
        <x:v>1</x:v>
      </x:c>
      <x:c r="F282" s="52" t="str">
        <x:f>IF(OR($C282="High-confidence innovation-driven",$C282="Medium-confidence innovation-driven"),1,IF($C282="Clear alternative-rationale",0,""))</x:f>
      </x:c>
      <x:c r="G282" s="52" t="str">
        <x:f>IF('Deal_Master_Wide'!$M$43="","",'Deal_Master_Wide'!$M$43)</x:f>
        <x:v>Review</x:v>
      </x:c>
      <x:c r="H282" s="50" t="str">
        <x:v>Enara Limited</x:v>
      </x:c>
      <x:c r="I282" s="50" t="str">
        <x:v>Angel Care Services UK Ltd</x:v>
      </x:c>
      <x:c r="J282" s="50" t="n">
        <x:v>2012</x:v>
      </x:c>
      <x:c r="K282" s="50" t="n">
        <x:v>-3</x:v>
      </x:c>
      <x:c r="L282" s="50" t="n">
        <x:v>2009</x:v>
      </x:c>
      <x:c r="M282" s="50" t="n">
        <x:v>0</x:v>
      </x:c>
      <x:c r="N282" s="50" t="n">
        <x:v>0</x:v>
      </x:c>
      <x:c r="O282" s="52" t="str">
        <x:f>IF($F282="","",$F282*$M282)</x:f>
      </x:c>
      <x:c r="P282" s="54" t="str">
        <x:f>IF(ISBLANK('Deal_Master_Wide'!$BP$43),"",'Deal_Master_Wide'!$BP$43)</x:f>
      </x:c>
      <x:c r="Q282" s="54" t="str">
        <x:f>IF(ISBLANK('Deal_Master_Wide'!$BW$43),"",'Deal_Master_Wide'!$BW$43)</x:f>
      </x:c>
      <x:c r="R282" s="54" t="str">
        <x:f>IF(ISBLANK('Deal_Master_Wide'!$CD$43),"",'Deal_Master_Wide'!$CD$43)</x:f>
      </x:c>
      <x:c r="S282" s="54" t="str">
        <x:f>IF(ISBLANK('Deal_Master_Wide'!$CK$43),"",'Deal_Master_Wide'!$CK$43)</x:f>
      </x:c>
      <x:c r="T282" s="54" t="str">
        <x:f>IF(ISBLANK('Deal_Master_Wide'!$CR$43),"",'Deal_Master_Wide'!$CR$43)</x:f>
      </x:c>
      <x:c r="U282" s="54" t="str">
        <x:f>IF(ISBLANK('Deal_Master_Wide'!$CY$43),"",'Deal_Master_Wide'!$CY$43)</x:f>
      </x:c>
      <x:c r="V282" s="56" t="str">
        <x:f>IF(ISBLANK('Deal_Master_Wide'!$DF$43),"",'Deal_Master_Wide'!$DF$43)</x:f>
      </x:c>
      <x:c r="W282" s="56" t="str">
        <x:f>IF(ISBLANK('Deal_Master_Wide'!$DM$43),"",'Deal_Master_Wide'!$DM$43)</x:f>
      </x:c>
      <x:c r="X282" s="56" t="str">
        <x:f>IF(ISBLANK('Deal_Master_Wide'!$DT$43),"",'Deal_Master_Wide'!$DT$43)</x:f>
      </x:c>
      <x:c r="Y282" s="54" t="str">
        <x:f>IF(ISBLANK('Deal_Master_Wide'!$EA$43),"",'Deal_Master_Wide'!$EA$43)</x:f>
      </x:c>
      <x:c r="Z282" s="54" t="str">
        <x:f>IF(ISBLANK('Deal_Master_Wide'!$EH$43),"",'Deal_Master_Wide'!$EH$43)</x:f>
      </x:c>
      <x:c r="AA282" s="52" t="str">
        <x:f>IF(ISBLANK('Deal_Master_Wide'!$AL$43),"",'Deal_Master_Wide'!$AL$43)</x:f>
        <x:v>Unknown</x:v>
      </x:c>
      <x:c r="AB282" s="54" t="str">
        <x:f>IF(ISBLANK('Deal_Master_Wide'!$AF$43),"",'Deal_Master_Wide'!$AF$43)</x:f>
      </x:c>
      <x:c r="AC282" s="52" t="str">
        <x:f>IF(COUNT($P282,$Q282,$R282,$S282,$T282,$U282,$V282,$W282,$X282)=9,"Yes","No")</x:f>
        <x:v>No</x:v>
      </x:c>
      <x:c r="AD282" s="52" t="str">
        <x:f>IF(COUNT($Y282,$Z282)=2,"Yes","No")</x:f>
        <x:v>No</x:v>
      </x:c>
      <x:c r="AE282" s="50" t="str"/>
      <x:c r="AF282" t="str"/>
    </x:row>
    <x:row r="283" ht="20" customHeight="1">
      <x:c r="A283" s="50" t="str">
        <x:v>TRT-0041</x:v>
      </x:c>
      <x:c r="B283" s="50" t="str">
        <x:v>Candidate treatment group</x:v>
      </x:c>
      <x:c r="C283" s="52" t="str">
        <x:f>IF('Deal_Master_Wide'!$AU$43="","",'Deal_Master_Wide'!$AU$43)</x:f>
        <x:v>Not reviewed</x:v>
      </x:c>
      <x:c r="D283" s="52" t="str">
        <x:f>IF('Deal_Master_Wide'!$AV$43="","",'Deal_Master_Wide'!$AV$43)</x:f>
        <x:v>Not assessed</x:v>
      </x:c>
      <x:c r="E283" s="50" t="n">
        <x:v>1</x:v>
      </x:c>
      <x:c r="F283" s="52" t="str">
        <x:f>IF(OR($C283="High-confidence innovation-driven",$C283="Medium-confidence innovation-driven"),1,IF($C283="Clear alternative-rationale",0,""))</x:f>
      </x:c>
      <x:c r="G283" s="52" t="str">
        <x:f>IF('Deal_Master_Wide'!$M$43="","",'Deal_Master_Wide'!$M$43)</x:f>
        <x:v>Review</x:v>
      </x:c>
      <x:c r="H283" s="50" t="str">
        <x:v>Enara Limited</x:v>
      </x:c>
      <x:c r="I283" s="50" t="str">
        <x:v>Angel Care Services UK Ltd</x:v>
      </x:c>
      <x:c r="J283" s="50" t="n">
        <x:v>2012</x:v>
      </x:c>
      <x:c r="K283" s="50" t="n">
        <x:v>-2</x:v>
      </x:c>
      <x:c r="L283" s="50" t="n">
        <x:v>2010</x:v>
      </x:c>
      <x:c r="M283" s="50" t="n">
        <x:v>0</x:v>
      </x:c>
      <x:c r="N283" s="50" t="n">
        <x:v>0</x:v>
      </x:c>
      <x:c r="O283" s="52" t="str">
        <x:f>IF($F283="","",$F283*$M283)</x:f>
      </x:c>
      <x:c r="P283" s="54" t="str">
        <x:f>IF(ISBLANK('Deal_Master_Wide'!$BQ$43),"",'Deal_Master_Wide'!$BQ$43)</x:f>
      </x:c>
      <x:c r="Q283" s="54" t="str">
        <x:f>IF(ISBLANK('Deal_Master_Wide'!$BX$43),"",'Deal_Master_Wide'!$BX$43)</x:f>
      </x:c>
      <x:c r="R283" s="54" t="str">
        <x:f>IF(ISBLANK('Deal_Master_Wide'!$CE$43),"",'Deal_Master_Wide'!$CE$43)</x:f>
      </x:c>
      <x:c r="S283" s="54" t="str">
        <x:f>IF(ISBLANK('Deal_Master_Wide'!$CL$43),"",'Deal_Master_Wide'!$CL$43)</x:f>
      </x:c>
      <x:c r="T283" s="54" t="str">
        <x:f>IF(ISBLANK('Deal_Master_Wide'!$CS$43),"",'Deal_Master_Wide'!$CS$43)</x:f>
      </x:c>
      <x:c r="U283" s="54" t="str">
        <x:f>IF(ISBLANK('Deal_Master_Wide'!$CZ$43),"",'Deal_Master_Wide'!$CZ$43)</x:f>
      </x:c>
      <x:c r="V283" s="56" t="str">
        <x:f>IF(ISBLANK('Deal_Master_Wide'!$DG$43),"",'Deal_Master_Wide'!$DG$43)</x:f>
      </x:c>
      <x:c r="W283" s="56" t="str">
        <x:f>IF(ISBLANK('Deal_Master_Wide'!$DN$43),"",'Deal_Master_Wide'!$DN$43)</x:f>
      </x:c>
      <x:c r="X283" s="56" t="str">
        <x:f>IF(ISBLANK('Deal_Master_Wide'!$DU$43),"",'Deal_Master_Wide'!$DU$43)</x:f>
      </x:c>
      <x:c r="Y283" s="54" t="str">
        <x:f>IF(ISBLANK('Deal_Master_Wide'!$EB$43),"",'Deal_Master_Wide'!$EB$43)</x:f>
      </x:c>
      <x:c r="Z283" s="54" t="str">
        <x:f>IF(ISBLANK('Deal_Master_Wide'!$EI$43),"",'Deal_Master_Wide'!$EI$43)</x:f>
      </x:c>
      <x:c r="AA283" s="52" t="str">
        <x:f>IF(ISBLANK('Deal_Master_Wide'!$AL$43),"",'Deal_Master_Wide'!$AL$43)</x:f>
        <x:v>Unknown</x:v>
      </x:c>
      <x:c r="AB283" s="54" t="str">
        <x:f>IF(ISBLANK('Deal_Master_Wide'!$AF$43),"",'Deal_Master_Wide'!$AF$43)</x:f>
      </x:c>
      <x:c r="AC283" s="52" t="str">
        <x:f>IF(COUNT($P283,$Q283,$R283,$S283,$T283,$U283,$V283,$W283,$X283)=9,"Yes","No")</x:f>
        <x:v>No</x:v>
      </x:c>
      <x:c r="AD283" s="52" t="str">
        <x:f>IF(COUNT($Y283,$Z283)=2,"Yes","No")</x:f>
        <x:v>No</x:v>
      </x:c>
      <x:c r="AE283" s="50" t="str"/>
      <x:c r="AF283" t="str"/>
    </x:row>
    <x:row r="284" ht="20" customHeight="1">
      <x:c r="A284" s="50" t="str">
        <x:v>TRT-0041</x:v>
      </x:c>
      <x:c r="B284" s="50" t="str">
        <x:v>Candidate treatment group</x:v>
      </x:c>
      <x:c r="C284" s="52" t="str">
        <x:f>IF('Deal_Master_Wide'!$AU$43="","",'Deal_Master_Wide'!$AU$43)</x:f>
        <x:v>Not reviewed</x:v>
      </x:c>
      <x:c r="D284" s="52" t="str">
        <x:f>IF('Deal_Master_Wide'!$AV$43="","",'Deal_Master_Wide'!$AV$43)</x:f>
        <x:v>Not assessed</x:v>
      </x:c>
      <x:c r="E284" s="50" t="n">
        <x:v>1</x:v>
      </x:c>
      <x:c r="F284" s="52" t="str">
        <x:f>IF(OR($C284="High-confidence innovation-driven",$C284="Medium-confidence innovation-driven"),1,IF($C284="Clear alternative-rationale",0,""))</x:f>
      </x:c>
      <x:c r="G284" s="52" t="str">
        <x:f>IF('Deal_Master_Wide'!$M$43="","",'Deal_Master_Wide'!$M$43)</x:f>
        <x:v>Review</x:v>
      </x:c>
      <x:c r="H284" s="50" t="str">
        <x:v>Enara Limited</x:v>
      </x:c>
      <x:c r="I284" s="50" t="str">
        <x:v>Angel Care Services UK Ltd</x:v>
      </x:c>
      <x:c r="J284" s="50" t="n">
        <x:v>2012</x:v>
      </x:c>
      <x:c r="K284" s="50" t="n">
        <x:v>-1</x:v>
      </x:c>
      <x:c r="L284" s="50" t="n">
        <x:v>2011</x:v>
      </x:c>
      <x:c r="M284" s="50" t="n">
        <x:v>0</x:v>
      </x:c>
      <x:c r="N284" s="50" t="n">
        <x:v>0</x:v>
      </x:c>
      <x:c r="O284" s="52" t="str">
        <x:f>IF($F284="","",$F284*$M284)</x:f>
      </x:c>
      <x:c r="P284" s="54" t="str">
        <x:f>IF(ISBLANK('Deal_Master_Wide'!$BR$43),"",'Deal_Master_Wide'!$BR$43)</x:f>
      </x:c>
      <x:c r="Q284" s="54" t="str">
        <x:f>IF(ISBLANK('Deal_Master_Wide'!$BY$43),"",'Deal_Master_Wide'!$BY$43)</x:f>
      </x:c>
      <x:c r="R284" s="54" t="str">
        <x:f>IF(ISBLANK('Deal_Master_Wide'!$CF$43),"",'Deal_Master_Wide'!$CF$43)</x:f>
      </x:c>
      <x:c r="S284" s="54" t="str">
        <x:f>IF(ISBLANK('Deal_Master_Wide'!$CM$43),"",'Deal_Master_Wide'!$CM$43)</x:f>
      </x:c>
      <x:c r="T284" s="54" t="str">
        <x:f>IF(ISBLANK('Deal_Master_Wide'!$CT$43),"",'Deal_Master_Wide'!$CT$43)</x:f>
      </x:c>
      <x:c r="U284" s="54" t="str">
        <x:f>IF(ISBLANK('Deal_Master_Wide'!$DA$43),"",'Deal_Master_Wide'!$DA$43)</x:f>
      </x:c>
      <x:c r="V284" s="56" t="str">
        <x:f>IF(ISBLANK('Deal_Master_Wide'!$DH$43),"",'Deal_Master_Wide'!$DH$43)</x:f>
      </x:c>
      <x:c r="W284" s="56" t="str">
        <x:f>IF(ISBLANK('Deal_Master_Wide'!$DO$43),"",'Deal_Master_Wide'!$DO$43)</x:f>
      </x:c>
      <x:c r="X284" s="56" t="str">
        <x:f>IF(ISBLANK('Deal_Master_Wide'!$DV$43),"",'Deal_Master_Wide'!$DV$43)</x:f>
      </x:c>
      <x:c r="Y284" s="54" t="str">
        <x:f>IF(ISBLANK('Deal_Master_Wide'!$EC$43),"",'Deal_Master_Wide'!$EC$43)</x:f>
      </x:c>
      <x:c r="Z284" s="54" t="str">
        <x:f>IF(ISBLANK('Deal_Master_Wide'!$EJ$43),"",'Deal_Master_Wide'!$EJ$43)</x:f>
      </x:c>
      <x:c r="AA284" s="52" t="str">
        <x:f>IF(ISBLANK('Deal_Master_Wide'!$AL$43),"",'Deal_Master_Wide'!$AL$43)</x:f>
        <x:v>Unknown</x:v>
      </x:c>
      <x:c r="AB284" s="54" t="str">
        <x:f>IF(ISBLANK('Deal_Master_Wide'!$AF$43),"",'Deal_Master_Wide'!$AF$43)</x:f>
      </x:c>
      <x:c r="AC284" s="52" t="str">
        <x:f>IF(COUNT($P284,$Q284,$R284,$S284,$T284,$U284,$V284,$W284,$X284)=9,"Yes","No")</x:f>
        <x:v>No</x:v>
      </x:c>
      <x:c r="AD284" s="52" t="str">
        <x:f>IF(COUNT($Y284,$Z284)=2,"Yes","No")</x:f>
        <x:v>No</x:v>
      </x:c>
      <x:c r="AE284" s="50" t="str"/>
      <x:c r="AF284" t="str"/>
    </x:row>
    <x:row r="285" ht="20" customHeight="1">
      <x:c r="A285" s="50" t="str">
        <x:v>TRT-0041</x:v>
      </x:c>
      <x:c r="B285" s="50" t="str">
        <x:v>Candidate treatment group</x:v>
      </x:c>
      <x:c r="C285" s="52" t="str">
        <x:f>IF('Deal_Master_Wide'!$AU$43="","",'Deal_Master_Wide'!$AU$43)</x:f>
        <x:v>Not reviewed</x:v>
      </x:c>
      <x:c r="D285" s="52" t="str">
        <x:f>IF('Deal_Master_Wide'!$AV$43="","",'Deal_Master_Wide'!$AV$43)</x:f>
        <x:v>Not assessed</x:v>
      </x:c>
      <x:c r="E285" s="50" t="n">
        <x:v>1</x:v>
      </x:c>
      <x:c r="F285" s="52" t="str">
        <x:f>IF(OR($C285="High-confidence innovation-driven",$C285="Medium-confidence innovation-driven"),1,IF($C285="Clear alternative-rationale",0,""))</x:f>
      </x:c>
      <x:c r="G285" s="52" t="str">
        <x:f>IF('Deal_Master_Wide'!$M$43="","",'Deal_Master_Wide'!$M$43)</x:f>
        <x:v>Review</x:v>
      </x:c>
      <x:c r="H285" s="50" t="str">
        <x:v>Enara Limited</x:v>
      </x:c>
      <x:c r="I285" s="50" t="str">
        <x:v>Angel Care Services UK Ltd</x:v>
      </x:c>
      <x:c r="J285" s="50" t="n">
        <x:v>2012</x:v>
      </x:c>
      <x:c r="K285" s="50" t="n">
        <x:v>0</x:v>
      </x:c>
      <x:c r="L285" s="50" t="n">
        <x:v>2012</x:v>
      </x:c>
      <x:c r="M285" s="50" t="n">
        <x:v>0</x:v>
      </x:c>
      <x:c r="N285" s="50" t="n">
        <x:v>1</x:v>
      </x:c>
      <x:c r="O285" s="52" t="str">
        <x:f>IF($F285="","",$F285*$M285)</x:f>
      </x:c>
      <x:c r="P285" s="54" t="str">
        <x:f>IF(ISBLANK('Deal_Master_Wide'!$BS$43),"",'Deal_Master_Wide'!$BS$43)</x:f>
      </x:c>
      <x:c r="Q285" s="54" t="str">
        <x:f>IF(ISBLANK('Deal_Master_Wide'!$BZ$43),"",'Deal_Master_Wide'!$BZ$43)</x:f>
      </x:c>
      <x:c r="R285" s="54" t="str">
        <x:f>IF(ISBLANK('Deal_Master_Wide'!$CG$43),"",'Deal_Master_Wide'!$CG$43)</x:f>
      </x:c>
      <x:c r="S285" s="54" t="str">
        <x:f>IF(ISBLANK('Deal_Master_Wide'!$CN$43),"",'Deal_Master_Wide'!$CN$43)</x:f>
      </x:c>
      <x:c r="T285" s="54" t="str">
        <x:f>IF(ISBLANK('Deal_Master_Wide'!$CU$43),"",'Deal_Master_Wide'!$CU$43)</x:f>
      </x:c>
      <x:c r="U285" s="54" t="str">
        <x:f>IF(ISBLANK('Deal_Master_Wide'!$DB$43),"",'Deal_Master_Wide'!$DB$43)</x:f>
      </x:c>
      <x:c r="V285" s="56" t="str">
        <x:f>IF(ISBLANK('Deal_Master_Wide'!$DI$43),"",'Deal_Master_Wide'!$DI$43)</x:f>
      </x:c>
      <x:c r="W285" s="56" t="str">
        <x:f>IF(ISBLANK('Deal_Master_Wide'!$DP$43),"",'Deal_Master_Wide'!$DP$43)</x:f>
      </x:c>
      <x:c r="X285" s="56" t="str">
        <x:f>IF(ISBLANK('Deal_Master_Wide'!$DW$43),"",'Deal_Master_Wide'!$DW$43)</x:f>
      </x:c>
      <x:c r="Y285" s="54" t="str">
        <x:f>IF(ISBLANK('Deal_Master_Wide'!$ED$43),"",'Deal_Master_Wide'!$ED$43)</x:f>
      </x:c>
      <x:c r="Z285" s="54" t="str">
        <x:f>IF(ISBLANK('Deal_Master_Wide'!$EK$43),"",'Deal_Master_Wide'!$EK$43)</x:f>
      </x:c>
      <x:c r="AA285" s="52" t="str">
        <x:f>IF(ISBLANK('Deal_Master_Wide'!$AL$43),"",'Deal_Master_Wide'!$AL$43)</x:f>
        <x:v>Unknown</x:v>
      </x:c>
      <x:c r="AB285" s="54" t="str">
        <x:f>IF(ISBLANK('Deal_Master_Wide'!$AF$43),"",'Deal_Master_Wide'!$AF$43)</x:f>
      </x:c>
      <x:c r="AC285" s="52" t="str">
        <x:f>IF(COUNT($P285,$Q285,$R285,$S285,$T285,$U285,$V285,$W285,$X285)=9,"Yes","No")</x:f>
        <x:v>No</x:v>
      </x:c>
      <x:c r="AD285" s="52" t="str">
        <x:f>IF(COUNT($Y285,$Z285)=2,"Yes","No")</x:f>
        <x:v>No</x:v>
      </x:c>
      <x:c r="AE285" s="50" t="str"/>
      <x:c r="AF285" t="str"/>
    </x:row>
    <x:row r="286" ht="20" customHeight="1">
      <x:c r="A286" s="50" t="str">
        <x:v>TRT-0041</x:v>
      </x:c>
      <x:c r="B286" s="50" t="str">
        <x:v>Candidate treatment group</x:v>
      </x:c>
      <x:c r="C286" s="52" t="str">
        <x:f>IF('Deal_Master_Wide'!$AU$43="","",'Deal_Master_Wide'!$AU$43)</x:f>
        <x:v>Not reviewed</x:v>
      </x:c>
      <x:c r="D286" s="52" t="str">
        <x:f>IF('Deal_Master_Wide'!$AV$43="","",'Deal_Master_Wide'!$AV$43)</x:f>
        <x:v>Not assessed</x:v>
      </x:c>
      <x:c r="E286" s="50" t="n">
        <x:v>1</x:v>
      </x:c>
      <x:c r="F286" s="52" t="str">
        <x:f>IF(OR($C286="High-confidence innovation-driven",$C286="Medium-confidence innovation-driven"),1,IF($C286="Clear alternative-rationale",0,""))</x:f>
      </x:c>
      <x:c r="G286" s="52" t="str">
        <x:f>IF('Deal_Master_Wide'!$M$43="","",'Deal_Master_Wide'!$M$43)</x:f>
        <x:v>Review</x:v>
      </x:c>
      <x:c r="H286" s="50" t="str">
        <x:v>Enara Limited</x:v>
      </x:c>
      <x:c r="I286" s="50" t="str">
        <x:v>Angel Care Services UK Ltd</x:v>
      </x:c>
      <x:c r="J286" s="50" t="n">
        <x:v>2012</x:v>
      </x:c>
      <x:c r="K286" s="50" t="n">
        <x:v>1</x:v>
      </x:c>
      <x:c r="L286" s="50" t="n">
        <x:v>2013</x:v>
      </x:c>
      <x:c r="M286" s="50" t="n">
        <x:v>1</x:v>
      </x:c>
      <x:c r="N286" s="50" t="n">
        <x:v>1</x:v>
      </x:c>
      <x:c r="O286" s="52" t="str">
        <x:f>IF($F286="","",$F286*$M286)</x:f>
      </x:c>
      <x:c r="P286" s="54" t="str">
        <x:f>IF(ISBLANK('Deal_Master_Wide'!$BT$43),"",'Deal_Master_Wide'!$BT$43)</x:f>
      </x:c>
      <x:c r="Q286" s="54" t="str">
        <x:f>IF(ISBLANK('Deal_Master_Wide'!$CA$43),"",'Deal_Master_Wide'!$CA$43)</x:f>
      </x:c>
      <x:c r="R286" s="54" t="str">
        <x:f>IF(ISBLANK('Deal_Master_Wide'!$CH$43),"",'Deal_Master_Wide'!$CH$43)</x:f>
      </x:c>
      <x:c r="S286" s="54" t="str">
        <x:f>IF(ISBLANK('Deal_Master_Wide'!$CO$43),"",'Deal_Master_Wide'!$CO$43)</x:f>
      </x:c>
      <x:c r="T286" s="54" t="str">
        <x:f>IF(ISBLANK('Deal_Master_Wide'!$CV$43),"",'Deal_Master_Wide'!$CV$43)</x:f>
      </x:c>
      <x:c r="U286" s="54" t="str">
        <x:f>IF(ISBLANK('Deal_Master_Wide'!$DC$43),"",'Deal_Master_Wide'!$DC$43)</x:f>
      </x:c>
      <x:c r="V286" s="56" t="str">
        <x:f>IF(ISBLANK('Deal_Master_Wide'!$DJ$43),"",'Deal_Master_Wide'!$DJ$43)</x:f>
      </x:c>
      <x:c r="W286" s="56" t="str">
        <x:f>IF(ISBLANK('Deal_Master_Wide'!$DQ$43),"",'Deal_Master_Wide'!$DQ$43)</x:f>
      </x:c>
      <x:c r="X286" s="56" t="str">
        <x:f>IF(ISBLANK('Deal_Master_Wide'!$DX$43),"",'Deal_Master_Wide'!$DX$43)</x:f>
      </x:c>
      <x:c r="Y286" s="54" t="str">
        <x:f>IF(ISBLANK('Deal_Master_Wide'!$EE$43),"",'Deal_Master_Wide'!$EE$43)</x:f>
      </x:c>
      <x:c r="Z286" s="54" t="str">
        <x:f>IF(ISBLANK('Deal_Master_Wide'!$EL$43),"",'Deal_Master_Wide'!$EL$43)</x:f>
      </x:c>
      <x:c r="AA286" s="52" t="str">
        <x:f>IF(ISBLANK('Deal_Master_Wide'!$AL$43),"",'Deal_Master_Wide'!$AL$43)</x:f>
        <x:v>Unknown</x:v>
      </x:c>
      <x:c r="AB286" s="54" t="str">
        <x:f>IF(ISBLANK('Deal_Master_Wide'!$AF$43),"",'Deal_Master_Wide'!$AF$43)</x:f>
      </x:c>
      <x:c r="AC286" s="52" t="str">
        <x:f>IF(COUNT($P286,$Q286,$R286,$S286,$T286,$U286,$V286,$W286,$X286)=9,"Yes","No")</x:f>
        <x:v>No</x:v>
      </x:c>
      <x:c r="AD286" s="52" t="str">
        <x:f>IF(COUNT($Y286,$Z286)=2,"Yes","No")</x:f>
        <x:v>No</x:v>
      </x:c>
      <x:c r="AE286" s="50" t="str"/>
      <x:c r="AF286" t="str"/>
    </x:row>
    <x:row r="287" ht="20" customHeight="1">
      <x:c r="A287" s="50" t="str">
        <x:v>TRT-0041</x:v>
      </x:c>
      <x:c r="B287" s="50" t="str">
        <x:v>Candidate treatment group</x:v>
      </x:c>
      <x:c r="C287" s="52" t="str">
        <x:f>IF('Deal_Master_Wide'!$AU$43="","",'Deal_Master_Wide'!$AU$43)</x:f>
        <x:v>Not reviewed</x:v>
      </x:c>
      <x:c r="D287" s="52" t="str">
        <x:f>IF('Deal_Master_Wide'!$AV$43="","",'Deal_Master_Wide'!$AV$43)</x:f>
        <x:v>Not assessed</x:v>
      </x:c>
      <x:c r="E287" s="50" t="n">
        <x:v>1</x:v>
      </x:c>
      <x:c r="F287" s="52" t="str">
        <x:f>IF(OR($C287="High-confidence innovation-driven",$C287="Medium-confidence innovation-driven"),1,IF($C287="Clear alternative-rationale",0,""))</x:f>
      </x:c>
      <x:c r="G287" s="52" t="str">
        <x:f>IF('Deal_Master_Wide'!$M$43="","",'Deal_Master_Wide'!$M$43)</x:f>
        <x:v>Review</x:v>
      </x:c>
      <x:c r="H287" s="50" t="str">
        <x:v>Enara Limited</x:v>
      </x:c>
      <x:c r="I287" s="50" t="str">
        <x:v>Angel Care Services UK Ltd</x:v>
      </x:c>
      <x:c r="J287" s="50" t="n">
        <x:v>2012</x:v>
      </x:c>
      <x:c r="K287" s="50" t="n">
        <x:v>2</x:v>
      </x:c>
      <x:c r="L287" s="50" t="n">
        <x:v>2014</x:v>
      </x:c>
      <x:c r="M287" s="50" t="n">
        <x:v>1</x:v>
      </x:c>
      <x:c r="N287" s="50" t="n">
        <x:v>1</x:v>
      </x:c>
      <x:c r="O287" s="52" t="str">
        <x:f>IF($F287="","",$F287*$M287)</x:f>
      </x:c>
      <x:c r="P287" s="54" t="str">
        <x:f>IF(ISBLANK('Deal_Master_Wide'!$BU$43),"",'Deal_Master_Wide'!$BU$43)</x:f>
      </x:c>
      <x:c r="Q287" s="54" t="str">
        <x:f>IF(ISBLANK('Deal_Master_Wide'!$CB$43),"",'Deal_Master_Wide'!$CB$43)</x:f>
      </x:c>
      <x:c r="R287" s="54" t="str">
        <x:f>IF(ISBLANK('Deal_Master_Wide'!$CI$43),"",'Deal_Master_Wide'!$CI$43)</x:f>
      </x:c>
      <x:c r="S287" s="54" t="str">
        <x:f>IF(ISBLANK('Deal_Master_Wide'!$CP$43),"",'Deal_Master_Wide'!$CP$43)</x:f>
      </x:c>
      <x:c r="T287" s="54" t="str">
        <x:f>IF(ISBLANK('Deal_Master_Wide'!$CW$43),"",'Deal_Master_Wide'!$CW$43)</x:f>
      </x:c>
      <x:c r="U287" s="54" t="str">
        <x:f>IF(ISBLANK('Deal_Master_Wide'!$DD$43),"",'Deal_Master_Wide'!$DD$43)</x:f>
      </x:c>
      <x:c r="V287" s="56" t="str">
        <x:f>IF(ISBLANK('Deal_Master_Wide'!$DK$43),"",'Deal_Master_Wide'!$DK$43)</x:f>
      </x:c>
      <x:c r="W287" s="56" t="str">
        <x:f>IF(ISBLANK('Deal_Master_Wide'!$DR$43),"",'Deal_Master_Wide'!$DR$43)</x:f>
      </x:c>
      <x:c r="X287" s="56" t="str">
        <x:f>IF(ISBLANK('Deal_Master_Wide'!$DY$43),"",'Deal_Master_Wide'!$DY$43)</x:f>
      </x:c>
      <x:c r="Y287" s="54" t="str">
        <x:f>IF(ISBLANK('Deal_Master_Wide'!$EF$43),"",'Deal_Master_Wide'!$EF$43)</x:f>
      </x:c>
      <x:c r="Z287" s="54" t="str">
        <x:f>IF(ISBLANK('Deal_Master_Wide'!$EM$43),"",'Deal_Master_Wide'!$EM$43)</x:f>
      </x:c>
      <x:c r="AA287" s="52" t="str">
        <x:f>IF(ISBLANK('Deal_Master_Wide'!$AL$43),"",'Deal_Master_Wide'!$AL$43)</x:f>
        <x:v>Unknown</x:v>
      </x:c>
      <x:c r="AB287" s="54" t="str">
        <x:f>IF(ISBLANK('Deal_Master_Wide'!$AF$43),"",'Deal_Master_Wide'!$AF$43)</x:f>
      </x:c>
      <x:c r="AC287" s="52" t="str">
        <x:f>IF(COUNT($P287,$Q287,$R287,$S287,$T287,$U287,$V287,$W287,$X287)=9,"Yes","No")</x:f>
        <x:v>No</x:v>
      </x:c>
      <x:c r="AD287" s="52" t="str">
        <x:f>IF(COUNT($Y287,$Z287)=2,"Yes","No")</x:f>
        <x:v>No</x:v>
      </x:c>
      <x:c r="AE287" s="50" t="str"/>
      <x:c r="AF287" t="str"/>
    </x:row>
    <x:row r="288" ht="20" customHeight="1">
      <x:c r="A288" s="50" t="str">
        <x:v>TRT-0041</x:v>
      </x:c>
      <x:c r="B288" s="50" t="str">
        <x:v>Candidate treatment group</x:v>
      </x:c>
      <x:c r="C288" s="52" t="str">
        <x:f>IF('Deal_Master_Wide'!$AU$43="","",'Deal_Master_Wide'!$AU$43)</x:f>
        <x:v>Not reviewed</x:v>
      </x:c>
      <x:c r="D288" s="52" t="str">
        <x:f>IF('Deal_Master_Wide'!$AV$43="","",'Deal_Master_Wide'!$AV$43)</x:f>
        <x:v>Not assessed</x:v>
      </x:c>
      <x:c r="E288" s="50" t="n">
        <x:v>1</x:v>
      </x:c>
      <x:c r="F288" s="52" t="str">
        <x:f>IF(OR($C288="High-confidence innovation-driven",$C288="Medium-confidence innovation-driven"),1,IF($C288="Clear alternative-rationale",0,""))</x:f>
      </x:c>
      <x:c r="G288" s="52" t="str">
        <x:f>IF('Deal_Master_Wide'!$M$43="","",'Deal_Master_Wide'!$M$43)</x:f>
        <x:v>Review</x:v>
      </x:c>
      <x:c r="H288" s="50" t="str">
        <x:v>Enara Limited</x:v>
      </x:c>
      <x:c r="I288" s="50" t="str">
        <x:v>Angel Care Services UK Ltd</x:v>
      </x:c>
      <x:c r="J288" s="50" t="n">
        <x:v>2012</x:v>
      </x:c>
      <x:c r="K288" s="50" t="n">
        <x:v>3</x:v>
      </x:c>
      <x:c r="L288" s="50" t="n">
        <x:v>2015</x:v>
      </x:c>
      <x:c r="M288" s="50" t="n">
        <x:v>1</x:v>
      </x:c>
      <x:c r="N288" s="50" t="n">
        <x:v>1</x:v>
      </x:c>
      <x:c r="O288" s="52" t="str">
        <x:f>IF($F288="","",$F288*$M288)</x:f>
      </x:c>
      <x:c r="P288" s="54" t="str">
        <x:f>IF(ISBLANK('Deal_Master_Wide'!$BV$43),"",'Deal_Master_Wide'!$BV$43)</x:f>
      </x:c>
      <x:c r="Q288" s="54" t="str">
        <x:f>IF(ISBLANK('Deal_Master_Wide'!$CC$43),"",'Deal_Master_Wide'!$CC$43)</x:f>
      </x:c>
      <x:c r="R288" s="54" t="str">
        <x:f>IF(ISBLANK('Deal_Master_Wide'!$CJ$43),"",'Deal_Master_Wide'!$CJ$43)</x:f>
      </x:c>
      <x:c r="S288" s="54" t="str">
        <x:f>IF(ISBLANK('Deal_Master_Wide'!$CQ$43),"",'Deal_Master_Wide'!$CQ$43)</x:f>
      </x:c>
      <x:c r="T288" s="54" t="str">
        <x:f>IF(ISBLANK('Deal_Master_Wide'!$CX$43),"",'Deal_Master_Wide'!$CX$43)</x:f>
      </x:c>
      <x:c r="U288" s="54" t="str">
        <x:f>IF(ISBLANK('Deal_Master_Wide'!$DE$43),"",'Deal_Master_Wide'!$DE$43)</x:f>
      </x:c>
      <x:c r="V288" s="56" t="str">
        <x:f>IF(ISBLANK('Deal_Master_Wide'!$DL$43),"",'Deal_Master_Wide'!$DL$43)</x:f>
      </x:c>
      <x:c r="W288" s="56" t="str">
        <x:f>IF(ISBLANK('Deal_Master_Wide'!$DS$43),"",'Deal_Master_Wide'!$DS$43)</x:f>
      </x:c>
      <x:c r="X288" s="56" t="str">
        <x:f>IF(ISBLANK('Deal_Master_Wide'!$DZ$43),"",'Deal_Master_Wide'!$DZ$43)</x:f>
      </x:c>
      <x:c r="Y288" s="54" t="str">
        <x:f>IF(ISBLANK('Deal_Master_Wide'!$EG$43),"",'Deal_Master_Wide'!$EG$43)</x:f>
      </x:c>
      <x:c r="Z288" s="54" t="str">
        <x:f>IF(ISBLANK('Deal_Master_Wide'!$EN$43),"",'Deal_Master_Wide'!$EN$43)</x:f>
      </x:c>
      <x:c r="AA288" s="52" t="str">
        <x:f>IF(ISBLANK('Deal_Master_Wide'!$AL$43),"",'Deal_Master_Wide'!$AL$43)</x:f>
        <x:v>Unknown</x:v>
      </x:c>
      <x:c r="AB288" s="54" t="str">
        <x:f>IF(ISBLANK('Deal_Master_Wide'!$AF$43),"",'Deal_Master_Wide'!$AF$43)</x:f>
      </x:c>
      <x:c r="AC288" s="52" t="str">
        <x:f>IF(COUNT($P288,$Q288,$R288,$S288,$T288,$U288,$V288,$W288,$X288)=9,"Yes","No")</x:f>
        <x:v>No</x:v>
      </x:c>
      <x:c r="AD288" s="52" t="str">
        <x:f>IF(COUNT($Y288,$Z288)=2,"Yes","No")</x:f>
        <x:v>No</x:v>
      </x:c>
      <x:c r="AE288" s="50" t="str"/>
      <x:c r="AF288" t="str"/>
    </x:row>
    <x:row r="289" ht="20" customHeight="1">
      <x:c r="A289" s="50" t="str">
        <x:v>TRT-0042</x:v>
      </x:c>
      <x:c r="B289" s="50" t="str">
        <x:v>Candidate treatment group</x:v>
      </x:c>
      <x:c r="C289" s="52" t="str">
        <x:f>IF('Deal_Master_Wide'!$AU$44="","",'Deal_Master_Wide'!$AU$44)</x:f>
        <x:v>Not reviewed</x:v>
      </x:c>
      <x:c r="D289" s="52" t="str">
        <x:f>IF('Deal_Master_Wide'!$AV$44="","",'Deal_Master_Wide'!$AV$44)</x:f>
        <x:v>Not assessed</x:v>
      </x:c>
      <x:c r="E289" s="50" t="n">
        <x:v>1</x:v>
      </x:c>
      <x:c r="F289" s="52" t="str">
        <x:f>IF(OR($C289="High-confidence innovation-driven",$C289="Medium-confidence innovation-driven"),1,IF($C289="Clear alternative-rationale",0,""))</x:f>
      </x:c>
      <x:c r="G289" s="52" t="str">
        <x:f>IF('Deal_Master_Wide'!$M$44="","",'Deal_Master_Wide'!$M$44)</x:f>
        <x:v>Review</x:v>
      </x:c>
      <x:c r="H289" s="50" t="str">
        <x:v>Agilent Technologies, Inc.</x:v>
      </x:c>
      <x:c r="I289" s="50" t="str">
        <x:v>Dako A/S</x:v>
      </x:c>
      <x:c r="J289" s="50" t="n">
        <x:v>2012</x:v>
      </x:c>
      <x:c r="K289" s="50" t="n">
        <x:v>-3</x:v>
      </x:c>
      <x:c r="L289" s="50" t="n">
        <x:v>2009</x:v>
      </x:c>
      <x:c r="M289" s="50" t="n">
        <x:v>0</x:v>
      </x:c>
      <x:c r="N289" s="50" t="n">
        <x:v>0</x:v>
      </x:c>
      <x:c r="O289" s="52" t="str">
        <x:f>IF($F289="","",$F289*$M289)</x:f>
      </x:c>
      <x:c r="P289" s="54" t="str">
        <x:f>IF(ISBLANK('Deal_Master_Wide'!$BP$44),"",'Deal_Master_Wide'!$BP$44)</x:f>
      </x:c>
      <x:c r="Q289" s="54" t="str">
        <x:f>IF(ISBLANK('Deal_Master_Wide'!$BW$44),"",'Deal_Master_Wide'!$BW$44)</x:f>
      </x:c>
      <x:c r="R289" s="54" t="str">
        <x:f>IF(ISBLANK('Deal_Master_Wide'!$CD$44),"",'Deal_Master_Wide'!$CD$44)</x:f>
      </x:c>
      <x:c r="S289" s="54" t="str">
        <x:f>IF(ISBLANK('Deal_Master_Wide'!$CK$44),"",'Deal_Master_Wide'!$CK$44)</x:f>
      </x:c>
      <x:c r="T289" s="54" t="str">
        <x:f>IF(ISBLANK('Deal_Master_Wide'!$CR$44),"",'Deal_Master_Wide'!$CR$44)</x:f>
      </x:c>
      <x:c r="U289" s="54" t="str">
        <x:f>IF(ISBLANK('Deal_Master_Wide'!$CY$44),"",'Deal_Master_Wide'!$CY$44)</x:f>
      </x:c>
      <x:c r="V289" s="56" t="str">
        <x:f>IF(ISBLANK('Deal_Master_Wide'!$DF$44),"",'Deal_Master_Wide'!$DF$44)</x:f>
      </x:c>
      <x:c r="W289" s="56" t="str">
        <x:f>IF(ISBLANK('Deal_Master_Wide'!$DM$44),"",'Deal_Master_Wide'!$DM$44)</x:f>
      </x:c>
      <x:c r="X289" s="56" t="str">
        <x:f>IF(ISBLANK('Deal_Master_Wide'!$DT$44),"",'Deal_Master_Wide'!$DT$44)</x:f>
      </x:c>
      <x:c r="Y289" s="54" t="str">
        <x:f>IF(ISBLANK('Deal_Master_Wide'!$EA$44),"",'Deal_Master_Wide'!$EA$44)</x:f>
      </x:c>
      <x:c r="Z289" s="54" t="str">
        <x:f>IF(ISBLANK('Deal_Master_Wide'!$EH$44),"",'Deal_Master_Wide'!$EH$44)</x:f>
      </x:c>
      <x:c r="AA289" s="52" t="str">
        <x:f>IF(ISBLANK('Deal_Master_Wide'!$AL$44),"",'Deal_Master_Wide'!$AL$44)</x:f>
        <x:v>Unknown</x:v>
      </x:c>
      <x:c r="AB289" s="54" t="n">
        <x:f>IF(ISBLANK('Deal_Master_Wide'!$AF$44),"",'Deal_Master_Wide'!$AF$44)</x:f>
        <x:v>2200</x:v>
      </x:c>
      <x:c r="AC289" s="52" t="str">
        <x:f>IF(COUNT($P289,$Q289,$R289,$S289,$T289,$U289,$V289,$W289,$X289)=9,"Yes","No")</x:f>
        <x:v>No</x:v>
      </x:c>
      <x:c r="AD289" s="52" t="str">
        <x:f>IF(COUNT($Y289,$Z289)=2,"Yes","No")</x:f>
        <x:v>No</x:v>
      </x:c>
      <x:c r="AE289" s="50" t="str"/>
      <x:c r="AF289" t="str"/>
    </x:row>
    <x:row r="290" ht="20" customHeight="1">
      <x:c r="A290" s="50" t="str">
        <x:v>TRT-0042</x:v>
      </x:c>
      <x:c r="B290" s="50" t="str">
        <x:v>Candidate treatment group</x:v>
      </x:c>
      <x:c r="C290" s="52" t="str">
        <x:f>IF('Deal_Master_Wide'!$AU$44="","",'Deal_Master_Wide'!$AU$44)</x:f>
        <x:v>Not reviewed</x:v>
      </x:c>
      <x:c r="D290" s="52" t="str">
        <x:f>IF('Deal_Master_Wide'!$AV$44="","",'Deal_Master_Wide'!$AV$44)</x:f>
        <x:v>Not assessed</x:v>
      </x:c>
      <x:c r="E290" s="50" t="n">
        <x:v>1</x:v>
      </x:c>
      <x:c r="F290" s="52" t="str">
        <x:f>IF(OR($C290="High-confidence innovation-driven",$C290="Medium-confidence innovation-driven"),1,IF($C290="Clear alternative-rationale",0,""))</x:f>
      </x:c>
      <x:c r="G290" s="52" t="str">
        <x:f>IF('Deal_Master_Wide'!$M$44="","",'Deal_Master_Wide'!$M$44)</x:f>
        <x:v>Review</x:v>
      </x:c>
      <x:c r="H290" s="50" t="str">
        <x:v>Agilent Technologies, Inc.</x:v>
      </x:c>
      <x:c r="I290" s="50" t="str">
        <x:v>Dako A/S</x:v>
      </x:c>
      <x:c r="J290" s="50" t="n">
        <x:v>2012</x:v>
      </x:c>
      <x:c r="K290" s="50" t="n">
        <x:v>-2</x:v>
      </x:c>
      <x:c r="L290" s="50" t="n">
        <x:v>2010</x:v>
      </x:c>
      <x:c r="M290" s="50" t="n">
        <x:v>0</x:v>
      </x:c>
      <x:c r="N290" s="50" t="n">
        <x:v>0</x:v>
      </x:c>
      <x:c r="O290" s="52" t="str">
        <x:f>IF($F290="","",$F290*$M290)</x:f>
      </x:c>
      <x:c r="P290" s="54" t="str">
        <x:f>IF(ISBLANK('Deal_Master_Wide'!$BQ$44),"",'Deal_Master_Wide'!$BQ$44)</x:f>
      </x:c>
      <x:c r="Q290" s="54" t="str">
        <x:f>IF(ISBLANK('Deal_Master_Wide'!$BX$44),"",'Deal_Master_Wide'!$BX$44)</x:f>
      </x:c>
      <x:c r="R290" s="54" t="str">
        <x:f>IF(ISBLANK('Deal_Master_Wide'!$CE$44),"",'Deal_Master_Wide'!$CE$44)</x:f>
      </x:c>
      <x:c r="S290" s="54" t="str">
        <x:f>IF(ISBLANK('Deal_Master_Wide'!$CL$44),"",'Deal_Master_Wide'!$CL$44)</x:f>
      </x:c>
      <x:c r="T290" s="54" t="str">
        <x:f>IF(ISBLANK('Deal_Master_Wide'!$CS$44),"",'Deal_Master_Wide'!$CS$44)</x:f>
      </x:c>
      <x:c r="U290" s="54" t="str">
        <x:f>IF(ISBLANK('Deal_Master_Wide'!$CZ$44),"",'Deal_Master_Wide'!$CZ$44)</x:f>
      </x:c>
      <x:c r="V290" s="56" t="str">
        <x:f>IF(ISBLANK('Deal_Master_Wide'!$DG$44),"",'Deal_Master_Wide'!$DG$44)</x:f>
      </x:c>
      <x:c r="W290" s="56" t="str">
        <x:f>IF(ISBLANK('Deal_Master_Wide'!$DN$44),"",'Deal_Master_Wide'!$DN$44)</x:f>
      </x:c>
      <x:c r="X290" s="56" t="str">
        <x:f>IF(ISBLANK('Deal_Master_Wide'!$DU$44),"",'Deal_Master_Wide'!$DU$44)</x:f>
      </x:c>
      <x:c r="Y290" s="54" t="str">
        <x:f>IF(ISBLANK('Deal_Master_Wide'!$EB$44),"",'Deal_Master_Wide'!$EB$44)</x:f>
      </x:c>
      <x:c r="Z290" s="54" t="str">
        <x:f>IF(ISBLANK('Deal_Master_Wide'!$EI$44),"",'Deal_Master_Wide'!$EI$44)</x:f>
      </x:c>
      <x:c r="AA290" s="52" t="str">
        <x:f>IF(ISBLANK('Deal_Master_Wide'!$AL$44),"",'Deal_Master_Wide'!$AL$44)</x:f>
        <x:v>Unknown</x:v>
      </x:c>
      <x:c r="AB290" s="54" t="n">
        <x:f>IF(ISBLANK('Deal_Master_Wide'!$AF$44),"",'Deal_Master_Wide'!$AF$44)</x:f>
        <x:v>2200</x:v>
      </x:c>
      <x:c r="AC290" s="52" t="str">
        <x:f>IF(COUNT($P290,$Q290,$R290,$S290,$T290,$U290,$V290,$W290,$X290)=9,"Yes","No")</x:f>
        <x:v>No</x:v>
      </x:c>
      <x:c r="AD290" s="52" t="str">
        <x:f>IF(COUNT($Y290,$Z290)=2,"Yes","No")</x:f>
        <x:v>No</x:v>
      </x:c>
      <x:c r="AE290" s="50" t="str"/>
      <x:c r="AF290" t="str"/>
    </x:row>
    <x:row r="291" ht="20" customHeight="1">
      <x:c r="A291" s="50" t="str">
        <x:v>TRT-0042</x:v>
      </x:c>
      <x:c r="B291" s="50" t="str">
        <x:v>Candidate treatment group</x:v>
      </x:c>
      <x:c r="C291" s="52" t="str">
        <x:f>IF('Deal_Master_Wide'!$AU$44="","",'Deal_Master_Wide'!$AU$44)</x:f>
        <x:v>Not reviewed</x:v>
      </x:c>
      <x:c r="D291" s="52" t="str">
        <x:f>IF('Deal_Master_Wide'!$AV$44="","",'Deal_Master_Wide'!$AV$44)</x:f>
        <x:v>Not assessed</x:v>
      </x:c>
      <x:c r="E291" s="50" t="n">
        <x:v>1</x:v>
      </x:c>
      <x:c r="F291" s="52" t="str">
        <x:f>IF(OR($C291="High-confidence innovation-driven",$C291="Medium-confidence innovation-driven"),1,IF($C291="Clear alternative-rationale",0,""))</x:f>
      </x:c>
      <x:c r="G291" s="52" t="str">
        <x:f>IF('Deal_Master_Wide'!$M$44="","",'Deal_Master_Wide'!$M$44)</x:f>
        <x:v>Review</x:v>
      </x:c>
      <x:c r="H291" s="50" t="str">
        <x:v>Agilent Technologies, Inc.</x:v>
      </x:c>
      <x:c r="I291" s="50" t="str">
        <x:v>Dako A/S</x:v>
      </x:c>
      <x:c r="J291" s="50" t="n">
        <x:v>2012</x:v>
      </x:c>
      <x:c r="K291" s="50" t="n">
        <x:v>-1</x:v>
      </x:c>
      <x:c r="L291" s="50" t="n">
        <x:v>2011</x:v>
      </x:c>
      <x:c r="M291" s="50" t="n">
        <x:v>0</x:v>
      </x:c>
      <x:c r="N291" s="50" t="n">
        <x:v>0</x:v>
      </x:c>
      <x:c r="O291" s="52" t="str">
        <x:f>IF($F291="","",$F291*$M291)</x:f>
      </x:c>
      <x:c r="P291" s="54" t="str">
        <x:f>IF(ISBLANK('Deal_Master_Wide'!$BR$44),"",'Deal_Master_Wide'!$BR$44)</x:f>
      </x:c>
      <x:c r="Q291" s="54" t="str">
        <x:f>IF(ISBLANK('Deal_Master_Wide'!$BY$44),"",'Deal_Master_Wide'!$BY$44)</x:f>
      </x:c>
      <x:c r="R291" s="54" t="str">
        <x:f>IF(ISBLANK('Deal_Master_Wide'!$CF$44),"",'Deal_Master_Wide'!$CF$44)</x:f>
      </x:c>
      <x:c r="S291" s="54" t="str">
        <x:f>IF(ISBLANK('Deal_Master_Wide'!$CM$44),"",'Deal_Master_Wide'!$CM$44)</x:f>
      </x:c>
      <x:c r="T291" s="54" t="str">
        <x:f>IF(ISBLANK('Deal_Master_Wide'!$CT$44),"",'Deal_Master_Wide'!$CT$44)</x:f>
      </x:c>
      <x:c r="U291" s="54" t="str">
        <x:f>IF(ISBLANK('Deal_Master_Wide'!$DA$44),"",'Deal_Master_Wide'!$DA$44)</x:f>
      </x:c>
      <x:c r="V291" s="56" t="str">
        <x:f>IF(ISBLANK('Deal_Master_Wide'!$DH$44),"",'Deal_Master_Wide'!$DH$44)</x:f>
      </x:c>
      <x:c r="W291" s="56" t="str">
        <x:f>IF(ISBLANK('Deal_Master_Wide'!$DO$44),"",'Deal_Master_Wide'!$DO$44)</x:f>
      </x:c>
      <x:c r="X291" s="56" t="str">
        <x:f>IF(ISBLANK('Deal_Master_Wide'!$DV$44),"",'Deal_Master_Wide'!$DV$44)</x:f>
      </x:c>
      <x:c r="Y291" s="54" t="str">
        <x:f>IF(ISBLANK('Deal_Master_Wide'!$EC$44),"",'Deal_Master_Wide'!$EC$44)</x:f>
      </x:c>
      <x:c r="Z291" s="54" t="str">
        <x:f>IF(ISBLANK('Deal_Master_Wide'!$EJ$44),"",'Deal_Master_Wide'!$EJ$44)</x:f>
      </x:c>
      <x:c r="AA291" s="52" t="str">
        <x:f>IF(ISBLANK('Deal_Master_Wide'!$AL$44),"",'Deal_Master_Wide'!$AL$44)</x:f>
        <x:v>Unknown</x:v>
      </x:c>
      <x:c r="AB291" s="54" t="n">
        <x:f>IF(ISBLANK('Deal_Master_Wide'!$AF$44),"",'Deal_Master_Wide'!$AF$44)</x:f>
        <x:v>2200</x:v>
      </x:c>
      <x:c r="AC291" s="52" t="str">
        <x:f>IF(COUNT($P291,$Q291,$R291,$S291,$T291,$U291,$V291,$W291,$X291)=9,"Yes","No")</x:f>
        <x:v>No</x:v>
      </x:c>
      <x:c r="AD291" s="52" t="str">
        <x:f>IF(COUNT($Y291,$Z291)=2,"Yes","No")</x:f>
        <x:v>No</x:v>
      </x:c>
      <x:c r="AE291" s="50" t="str"/>
      <x:c r="AF291" t="str"/>
    </x:row>
    <x:row r="292" ht="20" customHeight="1">
      <x:c r="A292" s="50" t="str">
        <x:v>TRT-0042</x:v>
      </x:c>
      <x:c r="B292" s="50" t="str">
        <x:v>Candidate treatment group</x:v>
      </x:c>
      <x:c r="C292" s="52" t="str">
        <x:f>IF('Deal_Master_Wide'!$AU$44="","",'Deal_Master_Wide'!$AU$44)</x:f>
        <x:v>Not reviewed</x:v>
      </x:c>
      <x:c r="D292" s="52" t="str">
        <x:f>IF('Deal_Master_Wide'!$AV$44="","",'Deal_Master_Wide'!$AV$44)</x:f>
        <x:v>Not assessed</x:v>
      </x:c>
      <x:c r="E292" s="50" t="n">
        <x:v>1</x:v>
      </x:c>
      <x:c r="F292" s="52" t="str">
        <x:f>IF(OR($C292="High-confidence innovation-driven",$C292="Medium-confidence innovation-driven"),1,IF($C292="Clear alternative-rationale",0,""))</x:f>
      </x:c>
      <x:c r="G292" s="52" t="str">
        <x:f>IF('Deal_Master_Wide'!$M$44="","",'Deal_Master_Wide'!$M$44)</x:f>
        <x:v>Review</x:v>
      </x:c>
      <x:c r="H292" s="50" t="str">
        <x:v>Agilent Technologies, Inc.</x:v>
      </x:c>
      <x:c r="I292" s="50" t="str">
        <x:v>Dako A/S</x:v>
      </x:c>
      <x:c r="J292" s="50" t="n">
        <x:v>2012</x:v>
      </x:c>
      <x:c r="K292" s="50" t="n">
        <x:v>0</x:v>
      </x:c>
      <x:c r="L292" s="50" t="n">
        <x:v>2012</x:v>
      </x:c>
      <x:c r="M292" s="50" t="n">
        <x:v>0</x:v>
      </x:c>
      <x:c r="N292" s="50" t="n">
        <x:v>1</x:v>
      </x:c>
      <x:c r="O292" s="52" t="str">
        <x:f>IF($F292="","",$F292*$M292)</x:f>
      </x:c>
      <x:c r="P292" s="54" t="str">
        <x:f>IF(ISBLANK('Deal_Master_Wide'!$BS$44),"",'Deal_Master_Wide'!$BS$44)</x:f>
      </x:c>
      <x:c r="Q292" s="54" t="str">
        <x:f>IF(ISBLANK('Deal_Master_Wide'!$BZ$44),"",'Deal_Master_Wide'!$BZ$44)</x:f>
      </x:c>
      <x:c r="R292" s="54" t="str">
        <x:f>IF(ISBLANK('Deal_Master_Wide'!$CG$44),"",'Deal_Master_Wide'!$CG$44)</x:f>
      </x:c>
      <x:c r="S292" s="54" t="str">
        <x:f>IF(ISBLANK('Deal_Master_Wide'!$CN$44),"",'Deal_Master_Wide'!$CN$44)</x:f>
      </x:c>
      <x:c r="T292" s="54" t="str">
        <x:f>IF(ISBLANK('Deal_Master_Wide'!$CU$44),"",'Deal_Master_Wide'!$CU$44)</x:f>
      </x:c>
      <x:c r="U292" s="54" t="str">
        <x:f>IF(ISBLANK('Deal_Master_Wide'!$DB$44),"",'Deal_Master_Wide'!$DB$44)</x:f>
      </x:c>
      <x:c r="V292" s="56" t="str">
        <x:f>IF(ISBLANK('Deal_Master_Wide'!$DI$44),"",'Deal_Master_Wide'!$DI$44)</x:f>
      </x:c>
      <x:c r="W292" s="56" t="str">
        <x:f>IF(ISBLANK('Deal_Master_Wide'!$DP$44),"",'Deal_Master_Wide'!$DP$44)</x:f>
      </x:c>
      <x:c r="X292" s="56" t="str">
        <x:f>IF(ISBLANK('Deal_Master_Wide'!$DW$44),"",'Deal_Master_Wide'!$DW$44)</x:f>
      </x:c>
      <x:c r="Y292" s="54" t="str">
        <x:f>IF(ISBLANK('Deal_Master_Wide'!$ED$44),"",'Deal_Master_Wide'!$ED$44)</x:f>
      </x:c>
      <x:c r="Z292" s="54" t="str">
        <x:f>IF(ISBLANK('Deal_Master_Wide'!$EK$44),"",'Deal_Master_Wide'!$EK$44)</x:f>
      </x:c>
      <x:c r="AA292" s="52" t="str">
        <x:f>IF(ISBLANK('Deal_Master_Wide'!$AL$44),"",'Deal_Master_Wide'!$AL$44)</x:f>
        <x:v>Unknown</x:v>
      </x:c>
      <x:c r="AB292" s="54" t="n">
        <x:f>IF(ISBLANK('Deal_Master_Wide'!$AF$44),"",'Deal_Master_Wide'!$AF$44)</x:f>
        <x:v>2200</x:v>
      </x:c>
      <x:c r="AC292" s="52" t="str">
        <x:f>IF(COUNT($P292,$Q292,$R292,$S292,$T292,$U292,$V292,$W292,$X292)=9,"Yes","No")</x:f>
        <x:v>No</x:v>
      </x:c>
      <x:c r="AD292" s="52" t="str">
        <x:f>IF(COUNT($Y292,$Z292)=2,"Yes","No")</x:f>
        <x:v>No</x:v>
      </x:c>
      <x:c r="AE292" s="50" t="str"/>
      <x:c r="AF292" t="str"/>
    </x:row>
    <x:row r="293" ht="20" customHeight="1">
      <x:c r="A293" s="50" t="str">
        <x:v>TRT-0042</x:v>
      </x:c>
      <x:c r="B293" s="50" t="str">
        <x:v>Candidate treatment group</x:v>
      </x:c>
      <x:c r="C293" s="52" t="str">
        <x:f>IF('Deal_Master_Wide'!$AU$44="","",'Deal_Master_Wide'!$AU$44)</x:f>
        <x:v>Not reviewed</x:v>
      </x:c>
      <x:c r="D293" s="52" t="str">
        <x:f>IF('Deal_Master_Wide'!$AV$44="","",'Deal_Master_Wide'!$AV$44)</x:f>
        <x:v>Not assessed</x:v>
      </x:c>
      <x:c r="E293" s="50" t="n">
        <x:v>1</x:v>
      </x:c>
      <x:c r="F293" s="52" t="str">
        <x:f>IF(OR($C293="High-confidence innovation-driven",$C293="Medium-confidence innovation-driven"),1,IF($C293="Clear alternative-rationale",0,""))</x:f>
      </x:c>
      <x:c r="G293" s="52" t="str">
        <x:f>IF('Deal_Master_Wide'!$M$44="","",'Deal_Master_Wide'!$M$44)</x:f>
        <x:v>Review</x:v>
      </x:c>
      <x:c r="H293" s="50" t="str">
        <x:v>Agilent Technologies, Inc.</x:v>
      </x:c>
      <x:c r="I293" s="50" t="str">
        <x:v>Dako A/S</x:v>
      </x:c>
      <x:c r="J293" s="50" t="n">
        <x:v>2012</x:v>
      </x:c>
      <x:c r="K293" s="50" t="n">
        <x:v>1</x:v>
      </x:c>
      <x:c r="L293" s="50" t="n">
        <x:v>2013</x:v>
      </x:c>
      <x:c r="M293" s="50" t="n">
        <x:v>1</x:v>
      </x:c>
      <x:c r="N293" s="50" t="n">
        <x:v>1</x:v>
      </x:c>
      <x:c r="O293" s="52" t="str">
        <x:f>IF($F293="","",$F293*$M293)</x:f>
      </x:c>
      <x:c r="P293" s="54" t="str">
        <x:f>IF(ISBLANK('Deal_Master_Wide'!$BT$44),"",'Deal_Master_Wide'!$BT$44)</x:f>
      </x:c>
      <x:c r="Q293" s="54" t="str">
        <x:f>IF(ISBLANK('Deal_Master_Wide'!$CA$44),"",'Deal_Master_Wide'!$CA$44)</x:f>
      </x:c>
      <x:c r="R293" s="54" t="str">
        <x:f>IF(ISBLANK('Deal_Master_Wide'!$CH$44),"",'Deal_Master_Wide'!$CH$44)</x:f>
      </x:c>
      <x:c r="S293" s="54" t="str">
        <x:f>IF(ISBLANK('Deal_Master_Wide'!$CO$44),"",'Deal_Master_Wide'!$CO$44)</x:f>
      </x:c>
      <x:c r="T293" s="54" t="str">
        <x:f>IF(ISBLANK('Deal_Master_Wide'!$CV$44),"",'Deal_Master_Wide'!$CV$44)</x:f>
      </x:c>
      <x:c r="U293" s="54" t="str">
        <x:f>IF(ISBLANK('Deal_Master_Wide'!$DC$44),"",'Deal_Master_Wide'!$DC$44)</x:f>
      </x:c>
      <x:c r="V293" s="56" t="str">
        <x:f>IF(ISBLANK('Deal_Master_Wide'!$DJ$44),"",'Deal_Master_Wide'!$DJ$44)</x:f>
      </x:c>
      <x:c r="W293" s="56" t="str">
        <x:f>IF(ISBLANK('Deal_Master_Wide'!$DQ$44),"",'Deal_Master_Wide'!$DQ$44)</x:f>
      </x:c>
      <x:c r="X293" s="56" t="str">
        <x:f>IF(ISBLANK('Deal_Master_Wide'!$DX$44),"",'Deal_Master_Wide'!$DX$44)</x:f>
      </x:c>
      <x:c r="Y293" s="54" t="str">
        <x:f>IF(ISBLANK('Deal_Master_Wide'!$EE$44),"",'Deal_Master_Wide'!$EE$44)</x:f>
      </x:c>
      <x:c r="Z293" s="54" t="str">
        <x:f>IF(ISBLANK('Deal_Master_Wide'!$EL$44),"",'Deal_Master_Wide'!$EL$44)</x:f>
      </x:c>
      <x:c r="AA293" s="52" t="str">
        <x:f>IF(ISBLANK('Deal_Master_Wide'!$AL$44),"",'Deal_Master_Wide'!$AL$44)</x:f>
        <x:v>Unknown</x:v>
      </x:c>
      <x:c r="AB293" s="54" t="n">
        <x:f>IF(ISBLANK('Deal_Master_Wide'!$AF$44),"",'Deal_Master_Wide'!$AF$44)</x:f>
        <x:v>2200</x:v>
      </x:c>
      <x:c r="AC293" s="52" t="str">
        <x:f>IF(COUNT($P293,$Q293,$R293,$S293,$T293,$U293,$V293,$W293,$X293)=9,"Yes","No")</x:f>
        <x:v>No</x:v>
      </x:c>
      <x:c r="AD293" s="52" t="str">
        <x:f>IF(COUNT($Y293,$Z293)=2,"Yes","No")</x:f>
        <x:v>No</x:v>
      </x:c>
      <x:c r="AE293" s="50" t="str"/>
      <x:c r="AF293" t="str"/>
    </x:row>
    <x:row r="294" ht="20" customHeight="1">
      <x:c r="A294" s="50" t="str">
        <x:v>TRT-0042</x:v>
      </x:c>
      <x:c r="B294" s="50" t="str">
        <x:v>Candidate treatment group</x:v>
      </x:c>
      <x:c r="C294" s="52" t="str">
        <x:f>IF('Deal_Master_Wide'!$AU$44="","",'Deal_Master_Wide'!$AU$44)</x:f>
        <x:v>Not reviewed</x:v>
      </x:c>
      <x:c r="D294" s="52" t="str">
        <x:f>IF('Deal_Master_Wide'!$AV$44="","",'Deal_Master_Wide'!$AV$44)</x:f>
        <x:v>Not assessed</x:v>
      </x:c>
      <x:c r="E294" s="50" t="n">
        <x:v>1</x:v>
      </x:c>
      <x:c r="F294" s="52" t="str">
        <x:f>IF(OR($C294="High-confidence innovation-driven",$C294="Medium-confidence innovation-driven"),1,IF($C294="Clear alternative-rationale",0,""))</x:f>
      </x:c>
      <x:c r="G294" s="52" t="str">
        <x:f>IF('Deal_Master_Wide'!$M$44="","",'Deal_Master_Wide'!$M$44)</x:f>
        <x:v>Review</x:v>
      </x:c>
      <x:c r="H294" s="50" t="str">
        <x:v>Agilent Technologies, Inc.</x:v>
      </x:c>
      <x:c r="I294" s="50" t="str">
        <x:v>Dako A/S</x:v>
      </x:c>
      <x:c r="J294" s="50" t="n">
        <x:v>2012</x:v>
      </x:c>
      <x:c r="K294" s="50" t="n">
        <x:v>2</x:v>
      </x:c>
      <x:c r="L294" s="50" t="n">
        <x:v>2014</x:v>
      </x:c>
      <x:c r="M294" s="50" t="n">
        <x:v>1</x:v>
      </x:c>
      <x:c r="N294" s="50" t="n">
        <x:v>1</x:v>
      </x:c>
      <x:c r="O294" s="52" t="str">
        <x:f>IF($F294="","",$F294*$M294)</x:f>
      </x:c>
      <x:c r="P294" s="54" t="str">
        <x:f>IF(ISBLANK('Deal_Master_Wide'!$BU$44),"",'Deal_Master_Wide'!$BU$44)</x:f>
      </x:c>
      <x:c r="Q294" s="54" t="str">
        <x:f>IF(ISBLANK('Deal_Master_Wide'!$CB$44),"",'Deal_Master_Wide'!$CB$44)</x:f>
      </x:c>
      <x:c r="R294" s="54" t="str">
        <x:f>IF(ISBLANK('Deal_Master_Wide'!$CI$44),"",'Deal_Master_Wide'!$CI$44)</x:f>
      </x:c>
      <x:c r="S294" s="54" t="str">
        <x:f>IF(ISBLANK('Deal_Master_Wide'!$CP$44),"",'Deal_Master_Wide'!$CP$44)</x:f>
      </x:c>
      <x:c r="T294" s="54" t="str">
        <x:f>IF(ISBLANK('Deal_Master_Wide'!$CW$44),"",'Deal_Master_Wide'!$CW$44)</x:f>
      </x:c>
      <x:c r="U294" s="54" t="str">
        <x:f>IF(ISBLANK('Deal_Master_Wide'!$DD$44),"",'Deal_Master_Wide'!$DD$44)</x:f>
      </x:c>
      <x:c r="V294" s="56" t="str">
        <x:f>IF(ISBLANK('Deal_Master_Wide'!$DK$44),"",'Deal_Master_Wide'!$DK$44)</x:f>
      </x:c>
      <x:c r="W294" s="56" t="str">
        <x:f>IF(ISBLANK('Deal_Master_Wide'!$DR$44),"",'Deal_Master_Wide'!$DR$44)</x:f>
      </x:c>
      <x:c r="X294" s="56" t="str">
        <x:f>IF(ISBLANK('Deal_Master_Wide'!$DY$44),"",'Deal_Master_Wide'!$DY$44)</x:f>
      </x:c>
      <x:c r="Y294" s="54" t="str">
        <x:f>IF(ISBLANK('Deal_Master_Wide'!$EF$44),"",'Deal_Master_Wide'!$EF$44)</x:f>
      </x:c>
      <x:c r="Z294" s="54" t="str">
        <x:f>IF(ISBLANK('Deal_Master_Wide'!$EM$44),"",'Deal_Master_Wide'!$EM$44)</x:f>
      </x:c>
      <x:c r="AA294" s="52" t="str">
        <x:f>IF(ISBLANK('Deal_Master_Wide'!$AL$44),"",'Deal_Master_Wide'!$AL$44)</x:f>
        <x:v>Unknown</x:v>
      </x:c>
      <x:c r="AB294" s="54" t="n">
        <x:f>IF(ISBLANK('Deal_Master_Wide'!$AF$44),"",'Deal_Master_Wide'!$AF$44)</x:f>
        <x:v>2200</x:v>
      </x:c>
      <x:c r="AC294" s="52" t="str">
        <x:f>IF(COUNT($P294,$Q294,$R294,$S294,$T294,$U294,$V294,$W294,$X294)=9,"Yes","No")</x:f>
        <x:v>No</x:v>
      </x:c>
      <x:c r="AD294" s="52" t="str">
        <x:f>IF(COUNT($Y294,$Z294)=2,"Yes","No")</x:f>
        <x:v>No</x:v>
      </x:c>
      <x:c r="AE294" s="50" t="str"/>
      <x:c r="AF294" t="str"/>
    </x:row>
    <x:row r="295" ht="20" customHeight="1">
      <x:c r="A295" s="50" t="str">
        <x:v>TRT-0042</x:v>
      </x:c>
      <x:c r="B295" s="50" t="str">
        <x:v>Candidate treatment group</x:v>
      </x:c>
      <x:c r="C295" s="52" t="str">
        <x:f>IF('Deal_Master_Wide'!$AU$44="","",'Deal_Master_Wide'!$AU$44)</x:f>
        <x:v>Not reviewed</x:v>
      </x:c>
      <x:c r="D295" s="52" t="str">
        <x:f>IF('Deal_Master_Wide'!$AV$44="","",'Deal_Master_Wide'!$AV$44)</x:f>
        <x:v>Not assessed</x:v>
      </x:c>
      <x:c r="E295" s="50" t="n">
        <x:v>1</x:v>
      </x:c>
      <x:c r="F295" s="52" t="str">
        <x:f>IF(OR($C295="High-confidence innovation-driven",$C295="Medium-confidence innovation-driven"),1,IF($C295="Clear alternative-rationale",0,""))</x:f>
      </x:c>
      <x:c r="G295" s="52" t="str">
        <x:f>IF('Deal_Master_Wide'!$M$44="","",'Deal_Master_Wide'!$M$44)</x:f>
        <x:v>Review</x:v>
      </x:c>
      <x:c r="H295" s="50" t="str">
        <x:v>Agilent Technologies, Inc.</x:v>
      </x:c>
      <x:c r="I295" s="50" t="str">
        <x:v>Dako A/S</x:v>
      </x:c>
      <x:c r="J295" s="50" t="n">
        <x:v>2012</x:v>
      </x:c>
      <x:c r="K295" s="50" t="n">
        <x:v>3</x:v>
      </x:c>
      <x:c r="L295" s="50" t="n">
        <x:v>2015</x:v>
      </x:c>
      <x:c r="M295" s="50" t="n">
        <x:v>1</x:v>
      </x:c>
      <x:c r="N295" s="50" t="n">
        <x:v>1</x:v>
      </x:c>
      <x:c r="O295" s="52" t="str">
        <x:f>IF($F295="","",$F295*$M295)</x:f>
      </x:c>
      <x:c r="P295" s="54" t="str">
        <x:f>IF(ISBLANK('Deal_Master_Wide'!$BV$44),"",'Deal_Master_Wide'!$BV$44)</x:f>
      </x:c>
      <x:c r="Q295" s="54" t="str">
        <x:f>IF(ISBLANK('Deal_Master_Wide'!$CC$44),"",'Deal_Master_Wide'!$CC$44)</x:f>
      </x:c>
      <x:c r="R295" s="54" t="str">
        <x:f>IF(ISBLANK('Deal_Master_Wide'!$CJ$44),"",'Deal_Master_Wide'!$CJ$44)</x:f>
      </x:c>
      <x:c r="S295" s="54" t="str">
        <x:f>IF(ISBLANK('Deal_Master_Wide'!$CQ$44),"",'Deal_Master_Wide'!$CQ$44)</x:f>
      </x:c>
      <x:c r="T295" s="54" t="str">
        <x:f>IF(ISBLANK('Deal_Master_Wide'!$CX$44),"",'Deal_Master_Wide'!$CX$44)</x:f>
      </x:c>
      <x:c r="U295" s="54" t="str">
        <x:f>IF(ISBLANK('Deal_Master_Wide'!$DE$44),"",'Deal_Master_Wide'!$DE$44)</x:f>
      </x:c>
      <x:c r="V295" s="56" t="str">
        <x:f>IF(ISBLANK('Deal_Master_Wide'!$DL$44),"",'Deal_Master_Wide'!$DL$44)</x:f>
      </x:c>
      <x:c r="W295" s="56" t="str">
        <x:f>IF(ISBLANK('Deal_Master_Wide'!$DS$44),"",'Deal_Master_Wide'!$DS$44)</x:f>
      </x:c>
      <x:c r="X295" s="56" t="str">
        <x:f>IF(ISBLANK('Deal_Master_Wide'!$DZ$44),"",'Deal_Master_Wide'!$DZ$44)</x:f>
      </x:c>
      <x:c r="Y295" s="54" t="str">
        <x:f>IF(ISBLANK('Deal_Master_Wide'!$EG$44),"",'Deal_Master_Wide'!$EG$44)</x:f>
      </x:c>
      <x:c r="Z295" s="54" t="str">
        <x:f>IF(ISBLANK('Deal_Master_Wide'!$EN$44),"",'Deal_Master_Wide'!$EN$44)</x:f>
      </x:c>
      <x:c r="AA295" s="52" t="str">
        <x:f>IF(ISBLANK('Deal_Master_Wide'!$AL$44),"",'Deal_Master_Wide'!$AL$44)</x:f>
        <x:v>Unknown</x:v>
      </x:c>
      <x:c r="AB295" s="54" t="n">
        <x:f>IF(ISBLANK('Deal_Master_Wide'!$AF$44),"",'Deal_Master_Wide'!$AF$44)</x:f>
        <x:v>2200</x:v>
      </x:c>
      <x:c r="AC295" s="52" t="str">
        <x:f>IF(COUNT($P295,$Q295,$R295,$S295,$T295,$U295,$V295,$W295,$X295)=9,"Yes","No")</x:f>
        <x:v>No</x:v>
      </x:c>
      <x:c r="AD295" s="52" t="str">
        <x:f>IF(COUNT($Y295,$Z295)=2,"Yes","No")</x:f>
        <x:v>No</x:v>
      </x:c>
      <x:c r="AE295" s="50" t="str"/>
      <x:c r="AF295" t="str"/>
    </x:row>
    <x:row r="296">
      <x:c r="A296" t="str">
        <x:v>TRT-0043</x:v>
      </x:c>
      <x:c r="B296" t="str">
        <x:v>User-designated treatment group (reclassified)</x:v>
      </x:c>
      <x:c r="C296" t="str">
        <x:f>IF('Deal_Master_Wide'!$AU$45="","",'Deal_Master_Wide'!$AU$45)</x:f>
        <x:v>Not reviewed</x:v>
      </x:c>
      <x:c r="D296" t="str">
        <x:f>IF('Deal_Master_Wide'!$AV$45="","",'Deal_Master_Wide'!$AV$45)</x:f>
        <x:v>Not assessed</x:v>
      </x:c>
      <x:c r="E296" t="n">
        <x:v>1</x:v>
      </x:c>
      <x:c r="F296" t="str">
        <x:f>IF(OR($C296="High-confidence innovation-driven",$C296="Medium-confidence innovation-driven"),1,IF($C296="Clear alternative-rationale",0,""))</x:f>
      </x:c>
      <x:c r="G296" t="str">
        <x:f>IF('Deal_Master_Wide'!$M$45="","",'Deal_Master_Wide'!$M$45)</x:f>
        <x:v>Review</x:v>
      </x:c>
      <x:c r="H296" t="str">
        <x:v>Biodexa Ltd</x:v>
      </x:c>
      <x:c r="I296" t="str">
        <x:v>Q Chip, Ltd.</x:v>
      </x:c>
      <x:c r="J296" t="n">
        <x:v>2014</x:v>
      </x:c>
      <x:c r="K296" t="n">
        <x:v>-3</x:v>
      </x:c>
      <x:c r="L296" t="n">
        <x:v>2011</x:v>
      </x:c>
      <x:c r="M296" t="n">
        <x:v>0</x:v>
      </x:c>
      <x:c r="N296" t="n">
        <x:v>0</x:v>
      </x:c>
      <x:c r="O296" t="str">
        <x:f>IF($F296="","",$F296*$M296)</x:f>
      </x:c>
      <x:c r="P296" t="n">
        <x:f>IF(ISBLANK('Deal_Master_Wide'!$BP$45),"",'Deal_Master_Wide'!$BP$45)</x:f>
        <x:v>0</x:v>
      </x:c>
      <x:c r="Q296" t="n">
        <x:f>IF(ISBLANK('Deal_Master_Wide'!$BW$45),"",'Deal_Master_Wide'!$BW$45)</x:f>
        <x:v>-4.4787</x:v>
      </x:c>
      <x:c r="R296" t="n">
        <x:f>IF(ISBLANK('Deal_Master_Wide'!$CD$45),"",'Deal_Master_Wide'!$CD$45)</x:f>
        <x:v>-4.7173</x:v>
      </x:c>
      <x:c r="S296" t="n">
        <x:f>IF(ISBLANK('Deal_Master_Wide'!$CK$45),"",'Deal_Master_Wide'!$CK$45)</x:f>
        <x:v>6.4058</x:v>
      </x:c>
      <x:c r="T296" t="n">
        <x:f>IF(ISBLANK('Deal_Master_Wide'!$CR$45),"",'Deal_Master_Wide'!$CR$45)</x:f>
        <x:v>5.8733</x:v>
      </x:c>
      <x:c r="U296" t="n">
        <x:f>IF(ISBLANK('Deal_Master_Wide'!$CY$45),"",'Deal_Master_Wide'!$CY$45)</x:f>
        <x:v>1.5582</x:v>
      </x:c>
      <x:c r="V296" t="n">
        <x:f>IF(ISBLANK('Deal_Master_Wide'!$DF$45),"",'Deal_Master_Wide'!$DF$45)</x:f>
        <x:v>-73.64107527553155</x:v>
      </x:c>
      <x:c r="W296" t="str">
        <x:f>IF(ISBLANK('Deal_Master_Wide'!$DM$45),"",'Deal_Master_Wide'!$DM$45)</x:f>
      </x:c>
      <x:c r="X296" t="n">
        <x:f>IF(ISBLANK('Deal_Master_Wide'!$DT$45),"",'Deal_Master_Wide'!$DT$45)</x:f>
        <x:v>91.6869</x:v>
      </x:c>
      <x:c r="Y296" t="str">
        <x:f>IF(ISBLANK('Deal_Master_Wide'!$EA$45),"",'Deal_Master_Wide'!$EA$45)</x:f>
      </x:c>
      <x:c r="Z296" t="str">
        <x:f>IF(ISBLANK('Deal_Master_Wide'!$EH$45),"",'Deal_Master_Wide'!$EH$45)</x:f>
      </x:c>
      <x:c r="AA296" t="str">
        <x:f>IF(ISBLANK('Deal_Master_Wide'!$AL$45),"",'Deal_Master_Wide'!$AL$45)</x:f>
        <x:v>Unknown</x:v>
      </x:c>
      <x:c r="AB296" t="str">
        <x:f>IF(ISBLANK('Deal_Master_Wide'!$AF$45),"",'Deal_Master_Wide'!$AF$45)</x:f>
      </x:c>
      <x:c r="AC296" t="str">
        <x:f>IF(COUNT($P296,$Q296,$R296,$S296,$T296,$U296,$V296,$W296,$X296)=9,"Yes","No")</x:f>
        <x:v>No</x:v>
      </x:c>
      <x:c r="AD296" t="str">
        <x:f>IF(COUNT($Y296,$Z296)=2,"Yes","No")</x:f>
        <x:v>No</x:v>
      </x:c>
      <x:c r="AE296" t="str">
        <x:v>Added from user-designated treatment-group financial file; classification validation pending.</x:v>
      </x:c>
    </x:row>
    <x:row r="297">
      <x:c r="A297" t="str">
        <x:v>TRT-0043</x:v>
      </x:c>
      <x:c r="B297" t="str">
        <x:v>User-designated treatment group (reclassified)</x:v>
      </x:c>
      <x:c r="C297" t="str">
        <x:f>IF('Deal_Master_Wide'!$AU$45="","",'Deal_Master_Wide'!$AU$45)</x:f>
        <x:v>Not reviewed</x:v>
      </x:c>
      <x:c r="D297" t="str">
        <x:f>IF('Deal_Master_Wide'!$AV$45="","",'Deal_Master_Wide'!$AV$45)</x:f>
        <x:v>Not assessed</x:v>
      </x:c>
      <x:c r="E297" t="n">
        <x:v>1</x:v>
      </x:c>
      <x:c r="F297" t="str">
        <x:f>IF(OR($C297="High-confidence innovation-driven",$C297="Medium-confidence innovation-driven"),1,IF($C297="Clear alternative-rationale",0,""))</x:f>
      </x:c>
      <x:c r="G297" t="str">
        <x:f>IF('Deal_Master_Wide'!$M$45="","",'Deal_Master_Wide'!$M$45)</x:f>
        <x:v>Review</x:v>
      </x:c>
      <x:c r="H297" t="str">
        <x:v>Biodexa Ltd</x:v>
      </x:c>
      <x:c r="I297" t="str">
        <x:v>Q Chip, Ltd.</x:v>
      </x:c>
      <x:c r="J297" t="n">
        <x:v>2014</x:v>
      </x:c>
      <x:c r="K297" t="n">
        <x:v>-2</x:v>
      </x:c>
      <x:c r="L297" t="n">
        <x:v>2012</x:v>
      </x:c>
      <x:c r="M297" t="n">
        <x:v>0</x:v>
      </x:c>
      <x:c r="N297" t="n">
        <x:v>0</x:v>
      </x:c>
      <x:c r="O297" t="str">
        <x:f>IF($F297="","",$F297*$M297)</x:f>
      </x:c>
      <x:c r="P297" t="n">
        <x:f>IF(ISBLANK('Deal_Master_Wide'!$BQ$45),"",'Deal_Master_Wide'!$BQ$45)</x:f>
        <x:v>0</x:v>
      </x:c>
      <x:c r="Q297" t="n">
        <x:f>IF(ISBLANK('Deal_Master_Wide'!$BX$45),"",'Deal_Master_Wide'!$BX$45)</x:f>
        <x:v>-4.9427</x:v>
      </x:c>
      <x:c r="R297" t="n">
        <x:f>IF(ISBLANK('Deal_Master_Wide'!$CE$45),"",'Deal_Master_Wide'!$CE$45)</x:f>
        <x:v>-4.9255</x:v>
      </x:c>
      <x:c r="S297" t="n">
        <x:f>IF(ISBLANK('Deal_Master_Wide'!$CL$45),"",'Deal_Master_Wide'!$CL$45)</x:f>
        <x:v>2.7335</x:v>
      </x:c>
      <x:c r="T297" t="n">
        <x:f>IF(ISBLANK('Deal_Master_Wide'!$CS$45),"",'Deal_Master_Wide'!$CS$45)</x:f>
        <x:v>6.7075</x:v>
      </x:c>
      <x:c r="U297" t="n">
        <x:f>IF(ISBLANK('Deal_Master_Wide'!$CZ$45),"",'Deal_Master_Wide'!$CZ$45)</x:f>
        <x:v>2.036</x:v>
      </x:c>
      <x:c r="V297" t="n">
        <x:f>IF(ISBLANK('Deal_Master_Wide'!$DG$45),"",'Deal_Master_Wide'!$DG$45)</x:f>
        <x:v>-105.4661</x:v>
      </x:c>
      <x:c r="W297" t="str">
        <x:f>IF(ISBLANK('Deal_Master_Wide'!$DN$45),"",'Deal_Master_Wide'!$DN$45)</x:f>
      </x:c>
      <x:c r="X297" t="n">
        <x:f>IF(ISBLANK('Deal_Master_Wide'!$DU$45),"",'Deal_Master_Wide'!$DU$45)</x:f>
        <x:v>245.385</x:v>
      </x:c>
      <x:c r="Y297" t="str">
        <x:f>IF(ISBLANK('Deal_Master_Wide'!$EB$45),"",'Deal_Master_Wide'!$EB$45)</x:f>
      </x:c>
      <x:c r="Z297" t="str">
        <x:f>IF(ISBLANK('Deal_Master_Wide'!$EI$45),"",'Deal_Master_Wide'!$EI$45)</x:f>
      </x:c>
      <x:c r="AA297" t="str">
        <x:f>IF(ISBLANK('Deal_Master_Wide'!$AL$45),"",'Deal_Master_Wide'!$AL$45)</x:f>
        <x:v>Unknown</x:v>
      </x:c>
      <x:c r="AB297" t="str">
        <x:f>IF(ISBLANK('Deal_Master_Wide'!$AF$45),"",'Deal_Master_Wide'!$AF$45)</x:f>
      </x:c>
      <x:c r="AC297" t="str">
        <x:f>IF(COUNT($P297,$Q297,$R297,$S297,$T297,$U297,$V297,$W297,$X297)=9,"Yes","No")</x:f>
        <x:v>No</x:v>
      </x:c>
      <x:c r="AD297" t="str">
        <x:f>IF(COUNT($Y297,$Z297)=2,"Yes","No")</x:f>
        <x:v>No</x:v>
      </x:c>
      <x:c r="AE297" t="str">
        <x:v>Added from user-designated treatment-group financial file; classification validation pending.</x:v>
      </x:c>
    </x:row>
    <x:row r="298">
      <x:c r="A298" t="str">
        <x:v>TRT-0043</x:v>
      </x:c>
      <x:c r="B298" t="str">
        <x:v>User-designated treatment group (reclassified)</x:v>
      </x:c>
      <x:c r="C298" t="str">
        <x:f>IF('Deal_Master_Wide'!$AU$45="","",'Deal_Master_Wide'!$AU$45)</x:f>
        <x:v>Not reviewed</x:v>
      </x:c>
      <x:c r="D298" t="str">
        <x:f>IF('Deal_Master_Wide'!$AV$45="","",'Deal_Master_Wide'!$AV$45)</x:f>
        <x:v>Not assessed</x:v>
      </x:c>
      <x:c r="E298" t="n">
        <x:v>1</x:v>
      </x:c>
      <x:c r="F298" t="str">
        <x:f>IF(OR($C298="High-confidence innovation-driven",$C298="Medium-confidence innovation-driven"),1,IF($C298="Clear alternative-rationale",0,""))</x:f>
      </x:c>
      <x:c r="G298" t="str">
        <x:f>IF('Deal_Master_Wide'!$M$45="","",'Deal_Master_Wide'!$M$45)</x:f>
        <x:v>Review</x:v>
      </x:c>
      <x:c r="H298" t="str">
        <x:v>Biodexa Ltd</x:v>
      </x:c>
      <x:c r="I298" t="str">
        <x:v>Q Chip, Ltd.</x:v>
      </x:c>
      <x:c r="J298" t="n">
        <x:v>2014</x:v>
      </x:c>
      <x:c r="K298" t="n">
        <x:v>-1</x:v>
      </x:c>
      <x:c r="L298" t="n">
        <x:v>2013</x:v>
      </x:c>
      <x:c r="M298" t="n">
        <x:v>0</x:v>
      </x:c>
      <x:c r="N298" t="n">
        <x:v>0</x:v>
      </x:c>
      <x:c r="O298" t="str">
        <x:f>IF($F298="","",$F298*$M298)</x:f>
      </x:c>
      <x:c r="P298" t="n">
        <x:f>IF(ISBLANK('Deal_Master_Wide'!$BR$45),"",'Deal_Master_Wide'!$BR$45)</x:f>
        <x:v>0.1732</x:v>
      </x:c>
      <x:c r="Q298" t="n">
        <x:f>IF(ISBLANK('Deal_Master_Wide'!$BY$45),"",'Deal_Master_Wide'!$BY$45)</x:f>
        <x:v>-5.2995</x:v>
      </x:c>
      <x:c r="R298" t="n">
        <x:f>IF(ISBLANK('Deal_Master_Wide'!$CF$45),"",'Deal_Master_Wide'!$CF$45)</x:f>
        <x:v>-4.8107</x:v>
      </x:c>
      <x:c r="S298" t="n">
        <x:f>IF(ISBLANK('Deal_Master_Wide'!$CM$45),"",'Deal_Master_Wide'!$CM$45)</x:f>
        <x:v>6.216</x:v>
      </x:c>
      <x:c r="T298" t="n">
        <x:f>IF(ISBLANK('Deal_Master_Wide'!$CT$45),"",'Deal_Master_Wide'!$CT$45)</x:f>
        <x:v>4.0451</x:v>
      </x:c>
      <x:c r="U298" t="n">
        <x:f>IF(ISBLANK('Deal_Master_Wide'!$DA$45),"",'Deal_Master_Wide'!$DA$45)</x:f>
        <x:v>2.2675</x:v>
      </x:c>
      <x:c r="V298" t="n">
        <x:f>IF(ISBLANK('Deal_Master_Wide'!$DH$45),"",'Deal_Master_Wide'!$DH$45)</x:f>
        <x:v>-110.453</x:v>
      </x:c>
      <x:c r="W298" t="n">
        <x:f>IF(ISBLANK('Deal_Master_Wide'!$DO$45),"",'Deal_Master_Wide'!$DO$45)</x:f>
        <x:v>-3060.5442</x:v>
      </x:c>
      <x:c r="X298" t="n">
        <x:f>IF(ISBLANK('Deal_Master_Wide'!$DV$45),"",'Deal_Master_Wide'!$DV$45)</x:f>
        <x:v>65.0754</x:v>
      </x:c>
      <x:c r="Y298" t="str">
        <x:f>IF(ISBLANK('Deal_Master_Wide'!$EC$45),"",'Deal_Master_Wide'!$EC$45)</x:f>
      </x:c>
      <x:c r="Z298" t="str">
        <x:f>IF(ISBLANK('Deal_Master_Wide'!$EJ$45),"",'Deal_Master_Wide'!$EJ$45)</x:f>
      </x:c>
      <x:c r="AA298" t="str">
        <x:f>IF(ISBLANK('Deal_Master_Wide'!$AL$45),"",'Deal_Master_Wide'!$AL$45)</x:f>
        <x:v>Unknown</x:v>
      </x:c>
      <x:c r="AB298" t="str">
        <x:f>IF(ISBLANK('Deal_Master_Wide'!$AF$45),"",'Deal_Master_Wide'!$AF$45)</x:f>
      </x:c>
      <x:c r="AC298" t="str">
        <x:f>IF(COUNT($P298,$Q298,$R298,$S298,$T298,$U298,$V298,$W298,$X298)=9,"Yes","No")</x:f>
        <x:v>Yes</x:v>
      </x:c>
      <x:c r="AD298" t="str">
        <x:f>IF(COUNT($Y298,$Z298)=2,"Yes","No")</x:f>
        <x:v>No</x:v>
      </x:c>
      <x:c r="AE298" t="str">
        <x:v>Added from user-designated treatment-group financial file; classification validation pending.</x:v>
      </x:c>
    </x:row>
    <x:row r="299">
      <x:c r="A299" t="str">
        <x:v>TRT-0043</x:v>
      </x:c>
      <x:c r="B299" t="str">
        <x:v>User-designated treatment group (reclassified)</x:v>
      </x:c>
      <x:c r="C299" t="str">
        <x:f>IF('Deal_Master_Wide'!$AU$45="","",'Deal_Master_Wide'!$AU$45)</x:f>
        <x:v>Not reviewed</x:v>
      </x:c>
      <x:c r="D299" t="str">
        <x:f>IF('Deal_Master_Wide'!$AV$45="","",'Deal_Master_Wide'!$AV$45)</x:f>
        <x:v>Not assessed</x:v>
      </x:c>
      <x:c r="E299" t="n">
        <x:v>1</x:v>
      </x:c>
      <x:c r="F299" t="str">
        <x:f>IF(OR($C299="High-confidence innovation-driven",$C299="Medium-confidence innovation-driven"),1,IF($C299="Clear alternative-rationale",0,""))</x:f>
      </x:c>
      <x:c r="G299" t="str">
        <x:f>IF('Deal_Master_Wide'!$M$45="","",'Deal_Master_Wide'!$M$45)</x:f>
        <x:v>Review</x:v>
      </x:c>
      <x:c r="H299" t="str">
        <x:v>Biodexa Ltd</x:v>
      </x:c>
      <x:c r="I299" t="str">
        <x:v>Q Chip, Ltd.</x:v>
      </x:c>
      <x:c r="J299" t="n">
        <x:v>2014</x:v>
      </x:c>
      <x:c r="K299" t="n">
        <x:v>0</x:v>
      </x:c>
      <x:c r="L299" t="n">
        <x:v>2014</x:v>
      </x:c>
      <x:c r="M299" t="n">
        <x:v>0</x:v>
      </x:c>
      <x:c r="N299" t="n">
        <x:v>1</x:v>
      </x:c>
      <x:c r="O299" t="str">
        <x:f>IF($F299="","",$F299*$M299)</x:f>
      </x:c>
      <x:c r="P299" t="n">
        <x:f>IF(ISBLANK('Deal_Master_Wide'!$BS$45),"",'Deal_Master_Wide'!$BS$45)</x:f>
        <x:v>0.1948</x:v>
      </x:c>
      <x:c r="Q299" t="n">
        <x:f>IF(ISBLANK('Deal_Master_Wide'!$BZ$45),"",'Deal_Master_Wide'!$BZ$45)</x:f>
        <x:v>-10.7497</x:v>
      </x:c>
      <x:c r="R299" t="n">
        <x:f>IF(ISBLANK('Deal_Master_Wide'!$CG$45),"",'Deal_Master_Wide'!$CG$45)</x:f>
        <x:v>-10.947</x:v>
      </x:c>
      <x:c r="S299" t="n">
        <x:f>IF(ISBLANK('Deal_Master_Wide'!$CN$45),"",'Deal_Master_Wide'!$CN$45)</x:f>
        <x:v>60.0873</x:v>
      </x:c>
      <x:c r="T299" t="n">
        <x:f>IF(ISBLANK('Deal_Master_Wide'!$CU$45),"",'Deal_Master_Wide'!$CU$45)</x:f>
        <x:v>2.5483</x:v>
      </x:c>
      <x:c r="U299" t="n">
        <x:f>IF(ISBLANK('Deal_Master_Wide'!$DB$45),"",'Deal_Master_Wide'!$DB$45)</x:f>
        <x:v>6.7491</x:v>
      </x:c>
      <x:c r="V299" t="n">
        <x:f>IF(ISBLANK('Deal_Master_Wide'!$DI$45),"",'Deal_Master_Wide'!$DI$45)</x:f>
        <x:v>-34.0375</x:v>
      </x:c>
      <x:c r="W299" t="n">
        <x:f>IF(ISBLANK('Deal_Master_Wide'!$DP$45),"",'Deal_Master_Wide'!$DP$45)</x:f>
        <x:v>-6170.0637</x:v>
      </x:c>
      <x:c r="X299" t="n">
        <x:f>IF(ISBLANK('Deal_Master_Wide'!$DW$45),"",'Deal_Master_Wide'!$DW$45)</x:f>
        <x:v>4.241</x:v>
      </x:c>
      <x:c r="Y299" t="str">
        <x:f>IF(ISBLANK('Deal_Master_Wide'!$ED$45),"",'Deal_Master_Wide'!$ED$45)</x:f>
      </x:c>
      <x:c r="Z299" t="str">
        <x:f>IF(ISBLANK('Deal_Master_Wide'!$EK$45),"",'Deal_Master_Wide'!$EK$45)</x:f>
      </x:c>
      <x:c r="AA299" t="str">
        <x:f>IF(ISBLANK('Deal_Master_Wide'!$AL$45),"",'Deal_Master_Wide'!$AL$45)</x:f>
        <x:v>Unknown</x:v>
      </x:c>
      <x:c r="AB299" t="str">
        <x:f>IF(ISBLANK('Deal_Master_Wide'!$AF$45),"",'Deal_Master_Wide'!$AF$45)</x:f>
      </x:c>
      <x:c r="AC299" t="str">
        <x:f>IF(COUNT($P299,$Q299,$R299,$S299,$T299,$U299,$V299,$W299,$X299)=9,"Yes","No")</x:f>
        <x:v>Yes</x:v>
      </x:c>
      <x:c r="AD299" t="str">
        <x:f>IF(COUNT($Y299,$Z299)=2,"Yes","No")</x:f>
        <x:v>No</x:v>
      </x:c>
      <x:c r="AE299" t="str">
        <x:v>Added from user-designated treatment-group financial file; classification validation pending.</x:v>
      </x:c>
    </x:row>
    <x:row r="300">
      <x:c r="A300" t="str">
        <x:v>TRT-0043</x:v>
      </x:c>
      <x:c r="B300" t="str">
        <x:v>User-designated treatment group (reclassified)</x:v>
      </x:c>
      <x:c r="C300" t="str">
        <x:f>IF('Deal_Master_Wide'!$AU$45="","",'Deal_Master_Wide'!$AU$45)</x:f>
        <x:v>Not reviewed</x:v>
      </x:c>
      <x:c r="D300" t="str">
        <x:f>IF('Deal_Master_Wide'!$AV$45="","",'Deal_Master_Wide'!$AV$45)</x:f>
        <x:v>Not assessed</x:v>
      </x:c>
      <x:c r="E300" t="n">
        <x:v>1</x:v>
      </x:c>
      <x:c r="F300" t="str">
        <x:f>IF(OR($C300="High-confidence innovation-driven",$C300="Medium-confidence innovation-driven"),1,IF($C300="Clear alternative-rationale",0,""))</x:f>
      </x:c>
      <x:c r="G300" t="str">
        <x:f>IF('Deal_Master_Wide'!$M$45="","",'Deal_Master_Wide'!$M$45)</x:f>
        <x:v>Review</x:v>
      </x:c>
      <x:c r="H300" t="str">
        <x:v>Biodexa Ltd</x:v>
      </x:c>
      <x:c r="I300" t="str">
        <x:v>Q Chip, Ltd.</x:v>
      </x:c>
      <x:c r="J300" t="n">
        <x:v>2014</x:v>
      </x:c>
      <x:c r="K300" t="n">
        <x:v>1</x:v>
      </x:c>
      <x:c r="L300" t="n">
        <x:v>2015</x:v>
      </x:c>
      <x:c r="M300" t="n">
        <x:v>1</x:v>
      </x:c>
      <x:c r="N300" t="n">
        <x:v>1</x:v>
      </x:c>
      <x:c r="O300" t="str">
        <x:f>IF($F300="","",$F300*$M300)</x:f>
      </x:c>
      <x:c r="P300" t="n">
        <x:f>IF(ISBLANK('Deal_Master_Wide'!$BT$45),"",'Deal_Master_Wide'!$BT$45)</x:f>
        <x:v>1.8941</x:v>
      </x:c>
      <x:c r="Q300" t="n">
        <x:f>IF(ISBLANK('Deal_Master_Wide'!$CA$45),"",'Deal_Master_Wide'!$CA$45)</x:f>
        <x:v>-14.5055</x:v>
      </x:c>
      <x:c r="R300" t="n">
        <x:f>IF(ISBLANK('Deal_Master_Wide'!$CH$45),"",'Deal_Master_Wide'!$CH$45)</x:f>
        <x:v>-13.9118</x:v>
      </x:c>
      <x:c r="S300" t="n">
        <x:f>IF(ISBLANK('Deal_Master_Wide'!$CO$45),"",'Deal_Master_Wide'!$CO$45)</x:f>
        <x:v>86.8379</x:v>
      </x:c>
      <x:c r="T300" t="n">
        <x:f>IF(ISBLANK('Deal_Master_Wide'!$CV$45),"",'Deal_Master_Wide'!$CV$45)</x:f>
        <x:v>2.6441</x:v>
      </x:c>
      <x:c r="U300" t="n">
        <x:f>IF(ISBLANK('Deal_Master_Wide'!$DC$45),"",'Deal_Master_Wide'!$DC$45)</x:f>
        <x:v>8.1551</x:v>
      </x:c>
      <x:c r="V300" t="n">
        <x:f>IF(ISBLANK('Deal_Master_Wide'!$DJ$45),"",'Deal_Master_Wide'!$DJ$45)</x:f>
        <x:v>-18.245</x:v>
      </x:c>
      <x:c r="W300" t="n">
        <x:f>IF(ISBLANK('Deal_Master_Wide'!$DQ$45),"",'Deal_Master_Wide'!$DQ$45)</x:f>
        <x:v>-939.4909</x:v>
      </x:c>
      <x:c r="X300" t="n">
        <x:f>IF(ISBLANK('Deal_Master_Wide'!$DX$45),"",'Deal_Master_Wide'!$DX$45)</x:f>
        <x:v>3.0449</x:v>
      </x:c>
      <x:c r="Y300" t="str">
        <x:f>IF(ISBLANK('Deal_Master_Wide'!$EE$45),"",'Deal_Master_Wide'!$EE$45)</x:f>
      </x:c>
      <x:c r="Z300" t="str">
        <x:f>IF(ISBLANK('Deal_Master_Wide'!$EL$45),"",'Deal_Master_Wide'!$EL$45)</x:f>
      </x:c>
      <x:c r="AA300" t="str">
        <x:f>IF(ISBLANK('Deal_Master_Wide'!$AL$45),"",'Deal_Master_Wide'!$AL$45)</x:f>
        <x:v>Unknown</x:v>
      </x:c>
      <x:c r="AB300" t="str">
        <x:f>IF(ISBLANK('Deal_Master_Wide'!$AF$45),"",'Deal_Master_Wide'!$AF$45)</x:f>
      </x:c>
      <x:c r="AC300" t="str">
        <x:f>IF(COUNT($P300,$Q300,$R300,$S300,$T300,$U300,$V300,$W300,$X300)=9,"Yes","No")</x:f>
        <x:v>Yes</x:v>
      </x:c>
      <x:c r="AD300" t="str">
        <x:f>IF(COUNT($Y300,$Z300)=2,"Yes","No")</x:f>
        <x:v>No</x:v>
      </x:c>
      <x:c r="AE300" t="str">
        <x:v>Added from user-designated treatment-group financial file; classification validation pending.</x:v>
      </x:c>
    </x:row>
    <x:row r="301">
      <x:c r="A301" t="str">
        <x:v>TRT-0043</x:v>
      </x:c>
      <x:c r="B301" t="str">
        <x:v>User-designated treatment group (reclassified)</x:v>
      </x:c>
      <x:c r="C301" t="str">
        <x:f>IF('Deal_Master_Wide'!$AU$45="","",'Deal_Master_Wide'!$AU$45)</x:f>
        <x:v>Not reviewed</x:v>
      </x:c>
      <x:c r="D301" t="str">
        <x:f>IF('Deal_Master_Wide'!$AV$45="","",'Deal_Master_Wide'!$AV$45)</x:f>
        <x:v>Not assessed</x:v>
      </x:c>
      <x:c r="E301" t="n">
        <x:v>1</x:v>
      </x:c>
      <x:c r="F301" t="str">
        <x:f>IF(OR($C301="High-confidence innovation-driven",$C301="Medium-confidence innovation-driven"),1,IF($C301="Clear alternative-rationale",0,""))</x:f>
      </x:c>
      <x:c r="G301" t="str">
        <x:f>IF('Deal_Master_Wide'!$M$45="","",'Deal_Master_Wide'!$M$45)</x:f>
        <x:v>Review</x:v>
      </x:c>
      <x:c r="H301" t="str">
        <x:v>Biodexa Ltd</x:v>
      </x:c>
      <x:c r="I301" t="str">
        <x:v>Q Chip, Ltd.</x:v>
      </x:c>
      <x:c r="J301" t="n">
        <x:v>2014</x:v>
      </x:c>
      <x:c r="K301" t="n">
        <x:v>2</x:v>
      </x:c>
      <x:c r="L301" t="n">
        <x:v>2016</x:v>
      </x:c>
      <x:c r="M301" t="n">
        <x:v>1</x:v>
      </x:c>
      <x:c r="N301" t="n">
        <x:v>1</x:v>
      </x:c>
      <x:c r="O301" t="str">
        <x:f>IF($F301="","",$F301*$M301)</x:f>
      </x:c>
      <x:c r="P301" t="n">
        <x:f>IF(ISBLANK('Deal_Master_Wide'!$BU$45),"",'Deal_Master_Wide'!$BU$45)</x:f>
        <x:v>8.4755</x:v>
      </x:c>
      <x:c r="Q301" t="n">
        <x:f>IF(ISBLANK('Deal_Master_Wide'!$CB$45),"",'Deal_Master_Wide'!$CB$45)</x:f>
        <x:v>-23.4347</x:v>
      </x:c>
      <x:c r="R301" t="n">
        <x:f>IF(ISBLANK('Deal_Master_Wide'!$CI$45),"",'Deal_Master_Wide'!$CI$45)</x:f>
        <x:v>-24.6835</x:v>
      </x:c>
      <x:c r="S301" t="n">
        <x:f>IF(ISBLANK('Deal_Master_Wide'!$CP$45),"",'Deal_Master_Wide'!$CP$45)</x:f>
        <x:v>66.3531</x:v>
      </x:c>
      <x:c r="T301" t="n">
        <x:f>IF(ISBLANK('Deal_Master_Wide'!$CW$45),"",'Deal_Master_Wide'!$CW$45)</x:f>
        <x:v>2.5259</x:v>
      </x:c>
      <x:c r="U301" t="n">
        <x:f>IF(ISBLANK('Deal_Master_Wide'!$DD$45),"",'Deal_Master_Wide'!$DD$45)</x:f>
        <x:v>8.1829</x:v>
      </x:c>
      <x:c r="V301" t="n">
        <x:f>IF(ISBLANK('Deal_Master_Wide'!$DK$45),"",'Deal_Master_Wide'!$DK$45)</x:f>
        <x:v>-33.4001</x:v>
      </x:c>
      <x:c r="W301" t="n">
        <x:f>IF(ISBLANK('Deal_Master_Wide'!$DR$45),"",'Deal_Master_Wide'!$DR$45)</x:f>
        <x:v>-441.3549</x:v>
      </x:c>
      <x:c r="X301" t="n">
        <x:f>IF(ISBLANK('Deal_Master_Wide'!$DY$45),"",'Deal_Master_Wide'!$DY$45)</x:f>
        <x:v>3.8067</x:v>
      </x:c>
      <x:c r="Y301" t="str">
        <x:f>IF(ISBLANK('Deal_Master_Wide'!$EF$45),"",'Deal_Master_Wide'!$EF$45)</x:f>
      </x:c>
      <x:c r="Z301" t="str">
        <x:f>IF(ISBLANK('Deal_Master_Wide'!$EM$45),"",'Deal_Master_Wide'!$EM$45)</x:f>
      </x:c>
      <x:c r="AA301" t="str">
        <x:f>IF(ISBLANK('Deal_Master_Wide'!$AL$45),"",'Deal_Master_Wide'!$AL$45)</x:f>
        <x:v>Unknown</x:v>
      </x:c>
      <x:c r="AB301" t="str">
        <x:f>IF(ISBLANK('Deal_Master_Wide'!$AF$45),"",'Deal_Master_Wide'!$AF$45)</x:f>
      </x:c>
      <x:c r="AC301" t="str">
        <x:f>IF(COUNT($P301,$Q301,$R301,$S301,$T301,$U301,$V301,$W301,$X301)=9,"Yes","No")</x:f>
        <x:v>Yes</x:v>
      </x:c>
      <x:c r="AD301" t="str">
        <x:f>IF(COUNT($Y301,$Z301)=2,"Yes","No")</x:f>
        <x:v>No</x:v>
      </x:c>
      <x:c r="AE301" t="str">
        <x:v>Added from user-designated treatment-group financial file; classification validation pending.</x:v>
      </x:c>
    </x:row>
    <x:row r="302">
      <x:c r="A302" t="str">
        <x:v>TRT-0043</x:v>
      </x:c>
      <x:c r="B302" t="str">
        <x:v>User-designated treatment group (reclassified)</x:v>
      </x:c>
      <x:c r="C302" t="str">
        <x:f>IF('Deal_Master_Wide'!$AU$45="","",'Deal_Master_Wide'!$AU$45)</x:f>
        <x:v>Not reviewed</x:v>
      </x:c>
      <x:c r="D302" t="str">
        <x:f>IF('Deal_Master_Wide'!$AV$45="","",'Deal_Master_Wide'!$AV$45)</x:f>
        <x:v>Not assessed</x:v>
      </x:c>
      <x:c r="E302" t="n">
        <x:v>1</x:v>
      </x:c>
      <x:c r="F302" t="str">
        <x:f>IF(OR($C302="High-confidence innovation-driven",$C302="Medium-confidence innovation-driven"),1,IF($C302="Clear alternative-rationale",0,""))</x:f>
      </x:c>
      <x:c r="G302" t="str">
        <x:f>IF('Deal_Master_Wide'!$M$45="","",'Deal_Master_Wide'!$M$45)</x:f>
        <x:v>Review</x:v>
      </x:c>
      <x:c r="H302" t="str">
        <x:v>Biodexa Ltd</x:v>
      </x:c>
      <x:c r="I302" t="str">
        <x:v>Q Chip, Ltd.</x:v>
      </x:c>
      <x:c r="J302" t="n">
        <x:v>2014</x:v>
      </x:c>
      <x:c r="K302" t="n">
        <x:v>3</x:v>
      </x:c>
      <x:c r="L302" t="n">
        <x:v>2017</x:v>
      </x:c>
      <x:c r="M302" t="n">
        <x:v>1</x:v>
      </x:c>
      <x:c r="N302" t="n">
        <x:v>1</x:v>
      </x:c>
      <x:c r="O302" t="str">
        <x:f>IF($F302="","",$F302*$M302)</x:f>
      </x:c>
      <x:c r="P302" t="n">
        <x:f>IF(ISBLANK('Deal_Master_Wide'!$BV$45),"",'Deal_Master_Wide'!$BV$45)</x:f>
        <x:v>8.6742</x:v>
      </x:c>
      <x:c r="Q302" t="n">
        <x:f>IF(ISBLANK('Deal_Master_Wide'!$CC$45),"",'Deal_Master_Wide'!$CC$45)</x:f>
        <x:v>-18.369</x:v>
      </x:c>
      <x:c r="R302" t="n">
        <x:f>IF(ISBLANK('Deal_Master_Wide'!$CJ$45),"",'Deal_Master_Wide'!$CJ$45)</x:f>
        <x:v>-18.3393</x:v>
      </x:c>
      <x:c r="S302" t="n">
        <x:f>IF(ISBLANK('Deal_Master_Wide'!$CQ$45),"",'Deal_Master_Wide'!$CQ$45)</x:f>
        <x:v>55.3739</x:v>
      </x:c>
      <x:c r="T302" t="n">
        <x:f>IF(ISBLANK('Deal_Master_Wide'!$CX$45),"",'Deal_Master_Wide'!$CX$45)</x:f>
        <x:v>7.3638</x:v>
      </x:c>
      <x:c r="U302" t="n">
        <x:f>IF(ISBLANK('Deal_Master_Wide'!$DE$45),"",'Deal_Master_Wide'!$DE$45)</x:f>
        <x:v>11.6276</x:v>
      </x:c>
      <x:c r="V302" t="n">
        <x:f>IF(ISBLANK('Deal_Master_Wide'!$DL$45),"",'Deal_Master_Wide'!$DL$45)</x:f>
        <x:v>-30.3343</x:v>
      </x:c>
      <x:c r="W302" t="n">
        <x:f>IF(ISBLANK('Deal_Master_Wide'!$DS$45),"",'Deal_Master_Wide'!$DS$45)</x:f>
        <x:v>-231.8636</x:v>
      </x:c>
      <x:c r="X302" t="n">
        <x:f>IF(ISBLANK('Deal_Master_Wide'!$DZ$45),"",'Deal_Master_Wide'!$DZ$45)</x:f>
        <x:v>13.2984</x:v>
      </x:c>
      <x:c r="Y302" t="str">
        <x:f>IF(ISBLANK('Deal_Master_Wide'!$EG$45),"",'Deal_Master_Wide'!$EG$45)</x:f>
      </x:c>
      <x:c r="Z302" t="str">
        <x:f>IF(ISBLANK('Deal_Master_Wide'!$EN$45),"",'Deal_Master_Wide'!$EN$45)</x:f>
      </x:c>
      <x:c r="AA302" t="str">
        <x:f>IF(ISBLANK('Deal_Master_Wide'!$AL$45),"",'Deal_Master_Wide'!$AL$45)</x:f>
        <x:v>Unknown</x:v>
      </x:c>
      <x:c r="AB302" t="str">
        <x:f>IF(ISBLANK('Deal_Master_Wide'!$AF$45),"",'Deal_Master_Wide'!$AF$45)</x:f>
      </x:c>
      <x:c r="AC302" t="str">
        <x:f>IF(COUNT($P302,$Q302,$R302,$S302,$T302,$U302,$V302,$W302,$X302)=9,"Yes","No")</x:f>
        <x:v>Yes</x:v>
      </x:c>
      <x:c r="AD302" t="str">
        <x:f>IF(COUNT($Y302,$Z302)=2,"Yes","No")</x:f>
        <x:v>No</x:v>
      </x:c>
      <x:c r="AE302" t="str">
        <x:v>Added from user-designated treatment-group financial file; classification validation pending.</x:v>
      </x:c>
    </x:row>
    <x:row r="303">
      <x:c r="A303" t="str">
        <x:v>TRT-0044</x:v>
      </x:c>
      <x:c r="B303" t="str">
        <x:v>User-designated treatment group (reclassified)</x:v>
      </x:c>
      <x:c r="C303" t="str">
        <x:f>IF('Deal_Master_Wide'!$AU$46="","",'Deal_Master_Wide'!$AU$46)</x:f>
        <x:v>Not reviewed</x:v>
      </x:c>
      <x:c r="D303" t="str">
        <x:f>IF('Deal_Master_Wide'!$AV$46="","",'Deal_Master_Wide'!$AV$46)</x:f>
        <x:v>Not assessed</x:v>
      </x:c>
      <x:c r="E303" t="n">
        <x:v>1</x:v>
      </x:c>
      <x:c r="F303" t="str">
        <x:f>IF(OR($C303="High-confidence innovation-driven",$C303="Medium-confidence innovation-driven"),1,IF($C303="Clear alternative-rationale",0,""))</x:f>
      </x:c>
      <x:c r="G303" t="str">
        <x:f>IF('Deal_Master_Wide'!$M$46="","",'Deal_Master_Wide'!$M$46)</x:f>
        <x:v>Review</x:v>
      </x:c>
      <x:c r="H303" t="str">
        <x:v>Esteve Pharmaceuticals SA</x:v>
      </x:c>
      <x:c r="I303" t="str">
        <x:v>ESTEVE Pharmaceuticals GmbH</x:v>
      </x:c>
      <x:c r="J303" t="n">
        <x:v>2020</x:v>
      </x:c>
      <x:c r="K303" t="n">
        <x:v>-3</x:v>
      </x:c>
      <x:c r="L303" t="n">
        <x:v>2017</x:v>
      </x:c>
      <x:c r="M303" t="n">
        <x:v>0</x:v>
      </x:c>
      <x:c r="N303" t="n">
        <x:v>0</x:v>
      </x:c>
      <x:c r="O303" t="str">
        <x:f>IF($F303="","",$F303*$M303)</x:f>
      </x:c>
      <x:c r="P303" t="str">
        <x:f>IF(ISBLANK('Deal_Master_Wide'!$BP$46),"",'Deal_Master_Wide'!$BP$46)</x:f>
      </x:c>
      <x:c r="Q303" t="n">
        <x:f>IF(ISBLANK('Deal_Master_Wide'!$BW$46),"",'Deal_Master_Wide'!$BW$46)</x:f>
        <x:v>19.8088</x:v>
      </x:c>
      <x:c r="R303" t="str">
        <x:f>IF(ISBLANK('Deal_Master_Wide'!$CD$46),"",'Deal_Master_Wide'!$CD$46)</x:f>
      </x:c>
      <x:c r="S303" t="n">
        <x:f>IF(ISBLANK('Deal_Master_Wide'!$CK$46),"",'Deal_Master_Wide'!$CK$46)</x:f>
        <x:v>458.8717</x:v>
      </x:c>
      <x:c r="T303" t="n">
        <x:f>IF(ISBLANK('Deal_Master_Wide'!$CR$46),"",'Deal_Master_Wide'!$CR$46)</x:f>
        <x:v>0</x:v>
      </x:c>
      <x:c r="U303" t="str">
        <x:f>IF(ISBLANK('Deal_Master_Wide'!$CY$46),"",'Deal_Master_Wide'!$CY$46)</x:f>
      </x:c>
      <x:c r="V303" t="n">
        <x:f>IF(ISBLANK('Deal_Master_Wide'!$DF$46),"",'Deal_Master_Wide'!$DF$46)</x:f>
        <x:v>4.4884</x:v>
      </x:c>
      <x:c r="W303" t="n">
        <x:f>IF(ISBLANK('Deal_Master_Wide'!$DM$46),"",'Deal_Master_Wide'!$DM$46)</x:f>
        <x:v>91.1781</x:v>
      </x:c>
      <x:c r="X303" t="n">
        <x:f>IF(ISBLANK('Deal_Master_Wide'!$DT$46),"",'Deal_Master_Wide'!$DT$46)</x:f>
        <x:v>0</x:v>
      </x:c>
      <x:c r="Y303" t="n">
        <x:f>IF(ISBLANK('Deal_Master_Wide'!$EA$46),"",'Deal_Master_Wide'!$EA$46)</x:f>
        <x:v>8</x:v>
      </x:c>
      <x:c r="Z303" t="n">
        <x:f>IF(ISBLANK('Deal_Master_Wide'!$EH$46),"",'Deal_Master_Wide'!$EH$46)</x:f>
        <x:v>0</x:v>
      </x:c>
      <x:c r="AA303" t="str">
        <x:f>IF(ISBLANK('Deal_Master_Wide'!$AL$46),"",'Deal_Master_Wide'!$AL$46)</x:f>
        <x:v>Unknown</x:v>
      </x:c>
      <x:c r="AB303" t="str">
        <x:f>IF(ISBLANK('Deal_Master_Wide'!$AF$46),"",'Deal_Master_Wide'!$AF$46)</x:f>
      </x:c>
      <x:c r="AC303" t="str">
        <x:f>IF(COUNT($P303,$Q303,$R303,$S303,$T303,$U303,$V303,$W303,$X303)=9,"Yes","No")</x:f>
        <x:v>No</x:v>
      </x:c>
      <x:c r="AD303" t="str">
        <x:f>IF(COUNT($Y303,$Z303)=2,"Yes","No")</x:f>
        <x:v>Yes</x:v>
      </x:c>
      <x:c r="AE303" t="str">
        <x:v>Added from user-designated treatment-group financial file; classification validation pending.</x:v>
      </x:c>
    </x:row>
    <x:row r="304">
      <x:c r="A304" t="str">
        <x:v>TRT-0044</x:v>
      </x:c>
      <x:c r="B304" t="str">
        <x:v>User-designated treatment group (reclassified)</x:v>
      </x:c>
      <x:c r="C304" t="str">
        <x:f>IF('Deal_Master_Wide'!$AU$46="","",'Deal_Master_Wide'!$AU$46)</x:f>
        <x:v>Not reviewed</x:v>
      </x:c>
      <x:c r="D304" t="str">
        <x:f>IF('Deal_Master_Wide'!$AV$46="","",'Deal_Master_Wide'!$AV$46)</x:f>
        <x:v>Not assessed</x:v>
      </x:c>
      <x:c r="E304" t="n">
        <x:v>1</x:v>
      </x:c>
      <x:c r="F304" t="str">
        <x:f>IF(OR($C304="High-confidence innovation-driven",$C304="Medium-confidence innovation-driven"),1,IF($C304="Clear alternative-rationale",0,""))</x:f>
      </x:c>
      <x:c r="G304" t="str">
        <x:f>IF('Deal_Master_Wide'!$M$46="","",'Deal_Master_Wide'!$M$46)</x:f>
        <x:v>Review</x:v>
      </x:c>
      <x:c r="H304" t="str">
        <x:v>Esteve Pharmaceuticals SA</x:v>
      </x:c>
      <x:c r="I304" t="str">
        <x:v>ESTEVE Pharmaceuticals GmbH</x:v>
      </x:c>
      <x:c r="J304" t="n">
        <x:v>2020</x:v>
      </x:c>
      <x:c r="K304" t="n">
        <x:v>-2</x:v>
      </x:c>
      <x:c r="L304" t="n">
        <x:v>2018</x:v>
      </x:c>
      <x:c r="M304" t="n">
        <x:v>0</x:v>
      </x:c>
      <x:c r="N304" t="n">
        <x:v>0</x:v>
      </x:c>
      <x:c r="O304" t="str">
        <x:f>IF($F304="","",$F304*$M304)</x:f>
      </x:c>
      <x:c r="P304" t="str">
        <x:f>IF(ISBLANK('Deal_Master_Wide'!$BQ$46),"",'Deal_Master_Wide'!$BQ$46)</x:f>
      </x:c>
      <x:c r="Q304" t="n">
        <x:f>IF(ISBLANK('Deal_Master_Wide'!$BX$46),"",'Deal_Master_Wide'!$BX$46)</x:f>
        <x:v>12.6743</x:v>
      </x:c>
      <x:c r="R304" t="str">
        <x:f>IF(ISBLANK('Deal_Master_Wide'!$CE$46),"",'Deal_Master_Wide'!$CE$46)</x:f>
      </x:c>
      <x:c r="S304" t="n">
        <x:f>IF(ISBLANK('Deal_Master_Wide'!$CL$46),"",'Deal_Master_Wide'!$CL$46)</x:f>
        <x:v>538.6484</x:v>
      </x:c>
      <x:c r="T304" t="n">
        <x:f>IF(ISBLANK('Deal_Master_Wide'!$CS$46),"",'Deal_Master_Wide'!$CS$46)</x:f>
        <x:v>17.1185</x:v>
      </x:c>
      <x:c r="U304" t="str">
        <x:f>IF(ISBLANK('Deal_Master_Wide'!$CZ$46),"",'Deal_Master_Wide'!$CZ$46)</x:f>
      </x:c>
      <x:c r="V304" t="n">
        <x:f>IF(ISBLANK('Deal_Master_Wide'!$DG$46),"",'Deal_Master_Wide'!$DG$46)</x:f>
        <x:v>3.2539</x:v>
      </x:c>
      <x:c r="W304" t="n">
        <x:f>IF(ISBLANK('Deal_Master_Wide'!$DN$46),"",'Deal_Master_Wide'!$DN$46)</x:f>
        <x:v>76.1274</x:v>
      </x:c>
      <x:c r="X304" t="n">
        <x:f>IF(ISBLANK('Deal_Master_Wide'!$DU$46),"",'Deal_Master_Wide'!$DU$46)</x:f>
        <x:v>3.178</x:v>
      </x:c>
      <x:c r="Y304" t="n">
        <x:f>IF(ISBLANK('Deal_Master_Wide'!$EB$46),"",'Deal_Master_Wide'!$EB$46)</x:f>
        <x:v>5</x:v>
      </x:c>
      <x:c r="Z304" t="n">
        <x:f>IF(ISBLANK('Deal_Master_Wide'!$EI$46),"",'Deal_Master_Wide'!$EI$46)</x:f>
        <x:v>0</x:v>
      </x:c>
      <x:c r="AA304" t="str">
        <x:f>IF(ISBLANK('Deal_Master_Wide'!$AL$46),"",'Deal_Master_Wide'!$AL$46)</x:f>
        <x:v>Unknown</x:v>
      </x:c>
      <x:c r="AB304" t="str">
        <x:f>IF(ISBLANK('Deal_Master_Wide'!$AF$46),"",'Deal_Master_Wide'!$AF$46)</x:f>
      </x:c>
      <x:c r="AC304" t="str">
        <x:f>IF(COUNT($P304,$Q304,$R304,$S304,$T304,$U304,$V304,$W304,$X304)=9,"Yes","No")</x:f>
        <x:v>No</x:v>
      </x:c>
      <x:c r="AD304" t="str">
        <x:f>IF(COUNT($Y304,$Z304)=2,"Yes","No")</x:f>
        <x:v>Yes</x:v>
      </x:c>
      <x:c r="AE304" t="str">
        <x:v>Added from user-designated treatment-group financial file; classification validation pending.</x:v>
      </x:c>
    </x:row>
    <x:row r="305">
      <x:c r="A305" t="str">
        <x:v>TRT-0044</x:v>
      </x:c>
      <x:c r="B305" t="str">
        <x:v>User-designated treatment group (reclassified)</x:v>
      </x:c>
      <x:c r="C305" t="str">
        <x:f>IF('Deal_Master_Wide'!$AU$46="","",'Deal_Master_Wide'!$AU$46)</x:f>
        <x:v>Not reviewed</x:v>
      </x:c>
      <x:c r="D305" t="str">
        <x:f>IF('Deal_Master_Wide'!$AV$46="","",'Deal_Master_Wide'!$AV$46)</x:f>
        <x:v>Not assessed</x:v>
      </x:c>
      <x:c r="E305" t="n">
        <x:v>1</x:v>
      </x:c>
      <x:c r="F305" t="str">
        <x:f>IF(OR($C305="High-confidence innovation-driven",$C305="Medium-confidence innovation-driven"),1,IF($C305="Clear alternative-rationale",0,""))</x:f>
      </x:c>
      <x:c r="G305" t="str">
        <x:f>IF('Deal_Master_Wide'!$M$46="","",'Deal_Master_Wide'!$M$46)</x:f>
        <x:v>Review</x:v>
      </x:c>
      <x:c r="H305" t="str">
        <x:v>Esteve Pharmaceuticals SA</x:v>
      </x:c>
      <x:c r="I305" t="str">
        <x:v>ESTEVE Pharmaceuticals GmbH</x:v>
      </x:c>
      <x:c r="J305" t="n">
        <x:v>2020</x:v>
      </x:c>
      <x:c r="K305" t="n">
        <x:v>-1</x:v>
      </x:c>
      <x:c r="L305" t="n">
        <x:v>2019</x:v>
      </x:c>
      <x:c r="M305" t="n">
        <x:v>0</x:v>
      </x:c>
      <x:c r="N305" t="n">
        <x:v>0</x:v>
      </x:c>
      <x:c r="O305" t="str">
        <x:f>IF($F305="","",$F305*$M305)</x:f>
      </x:c>
      <x:c r="P305" t="str">
        <x:f>IF(ISBLANK('Deal_Master_Wide'!$BR$46),"",'Deal_Master_Wide'!$BR$46)</x:f>
      </x:c>
      <x:c r="Q305" t="n">
        <x:f>IF(ISBLANK('Deal_Master_Wide'!$BY$46),"",'Deal_Master_Wide'!$BY$46)</x:f>
        <x:v>166.8558</x:v>
      </x:c>
      <x:c r="R305" t="str">
        <x:f>IF(ISBLANK('Deal_Master_Wide'!$CF$46),"",'Deal_Master_Wide'!$CF$46)</x:f>
      </x:c>
      <x:c r="S305" t="n">
        <x:f>IF(ISBLANK('Deal_Master_Wide'!$CM$46),"",'Deal_Master_Wide'!$CM$46)</x:f>
        <x:v>890.9543</x:v>
      </x:c>
      <x:c r="T305" t="n">
        <x:f>IF(ISBLANK('Deal_Master_Wide'!$CT$46),"",'Deal_Master_Wide'!$CT$46)</x:f>
        <x:v>23.5852</x:v>
      </x:c>
      <x:c r="U305" t="str">
        <x:f>IF(ISBLANK('Deal_Master_Wide'!$DA$46),"",'Deal_Master_Wide'!$DA$46)</x:f>
      </x:c>
      <x:c r="V305" t="n">
        <x:f>IF(ISBLANK('Deal_Master_Wide'!$DH$46),"",'Deal_Master_Wide'!$DH$46)</x:f>
        <x:v>23.6081</x:v>
      </x:c>
      <x:c r="W305" t="n">
        <x:f>IF(ISBLANK('Deal_Master_Wide'!$DO$46),"",'Deal_Master_Wide'!$DO$46)</x:f>
        <x:v>95.7042</x:v>
      </x:c>
      <x:c r="X305" t="n">
        <x:f>IF(ISBLANK('Deal_Master_Wide'!$DV$46),"",'Deal_Master_Wide'!$DV$46)</x:f>
        <x:v>2.6472</x:v>
      </x:c>
      <x:c r="Y305" t="n">
        <x:f>IF(ISBLANK('Deal_Master_Wide'!$EC$46),"",'Deal_Master_Wide'!$EC$46)</x:f>
        <x:v>3</x:v>
      </x:c>
      <x:c r="Z305" t="n">
        <x:f>IF(ISBLANK('Deal_Master_Wide'!$EJ$46),"",'Deal_Master_Wide'!$EJ$46)</x:f>
        <x:v>0</x:v>
      </x:c>
      <x:c r="AA305" t="str">
        <x:f>IF(ISBLANK('Deal_Master_Wide'!$AL$46),"",'Deal_Master_Wide'!$AL$46)</x:f>
        <x:v>Unknown</x:v>
      </x:c>
      <x:c r="AB305" t="str">
        <x:f>IF(ISBLANK('Deal_Master_Wide'!$AF$46),"",'Deal_Master_Wide'!$AF$46)</x:f>
      </x:c>
      <x:c r="AC305" t="str">
        <x:f>IF(COUNT($P305,$Q305,$R305,$S305,$T305,$U305,$V305,$W305,$X305)=9,"Yes","No")</x:f>
        <x:v>No</x:v>
      </x:c>
      <x:c r="AD305" t="str">
        <x:f>IF(COUNT($Y305,$Z305)=2,"Yes","No")</x:f>
        <x:v>Yes</x:v>
      </x:c>
      <x:c r="AE305" t="str">
        <x:v>Added from user-designated treatment-group financial file; classification validation pending.</x:v>
      </x:c>
    </x:row>
    <x:row r="306">
      <x:c r="A306" t="str">
        <x:v>TRT-0044</x:v>
      </x:c>
      <x:c r="B306" t="str">
        <x:v>User-designated treatment group (reclassified)</x:v>
      </x:c>
      <x:c r="C306" t="str">
        <x:f>IF('Deal_Master_Wide'!$AU$46="","",'Deal_Master_Wide'!$AU$46)</x:f>
        <x:v>Not reviewed</x:v>
      </x:c>
      <x:c r="D306" t="str">
        <x:f>IF('Deal_Master_Wide'!$AV$46="","",'Deal_Master_Wide'!$AV$46)</x:f>
        <x:v>Not assessed</x:v>
      </x:c>
      <x:c r="E306" t="n">
        <x:v>1</x:v>
      </x:c>
      <x:c r="F306" t="str">
        <x:f>IF(OR($C306="High-confidence innovation-driven",$C306="Medium-confidence innovation-driven"),1,IF($C306="Clear alternative-rationale",0,""))</x:f>
      </x:c>
      <x:c r="G306" t="str">
        <x:f>IF('Deal_Master_Wide'!$M$46="","",'Deal_Master_Wide'!$M$46)</x:f>
        <x:v>Review</x:v>
      </x:c>
      <x:c r="H306" t="str">
        <x:v>Esteve Pharmaceuticals SA</x:v>
      </x:c>
      <x:c r="I306" t="str">
        <x:v>ESTEVE Pharmaceuticals GmbH</x:v>
      </x:c>
      <x:c r="J306" t="n">
        <x:v>2020</x:v>
      </x:c>
      <x:c r="K306" t="n">
        <x:v>0</x:v>
      </x:c>
      <x:c r="L306" t="n">
        <x:v>2020</x:v>
      </x:c>
      <x:c r="M306" t="n">
        <x:v>0</x:v>
      </x:c>
      <x:c r="N306" t="n">
        <x:v>1</x:v>
      </x:c>
      <x:c r="O306" t="str">
        <x:f>IF($F306="","",$F306*$M306)</x:f>
      </x:c>
      <x:c r="P306" t="str">
        <x:f>IF(ISBLANK('Deal_Master_Wide'!$BS$46),"",'Deal_Master_Wide'!$BS$46)</x:f>
      </x:c>
      <x:c r="Q306" t="n">
        <x:f>IF(ISBLANK('Deal_Master_Wide'!$BZ$46),"",'Deal_Master_Wide'!$BZ$46)</x:f>
        <x:v>-23.2304</x:v>
      </x:c>
      <x:c r="R306" t="str">
        <x:f>IF(ISBLANK('Deal_Master_Wide'!$CG$46),"",'Deal_Master_Wide'!$CG$46)</x:f>
      </x:c>
      <x:c r="S306" t="n">
        <x:f>IF(ISBLANK('Deal_Master_Wide'!$CN$46),"",'Deal_Master_Wide'!$CN$46)</x:f>
        <x:v>851.7258</x:v>
      </x:c>
      <x:c r="T306" t="n">
        <x:f>IF(ISBLANK('Deal_Master_Wide'!$CU$46),"",'Deal_Master_Wide'!$CU$46)</x:f>
        <x:v>30.0069</x:v>
      </x:c>
      <x:c r="U306" t="str">
        <x:f>IF(ISBLANK('Deal_Master_Wide'!$DB$46),"",'Deal_Master_Wide'!$DB$46)</x:f>
      </x:c>
      <x:c r="V306" t="n">
        <x:f>IF(ISBLANK('Deal_Master_Wide'!$DI$46),"",'Deal_Master_Wide'!$DI$46)</x:f>
        <x:v>7.5956</x:v>
      </x:c>
      <x:c r="W306" t="n">
        <x:f>IF(ISBLANK('Deal_Master_Wide'!$DP$46),"",'Deal_Master_Wide'!$DP$46)</x:f>
        <x:v>-357.3914</x:v>
      </x:c>
      <x:c r="X306" t="n">
        <x:f>IF(ISBLANK('Deal_Master_Wide'!$DW$46),"",'Deal_Master_Wide'!$DW$46)</x:f>
        <x:v>3.5231</x:v>
      </x:c>
      <x:c r="Y306" t="n">
        <x:f>IF(ISBLANK('Deal_Master_Wide'!$ED$46),"",'Deal_Master_Wide'!$ED$46)</x:f>
        <x:v>1</x:v>
      </x:c>
      <x:c r="Z306" t="n">
        <x:f>IF(ISBLANK('Deal_Master_Wide'!$EK$46),"",'Deal_Master_Wide'!$EK$46)</x:f>
        <x:v>0</x:v>
      </x:c>
      <x:c r="AA306" t="str">
        <x:f>IF(ISBLANK('Deal_Master_Wide'!$AL$46),"",'Deal_Master_Wide'!$AL$46)</x:f>
        <x:v>Unknown</x:v>
      </x:c>
      <x:c r="AB306" t="str">
        <x:f>IF(ISBLANK('Deal_Master_Wide'!$AF$46),"",'Deal_Master_Wide'!$AF$46)</x:f>
      </x:c>
      <x:c r="AC306" t="str">
        <x:f>IF(COUNT($P306,$Q306,$R306,$S306,$T306,$U306,$V306,$W306,$X306)=9,"Yes","No")</x:f>
        <x:v>No</x:v>
      </x:c>
      <x:c r="AD306" t="str">
        <x:f>IF(COUNT($Y306,$Z306)=2,"Yes","No")</x:f>
        <x:v>Yes</x:v>
      </x:c>
      <x:c r="AE306" t="str">
        <x:v>Added from user-designated treatment-group financial file; classification validation pending.</x:v>
      </x:c>
    </x:row>
    <x:row r="307">
      <x:c r="A307" t="str">
        <x:v>TRT-0044</x:v>
      </x:c>
      <x:c r="B307" t="str">
        <x:v>User-designated treatment group (reclassified)</x:v>
      </x:c>
      <x:c r="C307" t="str">
        <x:f>IF('Deal_Master_Wide'!$AU$46="","",'Deal_Master_Wide'!$AU$46)</x:f>
        <x:v>Not reviewed</x:v>
      </x:c>
      <x:c r="D307" t="str">
        <x:f>IF('Deal_Master_Wide'!$AV$46="","",'Deal_Master_Wide'!$AV$46)</x:f>
        <x:v>Not assessed</x:v>
      </x:c>
      <x:c r="E307" t="n">
        <x:v>1</x:v>
      </x:c>
      <x:c r="F307" t="str">
        <x:f>IF(OR($C307="High-confidence innovation-driven",$C307="Medium-confidence innovation-driven"),1,IF($C307="Clear alternative-rationale",0,""))</x:f>
      </x:c>
      <x:c r="G307" t="str">
        <x:f>IF('Deal_Master_Wide'!$M$46="","",'Deal_Master_Wide'!$M$46)</x:f>
        <x:v>Review</x:v>
      </x:c>
      <x:c r="H307" t="str">
        <x:v>Esteve Pharmaceuticals SA</x:v>
      </x:c>
      <x:c r="I307" t="str">
        <x:v>ESTEVE Pharmaceuticals GmbH</x:v>
      </x:c>
      <x:c r="J307" t="n">
        <x:v>2020</x:v>
      </x:c>
      <x:c r="K307" t="n">
        <x:v>1</x:v>
      </x:c>
      <x:c r="L307" t="n">
        <x:v>2021</x:v>
      </x:c>
      <x:c r="M307" t="n">
        <x:v>1</x:v>
      </x:c>
      <x:c r="N307" t="n">
        <x:v>1</x:v>
      </x:c>
      <x:c r="O307" t="str">
        <x:f>IF($F307="","",$F307*$M307)</x:f>
      </x:c>
      <x:c r="P307" t="str">
        <x:f>IF(ISBLANK('Deal_Master_Wide'!$BT$46),"",'Deal_Master_Wide'!$BT$46)</x:f>
      </x:c>
      <x:c r="Q307" t="n">
        <x:f>IF(ISBLANK('Deal_Master_Wide'!$CA$46),"",'Deal_Master_Wide'!$CA$46)</x:f>
        <x:v>46.584</x:v>
      </x:c>
      <x:c r="R307" t="str">
        <x:f>IF(ISBLANK('Deal_Master_Wide'!$CH$46),"",'Deal_Master_Wide'!$CH$46)</x:f>
      </x:c>
      <x:c r="S307" t="n">
        <x:f>IF(ISBLANK('Deal_Master_Wide'!$CO$46),"",'Deal_Master_Wide'!$CO$46)</x:f>
        <x:v>779.869</x:v>
      </x:c>
      <x:c r="T307" t="n">
        <x:f>IF(ISBLANK('Deal_Master_Wide'!$CV$46),"",'Deal_Master_Wide'!$CV$46)</x:f>
        <x:v>0.021</x:v>
      </x:c>
      <x:c r="U307" t="str">
        <x:f>IF(ISBLANK('Deal_Master_Wide'!$DC$46),"",'Deal_Master_Wide'!$DC$46)</x:f>
      </x:c>
      <x:c r="V307" t="n">
        <x:f>IF(ISBLANK('Deal_Master_Wide'!$DJ$46),"",'Deal_Master_Wide'!$DJ$46)</x:f>
        <x:v>5.2352</x:v>
      </x:c>
      <x:c r="W307" t="n">
        <x:f>IF(ISBLANK('Deal_Master_Wide'!$DQ$46),"",'Deal_Master_Wide'!$DQ$46)</x:f>
        <x:v>85.7143</x:v>
      </x:c>
      <x:c r="X307" t="n">
        <x:f>IF(ISBLANK('Deal_Master_Wide'!$DX$46),"",'Deal_Master_Wide'!$DX$46)</x:f>
        <x:v>0.0027</x:v>
      </x:c>
      <x:c r="Y307" t="n">
        <x:f>IF(ISBLANK('Deal_Master_Wide'!$EE$46),"",'Deal_Master_Wide'!$EE$46)</x:f>
        <x:v>1</x:v>
      </x:c>
      <x:c r="Z307" t="n">
        <x:f>IF(ISBLANK('Deal_Master_Wide'!$EL$46),"",'Deal_Master_Wide'!$EL$46)</x:f>
        <x:v>0</x:v>
      </x:c>
      <x:c r="AA307" t="str">
        <x:f>IF(ISBLANK('Deal_Master_Wide'!$AL$46),"",'Deal_Master_Wide'!$AL$46)</x:f>
        <x:v>Unknown</x:v>
      </x:c>
      <x:c r="AB307" t="str">
        <x:f>IF(ISBLANK('Deal_Master_Wide'!$AF$46),"",'Deal_Master_Wide'!$AF$46)</x:f>
      </x:c>
      <x:c r="AC307" t="str">
        <x:f>IF(COUNT($P307,$Q307,$R307,$S307,$T307,$U307,$V307,$W307,$X307)=9,"Yes","No")</x:f>
        <x:v>No</x:v>
      </x:c>
      <x:c r="AD307" t="str">
        <x:f>IF(COUNT($Y307,$Z307)=2,"Yes","No")</x:f>
        <x:v>Yes</x:v>
      </x:c>
      <x:c r="AE307" t="str">
        <x:v>Added from user-designated treatment-group financial file; classification validation pending.</x:v>
      </x:c>
    </x:row>
    <x:row r="308">
      <x:c r="A308" t="str">
        <x:v>TRT-0044</x:v>
      </x:c>
      <x:c r="B308" t="str">
        <x:v>User-designated treatment group (reclassified)</x:v>
      </x:c>
      <x:c r="C308" t="str">
        <x:f>IF('Deal_Master_Wide'!$AU$46="","",'Deal_Master_Wide'!$AU$46)</x:f>
        <x:v>Not reviewed</x:v>
      </x:c>
      <x:c r="D308" t="str">
        <x:f>IF('Deal_Master_Wide'!$AV$46="","",'Deal_Master_Wide'!$AV$46)</x:f>
        <x:v>Not assessed</x:v>
      </x:c>
      <x:c r="E308" t="n">
        <x:v>1</x:v>
      </x:c>
      <x:c r="F308" t="str">
        <x:f>IF(OR($C308="High-confidence innovation-driven",$C308="Medium-confidence innovation-driven"),1,IF($C308="Clear alternative-rationale",0,""))</x:f>
      </x:c>
      <x:c r="G308" t="str">
        <x:f>IF('Deal_Master_Wide'!$M$46="","",'Deal_Master_Wide'!$M$46)</x:f>
        <x:v>Review</x:v>
      </x:c>
      <x:c r="H308" t="str">
        <x:v>Esteve Pharmaceuticals SA</x:v>
      </x:c>
      <x:c r="I308" t="str">
        <x:v>ESTEVE Pharmaceuticals GmbH</x:v>
      </x:c>
      <x:c r="J308" t="n">
        <x:v>2020</x:v>
      </x:c>
      <x:c r="K308" t="n">
        <x:v>2</x:v>
      </x:c>
      <x:c r="L308" t="n">
        <x:v>2022</x:v>
      </x:c>
      <x:c r="M308" t="n">
        <x:v>1</x:v>
      </x:c>
      <x:c r="N308" t="n">
        <x:v>1</x:v>
      </x:c>
      <x:c r="O308" t="str">
        <x:f>IF($F308="","",$F308*$M308)</x:f>
      </x:c>
      <x:c r="P308" t="str">
        <x:f>IF(ISBLANK('Deal_Master_Wide'!$BU$46),"",'Deal_Master_Wide'!$BU$46)</x:f>
      </x:c>
      <x:c r="Q308" t="str">
        <x:f>IF(ISBLANK('Deal_Master_Wide'!$CB$46),"",'Deal_Master_Wide'!$CB$46)</x:f>
      </x:c>
      <x:c r="R308" t="str">
        <x:f>IF(ISBLANK('Deal_Master_Wide'!$CI$46),"",'Deal_Master_Wide'!$CI$46)</x:f>
      </x:c>
      <x:c r="S308" t="str">
        <x:f>IF(ISBLANK('Deal_Master_Wide'!$CP$46),"",'Deal_Master_Wide'!$CP$46)</x:f>
      </x:c>
      <x:c r="T308" t="str">
        <x:f>IF(ISBLANK('Deal_Master_Wide'!$CW$46),"",'Deal_Master_Wide'!$CW$46)</x:f>
      </x:c>
      <x:c r="U308" t="str">
        <x:f>IF(ISBLANK('Deal_Master_Wide'!$DD$46),"",'Deal_Master_Wide'!$DD$46)</x:f>
      </x:c>
      <x:c r="V308" t="str">
        <x:f>IF(ISBLANK('Deal_Master_Wide'!$DK$46),"",'Deal_Master_Wide'!$DK$46)</x:f>
      </x:c>
      <x:c r="W308" t="str">
        <x:f>IF(ISBLANK('Deal_Master_Wide'!$DR$46),"",'Deal_Master_Wide'!$DR$46)</x:f>
      </x:c>
      <x:c r="X308" t="str">
        <x:f>IF(ISBLANK('Deal_Master_Wide'!$DY$46),"",'Deal_Master_Wide'!$DY$46)</x:f>
      </x:c>
      <x:c r="Y308" t="str">
        <x:f>IF(ISBLANK('Deal_Master_Wide'!$EF$46),"",'Deal_Master_Wide'!$EF$46)</x:f>
      </x:c>
      <x:c r="Z308" t="str">
        <x:f>IF(ISBLANK('Deal_Master_Wide'!$EM$46),"",'Deal_Master_Wide'!$EM$46)</x:f>
      </x:c>
      <x:c r="AA308" t="str">
        <x:f>IF(ISBLANK('Deal_Master_Wide'!$AL$46),"",'Deal_Master_Wide'!$AL$46)</x:f>
        <x:v>Unknown</x:v>
      </x:c>
      <x:c r="AB308" t="str">
        <x:f>IF(ISBLANK('Deal_Master_Wide'!$AF$46),"",'Deal_Master_Wide'!$AF$46)</x:f>
      </x:c>
      <x:c r="AC308" t="str">
        <x:f>IF(COUNT($P308,$Q308,$R308,$S308,$T308,$U308,$V308,$W308,$X308)=9,"Yes","No")</x:f>
        <x:v>No</x:v>
      </x:c>
      <x:c r="AD308" t="str">
        <x:f>IF(COUNT($Y308,$Z308)=2,"Yes","No")</x:f>
        <x:v>No</x:v>
      </x:c>
      <x:c r="AE308" t="str">
        <x:v>Added from user-designated treatment-group financial file; classification validation pending.</x:v>
      </x:c>
    </x:row>
    <x:row r="309">
      <x:c r="A309" t="str">
        <x:v>TRT-0044</x:v>
      </x:c>
      <x:c r="B309" t="str">
        <x:v>User-designated treatment group (reclassified)</x:v>
      </x:c>
      <x:c r="C309" t="str">
        <x:f>IF('Deal_Master_Wide'!$AU$46="","",'Deal_Master_Wide'!$AU$46)</x:f>
        <x:v>Not reviewed</x:v>
      </x:c>
      <x:c r="D309" t="str">
        <x:f>IF('Deal_Master_Wide'!$AV$46="","",'Deal_Master_Wide'!$AV$46)</x:f>
        <x:v>Not assessed</x:v>
      </x:c>
      <x:c r="E309" t="n">
        <x:v>1</x:v>
      </x:c>
      <x:c r="F309" t="str">
        <x:f>IF(OR($C309="High-confidence innovation-driven",$C309="Medium-confidence innovation-driven"),1,IF($C309="Clear alternative-rationale",0,""))</x:f>
      </x:c>
      <x:c r="G309" t="str">
        <x:f>IF('Deal_Master_Wide'!$M$46="","",'Deal_Master_Wide'!$M$46)</x:f>
        <x:v>Review</x:v>
      </x:c>
      <x:c r="H309" t="str">
        <x:v>Esteve Pharmaceuticals SA</x:v>
      </x:c>
      <x:c r="I309" t="str">
        <x:v>ESTEVE Pharmaceuticals GmbH</x:v>
      </x:c>
      <x:c r="J309" t="n">
        <x:v>2020</x:v>
      </x:c>
      <x:c r="K309" t="n">
        <x:v>3</x:v>
      </x:c>
      <x:c r="L309" t="n">
        <x:v>2023</x:v>
      </x:c>
      <x:c r="M309" t="n">
        <x:v>1</x:v>
      </x:c>
      <x:c r="N309" t="n">
        <x:v>1</x:v>
      </x:c>
      <x:c r="O309" t="str">
        <x:f>IF($F309="","",$F309*$M309)</x:f>
      </x:c>
      <x:c r="P309" t="str">
        <x:f>IF(ISBLANK('Deal_Master_Wide'!$BV$46),"",'Deal_Master_Wide'!$BV$46)</x:f>
      </x:c>
      <x:c r="Q309" t="str">
        <x:f>IF(ISBLANK('Deal_Master_Wide'!$CC$46),"",'Deal_Master_Wide'!$CC$46)</x:f>
      </x:c>
      <x:c r="R309" t="str">
        <x:f>IF(ISBLANK('Deal_Master_Wide'!$CJ$46),"",'Deal_Master_Wide'!$CJ$46)</x:f>
      </x:c>
      <x:c r="S309" t="str">
        <x:f>IF(ISBLANK('Deal_Master_Wide'!$CQ$46),"",'Deal_Master_Wide'!$CQ$46)</x:f>
      </x:c>
      <x:c r="T309" t="str">
        <x:f>IF(ISBLANK('Deal_Master_Wide'!$CX$46),"",'Deal_Master_Wide'!$CX$46)</x:f>
      </x:c>
      <x:c r="U309" t="str">
        <x:f>IF(ISBLANK('Deal_Master_Wide'!$DE$46),"",'Deal_Master_Wide'!$DE$46)</x:f>
      </x:c>
      <x:c r="V309" t="str">
        <x:f>IF(ISBLANK('Deal_Master_Wide'!$DL$46),"",'Deal_Master_Wide'!$DL$46)</x:f>
      </x:c>
      <x:c r="W309" t="str">
        <x:f>IF(ISBLANK('Deal_Master_Wide'!$DS$46),"",'Deal_Master_Wide'!$DS$46)</x:f>
      </x:c>
      <x:c r="X309" t="str">
        <x:f>IF(ISBLANK('Deal_Master_Wide'!$DZ$46),"",'Deal_Master_Wide'!$DZ$46)</x:f>
      </x:c>
      <x:c r="Y309" t="str">
        <x:f>IF(ISBLANK('Deal_Master_Wide'!$EG$46),"",'Deal_Master_Wide'!$EG$46)</x:f>
      </x:c>
      <x:c r="Z309" t="str">
        <x:f>IF(ISBLANK('Deal_Master_Wide'!$EN$46),"",'Deal_Master_Wide'!$EN$46)</x:f>
      </x:c>
      <x:c r="AA309" t="str">
        <x:f>IF(ISBLANK('Deal_Master_Wide'!$AL$46),"",'Deal_Master_Wide'!$AL$46)</x:f>
        <x:v>Unknown</x:v>
      </x:c>
      <x:c r="AB309" t="str">
        <x:f>IF(ISBLANK('Deal_Master_Wide'!$AF$46),"",'Deal_Master_Wide'!$AF$46)</x:f>
      </x:c>
      <x:c r="AC309" t="str">
        <x:f>IF(COUNT($P309,$Q309,$R309,$S309,$T309,$U309,$V309,$W309,$X309)=9,"Yes","No")</x:f>
        <x:v>No</x:v>
      </x:c>
      <x:c r="AD309" t="str">
        <x:f>IF(COUNT($Y309,$Z309)=2,"Yes","No")</x:f>
        <x:v>No</x:v>
      </x:c>
      <x:c r="AE309" t="str">
        <x:v>Added from user-designated treatment-group financial file; classification validation pending.</x:v>
      </x:c>
    </x:row>
    <x:row r="310">
      <x:c r="A310" t="str">
        <x:v>TRT-0045</x:v>
      </x:c>
      <x:c r="B310" t="str">
        <x:v>User-designated treatment group (reclassified)</x:v>
      </x:c>
      <x:c r="C310" t="str">
        <x:f>IF('Deal_Master_Wide'!$AU$47="","",'Deal_Master_Wide'!$AU$47)</x:f>
        <x:v>Not reviewed</x:v>
      </x:c>
      <x:c r="D310" t="str">
        <x:f>IF('Deal_Master_Wide'!$AV$47="","",'Deal_Master_Wide'!$AV$47)</x:f>
        <x:v>Not assessed</x:v>
      </x:c>
      <x:c r="E310" t="n">
        <x:v>1</x:v>
      </x:c>
      <x:c r="F310" t="str">
        <x:f>IF(OR($C310="High-confidence innovation-driven",$C310="Medium-confidence innovation-driven"),1,IF($C310="Clear alternative-rationale",0,""))</x:f>
      </x:c>
      <x:c r="G310" t="str">
        <x:f>IF('Deal_Master_Wide'!$M$47="","",'Deal_Master_Wide'!$M$47)</x:f>
        <x:v>Review</x:v>
      </x:c>
      <x:c r="H310" t="str">
        <x:v>Shire plc (Inactive)</x:v>
      </x:c>
      <x:c r="I310" t="str">
        <x:v>Premacure AB</x:v>
      </x:c>
      <x:c r="J310" t="n">
        <x:v>2013</x:v>
      </x:c>
      <x:c r="K310" t="n">
        <x:v>-3</x:v>
      </x:c>
      <x:c r="L310" t="n">
        <x:v>2010</x:v>
      </x:c>
      <x:c r="M310" t="n">
        <x:v>0</x:v>
      </x:c>
      <x:c r="N310" t="n">
        <x:v>0</x:v>
      </x:c>
      <x:c r="O310" t="str">
        <x:f>IF($F310="","",$F310*$M310)</x:f>
      </x:c>
      <x:c r="P310" t="n">
        <x:f>IF(ISBLANK('Deal_Master_Wide'!$BP$47),"",'Deal_Master_Wide'!$BP$47)</x:f>
        <x:v>3471.1</x:v>
      </x:c>
      <x:c r="Q310" t="n">
        <x:f>IF(ISBLANK('Deal_Master_Wide'!$BW$47),"",'Deal_Master_Wide'!$BW$47)</x:f>
        <x:v>794.1</x:v>
      </x:c>
      <x:c r="R310" t="n">
        <x:f>IF(ISBLANK('Deal_Master_Wide'!$CD$47),"",'Deal_Master_Wide'!$CD$47)</x:f>
        <x:v>588</x:v>
      </x:c>
      <x:c r="S310" t="n">
        <x:f>IF(ISBLANK('Deal_Master_Wide'!$CK$47),"",'Deal_Master_Wide'!$CK$47)</x:f>
        <x:v>5387.6</x:v>
      </x:c>
      <x:c r="T310" t="n">
        <x:f>IF(ISBLANK('Deal_Master_Wide'!$CR$47),"",'Deal_Master_Wide'!$CR$47)</x:f>
        <x:v>1107.9</x:v>
      </x:c>
      <x:c r="U310" t="n">
        <x:f>IF(ISBLANK('Deal_Master_Wide'!$CY$47),"",'Deal_Master_Wide'!$CY$47)</x:f>
        <x:v>661.5</x:v>
      </x:c>
      <x:c r="V310" t="n">
        <x:f>IF(ISBLANK('Deal_Master_Wide'!$DF$47),"",'Deal_Master_Wide'!$DF$47)</x:f>
        <x:v>11.75</x:v>
      </x:c>
      <x:c r="W310" t="n">
        <x:f>IF(ISBLANK('Deal_Master_Wide'!$DM$47),"",'Deal_Master_Wide'!$DM$47)</x:f>
        <x:v>22.88</x:v>
      </x:c>
      <x:c r="X310" t="n">
        <x:f>IF(ISBLANK('Deal_Master_Wide'!$DT$47),"",'Deal_Master_Wide'!$DT$47)</x:f>
        <x:v>20.5639</x:v>
      </x:c>
      <x:c r="Y310" t="str">
        <x:f>IF(ISBLANK('Deal_Master_Wide'!$EA$47),"",'Deal_Master_Wide'!$EA$47)</x:f>
      </x:c>
      <x:c r="Z310" t="str">
        <x:f>IF(ISBLANK('Deal_Master_Wide'!$EH$47),"",'Deal_Master_Wide'!$EH$47)</x:f>
      </x:c>
      <x:c r="AA310" t="str">
        <x:f>IF(ISBLANK('Deal_Master_Wide'!$AL$47),"",'Deal_Master_Wide'!$AL$47)</x:f>
        <x:v>Unknown</x:v>
      </x:c>
      <x:c r="AB310" t="str">
        <x:f>IF(ISBLANK('Deal_Master_Wide'!$AF$47),"",'Deal_Master_Wide'!$AF$47)</x:f>
      </x:c>
      <x:c r="AC310" t="str">
        <x:f>IF(COUNT($P310,$Q310,$R310,$S310,$T310,$U310,$V310,$W310,$X310)=9,"Yes","No")</x:f>
        <x:v>Yes</x:v>
      </x:c>
      <x:c r="AD310" t="str">
        <x:f>IF(COUNT($Y310,$Z310)=2,"Yes","No")</x:f>
        <x:v>No</x:v>
      </x:c>
      <x:c r="AE310" t="str">
        <x:v>Added from user-designated treatment-group financial file; classification validation pending.</x:v>
      </x:c>
    </x:row>
    <x:row r="311">
      <x:c r="A311" t="str">
        <x:v>TRT-0045</x:v>
      </x:c>
      <x:c r="B311" t="str">
        <x:v>User-designated treatment group (reclassified)</x:v>
      </x:c>
      <x:c r="C311" t="str">
        <x:f>IF('Deal_Master_Wide'!$AU$47="","",'Deal_Master_Wide'!$AU$47)</x:f>
        <x:v>Not reviewed</x:v>
      </x:c>
      <x:c r="D311" t="str">
        <x:f>IF('Deal_Master_Wide'!$AV$47="","",'Deal_Master_Wide'!$AV$47)</x:f>
        <x:v>Not assessed</x:v>
      </x:c>
      <x:c r="E311" t="n">
        <x:v>1</x:v>
      </x:c>
      <x:c r="F311" t="str">
        <x:f>IF(OR($C311="High-confidence innovation-driven",$C311="Medium-confidence innovation-driven"),1,IF($C311="Clear alternative-rationale",0,""))</x:f>
      </x:c>
      <x:c r="G311" t="str">
        <x:f>IF('Deal_Master_Wide'!$M$47="","",'Deal_Master_Wide'!$M$47)</x:f>
        <x:v>Review</x:v>
      </x:c>
      <x:c r="H311" t="str">
        <x:v>Shire plc (Inactive)</x:v>
      </x:c>
      <x:c r="I311" t="str">
        <x:v>Premacure AB</x:v>
      </x:c>
      <x:c r="J311" t="n">
        <x:v>2013</x:v>
      </x:c>
      <x:c r="K311" t="n">
        <x:v>-2</x:v>
      </x:c>
      <x:c r="L311" t="n">
        <x:v>2011</x:v>
      </x:c>
      <x:c r="M311" t="n">
        <x:v>0</x:v>
      </x:c>
      <x:c r="N311" t="n">
        <x:v>0</x:v>
      </x:c>
      <x:c r="O311" t="str">
        <x:f>IF($F311="","",$F311*$M311)</x:f>
      </x:c>
      <x:c r="P311" t="n">
        <x:f>IF(ISBLANK('Deal_Master_Wide'!$BQ$47),"",'Deal_Master_Wide'!$BQ$47)</x:f>
        <x:v>4263.4</x:v>
      </x:c>
      <x:c r="Q311" t="n">
        <x:f>IF(ISBLANK('Deal_Master_Wide'!$BX$47),"",'Deal_Master_Wide'!$BX$47)</x:f>
        <x:v>1109.2</x:v>
      </x:c>
      <x:c r="R311" t="n">
        <x:f>IF(ISBLANK('Deal_Master_Wide'!$CE$47),"",'Deal_Master_Wide'!$CE$47)</x:f>
        <x:v>865</x:v>
      </x:c>
      <x:c r="S311" t="n">
        <x:f>IF(ISBLANK('Deal_Master_Wide'!$CL$47),"",'Deal_Master_Wide'!$CL$47)</x:f>
        <x:v>6380.2</x:v>
      </x:c>
      <x:c r="T311" t="n">
        <x:f>IF(ISBLANK('Deal_Master_Wide'!$CS$47),"",'Deal_Master_Wide'!$CS$47)</x:f>
        <x:v>1100</x:v>
      </x:c>
      <x:c r="U311" t="n">
        <x:f>IF(ISBLANK('Deal_Master_Wide'!$CZ$47),"",'Deal_Master_Wide'!$CZ$47)</x:f>
        <x:v>754.7</x:v>
      </x:c>
      <x:c r="V311" t="n">
        <x:f>IF(ISBLANK('Deal_Master_Wide'!$DG$47),"",'Deal_Master_Wide'!$DG$47)</x:f>
        <x:v>14.7</x:v>
      </x:c>
      <x:c r="W311" t="n">
        <x:f>IF(ISBLANK('Deal_Master_Wide'!$DN$47),"",'Deal_Master_Wide'!$DN$47)</x:f>
        <x:v>26.02</x:v>
      </x:c>
      <x:c r="X311" t="n">
        <x:f>IF(ISBLANK('Deal_Master_Wide'!$DU$47),"",'Deal_Master_Wide'!$DU$47)</x:f>
        <x:v>17.2408</x:v>
      </x:c>
      <x:c r="Y311" t="n">
        <x:f>IF(ISBLANK('Deal_Master_Wide'!$EB$47),"",'Deal_Master_Wide'!$EB$47)</x:f>
        <x:v>15</x:v>
      </x:c>
      <x:c r="Z311" t="n">
        <x:f>IF(ISBLANK('Deal_Master_Wide'!$EI$47),"",'Deal_Master_Wide'!$EI$47)</x:f>
        <x:v>159</x:v>
      </x:c>
      <x:c r="AA311" t="str">
        <x:f>IF(ISBLANK('Deal_Master_Wide'!$AL$47),"",'Deal_Master_Wide'!$AL$47)</x:f>
        <x:v>Unknown</x:v>
      </x:c>
      <x:c r="AB311" t="str">
        <x:f>IF(ISBLANK('Deal_Master_Wide'!$AF$47),"",'Deal_Master_Wide'!$AF$47)</x:f>
      </x:c>
      <x:c r="AC311" t="str">
        <x:f>IF(COUNT($P311,$Q311,$R311,$S311,$T311,$U311,$V311,$W311,$X311)=9,"Yes","No")</x:f>
        <x:v>Yes</x:v>
      </x:c>
      <x:c r="AD311" t="str">
        <x:f>IF(COUNT($Y311,$Z311)=2,"Yes","No")</x:f>
        <x:v>Yes</x:v>
      </x:c>
      <x:c r="AE311" t="str">
        <x:v>Added from user-designated treatment-group financial file; classification validation pending.</x:v>
      </x:c>
    </x:row>
    <x:row r="312">
      <x:c r="A312" t="str">
        <x:v>TRT-0045</x:v>
      </x:c>
      <x:c r="B312" t="str">
        <x:v>User-designated treatment group (reclassified)</x:v>
      </x:c>
      <x:c r="C312" t="str">
        <x:f>IF('Deal_Master_Wide'!$AU$47="","",'Deal_Master_Wide'!$AU$47)</x:f>
        <x:v>Not reviewed</x:v>
      </x:c>
      <x:c r="D312" t="str">
        <x:f>IF('Deal_Master_Wide'!$AV$47="","",'Deal_Master_Wide'!$AV$47)</x:f>
        <x:v>Not assessed</x:v>
      </x:c>
      <x:c r="E312" t="n">
        <x:v>1</x:v>
      </x:c>
      <x:c r="F312" t="str">
        <x:f>IF(OR($C312="High-confidence innovation-driven",$C312="Medium-confidence innovation-driven"),1,IF($C312="Clear alternative-rationale",0,""))</x:f>
      </x:c>
      <x:c r="G312" t="str">
        <x:f>IF('Deal_Master_Wide'!$M$47="","",'Deal_Master_Wide'!$M$47)</x:f>
        <x:v>Review</x:v>
      </x:c>
      <x:c r="H312" t="str">
        <x:v>Shire plc (Inactive)</x:v>
      </x:c>
      <x:c r="I312" t="str">
        <x:v>Premacure AB</x:v>
      </x:c>
      <x:c r="J312" t="n">
        <x:v>2013</x:v>
      </x:c>
      <x:c r="K312" t="n">
        <x:v>-1</x:v>
      </x:c>
      <x:c r="L312" t="n">
        <x:v>2012</x:v>
      </x:c>
      <x:c r="M312" t="n">
        <x:v>0</x:v>
      </x:c>
      <x:c r="N312" t="n">
        <x:v>0</x:v>
      </x:c>
      <x:c r="O312" t="str">
        <x:f>IF($F312="","",$F312*$M312)</x:f>
      </x:c>
      <x:c r="P312" t="n">
        <x:f>IF(ISBLANK('Deal_Master_Wide'!$BR$47),"",'Deal_Master_Wide'!$BR$47)</x:f>
        <x:v>4681.2</x:v>
      </x:c>
      <x:c r="Q312" t="n">
        <x:f>IF(ISBLANK('Deal_Master_Wide'!$BY$47),"",'Deal_Master_Wide'!$BY$47)</x:f>
        <x:v>949.2</x:v>
      </x:c>
      <x:c r="R312" t="n">
        <x:f>IF(ISBLANK('Deal_Master_Wide'!$CF$47),"",'Deal_Master_Wide'!$CF$47)</x:f>
        <x:v>745.4</x:v>
      </x:c>
      <x:c r="S312" t="n">
        <x:f>IF(ISBLANK('Deal_Master_Wide'!$CM$47),"",'Deal_Master_Wide'!$CM$47)</x:f>
        <x:v>7317.2</x:v>
      </x:c>
      <x:c r="T312" t="n">
        <x:f>IF(ISBLANK('Deal_Master_Wide'!$CT$47),"",'Deal_Master_Wide'!$CT$47)</x:f>
        <x:v>1100</x:v>
      </x:c>
      <x:c r="U312" t="n">
        <x:f>IF(ISBLANK('Deal_Master_Wide'!$DA$47),"",'Deal_Master_Wide'!$DA$47)</x:f>
        <x:v>894.3</x:v>
      </x:c>
      <x:c r="V312" t="n">
        <x:f>IF(ISBLANK('Deal_Master_Wide'!$DH$47),"",'Deal_Master_Wide'!$DH$47)</x:f>
        <x:v>10.88</x:v>
      </x:c>
      <x:c r="W312" t="n">
        <x:f>IF(ISBLANK('Deal_Master_Wide'!$DO$47),"",'Deal_Master_Wide'!$DO$47)</x:f>
        <x:v>20.28</x:v>
      </x:c>
      <x:c r="X312" t="n">
        <x:f>IF(ISBLANK('Deal_Master_Wide'!$DV$47),"",'Deal_Master_Wide'!$DV$47)</x:f>
        <x:v>15.0331</x:v>
      </x:c>
      <x:c r="Y312" t="n">
        <x:f>IF(ISBLANK('Deal_Master_Wide'!$EC$47),"",'Deal_Master_Wide'!$EC$47)</x:f>
        <x:v>13</x:v>
      </x:c>
      <x:c r="Z312" t="n">
        <x:f>IF(ISBLANK('Deal_Master_Wide'!$EJ$47),"",'Deal_Master_Wide'!$EJ$47)</x:f>
        <x:v>241</x:v>
      </x:c>
      <x:c r="AA312" t="str">
        <x:f>IF(ISBLANK('Deal_Master_Wide'!$AL$47),"",'Deal_Master_Wide'!$AL$47)</x:f>
        <x:v>Unknown</x:v>
      </x:c>
      <x:c r="AB312" t="str">
        <x:f>IF(ISBLANK('Deal_Master_Wide'!$AF$47),"",'Deal_Master_Wide'!$AF$47)</x:f>
      </x:c>
      <x:c r="AC312" t="str">
        <x:f>IF(COUNT($P312,$Q312,$R312,$S312,$T312,$U312,$V312,$W312,$X312)=9,"Yes","No")</x:f>
        <x:v>Yes</x:v>
      </x:c>
      <x:c r="AD312" t="str">
        <x:f>IF(COUNT($Y312,$Z312)=2,"Yes","No")</x:f>
        <x:v>Yes</x:v>
      </x:c>
      <x:c r="AE312" t="str">
        <x:v>Added from user-designated treatment-group financial file; classification validation pending.</x:v>
      </x:c>
    </x:row>
    <x:row r="313">
      <x:c r="A313" t="str">
        <x:v>TRT-0045</x:v>
      </x:c>
      <x:c r="B313" t="str">
        <x:v>User-designated treatment group (reclassified)</x:v>
      </x:c>
      <x:c r="C313" t="str">
        <x:f>IF('Deal_Master_Wide'!$AU$47="","",'Deal_Master_Wide'!$AU$47)</x:f>
        <x:v>Not reviewed</x:v>
      </x:c>
      <x:c r="D313" t="str">
        <x:f>IF('Deal_Master_Wide'!$AV$47="","",'Deal_Master_Wide'!$AV$47)</x:f>
        <x:v>Not assessed</x:v>
      </x:c>
      <x:c r="E313" t="n">
        <x:v>1</x:v>
      </x:c>
      <x:c r="F313" t="str">
        <x:f>IF(OR($C313="High-confidence innovation-driven",$C313="Medium-confidence innovation-driven"),1,IF($C313="Clear alternative-rationale",0,""))</x:f>
      </x:c>
      <x:c r="G313" t="str">
        <x:f>IF('Deal_Master_Wide'!$M$47="","",'Deal_Master_Wide'!$M$47)</x:f>
        <x:v>Review</x:v>
      </x:c>
      <x:c r="H313" t="str">
        <x:v>Shire plc (Inactive)</x:v>
      </x:c>
      <x:c r="I313" t="str">
        <x:v>Premacure AB</x:v>
      </x:c>
      <x:c r="J313" t="n">
        <x:v>2013</x:v>
      </x:c>
      <x:c r="K313" t="n">
        <x:v>0</x:v>
      </x:c>
      <x:c r="L313" t="n">
        <x:v>2013</x:v>
      </x:c>
      <x:c r="M313" t="n">
        <x:v>0</x:v>
      </x:c>
      <x:c r="N313" t="n">
        <x:v>1</x:v>
      </x:c>
      <x:c r="O313" t="str">
        <x:f>IF($F313="","",$F313*$M313)</x:f>
      </x:c>
      <x:c r="P313" t="n">
        <x:f>IF(ISBLANK('Deal_Master_Wide'!$BS$47),"",'Deal_Master_Wide'!$BS$47)</x:f>
        <x:v>4934.3</x:v>
      </x:c>
      <x:c r="Q313" t="n">
        <x:f>IF(ISBLANK('Deal_Master_Wide'!$BZ$47),"",'Deal_Master_Wide'!$BZ$47)</x:f>
        <x:v>1733.5</x:v>
      </x:c>
      <x:c r="R313" t="n">
        <x:f>IF(ISBLANK('Deal_Master_Wide'!$CG$47),"",'Deal_Master_Wide'!$CG$47)</x:f>
        <x:v>665.1</x:v>
      </x:c>
      <x:c r="S313" t="n">
        <x:f>IF(ISBLANK('Deal_Master_Wide'!$CN$47),"",'Deal_Master_Wide'!$CN$47)</x:f>
        <x:v>8323</x:v>
      </x:c>
      <x:c r="T313" t="n">
        <x:f>IF(ISBLANK('Deal_Master_Wide'!$CU$47),"",'Deal_Master_Wide'!$CU$47)</x:f>
        <x:v>0</x:v>
      </x:c>
      <x:c r="U313" t="n">
        <x:f>IF(ISBLANK('Deal_Master_Wide'!$DB$47),"",'Deal_Master_Wide'!$DB$47)</x:f>
        <x:v>913.5</x:v>
      </x:c>
      <x:c r="V313" t="n">
        <x:f>IF(ISBLANK('Deal_Master_Wide'!$DI$47),"",'Deal_Master_Wide'!$DI$47)</x:f>
        <x:v>8.51</x:v>
      </x:c>
      <x:c r="W313" t="n">
        <x:f>IF(ISBLANK('Deal_Master_Wide'!$DP$47),"",'Deal_Master_Wide'!$DP$47)</x:f>
        <x:v>35.13</x:v>
      </x:c>
      <x:c r="X313" t="n">
        <x:f>IF(ISBLANK('Deal_Master_Wide'!$DW$47),"",'Deal_Master_Wide'!$DW$47)</x:f>
        <x:v>0</x:v>
      </x:c>
      <x:c r="Y313" t="n">
        <x:f>IF(ISBLANK('Deal_Master_Wide'!$ED$47),"",'Deal_Master_Wide'!$ED$47)</x:f>
        <x:v>23</x:v>
      </x:c>
      <x:c r="Z313" t="n">
        <x:f>IF(ISBLANK('Deal_Master_Wide'!$EK$47),"",'Deal_Master_Wide'!$EK$47)</x:f>
        <x:v>416</x:v>
      </x:c>
      <x:c r="AA313" t="str">
        <x:f>IF(ISBLANK('Deal_Master_Wide'!$AL$47),"",'Deal_Master_Wide'!$AL$47)</x:f>
        <x:v>Unknown</x:v>
      </x:c>
      <x:c r="AB313" t="str">
        <x:f>IF(ISBLANK('Deal_Master_Wide'!$AF$47),"",'Deal_Master_Wide'!$AF$47)</x:f>
      </x:c>
      <x:c r="AC313" t="str">
        <x:f>IF(COUNT($P313,$Q313,$R313,$S313,$T313,$U313,$V313,$W313,$X313)=9,"Yes","No")</x:f>
        <x:v>Yes</x:v>
      </x:c>
      <x:c r="AD313" t="str">
        <x:f>IF(COUNT($Y313,$Z313)=2,"Yes","No")</x:f>
        <x:v>Yes</x:v>
      </x:c>
      <x:c r="AE313" t="str">
        <x:v>Added from user-designated treatment-group financial file; classification validation pending.</x:v>
      </x:c>
    </x:row>
    <x:row r="314">
      <x:c r="A314" t="str">
        <x:v>TRT-0045</x:v>
      </x:c>
      <x:c r="B314" t="str">
        <x:v>User-designated treatment group (reclassified)</x:v>
      </x:c>
      <x:c r="C314" t="str">
        <x:f>IF('Deal_Master_Wide'!$AU$47="","",'Deal_Master_Wide'!$AU$47)</x:f>
        <x:v>Not reviewed</x:v>
      </x:c>
      <x:c r="D314" t="str">
        <x:f>IF('Deal_Master_Wide'!$AV$47="","",'Deal_Master_Wide'!$AV$47)</x:f>
        <x:v>Not assessed</x:v>
      </x:c>
      <x:c r="E314" t="n">
        <x:v>1</x:v>
      </x:c>
      <x:c r="F314" t="str">
        <x:f>IF(OR($C314="High-confidence innovation-driven",$C314="Medium-confidence innovation-driven"),1,IF($C314="Clear alternative-rationale",0,""))</x:f>
      </x:c>
      <x:c r="G314" t="str">
        <x:f>IF('Deal_Master_Wide'!$M$47="","",'Deal_Master_Wide'!$M$47)</x:f>
        <x:v>Review</x:v>
      </x:c>
      <x:c r="H314" t="str">
        <x:v>Shire plc (Inactive)</x:v>
      </x:c>
      <x:c r="I314" t="str">
        <x:v>Premacure AB</x:v>
      </x:c>
      <x:c r="J314" t="n">
        <x:v>2013</x:v>
      </x:c>
      <x:c r="K314" t="n">
        <x:v>1</x:v>
      </x:c>
      <x:c r="L314" t="n">
        <x:v>2014</x:v>
      </x:c>
      <x:c r="M314" t="n">
        <x:v>1</x:v>
      </x:c>
      <x:c r="N314" t="n">
        <x:v>1</x:v>
      </x:c>
      <x:c r="O314" t="str">
        <x:f>IF($F314="","",$F314*$M314)</x:f>
      </x:c>
      <x:c r="P314" t="n">
        <x:f>IF(ISBLANK('Deal_Master_Wide'!$BT$47),"",'Deal_Master_Wide'!$BT$47)</x:f>
        <x:v>6022.1</x:v>
      </x:c>
      <x:c r="Q314" t="n">
        <x:f>IF(ISBLANK('Deal_Master_Wide'!$CA$47),"",'Deal_Master_Wide'!$CA$47)</x:f>
        <x:v>1698</x:v>
      </x:c>
      <x:c r="R314" t="n">
        <x:f>IF(ISBLANK('Deal_Master_Wide'!$CH$47),"",'Deal_Master_Wide'!$CH$47)</x:f>
        <x:v>3405.5</x:v>
      </x:c>
      <x:c r="S314" t="n">
        <x:f>IF(ISBLANK('Deal_Master_Wide'!$CO$47),"",'Deal_Master_Wide'!$CO$47)</x:f>
        <x:v>13632.1</x:v>
      </x:c>
      <x:c r="T314" t="n">
        <x:f>IF(ISBLANK('Deal_Master_Wide'!$CV$47),"",'Deal_Master_Wide'!$CV$47)</x:f>
        <x:v>850</x:v>
      </x:c>
      <x:c r="U314" t="n">
        <x:f>IF(ISBLANK('Deal_Master_Wide'!$DC$47),"",'Deal_Master_Wide'!$DC$47)</x:f>
        <x:v>762.7</x:v>
      </x:c>
      <x:c r="V314" t="n">
        <x:f>IF(ISBLANK('Deal_Master_Wide'!$DJ$47),"",'Deal_Master_Wide'!$DJ$47)</x:f>
        <x:v>31.02</x:v>
      </x:c>
      <x:c r="W314" t="n">
        <x:f>IF(ISBLANK('Deal_Master_Wide'!$DQ$47),"",'Deal_Master_Wide'!$DQ$47)</x:f>
        <x:v>28.2</x:v>
      </x:c>
      <x:c r="X314" t="n">
        <x:f>IF(ISBLANK('Deal_Master_Wide'!$DX$47),"",'Deal_Master_Wide'!$DX$47)</x:f>
        <x:v>6.2353</x:v>
      </x:c>
      <x:c r="Y314" t="n">
        <x:f>IF(ISBLANK('Deal_Master_Wide'!$EE$47),"",'Deal_Master_Wide'!$EE$47)</x:f>
        <x:v>18</x:v>
      </x:c>
      <x:c r="Z314" t="n">
        <x:f>IF(ISBLANK('Deal_Master_Wide'!$EL$47),"",'Deal_Master_Wide'!$EL$47)</x:f>
        <x:v>245</x:v>
      </x:c>
      <x:c r="AA314" t="str">
        <x:f>IF(ISBLANK('Deal_Master_Wide'!$AL$47),"",'Deal_Master_Wide'!$AL$47)</x:f>
        <x:v>Unknown</x:v>
      </x:c>
      <x:c r="AB314" t="str">
        <x:f>IF(ISBLANK('Deal_Master_Wide'!$AF$47),"",'Deal_Master_Wide'!$AF$47)</x:f>
      </x:c>
      <x:c r="AC314" t="str">
        <x:f>IF(COUNT($P314,$Q314,$R314,$S314,$T314,$U314,$V314,$W314,$X314)=9,"Yes","No")</x:f>
        <x:v>Yes</x:v>
      </x:c>
      <x:c r="AD314" t="str">
        <x:f>IF(COUNT($Y314,$Z314)=2,"Yes","No")</x:f>
        <x:v>Yes</x:v>
      </x:c>
      <x:c r="AE314" t="str">
        <x:v>Added from user-designated treatment-group financial file; classification validation pending.</x:v>
      </x:c>
    </x:row>
    <x:row r="315">
      <x:c r="A315" t="str">
        <x:v>TRT-0045</x:v>
      </x:c>
      <x:c r="B315" t="str">
        <x:v>User-designated treatment group (reclassified)</x:v>
      </x:c>
      <x:c r="C315" t="str">
        <x:f>IF('Deal_Master_Wide'!$AU$47="","",'Deal_Master_Wide'!$AU$47)</x:f>
        <x:v>Not reviewed</x:v>
      </x:c>
      <x:c r="D315" t="str">
        <x:f>IF('Deal_Master_Wide'!$AV$47="","",'Deal_Master_Wide'!$AV$47)</x:f>
        <x:v>Not assessed</x:v>
      </x:c>
      <x:c r="E315" t="n">
        <x:v>1</x:v>
      </x:c>
      <x:c r="F315" t="str">
        <x:f>IF(OR($C315="High-confidence innovation-driven",$C315="Medium-confidence innovation-driven"),1,IF($C315="Clear alternative-rationale",0,""))</x:f>
      </x:c>
      <x:c r="G315" t="str">
        <x:f>IF('Deal_Master_Wide'!$M$47="","",'Deal_Master_Wide'!$M$47)</x:f>
        <x:v>Review</x:v>
      </x:c>
      <x:c r="H315" t="str">
        <x:v>Shire plc (Inactive)</x:v>
      </x:c>
      <x:c r="I315" t="str">
        <x:v>Premacure AB</x:v>
      </x:c>
      <x:c r="J315" t="n">
        <x:v>2013</x:v>
      </x:c>
      <x:c r="K315" t="n">
        <x:v>2</x:v>
      </x:c>
      <x:c r="L315" t="n">
        <x:v>2015</x:v>
      </x:c>
      <x:c r="M315" t="n">
        <x:v>1</x:v>
      </x:c>
      <x:c r="N315" t="n">
        <x:v>1</x:v>
      </x:c>
      <x:c r="O315" t="str">
        <x:f>IF($F315="","",$F315*$M315)</x:f>
      </x:c>
      <x:c r="P315" t="n">
        <x:f>IF(ISBLANK('Deal_Master_Wide'!$BU$47),"",'Deal_Master_Wide'!$BU$47)</x:f>
        <x:v>6416.7</x:v>
      </x:c>
      <x:c r="Q315" t="n">
        <x:f>IF(ISBLANK('Deal_Master_Wide'!$CB$47),"",'Deal_Master_Wide'!$CB$47)</x:f>
        <x:v>1419.5</x:v>
      </x:c>
      <x:c r="R315" t="n">
        <x:f>IF(ISBLANK('Deal_Master_Wide'!$CI$47),"",'Deal_Master_Wide'!$CI$47)</x:f>
        <x:v>1303.4</x:v>
      </x:c>
      <x:c r="S315" t="n">
        <x:f>IF(ISBLANK('Deal_Master_Wide'!$CP$47),"",'Deal_Master_Wide'!$CP$47)</x:f>
        <x:v>16609.8</x:v>
      </x:c>
      <x:c r="T315" t="n">
        <x:f>IF(ISBLANK('Deal_Master_Wide'!$CW$47),"",'Deal_Master_Wide'!$CW$47)</x:f>
        <x:v>1581.4</x:v>
      </x:c>
      <x:c r="U315" t="n">
        <x:f>IF(ISBLANK('Deal_Master_Wide'!$DD$47),"",'Deal_Master_Wide'!$DD$47)</x:f>
        <x:v>905.8</x:v>
      </x:c>
      <x:c r="V315" t="n">
        <x:f>IF(ISBLANK('Deal_Master_Wide'!$DK$47),"",'Deal_Master_Wide'!$DK$47)</x:f>
        <x:v>8.62</x:v>
      </x:c>
      <x:c r="W315" t="n">
        <x:f>IF(ISBLANK('Deal_Master_Wide'!$DR$47),"",'Deal_Master_Wide'!$DR$47)</x:f>
        <x:v>22.12</x:v>
      </x:c>
      <x:c r="X315" t="n">
        <x:f>IF(ISBLANK('Deal_Master_Wide'!$DY$47),"",'Deal_Master_Wide'!$DY$47)</x:f>
        <x:v>9.5209</x:v>
      </x:c>
      <x:c r="Y315" t="n">
        <x:f>IF(ISBLANK('Deal_Master_Wide'!$EF$47),"",'Deal_Master_Wide'!$EF$47)</x:f>
        <x:v>8</x:v>
      </x:c>
      <x:c r="Z315" t="n">
        <x:f>IF(ISBLANK('Deal_Master_Wide'!$EM$47),"",'Deal_Master_Wide'!$EM$47)</x:f>
        <x:v>20</x:v>
      </x:c>
      <x:c r="AA315" t="str">
        <x:f>IF(ISBLANK('Deal_Master_Wide'!$AL$47),"",'Deal_Master_Wide'!$AL$47)</x:f>
        <x:v>Unknown</x:v>
      </x:c>
      <x:c r="AB315" t="str">
        <x:f>IF(ISBLANK('Deal_Master_Wide'!$AF$47),"",'Deal_Master_Wide'!$AF$47)</x:f>
      </x:c>
      <x:c r="AC315" t="str">
        <x:f>IF(COUNT($P315,$Q315,$R315,$S315,$T315,$U315,$V315,$W315,$X315)=9,"Yes","No")</x:f>
        <x:v>Yes</x:v>
      </x:c>
      <x:c r="AD315" t="str">
        <x:f>IF(COUNT($Y315,$Z315)=2,"Yes","No")</x:f>
        <x:v>Yes</x:v>
      </x:c>
      <x:c r="AE315" t="str">
        <x:v>Added from user-designated treatment-group financial file; classification validation pending.</x:v>
      </x:c>
    </x:row>
    <x:row r="316">
      <x:c r="A316" t="str">
        <x:v>TRT-0045</x:v>
      </x:c>
      <x:c r="B316" t="str">
        <x:v>User-designated treatment group (reclassified)</x:v>
      </x:c>
      <x:c r="C316" t="str">
        <x:f>IF('Deal_Master_Wide'!$AU$47="","",'Deal_Master_Wide'!$AU$47)</x:f>
        <x:v>Not reviewed</x:v>
      </x:c>
      <x:c r="D316" t="str">
        <x:f>IF('Deal_Master_Wide'!$AV$47="","",'Deal_Master_Wide'!$AV$47)</x:f>
        <x:v>Not assessed</x:v>
      </x:c>
      <x:c r="E316" t="n">
        <x:v>1</x:v>
      </x:c>
      <x:c r="F316" t="str">
        <x:f>IF(OR($C316="High-confidence innovation-driven",$C316="Medium-confidence innovation-driven"),1,IF($C316="Clear alternative-rationale",0,""))</x:f>
      </x:c>
      <x:c r="G316" t="str">
        <x:f>IF('Deal_Master_Wide'!$M$47="","",'Deal_Master_Wide'!$M$47)</x:f>
        <x:v>Review</x:v>
      </x:c>
      <x:c r="H316" t="str">
        <x:v>Shire plc (Inactive)</x:v>
      </x:c>
      <x:c r="I316" t="str">
        <x:v>Premacure AB</x:v>
      </x:c>
      <x:c r="J316" t="n">
        <x:v>2013</x:v>
      </x:c>
      <x:c r="K316" t="n">
        <x:v>3</x:v>
      </x:c>
      <x:c r="L316" t="n">
        <x:v>2016</x:v>
      </x:c>
      <x:c r="M316" t="n">
        <x:v>1</x:v>
      </x:c>
      <x:c r="N316" t="n">
        <x:v>1</x:v>
      </x:c>
      <x:c r="O316" t="str">
        <x:f>IF($F316="","",$F316*$M316)</x:f>
      </x:c>
      <x:c r="P316" t="n">
        <x:f>IF(ISBLANK('Deal_Master_Wide'!$BV$47),"",'Deal_Master_Wide'!$BV$47)</x:f>
        <x:v>11396.6</x:v>
      </x:c>
      <x:c r="Q316" t="n">
        <x:f>IF(ISBLANK('Deal_Master_Wide'!$CC$47),"",'Deal_Master_Wide'!$CC$47)</x:f>
        <x:v>962.9</x:v>
      </x:c>
      <x:c r="R316" t="n">
        <x:f>IF(ISBLANK('Deal_Master_Wide'!$CJ$47),"",'Deal_Master_Wide'!$CJ$47)</x:f>
        <x:v>327.4</x:v>
      </x:c>
      <x:c r="S316" t="n">
        <x:f>IF(ISBLANK('Deal_Master_Wide'!$CQ$47),"",'Deal_Master_Wide'!$CQ$47)</x:f>
        <x:v>67035.4</x:v>
      </x:c>
      <x:c r="T316" t="n">
        <x:f>IF(ISBLANK('Deal_Master_Wide'!$CX$47),"",'Deal_Master_Wide'!$CX$47)</x:f>
        <x:v>22967.8</x:v>
      </x:c>
      <x:c r="U316" t="n">
        <x:f>IF(ISBLANK('Deal_Master_Wide'!$DE$47),"",'Deal_Master_Wide'!$DE$47)</x:f>
        <x:v>1430.9</x:v>
      </x:c>
      <x:c r="V316" t="n">
        <x:f>IF(ISBLANK('Deal_Master_Wide'!$DL$47),"",'Deal_Master_Wide'!$DL$47)</x:f>
        <x:v>0.78</x:v>
      </x:c>
      <x:c r="W316" t="n">
        <x:f>IF(ISBLANK('Deal_Master_Wide'!$DS$47),"",'Deal_Master_Wide'!$DS$47)</x:f>
        <x:v>8.45</x:v>
      </x:c>
      <x:c r="X316" t="n">
        <x:f>IF(ISBLANK('Deal_Master_Wide'!$DZ$47),"",'Deal_Master_Wide'!$DZ$47)</x:f>
        <x:v>34.2622</x:v>
      </x:c>
      <x:c r="Y316" t="n">
        <x:f>IF(ISBLANK('Deal_Master_Wide'!$EG$47),"",'Deal_Master_Wide'!$EG$47)</x:f>
        <x:v>6</x:v>
      </x:c>
      <x:c r="Z316" t="n">
        <x:f>IF(ISBLANK('Deal_Master_Wide'!$EN$47),"",'Deal_Master_Wide'!$EN$47)</x:f>
        <x:v>22</x:v>
      </x:c>
      <x:c r="AA316" t="str">
        <x:f>IF(ISBLANK('Deal_Master_Wide'!$AL$47),"",'Deal_Master_Wide'!$AL$47)</x:f>
        <x:v>Unknown</x:v>
      </x:c>
      <x:c r="AB316" t="str">
        <x:f>IF(ISBLANK('Deal_Master_Wide'!$AF$47),"",'Deal_Master_Wide'!$AF$47)</x:f>
      </x:c>
      <x:c r="AC316" t="str">
        <x:f>IF(COUNT($P316,$Q316,$R316,$S316,$T316,$U316,$V316,$W316,$X316)=9,"Yes","No")</x:f>
        <x:v>Yes</x:v>
      </x:c>
      <x:c r="AD316" t="str">
        <x:f>IF(COUNT($Y316,$Z316)=2,"Yes","No")</x:f>
        <x:v>Yes</x:v>
      </x:c>
      <x:c r="AE316" t="str">
        <x:v>Added from user-designated treatment-group financial file; classification validation pending.</x:v>
      </x:c>
    </x:row>
  </x:sheetData>
  <x:pageMargins left="0.7" right="0.7" top="0.75" bottom="0.75" header="0.3" footer="0.3"/>
  <x:tableParts count="1">
    <x:tablePart xmlns:r="http://schemas.openxmlformats.org/officeDocument/2006/relationships" r:id="R7c6d965a254c4673"/>
  </x:tableParts>
</x:worksheet>
</file>

<file path=xl/worksheets/sheet5.xml><?xml version="1.0" encoding="utf-8"?>
<x:worksheet xmlns:x="http://schemas.openxmlformats.org/spreadsheetml/2006/main">
  <x:sheetFormatPr defaultRowHeight="15"/>
  <x:cols>
    <x:col min="1" max="1" width="28" hidden="0" customWidth="1"/>
    <x:col min="2" max="2" width="24" hidden="0" customWidth="1"/>
    <x:col min="3" max="3" width="24" hidden="0" customWidth="1"/>
    <x:col min="4" max="4" width="58" hidden="0" customWidth="1"/>
    <x:col min="5" max="5" width="22" hidden="0" customWidth="1"/>
    <x:col min="6" max="6" width="20" hidden="0" customWidth="1"/>
    <x:col min="7" max="7" width="20" hidden="0" customWidth="1"/>
    <x:col min="8" max="8" width="42" hidden="0" customWidth="1"/>
  </x:cols>
  <x:sheetData>
    <x:row r="1">
      <x:c r="A1" s="44" t="str">
        <x:v>Variable</x:v>
      </x:c>
      <x:c r="B1" s="44" t="str">
        <x:v>Sheet</x:v>
      </x:c>
      <x:c r="C1" s="44" t="str">
        <x:v>Role</x:v>
      </x:c>
      <x:c r="D1" s="44" t="str">
        <x:v>Definition / Formula</x:v>
      </x:c>
      <x:c r="E1" s="44" t="str">
        <x:v>Source</x:v>
      </x:c>
      <x:c r="F1" s="44" t="str">
        <x:v>Timing / Unit</x:v>
      </x:c>
      <x:c r="G1" s="44" t="str">
        <x:v>Required for</x:v>
      </x:c>
      <x:c r="H1" s="44" t="str">
        <x:v>Data-entry rule</x:v>
      </x:c>
    </x:row>
    <x:row r="2">
      <x:c r="A2" s="58" t="str">
        <x:v>Deal_ID</x:v>
      </x:c>
      <x:c r="B2" s="58" t="str">
        <x:v>Deal_Master_Wide / Panel_DiD</x:v>
      </x:c>
      <x:c r="C2" s="58" t="str">
        <x:v>Identifier</x:v>
      </x:c>
      <x:c r="D2" s="58" t="str">
        <x:v>Unique workbook-specific deal identifier</x:v>
      </x:c>
      <x:c r="E2" s="58" t="str">
        <x:v>Constructed</x:v>
      </x:c>
      <x:c r="F2" s="58" t="str">
        <x:v>Deal</x:v>
      </x:c>
      <x:c r="G2" s="58" t="str">
        <x:v>All analyses</x:v>
      </x:c>
      <x:c r="H2" s="58" t="str">
        <x:v>Do not change after data collection begins</x:v>
      </x:c>
    </x:row>
    <x:row r="3">
      <x:c r="A3" s="58" t="str">
        <x:v>Initial_Group</x:v>
      </x:c>
      <x:c r="B3" s="58" t="str">
        <x:v>Both</x:v>
      </x:c>
      <x:c r="C3" s="58" t="str">
        <x:v>Audit</x:v>
      </x:c>
      <x:c r="D3" s="58" t="str">
        <x:v>Candidate group from source workbook; not final classification</x:v>
      </x:c>
      <x:c r="E3" s="58" t="str">
        <x:v>GlobalData export</x:v>
      </x:c>
      <x:c r="F3" s="58" t="str">
        <x:v>Deal</x:v>
      </x:c>
      <x:c r="G3" s="58" t="str">
        <x:v>Audit only</x:v>
      </x:c>
      <x:c r="H3" s="58" t="str">
        <x:v>Do not use as final treatment without validation</x:v>
      </x:c>
    </x:row>
    <x:row r="4">
      <x:c r="A4" s="58" t="str">
        <x:v>Final_Classification</x:v>
      </x:c>
      <x:c r="B4" s="58" t="str">
        <x:v>Both</x:v>
      </x:c>
      <x:c r="C4" s="58" t="str">
        <x:v>Treatment definition</x:v>
      </x:c>
      <x:c r="D4" s="58" t="str">
        <x:v>Manual mutually exclusive classification based on pre-deal innovation evidence</x:v>
      </x:c>
      <x:c r="E4" s="58" t="str">
        <x:v>Manual validation</x:v>
      </x:c>
      <x:c r="F4" s="58" t="str">
        <x:v>Deal</x:v>
      </x:c>
      <x:c r="G4" s="58" t="str">
        <x:v>Primary DiD</x:v>
      </x:c>
      <x:c r="H4" s="58" t="str">
        <x:v>Use dropdown; classify before inspecting outcomes</x:v>
      </x:c>
    </x:row>
    <x:row r="5">
      <x:c r="A5" s="58" t="str">
        <x:v>Completion_Year</x:v>
      </x:c>
      <x:c r="B5" s="58" t="str">
        <x:v>Both</x:v>
      </x:c>
      <x:c r="C5" s="58" t="str">
        <x:v>Event timing</x:v>
      </x:c>
      <x:c r="D5" s="58" t="str">
        <x:v>Calendar year of verified deal completion</x:v>
      </x:c>
      <x:c r="E5" s="58" t="str">
        <x:v>GlobalData + validation</x:v>
      </x:c>
      <x:c r="F5" s="58" t="str">
        <x:v>Year</x:v>
      </x:c>
      <x:c r="G5" s="58" t="str">
        <x:v>DiD/event study</x:v>
      </x:c>
      <x:c r="H5" s="58" t="str">
        <x:v>Verify anomalies before use</x:v>
      </x:c>
    </x:row>
    <x:row r="6">
      <x:c r="A6" s="58" t="str">
        <x:v>Relative_Year</x:v>
      </x:c>
      <x:c r="B6" s="58" t="str">
        <x:v>Panel_DiD</x:v>
      </x:c>
      <x:c r="C6" s="58" t="str">
        <x:v>Event time</x:v>
      </x:c>
      <x:c r="D6" s="58" t="str">
        <x:v>Calendar year minus completion year</x:v>
      </x:c>
      <x:c r="E6" s="58" t="str">
        <x:v>Formula/constructed</x:v>
      </x:c>
      <x:c r="F6" s="58" t="str">
        <x:v>-3 to +3</x:v>
      </x:c>
      <x:c r="G6" s="58" t="str">
        <x:v>Event study</x:v>
      </x:c>
      <x:c r="H6" s="58" t="str">
        <x:v>t0 treatment-year rule must be stated</x:v>
      </x:c>
    </x:row>
    <x:row r="7">
      <x:c r="A7" s="58" t="str">
        <x:v>Post_Excluding_t0</x:v>
      </x:c>
      <x:c r="B7" s="58" t="str">
        <x:v>Panel_DiD</x:v>
      </x:c>
      <x:c r="C7" s="58" t="str">
        <x:v>Treatment timing</x:v>
      </x:c>
      <x:c r="D7" s="58" t="str">
        <x:v>1 for t+1 to t+3; 0 otherwise</x:v>
      </x:c>
      <x:c r="E7" s="58" t="str">
        <x:v>Constructed</x:v>
      </x:c>
      <x:c r="F7" s="58" t="str">
        <x:v>Binary</x:v>
      </x:c>
      <x:c r="G7" s="58" t="str">
        <x:v>Baseline DiD</x:v>
      </x:c>
      <x:c r="H7" s="58" t="str">
        <x:v>Preferred when completion year mixes pre/post months</x:v>
      </x:c>
    </x:row>
    <x:row r="8">
      <x:c r="A8" s="58" t="str">
        <x:v>Revenue_m</x:v>
      </x:c>
      <x:c r="B8" s="58" t="str">
        <x:v>Both</x:v>
      </x:c>
      <x:c r="C8" s="58" t="str">
        <x:v>Control / secondary outcome</x:v>
      </x:c>
      <x:c r="D8" s="58" t="str">
        <x:v>Annual revenue in reported currency, millions</x:v>
      </x:c>
      <x:c r="E8" s="58" t="str">
        <x:v>Bloomberg</x:v>
      </x:c>
      <x:c r="F8" s="58" t="str">
        <x:v>Firm-year</x:v>
      </x:c>
      <x:c r="G8" s="58" t="str">
        <x:v>Size/control</x:v>
      </x:c>
      <x:c r="H8" s="58" t="str">
        <x:v>Use historical actuals only</x:v>
      </x:c>
    </x:row>
    <x:row r="9">
      <x:c r="A9" s="58" t="str">
        <x:v>Operating_Income_m</x:v>
      </x:c>
      <x:c r="B9" s="58" t="str">
        <x:v>Both</x:v>
      </x:c>
      <x:c r="C9" s="58" t="str">
        <x:v>Input</x:v>
      </x:c>
      <x:c r="D9" s="58" t="str">
        <x:v>Annual operating income in reported currency, millions</x:v>
      </x:c>
      <x:c r="E9" s="58" t="str">
        <x:v>Bloomberg</x:v>
      </x:c>
      <x:c r="F9" s="58" t="str">
        <x:v>Firm-year</x:v>
      </x:c>
      <x:c r="G9" s="58" t="str">
        <x:v>Operating margin validation</x:v>
      </x:c>
      <x:c r="H9" s="58" t="str">
        <x:v>Historical actuals only</x:v>
      </x:c>
    </x:row>
    <x:row r="10">
      <x:c r="A10" s="58" t="str">
        <x:v>Net_Income_m</x:v>
      </x:c>
      <x:c r="B10" s="58" t="str">
        <x:v>Both</x:v>
      </x:c>
      <x:c r="C10" s="58" t="str">
        <x:v>Input</x:v>
      </x:c>
      <x:c r="D10" s="58" t="str">
        <x:v>Annual net income in reported currency, millions</x:v>
      </x:c>
      <x:c r="E10" s="58" t="str">
        <x:v>Bloomberg</x:v>
      </x:c>
      <x:c r="F10" s="58" t="str">
        <x:v>Firm-year</x:v>
      </x:c>
      <x:c r="G10" s="58" t="str">
        <x:v>ROA validation</x:v>
      </x:c>
      <x:c r="H10" s="58" t="str">
        <x:v>Historical actuals only</x:v>
      </x:c>
    </x:row>
    <x:row r="11">
      <x:c r="A11" s="58" t="str">
        <x:v>Total_Assets_m</x:v>
      </x:c>
      <x:c r="B11" s="58" t="str">
        <x:v>Both</x:v>
      </x:c>
      <x:c r="C11" s="58" t="str">
        <x:v>Control / denominator</x:v>
      </x:c>
      <x:c r="D11" s="58" t="str">
        <x:v>Year-end total assets in reported currency, millions</x:v>
      </x:c>
      <x:c r="E11" s="58" t="str">
        <x:v>Bloomberg</x:v>
      </x:c>
      <x:c r="F11" s="58" t="str">
        <x:v>Firm-year</x:v>
      </x:c>
      <x:c r="G11" s="58" t="str">
        <x:v>Firm size / ROA</x:v>
      </x:c>
      <x:c r="H11" s="58" t="str">
        <x:v>Historical actuals only</x:v>
      </x:c>
    </x:row>
    <x:row r="12">
      <x:c r="A12" s="58" t="str">
        <x:v>Total_Debt_m</x:v>
      </x:c>
      <x:c r="B12" s="58" t="str">
        <x:v>Both</x:v>
      </x:c>
      <x:c r="C12" s="58" t="str">
        <x:v>Control</x:v>
      </x:c>
      <x:c r="D12" s="58" t="str">
        <x:v>Short- plus long-term debt, reported currency, millions</x:v>
      </x:c>
      <x:c r="E12" s="58" t="str">
        <x:v>Bloomberg</x:v>
      </x:c>
      <x:c r="F12" s="58" t="str">
        <x:v>Firm-year</x:v>
      </x:c>
      <x:c r="G12" s="58" t="str">
        <x:v>Leverage</x:v>
      </x:c>
      <x:c r="H12" s="58" t="str">
        <x:v>Use consistent definition</x:v>
      </x:c>
    </x:row>
    <x:row r="13">
      <x:c r="A13" s="58" t="str">
        <x:v>R_and_D_Expense_m</x:v>
      </x:c>
      <x:c r="B13" s="58" t="str">
        <x:v>Both</x:v>
      </x:c>
      <x:c r="C13" s="58" t="str">
        <x:v>Innovation input / secondary</x:v>
      </x:c>
      <x:c r="D13" s="58" t="str">
        <x:v>Annual reported R&amp;D expense</x:v>
      </x:c>
      <x:c r="E13" s="58" t="str">
        <x:v>Bloomberg</x:v>
      </x:c>
      <x:c r="F13" s="58" t="str">
        <x:v>Firm-year</x:v>
      </x:c>
      <x:c r="G13" s="58" t="str">
        <x:v>Secondary analysis</x:v>
      </x:c>
      <x:c r="H13" s="58" t="str">
        <x:v>Blank is not zero</x:v>
      </x:c>
    </x:row>
    <x:row r="14">
      <x:c r="A14" s="58" t="str">
        <x:v>ROA_pct</x:v>
      </x:c>
      <x:c r="B14" s="58" t="str">
        <x:v>Both</x:v>
      </x:c>
      <x:c r="C14" s="58" t="str">
        <x:v>Primary financial outcome</x:v>
      </x:c>
      <x:c r="D14" s="58" t="str">
        <x:v>Return on assets in percentage points</x:v>
      </x:c>
      <x:c r="E14" s="58" t="str">
        <x:v>Bloomberg or transparent calculation</x:v>
      </x:c>
      <x:c r="F14" s="58" t="str">
        <x:v>Firm-year, %</x:v>
      </x:c>
      <x:c r="G14" s="58" t="str">
        <x:v>H2</x:v>
      </x:c>
      <x:c r="H14" s="58" t="str">
        <x:v>Do not mix definitions across firms</x:v>
      </x:c>
    </x:row>
    <x:row r="15">
      <x:c r="A15" s="58" t="str">
        <x:v>Operating_Margin_pct</x:v>
      </x:c>
      <x:c r="B15" s="58" t="str">
        <x:v>Both</x:v>
      </x:c>
      <x:c r="C15" s="58" t="str">
        <x:v>Primary financial outcome</x:v>
      </x:c>
      <x:c r="D15" s="58" t="str">
        <x:v>Operating income divided by revenue, percentage points</x:v>
      </x:c>
      <x:c r="E15" s="58" t="str">
        <x:v>Bloomberg or calculation</x:v>
      </x:c>
      <x:c r="F15" s="58" t="str">
        <x:v>Firm-year, %</x:v>
      </x:c>
      <x:c r="G15" s="58" t="str">
        <x:v>H2</x:v>
      </x:c>
      <x:c r="H15" s="58" t="str">
        <x:v>Use one definition consistently</x:v>
      </x:c>
    </x:row>
    <x:row r="16">
      <x:c r="A16" s="58" t="str">
        <x:v>Leverage_pct</x:v>
      </x:c>
      <x:c r="B16" s="58" t="str">
        <x:v>Both</x:v>
      </x:c>
      <x:c r="C16" s="58" t="str">
        <x:v>Control</x:v>
      </x:c>
      <x:c r="D16" s="58" t="str">
        <x:v>Total debt divided by total assets, percentage points</x:v>
      </x:c>
      <x:c r="E16" s="58" t="str">
        <x:v>Bloomberg/calculation</x:v>
      </x:c>
      <x:c r="F16" s="58" t="str">
        <x:v>Firm-year, %</x:v>
      </x:c>
      <x:c r="G16" s="58" t="str">
        <x:v>Matching/control</x:v>
      </x:c>
      <x:c r="H16" s="58" t="str">
        <x:v>Define before estimation</x:v>
      </x:c>
    </x:row>
    <x:row r="17">
      <x:c r="A17" s="58" t="str">
        <x:v>Patent_Family_Count</x:v>
      </x:c>
      <x:c r="B17" s="58" t="str">
        <x:v>Both</x:v>
      </x:c>
      <x:c r="C17" s="58" t="str">
        <x:v>Primary innovation outcome</x:v>
      </x:c>
      <x:c r="D17" s="58" t="str">
        <x:v>Unique simple patent families from alias-matched Lens records, assigned by earliest priority year</x:v>
      </x:c>
      <x:c r="E17" s="58" t="str">
        <x:v>Lens.org</x:v>
      </x:c>
      <x:c r="F17" s="58" t="str">
        <x:v>Firm-year count</x:v>
      </x:c>
      <x:c r="G17" s="58" t="str">
        <x:v>H1</x:v>
      </x:c>
      <x:c r="H17" s="58" t="str">
        <x:v>Use 0 only inside the supplied/observed export coverage; remain blank outside coverage</x:v>
      </x:c>
    </x:row>
    <x:row r="18">
      <x:c r="A18" s="58" t="str">
        <x:v>Citation_Weighted_Output</x:v>
      </x:c>
      <x:c r="B18" s="58" t="str">
        <x:v>Both</x:v>
      </x:c>
      <x:c r="C18" s="58" t="str">
        <x:v>Primary innovation outcome</x:v>
      </x:c>
      <x:c r="D18" s="58" t="str">
        <x:v>Provisional sum of family-level Lens 'Cited by Patent Count' by earliest priority year; maximum used per deduplicated family. Age/field normalisation pending.</x:v>
      </x:c>
      <x:c r="E18" s="58" t="str">
        <x:v>Lens.org</x:v>
      </x:c>
      <x:c r="F18" s="58" t="str">
        <x:v>Firm-year raw forward-citation total</x:v>
      </x:c>
      <x:c r="G18" s="58" t="str">
        <x:v>H1</x:v>
      </x:c>
      <x:c r="H18" s="58" t="str">
        <x:v>Provisional only: harmonise jurisdictions/search scope and normalise for citation age/field before final estimation</x:v>
      </x:c>
    </x:row>
    <x:row r="19">
      <x:c r="A19" s="58" t="str">
        <x:v>Acquirer_PreDeal_Patent_Stock</x:v>
      </x:c>
      <x:c r="B19" s="58" t="str">
        <x:v>Deal_Master_Wide</x:v>
      </x:c>
      <x:c r="C19" s="58" t="str">
        <x:v>Exploratory moderator</x:v>
      </x:c>
      <x:c r="D19" s="58" t="str">
        <x:v>Acquirer unique family stock over fixed pre-deal window</x:v>
      </x:c>
      <x:c r="E19" s="58" t="str">
        <x:v>Lens.org</x:v>
      </x:c>
      <x:c r="F19" s="58" t="str">
        <x:v>Deal</x:v>
      </x:c>
      <x:c r="G19" s="58" t="str">
        <x:v>E2</x:v>
      </x:c>
      <x:c r="H19" s="58" t="str">
        <x:v>Use same pre-window for acquirer and target</x:v>
      </x:c>
    </x:row>
    <x:row r="20">
      <x:c r="A20" s="58" t="str">
        <x:v>Target_PreDeal_Patent_Stock</x:v>
      </x:c>
      <x:c r="B20" s="58" t="str">
        <x:v>Deal_Master_Wide</x:v>
      </x:c>
      <x:c r="C20" s="58" t="str">
        <x:v>Exploratory moderator</x:v>
      </x:c>
      <x:c r="D20" s="58" t="str">
        <x:v>Target unique family stock over fixed pre-deal window</x:v>
      </x:c>
      <x:c r="E20" s="58" t="str">
        <x:v>Lens.org</x:v>
      </x:c>
      <x:c r="F20" s="58" t="str">
        <x:v>Deal</x:v>
      </x:c>
      <x:c r="G20" s="58" t="str">
        <x:v>E2</x:v>
      </x:c>
      <x:c r="H20" s="58" t="str">
        <x:v>Verify subsidiaries and former names</x:v>
      </x:c>
    </x:row>
    <x:row r="21">
      <x:c r="A21" s="58" t="str">
        <x:v>Relative_Knowledge_Base_Size</x:v>
      </x:c>
      <x:c r="B21" s="58" t="str">
        <x:v>Deal_Master_Wide</x:v>
      </x:c>
      <x:c r="C21" s="58" t="str">
        <x:v>Exploratory moderator</x:v>
      </x:c>
      <x:c r="D21" s="58" t="str">
        <x:v>Target pre-deal patent stock divided by acquirer stock</x:v>
      </x:c>
      <x:c r="E21" s="58" t="str">
        <x:v>Formula</x:v>
      </x:c>
      <x:c r="F21" s="58" t="str">
        <x:v>Ratio</x:v>
      </x:c>
      <x:c r="G21" s="58" t="str">
        <x:v>E2</x:v>
      </x:c>
      <x:c r="H21" s="58" t="str">
        <x:v>Blank when acquirer stock is zero/missing</x:v>
      </x:c>
    </x:row>
    <x:row r="22">
      <x:c r="A22" s="58" t="str">
        <x:v>Technological_Relatedness_Cosine</x:v>
      </x:c>
      <x:c r="B22" s="58" t="str">
        <x:v>Deal_Master_Wide</x:v>
      </x:c>
      <x:c r="C22" s="58" t="str">
        <x:v>Exploratory moderator</x:v>
      </x:c>
      <x:c r="D22" s="58" t="str">
        <x:v>Cosine similarity of acquirer and target CPC/IPC family distributions</x:v>
      </x:c>
      <x:c r="E22" s="58" t="str">
        <x:v>Lens.org</x:v>
      </x:c>
      <x:c r="F22" s="58" t="str">
        <x:v>0 to 1</x:v>
      </x:c>
      <x:c r="G22" s="58" t="str">
        <x:v>E1</x:v>
      </x:c>
      <x:c r="H22" s="58" t="str">
        <x:v>Requires both patent portfolios</x:v>
      </x:c>
    </x:row>
    <x:row r="23">
      <x:c r="A23" s="58" t="str">
        <x:v>Deal_Value_USD_m</x:v>
      </x:c>
      <x:c r="B23" s="58" t="str">
        <x:v>Deal_Master_Wide / Panel_DiD</x:v>
      </x:c>
      <x:c r="C23" s="58" t="str">
        <x:v>Deal characteristic</x:v>
      </x:c>
      <x:c r="D23" s="58" t="str">
        <x:v>Disclosed GlobalData deal value in US$ millions</x:v>
      </x:c>
      <x:c r="E23" s="58" t="str">
        <x:v>GlobalData</x:v>
      </x:c>
      <x:c r="F23" s="58" t="str">
        <x:v>US$m</x:v>
      </x:c>
      <x:c r="G23" s="58" t="str">
        <x:v>Descriptive/control</x:v>
      </x:c>
      <x:c r="H23" s="58" t="str">
        <x:v>Blank when undisclosed; never set to zero</x:v>
      </x:c>
    </x:row>
  </x:sheetData>
  <x:pageMargins left="0.7" right="0.7" top="0.75" bottom="0.75" header="0.3" footer="0.3"/>
  <x:tableParts count="1">
    <x:tablePart xmlns:r="http://schemas.openxmlformats.org/officeDocument/2006/relationships" r:id="R29ccf95eade243c0"/>
  </x:tableParts>
</x:worksheet>
</file>

<file path=xl/worksheets/sheet6.xml><?xml version="1.0" encoding="utf-8"?>
<x:worksheet xmlns:x="http://schemas.openxmlformats.org/spreadsheetml/2006/main">
  <x:sheetFormatPr defaultRowHeight="15"/>
  <x:cols>
    <x:col min="1" max="1" width="28" hidden="0" customWidth="1"/>
    <x:col min="3" max="3" width="28" hidden="0" customWidth="1"/>
    <x:col min="5" max="5" width="28" hidden="0" customWidth="1"/>
    <x:col min="7" max="7" width="28" hidden="0" customWidth="1"/>
    <x:col min="9" max="9" width="28" hidden="0" customWidth="1"/>
    <x:col min="11" max="11" width="28" hidden="0" customWidth="1"/>
    <x:col min="13" max="13" width="28" hidden="0" customWidth="1"/>
  </x:cols>
  <x:sheetData>
    <x:row r="1">
      <x:c r="A1" s="3" t="str">
        <x:v>Review_Status</x:v>
      </x:c>
      <x:c r="C1" s="3" t="str">
        <x:v>Final_Classification</x:v>
      </x:c>
      <x:c r="E1" s="3" t="str">
        <x:v>Confidence</x:v>
      </x:c>
      <x:c r="G1" s="3" t="str">
        <x:v>Yes_No_Unknown</x:v>
      </x:c>
      <x:c r="I1" s="3" t="str">
        <x:v>Data_Status</x:v>
      </x:c>
      <x:c r="K1" s="3" t="str">
        <x:v>Main_DiD_Decision</x:v>
      </x:c>
      <x:c r="M1" s="3" t="str">
        <x:v>Patent_Entity_Scope</x:v>
      </x:c>
    </x:row>
    <x:row r="2">
      <x:c r="A2" t="str">
        <x:v>Not started</x:v>
      </x:c>
      <x:c r="C2" t="str">
        <x:v>Not reviewed</x:v>
      </x:c>
      <x:c r="E2" t="str">
        <x:v>Not assessed</x:v>
      </x:c>
      <x:c r="G2" t="str">
        <x:v>Unknown</x:v>
      </x:c>
      <x:c r="I2" t="str">
        <x:v>Not collected</x:v>
      </x:c>
      <x:c r="K2" t="str">
        <x:v>Review</x:v>
      </x:c>
      <x:c r="M2" t="str">
        <x:v>Acquirer only</x:v>
      </x:c>
    </x:row>
    <x:row r="3">
      <x:c r="A3" t="str">
        <x:v>In progress</x:v>
      </x:c>
      <x:c r="C3" t="str">
        <x:v>High-confidence innovation-driven</x:v>
      </x:c>
      <x:c r="E3" t="str">
        <x:v>High</x:v>
      </x:c>
      <x:c r="G3" t="str">
        <x:v>Yes</x:v>
      </x:c>
      <x:c r="I3" t="str">
        <x:v>Partial</x:v>
      </x:c>
      <x:c r="K3" t="str">
        <x:v>Include</x:v>
      </x:c>
      <x:c r="M3" t="str">
        <x:v>Combined group</x:v>
      </x:c>
    </x:row>
    <x:row r="4">
      <x:c r="A4" t="str">
        <x:v>Completed</x:v>
      </x:c>
      <x:c r="C4" t="str">
        <x:v>Medium-confidence innovation-driven</x:v>
      </x:c>
      <x:c r="E4" t="str">
        <x:v>Medium</x:v>
      </x:c>
      <x:c r="G4" t="str">
        <x:v>No</x:v>
      </x:c>
      <x:c r="I4" t="str">
        <x:v>Complete</x:v>
      </x:c>
      <x:c r="K4" t="str">
        <x:v>Exclude</x:v>
      </x:c>
      <x:c r="M4" t="str">
        <x:v>Target only</x:v>
      </x:c>
    </x:row>
    <x:row r="5">
      <x:c r="A5" t="str">
        <x:v>Excluded</x:v>
      </x:c>
      <x:c r="C5" t="str">
        <x:v>Clear alternative-rationale</x:v>
      </x:c>
      <x:c r="E5" t="str">
        <x:v>Low</x:v>
      </x:c>
      <x:c r="I5" t="str">
        <x:v>Not available</x:v>
      </x:c>
      <x:c r="M5" t="str">
        <x:v>Not defined</x:v>
      </x:c>
    </x:row>
    <x:row r="6">
      <x:c r="C6" t="str">
        <x:v>Mixed / borderline</x:v>
      </x:c>
    </x:row>
    <x:row r="7">
      <x:c r="C7" t="str">
        <x:v>Insufficient evidence</x:v>
      </x:c>
    </x:row>
    <x:row r="8">
      <x:c r="C8" t="str">
        <x:v>Excluded</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32" hidden="0" customWidth="1"/>
    <x:col min="3" max="3" width="7.380000114440918" hidden="0" customWidth="1"/>
    <x:col min="4" max="4" width="34" hidden="0" customWidth="1"/>
    <x:col min="5" max="5" width="7.5" hidden="0" customWidth="1"/>
    <x:col min="6" max="6" width="34" hidden="0" customWidth="1"/>
    <x:col min="7" max="7" width="13.630000114440918" hidden="0" customWidth="1"/>
    <x:col min="8" max="8" width="12.130000114440918" hidden="0" customWidth="1"/>
    <x:col min="9" max="9" width="17.6299991607666" hidden="0" customWidth="1"/>
    <x:col min="10" max="10" width="14.380000114440918" hidden="0" customWidth="1"/>
    <x:col min="11" max="11" width="44" hidden="0" customWidth="1"/>
  </x:cols>
  <x:sheetData>
    <x:row r="1">
      <x:c r="A1" s="86" t="str">
        <x:v>Treatment-group Bloomberg file import and deal mapping</x:v>
      </x:c>
      <x:c r="B1" s="86"/>
      <x:c r="C1" s="86"/>
      <x:c r="D1" s="86"/>
      <x:c r="E1" s="86"/>
      <x:c r="F1" s="86"/>
      <x:c r="G1" s="86"/>
      <x:c r="H1" s="86"/>
      <x:c r="I1" s="86"/>
      <x:c r="J1" s="86"/>
      <x:c r="K1" s="86"/>
    </x:row>
    <x:row r="2">
      <x:c r="A2" s="85" t="str">
        <x:v>Source_File</x:v>
      </x:c>
      <x:c r="B2" s="85" t="str">
        <x:v>Company_Detected</x:v>
      </x:c>
      <x:c r="C2" s="85" t="str">
        <x:v>Currency</x:v>
      </x:c>
      <x:c r="D2" s="85" t="str">
        <x:v>Mapping_Status</x:v>
      </x:c>
      <x:c r="E2" s="85" t="str">
        <x:v>Deal_ID</x:v>
      </x:c>
      <x:c r="F2" s="85" t="str">
        <x:v>Deal_or_Mapping</x:v>
      </x:c>
      <x:c r="G2" s="85" t="str">
        <x:v>Completion_Year</x:v>
      </x:c>
      <x:c r="H2" s="85" t="str">
        <x:v>Event_Window</x:v>
      </x:c>
      <x:c r="I2" s="85" t="str">
        <x:v>Financial_Data_Status</x:v>
      </x:c>
      <x:c r="J2" s="85" t="str">
        <x:v>Bloomberg_Ticker</x:v>
      </x:c>
      <x:c r="K2" s="85" t="str">
        <x:v>Notes</x:v>
      </x:c>
    </x:row>
    <x:row r="3">
      <x:c r="A3" s="87" t="str">
        <x:v>ASTRAZENECA(1).xlsx</x:v>
      </x:c>
      <x:c r="B3" s="87" t="str">
        <x:v>AstraZeneca PLC (AZN LN) - Adjusted</x:v>
      </x:c>
      <x:c r="C3" s="87" t="str">
        <x:v>EUR</x:v>
      </x:c>
      <x:c r="D3" s="87" t="str">
        <x:v>Unmatched — no verified deal row in supplied deal lists</x:v>
      </x:c>
      <x:c r="E3" s="87"/>
      <x:c r="F3" s="87"/>
      <x:c r="G3" s="87"/>
      <x:c r="H3" s="87"/>
      <x:c r="I3" s="87" t="str">
        <x:v>Raw data retained only</x:v>
      </x:c>
      <x:c r="J3" s="87" t="str">
        <x:v>AZN LN</x:v>
      </x:c>
      <x:c r="K3" s="87" t="str">
        <x:v>Not assigned to a deal row because no supported acquisition event was identified in the supplied GlobalData files.</x:v>
      </x:c>
    </x:row>
    <x:row r="4">
      <x:c r="A4" s="87" t="str">
        <x:v>BIODEXA(1).xlsx</x:v>
      </x:c>
      <x:c r="B4" s="87" t="str">
        <x:v>Biodexa Pharmaceuticals Plc (BDRX LN) - Adjusted</x:v>
      </x:c>
      <x:c r="C4" s="87" t="str">
        <x:v>EUR</x:v>
      </x:c>
      <x:c r="D4" s="87" t="str">
        <x:v>Added to treatment workbook from alternative-rationale export</x:v>
      </x:c>
      <x:c r="E4" s="87" t="str">
        <x:v>TRT-0043</x:v>
      </x:c>
      <x:c r="F4" s="87" t="str">
        <x:v>Biodexa (formerly Midatech)–Q Chip</x:v>
      </x:c>
      <x:c r="G4" s="87" t="n">
        <x:v>2014</x:v>
      </x:c>
      <x:c r="H4" s="87" t="str">
        <x:v>2011–2017</x:v>
      </x:c>
      <x:c r="I4" s="87" t="str">
        <x:v>Partial</x:v>
      </x:c>
      <x:c r="J4" s="87" t="str">
        <x:v>BDRX LN</x:v>
      </x:c>
      <x:c r="K4" s="87" t="str">
        <x:v>Financial values populated in Deal_Master_Wide and linked Panel_DiD rows.</x:v>
      </x:c>
    </x:row>
    <x:row r="5">
      <x:c r="A5" s="87" t="str">
        <x:v>CALIDA(2).xlsx</x:v>
      </x:c>
      <x:c r="B5" s="87" t="str">
        <x:v>Chinook Therapeutics Inc (KDNY US) - Adjusted</x:v>
      </x:c>
      <x:c r="C5" s="87" t="str">
        <x:v>EUR</x:v>
      </x:c>
      <x:c r="D5" s="87" t="str">
        <x:v>Mapped to existing treatment deal</x:v>
      </x:c>
      <x:c r="E5" s="87" t="str">
        <x:v>TRT-0028</x:v>
      </x:c>
      <x:c r="F5" s="87" t="str">
        <x:v>Chinook Therapeutics / Aduro BioTech–BioNovion</x:v>
      </x:c>
      <x:c r="G5" s="87" t="n">
        <x:v>2015</x:v>
      </x:c>
      <x:c r="H5" s="87" t="str">
        <x:v>2012–2018</x:v>
      </x:c>
      <x:c r="I5" s="87" t="str">
        <x:v>Partial</x:v>
      </x:c>
      <x:c r="J5" s="87" t="str">
        <x:v>KDNY US</x:v>
      </x:c>
      <x:c r="K5" s="87" t="str">
        <x:v>Financial values populated in Deal_Master_Wide and linked Panel_DiD rows.</x:v>
      </x:c>
    </x:row>
    <x:row r="6">
      <x:c r="A6" s="87" t="str">
        <x:v>Celyad Oncology SA(3).xlsx</x:v>
      </x:c>
      <x:c r="B6" s="87" t="str">
        <x:v>Celyad Oncology SA (CYAD BB) - BBG Adjusted</x:v>
      </x:c>
      <x:c r="C6" s="87" t="str">
        <x:v>EUR</x:v>
      </x:c>
      <x:c r="D6" s="87" t="str">
        <x:v>Unmatched — no verified deal row in supplied deal lists</x:v>
      </x:c>
      <x:c r="E6" s="87"/>
      <x:c r="F6" s="87"/>
      <x:c r="G6" s="87"/>
      <x:c r="H6" s="87"/>
      <x:c r="I6" s="87" t="str">
        <x:v>Raw data retained only</x:v>
      </x:c>
      <x:c r="J6" s="87" t="str">
        <x:v>CYAD BB</x:v>
      </x:c>
      <x:c r="K6" s="87" t="str">
        <x:v>Not assigned to a deal row because no supported acquisition event was identified in the supplied GlobalData files.</x:v>
      </x:c>
    </x:row>
    <x:row r="7">
      <x:c r="A7" s="87" t="str">
        <x:v>Chiltern International Lt(2).xlsx</x:v>
      </x:c>
      <x:c r="B7" s="87" t="str">
        <x:v>Chiltern International Ltd (2616654Z LN) - Balance Sheet</x:v>
      </x:c>
      <x:c r="C7" s="87" t="str">
        <x:v>EUR</x:v>
      </x:c>
      <x:c r="D7" s="87" t="str">
        <x:v>Unmatched — no verified deal row in supplied deal lists</x:v>
      </x:c>
      <x:c r="E7" s="87"/>
      <x:c r="F7" s="87"/>
      <x:c r="G7" s="87"/>
      <x:c r="H7" s="87"/>
      <x:c r="I7" s="87" t="str">
        <x:v>Raw data retained only</x:v>
      </x:c>
      <x:c r="J7" s="87" t="str">
        <x:v>2616654Z LN</x:v>
      </x:c>
      <x:c r="K7" s="87" t="str">
        <x:v>Not assigned to a deal row because no supported acquisition event was identified in the supplied GlobalData files.</x:v>
      </x:c>
    </x:row>
    <x:row r="8">
      <x:c r="A8" s="87" t="str">
        <x:v>Eurofins Scientific SE(2).xlsx</x:v>
      </x:c>
      <x:c r="B8" s="87" t="str">
        <x:v>Eurofins Scientific SE (ERF FP) - Standardized</x:v>
      </x:c>
      <x:c r="C8" s="87" t="str">
        <x:v>EUR</x:v>
      </x:c>
      <x:c r="D8" s="87" t="str">
        <x:v>Mapped to existing treatment deal</x:v>
      </x:c>
      <x:c r="E8" s="87" t="str">
        <x:v>TRT-0039</x:v>
      </x:c>
      <x:c r="F8" s="87" t="str">
        <x:v>Eurofins Scientific–AROS Applied Biotechnology</x:v>
      </x:c>
      <x:c r="G8" s="87" t="n">
        <x:v>2013</x:v>
      </x:c>
      <x:c r="H8" s="87" t="str">
        <x:v>2010–2016</x:v>
      </x:c>
      <x:c r="I8" s="87" t="str">
        <x:v>Complete</x:v>
      </x:c>
      <x:c r="J8" s="87" t="str">
        <x:v>ERF FP</x:v>
      </x:c>
      <x:c r="K8" s="87" t="str">
        <x:v>Financial values populated in Deal_Master_Wide and linked Panel_DiD rows.</x:v>
      </x:c>
    </x:row>
    <x:row r="9">
      <x:c r="A9" s="87" t="str">
        <x:v>FA1_4cc5cedv(1).xlsx</x:v>
      </x:c>
      <x:c r="B9" s="87" t="str">
        <x:v>Corp Quimico Farmaceutica Esteve SA (0646926D SM) - Balance Sheet</x:v>
      </x:c>
      <x:c r="C9" s="87" t="str">
        <x:v>EUR</x:v>
      </x:c>
      <x:c r="D9" s="87" t="str">
        <x:v>Added to treatment workbook from alternative-rationale export</x:v>
      </x:c>
      <x:c r="E9" s="87" t="str">
        <x:v>TRT-0044</x:v>
      </x:c>
      <x:c r="F9" s="87" t="str">
        <x:v>Esteve Pharmaceuticals–Riemser Pharma</x:v>
      </x:c>
      <x:c r="G9" s="87" t="n">
        <x:v>2020</x:v>
      </x:c>
      <x:c r="H9" s="87" t="str">
        <x:v>2017–2023</x:v>
      </x:c>
      <x:c r="I9" s="87" t="str">
        <x:v>Partial</x:v>
      </x:c>
      <x:c r="J9" s="87" t="str">
        <x:v>0646926D SM</x:v>
      </x:c>
      <x:c r="K9" s="87" t="str">
        <x:v>Financial values populated in Deal_Master_Wide and linked Panel_DiD rows.</x:v>
      </x:c>
    </x:row>
    <x:row r="10">
      <x:c r="A10" s="87" t="str">
        <x:v>FA1_s511qg5q(1).xlsx</x:v>
      </x:c>
      <x:c r="B10" s="87" t="str">
        <x:v>10X Genomics Inc (TXG US) - Adjusted</x:v>
      </x:c>
      <x:c r="C10" s="87" t="str">
        <x:v>EUR</x:v>
      </x:c>
      <x:c r="D10" s="87" t="str">
        <x:v>Unmatched — no verified deal row in supplied deal lists</x:v>
      </x:c>
      <x:c r="E10" s="87"/>
      <x:c r="F10" s="87"/>
      <x:c r="G10" s="87"/>
      <x:c r="H10" s="87"/>
      <x:c r="I10" s="87" t="str">
        <x:v>Raw data retained only</x:v>
      </x:c>
      <x:c r="J10" s="87" t="str">
        <x:v>TXG US</x:v>
      </x:c>
      <x:c r="K10" s="87" t="str">
        <x:v>Not assigned to a deal row because no supported acquisition event was identified in the supplied GlobalData files.</x:v>
      </x:c>
    </x:row>
    <x:row r="11">
      <x:c r="A11" s="87" t="str">
        <x:v>GSK(1).xlsx</x:v>
      </x:c>
      <x:c r="B11" s="87" t="str">
        <x:v>GSK PLC (GSK LN) - Adjusted</x:v>
      </x:c>
      <x:c r="C11" s="87" t="str">
        <x:v>EUR</x:v>
      </x:c>
      <x:c r="D11" s="87" t="str">
        <x:v>Mapped to existing treatment deal</x:v>
      </x:c>
      <x:c r="E11" s="87" t="str">
        <x:v>TRT-0038</x:v>
      </x:c>
      <x:c r="F11" s="87" t="str">
        <x:v>GSK–Okairos</x:v>
      </x:c>
      <x:c r="G11" s="87" t="n">
        <x:v>2013</x:v>
      </x:c>
      <x:c r="H11" s="87" t="str">
        <x:v>2010–2016</x:v>
      </x:c>
      <x:c r="I11" s="87" t="str">
        <x:v>Complete</x:v>
      </x:c>
      <x:c r="J11" s="87" t="str">
        <x:v>GSK LN</x:v>
      </x:c>
      <x:c r="K11" s="87" t="str">
        <x:v>Financial values populated in Deal_Master_Wide and linked Panel_DiD rows.</x:v>
      </x:c>
    </x:row>
    <x:row r="12">
      <x:c r="A12" s="87" t="str">
        <x:v>Medipass Spa IT(1).xlsx</x:v>
      </x:c>
      <x:c r="B12" s="87" t="str">
        <x:v>Medipass Spa/IT (1165955D IM) - Income Statement</x:v>
      </x:c>
      <x:c r="C12" s="87" t="str">
        <x:v>EUR</x:v>
      </x:c>
      <x:c r="D12" s="87" t="str">
        <x:v>Unmatched — no verified deal row in supplied deal lists</x:v>
      </x:c>
      <x:c r="E12" s="87"/>
      <x:c r="F12" s="87"/>
      <x:c r="G12" s="87"/>
      <x:c r="H12" s="87"/>
      <x:c r="I12" s="87" t="str">
        <x:v>Raw data retained only</x:v>
      </x:c>
      <x:c r="J12" s="87" t="str">
        <x:v>1165955D IM</x:v>
      </x:c>
      <x:c r="K12" s="87" t="str">
        <x:v>Not assigned to a deal row because no supported acquisition event was identified in the supplied GlobalData files.</x:v>
      </x:c>
    </x:row>
    <x:row r="13">
      <x:c r="A13" s="87" t="str">
        <x:v>NICOX(1).xlsx</x:v>
      </x:c>
      <x:c r="B13" s="87" t="str">
        <x:v>Nicox (ALCOX FP) - Standardized</x:v>
      </x:c>
      <x:c r="C13" s="87" t="str">
        <x:v>EUR</x:v>
      </x:c>
      <x:c r="D13" s="87" t="str">
        <x:v>Mapped to existing treatment deal</x:v>
      </x:c>
      <x:c r="E13" s="87" t="str">
        <x:v>TRT-0034</x:v>
      </x:c>
      <x:c r="F13" s="87" t="str">
        <x:v>Nicox–Doliage</x:v>
      </x:c>
      <x:c r="G13" s="87" t="n">
        <x:v>2014</x:v>
      </x:c>
      <x:c r="H13" s="87" t="str">
        <x:v>2011–2017</x:v>
      </x:c>
      <x:c r="I13" s="87" t="str">
        <x:v>Partial</x:v>
      </x:c>
      <x:c r="J13" s="87" t="str">
        <x:v>ALCOX FP</x:v>
      </x:c>
      <x:c r="K13" s="87" t="str">
        <x:v>Financial values populated in Deal_Master_Wide and linked Panel_DiD rows.</x:v>
      </x:c>
    </x:row>
    <x:row r="14">
      <x:c r="A14" s="87" t="str">
        <x:v>SANOFI(1).xlsx</x:v>
      </x:c>
      <x:c r="B14" s="87" t="str">
        <x:v>Sanofi SA (SAN FP) - Adjusted</x:v>
      </x:c>
      <x:c r="C14" s="87" t="str">
        <x:v>EUR</x:v>
      </x:c>
      <x:c r="D14" s="87" t="str">
        <x:v>Mapped to existing treatment deal</x:v>
      </x:c>
      <x:c r="E14" s="87" t="str">
        <x:v>TRT-0010</x:v>
      </x:c>
      <x:c r="F14" s="87" t="str">
        <x:v>Sanofi–Ablynx</x:v>
      </x:c>
      <x:c r="G14" s="87" t="n">
        <x:v>2018</x:v>
      </x:c>
      <x:c r="H14" s="87" t="str">
        <x:v>2015–2021</x:v>
      </x:c>
      <x:c r="I14" s="87" t="str">
        <x:v>Complete</x:v>
      </x:c>
      <x:c r="J14" s="87" t="str">
        <x:v>SAN FP</x:v>
      </x:c>
      <x:c r="K14" s="87" t="str">
        <x:v>Financial values populated in Deal_Master_Wide and linked Panel_DiD rows.</x:v>
      </x:c>
    </x:row>
    <x:row r="15">
      <x:c r="A15" s="87" t="str">
        <x:v>SHIRE(1).xlsx</x:v>
      </x:c>
      <x:c r="B15" s="87" t="str">
        <x:v>Shire PLC (SHP LN) - BBG Adjusted</x:v>
      </x:c>
      <x:c r="C15" s="87" t="str">
        <x:v>USD</x:v>
      </x:c>
      <x:c r="D15" s="87" t="str">
        <x:v>Added to treatment workbook from alternative-rationale export</x:v>
      </x:c>
      <x:c r="E15" s="87" t="str">
        <x:v>TRT-0045</x:v>
      </x:c>
      <x:c r="F15" s="87" t="str">
        <x:v>Shire–Premacure</x:v>
      </x:c>
      <x:c r="G15" s="87" t="n">
        <x:v>2013</x:v>
      </x:c>
      <x:c r="H15" s="87" t="str">
        <x:v>2010–2016</x:v>
      </x:c>
      <x:c r="I15" s="87" t="str">
        <x:v>Complete</x:v>
      </x:c>
      <x:c r="J15" s="87" t="str">
        <x:v>SHP LN</x:v>
      </x:c>
      <x:c r="K15" s="87" t="str">
        <x:v>Financial values populated in Deal_Master_Wide and linked Panel_DiD rows.</x:v>
      </x:c>
    </x:row>
  </x:sheetData>
  <x:mergeCells>
    <x:mergeCell ref="A1:K1"/>
  </x:mergeCell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32" hidden="0" customWidth="1"/>
    <x:col min="3" max="3" width="7.380000114440918" hidden="0" customWidth="1"/>
    <x:col min="4" max="4" width="13.880000114440918" hidden="0" customWidth="1"/>
    <x:col min="5" max="5" width="13" hidden="0" customWidth="1"/>
    <x:col min="6" max="6" width="4.25" hidden="0" customWidth="1"/>
    <x:col min="7" max="7" width="9.5" hidden="0" customWidth="1"/>
    <x:col min="8" max="8" width="17.1299991607666" hidden="0" customWidth="1"/>
    <x:col min="9" max="9" width="12.25" hidden="0" customWidth="1"/>
    <x:col min="10" max="10" width="12.380000114440918" hidden="0" customWidth="1"/>
    <x:col min="11" max="11" width="11.25" hidden="0" customWidth="1"/>
    <x:col min="12" max="12" width="17" hidden="0" customWidth="1"/>
    <x:col min="13" max="13" width="10.880000114440918" hidden="0" customWidth="1"/>
    <x:col min="14" max="14" width="17.75" hidden="0" customWidth="1"/>
    <x:col min="15" max="15" width="10.630000114440918" hidden="0" customWidth="1"/>
    <x:col min="16" max="16" width="44" hidden="0" customWidth="1"/>
  </x:cols>
  <x:sheetData>
    <x:row r="1">
      <x:c r="A1" s="86" t="str">
        <x:v>Historical Bloomberg financial data imported from uploaded workbooks</x:v>
      </x:c>
      <x:c r="B1" s="86"/>
      <x:c r="C1" s="86"/>
      <x:c r="D1" s="86"/>
      <x:c r="E1" s="86"/>
      <x:c r="F1" s="86"/>
      <x:c r="G1" s="86"/>
      <x:c r="H1" s="86"/>
      <x:c r="I1" s="86"/>
      <x:c r="J1" s="86"/>
      <x:c r="K1" s="86"/>
      <x:c r="L1" s="86"/>
      <x:c r="M1" s="86"/>
      <x:c r="N1" s="86"/>
      <x:c r="O1" s="86"/>
      <x:c r="P1" s="86"/>
    </x:row>
    <x:row r="2">
      <x:c r="A2" s="85" t="str">
        <x:v>Source_File</x:v>
      </x:c>
      <x:c r="B2" s="85" t="str">
        <x:v>Company_Detected</x:v>
      </x:c>
      <x:c r="C2" s="85" t="str">
        <x:v>Currency</x:v>
      </x:c>
      <x:c r="D2" s="85" t="str">
        <x:v>Mapped_Deal_ID</x:v>
      </x:c>
      <x:c r="E2" s="85" t="str">
        <x:v>Mapping_Status</x:v>
      </x:c>
      <x:c r="F2" s="85" t="str">
        <x:v>Year</x:v>
      </x:c>
      <x:c r="G2" s="85" t="str">
        <x:v>Revenue_m</x:v>
      </x:c>
      <x:c r="H2" s="85" t="str">
        <x:v>Operating_Income_m</x:v>
      </x:c>
      <x:c r="I2" s="85" t="str">
        <x:v>Net_Income_m</x:v>
      </x:c>
      <x:c r="J2" s="85" t="str">
        <x:v>Total_Assets_m</x:v>
      </x:c>
      <x:c r="K2" s="85" t="str">
        <x:v>Total_Debt_m</x:v>
      </x:c>
      <x:c r="L2" s="85" t="str">
        <x:v>R_and_D_Expense_m</x:v>
      </x:c>
      <x:c r="M2" s="85" t="str">
        <x:v>ROA_pct</x:v>
      </x:c>
      <x:c r="N2" s="85" t="str">
        <x:v>Operating_Margin_pct</x:v>
      </x:c>
      <x:c r="O2" s="85" t="str">
        <x:v>Leverage_pct</x:v>
      </x:c>
      <x:c r="P2" s="85" t="str">
        <x:v>Extraction_Notes</x:v>
      </x:c>
    </x:row>
    <x:row r="3">
      <x:c r="A3" s="87" t="str">
        <x:v>ASTRAZENECA(1).xlsx</x:v>
      </x:c>
      <x:c r="B3" s="87" t="str">
        <x:v>AstraZeneca PLC (AZN LN) - Adjusted</x:v>
      </x:c>
      <x:c r="C3" s="87" t="str">
        <x:v>EUR</x:v>
      </x:c>
      <x:c r="D3" s="87"/>
      <x:c r="E3" s="87" t="str">
        <x:v>Unmatched</x:v>
      </x:c>
      <x:c r="F3" s="88" t="n">
        <x:v>2006</x:v>
      </x:c>
      <x:c r="G3" s="89"/>
      <x:c r="H3" s="89"/>
      <x:c r="I3" s="89"/>
      <x:c r="J3" s="89" t="n">
        <x:v>22694.6698</x:v>
      </x:c>
      <x:c r="K3" s="89" t="n">
        <x:v>927.2879</x:v>
      </x:c>
      <x:c r="L3" s="89"/>
      <x:c r="M3" s="90" t="n">
        <x:v>22.066</x:v>
      </x:c>
      <x:c r="N3" s="90" t="n">
        <x:v>31.0331</x:v>
      </x:c>
      <x:c r="O3" s="90" t="n">
        <x:v>4.0859</x:v>
      </x:c>
      <x:c r="P3" s="87" t="str">
        <x:v>Historical non-estimate Bloomberg observation; ratios may be derived when the workbook lacked a complete ratio series.</x:v>
      </x:c>
    </x:row>
    <x:row r="4">
      <x:c r="A4" s="87" t="str">
        <x:v>ASTRAZENECA(1).xlsx</x:v>
      </x:c>
      <x:c r="B4" s="87" t="str">
        <x:v>AstraZeneca PLC (AZN LN) - Adjusted</x:v>
      </x:c>
      <x:c r="C4" s="87" t="str">
        <x:v>EUR</x:v>
      </x:c>
      <x:c r="D4" s="87"/>
      <x:c r="E4" s="87" t="str">
        <x:v>Unmatched</x:v>
      </x:c>
      <x:c r="F4" s="88" t="n">
        <x:v>2007</x:v>
      </x:c>
      <x:c r="G4" s="89"/>
      <x:c r="H4" s="89"/>
      <x:c r="I4" s="89"/>
      <x:c r="J4" s="89" t="n">
        <x:v>32885.5517</x:v>
      </x:c>
      <x:c r="K4" s="89" t="n">
        <x:v>10395.6662</x:v>
      </x:c>
      <x:c r="L4" s="89"/>
      <x:c r="M4" s="90" t="n">
        <x:v>14.3666</x:v>
      </x:c>
      <x:c r="N4" s="90" t="n">
        <x:v>30.6506</x:v>
      </x:c>
      <x:c r="O4" s="90" t="n">
        <x:v>31.6117</x:v>
      </x:c>
      <x:c r="P4" s="87" t="str">
        <x:v>Historical non-estimate Bloomberg observation; ratios may be derived when the workbook lacked a complete ratio series.</x:v>
      </x:c>
    </x:row>
    <x:row r="5">
      <x:c r="A5" s="87" t="str">
        <x:v>ASTRAZENECA(1).xlsx</x:v>
      </x:c>
      <x:c r="B5" s="87" t="str">
        <x:v>AstraZeneca PLC (AZN LN) - Adjusted</x:v>
      </x:c>
      <x:c r="C5" s="87" t="str">
        <x:v>EUR</x:v>
      </x:c>
      <x:c r="D5" s="87"/>
      <x:c r="E5" s="87" t="str">
        <x:v>Unmatched</x:v>
      </x:c>
      <x:c r="F5" s="88" t="n">
        <x:v>2008</x:v>
      </x:c>
      <x:c r="G5" s="89"/>
      <x:c r="H5" s="89"/>
      <x:c r="I5" s="89"/>
      <x:c r="J5" s="89" t="n">
        <x:v>33529.7069</x:v>
      </x:c>
      <x:c r="K5" s="89" t="n">
        <x:v>8608.1846</x:v>
      </x:c>
      <x:c r="L5" s="89"/>
      <x:c r="M5" s="90" t="n">
        <x:v>12.8793</x:v>
      </x:c>
      <x:c r="N5" s="90" t="n">
        <x:v>28.5972</x:v>
      </x:c>
      <x:c r="O5" s="90" t="n">
        <x:v>25.6733</x:v>
      </x:c>
      <x:c r="P5" s="87" t="str">
        <x:v>Historical non-estimate Bloomberg observation; ratios may be derived when the workbook lacked a complete ratio series.</x:v>
      </x:c>
    </x:row>
    <x:row r="6">
      <x:c r="A6" s="87" t="str">
        <x:v>ASTRAZENECA(1).xlsx</x:v>
      </x:c>
      <x:c r="B6" s="87" t="str">
        <x:v>AstraZeneca PLC (AZN LN) - Adjusted</x:v>
      </x:c>
      <x:c r="C6" s="87" t="str">
        <x:v>EUR</x:v>
      </x:c>
      <x:c r="D6" s="87"/>
      <x:c r="E6" s="87" t="str">
        <x:v>Unmatched</x:v>
      </x:c>
      <x:c r="F6" s="88" t="n">
        <x:v>2009</x:v>
      </x:c>
      <x:c r="G6" s="89" t="n">
        <x:v>23588.711</x:v>
      </x:c>
      <x:c r="H6" s="89" t="n">
        <x:v>9179.0604</x:v>
      </x:c>
      <x:c r="I6" s="89" t="n">
        <x:v>5408.2031</x:v>
      </x:c>
      <x:c r="J6" s="89" t="n">
        <x:v>38322.5176</x:v>
      </x:c>
      <x:c r="K6" s="89" t="n">
        <x:v>7719.6288</x:v>
      </x:c>
      <x:c r="L6" s="89" t="n">
        <x:v>3049.6197</x:v>
      </x:c>
      <x:c r="M6" s="90" t="n">
        <x:v>14.79</x:v>
      </x:c>
      <x:c r="N6" s="90" t="n">
        <x:v>35.1878</x:v>
      </x:c>
      <x:c r="O6" s="90" t="n">
        <x:v>20.1438</x:v>
      </x:c>
      <x:c r="P6" s="87" t="str">
        <x:v>Historical non-estimate Bloomberg observation; ratios may be derived when the workbook lacked a complete ratio series.</x:v>
      </x:c>
    </x:row>
    <x:row r="7">
      <x:c r="A7" s="87" t="str">
        <x:v>ASTRAZENECA(1).xlsx</x:v>
      </x:c>
      <x:c r="B7" s="87" t="str">
        <x:v>AstraZeneca PLC (AZN LN) - Adjusted</x:v>
      </x:c>
      <x:c r="C7" s="87" t="str">
        <x:v>EUR</x:v>
      </x:c>
      <x:c r="D7" s="87"/>
      <x:c r="E7" s="87" t="str">
        <x:v>Unmatched</x:v>
      </x:c>
      <x:c r="F7" s="88" t="n">
        <x:v>2010</x:v>
      </x:c>
      <x:c r="G7" s="89" t="n">
        <x:v>25129.2905</x:v>
      </x:c>
      <x:c r="H7" s="89" t="n">
        <x:v>10648.7342</x:v>
      </x:c>
      <x:c r="I7" s="89" t="n">
        <x:v>6082.725</x:v>
      </x:c>
      <x:c r="J7" s="89" t="n">
        <x:v>41992.3687</x:v>
      </x:c>
      <x:c r="K7" s="89" t="n">
        <x:v>6899.596</x:v>
      </x:c>
      <x:c r="L7" s="89" t="n">
        <x:v>3091.5924</x:v>
      </x:c>
      <x:c r="M7" s="90" t="n">
        <x:v>14.5038</x:v>
      </x:c>
      <x:c r="N7" s="90" t="n">
        <x:v>34.5487</x:v>
      </x:c>
      <x:c r="O7" s="90" t="n">
        <x:v>16.4306</x:v>
      </x:c>
      <x:c r="P7" s="87" t="str">
        <x:v>Historical non-estimate Bloomberg observation; ratios may be derived when the workbook lacked a complete ratio series.</x:v>
      </x:c>
    </x:row>
    <x:row r="8">
      <x:c r="A8" s="87" t="str">
        <x:v>ASTRAZENECA(1).xlsx</x:v>
      </x:c>
      <x:c r="B8" s="87" t="str">
        <x:v>AstraZeneca PLC (AZN LN) - Adjusted</x:v>
      </x:c>
      <x:c r="C8" s="87" t="str">
        <x:v>EUR</x:v>
      </x:c>
      <x:c r="D8" s="87"/>
      <x:c r="E8" s="87" t="str">
        <x:v>Unmatched</x:v>
      </x:c>
      <x:c r="F8" s="88" t="n">
        <x:v>2011</x:v>
      </x:c>
      <x:c r="G8" s="89" t="n">
        <x:v>24151.6155</x:v>
      </x:c>
      <x:c r="H8" s="89" t="n">
        <x:v>9438.9095</x:v>
      </x:c>
      <x:c r="I8" s="89" t="n">
        <x:v>7177.6838</x:v>
      </x:c>
      <x:c r="J8" s="89" t="n">
        <x:v>40763.8889</x:v>
      </x:c>
      <x:c r="K8" s="89" t="n">
        <x:v>7197.5309</x:v>
      </x:c>
      <x:c r="L8" s="89" t="n">
        <x:v>3239.772</x:v>
      </x:c>
      <x:c r="M8" s="90" t="n">
        <x:v>18.3247</x:v>
      </x:c>
      <x:c r="N8" s="90" t="n">
        <x:v>38.0906</x:v>
      </x:c>
      <x:c r="O8" s="90" t="n">
        <x:v>17.6566</x:v>
      </x:c>
      <x:c r="P8" s="87" t="str">
        <x:v>Historical non-estimate Bloomberg observation; ratios may be derived when the workbook lacked a complete ratio series.</x:v>
      </x:c>
    </x:row>
    <x:row r="9">
      <x:c r="A9" s="87" t="str">
        <x:v>ASTRAZENECA(1).xlsx</x:v>
      </x:c>
      <x:c r="B9" s="87" t="str">
        <x:v>AstraZeneca PLC (AZN LN) - Adjusted</x:v>
      </x:c>
      <x:c r="C9" s="87" t="str">
        <x:v>EUR</x:v>
      </x:c>
      <x:c r="D9" s="87"/>
      <x:c r="E9" s="87" t="str">
        <x:v>Unmatched</x:v>
      </x:c>
      <x:c r="F9" s="88" t="n">
        <x:v>2012</x:v>
      </x:c>
      <x:c r="G9" s="89" t="n">
        <x:v>21768.4582</x:v>
      </x:c>
      <x:c r="H9" s="89" t="n">
        <x:v>7606.8594</x:v>
      </x:c>
      <x:c r="I9" s="89" t="n">
        <x:v>4855.9389</x:v>
      </x:c>
      <x:c r="J9" s="89" t="n">
        <x:v>40565.28</x:v>
      </x:c>
      <x:c r="K9" s="89" t="n">
        <x:v>7812.3816</x:v>
      </x:c>
      <x:c r="L9" s="89" t="n">
        <x:v>3319.7813</x:v>
      </x:c>
      <x:c r="M9" s="90" t="n">
        <x:v>11.7333</x:v>
      </x:c>
      <x:c r="N9" s="90" t="n">
        <x:v>29.1281</x:v>
      </x:c>
      <x:c r="O9" s="90" t="n">
        <x:v>19.2588</x:v>
      </x:c>
      <x:c r="P9" s="87" t="str">
        <x:v>Historical non-estimate Bloomberg observation; ratios may be derived when the workbook lacked a complete ratio series.</x:v>
      </x:c>
    </x:row>
    <x:row r="10">
      <x:c r="A10" s="87" t="str">
        <x:v>ASTRAZENECA(1).xlsx</x:v>
      </x:c>
      <x:c r="B10" s="87" t="str">
        <x:v>AstraZeneca PLC (AZN LN) - Adjusted</x:v>
      </x:c>
      <x:c r="C10" s="87" t="str">
        <x:v>EUR</x:v>
      </x:c>
      <x:c r="D10" s="87"/>
      <x:c r="E10" s="87" t="str">
        <x:v>Unmatched</x:v>
      </x:c>
      <x:c r="F10" s="88" t="n">
        <x:v>2013</x:v>
      </x:c>
      <x:c r="G10" s="89" t="n">
        <x:v>19363.8485</x:v>
      </x:c>
      <x:c r="H10" s="89" t="n">
        <x:v>5450.4365</x:v>
      </x:c>
      <x:c r="I10" s="89" t="n">
        <x:v>1925.0125</x:v>
      </x:c>
      <x:c r="J10" s="89" t="n">
        <x:v>40538.8353</x:v>
      </x:c>
      <x:c r="K10" s="89" t="n">
        <x:v>7524.8386</x:v>
      </x:c>
      <x:c r="L10" s="89" t="n">
        <x:v>3023.083</x:v>
      </x:c>
      <x:c r="M10" s="90" t="n">
        <x:v>4.6714</x:v>
      </x:c>
      <x:c r="N10" s="90" t="n">
        <x:v>14.4374</x:v>
      </x:c>
      <x:c r="O10" s="90" t="n">
        <x:v>18.562</x:v>
      </x:c>
      <x:c r="P10" s="87" t="str">
        <x:v>Historical non-estimate Bloomberg observation; ratios may be derived when the workbook lacked a complete ratio series.</x:v>
      </x:c>
    </x:row>
    <x:row r="11">
      <x:c r="A11" s="87" t="str">
        <x:v>ASTRAZENECA(1).xlsx</x:v>
      </x:c>
      <x:c r="B11" s="87" t="str">
        <x:v>AstraZeneca PLC (AZN LN) - Adjusted</x:v>
      </x:c>
      <x:c r="C11" s="87" t="str">
        <x:v>EUR</x:v>
      </x:c>
      <x:c r="D11" s="87"/>
      <x:c r="E11" s="87" t="str">
        <x:v>Unmatched</x:v>
      </x:c>
      <x:c r="F11" s="88" t="n">
        <x:v>2014</x:v>
      </x:c>
      <x:c r="G11" s="89" t="n">
        <x:v>20016.176</x:v>
      </x:c>
      <x:c r="H11" s="89" t="n">
        <x:v>4130.3579</x:v>
      </x:c>
      <x:c r="I11" s="89" t="n">
        <x:v>929.6698</x:v>
      </x:c>
      <x:c r="J11" s="89" t="n">
        <x:v>48425.6198</x:v>
      </x:c>
      <x:c r="K11" s="89" t="n">
        <x:v>8961.157</x:v>
      </x:c>
      <x:c r="L11" s="89" t="n">
        <x:v>3770.7046</x:v>
      </x:c>
      <x:c r="M11" s="90" t="n">
        <x:v>2.1538</x:v>
      </x:c>
      <x:c r="N11" s="90" t="n">
        <x:v>8.419</x:v>
      </x:c>
      <x:c r="O11" s="90" t="n">
        <x:v>18.505</x:v>
      </x:c>
      <x:c r="P11" s="87" t="str">
        <x:v>Historical non-estimate Bloomberg observation; ratios may be derived when the workbook lacked a complete ratio series.</x:v>
      </x:c>
    </x:row>
    <x:row r="12">
      <x:c r="A12" s="87" t="str">
        <x:v>ASTRAZENECA(1).xlsx</x:v>
      </x:c>
      <x:c r="B12" s="87" t="str">
        <x:v>AstraZeneca PLC (AZN LN) - Adjusted</x:v>
      </x:c>
      <x:c r="C12" s="87" t="str">
        <x:v>EUR</x:v>
      </x:c>
      <x:c r="D12" s="87"/>
      <x:c r="E12" s="87" t="str">
        <x:v>Unmatched</x:v>
      </x:c>
      <x:c r="F12" s="88" t="n">
        <x:v>2015</x:v>
      </x:c>
      <x:c r="G12" s="89" t="n">
        <x:v>22274.5787</x:v>
      </x:c>
      <x:c r="H12" s="89" t="n">
        <x:v>3945.0201</x:v>
      </x:c>
      <x:c r="I12" s="89" t="n">
        <x:v>2546.7737</x:v>
      </x:c>
      <x:c r="J12" s="89" t="n">
        <x:v>55269.6484</x:v>
      </x:c>
      <x:c r="K12" s="89" t="n">
        <x:v>13853.3039</x:v>
      </x:c>
      <x:c r="L12" s="89" t="n">
        <x:v>5102.5626</x:v>
      </x:c>
      <x:c r="M12" s="90" t="n">
        <x:v>4.7619</x:v>
      </x:c>
      <x:c r="N12" s="90" t="n">
        <x:v>16.7395</x:v>
      </x:c>
      <x:c r="O12" s="90" t="n">
        <x:v>25.0649</x:v>
      </x:c>
      <x:c r="P12" s="87" t="str">
        <x:v>Historical non-estimate Bloomberg observation; ratios may be derived when the workbook lacked a complete ratio series.</x:v>
      </x:c>
    </x:row>
    <x:row r="13">
      <x:c r="A13" s="87" t="str">
        <x:v>ASTRAZENECA(1).xlsx</x:v>
      </x:c>
      <x:c r="B13" s="87" t="str">
        <x:v>AstraZeneca PLC (AZN LN) - Adjusted</x:v>
      </x:c>
      <x:c r="C13" s="87" t="str">
        <x:v>EUR</x:v>
      </x:c>
      <x:c r="D13" s="87"/>
      <x:c r="E13" s="87" t="str">
        <x:v>Unmatched</x:v>
      </x:c>
      <x:c r="F13" s="88" t="n">
        <x:v>2016</x:v>
      </x:c>
      <x:c r="G13" s="89" t="n">
        <x:v>20792.8969</x:v>
      </x:c>
      <x:c r="H13" s="89" t="n">
        <x:v>3943.9792</x:v>
      </x:c>
      <x:c r="I13" s="89" t="n">
        <x:v>3162.9574</x:v>
      </x:c>
      <x:c r="J13" s="89" t="n">
        <x:v>59283.2085</x:v>
      </x:c>
      <x:c r="K13" s="89" t="n">
        <x:v>15936.2852</x:v>
      </x:c>
      <x:c r="L13" s="89" t="n">
        <x:v>5163.4218</x:v>
      </x:c>
      <x:c r="M13" s="90" t="n">
        <x:v>5.7088</x:v>
      </x:c>
      <x:c r="N13" s="90" t="n">
        <x:v>22.2502</x:v>
      </x:c>
      <x:c r="O13" s="90" t="n">
        <x:v>26.8816</x:v>
      </x:c>
      <x:c r="P13" s="87" t="str">
        <x:v>Historical non-estimate Bloomberg observation; ratios may be derived when the workbook lacked a complete ratio series.</x:v>
      </x:c>
    </x:row>
    <x:row r="14">
      <x:c r="A14" s="87" t="str">
        <x:v>ASTRAZENECA(1).xlsx</x:v>
      </x:c>
      <x:c r="B14" s="87" t="str">
        <x:v>AstraZeneca PLC (AZN LN) - Adjusted</x:v>
      </x:c>
      <x:c r="C14" s="87" t="str">
        <x:v>EUR</x:v>
      </x:c>
      <x:c r="D14" s="87"/>
      <x:c r="E14" s="87" t="str">
        <x:v>Unmatched</x:v>
      </x:c>
      <x:c r="F14" s="88" t="n">
        <x:v>2017</x:v>
      </x:c>
      <x:c r="G14" s="89" t="n">
        <x:v>19926.6452</x:v>
      </x:c>
      <x:c r="H14" s="89" t="n">
        <x:v>5212.9488</x:v>
      </x:c>
      <x:c r="I14" s="89" t="n">
        <x:v>2661.9124</x:v>
      </x:c>
      <x:c r="J14" s="89" t="n">
        <x:v>52698.3863</x:v>
      </x:c>
      <x:c r="K14" s="89" t="n">
        <x:v>14812.0113</x:v>
      </x:c>
      <x:c r="L14" s="89" t="n">
        <x:v>4928.219</x:v>
      </x:c>
      <x:c r="M14" s="90" t="n">
        <x:v>4.768</x:v>
      </x:c>
      <x:c r="N14" s="90" t="n">
        <x:v>16.3944</x:v>
      </x:c>
      <x:c r="O14" s="90" t="n">
        <x:v>28.1071</x:v>
      </x:c>
      <x:c r="P14" s="87" t="str">
        <x:v>Historical non-estimate Bloomberg observation; ratios may be derived when the workbook lacked a complete ratio series.</x:v>
      </x:c>
    </x:row>
    <x:row r="15">
      <x:c r="A15" s="87" t="str">
        <x:v>ASTRAZENECA(1).xlsx</x:v>
      </x:c>
      <x:c r="B15" s="87" t="str">
        <x:v>AstraZeneca PLC (AZN LN) - Adjusted</x:v>
      </x:c>
      <x:c r="C15" s="87" t="str">
        <x:v>EUR</x:v>
      </x:c>
      <x:c r="D15" s="87"/>
      <x:c r="E15" s="87" t="str">
        <x:v>Unmatched</x:v>
      </x:c>
      <x:c r="F15" s="88" t="n">
        <x:v>2018</x:v>
      </x:c>
      <x:c r="G15" s="89" t="n">
        <x:v>18720.5756</x:v>
      </x:c>
      <x:c r="H15" s="89" t="n">
        <x:v>2904.274</x:v>
      </x:c>
      <x:c r="I15" s="89" t="n">
        <x:v>1826.2943</x:v>
      </x:c>
      <x:c r="J15" s="89" t="n">
        <x:v>52961.0548</x:v>
      </x:c>
      <x:c r="K15" s="89" t="n">
        <x:v>16689.6612</x:v>
      </x:c>
      <x:c r="L15" s="89" t="n">
        <x:v>4947.5202</x:v>
      </x:c>
      <x:c r="M15" s="90" t="n">
        <x:v>3.4757</x:v>
      </x:c>
      <x:c r="N15" s="90" t="n">
        <x:v>15.7854</x:v>
      </x:c>
      <x:c r="O15" s="90" t="n">
        <x:v>31.5131</x:v>
      </x:c>
      <x:c r="P15" s="87" t="str">
        <x:v>Historical non-estimate Bloomberg observation; ratios may be derived when the workbook lacked a complete ratio series.</x:v>
      </x:c>
    </x:row>
    <x:row r="16">
      <x:c r="A16" s="87" t="str">
        <x:v>ASTRAZENECA(1).xlsx</x:v>
      </x:c>
      <x:c r="B16" s="87" t="str">
        <x:v>AstraZeneca PLC (AZN LN) - Adjusted</x:v>
      </x:c>
      <x:c r="C16" s="87" t="str">
        <x:v>EUR</x:v>
      </x:c>
      <x:c r="D16" s="87"/>
      <x:c r="E16" s="87" t="str">
        <x:v>Unmatched</x:v>
      </x:c>
      <x:c r="F16" s="88" t="n">
        <x:v>2019</x:v>
      </x:c>
      <x:c r="G16" s="89" t="n">
        <x:v>21784.4889</x:v>
      </x:c>
      <x:c r="H16" s="89" t="n">
        <x:v>3619.134</x:v>
      </x:c>
      <x:c r="I16" s="89" t="n">
        <x:v>1192.6793</x:v>
      </x:c>
      <x:c r="J16" s="89" t="n">
        <x:v>54659.3641</x:v>
      </x:c>
      <x:c r="K16" s="89" t="n">
        <x:v>16232.0777</x:v>
      </x:c>
      <x:c r="L16" s="89" t="n">
        <x:v>5322.834</x:v>
      </x:c>
      <x:c r="M16" s="90" t="n">
        <x:v>2.188</x:v>
      </x:c>
      <x:c r="N16" s="90" t="n">
        <x:v>12.4508</x:v>
      </x:c>
      <x:c r="O16" s="90" t="n">
        <x:v>29.6968</x:v>
      </x:c>
      <x:c r="P16" s="87" t="str">
        <x:v>Historical non-estimate Bloomberg observation; ratios may be derived when the workbook lacked a complete ratio series.</x:v>
      </x:c>
    </x:row>
    <x:row r="17">
      <x:c r="A17" s="87" t="str">
        <x:v>ASTRAZENECA(1).xlsx</x:v>
      </x:c>
      <x:c r="B17" s="87" t="str">
        <x:v>AstraZeneca PLC (AZN LN) - Adjusted</x:v>
      </x:c>
      <x:c r="C17" s="87" t="str">
        <x:v>EUR</x:v>
      </x:c>
      <x:c r="D17" s="87"/>
      <x:c r="E17" s="87" t="str">
        <x:v>Unmatched</x:v>
      </x:c>
      <x:c r="F17" s="88" t="n">
        <x:v>2020</x:v>
      </x:c>
      <x:c r="G17" s="89" t="n">
        <x:v>23348.3251</x:v>
      </x:c>
      <x:c r="H17" s="89" t="n">
        <x:v>4012.2944</x:v>
      </x:c>
      <x:c r="I17" s="89" t="n">
        <x:v>2803.5183</x:v>
      </x:c>
      <x:c r="J17" s="89" t="n">
        <x:v>54584.0491</x:v>
      </x:c>
      <x:c r="K17" s="89" t="n">
        <x:v>16670.7566</x:v>
      </x:c>
      <x:c r="L17" s="89" t="n">
        <x:v>5224.5792</x:v>
      </x:c>
      <x:c r="M17" s="90" t="n">
        <x:v>4.9896</x:v>
      </x:c>
      <x:c r="N17" s="90" t="n">
        <x:v>19.7167</x:v>
      </x:c>
      <x:c r="O17" s="90" t="n">
        <x:v>30.5414</x:v>
      </x:c>
      <x:c r="P17" s="87" t="str">
        <x:v>Historical non-estimate Bloomberg observation; ratios may be derived when the workbook lacked a complete ratio series.</x:v>
      </x:c>
    </x:row>
    <x:row r="18">
      <x:c r="A18" s="87" t="str">
        <x:v>ASTRAZENECA(1).xlsx</x:v>
      </x:c>
      <x:c r="B18" s="87" t="str">
        <x:v>AstraZeneca PLC (AZN LN) - Adjusted</x:v>
      </x:c>
      <x:c r="C18" s="87" t="str">
        <x:v>EUR</x:v>
      </x:c>
      <x:c r="D18" s="87"/>
      <x:c r="E18" s="87" t="str">
        <x:v>Unmatched</x:v>
      </x:c>
      <x:c r="F18" s="88" t="n">
        <x:v>2021</x:v>
      </x:c>
      <x:c r="G18" s="89" t="n">
        <x:v>31653.4827</x:v>
      </x:c>
      <x:c r="H18" s="89" t="n">
        <x:v>5396.4125</x:v>
      </x:c>
      <x:c r="I18" s="89" t="n">
        <x:v>94.7481</x:v>
      </x:c>
      <x:c r="J18" s="89" t="n">
        <x:v>92537.3265</x:v>
      </x:c>
      <x:c r="K18" s="89" t="n">
        <x:v>27034.0769</x:v>
      </x:c>
      <x:c r="L18" s="89" t="n">
        <x:v>6756.7246</x:v>
      </x:c>
      <x:c r="M18" s="90" t="n">
        <x:v>0.1302</x:v>
      </x:c>
      <x:c r="N18" s="90" t="n">
        <x:v>2.8784</x:v>
      </x:c>
      <x:c r="O18" s="90" t="n">
        <x:v>29.2142</x:v>
      </x:c>
      <x:c r="P18" s="87" t="str">
        <x:v>Historical non-estimate Bloomberg observation; ratios may be derived when the workbook lacked a complete ratio series.</x:v>
      </x:c>
    </x:row>
    <x:row r="19">
      <x:c r="A19" s="87" t="str">
        <x:v>ASTRAZENECA(1).xlsx</x:v>
      </x:c>
      <x:c r="B19" s="87" t="str">
        <x:v>AstraZeneca PLC (AZN LN) - Adjusted</x:v>
      </x:c>
      <x:c r="C19" s="87" t="str">
        <x:v>EUR</x:v>
      </x:c>
      <x:c r="D19" s="87"/>
      <x:c r="E19" s="87" t="str">
        <x:v>Unmatched</x:v>
      </x:c>
      <x:c r="F19" s="88" t="n">
        <x:v>2022</x:v>
      </x:c>
      <x:c r="G19" s="89" t="n">
        <x:v>42201.3074</x:v>
      </x:c>
      <x:c r="H19" s="89" t="n">
        <x:v>8661.7777</x:v>
      </x:c>
      <x:c r="I19" s="89" t="n">
        <x:v>3128.6307</x:v>
      </x:c>
      <x:c r="J19" s="89" t="n">
        <x:v>90078.4241</x:v>
      </x:c>
      <x:c r="K19" s="89" t="n">
        <x:v>27291.5694</x:v>
      </x:c>
      <x:c r="L19" s="89" t="n">
        <x:v>9039.5351</x:v>
      </x:c>
      <x:c r="M19" s="90" t="n">
        <x:v>3.2579</x:v>
      </x:c>
      <x:c r="N19" s="90" t="n">
        <x:v>8.1328</x:v>
      </x:c>
      <x:c r="O19" s="90" t="n">
        <x:v>30.2976</x:v>
      </x:c>
      <x:c r="P19" s="87" t="str">
        <x:v>Historical non-estimate Bloomberg observation; ratios may be derived when the workbook lacked a complete ratio series.</x:v>
      </x:c>
    </x:row>
    <x:row r="20">
      <x:c r="A20" s="87" t="str">
        <x:v>ASTRAZENECA(1).xlsx</x:v>
      </x:c>
      <x:c r="B20" s="87" t="str">
        <x:v>AstraZeneca PLC (AZN LN) - Adjusted</x:v>
      </x:c>
      <x:c r="C20" s="87" t="str">
        <x:v>EUR</x:v>
      </x:c>
      <x:c r="D20" s="87"/>
      <x:c r="E20" s="87" t="str">
        <x:v>Unmatched</x:v>
      </x:c>
      <x:c r="F20" s="88" t="n">
        <x:v>2023</x:v>
      </x:c>
      <x:c r="G20" s="89" t="n">
        <x:v>42367.3302</x:v>
      </x:c>
      <x:c r="H20" s="89" t="n">
        <x:v>10478.3098</x:v>
      </x:c>
      <x:c r="I20" s="89" t="n">
        <x:v>5507.3553</x:v>
      </x:c>
      <x:c r="J20" s="89" t="n">
        <x:v>91394.6132</x:v>
      </x:c>
      <x:c r="K20" s="89" t="n">
        <x:v>25869.4866</x:v>
      </x:c>
      <x:c r="L20" s="89" t="n">
        <x:v>9892.8932</x:v>
      </x:c>
      <x:c r="M20" s="90" t="n">
        <x:v>6.0273</x:v>
      </x:c>
      <x:c r="N20" s="90" t="n">
        <x:v>17.7927</x:v>
      </x:c>
      <x:c r="O20" s="90" t="n">
        <x:v>28.3053</x:v>
      </x:c>
      <x:c r="P20" s="87" t="str">
        <x:v>Historical non-estimate Bloomberg observation; ratios may be derived when the workbook lacked a complete ratio series.</x:v>
      </x:c>
    </x:row>
    <x:row r="21">
      <x:c r="A21" s="87" t="str">
        <x:v>ASTRAZENECA(1).xlsx</x:v>
      </x:c>
      <x:c r="B21" s="87" t="str">
        <x:v>AstraZeneca PLC (AZN LN) - Adjusted</x:v>
      </x:c>
      <x:c r="C21" s="87" t="str">
        <x:v>EUR</x:v>
      </x:c>
      <x:c r="D21" s="87"/>
      <x:c r="E21" s="87" t="str">
        <x:v>Unmatched</x:v>
      </x:c>
      <x:c r="F21" s="88" t="n">
        <x:v>2024</x:v>
      </x:c>
      <x:c r="G21" s="89" t="n">
        <x:v>49998.7564</x:v>
      </x:c>
      <x:c r="H21" s="89" t="n">
        <x:v>11510.0793</x:v>
      </x:c>
      <x:c r="I21" s="89" t="n">
        <x:v>6504.9332</x:v>
      </x:c>
      <x:c r="J21" s="89" t="n">
        <x:v>100526.6209</x:v>
      </x:c>
      <x:c r="K21" s="89" t="n">
        <x:v>29273.3597</x:v>
      </x:c>
      <x:c r="L21" s="89" t="n">
        <x:v>12298.8083</x:v>
      </x:c>
      <x:c r="M21" s="90" t="n">
        <x:v>6.8583</x:v>
      </x:c>
      <x:c r="N21" s="90" t="n">
        <x:v>18.3493</x:v>
      </x:c>
      <x:c r="O21" s="90" t="n">
        <x:v>29.12</x:v>
      </x:c>
      <x:c r="P21" s="87" t="str">
        <x:v>Historical non-estimate Bloomberg observation; ratios may be derived when the workbook lacked a complete ratio series.</x:v>
      </x:c>
    </x:row>
    <x:row r="22">
      <x:c r="A22" s="87" t="str">
        <x:v>ASTRAZENECA(1).xlsx</x:v>
      </x:c>
      <x:c r="B22" s="87" t="str">
        <x:v>AstraZeneca PLC (AZN LN) - Adjusted</x:v>
      </x:c>
      <x:c r="C22" s="87" t="str">
        <x:v>EUR</x:v>
      </x:c>
      <x:c r="D22" s="87"/>
      <x:c r="E22" s="87" t="str">
        <x:v>Unmatched</x:v>
      </x:c>
      <x:c r="F22" s="88" t="n">
        <x:v>2025</x:v>
      </x:c>
      <x:c r="G22" s="89" t="n">
        <x:v>52064.5297</x:v>
      </x:c>
      <x:c r="H22" s="89" t="n">
        <x:v>12748.6701</x:v>
      </x:c>
      <x:c r="I22" s="89" t="n">
        <x:v>9063.1406</x:v>
      </x:c>
      <x:c r="J22" s="89" t="n">
        <x:v>97200.0682</x:v>
      </x:c>
      <x:c r="K22" s="89" t="n">
        <x:v>25240.2863</x:v>
      </x:c>
      <x:c r="L22" s="89" t="n">
        <x:v>12460.5996</x:v>
      </x:c>
      <x:c r="M22" s="90" t="n">
        <x:v>9.376</x:v>
      </x:c>
      <x:c r="N22" s="90" t="n">
        <x:v>23.7202</x:v>
      </x:c>
      <x:c r="O22" s="90" t="n">
        <x:v>25.9674</x:v>
      </x:c>
      <x:c r="P22" s="87" t="str">
        <x:v>Historical non-estimate Bloomberg observation; ratios may be derived when the workbook lacked a complete ratio series.</x:v>
      </x:c>
    </x:row>
    <x:row r="23">
      <x:c r="A23" s="87" t="str">
        <x:v>BIODEXA(1).xlsx</x:v>
      </x:c>
      <x:c r="B23" s="87" t="str">
        <x:v>Biodexa Pharmaceuticals Plc (BDRX LN) - Adjusted</x:v>
      </x:c>
      <x:c r="C23" s="87" t="str">
        <x:v>EUR</x:v>
      </x:c>
      <x:c r="D23" s="87" t="str">
        <x:v>TRT-0043</x:v>
      </x:c>
      <x:c r="E23" s="87" t="str">
        <x:v>Mapped</x:v>
      </x:c>
      <x:c r="F23" s="88" t="n">
        <x:v>2011</x:v>
      </x:c>
      <x:c r="G23" s="89" t="n">
        <x:v>0</x:v>
      </x:c>
      <x:c r="H23" s="89" t="n">
        <x:v>-4.4787</x:v>
      </x:c>
      <x:c r="I23" s="89" t="n">
        <x:v>-4.7173</x:v>
      </x:c>
      <x:c r="J23" s="89" t="n">
        <x:v>6.4058</x:v>
      </x:c>
      <x:c r="K23" s="89" t="n">
        <x:v>5.8733</x:v>
      </x:c>
      <x:c r="L23" s="89" t="n">
        <x:v>1.5582</x:v>
      </x:c>
      <x:c r="M23" s="90" t="n">
        <x:v>-73.64107527553155</x:v>
      </x:c>
      <x:c r="N23" s="90"/>
      <x:c r="O23" s="90" t="n">
        <x:v>91.6869</x:v>
      </x:c>
      <x:c r="P23" s="87" t="str">
        <x:v>Historical non-estimate Bloomberg observation; ratios may be derived when the workbook lacked a complete ratio series.</x:v>
      </x:c>
    </x:row>
    <x:row r="24">
      <x:c r="A24" s="87" t="str">
        <x:v>BIODEXA(1).xlsx</x:v>
      </x:c>
      <x:c r="B24" s="87" t="str">
        <x:v>Biodexa Pharmaceuticals Plc (BDRX LN) - Adjusted</x:v>
      </x:c>
      <x:c r="C24" s="87" t="str">
        <x:v>EUR</x:v>
      </x:c>
      <x:c r="D24" s="87" t="str">
        <x:v>TRT-0043</x:v>
      </x:c>
      <x:c r="E24" s="87" t="str">
        <x:v>Mapped</x:v>
      </x:c>
      <x:c r="F24" s="88" t="n">
        <x:v>2012</x:v>
      </x:c>
      <x:c r="G24" s="89" t="n">
        <x:v>0</x:v>
      </x:c>
      <x:c r="H24" s="89" t="n">
        <x:v>-4.9427</x:v>
      </x:c>
      <x:c r="I24" s="89" t="n">
        <x:v>-4.9255</x:v>
      </x:c>
      <x:c r="J24" s="89" t="n">
        <x:v>2.7335</x:v>
      </x:c>
      <x:c r="K24" s="89" t="n">
        <x:v>6.7075</x:v>
      </x:c>
      <x:c r="L24" s="89" t="n">
        <x:v>2.036</x:v>
      </x:c>
      <x:c r="M24" s="90" t="n">
        <x:v>-105.4661</x:v>
      </x:c>
      <x:c r="N24" s="90"/>
      <x:c r="O24" s="90" t="n">
        <x:v>245.385</x:v>
      </x:c>
      <x:c r="P24" s="87" t="str">
        <x:v>Historical non-estimate Bloomberg observation; ratios may be derived when the workbook lacked a complete ratio series.</x:v>
      </x:c>
    </x:row>
    <x:row r="25">
      <x:c r="A25" s="87" t="str">
        <x:v>BIODEXA(1).xlsx</x:v>
      </x:c>
      <x:c r="B25" s="87" t="str">
        <x:v>Biodexa Pharmaceuticals Plc (BDRX LN) - Adjusted</x:v>
      </x:c>
      <x:c r="C25" s="87" t="str">
        <x:v>EUR</x:v>
      </x:c>
      <x:c r="D25" s="87" t="str">
        <x:v>TRT-0043</x:v>
      </x:c>
      <x:c r="E25" s="87" t="str">
        <x:v>Mapped</x:v>
      </x:c>
      <x:c r="F25" s="88" t="n">
        <x:v>2013</x:v>
      </x:c>
      <x:c r="G25" s="89" t="n">
        <x:v>0.1732</x:v>
      </x:c>
      <x:c r="H25" s="89" t="n">
        <x:v>-5.2995</x:v>
      </x:c>
      <x:c r="I25" s="89" t="n">
        <x:v>-4.8107</x:v>
      </x:c>
      <x:c r="J25" s="89" t="n">
        <x:v>6.216</x:v>
      </x:c>
      <x:c r="K25" s="89" t="n">
        <x:v>4.0451</x:v>
      </x:c>
      <x:c r="L25" s="89" t="n">
        <x:v>2.2675</x:v>
      </x:c>
      <x:c r="M25" s="90" t="n">
        <x:v>-110.453</x:v>
      </x:c>
      <x:c r="N25" s="90" t="n">
        <x:v>-3060.5442</x:v>
      </x:c>
      <x:c r="O25" s="90" t="n">
        <x:v>65.0754</x:v>
      </x:c>
      <x:c r="P25" s="87" t="str">
        <x:v>Historical non-estimate Bloomberg observation; ratios may be derived when the workbook lacked a complete ratio series.</x:v>
      </x:c>
    </x:row>
    <x:row r="26">
      <x:c r="A26" s="87" t="str">
        <x:v>BIODEXA(1).xlsx</x:v>
      </x:c>
      <x:c r="B26" s="87" t="str">
        <x:v>Biodexa Pharmaceuticals Plc (BDRX LN) - Adjusted</x:v>
      </x:c>
      <x:c r="C26" s="87" t="str">
        <x:v>EUR</x:v>
      </x:c>
      <x:c r="D26" s="87" t="str">
        <x:v>TRT-0043</x:v>
      </x:c>
      <x:c r="E26" s="87" t="str">
        <x:v>Mapped</x:v>
      </x:c>
      <x:c r="F26" s="88" t="n">
        <x:v>2014</x:v>
      </x:c>
      <x:c r="G26" s="89" t="n">
        <x:v>0.1948</x:v>
      </x:c>
      <x:c r="H26" s="89" t="n">
        <x:v>-10.7497</x:v>
      </x:c>
      <x:c r="I26" s="89" t="n">
        <x:v>-10.947</x:v>
      </x:c>
      <x:c r="J26" s="89" t="n">
        <x:v>60.0873</x:v>
      </x:c>
      <x:c r="K26" s="89" t="n">
        <x:v>2.5483</x:v>
      </x:c>
      <x:c r="L26" s="89" t="n">
        <x:v>6.7491</x:v>
      </x:c>
      <x:c r="M26" s="90" t="n">
        <x:v>-34.0375</x:v>
      </x:c>
      <x:c r="N26" s="90" t="n">
        <x:v>-6170.0637</x:v>
      </x:c>
      <x:c r="O26" s="90" t="n">
        <x:v>4.241</x:v>
      </x:c>
      <x:c r="P26" s="87" t="str">
        <x:v>Historical non-estimate Bloomberg observation; ratios may be derived when the workbook lacked a complete ratio series.</x:v>
      </x:c>
    </x:row>
    <x:row r="27">
      <x:c r="A27" s="87" t="str">
        <x:v>BIODEXA(1).xlsx</x:v>
      </x:c>
      <x:c r="B27" s="87" t="str">
        <x:v>Biodexa Pharmaceuticals Plc (BDRX LN) - Adjusted</x:v>
      </x:c>
      <x:c r="C27" s="87" t="str">
        <x:v>EUR</x:v>
      </x:c>
      <x:c r="D27" s="87" t="str">
        <x:v>TRT-0043</x:v>
      </x:c>
      <x:c r="E27" s="87" t="str">
        <x:v>Mapped</x:v>
      </x:c>
      <x:c r="F27" s="88" t="n">
        <x:v>2015</x:v>
      </x:c>
      <x:c r="G27" s="89" t="n">
        <x:v>1.8941</x:v>
      </x:c>
      <x:c r="H27" s="89" t="n">
        <x:v>-14.5055</x:v>
      </x:c>
      <x:c r="I27" s="89" t="n">
        <x:v>-13.9118</x:v>
      </x:c>
      <x:c r="J27" s="89" t="n">
        <x:v>86.8379</x:v>
      </x:c>
      <x:c r="K27" s="89" t="n">
        <x:v>2.6441</x:v>
      </x:c>
      <x:c r="L27" s="89" t="n">
        <x:v>8.1551</x:v>
      </x:c>
      <x:c r="M27" s="90" t="n">
        <x:v>-18.245</x:v>
      </x:c>
      <x:c r="N27" s="90" t="n">
        <x:v>-939.4909</x:v>
      </x:c>
      <x:c r="O27" s="90" t="n">
        <x:v>3.0449</x:v>
      </x:c>
      <x:c r="P27" s="87" t="str">
        <x:v>Historical non-estimate Bloomberg observation; ratios may be derived when the workbook lacked a complete ratio series.</x:v>
      </x:c>
    </x:row>
    <x:row r="28">
      <x:c r="A28" s="87" t="str">
        <x:v>BIODEXA(1).xlsx</x:v>
      </x:c>
      <x:c r="B28" s="87" t="str">
        <x:v>Biodexa Pharmaceuticals Plc (BDRX LN) - Adjusted</x:v>
      </x:c>
      <x:c r="C28" s="87" t="str">
        <x:v>EUR</x:v>
      </x:c>
      <x:c r="D28" s="87" t="str">
        <x:v>TRT-0043</x:v>
      </x:c>
      <x:c r="E28" s="87" t="str">
        <x:v>Mapped</x:v>
      </x:c>
      <x:c r="F28" s="88" t="n">
        <x:v>2016</x:v>
      </x:c>
      <x:c r="G28" s="89" t="n">
        <x:v>8.4755</x:v>
      </x:c>
      <x:c r="H28" s="89" t="n">
        <x:v>-23.4347</x:v>
      </x:c>
      <x:c r="I28" s="89" t="n">
        <x:v>-24.6835</x:v>
      </x:c>
      <x:c r="J28" s="89" t="n">
        <x:v>66.3531</x:v>
      </x:c>
      <x:c r="K28" s="89" t="n">
        <x:v>2.5259</x:v>
      </x:c>
      <x:c r="L28" s="89" t="n">
        <x:v>8.1829</x:v>
      </x:c>
      <x:c r="M28" s="90" t="n">
        <x:v>-33.4001</x:v>
      </x:c>
      <x:c r="N28" s="90" t="n">
        <x:v>-441.3549</x:v>
      </x:c>
      <x:c r="O28" s="90" t="n">
        <x:v>3.8067</x:v>
      </x:c>
      <x:c r="P28" s="87" t="str">
        <x:v>Historical non-estimate Bloomberg observation; ratios may be derived when the workbook lacked a complete ratio series.</x:v>
      </x:c>
    </x:row>
    <x:row r="29">
      <x:c r="A29" s="87" t="str">
        <x:v>BIODEXA(1).xlsx</x:v>
      </x:c>
      <x:c r="B29" s="87" t="str">
        <x:v>Biodexa Pharmaceuticals Plc (BDRX LN) - Adjusted</x:v>
      </x:c>
      <x:c r="C29" s="87" t="str">
        <x:v>EUR</x:v>
      </x:c>
      <x:c r="D29" s="87" t="str">
        <x:v>TRT-0043</x:v>
      </x:c>
      <x:c r="E29" s="87" t="str">
        <x:v>Mapped</x:v>
      </x:c>
      <x:c r="F29" s="88" t="n">
        <x:v>2017</x:v>
      </x:c>
      <x:c r="G29" s="89" t="n">
        <x:v>8.6742</x:v>
      </x:c>
      <x:c r="H29" s="89" t="n">
        <x:v>-18.369</x:v>
      </x:c>
      <x:c r="I29" s="89" t="n">
        <x:v>-18.3393</x:v>
      </x:c>
      <x:c r="J29" s="89" t="n">
        <x:v>55.3739</x:v>
      </x:c>
      <x:c r="K29" s="89" t="n">
        <x:v>7.3638</x:v>
      </x:c>
      <x:c r="L29" s="89" t="n">
        <x:v>11.6276</x:v>
      </x:c>
      <x:c r="M29" s="90" t="n">
        <x:v>-30.3343</x:v>
      </x:c>
      <x:c r="N29" s="90" t="n">
        <x:v>-231.8636</x:v>
      </x:c>
      <x:c r="O29" s="90" t="n">
        <x:v>13.2984</x:v>
      </x:c>
      <x:c r="P29" s="87" t="str">
        <x:v>Historical non-estimate Bloomberg observation; ratios may be derived when the workbook lacked a complete ratio series.</x:v>
      </x:c>
    </x:row>
    <x:row r="30">
      <x:c r="A30" s="87" t="str">
        <x:v>BIODEXA(1).xlsx</x:v>
      </x:c>
      <x:c r="B30" s="87" t="str">
        <x:v>Biodexa Pharmaceuticals Plc (BDRX LN) - Adjusted</x:v>
      </x:c>
      <x:c r="C30" s="87" t="str">
        <x:v>EUR</x:v>
      </x:c>
      <x:c r="D30" s="87" t="str">
        <x:v>TRT-0043</x:v>
      </x:c>
      <x:c r="E30" s="87" t="str">
        <x:v>Mapped</x:v>
      </x:c>
      <x:c r="F30" s="88" t="n">
        <x:v>2018</x:v>
      </x:c>
      <x:c r="G30" s="89" t="n">
        <x:v>2.1903</x:v>
      </x:c>
      <x:c r="H30" s="89"/>
      <x:c r="I30" s="89" t="n">
        <x:v>-16.987</x:v>
      </x:c>
      <x:c r="J30" s="89"/>
      <x:c r="K30" s="89"/>
      <x:c r="L30" s="89"/>
      <x:c r="M30" s="90"/>
      <x:c r="N30" s="90"/>
      <x:c r="O30" s="90"/>
      <x:c r="P30" s="87" t="str">
        <x:v>Historical non-estimate Bloomberg observation; ratios may be derived when the workbook lacked a complete ratio series.</x:v>
      </x:c>
    </x:row>
    <x:row r="31">
      <x:c r="A31" s="87" t="str">
        <x:v>BIODEXA(1).xlsx</x:v>
      </x:c>
      <x:c r="B31" s="87" t="str">
        <x:v>Biodexa Pharmaceuticals Plc (BDRX LN) - Adjusted</x:v>
      </x:c>
      <x:c r="C31" s="87" t="str">
        <x:v>EUR</x:v>
      </x:c>
      <x:c r="D31" s="87" t="str">
        <x:v>TRT-0043</x:v>
      </x:c>
      <x:c r="E31" s="87" t="str">
        <x:v>Mapped</x:v>
      </x:c>
      <x:c r="F31" s="88" t="n">
        <x:v>2019</x:v>
      </x:c>
      <x:c r="G31" s="89" t="n">
        <x:v>0.7687</x:v>
      </x:c>
      <x:c r="H31" s="89" t="n">
        <x:v>-12.9079</x:v>
      </x:c>
      <x:c r="I31" s="89" t="n">
        <x:v>-11.5017</x:v>
      </x:c>
      <x:c r="J31" s="89" t="n">
        <x:v>36.4913</x:v>
      </x:c>
      <x:c r="K31" s="89" t="n">
        <x:v>7.1837</x:v>
      </x:c>
      <x:c r="L31" s="89" t="n">
        <x:v>8.9448</x:v>
      </x:c>
      <x:c r="M31" s="90" t="n">
        <x:v>-31.519019601932516</x:v>
      </x:c>
      <x:c r="N31" s="90" t="n">
        <x:v>-1679.2285</x:v>
      </x:c>
      <x:c r="O31" s="90" t="n">
        <x:v>19.686</x:v>
      </x:c>
      <x:c r="P31" s="87" t="str">
        <x:v>Historical non-estimate Bloomberg observation; ratios may be derived when the workbook lacked a complete ratio series.</x:v>
      </x:c>
    </x:row>
    <x:row r="32">
      <x:c r="A32" s="87" t="str">
        <x:v>BIODEXA(1).xlsx</x:v>
      </x:c>
      <x:c r="B32" s="87" t="str">
        <x:v>Biodexa Pharmaceuticals Plc (BDRX LN) - Adjusted</x:v>
      </x:c>
      <x:c r="C32" s="87" t="str">
        <x:v>EUR</x:v>
      </x:c>
      <x:c r="D32" s="87" t="str">
        <x:v>TRT-0043</x:v>
      </x:c>
      <x:c r="E32" s="87" t="str">
        <x:v>Mapped</x:v>
      </x:c>
      <x:c r="F32" s="88" t="n">
        <x:v>2020</x:v>
      </x:c>
      <x:c r="G32" s="89" t="n">
        <x:v>0.3859</x:v>
      </x:c>
      <x:c r="H32" s="89" t="n">
        <x:v>-12.2609</x:v>
      </x:c>
      <x:c r="I32" s="89" t="n">
        <x:v>-24.9662</x:v>
      </x:c>
      <x:c r="J32" s="89" t="n">
        <x:v>10.9621</x:v>
      </x:c>
      <x:c r="K32" s="89" t="n">
        <x:v>0.2903</x:v>
      </x:c>
      <x:c r="L32" s="89" t="n">
        <x:v>6.8275</x:v>
      </x:c>
      <x:c r="M32" s="90" t="n">
        <x:v>-109.0047</x:v>
      </x:c>
      <x:c r="N32" s="90" t="n">
        <x:v>-6717.2012</x:v>
      </x:c>
      <x:c r="O32" s="90" t="n">
        <x:v>2.6485</x:v>
      </x:c>
      <x:c r="P32" s="87" t="str">
        <x:v>Historical non-estimate Bloomberg observation; ratios may be derived when the workbook lacked a complete ratio series.</x:v>
      </x:c>
    </x:row>
    <x:row r="33">
      <x:c r="A33" s="87" t="str">
        <x:v>BIODEXA(1).xlsx</x:v>
      </x:c>
      <x:c r="B33" s="87" t="str">
        <x:v>Biodexa Pharmaceuticals Plc (BDRX LN) - Adjusted</x:v>
      </x:c>
      <x:c r="C33" s="87" t="str">
        <x:v>EUR</x:v>
      </x:c>
      <x:c r="D33" s="87" t="str">
        <x:v>TRT-0043</x:v>
      </x:c>
      <x:c r="E33" s="87" t="str">
        <x:v>Mapped</x:v>
      </x:c>
      <x:c r="F33" s="88" t="n">
        <x:v>2021</x:v>
      </x:c>
      <x:c r="G33" s="89" t="n">
        <x:v>0.6725</x:v>
      </x:c>
      <x:c r="H33" s="89" t="n">
        <x:v>-8.1872</x:v>
      </x:c>
      <x:c r="I33" s="89" t="n">
        <x:v>-6.3524</x:v>
      </x:c>
      <x:c r="J33" s="89" t="n">
        <x:v>15.3502</x:v>
      </x:c>
      <x:c r="K33" s="89" t="n">
        <x:v>0.9106</x:v>
      </x:c>
      <x:c r="L33" s="89" t="n">
        <x:v>5.4147</x:v>
      </x:c>
      <x:c r="M33" s="90" t="n">
        <x:v>-48.0422</x:v>
      </x:c>
      <x:c r="N33" s="90" t="n">
        <x:v>-1210.7266</x:v>
      </x:c>
      <x:c r="O33" s="90" t="n">
        <x:v>5.932</x:v>
      </x:c>
      <x:c r="P33" s="87" t="str">
        <x:v>Historical non-estimate Bloomberg observation; ratios may be derived when the workbook lacked a complete ratio series.</x:v>
      </x:c>
    </x:row>
    <x:row r="34">
      <x:c r="A34" s="87" t="str">
        <x:v>BIODEXA(1).xlsx</x:v>
      </x:c>
      <x:c r="B34" s="87" t="str">
        <x:v>Biodexa Pharmaceuticals Plc (BDRX LN) - Adjusted</x:v>
      </x:c>
      <x:c r="C34" s="87" t="str">
        <x:v>EUR</x:v>
      </x:c>
      <x:c r="D34" s="87" t="str">
        <x:v>TRT-0043</x:v>
      </x:c>
      <x:c r="E34" s="87" t="str">
        <x:v>Mapped</x:v>
      </x:c>
      <x:c r="F34" s="88" t="n">
        <x:v>2022</x:v>
      </x:c>
      <x:c r="G34" s="89" t="n">
        <x:v>0.82</x:v>
      </x:c>
      <x:c r="H34" s="89" t="n">
        <x:v>-10.4621</x:v>
      </x:c>
      <x:c r="I34" s="89" t="n">
        <x:v>-8.9816</x:v>
      </x:c>
      <x:c r="J34" s="89" t="n">
        <x:v>6.2404</x:v>
      </x:c>
      <x:c r="K34" s="89" t="n">
        <x:v>0.7048</x:v>
      </x:c>
      <x:c r="L34" s="89" t="n">
        <x:v>5.9959</x:v>
      </x:c>
      <x:c r="M34" s="90" t="n">
        <x:v>-83.0459</x:v>
      </x:c>
      <x:c r="N34" s="90" t="n">
        <x:v>-1277.8255</x:v>
      </x:c>
      <x:c r="O34" s="90" t="n">
        <x:v>11.2941</x:v>
      </x:c>
      <x:c r="P34" s="87" t="str">
        <x:v>Historical non-estimate Bloomberg observation; ratios may be derived when the workbook lacked a complete ratio series.</x:v>
      </x:c>
    </x:row>
    <x:row r="35">
      <x:c r="A35" s="87" t="str">
        <x:v>BIODEXA(1).xlsx</x:v>
      </x:c>
      <x:c r="B35" s="87" t="str">
        <x:v>Biodexa Pharmaceuticals Plc (BDRX LN) - Adjusted</x:v>
      </x:c>
      <x:c r="C35" s="87" t="str">
        <x:v>EUR</x:v>
      </x:c>
      <x:c r="D35" s="87" t="str">
        <x:v>TRT-0043</x:v>
      </x:c>
      <x:c r="E35" s="87" t="str">
        <x:v>Mapped</x:v>
      </x:c>
      <x:c r="F35" s="88" t="n">
        <x:v>2023</x:v>
      </x:c>
      <x:c r="G35" s="89" t="n">
        <x:v>0.4382</x:v>
      </x:c>
      <x:c r="H35" s="89"/>
      <x:c r="I35" s="89" t="n">
        <x:v>-8.1415</x:v>
      </x:c>
      <x:c r="J35" s="89"/>
      <x:c r="K35" s="89"/>
      <x:c r="L35" s="89" t="n">
        <x:v>2.5889</x:v>
      </x:c>
      <x:c r="M35" s="90"/>
      <x:c r="N35" s="90"/>
      <x:c r="O35" s="90"/>
      <x:c r="P35" s="87" t="str">
        <x:v>Historical non-estimate Bloomberg observation; ratios may be derived when the workbook lacked a complete ratio series.</x:v>
      </x:c>
    </x:row>
    <x:row r="36">
      <x:c r="A36" s="87" t="str">
        <x:v>CALIDA(2).xlsx</x:v>
      </x:c>
      <x:c r="B36" s="87" t="str">
        <x:v>Chinook Therapeutics Inc (KDNY US) - Adjusted</x:v>
      </x:c>
      <x:c r="C36" s="87" t="str">
        <x:v>EUR</x:v>
      </x:c>
      <x:c r="D36" s="87" t="str">
        <x:v>TRT-0028</x:v>
      </x:c>
      <x:c r="E36" s="87" t="str">
        <x:v>Mapped</x:v>
      </x:c>
      <x:c r="F36" s="88" t="n">
        <x:v>2013</x:v>
      </x:c>
      <x:c r="G36" s="89" t="n">
        <x:v>0.6236</x:v>
      </x:c>
      <x:c r="H36" s="89" t="n">
        <x:v>-10.9476</x:v>
      </x:c>
      <x:c r="I36" s="89"/>
      <x:c r="J36" s="89" t="n">
        <x:v>7.1651</x:v>
      </x:c>
      <x:c r="K36" s="89" t="n">
        <x:v>9.4198</x:v>
      </x:c>
      <x:c r="L36" s="89" t="n">
        <x:v>8.0488</x:v>
      </x:c>
      <x:c r="M36" s="90"/>
      <x:c r="N36" s="90" t="n">
        <x:v>-1755.5556</x:v>
      </x:c>
      <x:c r="O36" s="90" t="n">
        <x:v>131.4676</x:v>
      </x:c>
      <x:c r="P36" s="87" t="str">
        <x:v>Historical non-estimate Bloomberg observation; ratios may be derived when the workbook lacked a complete ratio series.</x:v>
      </x:c>
    </x:row>
    <x:row r="37">
      <x:c r="A37" s="87" t="str">
        <x:v>CALIDA(2).xlsx</x:v>
      </x:c>
      <x:c r="B37" s="87" t="str">
        <x:v>Chinook Therapeutics Inc (KDNY US) - Adjusted</x:v>
      </x:c>
      <x:c r="C37" s="87" t="str">
        <x:v>EUR</x:v>
      </x:c>
      <x:c r="D37" s="87" t="str">
        <x:v>TRT-0028</x:v>
      </x:c>
      <x:c r="E37" s="87" t="str">
        <x:v>Mapped</x:v>
      </x:c>
      <x:c r="F37" s="88" t="n">
        <x:v>2014</x:v>
      </x:c>
      <x:c r="G37" s="89" t="n">
        <x:v>10.0952</x:v>
      </x:c>
      <x:c r="H37" s="89" t="n">
        <x:v>-14.4148</x:v>
      </x:c>
      <x:c r="I37" s="89" t="n">
        <x:v>-12.8284</x:v>
      </x:c>
      <x:c r="J37" s="89" t="n">
        <x:v>104.514</x:v>
      </x:c>
      <x:c r="K37" s="89" t="n">
        <x:v>0</x:v>
      </x:c>
      <x:c r="L37" s="89" t="n">
        <x:v>17.7286</x:v>
      </x:c>
      <x:c r="M37" s="90" t="n">
        <x:v>-24.9578</x:v>
      </x:c>
      <x:c r="N37" s="90" t="n">
        <x:v>-142.7889</x:v>
      </x:c>
      <x:c r="O37" s="90" t="n">
        <x:v>0</x:v>
      </x:c>
      <x:c r="P37" s="87" t="str">
        <x:v>Historical non-estimate Bloomberg observation; ratios may be derived when the workbook lacked a complete ratio series.</x:v>
      </x:c>
    </x:row>
    <x:row r="38">
      <x:c r="A38" s="87" t="str">
        <x:v>CALIDA(2).xlsx</x:v>
      </x:c>
      <x:c r="B38" s="87" t="str">
        <x:v>Chinook Therapeutics Inc (KDNY US) - Adjusted</x:v>
      </x:c>
      <x:c r="C38" s="87" t="str">
        <x:v>EUR</x:v>
      </x:c>
      <x:c r="D38" s="87" t="str">
        <x:v>TRT-0028</x:v>
      </x:c>
      <x:c r="E38" s="87" t="str">
        <x:v>Mapped</x:v>
      </x:c>
      <x:c r="F38" s="88" t="n">
        <x:v>2015</x:v>
      </x:c>
      <x:c r="G38" s="89" t="n">
        <x:v>65.7915</x:v>
      </x:c>
      <x:c r="H38" s="89" t="n">
        <x:v>-12.2281</x:v>
      </x:c>
      <x:c r="I38" s="89" t="n">
        <x:v>-35.3474</x:v>
      </x:c>
      <x:c r="J38" s="89" t="n">
        <x:v>443.4244</x:v>
      </x:c>
      <x:c r="K38" s="89" t="n">
        <x:v>0</x:v>
      </x:c>
      <x:c r="L38" s="89" t="n">
        <x:v>52.8728</x:v>
      </x:c>
      <x:c r="M38" s="90" t="n">
        <x:v>-12.8916</x:v>
      </x:c>
      <x:c r="N38" s="90" t="n">
        <x:v>-18.5862</x:v>
      </x:c>
      <x:c r="O38" s="90" t="n">
        <x:v>0</x:v>
      </x:c>
      <x:c r="P38" s="87" t="str">
        <x:v>Historical non-estimate Bloomberg observation; ratios may be derived when the workbook lacked a complete ratio series.</x:v>
      </x:c>
    </x:row>
    <x:row r="39">
      <x:c r="A39" s="87" t="str">
        <x:v>CALIDA(2).xlsx</x:v>
      </x:c>
      <x:c r="B39" s="87" t="str">
        <x:v>Chinook Therapeutics Inc (KDNY US) - Adjusted</x:v>
      </x:c>
      <x:c r="C39" s="87" t="str">
        <x:v>EUR</x:v>
      </x:c>
      <x:c r="D39" s="87" t="str">
        <x:v>TRT-0028</x:v>
      </x:c>
      <x:c r="E39" s="87" t="str">
        <x:v>Mapped</x:v>
      </x:c>
      <x:c r="F39" s="88" t="n">
        <x:v>2016</x:v>
      </x:c>
      <x:c r="G39" s="89" t="n">
        <x:v>45.8136</x:v>
      </x:c>
      <x:c r="H39" s="89" t="n">
        <x:v>-64.9613</x:v>
      </x:c>
      <x:c r="I39" s="89" t="n">
        <x:v>-82.3942</x:v>
      </x:c>
      <x:c r="J39" s="89" t="n">
        <x:v>415.8633</x:v>
      </x:c>
      <x:c r="K39" s="89" t="n">
        <x:v>0</x:v>
      </x:c>
      <x:c r="L39" s="89" t="n">
        <x:v>79.2936</x:v>
      </x:c>
      <x:c r="M39" s="90" t="n">
        <x:v>-19.8054</x:v>
      </x:c>
      <x:c r="N39" s="90" t="n">
        <x:v>-141.7948</x:v>
      </x:c>
      <x:c r="O39" s="90" t="n">
        <x:v>0</x:v>
      </x:c>
      <x:c r="P39" s="87" t="str">
        <x:v>Historical non-estimate Bloomberg observation; ratios may be derived when the workbook lacked a complete ratio series.</x:v>
      </x:c>
    </x:row>
    <x:row r="40">
      <x:c r="A40" s="87" t="str">
        <x:v>CALIDA(2).xlsx</x:v>
      </x:c>
      <x:c r="B40" s="87" t="str">
        <x:v>Chinook Therapeutics Inc (KDNY US) - Adjusted</x:v>
      </x:c>
      <x:c r="C40" s="87" t="str">
        <x:v>EUR</x:v>
      </x:c>
      <x:c r="D40" s="87" t="str">
        <x:v>TRT-0028</x:v>
      </x:c>
      <x:c r="E40" s="87" t="str">
        <x:v>Mapped</x:v>
      </x:c>
      <x:c r="F40" s="88" t="n">
        <x:v>2017</x:v>
      </x:c>
      <x:c r="G40" s="89" t="n">
        <x:v>15.2911</x:v>
      </x:c>
      <x:c r="H40" s="89" t="n">
        <x:v>-94.4247</x:v>
      </x:c>
      <x:c r="I40" s="89" t="n">
        <x:v>-81.4833</x:v>
      </x:c>
      <x:c r="J40" s="89" t="n">
        <x:v>370.2612</x:v>
      </x:c>
      <x:c r="K40" s="89" t="n">
        <x:v>0</x:v>
      </x:c>
      <x:c r="L40" s="89" t="n">
        <x:v>79.2826</x:v>
      </x:c>
      <x:c r="M40" s="90" t="n">
        <x:v>-20.7896</x:v>
      </x:c>
      <x:c r="N40" s="90" t="n">
        <x:v>-617.5126</x:v>
      </x:c>
      <x:c r="O40" s="90" t="n">
        <x:v>0</x:v>
      </x:c>
      <x:c r="P40" s="87" t="str">
        <x:v>Historical non-estimate Bloomberg observation; ratios may be derived when the workbook lacked a complete ratio series.</x:v>
      </x:c>
    </x:row>
    <x:row r="41">
      <x:c r="A41" s="87" t="str">
        <x:v>CALIDA(2).xlsx</x:v>
      </x:c>
      <x:c r="B41" s="87" t="str">
        <x:v>Chinook Therapeutics Inc (KDNY US) - Adjusted</x:v>
      </x:c>
      <x:c r="C41" s="87" t="str">
        <x:v>EUR</x:v>
      </x:c>
      <x:c r="D41" s="87" t="str">
        <x:v>TRT-0028</x:v>
      </x:c>
      <x:c r="E41" s="87" t="str">
        <x:v>Mapped</x:v>
      </x:c>
      <x:c r="F41" s="88" t="n">
        <x:v>2018</x:v>
      </x:c>
      <x:c r="G41" s="89" t="n">
        <x:v>12.7858</x:v>
      </x:c>
      <x:c r="H41" s="89" t="n">
        <x:v>-82.5163</x:v>
      </x:c>
      <x:c r="I41" s="89" t="n">
        <x:v>-80.812</x:v>
      </x:c>
      <x:c r="J41" s="89" t="n">
        <x:v>312.176</x:v>
      </x:c>
      <x:c r="K41" s="89" t="n">
        <x:v>0</x:v>
      </x:c>
      <x:c r="L41" s="89" t="n">
        <x:v>64.2686</x:v>
      </x:c>
      <x:c r="M41" s="90" t="n">
        <x:v>-23.7611</x:v>
      </x:c>
      <x:c r="N41" s="90" t="n">
        <x:v>-671.8367</x:v>
      </x:c>
      <x:c r="O41" s="90" t="n">
        <x:v>0</x:v>
      </x:c>
      <x:c r="P41" s="87" t="str">
        <x:v>Historical non-estimate Bloomberg observation; ratios may be derived when the workbook lacked a complete ratio series.</x:v>
      </x:c>
    </x:row>
    <x:row r="42">
      <x:c r="A42" s="87" t="str">
        <x:v>CALIDA(2).xlsx</x:v>
      </x:c>
      <x:c r="B42" s="87" t="str">
        <x:v>Chinook Therapeutics Inc (KDNY US) - Adjusted</x:v>
      </x:c>
      <x:c r="C42" s="87" t="str">
        <x:v>EUR</x:v>
      </x:c>
      <x:c r="D42" s="87" t="str">
        <x:v>TRT-0028</x:v>
      </x:c>
      <x:c r="E42" s="87" t="str">
        <x:v>Mapped</x:v>
      </x:c>
      <x:c r="F42" s="88" t="n">
        <x:v>2019</x:v>
      </x:c>
      <x:c r="G42" s="89" t="n">
        <x:v>15.4182</x:v>
      </x:c>
      <x:c r="H42" s="89" t="n">
        <x:v>-74.9378</x:v>
      </x:c>
      <x:c r="I42" s="89" t="n">
        <x:v>-73.5905</x:v>
      </x:c>
      <x:c r="J42" s="89" t="n">
        <x:v>259.4292</x:v>
      </x:c>
      <x:c r="K42" s="89" t="n">
        <x:v>29.7791</x:v>
      </x:c>
      <x:c r="L42" s="89" t="n">
        <x:v>59.8975</x:v>
      </x:c>
      <x:c r="M42" s="90" t="n">
        <x:v>-25.3914</x:v>
      </x:c>
      <x:c r="N42" s="90" t="n">
        <x:v>-522.3201</x:v>
      </x:c>
      <x:c r="O42" s="90" t="n">
        <x:v>11.4787</x:v>
      </x:c>
      <x:c r="P42" s="87" t="str">
        <x:v>Historical non-estimate Bloomberg observation; ratios may be derived when the workbook lacked a complete ratio series.</x:v>
      </x:c>
    </x:row>
    <x:row r="43">
      <x:c r="A43" s="87" t="str">
        <x:v>CALIDA(2).xlsx</x:v>
      </x:c>
      <x:c r="B43" s="87" t="str">
        <x:v>Chinook Therapeutics Inc (KDNY US) - Adjusted</x:v>
      </x:c>
      <x:c r="C43" s="87" t="str">
        <x:v>EUR</x:v>
      </x:c>
      <x:c r="D43" s="87" t="str">
        <x:v>TRT-0028</x:v>
      </x:c>
      <x:c r="E43" s="87" t="str">
        <x:v>Mapped</x:v>
      </x:c>
      <x:c r="F43" s="88" t="n">
        <x:v>2020</x:v>
      </x:c>
      <x:c r="G43" s="89" t="n">
        <x:v>0.7254</x:v>
      </x:c>
      <x:c r="H43" s="89" t="n">
        <x:v>-48.0361</x:v>
      </x:c>
      <x:c r="I43" s="89" t="n">
        <x:v>-71.5985</x:v>
      </x:c>
      <x:c r="J43" s="89" t="n">
        <x:v>350.9219</x:v>
      </x:c>
      <x:c r="K43" s="89" t="n">
        <x:v>34.1546</x:v>
      </x:c>
      <x:c r="L43" s="89" t="n">
        <x:v>31.6238</x:v>
      </x:c>
      <x:c r="M43" s="90" t="n">
        <x:v>-22.6629</x:v>
      </x:c>
      <x:c r="N43" s="90" t="n">
        <x:v>-6798.9117</x:v>
      </x:c>
      <x:c r="O43" s="90" t="n">
        <x:v>9.7328</x:v>
      </x:c>
      <x:c r="P43" s="87" t="str">
        <x:v>Historical non-estimate Bloomberg observation; ratios may be derived when the workbook lacked a complete ratio series.</x:v>
      </x:c>
    </x:row>
    <x:row r="44">
      <x:c r="A44" s="87" t="str">
        <x:v>CALIDA(2).xlsx</x:v>
      </x:c>
      <x:c r="B44" s="87" t="str">
        <x:v>Chinook Therapeutics Inc (KDNY US) - Adjusted</x:v>
      </x:c>
      <x:c r="C44" s="87" t="str">
        <x:v>EUR</x:v>
      </x:c>
      <x:c r="D44" s="87" t="str">
        <x:v>TRT-0028</x:v>
      </x:c>
      <x:c r="E44" s="87" t="str">
        <x:v>Mapped</x:v>
      </x:c>
      <x:c r="F44" s="88" t="n">
        <x:v>2021</x:v>
      </x:c>
      <x:c r="G44" s="89" t="n">
        <x:v>43.673</x:v>
      </x:c>
      <x:c r="H44" s="89" t="n">
        <x:v>-66.7873</x:v>
      </x:c>
      <x:c r="I44" s="89" t="n">
        <x:v>-87.0811</x:v>
      </x:c>
      <x:c r="J44" s="89" t="n">
        <x:v>495.1721</x:v>
      </x:c>
      <x:c r="K44" s="89" t="n">
        <x:v>38.6352</x:v>
      </x:c>
      <x:c r="L44" s="89" t="n">
        <x:v>82.0476</x:v>
      </x:c>
      <x:c r="M44" s="90" t="n">
        <x:v>-20.7366</x:v>
      </x:c>
      <x:c r="N44" s="90" t="n">
        <x:v>-191.8412</x:v>
      </x:c>
      <x:c r="O44" s="90" t="n">
        <x:v>7.8024</x:v>
      </x:c>
      <x:c r="P44" s="87" t="str">
        <x:v>Historical non-estimate Bloomberg observation; ratios may be derived when the workbook lacked a complete ratio series.</x:v>
      </x:c>
    </x:row>
    <x:row r="45">
      <x:c r="A45" s="87" t="str">
        <x:v>CALIDA(2).xlsx</x:v>
      </x:c>
      <x:c r="B45" s="87" t="str">
        <x:v>Chinook Therapeutics Inc (KDNY US) - Adjusted</x:v>
      </x:c>
      <x:c r="C45" s="87" t="str">
        <x:v>EUR</x:v>
      </x:c>
      <x:c r="D45" s="87" t="str">
        <x:v>TRT-0028</x:v>
      </x:c>
      <x:c r="E45" s="87" t="str">
        <x:v>Mapped</x:v>
      </x:c>
      <x:c r="F45" s="88" t="n">
        <x:v>2022</x:v>
      </x:c>
      <x:c r="G45" s="89" t="n">
        <x:v>5.831</x:v>
      </x:c>
      <x:c r="H45" s="89" t="n">
        <x:v>-164.706</x:v>
      </x:c>
      <x:c r="I45" s="89" t="n">
        <x:v>-178.7592</x:v>
      </x:c>
      <x:c r="J45" s="89" t="n">
        <x:v>535.9761</x:v>
      </x:c>
      <x:c r="K45" s="89" t="n">
        <x:v>36.8238</x:v>
      </x:c>
      <x:c r="L45" s="89" t="n">
        <x:v>134.3665</x:v>
      </x:c>
      <x:c r="M45" s="90" t="n">
        <x:v>-33.02</x:v>
      </x:c>
      <x:c r="N45" s="90" t="n">
        <x:v>-3020.2839</x:v>
      </x:c>
      <x:c r="O45" s="90" t="n">
        <x:v>6.8704</x:v>
      </x:c>
      <x:c r="P45" s="87" t="str">
        <x:v>Historical non-estimate Bloomberg observation; ratios may be derived when the workbook lacked a complete ratio series.</x:v>
      </x:c>
    </x:row>
    <x:row r="46">
      <x:c r="A46" s="87" t="str">
        <x:v>Celyad Oncology SA(3).xlsx</x:v>
      </x:c>
      <x:c r="B46" s="87" t="str">
        <x:v>Celyad Oncology SA (CYAD BB) - BBG Adjusted</x:v>
      </x:c>
      <x:c r="C46" s="87" t="str">
        <x:v>EUR</x:v>
      </x:c>
      <x:c r="D46" s="87"/>
      <x:c r="E46" s="87" t="str">
        <x:v>Unmatched</x:v>
      </x:c>
      <x:c r="F46" s="88" t="n">
        <x:v>2010</x:v>
      </x:c>
      <x:c r="G46" s="89" t="n">
        <x:v>1.516</x:v>
      </x:c>
      <x:c r="H46" s="89" t="n">
        <x:v>-8.7107</x:v>
      </x:c>
      <x:c r="I46" s="89" t="n">
        <x:v>-6.7111</x:v>
      </x:c>
      <x:c r="J46" s="89" t="n">
        <x:v>17.495</x:v>
      </x:c>
      <x:c r="K46" s="89" t="n">
        <x:v>0.5339</x:v>
      </x:c>
      <x:c r="L46" s="89" t="n">
        <x:v>4.9053</x:v>
      </x:c>
      <x:c r="M46" s="90" t="n">
        <x:v>0.5338</x:v>
      </x:c>
      <x:c r="N46" s="90" t="n">
        <x:v>-574.584432717678</x:v>
      </x:c>
      <x:c r="O46" s="90" t="n">
        <x:v>3.0517290654472706</x:v>
      </x:c>
      <x:c r="P46" s="87" t="str">
        <x:v>Historical non-estimate Bloomberg observation; ratios may be derived when the workbook lacked a complete ratio series.</x:v>
      </x:c>
    </x:row>
    <x:row r="47">
      <x:c r="A47" s="87" t="str">
        <x:v>Celyad Oncology SA(3).xlsx</x:v>
      </x:c>
      <x:c r="B47" s="87" t="str">
        <x:v>Celyad Oncology SA (CYAD BB) - BBG Adjusted</x:v>
      </x:c>
      <x:c r="C47" s="87" t="str">
        <x:v>EUR</x:v>
      </x:c>
      <x:c r="D47" s="87"/>
      <x:c r="E47" s="87" t="str">
        <x:v>Unmatched</x:v>
      </x:c>
      <x:c r="F47" s="88" t="n">
        <x:v>2011</x:v>
      </x:c>
      <x:c r="G47" s="89" t="n">
        <x:v>0</x:v>
      </x:c>
      <x:c r="H47" s="89" t="n">
        <x:v>-10.4125</x:v>
      </x:c>
      <x:c r="I47" s="89" t="n">
        <x:v>-9.3546</x:v>
      </x:c>
      <x:c r="J47" s="89" t="n">
        <x:v>13.8129</x:v>
      </x:c>
      <x:c r="K47" s="89" t="n">
        <x:v>0.3061</x:v>
      </x:c>
      <x:c r="L47" s="89" t="n">
        <x:v>4.1357</x:v>
      </x:c>
      <x:c r="M47" s="90" t="n">
        <x:v>0.3061</x:v>
      </x:c>
      <x:c r="N47" s="90"/>
      <x:c r="O47" s="90" t="n">
        <x:v>2.2160444222429754</x:v>
      </x:c>
      <x:c r="P47" s="87" t="str">
        <x:v>Historical non-estimate Bloomberg observation; ratios may be derived when the workbook lacked a complete ratio series.</x:v>
      </x:c>
    </x:row>
    <x:row r="48">
      <x:c r="A48" s="87" t="str">
        <x:v>Celyad Oncology SA(3).xlsx</x:v>
      </x:c>
      <x:c r="B48" s="87" t="str">
        <x:v>Celyad Oncology SA (CYAD BB) - BBG Adjusted</x:v>
      </x:c>
      <x:c r="C48" s="87" t="str">
        <x:v>EUR</x:v>
      </x:c>
      <x:c r="D48" s="87"/>
      <x:c r="E48" s="87" t="str">
        <x:v>Unmatched</x:v>
      </x:c>
      <x:c r="F48" s="88" t="n">
        <x:v>2012</x:v>
      </x:c>
      <x:c r="G48" s="89" t="n">
        <x:v>0.054</x:v>
      </x:c>
      <x:c r="H48" s="89" t="n">
        <x:v>-11.0195</x:v>
      </x:c>
      <x:c r="I48" s="89" t="n">
        <x:v>-13.5243</x:v>
      </x:c>
      <x:c r="J48" s="89" t="n">
        <x:v>12.485</x:v>
      </x:c>
      <x:c r="K48" s="89" t="n">
        <x:v>0.2694</x:v>
      </x:c>
      <x:c r="L48" s="89" t="n">
        <x:v>3.4008</x:v>
      </x:c>
      <x:c r="M48" s="90" t="n">
        <x:v>0.2694</x:v>
      </x:c>
      <x:c r="N48" s="90" t="n">
        <x:v>-20406.48148148148</x:v>
      </x:c>
      <x:c r="O48" s="90" t="n">
        <x:v>2.15778934721666</x:v>
      </x:c>
      <x:c r="P48" s="87" t="str">
        <x:v>Historical non-estimate Bloomberg observation; ratios may be derived when the workbook lacked a complete ratio series.</x:v>
      </x:c>
    </x:row>
    <x:row r="49">
      <x:c r="A49" s="87" t="str">
        <x:v>Celyad Oncology SA(3).xlsx</x:v>
      </x:c>
      <x:c r="B49" s="87" t="str">
        <x:v>Celyad Oncology SA (CYAD BB) - BBG Adjusted</x:v>
      </x:c>
      <x:c r="C49" s="87" t="str">
        <x:v>EUR</x:v>
      </x:c>
      <x:c r="D49" s="87"/>
      <x:c r="E49" s="87" t="str">
        <x:v>Unmatched</x:v>
      </x:c>
      <x:c r="F49" s="88" t="n">
        <x:v>2013</x:v>
      </x:c>
      <x:c r="G49" s="89" t="n">
        <x:v>0</x:v>
      </x:c>
      <x:c r="H49" s="89" t="n">
        <x:v>-12.954</x:v>
      </x:c>
      <x:c r="I49" s="89" t="n">
        <x:v>-14.489</x:v>
      </x:c>
      <x:c r="J49" s="89" t="n">
        <x:v>32.386</x:v>
      </x:c>
      <x:c r="K49" s="89" t="n">
        <x:v>0.106</x:v>
      </x:c>
      <x:c r="L49" s="89" t="n">
        <x:v>9.046</x:v>
      </x:c>
      <x:c r="M49" s="90" t="n">
        <x:v>0.106</x:v>
      </x:c>
      <x:c r="N49" s="90"/>
      <x:c r="O49" s="90" t="n">
        <x:v>0.3273019205829679</x:v>
      </x:c>
      <x:c r="P49" s="87" t="str">
        <x:v>Historical non-estimate Bloomberg observation; ratios may be derived when the workbook lacked a complete ratio series.</x:v>
      </x:c>
    </x:row>
    <x:row r="50">
      <x:c r="A50" s="87" t="str">
        <x:v>Celyad Oncology SA(3).xlsx</x:v>
      </x:c>
      <x:c r="B50" s="87" t="str">
        <x:v>Celyad Oncology SA (CYAD BB) - BBG Adjusted</x:v>
      </x:c>
      <x:c r="C50" s="87" t="str">
        <x:v>EUR</x:v>
      </x:c>
      <x:c r="D50" s="87"/>
      <x:c r="E50" s="87" t="str">
        <x:v>Unmatched</x:v>
      </x:c>
      <x:c r="F50" s="88" t="n">
        <x:v>2014</x:v>
      </x:c>
      <x:c r="G50" s="89" t="n">
        <x:v>0.146</x:v>
      </x:c>
      <x:c r="H50" s="89" t="n">
        <x:v>-16.437</x:v>
      </x:c>
      <x:c r="I50" s="89" t="n">
        <x:v>-16.453</x:v>
      </x:c>
      <x:c r="J50" s="89" t="n">
        <x:v>43.976</x:v>
      </x:c>
      <x:c r="K50" s="89" t="n">
        <x:v>0.41300000000000003</x:v>
      </x:c>
      <x:c r="L50" s="89" t="n">
        <x:v>15.865</x:v>
      </x:c>
      <x:c r="M50" s="90" t="n">
        <x:v>0.413</x:v>
      </x:c>
      <x:c r="N50" s="90" t="n">
        <x:v>-11258.219178082192</x:v>
      </x:c>
      <x:c r="O50" s="90" t="n">
        <x:v>0.9391486265235585</x:v>
      </x:c>
      <x:c r="P50" s="87" t="str">
        <x:v>Historical non-estimate Bloomberg observation; ratios may be derived when the workbook lacked a complete ratio series.</x:v>
      </x:c>
    </x:row>
    <x:row r="51">
      <x:c r="A51" s="87" t="str">
        <x:v>Celyad Oncology SA(3).xlsx</x:v>
      </x:c>
      <x:c r="B51" s="87" t="str">
        <x:v>Celyad Oncology SA (CYAD BB) - BBG Adjusted</x:v>
      </x:c>
      <x:c r="C51" s="87" t="str">
        <x:v>EUR</x:v>
      </x:c>
      <x:c r="D51" s="87"/>
      <x:c r="E51" s="87" t="str">
        <x:v>Unmatched</x:v>
      </x:c>
      <x:c r="F51" s="88" t="n">
        <x:v>2015</x:v>
      </x:c>
      <x:c r="G51" s="89" t="n">
        <x:v>0.003</x:v>
      </x:c>
      <x:c r="H51" s="89" t="n">
        <x:v>-29.672</x:v>
      </x:c>
      <x:c r="I51" s="89" t="n">
        <x:v>-29.114</x:v>
      </x:c>
      <x:c r="J51" s="89" t="n">
        <x:v>159.525</x:v>
      </x:c>
      <x:c r="K51" s="89" t="n">
        <x:v>0.675</x:v>
      </x:c>
      <x:c r="L51" s="89" t="n">
        <x:v>22.767</x:v>
      </x:c>
      <x:c r="M51" s="90" t="n">
        <x:v>0.675</x:v>
      </x:c>
      <x:c r="N51" s="90" t="n">
        <x:v>-989066.6666666667</x:v>
      </x:c>
      <x:c r="O51" s="90" t="n">
        <x:v>0.4231311706629055</x:v>
      </x:c>
      <x:c r="P51" s="87" t="str">
        <x:v>Historical non-estimate Bloomberg observation; ratios may be derived when the workbook lacked a complete ratio series.</x:v>
      </x:c>
    </x:row>
    <x:row r="52">
      <x:c r="A52" s="87" t="str">
        <x:v>Celyad Oncology SA(3).xlsx</x:v>
      </x:c>
      <x:c r="B52" s="87" t="str">
        <x:v>Celyad Oncology SA (CYAD BB) - BBG Adjusted</x:v>
      </x:c>
      <x:c r="C52" s="87" t="str">
        <x:v>EUR</x:v>
      </x:c>
      <x:c r="D52" s="87"/>
      <x:c r="E52" s="87" t="str">
        <x:v>Unmatched</x:v>
      </x:c>
      <x:c r="F52" s="88" t="n">
        <x:v>2016</x:v>
      </x:c>
      <x:c r="G52" s="89" t="n">
        <x:v>8.523</x:v>
      </x:c>
      <x:c r="H52" s="89" t="n">
        <x:v>-25.609</x:v>
      </x:c>
      <x:c r="I52" s="89" t="n">
        <x:v>-23.606</x:v>
      </x:c>
      <x:c r="J52" s="89" t="n">
        <x:v>138.806</x:v>
      </x:c>
      <x:c r="K52" s="89" t="n">
        <x:v>1.4780000000000002</x:v>
      </x:c>
      <x:c r="L52" s="89" t="n">
        <x:v>27.675</x:v>
      </x:c>
      <x:c r="M52" s="90" t="n">
        <x:v>1.478</x:v>
      </x:c>
      <x:c r="N52" s="90" t="n">
        <x:v>-300.4693183151473</x:v>
      </x:c>
      <x:c r="O52" s="90" t="n">
        <x:v>1.0647954699364581</x:v>
      </x:c>
      <x:c r="P52" s="87" t="str">
        <x:v>Historical non-estimate Bloomberg observation; ratios may be derived when the workbook lacked a complete ratio series.</x:v>
      </x:c>
    </x:row>
    <x:row r="53">
      <x:c r="A53" s="87" t="str">
        <x:v>Celyad Oncology SA(3).xlsx</x:v>
      </x:c>
      <x:c r="B53" s="87" t="str">
        <x:v>Celyad Oncology SA (CYAD BB) - BBG Adjusted</x:v>
      </x:c>
      <x:c r="C53" s="87" t="str">
        <x:v>EUR</x:v>
      </x:c>
      <x:c r="D53" s="87"/>
      <x:c r="E53" s="87" t="str">
        <x:v>Unmatched</x:v>
      </x:c>
      <x:c r="F53" s="88" t="n">
        <x:v>2017</x:v>
      </x:c>
      <x:c r="G53" s="89" t="n">
        <x:v>3.54</x:v>
      </x:c>
      <x:c r="H53" s="89" t="n">
        <x:v>-19.314</x:v>
      </x:c>
      <x:c r="I53" s="89" t="n">
        <x:v>-56.395</x:v>
      </x:c>
      <x:c r="J53" s="89" t="n">
        <x:v>77.626</x:v>
      </x:c>
      <x:c r="K53" s="89" t="n">
        <x:v>1.444</x:v>
      </x:c>
      <x:c r="L53" s="89" t="n">
        <x:v>22.908</x:v>
      </x:c>
      <x:c r="M53" s="90" t="n">
        <x:v>1.444</x:v>
      </x:c>
      <x:c r="N53" s="90" t="n">
        <x:v>-545.5932203389831</x:v>
      </x:c>
      <x:c r="O53" s="90" t="n">
        <x:v>1.8602014788859402</x:v>
      </x:c>
      <x:c r="P53" s="87" t="str">
        <x:v>Historical non-estimate Bloomberg observation; ratios may be derived when the workbook lacked a complete ratio series.</x:v>
      </x:c>
    </x:row>
    <x:row r="54">
      <x:c r="A54" s="87" t="str">
        <x:v>Celyad Oncology SA(3).xlsx</x:v>
      </x:c>
      <x:c r="B54" s="87" t="str">
        <x:v>Celyad Oncology SA (CYAD BB) - BBG Adjusted</x:v>
      </x:c>
      <x:c r="C54" s="87" t="str">
        <x:v>EUR</x:v>
      </x:c>
      <x:c r="D54" s="87"/>
      <x:c r="E54" s="87" t="str">
        <x:v>Unmatched</x:v>
      </x:c>
      <x:c r="F54" s="88" t="n">
        <x:v>2018</x:v>
      </x:c>
      <x:c r="G54" s="89" t="n">
        <x:v>3.115</x:v>
      </x:c>
      <x:c r="H54" s="89" t="n">
        <x:v>-38.17</x:v>
      </x:c>
      <x:c r="I54" s="89" t="n">
        <x:v>-37.427</x:v>
      </x:c>
      <x:c r="J54" s="89" t="n">
        <x:v>94.299</x:v>
      </x:c>
      <x:c r="K54" s="89" t="n">
        <x:v>1.646</x:v>
      </x:c>
      <x:c r="L54" s="89" t="n">
        <x:v>23.577</x:v>
      </x:c>
      <x:c r="M54" s="90" t="n">
        <x:v>1.646</x:v>
      </x:c>
      <x:c r="N54" s="90" t="n">
        <x:v>-1225.3611556982344</x:v>
      </x:c>
      <x:c r="O54" s="90" t="n">
        <x:v>1.7455116173024103</x:v>
      </x:c>
      <x:c r="P54" s="87" t="str">
        <x:v>Historical non-estimate Bloomberg observation; ratios may be derived when the workbook lacked a complete ratio series.</x:v>
      </x:c>
    </x:row>
    <x:row r="55">
      <x:c r="A55" s="87" t="str">
        <x:v>Celyad Oncology SA(3).xlsx</x:v>
      </x:c>
      <x:c r="B55" s="87" t="str">
        <x:v>Celyad Oncology SA (CYAD BB) - BBG Adjusted</x:v>
      </x:c>
      <x:c r="C55" s="87" t="str">
        <x:v>EUR</x:v>
      </x:c>
      <x:c r="D55" s="87"/>
      <x:c r="E55" s="87" t="str">
        <x:v>Unmatched</x:v>
      </x:c>
      <x:c r="F55" s="88" t="n">
        <x:v>2019</x:v>
      </x:c>
      <x:c r="G55" s="89" t="n">
        <x:v>0.006</x:v>
      </x:c>
      <x:c r="H55" s="89" t="n">
        <x:v>-28.879</x:v>
      </x:c>
      <x:c r="I55" s="89" t="n">
        <x:v>-28.632</x:v>
      </x:c>
      <x:c r="J55" s="89" t="n">
        <x:v>89.836</x:v>
      </x:c>
      <x:c r="K55" s="89" t="n">
        <x:v>4.3629999999999995</x:v>
      </x:c>
      <x:c r="L55" s="89" t="n">
        <x:v>25.871</x:v>
      </x:c>
      <x:c r="M55" s="90" t="n">
        <x:v>4.363</x:v>
      </x:c>
      <x:c r="N55" s="90" t="n">
        <x:v>-481316.6666666667</x:v>
      </x:c>
      <x:c r="O55" s="90" t="n">
        <x:v>4.856627632574914</x:v>
      </x:c>
      <x:c r="P55" s="87" t="str">
        <x:v>Historical non-estimate Bloomberg observation; ratios may be derived when the workbook lacked a complete ratio series.</x:v>
      </x:c>
    </x:row>
    <x:row r="56">
      <x:c r="A56" s="87" t="str">
        <x:v>Celyad Oncology SA(3).xlsx</x:v>
      </x:c>
      <x:c r="B56" s="87" t="str">
        <x:v>Celyad Oncology SA (CYAD BB) - BBG Adjusted</x:v>
      </x:c>
      <x:c r="C56" s="87" t="str">
        <x:v>EUR</x:v>
      </x:c>
      <x:c r="D56" s="87"/>
      <x:c r="E56" s="87" t="str">
        <x:v>Unmatched</x:v>
      </x:c>
      <x:c r="F56" s="88" t="n">
        <x:v>2020</x:v>
      </x:c>
      <x:c r="G56" s="89" t="n">
        <x:v>0.005</x:v>
      </x:c>
      <x:c r="H56" s="89" t="n">
        <x:v>-16.987</x:v>
      </x:c>
      <x:c r="I56" s="89" t="n">
        <x:v>-17.204</x:v>
      </x:c>
      <x:c r="J56" s="89" t="n">
        <x:v>66.084</x:v>
      </x:c>
      <x:c r="K56" s="89" t="n">
        <x:v>3.638</x:v>
      </x:c>
      <x:c r="L56" s="89" t="n">
        <x:v>21.894</x:v>
      </x:c>
      <x:c r="M56" s="90" t="n">
        <x:v>3.638</x:v>
      </x:c>
      <x:c r="N56" s="90" t="n">
        <x:v>-339739.99999999994</x:v>
      </x:c>
      <x:c r="O56" s="90" t="n">
        <x:v>5.505114702499848</x:v>
      </x:c>
      <x:c r="P56" s="87" t="str">
        <x:v>Historical non-estimate Bloomberg observation; ratios may be derived when the workbook lacked a complete ratio series.</x:v>
      </x:c>
    </x:row>
    <x:row r="57">
      <x:c r="A57" s="87" t="str">
        <x:v>Celyad Oncology SA(3).xlsx</x:v>
      </x:c>
      <x:c r="B57" s="87" t="str">
        <x:v>Celyad Oncology SA (CYAD BB) - BBG Adjusted</x:v>
      </x:c>
      <x:c r="C57" s="87" t="str">
        <x:v>EUR</x:v>
      </x:c>
      <x:c r="D57" s="87"/>
      <x:c r="E57" s="87" t="str">
        <x:v>Unmatched</x:v>
      </x:c>
      <x:c r="F57" s="88" t="n">
        <x:v>2021</x:v>
      </x:c>
      <x:c r="G57" s="89" t="n">
        <x:v>0</x:v>
      </x:c>
      <x:c r="H57" s="89" t="n">
        <x:v>-26.39</x:v>
      </x:c>
      <x:c r="I57" s="89" t="n">
        <x:v>-26.512</x:v>
      </x:c>
      <x:c r="J57" s="89" t="n">
        <x:v>79.943</x:v>
      </x:c>
      <x:c r="K57" s="89" t="n">
        <x:v>2.632</x:v>
      </x:c>
      <x:c r="L57" s="89" t="n">
        <x:v>20.773</x:v>
      </x:c>
      <x:c r="M57" s="90" t="n">
        <x:v>2.632</x:v>
      </x:c>
      <x:c r="N57" s="90"/>
      <x:c r="O57" s="90" t="n">
        <x:v>3.2923457963799208</x:v>
      </x:c>
      <x:c r="P57" s="87" t="str">
        <x:v>Historical non-estimate Bloomberg observation; ratios may be derived when the workbook lacked a complete ratio series.</x:v>
      </x:c>
    </x:row>
    <x:row r="58">
      <x:c r="A58" s="87" t="str">
        <x:v>Celyad Oncology SA(3).xlsx</x:v>
      </x:c>
      <x:c r="B58" s="87" t="str">
        <x:v>Celyad Oncology SA (CYAD BB) - BBG Adjusted</x:v>
      </x:c>
      <x:c r="C58" s="87" t="str">
        <x:v>EUR</x:v>
      </x:c>
      <x:c r="D58" s="87"/>
      <x:c r="E58" s="87" t="str">
        <x:v>Unmatched</x:v>
      </x:c>
      <x:c r="F58" s="88" t="n">
        <x:v>2022</x:v>
      </x:c>
      <x:c r="G58" s="89" t="n">
        <x:v>0</x:v>
      </x:c>
      <x:c r="H58" s="89" t="n">
        <x:v>-5.641</x:v>
      </x:c>
      <x:c r="I58" s="89" t="n">
        <x:v>-40.935</x:v>
      </x:c>
      <x:c r="J58" s="89" t="n">
        <x:v>19.716</x:v>
      </x:c>
      <x:c r="K58" s="89" t="n">
        <x:v>0.255</x:v>
      </x:c>
      <x:c r="L58" s="89" t="n">
        <x:v>18.929</x:v>
      </x:c>
      <x:c r="M58" s="90" t="n">
        <x:v>0.255</x:v>
      </x:c>
      <x:c r="N58" s="90"/>
      <x:c r="O58" s="90" t="n">
        <x:v>1.2933657942787582</x:v>
      </x:c>
      <x:c r="P58" s="87" t="str">
        <x:v>Historical non-estimate Bloomberg observation; ratios may be derived when the workbook lacked a complete ratio series.</x:v>
      </x:c>
    </x:row>
    <x:row r="59">
      <x:c r="A59" s="87" t="str">
        <x:v>Celyad Oncology SA(3).xlsx</x:v>
      </x:c>
      <x:c r="B59" s="87" t="str">
        <x:v>Celyad Oncology SA (CYAD BB) - BBG Adjusted</x:v>
      </x:c>
      <x:c r="C59" s="87" t="str">
        <x:v>EUR</x:v>
      </x:c>
      <x:c r="D59" s="87"/>
      <x:c r="E59" s="87" t="str">
        <x:v>Unmatched</x:v>
      </x:c>
      <x:c r="F59" s="88" t="n">
        <x:v>2023</x:v>
      </x:c>
      <x:c r="G59" s="89" t="n">
        <x:v>0.102</x:v>
      </x:c>
      <x:c r="H59" s="89" t="n">
        <x:v>-8.425</x:v>
      </x:c>
      <x:c r="I59" s="89" t="n">
        <x:v>-8.448</x:v>
      </x:c>
      <x:c r="J59" s="89" t="n">
        <x:v>16.282</x:v>
      </x:c>
      <x:c r="K59" s="89" t="n">
        <x:v>1.058</x:v>
      </x:c>
      <x:c r="L59" s="89" t="n">
        <x:v>4.602</x:v>
      </x:c>
      <x:c r="M59" s="90" t="n">
        <x:v>1.058</x:v>
      </x:c>
      <x:c r="N59" s="90" t="n">
        <x:v>-8259.80392156863</x:v>
      </x:c>
      <x:c r="O59" s="90" t="n">
        <x:v>6.497973221962905</x:v>
      </x:c>
      <x:c r="P59" s="87" t="str">
        <x:v>Historical non-estimate Bloomberg observation; ratios may be derived when the workbook lacked a complete ratio series.</x:v>
      </x:c>
    </x:row>
    <x:row r="60">
      <x:c r="A60" s="87" t="str">
        <x:v>Celyad Oncology SA(3).xlsx</x:v>
      </x:c>
      <x:c r="B60" s="87" t="str">
        <x:v>Celyad Oncology SA (CYAD BB) - BBG Adjusted</x:v>
      </x:c>
      <x:c r="C60" s="87" t="str">
        <x:v>EUR</x:v>
      </x:c>
      <x:c r="D60" s="87"/>
      <x:c r="E60" s="87" t="str">
        <x:v>Unmatched</x:v>
      </x:c>
      <x:c r="F60" s="88" t="n">
        <x:v>2024</x:v>
      </x:c>
      <x:c r="G60" s="89" t="n">
        <x:v>0.186</x:v>
      </x:c>
      <x:c r="H60" s="89" t="n">
        <x:v>-5.869</x:v>
      </x:c>
      <x:c r="I60" s="89" t="n">
        <x:v>-5.824</x:v>
      </x:c>
      <x:c r="J60" s="89" t="n">
        <x:v>9.928</x:v>
      </x:c>
      <x:c r="K60" s="89" t="n">
        <x:v>0.905</x:v>
      </x:c>
      <x:c r="L60" s="89" t="n">
        <x:v>3.235</x:v>
      </x:c>
      <x:c r="M60" s="90" t="n">
        <x:v>0.905</x:v>
      </x:c>
      <x:c r="N60" s="90" t="n">
        <x:v>-3155.3763440860216</x:v>
      </x:c>
      <x:c r="O60" s="90" t="n">
        <x:v>9.115632554391619</x:v>
      </x:c>
      <x:c r="P60" s="87" t="str">
        <x:v>Historical non-estimate Bloomberg observation; ratios may be derived when the workbook lacked a complete ratio series.</x:v>
      </x:c>
    </x:row>
    <x:row r="61">
      <x:c r="A61" s="87" t="str">
        <x:v>Celyad Oncology SA(3).xlsx</x:v>
      </x:c>
      <x:c r="B61" s="87" t="str">
        <x:v>Celyad Oncology SA (CYAD BB) - BBG Adjusted</x:v>
      </x:c>
      <x:c r="C61" s="87" t="str">
        <x:v>EUR</x:v>
      </x:c>
      <x:c r="D61" s="87"/>
      <x:c r="E61" s="87" t="str">
        <x:v>Unmatched</x:v>
      </x:c>
      <x:c r="F61" s="88" t="n">
        <x:v>2025</x:v>
      </x:c>
      <x:c r="G61" s="89" t="n">
        <x:v>0.021</x:v>
      </x:c>
      <x:c r="H61" s="89" t="n">
        <x:v>-1.524</x:v>
      </x:c>
      <x:c r="I61" s="89" t="n">
        <x:v>0.83</x:v>
      </x:c>
      <x:c r="J61" s="89" t="n">
        <x:v>4.298</x:v>
      </x:c>
      <x:c r="K61" s="89" t="n">
        <x:v>0</x:v>
      </x:c>
      <x:c r="L61" s="89" t="n">
        <x:v>6.543</x:v>
      </x:c>
      <x:c r="M61" s="90" t="n">
        <x:v>0</x:v>
      </x:c>
      <x:c r="N61" s="90" t="n">
        <x:v>0</x:v>
      </x:c>
      <x:c r="O61" s="90" t="n">
        <x:v>0</x:v>
      </x:c>
      <x:c r="P61" s="87" t="str">
        <x:v>Historical non-estimate Bloomberg observation; ratios may be derived when the workbook lacked a complete ratio series.</x:v>
      </x:c>
    </x:row>
    <x:row r="62">
      <x:c r="A62" s="87" t="str">
        <x:v>Chiltern International Lt(2).xlsx</x:v>
      </x:c>
      <x:c r="B62" s="87" t="str">
        <x:v>Chiltern International Ltd (2616654Z LN) - Balance Sheet</x:v>
      </x:c>
      <x:c r="C62" s="87" t="str">
        <x:v>EUR</x:v>
      </x:c>
      <x:c r="D62" s="87"/>
      <x:c r="E62" s="87" t="str">
        <x:v>Unmatched</x:v>
      </x:c>
      <x:c r="F62" s="88" t="n">
        <x:v>2006</x:v>
      </x:c>
      <x:c r="G62" s="89"/>
      <x:c r="H62" s="89" t="n">
        <x:v>1.9769</x:v>
      </x:c>
      <x:c r="I62" s="89"/>
      <x:c r="J62" s="89" t="n">
        <x:v>2.019</x:v>
      </x:c>
      <x:c r="K62" s="89"/>
      <x:c r="L62" s="89"/>
      <x:c r="M62" s="90"/>
      <x:c r="N62" s="90"/>
      <x:c r="O62" s="90"/>
      <x:c r="P62" s="87" t="str">
        <x:v>Historical non-estimate Bloomberg observation; ratios may be derived when the workbook lacked a complete ratio series.</x:v>
      </x:c>
    </x:row>
    <x:row r="63">
      <x:c r="A63" s="87" t="str">
        <x:v>Chiltern International Lt(2).xlsx</x:v>
      </x:c>
      <x:c r="B63" s="87" t="str">
        <x:v>Chiltern International Ltd (2616654Z LN) - Balance Sheet</x:v>
      </x:c>
      <x:c r="C63" s="87" t="str">
        <x:v>EUR</x:v>
      </x:c>
      <x:c r="D63" s="87"/>
      <x:c r="E63" s="87" t="str">
        <x:v>Unmatched</x:v>
      </x:c>
      <x:c r="F63" s="88" t="n">
        <x:v>2007</x:v>
      </x:c>
      <x:c r="G63" s="89"/>
      <x:c r="H63" s="89" t="n">
        <x:v>1.0214</x:v>
      </x:c>
      <x:c r="I63" s="89"/>
      <x:c r="J63" s="89" t="n">
        <x:v>20.4425</x:v>
      </x:c>
      <x:c r="K63" s="89" t="n">
        <x:v>0.001</x:v>
      </x:c>
      <x:c r="L63" s="89"/>
      <x:c r="M63" s="90" t="n">
        <x:v>15.1274</x:v>
      </x:c>
      <x:c r="N63" s="90" t="n">
        <x:v>2.0849</x:v>
      </x:c>
      <x:c r="O63" s="90" t="n">
        <x:v>0.004891769597651951</x:v>
      </x:c>
      <x:c r="P63" s="87" t="str">
        <x:v>Historical non-estimate Bloomberg observation; ratios may be derived when the workbook lacked a complete ratio series.</x:v>
      </x:c>
    </x:row>
    <x:row r="64">
      <x:c r="A64" s="87" t="str">
        <x:v>Chiltern International Lt(2).xlsx</x:v>
      </x:c>
      <x:c r="B64" s="87" t="str">
        <x:v>Chiltern International Ltd (2616654Z LN) - Balance Sheet</x:v>
      </x:c>
      <x:c r="C64" s="87" t="str">
        <x:v>EUR</x:v>
      </x:c>
      <x:c r="D64" s="87"/>
      <x:c r="E64" s="87" t="str">
        <x:v>Unmatched</x:v>
      </x:c>
      <x:c r="F64" s="88" t="n">
        <x:v>2008</x:v>
      </x:c>
      <x:c r="G64" s="89"/>
      <x:c r="H64" s="89" t="n">
        <x:v>4.1866</x:v>
      </x:c>
      <x:c r="I64" s="89"/>
      <x:c r="J64" s="89" t="n">
        <x:v>25.0216</x:v>
      </x:c>
      <x:c r="K64" s="89"/>
      <x:c r="L64" s="89"/>
      <x:c r="M64" s="90" t="n">
        <x:v>15.6209</x:v>
      </x:c>
      <x:c r="N64" s="90" t="n">
        <x:v>8.3413</x:v>
      </x:c>
      <x:c r="O64" s="90"/>
      <x:c r="P64" s="87" t="str">
        <x:v>Historical non-estimate Bloomberg observation; ratios may be derived when the workbook lacked a complete ratio series.</x:v>
      </x:c>
    </x:row>
    <x:row r="65">
      <x:c r="A65" s="87" t="str">
        <x:v>Chiltern International Lt(2).xlsx</x:v>
      </x:c>
      <x:c r="B65" s="87" t="str">
        <x:v>Chiltern International Ltd (2616654Z LN) - Balance Sheet</x:v>
      </x:c>
      <x:c r="C65" s="87" t="str">
        <x:v>EUR</x:v>
      </x:c>
      <x:c r="D65" s="87"/>
      <x:c r="E65" s="87" t="str">
        <x:v>Unmatched</x:v>
      </x:c>
      <x:c r="F65" s="88" t="n">
        <x:v>2009</x:v>
      </x:c>
      <x:c r="G65" s="89"/>
      <x:c r="H65" s="89" t="n">
        <x:v>6.1951</x:v>
      </x:c>
      <x:c r="I65" s="89"/>
      <x:c r="J65" s="89" t="n">
        <x:v>26.4435</x:v>
      </x:c>
      <x:c r="K65" s="89"/>
      <x:c r="L65" s="89"/>
      <x:c r="M65" s="90" t="n">
        <x:v>19.8623</x:v>
      </x:c>
      <x:c r="N65" s="90" t="n">
        <x:v>15.0877</x:v>
      </x:c>
      <x:c r="O65" s="90"/>
      <x:c r="P65" s="87" t="str">
        <x:v>Historical non-estimate Bloomberg observation; ratios may be derived when the workbook lacked a complete ratio series.</x:v>
      </x:c>
    </x:row>
    <x:row r="66">
      <x:c r="A66" s="87" t="str">
        <x:v>Chiltern International Lt(2).xlsx</x:v>
      </x:c>
      <x:c r="B66" s="87" t="str">
        <x:v>Chiltern International Ltd (2616654Z LN) - Balance Sheet</x:v>
      </x:c>
      <x:c r="C66" s="87" t="str">
        <x:v>EUR</x:v>
      </x:c>
      <x:c r="D66" s="87"/>
      <x:c r="E66" s="87" t="str">
        <x:v>Unmatched</x:v>
      </x:c>
      <x:c r="F66" s="88" t="n">
        <x:v>2010</x:v>
      </x:c>
      <x:c r="G66" s="89"/>
      <x:c r="H66" s="89" t="n">
        <x:v>2.6399</x:v>
      </x:c>
      <x:c r="I66" s="89"/>
      <x:c r="J66" s="89" t="n">
        <x:v>39.982</x:v>
      </x:c>
      <x:c r="K66" s="89"/>
      <x:c r="L66" s="89"/>
      <x:c r="M66" s="90" t="n">
        <x:v>6.5591</x:v>
      </x:c>
      <x:c r="N66" s="90" t="n">
        <x:v>7.0762</x:v>
      </x:c>
      <x:c r="O66" s="90"/>
      <x:c r="P66" s="87" t="str">
        <x:v>Historical non-estimate Bloomberg observation; ratios may be derived when the workbook lacked a complete ratio series.</x:v>
      </x:c>
    </x:row>
    <x:row r="67">
      <x:c r="A67" s="87" t="str">
        <x:v>Chiltern International Lt(2).xlsx</x:v>
      </x:c>
      <x:c r="B67" s="87" t="str">
        <x:v>Chiltern International Ltd (2616654Z LN) - Balance Sheet</x:v>
      </x:c>
      <x:c r="C67" s="87" t="str">
        <x:v>EUR</x:v>
      </x:c>
      <x:c r="D67" s="87"/>
      <x:c r="E67" s="87" t="str">
        <x:v>Unmatched</x:v>
      </x:c>
      <x:c r="F67" s="88" t="n">
        <x:v>2011</x:v>
      </x:c>
      <x:c r="G67" s="89"/>
      <x:c r="H67" s="89" t="n">
        <x:v>5.9689</x:v>
      </x:c>
      <x:c r="I67" s="89"/>
      <x:c r="J67" s="89" t="n">
        <x:v>39.1929</x:v>
      </x:c>
      <x:c r="K67" s="89"/>
      <x:c r="L67" s="89"/>
      <x:c r="M67" s="90" t="n">
        <x:v>12.7382</x:v>
      </x:c>
      <x:c r="N67" s="90" t="n">
        <x:v>13.4938</x:v>
      </x:c>
      <x:c r="O67" s="90"/>
      <x:c r="P67" s="87" t="str">
        <x:v>Historical non-estimate Bloomberg observation; ratios may be derived when the workbook lacked a complete ratio series.</x:v>
      </x:c>
    </x:row>
    <x:row r="68">
      <x:c r="A68" s="87" t="str">
        <x:v>Chiltern International Lt(2).xlsx</x:v>
      </x:c>
      <x:c r="B68" s="87" t="str">
        <x:v>Chiltern International Ltd (2616654Z LN) - Balance Sheet</x:v>
      </x:c>
      <x:c r="C68" s="87" t="str">
        <x:v>EUR</x:v>
      </x:c>
      <x:c r="D68" s="87"/>
      <x:c r="E68" s="87" t="str">
        <x:v>Unmatched</x:v>
      </x:c>
      <x:c r="F68" s="88" t="n">
        <x:v>2012</x:v>
      </x:c>
      <x:c r="G68" s="89"/>
      <x:c r="H68" s="89" t="n">
        <x:v>6.2293</x:v>
      </x:c>
      <x:c r="I68" s="89"/>
      <x:c r="J68" s="89" t="n">
        <x:v>51.2043</x:v>
      </x:c>
      <x:c r="K68" s="89"/>
      <x:c r="L68" s="89"/>
      <x:c r="M68" s="90" t="n">
        <x:v>11.8431</x:v>
      </x:c>
      <x:c r="N68" s="90" t="n">
        <x:v>13.9926</x:v>
      </x:c>
      <x:c r="O68" s="90"/>
      <x:c r="P68" s="87" t="str">
        <x:v>Historical non-estimate Bloomberg observation; ratios may be derived when the workbook lacked a complete ratio series.</x:v>
      </x:c>
    </x:row>
    <x:row r="69">
      <x:c r="A69" s="87" t="str">
        <x:v>Chiltern International Lt(2).xlsx</x:v>
      </x:c>
      <x:c r="B69" s="87" t="str">
        <x:v>Chiltern International Ltd (2616654Z LN) - Balance Sheet</x:v>
      </x:c>
      <x:c r="C69" s="87" t="str">
        <x:v>EUR</x:v>
      </x:c>
      <x:c r="D69" s="87"/>
      <x:c r="E69" s="87" t="str">
        <x:v>Unmatched</x:v>
      </x:c>
      <x:c r="F69" s="88" t="n">
        <x:v>2013</x:v>
      </x:c>
      <x:c r="G69" s="89"/>
      <x:c r="H69" s="89" t="n">
        <x:v>5.6544</x:v>
      </x:c>
      <x:c r="I69" s="89"/>
      <x:c r="J69" s="89" t="n">
        <x:v>61.4497</x:v>
      </x:c>
      <x:c r="K69" s="89"/>
      <x:c r="L69" s="89"/>
      <x:c r="M69" s="90" t="n">
        <x:v>7.6165</x:v>
      </x:c>
      <x:c r="N69" s="90" t="n">
        <x:v>11.2561</x:v>
      </x:c>
      <x:c r="O69" s="90"/>
      <x:c r="P69" s="87" t="str">
        <x:v>Historical non-estimate Bloomberg observation; ratios may be derived when the workbook lacked a complete ratio series.</x:v>
      </x:c>
    </x:row>
    <x:row r="70">
      <x:c r="A70" s="87" t="str">
        <x:v>Chiltern International Lt(2).xlsx</x:v>
      </x:c>
      <x:c r="B70" s="87" t="str">
        <x:v>Chiltern International Ltd (2616654Z LN) - Balance Sheet</x:v>
      </x:c>
      <x:c r="C70" s="87" t="str">
        <x:v>EUR</x:v>
      </x:c>
      <x:c r="D70" s="87"/>
      <x:c r="E70" s="87" t="str">
        <x:v>Unmatched</x:v>
      </x:c>
      <x:c r="F70" s="88" t="n">
        <x:v>2014</x:v>
      </x:c>
      <x:c r="G70" s="89"/>
      <x:c r="H70" s="89" t="n">
        <x:v>4.1706</x:v>
      </x:c>
      <x:c r="I70" s="89"/>
      <x:c r="J70" s="89" t="n">
        <x:v>107.0956</x:v>
      </x:c>
      <x:c r="K70" s="89"/>
      <x:c r="L70" s="89"/>
      <x:c r="M70" s="90" t="n">
        <x:v>3.2783</x:v>
      </x:c>
      <x:c r="N70" s="90" t="n">
        <x:v>9.5744</x:v>
      </x:c>
      <x:c r="O70" s="90"/>
      <x:c r="P70" s="87" t="str">
        <x:v>Historical non-estimate Bloomberg observation; ratios may be derived when the workbook lacked a complete ratio series.</x:v>
      </x:c>
    </x:row>
    <x:row r="71">
      <x:c r="A71" s="87" t="str">
        <x:v>Chiltern International Lt(2).xlsx</x:v>
      </x:c>
      <x:c r="B71" s="87" t="str">
        <x:v>Chiltern International Ltd (2616654Z LN) - Balance Sheet</x:v>
      </x:c>
      <x:c r="C71" s="87" t="str">
        <x:v>EUR</x:v>
      </x:c>
      <x:c r="D71" s="87"/>
      <x:c r="E71" s="87" t="str">
        <x:v>Unmatched</x:v>
      </x:c>
      <x:c r="F71" s="88" t="n">
        <x:v>2015</x:v>
      </x:c>
      <x:c r="G71" s="89"/>
      <x:c r="H71" s="89" t="n">
        <x:v>7.965</x:v>
      </x:c>
      <x:c r="I71" s="89"/>
      <x:c r="J71" s="89" t="n">
        <x:v>285.4851</x:v>
      </x:c>
      <x:c r="K71" s="89" t="n">
        <x:v>1.5376</x:v>
      </x:c>
      <x:c r="L71" s="89"/>
      <x:c r="M71" s="90" t="n">
        <x:v>13.5277</x:v>
      </x:c>
      <x:c r="N71" s="90" t="n">
        <x:v>5.696</x:v>
      </x:c>
      <x:c r="O71" s="90" t="n">
        <x:v>0.5386</x:v>
      </x:c>
      <x:c r="P71" s="87" t="str">
        <x:v>Historical non-estimate Bloomberg observation; ratios may be derived when the workbook lacked a complete ratio series.</x:v>
      </x:c>
    </x:row>
    <x:row r="72">
      <x:c r="A72" s="87" t="str">
        <x:v>Chiltern International Lt(2).xlsx</x:v>
      </x:c>
      <x:c r="B72" s="87" t="str">
        <x:v>Chiltern International Ltd (2616654Z LN) - Balance Sheet</x:v>
      </x:c>
      <x:c r="C72" s="87" t="str">
        <x:v>EUR</x:v>
      </x:c>
      <x:c r="D72" s="87"/>
      <x:c r="E72" s="87" t="str">
        <x:v>Unmatched</x:v>
      </x:c>
      <x:c r="F72" s="88" t="n">
        <x:v>2016</x:v>
      </x:c>
      <x:c r="G72" s="89"/>
      <x:c r="H72" s="89" t="n">
        <x:v>22.1211</x:v>
      </x:c>
      <x:c r="I72" s="89"/>
      <x:c r="J72" s="89" t="n">
        <x:v>298.2242</x:v>
      </x:c>
      <x:c r="K72" s="89" t="n">
        <x:v>2.8735</x:v>
      </x:c>
      <x:c r="L72" s="89"/>
      <x:c r="M72" s="90" t="n">
        <x:v>5.4525</x:v>
      </x:c>
      <x:c r="N72" s="90" t="n">
        <x:v>14.7873</x:v>
      </x:c>
      <x:c r="O72" s="90" t="n">
        <x:v>0.9635368290031461</x:v>
      </x:c>
      <x:c r="P72" s="87" t="str">
        <x:v>Historical non-estimate Bloomberg observation; ratios may be derived when the workbook lacked a complete ratio series.</x:v>
      </x:c>
    </x:row>
    <x:row r="73">
      <x:c r="A73" s="87" t="str">
        <x:v>Chiltern International Lt(2).xlsx</x:v>
      </x:c>
      <x:c r="B73" s="87" t="str">
        <x:v>Chiltern International Ltd (2616654Z LN) - Balance Sheet</x:v>
      </x:c>
      <x:c r="C73" s="87" t="str">
        <x:v>EUR</x:v>
      </x:c>
      <x:c r="D73" s="87"/>
      <x:c r="E73" s="87" t="str">
        <x:v>Unmatched</x:v>
      </x:c>
      <x:c r="F73" s="88" t="n">
        <x:v>2017</x:v>
      </x:c>
      <x:c r="G73" s="89"/>
      <x:c r="H73" s="89" t="n">
        <x:v>19.7492</x:v>
      </x:c>
      <x:c r="I73" s="89"/>
      <x:c r="J73" s="89" t="n">
        <x:v>185.5393</x:v>
      </x:c>
      <x:c r="K73" s="89"/>
      <x:c r="L73" s="89"/>
      <x:c r="M73" s="90" t="n">
        <x:v>6.9861</x:v>
      </x:c>
      <x:c r="N73" s="90" t="n">
        <x:v>11.7957</x:v>
      </x:c>
      <x:c r="O73" s="90"/>
      <x:c r="P73" s="87" t="str">
        <x:v>Historical non-estimate Bloomberg observation; ratios may be derived when the workbook lacked a complete ratio series.</x:v>
      </x:c>
    </x:row>
    <x:row r="74">
      <x:c r="A74" s="87" t="str">
        <x:v>Chiltern International Lt(2).xlsx</x:v>
      </x:c>
      <x:c r="B74" s="87" t="str">
        <x:v>Chiltern International Ltd (2616654Z LN) - Balance Sheet</x:v>
      </x:c>
      <x:c r="C74" s="87" t="str">
        <x:v>EUR</x:v>
      </x:c>
      <x:c r="D74" s="87"/>
      <x:c r="E74" s="87" t="str">
        <x:v>Unmatched</x:v>
      </x:c>
      <x:c r="F74" s="88" t="n">
        <x:v>2018</x:v>
      </x:c>
      <x:c r="G74" s="89"/>
      <x:c r="H74" s="89" t="n">
        <x:v>13.5885</x:v>
      </x:c>
      <x:c r="I74" s="89"/>
      <x:c r="J74" s="89" t="n">
        <x:v>155.8591</x:v>
      </x:c>
      <x:c r="K74" s="89"/>
      <x:c r="L74" s="89"/>
      <x:c r="M74" s="90" t="n">
        <x:v>8.0979</x:v>
      </x:c>
      <x:c r="N74" s="90" t="n">
        <x:v>10.8846</x:v>
      </x:c>
      <x:c r="O74" s="90"/>
      <x:c r="P74" s="87" t="str">
        <x:v>Historical non-estimate Bloomberg observation; ratios may be derived when the workbook lacked a complete ratio series.</x:v>
      </x:c>
    </x:row>
    <x:row r="75">
      <x:c r="A75" s="87" t="str">
        <x:v>Eurofins Scientific SE(2).xlsx</x:v>
      </x:c>
      <x:c r="B75" s="87" t="str">
        <x:v>Eurofins Scientific SE (ERF FP) - Standardized</x:v>
      </x:c>
      <x:c r="C75" s="87" t="str">
        <x:v>EUR</x:v>
      </x:c>
      <x:c r="D75" s="87" t="str">
        <x:v>TRT-0039</x:v>
      </x:c>
      <x:c r="E75" s="87" t="str">
        <x:v>Mapped</x:v>
      </x:c>
      <x:c r="F75" s="88" t="n">
        <x:v>2006</x:v>
      </x:c>
      <x:c r="G75" s="89"/>
      <x:c r="H75" s="89"/>
      <x:c r="I75" s="89"/>
      <x:c r="J75" s="89" t="n">
        <x:v>460.338</x:v>
      </x:c>
      <x:c r="K75" s="89" t="n">
        <x:v>199.923</x:v>
      </x:c>
      <x:c r="L75" s="89"/>
      <x:c r="M75" s="90" t="n">
        <x:v>11.1729</x:v>
      </x:c>
      <x:c r="N75" s="90" t="n">
        <x:v>106.2039</x:v>
      </x:c>
      <x:c r="O75" s="90" t="n">
        <x:v>43.42961041669382</x:v>
      </x:c>
      <x:c r="P75" s="87" t="str">
        <x:v>Historical non-estimate Bloomberg observation; ratios may be derived when the workbook lacked a complete ratio series.</x:v>
      </x:c>
    </x:row>
    <x:row r="76">
      <x:c r="A76" s="87" t="str">
        <x:v>Eurofins Scientific SE(2).xlsx</x:v>
      </x:c>
      <x:c r="B76" s="87" t="str">
        <x:v>Eurofins Scientific SE (ERF FP) - Standardized</x:v>
      </x:c>
      <x:c r="C76" s="87" t="str">
        <x:v>EUR</x:v>
      </x:c>
      <x:c r="D76" s="87" t="str">
        <x:v>TRT-0039</x:v>
      </x:c>
      <x:c r="E76" s="87" t="str">
        <x:v>Mapped</x:v>
      </x:c>
      <x:c r="F76" s="88" t="n">
        <x:v>2007</x:v>
      </x:c>
      <x:c r="G76" s="89"/>
      <x:c r="H76" s="89"/>
      <x:c r="I76" s="89"/>
      <x:c r="J76" s="89" t="n">
        <x:v>612.025</x:v>
      </x:c>
      <x:c r="K76" s="89" t="n">
        <x:v>173.344</x:v>
      </x:c>
      <x:c r="L76" s="89"/>
      <x:c r="M76" s="90" t="n">
        <x:v>16.4509</x:v>
      </x:c>
      <x:c r="N76" s="90" t="n">
        <x:v>105.8926</x:v>
      </x:c>
      <x:c r="O76" s="90" t="n">
        <x:v>28.32302602017891</x:v>
      </x:c>
      <x:c r="P76" s="87" t="str">
        <x:v>Historical non-estimate Bloomberg observation; ratios may be derived when the workbook lacked a complete ratio series.</x:v>
      </x:c>
    </x:row>
    <x:row r="77">
      <x:c r="A77" s="87" t="str">
        <x:v>Eurofins Scientific SE(2).xlsx</x:v>
      </x:c>
      <x:c r="B77" s="87" t="str">
        <x:v>Eurofins Scientific SE (ERF FP) - Standardized</x:v>
      </x:c>
      <x:c r="C77" s="87" t="str">
        <x:v>EUR</x:v>
      </x:c>
      <x:c r="D77" s="87" t="str">
        <x:v>TRT-0039</x:v>
      </x:c>
      <x:c r="E77" s="87" t="str">
        <x:v>Mapped</x:v>
      </x:c>
      <x:c r="F77" s="88" t="n">
        <x:v>2008</x:v>
      </x:c>
      <x:c r="G77" s="89"/>
      <x:c r="H77" s="89"/>
      <x:c r="I77" s="89"/>
      <x:c r="J77" s="89" t="n">
        <x:v>734.01</x:v>
      </x:c>
      <x:c r="K77" s="89" t="n">
        <x:v>289.736</x:v>
      </x:c>
      <x:c r="L77" s="89"/>
      <x:c r="M77" s="90" t="n">
        <x:v>33.0994</x:v>
      </x:c>
      <x:c r="N77" s="90" t="n">
        <x:v>93.769</x:v>
      </x:c>
      <x:c r="O77" s="90" t="n">
        <x:v>39.47303170256536</x:v>
      </x:c>
      <x:c r="P77" s="87" t="str">
        <x:v>Historical non-estimate Bloomberg observation; ratios may be derived when the workbook lacked a complete ratio series.</x:v>
      </x:c>
    </x:row>
    <x:row r="78">
      <x:c r="A78" s="87" t="str">
        <x:v>Eurofins Scientific SE(2).xlsx</x:v>
      </x:c>
      <x:c r="B78" s="87" t="str">
        <x:v>Eurofins Scientific SE (ERF FP) - Standardized</x:v>
      </x:c>
      <x:c r="C78" s="87" t="str">
        <x:v>EUR</x:v>
      </x:c>
      <x:c r="D78" s="87" t="str">
        <x:v>TRT-0039</x:v>
      </x:c>
      <x:c r="E78" s="87" t="str">
        <x:v>Mapped</x:v>
      </x:c>
      <x:c r="F78" s="88" t="n">
        <x:v>2009</x:v>
      </x:c>
      <x:c r="G78" s="89" t="n">
        <x:v>640.073</x:v>
      </x:c>
      <x:c r="H78" s="89" t="n">
        <x:v>37.521</x:v>
      </x:c>
      <x:c r="I78" s="89" t="n">
        <x:v>-11.234</x:v>
      </x:c>
      <x:c r="J78" s="89" t="n">
        <x:v>659.299</x:v>
      </x:c>
      <x:c r="K78" s="89" t="n">
        <x:v>238.075</x:v>
      </x:c>
      <x:c r="L78" s="89"/>
      <x:c r="M78" s="90" t="n">
        <x:v>13.7289</x:v>
      </x:c>
      <x:c r="N78" s="90" t="n">
        <x:v>110.6946</x:v>
      </x:c>
      <x:c r="O78" s="90" t="n">
        <x:v>36.110323237256544</x:v>
      </x:c>
      <x:c r="P78" s="87" t="str">
        <x:v>Historical non-estimate Bloomberg observation; ratios may be derived when the workbook lacked a complete ratio series.</x:v>
      </x:c>
    </x:row>
    <x:row r="79">
      <x:c r="A79" s="87" t="str">
        <x:v>Eurofins Scientific SE(2).xlsx</x:v>
      </x:c>
      <x:c r="B79" s="87" t="str">
        <x:v>Eurofins Scientific SE (ERF FP) - Standardized</x:v>
      </x:c>
      <x:c r="C79" s="87" t="str">
        <x:v>EUR</x:v>
      </x:c>
      <x:c r="D79" s="87" t="str">
        <x:v>TRT-0039</x:v>
      </x:c>
      <x:c r="E79" s="87" t="str">
        <x:v>Mapped</x:v>
      </x:c>
      <x:c r="F79" s="88" t="n">
        <x:v>2010</x:v>
      </x:c>
      <x:c r="G79" s="89" t="n">
        <x:v>680.333</x:v>
      </x:c>
      <x:c r="H79" s="89" t="n">
        <x:v>61.971</x:v>
      </x:c>
      <x:c r="I79" s="89" t="n">
        <x:v>23.4</x:v>
      </x:c>
      <x:c r="J79" s="89" t="n">
        <x:v>736.161</x:v>
      </x:c>
      <x:c r="K79" s="89" t="n">
        <x:v>276.718</x:v>
      </x:c>
      <x:c r="L79" s="89"/>
      <x:c r="M79" s="90" t="n">
        <x:v>13.1527</x:v>
      </x:c>
      <x:c r="N79" s="90" t="n">
        <x:v>108.0344</x:v>
      </x:c>
      <x:c r="O79" s="90" t="n">
        <x:v>37.58933168152076</x:v>
      </x:c>
      <x:c r="P79" s="87" t="str">
        <x:v>Historical non-estimate Bloomberg observation; ratios may be derived when the workbook lacked a complete ratio series.</x:v>
      </x:c>
    </x:row>
    <x:row r="80">
      <x:c r="A80" s="87" t="str">
        <x:v>Eurofins Scientific SE(2).xlsx</x:v>
      </x:c>
      <x:c r="B80" s="87" t="str">
        <x:v>Eurofins Scientific SE (ERF FP) - Standardized</x:v>
      </x:c>
      <x:c r="C80" s="87" t="str">
        <x:v>EUR</x:v>
      </x:c>
      <x:c r="D80" s="87" t="str">
        <x:v>TRT-0039</x:v>
      </x:c>
      <x:c r="E80" s="87" t="str">
        <x:v>Mapped</x:v>
      </x:c>
      <x:c r="F80" s="88" t="n">
        <x:v>2011</x:v>
      </x:c>
      <x:c r="G80" s="89" t="n">
        <x:v>828.934</x:v>
      </x:c>
      <x:c r="H80" s="89" t="n">
        <x:v>91.366</x:v>
      </x:c>
      <x:c r="I80" s="89" t="n">
        <x:v>55.407</x:v>
      </x:c>
      <x:c r="J80" s="89" t="n">
        <x:v>1074.575</x:v>
      </x:c>
      <x:c r="K80" s="89" t="n">
        <x:v>434.67699999999996</x:v>
      </x:c>
      <x:c r="L80" s="89"/>
      <x:c r="M80" s="90" t="n">
        <x:v>13.426</x:v>
      </x:c>
      <x:c r="N80" s="90" t="n">
        <x:v>108.3867</x:v>
      </x:c>
      <x:c r="O80" s="90" t="n">
        <x:v>40.45106204778633</x:v>
      </x:c>
      <x:c r="P80" s="87" t="str">
        <x:v>Historical non-estimate Bloomberg observation; ratios may be derived when the workbook lacked a complete ratio series.</x:v>
      </x:c>
    </x:row>
    <x:row r="81">
      <x:c r="A81" s="87" t="str">
        <x:v>Eurofins Scientific SE(2).xlsx</x:v>
      </x:c>
      <x:c r="B81" s="87" t="str">
        <x:v>Eurofins Scientific SE (ERF FP) - Standardized</x:v>
      </x:c>
      <x:c r="C81" s="87" t="str">
        <x:v>EUR</x:v>
      </x:c>
      <x:c r="D81" s="87" t="str">
        <x:v>TRT-0039</x:v>
      </x:c>
      <x:c r="E81" s="87" t="str">
        <x:v>Mapped</x:v>
      </x:c>
      <x:c r="F81" s="88" t="n">
        <x:v>2012</x:v>
      </x:c>
      <x:c r="G81" s="89" t="n">
        <x:v>1043.963</x:v>
      </x:c>
      <x:c r="H81" s="89" t="n">
        <x:v>124.738</x:v>
      </x:c>
      <x:c r="I81" s="89" t="n">
        <x:v>65.924</x:v>
      </x:c>
      <x:c r="J81" s="89" t="n">
        <x:v>1159.096</x:v>
      </x:c>
      <x:c r="K81" s="89" t="n">
        <x:v>435.11899999999997</x:v>
      </x:c>
      <x:c r="L81" s="89"/>
      <x:c r="M81" s="90" t="n">
        <x:v>5.9027493305862855</x:v>
      </x:c>
      <x:c r="N81" s="90" t="n">
        <x:v>11.948507753627283</x:v>
      </x:c>
      <x:c r="O81" s="90" t="n">
        <x:v>37.53951355194047</x:v>
      </x:c>
      <x:c r="P81" s="87" t="str">
        <x:v>Historical non-estimate Bloomberg observation; ratios may be derived when the workbook lacked a complete ratio series.</x:v>
      </x:c>
    </x:row>
    <x:row r="82">
      <x:c r="A82" s="87" t="str">
        <x:v>Eurofins Scientific SE(2).xlsx</x:v>
      </x:c>
      <x:c r="B82" s="87" t="str">
        <x:v>Eurofins Scientific SE (ERF FP) - Standardized</x:v>
      </x:c>
      <x:c r="C82" s="87" t="str">
        <x:v>EUR</x:v>
      </x:c>
      <x:c r="D82" s="87" t="str">
        <x:v>TRT-0039</x:v>
      </x:c>
      <x:c r="E82" s="87" t="str">
        <x:v>Mapped</x:v>
      </x:c>
      <x:c r="F82" s="88" t="n">
        <x:v>2013</x:v>
      </x:c>
      <x:c r="G82" s="89" t="n">
        <x:v>1225.572</x:v>
      </x:c>
      <x:c r="H82" s="89" t="n">
        <x:v>151.279</x:v>
      </x:c>
      <x:c r="I82" s="89" t="n">
        <x:v>72.18</x:v>
      </x:c>
      <x:c r="J82" s="89" t="n">
        <x:v>1497.016</x:v>
      </x:c>
      <x:c r="K82" s="89" t="n">
        <x:v>684.103</x:v>
      </x:c>
      <x:c r="L82" s="89"/>
      <x:c r="M82" s="90" t="n">
        <x:v>5.43501177661183</x:v>
      </x:c>
      <x:c r="N82" s="90" t="n">
        <x:v>12.343542443854789</x:v>
      </x:c>
      <x:c r="O82" s="90" t="n">
        <x:v>45.697774773282305</x:v>
      </x:c>
      <x:c r="P82" s="87" t="str">
        <x:v>Historical non-estimate Bloomberg observation; ratios may be derived when the workbook lacked a complete ratio series.</x:v>
      </x:c>
    </x:row>
    <x:row r="83">
      <x:c r="A83" s="87" t="str">
        <x:v>Eurofins Scientific SE(2).xlsx</x:v>
      </x:c>
      <x:c r="B83" s="87" t="str">
        <x:v>Eurofins Scientific SE (ERF FP) - Standardized</x:v>
      </x:c>
      <x:c r="C83" s="87" t="str">
        <x:v>EUR</x:v>
      </x:c>
      <x:c r="D83" s="87" t="str">
        <x:v>TRT-0039</x:v>
      </x:c>
      <x:c r="E83" s="87" t="str">
        <x:v>Mapped</x:v>
      </x:c>
      <x:c r="F83" s="88" t="n">
        <x:v>2014</x:v>
      </x:c>
      <x:c r="G83" s="89" t="n">
        <x:v>1410.227</x:v>
      </x:c>
      <x:c r="H83" s="89" t="n">
        <x:v>174.39</x:v>
      </x:c>
      <x:c r="I83" s="89" t="n">
        <x:v>79.104</x:v>
      </x:c>
      <x:c r="J83" s="89" t="n">
        <x:v>1873.19</x:v>
      </x:c>
      <x:c r="K83" s="89" t="n">
        <x:v>710.232</x:v>
      </x:c>
      <x:c r="L83" s="89"/>
      <x:c r="M83" s="90" t="n">
        <x:v>4.694312454490912</x:v>
      </x:c>
      <x:c r="N83" s="90" t="n">
        <x:v>12.366094252911056</x:v>
      </x:c>
      <x:c r="O83" s="90" t="n">
        <x:v>37.91564123233628</x:v>
      </x:c>
      <x:c r="P83" s="87" t="str">
        <x:v>Historical non-estimate Bloomberg observation; ratios may be derived when the workbook lacked a complete ratio series.</x:v>
      </x:c>
    </x:row>
    <x:row r="84">
      <x:c r="A84" s="87" t="str">
        <x:v>Eurofins Scientific SE(2).xlsx</x:v>
      </x:c>
      <x:c r="B84" s="87" t="str">
        <x:v>Eurofins Scientific SE (ERF FP) - Standardized</x:v>
      </x:c>
      <x:c r="C84" s="87" t="str">
        <x:v>EUR</x:v>
      </x:c>
      <x:c r="D84" s="87" t="str">
        <x:v>TRT-0039</x:v>
      </x:c>
      <x:c r="E84" s="87" t="str">
        <x:v>Mapped</x:v>
      </x:c>
      <x:c r="F84" s="88" t="n">
        <x:v>2015</x:v>
      </x:c>
      <x:c r="G84" s="89" t="n">
        <x:v>1950.074</x:v>
      </x:c>
      <x:c r="H84" s="89" t="n">
        <x:v>235.358</x:v>
      </x:c>
      <x:c r="I84" s="89" t="n">
        <x:v>87.316</x:v>
      </x:c>
      <x:c r="J84" s="89" t="n">
        <x:v>3699.833</x:v>
      </x:c>
      <x:c r="K84" s="89" t="n">
        <x:v>1710.0330000000001</x:v>
      </x:c>
      <x:c r="L84" s="89" t="n">
        <x:v>0</x:v>
      </x:c>
      <x:c r="M84" s="90" t="n">
        <x:v>3.133523762597068</x:v>
      </x:c>
      <x:c r="N84" s="90" t="n">
        <x:v>12.069183015618894</x:v>
      </x:c>
      <x:c r="O84" s="90" t="n">
        <x:v>46.219194217684965</x:v>
      </x:c>
      <x:c r="P84" s="87" t="str">
        <x:v>Historical non-estimate Bloomberg observation; ratios may be derived when the workbook lacked a complete ratio series.</x:v>
      </x:c>
    </x:row>
    <x:row r="85">
      <x:c r="A85" s="87" t="str">
        <x:v>Eurofins Scientific SE(2).xlsx</x:v>
      </x:c>
      <x:c r="B85" s="87" t="str">
        <x:v>Eurofins Scientific SE (ERF FP) - Standardized</x:v>
      </x:c>
      <x:c r="C85" s="87" t="str">
        <x:v>EUR</x:v>
      </x:c>
      <x:c r="D85" s="87" t="str">
        <x:v>TRT-0039</x:v>
      </x:c>
      <x:c r="E85" s="87" t="str">
        <x:v>Mapped</x:v>
      </x:c>
      <x:c r="F85" s="88" t="n">
        <x:v>2016</x:v>
      </x:c>
      <x:c r="G85" s="89" t="n">
        <x:v>2536.608</x:v>
      </x:c>
      <x:c r="H85" s="89" t="n">
        <x:v>317.946</x:v>
      </x:c>
      <x:c r="I85" s="89" t="n">
        <x:v>173.997</x:v>
      </x:c>
      <x:c r="J85" s="89" t="n">
        <x:v>4129.415</x:v>
      </x:c>
      <x:c r="K85" s="89" t="n">
        <x:v>1383.878</x:v>
      </x:c>
      <x:c r="L85" s="89" t="n">
        <x:v>0</x:v>
      </x:c>
      <x:c r="M85" s="90" t="n">
        <x:v>4.4447946980348565</x:v>
      </x:c>
      <x:c r="N85" s="90" t="n">
        <x:v>12.534297770881428</x:v>
      </x:c>
      <x:c r="O85" s="90" t="n">
        <x:v>33.51268884333495</x:v>
      </x:c>
      <x:c r="P85" s="87" t="str">
        <x:v>Historical non-estimate Bloomberg observation; ratios may be derived when the workbook lacked a complete ratio series.</x:v>
      </x:c>
    </x:row>
    <x:row r="86">
      <x:c r="A86" s="87" t="str">
        <x:v>Eurofins Scientific SE(2).xlsx</x:v>
      </x:c>
      <x:c r="B86" s="87" t="str">
        <x:v>Eurofins Scientific SE (ERF FP) - Standardized</x:v>
      </x:c>
      <x:c r="C86" s="87" t="str">
        <x:v>EUR</x:v>
      </x:c>
      <x:c r="D86" s="87" t="str">
        <x:v>TRT-0039</x:v>
      </x:c>
      <x:c r="E86" s="87" t="str">
        <x:v>Mapped</x:v>
      </x:c>
      <x:c r="F86" s="88" t="n">
        <x:v>2017</x:v>
      </x:c>
      <x:c r="G86" s="89" t="n">
        <x:v>2971.417</x:v>
      </x:c>
      <x:c r="H86" s="89" t="n">
        <x:v>349.452</x:v>
      </x:c>
      <x:c r="I86" s="89" t="n">
        <x:v>216.771</x:v>
      </x:c>
      <x:c r="J86" s="89" t="n">
        <x:v>5832.307</x:v>
      </x:c>
      <x:c r="K86" s="89" t="n">
        <x:v>2216.33</x:v>
      </x:c>
      <x:c r="L86" s="89" t="n">
        <x:v>0</x:v>
      </x:c>
      <x:c r="M86" s="90" t="n">
        <x:v>4.352078887565824</x:v>
      </x:c>
      <x:c r="N86" s="90" t="n">
        <x:v>11.76044964405871</x:v>
      </x:c>
      <x:c r="O86" s="90" t="n">
        <x:v>38.00091456091046</x:v>
      </x:c>
      <x:c r="P86" s="87" t="str">
        <x:v>Historical non-estimate Bloomberg observation; ratios may be derived when the workbook lacked a complete ratio series.</x:v>
      </x:c>
    </x:row>
    <x:row r="87">
      <x:c r="A87" s="87" t="str">
        <x:v>Eurofins Scientific SE(2).xlsx</x:v>
      </x:c>
      <x:c r="B87" s="87" t="str">
        <x:v>Eurofins Scientific SE (ERF FP) - Standardized</x:v>
      </x:c>
      <x:c r="C87" s="87" t="str">
        <x:v>EUR</x:v>
      </x:c>
      <x:c r="D87" s="87" t="str">
        <x:v>TRT-0039</x:v>
      </x:c>
      <x:c r="E87" s="87" t="str">
        <x:v>Mapped</x:v>
      </x:c>
      <x:c r="F87" s="88" t="n">
        <x:v>2018</x:v>
      </x:c>
      <x:c r="G87" s="89" t="n">
        <x:v>3781.148</x:v>
      </x:c>
      <x:c r="H87" s="89" t="n">
        <x:v>430.573</x:v>
      </x:c>
      <x:c r="I87" s="89" t="n">
        <x:v>223.944</x:v>
      </x:c>
      <x:c r="J87" s="89" t="n">
        <x:v>7205.448</x:v>
      </x:c>
      <x:c r="K87" s="89" t="n">
        <x:v>3157.2439999999997</x:v>
      </x:c>
      <x:c r="L87" s="89" t="n">
        <x:v>0</x:v>
      </x:c>
      <x:c r="M87" s="90" t="n">
        <x:v>3.4353153591243273</x:v>
      </x:c>
      <x:c r="N87" s="90" t="n">
        <x:v>11.387361721889752</x:v>
      </x:c>
      <x:c r="O87" s="90" t="n">
        <x:v>43.81745590281131</x:v>
      </x:c>
      <x:c r="P87" s="87" t="str">
        <x:v>Historical non-estimate Bloomberg observation; ratios may be derived when the workbook lacked a complete ratio series.</x:v>
      </x:c>
    </x:row>
    <x:row r="88">
      <x:c r="A88" s="87" t="str">
        <x:v>Eurofins Scientific SE(2).xlsx</x:v>
      </x:c>
      <x:c r="B88" s="87" t="str">
        <x:v>Eurofins Scientific SE (ERF FP) - Standardized</x:v>
      </x:c>
      <x:c r="C88" s="87" t="str">
        <x:v>EUR</x:v>
      </x:c>
      <x:c r="D88" s="87" t="str">
        <x:v>TRT-0039</x:v>
      </x:c>
      <x:c r="E88" s="87" t="str">
        <x:v>Mapped</x:v>
      </x:c>
      <x:c r="F88" s="88" t="n">
        <x:v>2019</x:v>
      </x:c>
      <x:c r="G88" s="89" t="n">
        <x:v>4562.8</x:v>
      </x:c>
      <x:c r="H88" s="89" t="n">
        <x:v>457.9</x:v>
      </x:c>
      <x:c r="I88" s="89" t="n">
        <x:v>195.2</x:v>
      </x:c>
      <x:c r="J88" s="89" t="n">
        <x:v>7823.1</x:v>
      </x:c>
      <x:c r="K88" s="89" t="n">
        <x:v>3541.7000000000003</x:v>
      </x:c>
      <x:c r="L88" s="89" t="n">
        <x:v>0</x:v>
      </x:c>
      <x:c r="M88" s="90" t="n">
        <x:v>2.597722680860453</x:v>
      </x:c>
      <x:c r="N88" s="90" t="n">
        <x:v>10.035504514771631</x:v>
      </x:c>
      <x:c r="O88" s="90" t="n">
        <x:v>45.272334496555075</x:v>
      </x:c>
      <x:c r="P88" s="87" t="str">
        <x:v>Historical non-estimate Bloomberg observation; ratios may be derived when the workbook lacked a complete ratio series.</x:v>
      </x:c>
    </x:row>
    <x:row r="89">
      <x:c r="A89" s="87" t="str">
        <x:v>Eurofins Scientific SE(2).xlsx</x:v>
      </x:c>
      <x:c r="B89" s="87" t="str">
        <x:v>Eurofins Scientific SE (ERF FP) - Standardized</x:v>
      </x:c>
      <x:c r="C89" s="87" t="str">
        <x:v>EUR</x:v>
      </x:c>
      <x:c r="D89" s="87" t="str">
        <x:v>TRT-0039</x:v>
      </x:c>
      <x:c r="E89" s="87" t="str">
        <x:v>Mapped</x:v>
      </x:c>
      <x:c r="F89" s="88" t="n">
        <x:v>2020</x:v>
      </x:c>
      <x:c r="G89" s="89" t="n">
        <x:v>5438.8</x:v>
      </x:c>
      <x:c r="H89" s="89" t="n">
        <x:v>938.6</x:v>
      </x:c>
      <x:c r="I89" s="89" t="n">
        <x:v>539.4</x:v>
      </x:c>
      <x:c r="J89" s="89" t="n">
        <x:v>8575.5</x:v>
      </x:c>
      <x:c r="K89" s="89" t="n">
        <x:v>3154.7</x:v>
      </x:c>
      <x:c r="L89" s="89" t="n">
        <x:v>0</x:v>
      </x:c>
      <x:c r="M89" s="90" t="n">
        <x:v>6.5786103691778575</x:v>
      </x:c>
      <x:c r="N89" s="90" t="n">
        <x:v>17.257483268368023</x:v>
      </x:c>
      <x:c r="O89" s="90" t="n">
        <x:v>36.78735933764795</x:v>
      </x:c>
      <x:c r="P89" s="87" t="str">
        <x:v>Historical non-estimate Bloomberg observation; ratios may be derived when the workbook lacked a complete ratio series.</x:v>
      </x:c>
    </x:row>
    <x:row r="90">
      <x:c r="A90" s="87" t="str">
        <x:v>Eurofins Scientific SE(2).xlsx</x:v>
      </x:c>
      <x:c r="B90" s="87" t="str">
        <x:v>Eurofins Scientific SE (ERF FP) - Standardized</x:v>
      </x:c>
      <x:c r="C90" s="87" t="str">
        <x:v>EUR</x:v>
      </x:c>
      <x:c r="D90" s="87" t="str">
        <x:v>TRT-0039</x:v>
      </x:c>
      <x:c r="E90" s="87" t="str">
        <x:v>Mapped</x:v>
      </x:c>
      <x:c r="F90" s="88" t="n">
        <x:v>2021</x:v>
      </x:c>
      <x:c r="G90" s="89" t="n">
        <x:v>6717.7</x:v>
      </x:c>
      <x:c r="H90" s="89" t="n">
        <x:v>1395.7</x:v>
      </x:c>
      <x:c r="I90" s="89" t="n">
        <x:v>782.6</x:v>
      </x:c>
      <x:c r="J90" s="89" t="n">
        <x:v>9332.3</x:v>
      </x:c>
      <x:c r="K90" s="89" t="n">
        <x:v>2754.1</x:v>
      </x:c>
      <x:c r="L90" s="89" t="n">
        <x:v>0</x:v>
      </x:c>
      <x:c r="M90" s="90" t="n">
        <x:v>8.740325444778254</x:v>
      </x:c>
      <x:c r="N90" s="90" t="n">
        <x:v>20.776456227577892</x:v>
      </x:c>
      <x:c r="O90" s="90" t="n">
        <x:v>29.51148162832314</x:v>
      </x:c>
      <x:c r="P90" s="87" t="str">
        <x:v>Historical non-estimate Bloomberg observation; ratios may be derived when the workbook lacked a complete ratio series.</x:v>
      </x:c>
    </x:row>
    <x:row r="91">
      <x:c r="A91" s="87" t="str">
        <x:v>Eurofins Scientific SE(2).xlsx</x:v>
      </x:c>
      <x:c r="B91" s="87" t="str">
        <x:v>Eurofins Scientific SE (ERF FP) - Standardized</x:v>
      </x:c>
      <x:c r="C91" s="87" t="str">
        <x:v>EUR</x:v>
      </x:c>
      <x:c r="D91" s="87" t="str">
        <x:v>TRT-0039</x:v>
      </x:c>
      <x:c r="E91" s="87" t="str">
        <x:v>Mapped</x:v>
      </x:c>
      <x:c r="F91" s="88" t="n">
        <x:v>2022</x:v>
      </x:c>
      <x:c r="G91" s="89" t="n">
        <x:v>6712.1</x:v>
      </x:c>
      <x:c r="H91" s="89" t="n">
        <x:v>953.3</x:v>
      </x:c>
      <x:c r="I91" s="89" t="n">
        <x:v>610.2</x:v>
      </x:c>
      <x:c r="J91" s="89" t="n">
        <x:v>10083.5</x:v>
      </x:c>
      <x:c r="K91" s="89" t="n">
        <x:v>3325.5</x:v>
      </x:c>
      <x:c r="L91" s="89" t="n">
        <x:v>0</x:v>
      </x:c>
      <x:c r="M91" s="90" t="n">
        <x:v>6.285602447491219</x:v>
      </x:c>
      <x:c r="N91" s="90" t="n">
        <x:v>14.2027085412911</x:v>
      </x:c>
      <x:c r="O91" s="90" t="n">
        <x:v>32.97962017156741</x:v>
      </x:c>
      <x:c r="P91" s="87" t="str">
        <x:v>Historical non-estimate Bloomberg observation; ratios may be derived when the workbook lacked a complete ratio series.</x:v>
      </x:c>
    </x:row>
    <x:row r="92">
      <x:c r="A92" s="87" t="str">
        <x:v>Eurofins Scientific SE(2).xlsx</x:v>
      </x:c>
      <x:c r="B92" s="87" t="str">
        <x:v>Eurofins Scientific SE (ERF FP) - Standardized</x:v>
      </x:c>
      <x:c r="C92" s="87" t="str">
        <x:v>EUR</x:v>
      </x:c>
      <x:c r="D92" s="87" t="str">
        <x:v>TRT-0039</x:v>
      </x:c>
      <x:c r="E92" s="87" t="str">
        <x:v>Mapped</x:v>
      </x:c>
      <x:c r="F92" s="88" t="n">
        <x:v>2023</x:v>
      </x:c>
      <x:c r="G92" s="89" t="n">
        <x:v>6514.6</x:v>
      </x:c>
      <x:c r="H92" s="89" t="n">
        <x:v>764.9</x:v>
      </x:c>
      <x:c r="I92" s="89" t="n">
        <x:v>310.2</x:v>
      </x:c>
      <x:c r="J92" s="89" t="n">
        <x:v>10888.6</x:v>
      </x:c>
      <x:c r="K92" s="89" t="n">
        <x:v>3926.7</x:v>
      </x:c>
      <x:c r="L92" s="89"/>
      <x:c r="M92" s="90" t="n">
        <x:v>2.9582159154305008</x:v>
      </x:c>
      <x:c r="N92" s="90" t="n">
        <x:v>11.741319497743529</x:v>
      </x:c>
      <x:c r="O92" s="90" t="n">
        <x:v>36.06248737211395</x:v>
      </x:c>
      <x:c r="P92" s="87" t="str">
        <x:v>Historical non-estimate Bloomberg observation; ratios may be derived when the workbook lacked a complete ratio series.</x:v>
      </x:c>
    </x:row>
    <x:row r="93">
      <x:c r="A93" s="87" t="str">
        <x:v>Eurofins Scientific SE(2).xlsx</x:v>
      </x:c>
      <x:c r="B93" s="87" t="str">
        <x:v>Eurofins Scientific SE (ERF FP) - Standardized</x:v>
      </x:c>
      <x:c r="C93" s="87" t="str">
        <x:v>EUR</x:v>
      </x:c>
      <x:c r="D93" s="87" t="str">
        <x:v>TRT-0039</x:v>
      </x:c>
      <x:c r="E93" s="87" t="str">
        <x:v>Mapped</x:v>
      </x:c>
      <x:c r="F93" s="88" t="n">
        <x:v>2024</x:v>
      </x:c>
      <x:c r="G93" s="89" t="n">
        <x:v>6951</x:v>
      </x:c>
      <x:c r="H93" s="89" t="n">
        <x:v>860.1</x:v>
      </x:c>
      <x:c r="I93" s="89" t="n">
        <x:v>406.4</x:v>
      </x:c>
      <x:c r="J93" s="89" t="n">
        <x:v>10888.4</x:v>
      </x:c>
      <x:c r="K93" s="89" t="n">
        <x:v>3610.3</x:v>
      </x:c>
      <x:c r="L93" s="89"/>
      <x:c r="M93" s="90" t="n">
        <x:v>3.7323781971805117</x:v>
      </x:c>
      <x:c r="N93" s="90" t="n">
        <x:v>12.373759171342252</x:v>
      </x:c>
      <x:c r="O93" s="90" t="n">
        <x:v>33.15730502185813</x:v>
      </x:c>
      <x:c r="P93" s="87" t="str">
        <x:v>Historical non-estimate Bloomberg observation; ratios may be derived when the workbook lacked a complete ratio series.</x:v>
      </x:c>
    </x:row>
    <x:row r="94">
      <x:c r="A94" s="87" t="str">
        <x:v>Eurofins Scientific SE(2).xlsx</x:v>
      </x:c>
      <x:c r="B94" s="87" t="str">
        <x:v>Eurofins Scientific SE (ERF FP) - Standardized</x:v>
      </x:c>
      <x:c r="C94" s="87" t="str">
        <x:v>EUR</x:v>
      </x:c>
      <x:c r="D94" s="87" t="str">
        <x:v>TRT-0039</x:v>
      </x:c>
      <x:c r="E94" s="87" t="str">
        <x:v>Mapped</x:v>
      </x:c>
      <x:c r="F94" s="88" t="n">
        <x:v>2025</x:v>
      </x:c>
      <x:c r="G94" s="89" t="n">
        <x:v>7296.1</x:v>
      </x:c>
      <x:c r="H94" s="89" t="n">
        <x:v>855.4</x:v>
      </x:c>
      <x:c r="I94" s="89" t="n">
        <x:v>474.8</x:v>
      </x:c>
      <x:c r="J94" s="89" t="n">
        <x:v>10985.4</x:v>
      </x:c>
      <x:c r="K94" s="89" t="n">
        <x:v>4432.1</x:v>
      </x:c>
      <x:c r="L94" s="89"/>
      <x:c r="M94" s="90" t="n">
        <x:v>4.341266720917262</x:v>
      </x:c>
      <x:c r="N94" s="90" t="n">
        <x:v>11.724071764367265</x:v>
      </x:c>
      <x:c r="O94" s="90" t="n">
        <x:v>40.345367487756484</x:v>
      </x:c>
      <x:c r="P94" s="87" t="str">
        <x:v>Historical non-estimate Bloomberg observation; ratios may be derived when the workbook lacked a complete ratio series.</x:v>
      </x:c>
    </x:row>
    <x:row r="95">
      <x:c r="A95" s="87" t="str">
        <x:v>FA1_4cc5cedv(1).xlsx</x:v>
      </x:c>
      <x:c r="B95" s="87" t="str">
        <x:v>Corp Quimico Farmaceutica Esteve SA (0646926D SM) - Balance Sheet</x:v>
      </x:c>
      <x:c r="C95" s="87" t="str">
        <x:v>EUR</x:v>
      </x:c>
      <x:c r="D95" s="87" t="str">
        <x:v>TRT-0044</x:v>
      </x:c>
      <x:c r="E95" s="87" t="str">
        <x:v>Mapped</x:v>
      </x:c>
      <x:c r="F95" s="88" t="n">
        <x:v>2009</x:v>
      </x:c>
      <x:c r="G95" s="89"/>
      <x:c r="H95" s="89" t="n">
        <x:v>0.9282</x:v>
      </x:c>
      <x:c r="I95" s="89"/>
      <x:c r="J95" s="89" t="n">
        <x:v>81.6573</x:v>
      </x:c>
      <x:c r="K95" s="89"/>
      <x:c r="L95" s="89"/>
      <x:c r="M95" s="90"/>
      <x:c r="N95" s="90" t="n">
        <x:v>67.4231</x:v>
      </x:c>
      <x:c r="O95" s="90"/>
      <x:c r="P95" s="87" t="str">
        <x:v>Historical non-estimate Bloomberg observation; ratios may be derived when the workbook lacked a complete ratio series.</x:v>
      </x:c>
    </x:row>
    <x:row r="96">
      <x:c r="A96" s="87" t="str">
        <x:v>FA1_4cc5cedv(1).xlsx</x:v>
      </x:c>
      <x:c r="B96" s="87" t="str">
        <x:v>Corp Quimico Farmaceutica Esteve SA (0646926D SM) - Balance Sheet</x:v>
      </x:c>
      <x:c r="C96" s="87" t="str">
        <x:v>EUR</x:v>
      </x:c>
      <x:c r="D96" s="87" t="str">
        <x:v>TRT-0044</x:v>
      </x:c>
      <x:c r="E96" s="87" t="str">
        <x:v>Mapped</x:v>
      </x:c>
      <x:c r="F96" s="88" t="n">
        <x:v>2010</x:v>
      </x:c>
      <x:c r="G96" s="89"/>
      <x:c r="H96" s="89" t="n">
        <x:v>0.4582</x:v>
      </x:c>
      <x:c r="I96" s="89"/>
      <x:c r="J96" s="89" t="n">
        <x:v>84.1083</x:v>
      </x:c>
      <x:c r="K96" s="89"/>
      <x:c r="L96" s="89"/>
      <x:c r="M96" s="90" t="n">
        <x:v>0.8048</x:v>
      </x:c>
      <x:c r="N96" s="90" t="n">
        <x:v>45.8184</x:v>
      </x:c>
      <x:c r="O96" s="90"/>
      <x:c r="P96" s="87" t="str">
        <x:v>Historical non-estimate Bloomberg observation; ratios may be derived when the workbook lacked a complete ratio series.</x:v>
      </x:c>
    </x:row>
    <x:row r="97">
      <x:c r="A97" s="87" t="str">
        <x:v>FA1_4cc5cedv(1).xlsx</x:v>
      </x:c>
      <x:c r="B97" s="87" t="str">
        <x:v>Corp Quimico Farmaceutica Esteve SA (0646926D SM) - Balance Sheet</x:v>
      </x:c>
      <x:c r="C97" s="87" t="str">
        <x:v>EUR</x:v>
      </x:c>
      <x:c r="D97" s="87" t="str">
        <x:v>TRT-0044</x:v>
      </x:c>
      <x:c r="E97" s="87" t="str">
        <x:v>Mapped</x:v>
      </x:c>
      <x:c r="F97" s="88" t="n">
        <x:v>2011</x:v>
      </x:c>
      <x:c r="G97" s="89"/>
      <x:c r="H97" s="89" t="n">
        <x:v>12.78</x:v>
      </x:c>
      <x:c r="I97" s="89"/>
      <x:c r="J97" s="89" t="n">
        <x:v>84.1107</x:v>
      </x:c>
      <x:c r="K97" s="89"/>
      <x:c r="L97" s="89"/>
      <x:c r="M97" s="90" t="n">
        <x:v>15.4463</x:v>
      </x:c>
      <x:c r="N97" s="90" t="n">
        <x:v>93.406</x:v>
      </x:c>
      <x:c r="O97" s="90"/>
      <x:c r="P97" s="87" t="str">
        <x:v>Historical non-estimate Bloomberg observation; ratios may be derived when the workbook lacked a complete ratio series.</x:v>
      </x:c>
    </x:row>
    <x:row r="98">
      <x:c r="A98" s="87" t="str">
        <x:v>FA1_4cc5cedv(1).xlsx</x:v>
      </x:c>
      <x:c r="B98" s="87" t="str">
        <x:v>Corp Quimico Farmaceutica Esteve SA (0646926D SM) - Balance Sheet</x:v>
      </x:c>
      <x:c r="C98" s="87" t="str">
        <x:v>EUR</x:v>
      </x:c>
      <x:c r="D98" s="87" t="str">
        <x:v>TRT-0044</x:v>
      </x:c>
      <x:c r="E98" s="87" t="str">
        <x:v>Mapped</x:v>
      </x:c>
      <x:c r="F98" s="88" t="n">
        <x:v>2012</x:v>
      </x:c>
      <x:c r="G98" s="89"/>
      <x:c r="H98" s="89" t="n">
        <x:v>4.8265</x:v>
      </x:c>
      <x:c r="I98" s="89"/>
      <x:c r="J98" s="89" t="n">
        <x:v>95.7257</x:v>
      </x:c>
      <x:c r="K98" s="89"/>
      <x:c r="L98" s="89"/>
      <x:c r="M98" s="90" t="n">
        <x:v>5.7194</x:v>
      </x:c>
      <x:c r="N98" s="90" t="n">
        <x:v>82.9825</x:v>
      </x:c>
      <x:c r="O98" s="90"/>
      <x:c r="P98" s="87" t="str">
        <x:v>Historical non-estimate Bloomberg observation; ratios may be derived when the workbook lacked a complete ratio series.</x:v>
      </x:c>
    </x:row>
    <x:row r="99">
      <x:c r="A99" s="87" t="str">
        <x:v>FA1_4cc5cedv(1).xlsx</x:v>
      </x:c>
      <x:c r="B99" s="87" t="str">
        <x:v>Corp Quimico Farmaceutica Esteve SA (0646926D SM) - Balance Sheet</x:v>
      </x:c>
      <x:c r="C99" s="87" t="str">
        <x:v>EUR</x:v>
      </x:c>
      <x:c r="D99" s="87" t="str">
        <x:v>TRT-0044</x:v>
      </x:c>
      <x:c r="E99" s="87" t="str">
        <x:v>Mapped</x:v>
      </x:c>
      <x:c r="F99" s="88" t="n">
        <x:v>2013</x:v>
      </x:c>
      <x:c r="G99" s="89"/>
      <x:c r="H99" s="89" t="n">
        <x:v>6.5238</x:v>
      </x:c>
      <x:c r="I99" s="89"/>
      <x:c r="J99" s="89" t="n">
        <x:v>103.6479</x:v>
      </x:c>
      <x:c r="K99" s="89"/>
      <x:c r="L99" s="89"/>
      <x:c r="M99" s="90" t="n">
        <x:v>6.0665</x:v>
      </x:c>
      <x:c r="N99" s="90" t="n">
        <x:v>81.9539</x:v>
      </x:c>
      <x:c r="O99" s="90"/>
      <x:c r="P99" s="87" t="str">
        <x:v>Historical non-estimate Bloomberg observation; ratios may be derived when the workbook lacked a complete ratio series.</x:v>
      </x:c>
    </x:row>
    <x:row r="100">
      <x:c r="A100" s="87" t="str">
        <x:v>FA1_4cc5cedv(1).xlsx</x:v>
      </x:c>
      <x:c r="B100" s="87" t="str">
        <x:v>Corp Quimico Farmaceutica Esteve SA (0646926D SM) - Balance Sheet</x:v>
      </x:c>
      <x:c r="C100" s="87" t="str">
        <x:v>EUR</x:v>
      </x:c>
      <x:c r="D100" s="87" t="str">
        <x:v>TRT-0044</x:v>
      </x:c>
      <x:c r="E100" s="87" t="str">
        <x:v>Mapped</x:v>
      </x:c>
      <x:c r="F100" s="88" t="n">
        <x:v>2014</x:v>
      </x:c>
      <x:c r="G100" s="89"/>
      <x:c r="H100" s="89" t="n">
        <x:v>12.891</x:v>
      </x:c>
      <x:c r="I100" s="89"/>
      <x:c r="J100" s="89" t="n">
        <x:v>264.8229</x:v>
      </x:c>
      <x:c r="K100" s="89"/>
      <x:c r="L100" s="89"/>
      <x:c r="M100" s="90" t="n">
        <x:v>6.9912</x:v>
      </x:c>
      <x:c r="N100" s="90" t="n">
        <x:v>89.1114</x:v>
      </x:c>
      <x:c r="O100" s="90"/>
      <x:c r="P100" s="87" t="str">
        <x:v>Historical non-estimate Bloomberg observation; ratios may be derived when the workbook lacked a complete ratio series.</x:v>
      </x:c>
    </x:row>
    <x:row r="101">
      <x:c r="A101" s="87" t="str">
        <x:v>FA1_4cc5cedv(1).xlsx</x:v>
      </x:c>
      <x:c r="B101" s="87" t="str">
        <x:v>Corp Quimico Farmaceutica Esteve SA (0646926D SM) - Balance Sheet</x:v>
      </x:c>
      <x:c r="C101" s="87" t="str">
        <x:v>EUR</x:v>
      </x:c>
      <x:c r="D101" s="87" t="str">
        <x:v>TRT-0044</x:v>
      </x:c>
      <x:c r="E101" s="87" t="str">
        <x:v>Mapped</x:v>
      </x:c>
      <x:c r="F101" s="88" t="n">
        <x:v>2015</x:v>
      </x:c>
      <x:c r="G101" s="89"/>
      <x:c r="H101" s="89"/>
      <x:c r="I101" s="89"/>
      <x:c r="J101" s="89"/>
      <x:c r="K101" s="89"/>
      <x:c r="L101" s="89"/>
      <x:c r="M101" s="90"/>
      <x:c r="N101" s="90"/>
      <x:c r="O101" s="90"/>
      <x:c r="P101" s="87" t="str">
        <x:v>Historical non-estimate Bloomberg observation; ratios may be derived when the workbook lacked a complete ratio series.</x:v>
      </x:c>
    </x:row>
    <x:row r="102">
      <x:c r="A102" s="87" t="str">
        <x:v>FA1_4cc5cedv(1).xlsx</x:v>
      </x:c>
      <x:c r="B102" s="87" t="str">
        <x:v>Corp Quimico Farmaceutica Esteve SA (0646926D SM) - Balance Sheet</x:v>
      </x:c>
      <x:c r="C102" s="87" t="str">
        <x:v>EUR</x:v>
      </x:c>
      <x:c r="D102" s="87" t="str">
        <x:v>TRT-0044</x:v>
      </x:c>
      <x:c r="E102" s="87" t="str">
        <x:v>Mapped</x:v>
      </x:c>
      <x:c r="F102" s="88" t="n">
        <x:v>2016</x:v>
      </x:c>
      <x:c r="G102" s="89"/>
      <x:c r="H102" s="89" t="n">
        <x:v>113.7336</x:v>
      </x:c>
      <x:c r="I102" s="89"/>
      <x:c r="J102" s="89" t="n">
        <x:v>414.9714</x:v>
      </x:c>
      <x:c r="K102" s="89" t="n">
        <x:v>0</x:v>
      </x:c>
      <x:c r="L102" s="89"/>
      <x:c r="M102" s="90"/>
      <x:c r="N102" s="90" t="n">
        <x:v>98.3778</x:v>
      </x:c>
      <x:c r="O102" s="90" t="n">
        <x:v>0</x:v>
      </x:c>
      <x:c r="P102" s="87" t="str">
        <x:v>Historical non-estimate Bloomberg observation; ratios may be derived when the workbook lacked a complete ratio series.</x:v>
      </x:c>
    </x:row>
    <x:row r="103">
      <x:c r="A103" s="87" t="str">
        <x:v>FA1_4cc5cedv(1).xlsx</x:v>
      </x:c>
      <x:c r="B103" s="87" t="str">
        <x:v>Corp Quimico Farmaceutica Esteve SA (0646926D SM) - Balance Sheet</x:v>
      </x:c>
      <x:c r="C103" s="87" t="str">
        <x:v>EUR</x:v>
      </x:c>
      <x:c r="D103" s="87" t="str">
        <x:v>TRT-0044</x:v>
      </x:c>
      <x:c r="E103" s="87" t="str">
        <x:v>Mapped</x:v>
      </x:c>
      <x:c r="F103" s="88" t="n">
        <x:v>2017</x:v>
      </x:c>
      <x:c r="G103" s="89"/>
      <x:c r="H103" s="89" t="n">
        <x:v>19.8088</x:v>
      </x:c>
      <x:c r="I103" s="89"/>
      <x:c r="J103" s="89" t="n">
        <x:v>458.8717</x:v>
      </x:c>
      <x:c r="K103" s="89" t="n">
        <x:v>0</x:v>
      </x:c>
      <x:c r="L103" s="89"/>
      <x:c r="M103" s="90" t="n">
        <x:v>4.4884</x:v>
      </x:c>
      <x:c r="N103" s="90" t="n">
        <x:v>91.1781</x:v>
      </x:c>
      <x:c r="O103" s="90" t="n">
        <x:v>0</x:v>
      </x:c>
      <x:c r="P103" s="87" t="str">
        <x:v>Historical non-estimate Bloomberg observation; ratios may be derived when the workbook lacked a complete ratio series.</x:v>
      </x:c>
    </x:row>
    <x:row r="104">
      <x:c r="A104" s="87" t="str">
        <x:v>FA1_4cc5cedv(1).xlsx</x:v>
      </x:c>
      <x:c r="B104" s="87" t="str">
        <x:v>Corp Quimico Farmaceutica Esteve SA (0646926D SM) - Balance Sheet</x:v>
      </x:c>
      <x:c r="C104" s="87" t="str">
        <x:v>EUR</x:v>
      </x:c>
      <x:c r="D104" s="87" t="str">
        <x:v>TRT-0044</x:v>
      </x:c>
      <x:c r="E104" s="87" t="str">
        <x:v>Mapped</x:v>
      </x:c>
      <x:c r="F104" s="88" t="n">
        <x:v>2018</x:v>
      </x:c>
      <x:c r="G104" s="89"/>
      <x:c r="H104" s="89" t="n">
        <x:v>12.6743</x:v>
      </x:c>
      <x:c r="I104" s="89"/>
      <x:c r="J104" s="89" t="n">
        <x:v>538.6484</x:v>
      </x:c>
      <x:c r="K104" s="89" t="n">
        <x:v>17.1185</x:v>
      </x:c>
      <x:c r="L104" s="89"/>
      <x:c r="M104" s="90" t="n">
        <x:v>3.2539</x:v>
      </x:c>
      <x:c r="N104" s="90" t="n">
        <x:v>76.1274</x:v>
      </x:c>
      <x:c r="O104" s="90" t="n">
        <x:v>3.178</x:v>
      </x:c>
      <x:c r="P104" s="87" t="str">
        <x:v>Historical non-estimate Bloomberg observation; ratios may be derived when the workbook lacked a complete ratio series.</x:v>
      </x:c>
    </x:row>
    <x:row r="105">
      <x:c r="A105" s="87" t="str">
        <x:v>FA1_4cc5cedv(1).xlsx</x:v>
      </x:c>
      <x:c r="B105" s="87" t="str">
        <x:v>Corp Quimico Farmaceutica Esteve SA (0646926D SM) - Balance Sheet</x:v>
      </x:c>
      <x:c r="C105" s="87" t="str">
        <x:v>EUR</x:v>
      </x:c>
      <x:c r="D105" s="87" t="str">
        <x:v>TRT-0044</x:v>
      </x:c>
      <x:c r="E105" s="87" t="str">
        <x:v>Mapped</x:v>
      </x:c>
      <x:c r="F105" s="88" t="n">
        <x:v>2019</x:v>
      </x:c>
      <x:c r="G105" s="89"/>
      <x:c r="H105" s="89" t="n">
        <x:v>166.8558</x:v>
      </x:c>
      <x:c r="I105" s="89"/>
      <x:c r="J105" s="89" t="n">
        <x:v>890.9543</x:v>
      </x:c>
      <x:c r="K105" s="89" t="n">
        <x:v>23.5852</x:v>
      </x:c>
      <x:c r="L105" s="89"/>
      <x:c r="M105" s="90" t="n">
        <x:v>23.6081</x:v>
      </x:c>
      <x:c r="N105" s="90" t="n">
        <x:v>95.7042</x:v>
      </x:c>
      <x:c r="O105" s="90" t="n">
        <x:v>2.6472</x:v>
      </x:c>
      <x:c r="P105" s="87" t="str">
        <x:v>Historical non-estimate Bloomberg observation; ratios may be derived when the workbook lacked a complete ratio series.</x:v>
      </x:c>
    </x:row>
    <x:row r="106">
      <x:c r="A106" s="87" t="str">
        <x:v>FA1_4cc5cedv(1).xlsx</x:v>
      </x:c>
      <x:c r="B106" s="87" t="str">
        <x:v>Corp Quimico Farmaceutica Esteve SA (0646926D SM) - Balance Sheet</x:v>
      </x:c>
      <x:c r="C106" s="87" t="str">
        <x:v>EUR</x:v>
      </x:c>
      <x:c r="D106" s="87" t="str">
        <x:v>TRT-0044</x:v>
      </x:c>
      <x:c r="E106" s="87" t="str">
        <x:v>Mapped</x:v>
      </x:c>
      <x:c r="F106" s="88" t="n">
        <x:v>2020</x:v>
      </x:c>
      <x:c r="G106" s="89"/>
      <x:c r="H106" s="89" t="n">
        <x:v>-23.2304</x:v>
      </x:c>
      <x:c r="I106" s="89"/>
      <x:c r="J106" s="89" t="n">
        <x:v>851.7258</x:v>
      </x:c>
      <x:c r="K106" s="89" t="n">
        <x:v>30.0069</x:v>
      </x:c>
      <x:c r="L106" s="89"/>
      <x:c r="M106" s="90" t="n">
        <x:v>7.5956</x:v>
      </x:c>
      <x:c r="N106" s="90" t="n">
        <x:v>-357.3914</x:v>
      </x:c>
      <x:c r="O106" s="90" t="n">
        <x:v>3.5231</x:v>
      </x:c>
      <x:c r="P106" s="87" t="str">
        <x:v>Historical non-estimate Bloomberg observation; ratios may be derived when the workbook lacked a complete ratio series.</x:v>
      </x:c>
    </x:row>
    <x:row r="107">
      <x:c r="A107" s="87" t="str">
        <x:v>FA1_4cc5cedv(1).xlsx</x:v>
      </x:c>
      <x:c r="B107" s="87" t="str">
        <x:v>Corp Quimico Farmaceutica Esteve SA (0646926D SM) - Balance Sheet</x:v>
      </x:c>
      <x:c r="C107" s="87" t="str">
        <x:v>EUR</x:v>
      </x:c>
      <x:c r="D107" s="87" t="str">
        <x:v>TRT-0044</x:v>
      </x:c>
      <x:c r="E107" s="87" t="str">
        <x:v>Mapped</x:v>
      </x:c>
      <x:c r="F107" s="88" t="n">
        <x:v>2021</x:v>
      </x:c>
      <x:c r="G107" s="89"/>
      <x:c r="H107" s="89" t="n">
        <x:v>46.584</x:v>
      </x:c>
      <x:c r="I107" s="89"/>
      <x:c r="J107" s="89" t="n">
        <x:v>779.869</x:v>
      </x:c>
      <x:c r="K107" s="89" t="n">
        <x:v>0.021</x:v>
      </x:c>
      <x:c r="L107" s="89"/>
      <x:c r="M107" s="90" t="n">
        <x:v>5.2352</x:v>
      </x:c>
      <x:c r="N107" s="90" t="n">
        <x:v>85.7143</x:v>
      </x:c>
      <x:c r="O107" s="90" t="n">
        <x:v>0.0027</x:v>
      </x:c>
      <x:c r="P107" s="87" t="str">
        <x:v>Historical non-estimate Bloomberg observation; ratios may be derived when the workbook lacked a complete ratio series.</x:v>
      </x:c>
    </x:row>
    <x:row r="108">
      <x:c r="A108" s="87" t="str">
        <x:v>FA1_s511qg5q(1).xlsx</x:v>
      </x:c>
      <x:c r="B108" s="87" t="str">
        <x:v>10X Genomics Inc (TXG US) - Adjusted</x:v>
      </x:c>
      <x:c r="C108" s="87" t="str">
        <x:v>EUR</x:v>
      </x:c>
      <x:c r="D108" s="87"/>
      <x:c r="E108" s="87" t="str">
        <x:v>Unmatched</x:v>
      </x:c>
      <x:c r="F108" s="88" t="n">
        <x:v>2017</x:v>
      </x:c>
      <x:c r="G108" s="89" t="n">
        <x:v>63.053</x:v>
      </x:c>
      <x:c r="H108" s="89" t="n">
        <x:v>-16.2988</x:v>
      </x:c>
      <x:c r="I108" s="89" t="n">
        <x:v>-16.6421</x:v>
      </x:c>
      <x:c r="J108" s="89" t="n">
        <x:v>62.8922</x:v>
      </x:c>
      <x:c r="K108" s="89" t="n">
        <x:v>8.7831</x:v>
      </x:c>
      <x:c r="L108" s="89" t="n">
        <x:v>28.5297</x:v>
      </x:c>
      <x:c r="M108" s="90" t="n">
        <x:v>-26.461309987566025</x:v>
      </x:c>
      <x:c r="N108" s="90" t="n">
        <x:v>-25.8493</x:v>
      </x:c>
      <x:c r="O108" s="90" t="n">
        <x:v>13.9653</x:v>
      </x:c>
      <x:c r="P108" s="87" t="str">
        <x:v>Historical non-estimate Bloomberg observation; ratios may be derived when the workbook lacked a complete ratio series.</x:v>
      </x:c>
    </x:row>
    <x:row r="109">
      <x:c r="A109" s="87" t="str">
        <x:v>FA1_s511qg5q(1).xlsx</x:v>
      </x:c>
      <x:c r="B109" s="87" t="str">
        <x:v>10X Genomics Inc (TXG US) - Adjusted</x:v>
      </x:c>
      <x:c r="C109" s="87" t="str">
        <x:v>EUR</x:v>
      </x:c>
      <x:c r="D109" s="87"/>
      <x:c r="E109" s="87" t="str">
        <x:v>Unmatched</x:v>
      </x:c>
      <x:c r="F109" s="88" t="n">
        <x:v>2018</x:v>
      </x:c>
      <x:c r="G109" s="89" t="n">
        <x:v>123.9956</x:v>
      </x:c>
      <x:c r="H109" s="89" t="n">
        <x:v>-14.89</x:v>
      </x:c>
      <x:c r="I109" s="89" t="n">
        <x:v>-95.3275</x:v>
      </x:c>
      <x:c r="J109" s="89" t="n">
        <x:v>108.5487</x:v>
      </x:c>
      <x:c r="K109" s="89" t="n">
        <x:v>25.9134</x:v>
      </x:c>
      <x:c r="L109" s="89" t="n">
        <x:v>40.2861</x:v>
      </x:c>
      <x:c r="M109" s="90" t="n">
        <x:v>-112.5306</x:v>
      </x:c>
      <x:c r="N109" s="90" t="n">
        <x:v>-75.7035</x:v>
      </x:c>
      <x:c r="O109" s="90" t="n">
        <x:v>23.8726</x:v>
      </x:c>
      <x:c r="P109" s="87" t="str">
        <x:v>Historical non-estimate Bloomberg observation; ratios may be derived when the workbook lacked a complete ratio series.</x:v>
      </x:c>
    </x:row>
    <x:row r="110">
      <x:c r="A110" s="87" t="str">
        <x:v>FA1_s511qg5q(1).xlsx</x:v>
      </x:c>
      <x:c r="B110" s="87" t="str">
        <x:v>10X Genomics Inc (TXG US) - Adjusted</x:v>
      </x:c>
      <x:c r="C110" s="87" t="str">
        <x:v>EUR</x:v>
      </x:c>
      <x:c r="D110" s="87"/>
      <x:c r="E110" s="87" t="str">
        <x:v>Unmatched</x:v>
      </x:c>
      <x:c r="F110" s="88" t="n">
        <x:v>2019</x:v>
      </x:c>
      <x:c r="G110" s="89" t="n">
        <x:v>219.679</x:v>
      </x:c>
      <x:c r="H110" s="89" t="n">
        <x:v>-25.4233</x:v>
      </x:c>
      <x:c r="I110" s="89" t="n">
        <x:v>-27.9194</x:v>
      </x:c>
      <x:c r="J110" s="89" t="n">
        <x:v>539.6055</x:v>
      </x:c>
      <x:c r="K110" s="89" t="n">
        <x:v>26.4663</x:v>
      </x:c>
      <x:c r="L110" s="89" t="n">
        <x:v>74.2383</x:v>
      </x:c>
      <x:c r="M110" s="90" t="n">
        <x:v>-8.5592</x:v>
      </x:c>
      <x:c r="N110" s="90" t="n">
        <x:v>-12.4335</x:v>
      </x:c>
      <x:c r="O110" s="90" t="n">
        <x:v>4.9047</x:v>
      </x:c>
      <x:c r="P110" s="87" t="str">
        <x:v>Historical non-estimate Bloomberg observation; ratios may be derived when the workbook lacked a complete ratio series.</x:v>
      </x:c>
    </x:row>
    <x:row r="111">
      <x:c r="A111" s="87" t="str">
        <x:v>FA1_s511qg5q(1).xlsx</x:v>
      </x:c>
      <x:c r="B111" s="87" t="str">
        <x:v>10X Genomics Inc (TXG US) - Adjusted</x:v>
      </x:c>
      <x:c r="C111" s="87" t="str">
        <x:v>EUR</x:v>
      </x:c>
      <x:c r="D111" s="87"/>
      <x:c r="E111" s="87" t="str">
        <x:v>Unmatched</x:v>
      </x:c>
      <x:c r="F111" s="88" t="n">
        <x:v>2020</x:v>
      </x:c>
      <x:c r="G111" s="89" t="n">
        <x:v>262.1456</x:v>
      </x:c>
      <x:c r="H111" s="89" t="n">
        <x:v>-467.4077</x:v>
      </x:c>
      <x:c r="I111" s="89" t="n">
        <x:v>-476.0814</x:v>
      </x:c>
      <x:c r="J111" s="89" t="n">
        <x:v>760.1971</x:v>
      </x:c>
      <x:c r="K111" s="89" t="n">
        <x:v>51.5157</x:v>
      </x:c>
      <x:c r="L111" s="89" t="n">
        <x:v>500.8114</x:v>
      </x:c>
      <x:c r="M111" s="90" t="n">
        <x:v>-70.702</x:v>
      </x:c>
      <x:c r="N111" s="90" t="n">
        <x:v>-178.7355</x:v>
      </x:c>
      <x:c r="O111" s="90" t="n">
        <x:v>6.7766</x:v>
      </x:c>
      <x:c r="P111" s="87" t="str">
        <x:v>Historical non-estimate Bloomberg observation; ratios may be derived when the workbook lacked a complete ratio series.</x:v>
      </x:c>
    </x:row>
    <x:row r="112">
      <x:c r="A112" s="87" t="str">
        <x:v>FA1_s511qg5q(1).xlsx</x:v>
      </x:c>
      <x:c r="B112" s="87" t="str">
        <x:v>10X Genomics Inc (TXG US) - Adjusted</x:v>
      </x:c>
      <x:c r="C112" s="87" t="str">
        <x:v>EUR</x:v>
      </x:c>
      <x:c r="D112" s="87"/>
      <x:c r="E112" s="87" t="str">
        <x:v>Unmatched</x:v>
      </x:c>
      <x:c r="F112" s="88" t="n">
        <x:v>2021</x:v>
      </x:c>
      <x:c r="G112" s="89" t="n">
        <x:v>414.9375</x:v>
      </x:c>
      <x:c r="H112" s="89" t="n">
        <x:v>-44.6957</x:v>
      </x:c>
      <x:c r="I112" s="89" t="n">
        <x:v>-49.2546</x:v>
      </x:c>
      <x:c r="J112" s="89" t="n">
        <x:v>894.8059</x:v>
      </x:c>
      <x:c r="K112" s="89" t="n">
        <x:v>71.9989</x:v>
      </x:c>
      <x:c r="L112" s="89" t="n">
        <x:v>179.1348</x:v>
      </x:c>
      <x:c r="M112" s="90" t="n">
        <x:v>-5.9772</x:v>
      </x:c>
      <x:c r="N112" s="90" t="n">
        <x:v>-10.6532</x:v>
      </x:c>
      <x:c r="O112" s="90" t="n">
        <x:v>8.0463</x:v>
      </x:c>
      <x:c r="P112" s="87" t="str">
        <x:v>Historical non-estimate Bloomberg observation; ratios may be derived when the workbook lacked a complete ratio series.</x:v>
      </x:c>
    </x:row>
    <x:row r="113">
      <x:c r="A113" s="87" t="str">
        <x:v>FA1_s511qg5q(1).xlsx</x:v>
      </x:c>
      <x:c r="B113" s="87" t="str">
        <x:v>10X Genomics Inc (TXG US) - Adjusted</x:v>
      </x:c>
      <x:c r="C113" s="87" t="str">
        <x:v>EUR</x:v>
      </x:c>
      <x:c r="D113" s="87"/>
      <x:c r="E113" s="87" t="str">
        <x:v>Unmatched</x:v>
      </x:c>
      <x:c r="F113" s="88" t="n">
        <x:v>2022</x:v>
      </x:c>
      <x:c r="G113" s="89" t="n">
        <x:v>491.3787</x:v>
      </x:c>
      <x:c r="H113" s="89" t="n">
        <x:v>-159.8038</x:v>
      </x:c>
      <x:c r="I113" s="89" t="n">
        <x:v>-157.954</x:v>
      </x:c>
      <x:c r="J113" s="89" t="n">
        <x:v>960.6759</x:v>
      </x:c>
      <x:c r="K113" s="89" t="n">
        <x:v>88.8582</x:v>
      </x:c>
      <x:c r="L113" s="89" t="n">
        <x:v>252.7901</x:v>
      </x:c>
      <x:c r="M113" s="90" t="n">
        <x:v>-16.2125</x:v>
      </x:c>
      <x:c r="N113" s="90" t="n">
        <x:v>-32.5215</x:v>
      </x:c>
      <x:c r="O113" s="90" t="n">
        <x:v>9.2495</x:v>
      </x:c>
      <x:c r="P113" s="87" t="str">
        <x:v>Historical non-estimate Bloomberg observation; ratios may be derived when the workbook lacked a complete ratio series.</x:v>
      </x:c>
    </x:row>
    <x:row r="114">
      <x:c r="A114" s="87" t="str">
        <x:v>FA1_s511qg5q(1).xlsx</x:v>
      </x:c>
      <x:c r="B114" s="87" t="str">
        <x:v>10X Genomics Inc (TXG US) - Adjusted</x:v>
      </x:c>
      <x:c r="C114" s="87" t="str">
        <x:v>EUR</x:v>
      </x:c>
      <x:c r="D114" s="87"/>
      <x:c r="E114" s="87" t="str">
        <x:v>Unmatched</x:v>
      </x:c>
      <x:c r="F114" s="88" t="n">
        <x:v>2023</x:v>
      </x:c>
      <x:c r="G114" s="89" t="n">
        <x:v>572.2165</x:v>
      </x:c>
      <x:c r="H114" s="89" t="n">
        <x:v>-188.9878</x:v>
      </x:c>
      <x:c r="I114" s="89" t="n">
        <x:v>-235.9229</x:v>
      </x:c>
      <x:c r="J114" s="89" t="n">
        <x:v>872.3274</x:v>
      </x:c>
      <x:c r="K114" s="89" t="n">
        <x:v>86.1985</x:v>
      </x:c>
      <x:c r="L114" s="89" t="n">
        <x:v>250.0108</x:v>
      </x:c>
      <x:c r="M114" s="90" t="n">
        <x:v>-25.5851</x:v>
      </x:c>
      <x:c r="N114" s="90" t="n">
        <x:v>-42.883</x:v>
      </x:c>
      <x:c r="O114" s="90" t="n">
        <x:v>9.8814</x:v>
      </x:c>
      <x:c r="P114" s="87" t="str">
        <x:v>Historical non-estimate Bloomberg observation; ratios may be derived when the workbook lacked a complete ratio series.</x:v>
      </x:c>
    </x:row>
    <x:row r="115">
      <x:c r="A115" s="87" t="str">
        <x:v>FA1_s511qg5q(1).xlsx</x:v>
      </x:c>
      <x:c r="B115" s="87" t="str">
        <x:v>10X Genomics Inc (TXG US) - Adjusted</x:v>
      </x:c>
      <x:c r="C115" s="87" t="str">
        <x:v>EUR</x:v>
      </x:c>
      <x:c r="D115" s="87"/>
      <x:c r="E115" s="87" t="str">
        <x:v>Unmatched</x:v>
      </x:c>
      <x:c r="F115" s="88" t="n">
        <x:v>2024</x:v>
      </x:c>
      <x:c r="G115" s="89" t="n">
        <x:v>564.7641</x:v>
      </x:c>
      <x:c r="H115" s="89" t="n">
        <x:v>-179.8995</x:v>
      </x:c>
      <x:c r="I115" s="89" t="n">
        <x:v>-168.8666</x:v>
      </x:c>
      <x:c r="J115" s="89" t="n">
        <x:v>887.6568</x:v>
      </x:c>
      <x:c r="K115" s="89" t="n">
        <x:v>79.827</x:v>
      </x:c>
      <x:c r="L115" s="89" t="n">
        <x:v>244.7538</x:v>
      </x:c>
      <x:c r="M115" s="90" t="n">
        <x:v>-19.3894</x:v>
      </x:c>
      <x:c r="N115" s="90" t="n">
        <x:v>-31.8539</x:v>
      </x:c>
      <x:c r="O115" s="90" t="n">
        <x:v>8.993</x:v>
      </x:c>
      <x:c r="P115" s="87" t="str">
        <x:v>Historical non-estimate Bloomberg observation; ratios may be derived when the workbook lacked a complete ratio series.</x:v>
      </x:c>
    </x:row>
    <x:row r="116">
      <x:c r="A116" s="87" t="str">
        <x:v>FA1_s511qg5q(1).xlsx</x:v>
      </x:c>
      <x:c r="B116" s="87" t="str">
        <x:v>10X Genomics Inc (TXG US) - Adjusted</x:v>
      </x:c>
      <x:c r="C116" s="87" t="str">
        <x:v>EUR</x:v>
      </x:c>
      <x:c r="D116" s="87"/>
      <x:c r="E116" s="87" t="str">
        <x:v>Unmatched</x:v>
      </x:c>
      <x:c r="F116" s="88" t="n">
        <x:v>2025</x:v>
      </x:c>
      <x:c r="G116" s="89" t="n">
        <x:v>569.7795</x:v>
      </x:c>
      <x:c r="H116" s="89" t="n">
        <x:v>-98.2852</x:v>
      </x:c>
      <x:c r="I116" s="89" t="n">
        <x:v>-38.5961</x:v>
      </x:c>
      <x:c r="J116" s="89" t="n">
        <x:v>887.3253</x:v>
      </x:c>
      <x:c r="K116" s="89" t="n">
        <x:v>71.8822</x:v>
      </x:c>
      <x:c r="L116" s="89" t="n">
        <x:v>211.5164</x:v>
      </x:c>
      <x:c r="M116" s="90" t="n">
        <x:v>-4.4433</x:v>
      </x:c>
      <x:c r="N116" s="90" t="n">
        <x:v>-9.4871</x:v>
      </x:c>
      <x:c r="O116" s="90" t="n">
        <x:v>8.101</x:v>
      </x:c>
      <x:c r="P116" s="87" t="str">
        <x:v>Historical non-estimate Bloomberg observation; ratios may be derived when the workbook lacked a complete ratio series.</x:v>
      </x:c>
    </x:row>
    <x:row r="117">
      <x:c r="A117" s="87" t="str">
        <x:v>GSK(1).xlsx</x:v>
      </x:c>
      <x:c r="B117" s="87" t="str">
        <x:v>GSK PLC (GSK LN) - Adjusted</x:v>
      </x:c>
      <x:c r="C117" s="87" t="str">
        <x:v>EUR</x:v>
      </x:c>
      <x:c r="D117" s="87" t="str">
        <x:v>TRT-0038</x:v>
      </x:c>
      <x:c r="E117" s="87" t="str">
        <x:v>Mapped</x:v>
      </x:c>
      <x:c r="F117" s="88" t="n">
        <x:v>2006</x:v>
      </x:c>
      <x:c r="G117" s="89"/>
      <x:c r="H117" s="89"/>
      <x:c r="I117" s="89"/>
      <x:c r="J117" s="89" t="n">
        <x:v>37514.8032</x:v>
      </x:c>
      <x:c r="K117" s="89" t="n">
        <x:v>8059.9644</x:v>
      </x:c>
      <x:c r="L117" s="89"/>
      <x:c r="M117" s="90" t="n">
        <x:v>21.7255</x:v>
      </x:c>
      <x:c r="N117" s="90" t="n">
        <x:v>32.9343</x:v>
      </x:c>
      <x:c r="O117" s="90" t="n">
        <x:v>21.4848</x:v>
      </x:c>
      <x:c r="P117" s="87" t="str">
        <x:v>Historical non-estimate Bloomberg observation; ratios may be derived when the workbook lacked a complete ratio series.</x:v>
      </x:c>
    </x:row>
    <x:row r="118">
      <x:c r="A118" s="87" t="str">
        <x:v>GSK(1).xlsx</x:v>
      </x:c>
      <x:c r="B118" s="87" t="str">
        <x:v>GSK PLC (GSK LN) - Adjusted</x:v>
      </x:c>
      <x:c r="C118" s="87" t="str">
        <x:v>EUR</x:v>
      </x:c>
      <x:c r="D118" s="87" t="str">
        <x:v>TRT-0038</x:v>
      </x:c>
      <x:c r="E118" s="87" t="str">
        <x:v>Mapped</x:v>
      </x:c>
      <x:c r="F118" s="88" t="n">
        <x:v>2007</x:v>
      </x:c>
      <x:c r="G118" s="89"/>
      <x:c r="H118" s="89"/>
      <x:c r="I118" s="89"/>
      <x:c r="J118" s="89"/>
      <x:c r="K118" s="89" t="n">
        <x:v>14372.2977</x:v>
      </x:c>
      <x:c r="L118" s="89"/>
      <x:c r="M118" s="90"/>
      <x:c r="N118" s="90" t="n">
        <x:v>33.8748</x:v>
      </x:c>
      <x:c r="O118" s="90" t="n">
        <x:v>34.0967</x:v>
      </x:c>
      <x:c r="P118" s="87" t="str">
        <x:v>Historical non-estimate Bloomberg observation; ratios may be derived when the workbook lacked a complete ratio series.</x:v>
      </x:c>
    </x:row>
    <x:row r="119">
      <x:c r="A119" s="87" t="str">
        <x:v>GSK(1).xlsx</x:v>
      </x:c>
      <x:c r="B119" s="87" t="str">
        <x:v>GSK PLC (GSK LN) - Adjusted</x:v>
      </x:c>
      <x:c r="C119" s="87" t="str">
        <x:v>EUR</x:v>
      </x:c>
      <x:c r="D119" s="87" t="str">
        <x:v>TRT-0038</x:v>
      </x:c>
      <x:c r="E119" s="87" t="str">
        <x:v>Mapped</x:v>
      </x:c>
      <x:c r="F119" s="88" t="n">
        <x:v>2008</x:v>
      </x:c>
      <x:c r="G119" s="89"/>
      <x:c r="H119" s="89"/>
      <x:c r="I119" s="89"/>
      <x:c r="J119" s="89" t="n">
        <x:v>41149.0701</x:v>
      </x:c>
      <x:c r="K119" s="89" t="n">
        <x:v>16908.5878</x:v>
      </x:c>
      <x:c r="L119" s="89"/>
      <x:c r="M119" s="90"/>
      <x:c r="N119" s="90" t="n">
        <x:v>32.252</x:v>
      </x:c>
      <x:c r="O119" s="90" t="n">
        <x:v>41.0911</x:v>
      </x:c>
      <x:c r="P119" s="87" t="str">
        <x:v>Historical non-estimate Bloomberg observation; ratios may be derived when the workbook lacked a complete ratio series.</x:v>
      </x:c>
    </x:row>
    <x:row r="120">
      <x:c r="A120" s="87" t="str">
        <x:v>GSK(1).xlsx</x:v>
      </x:c>
      <x:c r="B120" s="87" t="str">
        <x:v>GSK PLC (GSK LN) - Adjusted</x:v>
      </x:c>
      <x:c r="C120" s="87" t="str">
        <x:v>EUR</x:v>
      </x:c>
      <x:c r="D120" s="87" t="str">
        <x:v>TRT-0038</x:v>
      </x:c>
      <x:c r="E120" s="87" t="str">
        <x:v>Mapped</x:v>
      </x:c>
      <x:c r="F120" s="88" t="n">
        <x:v>2009</x:v>
      </x:c>
      <x:c r="G120" s="89" t="n">
        <x:v>31852.9222</x:v>
      </x:c>
      <x:c r="H120" s="89" t="n">
        <x:v>9972.0037</x:v>
      </x:c>
      <x:c r="I120" s="89" t="n">
        <x:v>6210.4665</x:v>
      </x:c>
      <x:c r="J120" s="89" t="n">
        <x:v>48296.3908</x:v>
      </x:c>
      <x:c r="K120" s="89" t="n">
        <x:v>18318.1938</x:v>
      </x:c>
      <x:c r="L120" s="89" t="n">
        <x:v>4436.3683</x:v>
      </x:c>
      <x:c r="M120" s="90" t="n">
        <x:v>13.4484</x:v>
      </x:c>
      <x:c r="N120" s="90" t="n">
        <x:v>30.2735</x:v>
      </x:c>
      <x:c r="O120" s="90" t="n">
        <x:v>37.9287</x:v>
      </x:c>
      <x:c r="P120" s="87" t="str">
        <x:v>Historical non-estimate Bloomberg observation; ratios may be derived when the workbook lacked a complete ratio series.</x:v>
      </x:c>
    </x:row>
    <x:row r="121">
      <x:c r="A121" s="87" t="str">
        <x:v>GSK(1).xlsx</x:v>
      </x:c>
      <x:c r="B121" s="87" t="str">
        <x:v>GSK PLC (GSK LN) - Adjusted</x:v>
      </x:c>
      <x:c r="C121" s="87" t="str">
        <x:v>EUR</x:v>
      </x:c>
      <x:c r="D121" s="87" t="str">
        <x:v>TRT-0038</x:v>
      </x:c>
      <x:c r="E121" s="87" t="str">
        <x:v>Mapped</x:v>
      </x:c>
      <x:c r="F121" s="88" t="n">
        <x:v>2010</x:v>
      </x:c>
      <x:c r="G121" s="89" t="n">
        <x:v>33112.4809</x:v>
      </x:c>
      <x:c r="H121" s="89" t="n">
        <x:v>6050.5618</x:v>
      </x:c>
      <x:c r="I121" s="89" t="n">
        <x:v>1905.6704</x:v>
      </x:c>
      <x:c r="J121" s="89" t="n">
        <x:v>49259.908</x:v>
      </x:c>
      <x:c r="K121" s="89" t="n">
        <x:v>17613.654</x:v>
      </x:c>
      <x:c r="L121" s="89" t="n">
        <x:v>4623.0584</x:v>
      </x:c>
      <x:c r="M121" s="90" t="n">
        <x:v>3.8405</x:v>
      </x:c>
      <x:c r="N121" s="90" t="n">
        <x:v>13.5355</x:v>
      </x:c>
      <x:c r="O121" s="90" t="n">
        <x:v>35.7566</x:v>
      </x:c>
      <x:c r="P121" s="87" t="str">
        <x:v>Historical non-estimate Bloomberg observation; ratios may be derived when the workbook lacked a complete ratio series.</x:v>
      </x:c>
    </x:row>
    <x:row r="122">
      <x:c r="A122" s="87" t="str">
        <x:v>GSK(1).xlsx</x:v>
      </x:c>
      <x:c r="B122" s="87" t="str">
        <x:v>GSK PLC (GSK LN) - Adjusted</x:v>
      </x:c>
      <x:c r="C122" s="87" t="str">
        <x:v>EUR</x:v>
      </x:c>
      <x:c r="D122" s="87" t="str">
        <x:v>TRT-0038</x:v>
      </x:c>
      <x:c r="E122" s="87" t="str">
        <x:v>Mapped</x:v>
      </x:c>
      <x:c r="F122" s="88" t="n">
        <x:v>2011</x:v>
      </x:c>
      <x:c r="G122" s="89" t="n">
        <x:v>31564.1246</x:v>
      </x:c>
      <x:c r="H122" s="89" t="n">
        <x:v>9666.2034</x:v>
      </x:c>
      <x:c r="I122" s="89" t="n">
        <x:v>6063.4191</x:v>
      </x:c>
      <x:c r="J122" s="89" t="n">
        <x:v>49159.7006</x:v>
      </x:c>
      <x:c r="K122" s="89" t="n">
        <x:v>17831.76</x:v>
      </x:c>
      <x:c r="L122" s="89" t="n">
        <x:v>4396.8721</x:v>
      </x:c>
      <x:c r="M122" s="90" t="n">
        <x:v>12.6299</x:v>
      </x:c>
      <x:c r="N122" s="90" t="n">
        <x:v>28.5975</x:v>
      </x:c>
      <x:c r="O122" s="90" t="n">
        <x:v>36.2731</x:v>
      </x:c>
      <x:c r="P122" s="87" t="str">
        <x:v>Historical non-estimate Bloomberg observation; ratios may be derived when the workbook lacked a complete ratio series.</x:v>
      </x:c>
    </x:row>
    <x:row r="123">
      <x:c r="A123" s="87" t="str">
        <x:v>GSK(1).xlsx</x:v>
      </x:c>
      <x:c r="B123" s="87" t="str">
        <x:v>GSK PLC (GSK LN) - Adjusted</x:v>
      </x:c>
      <x:c r="C123" s="87" t="str">
        <x:v>EUR</x:v>
      </x:c>
      <x:c r="D123" s="87" t="str">
        <x:v>TRT-0038</x:v>
      </x:c>
      <x:c r="E123" s="87" t="str">
        <x:v>Mapped</x:v>
      </x:c>
      <x:c r="F123" s="88" t="n">
        <x:v>2012</x:v>
      </x:c>
      <x:c r="G123" s="89" t="n">
        <x:v>32595.1901</x:v>
      </x:c>
      <x:c r="H123" s="89" t="n">
        <x:v>9646.2327</x:v>
      </x:c>
      <x:c r="I123" s="89" t="n">
        <x:v>5548.2487</x:v>
      </x:c>
      <x:c r="J123" s="89" t="n">
        <x:v>51052.0877</x:v>
      </x:c>
      <x:c r="K123" s="89" t="n">
        <x:v>22524.8984</x:v>
      </x:c>
      <x:c r="L123" s="89" t="n">
        <x:v>4419.854</x:v>
      </x:c>
      <x:c r="M123" s="90" t="n">
        <x:v>10.8986</x:v>
      </x:c>
      <x:c r="N123" s="90" t="n">
        <x:v>27.8499</x:v>
      </x:c>
      <x:c r="O123" s="90" t="n">
        <x:v>44.1214</x:v>
      </x:c>
      <x:c r="P123" s="87" t="str">
        <x:v>Historical non-estimate Bloomberg observation; ratios may be derived when the workbook lacked a complete ratio series.</x:v>
      </x:c>
    </x:row>
    <x:row r="124">
      <x:c r="A124" s="87" t="str">
        <x:v>GSK(1).xlsx</x:v>
      </x:c>
      <x:c r="B124" s="87" t="str">
        <x:v>GSK PLC (GSK LN) - Adjusted</x:v>
      </x:c>
      <x:c r="C124" s="87" t="str">
        <x:v>EUR</x:v>
      </x:c>
      <x:c r="D124" s="87" t="str">
        <x:v>TRT-0038</x:v>
      </x:c>
      <x:c r="E124" s="87" t="str">
        <x:v>Mapped</x:v>
      </x:c>
      <x:c r="F124" s="88" t="n">
        <x:v>2013</x:v>
      </x:c>
      <x:c r="G124" s="89" t="n">
        <x:v>31221.028</x:v>
      </x:c>
      <x:c r="H124" s="89" t="n">
        <x:v>8845.0745</x:v>
      </x:c>
      <x:c r="I124" s="89" t="n">
        <x:v>6403.2261</x:v>
      </x:c>
      <x:c r="J124" s="89" t="n">
        <x:v>50561.8011</x:v>
      </x:c>
      <x:c r="K124" s="89" t="n">
        <x:v>21919.4046</x:v>
      </x:c>
      <x:c r="L124" s="89" t="n">
        <x:v>4119.2203</x:v>
      </x:c>
      <x:c r="M124" s="90" t="n">
        <x:v>13.0099</x:v>
      </x:c>
      <x:c r="N124" s="90" t="n">
        <x:v>26.6704</x:v>
      </x:c>
      <x:c r="O124" s="90" t="n">
        <x:v>43.3517</x:v>
      </x:c>
      <x:c r="P124" s="87" t="str">
        <x:v>Historical non-estimate Bloomberg observation; ratios may be derived when the workbook lacked a complete ratio series.</x:v>
      </x:c>
    </x:row>
    <x:row r="125">
      <x:c r="A125" s="87" t="str">
        <x:v>GSK(1).xlsx</x:v>
      </x:c>
      <x:c r="B125" s="87" t="str">
        <x:v>GSK PLC (GSK LN) - Adjusted</x:v>
      </x:c>
      <x:c r="C125" s="87" t="str">
        <x:v>EUR</x:v>
      </x:c>
      <x:c r="D125" s="87" t="str">
        <x:v>TRT-0038</x:v>
      </x:c>
      <x:c r="E125" s="87" t="str">
        <x:v>Mapped</x:v>
      </x:c>
      <x:c r="F125" s="88" t="n">
        <x:v>2014</x:v>
      </x:c>
      <x:c r="G125" s="89" t="n">
        <x:v>28547.6471</x:v>
      </x:c>
      <x:c r="H125" s="89" t="n">
        <x:v>7446.5109</x:v>
      </x:c>
      <x:c r="I125" s="89" t="n">
        <x:v>3419.8607</x:v>
      </x:c>
      <x:c r="J125" s="89" t="n">
        <x:v>52345.7216</x:v>
      </x:c>
      <x:c r="K125" s="89" t="n">
        <x:v>24187.8929</x:v>
      </x:c>
      <x:c r="L125" s="89" t="n">
        <x:v>3952.1975</x:v>
      </x:c>
      <x:c r="M125" s="90" t="n">
        <x:v>6.6621</x:v>
      </x:c>
      <x:c r="N125" s="90" t="n">
        <x:v>15.5568</x:v>
      </x:c>
      <x:c r="O125" s="90" t="n">
        <x:v>46.208</x:v>
      </x:c>
      <x:c r="P125" s="87" t="str">
        <x:v>Historical non-estimate Bloomberg observation; ratios may be derived when the workbook lacked a complete ratio series.</x:v>
      </x:c>
    </x:row>
    <x:row r="126">
      <x:c r="A126" s="87" t="str">
        <x:v>GSK(1).xlsx</x:v>
      </x:c>
      <x:c r="B126" s="87" t="str">
        <x:v>GSK PLC (GSK LN) - Adjusted</x:v>
      </x:c>
      <x:c r="C126" s="87" t="str">
        <x:v>EUR</x:v>
      </x:c>
      <x:c r="D126" s="87" t="str">
        <x:v>TRT-0038</x:v>
      </x:c>
      <x:c r="E126" s="87" t="str">
        <x:v>Mapped</x:v>
      </x:c>
      <x:c r="F126" s="88" t="n">
        <x:v>2015</x:v>
      </x:c>
      <x:c r="G126" s="89" t="n">
        <x:v>32954.9709</x:v>
      </x:c>
      <x:c r="H126" s="89" t="n">
        <x:v>7646.7434</x:v>
      </x:c>
      <x:c r="I126" s="89" t="n">
        <x:v>11601.6706</x:v>
      </x:c>
      <x:c r="J126" s="89" t="n">
        <x:v>72471.3201</x:v>
      </x:c>
      <x:c r="K126" s="89" t="n">
        <x:v>22552.5389</x:v>
      </x:c>
      <x:c r="L126" s="89" t="n">
        <x:v>4321.3537</x:v>
      </x:c>
      <x:c r="M126" s="90" t="n">
        <x:v>17.9007</x:v>
      </x:c>
      <x:c r="N126" s="90" t="n">
        <x:v>43.3432</x:v>
      </x:c>
      <x:c r="O126" s="90" t="n">
        <x:v>31.1193</x:v>
      </x:c>
      <x:c r="P126" s="87" t="str">
        <x:v>Historical non-estimate Bloomberg observation; ratios may be derived when the workbook lacked a complete ratio series.</x:v>
      </x:c>
    </x:row>
    <x:row r="127">
      <x:c r="A127" s="87" t="str">
        <x:v>GSK(1).xlsx</x:v>
      </x:c>
      <x:c r="B127" s="87" t="str">
        <x:v>GSK PLC (GSK LN) - Adjusted</x:v>
      </x:c>
      <x:c r="C127" s="87" t="str">
        <x:v>EUR</x:v>
      </x:c>
      <x:c r="D127" s="87" t="str">
        <x:v>TRT-0038</x:v>
      </x:c>
      <x:c r="E127" s="87" t="str">
        <x:v>Mapped</x:v>
      </x:c>
      <x:c r="F127" s="88" t="n">
        <x:v>2016</x:v>
      </x:c>
      <x:c r="G127" s="89" t="n">
        <x:v>34143.3059</x:v>
      </x:c>
      <x:c r="H127" s="89" t="n">
        <x:v>9044.8114</x:v>
      </x:c>
      <x:c r="I127" s="89" t="n">
        <x:v>1116.5225</x:v>
      </x:c>
      <x:c r="J127" s="89" t="n">
        <x:v>69152.8345</x:v>
      </x:c>
      <x:c r="K127" s="89" t="n">
        <x:v>21993.2256</x:v>
      </x:c>
      <x:c r="L127" s="89" t="n">
        <x:v>4295.9181</x:v>
      </x:c>
      <x:c r="M127" s="90" t="n">
        <x:v>1.6209</x:v>
      </x:c>
      <x:c r="N127" s="90" t="n">
        <x:v>9.5055</x:v>
      </x:c>
      <x:c r="O127" s="90" t="n">
        <x:v>31.8038</x:v>
      </x:c>
      <x:c r="P127" s="87" t="str">
        <x:v>Historical non-estimate Bloomberg observation; ratios may be derived when the workbook lacked a complete ratio series.</x:v>
      </x:c>
    </x:row>
    <x:row r="128">
      <x:c r="A128" s="87" t="str">
        <x:v>GSK(1).xlsx</x:v>
      </x:c>
      <x:c r="B128" s="87" t="str">
        <x:v>GSK PLC (GSK LN) - Adjusted</x:v>
      </x:c>
      <x:c r="C128" s="87" t="str">
        <x:v>EUR</x:v>
      </x:c>
      <x:c r="D128" s="87" t="str">
        <x:v>TRT-0038</x:v>
      </x:c>
      <x:c r="E128" s="87" t="str">
        <x:v>Mapped</x:v>
      </x:c>
      <x:c r="F128" s="88" t="n">
        <x:v>2017</x:v>
      </x:c>
      <x:c r="G128" s="89" t="n">
        <x:v>34461.5002</x:v>
      </x:c>
      <x:c r="H128" s="89" t="n">
        <x:v>8567.9971</x:v>
      </x:c>
      <x:c r="I128" s="89" t="n">
        <x:v>1748.9902</x:v>
      </x:c>
      <x:c r="J128" s="89" t="n">
        <x:v>63425.1076</x:v>
      </x:c>
      <x:c r="K128" s="89" t="n">
        <x:v>19224.0589</x:v>
      </x:c>
      <x:c r="L128" s="89" t="n">
        <x:v>4460.3817</x:v>
      </x:c>
      <x:c r="M128" s="90" t="n">
        <x:v>2.6537</x:v>
      </x:c>
      <x:c r="N128" s="90" t="n">
        <x:v>14.2516</x:v>
      </x:c>
      <x:c r="O128" s="90" t="n">
        <x:v>30.3099</x:v>
      </x:c>
      <x:c r="P128" s="87" t="str">
        <x:v>Historical non-estimate Bloomberg observation; ratios may be derived when the workbook lacked a complete ratio series.</x:v>
      </x:c>
    </x:row>
    <x:row r="129">
      <x:c r="A129" s="87" t="str">
        <x:v>GSK(1).xlsx</x:v>
      </x:c>
      <x:c r="B129" s="87" t="str">
        <x:v>GSK PLC (GSK LN) - Adjusted</x:v>
      </x:c>
      <x:c r="C129" s="87" t="str">
        <x:v>EUR</x:v>
      </x:c>
      <x:c r="D129" s="87" t="str">
        <x:v>TRT-0038</x:v>
      </x:c>
      <x:c r="E129" s="87" t="str">
        <x:v>Mapped</x:v>
      </x:c>
      <x:c r="F129" s="88" t="n">
        <x:v>2018</x:v>
      </x:c>
      <x:c r="G129" s="89" t="n">
        <x:v>34834.0901</x:v>
      </x:c>
      <x:c r="H129" s="89" t="n">
        <x:v>9319.6816</x:v>
      </x:c>
      <x:c r="I129" s="89" t="n">
        <x:v>4094.7376</x:v>
      </x:c>
      <x:c r="J129" s="89" t="n">
        <x:v>64627.0727</x:v>
      </x:c>
      <x:c r="K129" s="89" t="n">
        <x:v>29009.059</x:v>
      </x:c>
      <x:c r="L129" s="89" t="n">
        <x:v>4271.0498</x:v>
      </x:c>
      <x:c r="M129" s="90" t="n">
        <x:v>6.3313</x:v>
      </x:c>
      <x:c r="N129" s="90" t="n">
        <x:v>18.0526</x:v>
      </x:c>
      <x:c r="O129" s="90" t="n">
        <x:v>44.8869</x:v>
      </x:c>
      <x:c r="P129" s="87" t="str">
        <x:v>Historical non-estimate Bloomberg observation; ratios may be derived when the workbook lacked a complete ratio series.</x:v>
      </x:c>
    </x:row>
    <x:row r="130">
      <x:c r="A130" s="87" t="str">
        <x:v>GSK(1).xlsx</x:v>
      </x:c>
      <x:c r="B130" s="87" t="str">
        <x:v>GSK PLC (GSK LN) - Adjusted</x:v>
      </x:c>
      <x:c r="C130" s="87" t="str">
        <x:v>EUR</x:v>
      </x:c>
      <x:c r="D130" s="87" t="str">
        <x:v>TRT-0038</x:v>
      </x:c>
      <x:c r="E130" s="87" t="str">
        <x:v>Mapped</x:v>
      </x:c>
      <x:c r="F130" s="88" t="n">
        <x:v>2019</x:v>
      </x:c>
      <x:c r="G130" s="89" t="n">
        <x:v>38495.6256</x:v>
      </x:c>
      <x:c r="H130" s="89" t="n">
        <x:v>9304.0029</x:v>
      </x:c>
      <x:c r="I130" s="89" t="n">
        <x:v>5297.5108</x:v>
      </x:c>
      <x:c r="J130" s="89" t="n">
        <x:v>94127.2594</x:v>
      </x:c>
      <x:c r="K130" s="89" t="n">
        <x:v>36034.1619</x:v>
      </x:c>
      <x:c r="L130" s="89" t="n">
        <x:v>5021.5157</x:v>
      </x:c>
      <x:c r="M130" s="90" t="n">
        <x:v>6.7437</x:v>
      </x:c>
      <x:c r="N130" s="90" t="n">
        <x:v>20.5131</x:v>
      </x:c>
      <x:c r="O130" s="90" t="n">
        <x:v>38.2824</x:v>
      </x:c>
      <x:c r="P130" s="87" t="str">
        <x:v>Historical non-estimate Bloomberg observation; ratios may be derived when the workbook lacked a complete ratio series.</x:v>
      </x:c>
    </x:row>
    <x:row r="131">
      <x:c r="A131" s="87" t="str">
        <x:v>GSK(1).xlsx</x:v>
      </x:c>
      <x:c r="B131" s="87" t="str">
        <x:v>GSK PLC (GSK LN) - Adjusted</x:v>
      </x:c>
      <x:c r="C131" s="87" t="str">
        <x:v>EUR</x:v>
      </x:c>
      <x:c r="D131" s="87" t="str">
        <x:v>TRT-0038</x:v>
      </x:c>
      <x:c r="E131" s="87" t="str">
        <x:v>Mapped</x:v>
      </x:c>
      <x:c r="F131" s="88" t="n">
        <x:v>2020</x:v>
      </x:c>
      <x:c r="G131" s="89" t="n">
        <x:v>38366.8244</x:v>
      </x:c>
      <x:c r="H131" s="89" t="n">
        <x:v>9274.6923</x:v>
      </x:c>
      <x:c r="I131" s="89" t="n">
        <x:v>6468.5438</x:v>
      </x:c>
      <x:c r="J131" s="89" t="n">
        <x:v>89812.9719</x:v>
      </x:c>
      <x:c r="K131" s="89" t="n">
        <x:v>30316.9448</x:v>
      </x:c>
      <x:c r="L131" s="89" t="n">
        <x:v>5263.4976</x:v>
      </x:c>
      <x:c r="M131" s="90" t="n">
        <x:v>7.1807</x:v>
      </x:c>
      <x:c r="N131" s="90" t="n">
        <x:v>23.1473</x:v>
      </x:c>
      <x:c r="O131" s="90" t="n">
        <x:v>33.7556</x:v>
      </x:c>
      <x:c r="P131" s="87" t="str">
        <x:v>Historical non-estimate Bloomberg observation; ratios may be derived when the workbook lacked a complete ratio series.</x:v>
      </x:c>
    </x:row>
    <x:row r="132">
      <x:c r="A132" s="87" t="str">
        <x:v>GSK(1).xlsx</x:v>
      </x:c>
      <x:c r="B132" s="87" t="str">
        <x:v>GSK PLC (GSK LN) - Adjusted</x:v>
      </x:c>
      <x:c r="C132" s="87" t="str">
        <x:v>EUR</x:v>
      </x:c>
      <x:c r="D132" s="87" t="str">
        <x:v>TRT-0038</x:v>
      </x:c>
      <x:c r="E132" s="87" t="str">
        <x:v>Mapped</x:v>
      </x:c>
      <x:c r="F132" s="88" t="n">
        <x:v>2021</x:v>
      </x:c>
      <x:c r="G132" s="89" t="n">
        <x:v>28732.6186</x:v>
      </x:c>
      <x:c r="H132" s="89" t="n">
        <x:v>6664.2549</x:v>
      </x:c>
      <x:c r="I132" s="89" t="n">
        <x:v>5101.7384</x:v>
      </x:c>
      <x:c r="J132" s="89" t="n">
        <x:v>94032.9444</x:v>
      </x:c>
      <x:c r="K132" s="89" t="n">
        <x:v>28735.4255</x:v>
      </x:c>
      <x:c r="L132" s="89" t="n">
        <x:v>5382.1305</x:v>
      </x:c>
      <x:c r="M132" s="90" t="n">
        <x:v>5.4973</x:v>
      </x:c>
      <x:c r="N132" s="90" t="n">
        <x:v>17.6263</x:v>
      </x:c>
      <x:c r="O132" s="90" t="n">
        <x:v>30.5589</x:v>
      </x:c>
      <x:c r="P132" s="87" t="str">
        <x:v>Historical non-estimate Bloomberg observation; ratios may be derived when the workbook lacked a complete ratio series.</x:v>
      </x:c>
    </x:row>
    <x:row r="133">
      <x:c r="A133" s="87" t="str">
        <x:v>GSK(1).xlsx</x:v>
      </x:c>
      <x:c r="B133" s="87" t="str">
        <x:v>GSK PLC (GSK LN) - Adjusted</x:v>
      </x:c>
      <x:c r="C133" s="87" t="str">
        <x:v>EUR</x:v>
      </x:c>
      <x:c r="D133" s="87" t="str">
        <x:v>TRT-0038</x:v>
      </x:c>
      <x:c r="E133" s="87" t="str">
        <x:v>Mapped</x:v>
      </x:c>
      <x:c r="F133" s="88" t="n">
        <x:v>2022</x:v>
      </x:c>
      <x:c r="G133" s="89" t="n">
        <x:v>34401.1243</x:v>
      </x:c>
      <x:c r="H133" s="89" t="n">
        <x:v>8708.2099</x:v>
      </x:c>
      <x:c r="I133" s="89" t="n">
        <x:v>17545.465</x:v>
      </x:c>
      <x:c r="J133" s="89" t="n">
        <x:v>67934.4887</x:v>
      </x:c>
      <x:c r="K133" s="89" t="n">
        <x:v>23704.6705</x:v>
      </x:c>
      <x:c r="L133" s="89" t="n">
        <x:v>6045.1846</x:v>
      </x:c>
      <x:c r="M133" s="90" t="n">
        <x:v>21.4809</x:v>
      </x:c>
      <x:c r="N133" s="90" t="n">
        <x:v>21.9752</x:v>
      </x:c>
      <x:c r="O133" s="90" t="n">
        <x:v>34.8934</x:v>
      </x:c>
      <x:c r="P133" s="87" t="str">
        <x:v>Historical non-estimate Bloomberg observation; ratios may be derived when the workbook lacked a complete ratio series.</x:v>
      </x:c>
    </x:row>
    <x:row r="134">
      <x:c r="A134" s="87" t="str">
        <x:v>GSK(1).xlsx</x:v>
      </x:c>
      <x:c r="B134" s="87" t="str">
        <x:v>GSK PLC (GSK LN) - Adjusted</x:v>
      </x:c>
      <x:c r="C134" s="87" t="str">
        <x:v>EUR</x:v>
      </x:c>
      <x:c r="D134" s="87" t="str">
        <x:v>TRT-0038</x:v>
      </x:c>
      <x:c r="E134" s="87" t="str">
        <x:v>Mapped</x:v>
      </x:c>
      <x:c r="F134" s="88" t="n">
        <x:v>2023</x:v>
      </x:c>
      <x:c r="G134" s="89" t="n">
        <x:v>34880.1114</x:v>
      </x:c>
      <x:c r="H134" s="89" t="n">
        <x:v>9290.4755</x:v>
      </x:c>
      <x:c r="I134" s="89" t="n">
        <x:v>5667.6731</x:v>
      </x:c>
      <x:c r="J134" s="89" t="n">
        <x:v>68065.8727</x:v>
      </x:c>
      <x:c r="K134" s="89" t="n">
        <x:v>20784.8639</x:v>
      </x:c>
      <x:c r="L134" s="89" t="n">
        <x:v>6695.8589</x:v>
      </x:c>
      <x:c r="M134" s="90" t="n">
        <x:v>8.2719</x:v>
      </x:c>
      <x:c r="N134" s="90" t="n">
        <x:v>22.2764</x:v>
      </x:c>
      <x:c r="O134" s="90" t="n">
        <x:v>30.5364</x:v>
      </x:c>
      <x:c r="P134" s="87" t="str">
        <x:v>Historical non-estimate Bloomberg observation; ratios may be derived when the workbook lacked a complete ratio series.</x:v>
      </x:c>
    </x:row>
    <x:row r="135">
      <x:c r="A135" s="87" t="str">
        <x:v>GSK(1).xlsx</x:v>
      </x:c>
      <x:c r="B135" s="87" t="str">
        <x:v>GSK PLC (GSK LN) - Adjusted</x:v>
      </x:c>
      <x:c r="C135" s="87" t="str">
        <x:v>EUR</x:v>
      </x:c>
      <x:c r="D135" s="87" t="str">
        <x:v>TRT-0038</x:v>
      </x:c>
      <x:c r="E135" s="87" t="str">
        <x:v>Mapped</x:v>
      </x:c>
      <x:c r="F135" s="88" t="n">
        <x:v>2024</x:v>
      </x:c>
      <x:c r="G135" s="89" t="n">
        <x:v>37069.503</x:v>
      </x:c>
      <x:c r="H135" s="89" t="n">
        <x:v>9639.5358</x:v>
      </x:c>
      <x:c r="I135" s="89" t="n">
        <x:v>3042.2607</x:v>
      </x:c>
      <x:c r="J135" s="89" t="n">
        <x:v>71931.3264</x:v>
      </x:c>
      <x:c r="K135" s="89" t="n">
        <x:v>20547.6601</x:v>
      </x:c>
      <x:c r="L135" s="89" t="n">
        <x:v>7180.9166</x:v>
      </x:c>
      <x:c r="M135" s="90" t="n">
        <x:v>4.3472</x:v>
      </x:c>
      <x:c r="N135" s="90" t="n">
        <x:v>12.857</x:v>
      </x:c>
      <x:c r="O135" s="90" t="n">
        <x:v>28.5657</x:v>
      </x:c>
      <x:c r="P135" s="87" t="str">
        <x:v>Historical non-estimate Bloomberg observation; ratios may be derived when the workbook lacked a complete ratio series.</x:v>
      </x:c>
    </x:row>
    <x:row r="136">
      <x:c r="A136" s="87" t="str">
        <x:v>GSK(1).xlsx</x:v>
      </x:c>
      <x:c r="B136" s="87" t="str">
        <x:v>GSK PLC (GSK LN) - Adjusted</x:v>
      </x:c>
      <x:c r="C136" s="87" t="str">
        <x:v>EUR</x:v>
      </x:c>
      <x:c r="D136" s="87" t="str">
        <x:v>TRT-0038</x:v>
      </x:c>
      <x:c r="E136" s="87" t="str">
        <x:v>Mapped</x:v>
      </x:c>
      <x:c r="F136" s="88" t="n">
        <x:v>2025</x:v>
      </x:c>
      <x:c r="G136" s="89" t="n">
        <x:v>38141.3288</x:v>
      </x:c>
      <x:c r="H136" s="89" t="n">
        <x:v>10468.5203</x:v>
      </x:c>
      <x:c r="I136" s="89" t="n">
        <x:v>6673.886</x:v>
      </x:c>
      <x:c r="J136" s="89" t="n">
        <x:v>70054.4765</x:v>
      </x:c>
      <x:c r="K136" s="89" t="n">
        <x:v>20310.9611</x:v>
      </x:c>
      <x:c r="L136" s="89" t="n">
        <x:v>7769.0759</x:v>
      </x:c>
      <x:c r="M136" s="90" t="n">
        <x:v>9.4808</x:v>
      </x:c>
      <x:c r="N136" s="90" t="n">
        <x:v>24.2538</x:v>
      </x:c>
      <x:c r="O136" s="90" t="n">
        <x:v>28.9931</x:v>
      </x:c>
      <x:c r="P136" s="87" t="str">
        <x:v>Historical non-estimate Bloomberg observation; ratios may be derived when the workbook lacked a complete ratio series.</x:v>
      </x:c>
    </x:row>
    <x:row r="137">
      <x:c r="A137" s="87" t="str">
        <x:v>Medipass Spa IT(1).xlsx</x:v>
      </x:c>
      <x:c r="B137" s="87" t="str">
        <x:v>Medipass Spa/IT (1165955D IM) - Income Statement</x:v>
      </x:c>
      <x:c r="C137" s="87" t="str">
        <x:v>EUR</x:v>
      </x:c>
      <x:c r="D137" s="87"/>
      <x:c r="E137" s="87" t="str">
        <x:v>Unmatched</x:v>
      </x:c>
      <x:c r="F137" s="88" t="n">
        <x:v>2010</x:v>
      </x:c>
      <x:c r="G137" s="89" t="n">
        <x:v>18.2153</x:v>
      </x:c>
      <x:c r="H137" s="89" t="n">
        <x:v>2.3535</x:v>
      </x:c>
      <x:c r="I137" s="89" t="n">
        <x:v>1.2846</x:v>
      </x:c>
      <x:c r="J137" s="89" t="n">
        <x:v>31.4</x:v>
      </x:c>
      <x:c r="K137" s="89" t="n">
        <x:v>13.8159</x:v>
      </x:c>
      <x:c r="L137" s="89"/>
      <x:c r="M137" s="90" t="n">
        <x:v>4.0910828025477715</x:v>
      </x:c>
      <x:c r="N137" s="90" t="n">
        <x:v>12.9202</x:v>
      </x:c>
      <x:c r="O137" s="90" t="n">
        <x:v>44.0145</x:v>
      </x:c>
      <x:c r="P137" s="87" t="str">
        <x:v>Historical non-estimate Bloomberg observation; ratios may be derived when the workbook lacked a complete ratio series.</x:v>
      </x:c>
    </x:row>
    <x:row r="138">
      <x:c r="A138" s="87" t="str">
        <x:v>Medipass Spa IT(1).xlsx</x:v>
      </x:c>
      <x:c r="B138" s="87" t="str">
        <x:v>Medipass Spa/IT (1165955D IM) - Income Statement</x:v>
      </x:c>
      <x:c r="C138" s="87" t="str">
        <x:v>EUR</x:v>
      </x:c>
      <x:c r="D138" s="87"/>
      <x:c r="E138" s="87" t="str">
        <x:v>Unmatched</x:v>
      </x:c>
      <x:c r="F138" s="88" t="n">
        <x:v>2011</x:v>
      </x:c>
      <x:c r="G138" s="89" t="n">
        <x:v>24.838</x:v>
      </x:c>
      <x:c r="H138" s="89" t="n">
        <x:v>2.892</x:v>
      </x:c>
      <x:c r="I138" s="89" t="n">
        <x:v>1.156</x:v>
      </x:c>
      <x:c r="J138" s="89" t="n">
        <x:v>47.1</x:v>
      </x:c>
      <x:c r="K138" s="89" t="n">
        <x:v>21.26</x:v>
      </x:c>
      <x:c r="L138" s="89"/>
      <x:c r="M138" s="90" t="n">
        <x:v>2.9452229299363055</x:v>
      </x:c>
      <x:c r="N138" s="90" t="n">
        <x:v>11.6434</x:v>
      </x:c>
      <x:c r="O138" s="90" t="n">
        <x:v>45.1821</x:v>
      </x:c>
      <x:c r="P138" s="87" t="str">
        <x:v>Historical non-estimate Bloomberg observation; ratios may be derived when the workbook lacked a complete ratio series.</x:v>
      </x:c>
    </x:row>
    <x:row r="139">
      <x:c r="A139" s="87" t="str">
        <x:v>Medipass Spa IT(1).xlsx</x:v>
      </x:c>
      <x:c r="B139" s="87" t="str">
        <x:v>Medipass Spa/IT (1165955D IM) - Income Statement</x:v>
      </x:c>
      <x:c r="C139" s="87" t="str">
        <x:v>EUR</x:v>
      </x:c>
      <x:c r="D139" s="87"/>
      <x:c r="E139" s="87" t="str">
        <x:v>Unmatched</x:v>
      </x:c>
      <x:c r="F139" s="88" t="n">
        <x:v>2012</x:v>
      </x:c>
      <x:c r="G139" s="89" t="n">
        <x:v>25.914</x:v>
      </x:c>
      <x:c r="H139" s="89" t="n">
        <x:v>3.475</x:v>
      </x:c>
      <x:c r="I139" s="89" t="n">
        <x:v>1.568</x:v>
      </x:c>
      <x:c r="J139" s="89" t="n">
        <x:v>55.5</x:v>
      </x:c>
      <x:c r="K139" s="89" t="n">
        <x:v>22.273</x:v>
      </x:c>
      <x:c r="L139" s="89"/>
      <x:c r="M139" s="90" t="n">
        <x:v>3.0565302144249515</x:v>
      </x:c>
      <x:c r="N139" s="90" t="n">
        <x:v>13.4097</x:v>
      </x:c>
      <x:c r="O139" s="90" t="n">
        <x:v>40.1554</x:v>
      </x:c>
      <x:c r="P139" s="87" t="str">
        <x:v>Historical non-estimate Bloomberg observation; ratios may be derived when the workbook lacked a complete ratio series.</x:v>
      </x:c>
    </x:row>
    <x:row r="140">
      <x:c r="A140" s="87" t="str">
        <x:v>Medipass Spa IT(1).xlsx</x:v>
      </x:c>
      <x:c r="B140" s="87" t="str">
        <x:v>Medipass Spa/IT (1165955D IM) - Income Statement</x:v>
      </x:c>
      <x:c r="C140" s="87" t="str">
        <x:v>EUR</x:v>
      </x:c>
      <x:c r="D140" s="87"/>
      <x:c r="E140" s="87" t="str">
        <x:v>Unmatched</x:v>
      </x:c>
      <x:c r="F140" s="88" t="n">
        <x:v>2013</x:v>
      </x:c>
      <x:c r="G140" s="89" t="n">
        <x:v>28.776</x:v>
      </x:c>
      <x:c r="H140" s="89" t="n">
        <x:v>4.711</x:v>
      </x:c>
      <x:c r="I140" s="89" t="n">
        <x:v>2.453</x:v>
      </x:c>
      <x:c r="J140" s="89" t="n">
        <x:v>58.5</x:v>
      </x:c>
      <x:c r="K140" s="89" t="n">
        <x:v>18.726</x:v>
      </x:c>
      <x:c r="L140" s="89"/>
      <x:c r="M140" s="90" t="n">
        <x:v>4.303508771929824</x:v>
      </x:c>
      <x:c r="N140" s="90" t="n">
        <x:v>16.3713</x:v>
      </x:c>
      <x:c r="O140" s="90" t="n">
        <x:v>32.0196</x:v>
      </x:c>
      <x:c r="P140" s="87" t="str">
        <x:v>Historical non-estimate Bloomberg observation; ratios may be derived when the workbook lacked a complete ratio series.</x:v>
      </x:c>
    </x:row>
    <x:row r="141">
      <x:c r="A141" s="87" t="str">
        <x:v>Medipass Spa IT(1).xlsx</x:v>
      </x:c>
      <x:c r="B141" s="87" t="str">
        <x:v>Medipass Spa/IT (1165955D IM) - Income Statement</x:v>
      </x:c>
      <x:c r="C141" s="87" t="str">
        <x:v>EUR</x:v>
      </x:c>
      <x:c r="D141" s="87"/>
      <x:c r="E141" s="87" t="str">
        <x:v>Unmatched</x:v>
      </x:c>
      <x:c r="F141" s="88" t="n">
        <x:v>2014</x:v>
      </x:c>
      <x:c r="G141" s="89" t="n">
        <x:v>29.846</x:v>
      </x:c>
      <x:c r="H141" s="89" t="n">
        <x:v>5.41</x:v>
      </x:c>
      <x:c r="I141" s="89" t="n">
        <x:v>2.798</x:v>
      </x:c>
      <x:c r="J141" s="89" t="n">
        <x:v>68.8</x:v>
      </x:c>
      <x:c r="K141" s="89" t="n">
        <x:v>23.423</x:v>
      </x:c>
      <x:c r="L141" s="89"/>
      <x:c r="M141" s="90" t="n">
        <x:v>4.395915161036921</x:v>
      </x:c>
      <x:c r="N141" s="90" t="n">
        <x:v>18.1264</x:v>
      </x:c>
      <x:c r="O141" s="90" t="n">
        <x:v>34.0342</x:v>
      </x:c>
      <x:c r="P141" s="87" t="str">
        <x:v>Historical non-estimate Bloomberg observation; ratios may be derived when the workbook lacked a complete ratio series.</x:v>
      </x:c>
    </x:row>
    <x:row r="142">
      <x:c r="A142" s="87" t="str">
        <x:v>Medipass Spa IT(1).xlsx</x:v>
      </x:c>
      <x:c r="B142" s="87" t="str">
        <x:v>Medipass Spa/IT (1165955D IM) - Income Statement</x:v>
      </x:c>
      <x:c r="C142" s="87" t="str">
        <x:v>EUR</x:v>
      </x:c>
      <x:c r="D142" s="87"/>
      <x:c r="E142" s="87" t="str">
        <x:v>Unmatched</x:v>
      </x:c>
      <x:c r="F142" s="88" t="n">
        <x:v>2015</x:v>
      </x:c>
      <x:c r="G142" s="89" t="n">
        <x:v>29.619</x:v>
      </x:c>
      <x:c r="H142" s="89" t="n">
        <x:v>5.629</x:v>
      </x:c>
      <x:c r="I142" s="89" t="n">
        <x:v>3.069</x:v>
      </x:c>
      <x:c r="J142" s="89" t="n">
        <x:v>68.8</x:v>
      </x:c>
      <x:c r="K142" s="89" t="n">
        <x:v>21.234</x:v>
      </x:c>
      <x:c r="L142" s="89"/>
      <x:c r="M142" s="90" t="n">
        <x:v>4.460755813953488</x:v>
      </x:c>
      <x:c r="N142" s="90" t="n">
        <x:v>19.0047</x:v>
      </x:c>
      <x:c r="O142" s="90" t="n">
        <x:v>30.8522</x:v>
      </x:c>
      <x:c r="P142" s="87" t="str">
        <x:v>Historical non-estimate Bloomberg observation; ratios may be derived when the workbook lacked a complete ratio series.</x:v>
      </x:c>
    </x:row>
    <x:row r="143">
      <x:c r="A143" s="87" t="str">
        <x:v>Medipass Spa IT(1).xlsx</x:v>
      </x:c>
      <x:c r="B143" s="87" t="str">
        <x:v>Medipass Spa/IT (1165955D IM) - Income Statement</x:v>
      </x:c>
      <x:c r="C143" s="87" t="str">
        <x:v>EUR</x:v>
      </x:c>
      <x:c r="D143" s="87"/>
      <x:c r="E143" s="87" t="str">
        <x:v>Unmatched</x:v>
      </x:c>
      <x:c r="F143" s="88" t="n">
        <x:v>2016</x:v>
      </x:c>
      <x:c r="G143" s="89" t="n">
        <x:v>27.209</x:v>
      </x:c>
      <x:c r="H143" s="89" t="n">
        <x:v>3.524</x:v>
      </x:c>
      <x:c r="I143" s="89" t="n">
        <x:v>1.849</x:v>
      </x:c>
      <x:c r="J143" s="89" t="n">
        <x:v>73.6</x:v>
      </x:c>
      <x:c r="K143" s="89" t="n">
        <x:v>26.072</x:v>
      </x:c>
      <x:c r="L143" s="89"/>
      <x:c r="M143" s="90" t="n">
        <x:v>2.5969101123595513</x:v>
      </x:c>
      <x:c r="N143" s="90" t="n">
        <x:v>12.9516</x:v>
      </x:c>
      <x:c r="O143" s="90" t="n">
        <x:v>35.4205</x:v>
      </x:c>
      <x:c r="P143" s="87" t="str">
        <x:v>Historical non-estimate Bloomberg observation; ratios may be derived when the workbook lacked a complete ratio series.</x:v>
      </x:c>
    </x:row>
    <x:row r="144">
      <x:c r="A144" s="87" t="str">
        <x:v>Medipass Spa IT(1).xlsx</x:v>
      </x:c>
      <x:c r="B144" s="87" t="str">
        <x:v>Medipass Spa/IT (1165955D IM) - Income Statement</x:v>
      </x:c>
      <x:c r="C144" s="87" t="str">
        <x:v>EUR</x:v>
      </x:c>
      <x:c r="D144" s="87"/>
      <x:c r="E144" s="87" t="str">
        <x:v>Unmatched</x:v>
      </x:c>
      <x:c r="F144" s="88" t="n">
        <x:v>2017</x:v>
      </x:c>
      <x:c r="G144" s="89" t="n">
        <x:v>29.488</x:v>
      </x:c>
      <x:c r="H144" s="89" t="n">
        <x:v>5.632</x:v>
      </x:c>
      <x:c r="I144" s="89" t="n">
        <x:v>3.996</x:v>
      </x:c>
      <x:c r="J144" s="89" t="n">
        <x:v>95.3</x:v>
      </x:c>
      <x:c r="K144" s="89" t="n">
        <x:v>23.579</x:v>
      </x:c>
      <x:c r="L144" s="89"/>
      <x:c r="M144" s="90" t="n">
        <x:v>4.731793960923624</x:v>
      </x:c>
      <x:c r="N144" s="90" t="n">
        <x:v>19.0993</x:v>
      </x:c>
      <x:c r="O144" s="90" t="n">
        <x:v>24.7403</x:v>
      </x:c>
      <x:c r="P144" s="87" t="str">
        <x:v>Historical non-estimate Bloomberg observation; ratios may be derived when the workbook lacked a complete ratio series.</x:v>
      </x:c>
    </x:row>
    <x:row r="145">
      <x:c r="A145" s="87" t="str">
        <x:v>Medipass Spa IT(1).xlsx</x:v>
      </x:c>
      <x:c r="B145" s="87" t="str">
        <x:v>Medipass Spa/IT (1165955D IM) - Income Statement</x:v>
      </x:c>
      <x:c r="C145" s="87" t="str">
        <x:v>EUR</x:v>
      </x:c>
      <x:c r="D145" s="87"/>
      <x:c r="E145" s="87" t="str">
        <x:v>Unmatched</x:v>
      </x:c>
      <x:c r="F145" s="88" t="n">
        <x:v>2018</x:v>
      </x:c>
      <x:c r="G145" s="89" t="n">
        <x:v>31.352</x:v>
      </x:c>
      <x:c r="H145" s="89" t="n">
        <x:v>5.905</x:v>
      </x:c>
      <x:c r="I145" s="89" t="n">
        <x:v>3.791</x:v>
      </x:c>
      <x:c r="J145" s="89" t="n">
        <x:v>114</x:v>
      </x:c>
      <x:c r="K145" s="89" t="n">
        <x:v>18.189</x:v>
      </x:c>
      <x:c r="L145" s="89"/>
      <x:c r="M145" s="90" t="n">
        <x:v>3.622551361681796</x:v>
      </x:c>
      <x:c r="N145" s="90" t="n">
        <x:v>18.8345</x:v>
      </x:c>
      <x:c r="O145" s="90" t="n">
        <x:v>15.9525</x:v>
      </x:c>
      <x:c r="P145" s="87" t="str">
        <x:v>Historical non-estimate Bloomberg observation; ratios may be derived when the workbook lacked a complete ratio series.</x:v>
      </x:c>
    </x:row>
    <x:row r="146">
      <x:c r="A146" s="87" t="str">
        <x:v>Medipass Spa IT(1).xlsx</x:v>
      </x:c>
      <x:c r="B146" s="87" t="str">
        <x:v>Medipass Spa/IT (1165955D IM) - Income Statement</x:v>
      </x:c>
      <x:c r="C146" s="87" t="str">
        <x:v>EUR</x:v>
      </x:c>
      <x:c r="D146" s="87"/>
      <x:c r="E146" s="87" t="str">
        <x:v>Unmatched</x:v>
      </x:c>
      <x:c r="F146" s="88" t="n">
        <x:v>2019</x:v>
      </x:c>
      <x:c r="G146" s="89" t="n">
        <x:v>32.326</x:v>
      </x:c>
      <x:c r="H146" s="89" t="n">
        <x:v>5.725</x:v>
      </x:c>
      <x:c r="I146" s="89" t="n">
        <x:v>3.984</x:v>
      </x:c>
      <x:c r="J146" s="89" t="n">
        <x:v>131.4</x:v>
      </x:c>
      <x:c r="K146" s="89" t="n">
        <x:v>14.006</x:v>
      </x:c>
      <x:c r="L146" s="89"/>
      <x:c r="M146" s="90" t="n">
        <x:v>3.2469437652811735</x:v>
      </x:c>
      <x:c r="N146" s="90" t="n">
        <x:v>17.7102</x:v>
      </x:c>
      <x:c r="O146" s="90" t="n">
        <x:v>10.6609</x:v>
      </x:c>
      <x:c r="P146" s="87" t="str">
        <x:v>Historical non-estimate Bloomberg observation; ratios may be derived when the workbook lacked a complete ratio series.</x:v>
      </x:c>
    </x:row>
    <x:row r="147">
      <x:c r="A147" s="87" t="str">
        <x:v>Medipass Spa IT(1).xlsx</x:v>
      </x:c>
      <x:c r="B147" s="87" t="str">
        <x:v>Medipass Spa/IT (1165955D IM) - Income Statement</x:v>
      </x:c>
      <x:c r="C147" s="87" t="str">
        <x:v>EUR</x:v>
      </x:c>
      <x:c r="D147" s="87"/>
      <x:c r="E147" s="87" t="str">
        <x:v>Unmatched</x:v>
      </x:c>
      <x:c r="F147" s="88" t="n">
        <x:v>2021</x:v>
      </x:c>
      <x:c r="G147" s="89" t="n">
        <x:v>35.922</x:v>
      </x:c>
      <x:c r="H147" s="89" t="n">
        <x:v>-0.207</x:v>
      </x:c>
      <x:c r="I147" s="89" t="n">
        <x:v>-2.123</x:v>
      </x:c>
      <x:c r="J147" s="89" t="n">
        <x:v>216.7</x:v>
      </x:c>
      <x:c r="K147" s="89" t="n">
        <x:v>97.828</x:v>
      </x:c>
      <x:c r="L147" s="89"/>
      <x:c r="M147" s="90" t="n">
        <x:v>-0.9796954314720813</x:v>
      </x:c>
      <x:c r="N147" s="90" t="n">
        <x:v>-0.5762</x:v>
      </x:c>
      <x:c r="O147" s="90" t="n">
        <x:v>45.1513</x:v>
      </x:c>
      <x:c r="P147" s="87" t="str">
        <x:v>Historical non-estimate Bloomberg observation; ratios may be derived when the workbook lacked a complete ratio series.</x:v>
      </x:c>
    </x:row>
    <x:row r="148">
      <x:c r="A148" s="87" t="str">
        <x:v>Medipass Spa IT(1).xlsx</x:v>
      </x:c>
      <x:c r="B148" s="87" t="str">
        <x:v>Medipass Spa/IT (1165955D IM) - Income Statement</x:v>
      </x:c>
      <x:c r="C148" s="87" t="str">
        <x:v>EUR</x:v>
      </x:c>
      <x:c r="D148" s="87"/>
      <x:c r="E148" s="87" t="str">
        <x:v>Unmatched</x:v>
      </x:c>
      <x:c r="F148" s="88" t="n">
        <x:v>2022</x:v>
      </x:c>
      <x:c r="G148" s="89" t="n">
        <x:v>37.277</x:v>
      </x:c>
      <x:c r="H148" s="89" t="n">
        <x:v>-2.055</x:v>
      </x:c>
      <x:c r="I148" s="89" t="n">
        <x:v>-4.036</x:v>
      </x:c>
      <x:c r="J148" s="89" t="n">
        <x:v>217.3</x:v>
      </x:c>
      <x:c r="K148" s="89" t="n">
        <x:v>95.296</x:v>
      </x:c>
      <x:c r="L148" s="89"/>
      <x:c r="M148" s="90" t="n">
        <x:v>-1.8599078341013824</x:v>
      </x:c>
      <x:c r="N148" s="90" t="n">
        <x:v>-5.5128</x:v>
      </x:c>
      <x:c r="O148" s="90" t="n">
        <x:v>43.8481</x:v>
      </x:c>
      <x:c r="P148" s="87" t="str">
        <x:v>Historical non-estimate Bloomberg observation; ratios may be derived when the workbook lacked a complete ratio series.</x:v>
      </x:c>
    </x:row>
    <x:row r="149">
      <x:c r="A149" s="87" t="str">
        <x:v>Medipass Spa IT(1).xlsx</x:v>
      </x:c>
      <x:c r="B149" s="87" t="str">
        <x:v>Medipass Spa/IT (1165955D IM) - Income Statement</x:v>
      </x:c>
      <x:c r="C149" s="87" t="str">
        <x:v>EUR</x:v>
      </x:c>
      <x:c r="D149" s="87"/>
      <x:c r="E149" s="87" t="str">
        <x:v>Unmatched</x:v>
      </x:c>
      <x:c r="F149" s="88" t="n">
        <x:v>2023</x:v>
      </x:c>
      <x:c r="G149" s="89" t="n">
        <x:v>38.659</x:v>
      </x:c>
      <x:c r="H149" s="89" t="n">
        <x:v>-3.71</x:v>
      </x:c>
      <x:c r="I149" s="89" t="n">
        <x:v>-4.974</x:v>
      </x:c>
      <x:c r="J149" s="89" t="n">
        <x:v>200.9</x:v>
      </x:c>
      <x:c r="K149" s="89" t="n">
        <x:v>81.772</x:v>
      </x:c>
      <x:c r="L149" s="89"/>
      <x:c r="M149" s="90" t="n">
        <x:v>-2.378766140602582</x:v>
      </x:c>
      <x:c r="N149" s="90" t="n">
        <x:v>-9.5967</x:v>
      </x:c>
      <x:c r="O149" s="90" t="n">
        <x:v>40.7036</x:v>
      </x:c>
      <x:c r="P149" s="87" t="str">
        <x:v>Historical non-estimate Bloomberg observation; ratios may be derived when the workbook lacked a complete ratio series.</x:v>
      </x:c>
    </x:row>
    <x:row r="150">
      <x:c r="A150" s="87" t="str">
        <x:v>NICOX(1).xlsx</x:v>
      </x:c>
      <x:c r="B150" s="87" t="str">
        <x:v>Nicox (ALCOX FP) - Standardized</x:v>
      </x:c>
      <x:c r="C150" s="87" t="str">
        <x:v>EUR</x:v>
      </x:c>
      <x:c r="D150" s="87" t="str">
        <x:v>TRT-0034</x:v>
      </x:c>
      <x:c r="E150" s="87" t="str">
        <x:v>Mapped</x:v>
      </x:c>
      <x:c r="F150" s="88" t="n">
        <x:v>2006</x:v>
      </x:c>
      <x:c r="G150" s="89"/>
      <x:c r="H150" s="89"/>
      <x:c r="I150" s="89"/>
      <x:c r="J150" s="89" t="n">
        <x:v>91.409</x:v>
      </x:c>
      <x:c r="K150" s="89" t="n">
        <x:v>0.051000000000000004</x:v>
      </x:c>
      <x:c r="L150" s="89"/>
      <x:c r="M150" s="90" t="n">
        <x:v>-34.7356</x:v>
      </x:c>
      <x:c r="N150" s="90" t="n">
        <x:v>-276.8224</x:v>
      </x:c>
      <x:c r="O150" s="90" t="n">
        <x:v>0.0558</x:v>
      </x:c>
      <x:c r="P150" s="87" t="str">
        <x:v>Historical non-estimate Bloomberg observation; ratios may be derived when the workbook lacked a complete ratio series.</x:v>
      </x:c>
    </x:row>
    <x:row r="151">
      <x:c r="A151" s="87" t="str">
        <x:v>NICOX(1).xlsx</x:v>
      </x:c>
      <x:c r="B151" s="87" t="str">
        <x:v>Nicox (ALCOX FP) - Standardized</x:v>
      </x:c>
      <x:c r="C151" s="87" t="str">
        <x:v>EUR</x:v>
      </x:c>
      <x:c r="D151" s="87" t="str">
        <x:v>TRT-0034</x:v>
      </x:c>
      <x:c r="E151" s="87" t="str">
        <x:v>Mapped</x:v>
      </x:c>
      <x:c r="F151" s="88" t="n">
        <x:v>2007</x:v>
      </x:c>
      <x:c r="G151" s="89"/>
      <x:c r="H151" s="89"/>
      <x:c r="I151" s="89"/>
      <x:c r="J151" s="89" t="n">
        <x:v>189.461</x:v>
      </x:c>
      <x:c r="K151" s="89" t="n">
        <x:v>0.028999999999999998</x:v>
      </x:c>
      <x:c r="L151" s="89"/>
      <x:c r="M151" s="90" t="n">
        <x:v>-22.8889</x:v>
      </x:c>
      <x:c r="N151" s="90" t="n">
        <x:v>-180.3977</x:v>
      </x:c>
      <x:c r="O151" s="90" t="n">
        <x:v>0.0153</x:v>
      </x:c>
      <x:c r="P151" s="87" t="str">
        <x:v>Historical non-estimate Bloomberg observation; ratios may be derived when the workbook lacked a complete ratio series.</x:v>
      </x:c>
    </x:row>
    <x:row r="152">
      <x:c r="A152" s="87" t="str">
        <x:v>NICOX(1).xlsx</x:v>
      </x:c>
      <x:c r="B152" s="87" t="str">
        <x:v>Nicox (ALCOX FP) - Standardized</x:v>
      </x:c>
      <x:c r="C152" s="87" t="str">
        <x:v>EUR</x:v>
      </x:c>
      <x:c r="D152" s="87" t="str">
        <x:v>TRT-0034</x:v>
      </x:c>
      <x:c r="E152" s="87" t="str">
        <x:v>Mapped</x:v>
      </x:c>
      <x:c r="F152" s="88" t="n">
        <x:v>2008</x:v>
      </x:c>
      <x:c r="G152" s="89"/>
      <x:c r="H152" s="89"/>
      <x:c r="I152" s="89"/>
      <x:c r="J152" s="89" t="n">
        <x:v>123.619</x:v>
      </x:c>
      <x:c r="K152" s="89" t="n">
        <x:v>0.019</x:v>
      </x:c>
      <x:c r="L152" s="89"/>
      <x:c r="M152" s="90" t="n">
        <x:v>-47.2001</x:v>
      </x:c>
      <x:c r="N152" s="90" t="n">
        <x:v>-2356.1273</x:v>
      </x:c>
      <x:c r="O152" s="90" t="n">
        <x:v>0.0154</x:v>
      </x:c>
      <x:c r="P152" s="87" t="str">
        <x:v>Historical non-estimate Bloomberg observation; ratios may be derived when the workbook lacked a complete ratio series.</x:v>
      </x:c>
    </x:row>
    <x:row r="153">
      <x:c r="A153" s="87" t="str">
        <x:v>NICOX(1).xlsx</x:v>
      </x:c>
      <x:c r="B153" s="87" t="str">
        <x:v>Nicox (ALCOX FP) - Standardized</x:v>
      </x:c>
      <x:c r="C153" s="87" t="str">
        <x:v>EUR</x:v>
      </x:c>
      <x:c r="D153" s="87" t="str">
        <x:v>TRT-0034</x:v>
      </x:c>
      <x:c r="E153" s="87" t="str">
        <x:v>Mapped</x:v>
      </x:c>
      <x:c r="F153" s="88" t="n">
        <x:v>2009</x:v>
      </x:c>
      <x:c r="G153" s="89" t="n">
        <x:v>1.119</x:v>
      </x:c>
      <x:c r="H153" s="89" t="n">
        <x:v>-56.251</x:v>
      </x:c>
      <x:c r="I153" s="89" t="n">
        <x:v>-60.35</x:v>
      </x:c>
      <x:c r="J153" s="89" t="n">
        <x:v>157.425</x:v>
      </x:c>
      <x:c r="K153" s="89" t="n">
        <x:v>0.013000000000000001</x:v>
      </x:c>
      <x:c r="L153" s="89" t="n">
        <x:v>46.014</x:v>
      </x:c>
      <x:c r="M153" s="90" t="n">
        <x:v>-42.947</x:v>
      </x:c>
      <x:c r="N153" s="90" t="n">
        <x:v>-5539.3208</x:v>
      </x:c>
      <x:c r="O153" s="90" t="n">
        <x:v>0.0083</x:v>
      </x:c>
      <x:c r="P153" s="87" t="str">
        <x:v>Historical non-estimate Bloomberg observation; ratios may be derived when the workbook lacked a complete ratio series.</x:v>
      </x:c>
    </x:row>
    <x:row r="154">
      <x:c r="A154" s="87" t="str">
        <x:v>NICOX(1).xlsx</x:v>
      </x:c>
      <x:c r="B154" s="87" t="str">
        <x:v>Nicox (ALCOX FP) - Standardized</x:v>
      </x:c>
      <x:c r="C154" s="87" t="str">
        <x:v>EUR</x:v>
      </x:c>
      <x:c r="D154" s="87" t="str">
        <x:v>TRT-0034</x:v>
      </x:c>
      <x:c r="E154" s="87" t="str">
        <x:v>Mapped</x:v>
      </x:c>
      <x:c r="F154" s="88" t="n">
        <x:v>2010</x:v>
      </x:c>
      <x:c r="G154" s="89" t="n">
        <x:v>7.423</x:v>
      </x:c>
      <x:c r="H154" s="89" t="n">
        <x:v>-26.705</x:v>
      </x:c>
      <x:c r="I154" s="89" t="n">
        <x:v>-43.951</x:v>
      </x:c>
      <x:c r="J154" s="89" t="n">
        <x:v>112.932</x:v>
      </x:c>
      <x:c r="K154" s="89" t="n">
        <x:v>0.113</x:v>
      </x:c>
      <x:c r="L154" s="89" t="n">
        <x:v>27.886</x:v>
      </x:c>
      <x:c r="M154" s="90" t="n">
        <x:v>-32.5133</x:v>
      </x:c>
      <x:c r="N154" s="90" t="n">
        <x:v>-592.7118</x:v>
      </x:c>
      <x:c r="O154" s="90" t="n">
        <x:v>0.1001</x:v>
      </x:c>
      <x:c r="P154" s="87" t="str">
        <x:v>Historical non-estimate Bloomberg observation; ratios may be derived when the workbook lacked a complete ratio series.</x:v>
      </x:c>
    </x:row>
    <x:row r="155">
      <x:c r="A155" s="87" t="str">
        <x:v>NICOX(1).xlsx</x:v>
      </x:c>
      <x:c r="B155" s="87" t="str">
        <x:v>Nicox (ALCOX FP) - Standardized</x:v>
      </x:c>
      <x:c r="C155" s="87" t="str">
        <x:v>EUR</x:v>
      </x:c>
      <x:c r="D155" s="87" t="str">
        <x:v>TRT-0034</x:v>
      </x:c>
      <x:c r="E155" s="87" t="str">
        <x:v>Mapped</x:v>
      </x:c>
      <x:c r="F155" s="88" t="n">
        <x:v>2011</x:v>
      </x:c>
      <x:c r="G155" s="89" t="n">
        <x:v>0</x:v>
      </x:c>
      <x:c r="H155" s="89" t="n">
        <x:v>-13.184</x:v>
      </x:c>
      <x:c r="I155" s="89" t="n">
        <x:v>-16.635</x:v>
      </x:c>
      <x:c r="J155" s="89" t="n">
        <x:v>95.829</x:v>
      </x:c>
      <x:c r="K155" s="89" t="n">
        <x:v>0.082</x:v>
      </x:c>
      <x:c r="L155" s="89" t="n">
        <x:v>8.998</x:v>
      </x:c>
      <x:c r="M155" s="90" t="n">
        <x:v>-15.9369</x:v>
      </x:c>
      <x:c r="N155" s="90"/>
      <x:c r="O155" s="90" t="n">
        <x:v>0.0856</x:v>
      </x:c>
      <x:c r="P155" s="87" t="str">
        <x:v>Historical non-estimate Bloomberg observation; ratios may be derived when the workbook lacked a complete ratio series.</x:v>
      </x:c>
    </x:row>
    <x:row r="156">
      <x:c r="A156" s="87" t="str">
        <x:v>NICOX(1).xlsx</x:v>
      </x:c>
      <x:c r="B156" s="87" t="str">
        <x:v>Nicox (ALCOX FP) - Standardized</x:v>
      </x:c>
      <x:c r="C156" s="87" t="str">
        <x:v>EUR</x:v>
      </x:c>
      <x:c r="D156" s="87" t="str">
        <x:v>TRT-0034</x:v>
      </x:c>
      <x:c r="E156" s="87" t="str">
        <x:v>Mapped</x:v>
      </x:c>
      <x:c r="F156" s="88" t="n">
        <x:v>2012</x:v>
      </x:c>
      <x:c r="G156" s="89" t="n">
        <x:v>7.614</x:v>
      </x:c>
      <x:c r="H156" s="89" t="n">
        <x:v>-6.619</x:v>
      </x:c>
      <x:c r="I156" s="89" t="n">
        <x:v>-10.247</x:v>
      </x:c>
      <x:c r="J156" s="89" t="n">
        <x:v>84.147</x:v>
      </x:c>
      <x:c r="K156" s="89" t="n">
        <x:v>0.157</x:v>
      </x:c>
      <x:c r="L156" s="89" t="n">
        <x:v>6.471</x:v>
      </x:c>
      <x:c r="M156" s="90" t="n">
        <x:v>-11.3871</x:v>
      </x:c>
      <x:c r="N156" s="90" t="n">
        <x:v>-114.8805</x:v>
      </x:c>
      <x:c r="O156" s="90" t="n">
        <x:v>0.1866</x:v>
      </x:c>
      <x:c r="P156" s="87" t="str">
        <x:v>Historical non-estimate Bloomberg observation; ratios may be derived when the workbook lacked a complete ratio series.</x:v>
      </x:c>
    </x:row>
    <x:row r="157">
      <x:c r="A157" s="87" t="str">
        <x:v>NICOX(1).xlsx</x:v>
      </x:c>
      <x:c r="B157" s="87" t="str">
        <x:v>Nicox (ALCOX FP) - Standardized</x:v>
      </x:c>
      <x:c r="C157" s="87" t="str">
        <x:v>EUR</x:v>
      </x:c>
      <x:c r="D157" s="87" t="str">
        <x:v>TRT-0034</x:v>
      </x:c>
      <x:c r="E157" s="87" t="str">
        <x:v>Mapped</x:v>
      </x:c>
      <x:c r="F157" s="88" t="n">
        <x:v>2013</x:v>
      </x:c>
      <x:c r="G157" s="89" t="n">
        <x:v>0.436</x:v>
      </x:c>
      <x:c r="H157" s="89" t="n">
        <x:v>-14.224</x:v>
      </x:c>
      <x:c r="I157" s="89" t="n">
        <x:v>-18.145</x:v>
      </x:c>
      <x:c r="J157" s="89" t="n">
        <x:v>72.178</x:v>
      </x:c>
      <x:c r="K157" s="89" t="n">
        <x:v>0.152</x:v>
      </x:c>
      <x:c r="L157" s="89" t="n">
        <x:v>3.685</x:v>
      </x:c>
      <x:c r="M157" s="90" t="n">
        <x:v>-23.2145</x:v>
      </x:c>
      <x:c r="N157" s="90" t="n">
        <x:v>-2537.844</x:v>
      </x:c>
      <x:c r="O157" s="90" t="n">
        <x:v>0.2106</x:v>
      </x:c>
      <x:c r="P157" s="87" t="str">
        <x:v>Historical non-estimate Bloomberg observation; ratios may be derived when the workbook lacked a complete ratio series.</x:v>
      </x:c>
    </x:row>
    <x:row r="158">
      <x:c r="A158" s="87" t="str">
        <x:v>NICOX(1).xlsx</x:v>
      </x:c>
      <x:c r="B158" s="87" t="str">
        <x:v>Nicox (ALCOX FP) - Standardized</x:v>
      </x:c>
      <x:c r="C158" s="87" t="str">
        <x:v>EUR</x:v>
      </x:c>
      <x:c r="D158" s="87" t="str">
        <x:v>TRT-0034</x:v>
      </x:c>
      <x:c r="E158" s="87" t="str">
        <x:v>Mapped</x:v>
      </x:c>
      <x:c r="F158" s="88" t="n">
        <x:v>2014</x:v>
      </x:c>
      <x:c r="G158" s="89" t="n">
        <x:v>5.982</x:v>
      </x:c>
      <x:c r="H158" s="89" t="n">
        <x:v>-20.921</x:v>
      </x:c>
      <x:c r="I158" s="89" t="n">
        <x:v>-23.158</x:v>
      </x:c>
      <x:c r="J158" s="89" t="n">
        <x:v>150.041</x:v>
      </x:c>
      <x:c r="K158" s="89" t="n">
        <x:v>16.538</x:v>
      </x:c>
      <x:c r="L158" s="89" t="n">
        <x:v>4.432</x:v>
      </x:c>
      <x:c r="M158" s="90" t="n">
        <x:v>-20.8425</x:v>
      </x:c>
      <x:c r="N158" s="90" t="n">
        <x:v>-360.5316</x:v>
      </x:c>
      <x:c r="O158" s="90" t="n">
        <x:v>11.0223</x:v>
      </x:c>
      <x:c r="P158" s="87" t="str">
        <x:v>Historical non-estimate Bloomberg observation; ratios may be derived when the workbook lacked a complete ratio series.</x:v>
      </x:c>
    </x:row>
    <x:row r="159">
      <x:c r="A159" s="87" t="str">
        <x:v>NICOX(1).xlsx</x:v>
      </x:c>
      <x:c r="B159" s="87" t="str">
        <x:v>Nicox (ALCOX FP) - Standardized</x:v>
      </x:c>
      <x:c r="C159" s="87" t="str">
        <x:v>EUR</x:v>
      </x:c>
      <x:c r="D159" s="87" t="str">
        <x:v>TRT-0034</x:v>
      </x:c>
      <x:c r="E159" s="87" t="str">
        <x:v>Mapped</x:v>
      </x:c>
      <x:c r="F159" s="88" t="n">
        <x:v>2015</x:v>
      </x:c>
      <x:c r="G159" s="89" t="n">
        <x:v>0.067</x:v>
      </x:c>
      <x:c r="H159" s="89" t="n">
        <x:v>-19.639</x:v>
      </x:c>
      <x:c r="I159" s="89" t="n">
        <x:v>-27.939</x:v>
      </x:c>
      <x:c r="J159" s="89" t="n">
        <x:v>163.348</x:v>
      </x:c>
      <x:c r="K159" s="89" t="n">
        <x:v>3.941</x:v>
      </x:c>
      <x:c r="L159" s="89" t="n">
        <x:v>6.159</x:v>
      </x:c>
      <x:c r="M159" s="90" t="n">
        <x:v>-17.8302</x:v>
      </x:c>
      <x:c r="N159" s="90" t="n">
        <x:v>-30931.3433</x:v>
      </x:c>
      <x:c r="O159" s="90" t="n">
        <x:v>2.4126</x:v>
      </x:c>
      <x:c r="P159" s="87" t="str">
        <x:v>Historical non-estimate Bloomberg observation; ratios may be derived when the workbook lacked a complete ratio series.</x:v>
      </x:c>
    </x:row>
    <x:row r="160">
      <x:c r="A160" s="87" t="str">
        <x:v>NICOX(1).xlsx</x:v>
      </x:c>
      <x:c r="B160" s="87" t="str">
        <x:v>Nicox (ALCOX FP) - Standardized</x:v>
      </x:c>
      <x:c r="C160" s="87" t="str">
        <x:v>EUR</x:v>
      </x:c>
      <x:c r="D160" s="87" t="str">
        <x:v>TRT-0034</x:v>
      </x:c>
      <x:c r="E160" s="87" t="str">
        <x:v>Mapped</x:v>
      </x:c>
      <x:c r="F160" s="88" t="n">
        <x:v>2016</x:v>
      </x:c>
      <x:c r="G160" s="89" t="n">
        <x:v>0.016</x:v>
      </x:c>
      <x:c r="H160" s="89" t="n">
        <x:v>-6.929</x:v>
      </x:c>
      <x:c r="I160" s="89" t="n">
        <x:v>-19.035</x:v>
      </x:c>
      <x:c r="J160" s="89" t="n">
        <x:v>148.748</x:v>
      </x:c>
      <x:c r="K160" s="89" t="n">
        <x:v>0.985</x:v>
      </x:c>
      <x:c r="L160" s="89" t="n">
        <x:v>12.168</x:v>
      </x:c>
      <x:c r="M160" s="90" t="n">
        <x:v>-12.1982</x:v>
      </x:c>
      <x:c r="N160" s="90" t="n">
        <x:v>-48650</x:v>
      </x:c>
      <x:c r="O160" s="90" t="n">
        <x:v>0.6622</x:v>
      </x:c>
      <x:c r="P160" s="87" t="str">
        <x:v>Historical non-estimate Bloomberg observation; ratios may be derived when the workbook lacked a complete ratio series.</x:v>
      </x:c>
    </x:row>
    <x:row r="161">
      <x:c r="A161" s="87" t="str">
        <x:v>NICOX(1).xlsx</x:v>
      </x:c>
      <x:c r="B161" s="87" t="str">
        <x:v>Nicox (ALCOX FP) - Standardized</x:v>
      </x:c>
      <x:c r="C161" s="87" t="str">
        <x:v>EUR</x:v>
      </x:c>
      <x:c r="D161" s="87" t="str">
        <x:v>TRT-0034</x:v>
      </x:c>
      <x:c r="E161" s="87" t="str">
        <x:v>Mapped</x:v>
      </x:c>
      <x:c r="F161" s="88" t="n">
        <x:v>2017</x:v>
      </x:c>
      <x:c r="G161" s="89" t="n">
        <x:v>15.08</x:v>
      </x:c>
      <x:c r="H161" s="89" t="n">
        <x:v>-17.534</x:v>
      </x:c>
      <x:c r="I161" s="89" t="n">
        <x:v>-3.618</x:v>
      </x:c>
      <x:c r="J161" s="89" t="n">
        <x:v>152.252</x:v>
      </x:c>
      <x:c r="K161" s="89" t="n">
        <x:v>0.05</x:v>
      </x:c>
      <x:c r="L161" s="89" t="n">
        <x:v>9.75</x:v>
      </x:c>
      <x:c r="M161" s="90" t="n">
        <x:v>-2.404</x:v>
      </x:c>
      <x:c r="N161" s="90" t="n">
        <x:v>-122.7984</x:v>
      </x:c>
      <x:c r="O161" s="90" t="n">
        <x:v>0.0328</x:v>
      </x:c>
      <x:c r="P161" s="87" t="str">
        <x:v>Historical non-estimate Bloomberg observation; ratios may be derived when the workbook lacked a complete ratio series.</x:v>
      </x:c>
    </x:row>
    <x:row r="162">
      <x:c r="A162" s="87" t="str">
        <x:v>NICOX(1).xlsx</x:v>
      </x:c>
      <x:c r="B162" s="87" t="str">
        <x:v>Nicox (ALCOX FP) - Standardized</x:v>
      </x:c>
      <x:c r="C162" s="87" t="str">
        <x:v>EUR</x:v>
      </x:c>
      <x:c r="D162" s="87" t="str">
        <x:v>TRT-0034</x:v>
      </x:c>
      <x:c r="E162" s="87" t="str">
        <x:v>Mapped</x:v>
      </x:c>
      <x:c r="F162" s="88" t="n">
        <x:v>2018</x:v>
      </x:c>
      <x:c r="G162" s="89" t="n">
        <x:v>4.717</x:v>
      </x:c>
      <x:c r="H162" s="89" t="n">
        <x:v>-20.668</x:v>
      </x:c>
      <x:c r="I162" s="89" t="n">
        <x:v>-18.391</x:v>
      </x:c>
      <x:c r="J162" s="89" t="n">
        <x:v>138.59</x:v>
      </x:c>
      <x:c r="K162" s="89" t="n">
        <x:v>0.08499999999999999</x:v>
      </x:c>
      <x:c r="L162" s="89" t="n">
        <x:v>16.331</x:v>
      </x:c>
      <x:c r="M162" s="90" t="n">
        <x:v>-12.6467</x:v>
      </x:c>
      <x:c r="N162" s="90" t="n">
        <x:v>-438.1598</x:v>
      </x:c>
      <x:c r="O162" s="90" t="n">
        <x:v>0.0613</x:v>
      </x:c>
      <x:c r="P162" s="87" t="str">
        <x:v>Historical non-estimate Bloomberg observation; ratios may be derived when the workbook lacked a complete ratio series.</x:v>
      </x:c>
    </x:row>
    <x:row r="163">
      <x:c r="A163" s="87" t="str">
        <x:v>NICOX(1).xlsx</x:v>
      </x:c>
      <x:c r="B163" s="87" t="str">
        <x:v>Nicox (ALCOX FP) - Standardized</x:v>
      </x:c>
      <x:c r="C163" s="87" t="str">
        <x:v>EUR</x:v>
      </x:c>
      <x:c r="D163" s="87" t="str">
        <x:v>TRT-0034</x:v>
      </x:c>
      <x:c r="E163" s="87" t="str">
        <x:v>Mapped</x:v>
      </x:c>
      <x:c r="F163" s="88" t="n">
        <x:v>2019</x:v>
      </x:c>
      <x:c r="G163" s="89" t="n">
        <x:v>8.26</x:v>
      </x:c>
      <x:c r="H163" s="89" t="n">
        <x:v>-18.332</x:v>
      </x:c>
      <x:c r="I163" s="89" t="n">
        <x:v>-18.922</x:v>
      </x:c>
      <x:c r="J163" s="89" t="n">
        <x:v>142.806</x:v>
      </x:c>
      <x:c r="K163" s="89" t="n">
        <x:v>12.649</x:v>
      </x:c>
      <x:c r="L163" s="89" t="n">
        <x:v>17.747</x:v>
      </x:c>
      <x:c r="M163" s="90" t="n">
        <x:v>-13.4487</x:v>
      </x:c>
      <x:c r="N163" s="90" t="n">
        <x:v>-221.937</x:v>
      </x:c>
      <x:c r="O163" s="90" t="n">
        <x:v>8.8575</x:v>
      </x:c>
      <x:c r="P163" s="87" t="str">
        <x:v>Historical non-estimate Bloomberg observation; ratios may be derived when the workbook lacked a complete ratio series.</x:v>
      </x:c>
    </x:row>
    <x:row r="164">
      <x:c r="A164" s="87" t="str">
        <x:v>NICOX(1).xlsx</x:v>
      </x:c>
      <x:c r="B164" s="87" t="str">
        <x:v>Nicox (ALCOX FP) - Standardized</x:v>
      </x:c>
      <x:c r="C164" s="87" t="str">
        <x:v>EUR</x:v>
      </x:c>
      <x:c r="D164" s="87" t="str">
        <x:v>TRT-0034</x:v>
      </x:c>
      <x:c r="E164" s="87" t="str">
        <x:v>Mapped</x:v>
      </x:c>
      <x:c r="F164" s="88" t="n">
        <x:v>2020</x:v>
      </x:c>
      <x:c r="G164" s="89" t="n">
        <x:v>14.423</x:v>
      </x:c>
      <x:c r="H164" s="89" t="n">
        <x:v>-6.76</x:v>
      </x:c>
      <x:c r="I164" s="89" t="n">
        <x:v>-18.098</x:v>
      </x:c>
      <x:c r="J164" s="89" t="n">
        <x:v>142.266</x:v>
      </x:c>
      <x:c r="K164" s="89" t="n">
        <x:v>19.075</x:v>
      </x:c>
      <x:c r="L164" s="89" t="n">
        <x:v>12.728</x:v>
      </x:c>
      <x:c r="M164" s="90" t="n">
        <x:v>-12.6971</x:v>
      </x:c>
      <x:c r="N164" s="90" t="n">
        <x:v>-46.8696</x:v>
      </x:c>
      <x:c r="O164" s="90" t="n">
        <x:v>13.408</x:v>
      </x:c>
      <x:c r="P164" s="87" t="str">
        <x:v>Historical non-estimate Bloomberg observation; ratios may be derived when the workbook lacked a complete ratio series.</x:v>
      </x:c>
    </x:row>
    <x:row r="165">
      <x:c r="A165" s="87" t="str">
        <x:v>NICOX(1).xlsx</x:v>
      </x:c>
      <x:c r="B165" s="87" t="str">
        <x:v>Nicox (ALCOX FP) - Standardized</x:v>
      </x:c>
      <x:c r="C165" s="87" t="str">
        <x:v>EUR</x:v>
      </x:c>
      <x:c r="D165" s="87" t="str">
        <x:v>TRT-0034</x:v>
      </x:c>
      <x:c r="E165" s="87" t="str">
        <x:v>Mapped</x:v>
      </x:c>
      <x:c r="F165" s="88" t="n">
        <x:v>2021</x:v>
      </x:c>
      <x:c r="G165" s="89" t="n">
        <x:v>8.583</x:v>
      </x:c>
      <x:c r="H165" s="89" t="n">
        <x:v>-18.25</x:v>
      </x:c>
      <x:c r="I165" s="89" t="n">
        <x:v>-43.761</x:v>
      </x:c>
      <x:c r="J165" s="89" t="n">
        <x:v>114.609</x:v>
      </x:c>
      <x:c r="K165" s="89" t="n">
        <x:v>21.506</x:v>
      </x:c>
      <x:c r="L165" s="89" t="n">
        <x:v>17.91</x:v>
      </x:c>
      <x:c r="M165" s="90" t="n">
        <x:v>-34.0718</x:v>
      </x:c>
      <x:c r="N165" s="90" t="n">
        <x:v>-536.0597</x:v>
      </x:c>
      <x:c r="O165" s="90" t="n">
        <x:v>18.7647</x:v>
      </x:c>
      <x:c r="P165" s="87" t="str">
        <x:v>Historical non-estimate Bloomberg observation; ratios may be derived when the workbook lacked a complete ratio series.</x:v>
      </x:c>
    </x:row>
    <x:row r="166">
      <x:c r="A166" s="87" t="str">
        <x:v>NICOX(1).xlsx</x:v>
      </x:c>
      <x:c r="B166" s="87" t="str">
        <x:v>Nicox (ALCOX FP) - Standardized</x:v>
      </x:c>
      <x:c r="C166" s="87" t="str">
        <x:v>EUR</x:v>
      </x:c>
      <x:c r="D166" s="87" t="str">
        <x:v>TRT-0034</x:v>
      </x:c>
      <x:c r="E166" s="87" t="str">
        <x:v>Mapped</x:v>
      </x:c>
      <x:c r="F166" s="88" t="n">
        <x:v>2022</x:v>
      </x:c>
      <x:c r="G166" s="89" t="n">
        <x:v>5.454</x:v>
      </x:c>
      <x:c r="H166" s="89" t="n">
        <x:v>-19.262</x:v>
      </x:c>
      <x:c r="I166" s="89" t="n">
        <x:v>-31.285</x:v>
      </x:c>
      <x:c r="J166" s="89" t="n">
        <x:v>75.842</x:v>
      </x:c>
      <x:c r="K166" s="89" t="n">
        <x:v>25.297</x:v>
      </x:c>
      <x:c r="L166" s="89" t="n">
        <x:v>0</x:v>
      </x:c>
      <x:c r="M166" s="90" t="n">
        <x:v>-32.8536</x:v>
      </x:c>
      <x:c r="N166" s="90" t="n">
        <x:v>-353.172</x:v>
      </x:c>
      <x:c r="O166" s="90" t="n">
        <x:v>33.3549</x:v>
      </x:c>
      <x:c r="P166" s="87" t="str">
        <x:v>Historical non-estimate Bloomberg observation; ratios may be derived when the workbook lacked a complete ratio series.</x:v>
      </x:c>
    </x:row>
    <x:row r="167">
      <x:c r="A167" s="87" t="str">
        <x:v>NICOX(1).xlsx</x:v>
      </x:c>
      <x:c r="B167" s="87" t="str">
        <x:v>Nicox (ALCOX FP) - Standardized</x:v>
      </x:c>
      <x:c r="C167" s="87" t="str">
        <x:v>EUR</x:v>
      </x:c>
      <x:c r="D167" s="87" t="str">
        <x:v>TRT-0034</x:v>
      </x:c>
      <x:c r="E167" s="87" t="str">
        <x:v>Mapped</x:v>
      </x:c>
      <x:c r="F167" s="88" t="n">
        <x:v>2023</x:v>
      </x:c>
      <x:c r="G167" s="89" t="n">
        <x:v>6.903</x:v>
      </x:c>
      <x:c r="H167" s="89" t="n">
        <x:v>-17.056</x:v>
      </x:c>
      <x:c r="I167" s="89" t="n">
        <x:v>-20.881</x:v>
      </x:c>
      <x:c r="J167" s="89" t="n">
        <x:v>52.978</x:v>
      </x:c>
      <x:c r="K167" s="89" t="n">
        <x:v>25.153</x:v>
      </x:c>
      <x:c r="L167" s="89" t="n">
        <x:v>0</x:v>
      </x:c>
      <x:c r="M167" s="90" t="n">
        <x:v>-32.4189</x:v>
      </x:c>
      <x:c r="N167" s="90" t="n">
        <x:v>-247.081</x:v>
      </x:c>
      <x:c r="O167" s="90" t="n">
        <x:v>47.4782</x:v>
      </x:c>
      <x:c r="P167" s="87" t="str">
        <x:v>Historical non-estimate Bloomberg observation; ratios may be derived when the workbook lacked a complete ratio series.</x:v>
      </x:c>
    </x:row>
    <x:row r="168">
      <x:c r="A168" s="87" t="str">
        <x:v>NICOX(1).xlsx</x:v>
      </x:c>
      <x:c r="B168" s="87" t="str">
        <x:v>Nicox (ALCOX FP) - Standardized</x:v>
      </x:c>
      <x:c r="C168" s="87" t="str">
        <x:v>EUR</x:v>
      </x:c>
      <x:c r="D168" s="87" t="str">
        <x:v>TRT-0034</x:v>
      </x:c>
      <x:c r="E168" s="87" t="str">
        <x:v>Mapped</x:v>
      </x:c>
      <x:c r="F168" s="88" t="n">
        <x:v>2024</x:v>
      </x:c>
      <x:c r="G168" s="89" t="n">
        <x:v>7.859</x:v>
      </x:c>
      <x:c r="H168" s="89" t="n">
        <x:v>-9.854</x:v>
      </x:c>
      <x:c r="I168" s="89" t="n">
        <x:v>-22.39</x:v>
      </x:c>
      <x:c r="J168" s="89" t="n">
        <x:v>24.421</x:v>
      </x:c>
      <x:c r="K168" s="89" t="n">
        <x:v>15.146</x:v>
      </x:c>
      <x:c r="L168" s="89" t="n">
        <x:v>0</x:v>
      </x:c>
      <x:c r="M168" s="90" t="n">
        <x:v>-57.856</x:v>
      </x:c>
      <x:c r="N168" s="90" t="n">
        <x:v>-125.3849</x:v>
      </x:c>
      <x:c r="O168" s="90" t="n">
        <x:v>62.0204</x:v>
      </x:c>
      <x:c r="P168" s="87" t="str">
        <x:v>Historical non-estimate Bloomberg observation; ratios may be derived when the workbook lacked a complete ratio series.</x:v>
      </x:c>
    </x:row>
    <x:row r="169">
      <x:c r="A169" s="87" t="str">
        <x:v>NICOX(1).xlsx</x:v>
      </x:c>
      <x:c r="B169" s="87" t="str">
        <x:v>Nicox (ALCOX FP) - Standardized</x:v>
      </x:c>
      <x:c r="C169" s="87" t="str">
        <x:v>EUR</x:v>
      </x:c>
      <x:c r="D169" s="87" t="str">
        <x:v>TRT-0034</x:v>
      </x:c>
      <x:c r="E169" s="87" t="str">
        <x:v>Mapped</x:v>
      </x:c>
      <x:c r="F169" s="88" t="n">
        <x:v>2025</x:v>
      </x:c>
      <x:c r="G169" s="89" t="n">
        <x:v>16.771</x:v>
      </x:c>
      <x:c r="H169" s="89" t="n">
        <x:v>6.629</x:v>
      </x:c>
      <x:c r="I169" s="89" t="n">
        <x:v>-2.413</x:v>
      </x:c>
      <x:c r="J169" s="89" t="n">
        <x:v>10.373</x:v>
      </x:c>
      <x:c r="K169" s="89" t="n">
        <x:v>0.404</x:v>
      </x:c>
      <x:c r="L169" s="89"/>
      <x:c r="M169" s="90" t="n">
        <x:v>-13.8702</x:v>
      </x:c>
      <x:c r="N169" s="90" t="n">
        <x:v>27.5893</x:v>
      </x:c>
      <x:c r="O169" s="90" t="n">
        <x:v>3.8947</x:v>
      </x:c>
      <x:c r="P169" s="87" t="str">
        <x:v>Historical non-estimate Bloomberg observation; ratios may be derived when the workbook lacked a complete ratio series.</x:v>
      </x:c>
    </x:row>
    <x:row r="170">
      <x:c r="A170" s="87" t="str">
        <x:v>SANOFI(1).xlsx</x:v>
      </x:c>
      <x:c r="B170" s="87" t="str">
        <x:v>Sanofi SA (SAN FP) - Adjusted</x:v>
      </x:c>
      <x:c r="C170" s="87" t="str">
        <x:v>EUR</x:v>
      </x:c>
      <x:c r="D170" s="87" t="str">
        <x:v>TRT-0010</x:v>
      </x:c>
      <x:c r="E170" s="87" t="str">
        <x:v>Mapped</x:v>
      </x:c>
      <x:c r="F170" s="88" t="n">
        <x:v>2006</x:v>
      </x:c>
      <x:c r="G170" s="89"/>
      <x:c r="H170" s="89"/>
      <x:c r="I170" s="89"/>
      <x:c r="J170" s="89" t="n">
        <x:v>77763</x:v>
      </x:c>
      <x:c r="K170" s="89" t="n">
        <x:v>6944</x:v>
      </x:c>
      <x:c r="L170" s="89"/>
      <x:c r="M170" s="90" t="n">
        <x:v>4.8729</x:v>
      </x:c>
      <x:c r="N170" s="90" t="n">
        <x:v>20.1917</x:v>
      </x:c>
      <x:c r="O170" s="90" t="n">
        <x:v>8.9297</x:v>
      </x:c>
      <x:c r="P170" s="87" t="str">
        <x:v>Historical non-estimate Bloomberg observation; ratios may be derived when the workbook lacked a complete ratio series.</x:v>
      </x:c>
    </x:row>
    <x:row r="171">
      <x:c r="A171" s="87" t="str">
        <x:v>SANOFI(1).xlsx</x:v>
      </x:c>
      <x:c r="B171" s="87" t="str">
        <x:v>Sanofi SA (SAN FP) - Adjusted</x:v>
      </x:c>
      <x:c r="C171" s="87" t="str">
        <x:v>EUR</x:v>
      </x:c>
      <x:c r="D171" s="87" t="str">
        <x:v>TRT-0010</x:v>
      </x:c>
      <x:c r="E171" s="87" t="str">
        <x:v>Mapped</x:v>
      </x:c>
      <x:c r="F171" s="88" t="n">
        <x:v>2007</x:v>
      </x:c>
      <x:c r="G171" s="89"/>
      <x:c r="H171" s="89"/>
      <x:c r="I171" s="89"/>
      <x:c r="J171" s="89" t="n">
        <x:v>71914</x:v>
      </x:c>
      <x:c r="K171" s="89" t="n">
        <x:v>5941</x:v>
      </x:c>
      <x:c r="L171" s="89"/>
      <x:c r="M171" s="90" t="n">
        <x:v>7.0325</x:v>
      </x:c>
      <x:c r="N171" s="90" t="n">
        <x:v>21.7667</x:v>
      </x:c>
      <x:c r="O171" s="90" t="n">
        <x:v>8.2613</x:v>
      </x:c>
      <x:c r="P171" s="87" t="str">
        <x:v>Historical non-estimate Bloomberg observation; ratios may be derived when the workbook lacked a complete ratio series.</x:v>
      </x:c>
    </x:row>
    <x:row r="172">
      <x:c r="A172" s="87" t="str">
        <x:v>SANOFI(1).xlsx</x:v>
      </x:c>
      <x:c r="B172" s="87" t="str">
        <x:v>Sanofi SA (SAN FP) - Adjusted</x:v>
      </x:c>
      <x:c r="C172" s="87" t="str">
        <x:v>EUR</x:v>
      </x:c>
      <x:c r="D172" s="87" t="str">
        <x:v>TRT-0010</x:v>
      </x:c>
      <x:c r="E172" s="87" t="str">
        <x:v>Mapped</x:v>
      </x:c>
      <x:c r="F172" s="88" t="n">
        <x:v>2008</x:v>
      </x:c>
      <x:c r="G172" s="89"/>
      <x:c r="H172" s="89"/>
      <x:c r="I172" s="89"/>
      <x:c r="J172" s="89" t="n">
        <x:v>71987</x:v>
      </x:c>
      <x:c r="K172" s="89" t="n">
        <x:v>2556</x:v>
      </x:c>
      <x:c r="L172" s="89"/>
      <x:c r="M172" s="90" t="n">
        <x:v>5.3523</x:v>
      </x:c>
      <x:c r="N172" s="90" t="n">
        <x:v>22.2646</x:v>
      </x:c>
      <x:c r="O172" s="90" t="n">
        <x:v>3.5506</x:v>
      </x:c>
      <x:c r="P172" s="87" t="str">
        <x:v>Historical non-estimate Bloomberg observation; ratios may be derived when the workbook lacked a complete ratio series.</x:v>
      </x:c>
    </x:row>
    <x:row r="173">
      <x:c r="A173" s="87" t="str">
        <x:v>SANOFI(1).xlsx</x:v>
      </x:c>
      <x:c r="B173" s="87" t="str">
        <x:v>Sanofi SA (SAN FP) - Adjusted</x:v>
      </x:c>
      <x:c r="C173" s="87" t="str">
        <x:v>EUR</x:v>
      </x:c>
      <x:c r="D173" s="87" t="str">
        <x:v>TRT-0010</x:v>
      </x:c>
      <x:c r="E173" s="87" t="str">
        <x:v>Mapped</x:v>
      </x:c>
      <x:c r="F173" s="88" t="n">
        <x:v>2009</x:v>
      </x:c>
      <x:c r="G173" s="89" t="n">
        <x:v>30749</x:v>
      </x:c>
      <x:c r="H173" s="89" t="n">
        <x:v>7818</x:v>
      </x:c>
      <x:c r="I173" s="89" t="n">
        <x:v>5265</x:v>
      </x:c>
      <x:c r="J173" s="89" t="n">
        <x:v>80251</x:v>
      </x:c>
      <x:c r="K173" s="89" t="n">
        <x:v>8819</x:v>
      </x:c>
      <x:c r="L173" s="89" t="n">
        <x:v>4583</x:v>
      </x:c>
      <x:c r="M173" s="90" t="n">
        <x:v>6.9168</x:v>
      </x:c>
      <x:c r="N173" s="90" t="n">
        <x:v>20.573</x:v>
      </x:c>
      <x:c r="O173" s="90" t="n">
        <x:v>10.9893</x:v>
      </x:c>
      <x:c r="P173" s="87" t="str">
        <x:v>Historical non-estimate Bloomberg observation; ratios may be derived when the workbook lacked a complete ratio series.</x:v>
      </x:c>
    </x:row>
    <x:row r="174">
      <x:c r="A174" s="87" t="str">
        <x:v>SANOFI(1).xlsx</x:v>
      </x:c>
      <x:c r="B174" s="87" t="str">
        <x:v>Sanofi SA (SAN FP) - Adjusted</x:v>
      </x:c>
      <x:c r="C174" s="87" t="str">
        <x:v>EUR</x:v>
      </x:c>
      <x:c r="D174" s="87" t="str">
        <x:v>TRT-0010</x:v>
      </x:c>
      <x:c r="E174" s="87" t="str">
        <x:v>Mapped</x:v>
      </x:c>
      <x:c r="F174" s="88" t="n">
        <x:v>2010</x:v>
      </x:c>
      <x:c r="G174" s="89" t="n">
        <x:v>34036</x:v>
      </x:c>
      <x:c r="H174" s="89" t="n">
        <x:v>8642</x:v>
      </x:c>
      <x:c r="I174" s="89" t="n">
        <x:v>5467</x:v>
      </x:c>
      <x:c r="J174" s="89" t="n">
        <x:v>85264</x:v>
      </x:c>
      <x:c r="K174" s="89" t="n">
        <x:v>8452</x:v>
      </x:c>
      <x:c r="L174" s="89" t="n">
        <x:v>4547</x:v>
      </x:c>
      <x:c r="M174" s="90" t="n">
        <x:v>6.606</x:v>
      </x:c>
      <x:c r="N174" s="90" t="n">
        <x:v>19.6145</x:v>
      </x:c>
      <x:c r="O174" s="90" t="n">
        <x:v>9.9127</x:v>
      </x:c>
      <x:c r="P174" s="87" t="str">
        <x:v>Historical non-estimate Bloomberg observation; ratios may be derived when the workbook lacked a complete ratio series.</x:v>
      </x:c>
    </x:row>
    <x:row r="175">
      <x:c r="A175" s="87" t="str">
        <x:v>SANOFI(1).xlsx</x:v>
      </x:c>
      <x:c r="B175" s="87" t="str">
        <x:v>Sanofi SA (SAN FP) - Adjusted</x:v>
      </x:c>
      <x:c r="C175" s="87" t="str">
        <x:v>EUR</x:v>
      </x:c>
      <x:c r="D175" s="87" t="str">
        <x:v>TRT-0010</x:v>
      </x:c>
      <x:c r="E175" s="87" t="str">
        <x:v>Mapped</x:v>
      </x:c>
      <x:c r="F175" s="88" t="n">
        <x:v>2011</x:v>
      </x:c>
      <x:c r="G175" s="89" t="n">
        <x:v>35058</x:v>
      </x:c>
      <x:c r="H175" s="89" t="n">
        <x:v>7989</x:v>
      </x:c>
      <x:c r="I175" s="89" t="n">
        <x:v>5693</x:v>
      </x:c>
      <x:c r="J175" s="89" t="n">
        <x:v>100165</x:v>
      </x:c>
      <x:c r="K175" s="89" t="n">
        <x:v>15697</x:v>
      </x:c>
      <x:c r="L175" s="89" t="n">
        <x:v>4811</x:v>
      </x:c>
      <x:c r="M175" s="90" t="n">
        <x:v>6.1404</x:v>
      </x:c>
      <x:c r="N175" s="90" t="n">
        <x:v>16.3615</x:v>
      </x:c>
      <x:c r="O175" s="90" t="n">
        <x:v>15.6711</x:v>
      </x:c>
      <x:c r="P175" s="87" t="str">
        <x:v>Historical non-estimate Bloomberg observation; ratios may be derived when the workbook lacked a complete ratio series.</x:v>
      </x:c>
    </x:row>
    <x:row r="176">
      <x:c r="A176" s="87" t="str">
        <x:v>SANOFI(1).xlsx</x:v>
      </x:c>
      <x:c r="B176" s="87" t="str">
        <x:v>Sanofi SA (SAN FP) - Adjusted</x:v>
      </x:c>
      <x:c r="C176" s="87" t="str">
        <x:v>EUR</x:v>
      </x:c>
      <x:c r="D176" s="87" t="str">
        <x:v>TRT-0010</x:v>
      </x:c>
      <x:c r="E176" s="87" t="str">
        <x:v>Mapped</x:v>
      </x:c>
      <x:c r="F176" s="88" t="n">
        <x:v>2012</x:v>
      </x:c>
      <x:c r="G176" s="89" t="n">
        <x:v>35957</x:v>
      </x:c>
      <x:c r="H176" s="89" t="n">
        <x:v>8112</x:v>
      </x:c>
      <x:c r="I176" s="89" t="n">
        <x:v>4889</x:v>
      </x:c>
      <x:c r="J176" s="89" t="n">
        <x:v>100409</x:v>
      </x:c>
      <x:c r="K176" s="89" t="n">
        <x:v>14695</x:v>
      </x:c>
      <x:c r="L176" s="89" t="n">
        <x:v>4905</x:v>
      </x:c>
      <x:c r="M176" s="90" t="n">
        <x:v>4.875</x:v>
      </x:c>
      <x:c r="N176" s="90" t="n">
        <x:v>18.0021</x:v>
      </x:c>
      <x:c r="O176" s="90" t="n">
        <x:v>14.6351</x:v>
      </x:c>
      <x:c r="P176" s="87" t="str">
        <x:v>Historical non-estimate Bloomberg observation; ratios may be derived when the workbook lacked a complete ratio series.</x:v>
      </x:c>
    </x:row>
    <x:row r="177">
      <x:c r="A177" s="87" t="str">
        <x:v>SANOFI(1).xlsx</x:v>
      </x:c>
      <x:c r="B177" s="87" t="str">
        <x:v>Sanofi SA (SAN FP) - Adjusted</x:v>
      </x:c>
      <x:c r="C177" s="87" t="str">
        <x:v>EUR</x:v>
      </x:c>
      <x:c r="D177" s="87" t="str">
        <x:v>TRT-0010</x:v>
      </x:c>
      <x:c r="E177" s="87" t="str">
        <x:v>Mapped</x:v>
      </x:c>
      <x:c r="F177" s="88" t="n">
        <x:v>2013</x:v>
      </x:c>
      <x:c r="G177" s="89" t="n">
        <x:v>33306</x:v>
      </x:c>
      <x:c r="H177" s="89" t="n">
        <x:v>6141</x:v>
      </x:c>
      <x:c r="I177" s="89" t="n">
        <x:v>3716</x:v>
      </x:c>
      <x:c r="J177" s="89" t="n">
        <x:v>96055</x:v>
      </x:c>
      <x:c r="K177" s="89" t="n">
        <x:v>14709</x:v>
      </x:c>
      <x:c r="L177" s="89" t="n">
        <x:v>4770</x:v>
      </x:c>
      <x:c r="M177" s="90" t="n">
        <x:v>3.7829</x:v>
      </x:c>
      <x:c r="N177" s="90" t="n">
        <x:v>15.3276</x:v>
      </x:c>
      <x:c r="O177" s="90" t="n">
        <x:v>15.3131</x:v>
      </x:c>
      <x:c r="P177" s="87" t="str">
        <x:v>Historical non-estimate Bloomberg observation; ratios may be derived when the workbook lacked a complete ratio series.</x:v>
      </x:c>
    </x:row>
    <x:row r="178">
      <x:c r="A178" s="87" t="str">
        <x:v>SANOFI(1).xlsx</x:v>
      </x:c>
      <x:c r="B178" s="87" t="str">
        <x:v>Sanofi SA (SAN FP) - Adjusted</x:v>
      </x:c>
      <x:c r="C178" s="87" t="str">
        <x:v>EUR</x:v>
      </x:c>
      <x:c r="D178" s="87" t="str">
        <x:v>TRT-0010</x:v>
      </x:c>
      <x:c r="E178" s="87" t="str">
        <x:v>Mapped</x:v>
      </x:c>
      <x:c r="F178" s="88" t="n">
        <x:v>2014</x:v>
      </x:c>
      <x:c r="G178" s="89" t="n">
        <x:v>31999</x:v>
      </x:c>
      <x:c r="H178" s="89" t="n">
        <x:v>6696</x:v>
      </x:c>
      <x:c r="I178" s="89" t="n">
        <x:v>4390</x:v>
      </x:c>
      <x:c r="J178" s="89" t="n">
        <x:v>97392</x:v>
      </x:c>
      <x:c r="K178" s="89" t="n">
        <x:v>14935</x:v>
      </x:c>
      <x:c r="L178" s="89" t="n">
        <x:v>4667</x:v>
      </x:c>
      <x:c r="M178" s="90" t="n">
        <x:v>4.5387</x:v>
      </x:c>
      <x:c r="N178" s="90" t="n">
        <x:v>19.2787</x:v>
      </x:c>
      <x:c r="O178" s="90" t="n">
        <x:v>15.3349</x:v>
      </x:c>
      <x:c r="P178" s="87" t="str">
        <x:v>Historical non-estimate Bloomberg observation; ratios may be derived when the workbook lacked a complete ratio series.</x:v>
      </x:c>
    </x:row>
    <x:row r="179">
      <x:c r="A179" s="87" t="str">
        <x:v>SANOFI(1).xlsx</x:v>
      </x:c>
      <x:c r="B179" s="87" t="str">
        <x:v>Sanofi SA (SAN FP) - Adjusted</x:v>
      </x:c>
      <x:c r="C179" s="87" t="str">
        <x:v>EUR</x:v>
      </x:c>
      <x:c r="D179" s="87" t="str">
        <x:v>TRT-0010</x:v>
      </x:c>
      <x:c r="E179" s="87" t="str">
        <x:v>Mapped</x:v>
      </x:c>
      <x:c r="F179" s="88" t="n">
        <x:v>2015</x:v>
      </x:c>
      <x:c r="G179" s="89" t="n">
        <x:v>34861</x:v>
      </x:c>
      <x:c r="H179" s="89" t="n">
        <x:v>7085</x:v>
      </x:c>
      <x:c r="I179" s="89" t="n">
        <x:v>4287</x:v>
      </x:c>
      <x:c r="J179" s="89" t="n">
        <x:v>102321</x:v>
      </x:c>
      <x:c r="K179" s="89" t="n">
        <x:v>16589</x:v>
      </x:c>
      <x:c r="L179" s="89" t="n">
        <x:v>5082</x:v>
      </x:c>
      <x:c r="M179" s="90" t="n">
        <x:v>4.2932</x:v>
      </x:c>
      <x:c r="N179" s="90" t="n">
        <x:v>16.4138</x:v>
      </x:c>
      <x:c r="O179" s="90" t="n">
        <x:v>16.2127</x:v>
      </x:c>
      <x:c r="P179" s="87" t="str">
        <x:v>Historical non-estimate Bloomberg observation; ratios may be derived when the workbook lacked a complete ratio series.</x:v>
      </x:c>
    </x:row>
    <x:row r="180">
      <x:c r="A180" s="87" t="str">
        <x:v>SANOFI(1).xlsx</x:v>
      </x:c>
      <x:c r="B180" s="87" t="str">
        <x:v>Sanofi SA (SAN FP) - Adjusted</x:v>
      </x:c>
      <x:c r="C180" s="87" t="str">
        <x:v>EUR</x:v>
      </x:c>
      <x:c r="D180" s="87" t="str">
        <x:v>TRT-0010</x:v>
      </x:c>
      <x:c r="E180" s="87" t="str">
        <x:v>Mapped</x:v>
      </x:c>
      <x:c r="F180" s="88" t="n">
        <x:v>2016</x:v>
      </x:c>
      <x:c r="G180" s="89" t="n">
        <x:v>34708</x:v>
      </x:c>
      <x:c r="H180" s="89" t="n">
        <x:v>7489</x:v>
      </x:c>
      <x:c r="I180" s="89" t="n">
        <x:v>4709</x:v>
      </x:c>
      <x:c r="J180" s="89" t="n">
        <x:v>104672</x:v>
      </x:c>
      <x:c r="K180" s="89" t="n">
        <x:v>18589</x:v>
      </x:c>
      <x:c r="L180" s="89" t="n">
        <x:v>5172</x:v>
      </x:c>
      <x:c r="M180" s="90" t="n">
        <x:v>4.5499</x:v>
      </x:c>
      <x:c r="N180" s="90" t="n">
        <x:v>18.8256</x:v>
      </x:c>
      <x:c r="O180" s="90" t="n">
        <x:v>17.7593</x:v>
      </x:c>
      <x:c r="P180" s="87" t="str">
        <x:v>Historical non-estimate Bloomberg observation; ratios may be derived when the workbook lacked a complete ratio series.</x:v>
      </x:c>
    </x:row>
    <x:row r="181">
      <x:c r="A181" s="87" t="str">
        <x:v>SANOFI(1).xlsx</x:v>
      </x:c>
      <x:c r="B181" s="87" t="str">
        <x:v>Sanofi SA (SAN FP) - Adjusted</x:v>
      </x:c>
      <x:c r="C181" s="87" t="str">
        <x:v>EUR</x:v>
      </x:c>
      <x:c r="D181" s="87" t="str">
        <x:v>TRT-0010</x:v>
      </x:c>
      <x:c r="E181" s="87" t="str">
        <x:v>Mapped</x:v>
      </x:c>
      <x:c r="F181" s="88" t="n">
        <x:v>2017</x:v>
      </x:c>
      <x:c r="G181" s="89" t="n">
        <x:v>36221</x:v>
      </x:c>
      <x:c r="H181" s="89" t="n">
        <x:v>7112</x:v>
      </x:c>
      <x:c r="I181" s="89" t="n">
        <x:v>8416</x:v>
      </x:c>
      <x:c r="J181" s="89" t="n">
        <x:v>99813</x:v>
      </x:c>
      <x:c r="K181" s="89" t="n">
        <x:v>15601</x:v>
      </x:c>
      <x:c r="L181" s="89" t="n">
        <x:v>5472</x:v>
      </x:c>
      <x:c r="M181" s="90" t="n">
        <x:v>8.2314</x:v>
      </x:c>
      <x:c r="N181" s="90" t="n">
        <x:v>16.0239</x:v>
      </x:c>
      <x:c r="O181" s="90" t="n">
        <x:v>15.6302</x:v>
      </x:c>
      <x:c r="P181" s="87" t="str">
        <x:v>Historical non-estimate Bloomberg observation; ratios may be derived when the workbook lacked a complete ratio series.</x:v>
      </x:c>
    </x:row>
    <x:row r="182">
      <x:c r="A182" s="87" t="str">
        <x:v>SANOFI(1).xlsx</x:v>
      </x:c>
      <x:c r="B182" s="87" t="str">
        <x:v>Sanofi SA (SAN FP) - Adjusted</x:v>
      </x:c>
      <x:c r="C182" s="87" t="str">
        <x:v>EUR</x:v>
      </x:c>
      <x:c r="D182" s="87" t="str">
        <x:v>TRT-0010</x:v>
      </x:c>
      <x:c r="E182" s="87" t="str">
        <x:v>Mapped</x:v>
      </x:c>
      <x:c r="F182" s="88" t="n">
        <x:v>2018</x:v>
      </x:c>
      <x:c r="G182" s="89" t="n">
        <x:v>35677</x:v>
      </x:c>
      <x:c r="H182" s="89" t="n">
        <x:v>5845</x:v>
      </x:c>
      <x:c r="I182" s="89" t="n">
        <x:v>4306</x:v>
      </x:c>
      <x:c r="J182" s="89" t="n">
        <x:v>111408</x:v>
      </x:c>
      <x:c r="K182" s="89" t="n">
        <x:v>24640</x:v>
      </x:c>
      <x:c r="L182" s="89" t="n">
        <x:v>5894</x:v>
      </x:c>
      <x:c r="M182" s="90" t="n">
        <x:v>4.0772</x:v>
      </x:c>
      <x:c r="N182" s="90" t="n">
        <x:v>13.1065</x:v>
      </x:c>
      <x:c r="O182" s="90" t="n">
        <x:v>22.1169</x:v>
      </x:c>
      <x:c r="P182" s="87" t="str">
        <x:v>Historical non-estimate Bloomberg observation; ratios may be derived when the workbook lacked a complete ratio series.</x:v>
      </x:c>
    </x:row>
    <x:row r="183">
      <x:c r="A183" s="87" t="str">
        <x:v>SANOFI(1).xlsx</x:v>
      </x:c>
      <x:c r="B183" s="87" t="str">
        <x:v>Sanofi SA (SAN FP) - Adjusted</x:v>
      </x:c>
      <x:c r="C183" s="87" t="str">
        <x:v>EUR</x:v>
      </x:c>
      <x:c r="D183" s="87" t="str">
        <x:v>TRT-0010</x:v>
      </x:c>
      <x:c r="E183" s="87" t="str">
        <x:v>Mapped</x:v>
      </x:c>
      <x:c r="F183" s="88" t="n">
        <x:v>2019</x:v>
      </x:c>
      <x:c r="G183" s="89" t="n">
        <x:v>37631</x:v>
      </x:c>
      <x:c r="H183" s="89" t="n">
        <x:v>6882</x:v>
      </x:c>
      <x:c r="I183" s="89" t="n">
        <x:v>2754</x:v>
      </x:c>
      <x:c r="J183" s="89" t="n">
        <x:v>112630</x:v>
      </x:c>
      <x:c r="K183" s="89" t="n">
        <x:v>25933</x:v>
      </x:c>
      <x:c r="L183" s="89" t="n">
        <x:v>6020</x:v>
      </x:c>
      <x:c r="M183" s="90" t="n">
        <x:v>2.4585</x:v>
      </x:c>
      <x:c r="N183" s="90" t="n">
        <x:v>8.1077</x:v>
      </x:c>
      <x:c r="O183" s="90" t="n">
        <x:v>23.0249</x:v>
      </x:c>
      <x:c r="P183" s="87" t="str">
        <x:v>Historical non-estimate Bloomberg observation; ratios may be derived when the workbook lacked a complete ratio series.</x:v>
      </x:c>
    </x:row>
    <x:row r="184">
      <x:c r="A184" s="87" t="str">
        <x:v>SANOFI(1).xlsx</x:v>
      </x:c>
      <x:c r="B184" s="87" t="str">
        <x:v>Sanofi SA (SAN FP) - Adjusted</x:v>
      </x:c>
      <x:c r="C184" s="87" t="str">
        <x:v>EUR</x:v>
      </x:c>
      <x:c r="D184" s="87" t="str">
        <x:v>TRT-0010</x:v>
      </x:c>
      <x:c r="E184" s="87" t="str">
        <x:v>Mapped</x:v>
      </x:c>
      <x:c r="F184" s="88" t="n">
        <x:v>2020</x:v>
      </x:c>
      <x:c r="G184" s="89" t="n">
        <x:v>37369</x:v>
      </x:c>
      <x:c r="H184" s="89" t="n">
        <x:v>7583</x:v>
      </x:c>
      <x:c r="I184" s="89" t="n">
        <x:v>12294</x:v>
      </x:c>
      <x:c r="J184" s="89" t="n">
        <x:v>114413</x:v>
      </x:c>
      <x:c r="K184" s="89" t="n">
        <x:v>23675</x:v>
      </x:c>
      <x:c r="L184" s="89" t="n">
        <x:v>5530</x:v>
      </x:c>
      <x:c r="M184" s="90" t="n">
        <x:v>10.8297</x:v>
      </x:c>
      <x:c r="N184" s="90" t="n">
        <x:v>37.7666</x:v>
      </x:c>
      <x:c r="O184" s="90" t="n">
        <x:v>20.6926</x:v>
      </x:c>
      <x:c r="P184" s="87" t="str">
        <x:v>Historical non-estimate Bloomberg observation; ratios may be derived when the workbook lacked a complete ratio series.</x:v>
      </x:c>
    </x:row>
    <x:row r="185">
      <x:c r="A185" s="87" t="str">
        <x:v>SANOFI(1).xlsx</x:v>
      </x:c>
      <x:c r="B185" s="87" t="str">
        <x:v>Sanofi SA (SAN FP) - Adjusted</x:v>
      </x:c>
      <x:c r="C185" s="87" t="str">
        <x:v>EUR</x:v>
      </x:c>
      <x:c r="D185" s="87" t="str">
        <x:v>TRT-0010</x:v>
      </x:c>
      <x:c r="E185" s="87" t="str">
        <x:v>Mapped</x:v>
      </x:c>
      <x:c r="F185" s="88" t="n">
        <x:v>2021</x:v>
      </x:c>
      <x:c r="G185" s="89" t="n">
        <x:v>39175</x:v>
      </x:c>
      <x:c r="H185" s="89" t="n">
        <x:v>8729</x:v>
      </x:c>
      <x:c r="I185" s="89" t="n">
        <x:v>6223</x:v>
      </x:c>
      <x:c r="J185" s="89" t="n">
        <x:v>120242</x:v>
      </x:c>
      <x:c r="K185" s="89" t="n">
        <x:v>22414</x:v>
      </x:c>
      <x:c r="L185" s="89" t="n">
        <x:v>5692</x:v>
      </x:c>
      <x:c r="M185" s="90" t="n">
        <x:v>5.304</x:v>
      </x:c>
      <x:c r="N185" s="90" t="n">
        <x:v>20.7428</x:v>
      </x:c>
      <x:c r="O185" s="90" t="n">
        <x:v>18.6407</x:v>
      </x:c>
      <x:c r="P185" s="87" t="str">
        <x:v>Historical non-estimate Bloomberg observation; ratios may be derived when the workbook lacked a complete ratio series.</x:v>
      </x:c>
    </x:row>
    <x:row r="186">
      <x:c r="A186" s="87" t="str">
        <x:v>SANOFI(1).xlsx</x:v>
      </x:c>
      <x:c r="B186" s="87" t="str">
        <x:v>Sanofi SA (SAN FP) - Adjusted</x:v>
      </x:c>
      <x:c r="C186" s="87" t="str">
        <x:v>EUR</x:v>
      </x:c>
      <x:c r="D186" s="87" t="str">
        <x:v>TRT-0010</x:v>
      </x:c>
      <x:c r="E186" s="87" t="str">
        <x:v>Mapped</x:v>
      </x:c>
      <x:c r="F186" s="88" t="n">
        <x:v>2022</x:v>
      </x:c>
      <x:c r="G186" s="89" t="n">
        <x:v>45389</x:v>
      </x:c>
      <x:c r="H186" s="89" t="n">
        <x:v>11226</x:v>
      </x:c>
      <x:c r="I186" s="89" t="n">
        <x:v>8371</x:v>
      </x:c>
      <x:c r="J186" s="89" t="n">
        <x:v>126722</x:v>
      </x:c>
      <x:c r="K186" s="89" t="n">
        <x:v>21212</x:v>
      </x:c>
      <x:c r="L186" s="89" t="n">
        <x:v>6706</x:v>
      </x:c>
      <x:c r="M186" s="90" t="n">
        <x:v>6.7791</x:v>
      </x:c>
      <x:c r="N186" s="90" t="n">
        <x:v>23.4771</x:v>
      </x:c>
      <x:c r="O186" s="90" t="n">
        <x:v>16.739</x:v>
      </x:c>
      <x:c r="P186" s="87" t="str">
        <x:v>Historical non-estimate Bloomberg observation; ratios may be derived when the workbook lacked a complete ratio series.</x:v>
      </x:c>
    </x:row>
    <x:row r="187">
      <x:c r="A187" s="87" t="str">
        <x:v>SANOFI(1).xlsx</x:v>
      </x:c>
      <x:c r="B187" s="87" t="str">
        <x:v>Sanofi SA (SAN FP) - Adjusted</x:v>
      </x:c>
      <x:c r="C187" s="87" t="str">
        <x:v>EUR</x:v>
      </x:c>
      <x:c r="D187" s="87" t="str">
        <x:v>TRT-0010</x:v>
      </x:c>
      <x:c r="E187" s="87" t="str">
        <x:v>Mapped</x:v>
      </x:c>
      <x:c r="F187" s="88" t="n">
        <x:v>2023</x:v>
      </x:c>
      <x:c r="G187" s="89" t="n">
        <x:v>41618</x:v>
      </x:c>
      <x:c r="H187" s="89" t="n">
        <x:v>9188</x:v>
      </x:c>
      <x:c r="I187" s="89" t="n">
        <x:v>5400</x:v>
      </x:c>
      <x:c r="J187" s="89" t="n">
        <x:v>126464</x:v>
      </x:c>
      <x:c r="K187" s="89" t="n">
        <x:v>18422</x:v>
      </x:c>
      <x:c r="L187" s="89" t="n">
        <x:v>8933</x:v>
      </x:c>
      <x:c r="M187" s="90" t="n">
        <x:v>4.2656</x:v>
      </x:c>
      <x:c r="N187" s="90" t="n">
        <x:v>16.75</x:v>
      </x:c>
      <x:c r="O187" s="90" t="n">
        <x:v>14.567</x:v>
      </x:c>
      <x:c r="P187" s="87" t="str">
        <x:v>Historical non-estimate Bloomberg observation; ratios may be derived when the workbook lacked a complete ratio series.</x:v>
      </x:c>
    </x:row>
    <x:row r="188">
      <x:c r="A188" s="87" t="str">
        <x:v>SANOFI(1).xlsx</x:v>
      </x:c>
      <x:c r="B188" s="87" t="str">
        <x:v>Sanofi SA (SAN FP) - Adjusted</x:v>
      </x:c>
      <x:c r="C188" s="87" t="str">
        <x:v>EUR</x:v>
      </x:c>
      <x:c r="D188" s="87" t="str">
        <x:v>TRT-0010</x:v>
      </x:c>
      <x:c r="E188" s="87" t="str">
        <x:v>Mapped</x:v>
      </x:c>
      <x:c r="F188" s="88" t="n">
        <x:v>2024</x:v>
      </x:c>
      <x:c r="G188" s="89" t="n">
        <x:v>44286</x:v>
      </x:c>
      <x:c r="H188" s="89" t="n">
        <x:v>8535</x:v>
      </x:c>
      <x:c r="I188" s="89" t="n">
        <x:v>5560</x:v>
      </x:c>
      <x:c r="J188" s="89" t="n">
        <x:v>132798</x:v>
      </x:c>
      <x:c r="K188" s="89" t="n">
        <x:v>17906</x:v>
      </x:c>
      <x:c r="L188" s="89" t="n">
        <x:v>7394</x:v>
      </x:c>
      <x:c r="M188" s="90" t="n">
        <x:v>4.2891</x:v>
      </x:c>
      <x:c r="N188" s="90" t="n">
        <x:v>16.3754</x:v>
      </x:c>
      <x:c r="O188" s="90" t="n">
        <x:v>13.4836</x:v>
      </x:c>
      <x:c r="P188" s="87" t="str">
        <x:v>Historical non-estimate Bloomberg observation; ratios may be derived when the workbook lacked a complete ratio series.</x:v>
      </x:c>
    </x:row>
    <x:row r="189">
      <x:c r="A189" s="87" t="str">
        <x:v>SANOFI(1).xlsx</x:v>
      </x:c>
      <x:c r="B189" s="87" t="str">
        <x:v>Sanofi SA (SAN FP) - Adjusted</x:v>
      </x:c>
      <x:c r="C189" s="87" t="str">
        <x:v>EUR</x:v>
      </x:c>
      <x:c r="D189" s="87" t="str">
        <x:v>TRT-0010</x:v>
      </x:c>
      <x:c r="E189" s="87" t="str">
        <x:v>Mapped</x:v>
      </x:c>
      <x:c r="F189" s="88" t="n">
        <x:v>2025</x:v>
      </x:c>
      <x:c r="G189" s="89" t="n">
        <x:v>46716</x:v>
      </x:c>
      <x:c r="H189" s="89" t="n">
        <x:v>9394</x:v>
      </x:c>
      <x:c r="I189" s="89" t="n">
        <x:v>7813</x:v>
      </x:c>
      <x:c r="J189" s="89" t="n">
        <x:v>126805</x:v>
      </x:c>
      <x:c r="K189" s="89" t="n">
        <x:v>20329</x:v>
      </x:c>
      <x:c r="L189" s="89" t="n">
        <x:v>7842</x:v>
      </x:c>
      <x:c r="M189" s="90" t="n">
        <x:v>6.0192</x:v>
      </x:c>
      <x:c r="N189" s="90" t="n">
        <x:v>13.5799</x:v>
      </x:c>
      <x:c r="O189" s="90" t="n">
        <x:v>16.0317</x:v>
      </x:c>
      <x:c r="P189" s="87" t="str">
        <x:v>Historical non-estimate Bloomberg observation; ratios may be derived when the workbook lacked a complete ratio series.</x:v>
      </x:c>
    </x:row>
    <x:row r="190">
      <x:c r="A190" s="87" t="str">
        <x:v>SHIRE(1).xlsx</x:v>
      </x:c>
      <x:c r="B190" s="87" t="str">
        <x:v>Shire PLC (SHP LN) - BBG Adjusted</x:v>
      </x:c>
      <x:c r="C190" s="87" t="str">
        <x:v>USD</x:v>
      </x:c>
      <x:c r="D190" s="87" t="str">
        <x:v>TRT-0045</x:v>
      </x:c>
      <x:c r="E190" s="87" t="str">
        <x:v>Mapped</x:v>
      </x:c>
      <x:c r="F190" s="88" t="n">
        <x:v>1998</x:v>
      </x:c>
      <x:c r="G190" s="89"/>
      <x:c r="H190" s="89" t="n">
        <x:v>12.5589</x:v>
      </x:c>
      <x:c r="I190" s="89"/>
      <x:c r="J190" s="89" t="n">
        <x:v>110.3</x:v>
      </x:c>
      <x:c r="K190" s="89" t="n">
        <x:v>1.2065</x:v>
      </x:c>
      <x:c r="L190" s="89"/>
      <x:c r="M190" s="90" t="n">
        <x:v>11.77</x:v>
      </x:c>
      <x:c r="N190" s="90" t="n">
        <x:v>9.43</x:v>
      </x:c>
      <x:c r="O190" s="90" t="n">
        <x:v>1.0935</x:v>
      </x:c>
      <x:c r="P190" s="87" t="str">
        <x:v>Historical non-estimate Bloomberg observation; ratios may be derived when the workbook lacked a complete ratio series.</x:v>
      </x:c>
    </x:row>
    <x:row r="191">
      <x:c r="A191" s="87" t="str">
        <x:v>SHIRE(1).xlsx</x:v>
      </x:c>
      <x:c r="B191" s="87" t="str">
        <x:v>Shire PLC (SHP LN) - BBG Adjusted</x:v>
      </x:c>
      <x:c r="C191" s="87" t="str">
        <x:v>USD</x:v>
      </x:c>
      <x:c r="D191" s="87" t="str">
        <x:v>TRT-0045</x:v>
      </x:c>
      <x:c r="E191" s="87" t="str">
        <x:v>Mapped</x:v>
      </x:c>
      <x:c r="F191" s="88" t="n">
        <x:v>1999</x:v>
      </x:c>
      <x:c r="G191" s="89"/>
      <x:c r="H191" s="89" t="n">
        <x:v>30.619</x:v>
      </x:c>
      <x:c r="I191" s="89"/>
      <x:c r="J191" s="89" t="n">
        <x:v>866.6</x:v>
      </x:c>
      <x:c r="K191" s="89" t="n">
        <x:v>88.403</x:v>
      </x:c>
      <x:c r="L191" s="89"/>
      <x:c r="M191" s="90" t="n">
        <x:v>2.57</x:v>
      </x:c>
      <x:c r="N191" s="90" t="n">
        <x:v>22.87</x:v>
      </x:c>
      <x:c r="O191" s="90" t="n">
        <x:v>10.2016</x:v>
      </x:c>
      <x:c r="P191" s="87" t="str">
        <x:v>Historical non-estimate Bloomberg observation; ratios may be derived when the workbook lacked a complete ratio series.</x:v>
      </x:c>
    </x:row>
    <x:row r="192">
      <x:c r="A192" s="87" t="str">
        <x:v>SHIRE(1).xlsx</x:v>
      </x:c>
      <x:c r="B192" s="87" t="str">
        <x:v>Shire PLC (SHP LN) - BBG Adjusted</x:v>
      </x:c>
      <x:c r="C192" s="87" t="str">
        <x:v>USD</x:v>
      </x:c>
      <x:c r="D192" s="87" t="str">
        <x:v>TRT-0045</x:v>
      </x:c>
      <x:c r="E192" s="87" t="str">
        <x:v>Mapped</x:v>
      </x:c>
      <x:c r="F192" s="88" t="n">
        <x:v>2000</x:v>
      </x:c>
      <x:c r="G192" s="89"/>
      <x:c r="H192" s="89" t="n">
        <x:v>80.145</x:v>
      </x:c>
      <x:c r="I192" s="89"/>
      <x:c r="J192" s="89" t="n">
        <x:v>994.7</x:v>
      </x:c>
      <x:c r="K192" s="89" t="n">
        <x:v>85.687</x:v>
      </x:c>
      <x:c r="L192" s="89"/>
      <x:c r="M192" s="90" t="n">
        <x:v>7.59</x:v>
      </x:c>
      <x:c r="N192" s="90" t="n">
        <x:v>23.32</x:v>
      </x:c>
      <x:c r="O192" s="90" t="n">
        <x:v>8.6145</x:v>
      </x:c>
      <x:c r="P192" s="87" t="str">
        <x:v>Historical non-estimate Bloomberg observation; ratios may be derived when the workbook lacked a complete ratio series.</x:v>
      </x:c>
    </x:row>
    <x:row r="193">
      <x:c r="A193" s="87" t="str">
        <x:v>SHIRE(1).xlsx</x:v>
      </x:c>
      <x:c r="B193" s="87" t="str">
        <x:v>Shire PLC (SHP LN) - BBG Adjusted</x:v>
      </x:c>
      <x:c r="C193" s="87" t="str">
        <x:v>USD</x:v>
      </x:c>
      <x:c r="D193" s="87" t="str">
        <x:v>TRT-0045</x:v>
      </x:c>
      <x:c r="E193" s="87" t="str">
        <x:v>Mapped</x:v>
      </x:c>
      <x:c r="F193" s="88" t="n">
        <x:v>2001</x:v>
      </x:c>
      <x:c r="G193" s="89" t="n">
        <x:v>563.2</x:v>
      </x:c>
      <x:c r="H193" s="89" t="n">
        <x:v>79.71</x:v>
      </x:c>
      <x:c r="I193" s="89" t="n">
        <x:v>35.7</x:v>
      </x:c>
      <x:c r="J193" s="89" t="n">
        <x:v>3831</x:v>
      </x:c>
      <x:c r="K193" s="89" t="n">
        <x:v>272.891</x:v>
      </x:c>
      <x:c r="L193" s="89"/>
      <x:c r="M193" s="90" t="n">
        <x:v>1.48</x:v>
      </x:c>
      <x:c r="N193" s="90" t="n">
        <x:v>14.15</x:v>
      </x:c>
      <x:c r="O193" s="90" t="n">
        <x:v>7.1232</x:v>
      </x:c>
      <x:c r="P193" s="87" t="str">
        <x:v>Historical non-estimate Bloomberg observation; ratios may be derived when the workbook lacked a complete ratio series.</x:v>
      </x:c>
    </x:row>
    <x:row r="194">
      <x:c r="A194" s="87" t="str">
        <x:v>SHIRE(1).xlsx</x:v>
      </x:c>
      <x:c r="B194" s="87" t="str">
        <x:v>Shire PLC (SHP LN) - BBG Adjusted</x:v>
      </x:c>
      <x:c r="C194" s="87" t="str">
        <x:v>USD</x:v>
      </x:c>
      <x:c r="D194" s="87" t="str">
        <x:v>TRT-0045</x:v>
      </x:c>
      <x:c r="E194" s="87" t="str">
        <x:v>Mapped</x:v>
      </x:c>
      <x:c r="F194" s="88" t="n">
        <x:v>2002</x:v>
      </x:c>
      <x:c r="G194" s="89" t="n">
        <x:v>1047</x:v>
      </x:c>
      <x:c r="H194" s="89" t="n">
        <x:v>136.3356</x:v>
      </x:c>
      <x:c r="I194" s="89" t="n">
        <x:v>-884.5</x:v>
      </x:c>
      <x:c r="J194" s="89" t="n">
        <x:v>5052</x:v>
      </x:c>
      <x:c r="K194" s="89" t="n">
        <x:v>400.4234</x:v>
      </x:c>
      <x:c r="L194" s="89"/>
      <x:c r="M194" s="90" t="n">
        <x:v>-20.39</x:v>
      </x:c>
      <x:c r="N194" s="90" t="n">
        <x:v>13.02</x:v>
      </x:c>
      <x:c r="O194" s="90" t="n">
        <x:v>7.926</x:v>
      </x:c>
      <x:c r="P194" s="87" t="str">
        <x:v>Historical non-estimate Bloomberg observation; ratios may be derived when the workbook lacked a complete ratio series.</x:v>
      </x:c>
    </x:row>
    <x:row r="195">
      <x:c r="A195" s="87" t="str">
        <x:v>SHIRE(1).xlsx</x:v>
      </x:c>
      <x:c r="B195" s="87" t="str">
        <x:v>Shire PLC (SHP LN) - BBG Adjusted</x:v>
      </x:c>
      <x:c r="C195" s="87" t="str">
        <x:v>USD</x:v>
      </x:c>
      <x:c r="D195" s="87" t="str">
        <x:v>TRT-0045</x:v>
      </x:c>
      <x:c r="E195" s="87" t="str">
        <x:v>Mapped</x:v>
      </x:c>
      <x:c r="F195" s="88" t="n">
        <x:v>2003</x:v>
      </x:c>
      <x:c r="G195" s="89" t="n">
        <x:v>1211.6</x:v>
      </x:c>
      <x:c r="H195" s="89" t="n">
        <x:v>471.016</x:v>
      </x:c>
      <x:c r="I195" s="89" t="n">
        <x:v>276.1</x:v>
      </x:c>
      <x:c r="J195" s="89" t="n">
        <x:v>2585.2</x:v>
      </x:c>
      <x:c r="K195" s="89" t="n">
        <x:v>376.307</x:v>
      </x:c>
      <x:c r="L195" s="89"/>
      <x:c r="M195" s="90" t="n">
        <x:v>7.23</x:v>
      </x:c>
      <x:c r="N195" s="90" t="n">
        <x:v>38.88</x:v>
      </x:c>
      <x:c r="O195" s="90" t="n">
        <x:v>14.5563</x:v>
      </x:c>
      <x:c r="P195" s="87" t="str">
        <x:v>Historical non-estimate Bloomberg observation; ratios may be derived when the workbook lacked a complete ratio series.</x:v>
      </x:c>
    </x:row>
    <x:row r="196">
      <x:c r="A196" s="87" t="str">
        <x:v>SHIRE(1).xlsx</x:v>
      </x:c>
      <x:c r="B196" s="87" t="str">
        <x:v>Shire PLC (SHP LN) - BBG Adjusted</x:v>
      </x:c>
      <x:c r="C196" s="87" t="str">
        <x:v>USD</x:v>
      </x:c>
      <x:c r="D196" s="87" t="str">
        <x:v>TRT-0045</x:v>
      </x:c>
      <x:c r="E196" s="87" t="str">
        <x:v>Mapped</x:v>
      </x:c>
      <x:c r="F196" s="88" t="n">
        <x:v>2004</x:v>
      </x:c>
      <x:c r="G196" s="89"/>
      <x:c r="H196" s="89" t="n">
        <x:v>-1471300</x:v>
      </x:c>
      <x:c r="I196" s="89" t="n">
        <x:v>-1653200</x:v>
      </x:c>
      <x:c r="J196" s="89" t="n">
        <x:v>4650000</x:v>
      </x:c>
      <x:c r="K196" s="89" t="n">
        <x:v>6662</x:v>
      </x:c>
      <x:c r="L196" s="89"/>
      <x:c r="M196" s="90" t="n">
        <x:v>-71.07</x:v>
      </x:c>
      <x:c r="N196" s="90"/>
      <x:c r="O196" s="90" t="n">
        <x:v>0.1433</x:v>
      </x:c>
      <x:c r="P196" s="87" t="str">
        <x:v>Historical non-estimate Bloomberg observation; ratios may be derived when the workbook lacked a complete ratio series.</x:v>
      </x:c>
    </x:row>
    <x:row r="197">
      <x:c r="A197" s="87" t="str">
        <x:v>SHIRE(1).xlsx</x:v>
      </x:c>
      <x:c r="B197" s="87" t="str">
        <x:v>Shire PLC (SHP LN) - BBG Adjusted</x:v>
      </x:c>
      <x:c r="C197" s="87" t="str">
        <x:v>USD</x:v>
      </x:c>
      <x:c r="D197" s="87" t="str">
        <x:v>TRT-0045</x:v>
      </x:c>
      <x:c r="E197" s="87" t="str">
        <x:v>Mapped</x:v>
      </x:c>
      <x:c r="F197" s="88" t="n">
        <x:v>2005</x:v>
      </x:c>
      <x:c r="G197" s="89"/>
      <x:c r="H197" s="89" t="n">
        <x:v>-2325.4</x:v>
      </x:c>
      <x:c r="I197" s="89" t="n">
        <x:v>-2342</x:v>
      </x:c>
      <x:c r="J197" s="89" t="n">
        <x:v>5253.3</x:v>
      </x:c>
      <x:c r="K197" s="89" t="n">
        <x:v>7.4</x:v>
      </x:c>
      <x:c r="L197" s="89"/>
      <x:c r="M197" s="90" t="n">
        <x:v>-0.1</x:v>
      </x:c>
      <x:c r="N197" s="90"/>
      <x:c r="O197" s="90" t="n">
        <x:v>0.1409</x:v>
      </x:c>
      <x:c r="P197" s="87" t="str">
        <x:v>Historical non-estimate Bloomberg observation; ratios may be derived when the workbook lacked a complete ratio series.</x:v>
      </x:c>
    </x:row>
    <x:row r="198">
      <x:c r="A198" s="87" t="str">
        <x:v>SHIRE(1).xlsx</x:v>
      </x:c>
      <x:c r="B198" s="87" t="str">
        <x:v>Shire PLC (SHP LN) - BBG Adjusted</x:v>
      </x:c>
      <x:c r="C198" s="87" t="str">
        <x:v>USD</x:v>
      </x:c>
      <x:c r="D198" s="87" t="str">
        <x:v>TRT-0045</x:v>
      </x:c>
      <x:c r="E198" s="87" t="str">
        <x:v>Mapped</x:v>
      </x:c>
      <x:c r="F198" s="88" t="n">
        <x:v>2006</x:v>
      </x:c>
      <x:c r="G198" s="89"/>
      <x:c r="H198" s="89" t="n">
        <x:v>-2460.5</x:v>
      </x:c>
      <x:c r="I198" s="89" t="n">
        <x:v>-2495.2</x:v>
      </x:c>
      <x:c r="J198" s="89" t="n">
        <x:v>5573.5</x:v>
      </x:c>
      <x:c r="K198" s="89" t="n">
        <x:v>10.4</x:v>
      </x:c>
      <x:c r="L198" s="89"/>
      <x:c r="M198" s="90" t="n">
        <x:v>-46.09</x:v>
      </x:c>
      <x:c r="N198" s="90"/>
      <x:c r="O198" s="90" t="n">
        <x:v>0.1866</x:v>
      </x:c>
      <x:c r="P198" s="87" t="str">
        <x:v>Historical non-estimate Bloomberg observation; ratios may be derived when the workbook lacked a complete ratio series.</x:v>
      </x:c>
    </x:row>
    <x:row r="199">
      <x:c r="A199" s="87" t="str">
        <x:v>SHIRE(1).xlsx</x:v>
      </x:c>
      <x:c r="B199" s="87" t="str">
        <x:v>Shire PLC (SHP LN) - BBG Adjusted</x:v>
      </x:c>
      <x:c r="C199" s="87" t="str">
        <x:v>USD</x:v>
      </x:c>
      <x:c r="D199" s="87" t="str">
        <x:v>TRT-0045</x:v>
      </x:c>
      <x:c r="E199" s="87" t="str">
        <x:v>Mapped</x:v>
      </x:c>
      <x:c r="F199" s="88" t="n">
        <x:v>2007</x:v>
      </x:c>
      <x:c r="G199" s="89"/>
      <x:c r="H199" s="89" t="n">
        <x:v>-2461.1</x:v>
      </x:c>
      <x:c r="I199" s="89" t="n">
        <x:v>-4275.5</x:v>
      </x:c>
      <x:c r="J199" s="89" t="n">
        <x:v>4286.8</x:v>
      </x:c>
      <x:c r="K199" s="89" t="n">
        <x:v>1132.9</x:v>
      </x:c>
      <x:c r="L199" s="89"/>
      <x:c r="M199" s="90" t="n">
        <x:v>-86.72</x:v>
      </x:c>
      <x:c r="N199" s="90"/>
      <x:c r="O199" s="90" t="n">
        <x:v>26.4276</x:v>
      </x:c>
      <x:c r="P199" s="87" t="str">
        <x:v>Historical non-estimate Bloomberg observation; ratios may be derived when the workbook lacked a complete ratio series.</x:v>
      </x:c>
    </x:row>
    <x:row r="200">
      <x:c r="A200" s="87" t="str">
        <x:v>SHIRE(1).xlsx</x:v>
      </x:c>
      <x:c r="B200" s="87" t="str">
        <x:v>Shire PLC (SHP LN) - BBG Adjusted</x:v>
      </x:c>
      <x:c r="C200" s="87" t="str">
        <x:v>USD</x:v>
      </x:c>
      <x:c r="D200" s="87" t="str">
        <x:v>TRT-0045</x:v>
      </x:c>
      <x:c r="E200" s="87" t="str">
        <x:v>Mapped</x:v>
      </x:c>
      <x:c r="F200" s="88" t="n">
        <x:v>2008</x:v>
      </x:c>
      <x:c r="G200" s="89" t="n">
        <x:v>3022.2</x:v>
      </x:c>
      <x:c r="H200" s="89" t="n">
        <x:v>664.7</x:v>
      </x:c>
      <x:c r="I200" s="89" t="n">
        <x:v>156</x:v>
      </x:c>
      <x:c r="J200" s="89" t="n">
        <x:v>3933.7</x:v>
      </x:c>
      <x:c r="K200" s="89" t="n">
        <x:v>1143.1</x:v>
      </x:c>
      <x:c r="L200" s="89"/>
      <x:c r="M200" s="90" t="n">
        <x:v>3.8</x:v>
      </x:c>
      <x:c r="N200" s="90" t="n">
        <x:v>21.99</x:v>
      </x:c>
      <x:c r="O200" s="90" t="n">
        <x:v>29.0592</x:v>
      </x:c>
      <x:c r="P200" s="87" t="str">
        <x:v>Historical non-estimate Bloomberg observation; ratios may be derived when the workbook lacked a complete ratio series.</x:v>
      </x:c>
    </x:row>
    <x:row r="201">
      <x:c r="A201" s="87" t="str">
        <x:v>SHIRE(1).xlsx</x:v>
      </x:c>
      <x:c r="B201" s="87" t="str">
        <x:v>Shire PLC (SHP LN) - BBG Adjusted</x:v>
      </x:c>
      <x:c r="C201" s="87" t="str">
        <x:v>USD</x:v>
      </x:c>
      <x:c r="D201" s="87" t="str">
        <x:v>TRT-0045</x:v>
      </x:c>
      <x:c r="E201" s="87" t="str">
        <x:v>Mapped</x:v>
      </x:c>
      <x:c r="F201" s="88" t="n">
        <x:v>2009</x:v>
      </x:c>
      <x:c r="G201" s="89" t="n">
        <x:v>3007.7</x:v>
      </x:c>
      <x:c r="H201" s="89" t="n">
        <x:v>620.2</x:v>
      </x:c>
      <x:c r="I201" s="89" t="n">
        <x:v>491.6</x:v>
      </x:c>
      <x:c r="J201" s="89" t="n">
        <x:v>4617.5</x:v>
      </x:c>
      <x:c r="K201" s="89" t="n">
        <x:v>1143.6</x:v>
      </x:c>
      <x:c r="L201" s="89" t="n">
        <x:v>575.4</x:v>
      </x:c>
      <x:c r="M201" s="90" t="n">
        <x:v>11.5</x:v>
      </x:c>
      <x:c r="N201" s="90" t="n">
        <x:v>20.62</x:v>
      </x:c>
      <x:c r="O201" s="90" t="n">
        <x:v>24.7666</x:v>
      </x:c>
      <x:c r="P201" s="87" t="str">
        <x:v>Historical non-estimate Bloomberg observation; ratios may be derived when the workbook lacked a complete ratio series.</x:v>
      </x:c>
    </x:row>
    <x:row r="202">
      <x:c r="A202" s="87" t="str">
        <x:v>SHIRE(1).xlsx</x:v>
      </x:c>
      <x:c r="B202" s="87" t="str">
        <x:v>Shire PLC (SHP LN) - BBG Adjusted</x:v>
      </x:c>
      <x:c r="C202" s="87" t="str">
        <x:v>USD</x:v>
      </x:c>
      <x:c r="D202" s="87" t="str">
        <x:v>TRT-0045</x:v>
      </x:c>
      <x:c r="E202" s="87" t="str">
        <x:v>Mapped</x:v>
      </x:c>
      <x:c r="F202" s="88" t="n">
        <x:v>2010</x:v>
      </x:c>
      <x:c r="G202" s="89" t="n">
        <x:v>3471.1</x:v>
      </x:c>
      <x:c r="H202" s="89" t="n">
        <x:v>794.1</x:v>
      </x:c>
      <x:c r="I202" s="89" t="n">
        <x:v>588</x:v>
      </x:c>
      <x:c r="J202" s="89" t="n">
        <x:v>5387.6</x:v>
      </x:c>
      <x:c r="K202" s="89" t="n">
        <x:v>1107.9</x:v>
      </x:c>
      <x:c r="L202" s="89" t="n">
        <x:v>661.5</x:v>
      </x:c>
      <x:c r="M202" s="90" t="n">
        <x:v>11.75</x:v>
      </x:c>
      <x:c r="N202" s="90" t="n">
        <x:v>22.88</x:v>
      </x:c>
      <x:c r="O202" s="90" t="n">
        <x:v>20.5639</x:v>
      </x:c>
      <x:c r="P202" s="87" t="str">
        <x:v>Historical non-estimate Bloomberg observation; ratios may be derived when the workbook lacked a complete ratio series.</x:v>
      </x:c>
    </x:row>
    <x:row r="203">
      <x:c r="A203" s="87" t="str">
        <x:v>SHIRE(1).xlsx</x:v>
      </x:c>
      <x:c r="B203" s="87" t="str">
        <x:v>Shire PLC (SHP LN) - BBG Adjusted</x:v>
      </x:c>
      <x:c r="C203" s="87" t="str">
        <x:v>USD</x:v>
      </x:c>
      <x:c r="D203" s="87" t="str">
        <x:v>TRT-0045</x:v>
      </x:c>
      <x:c r="E203" s="87" t="str">
        <x:v>Mapped</x:v>
      </x:c>
      <x:c r="F203" s="88" t="n">
        <x:v>2011</x:v>
      </x:c>
      <x:c r="G203" s="89" t="n">
        <x:v>4263.4</x:v>
      </x:c>
      <x:c r="H203" s="89" t="n">
        <x:v>1109.2</x:v>
      </x:c>
      <x:c r="I203" s="89" t="n">
        <x:v>865</x:v>
      </x:c>
      <x:c r="J203" s="89" t="n">
        <x:v>6380.2</x:v>
      </x:c>
      <x:c r="K203" s="89" t="n">
        <x:v>1100</x:v>
      </x:c>
      <x:c r="L203" s="89" t="n">
        <x:v>754.7</x:v>
      </x:c>
      <x:c r="M203" s="90" t="n">
        <x:v>14.7</x:v>
      </x:c>
      <x:c r="N203" s="90" t="n">
        <x:v>26.02</x:v>
      </x:c>
      <x:c r="O203" s="90" t="n">
        <x:v>17.2408</x:v>
      </x:c>
      <x:c r="P203" s="87" t="str">
        <x:v>Historical non-estimate Bloomberg observation; ratios may be derived when the workbook lacked a complete ratio series.</x:v>
      </x:c>
    </x:row>
    <x:row r="204">
      <x:c r="A204" s="87" t="str">
        <x:v>SHIRE(1).xlsx</x:v>
      </x:c>
      <x:c r="B204" s="87" t="str">
        <x:v>Shire PLC (SHP LN) - BBG Adjusted</x:v>
      </x:c>
      <x:c r="C204" s="87" t="str">
        <x:v>USD</x:v>
      </x:c>
      <x:c r="D204" s="87" t="str">
        <x:v>TRT-0045</x:v>
      </x:c>
      <x:c r="E204" s="87" t="str">
        <x:v>Mapped</x:v>
      </x:c>
      <x:c r="F204" s="88" t="n">
        <x:v>2012</x:v>
      </x:c>
      <x:c r="G204" s="89" t="n">
        <x:v>4681.2</x:v>
      </x:c>
      <x:c r="H204" s="89" t="n">
        <x:v>949.2</x:v>
      </x:c>
      <x:c r="I204" s="89" t="n">
        <x:v>745.4</x:v>
      </x:c>
      <x:c r="J204" s="89" t="n">
        <x:v>7317.2</x:v>
      </x:c>
      <x:c r="K204" s="89" t="n">
        <x:v>1100</x:v>
      </x:c>
      <x:c r="L204" s="89" t="n">
        <x:v>894.3</x:v>
      </x:c>
      <x:c r="M204" s="90" t="n">
        <x:v>10.88</x:v>
      </x:c>
      <x:c r="N204" s="90" t="n">
        <x:v>20.28</x:v>
      </x:c>
      <x:c r="O204" s="90" t="n">
        <x:v>15.0331</x:v>
      </x:c>
      <x:c r="P204" s="87" t="str">
        <x:v>Historical non-estimate Bloomberg observation; ratios may be derived when the workbook lacked a complete ratio series.</x:v>
      </x:c>
    </x:row>
    <x:row r="205">
      <x:c r="A205" s="87" t="str">
        <x:v>SHIRE(1).xlsx</x:v>
      </x:c>
      <x:c r="B205" s="87" t="str">
        <x:v>Shire PLC (SHP LN) - BBG Adjusted</x:v>
      </x:c>
      <x:c r="C205" s="87" t="str">
        <x:v>USD</x:v>
      </x:c>
      <x:c r="D205" s="87" t="str">
        <x:v>TRT-0045</x:v>
      </x:c>
      <x:c r="E205" s="87" t="str">
        <x:v>Mapped</x:v>
      </x:c>
      <x:c r="F205" s="88" t="n">
        <x:v>2013</x:v>
      </x:c>
      <x:c r="G205" s="89" t="n">
        <x:v>4934.3</x:v>
      </x:c>
      <x:c r="H205" s="89" t="n">
        <x:v>1733.5</x:v>
      </x:c>
      <x:c r="I205" s="89" t="n">
        <x:v>665.1</x:v>
      </x:c>
      <x:c r="J205" s="89" t="n">
        <x:v>8323</x:v>
      </x:c>
      <x:c r="K205" s="89" t="n">
        <x:v>0</x:v>
      </x:c>
      <x:c r="L205" s="89" t="n">
        <x:v>913.5</x:v>
      </x:c>
      <x:c r="M205" s="90" t="n">
        <x:v>8.51</x:v>
      </x:c>
      <x:c r="N205" s="90" t="n">
        <x:v>35.13</x:v>
      </x:c>
      <x:c r="O205" s="90" t="n">
        <x:v>0</x:v>
      </x:c>
      <x:c r="P205" s="87" t="str">
        <x:v>Historical non-estimate Bloomberg observation; ratios may be derived when the workbook lacked a complete ratio series.</x:v>
      </x:c>
    </x:row>
    <x:row r="206">
      <x:c r="A206" s="87" t="str">
        <x:v>SHIRE(1).xlsx</x:v>
      </x:c>
      <x:c r="B206" s="87" t="str">
        <x:v>Shire PLC (SHP LN) - BBG Adjusted</x:v>
      </x:c>
      <x:c r="C206" s="87" t="str">
        <x:v>USD</x:v>
      </x:c>
      <x:c r="D206" s="87" t="str">
        <x:v>TRT-0045</x:v>
      </x:c>
      <x:c r="E206" s="87" t="str">
        <x:v>Mapped</x:v>
      </x:c>
      <x:c r="F206" s="88" t="n">
        <x:v>2014</x:v>
      </x:c>
      <x:c r="G206" s="89" t="n">
        <x:v>6022.1</x:v>
      </x:c>
      <x:c r="H206" s="89" t="n">
        <x:v>1698</x:v>
      </x:c>
      <x:c r="I206" s="89" t="n">
        <x:v>3405.5</x:v>
      </x:c>
      <x:c r="J206" s="89" t="n">
        <x:v>13632.1</x:v>
      </x:c>
      <x:c r="K206" s="89" t="n">
        <x:v>850</x:v>
      </x:c>
      <x:c r="L206" s="89" t="n">
        <x:v>762.7</x:v>
      </x:c>
      <x:c r="M206" s="90" t="n">
        <x:v>31.02</x:v>
      </x:c>
      <x:c r="N206" s="90" t="n">
        <x:v>28.2</x:v>
      </x:c>
      <x:c r="O206" s="90" t="n">
        <x:v>6.2353</x:v>
      </x:c>
      <x:c r="P206" s="87" t="str">
        <x:v>Historical non-estimate Bloomberg observation; ratios may be derived when the workbook lacked a complete ratio series.</x:v>
      </x:c>
    </x:row>
    <x:row r="207">
      <x:c r="A207" s="87" t="str">
        <x:v>SHIRE(1).xlsx</x:v>
      </x:c>
      <x:c r="B207" s="87" t="str">
        <x:v>Shire PLC (SHP LN) - BBG Adjusted</x:v>
      </x:c>
      <x:c r="C207" s="87" t="str">
        <x:v>USD</x:v>
      </x:c>
      <x:c r="D207" s="87" t="str">
        <x:v>TRT-0045</x:v>
      </x:c>
      <x:c r="E207" s="87" t="str">
        <x:v>Mapped</x:v>
      </x:c>
      <x:c r="F207" s="88" t="n">
        <x:v>2015</x:v>
      </x:c>
      <x:c r="G207" s="89" t="n">
        <x:v>6416.7</x:v>
      </x:c>
      <x:c r="H207" s="89" t="n">
        <x:v>1419.5</x:v>
      </x:c>
      <x:c r="I207" s="89" t="n">
        <x:v>1303.4</x:v>
      </x:c>
      <x:c r="J207" s="89" t="n">
        <x:v>16609.8</x:v>
      </x:c>
      <x:c r="K207" s="89" t="n">
        <x:v>1581.4</x:v>
      </x:c>
      <x:c r="L207" s="89" t="n">
        <x:v>905.8</x:v>
      </x:c>
      <x:c r="M207" s="90" t="n">
        <x:v>8.62</x:v>
      </x:c>
      <x:c r="N207" s="90" t="n">
        <x:v>22.12</x:v>
      </x:c>
      <x:c r="O207" s="90" t="n">
        <x:v>9.5209</x:v>
      </x:c>
      <x:c r="P207" s="87" t="str">
        <x:v>Historical non-estimate Bloomberg observation; ratios may be derived when the workbook lacked a complete ratio series.</x:v>
      </x:c>
    </x:row>
    <x:row r="208">
      <x:c r="A208" s="87" t="str">
        <x:v>SHIRE(1).xlsx</x:v>
      </x:c>
      <x:c r="B208" s="87" t="str">
        <x:v>Shire PLC (SHP LN) - BBG Adjusted</x:v>
      </x:c>
      <x:c r="C208" s="87" t="str">
        <x:v>USD</x:v>
      </x:c>
      <x:c r="D208" s="87" t="str">
        <x:v>TRT-0045</x:v>
      </x:c>
      <x:c r="E208" s="87" t="str">
        <x:v>Mapped</x:v>
      </x:c>
      <x:c r="F208" s="88" t="n">
        <x:v>2016</x:v>
      </x:c>
      <x:c r="G208" s="89" t="n">
        <x:v>11396.6</x:v>
      </x:c>
      <x:c r="H208" s="89" t="n">
        <x:v>962.9</x:v>
      </x:c>
      <x:c r="I208" s="89" t="n">
        <x:v>327.4</x:v>
      </x:c>
      <x:c r="J208" s="89" t="n">
        <x:v>67035.4</x:v>
      </x:c>
      <x:c r="K208" s="89" t="n">
        <x:v>22967.8</x:v>
      </x:c>
      <x:c r="L208" s="89" t="n">
        <x:v>1430.9</x:v>
      </x:c>
      <x:c r="M208" s="90" t="n">
        <x:v>0.78</x:v>
      </x:c>
      <x:c r="N208" s="90" t="n">
        <x:v>8.45</x:v>
      </x:c>
      <x:c r="O208" s="90" t="n">
        <x:v>34.2622</x:v>
      </x:c>
      <x:c r="P208" s="87" t="str">
        <x:v>Historical non-estimate Bloomberg observation; ratios may be derived when the workbook lacked a complete ratio series.</x:v>
      </x:c>
    </x:row>
    <x:row r="209">
      <x:c r="A209" s="87" t="str">
        <x:v>SHIRE(1).xlsx</x:v>
      </x:c>
      <x:c r="B209" s="87" t="str">
        <x:v>Shire PLC (SHP LN) - BBG Adjusted</x:v>
      </x:c>
      <x:c r="C209" s="87" t="str">
        <x:v>USD</x:v>
      </x:c>
      <x:c r="D209" s="87" t="str">
        <x:v>TRT-0045</x:v>
      </x:c>
      <x:c r="E209" s="87" t="str">
        <x:v>Mapped</x:v>
      </x:c>
      <x:c r="F209" s="88" t="n">
        <x:v>2017</x:v>
      </x:c>
      <x:c r="G209" s="89" t="n">
        <x:v>15160.6</x:v>
      </x:c>
      <x:c r="H209" s="89" t="n">
        <x:v>2455.2</x:v>
      </x:c>
      <x:c r="I209" s="89" t="n">
        <x:v>4271.5</x:v>
      </x:c>
      <x:c r="J209" s="89" t="n">
        <x:v>67756.9</x:v>
      </x:c>
      <x:c r="K209" s="89" t="n">
        <x:v>19541.1</x:v>
      </x:c>
      <x:c r="L209" s="89" t="n">
        <x:v>1612.1</x:v>
      </x:c>
      <x:c r="M209" s="90" t="n">
        <x:v>6.34</x:v>
      </x:c>
      <x:c r="N209" s="90" t="n">
        <x:v>16.19</x:v>
      </x:c>
      <x:c r="O209" s="90" t="n">
        <x:v>28.84</x:v>
      </x:c>
      <x:c r="P209" s="87" t="str">
        <x:v>Historical non-estimate Bloomberg observation; ratios may be derived when the workbook lacked a complete ratio series.</x:v>
      </x:c>
    </x:row>
  </x:sheetData>
  <x:mergeCells>
    <x:mergeCell ref="A1:P1"/>
  </x:mergeCells>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28" hidden="0" customWidth="1"/>
    <x:col min="3" max="3" width="28" hidden="0" customWidth="1"/>
    <x:col min="4" max="4" width="12" hidden="0" customWidth="1"/>
    <x:col min="5" max="5" width="14" hidden="0" customWidth="1"/>
    <x:col min="6" max="6" width="11" hidden="0" customWidth="1"/>
    <x:col min="7" max="7" width="12" hidden="0" customWidth="1"/>
    <x:col min="8" max="8" width="12" hidden="0" customWidth="1"/>
    <x:col min="9" max="9" width="13" hidden="0" customWidth="1"/>
    <x:col min="10" max="10" width="15" hidden="0" customWidth="1"/>
    <x:col min="11" max="11" width="15" hidden="0" customWidth="1"/>
    <x:col min="12" max="12" width="15" hidden="0" customWidth="1"/>
    <x:col min="13" max="13" width="14" hidden="0" customWidth="1"/>
    <x:col min="14" max="14" width="32" hidden="0" customWidth="1"/>
    <x:col min="15" max="15" width="48" hidden="0" customWidth="1"/>
  </x:cols>
  <x:sheetData>
    <x:row r="1" ht="28" customHeight="1">
      <x:c r="A1" s="103" t="str">
        <x:v>Treatment-group Lens patent import and mapping log</x:v>
      </x:c>
      <x:c r="B1" s="103"/>
      <x:c r="C1" s="103"/>
      <x:c r="D1" s="103"/>
      <x:c r="E1" s="103"/>
      <x:c r="F1" s="103"/>
      <x:c r="G1" s="103"/>
      <x:c r="H1" s="103"/>
      <x:c r="I1" s="103"/>
      <x:c r="J1" s="103"/>
      <x:c r="K1" s="103"/>
      <x:c r="L1" s="103"/>
      <x:c r="M1" s="103"/>
      <x:c r="N1" s="103"/>
      <x:c r="O1" s="103"/>
    </x:row>
    <x:row r="2" ht="28" customHeight="1">
      <x:c r="A2" s="108" t="str">
        <x:v>Source_File</x:v>
      </x:c>
      <x:c r="B2" s="108" t="str">
        <x:v>Company_or_Group</x:v>
      </x:c>
      <x:c r="C2" s="108" t="str">
        <x:v>Mapping_Status</x:v>
      </x:c>
      <x:c r="D2" s="108" t="str">
        <x:v>Deal_ID</x:v>
      </x:c>
      <x:c r="E2" s="108" t="str">
        <x:v>Completion_Year</x:v>
      </x:c>
      <x:c r="F2" s="108" t="str">
        <x:v>Raw_Rows</x:v>
      </x:c>
      <x:c r="G2" s="108" t="str">
        <x:v>Included_Rows</x:v>
      </x:c>
      <x:c r="H2" s="108" t="str">
        <x:v>Excluded_Rows</x:v>
      </x:c>
      <x:c r="I2" s="108" t="str">
        <x:v>Unique_Families</x:v>
      </x:c>
      <x:c r="J2" s="108" t="str">
        <x:v>Observed_Min_Priority_Year</x:v>
      </x:c>
      <x:c r="K2" s="108" t="str">
        <x:v>Observed_Max_Priority_Year</x:v>
      </x:c>
      <x:c r="L2" s="108" t="str">
        <x:v>Event_Window</x:v>
      </x:c>
      <x:c r="M2" s="108" t="str">
        <x:v>Event_Years_Covered</x:v>
      </x:c>
      <x:c r="N2" s="108" t="str">
        <x:v>Import_Status</x:v>
      </x:c>
      <x:c r="O2" s="108" t="str">
        <x:v>Scope_and_Comparability_Notes</x:v>
      </x:c>
    </x:row>
    <x:row r="3">
      <x:c r="A3" s="87" t="str">
        <x:v>AstraZeneca_Lens_RAW_2009_2024.csv.csv</x:v>
      </x:c>
      <x:c r="B3" s="87" t="str">
        <x:v>AstraZeneca</x:v>
      </x:c>
      <x:c r="C3" s="87" t="str">
        <x:v>Unmatched — no verified deal row</x:v>
      </x:c>
      <x:c r="D3" s="87"/>
      <x:c r="E3" s="88"/>
      <x:c r="F3" s="88" t="n">
        <x:v>429</x:v>
      </x:c>
      <x:c r="G3" s="88" t="n">
        <x:v>429</x:v>
      </x:c>
      <x:c r="H3" s="88" t="n">
        <x:v>0</x:v>
      </x:c>
      <x:c r="I3" s="88" t="n">
        <x:v>429</x:v>
      </x:c>
      <x:c r="J3" s="88" t="n">
        <x:v>2009</x:v>
      </x:c>
      <x:c r="K3" s="88" t="n">
        <x:v>2024</x:v>
      </x:c>
      <x:c r="L3" s="88" t="str"/>
      <x:c r="M3" s="88" t="str"/>
      <x:c r="N3" s="87" t="str">
        <x:v>Raw patent data retained only</x:v>
      </x:c>
      <x:c r="O3" s="87" t="str">
        <x:v>Applicant/owner search; explicit filename range 2009–2024; no verified deal row in workbook.</x:v>
      </x:c>
    </x:row>
    <x:row r="4">
      <x:c r="A4" s="87" t="str">
        <x:v>Chinook Therapeutics.csv</x:v>
      </x:c>
      <x:c r="B4" s="87" t="str">
        <x:v>Chinook Therapeutics / Aduro BioTech</x:v>
      </x:c>
      <x:c r="C4" s="87" t="str">
        <x:v>Mapped to treatment deal row</x:v>
      </x:c>
      <x:c r="D4" s="87" t="str">
        <x:v>TRT-0028</x:v>
      </x:c>
      <x:c r="E4" s="88" t="n">
        <x:v>2015</x:v>
      </x:c>
      <x:c r="F4" s="88" t="n">
        <x:v>23</x:v>
      </x:c>
      <x:c r="G4" s="88" t="n">
        <x:v>15</x:v>
      </x:c>
      <x:c r="H4" s="88" t="n">
        <x:v>8</x:v>
      </x:c>
      <x:c r="I4" s="88" t="n">
        <x:v>15</x:v>
      </x:c>
      <x:c r="J4" s="88" t="n">
        <x:v>2015</x:v>
      </x:c>
      <x:c r="K4" s="88" t="n">
        <x:v>2022</x:v>
      </x:c>
      <x:c r="L4" s="88" t="str">
        <x:v>2012–2018</x:v>
      </x:c>
      <x:c r="M4" s="88" t="str">
        <x:v>4/7</x:v>
      </x:c>
      <x:c r="N4" s="87" t="str">
        <x:v>Partial event window — 4/7 years covered</x:v>
      </x:c>
      <x:c r="O4" s="87" t="str">
        <x:v>Includes Chinook Therapeutics and former name Aduro BioTech; obvious unrelated Chinook entities excluded.</x:v>
      </x:c>
    </x:row>
    <x:row r="5">
      <x:c r="A5" s="87" t="str">
        <x:v>Esteve Pharmaceuticals.csv</x:v>
      </x:c>
      <x:c r="B5" s="87" t="str">
        <x:v>Esteve Pharmaceuticals</x:v>
      </x:c>
      <x:c r="C5" s="87" t="str">
        <x:v>Mapped to treatment deal row</x:v>
      </x:c>
      <x:c r="D5" s="87" t="str">
        <x:v>TRT-0044</x:v>
      </x:c>
      <x:c r="E5" s="88" t="n">
        <x:v>2020</x:v>
      </x:c>
      <x:c r="F5" s="88" t="n">
        <x:v>82</x:v>
      </x:c>
      <x:c r="G5" s="88" t="n">
        <x:v>79</x:v>
      </x:c>
      <x:c r="H5" s="88" t="n">
        <x:v>3</x:v>
      </x:c>
      <x:c r="I5" s="88" t="n">
        <x:v>79</x:v>
      </x:c>
      <x:c r="J5" s="88" t="n">
        <x:v>2011</x:v>
      </x:c>
      <x:c r="K5" s="88" t="n">
        <x:v>2021</x:v>
      </x:c>
      <x:c r="L5" s="88" t="str">
        <x:v>2017–2023</x:v>
      </x:c>
      <x:c r="M5" s="88" t="str">
        <x:v>5/7</x:v>
      </x:c>
      <x:c r="N5" s="87" t="str">
        <x:v>Partial event window — 5/7 years covered</x:v>
      </x:c>
      <x:c r="O5" s="87" t="str">
        <x:v>Applicant/owner aliases for Esteve Pharmaceuticals and Laboratorios del Dr. Esteve.</x:v>
      </x:c>
    </x:row>
    <x:row r="6">
      <x:c r="A6" s="87" t="str">
        <x:v>Eurofins Scientific.csv</x:v>
      </x:c>
      <x:c r="B6" s="87" t="str">
        <x:v>Eurofins Scientific</x:v>
      </x:c>
      <x:c r="C6" s="87" t="str">
        <x:v>Mapped to treatment deal row</x:v>
      </x:c>
      <x:c r="D6" s="87" t="str">
        <x:v>TRT-0039</x:v>
      </x:c>
      <x:c r="E6" s="88" t="n">
        <x:v>2013</x:v>
      </x:c>
      <x:c r="F6" s="88" t="n">
        <x:v>1</x:v>
      </x:c>
      <x:c r="G6" s="88" t="n">
        <x:v>1</x:v>
      </x:c>
      <x:c r="H6" s="88" t="n">
        <x:v>0</x:v>
      </x:c>
      <x:c r="I6" s="88" t="n">
        <x:v>1</x:v>
      </x:c>
      <x:c r="J6" s="88" t="n">
        <x:v>2018</x:v>
      </x:c>
      <x:c r="K6" s="88" t="n">
        <x:v>2018</x:v>
      </x:c>
      <x:c r="L6" s="88" t="str">
        <x:v>2010–2016</x:v>
      </x:c>
      <x:c r="M6" s="88" t="str">
        <x:v>0/7</x:v>
      </x:c>
      <x:c r="N6" s="87" t="str">
        <x:v>Insufficient event-window coverage</x:v>
      </x:c>
      <x:c r="O6" s="87" t="str">
        <x:v>Single family matched through owner field; event-window coverage is not established.</x:v>
      </x:c>
    </x:row>
    <x:row r="7">
      <x:c r="A7" s="87" t="str">
        <x:v>GSK.csv</x:v>
      </x:c>
      <x:c r="B7" s="87" t="str">
        <x:v>GSK</x:v>
      </x:c>
      <x:c r="C7" s="87" t="str">
        <x:v>Mapped to treatment deal row</x:v>
      </x:c>
      <x:c r="D7" s="87" t="str">
        <x:v>TRT-0038</x:v>
      </x:c>
      <x:c r="E7" s="88" t="n">
        <x:v>2013</x:v>
      </x:c>
      <x:c r="F7" s="88" t="n">
        <x:v>30</x:v>
      </x:c>
      <x:c r="G7" s="88" t="n">
        <x:v>30</x:v>
      </x:c>
      <x:c r="H7" s="88" t="n">
        <x:v>0</x:v>
      </x:c>
      <x:c r="I7" s="88" t="n">
        <x:v>30</x:v>
      </x:c>
      <x:c r="J7" s="88" t="n">
        <x:v>2011</x:v>
      </x:c>
      <x:c r="K7" s="88" t="n">
        <x:v>2021</x:v>
      </x:c>
      <x:c r="L7" s="88" t="str">
        <x:v>2010–2016</x:v>
      </x:c>
      <x:c r="M7" s="88" t="str">
        <x:v>6/7</x:v>
      </x:c>
      <x:c r="N7" s="87" t="str">
        <x:v>Partial event window — 6/7 years covered; limited subsidiary scope</x:v>
      </x:c>
      <x:c r="O7" s="87" t="str">
        <x:v>Export is concentrated on GSK Consumer Healthcare/Haleon and may not represent the full GSK pharmaceutical group.</x:v>
      </x:c>
    </x:row>
    <x:row r="8">
      <x:c r="A8" s="87" t="str">
        <x:v>Nicox.csv</x:v>
      </x:c>
      <x:c r="B8" s="87" t="str">
        <x:v>Nicox</x:v>
      </x:c>
      <x:c r="C8" s="87" t="str">
        <x:v>Mapped to treatment deal row</x:v>
      </x:c>
      <x:c r="D8" s="87" t="str">
        <x:v>TRT-0034</x:v>
      </x:c>
      <x:c r="E8" s="88" t="n">
        <x:v>2014</x:v>
      </x:c>
      <x:c r="F8" s="88" t="n">
        <x:v>27</x:v>
      </x:c>
      <x:c r="G8" s="88" t="n">
        <x:v>27</x:v>
      </x:c>
      <x:c r="H8" s="88" t="n">
        <x:v>0</x:v>
      </x:c>
      <x:c r="I8" s="88" t="n">
        <x:v>27</x:v>
      </x:c>
      <x:c r="J8" s="88" t="n">
        <x:v>2011</x:v>
      </x:c>
      <x:c r="K8" s="88" t="n">
        <x:v>2022</x:v>
      </x:c>
      <x:c r="L8" s="88" t="str">
        <x:v>2011–2017</x:v>
      </x:c>
      <x:c r="M8" s="88" t="str">
        <x:v>7/7</x:v>
      </x:c>
      <x:c r="N8" s="87" t="str">
        <x:v>Complete event window — provisional</x:v>
      </x:c>
      <x:c r="O8" s="87" t="str">
        <x:v>Includes Nicox entities and Aciex Therapeutics as a pre-existing subsidiary/affiliate alias.</x:v>
      </x:c>
    </x:row>
    <x:row r="9">
      <x:c r="A9" s="87" t="str">
        <x:v>Sanofi_Applicant_EP_Families_2015_2021.csv(1).csv</x:v>
      </x:c>
      <x:c r="B9" s="87" t="str">
        <x:v>Sanofi</x:v>
      </x:c>
      <x:c r="C9" s="87" t="str">
        <x:v>Mapped to treatment deal row</x:v>
      </x:c>
      <x:c r="D9" s="87" t="str">
        <x:v>TRT-0010</x:v>
      </x:c>
      <x:c r="E9" s="88" t="n">
        <x:v>2018</x:v>
      </x:c>
      <x:c r="F9" s="88" t="n">
        <x:v>476</x:v>
      </x:c>
      <x:c r="G9" s="88" t="n">
        <x:v>476</x:v>
      </x:c>
      <x:c r="H9" s="88" t="n">
        <x:v>0</x:v>
      </x:c>
      <x:c r="I9" s="88" t="n">
        <x:v>476</x:v>
      </x:c>
      <x:c r="J9" s="88" t="n">
        <x:v>1997</x:v>
      </x:c>
      <x:c r="K9" s="88" t="n">
        <x:v>2021</x:v>
      </x:c>
      <x:c r="L9" s="88" t="str">
        <x:v>2015–2021</x:v>
      </x:c>
      <x:c r="M9" s="88" t="str">
        <x:v>7/7</x:v>
      </x:c>
      <x:c r="N9" s="87" t="str">
        <x:v>Complete event window — provisional; EP-only scope</x:v>
      </x:c>
      <x:c r="O9" s="87" t="str">
        <x:v>EP-focused applicant-family export, 2015–2021; not directly comparable with multi-jurisdiction exports without harmonisation.</x:v>
      </x:c>
    </x:row>
    <x:row r="10">
      <x:c r="A10" s="87" t="str">
        <x:v>shire.csv</x:v>
      </x:c>
      <x:c r="B10" s="87" t="str">
        <x:v>Shire</x:v>
      </x:c>
      <x:c r="C10" s="87" t="str">
        <x:v>Mapped to treatment deal row</x:v>
      </x:c>
      <x:c r="D10" s="87" t="str">
        <x:v>TRT-0045</x:v>
      </x:c>
      <x:c r="E10" s="88" t="n">
        <x:v>2013</x:v>
      </x:c>
      <x:c r="F10" s="88" t="n">
        <x:v>108</x:v>
      </x:c>
      <x:c r="G10" s="88" t="n">
        <x:v>108</x:v>
      </x:c>
      <x:c r="H10" s="88" t="n">
        <x:v>0</x:v>
      </x:c>
      <x:c r="I10" s="88" t="n">
        <x:v>108</x:v>
      </x:c>
      <x:c r="J10" s="88" t="n">
        <x:v>2011</x:v>
      </x:c>
      <x:c r="K10" s="88" t="n">
        <x:v>2019</x:v>
      </x:c>
      <x:c r="L10" s="88" t="str">
        <x:v>2010–2016</x:v>
      </x:c>
      <x:c r="M10" s="88" t="str">
        <x:v>6/7</x:v>
      </x:c>
      <x:c r="N10" s="87" t="str">
        <x:v>Partial event window — 6/7 years covered</x:v>
      </x:c>
      <x:c r="O10" s="87" t="str">
        <x:v>Applicant/owner aliases containing Shire; later Takeda-only records excluded unless Shire appears.</x:v>
      </x:c>
    </x:row>
  </x:sheetData>
  <x:mergeCells>
    <x:mergeCell ref="A1:O1"/>
  </x:mergeCells>
  <x:conditionalFormatting sqref="N3:N10">
    <x:cfRule type="expression" dxfId="3" priority="1">
      <x:formula>ISNUMBER(SEARCH("Insufficient",N3))</x:formula>
    </x:cfRule>
    <x:cfRule type="expression" dxfId="4" priority="2">
      <x:formula>ISNUMBER(SEARCH("Complete",N3))</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28" hidden="0" customWidth="1"/>
    <x:col min="3" max="3" width="12" hidden="0" customWidth="1"/>
    <x:col min="4" max="4" width="14" hidden="0" customWidth="1"/>
    <x:col min="5" max="5" width="14" hidden="0" customWidth="1"/>
    <x:col min="6" max="6" width="12" hidden="0" customWidth="1"/>
    <x:col min="7" max="7" width="17" hidden="0" customWidth="1"/>
    <x:col min="8" max="8" width="28" hidden="0" customWidth="1"/>
    <x:col min="9" max="9" width="17" hidden="0" customWidth="1"/>
    <x:col min="10" max="10" width="20" hidden="0" customWidth="1"/>
    <x:col min="11" max="11" width="42" hidden="0" customWidth="1"/>
    <x:col min="12" max="12" width="50" hidden="0" customWidth="1"/>
  </x:cols>
  <x:sheetData>
    <x:row r="1" ht="28" customHeight="1">
      <x:c r="A1" s="103" t="str">
        <x:v>Patent-family and raw forward-citation aggregation by earliest priority year</x:v>
      </x:c>
      <x:c r="B1" s="103"/>
      <x:c r="C1" s="103"/>
      <x:c r="D1" s="103"/>
      <x:c r="E1" s="103"/>
      <x:c r="F1" s="103"/>
      <x:c r="G1" s="103"/>
      <x:c r="H1" s="103"/>
      <x:c r="I1" s="103"/>
      <x:c r="J1" s="103"/>
      <x:c r="K1" s="103"/>
      <x:c r="L1" s="103"/>
    </x:row>
    <x:row r="2" ht="28" customHeight="1">
      <x:c r="A2" s="108" t="str">
        <x:v>Source_File</x:v>
      </x:c>
      <x:c r="B2" s="108" t="str">
        <x:v>Company_or_Group</x:v>
      </x:c>
      <x:c r="C2" s="108" t="str">
        <x:v>Deal_ID</x:v>
      </x:c>
      <x:c r="D2" s="108" t="str">
        <x:v>Completion_Year</x:v>
      </x:c>
      <x:c r="E2" s="108" t="str">
        <x:v>Calendar_Year</x:v>
      </x:c>
      <x:c r="F2" s="108" t="str">
        <x:v>Relative_Year</x:v>
      </x:c>
      <x:c r="G2" s="108" t="str">
        <x:v>Within_Event_Window</x:v>
      </x:c>
      <x:c r="H2" s="108" t="str">
        <x:v>Coverage_Basis</x:v>
      </x:c>
      <x:c r="I2" s="108" t="str">
        <x:v>Patent_Family_Count</x:v>
      </x:c>
      <x:c r="J2" s="108" t="str">
        <x:v>Raw_Forward_Citations</x:v>
      </x:c>
      <x:c r="K2" s="108" t="str">
        <x:v>Citation_Metric_Definition</x:v>
      </x:c>
      <x:c r="L2" s="108" t="str">
        <x:v>Scope_Notes</x:v>
      </x:c>
    </x:row>
    <x:row r="3">
      <x:c r="A3" s="87" t="str">
        <x:v>AstraZeneca_Lens_RAW_2009_2024.csv.csv</x:v>
      </x:c>
      <x:c r="B3" s="87" t="str">
        <x:v>AstraZeneca</x:v>
      </x:c>
      <x:c r="C3" s="87"/>
      <x:c r="D3" s="88"/>
      <x:c r="E3" s="88" t="n">
        <x:v>2009</x:v>
      </x:c>
      <x:c r="F3" s="88"/>
      <x:c r="G3" s="87" t="str">
        <x:v>No</x:v>
      </x:c>
      <x:c r="H3" s="87" t="str">
        <x:v>Explicit search range</x:v>
      </x:c>
      <x:c r="I3" s="109" t="n">
        <x:v>53</x:v>
      </x:c>
      <x:c r="J3" s="109" t="n">
        <x:v>149</x:v>
      </x:c>
      <x:c r="K3" s="87" t="str">
        <x:v>Raw family-level forward citations (max cited-by per family); not age/field normalised</x:v>
      </x:c>
      <x:c r="L3" s="87" t="str">
        <x:v>Applicant/owner search; explicit filename range 2009–2024; no verified deal row in workbook.</x:v>
      </x:c>
    </x:row>
    <x:row r="4">
      <x:c r="A4" s="87" t="str">
        <x:v>AstraZeneca_Lens_RAW_2009_2024.csv.csv</x:v>
      </x:c>
      <x:c r="B4" s="87" t="str">
        <x:v>AstraZeneca</x:v>
      </x:c>
      <x:c r="C4" s="87"/>
      <x:c r="D4" s="88"/>
      <x:c r="E4" s="88" t="n">
        <x:v>2010</x:v>
      </x:c>
      <x:c r="F4" s="88"/>
      <x:c r="G4" s="87" t="str">
        <x:v>No</x:v>
      </x:c>
      <x:c r="H4" s="87" t="str">
        <x:v>Explicit search range</x:v>
      </x:c>
      <x:c r="I4" s="109" t="n">
        <x:v>34</x:v>
      </x:c>
      <x:c r="J4" s="109" t="n">
        <x:v>165</x:v>
      </x:c>
      <x:c r="K4" s="87" t="str">
        <x:v>Raw family-level forward citations (max cited-by per family); not age/field normalised</x:v>
      </x:c>
      <x:c r="L4" s="87" t="str">
        <x:v>Applicant/owner search; explicit filename range 2009–2024; no verified deal row in workbook.</x:v>
      </x:c>
    </x:row>
    <x:row r="5">
      <x:c r="A5" s="87" t="str">
        <x:v>AstraZeneca_Lens_RAW_2009_2024.csv.csv</x:v>
      </x:c>
      <x:c r="B5" s="87" t="str">
        <x:v>AstraZeneca</x:v>
      </x:c>
      <x:c r="C5" s="87"/>
      <x:c r="D5" s="88"/>
      <x:c r="E5" s="88" t="n">
        <x:v>2011</x:v>
      </x:c>
      <x:c r="F5" s="88"/>
      <x:c r="G5" s="87" t="str">
        <x:v>No</x:v>
      </x:c>
      <x:c r="H5" s="87" t="str">
        <x:v>Explicit search range</x:v>
      </x:c>
      <x:c r="I5" s="109" t="n">
        <x:v>20</x:v>
      </x:c>
      <x:c r="J5" s="109" t="n">
        <x:v>34</x:v>
      </x:c>
      <x:c r="K5" s="87" t="str">
        <x:v>Raw family-level forward citations (max cited-by per family); not age/field normalised</x:v>
      </x:c>
      <x:c r="L5" s="87" t="str">
        <x:v>Applicant/owner search; explicit filename range 2009–2024; no verified deal row in workbook.</x:v>
      </x:c>
    </x:row>
    <x:row r="6">
      <x:c r="A6" s="87" t="str">
        <x:v>AstraZeneca_Lens_RAW_2009_2024.csv.csv</x:v>
      </x:c>
      <x:c r="B6" s="87" t="str">
        <x:v>AstraZeneca</x:v>
      </x:c>
      <x:c r="C6" s="87"/>
      <x:c r="D6" s="88"/>
      <x:c r="E6" s="88" t="n">
        <x:v>2012</x:v>
      </x:c>
      <x:c r="F6" s="88"/>
      <x:c r="G6" s="87" t="str">
        <x:v>No</x:v>
      </x:c>
      <x:c r="H6" s="87" t="str">
        <x:v>Explicit search range</x:v>
      </x:c>
      <x:c r="I6" s="109" t="n">
        <x:v>14</x:v>
      </x:c>
      <x:c r="J6" s="109" t="n">
        <x:v>47</x:v>
      </x:c>
      <x:c r="K6" s="87" t="str">
        <x:v>Raw family-level forward citations (max cited-by per family); not age/field normalised</x:v>
      </x:c>
      <x:c r="L6" s="87" t="str">
        <x:v>Applicant/owner search; explicit filename range 2009–2024; no verified deal row in workbook.</x:v>
      </x:c>
    </x:row>
    <x:row r="7">
      <x:c r="A7" s="87" t="str">
        <x:v>AstraZeneca_Lens_RAW_2009_2024.csv.csv</x:v>
      </x:c>
      <x:c r="B7" s="87" t="str">
        <x:v>AstraZeneca</x:v>
      </x:c>
      <x:c r="C7" s="87"/>
      <x:c r="D7" s="88"/>
      <x:c r="E7" s="88" t="n">
        <x:v>2013</x:v>
      </x:c>
      <x:c r="F7" s="88"/>
      <x:c r="G7" s="87" t="str">
        <x:v>No</x:v>
      </x:c>
      <x:c r="H7" s="87" t="str">
        <x:v>Explicit search range</x:v>
      </x:c>
      <x:c r="I7" s="109" t="n">
        <x:v>15</x:v>
      </x:c>
      <x:c r="J7" s="109" t="n">
        <x:v>9</x:v>
      </x:c>
      <x:c r="K7" s="87" t="str">
        <x:v>Raw family-level forward citations (max cited-by per family); not age/field normalised</x:v>
      </x:c>
      <x:c r="L7" s="87" t="str">
        <x:v>Applicant/owner search; explicit filename range 2009–2024; no verified deal row in workbook.</x:v>
      </x:c>
    </x:row>
    <x:row r="8">
      <x:c r="A8" s="87" t="str">
        <x:v>AstraZeneca_Lens_RAW_2009_2024.csv.csv</x:v>
      </x:c>
      <x:c r="B8" s="87" t="str">
        <x:v>AstraZeneca</x:v>
      </x:c>
      <x:c r="C8" s="87"/>
      <x:c r="D8" s="88"/>
      <x:c r="E8" s="88" t="n">
        <x:v>2014</x:v>
      </x:c>
      <x:c r="F8" s="88"/>
      <x:c r="G8" s="87" t="str">
        <x:v>No</x:v>
      </x:c>
      <x:c r="H8" s="87" t="str">
        <x:v>Explicit search range</x:v>
      </x:c>
      <x:c r="I8" s="109" t="n">
        <x:v>17</x:v>
      </x:c>
      <x:c r="J8" s="109" t="n">
        <x:v>20</x:v>
      </x:c>
      <x:c r="K8" s="87" t="str">
        <x:v>Raw family-level forward citations (max cited-by per family); not age/field normalised</x:v>
      </x:c>
      <x:c r="L8" s="87" t="str">
        <x:v>Applicant/owner search; explicit filename range 2009–2024; no verified deal row in workbook.</x:v>
      </x:c>
    </x:row>
    <x:row r="9">
      <x:c r="A9" s="87" t="str">
        <x:v>AstraZeneca_Lens_RAW_2009_2024.csv.csv</x:v>
      </x:c>
      <x:c r="B9" s="87" t="str">
        <x:v>AstraZeneca</x:v>
      </x:c>
      <x:c r="C9" s="87"/>
      <x:c r="D9" s="88"/>
      <x:c r="E9" s="88" t="n">
        <x:v>2015</x:v>
      </x:c>
      <x:c r="F9" s="88"/>
      <x:c r="G9" s="87" t="str">
        <x:v>No</x:v>
      </x:c>
      <x:c r="H9" s="87" t="str">
        <x:v>Explicit search range</x:v>
      </x:c>
      <x:c r="I9" s="109" t="n">
        <x:v>20</x:v>
      </x:c>
      <x:c r="J9" s="109" t="n">
        <x:v>44</x:v>
      </x:c>
      <x:c r="K9" s="87" t="str">
        <x:v>Raw family-level forward citations (max cited-by per family); not age/field normalised</x:v>
      </x:c>
      <x:c r="L9" s="87" t="str">
        <x:v>Applicant/owner search; explicit filename range 2009–2024; no verified deal row in workbook.</x:v>
      </x:c>
    </x:row>
    <x:row r="10">
      <x:c r="A10" s="87" t="str">
        <x:v>AstraZeneca_Lens_RAW_2009_2024.csv.csv</x:v>
      </x:c>
      <x:c r="B10" s="87" t="str">
        <x:v>AstraZeneca</x:v>
      </x:c>
      <x:c r="C10" s="87"/>
      <x:c r="D10" s="88"/>
      <x:c r="E10" s="88" t="n">
        <x:v>2016</x:v>
      </x:c>
      <x:c r="F10" s="88"/>
      <x:c r="G10" s="87" t="str">
        <x:v>No</x:v>
      </x:c>
      <x:c r="H10" s="87" t="str">
        <x:v>Explicit search range</x:v>
      </x:c>
      <x:c r="I10" s="109" t="n">
        <x:v>20</x:v>
      </x:c>
      <x:c r="J10" s="109" t="n">
        <x:v>5</x:v>
      </x:c>
      <x:c r="K10" s="87" t="str">
        <x:v>Raw family-level forward citations (max cited-by per family); not age/field normalised</x:v>
      </x:c>
      <x:c r="L10" s="87" t="str">
        <x:v>Applicant/owner search; explicit filename range 2009–2024; no verified deal row in workbook.</x:v>
      </x:c>
    </x:row>
    <x:row r="11">
      <x:c r="A11" s="87" t="str">
        <x:v>AstraZeneca_Lens_RAW_2009_2024.csv.csv</x:v>
      </x:c>
      <x:c r="B11" s="87" t="str">
        <x:v>AstraZeneca</x:v>
      </x:c>
      <x:c r="C11" s="87"/>
      <x:c r="D11" s="88"/>
      <x:c r="E11" s="88" t="n">
        <x:v>2017</x:v>
      </x:c>
      <x:c r="F11" s="88"/>
      <x:c r="G11" s="87" t="str">
        <x:v>No</x:v>
      </x:c>
      <x:c r="H11" s="87" t="str">
        <x:v>Explicit search range</x:v>
      </x:c>
      <x:c r="I11" s="109" t="n">
        <x:v>22</x:v>
      </x:c>
      <x:c r="J11" s="109" t="n">
        <x:v>7</x:v>
      </x:c>
      <x:c r="K11" s="87" t="str">
        <x:v>Raw family-level forward citations (max cited-by per family); not age/field normalised</x:v>
      </x:c>
      <x:c r="L11" s="87" t="str">
        <x:v>Applicant/owner search; explicit filename range 2009–2024; no verified deal row in workbook.</x:v>
      </x:c>
    </x:row>
    <x:row r="12">
      <x:c r="A12" s="87" t="str">
        <x:v>AstraZeneca_Lens_RAW_2009_2024.csv.csv</x:v>
      </x:c>
      <x:c r="B12" s="87" t="str">
        <x:v>AstraZeneca</x:v>
      </x:c>
      <x:c r="C12" s="87"/>
      <x:c r="D12" s="88"/>
      <x:c r="E12" s="88" t="n">
        <x:v>2018</x:v>
      </x:c>
      <x:c r="F12" s="88"/>
      <x:c r="G12" s="87" t="str">
        <x:v>No</x:v>
      </x:c>
      <x:c r="H12" s="87" t="str">
        <x:v>Explicit search range</x:v>
      </x:c>
      <x:c r="I12" s="109" t="n">
        <x:v>37</x:v>
      </x:c>
      <x:c r="J12" s="109" t="n">
        <x:v>17</x:v>
      </x:c>
      <x:c r="K12" s="87" t="str">
        <x:v>Raw family-level forward citations (max cited-by per family); not age/field normalised</x:v>
      </x:c>
      <x:c r="L12" s="87" t="str">
        <x:v>Applicant/owner search; explicit filename range 2009–2024; no verified deal row in workbook.</x:v>
      </x:c>
    </x:row>
    <x:row r="13">
      <x:c r="A13" s="87" t="str">
        <x:v>AstraZeneca_Lens_RAW_2009_2024.csv.csv</x:v>
      </x:c>
      <x:c r="B13" s="87" t="str">
        <x:v>AstraZeneca</x:v>
      </x:c>
      <x:c r="C13" s="87"/>
      <x:c r="D13" s="88"/>
      <x:c r="E13" s="88" t="n">
        <x:v>2019</x:v>
      </x:c>
      <x:c r="F13" s="88"/>
      <x:c r="G13" s="87" t="str">
        <x:v>No</x:v>
      </x:c>
      <x:c r="H13" s="87" t="str">
        <x:v>Explicit search range</x:v>
      </x:c>
      <x:c r="I13" s="109" t="n">
        <x:v>32</x:v>
      </x:c>
      <x:c r="J13" s="109" t="n">
        <x:v>21</x:v>
      </x:c>
      <x:c r="K13" s="87" t="str">
        <x:v>Raw family-level forward citations (max cited-by per family); not age/field normalised</x:v>
      </x:c>
      <x:c r="L13" s="87" t="str">
        <x:v>Applicant/owner search; explicit filename range 2009–2024; no verified deal row in workbook.</x:v>
      </x:c>
    </x:row>
    <x:row r="14">
      <x:c r="A14" s="87" t="str">
        <x:v>AstraZeneca_Lens_RAW_2009_2024.csv.csv</x:v>
      </x:c>
      <x:c r="B14" s="87" t="str">
        <x:v>AstraZeneca</x:v>
      </x:c>
      <x:c r="C14" s="87"/>
      <x:c r="D14" s="88"/>
      <x:c r="E14" s="88" t="n">
        <x:v>2020</x:v>
      </x:c>
      <x:c r="F14" s="88"/>
      <x:c r="G14" s="87" t="str">
        <x:v>No</x:v>
      </x:c>
      <x:c r="H14" s="87" t="str">
        <x:v>Explicit search range</x:v>
      </x:c>
      <x:c r="I14" s="109" t="n">
        <x:v>50</x:v>
      </x:c>
      <x:c r="J14" s="109" t="n">
        <x:v>29</x:v>
      </x:c>
      <x:c r="K14" s="87" t="str">
        <x:v>Raw family-level forward citations (max cited-by per family); not age/field normalised</x:v>
      </x:c>
      <x:c r="L14" s="87" t="str">
        <x:v>Applicant/owner search; explicit filename range 2009–2024; no verified deal row in workbook.</x:v>
      </x:c>
    </x:row>
    <x:row r="15">
      <x:c r="A15" s="87" t="str">
        <x:v>AstraZeneca_Lens_RAW_2009_2024.csv.csv</x:v>
      </x:c>
      <x:c r="B15" s="87" t="str">
        <x:v>AstraZeneca</x:v>
      </x:c>
      <x:c r="C15" s="87"/>
      <x:c r="D15" s="88"/>
      <x:c r="E15" s="88" t="n">
        <x:v>2021</x:v>
      </x:c>
      <x:c r="F15" s="88"/>
      <x:c r="G15" s="87" t="str">
        <x:v>No</x:v>
      </x:c>
      <x:c r="H15" s="87" t="str">
        <x:v>Explicit search range</x:v>
      </x:c>
      <x:c r="I15" s="109" t="n">
        <x:v>36</x:v>
      </x:c>
      <x:c r="J15" s="109" t="n">
        <x:v>23</x:v>
      </x:c>
      <x:c r="K15" s="87" t="str">
        <x:v>Raw family-level forward citations (max cited-by per family); not age/field normalised</x:v>
      </x:c>
      <x:c r="L15" s="87" t="str">
        <x:v>Applicant/owner search; explicit filename range 2009–2024; no verified deal row in workbook.</x:v>
      </x:c>
    </x:row>
    <x:row r="16">
      <x:c r="A16" s="87" t="str">
        <x:v>AstraZeneca_Lens_RAW_2009_2024.csv.csv</x:v>
      </x:c>
      <x:c r="B16" s="87" t="str">
        <x:v>AstraZeneca</x:v>
      </x:c>
      <x:c r="C16" s="87"/>
      <x:c r="D16" s="88"/>
      <x:c r="E16" s="88" t="n">
        <x:v>2022</x:v>
      </x:c>
      <x:c r="F16" s="88"/>
      <x:c r="G16" s="87" t="str">
        <x:v>No</x:v>
      </x:c>
      <x:c r="H16" s="87" t="str">
        <x:v>Explicit search range</x:v>
      </x:c>
      <x:c r="I16" s="109" t="n">
        <x:v>40</x:v>
      </x:c>
      <x:c r="J16" s="109" t="n">
        <x:v>13</x:v>
      </x:c>
      <x:c r="K16" s="87" t="str">
        <x:v>Raw family-level forward citations (max cited-by per family); not age/field normalised</x:v>
      </x:c>
      <x:c r="L16" s="87" t="str">
        <x:v>Applicant/owner search; explicit filename range 2009–2024; no verified deal row in workbook.</x:v>
      </x:c>
    </x:row>
    <x:row r="17">
      <x:c r="A17" s="87" t="str">
        <x:v>AstraZeneca_Lens_RAW_2009_2024.csv.csv</x:v>
      </x:c>
      <x:c r="B17" s="87" t="str">
        <x:v>AstraZeneca</x:v>
      </x:c>
      <x:c r="C17" s="87"/>
      <x:c r="D17" s="88"/>
      <x:c r="E17" s="88" t="n">
        <x:v>2023</x:v>
      </x:c>
      <x:c r="F17" s="88"/>
      <x:c r="G17" s="87" t="str">
        <x:v>No</x:v>
      </x:c>
      <x:c r="H17" s="87" t="str">
        <x:v>Explicit search range</x:v>
      </x:c>
      <x:c r="I17" s="109" t="n">
        <x:v>18</x:v>
      </x:c>
      <x:c r="J17" s="109" t="n">
        <x:v>0</x:v>
      </x:c>
      <x:c r="K17" s="87" t="str">
        <x:v>Raw family-level forward citations (max cited-by per family); not age/field normalised</x:v>
      </x:c>
      <x:c r="L17" s="87" t="str">
        <x:v>Applicant/owner search; explicit filename range 2009–2024; no verified deal row in workbook.</x:v>
      </x:c>
    </x:row>
    <x:row r="18">
      <x:c r="A18" s="87" t="str">
        <x:v>AstraZeneca_Lens_RAW_2009_2024.csv.csv</x:v>
      </x:c>
      <x:c r="B18" s="87" t="str">
        <x:v>AstraZeneca</x:v>
      </x:c>
      <x:c r="C18" s="87"/>
      <x:c r="D18" s="88"/>
      <x:c r="E18" s="88" t="n">
        <x:v>2024</x:v>
      </x:c>
      <x:c r="F18" s="88"/>
      <x:c r="G18" s="87" t="str">
        <x:v>No</x:v>
      </x:c>
      <x:c r="H18" s="87" t="str">
        <x:v>Explicit search range</x:v>
      </x:c>
      <x:c r="I18" s="109" t="n">
        <x:v>1</x:v>
      </x:c>
      <x:c r="J18" s="109" t="n">
        <x:v>0</x:v>
      </x:c>
      <x:c r="K18" s="87" t="str">
        <x:v>Raw family-level forward citations (max cited-by per family); not age/field normalised</x:v>
      </x:c>
      <x:c r="L18" s="87" t="str">
        <x:v>Applicant/owner search; explicit filename range 2009–2024; no verified deal row in workbook.</x:v>
      </x:c>
    </x:row>
    <x:row r="19">
      <x:c r="A19" s="87" t="str">
        <x:v>Chinook Therapeutics.csv</x:v>
      </x:c>
      <x:c r="B19" s="87" t="str">
        <x:v>Chinook Therapeutics / Aduro BioTech</x:v>
      </x:c>
      <x:c r="C19" s="87" t="str">
        <x:v>TRT-0028</x:v>
      </x:c>
      <x:c r="D19" s="88" t="n">
        <x:v>2015</x:v>
      </x:c>
      <x:c r="E19" s="88" t="n">
        <x:v>2015</x:v>
      </x:c>
      <x:c r="F19" s="88" t="n">
        <x:v>0</x:v>
      </x:c>
      <x:c r="G19" s="87" t="str">
        <x:v>Yes</x:v>
      </x:c>
      <x:c r="H19" s="87" t="str">
        <x:v>Inferred from observed priority-year range</x:v>
      </x:c>
      <x:c r="I19" s="109" t="n">
        <x:v>2</x:v>
      </x:c>
      <x:c r="J19" s="109" t="n">
        <x:v>3</x:v>
      </x:c>
      <x:c r="K19" s="87" t="str">
        <x:v>Raw family-level forward citations (max cited-by per family); not age/field normalised</x:v>
      </x:c>
      <x:c r="L19" s="87" t="str">
        <x:v>Includes Chinook Therapeutics and former name Aduro BioTech; obvious unrelated Chinook entities excluded.</x:v>
      </x:c>
    </x:row>
    <x:row r="20">
      <x:c r="A20" s="87" t="str">
        <x:v>Chinook Therapeutics.csv</x:v>
      </x:c>
      <x:c r="B20" s="87" t="str">
        <x:v>Chinook Therapeutics / Aduro BioTech</x:v>
      </x:c>
      <x:c r="C20" s="87" t="str">
        <x:v>TRT-0028</x:v>
      </x:c>
      <x:c r="D20" s="88" t="n">
        <x:v>2015</x:v>
      </x:c>
      <x:c r="E20" s="88" t="n">
        <x:v>2016</x:v>
      </x:c>
      <x:c r="F20" s="88" t="n">
        <x:v>1</x:v>
      </x:c>
      <x:c r="G20" s="87" t="str">
        <x:v>Yes</x:v>
      </x:c>
      <x:c r="H20" s="87" t="str">
        <x:v>Inferred from observed priority-year range</x:v>
      </x:c>
      <x:c r="I20" s="109" t="n">
        <x:v>1</x:v>
      </x:c>
      <x:c r="J20" s="109" t="n">
        <x:v>0</x:v>
      </x:c>
      <x:c r="K20" s="87" t="str">
        <x:v>Raw family-level forward citations (max cited-by per family); not age/field normalised</x:v>
      </x:c>
      <x:c r="L20" s="87" t="str">
        <x:v>Includes Chinook Therapeutics and former name Aduro BioTech; obvious unrelated Chinook entities excluded.</x:v>
      </x:c>
    </x:row>
    <x:row r="21">
      <x:c r="A21" s="87" t="str">
        <x:v>Chinook Therapeutics.csv</x:v>
      </x:c>
      <x:c r="B21" s="87" t="str">
        <x:v>Chinook Therapeutics / Aduro BioTech</x:v>
      </x:c>
      <x:c r="C21" s="87" t="str">
        <x:v>TRT-0028</x:v>
      </x:c>
      <x:c r="D21" s="88" t="n">
        <x:v>2015</x:v>
      </x:c>
      <x:c r="E21" s="88" t="n">
        <x:v>2017</x:v>
      </x:c>
      <x:c r="F21" s="88" t="n">
        <x:v>2</x:v>
      </x:c>
      <x:c r="G21" s="87" t="str">
        <x:v>Yes</x:v>
      </x:c>
      <x:c r="H21" s="87" t="str">
        <x:v>Inferred from observed priority-year range</x:v>
      </x:c>
      <x:c r="I21" s="109" t="n">
        <x:v>2</x:v>
      </x:c>
      <x:c r="J21" s="109" t="n">
        <x:v>0</x:v>
      </x:c>
      <x:c r="K21" s="87" t="str">
        <x:v>Raw family-level forward citations (max cited-by per family); not age/field normalised</x:v>
      </x:c>
      <x:c r="L21" s="87" t="str">
        <x:v>Includes Chinook Therapeutics and former name Aduro BioTech; obvious unrelated Chinook entities excluded.</x:v>
      </x:c>
    </x:row>
    <x:row r="22">
      <x:c r="A22" s="87" t="str">
        <x:v>Chinook Therapeutics.csv</x:v>
      </x:c>
      <x:c r="B22" s="87" t="str">
        <x:v>Chinook Therapeutics / Aduro BioTech</x:v>
      </x:c>
      <x:c r="C22" s="87" t="str">
        <x:v>TRT-0028</x:v>
      </x:c>
      <x:c r="D22" s="88" t="n">
        <x:v>2015</x:v>
      </x:c>
      <x:c r="E22" s="88" t="n">
        <x:v>2018</x:v>
      </x:c>
      <x:c r="F22" s="88" t="n">
        <x:v>3</x:v>
      </x:c>
      <x:c r="G22" s="87" t="str">
        <x:v>Yes</x:v>
      </x:c>
      <x:c r="H22" s="87" t="str">
        <x:v>Inferred from observed priority-year range</x:v>
      </x:c>
      <x:c r="I22" s="109" t="n">
        <x:v>1</x:v>
      </x:c>
      <x:c r="J22" s="109" t="n">
        <x:v>0</x:v>
      </x:c>
      <x:c r="K22" s="87" t="str">
        <x:v>Raw family-level forward citations (max cited-by per family); not age/field normalised</x:v>
      </x:c>
      <x:c r="L22" s="87" t="str">
        <x:v>Includes Chinook Therapeutics and former name Aduro BioTech; obvious unrelated Chinook entities excluded.</x:v>
      </x:c>
    </x:row>
    <x:row r="23">
      <x:c r="A23" s="87" t="str">
        <x:v>Chinook Therapeutics.csv</x:v>
      </x:c>
      <x:c r="B23" s="87" t="str">
        <x:v>Chinook Therapeutics / Aduro BioTech</x:v>
      </x:c>
      <x:c r="C23" s="87" t="str">
        <x:v>TRT-0028</x:v>
      </x:c>
      <x:c r="D23" s="88" t="n">
        <x:v>2015</x:v>
      </x:c>
      <x:c r="E23" s="88" t="n">
        <x:v>2019</x:v>
      </x:c>
      <x:c r="F23" s="88" t="n">
        <x:v>4</x:v>
      </x:c>
      <x:c r="G23" s="87" t="str">
        <x:v>No</x:v>
      </x:c>
      <x:c r="H23" s="87" t="str">
        <x:v>Inferred from observed priority-year range</x:v>
      </x:c>
      <x:c r="I23" s="109" t="n">
        <x:v>2</x:v>
      </x:c>
      <x:c r="J23" s="109" t="n">
        <x:v>5</x:v>
      </x:c>
      <x:c r="K23" s="87" t="str">
        <x:v>Raw family-level forward citations (max cited-by per family); not age/field normalised</x:v>
      </x:c>
      <x:c r="L23" s="87" t="str">
        <x:v>Includes Chinook Therapeutics and former name Aduro BioTech; obvious unrelated Chinook entities excluded.</x:v>
      </x:c>
    </x:row>
    <x:row r="24">
      <x:c r="A24" s="87" t="str">
        <x:v>Chinook Therapeutics.csv</x:v>
      </x:c>
      <x:c r="B24" s="87" t="str">
        <x:v>Chinook Therapeutics / Aduro BioTech</x:v>
      </x:c>
      <x:c r="C24" s="87" t="str">
        <x:v>TRT-0028</x:v>
      </x:c>
      <x:c r="D24" s="88" t="n">
        <x:v>2015</x:v>
      </x:c>
      <x:c r="E24" s="88" t="n">
        <x:v>2020</x:v>
      </x:c>
      <x:c r="F24" s="88" t="n">
        <x:v>5</x:v>
      </x:c>
      <x:c r="G24" s="87" t="str">
        <x:v>No</x:v>
      </x:c>
      <x:c r="H24" s="87" t="str">
        <x:v>Inferred from observed priority-year range</x:v>
      </x:c>
      <x:c r="I24" s="109" t="n">
        <x:v>4</x:v>
      </x:c>
      <x:c r="J24" s="109" t="n">
        <x:v>5</x:v>
      </x:c>
      <x:c r="K24" s="87" t="str">
        <x:v>Raw family-level forward citations (max cited-by per family); not age/field normalised</x:v>
      </x:c>
      <x:c r="L24" s="87" t="str">
        <x:v>Includes Chinook Therapeutics and former name Aduro BioTech; obvious unrelated Chinook entities excluded.</x:v>
      </x:c>
    </x:row>
    <x:row r="25">
      <x:c r="A25" s="87" t="str">
        <x:v>Chinook Therapeutics.csv</x:v>
      </x:c>
      <x:c r="B25" s="87" t="str">
        <x:v>Chinook Therapeutics / Aduro BioTech</x:v>
      </x:c>
      <x:c r="C25" s="87" t="str">
        <x:v>TRT-0028</x:v>
      </x:c>
      <x:c r="D25" s="88" t="n">
        <x:v>2015</x:v>
      </x:c>
      <x:c r="E25" s="88" t="n">
        <x:v>2021</x:v>
      </x:c>
      <x:c r="F25" s="88" t="n">
        <x:v>6</x:v>
      </x:c>
      <x:c r="G25" s="87" t="str">
        <x:v>No</x:v>
      </x:c>
      <x:c r="H25" s="87" t="str">
        <x:v>Inferred from observed priority-year range</x:v>
      </x:c>
      <x:c r="I25" s="109" t="n">
        <x:v>2</x:v>
      </x:c>
      <x:c r="J25" s="109" t="n">
        <x:v>1</x:v>
      </x:c>
      <x:c r="K25" s="87" t="str">
        <x:v>Raw family-level forward citations (max cited-by per family); not age/field normalised</x:v>
      </x:c>
      <x:c r="L25" s="87" t="str">
        <x:v>Includes Chinook Therapeutics and former name Aduro BioTech; obvious unrelated Chinook entities excluded.</x:v>
      </x:c>
    </x:row>
    <x:row r="26">
      <x:c r="A26" s="87" t="str">
        <x:v>Chinook Therapeutics.csv</x:v>
      </x:c>
      <x:c r="B26" s="87" t="str">
        <x:v>Chinook Therapeutics / Aduro BioTech</x:v>
      </x:c>
      <x:c r="C26" s="87" t="str">
        <x:v>TRT-0028</x:v>
      </x:c>
      <x:c r="D26" s="88" t="n">
        <x:v>2015</x:v>
      </x:c>
      <x:c r="E26" s="88" t="n">
        <x:v>2022</x:v>
      </x:c>
      <x:c r="F26" s="88" t="n">
        <x:v>7</x:v>
      </x:c>
      <x:c r="G26" s="87" t="str">
        <x:v>No</x:v>
      </x:c>
      <x:c r="H26" s="87" t="str">
        <x:v>Inferred from observed priority-year range</x:v>
      </x:c>
      <x:c r="I26" s="109" t="n">
        <x:v>1</x:v>
      </x:c>
      <x:c r="J26" s="109" t="n">
        <x:v>0</x:v>
      </x:c>
      <x:c r="K26" s="87" t="str">
        <x:v>Raw family-level forward citations (max cited-by per family); not age/field normalised</x:v>
      </x:c>
      <x:c r="L26" s="87" t="str">
        <x:v>Includes Chinook Therapeutics and former name Aduro BioTech; obvious unrelated Chinook entities excluded.</x:v>
      </x:c>
    </x:row>
    <x:row r="27">
      <x:c r="A27" s="87" t="str">
        <x:v>Esteve Pharmaceuticals.csv</x:v>
      </x:c>
      <x:c r="B27" s="87" t="str">
        <x:v>Esteve Pharmaceuticals</x:v>
      </x:c>
      <x:c r="C27" s="87" t="str">
        <x:v>TRT-0044</x:v>
      </x:c>
      <x:c r="D27" s="88" t="n">
        <x:v>2020</x:v>
      </x:c>
      <x:c r="E27" s="88" t="n">
        <x:v>2011</x:v>
      </x:c>
      <x:c r="F27" s="88" t="n">
        <x:v>-9</x:v>
      </x:c>
      <x:c r="G27" s="87" t="str">
        <x:v>No</x:v>
      </x:c>
      <x:c r="H27" s="87" t="str">
        <x:v>Inferred from observed priority-year range</x:v>
      </x:c>
      <x:c r="I27" s="109" t="n">
        <x:v>5</x:v>
      </x:c>
      <x:c r="J27" s="109" t="n">
        <x:v>0</x:v>
      </x:c>
      <x:c r="K27" s="87" t="str">
        <x:v>Raw family-level forward citations (max cited-by per family); not age/field normalised</x:v>
      </x:c>
      <x:c r="L27" s="87" t="str">
        <x:v>Applicant/owner aliases for Esteve Pharmaceuticals and Laboratorios del Dr. Esteve.</x:v>
      </x:c>
    </x:row>
    <x:row r="28">
      <x:c r="A28" s="87" t="str">
        <x:v>Esteve Pharmaceuticals.csv</x:v>
      </x:c>
      <x:c r="B28" s="87" t="str">
        <x:v>Esteve Pharmaceuticals</x:v>
      </x:c>
      <x:c r="C28" s="87" t="str">
        <x:v>TRT-0044</x:v>
      </x:c>
      <x:c r="D28" s="88" t="n">
        <x:v>2020</x:v>
      </x:c>
      <x:c r="E28" s="88" t="n">
        <x:v>2012</x:v>
      </x:c>
      <x:c r="F28" s="88" t="n">
        <x:v>-8</x:v>
      </x:c>
      <x:c r="G28" s="87" t="str">
        <x:v>No</x:v>
      </x:c>
      <x:c r="H28" s="87" t="str">
        <x:v>Inferred from observed priority-year range</x:v>
      </x:c>
      <x:c r="I28" s="109" t="n">
        <x:v>7</x:v>
      </x:c>
      <x:c r="J28" s="109" t="n">
        <x:v>2</x:v>
      </x:c>
      <x:c r="K28" s="87" t="str">
        <x:v>Raw family-level forward citations (max cited-by per family); not age/field normalised</x:v>
      </x:c>
      <x:c r="L28" s="87" t="str">
        <x:v>Applicant/owner aliases for Esteve Pharmaceuticals and Laboratorios del Dr. Esteve.</x:v>
      </x:c>
    </x:row>
    <x:row r="29">
      <x:c r="A29" s="87" t="str">
        <x:v>Esteve Pharmaceuticals.csv</x:v>
      </x:c>
      <x:c r="B29" s="87" t="str">
        <x:v>Esteve Pharmaceuticals</x:v>
      </x:c>
      <x:c r="C29" s="87" t="str">
        <x:v>TRT-0044</x:v>
      </x:c>
      <x:c r="D29" s="88" t="n">
        <x:v>2020</x:v>
      </x:c>
      <x:c r="E29" s="88" t="n">
        <x:v>2013</x:v>
      </x:c>
      <x:c r="F29" s="88" t="n">
        <x:v>-7</x:v>
      </x:c>
      <x:c r="G29" s="87" t="str">
        <x:v>No</x:v>
      </x:c>
      <x:c r="H29" s="87" t="str">
        <x:v>Inferred from observed priority-year range</x:v>
      </x:c>
      <x:c r="I29" s="109" t="n">
        <x:v>14</x:v>
      </x:c>
      <x:c r="J29" s="109" t="n">
        <x:v>9</x:v>
      </x:c>
      <x:c r="K29" s="87" t="str">
        <x:v>Raw family-level forward citations (max cited-by per family); not age/field normalised</x:v>
      </x:c>
      <x:c r="L29" s="87" t="str">
        <x:v>Applicant/owner aliases for Esteve Pharmaceuticals and Laboratorios del Dr. Esteve.</x:v>
      </x:c>
    </x:row>
    <x:row r="30">
      <x:c r="A30" s="87" t="str">
        <x:v>Esteve Pharmaceuticals.csv</x:v>
      </x:c>
      <x:c r="B30" s="87" t="str">
        <x:v>Esteve Pharmaceuticals</x:v>
      </x:c>
      <x:c r="C30" s="87" t="str">
        <x:v>TRT-0044</x:v>
      </x:c>
      <x:c r="D30" s="88" t="n">
        <x:v>2020</x:v>
      </x:c>
      <x:c r="E30" s="88" t="n">
        <x:v>2014</x:v>
      </x:c>
      <x:c r="F30" s="88" t="n">
        <x:v>-6</x:v>
      </x:c>
      <x:c r="G30" s="87" t="str">
        <x:v>No</x:v>
      </x:c>
      <x:c r="H30" s="87" t="str">
        <x:v>Inferred from observed priority-year range</x:v>
      </x:c>
      <x:c r="I30" s="109" t="n">
        <x:v>10</x:v>
      </x:c>
      <x:c r="J30" s="109" t="n">
        <x:v>2</x:v>
      </x:c>
      <x:c r="K30" s="87" t="str">
        <x:v>Raw family-level forward citations (max cited-by per family); not age/field normalised</x:v>
      </x:c>
      <x:c r="L30" s="87" t="str">
        <x:v>Applicant/owner aliases for Esteve Pharmaceuticals and Laboratorios del Dr. Esteve.</x:v>
      </x:c>
    </x:row>
    <x:row r="31">
      <x:c r="A31" s="87" t="str">
        <x:v>Esteve Pharmaceuticals.csv</x:v>
      </x:c>
      <x:c r="B31" s="87" t="str">
        <x:v>Esteve Pharmaceuticals</x:v>
      </x:c>
      <x:c r="C31" s="87" t="str">
        <x:v>TRT-0044</x:v>
      </x:c>
      <x:c r="D31" s="88" t="n">
        <x:v>2020</x:v>
      </x:c>
      <x:c r="E31" s="88" t="n">
        <x:v>2015</x:v>
      </x:c>
      <x:c r="F31" s="88" t="n">
        <x:v>-5</x:v>
      </x:c>
      <x:c r="G31" s="87" t="str">
        <x:v>No</x:v>
      </x:c>
      <x:c r="H31" s="87" t="str">
        <x:v>Inferred from observed priority-year range</x:v>
      </x:c>
      <x:c r="I31" s="109" t="n">
        <x:v>11</x:v>
      </x:c>
      <x:c r="J31" s="109" t="n">
        <x:v>0</x:v>
      </x:c>
      <x:c r="K31" s="87" t="str">
        <x:v>Raw family-level forward citations (max cited-by per family); not age/field normalised</x:v>
      </x:c>
      <x:c r="L31" s="87" t="str">
        <x:v>Applicant/owner aliases for Esteve Pharmaceuticals and Laboratorios del Dr. Esteve.</x:v>
      </x:c>
    </x:row>
    <x:row r="32">
      <x:c r="A32" s="87" t="str">
        <x:v>Esteve Pharmaceuticals.csv</x:v>
      </x:c>
      <x:c r="B32" s="87" t="str">
        <x:v>Esteve Pharmaceuticals</x:v>
      </x:c>
      <x:c r="C32" s="87" t="str">
        <x:v>TRT-0044</x:v>
      </x:c>
      <x:c r="D32" s="88" t="n">
        <x:v>2020</x:v>
      </x:c>
      <x:c r="E32" s="88" t="n">
        <x:v>2016</x:v>
      </x:c>
      <x:c r="F32" s="88" t="n">
        <x:v>-4</x:v>
      </x:c>
      <x:c r="G32" s="87" t="str">
        <x:v>No</x:v>
      </x:c>
      <x:c r="H32" s="87" t="str">
        <x:v>Inferred from observed priority-year range</x:v>
      </x:c>
      <x:c r="I32" s="109" t="n">
        <x:v>14</x:v>
      </x:c>
      <x:c r="J32" s="109" t="n">
        <x:v>7</x:v>
      </x:c>
      <x:c r="K32" s="87" t="str">
        <x:v>Raw family-level forward citations (max cited-by per family); not age/field normalised</x:v>
      </x:c>
      <x:c r="L32" s="87" t="str">
        <x:v>Applicant/owner aliases for Esteve Pharmaceuticals and Laboratorios del Dr. Esteve.</x:v>
      </x:c>
    </x:row>
    <x:row r="33">
      <x:c r="A33" s="87" t="str">
        <x:v>Esteve Pharmaceuticals.csv</x:v>
      </x:c>
      <x:c r="B33" s="87" t="str">
        <x:v>Esteve Pharmaceuticals</x:v>
      </x:c>
      <x:c r="C33" s="87" t="str">
        <x:v>TRT-0044</x:v>
      </x:c>
      <x:c r="D33" s="88" t="n">
        <x:v>2020</x:v>
      </x:c>
      <x:c r="E33" s="88" t="n">
        <x:v>2017</x:v>
      </x:c>
      <x:c r="F33" s="88" t="n">
        <x:v>-3</x:v>
      </x:c>
      <x:c r="G33" s="87" t="str">
        <x:v>Yes</x:v>
      </x:c>
      <x:c r="H33" s="87" t="str">
        <x:v>Inferred from observed priority-year range</x:v>
      </x:c>
      <x:c r="I33" s="109" t="n">
        <x:v>8</x:v>
      </x:c>
      <x:c r="J33" s="109" t="n">
        <x:v>0</x:v>
      </x:c>
      <x:c r="K33" s="87" t="str">
        <x:v>Raw family-level forward citations (max cited-by per family); not age/field normalised</x:v>
      </x:c>
      <x:c r="L33" s="87" t="str">
        <x:v>Applicant/owner aliases for Esteve Pharmaceuticals and Laboratorios del Dr. Esteve.</x:v>
      </x:c>
    </x:row>
    <x:row r="34">
      <x:c r="A34" s="87" t="str">
        <x:v>Esteve Pharmaceuticals.csv</x:v>
      </x:c>
      <x:c r="B34" s="87" t="str">
        <x:v>Esteve Pharmaceuticals</x:v>
      </x:c>
      <x:c r="C34" s="87" t="str">
        <x:v>TRT-0044</x:v>
      </x:c>
      <x:c r="D34" s="88" t="n">
        <x:v>2020</x:v>
      </x:c>
      <x:c r="E34" s="88" t="n">
        <x:v>2018</x:v>
      </x:c>
      <x:c r="F34" s="88" t="n">
        <x:v>-2</x:v>
      </x:c>
      <x:c r="G34" s="87" t="str">
        <x:v>Yes</x:v>
      </x:c>
      <x:c r="H34" s="87" t="str">
        <x:v>Inferred from observed priority-year range</x:v>
      </x:c>
      <x:c r="I34" s="109" t="n">
        <x:v>5</x:v>
      </x:c>
      <x:c r="J34" s="109" t="n">
        <x:v>0</x:v>
      </x:c>
      <x:c r="K34" s="87" t="str">
        <x:v>Raw family-level forward citations (max cited-by per family); not age/field normalised</x:v>
      </x:c>
      <x:c r="L34" s="87" t="str">
        <x:v>Applicant/owner aliases for Esteve Pharmaceuticals and Laboratorios del Dr. Esteve.</x:v>
      </x:c>
    </x:row>
    <x:row r="35">
      <x:c r="A35" s="87" t="str">
        <x:v>Esteve Pharmaceuticals.csv</x:v>
      </x:c>
      <x:c r="B35" s="87" t="str">
        <x:v>Esteve Pharmaceuticals</x:v>
      </x:c>
      <x:c r="C35" s="87" t="str">
        <x:v>TRT-0044</x:v>
      </x:c>
      <x:c r="D35" s="88" t="n">
        <x:v>2020</x:v>
      </x:c>
      <x:c r="E35" s="88" t="n">
        <x:v>2019</x:v>
      </x:c>
      <x:c r="F35" s="88" t="n">
        <x:v>-1</x:v>
      </x:c>
      <x:c r="G35" s="87" t="str">
        <x:v>Yes</x:v>
      </x:c>
      <x:c r="H35" s="87" t="str">
        <x:v>Inferred from observed priority-year range</x:v>
      </x:c>
      <x:c r="I35" s="109" t="n">
        <x:v>3</x:v>
      </x:c>
      <x:c r="J35" s="109" t="n">
        <x:v>0</x:v>
      </x:c>
      <x:c r="K35" s="87" t="str">
        <x:v>Raw family-level forward citations (max cited-by per family); not age/field normalised</x:v>
      </x:c>
      <x:c r="L35" s="87" t="str">
        <x:v>Applicant/owner aliases for Esteve Pharmaceuticals and Laboratorios del Dr. Esteve.</x:v>
      </x:c>
    </x:row>
    <x:row r="36">
      <x:c r="A36" s="87" t="str">
        <x:v>Esteve Pharmaceuticals.csv</x:v>
      </x:c>
      <x:c r="B36" s="87" t="str">
        <x:v>Esteve Pharmaceuticals</x:v>
      </x:c>
      <x:c r="C36" s="87" t="str">
        <x:v>TRT-0044</x:v>
      </x:c>
      <x:c r="D36" s="88" t="n">
        <x:v>2020</x:v>
      </x:c>
      <x:c r="E36" s="88" t="n">
        <x:v>2020</x:v>
      </x:c>
      <x:c r="F36" s="88" t="n">
        <x:v>0</x:v>
      </x:c>
      <x:c r="G36" s="87" t="str">
        <x:v>Yes</x:v>
      </x:c>
      <x:c r="H36" s="87" t="str">
        <x:v>Inferred from observed priority-year range</x:v>
      </x:c>
      <x:c r="I36" s="109" t="n">
        <x:v>1</x:v>
      </x:c>
      <x:c r="J36" s="109" t="n">
        <x:v>0</x:v>
      </x:c>
      <x:c r="K36" s="87" t="str">
        <x:v>Raw family-level forward citations (max cited-by per family); not age/field normalised</x:v>
      </x:c>
      <x:c r="L36" s="87" t="str">
        <x:v>Applicant/owner aliases for Esteve Pharmaceuticals and Laboratorios del Dr. Esteve.</x:v>
      </x:c>
    </x:row>
    <x:row r="37">
      <x:c r="A37" s="87" t="str">
        <x:v>Esteve Pharmaceuticals.csv</x:v>
      </x:c>
      <x:c r="B37" s="87" t="str">
        <x:v>Esteve Pharmaceuticals</x:v>
      </x:c>
      <x:c r="C37" s="87" t="str">
        <x:v>TRT-0044</x:v>
      </x:c>
      <x:c r="D37" s="88" t="n">
        <x:v>2020</x:v>
      </x:c>
      <x:c r="E37" s="88" t="n">
        <x:v>2021</x:v>
      </x:c>
      <x:c r="F37" s="88" t="n">
        <x:v>1</x:v>
      </x:c>
      <x:c r="G37" s="87" t="str">
        <x:v>Yes</x:v>
      </x:c>
      <x:c r="H37" s="87" t="str">
        <x:v>Inferred from observed priority-year range</x:v>
      </x:c>
      <x:c r="I37" s="109" t="n">
        <x:v>1</x:v>
      </x:c>
      <x:c r="J37" s="109" t="n">
        <x:v>0</x:v>
      </x:c>
      <x:c r="K37" s="87" t="str">
        <x:v>Raw family-level forward citations (max cited-by per family); not age/field normalised</x:v>
      </x:c>
      <x:c r="L37" s="87" t="str">
        <x:v>Applicant/owner aliases for Esteve Pharmaceuticals and Laboratorios del Dr. Esteve.</x:v>
      </x:c>
    </x:row>
    <x:row r="38">
      <x:c r="A38" s="87" t="str">
        <x:v>Eurofins Scientific.csv</x:v>
      </x:c>
      <x:c r="B38" s="87" t="str">
        <x:v>Eurofins Scientific</x:v>
      </x:c>
      <x:c r="C38" s="87" t="str">
        <x:v>TRT-0039</x:v>
      </x:c>
      <x:c r="D38" s="88" t="n">
        <x:v>2013</x:v>
      </x:c>
      <x:c r="E38" s="88" t="n">
        <x:v>2018</x:v>
      </x:c>
      <x:c r="F38" s="88" t="n">
        <x:v>5</x:v>
      </x:c>
      <x:c r="G38" s="87" t="str">
        <x:v>No</x:v>
      </x:c>
      <x:c r="H38" s="87" t="str">
        <x:v>Inferred from observed priority-year range</x:v>
      </x:c>
      <x:c r="I38" s="109" t="n">
        <x:v>1</x:v>
      </x:c>
      <x:c r="J38" s="109" t="n">
        <x:v>1</x:v>
      </x:c>
      <x:c r="K38" s="87" t="str">
        <x:v>Raw family-level forward citations (max cited-by per family); not age/field normalised</x:v>
      </x:c>
      <x:c r="L38" s="87" t="str">
        <x:v>Single family matched through owner field; event-window coverage is not established.</x:v>
      </x:c>
    </x:row>
    <x:row r="39">
      <x:c r="A39" s="87" t="str">
        <x:v>GSK.csv</x:v>
      </x:c>
      <x:c r="B39" s="87" t="str">
        <x:v>GSK</x:v>
      </x:c>
      <x:c r="C39" s="87" t="str">
        <x:v>TRT-0038</x:v>
      </x:c>
      <x:c r="D39" s="88" t="n">
        <x:v>2013</x:v>
      </x:c>
      <x:c r="E39" s="88" t="n">
        <x:v>2011</x:v>
      </x:c>
      <x:c r="F39" s="88" t="n">
        <x:v>-2</x:v>
      </x:c>
      <x:c r="G39" s="87" t="str">
        <x:v>Yes</x:v>
      </x:c>
      <x:c r="H39" s="87" t="str">
        <x:v>Inferred from observed priority-year range</x:v>
      </x:c>
      <x:c r="I39" s="109" t="n">
        <x:v>1</x:v>
      </x:c>
      <x:c r="J39" s="109" t="n">
        <x:v>0</x:v>
      </x:c>
      <x:c r="K39" s="87" t="str">
        <x:v>Raw family-level forward citations (max cited-by per family); not age/field normalised</x:v>
      </x:c>
      <x:c r="L39" s="87" t="str">
        <x:v>Export is concentrated on GSK Consumer Healthcare/Haleon and may not represent the full GSK pharmaceutical group.</x:v>
      </x:c>
    </x:row>
    <x:row r="40">
      <x:c r="A40" s="87" t="str">
        <x:v>GSK.csv</x:v>
      </x:c>
      <x:c r="B40" s="87" t="str">
        <x:v>GSK</x:v>
      </x:c>
      <x:c r="C40" s="87" t="str">
        <x:v>TRT-0038</x:v>
      </x:c>
      <x:c r="D40" s="88" t="n">
        <x:v>2013</x:v>
      </x:c>
      <x:c r="E40" s="88" t="n">
        <x:v>2012</x:v>
      </x:c>
      <x:c r="F40" s="88" t="n">
        <x:v>-1</x:v>
      </x:c>
      <x:c r="G40" s="87" t="str">
        <x:v>Yes</x:v>
      </x:c>
      <x:c r="H40" s="87" t="str">
        <x:v>Inferred from observed priority-year range</x:v>
      </x:c>
      <x:c r="I40" s="109" t="n">
        <x:v>0</x:v>
      </x:c>
      <x:c r="J40" s="109" t="n">
        <x:v>0</x:v>
      </x:c>
      <x:c r="K40" s="87" t="str">
        <x:v>Raw family-level forward citations (max cited-by per family); not age/field normalised</x:v>
      </x:c>
      <x:c r="L40" s="87" t="str">
        <x:v>Export is concentrated on GSK Consumer Healthcare/Haleon and may not represent the full GSK pharmaceutical group.</x:v>
      </x:c>
    </x:row>
    <x:row r="41">
      <x:c r="A41" s="87" t="str">
        <x:v>GSK.csv</x:v>
      </x:c>
      <x:c r="B41" s="87" t="str">
        <x:v>GSK</x:v>
      </x:c>
      <x:c r="C41" s="87" t="str">
        <x:v>TRT-0038</x:v>
      </x:c>
      <x:c r="D41" s="88" t="n">
        <x:v>2013</x:v>
      </x:c>
      <x:c r="E41" s="88" t="n">
        <x:v>2013</x:v>
      </x:c>
      <x:c r="F41" s="88" t="n">
        <x:v>0</x:v>
      </x:c>
      <x:c r="G41" s="87" t="str">
        <x:v>Yes</x:v>
      </x:c>
      <x:c r="H41" s="87" t="str">
        <x:v>Inferred from observed priority-year range</x:v>
      </x:c>
      <x:c r="I41" s="109" t="n">
        <x:v>7</x:v>
      </x:c>
      <x:c r="J41" s="109" t="n">
        <x:v>37</x:v>
      </x:c>
      <x:c r="K41" s="87" t="str">
        <x:v>Raw family-level forward citations (max cited-by per family); not age/field normalised</x:v>
      </x:c>
      <x:c r="L41" s="87" t="str">
        <x:v>Export is concentrated on GSK Consumer Healthcare/Haleon and may not represent the full GSK pharmaceutical group.</x:v>
      </x:c>
    </x:row>
    <x:row r="42">
      <x:c r="A42" s="87" t="str">
        <x:v>GSK.csv</x:v>
      </x:c>
      <x:c r="B42" s="87" t="str">
        <x:v>GSK</x:v>
      </x:c>
      <x:c r="C42" s="87" t="str">
        <x:v>TRT-0038</x:v>
      </x:c>
      <x:c r="D42" s="88" t="n">
        <x:v>2013</x:v>
      </x:c>
      <x:c r="E42" s="88" t="n">
        <x:v>2014</x:v>
      </x:c>
      <x:c r="F42" s="88" t="n">
        <x:v>1</x:v>
      </x:c>
      <x:c r="G42" s="87" t="str">
        <x:v>Yes</x:v>
      </x:c>
      <x:c r="H42" s="87" t="str">
        <x:v>Inferred from observed priority-year range</x:v>
      </x:c>
      <x:c r="I42" s="109" t="n">
        <x:v>1</x:v>
      </x:c>
      <x:c r="J42" s="109" t="n">
        <x:v>0</x:v>
      </x:c>
      <x:c r="K42" s="87" t="str">
        <x:v>Raw family-level forward citations (max cited-by per family); not age/field normalised</x:v>
      </x:c>
      <x:c r="L42" s="87" t="str">
        <x:v>Export is concentrated on GSK Consumer Healthcare/Haleon and may not represent the full GSK pharmaceutical group.</x:v>
      </x:c>
    </x:row>
    <x:row r="43">
      <x:c r="A43" s="87" t="str">
        <x:v>GSK.csv</x:v>
      </x:c>
      <x:c r="B43" s="87" t="str">
        <x:v>GSK</x:v>
      </x:c>
      <x:c r="C43" s="87" t="str">
        <x:v>TRT-0038</x:v>
      </x:c>
      <x:c r="D43" s="88" t="n">
        <x:v>2013</x:v>
      </x:c>
      <x:c r="E43" s="88" t="n">
        <x:v>2015</x:v>
      </x:c>
      <x:c r="F43" s="88" t="n">
        <x:v>2</x:v>
      </x:c>
      <x:c r="G43" s="87" t="str">
        <x:v>Yes</x:v>
      </x:c>
      <x:c r="H43" s="87" t="str">
        <x:v>Inferred from observed priority-year range</x:v>
      </x:c>
      <x:c r="I43" s="109" t="n">
        <x:v>2</x:v>
      </x:c>
      <x:c r="J43" s="109" t="n">
        <x:v>1</x:v>
      </x:c>
      <x:c r="K43" s="87" t="str">
        <x:v>Raw family-level forward citations (max cited-by per family); not age/field normalised</x:v>
      </x:c>
      <x:c r="L43" s="87" t="str">
        <x:v>Export is concentrated on GSK Consumer Healthcare/Haleon and may not represent the full GSK pharmaceutical group.</x:v>
      </x:c>
    </x:row>
    <x:row r="44">
      <x:c r="A44" s="87" t="str">
        <x:v>GSK.csv</x:v>
      </x:c>
      <x:c r="B44" s="87" t="str">
        <x:v>GSK</x:v>
      </x:c>
      <x:c r="C44" s="87" t="str">
        <x:v>TRT-0038</x:v>
      </x:c>
      <x:c r="D44" s="88" t="n">
        <x:v>2013</x:v>
      </x:c>
      <x:c r="E44" s="88" t="n">
        <x:v>2016</x:v>
      </x:c>
      <x:c r="F44" s="88" t="n">
        <x:v>3</x:v>
      </x:c>
      <x:c r="G44" s="87" t="str">
        <x:v>Yes</x:v>
      </x:c>
      <x:c r="H44" s="87" t="str">
        <x:v>Inferred from observed priority-year range</x:v>
      </x:c>
      <x:c r="I44" s="109" t="n">
        <x:v>6</x:v>
      </x:c>
      <x:c r="J44" s="109" t="n">
        <x:v>18</x:v>
      </x:c>
      <x:c r="K44" s="87" t="str">
        <x:v>Raw family-level forward citations (max cited-by per family); not age/field normalised</x:v>
      </x:c>
      <x:c r="L44" s="87" t="str">
        <x:v>Export is concentrated on GSK Consumer Healthcare/Haleon and may not represent the full GSK pharmaceutical group.</x:v>
      </x:c>
    </x:row>
    <x:row r="45">
      <x:c r="A45" s="87" t="str">
        <x:v>GSK.csv</x:v>
      </x:c>
      <x:c r="B45" s="87" t="str">
        <x:v>GSK</x:v>
      </x:c>
      <x:c r="C45" s="87" t="str">
        <x:v>TRT-0038</x:v>
      </x:c>
      <x:c r="D45" s="88" t="n">
        <x:v>2013</x:v>
      </x:c>
      <x:c r="E45" s="88" t="n">
        <x:v>2017</x:v>
      </x:c>
      <x:c r="F45" s="88" t="n">
        <x:v>4</x:v>
      </x:c>
      <x:c r="G45" s="87" t="str">
        <x:v>No</x:v>
      </x:c>
      <x:c r="H45" s="87" t="str">
        <x:v>Inferred from observed priority-year range</x:v>
      </x:c>
      <x:c r="I45" s="109" t="n">
        <x:v>2</x:v>
      </x:c>
      <x:c r="J45" s="109" t="n">
        <x:v>0</x:v>
      </x:c>
      <x:c r="K45" s="87" t="str">
        <x:v>Raw family-level forward citations (max cited-by per family); not age/field normalised</x:v>
      </x:c>
      <x:c r="L45" s="87" t="str">
        <x:v>Export is concentrated on GSK Consumer Healthcare/Haleon and may not represent the full GSK pharmaceutical group.</x:v>
      </x:c>
    </x:row>
    <x:row r="46">
      <x:c r="A46" s="87" t="str">
        <x:v>GSK.csv</x:v>
      </x:c>
      <x:c r="B46" s="87" t="str">
        <x:v>GSK</x:v>
      </x:c>
      <x:c r="C46" s="87" t="str">
        <x:v>TRT-0038</x:v>
      </x:c>
      <x:c r="D46" s="88" t="n">
        <x:v>2013</x:v>
      </x:c>
      <x:c r="E46" s="88" t="n">
        <x:v>2018</x:v>
      </x:c>
      <x:c r="F46" s="88" t="n">
        <x:v>5</x:v>
      </x:c>
      <x:c r="G46" s="87" t="str">
        <x:v>No</x:v>
      </x:c>
      <x:c r="H46" s="87" t="str">
        <x:v>Inferred from observed priority-year range</x:v>
      </x:c>
      <x:c r="I46" s="109" t="n">
        <x:v>2</x:v>
      </x:c>
      <x:c r="J46" s="109" t="n">
        <x:v>9</x:v>
      </x:c>
      <x:c r="K46" s="87" t="str">
        <x:v>Raw family-level forward citations (max cited-by per family); not age/field normalised</x:v>
      </x:c>
      <x:c r="L46" s="87" t="str">
        <x:v>Export is concentrated on GSK Consumer Healthcare/Haleon and may not represent the full GSK pharmaceutical group.</x:v>
      </x:c>
    </x:row>
    <x:row r="47">
      <x:c r="A47" s="87" t="str">
        <x:v>GSK.csv</x:v>
      </x:c>
      <x:c r="B47" s="87" t="str">
        <x:v>GSK</x:v>
      </x:c>
      <x:c r="C47" s="87" t="str">
        <x:v>TRT-0038</x:v>
      </x:c>
      <x:c r="D47" s="88" t="n">
        <x:v>2013</x:v>
      </x:c>
      <x:c r="E47" s="88" t="n">
        <x:v>2019</x:v>
      </x:c>
      <x:c r="F47" s="88" t="n">
        <x:v>6</x:v>
      </x:c>
      <x:c r="G47" s="87" t="str">
        <x:v>No</x:v>
      </x:c>
      <x:c r="H47" s="87" t="str">
        <x:v>Inferred from observed priority-year range</x:v>
      </x:c>
      <x:c r="I47" s="109" t="n">
        <x:v>8</x:v>
      </x:c>
      <x:c r="J47" s="109" t="n">
        <x:v>40</x:v>
      </x:c>
      <x:c r="K47" s="87" t="str">
        <x:v>Raw family-level forward citations (max cited-by per family); not age/field normalised</x:v>
      </x:c>
      <x:c r="L47" s="87" t="str">
        <x:v>Export is concentrated on GSK Consumer Healthcare/Haleon and may not represent the full GSK pharmaceutical group.</x:v>
      </x:c>
    </x:row>
    <x:row r="48">
      <x:c r="A48" s="87" t="str">
        <x:v>GSK.csv</x:v>
      </x:c>
      <x:c r="B48" s="87" t="str">
        <x:v>GSK</x:v>
      </x:c>
      <x:c r="C48" s="87" t="str">
        <x:v>TRT-0038</x:v>
      </x:c>
      <x:c r="D48" s="88" t="n">
        <x:v>2013</x:v>
      </x:c>
      <x:c r="E48" s="88" t="n">
        <x:v>2020</x:v>
      </x:c>
      <x:c r="F48" s="88" t="n">
        <x:v>7</x:v>
      </x:c>
      <x:c r="G48" s="87" t="str">
        <x:v>No</x:v>
      </x:c>
      <x:c r="H48" s="87" t="str">
        <x:v>Inferred from observed priority-year range</x:v>
      </x:c>
      <x:c r="I48" s="109" t="n">
        <x:v>0</x:v>
      </x:c>
      <x:c r="J48" s="109" t="n">
        <x:v>0</x:v>
      </x:c>
      <x:c r="K48" s="87" t="str">
        <x:v>Raw family-level forward citations (max cited-by per family); not age/field normalised</x:v>
      </x:c>
      <x:c r="L48" s="87" t="str">
        <x:v>Export is concentrated on GSK Consumer Healthcare/Haleon and may not represent the full GSK pharmaceutical group.</x:v>
      </x:c>
    </x:row>
    <x:row r="49">
      <x:c r="A49" s="87" t="str">
        <x:v>GSK.csv</x:v>
      </x:c>
      <x:c r="B49" s="87" t="str">
        <x:v>GSK</x:v>
      </x:c>
      <x:c r="C49" s="87" t="str">
        <x:v>TRT-0038</x:v>
      </x:c>
      <x:c r="D49" s="88" t="n">
        <x:v>2013</x:v>
      </x:c>
      <x:c r="E49" s="88" t="n">
        <x:v>2021</x:v>
      </x:c>
      <x:c r="F49" s="88" t="n">
        <x:v>8</x:v>
      </x:c>
      <x:c r="G49" s="87" t="str">
        <x:v>No</x:v>
      </x:c>
      <x:c r="H49" s="87" t="str">
        <x:v>Inferred from observed priority-year range</x:v>
      </x:c>
      <x:c r="I49" s="109" t="n">
        <x:v>1</x:v>
      </x:c>
      <x:c r="J49" s="109" t="n">
        <x:v>0</x:v>
      </x:c>
      <x:c r="K49" s="87" t="str">
        <x:v>Raw family-level forward citations (max cited-by per family); not age/field normalised</x:v>
      </x:c>
      <x:c r="L49" s="87" t="str">
        <x:v>Export is concentrated on GSK Consumer Healthcare/Haleon and may not represent the full GSK pharmaceutical group.</x:v>
      </x:c>
    </x:row>
    <x:row r="50">
      <x:c r="A50" s="87" t="str">
        <x:v>Nicox.csv</x:v>
      </x:c>
      <x:c r="B50" s="87" t="str">
        <x:v>Nicox</x:v>
      </x:c>
      <x:c r="C50" s="87" t="str">
        <x:v>TRT-0034</x:v>
      </x:c>
      <x:c r="D50" s="88" t="n">
        <x:v>2014</x:v>
      </x:c>
      <x:c r="E50" s="88" t="n">
        <x:v>2011</x:v>
      </x:c>
      <x:c r="F50" s="88" t="n">
        <x:v>-3</x:v>
      </x:c>
      <x:c r="G50" s="87" t="str">
        <x:v>Yes</x:v>
      </x:c>
      <x:c r="H50" s="87" t="str">
        <x:v>Inferred from observed priority-year range</x:v>
      </x:c>
      <x:c r="I50" s="109" t="n">
        <x:v>2</x:v>
      </x:c>
      <x:c r="J50" s="109" t="n">
        <x:v>8</x:v>
      </x:c>
      <x:c r="K50" s="87" t="str">
        <x:v>Raw family-level forward citations (max cited-by per family); not age/field normalised</x:v>
      </x:c>
      <x:c r="L50" s="87" t="str">
        <x:v>Includes Nicox entities and Aciex Therapeutics as a pre-existing subsidiary/affiliate alias.</x:v>
      </x:c>
    </x:row>
    <x:row r="51">
      <x:c r="A51" s="87" t="str">
        <x:v>Nicox.csv</x:v>
      </x:c>
      <x:c r="B51" s="87" t="str">
        <x:v>Nicox</x:v>
      </x:c>
      <x:c r="C51" s="87" t="str">
        <x:v>TRT-0034</x:v>
      </x:c>
      <x:c r="D51" s="88" t="n">
        <x:v>2014</x:v>
      </x:c>
      <x:c r="E51" s="88" t="n">
        <x:v>2012</x:v>
      </x:c>
      <x:c r="F51" s="88" t="n">
        <x:v>-2</x:v>
      </x:c>
      <x:c r="G51" s="87" t="str">
        <x:v>Yes</x:v>
      </x:c>
      <x:c r="H51" s="87" t="str">
        <x:v>Inferred from observed priority-year range</x:v>
      </x:c>
      <x:c r="I51" s="109" t="n">
        <x:v>3</x:v>
      </x:c>
      <x:c r="J51" s="109" t="n">
        <x:v>7</x:v>
      </x:c>
      <x:c r="K51" s="87" t="str">
        <x:v>Raw family-level forward citations (max cited-by per family); not age/field normalised</x:v>
      </x:c>
      <x:c r="L51" s="87" t="str">
        <x:v>Includes Nicox entities and Aciex Therapeutics as a pre-existing subsidiary/affiliate alias.</x:v>
      </x:c>
    </x:row>
    <x:row r="52">
      <x:c r="A52" s="87" t="str">
        <x:v>Nicox.csv</x:v>
      </x:c>
      <x:c r="B52" s="87" t="str">
        <x:v>Nicox</x:v>
      </x:c>
      <x:c r="C52" s="87" t="str">
        <x:v>TRT-0034</x:v>
      </x:c>
      <x:c r="D52" s="88" t="n">
        <x:v>2014</x:v>
      </x:c>
      <x:c r="E52" s="88" t="n">
        <x:v>2013</x:v>
      </x:c>
      <x:c r="F52" s="88" t="n">
        <x:v>-1</x:v>
      </x:c>
      <x:c r="G52" s="87" t="str">
        <x:v>Yes</x:v>
      </x:c>
      <x:c r="H52" s="87" t="str">
        <x:v>Inferred from observed priority-year range</x:v>
      </x:c>
      <x:c r="I52" s="109" t="n">
        <x:v>4</x:v>
      </x:c>
      <x:c r="J52" s="109" t="n">
        <x:v>1</x:v>
      </x:c>
      <x:c r="K52" s="87" t="str">
        <x:v>Raw family-level forward citations (max cited-by per family); not age/field normalised</x:v>
      </x:c>
      <x:c r="L52" s="87" t="str">
        <x:v>Includes Nicox entities and Aciex Therapeutics as a pre-existing subsidiary/affiliate alias.</x:v>
      </x:c>
    </x:row>
    <x:row r="53">
      <x:c r="A53" s="87" t="str">
        <x:v>Nicox.csv</x:v>
      </x:c>
      <x:c r="B53" s="87" t="str">
        <x:v>Nicox</x:v>
      </x:c>
      <x:c r="C53" s="87" t="str">
        <x:v>TRT-0034</x:v>
      </x:c>
      <x:c r="D53" s="88" t="n">
        <x:v>2014</x:v>
      </x:c>
      <x:c r="E53" s="88" t="n">
        <x:v>2014</x:v>
      </x:c>
      <x:c r="F53" s="88" t="n">
        <x:v>0</x:v>
      </x:c>
      <x:c r="G53" s="87" t="str">
        <x:v>Yes</x:v>
      </x:c>
      <x:c r="H53" s="87" t="str">
        <x:v>Inferred from observed priority-year range</x:v>
      </x:c>
      <x:c r="I53" s="109" t="n">
        <x:v>3</x:v>
      </x:c>
      <x:c r="J53" s="109" t="n">
        <x:v>0</x:v>
      </x:c>
      <x:c r="K53" s="87" t="str">
        <x:v>Raw family-level forward citations (max cited-by per family); not age/field normalised</x:v>
      </x:c>
      <x:c r="L53" s="87" t="str">
        <x:v>Includes Nicox entities and Aciex Therapeutics as a pre-existing subsidiary/affiliate alias.</x:v>
      </x:c>
    </x:row>
    <x:row r="54">
      <x:c r="A54" s="87" t="str">
        <x:v>Nicox.csv</x:v>
      </x:c>
      <x:c r="B54" s="87" t="str">
        <x:v>Nicox</x:v>
      </x:c>
      <x:c r="C54" s="87" t="str">
        <x:v>TRT-0034</x:v>
      </x:c>
      <x:c r="D54" s="88" t="n">
        <x:v>2014</x:v>
      </x:c>
      <x:c r="E54" s="88" t="n">
        <x:v>2015</x:v>
      </x:c>
      <x:c r="F54" s="88" t="n">
        <x:v>1</x:v>
      </x:c>
      <x:c r="G54" s="87" t="str">
        <x:v>Yes</x:v>
      </x:c>
      <x:c r="H54" s="87" t="str">
        <x:v>Inferred from observed priority-year range</x:v>
      </x:c>
      <x:c r="I54" s="109" t="n">
        <x:v>2</x:v>
      </x:c>
      <x:c r="J54" s="109" t="n">
        <x:v>0</x:v>
      </x:c>
      <x:c r="K54" s="87" t="str">
        <x:v>Raw family-level forward citations (max cited-by per family); not age/field normalised</x:v>
      </x:c>
      <x:c r="L54" s="87" t="str">
        <x:v>Includes Nicox entities and Aciex Therapeutics as a pre-existing subsidiary/affiliate alias.</x:v>
      </x:c>
    </x:row>
    <x:row r="55">
      <x:c r="A55" s="87" t="str">
        <x:v>Nicox.csv</x:v>
      </x:c>
      <x:c r="B55" s="87" t="str">
        <x:v>Nicox</x:v>
      </x:c>
      <x:c r="C55" s="87" t="str">
        <x:v>TRT-0034</x:v>
      </x:c>
      <x:c r="D55" s="88" t="n">
        <x:v>2014</x:v>
      </x:c>
      <x:c r="E55" s="88" t="n">
        <x:v>2016</x:v>
      </x:c>
      <x:c r="F55" s="88" t="n">
        <x:v>2</x:v>
      </x:c>
      <x:c r="G55" s="87" t="str">
        <x:v>Yes</x:v>
      </x:c>
      <x:c r="H55" s="87" t="str">
        <x:v>Inferred from observed priority-year range</x:v>
      </x:c>
      <x:c r="I55" s="109" t="n">
        <x:v>1</x:v>
      </x:c>
      <x:c r="J55" s="109" t="n">
        <x:v>0</x:v>
      </x:c>
      <x:c r="K55" s="87" t="str">
        <x:v>Raw family-level forward citations (max cited-by per family); not age/field normalised</x:v>
      </x:c>
      <x:c r="L55" s="87" t="str">
        <x:v>Includes Nicox entities and Aciex Therapeutics as a pre-existing subsidiary/affiliate alias.</x:v>
      </x:c>
    </x:row>
    <x:row r="56">
      <x:c r="A56" s="87" t="str">
        <x:v>Nicox.csv</x:v>
      </x:c>
      <x:c r="B56" s="87" t="str">
        <x:v>Nicox</x:v>
      </x:c>
      <x:c r="C56" s="87" t="str">
        <x:v>TRT-0034</x:v>
      </x:c>
      <x:c r="D56" s="88" t="n">
        <x:v>2014</x:v>
      </x:c>
      <x:c r="E56" s="88" t="n">
        <x:v>2017</x:v>
      </x:c>
      <x:c r="F56" s="88" t="n">
        <x:v>3</x:v>
      </x:c>
      <x:c r="G56" s="87" t="str">
        <x:v>Yes</x:v>
      </x:c>
      <x:c r="H56" s="87" t="str">
        <x:v>Inferred from observed priority-year range</x:v>
      </x:c>
      <x:c r="I56" s="109" t="n">
        <x:v>0</x:v>
      </x:c>
      <x:c r="J56" s="109" t="n">
        <x:v>0</x:v>
      </x:c>
      <x:c r="K56" s="87" t="str">
        <x:v>Raw family-level forward citations (max cited-by per family); not age/field normalised</x:v>
      </x:c>
      <x:c r="L56" s="87" t="str">
        <x:v>Includes Nicox entities and Aciex Therapeutics as a pre-existing subsidiary/affiliate alias.</x:v>
      </x:c>
    </x:row>
    <x:row r="57">
      <x:c r="A57" s="87" t="str">
        <x:v>Nicox.csv</x:v>
      </x:c>
      <x:c r="B57" s="87" t="str">
        <x:v>Nicox</x:v>
      </x:c>
      <x:c r="C57" s="87" t="str">
        <x:v>TRT-0034</x:v>
      </x:c>
      <x:c r="D57" s="88" t="n">
        <x:v>2014</x:v>
      </x:c>
      <x:c r="E57" s="88" t="n">
        <x:v>2018</x:v>
      </x:c>
      <x:c r="F57" s="88" t="n">
        <x:v>4</x:v>
      </x:c>
      <x:c r="G57" s="87" t="str">
        <x:v>No</x:v>
      </x:c>
      <x:c r="H57" s="87" t="str">
        <x:v>Inferred from observed priority-year range</x:v>
      </x:c>
      <x:c r="I57" s="109" t="n">
        <x:v>3</x:v>
      </x:c>
      <x:c r="J57" s="109" t="n">
        <x:v>1</x:v>
      </x:c>
      <x:c r="K57" s="87" t="str">
        <x:v>Raw family-level forward citations (max cited-by per family); not age/field normalised</x:v>
      </x:c>
      <x:c r="L57" s="87" t="str">
        <x:v>Includes Nicox entities and Aciex Therapeutics as a pre-existing subsidiary/affiliate alias.</x:v>
      </x:c>
    </x:row>
    <x:row r="58">
      <x:c r="A58" s="87" t="str">
        <x:v>Nicox.csv</x:v>
      </x:c>
      <x:c r="B58" s="87" t="str">
        <x:v>Nicox</x:v>
      </x:c>
      <x:c r="C58" s="87" t="str">
        <x:v>TRT-0034</x:v>
      </x:c>
      <x:c r="D58" s="88" t="n">
        <x:v>2014</x:v>
      </x:c>
      <x:c r="E58" s="88" t="n">
        <x:v>2019</x:v>
      </x:c>
      <x:c r="F58" s="88" t="n">
        <x:v>5</x:v>
      </x:c>
      <x:c r="G58" s="87" t="str">
        <x:v>No</x:v>
      </x:c>
      <x:c r="H58" s="87" t="str">
        <x:v>Inferred from observed priority-year range</x:v>
      </x:c>
      <x:c r="I58" s="109" t="n">
        <x:v>2</x:v>
      </x:c>
      <x:c r="J58" s="109" t="n">
        <x:v>1</x:v>
      </x:c>
      <x:c r="K58" s="87" t="str">
        <x:v>Raw family-level forward citations (max cited-by per family); not age/field normalised</x:v>
      </x:c>
      <x:c r="L58" s="87" t="str">
        <x:v>Includes Nicox entities and Aciex Therapeutics as a pre-existing subsidiary/affiliate alias.</x:v>
      </x:c>
    </x:row>
    <x:row r="59">
      <x:c r="A59" s="87" t="str">
        <x:v>Nicox.csv</x:v>
      </x:c>
      <x:c r="B59" s="87" t="str">
        <x:v>Nicox</x:v>
      </x:c>
      <x:c r="C59" s="87" t="str">
        <x:v>TRT-0034</x:v>
      </x:c>
      <x:c r="D59" s="88" t="n">
        <x:v>2014</x:v>
      </x:c>
      <x:c r="E59" s="88" t="n">
        <x:v>2020</x:v>
      </x:c>
      <x:c r="F59" s="88" t="n">
        <x:v>6</x:v>
      </x:c>
      <x:c r="G59" s="87" t="str">
        <x:v>No</x:v>
      </x:c>
      <x:c r="H59" s="87" t="str">
        <x:v>Inferred from observed priority-year range</x:v>
      </x:c>
      <x:c r="I59" s="109" t="n">
        <x:v>3</x:v>
      </x:c>
      <x:c r="J59" s="109" t="n">
        <x:v>2</x:v>
      </x:c>
      <x:c r="K59" s="87" t="str">
        <x:v>Raw family-level forward citations (max cited-by per family); not age/field normalised</x:v>
      </x:c>
      <x:c r="L59" s="87" t="str">
        <x:v>Includes Nicox entities and Aciex Therapeutics as a pre-existing subsidiary/affiliate alias.</x:v>
      </x:c>
    </x:row>
    <x:row r="60">
      <x:c r="A60" s="87" t="str">
        <x:v>Nicox.csv</x:v>
      </x:c>
      <x:c r="B60" s="87" t="str">
        <x:v>Nicox</x:v>
      </x:c>
      <x:c r="C60" s="87" t="str">
        <x:v>TRT-0034</x:v>
      </x:c>
      <x:c r="D60" s="88" t="n">
        <x:v>2014</x:v>
      </x:c>
      <x:c r="E60" s="88" t="n">
        <x:v>2021</x:v>
      </x:c>
      <x:c r="F60" s="88" t="n">
        <x:v>7</x:v>
      </x:c>
      <x:c r="G60" s="87" t="str">
        <x:v>No</x:v>
      </x:c>
      <x:c r="H60" s="87" t="str">
        <x:v>Inferred from observed priority-year range</x:v>
      </x:c>
      <x:c r="I60" s="109" t="n">
        <x:v>2</x:v>
      </x:c>
      <x:c r="J60" s="109" t="n">
        <x:v>0</x:v>
      </x:c>
      <x:c r="K60" s="87" t="str">
        <x:v>Raw family-level forward citations (max cited-by per family); not age/field normalised</x:v>
      </x:c>
      <x:c r="L60" s="87" t="str">
        <x:v>Includes Nicox entities and Aciex Therapeutics as a pre-existing subsidiary/affiliate alias.</x:v>
      </x:c>
    </x:row>
    <x:row r="61">
      <x:c r="A61" s="87" t="str">
        <x:v>Nicox.csv</x:v>
      </x:c>
      <x:c r="B61" s="87" t="str">
        <x:v>Nicox</x:v>
      </x:c>
      <x:c r="C61" s="87" t="str">
        <x:v>TRT-0034</x:v>
      </x:c>
      <x:c r="D61" s="88" t="n">
        <x:v>2014</x:v>
      </x:c>
      <x:c r="E61" s="88" t="n">
        <x:v>2022</x:v>
      </x:c>
      <x:c r="F61" s="88" t="n">
        <x:v>8</x:v>
      </x:c>
      <x:c r="G61" s="87" t="str">
        <x:v>No</x:v>
      </x:c>
      <x:c r="H61" s="87" t="str">
        <x:v>Inferred from observed priority-year range</x:v>
      </x:c>
      <x:c r="I61" s="109" t="n">
        <x:v>2</x:v>
      </x:c>
      <x:c r="J61" s="109" t="n">
        <x:v>0</x:v>
      </x:c>
      <x:c r="K61" s="87" t="str">
        <x:v>Raw family-level forward citations (max cited-by per family); not age/field normalised</x:v>
      </x:c>
      <x:c r="L61" s="87" t="str">
        <x:v>Includes Nicox entities and Aciex Therapeutics as a pre-existing subsidiary/affiliate alias.</x:v>
      </x:c>
    </x:row>
    <x:row r="62">
      <x:c r="A62" s="87" t="str">
        <x:v>Sanofi_Applicant_EP_Families_2015_2021.csv(1).csv</x:v>
      </x:c>
      <x:c r="B62" s="87" t="str">
        <x:v>Sanofi</x:v>
      </x:c>
      <x:c r="C62" s="87" t="str">
        <x:v>TRT-0010</x:v>
      </x:c>
      <x:c r="D62" s="88" t="n">
        <x:v>2018</x:v>
      </x:c>
      <x:c r="E62" s="88" t="n">
        <x:v>2015</x:v>
      </x:c>
      <x:c r="F62" s="88" t="n">
        <x:v>-3</x:v>
      </x:c>
      <x:c r="G62" s="87" t="str">
        <x:v>Yes</x:v>
      </x:c>
      <x:c r="H62" s="87" t="str">
        <x:v>Explicit search range</x:v>
      </x:c>
      <x:c r="I62" s="109" t="n">
        <x:v>15</x:v>
      </x:c>
      <x:c r="J62" s="109" t="n">
        <x:v>9</x:v>
      </x:c>
      <x:c r="K62" s="87" t="str">
        <x:v>Raw family-level forward citations (max cited-by per family); not age/field normalised</x:v>
      </x:c>
      <x:c r="L62" s="87" t="str">
        <x:v>EP-focused applicant-family export, 2015–2021; not directly comparable with multi-jurisdiction exports without harmonisation.</x:v>
      </x:c>
    </x:row>
    <x:row r="63">
      <x:c r="A63" s="87" t="str">
        <x:v>Sanofi_Applicant_EP_Families_2015_2021.csv(1).csv</x:v>
      </x:c>
      <x:c r="B63" s="87" t="str">
        <x:v>Sanofi</x:v>
      </x:c>
      <x:c r="C63" s="87" t="str">
        <x:v>TRT-0010</x:v>
      </x:c>
      <x:c r="D63" s="88" t="n">
        <x:v>2018</x:v>
      </x:c>
      <x:c r="E63" s="88" t="n">
        <x:v>2016</x:v>
      </x:c>
      <x:c r="F63" s="88" t="n">
        <x:v>-2</x:v>
      </x:c>
      <x:c r="G63" s="87" t="str">
        <x:v>Yes</x:v>
      </x:c>
      <x:c r="H63" s="87" t="str">
        <x:v>Explicit search range</x:v>
      </x:c>
      <x:c r="I63" s="109" t="n">
        <x:v>28</x:v>
      </x:c>
      <x:c r="J63" s="109" t="n">
        <x:v>4</x:v>
      </x:c>
      <x:c r="K63" s="87" t="str">
        <x:v>Raw family-level forward citations (max cited-by per family); not age/field normalised</x:v>
      </x:c>
      <x:c r="L63" s="87" t="str">
        <x:v>EP-focused applicant-family export, 2015–2021; not directly comparable with multi-jurisdiction exports without harmonisation.</x:v>
      </x:c>
    </x:row>
    <x:row r="64">
      <x:c r="A64" s="87" t="str">
        <x:v>Sanofi_Applicant_EP_Families_2015_2021.csv(1).csv</x:v>
      </x:c>
      <x:c r="B64" s="87" t="str">
        <x:v>Sanofi</x:v>
      </x:c>
      <x:c r="C64" s="87" t="str">
        <x:v>TRT-0010</x:v>
      </x:c>
      <x:c r="D64" s="88" t="n">
        <x:v>2018</x:v>
      </x:c>
      <x:c r="E64" s="88" t="n">
        <x:v>2017</x:v>
      </x:c>
      <x:c r="F64" s="88" t="n">
        <x:v>-1</x:v>
      </x:c>
      <x:c r="G64" s="87" t="str">
        <x:v>Yes</x:v>
      </x:c>
      <x:c r="H64" s="87" t="str">
        <x:v>Explicit search range</x:v>
      </x:c>
      <x:c r="I64" s="109" t="n">
        <x:v>36</x:v>
      </x:c>
      <x:c r="J64" s="109" t="n">
        <x:v>0</x:v>
      </x:c>
      <x:c r="K64" s="87" t="str">
        <x:v>Raw family-level forward citations (max cited-by per family); not age/field normalised</x:v>
      </x:c>
      <x:c r="L64" s="87" t="str">
        <x:v>EP-focused applicant-family export, 2015–2021; not directly comparable with multi-jurisdiction exports without harmonisation.</x:v>
      </x:c>
    </x:row>
    <x:row r="65">
      <x:c r="A65" s="87" t="str">
        <x:v>Sanofi_Applicant_EP_Families_2015_2021.csv(1).csv</x:v>
      </x:c>
      <x:c r="B65" s="87" t="str">
        <x:v>Sanofi</x:v>
      </x:c>
      <x:c r="C65" s="87" t="str">
        <x:v>TRT-0010</x:v>
      </x:c>
      <x:c r="D65" s="88" t="n">
        <x:v>2018</x:v>
      </x:c>
      <x:c r="E65" s="88" t="n">
        <x:v>2018</x:v>
      </x:c>
      <x:c r="F65" s="88" t="n">
        <x:v>0</x:v>
      </x:c>
      <x:c r="G65" s="87" t="str">
        <x:v>Yes</x:v>
      </x:c>
      <x:c r="H65" s="87" t="str">
        <x:v>Explicit search range</x:v>
      </x:c>
      <x:c r="I65" s="109" t="n">
        <x:v>38</x:v>
      </x:c>
      <x:c r="J65" s="109" t="n">
        <x:v>1</x:v>
      </x:c>
      <x:c r="K65" s="87" t="str">
        <x:v>Raw family-level forward citations (max cited-by per family); not age/field normalised</x:v>
      </x:c>
      <x:c r="L65" s="87" t="str">
        <x:v>EP-focused applicant-family export, 2015–2021; not directly comparable with multi-jurisdiction exports without harmonisation.</x:v>
      </x:c>
    </x:row>
    <x:row r="66">
      <x:c r="A66" s="87" t="str">
        <x:v>Sanofi_Applicant_EP_Families_2015_2021.csv(1).csv</x:v>
      </x:c>
      <x:c r="B66" s="87" t="str">
        <x:v>Sanofi</x:v>
      </x:c>
      <x:c r="C66" s="87" t="str">
        <x:v>TRT-0010</x:v>
      </x:c>
      <x:c r="D66" s="88" t="n">
        <x:v>2018</x:v>
      </x:c>
      <x:c r="E66" s="88" t="n">
        <x:v>2019</x:v>
      </x:c>
      <x:c r="F66" s="88" t="n">
        <x:v>1</x:v>
      </x:c>
      <x:c r="G66" s="87" t="str">
        <x:v>Yes</x:v>
      </x:c>
      <x:c r="H66" s="87" t="str">
        <x:v>Explicit search range</x:v>
      </x:c>
      <x:c r="I66" s="109" t="n">
        <x:v>42</x:v>
      </x:c>
      <x:c r="J66" s="109" t="n">
        <x:v>4</x:v>
      </x:c>
      <x:c r="K66" s="87" t="str">
        <x:v>Raw family-level forward citations (max cited-by per family); not age/field normalised</x:v>
      </x:c>
      <x:c r="L66" s="87" t="str">
        <x:v>EP-focused applicant-family export, 2015–2021; not directly comparable with multi-jurisdiction exports without harmonisation.</x:v>
      </x:c>
    </x:row>
    <x:row r="67">
      <x:c r="A67" s="87" t="str">
        <x:v>Sanofi_Applicant_EP_Families_2015_2021.csv(1).csv</x:v>
      </x:c>
      <x:c r="B67" s="87" t="str">
        <x:v>Sanofi</x:v>
      </x:c>
      <x:c r="C67" s="87" t="str">
        <x:v>TRT-0010</x:v>
      </x:c>
      <x:c r="D67" s="88" t="n">
        <x:v>2018</x:v>
      </x:c>
      <x:c r="E67" s="88" t="n">
        <x:v>2020</x:v>
      </x:c>
      <x:c r="F67" s="88" t="n">
        <x:v>2</x:v>
      </x:c>
      <x:c r="G67" s="87" t="str">
        <x:v>Yes</x:v>
      </x:c>
      <x:c r="H67" s="87" t="str">
        <x:v>Explicit search range</x:v>
      </x:c>
      <x:c r="I67" s="109" t="n">
        <x:v>20</x:v>
      </x:c>
      <x:c r="J67" s="109" t="n">
        <x:v>1</x:v>
      </x:c>
      <x:c r="K67" s="87" t="str">
        <x:v>Raw family-level forward citations (max cited-by per family); not age/field normalised</x:v>
      </x:c>
      <x:c r="L67" s="87" t="str">
        <x:v>EP-focused applicant-family export, 2015–2021; not directly comparable with multi-jurisdiction exports without harmonisation.</x:v>
      </x:c>
    </x:row>
    <x:row r="68">
      <x:c r="A68" s="87" t="str">
        <x:v>Sanofi_Applicant_EP_Families_2015_2021.csv(1).csv</x:v>
      </x:c>
      <x:c r="B68" s="87" t="str">
        <x:v>Sanofi</x:v>
      </x:c>
      <x:c r="C68" s="87" t="str">
        <x:v>TRT-0010</x:v>
      </x:c>
      <x:c r="D68" s="88" t="n">
        <x:v>2018</x:v>
      </x:c>
      <x:c r="E68" s="88" t="n">
        <x:v>2021</x:v>
      </x:c>
      <x:c r="F68" s="88" t="n">
        <x:v>3</x:v>
      </x:c>
      <x:c r="G68" s="87" t="str">
        <x:v>Yes</x:v>
      </x:c>
      <x:c r="H68" s="87" t="str">
        <x:v>Explicit search range</x:v>
      </x:c>
      <x:c r="I68" s="109" t="n">
        <x:v>13</x:v>
      </x:c>
      <x:c r="J68" s="109" t="n">
        <x:v>0</x:v>
      </x:c>
      <x:c r="K68" s="87" t="str">
        <x:v>Raw family-level forward citations (max cited-by per family); not age/field normalised</x:v>
      </x:c>
      <x:c r="L68" s="87" t="str">
        <x:v>EP-focused applicant-family export, 2015–2021; not directly comparable with multi-jurisdiction exports without harmonisation.</x:v>
      </x:c>
    </x:row>
    <x:row r="69">
      <x:c r="A69" s="87" t="str">
        <x:v>shire.csv</x:v>
      </x:c>
      <x:c r="B69" s="87" t="str">
        <x:v>Shire</x:v>
      </x:c>
      <x:c r="C69" s="87" t="str">
        <x:v>TRT-0045</x:v>
      </x:c>
      <x:c r="D69" s="88" t="n">
        <x:v>2013</x:v>
      </x:c>
      <x:c r="E69" s="88" t="n">
        <x:v>2011</x:v>
      </x:c>
      <x:c r="F69" s="88" t="n">
        <x:v>-2</x:v>
      </x:c>
      <x:c r="G69" s="87" t="str">
        <x:v>Yes</x:v>
      </x:c>
      <x:c r="H69" s="87" t="str">
        <x:v>Inferred from observed priority-year range</x:v>
      </x:c>
      <x:c r="I69" s="109" t="n">
        <x:v>15</x:v>
      </x:c>
      <x:c r="J69" s="109" t="n">
        <x:v>159</x:v>
      </x:c>
      <x:c r="K69" s="87" t="str">
        <x:v>Raw family-level forward citations (max cited-by per family); not age/field normalised</x:v>
      </x:c>
      <x:c r="L69" s="87" t="str">
        <x:v>Applicant/owner aliases containing Shire; later Takeda-only records excluded unless Shire appears.</x:v>
      </x:c>
    </x:row>
    <x:row r="70">
      <x:c r="A70" s="87" t="str">
        <x:v>shire.csv</x:v>
      </x:c>
      <x:c r="B70" s="87" t="str">
        <x:v>Shire</x:v>
      </x:c>
      <x:c r="C70" s="87" t="str">
        <x:v>TRT-0045</x:v>
      </x:c>
      <x:c r="D70" s="88" t="n">
        <x:v>2013</x:v>
      </x:c>
      <x:c r="E70" s="88" t="n">
        <x:v>2012</x:v>
      </x:c>
      <x:c r="F70" s="88" t="n">
        <x:v>-1</x:v>
      </x:c>
      <x:c r="G70" s="87" t="str">
        <x:v>Yes</x:v>
      </x:c>
      <x:c r="H70" s="87" t="str">
        <x:v>Inferred from observed priority-year range</x:v>
      </x:c>
      <x:c r="I70" s="109" t="n">
        <x:v>13</x:v>
      </x:c>
      <x:c r="J70" s="109" t="n">
        <x:v>241</x:v>
      </x:c>
      <x:c r="K70" s="87" t="str">
        <x:v>Raw family-level forward citations (max cited-by per family); not age/field normalised</x:v>
      </x:c>
      <x:c r="L70" s="87" t="str">
        <x:v>Applicant/owner aliases containing Shire; later Takeda-only records excluded unless Shire appears.</x:v>
      </x:c>
    </x:row>
    <x:row r="71">
      <x:c r="A71" s="87" t="str">
        <x:v>shire.csv</x:v>
      </x:c>
      <x:c r="B71" s="87" t="str">
        <x:v>Shire</x:v>
      </x:c>
      <x:c r="C71" s="87" t="str">
        <x:v>TRT-0045</x:v>
      </x:c>
      <x:c r="D71" s="88" t="n">
        <x:v>2013</x:v>
      </x:c>
      <x:c r="E71" s="88" t="n">
        <x:v>2013</x:v>
      </x:c>
      <x:c r="F71" s="88" t="n">
        <x:v>0</x:v>
      </x:c>
      <x:c r="G71" s="87" t="str">
        <x:v>Yes</x:v>
      </x:c>
      <x:c r="H71" s="87" t="str">
        <x:v>Inferred from observed priority-year range</x:v>
      </x:c>
      <x:c r="I71" s="109" t="n">
        <x:v>23</x:v>
      </x:c>
      <x:c r="J71" s="109" t="n">
        <x:v>416</x:v>
      </x:c>
      <x:c r="K71" s="87" t="str">
        <x:v>Raw family-level forward citations (max cited-by per family); not age/field normalised</x:v>
      </x:c>
      <x:c r="L71" s="87" t="str">
        <x:v>Applicant/owner aliases containing Shire; later Takeda-only records excluded unless Shire appears.</x:v>
      </x:c>
    </x:row>
    <x:row r="72">
      <x:c r="A72" s="87" t="str">
        <x:v>shire.csv</x:v>
      </x:c>
      <x:c r="B72" s="87" t="str">
        <x:v>Shire</x:v>
      </x:c>
      <x:c r="C72" s="87" t="str">
        <x:v>TRT-0045</x:v>
      </x:c>
      <x:c r="D72" s="88" t="n">
        <x:v>2013</x:v>
      </x:c>
      <x:c r="E72" s="88" t="n">
        <x:v>2014</x:v>
      </x:c>
      <x:c r="F72" s="88" t="n">
        <x:v>1</x:v>
      </x:c>
      <x:c r="G72" s="87" t="str">
        <x:v>Yes</x:v>
      </x:c>
      <x:c r="H72" s="87" t="str">
        <x:v>Inferred from observed priority-year range</x:v>
      </x:c>
      <x:c r="I72" s="109" t="n">
        <x:v>18</x:v>
      </x:c>
      <x:c r="J72" s="109" t="n">
        <x:v>245</x:v>
      </x:c>
      <x:c r="K72" s="87" t="str">
        <x:v>Raw family-level forward citations (max cited-by per family); not age/field normalised</x:v>
      </x:c>
      <x:c r="L72" s="87" t="str">
        <x:v>Applicant/owner aliases containing Shire; later Takeda-only records excluded unless Shire appears.</x:v>
      </x:c>
    </x:row>
    <x:row r="73">
      <x:c r="A73" s="87" t="str">
        <x:v>shire.csv</x:v>
      </x:c>
      <x:c r="B73" s="87" t="str">
        <x:v>Shire</x:v>
      </x:c>
      <x:c r="C73" s="87" t="str">
        <x:v>TRT-0045</x:v>
      </x:c>
      <x:c r="D73" s="88" t="n">
        <x:v>2013</x:v>
      </x:c>
      <x:c r="E73" s="88" t="n">
        <x:v>2015</x:v>
      </x:c>
      <x:c r="F73" s="88" t="n">
        <x:v>2</x:v>
      </x:c>
      <x:c r="G73" s="87" t="str">
        <x:v>Yes</x:v>
      </x:c>
      <x:c r="H73" s="87" t="str">
        <x:v>Inferred from observed priority-year range</x:v>
      </x:c>
      <x:c r="I73" s="109" t="n">
        <x:v>8</x:v>
      </x:c>
      <x:c r="J73" s="109" t="n">
        <x:v>20</x:v>
      </x:c>
      <x:c r="K73" s="87" t="str">
        <x:v>Raw family-level forward citations (max cited-by per family); not age/field normalised</x:v>
      </x:c>
      <x:c r="L73" s="87" t="str">
        <x:v>Applicant/owner aliases containing Shire; later Takeda-only records excluded unless Shire appears.</x:v>
      </x:c>
    </x:row>
    <x:row r="74">
      <x:c r="A74" s="87" t="str">
        <x:v>shire.csv</x:v>
      </x:c>
      <x:c r="B74" s="87" t="str">
        <x:v>Shire</x:v>
      </x:c>
      <x:c r="C74" s="87" t="str">
        <x:v>TRT-0045</x:v>
      </x:c>
      <x:c r="D74" s="88" t="n">
        <x:v>2013</x:v>
      </x:c>
      <x:c r="E74" s="88" t="n">
        <x:v>2016</x:v>
      </x:c>
      <x:c r="F74" s="88" t="n">
        <x:v>3</x:v>
      </x:c>
      <x:c r="G74" s="87" t="str">
        <x:v>Yes</x:v>
      </x:c>
      <x:c r="H74" s="87" t="str">
        <x:v>Inferred from observed priority-year range</x:v>
      </x:c>
      <x:c r="I74" s="109" t="n">
        <x:v>6</x:v>
      </x:c>
      <x:c r="J74" s="109" t="n">
        <x:v>22</x:v>
      </x:c>
      <x:c r="K74" s="87" t="str">
        <x:v>Raw family-level forward citations (max cited-by per family); not age/field normalised</x:v>
      </x:c>
      <x:c r="L74" s="87" t="str">
        <x:v>Applicant/owner aliases containing Shire; later Takeda-only records excluded unless Shire appears.</x:v>
      </x:c>
    </x:row>
    <x:row r="75">
      <x:c r="A75" s="87" t="str">
        <x:v>shire.csv</x:v>
      </x:c>
      <x:c r="B75" s="87" t="str">
        <x:v>Shire</x:v>
      </x:c>
      <x:c r="C75" s="87" t="str">
        <x:v>TRT-0045</x:v>
      </x:c>
      <x:c r="D75" s="88" t="n">
        <x:v>2013</x:v>
      </x:c>
      <x:c r="E75" s="88" t="n">
        <x:v>2017</x:v>
      </x:c>
      <x:c r="F75" s="88" t="n">
        <x:v>4</x:v>
      </x:c>
      <x:c r="G75" s="87" t="str">
        <x:v>No</x:v>
      </x:c>
      <x:c r="H75" s="87" t="str">
        <x:v>Inferred from observed priority-year range</x:v>
      </x:c>
      <x:c r="I75" s="109" t="n">
        <x:v>11</x:v>
      </x:c>
      <x:c r="J75" s="109" t="n">
        <x:v>11</x:v>
      </x:c>
      <x:c r="K75" s="87" t="str">
        <x:v>Raw family-level forward citations (max cited-by per family); not age/field normalised</x:v>
      </x:c>
      <x:c r="L75" s="87" t="str">
        <x:v>Applicant/owner aliases containing Shire; later Takeda-only records excluded unless Shire appears.</x:v>
      </x:c>
    </x:row>
    <x:row r="76">
      <x:c r="A76" s="87" t="str">
        <x:v>shire.csv</x:v>
      </x:c>
      <x:c r="B76" s="87" t="str">
        <x:v>Shire</x:v>
      </x:c>
      <x:c r="C76" s="87" t="str">
        <x:v>TRT-0045</x:v>
      </x:c>
      <x:c r="D76" s="88" t="n">
        <x:v>2013</x:v>
      </x:c>
      <x:c r="E76" s="88" t="n">
        <x:v>2018</x:v>
      </x:c>
      <x:c r="F76" s="88" t="n">
        <x:v>5</x:v>
      </x:c>
      <x:c r="G76" s="87" t="str">
        <x:v>No</x:v>
      </x:c>
      <x:c r="H76" s="87" t="str">
        <x:v>Inferred from observed priority-year range</x:v>
      </x:c>
      <x:c r="I76" s="109" t="n">
        <x:v>6</x:v>
      </x:c>
      <x:c r="J76" s="109" t="n">
        <x:v>12</x:v>
      </x:c>
      <x:c r="K76" s="87" t="str">
        <x:v>Raw family-level forward citations (max cited-by per family); not age/field normalised</x:v>
      </x:c>
      <x:c r="L76" s="87" t="str">
        <x:v>Applicant/owner aliases containing Shire; later Takeda-only records excluded unless Shire appears.</x:v>
      </x:c>
    </x:row>
    <x:row r="77">
      <x:c r="A77" s="87" t="str">
        <x:v>shire.csv</x:v>
      </x:c>
      <x:c r="B77" s="87" t="str">
        <x:v>Shire</x:v>
      </x:c>
      <x:c r="C77" s="87" t="str">
        <x:v>TRT-0045</x:v>
      </x:c>
      <x:c r="D77" s="88" t="n">
        <x:v>2013</x:v>
      </x:c>
      <x:c r="E77" s="88" t="n">
        <x:v>2019</x:v>
      </x:c>
      <x:c r="F77" s="88" t="n">
        <x:v>6</x:v>
      </x:c>
      <x:c r="G77" s="87" t="str">
        <x:v>No</x:v>
      </x:c>
      <x:c r="H77" s="87" t="str">
        <x:v>Inferred from observed priority-year range</x:v>
      </x:c>
      <x:c r="I77" s="109" t="n">
        <x:v>8</x:v>
      </x:c>
      <x:c r="J77" s="109" t="n">
        <x:v>29</x:v>
      </x:c>
      <x:c r="K77" s="87" t="str">
        <x:v>Raw family-level forward citations (max cited-by per family); not age/field normalised</x:v>
      </x:c>
      <x:c r="L77" s="87" t="str">
        <x:v>Applicant/owner aliases containing Shire; later Takeda-only records excluded unless Shire appears.</x:v>
      </x:c>
    </x:row>
  </x:sheetData>
  <x:mergeCells>
    <x:mergeCell ref="A1:L1"/>
  </x:mergeCells>
  <x:pageMargins left="0.7" right="0.7" top="0.75" bottom="0.75" header="0.3" footer="0.3"/>
</x:worksheet>
</file>

<file path=xl/worksheets/sheet11.xml><?xml version="1.0" encoding="utf-8"?>
<x:worksheet xmlns:x="http://schemas.openxmlformats.org/spreadsheetml/2006/main">
  <x:sheetFormatPr defaultRowHeight="15"/>
  <x:cols>
    <x:col min="1" max="1" width="32" hidden="0" customWidth="1"/>
    <x:col min="2" max="2" width="27" hidden="0" customWidth="1"/>
    <x:col min="3" max="3" width="12" hidden="0" customWidth="1"/>
    <x:col min="4" max="4" width="17" hidden="0" customWidth="1"/>
    <x:col min="5" max="5" width="34" hidden="0" customWidth="1"/>
    <x:col min="6" max="6" width="10" hidden="0" customWidth="1"/>
    <x:col min="7" max="7" width="20" hidden="0" customWidth="1"/>
    <x:col min="8" max="8" width="16" hidden="0" customWidth="1"/>
    <x:col min="9" max="9" width="12" hidden="0" customWidth="1"/>
    <x:col min="10" max="10" width="12" hidden="0" customWidth="1"/>
    <x:col min="11" max="11" width="9" hidden="0" customWidth="1"/>
    <x:col min="12" max="12" width="21" hidden="0" customWidth="1"/>
    <x:col min="13" max="13" width="36" hidden="0" customWidth="1"/>
    <x:col min="14" max="14" width="36" hidden="0" customWidth="1"/>
    <x:col min="15" max="15" width="48" hidden="0" customWidth="1"/>
    <x:col min="16" max="16" width="17" hidden="0" customWidth="1"/>
    <x:col min="17" max="17" width="16" hidden="0" customWidth="1"/>
    <x:col min="18" max="18" width="42" hidden="0" customWidth="1"/>
    <x:col min="19" max="19" width="42" hidden="0" customWidth="1"/>
    <x:col min="20" max="20" width="18" hidden="0" customWidth="1"/>
    <x:col min="21" max="21" width="32" hidden="0" customWidth="1"/>
  </x:cols>
  <x:sheetData>
    <x:row r="1" ht="28" customHeight="1">
      <x:c r="A1" s="103" t="str">
        <x:v>Lens patent-family records retained for audit (one representative export row per family)</x:v>
      </x:c>
      <x:c r="B1" s="103"/>
      <x:c r="C1" s="103"/>
      <x:c r="D1" s="103"/>
      <x:c r="E1" s="103"/>
      <x:c r="F1" s="103"/>
      <x:c r="G1" s="103"/>
      <x:c r="H1" s="103"/>
      <x:c r="I1" s="103"/>
      <x:c r="J1" s="103"/>
      <x:c r="K1" s="103"/>
      <x:c r="L1" s="103"/>
      <x:c r="M1" s="103"/>
      <x:c r="N1" s="103"/>
      <x:c r="O1" s="103"/>
      <x:c r="P1" s="103"/>
      <x:c r="Q1" s="103"/>
      <x:c r="R1" s="103"/>
      <x:c r="S1" s="103"/>
      <x:c r="T1" s="103"/>
      <x:c r="U1" s="103"/>
    </x:row>
    <x:row r="2" ht="28" customHeight="1">
      <x:c r="A2" s="108" t="str">
        <x:v>Source_File</x:v>
      </x:c>
      <x:c r="B2" s="108" t="str">
        <x:v>Company_or_Group</x:v>
      </x:c>
      <x:c r="C2" s="108" t="str">
        <x:v>Deal_ID</x:v>
      </x:c>
      <x:c r="D2" s="108" t="str">
        <x:v>Included_in_Aggregation</x:v>
      </x:c>
      <x:c r="E2" s="108" t="str">
        <x:v>Alias_Match_or_Exclusion_Reason</x:v>
      </x:c>
      <x:c r="F2" s="108" t="str">
        <x:v>Source_Row</x:v>
      </x:c>
      <x:c r="G2" s="108" t="str">
        <x:v>Lens_ID</x:v>
      </x:c>
      <x:c r="H2" s="108" t="str">
        <x:v>Earliest_Priority_Date</x:v>
      </x:c>
      <x:c r="I2" s="108" t="str">
        <x:v>Priority_Year</x:v>
      </x:c>
      <x:c r="J2" s="108" t="str">
        <x:v>Jurisdiction</x:v>
      </x:c>
      <x:c r="K2" s="108" t="str">
        <x:v>Kind</x:v>
      </x:c>
      <x:c r="L2" s="108" t="str">
        <x:v>Display_Key</x:v>
      </x:c>
      <x:c r="M2" s="108" t="str">
        <x:v>Applicants</x:v>
      </x:c>
      <x:c r="N2" s="108" t="str">
        <x:v>Owners</x:v>
      </x:c>
      <x:c r="O2" s="108" t="str">
        <x:v>Title</x:v>
      </x:c>
      <x:c r="P2" s="108" t="str">
        <x:v>Cited_by_Patent_Count</x:v>
      </x:c>
      <x:c r="Q2" s="108" t="str">
        <x:v>Simple_Family_Size</x:v>
      </x:c>
      <x:c r="R2" s="108" t="str">
        <x:v>CPC_Classifications</x:v>
      </x:c>
      <x:c r="S2" s="108" t="str">
        <x:v>IPCR_Classifications</x:v>
      </x:c>
      <x:c r="T2" s="108" t="str">
        <x:v>Legal_Status</x:v>
      </x:c>
      <x:c r="U2" s="108" t="str">
        <x:v>Source_URL</x:v>
      </x:c>
    </x:row>
    <x:row r="3">
      <x:c r="A3" s="87" t="str">
        <x:v>AstraZeneca_Lens_RAW_2009_2024.csv.csv</x:v>
      </x:c>
      <x:c r="B3" s="87" t="str">
        <x:v>AstraZeneca</x:v>
      </x:c>
      <x:c r="C3" s="87"/>
      <x:c r="D3" s="87" t="str">
        <x:v>Yes</x:v>
      </x:c>
      <x:c r="E3" s="87" t="str">
        <x:v>astrazeneca</x:v>
      </x:c>
      <x:c r="F3" s="87" t="str">
        <x:v>1</x:v>
      </x:c>
      <x:c r="G3" s="87" t="str">
        <x:v>165-949-787-289-228</x:v>
      </x:c>
      <x:c r="H3" s="110" t="n">
        <x:v>45153</x:v>
      </x:c>
      <x:c r="I3" s="88" t="n">
        <x:v>2023</x:v>
      </x:c>
      <x:c r="J3" s="87" t="str">
        <x:v>EP</x:v>
      </x:c>
      <x:c r="K3" s="87" t="str">
        <x:v>B1</x:v>
      </x:c>
      <x:c r="L3" s="87" t="str">
        <x:v>EP 4601704 B1</x:v>
      </x:c>
      <x:c r="M3" s="87" t="str">
        <x:v>ASTRAZENECA AB</x:v>
      </x:c>
      <x:c r="N3" s="87" t="str">
        <x:v>ASTRAZENECA AB (2026-04-15)</x:v>
      </x:c>
      <x:c r="O3" s="87" t="str">
        <x:v>CONJUGATES COMPRISING CLEAVABLE LINKERS</x:v>
      </x:c>
      <x:c r="P3" s="109" t="n">
        <x:v>0</x:v>
      </x:c>
      <x:c r="Q3" s="109" t="n">
        <x:v>29</x:v>
      </x:c>
      <x:c r="R3" s="87" t="str">
        <x:v>A61K47/68031;;A61K47/6855;;A61K47/6863;;A61K47/6869;;A61P35/00;;C07H15/203;;A61K47/545;;A61K47/6849;;A61K47/6869;;A61K47/6851;;A61K47/6889;;A61K47/6855;;A61P35/00;;A61K47/68031;;A61K47/6863;;C07H15/203;;A61K47/6889;;A61P35/00;;C07H15/203;;A61K47/68031;;A61K47/6889;;A61K47/6849;;A61K47/6855;;A61P35/00;;A61K47/68031;;A61K47/6851;;A61K47/545</x:v>
      </x:c>
      <x:c r="S3" s="87" t="str">
        <x:v>A61K47/68;;A61P35/00;;C07H15/203</x:v>
      </x:c>
      <x:c r="T3" s="87" t="str">
        <x:v>ACTIVE</x:v>
      </x:c>
      <x:c r="U3" s="87" t="str">
        <x:v>https://lens.org/165-949-787-289-228</x:v>
      </x:c>
    </x:row>
    <x:row r="4">
      <x:c r="A4" s="87" t="str">
        <x:v>AstraZeneca_Lens_RAW_2009_2024.csv.csv</x:v>
      </x:c>
      <x:c r="B4" s="87" t="str">
        <x:v>AstraZeneca</x:v>
      </x:c>
      <x:c r="C4" s="87"/>
      <x:c r="D4" s="87" t="str">
        <x:v>Yes</x:v>
      </x:c>
      <x:c r="E4" s="87" t="str">
        <x:v>astrazeneca</x:v>
      </x:c>
      <x:c r="F4" s="87" t="str">
        <x:v>2</x:v>
      </x:c>
      <x:c r="G4" s="87" t="str">
        <x:v>005-824-172-821-387</x:v>
      </x:c>
      <x:c r="H4" s="110" t="n">
        <x:v>43277</x:v>
      </x:c>
      <x:c r="I4" s="88" t="n">
        <x:v>2018</x:v>
      </x:c>
      <x:c r="J4" s="87" t="str">
        <x:v>EP</x:v>
      </x:c>
      <x:c r="K4" s="87" t="str">
        <x:v>B1</x:v>
      </x:c>
      <x:c r="L4" s="87" t="str">
        <x:v>EP 3588382 B1</x:v>
      </x:c>
      <x:c r="M4" s="87" t="str">
        <x:v>ASTRAZENECA COMPUTATIONAL PATHOLOGY GMBH</x:v>
      </x:c>
      <x:c r="N4" s="87" t="str">
        <x:v>ASTRAZENECA COMPUTATIONAL PATHOLOGY GMBH (2020-12-09)</x:v>
      </x:c>
      <x:c r="O4" s="87" t="str">
        <x:v>A DEEP LEARNING METHOD FOR TUMOR CELL SCORING ON CANCER BIOPSIES</x:v>
      </x:c>
      <x:c r="P4" s="109" t="n">
        <x:v>0</x:v>
      </x:c>
      <x:c r="Q4" s="109" t="n">
        <x:v>4</x:v>
      </x:c>
      <x:c r="R4" s="87" t="str">
        <x:v>G06V2201/03;;G06V10/82;;G06V10/764;;A61B5/7267;;G06T7/0012;;G06T2200/24;;G06T2207/20081;;G06T2207/20084;;G06T2207/30024;;G06T2207/30061;;G06V20/695;;G06V20/698;;G06V10/764;;G06V10/82</x:v>
      </x:c>
      <x:c r="S4" s="87" t="str">
        <x:v>G06V10/82;;G06V10/764</x:v>
      </x:c>
      <x:c r="T4" s="87" t="str">
        <x:v>ACTIVE</x:v>
      </x:c>
      <x:c r="U4" s="87" t="str">
        <x:v>https://lens.org/005-824-172-821-387</x:v>
      </x:c>
    </x:row>
    <x:row r="5">
      <x:c r="A5" s="87" t="str">
        <x:v>AstraZeneca_Lens_RAW_2009_2024.csv.csv</x:v>
      </x:c>
      <x:c r="B5" s="87" t="str">
        <x:v>AstraZeneca</x:v>
      </x:c>
      <x:c r="C5" s="87"/>
      <x:c r="D5" s="87" t="str">
        <x:v>Yes</x:v>
      </x:c>
      <x:c r="E5" s="87" t="str">
        <x:v>astrazeneca</x:v>
      </x:c>
      <x:c r="F5" s="87" t="str">
        <x:v>3</x:v>
      </x:c>
      <x:c r="G5" s="87" t="str">
        <x:v>104-045-616-914-303</x:v>
      </x:c>
      <x:c r="H5" s="110" t="n">
        <x:v>43143</x:v>
      </x:c>
      <x:c r="I5" s="88" t="n">
        <x:v>2018</x:v>
      </x:c>
      <x:c r="J5" s="87" t="str">
        <x:v>EP</x:v>
      </x:c>
      <x:c r="K5" s="87" t="str">
        <x:v>B1</x:v>
      </x:c>
      <x:c r="L5" s="87" t="str">
        <x:v>EP 3533883 B1</x:v>
      </x:c>
      <x:c r="M5" s="87" t="str">
        <x:v>ASTRAZENECA COMPUTATIONAL PATHOLOGY GMBH</x:v>
      </x:c>
      <x:c r="N5" s="87" t="str">
        <x:v>DEFINIENS GMBH (2020-01-15);;ASTRAZENECA COMPUTATIONAL PATHOLOGY GMBH (2020-12-23)</x:v>
      </x:c>
      <x:c r="O5" s="87" t="str">
        <x:v>PREDICTING CANCER RECURRENCE USING A PROGNOSTIC MODEL THAT COMBINES IMMUNOHISTOCHEMICAL STAINING AND GENE EXPRESSION PROFILING</x:v>
      </x:c>
      <x:c r="P5" s="109" t="n">
        <x:v>0</x:v>
      </x:c>
      <x:c r="Q5" s="109" t="n">
        <x:v>5</x:v>
      </x:c>
      <x:c r="R5" s="87" t="str">
        <x:v>G16H50/30;;C12Q1/6886;;G01N33/57555;;G01N2800/54;;G16B20/00;;G16B25/10;;G16B40/00;;G16H30/40;;G16H40/63;;G16H50/20;;G16H50/30;;C12Q1/6886;;G01N33/57555;;G01N2570/00;;G01N2800/342;;G01N2800/52;;G01N2800/54;;G01N2800/7028;;G16B20/00;;G16B25/10;;G16B40/00;;G16B40/20;;G16B45/00;;G16H30/40;;G16H40/63;;G16H50/20</x:v>
      </x:c>
      <x:c r="S5" s="87" t="str">
        <x:v>G16H50/20;;C12Q1/6886;;G01N33/574;;G16B20/00;;G16B25/10;;G16B40/00;;G16H30/40;;G16H40/63;;G16H50/30</x:v>
      </x:c>
      <x:c r="T5" s="87" t="str">
        <x:v>ACTIVE</x:v>
      </x:c>
      <x:c r="U5" s="87" t="str">
        <x:v>https://lens.org/104-045-616-914-303</x:v>
      </x:c>
    </x:row>
    <x:row r="6">
      <x:c r="A6" s="87" t="str">
        <x:v>AstraZeneca_Lens_RAW_2009_2024.csv.csv</x:v>
      </x:c>
      <x:c r="B6" s="87" t="str">
        <x:v>AstraZeneca</x:v>
      </x:c>
      <x:c r="C6" s="87"/>
      <x:c r="D6" s="87" t="str">
        <x:v>Yes</x:v>
      </x:c>
      <x:c r="E6" s="87" t="str">
        <x:v>astrazeneca</x:v>
      </x:c>
      <x:c r="F6" s="87" t="str">
        <x:v>4</x:v>
      </x:c>
      <x:c r="G6" s="87" t="str">
        <x:v>014-794-591-564-874</x:v>
      </x:c>
      <x:c r="H6" s="110" t="n">
        <x:v>44379</x:v>
      </x:c>
      <x:c r="I6" s="88" t="n">
        <x:v>2021</x:v>
      </x:c>
      <x:c r="J6" s="87" t="str">
        <x:v>EP</x:v>
      </x:c>
      <x:c r="K6" s="87" t="str">
        <x:v>A3</x:v>
      </x:c>
      <x:c r="L6" s="87" t="str">
        <x:v>EP 4628490 A3</x:v>
      </x:c>
      <x:c r="M6" s="87" t="str">
        <x:v>ASTRAZENECA AB;;MITSUBISHI TANABE PHARMA CORP</x:v>
      </x:c>
      <x:c r="N6" s="87" t="str">
        <x:v>TANABE PHARMA CORPORATION (2026-05-20);;ASTRAZENECA AB (2026-05-20)</x:v>
      </x:c>
      <x:c r="O6" s="87" t="str">
        <x:v>NLRP3 INFLAMMASOME INHIBITORS</x:v>
      </x:c>
      <x:c r="P6" s="109" t="n">
        <x:v>0</x:v>
      </x:c>
      <x:c r="Q6" s="109" t="n">
        <x:v>39</x:v>
      </x:c>
      <x:c r="R6" s="87" t="str">
        <x:v>C07D471/04;;C07D237/34;;C07D237/28;;C07D237/34;;C07D471/04;;C07D237/34;;A61K31/502;;A61K31/5025;;A61P1/16;;A61P9/00;;A61P13/12;;A61P19/06;;A61P29/00;;C07D471/04;;C07D237/28;;C07D471/04</x:v>
      </x:c>
      <x:c r="S6" s="87" t="str">
        <x:v>C07D237/34;;C07D471/04</x:v>
      </x:c>
      <x:c r="T6" s="87" t="str">
        <x:v>PENDING</x:v>
      </x:c>
      <x:c r="U6" s="87" t="str">
        <x:v>https://lens.org/014-794-591-564-874</x:v>
      </x:c>
    </x:row>
    <x:row r="7">
      <x:c r="A7" s="87" t="str">
        <x:v>AstraZeneca_Lens_RAW_2009_2024.csv.csv</x:v>
      </x:c>
      <x:c r="B7" s="87" t="str">
        <x:v>AstraZeneca</x:v>
      </x:c>
      <x:c r="C7" s="87"/>
      <x:c r="D7" s="87" t="str">
        <x:v>Yes</x:v>
      </x:c>
      <x:c r="E7" s="87" t="str">
        <x:v>astrazeneca</x:v>
      </x:c>
      <x:c r="F7" s="87" t="str">
        <x:v>5</x:v>
      </x:c>
      <x:c r="G7" s="87" t="str">
        <x:v>010-776-149-430-30X</x:v>
      </x:c>
      <x:c r="H7" s="110" t="n">
        <x:v>44923</x:v>
      </x:c>
      <x:c r="I7" s="88" t="n">
        <x:v>2022</x:v>
      </x:c>
      <x:c r="J7" s="87" t="str">
        <x:v>EP</x:v>
      </x:c>
      <x:c r="K7" s="87" t="str">
        <x:v>A1</x:v>
      </x:c>
      <x:c r="L7" s="87" t="str">
        <x:v>EP 4642763 A1</x:v>
      </x:c>
      <x:c r="M7" s="87" t="str">
        <x:v>ASTRAZENECA AB;;MITSUBISHI TANABE PHARMA CORP</x:v>
      </x:c>
      <x:c r="N7" s="87" t="str">
        <x:v>TANABE PHARMA CORPORATION (2026-05-20);;ASTRAZENECA AB (2026-05-20)</x:v>
      </x:c>
      <x:c r="O7" s="87" t="str">
        <x:v>CRYSTALLINE FORMS OF NLRP3 INFLAMMASOME INHIBITORS, CHEMICAL PROCESSES AND CHEMICAL COMPOUNDS</x:v>
      </x:c>
      <x:c r="P7" s="109" t="n">
        <x:v>0</x:v>
      </x:c>
      <x:c r="Q7" s="109" t="n">
        <x:v>9</x:v>
      </x:c>
      <x:c r="R7" s="87" t="str">
        <x:v>A61P29/00;;A61P37/00;;C07D237/34;;C07D237/32;;C07D471/04;;C07D405/12;;C07D309/12;;C07D213/80;;C07C65/40;;A61P29/00;;C07D237/32;;C07D471/04;;A61P37/00;;C07D237/34;;C07D213/80;;C07D405/12;;C07C65/40;;C07D309/12;;C07D237/34;;A61K31/502;;A61K31/5025;;A61P29/00;;A61P37/00;;C07D471/04;;C07D237/32;;C07D237/30;;C07C65/40;;C07D309/12;;C07D405/12;;C07D213/80;;C07B2200/13</x:v>
      </x:c>
      <x:c r="S7" s="87" t="str">
        <x:v>C07D213/80;;A61K31/502;;A61K31/5025;;A61P29/00;;A61P37/00;;C07C65/40;;C07D237/32;;C07D237/34;;C07D309/12;;C07D405/12;;C07D471/04</x:v>
      </x:c>
      <x:c r="T7" s="87" t="str">
        <x:v>PENDING</x:v>
      </x:c>
      <x:c r="U7" s="87" t="str">
        <x:v>https://lens.org/010-776-149-430-30X</x:v>
      </x:c>
    </x:row>
    <x:row r="8">
      <x:c r="A8" s="87" t="str">
        <x:v>AstraZeneca_Lens_RAW_2009_2024.csv.csv</x:v>
      </x:c>
      <x:c r="B8" s="87" t="str">
        <x:v>AstraZeneca</x:v>
      </x:c>
      <x:c r="C8" s="87"/>
      <x:c r="D8" s="87" t="str">
        <x:v>Yes</x:v>
      </x:c>
      <x:c r="E8" s="87" t="str">
        <x:v>astrazeneca</x:v>
      </x:c>
      <x:c r="F8" s="87" t="str">
        <x:v>6</x:v>
      </x:c>
      <x:c r="G8" s="87" t="str">
        <x:v>186-128-615-960-090</x:v>
      </x:c>
      <x:c r="H8" s="110" t="n">
        <x:v>44923</x:v>
      </x:c>
      <x:c r="I8" s="88" t="n">
        <x:v>2022</x:v>
      </x:c>
      <x:c r="J8" s="87" t="str">
        <x:v>EP</x:v>
      </x:c>
      <x:c r="K8" s="87" t="str">
        <x:v>A1</x:v>
      </x:c>
      <x:c r="L8" s="87" t="str">
        <x:v>EP 4642772 A1</x:v>
      </x:c>
      <x:c r="M8" s="87" t="str">
        <x:v>ASTRAZENECA AB;;MITSUBISHI TANABE PHARMA CORP</x:v>
      </x:c>
      <x:c r="N8" s="87" t="str">
        <x:v>TANABE PHARMA CORPORATION (2026-05-20);;ASTRAZENECA AB (2026-05-20)</x:v>
      </x:c>
      <x:c r="O8" s="87" t="str">
        <x:v>NLRP3 INFLAMMASOME INHIBITORS</x:v>
      </x:c>
      <x:c r="P8" s="109" t="n">
        <x:v>0</x:v>
      </x:c>
      <x:c r="Q8" s="109" t="n">
        <x:v>7</x:v>
      </x:c>
      <x:c r="R8" s="87" t="str">
        <x:v>A61P29/00;;A61P37/00;;C07D401/12;;C07D403/12;;C07D471/04;;C07D491/048;;C07D405/12;;A61K31/502;;A61K31/5025;;C07D237/34;;C07D401/12;;C07D403/12;;C07D405/12;;C07D471/04;;C07D491/048;;C07D519/00</x:v>
      </x:c>
      <x:c r="S8" s="87" t="str">
        <x:v>C07D401/12;;A61K31/502;;A61K31/5025;;A61P29/00;;A61P37/00;;C07D403/12;;C07D405/12;;C07D471/04;;C07D491/048</x:v>
      </x:c>
      <x:c r="T8" s="87" t="str">
        <x:v>PENDING</x:v>
      </x:c>
      <x:c r="U8" s="87" t="str">
        <x:v>https://lens.org/186-128-615-960-090</x:v>
      </x:c>
    </x:row>
    <x:row r="9">
      <x:c r="A9" s="87" t="str">
        <x:v>AstraZeneca_Lens_RAW_2009_2024.csv.csv</x:v>
      </x:c>
      <x:c r="B9" s="87" t="str">
        <x:v>AstraZeneca</x:v>
      </x:c>
      <x:c r="C9" s="87"/>
      <x:c r="D9" s="87" t="str">
        <x:v>Yes</x:v>
      </x:c>
      <x:c r="E9" s="87" t="str">
        <x:v>astrazeneca</x:v>
      </x:c>
      <x:c r="F9" s="87" t="str">
        <x:v>7</x:v>
      </x:c>
      <x:c r="G9" s="87" t="str">
        <x:v>124-355-175-803-163</x:v>
      </x:c>
      <x:c r="H9" s="110" t="n">
        <x:v>44911</x:v>
      </x:c>
      <x:c r="I9" s="88" t="n">
        <x:v>2022</x:v>
      </x:c>
      <x:c r="J9" s="87" t="str">
        <x:v>US</x:v>
      </x:c>
      <x:c r="K9" s="87" t="str">
        <x:v>B2</x:v>
      </x:c>
      <x:c r="L9" s="87" t="str">
        <x:v>US 12441744 B2</x:v>
      </x:c>
      <x:c r="M9" s="87" t="str">
        <x:v>ASTRAZENECA AB</x:v>
      </x:c>
      <x:c r="N9" s="87" t="str">
        <x:v>ASTRAZENECA PHARMACEUTICALS LP (2024-04-10);;ASTRAZENECA UK LIMITED (2024-04-23);;ASTRAZENECA AB (2024-04-24)</x:v>
      </x:c>
      <x:c r="O9" s="87" t="str">
        <x:v>2,6,9-trisubstituted purines</x:v>
      </x:c>
      <x:c r="P9" s="109" t="n">
        <x:v>0</x:v>
      </x:c>
      <x:c r="Q9" s="109" t="n">
        <x:v>20</x:v>
      </x:c>
      <x:c r="R9" s="87" t="str">
        <x:v>C07D473/34;;C07D473/16;;A61P35/00;;A61K31/52;;C07D473/34;;A61P35/00;;C07D519/00;;C07D473/16;;A61P31/00;;C07D487/04;;C07D473/34;;A61K31/52;;A61P35/00;;C07D473/16;;C07D519/00;;A61P31/00;;A61K31/52;;C07D487/04</x:v>
      </x:c>
      <x:c r="S9" s="87" t="str">
        <x:v>C07D519/00;;A61K31/52;;A61P31/00;;C07D487/04</x:v>
      </x:c>
      <x:c r="T9" s="87" t="str">
        <x:v>ACTIVE</x:v>
      </x:c>
      <x:c r="U9" s="87" t="str">
        <x:v>https://lens.org/124-355-175-803-163</x:v>
      </x:c>
    </x:row>
    <x:row r="10">
      <x:c r="A10" s="87" t="str">
        <x:v>AstraZeneca_Lens_RAW_2009_2024.csv.csv</x:v>
      </x:c>
      <x:c r="B10" s="87" t="str">
        <x:v>AstraZeneca</x:v>
      </x:c>
      <x:c r="C10" s="87"/>
      <x:c r="D10" s="87" t="str">
        <x:v>Yes</x:v>
      </x:c>
      <x:c r="E10" s="87" t="str">
        <x:v>astrazeneca</x:v>
      </x:c>
      <x:c r="F10" s="87" t="str">
        <x:v>8</x:v>
      </x:c>
      <x:c r="G10" s="87" t="str">
        <x:v>105-612-978-511-573</x:v>
      </x:c>
      <x:c r="H10" s="110" t="n">
        <x:v>44700</x:v>
      </x:c>
      <x:c r="I10" s="88" t="n">
        <x:v>2022</x:v>
      </x:c>
      <x:c r="J10" s="87" t="str">
        <x:v>US</x:v>
      </x:c>
      <x:c r="K10" s="87" t="str">
        <x:v>A1</x:v>
      </x:c>
      <x:c r="L10" s="87" t="str">
        <x:v>US 2025/0316377 A1</x:v>
      </x:c>
      <x:c r="M10" s="87" t="str">
        <x:v>ASTRAZENECA AB</x:v>
      </x:c>
      <x:c r="N10" s="87" t="str">
        <x:v>ASTRAZENECA PHARMACEUTICALS LP (2023-04-07);;ASTRAZENECA AB (2022-11-04);;ASTRAZENECA UK LIMITED (2023-04-19)</x:v>
      </x:c>
      <x:c r="O10" s="87" t="str">
        <x:v>PREDICTING ALBUMINURIA USING MACHINE LEARNING</x:v>
      </x:c>
      <x:c r="P10" s="109" t="n">
        <x:v>0</x:v>
      </x:c>
      <x:c r="Q10" s="109" t="n">
        <x:v>5</x:v>
      </x:c>
      <x:c r="R10" s="87" t="str">
        <x:v>G16H50/20;;G06N3/08;;G06N5/01;;G06N5/04;;G06N20/20;;G16H50/30;;G16H50/70;;G16H50/20;;G16H10/60</x:v>
      </x:c>
      <x:c r="S10" s="87" t="str">
        <x:v>G16H50/20;;G16H10/60</x:v>
      </x:c>
      <x:c r="T10" s="87" t="str">
        <x:v>PENDING</x:v>
      </x:c>
      <x:c r="U10" s="87" t="str">
        <x:v>https://lens.org/105-612-978-511-573</x:v>
      </x:c>
    </x:row>
    <x:row r="11">
      <x:c r="A11" s="87" t="str">
        <x:v>AstraZeneca_Lens_RAW_2009_2024.csv.csv</x:v>
      </x:c>
      <x:c r="B11" s="87" t="str">
        <x:v>AstraZeneca</x:v>
      </x:c>
      <x:c r="C11" s="87"/>
      <x:c r="D11" s="87" t="str">
        <x:v>Yes</x:v>
      </x:c>
      <x:c r="E11" s="87" t="str">
        <x:v>astrazeneca</x:v>
      </x:c>
      <x:c r="F11" s="87" t="str">
        <x:v>9</x:v>
      </x:c>
      <x:c r="G11" s="87" t="str">
        <x:v>007-743-663-738-535</x:v>
      </x:c>
      <x:c r="H11" s="110" t="n">
        <x:v>43148</x:v>
      </x:c>
      <x:c r="I11" s="88" t="n">
        <x:v>2018</x:v>
      </x:c>
      <x:c r="J11" s="87" t="str">
        <x:v>US</x:v>
      </x:c>
      <x:c r="K11" s="87" t="str">
        <x:v>A1</x:v>
      </x:c>
      <x:c r="L11" s="87" t="str">
        <x:v>US 2025/0313578 A1</x:v>
      </x:c>
      <x:c r="M11" s="87" t="str">
        <x:v>ASTRAZENECA AB</x:v>
      </x:c>
      <x:c r="N11" s="87" t="str">
        <x:v>ASTRAZENECA PHARMACEUTICALS LP (2019-01-17);;ASTRAZENECA UK LIMITED (2019-01-17);;ASTRAZENECA AB (2018-08-16)</x:v>
      </x:c>
      <x:c r="O11" s="87" t="str">
        <x:v>Arginase Inhibitors and Methods of Use Thereof</x:v>
      </x:c>
      <x:c r="P11" s="109" t="n">
        <x:v>0</x:v>
      </x:c>
      <x:c r="Q11" s="109" t="n">
        <x:v>59</x:v>
      </x:c>
      <x:c r="R11" s="87" t="str">
        <x:v>C07F5/025;;A61P29/00;;A61P35/00;;A61P35/00;;C07F5/025;;C07F5/025;;A61K31/69;;A61P35/00;;A61P11/00;;A61P29/00;;C07F5/025</x:v>
      </x:c>
      <x:c r="S11" s="87" t="str">
        <x:v>C07F5/02</x:v>
      </x:c>
      <x:c r="T11" s="87" t="str">
        <x:v>PENDING</x:v>
      </x:c>
      <x:c r="U11" s="87" t="str">
        <x:v>https://lens.org/007-743-663-738-535</x:v>
      </x:c>
    </x:row>
    <x:row r="12">
      <x:c r="A12" s="87" t="str">
        <x:v>AstraZeneca_Lens_RAW_2009_2024.csv.csv</x:v>
      </x:c>
      <x:c r="B12" s="87" t="str">
        <x:v>AstraZeneca</x:v>
      </x:c>
      <x:c r="C12" s="87"/>
      <x:c r="D12" s="87" t="str">
        <x:v>Yes</x:v>
      </x:c>
      <x:c r="E12" s="87" t="str">
        <x:v>astrazeneca</x:v>
      </x:c>
      <x:c r="F12" s="87" t="str">
        <x:v>10</x:v>
      </x:c>
      <x:c r="G12" s="87" t="str">
        <x:v>176-228-022-221-247</x:v>
      </x:c>
      <x:c r="H12" s="110" t="n">
        <x:v>43504</x:v>
      </x:c>
      <x:c r="I12" s="88" t="n">
        <x:v>2019</x:v>
      </x:c>
      <x:c r="J12" s="87" t="str">
        <x:v>US</x:v>
      </x:c>
      <x:c r="K12" s="87" t="str">
        <x:v>B2</x:v>
      </x:c>
      <x:c r="L12" s="87" t="str">
        <x:v>US 12435097 B2</x:v>
      </x:c>
      <x:c r="M12" s="87" t="str">
        <x:v>ASTRAZENECA AB</x:v>
      </x:c>
      <x:c r="N12" s="87" t="str">
        <x:v>ASTRAZENECA PHARMACEUTICALS LP (2019-08-05);;ASTRAZENECA UK LIMITED (2019-08-12);;ASTRAZENECA AB (2019-08-13)</x:v>
      </x:c>
      <x:c r="O12" s="87" t="str">
        <x:v>Arginase inhibitors and methods of use thereof</x:v>
      </x:c>
      <x:c r="P12" s="109" t="n">
        <x:v>0</x:v>
      </x:c>
      <x:c r="Q12" s="109" t="n">
        <x:v>43</x:v>
      </x:c>
      <x:c r="R12" s="87" t="str">
        <x:v>C07F5/025;;A61K31/69;;A61P29/00;;A61P35/00;;C07F5/025;;A61K31/69;;A61P11/00;;A61P29/00;;A61P35/00;;C07F5/025;;A61K31/69;;A61P11/00;;A61P29/00;;A61P35/00;;C07F5/025</x:v>
      </x:c>
      <x:c r="S12" s="87" t="str">
        <x:v>C07F5/02</x:v>
      </x:c>
      <x:c r="T12" s="87" t="str">
        <x:v>ACTIVE</x:v>
      </x:c>
      <x:c r="U12" s="87" t="str">
        <x:v>https://lens.org/176-228-022-221-247</x:v>
      </x:c>
    </x:row>
    <x:row r="13">
      <x:c r="A13" s="87" t="str">
        <x:v>AstraZeneca_Lens_RAW_2009_2024.csv.csv</x:v>
      </x:c>
      <x:c r="B13" s="87" t="str">
        <x:v>AstraZeneca</x:v>
      </x:c>
      <x:c r="C13" s="87"/>
      <x:c r="D13" s="87" t="str">
        <x:v>Yes</x:v>
      </x:c>
      <x:c r="E13" s="87" t="str">
        <x:v>astrazeneca</x:v>
      </x:c>
      <x:c r="F13" s="87" t="str">
        <x:v>11</x:v>
      </x:c>
      <x:c r="G13" s="87" t="str">
        <x:v>033-636-155-337-283</x:v>
      </x:c>
      <x:c r="H13" s="110" t="n">
        <x:v>44722</x:v>
      </x:c>
      <x:c r="I13" s="88" t="n">
        <x:v>2022</x:v>
      </x:c>
      <x:c r="J13" s="87" t="str">
        <x:v>US</x:v>
      </x:c>
      <x:c r="K13" s="87" t="str">
        <x:v>A1</x:v>
      </x:c>
      <x:c r="L13" s="87" t="str">
        <x:v>US 2025/0304618 A1</x:v>
      </x:c>
      <x:c r="M13" s="87" t="str">
        <x:v>ASTRAZENECA AB</x:v>
      </x:c>
      <x:c r="N13" s="87" t="str">
        <x:v>ASTRAZENECA AB (2023-03-20);;MEDIMMUNE LLC (2023-03-08)</x:v>
      </x:c>
      <x:c r="O13" s="87" t="str">
        <x:v>METHODS FOR UNIFIED CONCENTRATION AND BUFFER EXCHANGE</x:v>
      </x:c>
      <x:c r="P13" s="109" t="n">
        <x:v>0</x:v>
      </x:c>
      <x:c r="Q13" s="109" t="n">
        <x:v>9</x:v>
      </x:c>
      <x:c r="R13" s="87" t="str">
        <x:v>C07K1/34;;C07K1/34;;C07K1/34;;C07K16/00;;C07K1/34;;C07K16/00;;C07K2319/00</x:v>
      </x:c>
      <x:c r="S13" s="87" t="str">
        <x:v>C07K1/34;;C07K16/00</x:v>
      </x:c>
      <x:c r="T13" s="87" t="str">
        <x:v>PENDING</x:v>
      </x:c>
      <x:c r="U13" s="87" t="str">
        <x:v>https://lens.org/033-636-155-337-283</x:v>
      </x:c>
    </x:row>
    <x:row r="14">
      <x:c r="A14" s="87" t="str">
        <x:v>AstraZeneca_Lens_RAW_2009_2024.csv.csv</x:v>
      </x:c>
      <x:c r="B14" s="87" t="str">
        <x:v>AstraZeneca</x:v>
      </x:c>
      <x:c r="C14" s="87"/>
      <x:c r="D14" s="87" t="str">
        <x:v>Yes</x:v>
      </x:c>
      <x:c r="E14" s="87" t="str">
        <x:v>astrazeneca</x:v>
      </x:c>
      <x:c r="F14" s="87" t="str">
        <x:v>12</x:v>
      </x:c>
      <x:c r="G14" s="87" t="str">
        <x:v>188-321-040-581-977</x:v>
      </x:c>
      <x:c r="H14" s="110" t="n">
        <x:v>44692</x:v>
      </x:c>
      <x:c r="I14" s="88" t="n">
        <x:v>2022</x:v>
      </x:c>
      <x:c r="J14" s="87" t="str">
        <x:v>US</x:v>
      </x:c>
      <x:c r="K14" s="87" t="str">
        <x:v>A1</x:v>
      </x:c>
      <x:c r="L14" s="87" t="str">
        <x:v>US 2025/0296966 A1</x:v>
      </x:c>
      <x:c r="M14" s="87" t="str">
        <x:v>DAIICHI SANKYO CO LTD;;ASTRAZENECA UK LTD</x:v>
      </x:c>
      <x:c r="N14" s="87" t="str">
        <x:v>DAIICHI SANKYO COMPANY LIMITED (2022-05-25);;ASTRAZENECA UK LIMITED (2022-05-20)</x:v>
      </x:c>
      <x:c r="O14" s="87" t="str">
        <x:v>COMBINATION OF AN ANTIBODY SPECIFIC FOR A TUMOR ANTIGEN AND A CD47 INHIBITOR</x:v>
      </x:c>
      <x:c r="P14" s="109" t="n">
        <x:v>0</x:v>
      </x:c>
      <x:c r="Q14" s="109" t="n">
        <x:v>6</x:v>
      </x:c>
      <x:c r="R14" s="87" t="str">
        <x:v>C07K16/28;;C07K16/2866;;C07K16/2827;;C07K16/30;;C07K16/32;;C07K2317/24;;C07K2317/76;;C07K2317/73;;A61K39/39558;;A61K39/3955;;A61K47/6855;;A61P35/00;;A61K47/68037;;A61K47/6889;;A61K47/6849;;A61K47/6851;;A61K47/6811;;A61K47/6855;;A61P35/00;;A61K38/00;;C07K14/4703;;C07K16/2803;;C07K2319/31</x:v>
      </x:c>
      <x:c r="S14" s="87" t="str">
        <x:v>C07K14/47;;A61K38/00;;A61K47/68;;A61P35/00;;C07K16/28</x:v>
      </x:c>
      <x:c r="T14" s="87" t="str">
        <x:v>PENDING</x:v>
      </x:c>
      <x:c r="U14" s="87" t="str">
        <x:v>https://lens.org/188-321-040-581-977</x:v>
      </x:c>
    </x:row>
    <x:row r="15">
      <x:c r="A15" s="87" t="str">
        <x:v>AstraZeneca_Lens_RAW_2009_2024.csv.csv</x:v>
      </x:c>
      <x:c r="B15" s="87" t="str">
        <x:v>AstraZeneca</x:v>
      </x:c>
      <x:c r="C15" s="87"/>
      <x:c r="D15" s="87" t="str">
        <x:v>Yes</x:v>
      </x:c>
      <x:c r="E15" s="87" t="str">
        <x:v>astrazeneca</x:v>
      </x:c>
      <x:c r="F15" s="87" t="str">
        <x:v>13</x:v>
      </x:c>
      <x:c r="G15" s="87" t="str">
        <x:v>123-583-378-355-661</x:v>
      </x:c>
      <x:c r="H15" s="110" t="n">
        <x:v>44007</x:v>
      </x:c>
      <x:c r="I15" s="88" t="n">
        <x:v>2020</x:v>
      </x:c>
      <x:c r="J15" s="87" t="str">
        <x:v>US</x:v>
      </x:c>
      <x:c r="K15" s="87" t="str">
        <x:v>B2</x:v>
      </x:c>
      <x:c r="L15" s="87" t="str">
        <x:v>US 12421208 B2</x:v>
      </x:c>
      <x:c r="M15" s="87" t="str">
        <x:v>ASTRAZENECA AB</x:v>
      </x:c>
      <x:c r="N15" s="87" t="str">
        <x:v>ASTRAZENECA PHARMACEUTICALS LP (2021-08-08);;ASTRAZENECA UK LIMITED (2021-08-20);;ASTRAZENECA AB (2021-08-31)</x:v>
      </x:c>
      <x:c r="O15" s="87" t="str">
        <x:v>Chemical compounds</x:v>
      </x:c>
      <x:c r="P15" s="109" t="n">
        <x:v>0</x:v>
      </x:c>
      <x:c r="Q15" s="109" t="n">
        <x:v>38</x:v>
      </x:c>
      <x:c r="R15" s="87" t="str">
        <x:v>C07D401/12;;A61K31/498;;A61P35/00;;C07D401/12;;A61P35/00;;C07D401/12;;A61P35/00;;C07D401/12;;A61K31/498;;A61P35/00;;C07D401/12</x:v>
      </x:c>
      <x:c r="S15" s="87" t="str">
        <x:v>C07D401/12</x:v>
      </x:c>
      <x:c r="T15" s="87" t="str">
        <x:v>ACTIVE</x:v>
      </x:c>
      <x:c r="U15" s="87" t="str">
        <x:v>https://lens.org/123-583-378-355-661</x:v>
      </x:c>
    </x:row>
    <x:row r="16">
      <x:c r="A16" s="87" t="str">
        <x:v>AstraZeneca_Lens_RAW_2009_2024.csv.csv</x:v>
      </x:c>
      <x:c r="B16" s="87" t="str">
        <x:v>AstraZeneca</x:v>
      </x:c>
      <x:c r="C16" s="87"/>
      <x:c r="D16" s="87" t="str">
        <x:v>Yes</x:v>
      </x:c>
      <x:c r="E16" s="87" t="str">
        <x:v>astrazeneca</x:v>
      </x:c>
      <x:c r="F16" s="87" t="str">
        <x:v>14</x:v>
      </x:c>
      <x:c r="G16" s="87" t="str">
        <x:v>139-061-511-188-624</x:v>
      </x:c>
      <x:c r="H16" s="110" t="n">
        <x:v>44680</x:v>
      </x:c>
      <x:c r="I16" s="88" t="n">
        <x:v>2022</x:v>
      </x:c>
      <x:c r="J16" s="87" t="str">
        <x:v>US</x:v>
      </x:c>
      <x:c r="K16" s="87" t="str">
        <x:v>A1</x:v>
      </x:c>
      <x:c r="L16" s="87" t="str">
        <x:v>US 2025/0289871 A1</x:v>
      </x:c>
      <x:c r="M16" s="87" t="str">
        <x:v>ASTRAZENECA UK LTD</x:v>
      </x:c>
      <x:c r="N16" s="87" t="str">
        <x:v>ASTRAZENECA PHARMACEUTICALS LP (2022-10-14);;ASTRAZENECA UK LIMITED (2022-10-21);;MEDIMMUNE LLC (2022-08-26)</x:v>
      </x:c>
      <x:c r="O16" s="87" t="str">
        <x:v>SARS-COV-2 ANTIBODIES AND METHODS OF USING THE SAME</x:v>
      </x:c>
      <x:c r="P16" s="109" t="n">
        <x:v>0</x:v>
      </x:c>
      <x:c r="Q16" s="109" t="n">
        <x:v>23</x:v>
      </x:c>
      <x:c r="R16" s="87" t="str">
        <x:v>A61P31/14;;C07K2317/76;;C07K2317/92;;C07K16/104;;A61P31/14;;C07K2317/92;;C07K2317/76;;C07K16/104;;A61P31/14;;G01N33/56983;;C07K2317/76;;C07K2317/92;;A61K2039/505;;G01N2333/165;;C07K16/104;;C07K2317/76;;C07K2317/92;;C07K2317/33;;C07K16/104</x:v>
      </x:c>
      <x:c r="S16" s="87" t="str">
        <x:v>C07K16/10</x:v>
      </x:c>
      <x:c r="T16" s="87" t="str">
        <x:v>PENDING</x:v>
      </x:c>
      <x:c r="U16" s="87" t="str">
        <x:v>https://lens.org/139-061-511-188-624</x:v>
      </x:c>
    </x:row>
    <x:row r="17">
      <x:c r="A17" s="87" t="str">
        <x:v>AstraZeneca_Lens_RAW_2009_2024.csv.csv</x:v>
      </x:c>
      <x:c r="B17" s="87" t="str">
        <x:v>AstraZeneca</x:v>
      </x:c>
      <x:c r="C17" s="87"/>
      <x:c r="D17" s="87" t="str">
        <x:v>Yes</x:v>
      </x:c>
      <x:c r="E17" s="87" t="str">
        <x:v>astrazeneca</x:v>
      </x:c>
      <x:c r="F17" s="87" t="str">
        <x:v>15</x:v>
      </x:c>
      <x:c r="G17" s="87" t="str">
        <x:v>001-972-182-117-288</x:v>
      </x:c>
      <x:c r="H17" s="110" t="n">
        <x:v>44895</x:v>
      </x:c>
      <x:c r="I17" s="88" t="n">
        <x:v>2022</x:v>
      </x:c>
      <x:c r="J17" s="87" t="str">
        <x:v>US</x:v>
      </x:c>
      <x:c r="K17" s="87" t="str">
        <x:v>A1</x:v>
      </x:c>
      <x:c r="L17" s="87" t="str">
        <x:v>US 2025/0288687 A1</x:v>
      </x:c>
      <x:c r="M17" s="87" t="str">
        <x:v>DAIICHI SANKYO CO LTD;;ASTRAZENECA UK LTD</x:v>
      </x:c>
      <x:c r="N17" s="87" t="str">
        <x:v>DAIICHI SANKYO COMPANY LIMITED (2022-12-14);;ASTRAZENECA UK LIMITED (2022-12-14)</x:v>
      </x:c>
      <x:c r="O17" s="87" t="str">
        <x:v>COMBINATION OF ANTIBODY-DRUG CONJUGATES AND DNMT INHIBITORS</x:v>
      </x:c>
      <x:c r="P17" s="109" t="n">
        <x:v>0</x:v>
      </x:c>
      <x:c r="Q17" s="109" t="n">
        <x:v>6</x:v>
      </x:c>
      <x:c r="R17" s="87" t="str">
        <x:v>A61K47/6849;;A61K31/706;;A61K47/65;;A61K47/68037;;A61K47/6851;;A61K47/6889;;A61P35/00;;A61K47/6851;;A61K31/7068;;A61K47/68037;;A61P35/00;;C07K16/30;;C07K2317/565</x:v>
      </x:c>
      <x:c r="S17" s="87" t="str">
        <x:v>A61K47/68;;A61K31/7068;;A61P35/00;;C07K16/30</x:v>
      </x:c>
      <x:c r="T17" s="87" t="str">
        <x:v>PENDING</x:v>
      </x:c>
      <x:c r="U17" s="87" t="str">
        <x:v>https://lens.org/001-972-182-117-288</x:v>
      </x:c>
    </x:row>
    <x:row r="18">
      <x:c r="A18" s="87" t="str">
        <x:v>AstraZeneca_Lens_RAW_2009_2024.csv.csv</x:v>
      </x:c>
      <x:c r="B18" s="87" t="str">
        <x:v>AstraZeneca</x:v>
      </x:c>
      <x:c r="C18" s="87"/>
      <x:c r="D18" s="87" t="str">
        <x:v>Yes</x:v>
      </x:c>
      <x:c r="E18" s="87" t="str">
        <x:v>astrazeneca</x:v>
      </x:c>
      <x:c r="F18" s="87" t="str">
        <x:v>16</x:v>
      </x:c>
      <x:c r="G18" s="87" t="str">
        <x:v>015-855-513-603-826</x:v>
      </x:c>
      <x:c r="H18" s="110" t="n">
        <x:v>44901</x:v>
      </x:c>
      <x:c r="I18" s="88" t="n">
        <x:v>2022</x:v>
      </x:c>
      <x:c r="J18" s="87" t="str">
        <x:v>US</x:v>
      </x:c>
      <x:c r="K18" s="87" t="str">
        <x:v>B2</x:v>
      </x:c>
      <x:c r="L18" s="87" t="str">
        <x:v>US 12414954 B2</x:v>
      </x:c>
      <x:c r="M18" s="87" t="str">
        <x:v>ASTRAZENECA AB</x:v>
      </x:c>
      <x:c r="N18" s="87" t="str">
        <x:v>ASTRAZENECA UK LIMITED (2024-11-04);;ASTRAZENECA AB (2024-12-16)</x:v>
      </x:c>
      <x:c r="O18" s="87" t="str">
        <x:v>POLQ inhibitors</x:v>
      </x:c>
      <x:c r="P18" s="109" t="n">
        <x:v>0</x:v>
      </x:c>
      <x:c r="Q18" s="109" t="n">
        <x:v>20</x:v>
      </x:c>
      <x:c r="R18" s="87" t="str">
        <x:v>C07D473/26;;A61P35/00;;C07D471/04;;C07D235/18;;A61K31/52;;A61P35/00;;C07D473/30;;C07D471/04;;C07D473/26;;C07D235/18;;C07D473/30;;A61K31/52;;A61K31/496;;A61K31/4178;;A61P35/00;;C07D235/18;;C07D471/04;;C07D401/06;;A61K31/52;;C07D473/30</x:v>
      </x:c>
      <x:c r="S18" s="87" t="str">
        <x:v>A61K31/52;;C07D473/30</x:v>
      </x:c>
      <x:c r="T18" s="87" t="str">
        <x:v>ACTIVE</x:v>
      </x:c>
      <x:c r="U18" s="87" t="str">
        <x:v>https://lens.org/015-855-513-603-826</x:v>
      </x:c>
    </x:row>
    <x:row r="19">
      <x:c r="A19" s="87" t="str">
        <x:v>AstraZeneca_Lens_RAW_2009_2024.csv.csv</x:v>
      </x:c>
      <x:c r="B19" s="87" t="str">
        <x:v>AstraZeneca</x:v>
      </x:c>
      <x:c r="C19" s="87"/>
      <x:c r="D19" s="87" t="str">
        <x:v>Yes</x:v>
      </x:c>
      <x:c r="E19" s="87" t="str">
        <x:v>astrazeneca</x:v>
      </x:c>
      <x:c r="F19" s="87" t="str">
        <x:v>17</x:v>
      </x:c>
      <x:c r="G19" s="87" t="str">
        <x:v>093-135-222-941-140</x:v>
      </x:c>
      <x:c r="H19" s="110" t="n">
        <x:v>44039</x:v>
      </x:c>
      <x:c r="I19" s="88" t="n">
        <x:v>2020</x:v>
      </x:c>
      <x:c r="J19" s="87" t="str">
        <x:v>US</x:v>
      </x:c>
      <x:c r="K19" s="87" t="str">
        <x:v>B2</x:v>
      </x:c>
      <x:c r="L19" s="87" t="str">
        <x:v>US 12409186 B2</x:v>
      </x:c>
      <x:c r="M19" s="87" t="str">
        <x:v>ASTRAZENECA AB</x:v>
      </x:c>
      <x:c r="N19" s="87" t="str">
        <x:v>ASTRAZENECA AB (2021-01-10)</x:v>
      </x:c>
      <x:c r="O19" s="87" t="str">
        <x:v>Methods of treating chronic kidney disease with dapagliflozin</x:v>
      </x:c>
      <x:c r="P19" s="109" t="n">
        <x:v>0</x:v>
      </x:c>
      <x:c r="Q19" s="109" t="n">
        <x:v>53</x:v>
      </x:c>
      <x:c r="R19" s="87" t="str">
        <x:v>A61K31/351;;A61K31/538;;A61P13/12;;A61K45/06;;A61K31/70;;Y02A50/30;;A61K9/20;;A61K31/351;;A61K31/401;;A61K31/41;;A61K31/4178;;A61K31/7004;;A61K45/06;;A61P13/12;;A61K31/351;;A61K31/351;;A61K31/7034;;A61P13/12;;A61P13/12;;A61K9/0053;;A61K31/7004;;A61K45/06;;A61K31/351;;A61K31/401;;A61K31/41;;A61K31/4178</x:v>
      </x:c>
      <x:c r="S19" s="87" t="str">
        <x:v>A61K31/7004;;A61K9/00;;A61K31/351;;A61K31/401;;A61K31/41;;A61K31/4178;;A61K45/06;;A61P13/12</x:v>
      </x:c>
      <x:c r="T19" s="87" t="str">
        <x:v>ACTIVE</x:v>
      </x:c>
      <x:c r="U19" s="87" t="str">
        <x:v>https://lens.org/093-135-222-941-140</x:v>
      </x:c>
    </x:row>
    <x:row r="20">
      <x:c r="A20" s="87" t="str">
        <x:v>AstraZeneca_Lens_RAW_2009_2024.csv.csv</x:v>
      </x:c>
      <x:c r="B20" s="87" t="str">
        <x:v>AstraZeneca</x:v>
      </x:c>
      <x:c r="C20" s="87"/>
      <x:c r="D20" s="87" t="str">
        <x:v>Yes</x:v>
      </x:c>
      <x:c r="E20" s="87" t="str">
        <x:v>astrazeneca</x:v>
      </x:c>
      <x:c r="F20" s="87" t="str">
        <x:v>18</x:v>
      </x:c>
      <x:c r="G20" s="87" t="str">
        <x:v>077-007-923-411-39X</x:v>
      </x:c>
      <x:c r="H20" s="110" t="n">
        <x:v>43529</x:v>
      </x:c>
      <x:c r="I20" s="88" t="n">
        <x:v>2019</x:v>
      </x:c>
      <x:c r="J20" s="87" t="str">
        <x:v>US</x:v>
      </x:c>
      <x:c r="K20" s="87" t="str">
        <x:v>B2</x:v>
      </x:c>
      <x:c r="L20" s="87" t="str">
        <x:v>US 12410187 B2</x:v>
      </x:c>
      <x:c r="M20" s="87" t="str">
        <x:v>ASTRAZENECA AB</x:v>
      </x:c>
      <x:c r="N20" s="87" t="str">
        <x:v>ASTRAZENECA UK LIMITED (2020-11-01);;ASTRAZENECA AB (2020-11-23)</x:v>
      </x:c>
      <x:c r="O20" s="87" t="str">
        <x:v>Fused tricyclic compounds useful as anticancer agents</x:v>
      </x:c>
      <x:c r="P20" s="109" t="n">
        <x:v>0</x:v>
      </x:c>
      <x:c r="Q20" s="109" t="n">
        <x:v>34</x:v>
      </x:c>
      <x:c r="R20" s="87" t="str">
        <x:v>C07D498/04;;C07D487/04;;C07D498/14;;C07D498/22;;A61P35/00;;A61P35/00;;C07D487/04;;C07D498/04;;C07D498/14;;C07D498/22;;C07D498/04;;A61K31/553;;A61K31/551;;A61P35/00;;C07D487/04;;C07D498/14;;C07B2200/05;;C07D498/04;;C07D498/14</x:v>
      </x:c>
      <x:c r="S20" s="87" t="str">
        <x:v>C07D498/04;;C07D498/14</x:v>
      </x:c>
      <x:c r="T20" s="87" t="str">
        <x:v>ACTIVE</x:v>
      </x:c>
      <x:c r="U20" s="87" t="str">
        <x:v>https://lens.org/077-007-923-411-39X</x:v>
      </x:c>
    </x:row>
    <x:row r="21">
      <x:c r="A21" s="87" t="str">
        <x:v>AstraZeneca_Lens_RAW_2009_2024.csv.csv</x:v>
      </x:c>
      <x:c r="B21" s="87" t="str">
        <x:v>AstraZeneca</x:v>
      </x:c>
      <x:c r="C21" s="87"/>
      <x:c r="D21" s="87" t="str">
        <x:v>Yes</x:v>
      </x:c>
      <x:c r="E21" s="87" t="str">
        <x:v>astrazeneca</x:v>
      </x:c>
      <x:c r="F21" s="87" t="str">
        <x:v>19</x:v>
      </x:c>
      <x:c r="G21" s="87" t="str">
        <x:v>036-779-901-044-27X</x:v>
      </x:c>
      <x:c r="H21" s="110" t="n">
        <x:v>44022</x:v>
      </x:c>
      <x:c r="I21" s="88" t="n">
        <x:v>2020</x:v>
      </x:c>
      <x:c r="J21" s="87" t="str">
        <x:v>US</x:v>
      </x:c>
      <x:c r="K21" s="87" t="str">
        <x:v>B2</x:v>
      </x:c>
      <x:c r="L21" s="87" t="str">
        <x:v>US 12409174 B2</x:v>
      </x:c>
      <x:c r="M21" s="87" t="str">
        <x:v>ASTRAZENECA AB</x:v>
      </x:c>
      <x:c r="N21" s="87" t="str">
        <x:v>ASTRAZENECA AB (2020-10-10)</x:v>
      </x:c>
      <x:c r="O21" s="87" t="str">
        <x:v>Combination of zibotentan and dapagliflozin for the treatment of endothelin related diseases</x:v>
      </x:c>
      <x:c r="P21" s="109" t="n">
        <x:v>0</x:v>
      </x:c>
      <x:c r="Q21" s="109" t="n">
        <x:v>31</x:v>
      </x:c>
      <x:c r="R21" s="87" t="str">
        <x:v>A61K31/497;;A61K31/351;;A61P13/12;;A61K31/497;;A61K31/70;;A61P13/12;;A61K31/7034;;A61K31/497;;A61P13/12;;A61K31/7034;;A61K2300/00;;A61K31/70;;A61P13/12;;A61K31/497;;A61K31/7034</x:v>
      </x:c>
      <x:c r="S21" s="87" t="str">
        <x:v>A61K31/497;;A61K31/7034;;A61P13/12</x:v>
      </x:c>
      <x:c r="T21" s="87" t="str">
        <x:v>ACTIVE</x:v>
      </x:c>
      <x:c r="U21" s="87" t="str">
        <x:v>https://lens.org/036-779-901-044-27X</x:v>
      </x:c>
    </x:row>
    <x:row r="22">
      <x:c r="A22" s="87" t="str">
        <x:v>AstraZeneca_Lens_RAW_2009_2024.csv.csv</x:v>
      </x:c>
      <x:c r="B22" s="87" t="str">
        <x:v>AstraZeneca</x:v>
      </x:c>
      <x:c r="C22" s="87"/>
      <x:c r="D22" s="87" t="str">
        <x:v>Yes</x:v>
      </x:c>
      <x:c r="E22" s="87" t="str">
        <x:v>astrazeneca</x:v>
      </x:c>
      <x:c r="F22" s="87" t="str">
        <x:v>20</x:v>
      </x:c>
      <x:c r="G22" s="87" t="str">
        <x:v>162-809-904-671-597</x:v>
      </x:c>
      <x:c r="H22" s="110" t="n">
        <x:v>43980</x:v>
      </x:c>
      <x:c r="I22" s="88" t="n">
        <x:v>2020</x:v>
      </x:c>
      <x:c r="J22" s="87" t="str">
        <x:v>US</x:v>
      </x:c>
      <x:c r="K22" s="87" t="str">
        <x:v>B2</x:v>
      </x:c>
      <x:c r="L22" s="87" t="str">
        <x:v>US 12410254 B2</x:v>
      </x:c>
      <x:c r="M22" s="87" t="str">
        <x:v>ASTRAZENECA AB</x:v>
      </x:c>
      <x:c r="N22" s="87" t="str">
        <x:v>ASTRAZENECA AB (2021-01-20);;MEDIMMUNE LLC (2021-01-14)</x:v>
      </x:c>
      <x:c r="O22" s="87" t="str">
        <x:v>Treatment of cardiometabolic disease with inhibitors of type I interferon signalling</x:v>
      </x:c>
      <x:c r="P22" s="109" t="n">
        <x:v>1</x:v>
      </x:c>
      <x:c r="Q22" s="109" t="n">
        <x:v>15</x:v>
      </x:c>
      <x:c r="R22" s="87" t="str">
        <x:v>C07K16/2866;;A61P9/10;;C07K2317/76;;C07K16/2866;;A61P9/10;;C07K2317/76;;C07K16/2866;;A61K2039/505;;A61K2039/54;;A61K2039/545;;A61P9/10;;C07K2317/76;;C07K16/2866;;A61K2039/505;;A61K2039/545;;A61P9/10;;C07K2317/565;;C07K2317/76</x:v>
      </x:c>
      <x:c r="S22" s="87" t="str">
        <x:v>A61K39/395;;A61K39/00;;A61P9/10;;C07K16/28</x:v>
      </x:c>
      <x:c r="T22" s="87" t="str">
        <x:v>ACTIVE</x:v>
      </x:c>
      <x:c r="U22" s="87" t="str">
        <x:v>https://lens.org/162-809-904-671-597</x:v>
      </x:c>
    </x:row>
    <x:row r="23">
      <x:c r="A23" s="87" t="str">
        <x:v>AstraZeneca_Lens_RAW_2009_2024.csv.csv</x:v>
      </x:c>
      <x:c r="B23" s="87" t="str">
        <x:v>AstraZeneca</x:v>
      </x:c>
      <x:c r="C23" s="87"/>
      <x:c r="D23" s="87" t="str">
        <x:v>Yes</x:v>
      </x:c>
      <x:c r="E23" s="87" t="str">
        <x:v>astrazeneca</x:v>
      </x:c>
      <x:c r="F23" s="87" t="str">
        <x:v>21</x:v>
      </x:c>
      <x:c r="G23" s="87" t="str">
        <x:v>000-117-889-288-220</x:v>
      </x:c>
      <x:c r="H23" s="110" t="n">
        <x:v>44678</x:v>
      </x:c>
      <x:c r="I23" s="88" t="n">
        <x:v>2022</x:v>
      </x:c>
      <x:c r="J23" s="87" t="str">
        <x:v>US</x:v>
      </x:c>
      <x:c r="K23" s="87" t="str">
        <x:v>A1</x:v>
      </x:c>
      <x:c r="L23" s="87" t="str">
        <x:v>US 2025/0276079 A1</x:v>
      </x:c>
      <x:c r="M23" s="87" t="str">
        <x:v>DAIICHI SANKYO CO LTD;;ASTRAZENECA UK LTD</x:v>
      </x:c>
      <x:c r="N23" s="87" t="str">
        <x:v>DAIICHI SANKYO COMPANY LIMITED (2022-07-14);;ASTRAZENECA UK LIMITED (2022-07-14)</x:v>
      </x:c>
      <x:c r="O23" s="87" t="str">
        <x:v>COMBINATION OF ANTIBODY-DRUG CONJUGATE WITH EZH1 and/or EZH2 INHIBITOR</x:v>
      </x:c>
      <x:c r="P23" s="109" t="n">
        <x:v>0</x:v>
      </x:c>
      <x:c r="Q23" s="109" t="n">
        <x:v>10</x:v>
      </x:c>
      <x:c r="R23" s="87" t="str">
        <x:v>A61K47/6801;;A61K45/06;;A61K47/68;;A61K47/6855;;A61K47/6801;;A61K45/06;;A61K47/68;;A61K47/6855;;A61K47/6801;;A61K31/443;;A61K31/5377;;A61K45/06;;A61K47/6851;;A61K2300/00;;A61P35/00;;A61K47/68037;;A61K31/443;;A61K47/6851;;A61K47/6889;;A61P35/00</x:v>
      </x:c>
      <x:c r="S23" s="87" t="str">
        <x:v>A61K47/68;;A61K31/443;;A61P35/00</x:v>
      </x:c>
      <x:c r="T23" s="87" t="str">
        <x:v>PENDING</x:v>
      </x:c>
      <x:c r="U23" s="87" t="str">
        <x:v>https://lens.org/000-117-889-288-220</x:v>
      </x:c>
    </x:row>
    <x:row r="24">
      <x:c r="A24" s="87" t="str">
        <x:v>AstraZeneca_Lens_RAW_2009_2024.csv.csv</x:v>
      </x:c>
      <x:c r="B24" s="87" t="str">
        <x:v>AstraZeneca</x:v>
      </x:c>
      <x:c r="C24" s="87"/>
      <x:c r="D24" s="87" t="str">
        <x:v>Yes</x:v>
      </x:c>
      <x:c r="E24" s="87" t="str">
        <x:v>astrazeneca</x:v>
      </x:c>
      <x:c r="F24" s="87" t="str">
        <x:v>22</x:v>
      </x:c>
      <x:c r="G24" s="87" t="str">
        <x:v>185-809-217-621-082</x:v>
      </x:c>
      <x:c r="H24" s="110" t="n">
        <x:v>44853</x:v>
      </x:c>
      <x:c r="I24" s="88" t="n">
        <x:v>2022</x:v>
      </x:c>
      <x:c r="J24" s="87" t="str">
        <x:v>US</x:v>
      </x:c>
      <x:c r="K24" s="87" t="str">
        <x:v>B2</x:v>
      </x:c>
      <x:c r="L24" s="87" t="str">
        <x:v>US 12404253 B2</x:v>
      </x:c>
      <x:c r="M24" s="87" t="str">
        <x:v>ASTRAZENECA AB</x:v>
      </x:c>
      <x:c r="N24" s="87" t="str">
        <x:v>ASTRAZENECA AB (2022-12-01)</x:v>
      </x:c>
      <x:c r="O24" s="87" t="str">
        <x:v>2,4,6-trisubstituted 1,3,5-triazines as modulators of CX3CR1</x:v>
      </x:c>
      <x:c r="P24" s="109" t="n">
        <x:v>0</x:v>
      </x:c>
      <x:c r="Q24" s="109" t="n">
        <x:v>19</x:v>
      </x:c>
      <x:c r="R24" s="87" t="str">
        <x:v>C07D403/10;;C07D403/08;;C07D405/08;;C07D411/06;;C07D413/06;;C07D471/04;;C07D498/04;;C07D251/18;;C07D401/06;;C07D403/06;;C07D403/08;;C07D403/10;;C07D405/08;;C07D405/10;;C07D411/06;;C07D413/06;;C07D471/04;;C07D498/04;;C07D251/18;;A61K31/53;;A61P9/00;;C07D401/06;;C07D403/06;;C07D403/10;;C07D405/10;;C07D413/06;;C07D471/04;;C07D498/04;;C07D251/18;;C07D401/06;;C07D403/06;;C07D405/10;;C07D413/06;;C07D471/04;;C07D498/04</x:v>
      </x:c>
      <x:c r="S24" s="87" t="str">
        <x:v>C07D251/18;;C07D401/06;;C07D403/06;;C07D405/10;;C07D413/06;;C07D471/04;;C07D498/04</x:v>
      </x:c>
      <x:c r="T24" s="87" t="str">
        <x:v>ACTIVE</x:v>
      </x:c>
      <x:c r="U24" s="87" t="str">
        <x:v>https://lens.org/185-809-217-621-082</x:v>
      </x:c>
    </x:row>
    <x:row r="25">
      <x:c r="A25" s="87" t="str">
        <x:v>AstraZeneca_Lens_RAW_2009_2024.csv.csv</x:v>
      </x:c>
      <x:c r="B25" s="87" t="str">
        <x:v>AstraZeneca</x:v>
      </x:c>
      <x:c r="C25" s="87"/>
      <x:c r="D25" s="87" t="str">
        <x:v>Yes</x:v>
      </x:c>
      <x:c r="E25" s="87" t="str">
        <x:v>astrazeneca</x:v>
      </x:c>
      <x:c r="F25" s="87" t="str">
        <x:v>23</x:v>
      </x:c>
      <x:c r="G25" s="87" t="str">
        <x:v>157-717-308-013-353</x:v>
      </x:c>
      <x:c r="H25" s="110" t="n">
        <x:v>44090</x:v>
      </x:c>
      <x:c r="I25" s="88" t="n">
        <x:v>2020</x:v>
      </x:c>
      <x:c r="J25" s="87" t="str">
        <x:v>US</x:v>
      </x:c>
      <x:c r="K25" s="87" t="str">
        <x:v>A1</x:v>
      </x:c>
      <x:c r="L25" s="87" t="str">
        <x:v>US 2025/0270248 A1</x:v>
      </x:c>
      <x:c r="M25" s="87" t="str">
        <x:v>ASTRAZENECA AB</x:v>
      </x:c>
      <x:c r="N25" s="87" t="str">
        <x:v>ASTRAZENECA AB (2021-04-12)</x:v>
      </x:c>
      <x:c r="O25" s="87" t="str">
        <x:v>OLIGONUCLEOTIDES CONJUGATED TO FATTY ACIDS</x:v>
      </x:c>
      <x:c r="P25" s="109" t="n">
        <x:v>0</x:v>
      </x:c>
      <x:c r="Q25" s="109" t="n">
        <x:v>5</x:v>
      </x:c>
      <x:c r="R25" s="87" t="str">
        <x:v>A61K47/542</x:v>
      </x:c>
      <x:c r="S25" s="87" t="str">
        <x:v>C07H21/04;;C07H21/02</x:v>
      </x:c>
      <x:c r="T25" s="87" t="str">
        <x:v>DISCONTINUED</x:v>
      </x:c>
      <x:c r="U25" s="87" t="str">
        <x:v>https://lens.org/157-717-308-013-353</x:v>
      </x:c>
    </x:row>
    <x:row r="26">
      <x:c r="A26" s="87" t="str">
        <x:v>AstraZeneca_Lens_RAW_2009_2024.csv.csv</x:v>
      </x:c>
      <x:c r="B26" s="87" t="str">
        <x:v>AstraZeneca</x:v>
      </x:c>
      <x:c r="C26" s="87"/>
      <x:c r="D26" s="87" t="str">
        <x:v>Yes</x:v>
      </x:c>
      <x:c r="E26" s="87" t="str">
        <x:v>astrazeneca</x:v>
      </x:c>
      <x:c r="F26" s="87" t="str">
        <x:v>24</x:v>
      </x:c>
      <x:c r="G26" s="87" t="str">
        <x:v>054-814-466-841-357</x:v>
      </x:c>
      <x:c r="H26" s="110" t="n">
        <x:v>43837</x:v>
      </x:c>
      <x:c r="I26" s="88" t="n">
        <x:v>2020</x:v>
      </x:c>
      <x:c r="J26" s="87" t="str">
        <x:v>US</x:v>
      </x:c>
      <x:c r="K26" s="87" t="str">
        <x:v>A1</x:v>
      </x:c>
      <x:c r="L26" s="87" t="str">
        <x:v>US 2025/0263796 A1</x:v>
      </x:c>
      <x:c r="M26" s="87" t="str">
        <x:v>ASTRAZENECA AB</x:v>
      </x:c>
      <x:c r="N26" s="87" t="str">
        <x:v>ASTRAZENECA PHARMACEUTICALS LP (2020-02-17);;ASTRAZENECA UK LIMITED (2020-02-17);;ASTRAZENECA AB (2020-02-18)</x:v>
      </x:c>
      <x:c r="O26" s="87" t="str">
        <x:v>METHODS OF DETERMINING PTEN COPY NUMBER</x:v>
      </x:c>
      <x:c r="P26" s="109" t="n">
        <x:v>0</x:v>
      </x:c>
      <x:c r="Q26" s="109" t="n">
        <x:v>8</x:v>
      </x:c>
      <x:c r="R26" s="87" t="str">
        <x:v>C12Q1/6886;;C12Q2600/156;;C12Q1/6886;;C12Q2600/156;;C12Q1/6886;;C12Q2600/156</x:v>
      </x:c>
      <x:c r="S26" s="87" t="str">
        <x:v>C12Q1/6886</x:v>
      </x:c>
      <x:c r="T26" s="87" t="str">
        <x:v>DISCONTINUED</x:v>
      </x:c>
      <x:c r="U26" s="87" t="str">
        <x:v>https://lens.org/054-814-466-841-357</x:v>
      </x:c>
    </x:row>
    <x:row r="27">
      <x:c r="A27" s="87" t="str">
        <x:v>AstraZeneca_Lens_RAW_2009_2024.csv.csv</x:v>
      </x:c>
      <x:c r="B27" s="87" t="str">
        <x:v>AstraZeneca</x:v>
      </x:c>
      <x:c r="C27" s="87"/>
      <x:c r="D27" s="87" t="str">
        <x:v>Yes</x:v>
      </x:c>
      <x:c r="E27" s="87" t="str">
        <x:v>astrazeneca</x:v>
      </x:c>
      <x:c r="F27" s="87" t="str">
        <x:v>25</x:v>
      </x:c>
      <x:c r="G27" s="87" t="str">
        <x:v>199-517-978-036-471</x:v>
      </x:c>
      <x:c r="H27" s="110" t="n">
        <x:v>45323</x:v>
      </x:c>
      <x:c r="I27" s="88" t="n">
        <x:v>2024</x:v>
      </x:c>
      <x:c r="J27" s="87" t="str">
        <x:v>US</x:v>
      </x:c>
      <x:c r="K27" s="87" t="str">
        <x:v>A1</x:v>
      </x:c>
      <x:c r="L27" s="87" t="str">
        <x:v>US 2025/0249093 A1</x:v>
      </x:c>
      <x:c r="M27" s="87" t="str">
        <x:v>ASTRAZENECA AB</x:v>
      </x:c>
      <x:c r="N27" s="87" t="str">
        <x:v>MEDIMMUNE LIMITED (2024-11-01);;ASTRAZENECA PHARMACEUTICALS LP (2024-10-18);;ASTRAZENECA UK LIMITED (2024-10-28);;ASTRAZENECA AB (2024-10-31);;MEDIMMUNE LLC (2024-10-09)</x:v>
      </x:c>
      <x:c r="O27" s="87" t="str">
        <x:v>CYTOKINE ENGAGERS AND USES THEREOF</x:v>
      </x:c>
      <x:c r="P27" s="109" t="n">
        <x:v>0</x:v>
      </x:c>
      <x:c r="Q27" s="109" t="n">
        <x:v>4</x:v>
      </x:c>
      <x:c r="R27" s="87" t="str">
        <x:v>C07K2319/00;;C07K2317/92;;A61K2039/505;;C07K2317/74;;C07K16/2815;;C07K2317/31;;C07K2317/33;;C07K2317/35;;C07K2317/94;;C07K14/55;;A61P37/04;;A61K38/2013;;A61K39/3955;;A61K2039/505;;C07K14/55;;C07K16/2815;;C07K2317/92</x:v>
      </x:c>
      <x:c r="S27" s="87" t="str">
        <x:v>A61K39/395;;A61K38/20;;A61K39/00;;A61P37/04;;C07K14/55;;C07K16/28</x:v>
      </x:c>
      <x:c r="T27" s="87" t="str">
        <x:v>PENDING</x:v>
      </x:c>
      <x:c r="U27" s="87" t="str">
        <x:v>https://lens.org/199-517-978-036-471</x:v>
      </x:c>
    </x:row>
    <x:row r="28">
      <x:c r="A28" s="87" t="str">
        <x:v>AstraZeneca_Lens_RAW_2009_2024.csv.csv</x:v>
      </x:c>
      <x:c r="B28" s="87" t="str">
        <x:v>AstraZeneca</x:v>
      </x:c>
      <x:c r="C28" s="87"/>
      <x:c r="D28" s="87" t="str">
        <x:v>Yes</x:v>
      </x:c>
      <x:c r="E28" s="87" t="str">
        <x:v>astrazeneca</x:v>
      </x:c>
      <x:c r="F28" s="87" t="str">
        <x:v>26</x:v>
      </x:c>
      <x:c r="G28" s="87" t="str">
        <x:v>147-450-042-442-421</x:v>
      </x:c>
      <x:c r="H28" s="110" t="n">
        <x:v>44658</x:v>
      </x:c>
      <x:c r="I28" s="88" t="n">
        <x:v>2022</x:v>
      </x:c>
      <x:c r="J28" s="87" t="str">
        <x:v>US</x:v>
      </x:c>
      <x:c r="K28" s="87" t="str">
        <x:v>A1</x:v>
      </x:c>
      <x:c r="L28" s="87" t="str">
        <x:v>US 2025/0250255 A1</x:v>
      </x:c>
      <x:c r="M28" s="87" t="str">
        <x:v>ASTRAZENECA AB</x:v>
      </x:c>
      <x:c r="N28" s="87" t="str">
        <x:v>ASTRAZENECA UK LIMITED (2022-02-12);;ASTRAZENECA AB (2022-06-12)</x:v>
      </x:c>
      <x:c r="O28" s="87" t="str">
        <x:v>IMPROVED PROCESS FOR THE MANUFACTURE OF OSIMERTINIB</x:v>
      </x:c>
      <x:c r="P28" s="109" t="n">
        <x:v>0</x:v>
      </x:c>
      <x:c r="Q28" s="109" t="n">
        <x:v>15</x:v>
      </x:c>
      <x:c r="R28" s="87" t="str">
        <x:v>C07D403/04;;A61P35/00;;C07D403/04;;A61P35/00;;C07D403/04;;C07C309/04;;A61K31/506;;A61P35/00;;C07D403/04</x:v>
      </x:c>
      <x:c r="S28" s="87" t="str">
        <x:v>C07D403/04</x:v>
      </x:c>
      <x:c r="T28" s="87" t="str">
        <x:v>PENDING</x:v>
      </x:c>
      <x:c r="U28" s="87" t="str">
        <x:v>https://lens.org/147-450-042-442-421</x:v>
      </x:c>
    </x:row>
    <x:row r="29">
      <x:c r="A29" s="87" t="str">
        <x:v>AstraZeneca_Lens_RAW_2009_2024.csv.csv</x:v>
      </x:c>
      <x:c r="B29" s="87" t="str">
        <x:v>AstraZeneca</x:v>
      </x:c>
      <x:c r="C29" s="87"/>
      <x:c r="D29" s="87" t="str">
        <x:v>Yes</x:v>
      </x:c>
      <x:c r="E29" s="87" t="str">
        <x:v>astrazeneca</x:v>
      </x:c>
      <x:c r="F29" s="87" t="str">
        <x:v>27</x:v>
      </x:c>
      <x:c r="G29" s="87" t="str">
        <x:v>124-332-959-693-343</x:v>
      </x:c>
      <x:c r="H29" s="110" t="n">
        <x:v>44707</x:v>
      </x:c>
      <x:c r="I29" s="88" t="n">
        <x:v>2022</x:v>
      </x:c>
      <x:c r="J29" s="87" t="str">
        <x:v>US</x:v>
      </x:c>
      <x:c r="K29" s="87" t="str">
        <x:v>A1</x:v>
      </x:c>
      <x:c r="L29" s="87" t="str">
        <x:v>US 2025/0253057 A1</x:v>
      </x:c>
      <x:c r="M29" s="87" t="str">
        <x:v>ASTRAZENECA AB</x:v>
      </x:c>
      <x:c r="N29" s="87" t="str">
        <x:v>ASTRAZENECA PHARMACEUTICALS LP (2022-11-06);;ASTRAZENECA AB (2022-11-04);;ASTRAZENECA UK LIMITED (2022-11-15)</x:v>
      </x:c>
      <x:c r="O29" s="87" t="str">
        <x:v>PREDICTING DISEASE PROGRESSION IN PORTAL HYPERTENSION USING MACHINE LEARNING</x:v>
      </x:c>
      <x:c r="P29" s="109" t="n">
        <x:v>0</x:v>
      </x:c>
      <x:c r="Q29" s="109" t="n">
        <x:v>6</x:v>
      </x:c>
      <x:c r="R29" s="87" t="str">
        <x:v>G16H20/00;;G16H50/20;;G16H50/30;;G16H50/50;;G16H50/70;;G16H40/67;;G16H50/50;;A61B5/4842</x:v>
      </x:c>
      <x:c r="S29" s="87" t="str">
        <x:v>G16H50/50;;A61B5/00</x:v>
      </x:c>
      <x:c r="T29" s="87" t="str">
        <x:v>PENDING</x:v>
      </x:c>
      <x:c r="U29" s="87" t="str">
        <x:v>https://lens.org/124-332-959-693-343</x:v>
      </x:c>
    </x:row>
    <x:row r="30">
      <x:c r="A30" s="87" t="str">
        <x:v>AstraZeneca_Lens_RAW_2009_2024.csv.csv</x:v>
      </x:c>
      <x:c r="B30" s="87" t="str">
        <x:v>AstraZeneca</x:v>
      </x:c>
      <x:c r="C30" s="87"/>
      <x:c r="D30" s="87" t="str">
        <x:v>Yes</x:v>
      </x:c>
      <x:c r="E30" s="87" t="str">
        <x:v>astrazeneca</x:v>
      </x:c>
      <x:c r="F30" s="87" t="str">
        <x:v>28</x:v>
      </x:c>
      <x:c r="G30" s="87" t="str">
        <x:v>173-283-201-557-144</x:v>
      </x:c>
      <x:c r="H30" s="110" t="n">
        <x:v>43312</x:v>
      </x:c>
      <x:c r="I30" s="88" t="n">
        <x:v>2018</x:v>
      </x:c>
      <x:c r="J30" s="87" t="str">
        <x:v>US</x:v>
      </x:c>
      <x:c r="K30" s="87" t="str">
        <x:v>B2</x:v>
      </x:c>
      <x:c r="L30" s="87" t="str">
        <x:v>US 12377164 B2</x:v>
      </x:c>
      <x:c r="M30" s="87" t="str">
        <x:v>ASTRAZENECA AB;;CAMBRIDGE ENTPR LTD</x:v>
      </x:c>
      <x:c r="N30" s="87" t="str">
        <x:v>CAMBRIDGE ENTERPRISE LIMITED (2019-03-07);;ASTRAZENECA UK LIMITED (2018-10-12);;ASTRAZENECA AB (2018-10-19)</x:v>
      </x:c>
      <x:c r="O30" s="87" t="str">
        <x:v>Linkers and conjugates</x:v>
      </x:c>
      <x:c r="P30" s="109" t="n">
        <x:v>0</x:v>
      </x:c>
      <x:c r="Q30" s="109" t="n">
        <x:v>4</x:v>
      </x:c>
      <x:c r="R30" s="87" t="str">
        <x:v>A61K47/6889;;A61K47/60;;A61K47/65;;A61K47/68031;;A61K47/6809;;A61K47/6811;;A61K47/6855;;A61P35/00;;C07D239/42;;A61K47/6889;;A61K31/704;;A61K38/07;;A61K47/545;;A61K47/68031;;A61K47/6851;;A61P35/00;;C07D239/42</x:v>
      </x:c>
      <x:c r="S30" s="87" t="str">
        <x:v>A61K47/68;;A61K31/704;;A61K38/07;;A61K47/54;;A61P35/00;;C07D239/42</x:v>
      </x:c>
      <x:c r="T30" s="87" t="str">
        <x:v>ACTIVE</x:v>
      </x:c>
      <x:c r="U30" s="87" t="str">
        <x:v>https://lens.org/173-283-201-557-144</x:v>
      </x:c>
    </x:row>
    <x:row r="31">
      <x:c r="A31" s="87" t="str">
        <x:v>AstraZeneca_Lens_RAW_2009_2024.csv.csv</x:v>
      </x:c>
      <x:c r="B31" s="87" t="str">
        <x:v>AstraZeneca</x:v>
      </x:c>
      <x:c r="C31" s="87"/>
      <x:c r="D31" s="87" t="str">
        <x:v>Yes</x:v>
      </x:c>
      <x:c r="E31" s="87" t="str">
        <x:v>astrazeneca</x:v>
      </x:c>
      <x:c r="F31" s="87" t="str">
        <x:v>29</x:v>
      </x:c>
      <x:c r="G31" s="87" t="str">
        <x:v>168-035-018-064-989</x:v>
      </x:c>
      <x:c r="H31" s="110" t="n">
        <x:v>44047</x:v>
      </x:c>
      <x:c r="I31" s="88" t="n">
        <x:v>2020</x:v>
      </x:c>
      <x:c r="J31" s="87" t="str">
        <x:v>US</x:v>
      </x:c>
      <x:c r="K31" s="87" t="str">
        <x:v>A1</x:v>
      </x:c>
      <x:c r="L31" s="87" t="str">
        <x:v>US 2025/0235451 A1</x:v>
      </x:c>
      <x:c r="M31" s="87" t="str">
        <x:v>ASTRAZENECA AB</x:v>
      </x:c>
      <x:c r="N31" s="87" t="str">
        <x:v>ASTRAZENECA PHARMACEUTICALS LP (2021-02-11);;ASTRAZENECA UK LIMITED (2021-02-11);;ASTRAZENECA AB (2021-02-12)</x:v>
      </x:c>
      <x:c r="O31" s="87" t="str">
        <x:v>Methods of Delaying Pain Progression And Treating Prostate Cancer</x:v>
      </x:c>
      <x:c r="P31" s="109" t="n">
        <x:v>0</x:v>
      </x:c>
      <x:c r="Q31" s="109" t="n">
        <x:v>3</x:v>
      </x:c>
      <x:c r="R31" s="87" t="str">
        <x:v>A61K31/502;;A61P35/00;;A61K31/502;;A61K31/498;;A61P35/00;;A61P35/04</x:v>
      </x:c>
      <x:c r="S31" s="87" t="str">
        <x:v>A61K31/502;;A61K31/498;;A61P35/00;;A61P35/04</x:v>
      </x:c>
      <x:c r="T31" s="87" t="str">
        <x:v>PENDING</x:v>
      </x:c>
      <x:c r="U31" s="87" t="str">
        <x:v>https://lens.org/168-035-018-064-989</x:v>
      </x:c>
    </x:row>
    <x:row r="32">
      <x:c r="A32" s="87" t="str">
        <x:v>AstraZeneca_Lens_RAW_2009_2024.csv.csv</x:v>
      </x:c>
      <x:c r="B32" s="87" t="str">
        <x:v>AstraZeneca</x:v>
      </x:c>
      <x:c r="C32" s="87"/>
      <x:c r="D32" s="87" t="str">
        <x:v>Yes</x:v>
      </x:c>
      <x:c r="E32" s="87" t="str">
        <x:v>astrazeneca</x:v>
      </x:c>
      <x:c r="F32" s="87" t="str">
        <x:v>30</x:v>
      </x:c>
      <x:c r="G32" s="87" t="str">
        <x:v>117-481-326-121-420</x:v>
      </x:c>
      <x:c r="H32" s="110" t="n">
        <x:v>44658</x:v>
      </x:c>
      <x:c r="I32" s="88" t="n">
        <x:v>2022</x:v>
      </x:c>
      <x:c r="J32" s="87" t="str">
        <x:v>US</x:v>
      </x:c>
      <x:c r="K32" s="87" t="str">
        <x:v>A1</x:v>
      </x:c>
      <x:c r="L32" s="87" t="str">
        <x:v>US 2025/0235448 A1</x:v>
      </x:c>
      <x:c r="M32" s="87" t="str">
        <x:v>ASTRAZENECA AB</x:v>
      </x:c>
      <x:c r="N32" s="87" t="str">
        <x:v>ASTRAZENECA UK LIMITED (2023-01-10);;ASTRAZENECA AB (2023-01-17)</x:v>
      </x:c>
      <x:c r="O32" s="87" t="str">
        <x:v>COMBINATION THERAPY FOR TREATING CANCER</x:v>
      </x:c>
      <x:c r="P32" s="109" t="n">
        <x:v>1</x:v>
      </x:c>
      <x:c r="Q32" s="109" t="n">
        <x:v>11</x:v>
      </x:c>
      <x:c r="R32" s="87" t="str">
        <x:v>A61K31/4155;;A61K31/4375;;A61P35/00;;A61P35/04;;A61K31/4155;;A61K31/4375;;A61K2300/00;;A61P35/00;;A61P35/04;;A61K31/496;;A61K31/4155;;A61K2300/00;;A61P35/00;;A61P35/04;;A61K31/496;;A61K31/4155;;A61P35/04</x:v>
      </x:c>
      <x:c r="S32" s="87" t="str">
        <x:v>A61K31/496;;A61K31/4155;;A61P35/04</x:v>
      </x:c>
      <x:c r="T32" s="87" t="str">
        <x:v>PENDING</x:v>
      </x:c>
      <x:c r="U32" s="87" t="str">
        <x:v>https://lens.org/117-481-326-121-420</x:v>
      </x:c>
    </x:row>
    <x:row r="33">
      <x:c r="A33" s="87" t="str">
        <x:v>AstraZeneca_Lens_RAW_2009_2024.csv.csv</x:v>
      </x:c>
      <x:c r="B33" s="87" t="str">
        <x:v>AstraZeneca</x:v>
      </x:c>
      <x:c r="C33" s="87"/>
      <x:c r="D33" s="87" t="str">
        <x:v>Yes</x:v>
      </x:c>
      <x:c r="E33" s="87" t="str">
        <x:v>astrazeneca</x:v>
      </x:c>
      <x:c r="F33" s="87" t="str">
        <x:v>31</x:v>
      </x:c>
      <x:c r="G33" s="87" t="str">
        <x:v>043-129-701-345-755</x:v>
      </x:c>
      <x:c r="H33" s="110" t="n">
        <x:v>44474</x:v>
      </x:c>
      <x:c r="I33" s="88" t="n">
        <x:v>2021</x:v>
      </x:c>
      <x:c r="J33" s="87" t="str">
        <x:v>US</x:v>
      </x:c>
      <x:c r="K33" s="87" t="str">
        <x:v>A1</x:v>
      </x:c>
      <x:c r="L33" s="87" t="str">
        <x:v>US 2025/0236627 A1</x:v>
      </x:c>
      <x:c r="M33" s="87" t="str">
        <x:v>ASTRAZENECA AB</x:v>
      </x:c>
      <x:c r="N33" s="87" t="str">
        <x:v>ASTRAZENECA AB (2022-09-15)</x:v>
      </x:c>
      <x:c r="O33" s="87" t="str">
        <x:v>CERTAIN OCTAHYDROFURO[3,4- B]PYRAZINES AS GLP-1 RECEPTOR MODULATORS</x:v>
      </x:c>
      <x:c r="P33" s="109" t="n">
        <x:v>0</x:v>
      </x:c>
      <x:c r="Q33" s="109" t="n">
        <x:v>5</x:v>
      </x:c>
      <x:c r="R33" s="87" t="str">
        <x:v>C07D491/04;;A61P3/10;;C07D491/048;;A61K31/4985</x:v>
      </x:c>
      <x:c r="S33" s="87" t="str">
        <x:v>C07D491/048;;A61K31/4985</x:v>
      </x:c>
      <x:c r="T33" s="87" t="str">
        <x:v>PENDING</x:v>
      </x:c>
      <x:c r="U33" s="87" t="str">
        <x:v>https://lens.org/043-129-701-345-755</x:v>
      </x:c>
    </x:row>
    <x:row r="34">
      <x:c r="A34" s="87" t="str">
        <x:v>AstraZeneca_Lens_RAW_2009_2024.csv.csv</x:v>
      </x:c>
      <x:c r="B34" s="87" t="str">
        <x:v>AstraZeneca</x:v>
      </x:c>
      <x:c r="C34" s="87"/>
      <x:c r="D34" s="87" t="str">
        <x:v>Yes</x:v>
      </x:c>
      <x:c r="E34" s="87" t="str">
        <x:v>astrazeneca</x:v>
      </x:c>
      <x:c r="F34" s="87" t="str">
        <x:v>32</x:v>
      </x:c>
      <x:c r="G34" s="87" t="str">
        <x:v>126-624-884-398-477</x:v>
      </x:c>
      <x:c r="H34" s="110" t="n">
        <x:v>43452</x:v>
      </x:c>
      <x:c r="I34" s="88" t="n">
        <x:v>2018</x:v>
      </x:c>
      <x:c r="J34" s="87" t="str">
        <x:v>US</x:v>
      </x:c>
      <x:c r="K34" s="87" t="str">
        <x:v>B2</x:v>
      </x:c>
      <x:c r="L34" s="87" t="str">
        <x:v>US 12365678 B2</x:v>
      </x:c>
      <x:c r="M34" s="87" t="str">
        <x:v>ASTRAZENECA AB</x:v>
      </x:c>
      <x:c r="N34" s="87" t="str">
        <x:v>ASTRAZENECA UK LIMITED (2022-01-14);;ASTRAZENECA AB (2022-01-18)</x:v>
      </x:c>
      <x:c r="O34" s="87" t="str">
        <x:v>Pharmaceutical process for the preparation of 4-{4-[(3R)-3-methylmorpholin-4-yl]-6-[1-((R)-S-methylsulfonimidoyl) cyclopropyl]pyrimidin-2-yl}-1H-pyrrolo[2,3-b] pyridine and intermediates</x:v>
      </x:c>
      <x:c r="P34" s="109" t="n">
        <x:v>0</x:v>
      </x:c>
      <x:c r="Q34" s="109" t="n">
        <x:v>30</x:v>
      </x:c>
      <x:c r="R34" s="87" t="str">
        <x:v>C07D413/04;;C07C323/61;;C07C2601/02;;C07D239/30;;C07D239/54;;C07D239/56;;C07D471/04;;C07D239/30;;C07C255/58;;C07C319/14;;C07C319/20;;C07C323/22;;C07C323/61;;C07C2601/02;;C07D239/54;;C07D239/56;;C07D413/04;;C07D471/04;;C07F5/025;;C12P11/00;;C12P17/16;;C07D471/04;;C07C255/58;;C07C319/14;;C07C323/22;;C07C323/61;;C07C2601/02;;C07D239/30;;C07D239/54;;C07D239/56;;C07D413/04;;C07F5/025;;C12P17/16;;C07D413/04;;A61K31/5377;;C07C255/58;;C07C319/20;;C07C323/22;;C07C323/61;;C07C2601/02;;C07D239/30;;C07D239/54;;C07D239/56;;C07D471/04;;C07F5/025;;C07D471/04;;B01J31/0235;;B01J31/2226;;B01J31/2409;;B01J35/39;;B01J2531/824;;C07C255/58;;C12P17/16</x:v>
      </x:c>
      <x:c r="S34" s="87" t="str">
        <x:v>C07D471/04;;B01J31/02;;B01J31/22;;B01J31/24;;B01J35/39;;C07C255/58;;C12P17/16</x:v>
      </x:c>
      <x:c r="T34" s="87" t="str">
        <x:v>ACTIVE</x:v>
      </x:c>
      <x:c r="U34" s="87" t="str">
        <x:v>https://lens.org/126-624-884-398-477</x:v>
      </x:c>
    </x:row>
    <x:row r="35">
      <x:c r="A35" s="87" t="str">
        <x:v>AstraZeneca_Lens_RAW_2009_2024.csv.csv</x:v>
      </x:c>
      <x:c r="B35" s="87" t="str">
        <x:v>AstraZeneca</x:v>
      </x:c>
      <x:c r="C35" s="87"/>
      <x:c r="D35" s="87" t="str">
        <x:v>Yes</x:v>
      </x:c>
      <x:c r="E35" s="87" t="str">
        <x:v>astrazeneca</x:v>
      </x:c>
      <x:c r="F35" s="87" t="str">
        <x:v>33</x:v>
      </x:c>
      <x:c r="G35" s="87" t="str">
        <x:v>071-379-309-611-809</x:v>
      </x:c>
      <x:c r="H35" s="110" t="n">
        <x:v>43945</x:v>
      </x:c>
      <x:c r="I35" s="88" t="n">
        <x:v>2020</x:v>
      </x:c>
      <x:c r="J35" s="87" t="str">
        <x:v>US</x:v>
      </x:c>
      <x:c r="K35" s="87" t="str">
        <x:v>B2</x:v>
      </x:c>
      <x:c r="L35" s="87" t="str">
        <x:v>US 12364689 B2</x:v>
      </x:c>
      <x:c r="M35" s="87" t="str">
        <x:v>ASTRAZENECA AB</x:v>
      </x:c>
      <x:c r="N35" s="87" t="str">
        <x:v>ASTRAZENECA PHARMACEUTICALS LP (2021-04-29);;ASTRAZENECA UK LIMITED (2021-07-07);;ASTRAZENECA AB (2021-07-13)</x:v>
      </x:c>
      <x:c r="O35" s="87" t="str">
        <x:v>Dosage regimen for the treatment of cancer</x:v>
      </x:c>
      <x:c r="P35" s="109" t="n">
        <x:v>0</x:v>
      </x:c>
      <x:c r="Q35" s="109" t="n">
        <x:v>19</x:v>
      </x:c>
      <x:c r="R35" s="87" t="str">
        <x:v>A61K31/4745;;A61K31/519;;A61P35/00;;A61P15/14;;A61K31/519;;A61K31/506;;A61K31/436;;A61K45/06;;A61P35/00;;A61K31/4745;;A61K31/444;;A61K2300/00;;A61K31/436;;A61K31/4745;;A61K9/20;;A61K45/06;;A61K31/506;;A61K31/519;;A61P35/00;;A61K31/4745;;A61K31/519;;A61K31/436;;A61K45/06;;A61P35/00;;A61K2300/00;;A61K9/20;;A61K31/444;;A61K45/06</x:v>
      </x:c>
      <x:c r="S35" s="87" t="str">
        <x:v>A61K31/444;;A61K9/20;;A61K45/06</x:v>
      </x:c>
      <x:c r="T35" s="87" t="str">
        <x:v>ACTIVE</x:v>
      </x:c>
      <x:c r="U35" s="87" t="str">
        <x:v>https://lens.org/071-379-309-611-809</x:v>
      </x:c>
    </x:row>
    <x:row r="36">
      <x:c r="A36" s="87" t="str">
        <x:v>AstraZeneca_Lens_RAW_2009_2024.csv.csv</x:v>
      </x:c>
      <x:c r="B36" s="87" t="str">
        <x:v>AstraZeneca</x:v>
      </x:c>
      <x:c r="C36" s="87"/>
      <x:c r="D36" s="87" t="str">
        <x:v>Yes</x:v>
      </x:c>
      <x:c r="E36" s="87" t="str">
        <x:v>astrazeneca</x:v>
      </x:c>
      <x:c r="F36" s="87" t="str">
        <x:v>34</x:v>
      </x:c>
      <x:c r="G36" s="87" t="str">
        <x:v>084-846-779-829-29X</x:v>
      </x:c>
      <x:c r="H36" s="110" t="n">
        <x:v>44658</x:v>
      </x:c>
      <x:c r="I36" s="88" t="n">
        <x:v>2022</x:v>
      </x:c>
      <x:c r="J36" s="87" t="str">
        <x:v>US</x:v>
      </x:c>
      <x:c r="K36" s="87" t="str">
        <x:v>A1</x:v>
      </x:c>
      <x:c r="L36" s="87" t="str">
        <x:v>US 2025/0228847 A1</x:v>
      </x:c>
      <x:c r="M36" s="87" t="str">
        <x:v>ASTRAZENECA AB</x:v>
      </x:c>
      <x:c r="N36" s="87" t="str">
        <x:v>ASTRAZENECA AB (2023-01-17);;ASTRAZENECA UK (2023-01-10)</x:v>
      </x:c>
      <x:c r="O36" s="87" t="str">
        <x:v>COMBINATION THERAPY FOR TREATING CANCER</x:v>
      </x:c>
      <x:c r="P36" s="109" t="n">
        <x:v>1</x:v>
      </x:c>
      <x:c r="Q36" s="109" t="n">
        <x:v>11</x:v>
      </x:c>
      <x:c r="R36" s="87" t="str">
        <x:v>A61K31/4375;;A61K9/20;;A61K31/573;;A61K31/58;;A61P35/00;;A61P35/04;;A61K31/4375;;A61K9/20;;A61K31/573;;A61K31/58;;A61K2300/00;;A61P35/00;;A61P35/04;;A61K31/496;;A61K9/20;;A61K31/573;;A61K31/58;;A61K2300/00;;A61P35/00;;A61P35/04;;A61K31/496;;A61K31/573;;A61K31/58;;A61P35/00</x:v>
      </x:c>
      <x:c r="S36" s="87" t="str">
        <x:v>A61K31/496;;A61K31/573;;A61K31/58;;A61P35/00</x:v>
      </x:c>
      <x:c r="T36" s="87" t="str">
        <x:v>PENDING</x:v>
      </x:c>
      <x:c r="U36" s="87" t="str">
        <x:v>https://lens.org/084-846-779-829-29X</x:v>
      </x:c>
    </x:row>
    <x:row r="37">
      <x:c r="A37" s="87" t="str">
        <x:v>AstraZeneca_Lens_RAW_2009_2024.csv.csv</x:v>
      </x:c>
      <x:c r="B37" s="87" t="str">
        <x:v>AstraZeneca</x:v>
      </x:c>
      <x:c r="C37" s="87"/>
      <x:c r="D37" s="87" t="str">
        <x:v>Yes</x:v>
      </x:c>
      <x:c r="E37" s="87" t="str">
        <x:v>astrazeneca</x:v>
      </x:c>
      <x:c r="F37" s="87" t="str">
        <x:v>35</x:v>
      </x:c>
      <x:c r="G37" s="87" t="str">
        <x:v>050-145-821-195-556</x:v>
      </x:c>
      <x:c r="H37" s="110" t="n">
        <x:v>44658</x:v>
      </x:c>
      <x:c r="I37" s="88" t="n">
        <x:v>2022</x:v>
      </x:c>
      <x:c r="J37" s="87" t="str">
        <x:v>US</x:v>
      </x:c>
      <x:c r="K37" s="87" t="str">
        <x:v>A1</x:v>
      </x:c>
      <x:c r="L37" s="87" t="str">
        <x:v>US 2025/0213556 A1</x:v>
      </x:c>
      <x:c r="M37" s="87" t="str">
        <x:v>ASTRAZENECA AB</x:v>
      </x:c>
      <x:c r="N37" s="87" t="str">
        <x:v>ASTRAZENECA UK LIMITED (2023-01-10);;ASTRAZENECA AB (2023-07-17)</x:v>
      </x:c>
      <x:c r="O37" s="87" t="str">
        <x:v>COMBINATION THERAPY FOR TREATING CANCER</x:v>
      </x:c>
      <x:c r="P37" s="109" t="n">
        <x:v>1</x:v>
      </x:c>
      <x:c r="Q37" s="109" t="n">
        <x:v>11</x:v>
      </x:c>
      <x:c r="R37" s="87" t="str">
        <x:v>A61K31/4166;;A61K31/496;;A61K45/06;;A61P35/00;;A61P35/04;;A61K31/4166;;A61K31/496;;A61K45/06;;A61K2300/00;;A61P35/00;;A61P35/04;;A61K31/496;;A61K31/4166;;A61K45/06;;A61K2300/00;;A61P35/00;;A61P35/04;;A61K31/496;;A61K31/4166;;A61P35/00</x:v>
      </x:c>
      <x:c r="S37" s="87" t="str">
        <x:v>A61K31/496;;A61K31/4166;;A61P35/00</x:v>
      </x:c>
      <x:c r="T37" s="87" t="str">
        <x:v>PENDING</x:v>
      </x:c>
      <x:c r="U37" s="87" t="str">
        <x:v>https://lens.org/050-145-821-195-556</x:v>
      </x:c>
    </x:row>
    <x:row r="38">
      <x:c r="A38" s="87" t="str">
        <x:v>AstraZeneca_Lens_RAW_2009_2024.csv.csv</x:v>
      </x:c>
      <x:c r="B38" s="87" t="str">
        <x:v>AstraZeneca</x:v>
      </x:c>
      <x:c r="C38" s="87"/>
      <x:c r="D38" s="87" t="str">
        <x:v>Yes</x:v>
      </x:c>
      <x:c r="E38" s="87" t="str">
        <x:v>astrazeneca</x:v>
      </x:c>
      <x:c r="F38" s="87" t="str">
        <x:v>36</x:v>
      </x:c>
      <x:c r="G38" s="87" t="str">
        <x:v>191-987-879-854-01X</x:v>
      </x:c>
      <x:c r="H38" s="110" t="n">
        <x:v>44627</x:v>
      </x:c>
      <x:c r="I38" s="88" t="n">
        <x:v>2022</x:v>
      </x:c>
      <x:c r="J38" s="87" t="str">
        <x:v>US</x:v>
      </x:c>
      <x:c r="K38" s="87" t="str">
        <x:v>A1</x:v>
      </x:c>
      <x:c r="L38" s="87" t="str">
        <x:v>US 2025/0216391 A1</x:v>
      </x:c>
      <x:c r="M38" s="87" t="str">
        <x:v>ASTRAZENECA AB</x:v>
      </x:c>
      <x:c r="N38" s="87" t="str">
        <x:v>ASTRAZENECA PHARMACEUTICALS LP (2022-09-30);;ASTRAZENECA UK LIMITED (2022-10-10);;ASTRAZENECA AB (2022-10-12);;ASTRAZENECA COMPUTATIONAL PATHOLOGY GMBH (2022-09-28)</x:v>
      </x:c>
      <x:c r="O38" s="87" t="str">
        <x:v>METHOD FOR PREDICTING PATIENT RESPONSE TO IMMUNOTHERAPY</x:v>
      </x:c>
      <x:c r="P38" s="109" t="n">
        <x:v>0</x:v>
      </x:c>
      <x:c r="Q38" s="109" t="n">
        <x:v>5</x:v>
      </x:c>
      <x:c r="R38" s="87" t="str">
        <x:v>G01N33/5752;;G01N33/5091;;G01N2333/70517;;G01N2333/70596;;G01N2800/52;;G01N33/5752;;A61K2039/505;;C07K16/2827;;G01N2333/70517;;G01N2333/70532;;G01N2333/70596</x:v>
      </x:c>
      <x:c r="S38" s="87" t="str">
        <x:v>G01N33/574;;A61K39/00;;C07K16/28</x:v>
      </x:c>
      <x:c r="T38" s="87" t="str">
        <x:v>PENDING</x:v>
      </x:c>
      <x:c r="U38" s="87" t="str">
        <x:v>https://lens.org/191-987-879-854-01X</x:v>
      </x:c>
    </x:row>
    <x:row r="39">
      <x:c r="A39" s="87" t="str">
        <x:v>AstraZeneca_Lens_RAW_2009_2024.csv.csv</x:v>
      </x:c>
      <x:c r="B39" s="87" t="str">
        <x:v>AstraZeneca</x:v>
      </x:c>
      <x:c r="C39" s="87"/>
      <x:c r="D39" s="87" t="str">
        <x:v>Yes</x:v>
      </x:c>
      <x:c r="E39" s="87" t="str">
        <x:v>astrazeneca</x:v>
      </x:c>
      <x:c r="F39" s="87" t="str">
        <x:v>37</x:v>
      </x:c>
      <x:c r="G39" s="87" t="str">
        <x:v>170-723-300-742-692</x:v>
      </x:c>
      <x:c r="H39" s="110" t="n">
        <x:v>44679</x:v>
      </x:c>
      <x:c r="I39" s="88" t="n">
        <x:v>2022</x:v>
      </x:c>
      <x:c r="J39" s="87" t="str">
        <x:v>US</x:v>
      </x:c>
      <x:c r="K39" s="87" t="str">
        <x:v>A1</x:v>
      </x:c>
      <x:c r="L39" s="87" t="str">
        <x:v>US 2025/0214995 A1</x:v>
      </x:c>
      <x:c r="M39" s="87" t="str">
        <x:v>ASTRAZENECA AB</x:v>
      </x:c>
      <x:c r="N39" s="87" t="str">
        <x:v>ASTRAZENECA PHARMACEUTICALS LP (2023-03-09);;ASTRAZENECA UK LIMITED (2023-03-13);;ASTRAZENECA AB (2022-10-25)</x:v>
      </x:c>
      <x:c r="O39" s="87" t="str">
        <x:v>CONDENSED BICYCLIC HETEROAROMATIC COMPOUNDS AND THEIR USE IN THE TREATMENT OF CANCER</x:v>
      </x:c>
      <x:c r="P39" s="109" t="n">
        <x:v>0</x:v>
      </x:c>
      <x:c r="Q39" s="109" t="n">
        <x:v>14</x:v>
      </x:c>
      <x:c r="R39" s="87" t="str">
        <x:v>C07D471/04;;A61P35/00;;C07D471/04;;A61P35/00;;C07D471/04;;A61K31/4375;;A61P35/00;;C07D471/04;;A61K31/4375;;A61K31/5025;;A61K31/519</x:v>
      </x:c>
      <x:c r="S39" s="87" t="str">
        <x:v>C07D471/04;;A61K31/4375;;A61K31/5025;;A61K31/519</x:v>
      </x:c>
      <x:c r="T39" s="87" t="str">
        <x:v>DISCONTINUED</x:v>
      </x:c>
      <x:c r="U39" s="87" t="str">
        <x:v>https://lens.org/170-723-300-742-692</x:v>
      </x:c>
    </x:row>
    <x:row r="40">
      <x:c r="A40" s="87" t="str">
        <x:v>AstraZeneca_Lens_RAW_2009_2024.csv.csv</x:v>
      </x:c>
      <x:c r="B40" s="87" t="str">
        <x:v>AstraZeneca</x:v>
      </x:c>
      <x:c r="C40" s="87"/>
      <x:c r="D40" s="87" t="str">
        <x:v>Yes</x:v>
      </x:c>
      <x:c r="E40" s="87" t="str">
        <x:v>astrazeneca</x:v>
      </x:c>
      <x:c r="F40" s="87" t="str">
        <x:v>38</x:v>
      </x:c>
      <x:c r="G40" s="87" t="str">
        <x:v>038-401-172-983-207</x:v>
      </x:c>
      <x:c r="H40" s="110" t="n">
        <x:v>44651</x:v>
      </x:c>
      <x:c r="I40" s="88" t="n">
        <x:v>2022</x:v>
      </x:c>
      <x:c r="J40" s="87" t="str">
        <x:v>US</x:v>
      </x:c>
      <x:c r="K40" s="87" t="str">
        <x:v>A1</x:v>
      </x:c>
      <x:c r="L40" s="87" t="str">
        <x:v>US 2025/0205233 A1</x:v>
      </x:c>
      <x:c r="M40" s="87" t="str">
        <x:v>ASTRAZENECA AB</x:v>
      </x:c>
      <x:c r="N40" s="87" t="str">
        <x:v>ASTRAZENECA UK LIMITED (2023-01-24);;ASTRAZENECA AB (2023-01-31)</x:v>
      </x:c>
      <x:c r="O40" s="87" t="str">
        <x:v>EPIDERMAL GROWTH FACTOR RECEPTOR (EGFR) TYROSINE KINASE INHIBITORS IN COMBINATION WITH AN AKT INHIBITOR FOR THE TREATMENT OF CANCER</x:v>
      </x:c>
      <x:c r="P40" s="109" t="n">
        <x:v>0</x:v>
      </x:c>
      <x:c r="Q40" s="109" t="n">
        <x:v>11</x:v>
      </x:c>
      <x:c r="R40" s="87" t="str">
        <x:v>A61K31/519;;A61K31/506;;A61K45/06;;A61P35/00;;A61K31/519;;A61K31/506;;A61K45/06;;A61K2300/00;;A61P35/00;;A61K31/506;;A61K31/519;;A61K45/06;;A61K2300/00;;A61P35/00;;A61K31/506;;A61K31/519;;A61P35/00</x:v>
      </x:c>
      <x:c r="S40" s="87" t="str">
        <x:v>A61K31/506;;A61K31/519;;A61P35/00</x:v>
      </x:c>
      <x:c r="T40" s="87" t="str">
        <x:v>PENDING</x:v>
      </x:c>
      <x:c r="U40" s="87" t="str">
        <x:v>https://lens.org/038-401-172-983-207</x:v>
      </x:c>
    </x:row>
    <x:row r="41">
      <x:c r="A41" s="87" t="str">
        <x:v>AstraZeneca_Lens_RAW_2009_2024.csv.csv</x:v>
      </x:c>
      <x:c r="B41" s="87" t="str">
        <x:v>AstraZeneca</x:v>
      </x:c>
      <x:c r="C41" s="87"/>
      <x:c r="D41" s="87" t="str">
        <x:v>Yes</x:v>
      </x:c>
      <x:c r="E41" s="87" t="str">
        <x:v>astrazeneca</x:v>
      </x:c>
      <x:c r="F41" s="87" t="str">
        <x:v>39</x:v>
      </x:c>
      <x:c r="G41" s="87" t="str">
        <x:v>004-414-917-105-812</x:v>
      </x:c>
      <x:c r="H41" s="110" t="n">
        <x:v>45274</x:v>
      </x:c>
      <x:c r="I41" s="88" t="n">
        <x:v>2023</x:v>
      </x:c>
      <x:c r="J41" s="87" t="str">
        <x:v>US</x:v>
      </x:c>
      <x:c r="K41" s="87" t="str">
        <x:v>A1</x:v>
      </x:c>
      <x:c r="L41" s="87" t="str">
        <x:v>US 2025/0197411 A1</x:v>
      </x:c>
      <x:c r="M41" s="87" t="str">
        <x:v>ASTRAZENECA AB</x:v>
      </x:c>
      <x:c r="N41" s="87" t="str">
        <x:v>ASTRAZENECA AB (2025-01-16)</x:v>
      </x:c>
      <x:c r="O41" s="87" t="str">
        <x:v>IRAK4 PROTACS</x:v>
      </x:c>
      <x:c r="P41" s="109" t="n">
        <x:v>0</x:v>
      </x:c>
      <x:c r="Q41" s="109" t="n">
        <x:v>4</x:v>
      </x:c>
      <x:c r="R41" s="87" t="str">
        <x:v>A61K31/496;;C07D519/00;;C07D471/04;;A61K31/5025;;C07D487/04;;C07D413/14;;C07D401/14;;A61K31/513;;A61P11/00;;A61P29/00;;A61P35/00;;A61P37/00;;C07D487/04;;A61K31/513;;C07D401/14;;C07D471/04;;A61K31/5025;;C07D413/14;;C07D519/00;;A61K31/496</x:v>
      </x:c>
      <x:c r="S41" s="87" t="str">
        <x:v>C07D487/04;;A61K31/496;;A61K31/5025;;A61K31/513;;C07D401/14;;C07D413/14;;C07D471/04;;C07D519/00</x:v>
      </x:c>
      <x:c r="T41" s="87" t="str">
        <x:v>PENDING</x:v>
      </x:c>
      <x:c r="U41" s="87" t="str">
        <x:v>https://lens.org/004-414-917-105-812</x:v>
      </x:c>
    </x:row>
    <x:row r="42">
      <x:c r="A42" s="87" t="str">
        <x:v>AstraZeneca_Lens_RAW_2009_2024.csv.csv</x:v>
      </x:c>
      <x:c r="B42" s="87" t="str">
        <x:v>AstraZeneca</x:v>
      </x:c>
      <x:c r="C42" s="87"/>
      <x:c r="D42" s="87" t="str">
        <x:v>Yes</x:v>
      </x:c>
      <x:c r="E42" s="87" t="str">
        <x:v>astrazeneca</x:v>
      </x:c>
      <x:c r="F42" s="87" t="str">
        <x:v>40</x:v>
      </x:c>
      <x:c r="G42" s="87" t="str">
        <x:v>053-008-538-157-026</x:v>
      </x:c>
      <x:c r="H42" s="110" t="n">
        <x:v>44638</x:v>
      </x:c>
      <x:c r="I42" s="88" t="n">
        <x:v>2022</x:v>
      </x:c>
      <x:c r="J42" s="87" t="str">
        <x:v>US</x:v>
      </x:c>
      <x:c r="K42" s="87" t="str">
        <x:v>A1</x:v>
      </x:c>
      <x:c r="L42" s="87" t="str">
        <x:v>US 2025/0186584 A1</x:v>
      </x:c>
      <x:c r="M42" s="87" t="str">
        <x:v>ASTRAZENECA AB</x:v>
      </x:c>
      <x:c r="N42" s="87" t="str">
        <x:v>ASTRAZENECA PHARMACEUTICALS LP (2022-10-24);;ASTRAZENECA UK LIMITED (2022-10-24);;ASTRAZENECA AB (2022-10-25)</x:v>
      </x:c>
      <x:c r="O42" s="87" t="str">
        <x:v>METHODS OF TREATING BILIARY TRACT CANCER USING ANTI-PD-L1 ANTIBODY IN COMBINATION WITH CHEMOTHERAPY</x:v>
      </x:c>
      <x:c r="P42" s="109" t="n">
        <x:v>0</x:v>
      </x:c>
      <x:c r="Q42" s="109" t="n">
        <x:v>10</x:v>
      </x:c>
      <x:c r="R42" s="87" t="str">
        <x:v>A61P35/00;;A61K2039/505;;A61K2039/545;;A61K39/395;;C07K16/2827;;C07K2317/21;;A61P35/00;;C07K2317/21;;C07K16/2827;;A61K2039/505;;A61K39/395;;A61K2039/545;;A61K2300/00;;A61K39/39558;;A61K31/7068;;A61K33/243;;A61K45/06;;A61P35/00;;C07K16/2827;;A61K2300/00;;A61K2039/505;;C07K2317/21;;A61P35/00;;A61K33/243;;A61K31/7068;;A61K39/39558;;A61K2039/505;;A61K2039/545</x:v>
      </x:c>
      <x:c r="S42" s="87" t="str">
        <x:v>A61K39/395;;A61K31/7068;;A61K33/243;;A61K39/00;;A61P35/00</x:v>
      </x:c>
      <x:c r="T42" s="87" t="str">
        <x:v>PENDING</x:v>
      </x:c>
      <x:c r="U42" s="87" t="str">
        <x:v>https://lens.org/053-008-538-157-026</x:v>
      </x:c>
    </x:row>
    <x:row r="43">
      <x:c r="A43" s="87" t="str">
        <x:v>AstraZeneca_Lens_RAW_2009_2024.csv.csv</x:v>
      </x:c>
      <x:c r="B43" s="87" t="str">
        <x:v>AstraZeneca</x:v>
      </x:c>
      <x:c r="C43" s="87"/>
      <x:c r="D43" s="87" t="str">
        <x:v>Yes</x:v>
      </x:c>
      <x:c r="E43" s="87" t="str">
        <x:v>astrazeneca</x:v>
      </x:c>
      <x:c r="F43" s="87" t="str">
        <x:v>41</x:v>
      </x:c>
      <x:c r="G43" s="87" t="str">
        <x:v>141-484-364-646-723</x:v>
      </x:c>
      <x:c r="H43" s="110" t="n">
        <x:v>45261</x:v>
      </x:c>
      <x:c r="I43" s="88" t="n">
        <x:v>2023</x:v>
      </x:c>
      <x:c r="J43" s="87" t="str">
        <x:v>US</x:v>
      </x:c>
      <x:c r="K43" s="87" t="str">
        <x:v>A1</x:v>
      </x:c>
      <x:c r="L43" s="87" t="str">
        <x:v>US 2025/0177539 A1</x:v>
      </x:c>
      <x:c r="M43" s="87" t="str">
        <x:v>ASTRAZENECA AB</x:v>
      </x:c>
      <x:c r="N43" s="87" t="str">
        <x:v>ASTRAZENECA UK LIMITED (2024-11-17);;ASTRAZENECA AB (2024-11-18)</x:v>
      </x:c>
      <x:c r="O43" s="87" t="str">
        <x:v>ER DEGRADERS AND USES THEREOF</x:v>
      </x:c>
      <x:c r="P43" s="109" t="n">
        <x:v>0</x:v>
      </x:c>
      <x:c r="Q43" s="109" t="n">
        <x:v>6</x:v>
      </x:c>
      <x:c r="R43" s="87" t="str">
        <x:v>C07D401/14;;C07D491/10;;C07D471/04;;C07D487/04;;C07D413/14;;C07D417/14;;A61P35/00;;A61K47/545;;A61K47/55;;A61P35/00</x:v>
      </x:c>
      <x:c r="S43" s="87" t="str">
        <x:v>A61K47/55;;A61K47/54;;A61P35/00</x:v>
      </x:c>
      <x:c r="T43" s="87" t="str">
        <x:v>PENDING</x:v>
      </x:c>
      <x:c r="U43" s="87" t="str">
        <x:v>https://lens.org/141-484-364-646-723</x:v>
      </x:c>
    </x:row>
    <x:row r="44">
      <x:c r="A44" s="87" t="str">
        <x:v>AstraZeneca_Lens_RAW_2009_2024.csv.csv</x:v>
      </x:c>
      <x:c r="B44" s="87" t="str">
        <x:v>AstraZeneca</x:v>
      </x:c>
      <x:c r="C44" s="87"/>
      <x:c r="D44" s="87" t="str">
        <x:v>Yes</x:v>
      </x:c>
      <x:c r="E44" s="87" t="str">
        <x:v>astrazeneca</x:v>
      </x:c>
      <x:c r="F44" s="87" t="str">
        <x:v>42</x:v>
      </x:c>
      <x:c r="G44" s="87" t="str">
        <x:v>136-473-650-711-472</x:v>
      </x:c>
      <x:c r="H44" s="110" t="n">
        <x:v>44631</x:v>
      </x:c>
      <x:c r="I44" s="88" t="n">
        <x:v>2022</x:v>
      </x:c>
      <x:c r="J44" s="87" t="str">
        <x:v>US</x:v>
      </x:c>
      <x:c r="K44" s="87" t="str">
        <x:v>A1</x:v>
      </x:c>
      <x:c r="L44" s="87" t="str">
        <x:v>US 2025/0177550 A1</x:v>
      </x:c>
      <x:c r="M44" s="87" t="str">
        <x:v>ASTRAZENECA AB</x:v>
      </x:c>
      <x:c r="N44" s="87" t="str">
        <x:v>ASTRAZENECA PHARMACEUTICALS LP (2022-07-01);;ASTRAZENECA AB (2022-05-20);;ASTRAZENECA UK LIMITED (2022-07-20);;ASTRAZENECA COMPUTATIONAL PATHOLOGY GMBH (2022-05-20);;MEDIMMUNE LLC (2022-05-20)</x:v>
      </x:c>
      <x:c r="O44" s="87" t="str">
        <x:v>A SCORING METHOD FOR AN ANTI-FR ALPHA ANTIBODY DRUG CONJUGATE THERAPY</x:v>
      </x:c>
      <x:c r="P44" s="109" t="n">
        <x:v>0</x:v>
      </x:c>
      <x:c r="Q44" s="109" t="n">
        <x:v>10</x:v>
      </x:c>
      <x:c r="R44" s="87" t="str">
        <x:v>G01N2800/52;;G01N33/6872;;A61P35/00;;A61K47/6857;;A61K47/6863;;A61K47/6869;;G06V10/82;;G06V20/698;;A61K47/68037;;G01N33/5759;;G06V20/698;;A61K47/68037;;A61K47/6863;;A61P35/00;;G01N33/6872;;G01N2800/52;;A61K47/6869;;A61K47/6857;;G06V10/82;;G01N33/5759;;G01N33/6872;;A61K47/6869;;A61K47/6863;;A61K47/6857;;A61K47/68037;;A61P35/00;;G06V10/82;;G06V20/698;;G01N2800/52;;G01N33/5759;;A61K47/6889;;A61K47/6849;;A61P35/00;;A61K47/68037;;G01N33/5759;;G01N33/57595</x:v>
      </x:c>
      <x:c r="S44" s="87" t="str">
        <x:v>A61K47/68;;A61P35/00;;G01N33/574</x:v>
      </x:c>
      <x:c r="T44" s="87" t="str">
        <x:v>PENDING</x:v>
      </x:c>
      <x:c r="U44" s="87" t="str">
        <x:v>https://lens.org/136-473-650-711-472</x:v>
      </x:c>
    </x:row>
    <x:row r="45">
      <x:c r="A45" s="87" t="str">
        <x:v>AstraZeneca_Lens_RAW_2009_2024.csv.csv</x:v>
      </x:c>
      <x:c r="B45" s="87" t="str">
        <x:v>AstraZeneca</x:v>
      </x:c>
      <x:c r="C45" s="87"/>
      <x:c r="D45" s="87" t="str">
        <x:v>Yes</x:v>
      </x:c>
      <x:c r="E45" s="87" t="str">
        <x:v>astrazeneca</x:v>
      </x:c>
      <x:c r="F45" s="87" t="str">
        <x:v>43</x:v>
      </x:c>
      <x:c r="G45" s="87" t="str">
        <x:v>097-039-834-643-748</x:v>
      </x:c>
      <x:c r="H45" s="110" t="n">
        <x:v>44637</x:v>
      </x:c>
      <x:c r="I45" s="88" t="n">
        <x:v>2022</x:v>
      </x:c>
      <x:c r="J45" s="87" t="str">
        <x:v>US</x:v>
      </x:c>
      <x:c r="K45" s="87" t="str">
        <x:v>A1</x:v>
      </x:c>
      <x:c r="L45" s="87" t="str">
        <x:v>US 2025/0179115 A1</x:v>
      </x:c>
      <x:c r="M45" s="87" t="str">
        <x:v>ASTRAZENECA AB</x:v>
      </x:c>
      <x:c r="N45" s="87" t="str">
        <x:v>ASTRAZENECA AB (2022-09-13);;MEDIMMUNE LLC (2022-08-24)</x:v>
      </x:c>
      <x:c r="O45" s="87" t="str">
        <x:v>METHODS FOR PURIFYING BISPECIFIC ANTIBODIES</x:v>
      </x:c>
      <x:c r="P45" s="109" t="n">
        <x:v>0</x:v>
      </x:c>
      <x:c r="Q45" s="109" t="n">
        <x:v>9</x:v>
      </x:c>
      <x:c r="R45" s="87" t="str">
        <x:v>C07K16/065;;C07K1/22;;C07K2317/31;;C07K2317/515;;C07K2317/522;;C07K16/065;;C07K1/22;;C07K2317/31;;C07K2317/515;;C07K2317/522;;C07K16/065;;C07K1/22;;C07K2317/31;;C07K2317/515;;C07K2317/522;;C07K2317/55;;C07K1/22;;B01D15/3809;;C07K16/00;;C07K2317/31;;C07K2317/51;;C07K2317/515;;C07K2317/522;;C07K2317/55</x:v>
      </x:c>
      <x:c r="S45" s="87" t="str">
        <x:v>C07K1/22;;B01D15/38;;C07K16/00</x:v>
      </x:c>
      <x:c r="T45" s="87" t="str">
        <x:v>PENDING</x:v>
      </x:c>
      <x:c r="U45" s="87" t="str">
        <x:v>https://lens.org/097-039-834-643-748</x:v>
      </x:c>
    </x:row>
    <x:row r="46">
      <x:c r="A46" s="87" t="str">
        <x:v>AstraZeneca_Lens_RAW_2009_2024.csv.csv</x:v>
      </x:c>
      <x:c r="B46" s="87" t="str">
        <x:v>AstraZeneca</x:v>
      </x:c>
      <x:c r="C46" s="87"/>
      <x:c r="D46" s="87" t="str">
        <x:v>Yes</x:v>
      </x:c>
      <x:c r="E46" s="87" t="str">
        <x:v>astrazeneca</x:v>
      </x:c>
      <x:c r="F46" s="87" t="str">
        <x:v>44</x:v>
      </x:c>
      <x:c r="G46" s="87" t="str">
        <x:v>074-666-216-752-443</x:v>
      </x:c>
      <x:c r="H46" s="110" t="n">
        <x:v>41571</x:v>
      </x:c>
      <x:c r="I46" s="88" t="n">
        <x:v>2013</x:v>
      </x:c>
      <x:c r="J46" s="87" t="str">
        <x:v>US</x:v>
      </x:c>
      <x:c r="K46" s="87" t="str">
        <x:v>A1</x:v>
      </x:c>
      <x:c r="L46" s="87" t="str">
        <x:v>US 2025/0170245 A1</x:v>
      </x:c>
      <x:c r="M46" s="87" t="str">
        <x:v>ASTRAZENECA AB</x:v>
      </x:c>
      <x:c r="N46" s="87" t="str">
        <x:v>ASTRAZENECA AB (2016-08-08);;MEDIMMUNE LLC (2014-07-09)</x:v>
      </x:c>
      <x:c r="O46" s="87" t="str">
        <x:v>STABLE, AQUEOUS FORMULATIONS OF ANTIBODIES THAT BIND IL5 RECEPTOR</x:v>
      </x:c>
      <x:c r="P46" s="109" t="n">
        <x:v>0</x:v>
      </x:c>
      <x:c r="Q46" s="109" t="n">
        <x:v>57</x:v>
      </x:c>
      <x:c r="R46" s="87" t="str">
        <x:v>A61K9/0019;;A61K47/183;;A61K39/39591;;C07K16/2866;;A61K47/26;;A61K2039/505;;A61P1/04;;A61P11/00;;A61P11/06;;A61P11/14;;A61P37/08;;A61K9/0019;;A61K39/3955;;A61K39/39591;;A61K47/22;;A61K47/26;;A61K47/34;;C07K16/2866;;A61K2039/505;;C07K2317/565;;A61K47/183;;A61K38/00;;A61K9/00;;A61K9/08;;A61K39/00;;A61K39/395;;A61K47/18;;A61K47/26;;A61K9/0019;;A61K47/183;;A61K39/39591;;C07K16/2866;;A61K39/3955;;A61K47/22;;A61K47/26;;A61K47/34;;A61K2039/505</x:v>
      </x:c>
      <x:c r="S46" s="87" t="str">
        <x:v>A61K47/34;;A61K9/00;;A61K39/00;;A61K39/395;;A61K47/18;;A61K47/22;;A61K47/26;;C07K16/28</x:v>
      </x:c>
      <x:c r="T46" s="87" t="str">
        <x:v>PENDING</x:v>
      </x:c>
      <x:c r="U46" s="87" t="str">
        <x:v>https://lens.org/074-666-216-752-443</x:v>
      </x:c>
    </x:row>
    <x:row r="47">
      <x:c r="A47" s="87" t="str">
        <x:v>AstraZeneca_Lens_RAW_2009_2024.csv.csv</x:v>
      </x:c>
      <x:c r="B47" s="87" t="str">
        <x:v>AstraZeneca</x:v>
      </x:c>
      <x:c r="C47" s="87"/>
      <x:c r="D47" s="87" t="str">
        <x:v>Yes</x:v>
      </x:c>
      <x:c r="E47" s="87" t="str">
        <x:v>astrazeneca</x:v>
      </x:c>
      <x:c r="F47" s="87" t="str">
        <x:v>45</x:v>
      </x:c>
      <x:c r="G47" s="87" t="str">
        <x:v>089-717-463-282-401</x:v>
      </x:c>
      <x:c r="H47" s="110" t="n">
        <x:v>45187</x:v>
      </x:c>
      <x:c r="I47" s="88" t="n">
        <x:v>2023</x:v>
      </x:c>
      <x:c r="J47" s="87" t="str">
        <x:v>US</x:v>
      </x:c>
      <x:c r="K47" s="87" t="str">
        <x:v>A1</x:v>
      </x:c>
      <x:c r="L47" s="87" t="str">
        <x:v>US 2025/0161368 A1</x:v>
      </x:c>
      <x:c r="M47" s="87" t="str">
        <x:v>ASTRAZENECA AB</x:v>
      </x:c>
      <x:c r="N47" s="87" t="str">
        <x:v>ASTRAZENECA AB (2024-10-07);;ASTRAZENECA UK LIMITED (2024-10-25)</x:v>
      </x:c>
      <x:c r="O47" s="87" t="str">
        <x:v>Cell Therapy</x:v>
      </x:c>
      <x:c r="P47" s="109" t="n">
        <x:v>0</x:v>
      </x:c>
      <x:c r="Q47" s="109" t="n">
        <x:v>6</x:v>
      </x:c>
      <x:c r="R47" s="87" t="str">
        <x:v>C12N5/0657;;C12N2501/415;;C12N2501/60;;A61P9/10;;A61K35/34;;A61K45/06;;C12N5/0657;;C12N2506/03</x:v>
      </x:c>
      <x:c r="S47" s="87" t="str">
        <x:v>A61K35/34;;A61K45/06;;A61P9/10;;C12N5/077</x:v>
      </x:c>
      <x:c r="T47" s="87" t="str">
        <x:v>PENDING</x:v>
      </x:c>
      <x:c r="U47" s="87" t="str">
        <x:v>https://lens.org/089-717-463-282-401</x:v>
      </x:c>
    </x:row>
    <x:row r="48">
      <x:c r="A48" s="87" t="str">
        <x:v>AstraZeneca_Lens_RAW_2009_2024.csv.csv</x:v>
      </x:c>
      <x:c r="B48" s="87" t="str">
        <x:v>AstraZeneca</x:v>
      </x:c>
      <x:c r="C48" s="87"/>
      <x:c r="D48" s="87" t="str">
        <x:v>Yes</x:v>
      </x:c>
      <x:c r="E48" s="87" t="str">
        <x:v>astrazeneca</x:v>
      </x:c>
      <x:c r="F48" s="87" t="str">
        <x:v>46</x:v>
      </x:c>
      <x:c r="G48" s="87" t="str">
        <x:v>016-433-929-196-108</x:v>
      </x:c>
      <x:c r="H48" s="110" t="n">
        <x:v>44558</x:v>
      </x:c>
      <x:c r="I48" s="88" t="n">
        <x:v>2021</x:v>
      </x:c>
      <x:c r="J48" s="87" t="str">
        <x:v>US</x:v>
      </x:c>
      <x:c r="K48" s="87" t="str">
        <x:v>A1</x:v>
      </x:c>
      <x:c r="L48" s="87" t="str">
        <x:v>US 2025/0161305 A1</x:v>
      </x:c>
      <x:c r="M48" s="87" t="str">
        <x:v>ASTRAZENECA UK LTD;;DAIICHI SANKYO CO LTD</x:v>
      </x:c>
      <x:c r="N48" s="87" t="str">
        <x:v>DAIICHI SANKYO COMPANY LIMITED (2022-12-16);;ASTRAZENECA PHARMACEUTICALS LP (2022-12-11);;ASTRAZENECA UK LIMITED (2022-12-16)</x:v>
      </x:c>
      <x:c r="O48" s="87" t="str">
        <x:v>COMBINATION OF ANTIBODY-DRUG CONJUGATE AND RASG12C INHIBITOR</x:v>
      </x:c>
      <x:c r="P48" s="109" t="n">
        <x:v>0</x:v>
      </x:c>
      <x:c r="Q48" s="109" t="n">
        <x:v>6</x:v>
      </x:c>
      <x:c r="R48" s="87" t="str">
        <x:v>A61K31/519;;A61K31/553;;A61K39/39558;;A61P35/00;;C07K16/32;;A61K31/519;;A61K47/68037;;A61K47/6851;;A61P35/00</x:v>
      </x:c>
      <x:c r="S48" s="87" t="str">
        <x:v>A61K31/519;;A61K47/68;;A61P35/00</x:v>
      </x:c>
      <x:c r="T48" s="87" t="str">
        <x:v>PENDING</x:v>
      </x:c>
      <x:c r="U48" s="87" t="str">
        <x:v>https://lens.org/016-433-929-196-108</x:v>
      </x:c>
    </x:row>
    <x:row r="49">
      <x:c r="A49" s="87" t="str">
        <x:v>AstraZeneca_Lens_RAW_2009_2024.csv.csv</x:v>
      </x:c>
      <x:c r="B49" s="87" t="str">
        <x:v>AstraZeneca</x:v>
      </x:c>
      <x:c r="C49" s="87"/>
      <x:c r="D49" s="87" t="str">
        <x:v>Yes</x:v>
      </x:c>
      <x:c r="E49" s="87" t="str">
        <x:v>astrazeneca</x:v>
      </x:c>
      <x:c r="F49" s="87" t="str">
        <x:v>47</x:v>
      </x:c>
      <x:c r="G49" s="87" t="str">
        <x:v>141-927-331-532-412</x:v>
      </x:c>
      <x:c r="H49" s="110" t="n">
        <x:v>44614</x:v>
      </x:c>
      <x:c r="I49" s="88" t="n">
        <x:v>2022</x:v>
      </x:c>
      <x:c r="J49" s="87" t="str">
        <x:v>US</x:v>
      </x:c>
      <x:c r="K49" s="87" t="str">
        <x:v>A1</x:v>
      </x:c>
      <x:c r="L49" s="87" t="str">
        <x:v>US 2025/0152516 A1</x:v>
      </x:c>
      <x:c r="M49" s="87" t="str">
        <x:v>ASTRAZENECA AB</x:v>
      </x:c>
      <x:c r="N49" s="87" t="str">
        <x:v>ASTRAZENECA AB (2022-07-12)</x:v>
      </x:c>
      <x:c r="O49" s="87" t="str">
        <x:v>COMPRESSIBLE SODIUM CAPRATE FORMULATIONS</x:v>
      </x:c>
      <x:c r="P49" s="109" t="n">
        <x:v>0</x:v>
      </x:c>
      <x:c r="Q49" s="109" t="n">
        <x:v>5</x:v>
      </x:c>
      <x:c r="R49" s="87" t="str">
        <x:v>A61K9/2013;;A61K9/2077;;A61K38/00;;A61K47/12;;A61K9/2013;;A61K9/2018;;A61K9/2054;;A61K9/2095;;A61K31/7088;;A61K38/26;;C12N15/1135;;C12N2310/113</x:v>
      </x:c>
      <x:c r="S49" s="87" t="str">
        <x:v>A61K9/20;;A61K31/7088;;A61K38/26;;C12N15/113</x:v>
      </x:c>
      <x:c r="T49" s="87" t="str">
        <x:v>PENDING</x:v>
      </x:c>
      <x:c r="U49" s="87" t="str">
        <x:v>https://lens.org/141-927-331-532-412</x:v>
      </x:c>
    </x:row>
    <x:row r="50">
      <x:c r="A50" s="87" t="str">
        <x:v>AstraZeneca_Lens_RAW_2009_2024.csv.csv</x:v>
      </x:c>
      <x:c r="B50" s="87" t="str">
        <x:v>AstraZeneca</x:v>
      </x:c>
      <x:c r="C50" s="87"/>
      <x:c r="D50" s="87" t="str">
        <x:v>Yes</x:v>
      </x:c>
      <x:c r="E50" s="87" t="str">
        <x:v>astrazeneca</x:v>
      </x:c>
      <x:c r="F50" s="87" t="str">
        <x:v>48</x:v>
      </x:c>
      <x:c r="G50" s="87" t="str">
        <x:v>123-807-108-211-035</x:v>
      </x:c>
      <x:c r="H50" s="110" t="n">
        <x:v>44700</x:v>
      </x:c>
      <x:c r="I50" s="88" t="n">
        <x:v>2022</x:v>
      </x:c>
      <x:c r="J50" s="87" t="str">
        <x:v>US</x:v>
      </x:c>
      <x:c r="K50" s="87" t="str">
        <x:v>B2</x:v>
      </x:c>
      <x:c r="L50" s="87" t="str">
        <x:v>US 12291524 B2</x:v>
      </x:c>
      <x:c r="M50" s="87" t="str">
        <x:v>ASTRAZENECA AB</x:v>
      </x:c>
      <x:c r="N50" s="87" t="str">
        <x:v>ASTRAZENECA AB (2022-12-01)</x:v>
      </x:c>
      <x:c r="O50" s="87" t="str">
        <x:v>Amido heteroaromatic compounds</x:v>
      </x:c>
      <x:c r="P50" s="109" t="n">
        <x:v>0</x:v>
      </x:c>
      <x:c r="Q50" s="109" t="n">
        <x:v>39</x:v>
      </x:c>
      <x:c r="R50" s="87" t="str">
        <x:v>C07D413/06;;C07D333/38;;C07D413/12;;C07D413/04;;C07D261/18;;C07D487/04;;C07D471/04;;C07D409/06;;C07D471/08;;C07D493/10;;C07D413/14;;C07D491/10;;C07D417/06;;A61P1/16;;C07D413/06;;C07D413/04;;C07D471/04;;C07D413/12;;C07D491/10;;C07D413/14;;C07D498/10;;A61P1/16;;C07D409/06;;C07D493/10;;C07D261/18;;C07D333/38;;C07D471/08;;C07D417/06;;C07D271/06;;C07D487/04;;C07D413/06;;A61K31/4245;;A61K31/5377;;A61K31/422;;A61P1/16;;C07D413/12;;C07D413/04;;C07D261/18;;C07D487/04;;C07D471/04;;C07D413/14;;C07D409/06;;C07D271/06;;C07D498/10;;C07D491/107;;C07D417/06;;C07D271/06;;C07D409/06;;C07D413/04;;C07D413/06;;C07D413/12;;C07D413/14;;C07D471/04;;C07D487/04;;C07D498/10</x:v>
      </x:c>
      <x:c r="S50" s="87" t="str">
        <x:v>C07D413/06;;C07D271/06;;C07D409/06;;C07D413/04;;C07D413/12;;C07D413/14;;C07D471/04;;C07D487/04;;C07D498/10</x:v>
      </x:c>
      <x:c r="T50" s="87" t="str">
        <x:v>ACTIVE</x:v>
      </x:c>
      <x:c r="U50" s="87" t="str">
        <x:v>https://lens.org/123-807-108-211-035</x:v>
      </x:c>
    </x:row>
    <x:row r="51">
      <x:c r="A51" s="87" t="str">
        <x:v>AstraZeneca_Lens_RAW_2009_2024.csv.csv</x:v>
      </x:c>
      <x:c r="B51" s="87" t="str">
        <x:v>AstraZeneca</x:v>
      </x:c>
      <x:c r="C51" s="87"/>
      <x:c r="D51" s="87" t="str">
        <x:v>Yes</x:v>
      </x:c>
      <x:c r="E51" s="87" t="str">
        <x:v>astrazeneca</x:v>
      </x:c>
      <x:c r="F51" s="87" t="str">
        <x:v>49</x:v>
      </x:c>
      <x:c r="G51" s="87" t="str">
        <x:v>156-833-288-976-890</x:v>
      </x:c>
      <x:c r="H51" s="110" t="n">
        <x:v>44607</x:v>
      </x:c>
      <x:c r="I51" s="88" t="n">
        <x:v>2022</x:v>
      </x:c>
      <x:c r="J51" s="87" t="str">
        <x:v>US</x:v>
      </x:c>
      <x:c r="K51" s="87" t="str">
        <x:v>A1</x:v>
      </x:c>
      <x:c r="L51" s="87" t="str">
        <x:v>US 2025/0134887 A1</x:v>
      </x:c>
      <x:c r="M51" s="87" t="str">
        <x:v>ASTRAZENECA AB</x:v>
      </x:c>
      <x:c r="N51" s="87" t="str">
        <x:v>ASTRAZENECA PHARMACEUTICALS LP (2022-08-22);;ASTRAZENECA UK LIMITED (2022-08-23);;ASTRAZENECA AB (2022-08-24)</x:v>
      </x:c>
      <x:c r="O51" s="87" t="str">
        <x:v>METHODS OF TREATING PROSTATE CANCER</x:v>
      </x:c>
      <x:c r="P51" s="109" t="n">
        <x:v>0</x:v>
      </x:c>
      <x:c r="Q51" s="109" t="n">
        <x:v>11</x:v>
      </x:c>
      <x:c r="R51" s="87" t="str">
        <x:v>A61K31/502;;A61K31/337;;A61K31/4166;;A61K31/573;;A61K31/58;;A61P35/00;;A61P35/04;;A61K31/502;;A61K31/337;;A61K31/4166;;A61K31/573;;A61K31/58;;A61K2300/00;;A61P35/00;;A61P35/04;;A61K31/502;;A61K31/573;;A61K31/58;;A61K2300/00;;A61P35/04;;A61K31/502;;A61K31/573;;A61K31/58;;A61P35/04</x:v>
      </x:c>
      <x:c r="S51" s="87" t="str">
        <x:v>A61K31/502;;A61K31/573;;A61K31/58;;A61P35/04</x:v>
      </x:c>
      <x:c r="T51" s="87" t="str">
        <x:v>PENDING</x:v>
      </x:c>
      <x:c r="U51" s="87" t="str">
        <x:v>https://lens.org/156-833-288-976-890</x:v>
      </x:c>
    </x:row>
    <x:row r="52">
      <x:c r="A52" s="87" t="str">
        <x:v>AstraZeneca_Lens_RAW_2009_2024.csv.csv</x:v>
      </x:c>
      <x:c r="B52" s="87" t="str">
        <x:v>AstraZeneca</x:v>
      </x:c>
      <x:c r="C52" s="87"/>
      <x:c r="D52" s="87" t="str">
        <x:v>Yes</x:v>
      </x:c>
      <x:c r="E52" s="87" t="str">
        <x:v>astrazeneca</x:v>
      </x:c>
      <x:c r="F52" s="87" t="str">
        <x:v>50</x:v>
      </x:c>
      <x:c r="G52" s="87" t="str">
        <x:v>033-317-694-741-076</x:v>
      </x:c>
      <x:c r="H52" s="110" t="n">
        <x:v>42724</x:v>
      </x:c>
      <x:c r="I52" s="88" t="n">
        <x:v>2016</x:v>
      </x:c>
      <x:c r="J52" s="87" t="str">
        <x:v>US</x:v>
      </x:c>
      <x:c r="K52" s="87" t="str">
        <x:v>A1</x:v>
      </x:c>
      <x:c r="L52" s="87" t="str">
        <x:v>US 2025/0140360 A1</x:v>
      </x:c>
      <x:c r="M52" s="87" t="str">
        <x:v>ASTRAZENECA UK LTD</x:v>
      </x:c>
      <x:c r="N52" s="87" t="str">
        <x:v>ASTRAZENECA UK LIMITED (2016-10-16)</x:v>
      </x:c>
      <x:c r="O52" s="87" t="str">
        <x:v>SYSTEMS AND METHODS FOR DISPENSING A STATIN MEDICATION OVER THE COUNTER</x:v>
      </x:c>
      <x:c r="P52" s="109" t="n">
        <x:v>0</x:v>
      </x:c>
      <x:c r="Q52" s="109" t="n">
        <x:v>8</x:v>
      </x:c>
      <x:c r="R52" s="87" t="str">
        <x:v>A61K31/505;;G16H10/20;;G16H20/10;;G16H50/30;;G16H20/10;;A61K31/505;;G16H50/30</x:v>
      </x:c>
      <x:c r="S52" s="87" t="str">
        <x:v>G16H20/10;;A61K31/505;;G16H50/30</x:v>
      </x:c>
      <x:c r="T52" s="87" t="str">
        <x:v>ACTIVE</x:v>
      </x:c>
      <x:c r="U52" s="87" t="str">
        <x:v>https://lens.org/033-317-694-741-076</x:v>
      </x:c>
    </x:row>
    <x:row r="53">
      <x:c r="A53" s="87" t="str">
        <x:v>AstraZeneca_Lens_RAW_2009_2024.csv.csv</x:v>
      </x:c>
      <x:c r="B53" s="87" t="str">
        <x:v>AstraZeneca</x:v>
      </x:c>
      <x:c r="C53" s="87"/>
      <x:c r="D53" s="87" t="str">
        <x:v>Yes</x:v>
      </x:c>
      <x:c r="E53" s="87" t="str">
        <x:v>astrazeneca</x:v>
      </x:c>
      <x:c r="F53" s="87" t="str">
        <x:v>51</x:v>
      </x:c>
      <x:c r="G53" s="87" t="str">
        <x:v>023-807-487-794-131</x:v>
      </x:c>
      <x:c r="H53" s="110" t="n">
        <x:v>45195</x:v>
      </x:c>
      <x:c r="I53" s="88" t="n">
        <x:v>2023</x:v>
      </x:c>
      <x:c r="J53" s="87" t="str">
        <x:v>US</x:v>
      </x:c>
      <x:c r="K53" s="87" t="str">
        <x:v>A1</x:v>
      </x:c>
      <x:c r="L53" s="87" t="str">
        <x:v>US 2025/0121006 A1</x:v>
      </x:c>
      <x:c r="M53" s="87" t="str">
        <x:v>ASTRAZENECA AB</x:v>
      </x:c>
      <x:c r="N53" s="87" t="str">
        <x:v>ASTRAZENECA PHARMACEUTICALS LP (2024-08-05);;ASTRAZENECA UK LIMITED (2024-08-19);;ASTRAZENECA AB (2024-08-21)</x:v>
      </x:c>
      <x:c r="O53" s="87" t="str">
        <x:v>THERAPEUTIC COMBINATIONS COMPRISING ANTI-STEAP2 CHIMERIC ANTIGEN RECEPTOR T CELLS</x:v>
      </x:c>
      <x:c r="P53" s="109" t="n">
        <x:v>0</x:v>
      </x:c>
      <x:c r="Q53" s="109" t="n">
        <x:v>8</x:v>
      </x:c>
      <x:c r="R53" s="87" t="str">
        <x:v>A61P35/00;;C07K14/7051;;C07K14/70521;;C07K16/3069;;A61K2239/58;;C07K2319/03;;A61K40/4274;;A61K40/31;;A61K40/11;;A61K31/4166;;A61K40/11;;C07K14/7051;;A61K35/17;;A61P35/00;;A61K31/58;;A61K40/4274;;C07K16/3069;;A61K40/31;;C07K14/71;;A61K40/4274;;A61K40/31;;A61K40/11;;A61K31/4166;;A61K31/58;;A61K45/06;;A61P35/00;;C07K16/3069;;C07K14/7051;;C07K14/71;;A61K2300/00;;A61K2239/58;;C12N2840/203;;A61P35/00;;A61K2239/13;;A61K40/4274;;A61K40/31;;A61K40/11;;A61K31/4166;;A61K31/58;;A61K35/17;;C07K14/7051;;C07K14/71;;C07K16/3069;;C07K2317/565</x:v>
      </x:c>
      <x:c r="S53" s="87" t="str">
        <x:v>A61K35/17;;A61K31/4166;;A61K31/58;;A61K39/00;;A61P35/00;;C07K14/71;;C07K14/725;;C07K16/30</x:v>
      </x:c>
      <x:c r="T53" s="87" t="str">
        <x:v>PENDING</x:v>
      </x:c>
      <x:c r="U53" s="87" t="str">
        <x:v>https://lens.org/023-807-487-794-131</x:v>
      </x:c>
    </x:row>
    <x:row r="54">
      <x:c r="A54" s="87" t="str">
        <x:v>AstraZeneca_Lens_RAW_2009_2024.csv.csv</x:v>
      </x:c>
      <x:c r="B54" s="87" t="str">
        <x:v>AstraZeneca</x:v>
      </x:c>
      <x:c r="C54" s="87"/>
      <x:c r="D54" s="87" t="str">
        <x:v>Yes</x:v>
      </x:c>
      <x:c r="E54" s="87" t="str">
        <x:v>astrazeneca</x:v>
      </x:c>
      <x:c r="F54" s="87" t="str">
        <x:v>52</x:v>
      </x:c>
      <x:c r="G54" s="87" t="str">
        <x:v>059-376-607-369-637</x:v>
      </x:c>
      <x:c r="H54" s="110" t="n">
        <x:v>44550</x:v>
      </x:c>
      <x:c r="I54" s="88" t="n">
        <x:v>2021</x:v>
      </x:c>
      <x:c r="J54" s="87" t="str">
        <x:v>US</x:v>
      </x:c>
      <x:c r="K54" s="87" t="str">
        <x:v>A1</x:v>
      </x:c>
      <x:c r="L54" s="87" t="str">
        <x:v>US 2025/0121104 A1</x:v>
      </x:c>
      <x:c r="M54" s="87" t="str">
        <x:v>FUSION PHARMACEUTICALS INC;;ASTRAZENECA UK LTD</x:v>
      </x:c>
      <x:c r="N54" s="87" t="str">
        <x:v>MEDIMMUNE LIMITED (2022-07-28);;FUSION PHARMACEUTICALS INC (2023-02-14);;ASTRAZENECA PHARMACEUTICALS LP (2022-07-26);;ASTRAZENECA UK LIMITED (2022-08-02);;MEDIMMUNE LLC (2025-05-30)</x:v>
      </x:c>
      <x:c r="O54" s="87" t="str">
        <x:v>EGFR-CMET-TARGETED COMPOUNDS AND USES THEREOF</x:v>
      </x:c>
      <x:c r="P54" s="109" t="n">
        <x:v>0</x:v>
      </x:c>
      <x:c r="Q54" s="109" t="n">
        <x:v>16</x:v>
      </x:c>
      <x:c r="R54" s="87" t="str">
        <x:v>A61K51/1093;;A61K51/103;;A61K51/109;;A61K51/1096;;C07K16/2863;;C07K2317/31;;C07K2317/33;;C07K2317/35;;C07K2317/52;;C07K2317/77;;C07K2317/92;;A61K51/103;;A61K51/109;;A61K51/1093;;A61K51/1096;;C07K16/2863;;C07K2317/31;;C07K2317/33;;C07K2317/35;;C07K2317/52;;C07K2317/77;;C07K2317/92;;A61K51/1093;;A61K51/103;;A61K51/109;;A61K51/1096;;A61P35/00;;C07K16/2863;;C07K2317/31;;C07K2317/33;;C07K2317/35;;C07K2317/52;;C07K2317/77;;C07K2317/92;;A61K51/1093;;A61K45/06;;A61K51/103;;A61K51/109;;A61K2121/00;;A61P35/00;;C07K16/2863</x:v>
      </x:c>
      <x:c r="S54" s="87" t="str">
        <x:v>A61K51/10;;A61K45/06;;A61P35/00;;C07K16/28</x:v>
      </x:c>
      <x:c r="T54" s="87" t="str">
        <x:v>PENDING</x:v>
      </x:c>
      <x:c r="U54" s="87" t="str">
        <x:v>https://lens.org/059-376-607-369-637</x:v>
      </x:c>
    </x:row>
    <x:row r="55">
      <x:c r="A55" s="87" t="str">
        <x:v>AstraZeneca_Lens_RAW_2009_2024.csv.csv</x:v>
      </x:c>
      <x:c r="B55" s="87" t="str">
        <x:v>AstraZeneca</x:v>
      </x:c>
      <x:c r="C55" s="87"/>
      <x:c r="D55" s="87" t="str">
        <x:v>Yes</x:v>
      </x:c>
      <x:c r="E55" s="87" t="str">
        <x:v>astrazeneca</x:v>
      </x:c>
      <x:c r="F55" s="87" t="str">
        <x:v>53</x:v>
      </x:c>
      <x:c r="G55" s="87" t="str">
        <x:v>026-341-005-250-949</x:v>
      </x:c>
      <x:c r="H55" s="110" t="n">
        <x:v>44719</x:v>
      </x:c>
      <x:c r="I55" s="88" t="n">
        <x:v>2022</x:v>
      </x:c>
      <x:c r="J55" s="87" t="str">
        <x:v>EP</x:v>
      </x:c>
      <x:c r="K55" s="87" t="str">
        <x:v>A1</x:v>
      </x:c>
      <x:c r="L55" s="87" t="str">
        <x:v>EP 4536628 A1</x:v>
      </x:c>
      <x:c r="M55" s="87" t="str">
        <x:v>ASTRAZENECA AB;;MITSUBISHI TANABE PHARMA CORP</x:v>
      </x:c>
      <x:c r="N55" s="87" t="str">
        <x:v>TANABE PHARMA CORPORATION (2026-05-20);;ASTRAZENECA AB (2026-05-20)</x:v>
      </x:c>
      <x:c r="O55" s="87" t="str">
        <x:v>SOLID FORMS OF RXFP1 MODULATORS</x:v>
      </x:c>
      <x:c r="P55" s="109" t="n">
        <x:v>0</x:v>
      </x:c>
      <x:c r="Q55" s="109" t="n">
        <x:v>5</x:v>
      </x:c>
      <x:c r="R55" s="87" t="str">
        <x:v>C07C237/52;;A61P9/04;;C07B2200/07;;C07B2200/13;;C07C2601/14;;C07C2602/42</x:v>
      </x:c>
      <x:c r="S55" s="87" t="str">
        <x:v>C07C237/52;;A61P9/04</x:v>
      </x:c>
      <x:c r="T55" s="87" t="str">
        <x:v>PENDING</x:v>
      </x:c>
      <x:c r="U55" s="87" t="str">
        <x:v>https://lens.org/026-341-005-250-949</x:v>
      </x:c>
    </x:row>
    <x:row r="56">
      <x:c r="A56" s="87" t="str">
        <x:v>AstraZeneca_Lens_RAW_2009_2024.csv.csv</x:v>
      </x:c>
      <x:c r="B56" s="87" t="str">
        <x:v>AstraZeneca</x:v>
      </x:c>
      <x:c r="C56" s="87"/>
      <x:c r="D56" s="87" t="str">
        <x:v>Yes</x:v>
      </x:c>
      <x:c r="E56" s="87" t="str">
        <x:v>astrazeneca</x:v>
      </x:c>
      <x:c r="F56" s="87" t="str">
        <x:v>54</x:v>
      </x:c>
      <x:c r="G56" s="87" t="str">
        <x:v>167-619-400-839-127</x:v>
      </x:c>
      <x:c r="H56" s="110" t="n">
        <x:v>44474</x:v>
      </x:c>
      <x:c r="I56" s="88" t="n">
        <x:v>2021</x:v>
      </x:c>
      <x:c r="J56" s="87" t="str">
        <x:v>US</x:v>
      </x:c>
      <x:c r="K56" s="87" t="str">
        <x:v>A1</x:v>
      </x:c>
      <x:c r="L56" s="87" t="str">
        <x:v>US 2025/0115612 A1</x:v>
      </x:c>
      <x:c r="M56" s="87" t="str">
        <x:v>ASTRAZENECA AB</x:v>
      </x:c>
      <x:c r="N56" s="87" t="str">
        <x:v>ASTRAZENECA AB (2022-09-15)</x:v>
      </x:c>
      <x:c r="O56" s="87" t="str">
        <x:v>CERTAIN 2,5-DIAZABICYCLO[4.2.0]OCTANES AND OCTAHYDROFURO[3,4-B]PYRAZINES AS GLP-1 RECEPTOR MODULATORS</x:v>
      </x:c>
      <x:c r="P56" s="109" t="n">
        <x:v>0</x:v>
      </x:c>
      <x:c r="Q56" s="109" t="n">
        <x:v>2</x:v>
      </x:c>
      <x:c r="R56" s="87" t="str">
        <x:v>C07D401/14;;A61P3/00;;A61P9/00;;C07D405/14;;C07D498/04;;C07D491/048;;A61K31/498;;A61K31/4985;;C07D401/14;;C07D405/14;;C07D413/14</x:v>
      </x:c>
      <x:c r="S56" s="87" t="str">
        <x:v>C07D491/048;;A61K31/498;;A61K31/4985;;C07D401/14;;C07D405/14;;C07D413/14</x:v>
      </x:c>
      <x:c r="T56" s="87" t="str">
        <x:v>PENDING</x:v>
      </x:c>
      <x:c r="U56" s="87" t="str">
        <x:v>https://lens.org/167-619-400-839-127</x:v>
      </x:c>
    </x:row>
    <x:row r="57">
      <x:c r="A57" s="87" t="str">
        <x:v>AstraZeneca_Lens_RAW_2009_2024.csv.csv</x:v>
      </x:c>
      <x:c r="B57" s="87" t="str">
        <x:v>AstraZeneca</x:v>
      </x:c>
      <x:c r="C57" s="87"/>
      <x:c r="D57" s="87" t="str">
        <x:v>Yes</x:v>
      </x:c>
      <x:c r="E57" s="87" t="str">
        <x:v>astrazeneca</x:v>
      </x:c>
      <x:c r="F57" s="87" t="str">
        <x:v>55</x:v>
      </x:c>
      <x:c r="G57" s="87" t="str">
        <x:v>108-068-552-629-26X</x:v>
      </x:c>
      <x:c r="H57" s="110" t="n">
        <x:v>44574</x:v>
      </x:c>
      <x:c r="I57" s="88" t="n">
        <x:v>2022</x:v>
      </x:c>
      <x:c r="J57" s="87" t="str">
        <x:v>US</x:v>
      </x:c>
      <x:c r="K57" s="87" t="str">
        <x:v>A1</x:v>
      </x:c>
      <x:c r="L57" s="87" t="str">
        <x:v>US 2025/0115660 A1</x:v>
      </x:c>
      <x:c r="M57" s="87" t="str">
        <x:v>ASTRAZENECA AB</x:v>
      </x:c>
      <x:c r="N57" s="87" t="str">
        <x:v>MEDIMMUNE LIMITED (2022-09-02);;ASTRAZENECA UK LIMITED (2022-08-23);;ASTRAZENECA AB (2022-09-08)</x:v>
      </x:c>
      <x:c r="O57" s="87" t="str">
        <x:v>METHODS OF IMPROVING PROTEIN EXPRESSION</x:v>
      </x:c>
      <x:c r="P57" s="109" t="n">
        <x:v>0</x:v>
      </x:c>
      <x:c r="Q57" s="109" t="n">
        <x:v>5</x:v>
      </x:c>
      <x:c r="R57" s="87" t="str">
        <x:v>C07K16/00;;C07K16/00;;C07K2317/14;;C07K2317/24;;C12N15/85;;C12N2800/22</x:v>
      </x:c>
      <x:c r="S57" s="87" t="str">
        <x:v>C07K16/00;;C12N15/85</x:v>
      </x:c>
      <x:c r="T57" s="87" t="str">
        <x:v>PENDING</x:v>
      </x:c>
      <x:c r="U57" s="87" t="str">
        <x:v>https://lens.org/108-068-552-629-26X</x:v>
      </x:c>
    </x:row>
    <x:row r="58">
      <x:c r="A58" s="87" t="str">
        <x:v>AstraZeneca_Lens_RAW_2009_2024.csv.csv</x:v>
      </x:c>
      <x:c r="B58" s="87" t="str">
        <x:v>AstraZeneca</x:v>
      </x:c>
      <x:c r="C58" s="87"/>
      <x:c r="D58" s="87" t="str">
        <x:v>Yes</x:v>
      </x:c>
      <x:c r="E58" s="87" t="str">
        <x:v>astrazeneca</x:v>
      </x:c>
      <x:c r="F58" s="87" t="str">
        <x:v>56</x:v>
      </x:c>
      <x:c r="G58" s="87" t="str">
        <x:v>173-407-195-662-643</x:v>
      </x:c>
      <x:c r="H58" s="110" t="n">
        <x:v>45209</x:v>
      </x:c>
      <x:c r="I58" s="88" t="n">
        <x:v>2023</x:v>
      </x:c>
      <x:c r="J58" s="87" t="str">
        <x:v>US</x:v>
      </x:c>
      <x:c r="K58" s="87" t="str">
        <x:v>A1</x:v>
      </x:c>
      <x:c r="L58" s="87" t="str">
        <x:v>US 2025/0115678 A1</x:v>
      </x:c>
      <x:c r="M58" s="87" t="str">
        <x:v>ASTRAZENECA AB</x:v>
      </x:c>
      <x:c r="N58" s="87" t="str">
        <x:v>MEDIMMUNE LIMITED (2025-01-23);;ASTRAZENECA PHARMACEUTICALS LP (2025-03-28);;ASTRAZENECA UK LIMITED (2025-04-10);;ASTRAZENECA AB (2025-04-10);;MEDIMMUNE LLC (2025-02-28)</x:v>
      </x:c>
      <x:c r="O58" s="87" t="str">
        <x:v>T CELL BINDING COMPOSITIONS AND METHODS</x:v>
      </x:c>
      <x:c r="P58" s="109" t="n">
        <x:v>0</x:v>
      </x:c>
      <x:c r="Q58" s="109" t="n">
        <x:v>9</x:v>
      </x:c>
      <x:c r="R58" s="87" t="str">
        <x:v>C07K16/2887;;C07K16/2815;;C07K16/303;;C07K16/2809;;C07K2317/569;;C07K2317/22;;C07K2317/31;;C07K2317/55;;C07K2317/35;;A61P35/00;;A61P37/06;;A61K2039/505;;C07K2317/92;;C07K2317/24;;C07K2317/52;;C07K2317/33;;C07K16/303;;C07K2317/35;;A61P37/06;;C07K16/2815;;C07K16/30;;C07K2317/52;;C07K2317/92;;C07K2317/73;;C07K16/18;;C07K16/2809;;C07K16/2887;;C07K2317/24;;C07K2317/569;;A61P35/00;;C07K2317/22;;C07K2317/31;;C07K2317/33;;C07K2317/55;;A61K2039/505;;C07K16/2878;;C07K16/28;;C07K16/2887;;C07K16/303;;C07K16/18;;C07K16/2809;;C07K14/7051;;A61P37/02;;A61P35/00;;A61K2039/505;;C07K2317/24;;C07K2317/73;;C07K2317/569;;C07K2317/22;;A61P35/00;;A61K2039/505;;C07K16/18;;C07K16/2809;;C07K16/2887;;C07K16/30;;C07K16/303;;C07K2317/24;;C07K2317/55;;C07K2317/569;;C07K2317/73;;C07K2317/92</x:v>
      </x:c>
      <x:c r="S58" s="87" t="str">
        <x:v>C07K16/30;;A61K39/00;;A61P35/00;;C07K16/18;;C07K16/28</x:v>
      </x:c>
      <x:c r="T58" s="87" t="str">
        <x:v>PENDING</x:v>
      </x:c>
      <x:c r="U58" s="87" t="str">
        <x:v>https://lens.org/173-407-195-662-643</x:v>
      </x:c>
    </x:row>
    <x:row r="59">
      <x:c r="A59" s="87" t="str">
        <x:v>AstraZeneca_Lens_RAW_2009_2024.csv.csv</x:v>
      </x:c>
      <x:c r="B59" s="87" t="str">
        <x:v>AstraZeneca</x:v>
      </x:c>
      <x:c r="C59" s="87"/>
      <x:c r="D59" s="87" t="str">
        <x:v>Yes</x:v>
      </x:c>
      <x:c r="E59" s="87" t="str">
        <x:v>astrazeneca</x:v>
      </x:c>
      <x:c r="F59" s="87" t="str">
        <x:v>57</x:v>
      </x:c>
      <x:c r="G59" s="87" t="str">
        <x:v>196-561-590-030-603</x:v>
      </x:c>
      <x:c r="H59" s="110" t="n">
        <x:v>44587</x:v>
      </x:c>
      <x:c r="I59" s="88" t="n">
        <x:v>2022</x:v>
      </x:c>
      <x:c r="J59" s="87" t="str">
        <x:v>US</x:v>
      </x:c>
      <x:c r="K59" s="87" t="str">
        <x:v>A1</x:v>
      </x:c>
      <x:c r="L59" s="87" t="str">
        <x:v>US 2025/0108065 A1</x:v>
      </x:c>
      <x:c r="M59" s="87" t="str">
        <x:v>ASTRAZENECA AB</x:v>
      </x:c>
      <x:c r="N59" s="87" t="str">
        <x:v>ASTRAZENECA PHARMACEUTICALS LP (2022-07-14);;ASTRAZENECA UK LIMITED (2022-08-30);;ASTRAZENECA AB (2022-09-08)</x:v>
      </x:c>
      <x:c r="O59" s="87" t="str">
        <x:v>METHODS OF TREATING PREDIABETES OR REDUCING THE RISK OF DEVELOPING TYPE 2 DIABETES WITH DAPAGLIFLOZIN</x:v>
      </x:c>
      <x:c r="P59" s="109" t="n">
        <x:v>0</x:v>
      </x:c>
      <x:c r="Q59" s="109" t="n">
        <x:v>5</x:v>
      </x:c>
      <x:c r="R59" s="87" t="str">
        <x:v>A61K31/70;;A61K31/351;;A61K31/382;;A61K31/401;;A61K31/41;;A61K31/4178;;A61K31/4184;;A61K31/7042;;A61K31/7048;;A61P3/04;;A61P3/10;;A61P9/00;;A61P9/12;;A61K31/70;;A61K45/06;;A61P3/10;;A61P9/12</x:v>
      </x:c>
      <x:c r="S59" s="87" t="str">
        <x:v>A61K31/70;;A61K45/06;;A61P3/10;;A61P9/12</x:v>
      </x:c>
      <x:c r="T59" s="87" t="str">
        <x:v>PENDING</x:v>
      </x:c>
      <x:c r="U59" s="87" t="str">
        <x:v>https://lens.org/196-561-590-030-603</x:v>
      </x:c>
    </x:row>
    <x:row r="60">
      <x:c r="A60" s="87" t="str">
        <x:v>AstraZeneca_Lens_RAW_2009_2024.csv.csv</x:v>
      </x:c>
      <x:c r="B60" s="87" t="str">
        <x:v>AstraZeneca</x:v>
      </x:c>
      <x:c r="C60" s="87"/>
      <x:c r="D60" s="87" t="str">
        <x:v>Yes</x:v>
      </x:c>
      <x:c r="E60" s="87" t="str">
        <x:v>astrazeneca</x:v>
      </x:c>
      <x:c r="F60" s="87" t="str">
        <x:v>58</x:v>
      </x:c>
      <x:c r="G60" s="87" t="str">
        <x:v>130-175-215-441-734</x:v>
      </x:c>
      <x:c r="H60" s="110" t="n">
        <x:v>41733</x:v>
      </x:c>
      <x:c r="I60" s="88" t="n">
        <x:v>2014</x:v>
      </x:c>
      <x:c r="J60" s="87" t="str">
        <x:v>US</x:v>
      </x:c>
      <x:c r="K60" s="87" t="str">
        <x:v>A1</x:v>
      </x:c>
      <x:c r="L60" s="87" t="str">
        <x:v>US 2025/0108050 A1</x:v>
      </x:c>
      <x:c r="M60" s="87" t="str">
        <x:v>ASTRAZENECA AB</x:v>
      </x:c>
      <x:c r="N60" s="87" t="str">
        <x:v>ASTRAZENECA UK LIMITED (2015-10-06);;ASTRAZENECA AB (2015-06-17)</x:v>
      </x:c>
      <x:c r="O60" s="87" t="str">
        <x:v>COMBINATION OF EGFR INHIBITOR AND MEK INHIBITOR FOR USE IN THE TREATMENT OF NRAS MUTATED CANCER</x:v>
      </x:c>
      <x:c r="P60" s="109" t="n">
        <x:v>0</x:v>
      </x:c>
      <x:c r="Q60" s="109" t="n">
        <x:v>25</x:v>
      </x:c>
      <x:c r="R60" s="87" t="str">
        <x:v>A61K31/4184;;A61K31/506;;A61K31/5377;;A61K45/06;;A61K31/4184;;A61K31/506;;A61K31/5377;;A61P11/00;;A61P35/00;;A61P43/00;;A61K31/5377;;A61K31/4184;;A61K31/506;;A61K2300/00;;A61P35/00;;A61K31/4184;;A61K31/506;;A61K48/0058;;A61P35/00;;A61K31/4184;;A61K31/4458;;A61K31/506;;A61K31/517;;A61K31/519;;A61K31/5377</x:v>
      </x:c>
      <x:c r="S60" s="87" t="str">
        <x:v>A61K31/506;;A61K31/4184;;A61K31/4458;;A61K31/517;;A61K31/519;;A61K31/5377;;A61P35/00</x:v>
      </x:c>
      <x:c r="T60" s="87" t="str">
        <x:v>PENDING</x:v>
      </x:c>
      <x:c r="U60" s="87" t="str">
        <x:v>https://lens.org/130-175-215-441-734</x:v>
      </x:c>
    </x:row>
    <x:row r="61">
      <x:c r="A61" s="87" t="str">
        <x:v>AstraZeneca_Lens_RAW_2009_2024.csv.csv</x:v>
      </x:c>
      <x:c r="B61" s="87" t="str">
        <x:v>AstraZeneca</x:v>
      </x:c>
      <x:c r="C61" s="87"/>
      <x:c r="D61" s="87" t="str">
        <x:v>Yes</x:v>
      </x:c>
      <x:c r="E61" s="87" t="str">
        <x:v>astrazeneca</x:v>
      </x:c>
      <x:c r="F61" s="87" t="str">
        <x:v>59</x:v>
      </x:c>
      <x:c r="G61" s="87" t="str">
        <x:v>186-815-879-048-104</x:v>
      </x:c>
      <x:c r="H61" s="110" t="n">
        <x:v>43100</x:v>
      </x:c>
      <x:c r="I61" s="88" t="n">
        <x:v>2017</x:v>
      </x:c>
      <x:c r="J61" s="87" t="str">
        <x:v>EP</x:v>
      </x:c>
      <x:c r="K61" s="87" t="str">
        <x:v>B1</x:v>
      </x:c>
      <x:c r="L61" s="87" t="str">
        <x:v>EP 3506165 B1</x:v>
      </x:c>
      <x:c r="M61" s="87" t="str">
        <x:v>ASTRAZENECA COMPUTATIONAL PATHOLOGY GMBH</x:v>
      </x:c>
      <x:c r="N61" s="87" t="str">
        <x:v>DEFINIENS GMBH (2020-07-15);;ASTRAZENECA COMPUTATIONAL PATHOLOGY GMBH (2021-12-22)</x:v>
      </x:c>
      <x:c r="O61" s="87" t="str">
        <x:v>USING A FIRST STAIN TO TRAIN A MODEL TO PREDICT THE REGION STAINED BY A SECOND STAIN</x:v>
      </x:c>
      <x:c r="P61" s="109" t="n">
        <x:v>0</x:v>
      </x:c>
      <x:c r="Q61" s="109" t="n">
        <x:v>6</x:v>
      </x:c>
      <x:c r="R61" s="87" t="str">
        <x:v>G06V20/69;;G06T7/0012;;G06V10/82;;G06N3/084;;G01N1/30;;G06N5/04;;G06N20/10;;G06T5/20;;G06T7/0012;;G06T2207/20081;;G06T2207/30024;;G06V20/69</x:v>
      </x:c>
      <x:c r="S61" s="87" t="str">
        <x:v>G06V20/69;;G06T7/00;;G06V10/82</x:v>
      </x:c>
      <x:c r="T61" s="87" t="str">
        <x:v>ACTIVE</x:v>
      </x:c>
      <x:c r="U61" s="87" t="str">
        <x:v>https://lens.org/186-815-879-048-104</x:v>
      </x:c>
    </x:row>
    <x:row r="62">
      <x:c r="A62" s="87" t="str">
        <x:v>AstraZeneca_Lens_RAW_2009_2024.csv.csv</x:v>
      </x:c>
      <x:c r="B62" s="87" t="str">
        <x:v>AstraZeneca</x:v>
      </x:c>
      <x:c r="C62" s="87"/>
      <x:c r="D62" s="87" t="str">
        <x:v>Yes</x:v>
      </x:c>
      <x:c r="E62" s="87" t="str">
        <x:v>astrazeneca</x:v>
      </x:c>
      <x:c r="F62" s="87" t="str">
        <x:v>60</x:v>
      </x:c>
      <x:c r="G62" s="87" t="str">
        <x:v>148-441-544-127-183</x:v>
      </x:c>
      <x:c r="H62" s="110" t="n">
        <x:v>43945</x:v>
      </x:c>
      <x:c r="I62" s="88" t="n">
        <x:v>2020</x:v>
      </x:c>
      <x:c r="J62" s="87" t="str">
        <x:v>US</x:v>
      </x:c>
      <x:c r="K62" s="87" t="str">
        <x:v>B2</x:v>
      </x:c>
      <x:c r="L62" s="87" t="str">
        <x:v>US 12264190 B2</x:v>
      </x:c>
      <x:c r="M62" s="87" t="str">
        <x:v>ASTRAZENECA AB</x:v>
      </x:c>
      <x:c r="N62" s="87" t="str">
        <x:v>ASTRAZENECA PHARMACEUTICALS LP (2020-08-20);;ASTRAZENECA UK LIMITED (2020-08-26);;ASTRAZENECA AB (2020-09-04);;MEDIMMUNE LLC (2025-05-14)</x:v>
      </x:c>
      <x:c r="O62" s="87" t="str">
        <x:v>Compositions and methods of treating cancer with chimeric antigen receptors</x:v>
      </x:c>
      <x:c r="P62" s="109" t="n">
        <x:v>1</x:v>
      </x:c>
      <x:c r="Q62" s="109" t="n">
        <x:v>38</x:v>
      </x:c>
      <x:c r="R62" s="87" t="str">
        <x:v>C07K16/303;;C07K14/7051;;C07K14/71;;C12N5/0636;;C12N5/0638;;C12N5/0637;;C12N5/0646;;A61P35/00;;C07K2317/622;;C07K2319/03;;C07K2319/02;;C07K2319/33;;C07K2317/565;;C12N2510/00;;A61K40/11;;A61K40/31;;A61K40/421;;A61K2239/13;;A61K2239/21;;A61K2239/17;;A61K2039/844;;C12N5/0636;;C12N2510/00;;C07K14/7051;;C07K2319/03;;C07K14/715;;C07K2319/00;;C07K14/4702;;A61P35/00;;C12N5/0637;;C12N5/0638;;A61K2239/53;;C12N5/0646;;A61K40/11;;A61K40/31;;A61K40/4261;;C07K16/2836;;C07K14/7153;;C07K14/7151;;C07K2317/55;;C07K16/283;;C07K14/4702;;C07K14/71;;C07K2319/32;;C07K16/3092;;C07K14/715;;C07K2317/622;;C07K2319/30;;C12N5/0636;;C07K2319/00;;C07K16/2827;;C07K16/2866;;A61P35/00;;A61K2039/844;;C07K14/70521;;C07K16/3007;;C07K2319/03;;C07K16/32;;A61K38/1774;;C07K16/303;;A61K38/179;;C07K14/7051;;A61K39/3955;;A61K38/177;;C12N2510/00;;A61K45/06;;C07K16/2803;;C07K2317/53;;C07K16/30;;C07K14/70578;;C07K2319/02;;C07K16/2896;;A61K2239/53;;C12N5/0646;;C12N5/0638;;C12N5/0637;;A61K40/11;;A61K40/31;;A61K40/4261;;C07K14/7051;;C07K14/4702;;C07K16/303;;A61P35/00;;C12N2510/00;;A61K2039/844;;A61K2121/00;;A61K2300/00;;A61K40/11;;A61K40/4261;;A61K2039/5156;;A61P35/00;;A61K38/177;;A61K38/1774;;A61K38/179;;A61K39/3955;;A61K45/06;;C07K14/7051;;C07K14/70521;;C07K14/70578;;C07K14/71;;C07K14/7151;;C07K14/7153;;C07K16/2803;;C07K16/2827;;C07K16/283;;C07K16/2836;;C07K16/2866;;C07K16/2896;;C07K16/30;;C07K16/3007;;C07K16/303;;C07K16/3092;;C07K16/32;;C07K2317/53;;C07K2317/55;;C07K2317/622;;C07K2319/02;;C07K2319/03;;C07K2319/30;;C07K2319/32;;A61K2239/21;;C07K14/70567;;C12N5/0637;;A61K2239/53;;C12N5/0636;;C12N5/0638;;C12N5/0646;;A61K40/11;;A61K40/15;;A61K40/31;;A61K40/4261;;A61K35/17;;C07K14/7056</x:v>
      </x:c>
      <x:c r="S62" s="87" t="str">
        <x:v>C07K14/725;;A61K35/17;;A61K38/17;;A61K39/00;;A61K39/395;;A61K45/06;;A61P35/00;;C07K14/705;;C07K14/71;;C07K14/715;;C07K16/28;;C07K16/30;;C07K16/32;;C12N5/0783</x:v>
      </x:c>
      <x:c r="T62" s="87" t="str">
        <x:v>ACTIVE</x:v>
      </x:c>
      <x:c r="U62" s="87" t="str">
        <x:v>https://lens.org/148-441-544-127-183</x:v>
      </x:c>
    </x:row>
    <x:row r="63">
      <x:c r="A63" s="87" t="str">
        <x:v>AstraZeneca_Lens_RAW_2009_2024.csv.csv</x:v>
      </x:c>
      <x:c r="B63" s="87" t="str">
        <x:v>AstraZeneca</x:v>
      </x:c>
      <x:c r="C63" s="87"/>
      <x:c r="D63" s="87" t="str">
        <x:v>Yes</x:v>
      </x:c>
      <x:c r="E63" s="87" t="str">
        <x:v>astrazeneca</x:v>
      </x:c>
      <x:c r="F63" s="87" t="str">
        <x:v>61</x:v>
      </x:c>
      <x:c r="G63" s="87" t="str">
        <x:v>023-711-929-896-842</x:v>
      </x:c>
      <x:c r="H63" s="110" t="n">
        <x:v>45191</x:v>
      </x:c>
      <x:c r="I63" s="88" t="n">
        <x:v>2023</x:v>
      </x:c>
      <x:c r="J63" s="87" t="str">
        <x:v>US</x:v>
      </x:c>
      <x:c r="K63" s="87" t="str">
        <x:v>A1</x:v>
      </x:c>
      <x:c r="L63" s="87" t="str">
        <x:v>US 2025/0099580 A1</x:v>
      </x:c>
      <x:c r="M63" s="87" t="str">
        <x:v>ASTRAZENECA AB</x:v>
      </x:c>
      <x:c r="N63" s="87" t="str">
        <x:v>ASTRAZENECA PHARMACEUTICALS LP (2024-05-23);;ASTRAZENECA UK LIMITED (2024-06-04);;ASTRAZENECA AB (2024-06-04)</x:v>
      </x:c>
      <x:c r="O63" s="87" t="str">
        <x:v>TREATMENT OF GASTRIC CANCER AND/OR GASTROESOPHAGEAL JUNCTION CANCER</x:v>
      </x:c>
      <x:c r="P63" s="109" t="n">
        <x:v>0</x:v>
      </x:c>
      <x:c r="Q63" s="109" t="n">
        <x:v>7</x:v>
      </x:c>
      <x:c r="R63" s="87" t="str">
        <x:v>C07K16/2827;;A61K2039/545;;A61K39/395;;C07K2317/21;;A61P35/00;;A61K31/282;;A61K31/337;;A61K39/3955;;A61K39/395;;C07K2317/21;;A61K2039/505;;A61K31/513;;A61P35/00;;A61K2039/545;;A61K31/519;;C07K16/2827;;A61K39/39558;;A61K31/513;;A61K31/519;;A61K31/555;;A61K31/337;;A61K45/06;;A61P35/00;;C07K16/2827;;A61K2300/00;;A61K2039/505;;A61K2039/545;;A61K31/282;;A61K31/337;;A61K31/513;;A61K31/519;;A61K39/3955;;A61K2039/505;;A61K2039/545</x:v>
      </x:c>
      <x:c r="S63" s="87" t="str">
        <x:v>A61K39/395;;A61K31/282;;A61K31/337;;A61K31/513;;A61K31/519;;A61K39/00</x:v>
      </x:c>
      <x:c r="T63" s="87" t="str">
        <x:v>PENDING</x:v>
      </x:c>
      <x:c r="U63" s="87" t="str">
        <x:v>https://lens.org/023-711-929-896-842</x:v>
      </x:c>
    </x:row>
    <x:row r="64">
      <x:c r="A64" s="87" t="str">
        <x:v>AstraZeneca_Lens_RAW_2009_2024.csv.csv</x:v>
      </x:c>
      <x:c r="B64" s="87" t="str">
        <x:v>AstraZeneca</x:v>
      </x:c>
      <x:c r="C64" s="87"/>
      <x:c r="D64" s="87" t="str">
        <x:v>Yes</x:v>
      </x:c>
      <x:c r="E64" s="87" t="str">
        <x:v>astrazeneca</x:v>
      </x:c>
      <x:c r="F64" s="87" t="str">
        <x:v>62</x:v>
      </x:c>
      <x:c r="G64" s="87" t="str">
        <x:v>174-743-183-680-368</x:v>
      </x:c>
      <x:c r="H64" s="110" t="n">
        <x:v>44551</x:v>
      </x:c>
      <x:c r="I64" s="88" t="n">
        <x:v>2021</x:v>
      </x:c>
      <x:c r="J64" s="87" t="str">
        <x:v>US</x:v>
      </x:c>
      <x:c r="K64" s="87" t="str">
        <x:v>A1</x:v>
      </x:c>
      <x:c r="L64" s="87" t="str">
        <x:v>US 2025/0082630 A1</x:v>
      </x:c>
      <x:c r="M64" s="87" t="str">
        <x:v>ASTRAZENECA AB</x:v>
      </x:c>
      <x:c r="N64" s="87" t="str">
        <x:v>ASTRAZENECA UK LIMITED (2022-06-28);;ASTRAZENECA AB (2022-07-05)</x:v>
      </x:c>
      <x:c r="O64" s="87" t="str">
        <x:v>METHODS OF TREATING BRAIN TUMOURS AND NEUROBLASTOMAS</x:v>
      </x:c>
      <x:c r="P64" s="109" t="n">
        <x:v>0</x:v>
      </x:c>
      <x:c r="Q64" s="109" t="n">
        <x:v>18</x:v>
      </x:c>
      <x:c r="R64" s="87" t="str">
        <x:v>A61K31/498;;A61K45/06;;A61K31/495;;A61K31/336;;A61P35/00;;A61K41/0038;;A61K31/498;;A61P35/00;;A61K45/06;;A61K31/495;;A61K31/336;;A61K41/0038;;A61K2300/00;;A61K31/498;;A61K31/495;;A61K31/336;;A61K41/0038;;A61K45/06;;A61P35/00;;A61K2300/00;;A61P35/00;;A61K31/336;;A61K31/4188;;A61K31/498;;A61K41/0038;;A61N5/00</x:v>
      </x:c>
      <x:c r="S64" s="87" t="str">
        <x:v>A61K31/498;;A61K31/336;;A61K31/4188;;A61K41/00;;A61N5/00;;A61P35/00</x:v>
      </x:c>
      <x:c r="T64" s="87" t="str">
        <x:v>PENDING</x:v>
      </x:c>
      <x:c r="U64" s="87" t="str">
        <x:v>https://lens.org/174-743-183-680-368</x:v>
      </x:c>
    </x:row>
    <x:row r="65">
      <x:c r="A65" s="87" t="str">
        <x:v>AstraZeneca_Lens_RAW_2009_2024.csv.csv</x:v>
      </x:c>
      <x:c r="B65" s="87" t="str">
        <x:v>AstraZeneca</x:v>
      </x:c>
      <x:c r="C65" s="87"/>
      <x:c r="D65" s="87" t="str">
        <x:v>Yes</x:v>
      </x:c>
      <x:c r="E65" s="87" t="str">
        <x:v>astrazeneca</x:v>
      </x:c>
      <x:c r="F65" s="87" t="str">
        <x:v>63</x:v>
      </x:c>
      <x:c r="G65" s="87" t="str">
        <x:v>009-254-099-673-253</x:v>
      </x:c>
      <x:c r="H65" s="110" t="n">
        <x:v>44606</x:v>
      </x:c>
      <x:c r="I65" s="88" t="n">
        <x:v>2022</x:v>
      </x:c>
      <x:c r="J65" s="87" t="str">
        <x:v>US</x:v>
      </x:c>
      <x:c r="K65" s="87" t="str">
        <x:v>B2</x:v>
      </x:c>
      <x:c r="L65" s="87" t="str">
        <x:v>US 12240832 B2</x:v>
      </x:c>
      <x:c r="M65" s="87" t="str">
        <x:v>ASTRAZENECA AB</x:v>
      </x:c>
      <x:c r="N65" s="87" t="str">
        <x:v>ASTRAZENECA AB (2022-07-02)</x:v>
      </x:c>
      <x:c r="O65" s="87" t="str">
        <x:v>IRAK4 inhibitors</x:v>
      </x:c>
      <x:c r="P65" s="109" t="n">
        <x:v>0</x:v>
      </x:c>
      <x:c r="Q65" s="109" t="n">
        <x:v>24</x:v>
      </x:c>
      <x:c r="R65" s="87" t="str">
        <x:v>C07D401/14;;C07D401/12;;C07D413/14;;A61P35/00;;C07D405/14;;C07D401/14;;C07D401/12;;C07D405/14;;A61P35/00;;C07D413/14;;C07D401/12;;A61K31/4439;;A61K31/501;;A61P29/00;;A61P37/00;;A61P35/00;;C07D405/14;;C07D401/14;;C07D413/14;;A61K31/4439;;A61K31/444;;A61K31/501;;C07D401/12;;C07D401/14;;C07D405/14;;C07D413/14</x:v>
      </x:c>
      <x:c r="S65" s="87" t="str">
        <x:v>C07D401/14;;A61K31/4439;;A61K31/444;;A61K31/501;;C07D401/12;;C07D405/14;;C07D413/14</x:v>
      </x:c>
      <x:c r="T65" s="87" t="str">
        <x:v>ACTIVE</x:v>
      </x:c>
      <x:c r="U65" s="87" t="str">
        <x:v>https://lens.org/009-254-099-673-253</x:v>
      </x:c>
    </x:row>
    <x:row r="66">
      <x:c r="A66" s="87" t="str">
        <x:v>AstraZeneca_Lens_RAW_2009_2024.csv.csv</x:v>
      </x:c>
      <x:c r="B66" s="87" t="str">
        <x:v>AstraZeneca</x:v>
      </x:c>
      <x:c r="C66" s="87"/>
      <x:c r="D66" s="87" t="str">
        <x:v>Yes</x:v>
      </x:c>
      <x:c r="E66" s="87" t="str">
        <x:v>astrazeneca</x:v>
      </x:c>
      <x:c r="F66" s="87" t="str">
        <x:v>64</x:v>
      </x:c>
      <x:c r="G66" s="87" t="str">
        <x:v>178-230-520-595-490</x:v>
      </x:c>
      <x:c r="H66" s="110" t="n">
        <x:v>44558</x:v>
      </x:c>
      <x:c r="I66" s="88" t="n">
        <x:v>2021</x:v>
      </x:c>
      <x:c r="J66" s="87" t="str">
        <x:v>US</x:v>
      </x:c>
      <x:c r="K66" s="87" t="str">
        <x:v>A1</x:v>
      </x:c>
      <x:c r="L66" s="87" t="str">
        <x:v>US 2025/0064967 A1</x:v>
      </x:c>
      <x:c r="M66" s="87" t="str">
        <x:v>ASTRAZENECA UK LTD;;DAIICHI SANKYO CO LTD</x:v>
      </x:c>
      <x:c r="N66" s="87" t="str">
        <x:v>DAIICHI SANKYO COMPANY LIMITED (2022-12-13);;ASTRAZENECA PHARMACEUTICALS LP (2022-12-06);;ASTRAZENECA UK LIMITED (2022-12-13)</x:v>
      </x:c>
      <x:c r="O66" s="87" t="str">
        <x:v>COMBINATION OF ANTIBODY-DRUG CONJUGATE AND ATR INHIBITOR</x:v>
      </x:c>
      <x:c r="P66" s="109" t="n">
        <x:v>0</x:v>
      </x:c>
      <x:c r="Q66" s="109" t="n">
        <x:v>11</x:v>
      </x:c>
      <x:c r="R66" s="87" t="str">
        <x:v>A61K47/6851;;A61K39/39558;;A61K47/68037;;A61K2039/505;;A61K2039/545;;A61P35/00;;C07K16/30;;C07K2317/73;;A61K47/6851;;A61K39/39558;;A61K47/68037;;A61K2039/505;;A61K2039/545;;A61K2300/00;;A61P35/00;;C07K16/30;;C07K2317/73;;A61K47/6803;;A61K39/39558;;A61K47/6851;;A61K2039/505;;A61K2039/545;;A61P35/00;;C07K16/30;;C07K2317/73;;A61K47/6851;;A61K31/5377;;A61K47/68037;;A61K47/6889;;A61P35/00</x:v>
      </x:c>
      <x:c r="S66" s="87" t="str">
        <x:v>A61K47/68;;A61K31/5377;;A61P35/00</x:v>
      </x:c>
      <x:c r="T66" s="87" t="str">
        <x:v>PENDING</x:v>
      </x:c>
      <x:c r="U66" s="87" t="str">
        <x:v>https://lens.org/178-230-520-595-490</x:v>
      </x:c>
    </x:row>
    <x:row r="67">
      <x:c r="A67" s="87" t="str">
        <x:v>AstraZeneca_Lens_RAW_2009_2024.csv.csv</x:v>
      </x:c>
      <x:c r="B67" s="87" t="str">
        <x:v>AstraZeneca</x:v>
      </x:c>
      <x:c r="C67" s="87"/>
      <x:c r="D67" s="87" t="str">
        <x:v>Yes</x:v>
      </x:c>
      <x:c r="E67" s="87" t="str">
        <x:v>astrazeneca</x:v>
      </x:c>
      <x:c r="F67" s="87" t="str">
        <x:v>65</x:v>
      </x:c>
      <x:c r="G67" s="87" t="str">
        <x:v>016-189-657-363-133</x:v>
      </x:c>
      <x:c r="H67" s="110" t="n">
        <x:v>45131</x:v>
      </x:c>
      <x:c r="I67" s="88" t="n">
        <x:v>2023</x:v>
      </x:c>
      <x:c r="J67" s="87" t="str">
        <x:v>US</x:v>
      </x:c>
      <x:c r="K67" s="87" t="str">
        <x:v>A1</x:v>
      </x:c>
      <x:c r="L67" s="87" t="str">
        <x:v>US 2025/0064944 A1</x:v>
      </x:c>
      <x:c r="M67" s="87" t="str">
        <x:v>ASTRAZENECA AB</x:v>
      </x:c>
      <x:c r="N67" s="87" t="str">
        <x:v>ASTRAZENECA AB (2025-01-27)</x:v>
      </x:c>
      <x:c r="O67" s="87" t="str">
        <x:v>MULTIVALENT CARGO-CARRYING COMPLEXES AND USES THEREOF</x:v>
      </x:c>
      <x:c r="P67" s="109" t="n">
        <x:v>0</x:v>
      </x:c>
      <x:c r="Q67" s="109" t="n">
        <x:v>8</x:v>
      </x:c>
      <x:c r="R67" s="87" t="str">
        <x:v>A61K47/549;;A61P1/16;;A61K47/548;;A61K47/549;;C12N15/113;;C12N2310/11;;C12N2310/14;;C12N2310/3511</x:v>
      </x:c>
      <x:c r="S67" s="87" t="str">
        <x:v>A61K47/54;;C12N15/113</x:v>
      </x:c>
      <x:c r="T67" s="87" t="str">
        <x:v>PENDING</x:v>
      </x:c>
      <x:c r="U67" s="87" t="str">
        <x:v>https://lens.org/016-189-657-363-133</x:v>
      </x:c>
    </x:row>
    <x:row r="68">
      <x:c r="A68" s="87" t="str">
        <x:v>AstraZeneca_Lens_RAW_2009_2024.csv.csv</x:v>
      </x:c>
      <x:c r="B68" s="87" t="str">
        <x:v>AstraZeneca</x:v>
      </x:c>
      <x:c r="C68" s="87"/>
      <x:c r="D68" s="87" t="str">
        <x:v>Yes</x:v>
      </x:c>
      <x:c r="E68" s="87" t="str">
        <x:v>astrazeneca</x:v>
      </x:c>
      <x:c r="F68" s="87" t="str">
        <x:v>66</x:v>
      </x:c>
      <x:c r="G68" s="87" t="str">
        <x:v>182-223-093-654-300</x:v>
      </x:c>
      <x:c r="H68" s="110" t="n">
        <x:v>44546</x:v>
      </x:c>
      <x:c r="I68" s="88" t="n">
        <x:v>2021</x:v>
      </x:c>
      <x:c r="J68" s="87" t="str">
        <x:v>US</x:v>
      </x:c>
      <x:c r="K68" s="87" t="str">
        <x:v>A1</x:v>
      </x:c>
      <x:c r="L68" s="87" t="str">
        <x:v>US 2025/0066338 A1</x:v>
      </x:c>
      <x:c r="M68" s="87" t="str">
        <x:v>ASTRAZENECA AB</x:v>
      </x:c>
      <x:c r="N68" s="87" t="str">
        <x:v>ASTRAZENECA AB (2022-09-15)</x:v>
      </x:c>
      <x:c r="O68" s="87" t="str">
        <x:v>CERTAIN 3-AZABICYCLO[3.1.0]HEXANES AS GLP-1 RECEPTOR MODULATORS</x:v>
      </x:c>
      <x:c r="P68" s="109" t="n">
        <x:v>0</x:v>
      </x:c>
      <x:c r="Q68" s="109" t="n">
        <x:v>2</x:v>
      </x:c>
      <x:c r="R68" s="87" t="str">
        <x:v>C07D405/14;;A61P3/10;;C07D401/14;;C07D405/14;;A61K31/4439</x:v>
      </x:c>
      <x:c r="S68" s="87" t="str">
        <x:v>C07D405/14;;A61K31/4439</x:v>
      </x:c>
      <x:c r="T68" s="87" t="str">
        <x:v>PENDING</x:v>
      </x:c>
      <x:c r="U68" s="87" t="str">
        <x:v>https://lens.org/182-223-093-654-300</x:v>
      </x:c>
    </x:row>
    <x:row r="69">
      <x:c r="A69" s="87" t="str">
        <x:v>AstraZeneca_Lens_RAW_2009_2024.csv.csv</x:v>
      </x:c>
      <x:c r="B69" s="87" t="str">
        <x:v>AstraZeneca</x:v>
      </x:c>
      <x:c r="C69" s="87"/>
      <x:c r="D69" s="87" t="str">
        <x:v>Yes</x:v>
      </x:c>
      <x:c r="E69" s="87" t="str">
        <x:v>astrazeneca</x:v>
      </x:c>
      <x:c r="F69" s="87" t="str">
        <x:v>67</x:v>
      </x:c>
      <x:c r="G69" s="87" t="str">
        <x:v>058-370-805-912-983</x:v>
      </x:c>
      <x:c r="H69" s="110" t="n">
        <x:v>44550</x:v>
      </x:c>
      <x:c r="I69" s="88" t="n">
        <x:v>2021</x:v>
      </x:c>
      <x:c r="J69" s="87" t="str">
        <x:v>US</x:v>
      </x:c>
      <x:c r="K69" s="87" t="str">
        <x:v>A1</x:v>
      </x:c>
      <x:c r="L69" s="87" t="str">
        <x:v>US 2025/0057764 A1</x:v>
      </x:c>
      <x:c r="M69" s="87" t="str">
        <x:v>ASTRAZENECA AB</x:v>
      </x:c>
      <x:c r="N69" s="87" t="str">
        <x:v>ASTRAZENECA PHARMACEUTICALS LP (2022-09-20);;ASTRAZENECA UK LIMITED (2022-11-28);;ASTRAZENECA AB (2022-12-01)</x:v>
      </x:c>
      <x:c r="O69" s="87" t="str">
        <x:v>COMPOSITIONS, METHODS AND SYSTEMS FOR AEROSOL DRUG DELIVERY</x:v>
      </x:c>
      <x:c r="P69" s="109" t="n">
        <x:v>0</x:v>
      </x:c>
      <x:c r="Q69" s="109" t="n">
        <x:v>5</x:v>
      </x:c>
      <x:c r="R69" s="87" t="str">
        <x:v>A61K9/008;;A61K9/124;;A61K31/137;;A61K31/167;;A61K31/40;;A61K31/44;;A61K31/58;;A61K45/06;;A61K47/06;;A61K47/24;;A61P11/06;;A61P11/08;;A61K9/124;;A61K9/008;;A61K31/137;;A61K31/167;;A61K31/40;;A61K31/44;;A61K31/58;;A61K47/06;;A61K47/24</x:v>
      </x:c>
      <x:c r="S69" s="87" t="str">
        <x:v>A61K9/12;;A61K9/00;;A61K31/137;;A61K31/167;;A61K31/40;;A61K31/44;;A61K31/58;;A61K47/06;;A61K47/24</x:v>
      </x:c>
      <x:c r="T69" s="87" t="str">
        <x:v>PENDING</x:v>
      </x:c>
      <x:c r="U69" s="87" t="str">
        <x:v>https://lens.org/058-370-805-912-983</x:v>
      </x:c>
    </x:row>
    <x:row r="70">
      <x:c r="A70" s="87" t="str">
        <x:v>AstraZeneca_Lens_RAW_2009_2024.csv.csv</x:v>
      </x:c>
      <x:c r="B70" s="87" t="str">
        <x:v>AstraZeneca</x:v>
      </x:c>
      <x:c r="C70" s="87"/>
      <x:c r="D70" s="87" t="str">
        <x:v>Yes</x:v>
      </x:c>
      <x:c r="E70" s="87" t="str">
        <x:v>astrazeneca</x:v>
      </x:c>
      <x:c r="F70" s="87" t="str">
        <x:v>68</x:v>
      </x:c>
      <x:c r="G70" s="87" t="str">
        <x:v>068-972-311-459-198</x:v>
      </x:c>
      <x:c r="H70" s="110" t="n">
        <x:v>45138</x:v>
      </x:c>
      <x:c r="I70" s="88" t="n">
        <x:v>2023</x:v>
      </x:c>
      <x:c r="J70" s="87" t="str">
        <x:v>US</x:v>
      </x:c>
      <x:c r="K70" s="87" t="str">
        <x:v>A1</x:v>
      </x:c>
      <x:c r="L70" s="87" t="str">
        <x:v>US 2025/0051463 A1</x:v>
      </x:c>
      <x:c r="M70" s="87" t="str">
        <x:v>ASTRAZENECA AB</x:v>
      </x:c>
      <x:c r="N70" s="87" t="str">
        <x:v>ASTRAZENECA PHARMACEUTICALS LP (2024-04-22);;ASTRAZENECA AB (2023-11-16);;ASTRAZENECA UK LIMITED (2024-05-01);;MEDIMMUNE LLC (2024-04-22)</x:v>
      </x:c>
      <x:c r="O70" s="87" t="str">
        <x:v>CD123 ANTIBODY-DRUG CONJUGATES AND METHODS OF USING THE SAME</x:v>
      </x:c>
      <x:c r="P70" s="109" t="n">
        <x:v>0</x:v>
      </x:c>
      <x:c r="Q70" s="109" t="n">
        <x:v>10</x:v>
      </x:c>
      <x:c r="R70" s="87" t="str">
        <x:v>C07K16/2866;;C07K2317/92;;A61K2039/505;;C07K2317/76;;C07K2317/21;;C07K2317/94;;C07K2317/77;;C07K16/4208;;A61K39/395;;A61P35/00;;A61K47/68037;;A61K47/6849;;A61K47/6889;;A61K38/00;;A61K31/7068;;A61K31/635;;A61K45/06;;G01N33/575;;C07K16/2866;;C07K2317/77;;C07K2317/569;;A61K39/395;;C07K2317/622;;C07K2317/94;;C07K2317/76;;A61K31/706;;A61K31/7068;;C07K2317/21;;A61K47/6889;;A61K2300/00;;A61K31/635;;A61K47/6849;;G01N33/575;;A61P35/02;;A61K45/06;;C07K2317/92;;A61P35/00;;A61K47/68037;;A61K2039/505;;A61K38/00;;C07K16/4208;;C07K16/2866;;A61K47/6849;;A61K47/68037;;A61K47/6889;;A61K31/635;;A61K31/706;;A61K45/06;;A61P35/00;;A61P35/02;;C07K2317/622;;C07K2317/21;;C07K2317/77;;C07K2317/76;;A61K2300/00;;A61K47/6889;;A61K47/6849;;A61P35/02;;A61K47/68037;;A61K31/635;;A61K31/706;;C07K16/2866;;C07K2317/569;;C07K2317/622</x:v>
      </x:c>
      <x:c r="S70" s="87" t="str">
        <x:v>C07K16/28;;A61K31/635;;A61K31/706;;A61K47/68;;A61P35/02</x:v>
      </x:c>
      <x:c r="T70" s="87" t="str">
        <x:v>PENDING</x:v>
      </x:c>
      <x:c r="U70" s="87" t="str">
        <x:v>https://lens.org/068-972-311-459-198</x:v>
      </x:c>
    </x:row>
    <x:row r="71">
      <x:c r="A71" s="87" t="str">
        <x:v>AstraZeneca_Lens_RAW_2009_2024.csv.csv</x:v>
      </x:c>
      <x:c r="B71" s="87" t="str">
        <x:v>AstraZeneca</x:v>
      </x:c>
      <x:c r="C71" s="87"/>
      <x:c r="D71" s="87" t="str">
        <x:v>Yes</x:v>
      </x:c>
      <x:c r="E71" s="87" t="str">
        <x:v>astrazeneca</x:v>
      </x:c>
      <x:c r="F71" s="87" t="str">
        <x:v>69</x:v>
      </x:c>
      <x:c r="G71" s="87" t="str">
        <x:v>071-442-952-185-780</x:v>
      </x:c>
      <x:c r="H71" s="110" t="n">
        <x:v>45125</x:v>
      </x:c>
      <x:c r="I71" s="88" t="n">
        <x:v>2023</x:v>
      </x:c>
      <x:c r="J71" s="87" t="str">
        <x:v>US</x:v>
      </x:c>
      <x:c r="K71" s="87" t="str">
        <x:v>A1</x:v>
      </x:c>
      <x:c r="L71" s="87" t="str">
        <x:v>US 2025/0041400 A1</x:v>
      </x:c>
      <x:c r="M71" s="87" t="str">
        <x:v>ASTRAZENECA AB</x:v>
      </x:c>
      <x:c r="N71" s="87" t="str">
        <x:v>ASTRAZENECA PHARMACEUTICALS LP (2023-10-25);;ASTRAZENECA UK LIMITED (2023-10-25);;ASTRAZENECA AB (2023-11-14)</x:v>
      </x:c>
      <x:c r="O71" s="87" t="str">
        <x:v>RSV VACCINE</x:v>
      </x:c>
      <x:c r="P71" s="109" t="n">
        <x:v>0</x:v>
      </x:c>
      <x:c r="Q71" s="109" t="n">
        <x:v>14</x:v>
      </x:c>
      <x:c r="R71" s="87" t="str">
        <x:v>A61K39/12;;C07K2319/61;;C07K2319/70;;C07K2319/735;;A61K2039/53;;A61K2039/55516;;C12N2760/18534;;A61P31/14;;A61K2039/6075;;A61K2039/55555;;A61K39/155;;A61K39/12;;A61K2039/53;;C07K2319/70;;C12N7/00;;A61K2039/6075;;C07K2319/735;;A61P31/14;;C12N2760/18534;;C07K2319/61;;A61K2039/55555;;C12N2760/18551;;A61K9/127;;A61K2039/55516;;A61K9/5123;;A61P31/14;;A61K9/127;;A61K9/5123;;A61K39/155;;A61K2039/53;;A61K2039/55555;;C12N7/00;;C12N2760/18534;;C12N2760/18551</x:v>
      </x:c>
      <x:c r="S71" s="87" t="str">
        <x:v>A61K39/155;;A61K9/127;;A61K9/51;;A61K39/00;;A61P31/14;;C12N7/00</x:v>
      </x:c>
      <x:c r="T71" s="87" t="str">
        <x:v>PENDING</x:v>
      </x:c>
      <x:c r="U71" s="87" t="str">
        <x:v>https://lens.org/071-442-952-185-780</x:v>
      </x:c>
    </x:row>
    <x:row r="72">
      <x:c r="A72" s="87" t="str">
        <x:v>AstraZeneca_Lens_RAW_2009_2024.csv.csv</x:v>
      </x:c>
      <x:c r="B72" s="87" t="str">
        <x:v>AstraZeneca</x:v>
      </x:c>
      <x:c r="C72" s="87"/>
      <x:c r="D72" s="87" t="str">
        <x:v>Yes</x:v>
      </x:c>
      <x:c r="E72" s="87" t="str">
        <x:v>astrazeneca</x:v>
      </x:c>
      <x:c r="F72" s="87" t="str">
        <x:v>70</x:v>
      </x:c>
      <x:c r="G72" s="87" t="str">
        <x:v>080-632-938-761-327</x:v>
      </x:c>
      <x:c r="H72" s="110" t="n">
        <x:v>44546</x:v>
      </x:c>
      <x:c r="I72" s="88" t="n">
        <x:v>2021</x:v>
      </x:c>
      <x:c r="J72" s="87" t="str">
        <x:v>US</x:v>
      </x:c>
      <x:c r="K72" s="87" t="str">
        <x:v>A1</x:v>
      </x:c>
      <x:c r="L72" s="87" t="str">
        <x:v>US 2025/0042882 A1</x:v>
      </x:c>
      <x:c r="M72" s="87" t="str">
        <x:v>ASTRAZENECA AB</x:v>
      </x:c>
      <x:c r="N72" s="87" t="str">
        <x:v>ASTRAZENECA AB (2022-09-15)</x:v>
      </x:c>
      <x:c r="O72" s="87" t="str">
        <x:v>CERTAIN 3-AZABICYCLO[3.1.0]HEXANES AS GLP-1 RECEPTOR MODULATORS</x:v>
      </x:c>
      <x:c r="P72" s="109" t="n">
        <x:v>0</x:v>
      </x:c>
      <x:c r="Q72" s="109" t="n">
        <x:v>2</x:v>
      </x:c>
      <x:c r="R72" s="87" t="str">
        <x:v>C07D405/14;;A61P3/10;;C07D405/14;;A61K31/4184;;A61K31/4439</x:v>
      </x:c>
      <x:c r="S72" s="87" t="str">
        <x:v>C07D405/14;;A61K31/4184;;A61K31/4439</x:v>
      </x:c>
      <x:c r="T72" s="87" t="str">
        <x:v>PENDING</x:v>
      </x:c>
      <x:c r="U72" s="87" t="str">
        <x:v>https://lens.org/080-632-938-761-327</x:v>
      </x:c>
    </x:row>
    <x:row r="73">
      <x:c r="A73" s="87" t="str">
        <x:v>AstraZeneca_Lens_RAW_2009_2024.csv.csv</x:v>
      </x:c>
      <x:c r="B73" s="87" t="str">
        <x:v>AstraZeneca</x:v>
      </x:c>
      <x:c r="C73" s="87"/>
      <x:c r="D73" s="87" t="str">
        <x:v>Yes</x:v>
      </x:c>
      <x:c r="E73" s="87" t="str">
        <x:v>astrazeneca</x:v>
      </x:c>
      <x:c r="F73" s="87" t="str">
        <x:v>71</x:v>
      </x:c>
      <x:c r="G73" s="87" t="str">
        <x:v>193-237-676-616-337</x:v>
      </x:c>
      <x:c r="H73" s="110" t="n">
        <x:v>43055</x:v>
      </x:c>
      <x:c r="I73" s="88" t="n">
        <x:v>2017</x:v>
      </x:c>
      <x:c r="J73" s="87" t="str">
        <x:v>US</x:v>
      </x:c>
      <x:c r="K73" s="87" t="str">
        <x:v>A1</x:v>
      </x:c>
      <x:c r="L73" s="87" t="str">
        <x:v>US 2025/0034562 A1</x:v>
      </x:c>
      <x:c r="M73" s="87" t="str">
        <x:v>ASTRAZENECA AB</x:v>
      </x:c>
      <x:c r="N73" s="87" t="str">
        <x:v>ASTRAZENECA AB (2017-11-16);;ASTRAZENECA UK LIMITED (2018-11-16)</x:v>
      </x:c>
      <x:c r="O73" s="87" t="str">
        <x:v>COMPOSITIONS AND METHODS FOR IMPROVING THE EFFICACY OF CAS9-BASED KNOCK-IN STRATEGIES</x:v>
      </x:c>
      <x:c r="P73" s="109" t="n">
        <x:v>0</x:v>
      </x:c>
      <x:c r="Q73" s="109" t="n">
        <x:v>11</x:v>
      </x:c>
      <x:c r="R73" s="87" t="str">
        <x:v>C12N9/22;;C12N15/113;;C12Y301/21004;;C12N2310/20;;C12N9/22;;C12N15/102;;C12N15/113;;C07K2319/80;;C12Q2521/301;;C12Y301/21004;;C12N2310/20;;C12N2310/20;;C12N9/22;;C12N15/102;;C12N15/113;;C12N2800/22;;C12N2800/24;;C12N2810/40</x:v>
      </x:c>
      <x:c r="S73" s="87" t="str">
        <x:v>C12N15/113;;C12N9/22;;C12N15/10</x:v>
      </x:c>
      <x:c r="T73" s="87" t="str">
        <x:v>PENDING</x:v>
      </x:c>
      <x:c r="U73" s="87" t="str">
        <x:v>https://lens.org/193-237-676-616-337</x:v>
      </x:c>
    </x:row>
    <x:row r="74">
      <x:c r="A74" s="87" t="str">
        <x:v>AstraZeneca_Lens_RAW_2009_2024.csv.csv</x:v>
      </x:c>
      <x:c r="B74" s="87" t="str">
        <x:v>AstraZeneca</x:v>
      </x:c>
      <x:c r="C74" s="87"/>
      <x:c r="D74" s="87" t="str">
        <x:v>Yes</x:v>
      </x:c>
      <x:c r="E74" s="87" t="str">
        <x:v>astrazeneca</x:v>
      </x:c>
      <x:c r="F74" s="87" t="str">
        <x:v>72</x:v>
      </x:c>
      <x:c r="G74" s="87" t="str">
        <x:v>051-619-645-838-185</x:v>
      </x:c>
      <x:c r="H74" s="110" t="n">
        <x:v>44518</x:v>
      </x:c>
      <x:c r="I74" s="88" t="n">
        <x:v>2021</x:v>
      </x:c>
      <x:c r="J74" s="87" t="str">
        <x:v>US</x:v>
      </x:c>
      <x:c r="K74" s="87" t="str">
        <x:v>A1</x:v>
      </x:c>
      <x:c r="L74" s="87" t="str">
        <x:v>US 2025/0025568 A1</x:v>
      </x:c>
      <x:c r="M74" s="87" t="str">
        <x:v>ASTRAZENECA UK LTD;;DAIICHI SANKYO CO LTD</x:v>
      </x:c>
      <x:c r="N74" s="87" t="str">
        <x:v>DAIICHI SANKYO COMPANY LIMITED (2022-11-09);;ASTRAZENECA PHARMACEUTICALS LP (2022-10-21);;ASTRAZENECA UK LIMITED (2022-11-09)</x:v>
      </x:c>
      <x:c r="O74" s="87" t="str">
        <x:v>COMBINATION OF ANTIBODY-DRUG CONJUGATE AND PARP1 SELECTIVE INHIBITOR</x:v>
      </x:c>
      <x:c r="P74" s="109" t="n">
        <x:v>0</x:v>
      </x:c>
      <x:c r="Q74" s="109" t="n">
        <x:v>12</x:v>
      </x:c>
      <x:c r="R74" s="87" t="str">
        <x:v>A61K31/496;;A61K39/395;;A61P35/00;;A61K45/06;;A61K47/6849;;A61K47/6855;;A61K47/6857;;C07K16/30;;A61K47/68037;;A61P35/00;;A61K39/395;;A61K47/6857;;A61K2300/00;;A61K31/496;;A61K47/6855;;A61K47/6849;;C07K16/30;;A61K45/06;;A61K47/68037;;A61K31/496;;A61K47/68037;;A61K47/6849;;A61K47/6855;;A61K47/6857;;A61K45/06;;A61P35/00;;C07K16/30;;A61K2300/00;;A61K47/68037;;A61P35/00;;A61K47/6851;;A61K31/496;;C07K16/30</x:v>
      </x:c>
      <x:c r="S74" s="87" t="str">
        <x:v>A61K47/68;;A61K31/496;;A61P35/00;;C07K16/30</x:v>
      </x:c>
      <x:c r="T74" s="87" t="str">
        <x:v>PENDING</x:v>
      </x:c>
      <x:c r="U74" s="87" t="str">
        <x:v>https://lens.org/051-619-645-838-185</x:v>
      </x:c>
    </x:row>
    <x:row r="75">
      <x:c r="A75" s="87" t="str">
        <x:v>AstraZeneca_Lens_RAW_2009_2024.csv.csv</x:v>
      </x:c>
      <x:c r="B75" s="87" t="str">
        <x:v>AstraZeneca</x:v>
      </x:c>
      <x:c r="C75" s="87"/>
      <x:c r="D75" s="87" t="str">
        <x:v>Yes</x:v>
      </x:c>
      <x:c r="E75" s="87" t="str">
        <x:v>astrazeneca</x:v>
      </x:c>
      <x:c r="F75" s="87" t="str">
        <x:v>73</x:v>
      </x:c>
      <x:c r="G75" s="87" t="str">
        <x:v>128-913-067-251-671</x:v>
      </x:c>
      <x:c r="H75" s="110" t="n">
        <x:v>43160</x:v>
      </x:c>
      <x:c r="I75" s="88" t="n">
        <x:v>2018</x:v>
      </x:c>
      <x:c r="J75" s="87" t="str">
        <x:v>US</x:v>
      </x:c>
      <x:c r="K75" s="87" t="str">
        <x:v>B2</x:v>
      </x:c>
      <x:c r="L75" s="87" t="str">
        <x:v>US 12201638 B2</x:v>
      </x:c>
      <x:c r="M75" s="87" t="str">
        <x:v>ASTRAZENECA AB</x:v>
      </x:c>
      <x:c r="N75" s="87" t="str">
        <x:v>ASTRAZENECA AB (2018-12-07)</x:v>
      </x:c>
      <x:c r="O75" s="87" t="str">
        <x:v>Pharmaceutical compositions comprising (2S)-n-{(1S)-1-cyano-2-[4-(3-methyl-2-oxo-2,3-dihydro-1,3-benzoxazol-5-yl)phenyl]ethyl}-1,4-oxazepane-2-carboxamide</x:v>
      </x:c>
      <x:c r="P75" s="109" t="n">
        <x:v>3</x:v>
      </x:c>
      <x:c r="Q75" s="109" t="n">
        <x:v>42</x:v>
      </x:c>
      <x:c r="R75" s="87" t="str">
        <x:v>A61K31/553;;A61P11/00;;A61P11/06;;A61P9/14;;A61K31/553;;A61P11/06;;A61K31/553;;A61K9/2013;;A61K9/2054;;A61K9/2059;;A61P11/00;;A61P11/06;;A61K9/2009;;A61K45/06;;A61K9/2009;;A61K9/2013;;A61K9/2054;;A61K9/2059;;A61K31/553;;A61K31/675;;A61K45/06;;C07K16/241;;C07K16/2887</x:v>
      </x:c>
      <x:c r="S75" s="87" t="str">
        <x:v>A61K31/553;;A61K9/20;;A61K31/675;;A61K45/06;;A61P11/00;;A61P11/06;;C07K16/24;;C07K16/28</x:v>
      </x:c>
      <x:c r="T75" s="87" t="str">
        <x:v>ACTIVE</x:v>
      </x:c>
      <x:c r="U75" s="87" t="str">
        <x:v>https://lens.org/128-913-067-251-671</x:v>
      </x:c>
    </x:row>
    <x:row r="76">
      <x:c r="A76" s="87" t="str">
        <x:v>AstraZeneca_Lens_RAW_2009_2024.csv.csv</x:v>
      </x:c>
      <x:c r="B76" s="87" t="str">
        <x:v>AstraZeneca</x:v>
      </x:c>
      <x:c r="C76" s="87"/>
      <x:c r="D76" s="87" t="str">
        <x:v>Yes</x:v>
      </x:c>
      <x:c r="E76" s="87" t="str">
        <x:v>astrazeneca</x:v>
      </x:c>
      <x:c r="F76" s="87" t="str">
        <x:v>74</x:v>
      </x:c>
      <x:c r="G76" s="87" t="str">
        <x:v>023-502-818-314-941</x:v>
      </x:c>
      <x:c r="H76" s="110" t="n">
        <x:v>44175</x:v>
      </x:c>
      <x:c r="I76" s="88" t="n">
        <x:v>2020</x:v>
      </x:c>
      <x:c r="J76" s="87" t="str">
        <x:v>US</x:v>
      </x:c>
      <x:c r="K76" s="87" t="str">
        <x:v>A1</x:v>
      </x:c>
      <x:c r="L76" s="87" t="str">
        <x:v>US 2025/0019666 A1</x:v>
      </x:c>
      <x:c r="M76" s="87" t="str">
        <x:v>ASTRAZENECA UK LTD</x:v>
      </x:c>
      <x:c r="N76" s="87" t="str">
        <x:v>ASTRAZENECA UK LIMITED (2022-02-02);;MEDIMMUNE LLC (2022-01-25)</x:v>
      </x:c>
      <x:c r="O76" s="87" t="str">
        <x:v>METHODS OF PURIFYING ADENOVIRUS</x:v>
      </x:c>
      <x:c r="P76" s="109" t="n">
        <x:v>0</x:v>
      </x:c>
      <x:c r="Q76" s="109" t="n">
        <x:v>13</x:v>
      </x:c>
      <x:c r="R76" s="87" t="str">
        <x:v>C12N15/86;;C12N2770/20022;;C12N2710/10343;;C12N2710/10351;;A61K39/00;;C12N15/86;;A61K39/00;;B01D15/125;;B01D15/363;;C12N2710/10051;;B01D15/1871;;C12N2770/20022;;C12N7/02;;C12N2710/10351;;C12N2710/10343;;C12N7/00;;B01D15/125;;B01D15/363;;B01D15/1871;;B01D61/147;;B01D71/68;;A61K39/235;;C12N2710/10351;;B01D15/125;;B01D15/1871;;B01D15/363;;C12N7/02;;C12N2710/10051;;C12N2710/10351;;A61K39/00;;C07K14/005;;C12N7/00;;C12N2710/10022</x:v>
      </x:c>
      <x:c r="S76" s="87" t="str">
        <x:v>C12N7/00;;B01D15/12;;B01D15/18;;B01D15/36;;C07K14/005</x:v>
      </x:c>
      <x:c r="T76" s="87" t="str">
        <x:v>PENDING</x:v>
      </x:c>
      <x:c r="U76" s="87" t="str">
        <x:v>https://lens.org/023-502-818-314-941</x:v>
      </x:c>
    </x:row>
    <x:row r="77">
      <x:c r="A77" s="87" t="str">
        <x:v>AstraZeneca_Lens_RAW_2009_2024.csv.csv</x:v>
      </x:c>
      <x:c r="B77" s="87" t="str">
        <x:v>AstraZeneca</x:v>
      </x:c>
      <x:c r="C77" s="87"/>
      <x:c r="D77" s="87" t="str">
        <x:v>Yes</x:v>
      </x:c>
      <x:c r="E77" s="87" t="str">
        <x:v>astrazeneca</x:v>
      </x:c>
      <x:c r="F77" s="87" t="str">
        <x:v>75</x:v>
      </x:c>
      <x:c r="G77" s="87" t="str">
        <x:v>067-556-567-910-625</x:v>
      </x:c>
      <x:c r="H77" s="110" t="n">
        <x:v>44309</x:v>
      </x:c>
      <x:c r="I77" s="88" t="n">
        <x:v>2021</x:v>
      </x:c>
      <x:c r="J77" s="87" t="str">
        <x:v>US</x:v>
      </x:c>
      <x:c r="K77" s="87" t="str">
        <x:v>A1</x:v>
      </x:c>
      <x:c r="L77" s="87" t="str">
        <x:v>US 2025/0002590 A1</x:v>
      </x:c>
      <x:c r="M77" s="87" t="str">
        <x:v>ASTRAZENECA AB</x:v>
      </x:c>
      <x:c r="N77" s="87" t="str">
        <x:v>ASTRAZENECA PHARMACEUTICALS LP (2022-09-28);;ASTRAZENECA UK LIMITED (2022-10-24);;ASTRAZENECA AB (2022-08-18);;MEDIMMUNE LLC (2022-09-26)</x:v>
      </x:c>
      <x:c r="O77" s="87" t="str">
        <x:v>TREATMENT OF LUPUS NEPHRITIS WITH ANTI-TYPE I INF RECEPTOR ANTIBODY ANIFROLUMAB</x:v>
      </x:c>
      <x:c r="P77" s="109" t="n">
        <x:v>0</x:v>
      </x:c>
      <x:c r="Q77" s="109" t="n">
        <x:v>25</x:v>
      </x:c>
      <x:c r="R77" s="87" t="str">
        <x:v>C07K16/2866;;A61K2039/54;;A61K2039/545;;A61M5/142;;A61M5/20;;A61P29/00;;C07K2317/21;;C07K2317/76;;G01N33/564;;G01N2800/104;;G01N2800/347;;G01N2800/52;;C07K16/2866;;A61K9/0019;;A61K2039/505;;A61K2039/54;;A61K2039/545;;A61M5/142;;A61M5/20;;A61P13/12;;A61P29/00;;A61P37/00;;A61P37/06;;C07K2317/21;;C07K2317/565;;C07K2317/76;;G01N33/564;;G01N33/6893;;G01N2333/775;;G01N2333/79;;G01N2800/104;;G01N2800/347;;G01N2800/52;;C07K16/2866;;A61K2039/54;;A61K2039/545;;A61M5/142;;A61M5/20;;A61P29/00;;A61P37/00;;C07K2317/21;;C07K2317/76;;G01N33/564;;G01N2800/347;;G01N2800/52;;C07K16/2866;;A61K9/0019;;A61K2039/505;;A61K2039/54;;A61K2039/545;;A61P13/12;;A61P37/00;;A61P37/06;;C07K2317/565;;G01N33/6893;;G01N2333/775;;G01N2333/79</x:v>
      </x:c>
      <x:c r="S77" s="87" t="str">
        <x:v>C07K16/28;;A61K9/00;;A61K39/00;;A61P13/12;;A61P37/06;;G01N33/68</x:v>
      </x:c>
      <x:c r="T77" s="87" t="str">
        <x:v>DISCONTINUED</x:v>
      </x:c>
      <x:c r="U77" s="87" t="str">
        <x:v>https://lens.org/067-556-567-910-625</x:v>
      </x:c>
    </x:row>
    <x:row r="78">
      <x:c r="A78" s="87" t="str">
        <x:v>AstraZeneca_Lens_RAW_2009_2024.csv.csv</x:v>
      </x:c>
      <x:c r="B78" s="87" t="str">
        <x:v>AstraZeneca</x:v>
      </x:c>
      <x:c r="C78" s="87"/>
      <x:c r="D78" s="87" t="str">
        <x:v>Yes</x:v>
      </x:c>
      <x:c r="E78" s="87" t="str">
        <x:v>astrazeneca</x:v>
      </x:c>
      <x:c r="F78" s="87" t="str">
        <x:v>76</x:v>
      </x:c>
      <x:c r="G78" s="87" t="str">
        <x:v>119-809-905-091-94X</x:v>
      </x:c>
      <x:c r="H78" s="110" t="n">
        <x:v>44309</x:v>
      </x:c>
      <x:c r="I78" s="88" t="n">
        <x:v>2021</x:v>
      </x:c>
      <x:c r="J78" s="87" t="str">
        <x:v>US</x:v>
      </x:c>
      <x:c r="K78" s="87" t="str">
        <x:v>A1</x:v>
      </x:c>
      <x:c r="L78" s="87" t="str">
        <x:v>US 2025/0002589 A1</x:v>
      </x:c>
      <x:c r="M78" s="87" t="str">
        <x:v>ASTRAZENECA AB</x:v>
      </x:c>
      <x:c r="N78" s="87" t="str">
        <x:v>ASTRAZENECA PHARMACEUTICALS LP (2023-01-18);;ASTRAZENECA AB (2022-07-20);;ASTRAZENECA UK LIMITED (2023-03-13);;MEDIMMUNE LLC (2023-02-22)</x:v>
      </x:c>
      <x:c r="O78" s="87" t="str">
        <x:v>TREATMENT OF CUTANEOUS LUPUS ERYTHEMATOUS</x:v>
      </x:c>
      <x:c r="P78" s="109" t="n">
        <x:v>0</x:v>
      </x:c>
      <x:c r="Q78" s="109" t="n">
        <x:v>12</x:v>
      </x:c>
      <x:c r="R78" s="87" t="str">
        <x:v>C07K16/2866;;A61K2039/505;;C07K2317/76;;A61P37/06;;A61M5/002;;A61M5/20;;C07K16/2866;;A61K2039/505;;C07K2317/76;;A61P37/06;;A61M5/20;;A61M5/002;;C07K16/2866;;A61P37/00;;A61P37/06;;A61M5/002;;A61M5/20;;A61K2039/505;;A61K2039/54;;A61K2039/545;;C07K2317/76;;A61P37/06;;A61K9/0019;;A61K47/183;;A61K2039/505;;A61K2039/54;;A61K2039/545;;C07K16/2866</x:v>
      </x:c>
      <x:c r="S78" s="87" t="str">
        <x:v>C07K16/28;;A61K9/00;;A61K39/00;;A61K47/18;;A61P37/06</x:v>
      </x:c>
      <x:c r="T78" s="87" t="str">
        <x:v>PENDING</x:v>
      </x:c>
      <x:c r="U78" s="87" t="str">
        <x:v>https://lens.org/119-809-905-091-94X</x:v>
      </x:c>
    </x:row>
    <x:row r="79">
      <x:c r="A79" s="87" t="str">
        <x:v>AstraZeneca_Lens_RAW_2009_2024.csv.csv</x:v>
      </x:c>
      <x:c r="B79" s="87" t="str">
        <x:v>AstraZeneca</x:v>
      </x:c>
      <x:c r="C79" s="87"/>
      <x:c r="D79" s="87" t="str">
        <x:v>Yes</x:v>
      </x:c>
      <x:c r="E79" s="87" t="str">
        <x:v>astrazeneca</x:v>
      </x:c>
      <x:c r="F79" s="87" t="str">
        <x:v>77</x:v>
      </x:c>
      <x:c r="G79" s="87" t="str">
        <x:v>022-139-112-434-191</x:v>
      </x:c>
      <x:c r="H79" s="110" t="n">
        <x:v>44086</x:v>
      </x:c>
      <x:c r="I79" s="88" t="n">
        <x:v>2020</x:v>
      </x:c>
      <x:c r="J79" s="87" t="str">
        <x:v>US</x:v>
      </x:c>
      <x:c r="K79" s="87" t="str">
        <x:v>A1</x:v>
      </x:c>
      <x:c r="L79" s="87" t="str">
        <x:v>US 2024/0426826 A1</x:v>
      </x:c>
      <x:c r="M79" s="87" t="str">
        <x:v>ASTRAZENECA UK LTD;;DAIICHI SANKYO CO LTD</x:v>
      </x:c>
      <x:c r="N79" s="87" t="str">
        <x:v>DAIICHI SANKYO COMPANY LIMITED (2021-08-31);;ASTRAZENECA UK LIMITED (2021-08-31);;ASTRAZENECA COMPUTATIONAL PATHOLOGY GMBH (2021-08-03)</x:v>
      </x:c>
      <x:c r="O79" s="87" t="str">
        <x:v>A Scoring Method for an Anti-HER2 Antibody-Drug Conjugate Therapy</x:v>
      </x:c>
      <x:c r="P79" s="109" t="n">
        <x:v>0</x:v>
      </x:c>
      <x:c r="Q79" s="109" t="n">
        <x:v>17</x:v>
      </x:c>
      <x:c r="R79" s="87" t="str">
        <x:v>G06V20/698;;G06V10/454;;G06V10/751;;G06F18/24133;;G06V20/698;;G06V10/751;;G06V10/454;;G06F18/24133;;G06V20/69;;G06V10/454;;C07K16/32;;G06V2201/03;;G01N2800/52;;A61K47/68037;;G01N33/5759;;A61K47/6803;;G06V10/751;;G06V2201/03;;G06F18/24133;;C07K16/32;;G01N2800/52;;G01N33/5759</x:v>
      </x:c>
      <x:c r="S79" s="87" t="str">
        <x:v>G01N33/574;;A61K47/68;;C07K16/32;;G06F18/2413;;G06V10/75</x:v>
      </x:c>
      <x:c r="T79" s="87" t="str">
        <x:v>PENDING</x:v>
      </x:c>
      <x:c r="U79" s="87" t="str">
        <x:v>https://lens.org/022-139-112-434-191</x:v>
      </x:c>
    </x:row>
    <x:row r="80">
      <x:c r="A80" s="87" t="str">
        <x:v>AstraZeneca_Lens_RAW_2009_2024.csv.csv</x:v>
      </x:c>
      <x:c r="B80" s="87" t="str">
        <x:v>AstraZeneca</x:v>
      </x:c>
      <x:c r="C80" s="87"/>
      <x:c r="D80" s="87" t="str">
        <x:v>Yes</x:v>
      </x:c>
      <x:c r="E80" s="87" t="str">
        <x:v>astrazeneca</x:v>
      </x:c>
      <x:c r="F80" s="87" t="str">
        <x:v>78</x:v>
      </x:c>
      <x:c r="G80" s="87" t="str">
        <x:v>076-767-337-560-427</x:v>
      </x:c>
      <x:c r="H80" s="110" t="n">
        <x:v>43978</x:v>
      </x:c>
      <x:c r="I80" s="88" t="n">
        <x:v>2020</x:v>
      </x:c>
      <x:c r="J80" s="87" t="str">
        <x:v>US</x:v>
      </x:c>
      <x:c r="K80" s="87" t="str">
        <x:v>A1</x:v>
      </x:c>
      <x:c r="L80" s="87" t="str">
        <x:v>US 2024/0423978 A1</x:v>
      </x:c>
      <x:c r="M80" s="87" t="str">
        <x:v>ASTRAZENECA AB</x:v>
      </x:c>
      <x:c r="N80" s="87" t="str">
        <x:v>ASTRAZENECA UK LIMITED (2022-11-03);;ASTRAZENECA AB (2022-11-11)</x:v>
      </x:c>
      <x:c r="O80" s="87" t="str">
        <x:v>EGFR TKIs FOR USE IN THE TREATMENT OF NON-SMALL LUNG CANCER</x:v>
      </x:c>
      <x:c r="P80" s="109" t="n">
        <x:v>0</x:v>
      </x:c>
      <x:c r="Q80" s="109" t="n">
        <x:v>16</x:v>
      </x:c>
      <x:c r="R80" s="87" t="str">
        <x:v>A61K31/506;;A61K31/517;;A61K31/4155;;A61K31/519;;A61P35/00;;A61K31/506;;A61P35/00;;A61K31/4155;;A61K31/519;;A61K31/517;;A61K31/506;;A61K31/444;;A61K31/517;;A61K31/519;;A61P35/00;;A61P35/00;;A61K31/506</x:v>
      </x:c>
      <x:c r="S80" s="87" t="str">
        <x:v>A61K31/506;;A61P35/00</x:v>
      </x:c>
      <x:c r="T80" s="87" t="str">
        <x:v>DISCONTINUED</x:v>
      </x:c>
      <x:c r="U80" s="87" t="str">
        <x:v>https://lens.org/076-767-337-560-427</x:v>
      </x:c>
    </x:row>
    <x:row r="81">
      <x:c r="A81" s="87" t="str">
        <x:v>AstraZeneca_Lens_RAW_2009_2024.csv.csv</x:v>
      </x:c>
      <x:c r="B81" s="87" t="str">
        <x:v>AstraZeneca</x:v>
      </x:c>
      <x:c r="C81" s="87"/>
      <x:c r="D81" s="87" t="str">
        <x:v>Yes</x:v>
      </x:c>
      <x:c r="E81" s="87" t="str">
        <x:v>astrazeneca</x:v>
      </x:c>
      <x:c r="F81" s="87" t="str">
        <x:v>79</x:v>
      </x:c>
      <x:c r="G81" s="87" t="str">
        <x:v>022-851-010-743-443</x:v>
      </x:c>
      <x:c r="H81" s="110" t="n">
        <x:v>40751</x:v>
      </x:c>
      <x:c r="I81" s="88" t="n">
        <x:v>2011</x:v>
      </x:c>
      <x:c r="J81" s="87" t="str">
        <x:v>US</x:v>
      </x:c>
      <x:c r="K81" s="87" t="str">
        <x:v>A1</x:v>
      </x:c>
      <x:c r="L81" s="87" t="str">
        <x:v>US 2024/0425476 A1</x:v>
      </x:c>
      <x:c r="M81" s="87" t="str">
        <x:v>ASTRAZENECA AB</x:v>
      </x:c>
      <x:c r="N81" s="87" t="str">
        <x:v>ASTRAZENECA INDIA PRIVATE LIMITED (2012-08-22);;ASTRAZENECA PHARMACEUTICALS LP (2013-11-21);;ASTRAZENECA UK LIMITED (2013-11-28);;ASTRAZENECA AB (2012-08-30)</x:v>
      </x:c>
      <x:c r="O81" s="87" t="str">
        <x:v>2-(2,4,5-SUBSTITUTED-ANILINO)PYRIMIDINE COMPOUNDS</x:v>
      </x:c>
      <x:c r="P81" s="109" t="n">
        <x:v>0</x:v>
      </x:c>
      <x:c r="Q81" s="109" t="n">
        <x:v>175</x:v>
      </x:c>
      <x:c r="R81" s="87" t="str">
        <x:v>C07D471/04;;C07D401/14;;C07D403/04;;C07D403/14;;C07D487/10;;C07D519/00;;C07D403/04;;A61P35/00;;C07D401/04;;C07D401/14;;C07D403/04;;C07D471/04;;C07D487/10;;C07D471/04;;A61K31/437;;C07D403/04;;C07D401/04;;A61P35/00;;C07D401/02;;C07D401/14;;C07D403/04;;C07D471/04;;C07D487/10</x:v>
      </x:c>
      <x:c r="S81" s="87" t="str">
        <x:v>C07D401/04;;A61P35/00;;C07D401/02;;C07D401/14;;C07D403/04;;C07D471/04;;C07D487/10</x:v>
      </x:c>
      <x:c r="T81" s="87" t="str">
        <x:v>PENDING</x:v>
      </x:c>
      <x:c r="U81" s="87" t="str">
        <x:v>https://lens.org/022-851-010-743-443</x:v>
      </x:c>
    </x:row>
    <x:row r="82">
      <x:c r="A82" s="87" t="str">
        <x:v>AstraZeneca_Lens_RAW_2009_2024.csv.csv</x:v>
      </x:c>
      <x:c r="B82" s="87" t="str">
        <x:v>AstraZeneca</x:v>
      </x:c>
      <x:c r="C82" s="87"/>
      <x:c r="D82" s="87" t="str">
        <x:v>Yes</x:v>
      </x:c>
      <x:c r="E82" s="87" t="str">
        <x:v>astrazeneca</x:v>
      </x:c>
      <x:c r="F82" s="87" t="str">
        <x:v>80</x:v>
      </x:c>
      <x:c r="G82" s="87" t="str">
        <x:v>134-235-291-243-294</x:v>
      </x:c>
      <x:c r="H82" s="110" t="n">
        <x:v>44474</x:v>
      </x:c>
      <x:c r="I82" s="88" t="n">
        <x:v>2021</x:v>
      </x:c>
      <x:c r="J82" s="87" t="str">
        <x:v>US</x:v>
      </x:c>
      <x:c r="K82" s="87" t="str">
        <x:v>A1</x:v>
      </x:c>
      <x:c r="L82" s="87" t="str">
        <x:v>US 2024/0417393 A1</x:v>
      </x:c>
      <x:c r="M82" s="87" t="str">
        <x:v>ASTRAZENECA AB</x:v>
      </x:c>
      <x:c r="N82" s="87" t="str">
        <x:v>ASTRAZENECA AB (2022-09-15)</x:v>
      </x:c>
      <x:c r="O82" s="87" t="str">
        <x:v>CERTAIN 2,5-DIAZABICYCLO[4.2.0]OCTANES AS GLP-1 RECEPTOR MODULATORS</x:v>
      </x:c>
      <x:c r="P82" s="109" t="n">
        <x:v>0</x:v>
      </x:c>
      <x:c r="Q82" s="109" t="n">
        <x:v>10</x:v>
      </x:c>
      <x:c r="R82" s="87" t="str">
        <x:v>C07D405/14;;A61P3/00;;A61P9/00;;C07D405/14;;A61K31/498;;A61P3/10;;A61P9/00;;C07D405/14;;A61K31/498</x:v>
      </x:c>
      <x:c r="S82" s="87" t="str">
        <x:v>C07D405/14;;A61K31/498</x:v>
      </x:c>
      <x:c r="T82" s="87" t="str">
        <x:v>PENDING</x:v>
      </x:c>
      <x:c r="U82" s="87" t="str">
        <x:v>https://lens.org/134-235-291-243-294</x:v>
      </x:c>
    </x:row>
    <x:row r="83">
      <x:c r="A83" s="87" t="str">
        <x:v>AstraZeneca_Lens_RAW_2009_2024.csv.csv</x:v>
      </x:c>
      <x:c r="B83" s="87" t="str">
        <x:v>AstraZeneca</x:v>
      </x:c>
      <x:c r="C83" s="87"/>
      <x:c r="D83" s="87" t="str">
        <x:v>Yes</x:v>
      </x:c>
      <x:c r="E83" s="87" t="str">
        <x:v>astrazeneca</x:v>
      </x:c>
      <x:c r="F83" s="87" t="str">
        <x:v>81</x:v>
      </x:c>
      <x:c r="G83" s="87" t="str">
        <x:v>185-085-521-249-202</x:v>
      </x:c>
      <x:c r="H83" s="110" t="n">
        <x:v>44477</x:v>
      </x:c>
      <x:c r="I83" s="88" t="n">
        <x:v>2021</x:v>
      </x:c>
      <x:c r="J83" s="87" t="str">
        <x:v>US</x:v>
      </x:c>
      <x:c r="K83" s="87" t="str">
        <x:v>A1</x:v>
      </x:c>
      <x:c r="L83" s="87" t="str">
        <x:v>US 2024/0408220 A1</x:v>
      </x:c>
      <x:c r="M83" s="87" t="str">
        <x:v>ASTRAZENECA AB</x:v>
      </x:c>
      <x:c r="N83" s="87" t="str">
        <x:v>ASTRAZENECA PHARMACEUTICALS LP (2022-09-20);;ASTRAZENECA AB (2022-02-18);;ASTRAZENECA UK LIMITED (2022-10-03);;MEDIMMUNE LLC (2022-02-10)</x:v>
      </x:c>
      <x:c r="O83" s="87" t="str">
        <x:v>PEPTIDE DENDRONS AND METHODS OF USE THEREOF</x:v>
      </x:c>
      <x:c r="P83" s="109" t="n">
        <x:v>0</x:v>
      </x:c>
      <x:c r="Q83" s="109" t="n">
        <x:v>19</x:v>
      </x:c>
      <x:c r="R83" s="87" t="str">
        <x:v>A61K47/6929;;A61K47/554;;A61K47/6455;;A61P31/16;;A61P35/00;;A61K47/6929;;A61K47/554;;A61K47/6455;;A61P31/16;;A61P35/00;;A61K47/6455;;A61K47/554;;A61K47/6929;;A61P31/16;;A61P35/00;;A61K47/6455;;A61K47/183;;A61K47/543;;A61K47/6929;;A61P35/00</x:v>
      </x:c>
      <x:c r="S83" s="87" t="str">
        <x:v>A61K47/64;;A61K47/18;;A61K47/54;;A61K47/69;;A61P35/00</x:v>
      </x:c>
      <x:c r="T83" s="87" t="str">
        <x:v>PENDING</x:v>
      </x:c>
      <x:c r="U83" s="87" t="str">
        <x:v>https://lens.org/185-085-521-249-202</x:v>
      </x:c>
    </x:row>
    <x:row r="84">
      <x:c r="A84" s="87" t="str">
        <x:v>AstraZeneca_Lens_RAW_2009_2024.csv.csv</x:v>
      </x:c>
      <x:c r="B84" s="87" t="str">
        <x:v>AstraZeneca</x:v>
      </x:c>
      <x:c r="C84" s="87"/>
      <x:c r="D84" s="87" t="str">
        <x:v>Yes</x:v>
      </x:c>
      <x:c r="E84" s="87" t="str">
        <x:v>astrazeneca</x:v>
      </x:c>
      <x:c r="F84" s="87" t="str">
        <x:v>82</x:v>
      </x:c>
      <x:c r="G84" s="87" t="str">
        <x:v>067-532-423-134-421</x:v>
      </x:c>
      <x:c r="H84" s="110" t="n">
        <x:v>44469</x:v>
      </x:c>
      <x:c r="I84" s="88" t="n">
        <x:v>2021</x:v>
      </x:c>
      <x:c r="J84" s="87" t="str">
        <x:v>US</x:v>
      </x:c>
      <x:c r="K84" s="87" t="str">
        <x:v>A1</x:v>
      </x:c>
      <x:c r="L84" s="87" t="str">
        <x:v>US 2024/0409963 A1</x:v>
      </x:c>
      <x:c r="M84" s="87" t="str">
        <x:v>ASTRAZENECA AB</x:v>
      </x:c>
      <x:c r="N84" s="87" t="str">
        <x:v>ASTRAZENECA AB (2022-03-29)</x:v>
      </x:c>
      <x:c r="O84" s="87" t="str">
        <x:v>Use of Inhibitors to Increase Efficiency of Crispr/CAS Insertions</x:v>
      </x:c>
      <x:c r="P84" s="109" t="n">
        <x:v>0</x:v>
      </x:c>
      <x:c r="Q84" s="109" t="n">
        <x:v>6</x:v>
      </x:c>
      <x:c r="R84" s="87" t="str">
        <x:v>C12N15/102;;C07K14/47;;C12N9/22;;C12N15/1138;;C12N15/907;;C12N2310/20;;C12N15/907;;C12N9/22;;C12N15/111;;C12N2310/20;;C12N2800/80</x:v>
      </x:c>
      <x:c r="S84" s="87" t="str">
        <x:v>C12N15/90;;C12N9/22;;C12N15/11</x:v>
      </x:c>
      <x:c r="T84" s="87" t="str">
        <x:v>PENDING</x:v>
      </x:c>
      <x:c r="U84" s="87" t="str">
        <x:v>https://lens.org/067-532-423-134-421</x:v>
      </x:c>
    </x:row>
    <x:row r="85">
      <x:c r="A85" s="87" t="str">
        <x:v>AstraZeneca_Lens_RAW_2009_2024.csv.csv</x:v>
      </x:c>
      <x:c r="B85" s="87" t="str">
        <x:v>AstraZeneca</x:v>
      </x:c>
      <x:c r="C85" s="87"/>
      <x:c r="D85" s="87" t="str">
        <x:v>Yes</x:v>
      </x:c>
      <x:c r="E85" s="87" t="str">
        <x:v>astrazeneca</x:v>
      </x:c>
      <x:c r="F85" s="87" t="str">
        <x:v>83</x:v>
      </x:c>
      <x:c r="G85" s="87" t="str">
        <x:v>137-985-434-108-666</x:v>
      </x:c>
      <x:c r="H85" s="110" t="n">
        <x:v>43601</x:v>
      </x:c>
      <x:c r="I85" s="88" t="n">
        <x:v>2019</x:v>
      </x:c>
      <x:c r="J85" s="87" t="str">
        <x:v>US</x:v>
      </x:c>
      <x:c r="K85" s="87" t="str">
        <x:v>A1</x:v>
      </x:c>
      <x:c r="L85" s="87" t="str">
        <x:v>US 2024/0409626 A1</x:v>
      </x:c>
      <x:c r="M85" s="87" t="str">
        <x:v>ASTRAZENECA AB</x:v>
      </x:c>
      <x:c r="N85" s="87" t="str">
        <x:v>ASTRAZENECA PHARMACEUTICALS LP (2020-02-04);;ASTRAZENECA UK LIMITED (2020-02-04);;ASTRAZENECA AB (2020-11-02)</x:v>
      </x:c>
      <x:c r="O85" s="87" t="str">
        <x:v>METHODS FOR TREATING CHRONIC OBSTRUCTIVE PULMONARY DISEASE IN AN ENHANCED PATIENT POPULATION USING BENRALIZUMAB</x:v>
      </x:c>
      <x:c r="P85" s="109" t="n">
        <x:v>0</x:v>
      </x:c>
      <x:c r="Q85" s="109" t="n">
        <x:v>16</x:v>
      </x:c>
      <x:c r="R85" s="87" t="str">
        <x:v>A61K45/06;;A61K39/3955;;A61P11/00;;A61K45/06;;A61K39/3955;;A61K2039/505;;A61K2039/545;;A61P11/00;;C07K16/2866;;C07K2317/24;;C07K2317/76;;A61K45/06;;A61K39/3955;;A61K2039/505;;A61K2039/545;;A61K2300/00;;A61P11/00;;C07K16/244;;C07K16/2866;;C07K2317/24;;C07K2317/76;;C07K16/2866;;A61K45/06;;A61K2039/505;;A61K2039/545;;A61K2300/00;;A61P11/00;;C07K2317/24;;C07K2317/76;;C07K16/244;;A61P11/00</x:v>
      </x:c>
      <x:c r="S85" s="87" t="str">
        <x:v>C07K16/24;;A61P11/00</x:v>
      </x:c>
      <x:c r="T85" s="87" t="str">
        <x:v>PENDING</x:v>
      </x:c>
      <x:c r="U85" s="87" t="str">
        <x:v>https://lens.org/137-985-434-108-666</x:v>
      </x:c>
    </x:row>
    <x:row r="86">
      <x:c r="A86" s="87" t="str">
        <x:v>AstraZeneca_Lens_RAW_2009_2024.csv.csv</x:v>
      </x:c>
      <x:c r="B86" s="87" t="str">
        <x:v>AstraZeneca</x:v>
      </x:c>
      <x:c r="C86" s="87"/>
      <x:c r="D86" s="87" t="str">
        <x:v>Yes</x:v>
      </x:c>
      <x:c r="E86" s="87" t="str">
        <x:v>astrazeneca</x:v>
      </x:c>
      <x:c r="F86" s="87" t="str">
        <x:v>84</x:v>
      </x:c>
      <x:c r="G86" s="87" t="str">
        <x:v>044-776-698-513-371</x:v>
      </x:c>
      <x:c r="H86" s="110" t="n">
        <x:v>44459</x:v>
      </x:c>
      <x:c r="I86" s="88" t="n">
        <x:v>2021</x:v>
      </x:c>
      <x:c r="J86" s="87" t="str">
        <x:v>US</x:v>
      </x:c>
      <x:c r="K86" s="87" t="str">
        <x:v>A1</x:v>
      </x:c>
      <x:c r="L86" s="87" t="str">
        <x:v>US 2024/0398774 A1</x:v>
      </x:c>
      <x:c r="M86" s="87" t="str">
        <x:v>ASTRAZENECA AB</x:v>
      </x:c>
      <x:c r="N86" s="87" t="str">
        <x:v>ASTRAZENECA PHARMACEUTICALS LP (2022-03-15);;ASTRAZENECA UK LIMITED (2022-03-16);;ASTRAZENECA AB (2022-03-23)</x:v>
      </x:c>
      <x:c r="O86" s="87" t="str">
        <x:v>METHODS OF TREATING INFLAMMATORY DISEASES WITH A SELECTIVE GLUCOCORTICOID RECEPTOR MODULATOR</x:v>
      </x:c>
      <x:c r="P86" s="109" t="n">
        <x:v>0</x:v>
      </x:c>
      <x:c r="Q86" s="109" t="n">
        <x:v>2</x:v>
      </x:c>
      <x:c r="R86" s="87" t="str">
        <x:v>A61K31/4439;;A61P3/10;;A61P29/00;;A61K31/4439;;A61P3/10;;A61P29/00</x:v>
      </x:c>
      <x:c r="S86" s="87" t="str">
        <x:v>A61K31/4439;;A61P3/10;;A61P29/00</x:v>
      </x:c>
      <x:c r="T86" s="87" t="str">
        <x:v>PENDING</x:v>
      </x:c>
      <x:c r="U86" s="87" t="str">
        <x:v>https://lens.org/044-776-698-513-371</x:v>
      </x:c>
    </x:row>
    <x:row r="87">
      <x:c r="A87" s="87" t="str">
        <x:v>AstraZeneca_Lens_RAW_2009_2024.csv.csv</x:v>
      </x:c>
      <x:c r="B87" s="87" t="str">
        <x:v>AstraZeneca</x:v>
      </x:c>
      <x:c r="C87" s="87"/>
      <x:c r="D87" s="87" t="str">
        <x:v>Yes</x:v>
      </x:c>
      <x:c r="E87" s="87" t="str">
        <x:v>astrazeneca</x:v>
      </x:c>
      <x:c r="F87" s="87" t="str">
        <x:v>85</x:v>
      </x:c>
      <x:c r="G87" s="87" t="str">
        <x:v>101-747-417-317-095</x:v>
      </x:c>
      <x:c r="H87" s="110" t="n">
        <x:v>44309</x:v>
      </x:c>
      <x:c r="I87" s="88" t="n">
        <x:v>2021</x:v>
      </x:c>
      <x:c r="J87" s="87" t="str">
        <x:v>US</x:v>
      </x:c>
      <x:c r="K87" s="87" t="str">
        <x:v>A1</x:v>
      </x:c>
      <x:c r="L87" s="87" t="str">
        <x:v>US 2024/0400699 A1</x:v>
      </x:c>
      <x:c r="M87" s="87" t="str">
        <x:v>ASTRAZENECA AB</x:v>
      </x:c>
      <x:c r="N87" s="87" t="str">
        <x:v>ASTRAZENECA PHARMACEUTICALS LP (2022-07-07);;ASTRAZENECA AB (2022-07-08);;ASTRAZENECA UK LIMITED (2022-10-24);;MEDIMMUNE LLC (2022-09-26)</x:v>
      </x:c>
      <x:c r="O87" s="87" t="str">
        <x:v>ANTI-IFNAR1 DOSING REGIME FOR SUBCUTANEOUS INJECTION</x:v>
      </x:c>
      <x:c r="P87" s="109" t="n">
        <x:v>0</x:v>
      </x:c>
      <x:c r="Q87" s="109" t="n">
        <x:v>43</x:v>
      </x:c>
      <x:c r="R87" s="87" t="str">
        <x:v>A61K39/3955;;A61K9/0019;;A61P37/02;;A61P21/00;;A61K2039/505;;C07K16/2866;;A61K39/39591;;A61K2039/505;;A61K2039/54;;A61K2039/545;;C07K16/2866;;A61K2039/54;;A61K2039/545;;A61K39/39591;;A61K2039/505;;A61P43/00;;A61K39/39591;;A61K9/0019;;C07K16/2866;;A61K2039/505;;A61K2039/54;;A61K2039/545;;C07K2317/92;;A61P37/00;;A61P29/00;;A61P43/00;;A61K2039/505;;C07K16/2866;;A61P37/06;;A61K2039/54;;A61K2039/545;;C07K2317/21;;C07K2317/565;;C07K2317/92</x:v>
      </x:c>
      <x:c r="S87" s="87" t="str">
        <x:v>C07K16/28;;A61K39/00;;A61P37/06;;A61P43/00</x:v>
      </x:c>
      <x:c r="T87" s="87" t="str">
        <x:v>PENDING</x:v>
      </x:c>
      <x:c r="U87" s="87" t="str">
        <x:v>https://lens.org/101-747-417-317-095</x:v>
      </x:c>
    </x:row>
    <x:row r="88">
      <x:c r="A88" s="87" t="str">
        <x:v>AstraZeneca_Lens_RAW_2009_2024.csv.csv</x:v>
      </x:c>
      <x:c r="B88" s="87" t="str">
        <x:v>AstraZeneca</x:v>
      </x:c>
      <x:c r="C88" s="87"/>
      <x:c r="D88" s="87" t="str">
        <x:v>Yes</x:v>
      </x:c>
      <x:c r="E88" s="87" t="str">
        <x:v>astrazeneca</x:v>
      </x:c>
      <x:c r="F88" s="87" t="str">
        <x:v>86</x:v>
      </x:c>
      <x:c r="G88" s="87" t="str">
        <x:v>190-850-076-807-988</x:v>
      </x:c>
      <x:c r="H88" s="110" t="n">
        <x:v>42412</x:v>
      </x:c>
      <x:c r="I88" s="88" t="n">
        <x:v>2016</x:v>
      </x:c>
      <x:c r="J88" s="87" t="str">
        <x:v>US</x:v>
      </x:c>
      <x:c r="K88" s="87" t="str">
        <x:v>A1</x:v>
      </x:c>
      <x:c r="L88" s="87" t="str">
        <x:v>US 2024/0400550 A1</x:v>
      </x:c>
      <x:c r="M88" s="87" t="str">
        <x:v>ASTRAZENECA AB;;EOLAS THERAPEUTICS INC</x:v>
      </x:c>
      <x:c r="N88" s="87" t="str">
        <x:v>EOLAS THERAPEUTICS INC (2017-03-01);;MEDIMMUNE LIMITED (2017-03-03);;ASTRAZENECA PHARMACEUTICALS LP (2017-03-01);;ASTRAZENECA UK LIMITED (2017-04-07);;ASTRAZENECA AB (2017-04-07)</x:v>
      </x:c>
      <x:c r="O88" s="87" t="str">
        <x:v>HALO-SUBSTITUTED PIPERIDINES AS OREXIN RECEPTOR MODULATORS</x:v>
      </x:c>
      <x:c r="P88" s="109" t="n">
        <x:v>0</x:v>
      </x:c>
      <x:c r="Q88" s="109" t="n">
        <x:v>54</x:v>
      </x:c>
      <x:c r="R88" s="87" t="str">
        <x:v>A61K31/445;;A61K31/497;;A61K31/506;;A61K31/53;;A61P1/04;;A61P1/12;;A61P3/04;;A61P9/12;;A61P13/12;;A61P15/00;;A61P25/06;;A61P25/08;;A61P25/16;;A61P25/18;;A61P25/20;;A61P25/24;;A61P25/28;;A61P25/32;;A61P25/36;;A61P29/00;;A61P35/00;;A61P37/00;;C07D401/14;;C07D403/14;;C07D405/14;;C07D409/14;;C07D413/14;;C07D417/14;;C07D401/14;;C07D413/14;;C07D409/14;;C07D417/14;;A61P25/34;;A61K31/445;;A61K31/497;;A61K31/506;;A61K31/53;;A61P25/34;;C07D401/14;;C07D409/14;;C07D413/14;;C07D417/14;;A61K31/445;;A61K31/497;;A61K31/506;;A61K31/53;;C07D401/14;;C07D409/14;;C07D413/14;;C07D417/14;;C07D401/14;;C07D409/14;;C07D413/14;;C07D417/14;;A61P25/34</x:v>
      </x:c>
      <x:c r="S88" s="87" t="str">
        <x:v>C07D417/14;;A61P25/34;;C07D401/14;;C07D409/14;;C07D413/14</x:v>
      </x:c>
      <x:c r="T88" s="87" t="str">
        <x:v>DISCONTINUED</x:v>
      </x:c>
      <x:c r="U88" s="87" t="str">
        <x:v>https://lens.org/190-850-076-807-988</x:v>
      </x:c>
    </x:row>
    <x:row r="89">
      <x:c r="A89" s="87" t="str">
        <x:v>AstraZeneca_Lens_RAW_2009_2024.csv.csv</x:v>
      </x:c>
      <x:c r="B89" s="87" t="str">
        <x:v>AstraZeneca</x:v>
      </x:c>
      <x:c r="C89" s="87"/>
      <x:c r="D89" s="87" t="str">
        <x:v>Yes</x:v>
      </x:c>
      <x:c r="E89" s="87" t="str">
        <x:v>astrazeneca</x:v>
      </x:c>
      <x:c r="F89" s="87" t="str">
        <x:v>87</x:v>
      </x:c>
      <x:c r="G89" s="87" t="str">
        <x:v>112-586-548-896-140</x:v>
      </x:c>
      <x:c r="H89" s="110" t="n">
        <x:v>44385</x:v>
      </x:c>
      <x:c r="I89" s="88" t="n">
        <x:v>2021</x:v>
      </x:c>
      <x:c r="J89" s="87" t="str">
        <x:v>US</x:v>
      </x:c>
      <x:c r="K89" s="87" t="str">
        <x:v>A1</x:v>
      </x:c>
      <x:c r="L89" s="87" t="str">
        <x:v>US 2024/0390612 A1</x:v>
      </x:c>
      <x:c r="M89" s="87" t="str">
        <x:v>ASTRAZENECA AB</x:v>
      </x:c>
      <x:c r="N89" s="87" t="str">
        <x:v>ASTRAZENECA AB (2022-01-31);;TTP PLC (2022-01-31)</x:v>
      </x:c>
      <x:c r="O89" s="87" t="str">
        <x:v>Devices and a System for Detection and Analysis of Inhaler Use</x:v>
      </x:c>
      <x:c r="P89" s="109" t="n">
        <x:v>2</x:v>
      </x:c>
      <x:c r="Q89" s="109" t="n">
        <x:v>9</x:v>
      </x:c>
      <x:c r="R89" s="87" t="str">
        <x:v>A61M15/008;;A61M15/007;;A61M15/009;;A61M2016/0027;;A61M2016/0036;;A61M2205/332;;A61M2205/3334;;A61M2205/3375;;A61M2205/3561;;A61M2205/3592;;A61M2205/505;;A61M2205/583;;A61M2205/8206;;G06N20/00;;A61M15/008;;A61M15/0028;;A61M15/009;;A61M2202/0007;;A61M2205/3303;;A61M2205/3327;;A61M2205/3331;;A61M2205/3375;;A61M2205/3561;;A61M2205/3592;;A61M2205/502;;A61M2205/583;;A61M2205/8206;;A61M2209/00;;A61M2230/40;;G16H20/13</x:v>
      </x:c>
      <x:c r="S89" s="87" t="str">
        <x:v>A61M15/00;;G16H20/13</x:v>
      </x:c>
      <x:c r="T89" s="87" t="str">
        <x:v>PENDING</x:v>
      </x:c>
      <x:c r="U89" s="87" t="str">
        <x:v>https://lens.org/112-586-548-896-140</x:v>
      </x:c>
    </x:row>
    <x:row r="90">
      <x:c r="A90" s="87" t="str">
        <x:v>AstraZeneca_Lens_RAW_2009_2024.csv.csv</x:v>
      </x:c>
      <x:c r="B90" s="87" t="str">
        <x:v>AstraZeneca</x:v>
      </x:c>
      <x:c r="C90" s="87"/>
      <x:c r="D90" s="87" t="str">
        <x:v>Yes</x:v>
      </x:c>
      <x:c r="E90" s="87" t="str">
        <x:v>astrazeneca</x:v>
      </x:c>
      <x:c r="F90" s="87" t="str">
        <x:v>88</x:v>
      </x:c>
      <x:c r="G90" s="87" t="str">
        <x:v>020-162-816-178-600</x:v>
      </x:c>
      <x:c r="H90" s="110" t="n">
        <x:v>44343</x:v>
      </x:c>
      <x:c r="I90" s="88" t="n">
        <x:v>2021</x:v>
      </x:c>
      <x:c r="J90" s="87" t="str">
        <x:v>US</x:v>
      </x:c>
      <x:c r="K90" s="87" t="str">
        <x:v>A1</x:v>
      </x:c>
      <x:c r="L90" s="87" t="str">
        <x:v>US 2024/0384246 A1</x:v>
      </x:c>
      <x:c r="M90" s="87" t="str">
        <x:v>ASTRAZENECA AB</x:v>
      </x:c>
      <x:c r="N90" s="87" t="str">
        <x:v>ASTRAZENECA AB (2024-04-29)</x:v>
      </x:c>
      <x:c r="O90" s="87" t="str">
        <x:v>CA S9 EFFECTOR PROTEINS WITH ENHANCED STABILITY</x:v>
      </x:c>
      <x:c r="P90" s="109" t="n">
        <x:v>0</x:v>
      </x:c>
      <x:c r="Q90" s="109" t="n">
        <x:v>5</x:v>
      </x:c>
      <x:c r="R90" s="87" t="str">
        <x:v>C12N9/22;;C07K2319/09;;C12N9/22;;C07K2319/09;;C12N15/11;;C12N15/907;;C12N2310/20</x:v>
      </x:c>
      <x:c r="S90" s="87" t="str">
        <x:v>C12N9/22;;C12N15/11;;C12N15/90</x:v>
      </x:c>
      <x:c r="T90" s="87" t="str">
        <x:v>PENDING</x:v>
      </x:c>
      <x:c r="U90" s="87" t="str">
        <x:v>https://lens.org/020-162-816-178-600</x:v>
      </x:c>
    </x:row>
    <x:row r="91">
      <x:c r="A91" s="87" t="str">
        <x:v>AstraZeneca_Lens_RAW_2009_2024.csv.csv</x:v>
      </x:c>
      <x:c r="B91" s="87" t="str">
        <x:v>AstraZeneca</x:v>
      </x:c>
      <x:c r="C91" s="87"/>
      <x:c r="D91" s="87" t="str">
        <x:v>Yes</x:v>
      </x:c>
      <x:c r="E91" s="87" t="str">
        <x:v>astrazeneca</x:v>
      </x:c>
      <x:c r="F91" s="87" t="str">
        <x:v>89</x:v>
      </x:c>
      <x:c r="G91" s="87" t="str">
        <x:v>173-870-152-129-990</x:v>
      </x:c>
      <x:c r="H91" s="110" t="n">
        <x:v>42667</x:v>
      </x:c>
      <x:c r="I91" s="88" t="n">
        <x:v>2016</x:v>
      </x:c>
      <x:c r="J91" s="87" t="str">
        <x:v>US</x:v>
      </x:c>
      <x:c r="K91" s="87" t="str">
        <x:v>A1</x:v>
      </x:c>
      <x:c r="L91" s="87" t="str">
        <x:v>US 2024/0383895 A1</x:v>
      </x:c>
      <x:c r="M91" s="87" t="str">
        <x:v>ASTRAZENECA AB</x:v>
      </x:c>
      <x:c r="N91" s="87" t="str">
        <x:v>ASTRAZENECA PHARMACEUTICALS LP (2017-11-17);;ASTRAZENECA UK LIMITED (2017-12-20);;ASTRAZENECA AB (2017-12-20)</x:v>
      </x:c>
      <x:c r="O91" s="87" t="str">
        <x:v>CHEMICAL COMPOUNDS</x:v>
      </x:c>
      <x:c r="P91" s="109" t="n">
        <x:v>0</x:v>
      </x:c>
      <x:c r="Q91" s="109" t="n">
        <x:v>70</x:v>
      </x:c>
      <x:c r="R91" s="87" t="str">
        <x:v>C07D471/04;;A61K31/497;;A61K45/06;;A61K31/4745;;A61K31/4738;;A61P35/00;;A61P43/00;;A61K31/4745;;A61K31/497;;C07D471/04;;A61P35/00;;A61P43/00;;A61K31/4745;;A61K31/497;;A61K45/06;;A61P35/00;;A61P43/00;;C07D471/04;;A61P35/00;;A61K31/4745;;A61K31/497;;A61K45/06;;C07D471/04;;A61K31/4745;;A61K31/497;;A61K45/06;;C07D471/04</x:v>
      </x:c>
      <x:c r="S91" s="87" t="str">
        <x:v>C07D471/04;;A61K31/4745;;A61K31/497;;A61K45/06</x:v>
      </x:c>
      <x:c r="T91" s="87" t="str">
        <x:v>PENDING</x:v>
      </x:c>
      <x:c r="U91" s="87" t="str">
        <x:v>https://lens.org/173-870-152-129-990</x:v>
      </x:c>
    </x:row>
    <x:row r="92">
      <x:c r="A92" s="87" t="str">
        <x:v>AstraZeneca_Lens_RAW_2009_2024.csv.csv</x:v>
      </x:c>
      <x:c r="B92" s="87" t="str">
        <x:v>AstraZeneca</x:v>
      </x:c>
      <x:c r="C92" s="87"/>
      <x:c r="D92" s="87" t="str">
        <x:v>Yes</x:v>
      </x:c>
      <x:c r="E92" s="87" t="str">
        <x:v>astrazeneca</x:v>
      </x:c>
      <x:c r="F92" s="87" t="str">
        <x:v>90</x:v>
      </x:c>
      <x:c r="G92" s="87" t="str">
        <x:v>053-749-109-395-999</x:v>
      </x:c>
      <x:c r="H92" s="110" t="n">
        <x:v>43713</x:v>
      </x:c>
      <x:c r="I92" s="88" t="n">
        <x:v>2019</x:v>
      </x:c>
      <x:c r="J92" s="87" t="str">
        <x:v>US</x:v>
      </x:c>
      <x:c r="K92" s="87" t="str">
        <x:v>A1</x:v>
      </x:c>
      <x:c r="L92" s="87" t="str">
        <x:v>US 2024/0376206 A1</x:v>
      </x:c>
      <x:c r="M92" s="87" t="str">
        <x:v>ASTRAZENECA AB</x:v>
      </x:c>
      <x:c r="N92" s="87" t="str">
        <x:v>ASTRAZENECA PHARMACEUTICALS LP (2020-06-22);;ASTRAZENECA UK LIMITED (2020-07-31);;ASTRAZENECA AB (2020-08-03)</x:v>
      </x:c>
      <x:c r="O92" s="87" t="str">
        <x:v>COMPOSITIONS AND METHODS FOR TREATING LATE STAGE LUNG CANCER</x:v>
      </x:c>
      <x:c r="P92" s="109" t="n">
        <x:v>0</x:v>
      </x:c>
      <x:c r="Q92" s="109" t="n">
        <x:v>15</x:v>
      </x:c>
      <x:c r="R92" s="87" t="str">
        <x:v>C07K16/2827;;C07K16/3023;;C07K16/32;;A61K31/555;;A61K31/7048;;A61K33/243;;A61K39/3955;;A61K39/39558;;A61K45/06;;A61P35/00;;A61P35/04;;A61K31/282;;A61P11/00;;C07K16/2827;;A61K33/243;;C07K16/3023;;A61K31/282;;A61K39/3955;;A61K39/39558;;C07K16/2818;;A61P11/00;;A61K2300/00;;A61P35/04;;A61P35/00;;A61K45/06;;A61K31/555;;C07K16/32;;A61K9/0019;;A61K31/7048;;A61K39/3955;;A61K39/39558;;A61K31/365;;A61K33/243;;A61K31/555;;A61K45/06;;A61P35/00;;C07K16/2827;;C07K16/3023;;C07K16/32;;A61K2300/00;;A61K2039/545;;A61P35/00;;A61K33/243;;A61K9/0019;;A61K31/555;;A61K31/7048;;C07K16/2818;;C07K16/2827</x:v>
      </x:c>
      <x:c r="S92" s="87" t="str">
        <x:v>C07K16/28;;A61K9/00;;A61K31/555;;A61K31/7048;;A61K33/243;;A61P35/00</x:v>
      </x:c>
      <x:c r="T92" s="87" t="str">
        <x:v>PENDING</x:v>
      </x:c>
      <x:c r="U92" s="87" t="str">
        <x:v>https://lens.org/053-749-109-395-999</x:v>
      </x:c>
    </x:row>
    <x:row r="93">
      <x:c r="A93" s="87" t="str">
        <x:v>AstraZeneca_Lens_RAW_2009_2024.csv.csv</x:v>
      </x:c>
      <x:c r="B93" s="87" t="str">
        <x:v>AstraZeneca</x:v>
      </x:c>
      <x:c r="C93" s="87"/>
      <x:c r="D93" s="87" t="str">
        <x:v>Yes</x:v>
      </x:c>
      <x:c r="E93" s="87" t="str">
        <x:v>astrazeneca</x:v>
      </x:c>
      <x:c r="F93" s="87" t="str">
        <x:v>91</x:v>
      </x:c>
      <x:c r="G93" s="87" t="str">
        <x:v>189-528-671-074-386</x:v>
      </x:c>
      <x:c r="H93" s="110" t="n">
        <x:v>44397</x:v>
      </x:c>
      <x:c r="I93" s="88" t="n">
        <x:v>2021</x:v>
      </x:c>
      <x:c r="J93" s="87" t="str">
        <x:v>US</x:v>
      </x:c>
      <x:c r="K93" s="87" t="str">
        <x:v>A1</x:v>
      </x:c>
      <x:c r="L93" s="87" t="str">
        <x:v>US 2024/0374606 A1</x:v>
      </x:c>
      <x:c r="M93" s="87" t="str">
        <x:v>ASTRAZENECA AB</x:v>
      </x:c>
      <x:c r="N93" s="87" t="str">
        <x:v>ASTRAZENECA PHARMACEUTICALS LP (2021-12-15);;ASTRAZENECA UK LIMITED (2022-01-12);;ASTRAZENECA AB (2021-12-20)</x:v>
      </x:c>
      <x:c r="O93" s="87" t="str">
        <x:v>SUBSTITUTED PYRAZINE-2-CARBOXAMIDES AS HPK1 INHIBITORS FOR THE TREATMENT OF CANCER</x:v>
      </x:c>
      <x:c r="P93" s="109" t="n">
        <x:v>0</x:v>
      </x:c>
      <x:c r="Q93" s="109" t="n">
        <x:v>12</x:v>
      </x:c>
      <x:c r="R93" s="87" t="str">
        <x:v>C07D403/14;;C07D405/14;;C07D417/04;;C07D403/04;;C07D409/14;;C07D413/14;;C07D519/00;;C07D401/14;;A61P35/00;;A61K31/497;;A61K31/5377;;A61K31/541;;C07D401/14;;C07D403/04;;C07D403/14;;C07D405/14;;C07D471/04;;C07D487/04</x:v>
      </x:c>
      <x:c r="S93" s="87" t="str">
        <x:v>A61K31/5377;;A61K31/497;;A61K31/541;;C07D401/14;;C07D403/04;;C07D403/14;;C07D405/14;;C07D471/04;;C07D487/04</x:v>
      </x:c>
      <x:c r="T93" s="87" t="str">
        <x:v>ACTIVE</x:v>
      </x:c>
      <x:c r="U93" s="87" t="str">
        <x:v>https://lens.org/189-528-671-074-386</x:v>
      </x:c>
    </x:row>
    <x:row r="94">
      <x:c r="A94" s="87" t="str">
        <x:v>AstraZeneca_Lens_RAW_2009_2024.csv.csv</x:v>
      </x:c>
      <x:c r="B94" s="87" t="str">
        <x:v>AstraZeneca</x:v>
      </x:c>
      <x:c r="C94" s="87"/>
      <x:c r="D94" s="87" t="str">
        <x:v>Yes</x:v>
      </x:c>
      <x:c r="E94" s="87" t="str">
        <x:v>astrazeneca</x:v>
      </x:c>
      <x:c r="F94" s="87" t="str">
        <x:v>92</x:v>
      </x:c>
      <x:c r="G94" s="87" t="str">
        <x:v>038-266-977-154-394</x:v>
      </x:c>
      <x:c r="H94" s="110" t="n">
        <x:v>45023</x:v>
      </x:c>
      <x:c r="I94" s="88" t="n">
        <x:v>2023</x:v>
      </x:c>
      <x:c r="J94" s="87" t="str">
        <x:v>US</x:v>
      </x:c>
      <x:c r="K94" s="87" t="str">
        <x:v>A1</x:v>
      </x:c>
      <x:c r="L94" s="87" t="str">
        <x:v>US 2024/0374588 A1</x:v>
      </x:c>
      <x:c r="M94" s="87" t="str">
        <x:v>ASTRAZENECA AB</x:v>
      </x:c>
      <x:c r="N94" s="87" t="str">
        <x:v>ASTRAZENECA AB (2024-05-17)</x:v>
      </x:c>
      <x:c r="O94" s="87" t="str">
        <x:v>IRAK4 PROTACS</x:v>
      </x:c>
      <x:c r="P94" s="109" t="n">
        <x:v>0</x:v>
      </x:c>
      <x:c r="Q94" s="109" t="n">
        <x:v>11</x:v>
      </x:c>
      <x:c r="R94" s="87" t="str">
        <x:v>C07D487/04;;C07D401/14;;C07D519/00;;A61P35/00;;A61P29/00;;A61P37/00;;A61P11/00;;A61K31/4545;;A61K31/496;;A61K31/5025;;A61K31/513;;A61P11/00;;A61P29/00;;A61P35/00;;A61P37/00;;C07D401/14;;C07D487/04;;C07D519/00;;A61K31/496;;A61K31/5025;;A61K31/513;;A61K47/55;;A61P11/00;;A61P29/00;;A61P35/00;;A61P37/00;;C07D401/14;;C07D487/04;;A61K31/4545;;A61K31/496;;A61K31/5025;;A61K31/513;;C07D401/14;;C07D487/04</x:v>
      </x:c>
      <x:c r="S94" s="87" t="str">
        <x:v>A61K31/5025;;A61K31/4545;;A61K31/496;;A61K31/513;;C07D401/14;;C07D487/04</x:v>
      </x:c>
      <x:c r="T94" s="87" t="str">
        <x:v>PENDING</x:v>
      </x:c>
      <x:c r="U94" s="87" t="str">
        <x:v>https://lens.org/038-266-977-154-394</x:v>
      </x:c>
    </x:row>
    <x:row r="95">
      <x:c r="A95" s="87" t="str">
        <x:v>AstraZeneca_Lens_RAW_2009_2024.csv.csv</x:v>
      </x:c>
      <x:c r="B95" s="87" t="str">
        <x:v>AstraZeneca</x:v>
      </x:c>
      <x:c r="C95" s="87"/>
      <x:c r="D95" s="87" t="str">
        <x:v>Yes</x:v>
      </x:c>
      <x:c r="E95" s="87" t="str">
        <x:v>astrazeneca</x:v>
      </x:c>
      <x:c r="F95" s="87" t="str">
        <x:v>93</x:v>
      </x:c>
      <x:c r="G95" s="87" t="str">
        <x:v>126-206-374-296-380</x:v>
      </x:c>
      <x:c r="H95" s="110" t="n">
        <x:v>43354</x:v>
      </x:c>
      <x:c r="I95" s="88" t="n">
        <x:v>2018</x:v>
      </x:c>
      <x:c r="J95" s="87" t="str">
        <x:v>US</x:v>
      </x:c>
      <x:c r="K95" s="87" t="str">
        <x:v>B2</x:v>
      </x:c>
      <x:c r="L95" s="87" t="str">
        <x:v>US 12134613 B2</x:v>
      </x:c>
      <x:c r="M95" s="87" t="str">
        <x:v>ASTRAZENECA AB;;HUTCHISON MEDIPHARMA LTD</x:v>
      </x:c>
      <x:c r="N95" s="87" t="str">
        <x:v>HUTCHISON MEDIPHARMA LIMITED (2021-12-23);;ASTRAZENECA UK LIMITED (2022-01-12);;ASTRAZENECA AB (2022-01-18)</x:v>
      </x:c>
      <x:c r="O95" s="87" t="str">
        <x:v>Method for the manufacture of 3-[(1S)-1-imidazo[1,2-a]pyridin-6-ylethyl]-5-(1-methylpyrazol-4-yl)triazolo[4,5-b]pyrazine and polymorphic forms thereof</x:v>
      </x:c>
      <x:c r="P95" s="109" t="n">
        <x:v>0</x:v>
      </x:c>
      <x:c r="Q95" s="109" t="n">
        <x:v>26</x:v>
      </x:c>
      <x:c r="R95" s="87" t="str">
        <x:v>C07D519/00;;C07D471/04;;C07D519/00;;C07D471/04;;C07D487/04;;A61K31/4985;;C07D471/04;;C07D471/04</x:v>
      </x:c>
      <x:c r="S95" s="87" t="str">
        <x:v>C07D471/04</x:v>
      </x:c>
      <x:c r="T95" s="87" t="str">
        <x:v>ACTIVE</x:v>
      </x:c>
      <x:c r="U95" s="87" t="str">
        <x:v>https://lens.org/126-206-374-296-380</x:v>
      </x:c>
    </x:row>
    <x:row r="96">
      <x:c r="A96" s="87" t="str">
        <x:v>AstraZeneca_Lens_RAW_2009_2024.csv.csv</x:v>
      </x:c>
      <x:c r="B96" s="87" t="str">
        <x:v>AstraZeneca</x:v>
      </x:c>
      <x:c r="C96" s="87"/>
      <x:c r="D96" s="87" t="str">
        <x:v>Yes</x:v>
      </x:c>
      <x:c r="E96" s="87" t="str">
        <x:v>astrazeneca</x:v>
      </x:c>
      <x:c r="F96" s="87" t="str">
        <x:v>94</x:v>
      </x:c>
      <x:c r="G96" s="87" t="str">
        <x:v>063-364-281-026-875</x:v>
      </x:c>
      <x:c r="H96" s="110" t="n">
        <x:v>44510</x:v>
      </x:c>
      <x:c r="I96" s="88" t="n">
        <x:v>2021</x:v>
      </x:c>
      <x:c r="J96" s="87" t="str">
        <x:v>US</x:v>
      </x:c>
      <x:c r="K96" s="87" t="str">
        <x:v>A1</x:v>
      </x:c>
      <x:c r="L96" s="87" t="str">
        <x:v>US 2024/0360226 A1</x:v>
      </x:c>
      <x:c r="M96" s="87" t="str">
        <x:v>ASTRAZENECA AB</x:v>
      </x:c>
      <x:c r="N96" s="87" t="str">
        <x:v>MEDIMMUNE LIMITED (2023-02-21);;ASTRAZENECA PHARMACEUTICALS LP (2022-11-23);;ASTRAZENECA UK LIMITED (2023-02-15);;ASTRAZENECA AB (2023-02-22);;MEDIMMUNE LLC (2023-02-02)</x:v>
      </x:c>
      <x:c r="O96" s="87" t="str">
        <x:v>ANTIBODY MOLECULES AND CONJUGATES</x:v>
      </x:c>
      <x:c r="P96" s="109" t="n">
        <x:v>0</x:v>
      </x:c>
      <x:c r="Q96" s="109" t="n">
        <x:v>19</x:v>
      </x:c>
      <x:c r="R96" s="87" t="str">
        <x:v>C07K16/2863;;C07K2317/31;;C07K2317/92;;C07K2317/33;;C07K2317/77;;A61P35/00;;A61K2039/505;;A61K47/6849;;A61K47/68037;;C07K16/2863;;C07K2317/33;;C07K2317/92;;A61K47/6803;;A61K47/6849;;C07K2317/565;;A61K47/68037;;A61P35/00;;C07K2317/77;;C07K2317/52;;A61K2039/505;;C07K2317/31;;C07K2317/35;;A61P1/18;;C07K16/2863;;A61K47/68037;;A61K47/6849;;A61P35/00;;A61K2039/505;;C07K2317/92;;C07K2317/77;;C07K2317/31;;C07K2317/33;;C07K2317/52;;C07K2317/565;;C07K2317/35;;A61K47/6849;;A61P1/18;;A61P35/00;;A61K2039/505;;C07K16/2863;;C07K2317/31;;C07K2317/33;;C07K2317/35;;C07K2317/52;;C07K2317/565;;C07K2317/77;;C07K2317/92;;A61K47/68037</x:v>
      </x:c>
      <x:c r="S96" s="87" t="str">
        <x:v>C07K16/28;;A61K39/00;;A61K47/68;;A61P1/18;;A61P35/00</x:v>
      </x:c>
      <x:c r="T96" s="87" t="str">
        <x:v>PENDING</x:v>
      </x:c>
      <x:c r="U96" s="87" t="str">
        <x:v>https://lens.org/063-364-281-026-875</x:v>
      </x:c>
    </x:row>
    <x:row r="97">
      <x:c r="A97" s="87" t="str">
        <x:v>AstraZeneca_Lens_RAW_2009_2024.csv.csv</x:v>
      </x:c>
      <x:c r="B97" s="87" t="str">
        <x:v>AstraZeneca</x:v>
      </x:c>
      <x:c r="C97" s="87"/>
      <x:c r="D97" s="87" t="str">
        <x:v>Yes</x:v>
      </x:c>
      <x:c r="E97" s="87" t="str">
        <x:v>astrazeneca</x:v>
      </x:c>
      <x:c r="F97" s="87" t="str">
        <x:v>95</x:v>
      </x:c>
      <x:c r="G97" s="87" t="str">
        <x:v>134-122-947-060-837</x:v>
      </x:c>
      <x:c r="H97" s="110" t="n">
        <x:v>45028</x:v>
      </x:c>
      <x:c r="I97" s="88" t="n">
        <x:v>2023</x:v>
      </x:c>
      <x:c r="J97" s="87" t="str">
        <x:v>US</x:v>
      </x:c>
      <x:c r="K97" s="87" t="str">
        <x:v>A1</x:v>
      </x:c>
      <x:c r="L97" s="87" t="str">
        <x:v>US 2024/0350682 A1</x:v>
      </x:c>
      <x:c r="M97" s="87" t="str">
        <x:v>FUSION PHARMACEUTICALS INC;;ASTRAZENECA UK LTD</x:v>
      </x:c>
      <x:c r="N97" s="87" t="str">
        <x:v>FUSION PHARMACEUTICALS INC (2023-09-14);;ASTRAZENECA PHARMACEUTICALS LP (2023-10-30);;ASTRAZENECA UK LIMITED (2025-08-11);;ASTRAZENECA AB (2025-08-19);;MEDIMMUNE LLC (2025-05-30)</x:v>
      </x:c>
      <x:c r="O97" s="87" t="str">
        <x:v>STEAP2-TARGETED COMPOUNDS AND USE THEREOF</x:v>
      </x:c>
      <x:c r="P97" s="109" t="n">
        <x:v>0</x:v>
      </x:c>
      <x:c r="Q97" s="109" t="n">
        <x:v>14</x:v>
      </x:c>
      <x:c r="R97" s="87" t="str">
        <x:v>A61K51/1072;;A61P35/00;;A61K51/1072;;A61P35/00;;A61K51/1093;;A61K51/1075;;A61K51/1093;;A61K51/1072;;A61P35/00;;A61P35/00;;A61K51/1075;;A61K51/1093</x:v>
      </x:c>
      <x:c r="S97" s="87" t="str">
        <x:v>A61K51/10;;A61P35/00</x:v>
      </x:c>
      <x:c r="T97" s="87" t="str">
        <x:v>PENDING</x:v>
      </x:c>
      <x:c r="U97" s="87" t="str">
        <x:v>https://lens.org/134-122-947-060-837</x:v>
      </x:c>
    </x:row>
    <x:row r="98">
      <x:c r="A98" s="87" t="str">
        <x:v>AstraZeneca_Lens_RAW_2009_2024.csv.csv</x:v>
      </x:c>
      <x:c r="B98" s="87" t="str">
        <x:v>AstraZeneca</x:v>
      </x:c>
      <x:c r="C98" s="87"/>
      <x:c r="D98" s="87" t="str">
        <x:v>Yes</x:v>
      </x:c>
      <x:c r="E98" s="87" t="str">
        <x:v>astrazeneca</x:v>
      </x:c>
      <x:c r="F98" s="87" t="str">
        <x:v>96</x:v>
      </x:c>
      <x:c r="G98" s="87" t="str">
        <x:v>130-794-778-345-706</x:v>
      </x:c>
      <x:c r="H98" s="110" t="n">
        <x:v>44979</x:v>
      </x:c>
      <x:c r="I98" s="88" t="n">
        <x:v>2023</x:v>
      </x:c>
      <x:c r="J98" s="87" t="str">
        <x:v>US</x:v>
      </x:c>
      <x:c r="K98" s="87" t="str">
        <x:v>A1</x:v>
      </x:c>
      <x:c r="L98" s="87" t="str">
        <x:v>US 2024/0350630 A1</x:v>
      </x:c>
      <x:c r="M98" s="87" t="str">
        <x:v>ASTRAZENECA AB</x:v>
      </x:c>
      <x:c r="N98" s="87" t="str">
        <x:v>ASTRAZENECA PHARMACEUTICALS LP (2024-01-18);;ASTRAZENECA UK LIMITED (2024-02-01);;ASTRAZENECA AB (2024-01-31);;MEDIMMUNE LLC (2024-01-05)</x:v>
      </x:c>
      <x:c r="O98" s="87" t="str">
        <x:v>COMPOSITIONS AND METHODS OF TREATING DISEASE WITH CHIMERIC ANTIGEN RECEPTORS TO B CELL MATURATION ANTIGEN (BCMA)</x:v>
      </x:c>
      <x:c r="P98" s="109" t="n">
        <x:v>0</x:v>
      </x:c>
      <x:c r="Q98" s="109" t="n">
        <x:v>10</x:v>
      </x:c>
      <x:c r="R98" s="87" t="str">
        <x:v>C07K16/2878;;C07K2319/03;;C07K2317/622;;C07K14/7051;;A61K2039/5156;;C07K2319/33;;C07K2317/73;;A61P35/00;;C07K14/70578;;A61K40/4215;;A61K40/31;;A61K40/11;;A61K40/11;;A61K2039/5156;;A61K40/4215;;C07K14/7051;;C07K14/70578;;C07K2317/73;;A61K40/416;;C07K14/70507;;C07K14/70521;;C07K2317/622;;A61P35/00;;C07K14/70514;;C07K14/7155;;C07K2319/03;;A61K40/31;;A61P37/06;;C07K14/70517;;C07K16/2878;;C07K2319/33;;C07K14/7051;;C07K16/2878;;C07K14/70521;;C07K14/70578;;C12N5/0606;;A61K40/11;;A61K40/31;;A61K40/4202;;A61P35/02;;A61P37/02;;C07K2317/622;;C07K2319/02;;C07K2319/03;;C12N2510/00;;A61P37/06;;A61P35/00;;C07K14/70507;;C07K14/7051;;C07K14/70514;;C07K14/70517;;C07K14/70521;;C07K14/70578;;C07K14/7155;;C07K16/2878;;C07K2319/03;;A61K40/416;;A61K40/31</x:v>
      </x:c>
      <x:c r="S98" s="87" t="str">
        <x:v>A61K39/00;;A61P35/00;;A61P37/06;;C07K14/705;;C07K14/715;;C07K14/725;;C07K14/73;;C07K16/28</x:v>
      </x:c>
      <x:c r="T98" s="87" t="str">
        <x:v>PENDING</x:v>
      </x:c>
      <x:c r="U98" s="87" t="str">
        <x:v>https://lens.org/130-794-778-345-706</x:v>
      </x:c>
    </x:row>
    <x:row r="99">
      <x:c r="A99" s="87" t="str">
        <x:v>AstraZeneca_Lens_RAW_2009_2024.csv.csv</x:v>
      </x:c>
      <x:c r="B99" s="87" t="str">
        <x:v>AstraZeneca</x:v>
      </x:c>
      <x:c r="C99" s="87"/>
      <x:c r="D99" s="87" t="str">
        <x:v>Yes</x:v>
      </x:c>
      <x:c r="E99" s="87" t="str">
        <x:v>astrazeneca</x:v>
      </x:c>
      <x:c r="F99" s="87" t="str">
        <x:v>97</x:v>
      </x:c>
      <x:c r="G99" s="87" t="str">
        <x:v>002-700-961-261-198</x:v>
      </x:c>
      <x:c r="H99" s="110" t="n">
        <x:v>43329</x:v>
      </x:c>
      <x:c r="I99" s="88" t="n">
        <x:v>2018</x:v>
      </x:c>
      <x:c r="J99" s="87" t="str">
        <x:v>US</x:v>
      </x:c>
      <x:c r="K99" s="87" t="str">
        <x:v>B2</x:v>
      </x:c>
      <x:c r="L99" s="87" t="str">
        <x:v>US 12115174 B2</x:v>
      </x:c>
      <x:c r="M99" s="87" t="str">
        <x:v>ASTRAZENECA AB</x:v>
      </x:c>
      <x:c r="N99" s="87" t="str">
        <x:v>ASTRAZENECA UK LIMITED (2018-11-06);;ASTRAZENECA AB (2018-11-07)</x:v>
      </x:c>
      <x:c r="O99" s="87" t="str">
        <x:v>Dendrimer formulations</x:v>
      </x:c>
      <x:c r="P99" s="109" t="n">
        <x:v>0</x:v>
      </x:c>
      <x:c r="Q99" s="109" t="n">
        <x:v>29</x:v>
      </x:c>
      <x:c r="R99" s="87" t="str">
        <x:v>C07D211/22;;A61K47/595;;A61K47/60;;A61K47/6921;;A61P35/00;;C08G69/10;;C08G83/004;;C07D211/22;;A61K9/0019;;A61K9/19;;A61K31/451;;A61K31/635;;A61K47/595;;A61K47/60;;A61K47/6921;;A61P35/00;;C08G69/10;;C08G83/004;;A61K47/595;;A61K9/0019;;A61K9/19;;A61K31/451;;A61K47/60;;A61P35/00;;C07D211/22;;C08G69/10;;C08G83/004;;A61K31/635;;A61K9/19;;A61K47/595;;A61P35/00</x:v>
      </x:c>
      <x:c r="S99" s="87" t="str">
        <x:v>A61K31/635;;A61K9/19;;A61K47/59;;A61P35/00</x:v>
      </x:c>
      <x:c r="T99" s="87" t="str">
        <x:v>ACTIVE</x:v>
      </x:c>
      <x:c r="U99" s="87" t="str">
        <x:v>https://lens.org/002-700-961-261-198</x:v>
      </x:c>
    </x:row>
    <x:row r="100">
      <x:c r="A100" s="87" t="str">
        <x:v>AstraZeneca_Lens_RAW_2009_2024.csv.csv</x:v>
      </x:c>
      <x:c r="B100" s="87" t="str">
        <x:v>AstraZeneca</x:v>
      </x:c>
      <x:c r="C100" s="87"/>
      <x:c r="D100" s="87" t="str">
        <x:v>Yes</x:v>
      </x:c>
      <x:c r="E100" s="87" t="str">
        <x:v>astrazeneca</x:v>
      </x:c>
      <x:c r="F100" s="87" t="str">
        <x:v>98</x:v>
      </x:c>
      <x:c r="G100" s="87" t="str">
        <x:v>171-274-793-213-363</x:v>
      </x:c>
      <x:c r="H100" s="110" t="n">
        <x:v>42496</x:v>
      </x:c>
      <x:c r="I100" s="88" t="n">
        <x:v>2016</x:v>
      </x:c>
      <x:c r="J100" s="87" t="str">
        <x:v>US</x:v>
      </x:c>
      <x:c r="K100" s="87" t="str">
        <x:v>B2</x:v>
      </x:c>
      <x:c r="L100" s="87" t="str">
        <x:v>US 12115225 B2</x:v>
      </x:c>
      <x:c r="M100" s="87" t="str">
        <x:v>ASTRAZENECA AB;;IONIS PHARMACEUTICALS INC</x:v>
      </x:c>
      <x:c r="N100" s="87" t="str">
        <x:v>IONIS PHARMACEUTICALS INC (2017-06-07);;ASTRAZENECA AB (2018-10-17)</x:v>
      </x:c>
      <x:c r="O100" s="87" t="str">
        <x:v>GLP-1 receptor ligand moiety conjugated oligonucleotides and uses thereof</x:v>
      </x:c>
      <x:c r="P100" s="109" t="n">
        <x:v>1</x:v>
      </x:c>
      <x:c r="Q100" s="109" t="n">
        <x:v>28</x:v>
      </x:c>
      <x:c r="R100" s="87" t="str">
        <x:v>A61K31/7125;;A61K31/713;;C12N15/111;;C12N2310/11;;C12N2310/315;;C12N2310/3231;;C12N2310/3341;;C12N2310/3513;;C12N2320/32;;A61P35/00;;A61K38/1796;;A61P3/08;;A61P43/00;;C07K14/605;;C07K19/00;;A61K47/6425;;C12N2310/3521;;A61K47/549;;C12N2310/3525;;C12N2310/315;;A61P35/00;;C12N2310/3231;;C12N15/111;;C12N2310/321;;C12N2310/3341;;C12N2310/322;;C12N2320/32;;A61P3/08;;A61K38/1796;;C12N2310/11;;A61K47/65;;C12N2310/3513;;A61K31/7125;;A61K31/713;;C12N2310/3533;;A61P43/00;;C12N15/113;;A61K31/7125;;A61K31/713;;C12N2310/3341;;C12N2310/3231;;C12N2310/315;;C12N2310/11;;C12N2310/3513;;C12N2320/32;;C12N15/113;;A61K31/7125;;A61K31/713;;C12N2310/11;;C12N2310/315;;C12N2310/3231;;C12N2310/3341;;C12N2310/3513;;C12N2320/32;;C12N15/111;;A61K47/6425;;A61K47/65;;A61K47/549;;A61P35/00;;A61K38/1796;;C12N2310/321;;C12N2310/322;;C12N2310/3521;;C12N2310/3525;;C12N2310/3533</x:v>
      </x:c>
      <x:c r="S100" s="87" t="str">
        <x:v>C07H21/04;;A61K31/7125;;A61K31/713;;A61K38/17;;A61K47/54;;A61K47/64;;A61K47/65;;A61P35/00;;C12N15/11</x:v>
      </x:c>
      <x:c r="T100" s="87" t="str">
        <x:v>ACTIVE</x:v>
      </x:c>
      <x:c r="U100" s="87" t="str">
        <x:v>https://lens.org/171-274-793-213-363</x:v>
      </x:c>
    </x:row>
    <x:row r="101">
      <x:c r="A101" s="87" t="str">
        <x:v>AstraZeneca_Lens_RAW_2009_2024.csv.csv</x:v>
      </x:c>
      <x:c r="B101" s="87" t="str">
        <x:v>AstraZeneca</x:v>
      </x:c>
      <x:c r="C101" s="87"/>
      <x:c r="D101" s="87" t="str">
        <x:v>Yes</x:v>
      </x:c>
      <x:c r="E101" s="87" t="str">
        <x:v>astrazeneca</x:v>
      </x:c>
      <x:c r="F101" s="87" t="str">
        <x:v>99</x:v>
      </x:c>
      <x:c r="G101" s="87" t="str">
        <x:v>108-931-719-750-382</x:v>
      </x:c>
      <x:c r="H101" s="110" t="n">
        <x:v>44104</x:v>
      </x:c>
      <x:c r="I101" s="88" t="n">
        <x:v>2020</x:v>
      </x:c>
      <x:c r="J101" s="87" t="str">
        <x:v>AU</x:v>
      </x:c>
      <x:c r="K101" s="87" t="str">
        <x:v>B2</x:v>
      </x:c>
      <x:c r="L101" s="87" t="str">
        <x:v>AU 2021/353968 B2</x:v>
      </x:c>
      <x:c r="M101" s="87" t="str">
        <x:v>ASTRAZENECA AB</x:v>
      </x:c>
      <x:c r="N101" s="87" t="str">
        <x:v>ASTRAZENECA AB (2024-10-03)</x:v>
      </x:c>
      <x:c r="O101" s="87" t="str">
        <x:v>COMPOUNDS AND THEIR USE IN TREATING CANCER</x:v>
      </x:c>
      <x:c r="P101" s="109" t="n">
        <x:v>0</x:v>
      </x:c>
      <x:c r="Q101" s="109" t="n">
        <x:v>21</x:v>
      </x:c>
      <x:c r="R101" s="87" t="str">
        <x:v>A61K47/55;;A61K47/555;;A61P35/00;;A61K47/55;;A61P35/00;;A61K47/555;;C07D495/14;;A61K47/55;;A61K47/555;;A61P35/00;;C07D405/04;;C07D417/04;;C07D471/04;;C07D413/04;;C07D403/04;;C07D401/04;;C07D498/04;;C07D491/048;;C07D401/14;;C07D401/14;;C07D403/04;;C07D405/04;;C07D409/04;;C07D413/04;;C07D417/04;;C07D471/04;;C07D487/04;;C07D491/048;;C07D495/14</x:v>
      </x:c>
      <x:c r="S101" s="87" t="str">
        <x:v>A61K47/55;;A61K47/54;;A61P35/00</x:v>
      </x:c>
      <x:c r="T101" s="87" t="str">
        <x:v>ACTIVE</x:v>
      </x:c>
      <x:c r="U101" s="87" t="str">
        <x:v>https://lens.org/108-931-719-750-382</x:v>
      </x:c>
    </x:row>
    <x:row r="102">
      <x:c r="A102" s="87" t="str">
        <x:v>AstraZeneca_Lens_RAW_2009_2024.csv.csv</x:v>
      </x:c>
      <x:c r="B102" s="87" t="str">
        <x:v>AstraZeneca</x:v>
      </x:c>
      <x:c r="C102" s="87"/>
      <x:c r="D102" s="87" t="str">
        <x:v>Yes</x:v>
      </x:c>
      <x:c r="E102" s="87" t="str">
        <x:v>astrazeneca</x:v>
      </x:c>
      <x:c r="F102" s="87" t="str">
        <x:v>100</x:v>
      </x:c>
      <x:c r="G102" s="87" t="str">
        <x:v>049-994-436-158-389</x:v>
      </x:c>
      <x:c r="H102" s="110" t="n">
        <x:v>41974</x:v>
      </x:c>
      <x:c r="I102" s="88" t="n">
        <x:v>2014</x:v>
      </x:c>
      <x:c r="J102" s="87" t="str">
        <x:v>US</x:v>
      </x:c>
      <x:c r="K102" s="87" t="str">
        <x:v>A1</x:v>
      </x:c>
      <x:c r="L102" s="87" t="str">
        <x:v>US 2024/0335446 A1</x:v>
      </x:c>
      <x:c r="M102" s="87" t="str">
        <x:v>ASTRAZENECA AB</x:v>
      </x:c>
      <x:c r="N102" s="87" t="str">
        <x:v>ASTRAZENECA AB (2015-12-14);;ASTRAZENECA UK LIMITED (2015-12-16)</x:v>
      </x:c>
      <x:c r="O102" s="87" t="str">
        <x:v>1-[2-(AMINOMETHYL)BENZYL]-2-THIOXO-1,2,3,5-TETRAHYDRO-4H-PYRROLO[3,2-d]PYRIMIDIN-4-ONES AS INHIBITORS OF MYELOPEROXIDASE</x:v>
      </x:c>
      <x:c r="P102" s="109" t="n">
        <x:v>0</x:v>
      </x:c>
      <x:c r="Q102" s="109" t="n">
        <x:v>59</x:v>
      </x:c>
      <x:c r="R102" s="87" t="str">
        <x:v>C07D487/04;;C07D487/04;;A61K31/519;;A61P43/00;;A61P9/00;;A61P9/04;;A61P9/10;;A61K31/519;;C07D487/04;;A61P9/00;;C07D487/04;;A61K31/519;;C07D487/04;;A61K31/519</x:v>
      </x:c>
      <x:c r="S102" s="87" t="str">
        <x:v>A61K31/519;;C07D487/04</x:v>
      </x:c>
      <x:c r="T102" s="87" t="str">
        <x:v>ACTIVE</x:v>
      </x:c>
      <x:c r="U102" s="87" t="str">
        <x:v>https://lens.org/049-994-436-158-389</x:v>
      </x:c>
    </x:row>
    <x:row r="103">
      <x:c r="A103" s="87" t="str">
        <x:v>AstraZeneca_Lens_RAW_2009_2024.csv.csv</x:v>
      </x:c>
      <x:c r="B103" s="87" t="str">
        <x:v>AstraZeneca</x:v>
      </x:c>
      <x:c r="C103" s="87"/>
      <x:c r="D103" s="87" t="str">
        <x:v>Yes</x:v>
      </x:c>
      <x:c r="E103" s="87" t="str">
        <x:v>astrazeneca</x:v>
      </x:c>
      <x:c r="F103" s="87" t="str">
        <x:v>101</x:v>
      </x:c>
      <x:c r="G103" s="87" t="str">
        <x:v>021-723-610-577-570</x:v>
      </x:c>
      <x:c r="H103" s="110" t="n">
        <x:v>41663</x:v>
      </x:c>
      <x:c r="I103" s="88" t="n">
        <x:v>2014</x:v>
      </x:c>
      <x:c r="J103" s="87" t="str">
        <x:v>US</x:v>
      </x:c>
      <x:c r="K103" s="87" t="str">
        <x:v>A1</x:v>
      </x:c>
      <x:c r="L103" s="87" t="str">
        <x:v>US 2024/0336582 A1</x:v>
      </x:c>
      <x:c r="M103" s="87" t="str">
        <x:v>ASTRAZENECA AB</x:v>
      </x:c>
      <x:c r="N103" s="87" t="str">
        <x:v>ASTRAZENECA AB (2015-02-18);;ASTRAZENECA UK LIMITED (2015-05-03);;BIOFOCUS DPI LTD (2015-03-12)</x:v>
      </x:c>
      <x:c r="O103" s="87" t="str">
        <x:v>CERTAIN (2S)-N-[(1S)-1-CYANO-2-PHENYLETHYL]-1,4-OXAZEPANE-2-CARBOXAMIDES AS DIPEPTIDYL PEPTIDASE 1 INHIBITORS</x:v>
      </x:c>
      <x:c r="P103" s="109" t="n">
        <x:v>1</x:v>
      </x:c>
      <x:c r="Q103" s="109" t="n">
        <x:v>146</x:v>
      </x:c>
      <x:c r="R103" s="87" t="str">
        <x:v>A61K31/553;;A61K45/06;;C07D267/10;;C07D413/12;;C07D413/14;;C07D417/12;;C07D413/14;;A61K31/553;;C07D267/10;;C07D413/12;;C07D417/12;;A61P11/00;;A61P11/06;;A61P11/08;;A61P11/14;;A61P31/06;;A61P31/12;;A61P31/16;;A61P35/00;;A61P37/08;;A61P43/00;;A61K45/06;;A61K31/553;;A61K45/06;;C07D267/10;;C07D413/12;;C07D413/14;;C07D417/12;;C07D413/14;;A61K31/553;;A61K45/06;;C07D267/10;;C07D413/12;;C07D417/12</x:v>
      </x:c>
      <x:c r="S103" s="87" t="str">
        <x:v>C07D267/10;;A61K31/553;;A61K45/06;;C07D413/12;;C07D413/14;;C07D417/12</x:v>
      </x:c>
      <x:c r="T103" s="87" t="str">
        <x:v>DISCONTINUED</x:v>
      </x:c>
      <x:c r="U103" s="87" t="str">
        <x:v>https://lens.org/021-723-610-577-570</x:v>
      </x:c>
    </x:row>
    <x:row r="104">
      <x:c r="A104" s="87" t="str">
        <x:v>AstraZeneca_Lens_RAW_2009_2024.csv.csv</x:v>
      </x:c>
      <x:c r="B104" s="87" t="str">
        <x:v>AstraZeneca</x:v>
      </x:c>
      <x:c r="C104" s="87"/>
      <x:c r="D104" s="87" t="str">
        <x:v>Yes</x:v>
      </x:c>
      <x:c r="E104" s="87" t="str">
        <x:v>astrazeneca</x:v>
      </x:c>
      <x:c r="F104" s="87" t="str">
        <x:v>102</x:v>
      </x:c>
      <x:c r="G104" s="87" t="str">
        <x:v>041-079-012-312-717</x:v>
      </x:c>
      <x:c r="H104" s="110" t="n">
        <x:v>43279</x:v>
      </x:c>
      <x:c r="I104" s="88" t="n">
        <x:v>2018</x:v>
      </x:c>
      <x:c r="J104" s="87" t="str">
        <x:v>US</x:v>
      </x:c>
      <x:c r="K104" s="87" t="str">
        <x:v>B2</x:v>
      </x:c>
      <x:c r="L104" s="87" t="str">
        <x:v>US 12109310 B2</x:v>
      </x:c>
      <x:c r="M104" s="87" t="str">
        <x:v>ASTRAZENECA AB;;VALADI HADI;;ASTRAENECA AB</x:v>
      </x:c>
      <x:c r="N104" s="87" t="str">
        <x:v>ASTRAZENECA AB (2019-09-03);;VALADI HADI (2019-08-23)</x:v>
      </x:c>
      <x:c r="O104" s="87" t="str">
        <x:v>Exosome extracellular vesicles and methods of use</x:v>
      </x:c>
      <x:c r="P104" s="109" t="n">
        <x:v>0</x:v>
      </x:c>
      <x:c r="Q104" s="109" t="n">
        <x:v>7</x:v>
      </x:c>
      <x:c r="R104" s="87" t="str">
        <x:v>A61K9/127;;A61K9/1271;;A61K9/1272;;A61K31/7115;;A61K39/0005;;A61K2039/53;;A61K2039/55555;;A61K9/1272;;A61K31/7115</x:v>
      </x:c>
      <x:c r="S104" s="87" t="str">
        <x:v>A61K9/127;;A61K31/7115</x:v>
      </x:c>
      <x:c r="T104" s="87" t="str">
        <x:v>ACTIVE</x:v>
      </x:c>
      <x:c r="U104" s="87" t="str">
        <x:v>https://lens.org/041-079-012-312-717</x:v>
      </x:c>
    </x:row>
    <x:row r="105">
      <x:c r="A105" s="87" t="str">
        <x:v>AstraZeneca_Lens_RAW_2009_2024.csv.csv</x:v>
      </x:c>
      <x:c r="B105" s="87" t="str">
        <x:v>AstraZeneca</x:v>
      </x:c>
      <x:c r="C105" s="87"/>
      <x:c r="D105" s="87" t="str">
        <x:v>Yes</x:v>
      </x:c>
      <x:c r="E105" s="87" t="str">
        <x:v>astrazeneca</x:v>
      </x:c>
      <x:c r="F105" s="87" t="str">
        <x:v>103</x:v>
      </x:c>
      <x:c r="G105" s="87" t="str">
        <x:v>122-887-632-232-285</x:v>
      </x:c>
      <x:c r="H105" s="110" t="n">
        <x:v>45016</x:v>
      </x:c>
      <x:c r="I105" s="88" t="n">
        <x:v>2023</x:v>
      </x:c>
      <x:c r="J105" s="87" t="str">
        <x:v>US</x:v>
      </x:c>
      <x:c r="K105" s="87" t="str">
        <x:v>A1</x:v>
      </x:c>
      <x:c r="L105" s="87" t="str">
        <x:v>US 2024/0325384 A1</x:v>
      </x:c>
      <x:c r="M105" s="87" t="str">
        <x:v>ASTRAZENECA AB</x:v>
      </x:c>
      <x:c r="N105" s="87" t="str">
        <x:v>ASTRAZENECA PHARMACEUTICALS LP (2023-08-18);;ASTRAZENECA UK LIMITED (2023-10-16);;ASTRAZENECA AB (2023-10-18)</x:v>
      </x:c>
      <x:c r="O105" s="87" t="str">
        <x:v>DOSING REGIMEN</x:v>
      </x:c>
      <x:c r="P105" s="109" t="n">
        <x:v>0</x:v>
      </x:c>
      <x:c r="Q105" s="109" t="n">
        <x:v>1</x:v>
      </x:c>
      <x:c r="R105" s="87" t="str">
        <x:v>A61P35/00;;A61K31/496;;A61K31/502;;A61K9/20;;A61K31/496;;A61K9/0053;;A61K9/28;;A61P35/00</x:v>
      </x:c>
      <x:c r="S105" s="87" t="str">
        <x:v>A61K31/496;;A61K9/00;;A61K9/28;;A61P35/00</x:v>
      </x:c>
      <x:c r="T105" s="87" t="str">
        <x:v>PENDING</x:v>
      </x:c>
      <x:c r="U105" s="87" t="str">
        <x:v>https://lens.org/122-887-632-232-285</x:v>
      </x:c>
    </x:row>
    <x:row r="106">
      <x:c r="A106" s="87" t="str">
        <x:v>AstraZeneca_Lens_RAW_2009_2024.csv.csv</x:v>
      </x:c>
      <x:c r="B106" s="87" t="str">
        <x:v>AstraZeneca</x:v>
      </x:c>
      <x:c r="C106" s="87"/>
      <x:c r="D106" s="87" t="str">
        <x:v>Yes</x:v>
      </x:c>
      <x:c r="E106" s="87" t="str">
        <x:v>astrazeneca</x:v>
      </x:c>
      <x:c r="F106" s="87" t="str">
        <x:v>104</x:v>
      </x:c>
      <x:c r="G106" s="87" t="str">
        <x:v>024-406-812-061-476</x:v>
      </x:c>
      <x:c r="H106" s="110" t="n">
        <x:v>44153</x:v>
      </x:c>
      <x:c r="I106" s="88" t="n">
        <x:v>2020</x:v>
      </x:c>
      <x:c r="J106" s="87" t="str">
        <x:v>US</x:v>
      </x:c>
      <x:c r="K106" s="87" t="str">
        <x:v>A1</x:v>
      </x:c>
      <x:c r="L106" s="87" t="str">
        <x:v>US 2024/0327529 A1</x:v>
      </x:c>
      <x:c r="M106" s="87" t="str">
        <x:v>ASTRAZENECA AB</x:v>
      </x:c>
      <x:c r="N106" s="87" t="str">
        <x:v>ASTRAZENECA PHARMACEUTICALS LP (2021-02-15);;ASTRAZENECA AB (2021-03-23);;ASTRAZENECA UK LIMITED (2021-03-24);;MEDIMMUNE LLC (2021-03-23)</x:v>
      </x:c>
      <x:c r="O106" s="87" t="str">
        <x:v>STEROID SPARING</x:v>
      </x:c>
      <x:c r="P106" s="109" t="n">
        <x:v>0</x:v>
      </x:c>
      <x:c r="Q106" s="109" t="n">
        <x:v>12</x:v>
      </x:c>
      <x:c r="R106" s="87" t="str">
        <x:v>A61K45/00;;A61K2039/545;;A61P29/00;;A61P37/00;;C07K16/2875;;C07K2317/76;;C12Q1/6883;;C12Q2600/106;;C12Q2600/158;;G01N33/6866;;G01N33/6869;;G01N2333/5428;;G01N2800/104;;G01N2800/52;;A61K45/00;;A61K2039/545;;A61P29/00;;A61P37/00;;C07K16/2875;;C07K2317/76;;C12Q1/6883;;C12Q2600/106;;C12Q2600/158;;G01N33/6866;;G01N33/6869;;G01N2333/5428;;G01N2800/104;;G01N2800/52;;G01N33/6866;;A61K2039/505;;A61P37/00;;C07K16/2875;;C07K2317/76;;C12Q1/6883;;C12Q2600/106;;G01N33/6869;;G01N2333/5428;;G01N2800/104;;G01N2800/52;;C07K16/2866;;A61K2039/505;;A61K2039/545;;A61P7/00;;C07K2317/52;;C07K2317/565;;C12Q1/6883;;G01N33/6869;;G01N2800/52</x:v>
      </x:c>
      <x:c r="S106" s="87" t="str">
        <x:v>C07K16/28;;A61K39/00;;A61P7/00;;C12Q1/6883;;G01N33/68</x:v>
      </x:c>
      <x:c r="T106" s="87" t="str">
        <x:v>PENDING</x:v>
      </x:c>
      <x:c r="U106" s="87" t="str">
        <x:v>https://lens.org/024-406-812-061-476</x:v>
      </x:c>
    </x:row>
    <x:row r="107">
      <x:c r="A107" s="87" t="str">
        <x:v>AstraZeneca_Lens_RAW_2009_2024.csv.csv</x:v>
      </x:c>
      <x:c r="B107" s="87" t="str">
        <x:v>AstraZeneca</x:v>
      </x:c>
      <x:c r="C107" s="87"/>
      <x:c r="D107" s="87" t="str">
        <x:v>Yes</x:v>
      </x:c>
      <x:c r="E107" s="87" t="str">
        <x:v>astrazeneca</x:v>
      </x:c>
      <x:c r="F107" s="87" t="str">
        <x:v>105</x:v>
      </x:c>
      <x:c r="G107" s="87" t="str">
        <x:v>080-395-299-411-77X</x:v>
      </x:c>
      <x:c r="H107" s="110" t="n">
        <x:v>41880</x:v>
      </x:c>
      <x:c r="I107" s="88" t="n">
        <x:v>2014</x:v>
      </x:c>
      <x:c r="J107" s="87" t="str">
        <x:v>EP</x:v>
      </x:c>
      <x:c r="K107" s="87" t="str">
        <x:v>B1</x:v>
      </x:c>
      <x:c r="L107" s="87" t="str">
        <x:v>EP 3663975 B1</x:v>
      </x:c>
      <x:c r="M107" s="87" t="str">
        <x:v>ASTRAZENECA COMPUTATIONAL PATHOLOGY GMBH</x:v>
      </x:c>
      <x:c r="N107" s="87" t="str">
        <x:v>ASTRAZENECA COMPUTATIONAL PATHOLOGY GMBH (2021-12-22);;ASTRAZENECA COMPUTATIONAL PATHOLOGY GMBH, DE (2024-09-11)</x:v>
      </x:c>
      <x:c r="O107" s="87" t="str">
        <x:v>METHOD AND SYSTEM FOR LEARNING PIXEL VISUAL CONTEXT FROM OBJECT CHARACTERISTICS TO GENERATE RICH SEMANTIC IMAGES</x:v>
      </x:c>
      <x:c r="P107" s="109" t="n">
        <x:v>0</x:v>
      </x:c>
      <x:c r="Q107" s="109" t="n">
        <x:v>8</x:v>
      </x:c>
      <x:c r="R107" s="87" t="str">
        <x:v>G06V20/695;;G06F18/24323;;G06V10/25;;G06V10/454;;G06V10/462;;G06V10/50;;G06V10/56;;G06V10/764;;G06V10/772;;G06V20/698;;G06V20/695;;G06F18/24323;;G06T7/0012;;G06T7/162;;G06V10/25;;G06V10/454;;G06V10/462;;G06V10/50;;G06V10/56;;G06V10/764;;G06V10/772;;G06V20/698</x:v>
      </x:c>
      <x:c r="S107" s="87" t="str">
        <x:v>G06V20/69;;G06F18/243;;G06V10/25;;G06V10/46;;G06V10/56;;G06V10/764;;G06V10/772</x:v>
      </x:c>
      <x:c r="T107" s="87" t="str">
        <x:v>ACTIVE</x:v>
      </x:c>
      <x:c r="U107" s="87" t="str">
        <x:v>https://lens.org/080-395-299-411-77X</x:v>
      </x:c>
    </x:row>
    <x:row r="108">
      <x:c r="A108" s="87" t="str">
        <x:v>AstraZeneca_Lens_RAW_2009_2024.csv.csv</x:v>
      </x:c>
      <x:c r="B108" s="87" t="str">
        <x:v>AstraZeneca</x:v>
      </x:c>
      <x:c r="C108" s="87"/>
      <x:c r="D108" s="87" t="str">
        <x:v>Yes</x:v>
      </x:c>
      <x:c r="E108" s="87" t="str">
        <x:v>astrazeneca</x:v>
      </x:c>
      <x:c r="F108" s="87" t="str">
        <x:v>106</x:v>
      </x:c>
      <x:c r="G108" s="87" t="str">
        <x:v>094-928-208-801-498</x:v>
      </x:c>
      <x:c r="H108" s="110" t="n">
        <x:v>42128</x:v>
      </x:c>
      <x:c r="I108" s="88" t="n">
        <x:v>2015</x:v>
      </x:c>
      <x:c r="J108" s="87" t="str">
        <x:v>US</x:v>
      </x:c>
      <x:c r="K108" s="87" t="str">
        <x:v>A1</x:v>
      </x:c>
      <x:c r="L108" s="87" t="str">
        <x:v>US 2024/0317767 A1</x:v>
      </x:c>
      <x:c r="M108" s="87" t="str">
        <x:v>ASTRAZENECA AB</x:v>
      </x:c>
      <x:c r="N108" s="87" t="str">
        <x:v>ASTRAZENECA AB (2016-05-13)</x:v>
      </x:c>
      <x:c r="O108" s="87" t="str">
        <x:v>PYRAZOLE DERIVATIVES USEFUL AS 5-LIPOXYGENASE ACTIVATING PROTEIN (FLAP) INHIBITORS</x:v>
      </x:c>
      <x:c r="P108" s="109" t="n">
        <x:v>0</x:v>
      </x:c>
      <x:c r="Q108" s="109" t="n">
        <x:v>74</x:v>
      </x:c>
      <x:c r="R108" s="87" t="str">
        <x:v>C07D231/40;;C07D231/44;;C07D231/50;;C07D413/12;;C07D417/12;;C07D487/04;;C07D498/04;;C07D487/04;;A61P1/16;;A61P3/10;;A61P9/00;;A61P9/10;;A61P11/00;;A61P13/12;;A61P35/00;;A61P43/00;;C07D231/40;;C07D231/44;;C07D231/50;;C07D413/12;;C07D417/12;;C07D498/04;;C07D231/40;;A61P9/00;;C07D231/44;;C07D231/50;;C07D413/12;;C07D417/12;;C07D487/04;;C07D498/04;;C07D403/12;;A61K31/4155;;A61K31/4985;;C07D231/40;;C07D231/44;;C07D413/12;;C07D417/12;;C07D487/04;;C07D498/04;;C07D487/04;;A61K31/4155;;A61K31/4985;;A61P9/00;;A61P9/10;;A61P11/00;;C07D231/40;;C07D231/44;;C07D231/50;;C07D413/12;;C07D417/12;;C07D498/04</x:v>
      </x:c>
      <x:c r="S108" s="87" t="str">
        <x:v>C07D487/04;;A61K31/4155;;A61K31/4985;;A61P9/00;;A61P9/10;;A61P11/00;;C07D231/40;;C07D231/44;;C07D231/50;;C07D413/12;;C07D417/12;;C07D498/04</x:v>
      </x:c>
      <x:c r="T108" s="87" t="str">
        <x:v>PENDING</x:v>
      </x:c>
      <x:c r="U108" s="87" t="str">
        <x:v>https://lens.org/094-928-208-801-498</x:v>
      </x:c>
    </x:row>
    <x:row r="109">
      <x:c r="A109" s="87" t="str">
        <x:v>AstraZeneca_Lens_RAW_2009_2024.csv.csv</x:v>
      </x:c>
      <x:c r="B109" s="87" t="str">
        <x:v>AstraZeneca</x:v>
      </x:c>
      <x:c r="C109" s="87"/>
      <x:c r="D109" s="87" t="str">
        <x:v>Yes</x:v>
      </x:c>
      <x:c r="E109" s="87" t="str">
        <x:v>astrazeneca</x:v>
      </x:c>
      <x:c r="F109" s="87" t="str">
        <x:v>107</x:v>
      </x:c>
      <x:c r="G109" s="87" t="str">
        <x:v>031-627-628-416-970</x:v>
      </x:c>
      <x:c r="H109" s="110" t="n">
        <x:v>44979</x:v>
      </x:c>
      <x:c r="I109" s="88" t="n">
        <x:v>2023</x:v>
      </x:c>
      <x:c r="J109" s="87" t="str">
        <x:v>US</x:v>
      </x:c>
      <x:c r="K109" s="87" t="str">
        <x:v>A1</x:v>
      </x:c>
      <x:c r="L109" s="87" t="str">
        <x:v>US 2024/0316106 A1</x:v>
      </x:c>
      <x:c r="M109" s="87" t="str">
        <x:v>ASTRAZENECA AB</x:v>
      </x:c>
      <x:c r="N109" s="87" t="str">
        <x:v>ASTRAZENECA PHARMACEUTICALS LP (2024-01-18);;ASTRAZENECA UK LIMITED (2024-01-31);;ASTRAZENECA AB (2024-02-07)</x:v>
      </x:c>
      <x:c r="O109" s="87" t="str">
        <x:v>METHODS FOR GENERATING PRIMARY IMMUNE CELLS</x:v>
      </x:c>
      <x:c r="P109" s="109" t="n">
        <x:v>0</x:v>
      </x:c>
      <x:c r="Q109" s="109" t="n">
        <x:v>10</x:v>
      </x:c>
      <x:c r="R109" s="87" t="str">
        <x:v>C12N2510/00;;A61K35/17;;C12N2501/405;;C12N5/0634;;C12N2501/48;;C12N2501/60;;C12N2501/72;;A61K35/17;;A61K40/11;;A61K40/4253;;C07K14/82;;C12N2501/405;;C12N2510/00;;C12N9/22;;A61K40/4242;;C07K14/05;;C12N15/86;;C12N2501/60;;C12N5/0634;;A61K40/31;;A61P35/00;;C12N15/111;;C12N2501/48;;C12N2740/15043;;A61K40/4246;;C07K14/4703;;C12N2310/20;;C12N2501/72;;C12N5/0636;;C12N15/85;;C12N5/0636;;C07K14/4702;;C07K14/4703;;C07K14/7051;;C07K14/82;;A61K40/11;;A61K40/31;;A61K35/17;;A61K40/4242;;A61K40/4246;;A61K40/4253;;A61P35/00;;C12N2310/20;;C12N2510/00;;C12N2740/15043;;C12N2310/20;;A61P35/00;;A61K35/17;;C07K14/05;;C07K14/4703;;C07K14/82;;C12N5/0636;;C12N9/22;;C12N15/111;;C12N15/86;;C12N2740/15043;;A61K40/11;;A61K40/31;;A61K40/4242;;A61K40/4246;;A61K40/4253</x:v>
      </x:c>
      <x:c r="S109" s="87" t="str">
        <x:v>A61K35/17;;A61K39/00;;A61P35/00;;C07K14/05;;C07K14/47;;C07K14/82;;C12N5/0783;;C12N9/22;;C12N15/11;;C12N15/86</x:v>
      </x:c>
      <x:c r="T109" s="87" t="str">
        <x:v>PENDING</x:v>
      </x:c>
      <x:c r="U109" s="87" t="str">
        <x:v>https://lens.org/031-627-628-416-970</x:v>
      </x:c>
    </x:row>
    <x:row r="110">
      <x:c r="A110" s="87" t="str">
        <x:v>AstraZeneca_Lens_RAW_2009_2024.csv.csv</x:v>
      </x:c>
      <x:c r="B110" s="87" t="str">
        <x:v>AstraZeneca</x:v>
      </x:c>
      <x:c r="C110" s="87"/>
      <x:c r="D110" s="87" t="str">
        <x:v>Yes</x:v>
      </x:c>
      <x:c r="E110" s="87" t="str">
        <x:v>astrazeneca</x:v>
      </x:c>
      <x:c r="F110" s="87" t="str">
        <x:v>108</x:v>
      </x:c>
      <x:c r="G110" s="87" t="str">
        <x:v>162-788-213-888-21X</x:v>
      </x:c>
      <x:c r="H110" s="110" t="n">
        <x:v>44965</x:v>
      </x:c>
      <x:c r="I110" s="88" t="n">
        <x:v>2023</x:v>
      </x:c>
      <x:c r="J110" s="87" t="str">
        <x:v>US</x:v>
      </x:c>
      <x:c r="K110" s="87" t="str">
        <x:v>A1</x:v>
      </x:c>
      <x:c r="L110" s="87" t="str">
        <x:v>US 2024/0307383 A1</x:v>
      </x:c>
      <x:c r="M110" s="87" t="str">
        <x:v>ASTRAZENECA AB</x:v>
      </x:c>
      <x:c r="N110" s="87" t="str">
        <x:v>ASTRAZENECA AB (2023-04-06)</x:v>
      </x:c>
      <x:c r="O110" s="87" t="str">
        <x:v>COMBINATION OF ZIBOTENTAN AND DAPAGLIFLOZIN FOR THE TREATMENT OF PROTEINURIA CHRONIC KIDNEY DISEASE</x:v>
      </x:c>
      <x:c r="P110" s="109" t="n">
        <x:v>0</x:v>
      </x:c>
      <x:c r="Q110" s="109" t="n">
        <x:v>13</x:v>
      </x:c>
      <x:c r="R110" s="87" t="str">
        <x:v>A61K31/497;;A61K31/7034;;A61P13/12;;A61K31/351;;A61P13/12;;A61P9/12;;A61K31/7034;;A61K31/497;;A61K31/497;;A61K31/351;;A61P13/12;;A61P9/04;;A61P3/06;;A61K2300/00;;A61P9/12;;A61K31/351;;A61K31/497</x:v>
      </x:c>
      <x:c r="S110" s="87" t="str">
        <x:v>A61K31/497;;A61K31/351;;A61P9/12</x:v>
      </x:c>
      <x:c r="T110" s="87" t="str">
        <x:v>PENDING</x:v>
      </x:c>
      <x:c r="U110" s="87" t="str">
        <x:v>https://lens.org/162-788-213-888-21X</x:v>
      </x:c>
    </x:row>
    <x:row r="111">
      <x:c r="A111" s="87" t="str">
        <x:v>AstraZeneca_Lens_RAW_2009_2024.csv.csv</x:v>
      </x:c>
      <x:c r="B111" s="87" t="str">
        <x:v>AstraZeneca</x:v>
      </x:c>
      <x:c r="C111" s="87"/>
      <x:c r="D111" s="87" t="str">
        <x:v>Yes</x:v>
      </x:c>
      <x:c r="E111" s="87" t="str">
        <x:v>astrazeneca</x:v>
      </x:c>
      <x:c r="F111" s="87" t="str">
        <x:v>109</x:v>
      </x:c>
      <x:c r="G111" s="87" t="str">
        <x:v>193-648-427-905-249</x:v>
      </x:c>
      <x:c r="H111" s="110" t="n">
        <x:v>43047</x:v>
      </x:c>
      <x:c r="I111" s="88" t="n">
        <x:v>2017</x:v>
      </x:c>
      <x:c r="J111" s="87" t="str">
        <x:v>US</x:v>
      </x:c>
      <x:c r="K111" s="87" t="str">
        <x:v>A1</x:v>
      </x:c>
      <x:c r="L111" s="87" t="str">
        <x:v>US 2024/0293563 A1</x:v>
      </x:c>
      <x:c r="M111" s="87" t="str">
        <x:v>ASTRAZENECA AB;;IONIS PHARMACEUTICALS INC</x:v>
      </x:c>
      <x:c r="N111" s="87" t="str">
        <x:v>IONIS PHARMACEUTICALS INC (2019-01-03);;ASTRAZENECA AB (2018-04-20)</x:v>
      </x:c>
      <x:c r="O111" s="87" t="str">
        <x:v>GLP-1 RECEPTOR LIGAND MOIETY CONJUGATED OLIGONUCLEOTIDES AND USES THEREOF</x:v>
      </x:c>
      <x:c r="P111" s="109" t="n">
        <x:v>0</x:v>
      </x:c>
      <x:c r="Q111" s="109" t="n">
        <x:v>29</x:v>
      </x:c>
      <x:c r="R111" s="87" t="str">
        <x:v>A61K31/7088;;A61K31/713;;A61K47/549;;A61K47/64;;A61K47/6425;;A61P1/18;;C12N15/113;;C12N15/1136;;C12N2310/113;;C12N2310/322;;C12N2310/345;;C12N2310/321;;C12N2310/341;;C12N2320/35;;C12N2310/3513;;C12N2310/3525;;C12N2310/315;;C12N2310/346;;C12N2310/3341;;C12N2310/3231;;A61K47/64;;C12N15/113;;C12N2310/3513;;C12N2310/341;;C12N2310/345;;C12N2310/346;;C12N2310/3231;;C12N2310/322;;C12N2310/315;;C12N2310/3341;;C12N2310/113;;A61P1/18;;A61K47/64;;C12N15/113;;C12N2310/113;;C12N2310/315;;C12N2310/322;;C12N2310/3231;;C12N2310/3341;;C12N2310/341;;C12N2310/345;;C12N2310/346;;C12N2310/3513;;C12N2310/3525;;A61K47/6425;;A61K47/549;;C12N15/1136;;C12N2320/35;;A61K31/7088;;A61P1/18;;A61K31/713;;C12N2310/321;;A61K47/64;;A61K31/7088;;C12N15/113;;C12N2310/113;;C12N2310/315;;C12N2310/322;;C12N2310/3231;;C12N2310/3341;;C12N2310/341;;C12N2310/345;;C12N2310/346;;C12N2310/3513;;C12N2310/3525;;A61K47/6425;;A61K47/64;;A61K47/549;;C12N15/113;;C12N15/1136;;C12N2310/113;;C12N2310/315;;C12N2310/321;;C12N2310/3513;;C12N2320/35</x:v>
      </x:c>
      <x:c r="S111" s="87" t="str">
        <x:v>A61K47/64;;A61K47/54;;C12N15/113</x:v>
      </x:c>
      <x:c r="T111" s="87" t="str">
        <x:v>PENDING</x:v>
      </x:c>
      <x:c r="U111" s="87" t="str">
        <x:v>https://lens.org/193-648-427-905-249</x:v>
      </x:c>
    </x:row>
    <x:row r="112">
      <x:c r="A112" s="87" t="str">
        <x:v>AstraZeneca_Lens_RAW_2009_2024.csv.csv</x:v>
      </x:c>
      <x:c r="B112" s="87" t="str">
        <x:v>AstraZeneca</x:v>
      </x:c>
      <x:c r="C112" s="87"/>
      <x:c r="D112" s="87" t="str">
        <x:v>Yes</x:v>
      </x:c>
      <x:c r="E112" s="87" t="str">
        <x:v>astrazeneca</x:v>
      </x:c>
      <x:c r="F112" s="87" t="str">
        <x:v>110</x:v>
      </x:c>
      <x:c r="G112" s="87" t="str">
        <x:v>040-734-462-564-112</x:v>
      </x:c>
      <x:c r="H112" s="110" t="n">
        <x:v>44946</x:v>
      </x:c>
      <x:c r="I112" s="88" t="n">
        <x:v>2023</x:v>
      </x:c>
      <x:c r="J112" s="87" t="str">
        <x:v>US</x:v>
      </x:c>
      <x:c r="K112" s="87" t="str">
        <x:v>A1</x:v>
      </x:c>
      <x:c r="L112" s="87" t="str">
        <x:v>US 2024/0277834 A1</x:v>
      </x:c>
      <x:c r="M112" s="87" t="str">
        <x:v>ASTRAZENECA AB</x:v>
      </x:c>
      <x:c r="N112" s="87" t="str">
        <x:v>MEDIMMUNE LIMITED (2023-05-10);;ASTRAZENECA PHARMACEUTICALS LP (2023-04-21);;ASTRAZENECA UK LIMITED (2023-05-22);;ASTRAZENECA AB (2023-04-25);;MEDIMMUNE LLC (2023-04-20)</x:v>
      </x:c>
      <x:c r="O112" s="87" t="str">
        <x:v>NUCLEIC ACID MOLECULES</x:v>
      </x:c>
      <x:c r="P112" s="109" t="n">
        <x:v>0</x:v>
      </x:c>
      <x:c r="Q112" s="109" t="n">
        <x:v>14</x:v>
      </x:c>
      <x:c r="R112" s="87" t="str">
        <x:v>C07K14/005;;A61K39/12;;A61K2039/53;;A61K2039/6031;;A61P31/14;;C07K14/47;;C07K2319/02;;C12N9/1025;;C12N9/1096;;C12N9/12;;C12N9/2442;;C12N15/85;;C12N2770/20022;;C12N2770/20034;;C12Y203/03001;;C12Y206/01001;;C12Y207/11011;;C12Y302/01014;;A61K39/12;;A61K39/215;;A61K2039/53;;A61K2039/6031;;A61K2039/6056;;A61P31/14;;A61P37/04;;C07K14/005;;C07K14/47;;C07K2319/02;;C07K2319/30;;C12N9/1025;;C12N9/1096;;C12N9/12;;C12N9/2442;;C12N15/85;;C12N2770/20022;;C12N2770/20034;;C12Y203/03001;;C12Y206/01001;;C12Y207/11011;;C12Y302/01014;;C12N15/85;;A61K39/12;;A61K39/215;;A61K2039/53;;A61K2039/6031;;A61P31/14;;A61P37/04;;C07K14/005;;C07K14/47;;C07K2319/02;;C12N9/1025;;C12N9/1096;;C12N9/12;;C12N9/2442;;C12N15/67;;C12N2770/20022;;C12N2770/20034;;C12Y203/03001;;C12Y206/01001;;C12Y207/11011;;C12Y302/01014;;A61K39/215;;A61K2039/6031;;A61K2039/6056;;A61P31/14;;A61P37/04;;C07K14/47;;C07K2319/30;;C12N9/1025;;C12N9/1096;;C12N9/12;;C12N9/2442;;C12Y203/03001;;C12Y206/01001;;C12Y207/11011;;C12Y302/01014</x:v>
      </x:c>
      <x:c r="S112" s="87" t="str">
        <x:v>A61K39/215;;A61K39/00;;A61P31/14;;A61P37/04;;C07K14/47;;C12N9/10;;C12N9/12;;C12N9/42</x:v>
      </x:c>
      <x:c r="T112" s="87" t="str">
        <x:v>PENDING</x:v>
      </x:c>
      <x:c r="U112" s="87" t="str">
        <x:v>https://lens.org/040-734-462-564-112</x:v>
      </x:c>
    </x:row>
    <x:row r="113">
      <x:c r="A113" s="87" t="str">
        <x:v>AstraZeneca_Lens_RAW_2009_2024.csv.csv</x:v>
      </x:c>
      <x:c r="B113" s="87" t="str">
        <x:v>AstraZeneca</x:v>
      </x:c>
      <x:c r="C113" s="87"/>
      <x:c r="D113" s="87" t="str">
        <x:v>Yes</x:v>
      </x:c>
      <x:c r="E113" s="87" t="str">
        <x:v>astrazeneca</x:v>
      </x:c>
      <x:c r="F113" s="87" t="str">
        <x:v>111</x:v>
      </x:c>
      <x:c r="G113" s="87" t="str">
        <x:v>169-699-317-772-000</x:v>
      </x:c>
      <x:c r="H113" s="110" t="n">
        <x:v>44924</x:v>
      </x:c>
      <x:c r="I113" s="88" t="n">
        <x:v>2022</x:v>
      </x:c>
      <x:c r="J113" s="87" t="str">
        <x:v>US</x:v>
      </x:c>
      <x:c r="K113" s="87" t="str">
        <x:v>A1</x:v>
      </x:c>
      <x:c r="L113" s="87" t="str">
        <x:v>US 2024/0279316 A1</x:v>
      </x:c>
      <x:c r="M113" s="87" t="str">
        <x:v>ASTRAZENECA AB;;TAKEDA PHARMACEUTICALS CO</x:v>
      </x:c>
      <x:c r="N113" s="87" t="str">
        <x:v>MEDIMMUNE LIMITED (2023-08-22);;ASTRAZENECA AB (2023-08-29);;TAKEDA DEVELOPMENT CENTER AMERICAS INC (2023-10-31);;TAKEDA PHARMACEUTICAL COMPANY LIMITED (2023-10-25)</x:v>
      </x:c>
      <x:c r="O113" s="87" t="str">
        <x:v>COMPOSITIONS AND METHODS FOR TREATING ALPHA-SYNUCLEINOPATHIES</x:v>
      </x:c>
      <x:c r="P113" s="109" t="n">
        <x:v>0</x:v>
      </x:c>
      <x:c r="Q113" s="109" t="n">
        <x:v>10</x:v>
      </x:c>
      <x:c r="R113" s="87" t="str">
        <x:v>C07K16/18;;A61K2039/505;;A61K2039/545;;C07K2317/24;;C07K2317/71;;A61P25/28;;A61P25/28;;A61K2039/545;;C07K2317/52;;A61K2039/505;;C07K2317/24;;C07K2317/90;;C07K16/18;;C07K2317/71;;C07K2317/565;;C07K16/18;;A61P25/28;;C07K2317/24;;C07K2317/52;;C07K2317/71;;C07K2317/565;;A61K2039/545;;A61K2039/505;;C07K16/18;;C07K2317/52;;C07K2317/565;;C07K2317/90</x:v>
      </x:c>
      <x:c r="S113" s="87" t="str">
        <x:v>C07K16/18</x:v>
      </x:c>
      <x:c r="T113" s="87" t="str">
        <x:v>PENDING</x:v>
      </x:c>
      <x:c r="U113" s="87" t="str">
        <x:v>https://lens.org/169-699-317-772-000</x:v>
      </x:c>
    </x:row>
    <x:row r="114">
      <x:c r="A114" s="87" t="str">
        <x:v>AstraZeneca_Lens_RAW_2009_2024.csv.csv</x:v>
      </x:c>
      <x:c r="B114" s="87" t="str">
        <x:v>AstraZeneca</x:v>
      </x:c>
      <x:c r="C114" s="87"/>
      <x:c r="D114" s="87" t="str">
        <x:v>Yes</x:v>
      </x:c>
      <x:c r="E114" s="87" t="str">
        <x:v>astrazeneca</x:v>
      </x:c>
      <x:c r="F114" s="87" t="str">
        <x:v>112</x:v>
      </x:c>
      <x:c r="G114" s="87" t="str">
        <x:v>024-181-009-636-643</x:v>
      </x:c>
      <x:c r="H114" s="110" t="n">
        <x:v>44946</x:v>
      </x:c>
      <x:c r="I114" s="88" t="n">
        <x:v>2023</x:v>
      </x:c>
      <x:c r="J114" s="87" t="str">
        <x:v>US</x:v>
      </x:c>
      <x:c r="K114" s="87" t="str">
        <x:v>A1</x:v>
      </x:c>
      <x:c r="L114" s="87" t="str">
        <x:v>US 2024/0277835 A1</x:v>
      </x:c>
      <x:c r="M114" s="87" t="str">
        <x:v>ASTRAZENECA AB</x:v>
      </x:c>
      <x:c r="N114" s="87" t="str">
        <x:v>ASTRAZENECA PHARMACEUTICALS LP (2023-04-21);;ASTRAZENECA UK LIMITED (2023-04-25);;ASTRAZENECA AB (2023-04-25);;MEDIMMUNE LLC (2023-04-20)</x:v>
      </x:c>
      <x:c r="O114" s="87" t="str">
        <x:v>VACCINE</x:v>
      </x:c>
      <x:c r="P114" s="109" t="n">
        <x:v>0</x:v>
      </x:c>
      <x:c r="Q114" s="109" t="n">
        <x:v>9</x:v>
      </x:c>
      <x:c r="R114" s="87" t="str">
        <x:v>A61K39/12;;C07K14/005;;C12N15/62;;C12N2770/20034;;C12N2770/20022;;A61K2039/6031;;A61K2039/575;;A61K2039/545;;A61K2039/5258;;A61K2039/53;;A61P31/14;;A61K39/12;;A61K2039/545;;A61K2039/6031;;A61P31/14;;C12N2770/20034;;A61K2039/55;;A61K2039/70;;C07K14/005;;C12N7/00;;A61K2039/5258;;A61K2039/55555;;C12N15/62;;A61K2039/53;;A61K2039/575;;A61K39/215;;C12N2770/20022;;A61K39/215;;A61P31/14;;C07K14/005;;C12N15/88;;A61K2039/53;;A61K2039/70;;A61K2039/6031;;A61K2039/545;;C12N2770/20034;;C12N2770/20022;;A61P31/14;;A61K39/215;;A61K2039/53;;A61K2039/55;;A61K2039/55555;;A61K2039/70;;C12N7/00;;C12N2770/20022;;C12N2770/20034</x:v>
      </x:c>
      <x:c r="S114" s="87" t="str">
        <x:v>A61K39/215;;A61K39/00;;A61P31/14;;C12N7/00</x:v>
      </x:c>
      <x:c r="T114" s="87" t="str">
        <x:v>PENDING</x:v>
      </x:c>
      <x:c r="U114" s="87" t="str">
        <x:v>https://lens.org/024-181-009-636-643</x:v>
      </x:c>
    </x:row>
    <x:row r="115">
      <x:c r="A115" s="87" t="str">
        <x:v>AstraZeneca_Lens_RAW_2009_2024.csv.csv</x:v>
      </x:c>
      <x:c r="B115" s="87" t="str">
        <x:v>AstraZeneca</x:v>
      </x:c>
      <x:c r="C115" s="87"/>
      <x:c r="D115" s="87" t="str">
        <x:v>Yes</x:v>
      </x:c>
      <x:c r="E115" s="87" t="str">
        <x:v>astrazeneca</x:v>
      </x:c>
      <x:c r="F115" s="87" t="str">
        <x:v>113</x:v>
      </x:c>
      <x:c r="G115" s="87" t="str">
        <x:v>182-125-260-876-770</x:v>
      </x:c>
      <x:c r="H115" s="110" t="n">
        <x:v>44452</x:v>
      </x:c>
      <x:c r="I115" s="88" t="n">
        <x:v>2021</x:v>
      </x:c>
      <x:c r="J115" s="87" t="str">
        <x:v>US</x:v>
      </x:c>
      <x:c r="K115" s="87" t="str">
        <x:v>A1</x:v>
      </x:c>
      <x:c r="L115" s="87" t="str">
        <x:v>US 2024/0270757 A1</x:v>
      </x:c>
      <x:c r="M115" s="87" t="str">
        <x:v>ASTRAZENECA AB</x:v>
      </x:c>
      <x:c r="N115" s="87" t="str">
        <x:v>ASTRAZENECA UK LIMITED (2022-03-23);;ASTRAZENECA AB (2022-03-23)</x:v>
      </x:c>
      <x:c r="O115" s="87" t="str">
        <x:v>SPIROCYCLIC COMPOUNDS</x:v>
      </x:c>
      <x:c r="P115" s="109" t="n">
        <x:v>0</x:v>
      </x:c>
      <x:c r="Q115" s="109" t="n">
        <x:v>25</x:v>
      </x:c>
      <x:c r="R115" s="87" t="str">
        <x:v>C07D487/10;;A61K31/437;;A61P35/00;;C07D487/10;;C07D471/20;;A61K31/438;;C07D519/00;;C07D487/10;;A61K31/437;;A61K31/438;;A61P35/00;;C07D471/20;;C07D519/00</x:v>
      </x:c>
      <x:c r="S115" s="87" t="str">
        <x:v>C07D519/00</x:v>
      </x:c>
      <x:c r="T115" s="87" t="str">
        <x:v>PENDING</x:v>
      </x:c>
      <x:c r="U115" s="87" t="str">
        <x:v>https://lens.org/182-125-260-876-770</x:v>
      </x:c>
    </x:row>
    <x:row r="116">
      <x:c r="A116" s="87" t="str">
        <x:v>AstraZeneca_Lens_RAW_2009_2024.csv.csv</x:v>
      </x:c>
      <x:c r="B116" s="87" t="str">
        <x:v>AstraZeneca</x:v>
      </x:c>
      <x:c r="C116" s="87"/>
      <x:c r="D116" s="87" t="str">
        <x:v>Yes</x:v>
      </x:c>
      <x:c r="E116" s="87" t="str">
        <x:v>astrazeneca</x:v>
      </x:c>
      <x:c r="F116" s="87" t="str">
        <x:v>114</x:v>
      </x:c>
      <x:c r="G116" s="87" t="str">
        <x:v>093-633-043-507-981</x:v>
      </x:c>
      <x:c r="H116" s="110" t="n">
        <x:v>44349</x:v>
      </x:c>
      <x:c r="I116" s="88" t="n">
        <x:v>2021</x:v>
      </x:c>
      <x:c r="J116" s="87" t="str">
        <x:v>US</x:v>
      </x:c>
      <x:c r="K116" s="87" t="str">
        <x:v>A1</x:v>
      </x:c>
      <x:c r="L116" s="87" t="str">
        <x:v>US 2024/0269135 A1</x:v>
      </x:c>
      <x:c r="M116" s="87" t="str">
        <x:v>ASTRAZENECA AB</x:v>
      </x:c>
      <x:c r="N116" s="87" t="str">
        <x:v>ASTRAZENECA PHARMACEUTICALS LP (2024-02-22);;ASTRAZENECA UK LIMITED (2024-05-28);;ASTRAZENECA AB (2024-05-29)</x:v>
      </x:c>
      <x:c r="O116" s="87" t="str">
        <x:v>METHODS OF TREATING BREAST CANCER</x:v>
      </x:c>
      <x:c r="P116" s="109" t="n">
        <x:v>0</x:v>
      </x:c>
      <x:c r="Q116" s="109" t="n">
        <x:v>12</x:v>
      </x:c>
      <x:c r="R116" s="87" t="str">
        <x:v>A61K31/502;;A61P35/04;;A61K45/06;;A61K31/502;;A61K45/06;;A61P35/04;;A61K31/502;;A61K45/06;;A61P35/00;;A61P35/00;;A61K31/502</x:v>
      </x:c>
      <x:c r="S116" s="87" t="str">
        <x:v>A61K31/502;;A61P35/00</x:v>
      </x:c>
      <x:c r="T116" s="87" t="str">
        <x:v>PENDING</x:v>
      </x:c>
      <x:c r="U116" s="87" t="str">
        <x:v>https://lens.org/093-633-043-507-981</x:v>
      </x:c>
    </x:row>
    <x:row r="117">
      <x:c r="A117" s="87" t="str">
        <x:v>AstraZeneca_Lens_RAW_2009_2024.csv.csv</x:v>
      </x:c>
      <x:c r="B117" s="87" t="str">
        <x:v>AstraZeneca</x:v>
      </x:c>
      <x:c r="C117" s="87"/>
      <x:c r="D117" s="87" t="str">
        <x:v>Yes</x:v>
      </x:c>
      <x:c r="E117" s="87" t="str">
        <x:v>astrazeneca</x:v>
      </x:c>
      <x:c r="F117" s="87" t="str">
        <x:v>115</x:v>
      </x:c>
      <x:c r="G117" s="87" t="str">
        <x:v>131-295-037-074-216</x:v>
      </x:c>
      <x:c r="H117" s="110" t="n">
        <x:v>42972</x:v>
      </x:c>
      <x:c r="I117" s="88" t="n">
        <x:v>2017</x:v>
      </x:c>
      <x:c r="J117" s="87" t="str">
        <x:v>US</x:v>
      </x:c>
      <x:c r="K117" s="87" t="str">
        <x:v>A1</x:v>
      </x:c>
      <x:c r="L117" s="87" t="str">
        <x:v>US 2024/0257932 A1</x:v>
      </x:c>
      <x:c r="M117" s="87" t="str">
        <x:v>ASTRAZENECA AB</x:v>
      </x:c>
      <x:c r="N117" s="87" t="str">
        <x:v>ASTRAZENECA PHARMACEUTICALS LP (2018-05-29);;ASTRAZENECA UK LIMITED (2018-05-29);;ASTRAZENECA AB (2018-05-31)</x:v>
      </x:c>
      <x:c r="O117" s="87" t="str">
        <x:v>Computer System and Method for Generating Trigger Alerts to Maximize Interactions With Healthcare Providers</x:v>
      </x:c>
      <x:c r="P117" s="109" t="n">
        <x:v>0</x:v>
      </x:c>
      <x:c r="Q117" s="109" t="n">
        <x:v>4</x:v>
      </x:c>
      <x:c r="R117" s="87" t="str">
        <x:v>G16H20/10;;G16H10/60;;G16H80/00;;G16H20/10;;G16H10/60;;G16H80/00</x:v>
      </x:c>
      <x:c r="S117" s="87" t="str">
        <x:v>G16H20/10;;G16H10/60;;G16H80/00</x:v>
      </x:c>
      <x:c r="T117" s="87" t="str">
        <x:v>DISCONTINUED</x:v>
      </x:c>
      <x:c r="U117" s="87" t="str">
        <x:v>https://lens.org/131-295-037-074-216</x:v>
      </x:c>
    </x:row>
    <x:row r="118">
      <x:c r="A118" s="87" t="str">
        <x:v>AstraZeneca_Lens_RAW_2009_2024.csv.csv</x:v>
      </x:c>
      <x:c r="B118" s="87" t="str">
        <x:v>AstraZeneca</x:v>
      </x:c>
      <x:c r="C118" s="87"/>
      <x:c r="D118" s="87" t="str">
        <x:v>Yes</x:v>
      </x:c>
      <x:c r="E118" s="87" t="str">
        <x:v>astrazeneca</x:v>
      </x:c>
      <x:c r="F118" s="87" t="str">
        <x:v>116</x:v>
      </x:c>
      <x:c r="G118" s="87" t="str">
        <x:v>163-630-504-327-208</x:v>
      </x:c>
      <x:c r="H118" s="110" t="n">
        <x:v>44340</x:v>
      </x:c>
      <x:c r="I118" s="88" t="n">
        <x:v>2021</x:v>
      </x:c>
      <x:c r="J118" s="87" t="str">
        <x:v>US</x:v>
      </x:c>
      <x:c r="K118" s="87" t="str">
        <x:v>A1</x:v>
      </x:c>
      <x:c r="L118" s="87" t="str">
        <x:v>US 2024/0254235 A1</x:v>
      </x:c>
      <x:c r="M118" s="87" t="str">
        <x:v>ASTRAZENECA AB</x:v>
      </x:c>
      <x:c r="N118" s="87" t="str">
        <x:v>ASTRAZENECA PHARMACEUTICALS LP (2022-04-29);;ASTRAZENECA UK LIMITED (2022-05-02);;ASTRAZENECA AB (2022-05-10)</x:v>
      </x:c>
      <x:c r="O118" s="87" t="str">
        <x:v>COMPOSITIONS AND METHODS FOR TREATING LUNG CANCER</x:v>
      </x:c>
      <x:c r="P118" s="109" t="n">
        <x:v>0</x:v>
      </x:c>
      <x:c r="Q118" s="109" t="n">
        <x:v>11</x:v>
      </x:c>
      <x:c r="R118" s="87" t="str">
        <x:v>C07K16/2827;;A61K2039/505;;A61K2039/545;;A61K2039/55;;A61P35/00;;C07K2317/56;;C07K16/2827;;A61K2039/505;;A61K2039/545;;A61K2039/55;;A61P35/00;;C07K2317/56;;A61K39/3955;;A61K33/243;;A61K45/06;;A61K2039/505;;A61K2300/00;;A61P35/00;;C07K16/2827;;C07K2317/56;;C07K16/2827;;A61K45/06;;A61K2039/505;;A61K2039/545;;A61K2039/55;;A61P35/00;;C07K2317/565</x:v>
      </x:c>
      <x:c r="S118" s="87" t="str">
        <x:v>C07K16/28;;A61K39/00;;A61K45/06;;A61P35/00</x:v>
      </x:c>
      <x:c r="T118" s="87" t="str">
        <x:v>PENDING</x:v>
      </x:c>
      <x:c r="U118" s="87" t="str">
        <x:v>https://lens.org/163-630-504-327-208</x:v>
      </x:c>
    </x:row>
    <x:row r="119">
      <x:c r="A119" s="87" t="str">
        <x:v>AstraZeneca_Lens_RAW_2009_2024.csv.csv</x:v>
      </x:c>
      <x:c r="B119" s="87" t="str">
        <x:v>AstraZeneca</x:v>
      </x:c>
      <x:c r="C119" s="87"/>
      <x:c r="D119" s="87" t="str">
        <x:v>Yes</x:v>
      </x:c>
      <x:c r="E119" s="87" t="str">
        <x:v>astrazeneca</x:v>
      </x:c>
      <x:c r="F119" s="87" t="str">
        <x:v>117</x:v>
      </x:c>
      <x:c r="G119" s="87" t="str">
        <x:v>051-012-380-957-953</x:v>
      </x:c>
      <x:c r="H119" s="110" t="n">
        <x:v>43985</x:v>
      </x:c>
      <x:c r="I119" s="88" t="n">
        <x:v>2020</x:v>
      </x:c>
      <x:c r="J119" s="87" t="str">
        <x:v>US</x:v>
      </x:c>
      <x:c r="K119" s="87" t="str">
        <x:v>S</x:v>
      </x:c>
      <x:c r="L119" s="87" t="str">
        <x:v>US D1036844 S</x:v>
      </x:c>
      <x:c r="M119" s="87" t="str">
        <x:v>ASTRAZENECA AB</x:v>
      </x:c>
      <x:c r="N119" s="87" t="str">
        <x:v>ASTRAZENECA AB (2022-10-04)</x:v>
      </x:c>
      <x:c r="O119" s="87" t="str">
        <x:v>Pill dispenser</x:v>
      </x:c>
      <x:c r="P119" s="109" t="n">
        <x:v>2</x:v>
      </x:c>
      <x:c r="Q119" s="109" t="n">
        <x:v>2</x:v>
      </x:c>
      <x:c r="R119" s="87" t="str"/>
      <x:c r="S119" s="87" t="str"/>
      <x:c r="T119" s="87" t="str">
        <x:v>ACTIVE</x:v>
      </x:c>
      <x:c r="U119" s="87" t="str">
        <x:v>https://lens.org/051-012-380-957-953</x:v>
      </x:c>
    </x:row>
    <x:row r="120">
      <x:c r="A120" s="87" t="str">
        <x:v>AstraZeneca_Lens_RAW_2009_2024.csv.csv</x:v>
      </x:c>
      <x:c r="B120" s="87" t="str">
        <x:v>AstraZeneca</x:v>
      </x:c>
      <x:c r="C120" s="87"/>
      <x:c r="D120" s="87" t="str">
        <x:v>Yes</x:v>
      </x:c>
      <x:c r="E120" s="87" t="str">
        <x:v>astrazeneca</x:v>
      </x:c>
      <x:c r="F120" s="87" t="str">
        <x:v>118</x:v>
      </x:c>
      <x:c r="G120" s="87" t="str">
        <x:v>126-148-479-475-251</x:v>
      </x:c>
      <x:c r="H120" s="110" t="n">
        <x:v>43090</x:v>
      </x:c>
      <x:c r="I120" s="88" t="n">
        <x:v>2017</x:v>
      </x:c>
      <x:c r="J120" s="87" t="str">
        <x:v>US</x:v>
      </x:c>
      <x:c r="K120" s="87" t="str">
        <x:v>A1</x:v>
      </x:c>
      <x:c r="L120" s="87" t="str">
        <x:v>US 2024/0248088 A1</x:v>
      </x:c>
      <x:c r="M120" s="87" t="str">
        <x:v>FUNDACIO PRIVADA INST D’INVESTIGACIO ONCOLÒGICA DE VALL HEBRON;;ASTRAZENECA UK LTD;;XENTECH SAS</x:v>
      </x:c>
      <x:c r="N120" s="87" t="str">
        <x:v>FUNDACIO PRIVADA INSTITUT D'INVESTIGACIO ONCOLOGICA DE CELLEX (2020-07-29);;XENTECH SAS (2020-07-29);;ASTRAZENECA UK LIMITED (2021-04-01)</x:v>
      </x:c>
      <x:c r="O120" s="87" t="str">
        <x:v>METHODS BASED ON THE DETECTION OF RAD51 FOCI IN TUMOR CELLS</x:v>
      </x:c>
      <x:c r="P120" s="109" t="n">
        <x:v>0</x:v>
      </x:c>
      <x:c r="Q120" s="109" t="n">
        <x:v>30</x:v>
      </x:c>
      <x:c r="R120" s="87" t="str">
        <x:v>A61K31/502;;G01N2800/52;;G01N33/575;;G01N33/57515;;G01N33/57545;;A61K31/502;;G01N2800/52;;A61K31/454;;A61K31/551;;G01N33/5091;;A61K31/407;;A61K31/5025;;G01N2333/916;;A61K31/4184;;A61K31/55;;A61K31/166;;A61P35/00;;G01N33/575;;G01N33/57515;;G01N33/57545;;G01N33/57575;;G01N33/5759;;A61K31/502;;A61K31/4184;;A61K31/5025;;A61K31/55;;A61K31/454;;A61P35/00;;G01N2800/52;;G01N33/57515;;G01N33/5759;;A61P35/00;;A61K31/166;;A61K31/407;;A61K31/4184;;A61K31/454;;A61K31/5025;;A61K31/55;;A61K31/551;;G01N33/5091;;G01N2333/916;;G01N2800/52;;G01N33/575;;G01N33/57575</x:v>
      </x:c>
      <x:c r="S120" s="87" t="str">
        <x:v>G01N33/574;;A61K31/166;;A61K31/407;;A61K31/4184;;A61K31/454;;A61K31/5025;;A61K31/55;;A61K31/551;;A61P35/00;;G01N33/50</x:v>
      </x:c>
      <x:c r="T120" s="87" t="str">
        <x:v>PENDING</x:v>
      </x:c>
      <x:c r="U120" s="87" t="str">
        <x:v>https://lens.org/126-148-479-475-251</x:v>
      </x:c>
    </x:row>
    <x:row r="121">
      <x:c r="A121" s="87" t="str">
        <x:v>AstraZeneca_Lens_RAW_2009_2024.csv.csv</x:v>
      </x:c>
      <x:c r="B121" s="87" t="str">
        <x:v>AstraZeneca</x:v>
      </x:c>
      <x:c r="C121" s="87"/>
      <x:c r="D121" s="87" t="str">
        <x:v>Yes</x:v>
      </x:c>
      <x:c r="E121" s="87" t="str">
        <x:v>astrazeneca</x:v>
      </x:c>
      <x:c r="F121" s="87" t="str">
        <x:v>119</x:v>
      </x:c>
      <x:c r="G121" s="87" t="str">
        <x:v>010-244-851-827-385</x:v>
      </x:c>
      <x:c r="H121" s="110" t="n">
        <x:v>44056</x:v>
      </x:c>
      <x:c r="I121" s="88" t="n">
        <x:v>2020</x:v>
      </x:c>
      <x:c r="J121" s="87" t="str">
        <x:v>US</x:v>
      </x:c>
      <x:c r="K121" s="87" t="str">
        <x:v>A1</x:v>
      </x:c>
      <x:c r="L121" s="87" t="str">
        <x:v>US 2024/0239883 A1</x:v>
      </x:c>
      <x:c r="M121" s="87" t="str">
        <x:v>ASTRAZENECA AB</x:v>
      </x:c>
      <x:c r="N121" s="87" t="str">
        <x:v>ARCAGY RESEARCH (2021-04-23);;ASTRAZENECA AB (2021-04-23);;ASTRAZENECA UK LIMITED (2021-04-23)</x:v>
      </x:c>
      <x:c r="O121" s="87" t="str">
        <x:v>METHODS OF TREATING HOMOLOGOUS RECOMBINATION DEFICIENT CANCER</x:v>
      </x:c>
      <x:c r="P121" s="109" t="n">
        <x:v>0</x:v>
      </x:c>
      <x:c r="Q121" s="109" t="n">
        <x:v>3</x:v>
      </x:c>
      <x:c r="R121" s="87" t="str">
        <x:v>A61P35/00;;A61K31/502;;A61K39/3955;;A61K45/06;;A61K2039/505;;C07K16/22;;C07K2317/24;;C07K16/22;;A61K31/502;;A61K45/06;;A61P35/00</x:v>
      </x:c>
      <x:c r="S121" s="87" t="str">
        <x:v>C07K16/22;;A61K31/502;;A61K45/06;;A61P35/00</x:v>
      </x:c>
      <x:c r="T121" s="87" t="str">
        <x:v>PENDING</x:v>
      </x:c>
      <x:c r="U121" s="87" t="str">
        <x:v>https://lens.org/010-244-851-827-385</x:v>
      </x:c>
    </x:row>
    <x:row r="122">
      <x:c r="A122" s="87" t="str">
        <x:v>AstraZeneca_Lens_RAW_2009_2024.csv.csv</x:v>
      </x:c>
      <x:c r="B122" s="87" t="str">
        <x:v>AstraZeneca</x:v>
      </x:c>
      <x:c r="C122" s="87"/>
      <x:c r="D122" s="87" t="str">
        <x:v>Yes</x:v>
      </x:c>
      <x:c r="E122" s="87" t="str">
        <x:v>astrazeneca</x:v>
      </x:c>
      <x:c r="F122" s="87" t="str">
        <x:v>120</x:v>
      </x:c>
      <x:c r="G122" s="87" t="str">
        <x:v>103-585-131-809-223</x:v>
      </x:c>
      <x:c r="H122" s="110" t="n">
        <x:v>44911</x:v>
      </x:c>
      <x:c r="I122" s="88" t="n">
        <x:v>2022</x:v>
      </x:c>
      <x:c r="J122" s="87" t="str">
        <x:v>US</x:v>
      </x:c>
      <x:c r="K122" s="87" t="str">
        <x:v>A1</x:v>
      </x:c>
      <x:c r="L122" s="87" t="str">
        <x:v>US 2024/0239767 A1</x:v>
      </x:c>
      <x:c r="M122" s="87" t="str">
        <x:v>ASTRAZENECA AB</x:v>
      </x:c>
      <x:c r="N122" s="87" t="str">
        <x:v>ASTRAZENECA AB (2023-06-14)</x:v>
      </x:c>
      <x:c r="O122" s="87" t="str">
        <x:v>PCSK9 INHIBITORS AND METHODS OF USE THEREOF</x:v>
      </x:c>
      <x:c r="P122" s="109" t="n">
        <x:v>0</x:v>
      </x:c>
      <x:c r="Q122" s="109" t="n">
        <x:v>7</x:v>
      </x:c>
      <x:c r="R122" s="87" t="str">
        <x:v>C07D471/04;;A61P9/00;;C07D401/14;;C07D413/14;;C07D417/14;;C07D498/04;;C07D513/04;;C07D519/00;;C07F9/6561;;C07D401/14;;A61P9/00;;C07D413/14;;C07D417/14;;C07D471/04;;C07D498/04;;C07D513/04;;C07D519/00</x:v>
      </x:c>
      <x:c r="S122" s="87" t="str">
        <x:v>C07D401/14;;A61P9/00;;C07D413/14;;C07D417/14;;C07D471/04;;C07D498/04;;C07D513/04;;C07D519/00</x:v>
      </x:c>
      <x:c r="T122" s="87" t="str">
        <x:v>PENDING</x:v>
      </x:c>
      <x:c r="U122" s="87" t="str">
        <x:v>https://lens.org/103-585-131-809-223</x:v>
      </x:c>
    </x:row>
    <x:row r="123">
      <x:c r="A123" s="87" t="str">
        <x:v>AstraZeneca_Lens_RAW_2009_2024.csv.csv</x:v>
      </x:c>
      <x:c r="B123" s="87" t="str">
        <x:v>AstraZeneca</x:v>
      </x:c>
      <x:c r="C123" s="87"/>
      <x:c r="D123" s="87" t="str">
        <x:v>Yes</x:v>
      </x:c>
      <x:c r="E123" s="87" t="str">
        <x:v>astrazeneca</x:v>
      </x:c>
      <x:c r="F123" s="87" t="str">
        <x:v>121</x:v>
      </x:c>
      <x:c r="G123" s="87" t="str">
        <x:v>097-577-628-836-66X</x:v>
      </x:c>
      <x:c r="H123" s="110" t="n">
        <x:v>43963</x:v>
      </x:c>
      <x:c r="I123" s="88" t="n">
        <x:v>2020</x:v>
      </x:c>
      <x:c r="J123" s="87" t="str">
        <x:v>US</x:v>
      </x:c>
      <x:c r="K123" s="87" t="str">
        <x:v>A1</x:v>
      </x:c>
      <x:c r="L123" s="87" t="str">
        <x:v>US 2024/0239893 A1</x:v>
      </x:c>
      <x:c r="M123" s="87" t="str">
        <x:v>ASTRAZENECA AB</x:v>
      </x:c>
      <x:c r="N123" s="87" t="str">
        <x:v>ASTRAZENECA PHARMACEUTICALS LP (2021-01-12);;ASTRAZENECA UK LIMITED (2021-01-14);;ASTRAZENECA AB (2021-01-27)</x:v>
      </x:c>
      <x:c r="O123" s="87" t="str">
        <x:v>METHODS AND COMBINATIONS FOR THE TREATMENT OF CANCER USING IMMUNE CHECKPOINT INHIBITOR ANTIBODIES</x:v>
      </x:c>
      <x:c r="P123" s="109" t="n">
        <x:v>0</x:v>
      </x:c>
      <x:c r="Q123" s="109" t="n">
        <x:v>24</x:v>
      </x:c>
      <x:c r="R123" s="87" t="str">
        <x:v>C07K16/2827;;C07K16/2818;;C07K2317/76;;A61K2039/545;;A61K2039/507;;A61P35/00;;C07K16/2818;;C07K2317/76;;C07K16/2827;;A61K2039/545;;A61P35/00;;A61K45/06;;A61K2039/507;;C07K16/2827;;C07K16/2818;;A61P35/00;;C07K2317/73;;A61K2300/00;;A61K2039/507;;A61K2039/545;;A61P35/00;;A61K45/06;;A61K2039/545;;C07K16/2818;;C07K16/2827;;A61K2039/507</x:v>
      </x:c>
      <x:c r="S123" s="87" t="str">
        <x:v>C07K16/28;;A61K39/00;;A61K45/06;;A61P35/00</x:v>
      </x:c>
      <x:c r="T123" s="87" t="str">
        <x:v>PENDING</x:v>
      </x:c>
      <x:c r="U123" s="87" t="str">
        <x:v>https://lens.org/097-577-628-836-66X</x:v>
      </x:c>
    </x:row>
    <x:row r="124">
      <x:c r="A124" s="87" t="str">
        <x:v>AstraZeneca_Lens_RAW_2009_2024.csv.csv</x:v>
      </x:c>
      <x:c r="B124" s="87" t="str">
        <x:v>AstraZeneca</x:v>
      </x:c>
      <x:c r="C124" s="87"/>
      <x:c r="D124" s="87" t="str">
        <x:v>Yes</x:v>
      </x:c>
      <x:c r="E124" s="87" t="str">
        <x:v>astrazeneca</x:v>
      </x:c>
      <x:c r="F124" s="87" t="str">
        <x:v>122</x:v>
      </x:c>
      <x:c r="G124" s="87" t="str">
        <x:v>184-428-207-436-873</x:v>
      </x:c>
      <x:c r="H124" s="110" t="n">
        <x:v>44827</x:v>
      </x:c>
      <x:c r="I124" s="88" t="n">
        <x:v>2022</x:v>
      </x:c>
      <x:c r="J124" s="87" t="str">
        <x:v>US</x:v>
      </x:c>
      <x:c r="K124" s="87" t="str">
        <x:v>A1</x:v>
      </x:c>
      <x:c r="L124" s="87" t="str">
        <x:v>US 2024/0228469 A1</x:v>
      </x:c>
      <x:c r="M124" s="87" t="str">
        <x:v>ASTRAZENECA AB</x:v>
      </x:c>
      <x:c r="N124" s="87" t="str">
        <x:v>ASTRAZENECA AB (2023-10-11)</x:v>
      </x:c>
      <x:c r="O124" s="87" t="str">
        <x:v>PCSK9 INHIBITORS AND METHODS OF USE THEREOF</x:v>
      </x:c>
      <x:c r="P124" s="109" t="n">
        <x:v>0</x:v>
      </x:c>
      <x:c r="Q124" s="109" t="n">
        <x:v>17</x:v>
      </x:c>
      <x:c r="R124" s="87" t="str">
        <x:v>C07D401/14;;C07D471/02;;A61P9/00;;A61K45/06;;A61K31/53;;C07D403/14;;C07D405/14;;C07D471/04;;A61K2300/00;;A61K31/53;;C07D401/12;;A61K45/06;;C07F9/65583;;C07D471/02;;C07D413/14;;C07D401/14;;A61K31/675;;A61P9/00;;C07D401/14;;A61K31/53;;A61P9/00;;C07D401/12;;C07D403/14;;C07D471/04;;C07D405/14;;C07F9/65583;;C07D413/14;;A61K31/53;;A61K31/675;;A61K45/06;;C07D401/12;;C07D401/14;;C07D403/14;;C07D405/14;;C07D413/14;;C07D471/04;;C07F9/65583</x:v>
      </x:c>
      <x:c r="S124" s="87" t="str">
        <x:v>C07D403/14;;A61K31/53;;A61K31/675;;A61K45/06;;C07D401/12;;C07D401/14;;C07D405/14;;C07D413/14;;C07D471/04;;C07F9/6558</x:v>
      </x:c>
      <x:c r="T124" s="87" t="str">
        <x:v>PENDING</x:v>
      </x:c>
      <x:c r="U124" s="87" t="str">
        <x:v>https://lens.org/184-428-207-436-873</x:v>
      </x:c>
    </x:row>
    <x:row r="125">
      <x:c r="A125" s="87" t="str">
        <x:v>AstraZeneca_Lens_RAW_2009_2024.csv.csv</x:v>
      </x:c>
      <x:c r="B125" s="87" t="str">
        <x:v>AstraZeneca</x:v>
      </x:c>
      <x:c r="C125" s="87"/>
      <x:c r="D125" s="87" t="str">
        <x:v>Yes</x:v>
      </x:c>
      <x:c r="E125" s="87" t="str">
        <x:v>astrazeneca</x:v>
      </x:c>
      <x:c r="F125" s="87" t="str">
        <x:v>123</x:v>
      </x:c>
      <x:c r="G125" s="87" t="str">
        <x:v>101-610-978-355-000</x:v>
      </x:c>
      <x:c r="H125" s="110" t="n">
        <x:v>43707</x:v>
      </x:c>
      <x:c r="I125" s="88" t="n">
        <x:v>2019</x:v>
      </x:c>
      <x:c r="J125" s="87" t="str">
        <x:v>US</x:v>
      </x:c>
      <x:c r="K125" s="87" t="str">
        <x:v>A1</x:v>
      </x:c>
      <x:c r="L125" s="87" t="str">
        <x:v>US 2024/0216404 A1</x:v>
      </x:c>
      <x:c r="M125" s="87" t="str">
        <x:v>ASTRAZENECA AB</x:v>
      </x:c>
      <x:c r="N125" s="87" t="str">
        <x:v>ASTRAZENECA AB (2020-06-10)</x:v>
      </x:c>
      <x:c r="O125" s="87" t="str">
        <x:v>METHODS OF TREATING HEART FAILURE WITH REDUCED EJECTION FRACTION</x:v>
      </x:c>
      <x:c r="P125" s="109" t="n">
        <x:v>0</x:v>
      </x:c>
      <x:c r="Q125" s="109" t="n">
        <x:v>42</x:v>
      </x:c>
      <x:c r="R125" s="87" t="str">
        <x:v>A61K45/06;;A61K31/351;;A61P9/04;;A61K31/35;;A61K45/06;;A61P9/04;;A61K31/351;;A61K2300/00;;A61P9/04;;A61K31/351;;A61K31/70</x:v>
      </x:c>
      <x:c r="S125" s="87" t="str">
        <x:v>A61K31/70;;A61K31/351;;A61P9/04</x:v>
      </x:c>
      <x:c r="T125" s="87" t="str">
        <x:v>PENDING</x:v>
      </x:c>
      <x:c r="U125" s="87" t="str">
        <x:v>https://lens.org/101-610-978-355-000</x:v>
      </x:c>
    </x:row>
    <x:row r="126">
      <x:c r="A126" s="87" t="str">
        <x:v>AstraZeneca_Lens_RAW_2009_2024.csv.csv</x:v>
      </x:c>
      <x:c r="B126" s="87" t="str">
        <x:v>AstraZeneca</x:v>
      </x:c>
      <x:c r="C126" s="87"/>
      <x:c r="D126" s="87" t="str">
        <x:v>Yes</x:v>
      </x:c>
      <x:c r="E126" s="87" t="str">
        <x:v>astrazeneca</x:v>
      </x:c>
      <x:c r="F126" s="87" t="str">
        <x:v>124</x:v>
      </x:c>
      <x:c r="G126" s="87" t="str">
        <x:v>079-286-842-960-714</x:v>
      </x:c>
      <x:c r="H126" s="110" t="n">
        <x:v>44827</x:v>
      </x:c>
      <x:c r="I126" s="88" t="n">
        <x:v>2022</x:v>
      </x:c>
      <x:c r="J126" s="87" t="str">
        <x:v>US</x:v>
      </x:c>
      <x:c r="K126" s="87" t="str">
        <x:v>A1</x:v>
      </x:c>
      <x:c r="L126" s="87" t="str">
        <x:v>US 2024/0217951 A1</x:v>
      </x:c>
      <x:c r="M126" s="87" t="str">
        <x:v>ASTRAZENECA AB</x:v>
      </x:c>
      <x:c r="N126" s="87" t="str">
        <x:v>ASTRAZENECA AB (2023-10-11)</x:v>
      </x:c>
      <x:c r="O126" s="87" t="str">
        <x:v>PCSK9 INHIBITORS AND METHODS OF USE THEREOF</x:v>
      </x:c>
      <x:c r="P126" s="109" t="n">
        <x:v>0</x:v>
      </x:c>
      <x:c r="Q126" s="109" t="n">
        <x:v>7</x:v>
      </x:c>
      <x:c r="R126" s="87" t="str">
        <x:v>C07D401/14;;C07D471/02;;C07D413/14;;A61P9/00;;A61K45/06;;A61K31/497;;A61K31/498;;A61K31/4985;;A61K31/501;;A61K45/06;;C07D401/14;;C07D471/04;;C07D487/04;;C07D491/048</x:v>
      </x:c>
      <x:c r="S126" s="87" t="str">
        <x:v>C07D401/14;;A61K31/497;;A61K31/498;;A61K31/4985;;A61K31/501;;A61K45/06;;C07D471/04;;C07D487/04;;C07D491/048</x:v>
      </x:c>
      <x:c r="T126" s="87" t="str">
        <x:v>PENDING</x:v>
      </x:c>
      <x:c r="U126" s="87" t="str">
        <x:v>https://lens.org/079-286-842-960-714</x:v>
      </x:c>
    </x:row>
    <x:row r="127">
      <x:c r="A127" s="87" t="str">
        <x:v>AstraZeneca_Lens_RAW_2009_2024.csv.csv</x:v>
      </x:c>
      <x:c r="B127" s="87" t="str">
        <x:v>AstraZeneca</x:v>
      </x:c>
      <x:c r="C127" s="87"/>
      <x:c r="D127" s="87" t="str">
        <x:v>Yes</x:v>
      </x:c>
      <x:c r="E127" s="87" t="str">
        <x:v>astrazeneca</x:v>
      </x:c>
      <x:c r="F127" s="87" t="str">
        <x:v>125</x:v>
      </x:c>
      <x:c r="G127" s="87" t="str">
        <x:v>133-292-716-108-608</x:v>
      </x:c>
      <x:c r="H127" s="110" t="n">
        <x:v>43265</x:v>
      </x:c>
      <x:c r="I127" s="88" t="n">
        <x:v>2018</x:v>
      </x:c>
      <x:c r="J127" s="87" t="str">
        <x:v>US</x:v>
      </x:c>
      <x:c r="K127" s="87" t="str">
        <x:v>A1</x:v>
      </x:c>
      <x:c r="L127" s="87" t="str">
        <x:v>US 2024/0207225 A1</x:v>
      </x:c>
      <x:c r="M127" s="87" t="str">
        <x:v>ASTRAZENECA UK LTD</x:v>
      </x:c>
      <x:c r="N127" s="87" t="str">
        <x:v>ASTRAZENECA UK LIMITED (2020-03-05)</x:v>
      </x:c>
      <x:c r="O127" s="87" t="str">
        <x:v>METHODS FOR LOWERING BLOOD SUGAR WITH A DIPEPTIDYL PEPTIDASE-4 INHIBITOR PHARMACEUTICAL COMPOSITION</x:v>
      </x:c>
      <x:c r="P127" s="109" t="n">
        <x:v>0</x:v>
      </x:c>
      <x:c r="Q127" s="109" t="n">
        <x:v>11</x:v>
      </x:c>
      <x:c r="R127" s="87" t="str">
        <x:v>G16H20/10;;A61K31/403;;A61K31/445;;A61K31/4985;;A61K31/513;;A61K31/522;;G16H10/20;;G16H50/20;;A61K31/403;;A61K31/513;;A61K31/522;;A61P3/10;;G06F9/542;;G06F16/9035;;G06F16/9038;;G16H10/20;;G16H70/40</x:v>
      </x:c>
      <x:c r="S127" s="87" t="str">
        <x:v>A61K31/403;;A61K31/513;;A61K31/522;;A61P3/10;;G06F9/54;;G06F16/9035;;G06F16/9038;;G16H10/20;;G16H70/40</x:v>
      </x:c>
      <x:c r="T127" s="87" t="str">
        <x:v>DISCONTINUED</x:v>
      </x:c>
      <x:c r="U127" s="87" t="str">
        <x:v>https://lens.org/133-292-716-108-608</x:v>
      </x:c>
    </x:row>
    <x:row r="128">
      <x:c r="A128" s="87" t="str">
        <x:v>AstraZeneca_Lens_RAW_2009_2024.csv.csv</x:v>
      </x:c>
      <x:c r="B128" s="87" t="str">
        <x:v>AstraZeneca</x:v>
      </x:c>
      <x:c r="C128" s="87"/>
      <x:c r="D128" s="87" t="str">
        <x:v>Yes</x:v>
      </x:c>
      <x:c r="E128" s="87" t="str">
        <x:v>astrazeneca</x:v>
      </x:c>
      <x:c r="F128" s="87" t="str">
        <x:v>126</x:v>
      </x:c>
      <x:c r="G128" s="87" t="str">
        <x:v>141-312-521-598-577</x:v>
      </x:c>
      <x:c r="H128" s="110" t="n">
        <x:v>43917</x:v>
      </x:c>
      <x:c r="I128" s="88" t="n">
        <x:v>2020</x:v>
      </x:c>
      <x:c r="J128" s="87" t="str">
        <x:v>US</x:v>
      </x:c>
      <x:c r="K128" s="87" t="str">
        <x:v>A1</x:v>
      </x:c>
      <x:c r="L128" s="87" t="str">
        <x:v>US 2024/0207176 A1</x:v>
      </x:c>
      <x:c r="M128" s="87" t="str">
        <x:v>ASTRAZENECA AB</x:v>
      </x:c>
      <x:c r="N128" s="87" t="str">
        <x:v>ASTRAZENECA UK LIMITED (2020-10-23);;ASTRAZENECA AB (2020-11-19);;SOFOTEC (2020-10-01)</x:v>
      </x:c>
      <x:c r="O128" s="87" t="str">
        <x:v>DRY POWDER FORMULATION FOR PULMONARY DELIVERY AND METHODS OF USE</x:v>
      </x:c>
      <x:c r="P128" s="109" t="n">
        <x:v>0</x:v>
      </x:c>
      <x:c r="Q128" s="109" t="n">
        <x:v>7</x:v>
      </x:c>
      <x:c r="R128" s="87" t="str">
        <x:v>A61K9/0075;;A61K9/145;;A61K47/26;;A61P29/00;;A61K31/506;;A61K9/0075;;A61K9/145;;A61K31/506;;A61K47/26</x:v>
      </x:c>
      <x:c r="S128" s="87" t="str">
        <x:v>A61K9/00;;A61K9/14;;A61K31/506;;A61K47/26</x:v>
      </x:c>
      <x:c r="T128" s="87" t="str">
        <x:v>ACTIVE</x:v>
      </x:c>
      <x:c r="U128" s="87" t="str">
        <x:v>https://lens.org/141-312-521-598-577</x:v>
      </x:c>
    </x:row>
    <x:row r="129">
      <x:c r="A129" s="87" t="str">
        <x:v>AstraZeneca_Lens_RAW_2009_2024.csv.csv</x:v>
      </x:c>
      <x:c r="B129" s="87" t="str">
        <x:v>AstraZeneca</x:v>
      </x:c>
      <x:c r="C129" s="87"/>
      <x:c r="D129" s="87" t="str">
        <x:v>Yes</x:v>
      </x:c>
      <x:c r="E129" s="87" t="str">
        <x:v>astrazeneca</x:v>
      </x:c>
      <x:c r="F129" s="87" t="str">
        <x:v>127</x:v>
      </x:c>
      <x:c r="G129" s="87" t="str">
        <x:v>107-160-165-978-924</x:v>
      </x:c>
      <x:c r="H129" s="110" t="n">
        <x:v>42752</x:v>
      </x:c>
      <x:c r="I129" s="88" t="n">
        <x:v>2017</x:v>
      </x:c>
      <x:c r="J129" s="87" t="str">
        <x:v>US</x:v>
      </x:c>
      <x:c r="K129" s="87" t="str">
        <x:v>A1</x:v>
      </x:c>
      <x:c r="L129" s="87" t="str">
        <x:v>US 2024/0208947 A1</x:v>
      </x:c>
      <x:c r="M129" s="87" t="str">
        <x:v>ASTRAZENECA AB</x:v>
      </x:c>
      <x:c r="N129" s="87" t="str">
        <x:v>ASTRAZENECA PHARMACEUTICALS LP (2017-12-08);;ASTRAZENECA AB (2017-12-06);;ASTRAZENECA UK LIMITED (2017-12-12)</x:v>
      </x:c>
      <x:c r="O129" s="87" t="str">
        <x:v>JAK1 SELECTIVE INHIBITORS</x:v>
      </x:c>
      <x:c r="P129" s="109" t="n">
        <x:v>0</x:v>
      </x:c>
      <x:c r="Q129" s="109" t="n">
        <x:v>70</x:v>
      </x:c>
      <x:c r="R129" s="87" t="str">
        <x:v>A61K9/0075;;A61P17/14;;A61P37/00;;C07D403/04;;C07D403/14;;C07D403/04;;C07D403/14;;A61P17/14;;A61P37/00;;A61P17/14;;A61P37/00;;C07D403/04;;C07D403/14;;C07D403/04;;A61K31/506;;C07D403/14;;A61P17/14;;A61P37/00;;A61P3/10;;A61P17/14;;A61K9/0075;;C07D403/14</x:v>
      </x:c>
      <x:c r="S129" s="87" t="str">
        <x:v>C07D403/14;;A61K9/00;;A61P17/14</x:v>
      </x:c>
      <x:c r="T129" s="87" t="str">
        <x:v>ACTIVE</x:v>
      </x:c>
      <x:c r="U129" s="87" t="str">
        <x:v>https://lens.org/107-160-165-978-924</x:v>
      </x:c>
    </x:row>
    <x:row r="130">
      <x:c r="A130" s="87" t="str">
        <x:v>AstraZeneca_Lens_RAW_2009_2024.csv.csv</x:v>
      </x:c>
      <x:c r="B130" s="87" t="str">
        <x:v>AstraZeneca</x:v>
      </x:c>
      <x:c r="C130" s="87"/>
      <x:c r="D130" s="87" t="str">
        <x:v>Yes</x:v>
      </x:c>
      <x:c r="E130" s="87" t="str">
        <x:v>astrazeneca</x:v>
      </x:c>
      <x:c r="F130" s="87" t="str">
        <x:v>128</x:v>
      </x:c>
      <x:c r="G130" s="87" t="str">
        <x:v>166-038-488-954-063</x:v>
      </x:c>
      <x:c r="H130" s="110" t="n">
        <x:v>44281</x:v>
      </x:c>
      <x:c r="I130" s="88" t="n">
        <x:v>2021</x:v>
      </x:c>
      <x:c r="J130" s="87" t="str">
        <x:v>US</x:v>
      </x:c>
      <x:c r="K130" s="87" t="str">
        <x:v>A1</x:v>
      </x:c>
      <x:c r="L130" s="87" t="str">
        <x:v>US 2024/0197748 A1</x:v>
      </x:c>
      <x:c r="M130" s="87" t="str">
        <x:v>ASTRAZENECA AB</x:v>
      </x:c>
      <x:c r="N130" s="87" t="str">
        <x:v>ASTRAZENECA UK LIMITED (2024-03-12);;ASTRAZENECA AB (2024-10-08);;ASTRAZENECA KOREA LTD (2024-06-13)</x:v>
      </x:c>
      <x:c r="O130" s="87" t="str">
        <x:v>COMBINATION TREATMENT FOR MELANOMA</x:v>
      </x:c>
      <x:c r="P130" s="109" t="n">
        <x:v>1</x:v>
      </x:c>
      <x:c r="Q130" s="109" t="n">
        <x:v>15</x:v>
      </x:c>
      <x:c r="R130" s="87" t="str">
        <x:v>A61K31/5355;;A61K39/39558;;A61K45/06;;A61P35/00;;A61P35/04;;C07K16/2827;;A61K9/0019;;A61K45/06;;A61K9/0019;;A61K31/5355;;A61K39/39558;;C07K16/2827;;A61K2300/00;;A61P35/00;;A61P35/04;;A61K31/5377;;A61K39/39558;;A61K45/06;;A61P35/00;;C07K16/2827;;A61K2300/00;;A61K2039/505;;A61P35/04;;A61K31/5377;;A61K39/3955</x:v>
      </x:c>
      <x:c r="S130" s="87" t="str">
        <x:v>A61K31/5377;;A61K39/395;;A61P35/04</x:v>
      </x:c>
      <x:c r="T130" s="87" t="str">
        <x:v>PENDING</x:v>
      </x:c>
      <x:c r="U130" s="87" t="str">
        <x:v>https://lens.org/166-038-488-954-063</x:v>
      </x:c>
    </x:row>
    <x:row r="131">
      <x:c r="A131" s="87" t="str">
        <x:v>AstraZeneca_Lens_RAW_2009_2024.csv.csv</x:v>
      </x:c>
      <x:c r="B131" s="87" t="str">
        <x:v>AstraZeneca</x:v>
      </x:c>
      <x:c r="C131" s="87"/>
      <x:c r="D131" s="87" t="str">
        <x:v>Yes</x:v>
      </x:c>
      <x:c r="E131" s="87" t="str">
        <x:v>astrazeneca</x:v>
      </x:c>
      <x:c r="F131" s="87" t="str">
        <x:v>129</x:v>
      </x:c>
      <x:c r="G131" s="87" t="str">
        <x:v>152-524-747-303-675</x:v>
      </x:c>
      <x:c r="H131" s="110" t="n">
        <x:v>43968</x:v>
      </x:c>
      <x:c r="I131" s="88" t="n">
        <x:v>2020</x:v>
      </x:c>
      <x:c r="J131" s="87" t="str">
        <x:v>US</x:v>
      </x:c>
      <x:c r="K131" s="87" t="str">
        <x:v>A1</x:v>
      </x:c>
      <x:c r="L131" s="87" t="str">
        <x:v>US 2024/0182548 A1</x:v>
      </x:c>
      <x:c r="M131" s="87" t="str">
        <x:v>ASTRAZENECA UK LTD</x:v>
      </x:c>
      <x:c r="N131" s="87" t="str">
        <x:v>ASTRAZENECA PHARMACEUTICALS LP (2021-02-15);;ASTRAZENECA UK LIMITED (2021-02-22);;MEDIMMUNE LLC (2021-02-15)</x:v>
      </x:c>
      <x:c r="O131" s="87" t="str">
        <x:v>SARS-COV-2 ANTIBODIES AND METHODS OF SELECTING AND USING THE SAME</x:v>
      </x:c>
      <x:c r="P131" s="109" t="n">
        <x:v>0</x:v>
      </x:c>
      <x:c r="Q131" s="109" t="n">
        <x:v>21</x:v>
      </x:c>
      <x:c r="R131" s="87" t="str">
        <x:v>A61P31/14;;C07K2317/34;;C07K2317/21;;C07K2317/76;;C07K16/104;;C07K16/10;;A61P31/14;;C07K2317/34;;C07K2317/21;;G01N2333/165;;G01N33/56983;;C07K2317/565;;C07K2317/76;;A61P31/14;;C07K2317/76;;C07K2317/24;;C07K2317/34;;A61K2039/505;;A61K39/395;;A61K39/215;;C07K16/104;;C07K2317/565;;C07K2317/76;;G01N33/56983;;G01N2333/165;;A61P31/14;;C07K16/104</x:v>
      </x:c>
      <x:c r="S131" s="87" t="str">
        <x:v>C07K16/10;;G01N33/569</x:v>
      </x:c>
      <x:c r="T131" s="87" t="str">
        <x:v>DISCONTINUED</x:v>
      </x:c>
      <x:c r="U131" s="87" t="str">
        <x:v>https://lens.org/152-524-747-303-675</x:v>
      </x:c>
    </x:row>
    <x:row r="132">
      <x:c r="A132" s="87" t="str">
        <x:v>AstraZeneca_Lens_RAW_2009_2024.csv.csv</x:v>
      </x:c>
      <x:c r="B132" s="87" t="str">
        <x:v>AstraZeneca</x:v>
      </x:c>
      <x:c r="C132" s="87"/>
      <x:c r="D132" s="87" t="str">
        <x:v>Yes</x:v>
      </x:c>
      <x:c r="E132" s="87" t="str">
        <x:v>astrazeneca</x:v>
      </x:c>
      <x:c r="F132" s="87" t="str">
        <x:v>130</x:v>
      </x:c>
      <x:c r="G132" s="87" t="str">
        <x:v>076-311-257-983-010</x:v>
      </x:c>
      <x:c r="H132" s="110" t="n">
        <x:v>44175</x:v>
      </x:c>
      <x:c r="I132" s="88" t="n">
        <x:v>2020</x:v>
      </x:c>
      <x:c r="J132" s="87" t="str">
        <x:v>US</x:v>
      </x:c>
      <x:c r="K132" s="87" t="str">
        <x:v>A1</x:v>
      </x:c>
      <x:c r="L132" s="87" t="str">
        <x:v>US 2024/0182479 A1</x:v>
      </x:c>
      <x:c r="M132" s="87" t="str">
        <x:v>ASTRAZENECA AB</x:v>
      </x:c>
      <x:c r="N132" s="87" t="str">
        <x:v>ASTRAZENECA AB (2021-08-09)</x:v>
      </x:c>
      <x:c r="O132" s="87" t="str">
        <x:v>SUBSTITUTED INDAZOLES AS IRAK4 INHIBITORS</x:v>
      </x:c>
      <x:c r="P132" s="109" t="n">
        <x:v>0</x:v>
      </x:c>
      <x:c r="Q132" s="109" t="n">
        <x:v>44</x:v>
      </x:c>
      <x:c r="R132" s="87" t="str">
        <x:v>C07D487/04;;A61P11/00;;A61P11/06;;A61P35/00;;A61P35/02;;A61P29/00;;A61P37/00;;A61P37/08;;A61P17/00;;A61P17/06;;C07D487/04;;A61P35/02;;A61P29/00;;A61P37/06;;A61P17/06;;A61P37/00;;A61P11/06;;A61P11/00;;A61P17/00;;A61P35/00;;A61P37/08;;C07D487/04;;A61K31/5025;;A61K31/519;;A61P11/00;;A61P35/00;;A61P29/00;;A61P37/00;;A61P17/06;;A61P11/06;;A61P37/06;;C07D487/04</x:v>
      </x:c>
      <x:c r="S132" s="87" t="str">
        <x:v>C07D487/04;;A61P11/06;;A61P37/06</x:v>
      </x:c>
      <x:c r="T132" s="87" t="str">
        <x:v>ACTIVE</x:v>
      </x:c>
      <x:c r="U132" s="87" t="str">
        <x:v>https://lens.org/076-311-257-983-010</x:v>
      </x:c>
    </x:row>
    <x:row r="133">
      <x:c r="A133" s="87" t="str">
        <x:v>AstraZeneca_Lens_RAW_2009_2024.csv.csv</x:v>
      </x:c>
      <x:c r="B133" s="87" t="str">
        <x:v>AstraZeneca</x:v>
      </x:c>
      <x:c r="C133" s="87"/>
      <x:c r="D133" s="87" t="str">
        <x:v>Yes</x:v>
      </x:c>
      <x:c r="E133" s="87" t="str">
        <x:v>astrazeneca</x:v>
      </x:c>
      <x:c r="F133" s="87" t="str">
        <x:v>131</x:v>
      </x:c>
      <x:c r="G133" s="87" t="str">
        <x:v>157-936-604-040-161</x:v>
      </x:c>
      <x:c r="H133" s="110" t="n">
        <x:v>44271</x:v>
      </x:c>
      <x:c r="I133" s="88" t="n">
        <x:v>2021</x:v>
      </x:c>
      <x:c r="J133" s="87" t="str">
        <x:v>US</x:v>
      </x:c>
      <x:c r="K133" s="87" t="str">
        <x:v>A1</x:v>
      </x:c>
      <x:c r="L133" s="87" t="str">
        <x:v>US 2024/0183859 A1</x:v>
      </x:c>
      <x:c r="M133" s="87" t="str">
        <x:v>ASTRAZENECA AB</x:v>
      </x:c>
      <x:c r="N133" s="87" t="str">
        <x:v>ASTRAZENECA AB (2021-08-20);;MEDIMMUNE LLC (2021-08-19)</x:v>
      </x:c>
      <x:c r="O133" s="87" t="str">
        <x:v>SYSTEM AND METHOD FOR ONLINE DETECTION OF A POST-TRANSLATIONAL MODIFICATION OF A POLYPEPTIDE</x:v>
      </x:c>
      <x:c r="P133" s="109" t="n">
        <x:v>1</x:v>
      </x:c>
      <x:c r="Q133" s="109" t="n">
        <x:v>9</x:v>
      </x:c>
      <x:c r="R133" s="87" t="str">
        <x:v>G01N33/6842;;G01N2440/00;;G01N2030/8831;;B01D15/3809;;G01N33/6842</x:v>
      </x:c>
      <x:c r="S133" s="87" t="str">
        <x:v>G01N33/68;;B01D15/38</x:v>
      </x:c>
      <x:c r="T133" s="87" t="str">
        <x:v>PENDING</x:v>
      </x:c>
      <x:c r="U133" s="87" t="str">
        <x:v>https://lens.org/157-936-604-040-161</x:v>
      </x:c>
    </x:row>
    <x:row r="134">
      <x:c r="A134" s="87" t="str">
        <x:v>AstraZeneca_Lens_RAW_2009_2024.csv.csv</x:v>
      </x:c>
      <x:c r="B134" s="87" t="str">
        <x:v>AstraZeneca</x:v>
      </x:c>
      <x:c r="C134" s="87"/>
      <x:c r="D134" s="87" t="str">
        <x:v>Yes</x:v>
      </x:c>
      <x:c r="E134" s="87" t="str">
        <x:v>astrazeneca</x:v>
      </x:c>
      <x:c r="F134" s="87" t="str">
        <x:v>132</x:v>
      </x:c>
      <x:c r="G134" s="87" t="str">
        <x:v>192-876-844-947-229</x:v>
      </x:c>
      <x:c r="H134" s="110" t="n">
        <x:v>44882</x:v>
      </x:c>
      <x:c r="I134" s="88" t="n">
        <x:v>2022</x:v>
      </x:c>
      <x:c r="J134" s="87" t="str">
        <x:v>US</x:v>
      </x:c>
      <x:c r="K134" s="87" t="str">
        <x:v>A1</x:v>
      </x:c>
      <x:c r="L134" s="87" t="str">
        <x:v>US 2024/0180893 A1</x:v>
      </x:c>
      <x:c r="M134" s="87" t="str">
        <x:v>ASTRAZENECA AB</x:v>
      </x:c>
      <x:c r="N134" s="87" t="str">
        <x:v>ASTRAZENECA UK LIMITED (2023-10-16);;ASTRAZENECA AB (2023-10-18)</x:v>
      </x:c>
      <x:c r="O134" s="87" t="str">
        <x:v>METHODS OF TREATMENT OF BREAST CANCER</x:v>
      </x:c>
      <x:c r="P134" s="109" t="n">
        <x:v>0</x:v>
      </x:c>
      <x:c r="Q134" s="109" t="n">
        <x:v>11</x:v>
      </x:c>
      <x:c r="R134" s="87" t="str">
        <x:v>A61K31/4745;;A61P35/00;;A61K31/4745;;C12Q1/6886;;A61K9/0053;;C12Q2600/156;;A61P35/04;;A61P35/00;;A61K31/4745;;A61P35/00;;A61P35/04;;A61P35/04;;A61P35/00;;A61K9/0053;;A61K31/4745;;C12Q1/6886;;C12Q2600/156</x:v>
      </x:c>
      <x:c r="S134" s="87" t="str">
        <x:v>A61K31/4745;;A61K9/00;;A61P35/00;;A61P35/04;;C12Q1/6886</x:v>
      </x:c>
      <x:c r="T134" s="87" t="str">
        <x:v>PENDING</x:v>
      </x:c>
      <x:c r="U134" s="87" t="str">
        <x:v>https://lens.org/192-876-844-947-229</x:v>
      </x:c>
    </x:row>
    <x:row r="135">
      <x:c r="A135" s="87" t="str">
        <x:v>AstraZeneca_Lens_RAW_2009_2024.csv.csv</x:v>
      </x:c>
      <x:c r="B135" s="87" t="str">
        <x:v>AstraZeneca</x:v>
      </x:c>
      <x:c r="C135" s="87"/>
      <x:c r="D135" s="87" t="str">
        <x:v>Yes</x:v>
      </x:c>
      <x:c r="E135" s="87" t="str">
        <x:v>astrazeneca</x:v>
      </x:c>
      <x:c r="F135" s="87" t="str">
        <x:v>133</x:v>
      </x:c>
      <x:c r="G135" s="87" t="str">
        <x:v>098-341-504-669-893</x:v>
      </x:c>
      <x:c r="H135" s="110" t="n">
        <x:v>44293</x:v>
      </x:c>
      <x:c r="I135" s="88" t="n">
        <x:v>2021</x:v>
      </x:c>
      <x:c r="J135" s="87" t="str">
        <x:v>US</x:v>
      </x:c>
      <x:c r="K135" s="87" t="str">
        <x:v>A1</x:v>
      </x:c>
      <x:c r="L135" s="87" t="str">
        <x:v>US 2024/0182890 A1</x:v>
      </x:c>
      <x:c r="M135" s="87" t="str">
        <x:v>ASTRAZENECA AB</x:v>
      </x:c>
      <x:c r="N135" s="87" t="str">
        <x:v>ASTRAZENECA AB (2023-10-20)</x:v>
      </x:c>
      <x:c r="O135" s="87" t="str">
        <x:v>COMPOSITIONS AND METHODS FOR SITE-SPECIFIC MODIFICATION</x:v>
      </x:c>
      <x:c r="P135" s="109" t="n">
        <x:v>2</x:v>
      </x:c>
      <x:c r="Q135" s="109" t="n">
        <x:v>5</x:v>
      </x:c>
      <x:c r="R135" s="87" t="str">
        <x:v>C12N15/11;;C12N9/22;;C12N9/93;;C12N15/90;;C12N2310/20;;C12N2310/315;;C12N2310/332;;C12N2310/3519;;C12Y207/07049;;C12Y605/01;;C12N15/11;;C12N9/22;;C12N9/93;;C12N15/907;;C12N2310/20;;C12N2310/315</x:v>
      </x:c>
      <x:c r="S135" s="87" t="str">
        <x:v>C12N15/11;;C12N9/00;;C12N9/22;;C12N15/90</x:v>
      </x:c>
      <x:c r="T135" s="87" t="str">
        <x:v>PENDING</x:v>
      </x:c>
      <x:c r="U135" s="87" t="str">
        <x:v>https://lens.org/098-341-504-669-893</x:v>
      </x:c>
    </x:row>
    <x:row r="136">
      <x:c r="A136" s="87" t="str">
        <x:v>AstraZeneca_Lens_RAW_2009_2024.csv.csv</x:v>
      </x:c>
      <x:c r="B136" s="87" t="str">
        <x:v>AstraZeneca</x:v>
      </x:c>
      <x:c r="C136" s="87"/>
      <x:c r="D136" s="87" t="str">
        <x:v>Yes</x:v>
      </x:c>
      <x:c r="E136" s="87" t="str">
        <x:v>astrazeneca</x:v>
      </x:c>
      <x:c r="F136" s="87" t="str">
        <x:v>134</x:v>
      </x:c>
      <x:c r="G136" s="87" t="str">
        <x:v>049-586-339-405-242</x:v>
      </x:c>
      <x:c r="H136" s="110" t="n">
        <x:v>44277</x:v>
      </x:c>
      <x:c r="I136" s="88" t="n">
        <x:v>2021</x:v>
      </x:c>
      <x:c r="J136" s="87" t="str">
        <x:v>US</x:v>
      </x:c>
      <x:c r="K136" s="87" t="str">
        <x:v>A1</x:v>
      </x:c>
      <x:c r="L136" s="87" t="str">
        <x:v>US 2024/0173261 A1</x:v>
      </x:c>
      <x:c r="M136" s="87" t="str">
        <x:v>ASTRAZENECA AB</x:v>
      </x:c>
      <x:c r="N136" s="87" t="str">
        <x:v>ASTRAZENECA UK LIMITED (2021-12-14);;ASTRAZENECA AB (2022-01-11);;ASTRAZENECA INVESTMENT (CHINA) CO. LTD (2021-12-14)</x:v>
      </x:c>
      <x:c r="O136" s="87" t="str">
        <x:v>FORMULATION COMPRISING CERALASERTIB</x:v>
      </x:c>
      <x:c r="P136" s="109" t="n">
        <x:v>0</x:v>
      </x:c>
      <x:c r="Q136" s="109" t="n">
        <x:v>33</x:v>
      </x:c>
      <x:c r="R136" s="87" t="str">
        <x:v>A61K9/2009;;A61K9/2054;;A61K9/2013;;A61K9/2077;;A61K31/5377;;A61P35/00;;A61K9/2009;;A61K9/2077;;A61K9/2054;;A61P35/00;;A61K9/2013;;A61K31/5377;;A61K9/2009;;A61K9/2054;;A61K9/2013;;A61K31/5377;;A61P35/00;;A61K9/2054;;A61K31/5377;;A61K47/02;;A61K47/12</x:v>
      </x:c>
      <x:c r="S136" s="87" t="str">
        <x:v>A61K9/20;;A61K31/5377;;A61K47/02;;A61K47/12</x:v>
      </x:c>
      <x:c r="T136" s="87" t="str">
        <x:v>PENDING</x:v>
      </x:c>
      <x:c r="U136" s="87" t="str">
        <x:v>https://lens.org/049-586-339-405-242</x:v>
      </x:c>
    </x:row>
    <x:row r="137">
      <x:c r="A137" s="87" t="str">
        <x:v>AstraZeneca_Lens_RAW_2009_2024.csv.csv</x:v>
      </x:c>
      <x:c r="B137" s="87" t="str">
        <x:v>AstraZeneca</x:v>
      </x:c>
      <x:c r="C137" s="87"/>
      <x:c r="D137" s="87" t="str">
        <x:v>Yes</x:v>
      </x:c>
      <x:c r="E137" s="87" t="str">
        <x:v>astrazeneca</x:v>
      </x:c>
      <x:c r="F137" s="87" t="str">
        <x:v>135</x:v>
      </x:c>
      <x:c r="G137" s="87" t="str">
        <x:v>192-059-191-384-894</x:v>
      </x:c>
      <x:c r="H137" s="110" t="n">
        <x:v>44295</x:v>
      </x:c>
      <x:c r="I137" s="88" t="n">
        <x:v>2021</x:v>
      </x:c>
      <x:c r="J137" s="87" t="str">
        <x:v>US</x:v>
      </x:c>
      <x:c r="K137" s="87" t="str">
        <x:v>A1</x:v>
      </x:c>
      <x:c r="L137" s="87" t="str">
        <x:v>US 2024/0167926 A1</x:v>
      </x:c>
      <x:c r="M137" s="87" t="str">
        <x:v>ASTRAZENECA AB</x:v>
      </x:c>
      <x:c r="N137" s="87" t="str">
        <x:v>ASTRAZENECA AB (2021-04-09);;ASTRAZENECA UK LIMITED (2021-04-15)</x:v>
      </x:c>
      <x:c r="O137" s="87" t="str">
        <x:v>APPARATUS AND METHOD FOR EVALUATING PHYSICAL STRENGTH OR ROBUSTNESS OF SOLID PHARMACEUTICAL DOSAGE FORMS BASED ON AN IMPACT STRIKE TEST</x:v>
      </x:c>
      <x:c r="P137" s="109" t="n">
        <x:v>0</x:v>
      </x:c>
      <x:c r="Q137" s="109" t="n">
        <x:v>13</x:v>
      </x:c>
      <x:c r="R137" s="87" t="str">
        <x:v>G01N3/04;;G01N3/303;;G01N2203/001;;G01N2203/0033;;G01N2203/0087;;G01N2203/0218;;G01N2203/0234;;G01N2203/0258;;G01N2203/0447;;G01N2203/0641;;G01N2203/0676;;G01N33/15;;G01N3/303;;G01N33/15;;G01N2203/001;;G01N2203/0033;;G01N2203/0087;;G01N2203/0218;;G01N2203/0234;;G01N2203/0676</x:v>
      </x:c>
      <x:c r="S137" s="87" t="str">
        <x:v>G01N3/303;;G01N33/15</x:v>
      </x:c>
      <x:c r="T137" s="87" t="str">
        <x:v>ACTIVE</x:v>
      </x:c>
      <x:c r="U137" s="87" t="str">
        <x:v>https://lens.org/192-059-191-384-894</x:v>
      </x:c>
    </x:row>
    <x:row r="138">
      <x:c r="A138" s="87" t="str">
        <x:v>AstraZeneca_Lens_RAW_2009_2024.csv.csv</x:v>
      </x:c>
      <x:c r="B138" s="87" t="str">
        <x:v>AstraZeneca</x:v>
      </x:c>
      <x:c r="C138" s="87"/>
      <x:c r="D138" s="87" t="str">
        <x:v>Yes</x:v>
      </x:c>
      <x:c r="E138" s="87" t="str">
        <x:v>astrazeneca</x:v>
      </x:c>
      <x:c r="F138" s="87" t="str">
        <x:v>136</x:v>
      </x:c>
      <x:c r="G138" s="87" t="str">
        <x:v>148-064-025-862-417</x:v>
      </x:c>
      <x:c r="H138" s="110" t="n">
        <x:v>44791</x:v>
      </x:c>
      <x:c r="I138" s="88" t="n">
        <x:v>2022</x:v>
      </x:c>
      <x:c r="J138" s="87" t="str">
        <x:v>US</x:v>
      </x:c>
      <x:c r="K138" s="87" t="str">
        <x:v>A1</x:v>
      </x:c>
      <x:c r="L138" s="87" t="str">
        <x:v>US 2024/0166642 A1</x:v>
      </x:c>
      <x:c r="M138" s="87" t="str">
        <x:v>ASTRAZENECA AB</x:v>
      </x:c>
      <x:c r="N138" s="87" t="str">
        <x:v>ASTRAZENECA AB (2023-10-05)</x:v>
      </x:c>
      <x:c r="O138" s="87" t="str">
        <x:v>INHIBITORS OF MYELOPEROXIDASE</x:v>
      </x:c>
      <x:c r="P138" s="109" t="n">
        <x:v>0</x:v>
      </x:c>
      <x:c r="Q138" s="109" t="n">
        <x:v>12</x:v>
      </x:c>
      <x:c r="R138" s="87" t="str">
        <x:v>C07D487/04;;A61P35/00;;C07D473/22;;C07D487/04;;A61K31/519;;A61P1/16;;A61P9/00;;A61P11/00;;A61P13/12;;A61P25/00;;A61P29/00;;A61P35/00;;C07D473/22;;C07D419/14</x:v>
      </x:c>
      <x:c r="S138" s="87" t="str">
        <x:v>C07D419/14</x:v>
      </x:c>
      <x:c r="T138" s="87" t="str">
        <x:v>PENDING</x:v>
      </x:c>
      <x:c r="U138" s="87" t="str">
        <x:v>https://lens.org/148-064-025-862-417</x:v>
      </x:c>
    </x:row>
    <x:row r="139">
      <x:c r="A139" s="87" t="str">
        <x:v>AstraZeneca_Lens_RAW_2009_2024.csv.csv</x:v>
      </x:c>
      <x:c r="B139" s="87" t="str">
        <x:v>AstraZeneca</x:v>
      </x:c>
      <x:c r="C139" s="87"/>
      <x:c r="D139" s="87" t="str">
        <x:v>Yes</x:v>
      </x:c>
      <x:c r="E139" s="87" t="str">
        <x:v>astrazeneca</x:v>
      </x:c>
      <x:c r="F139" s="87" t="str">
        <x:v>137</x:v>
      </x:c>
      <x:c r="G139" s="87" t="str">
        <x:v>080-948-180-259-122</x:v>
      </x:c>
      <x:c r="H139" s="110" t="n">
        <x:v>44096</x:v>
      </x:c>
      <x:c r="I139" s="88" t="n">
        <x:v>2020</x:v>
      </x:c>
      <x:c r="J139" s="87" t="str">
        <x:v>US</x:v>
      </x:c>
      <x:c r="K139" s="87" t="str">
        <x:v>A1</x:v>
      </x:c>
      <x:c r="L139" s="87" t="str">
        <x:v>US 2024/0158791 A1</x:v>
      </x:c>
      <x:c r="M139" s="87" t="str">
        <x:v>ASTRAZENECA AB;;IONIS PHARMACEUTICLS INC</x:v>
      </x:c>
      <x:c r="N139" s="87" t="str">
        <x:v>IONIS PHARMACEUTICALS INC (2020-10-27);;ASTRAZENECA AB (2020-11-23)</x:v>
      </x:c>
      <x:c r="O139" s="87" t="str">
        <x:v>METHOD OF TREATING FATTY LIVER DISEASE</x:v>
      </x:c>
      <x:c r="P139" s="109" t="n">
        <x:v>0</x:v>
      </x:c>
      <x:c r="Q139" s="109" t="n">
        <x:v>16</x:v>
      </x:c>
      <x:c r="R139" s="87" t="str">
        <x:v>C12N15/113;;C12N2310/14;;C12N2320/34;;C12N15/113;;A61K31/713;;A61P1/16;;C12N2310/14;;C12N2310/141;;C12N2310/315;;C12N2310/321;;C12N2310/322;;C12N2310/341;;C12N2310/3519;;C12N2320/34;;A61K48/00;;A61K31/713;;A61P1/16;;C12N15/113;;C12N2310/141;;C12N2310/315;;C12N2310/321;;C12N15/113;;A61K31/713;;A61P1/16;;C12N2310/14;;C12N2310/141;;C12N2310/315;;C12N2310/321;;C12N2310/322;;C12N2310/341;;C12N2310/3519</x:v>
      </x:c>
      <x:c r="S139" s="87" t="str">
        <x:v>C12N15/113;;A61K31/713;;A61P1/16</x:v>
      </x:c>
      <x:c r="T139" s="87" t="str">
        <x:v>PENDING</x:v>
      </x:c>
      <x:c r="U139" s="87" t="str">
        <x:v>https://lens.org/080-948-180-259-122</x:v>
      </x:c>
    </x:row>
    <x:row r="140">
      <x:c r="A140" s="87" t="str">
        <x:v>AstraZeneca_Lens_RAW_2009_2024.csv.csv</x:v>
      </x:c>
      <x:c r="B140" s="87" t="str">
        <x:v>AstraZeneca</x:v>
      </x:c>
      <x:c r="C140" s="87"/>
      <x:c r="D140" s="87" t="str">
        <x:v>Yes</x:v>
      </x:c>
      <x:c r="E140" s="87" t="str">
        <x:v>astrazeneca</x:v>
      </x:c>
      <x:c r="F140" s="87" t="str">
        <x:v>138</x:v>
      </x:c>
      <x:c r="G140" s="87" t="str">
        <x:v>051-101-051-231-873</x:v>
      </x:c>
      <x:c r="H140" s="110" t="n">
        <x:v>43143</x:v>
      </x:c>
      <x:c r="I140" s="88" t="n">
        <x:v>2018</x:v>
      </x:c>
      <x:c r="J140" s="87" t="str">
        <x:v>US</x:v>
      </x:c>
      <x:c r="K140" s="87" t="str">
        <x:v>A1</x:v>
      </x:c>
      <x:c r="L140" s="87" t="str">
        <x:v>US 2024/0156815 A1</x:v>
      </x:c>
      <x:c r="M140" s="87" t="str">
        <x:v>ASTRAZENECA AB</x:v>
      </x:c>
      <x:c r="N140" s="87" t="str">
        <x:v>ASTRAZENECA UK LIMITED (2018-05-17);;ASTRAZENECA AB (2018-06-14)</x:v>
      </x:c>
      <x:c r="O140" s="87" t="str">
        <x:v>OSIMERTINIB FOR USE IN THE TREATMENT OF NON-SMALL CELL LUNG CANCER</x:v>
      </x:c>
      <x:c r="P140" s="109" t="n">
        <x:v>0</x:v>
      </x:c>
      <x:c r="Q140" s="109" t="n">
        <x:v>28</x:v>
      </x:c>
      <x:c r="R140" s="87" t="str">
        <x:v>A61K31/506;;A61K33/243;;A61K31/555;;A61K45/06;;A61P35/00;;A61K31/337;;A61K31/475;;A61K31/506;;A61K31/519;;A61K31/555;;A61K31/7048;;A61K31/7068;;A61P35/00;;A61K33/243;;A61K33/24;;A61K31/506;;A61P35/00;;A61K31/7048;;A61K31/7068;;A61K31/337;;A61K31/555;;A61K31/475;;A61K31/519;;A61K2300/00;;A61K33/243;;A61K31/506;;A61P35/00;;A61P35/00;;A61K9/20;;A61K31/506;;A61K33/243</x:v>
      </x:c>
      <x:c r="S140" s="87" t="str">
        <x:v>A61K31/506;;A61K9/20;;A61K33/243;;A61P35/00</x:v>
      </x:c>
      <x:c r="T140" s="87" t="str">
        <x:v>PENDING</x:v>
      </x:c>
      <x:c r="U140" s="87" t="str">
        <x:v>https://lens.org/051-101-051-231-873</x:v>
      </x:c>
    </x:row>
    <x:row r="141">
      <x:c r="A141" s="87" t="str">
        <x:v>AstraZeneca_Lens_RAW_2009_2024.csv.csv</x:v>
      </x:c>
      <x:c r="B141" s="87" t="str">
        <x:v>AstraZeneca</x:v>
      </x:c>
      <x:c r="C141" s="87"/>
      <x:c r="D141" s="87" t="str">
        <x:v>Yes</x:v>
      </x:c>
      <x:c r="E141" s="87" t="str">
        <x:v>astrazeneca</x:v>
      </x:c>
      <x:c r="F141" s="87" t="str">
        <x:v>139</x:v>
      </x:c>
      <x:c r="G141" s="87" t="str">
        <x:v>119-284-093-989-818</x:v>
      </x:c>
      <x:c r="H141" s="110" t="n">
        <x:v>43266</x:v>
      </x:c>
      <x:c r="I141" s="88" t="n">
        <x:v>2018</x:v>
      </x:c>
      <x:c r="J141" s="87" t="str">
        <x:v>US</x:v>
      </x:c>
      <x:c r="K141" s="87" t="str">
        <x:v>A1</x:v>
      </x:c>
      <x:c r="L141" s="87" t="str">
        <x:v>US 2024/0150355 A1</x:v>
      </x:c>
      <x:c r="M141" s="87" t="str">
        <x:v>ASTRAZENECA AB;;CANCER RESEARCH TECH LTD</x:v>
      </x:c>
      <x:c r="N141" s="87" t="str">
        <x:v>ASTRAZENECA UK LIMITED (2019-08-20);;ASTRAZENECA AB (2020-12-04);;CANCER RESEARCH TECHNOLOGY LIMITED (2020-12-04)</x:v>
      </x:c>
      <x:c r="O141" s="87" t="str">
        <x:v>PURINONE COMPOUNDS AND THEIR USE IN TREATING CANCER</x:v>
      </x:c>
      <x:c r="P141" s="109" t="n">
        <x:v>0</x:v>
      </x:c>
      <x:c r="Q141" s="109" t="n">
        <x:v>42</x:v>
      </x:c>
      <x:c r="R141" s="87" t="str">
        <x:v>C07D473/32;;A61P35/00;;C07D473/32;;A61K31/502;;A61K31/704;;C07B2200/13;;A61K31/437;;A61K31/5377;;A61K9/127;;A61K31/519;;A61K31/522;;A61N5/10;;C07D473/32;;A61K31/519;;A61P35/00;;A61K9/127;;A61K31/437;;A61K31/502;;A61K31/522;;A61K31/5377;;A61K31/704;;A61N5/10;;C07B2200/13;;C07D473/32</x:v>
      </x:c>
      <x:c r="S141" s="87" t="str">
        <x:v>C07D473/32;;A61K9/127;;A61K31/437;;A61K31/502;;A61K31/522;;A61K31/5377;;A61K31/704</x:v>
      </x:c>
      <x:c r="T141" s="87" t="str">
        <x:v>DISCONTINUED</x:v>
      </x:c>
      <x:c r="U141" s="87" t="str">
        <x:v>https://lens.org/119-284-093-989-818</x:v>
      </x:c>
    </x:row>
    <x:row r="142">
      <x:c r="A142" s="87" t="str">
        <x:v>AstraZeneca_Lens_RAW_2009_2024.csv.csv</x:v>
      </x:c>
      <x:c r="B142" s="87" t="str">
        <x:v>AstraZeneca</x:v>
      </x:c>
      <x:c r="C142" s="87"/>
      <x:c r="D142" s="87" t="str">
        <x:v>Yes</x:v>
      </x:c>
      <x:c r="E142" s="87" t="str">
        <x:v>astrazeneca</x:v>
      </x:c>
      <x:c r="F142" s="87" t="str">
        <x:v>140</x:v>
      </x:c>
      <x:c r="G142" s="87" t="str">
        <x:v>019-502-944-337-517</x:v>
      </x:c>
      <x:c r="H142" s="110" t="n">
        <x:v>43523</x:v>
      </x:c>
      <x:c r="I142" s="88" t="n">
        <x:v>2019</x:v>
      </x:c>
      <x:c r="J142" s="87" t="str">
        <x:v>EP</x:v>
      </x:c>
      <x:c r="K142" s="87" t="str">
        <x:v>B1</x:v>
      </x:c>
      <x:c r="L142" s="87" t="str">
        <x:v>EP 3930715 B1</x:v>
      </x:c>
      <x:c r="M142" s="87" t="str">
        <x:v>ASTRAZENECA AB;;FRAUNHOFER GES FORSCHUNG</x:v>
      </x:c>
      <x:c r="N142" s="87" t="str">
        <x:v>FRAUNHOFER-GESELLSCHAFT ZUR FOERDERUNG DER ANGEWANDTEN FORSCHUNG E.V. (2022-04-20);;ASTRAZENECA AB (2022-04-20)</x:v>
      </x:c>
      <x:c r="O142" s="87" t="str">
        <x:v>SARACATINIB FOR USE IN THE TREATMENT OF IDIOPATHIC PULMONARY FIBROSIS</x:v>
      </x:c>
      <x:c r="P142" s="109" t="n">
        <x:v>0</x:v>
      </x:c>
      <x:c r="Q142" s="109" t="n">
        <x:v>18</x:v>
      </x:c>
      <x:c r="R142" s="87" t="str">
        <x:v>A61K31/496;;A61K31/4412;;A61K45/06;;A61P11/00;;A61P11/00;;A61K31/496;;A61K31/517</x:v>
      </x:c>
      <x:c r="S142" s="87" t="str">
        <x:v>A61K31/4412;;A61K31/496;;A61K45/06;;A61P11/00</x:v>
      </x:c>
      <x:c r="T142" s="87" t="str">
        <x:v>ACTIVE</x:v>
      </x:c>
      <x:c r="U142" s="87" t="str">
        <x:v>https://lens.org/019-502-944-337-517</x:v>
      </x:c>
    </x:row>
    <x:row r="143">
      <x:c r="A143" s="87" t="str">
        <x:v>AstraZeneca_Lens_RAW_2009_2024.csv.csv</x:v>
      </x:c>
      <x:c r="B143" s="87" t="str">
        <x:v>AstraZeneca</x:v>
      </x:c>
      <x:c r="C143" s="87"/>
      <x:c r="D143" s="87" t="str">
        <x:v>Yes</x:v>
      </x:c>
      <x:c r="E143" s="87" t="str">
        <x:v>astrazeneca</x:v>
      </x:c>
      <x:c r="F143" s="87" t="str">
        <x:v>141</x:v>
      </x:c>
      <x:c r="G143" s="87" t="str">
        <x:v>191-469-167-737-712</x:v>
      </x:c>
      <x:c r="H143" s="110" t="n">
        <x:v>42724</x:v>
      </x:c>
      <x:c r="I143" s="88" t="n">
        <x:v>2016</x:v>
      </x:c>
      <x:c r="J143" s="87" t="str">
        <x:v>US</x:v>
      </x:c>
      <x:c r="K143" s="87" t="str">
        <x:v>B2</x:v>
      </x:c>
      <x:c r="L143" s="87" t="str">
        <x:v>US 11972844 B2</x:v>
      </x:c>
      <x:c r="M143" s="87" t="str">
        <x:v>ASTRAZENECA UK LTD</x:v>
      </x:c>
      <x:c r="N143" s="87" t="str">
        <x:v>ASTRAZENECA UK LIMITED (2016-10-16)</x:v>
      </x:c>
      <x:c r="O143" s="87" t="str">
        <x:v>Systems and methods for dispensing a statin medication over the counter</x:v>
      </x:c>
      <x:c r="P143" s="109" t="n">
        <x:v>0</x:v>
      </x:c>
      <x:c r="Q143" s="109" t="n">
        <x:v>32</x:v>
      </x:c>
      <x:c r="R143" s="87" t="str">
        <x:v>G16H10/20;;G16H20/10;;G16H10/20;;G16H20/10;;G16H10/20;;G06Q50/22;;G16H10/60;;G16H20/10;;G16H20/13;;G16H70/20</x:v>
      </x:c>
      <x:c r="S143" s="87" t="str">
        <x:v>G16H10/20;;G06Q50/22;;G16H10/60;;G16H20/10;;G16H20/13;;G16H70/20</x:v>
      </x:c>
      <x:c r="T143" s="87" t="str">
        <x:v>ACTIVE</x:v>
      </x:c>
      <x:c r="U143" s="87" t="str">
        <x:v>https://lens.org/191-469-167-737-712</x:v>
      </x:c>
    </x:row>
    <x:row r="144">
      <x:c r="A144" s="87" t="str">
        <x:v>AstraZeneca_Lens_RAW_2009_2024.csv.csv</x:v>
      </x:c>
      <x:c r="B144" s="87" t="str">
        <x:v>AstraZeneca</x:v>
      </x:c>
      <x:c r="C144" s="87"/>
      <x:c r="D144" s="87" t="str">
        <x:v>Yes</x:v>
      </x:c>
      <x:c r="E144" s="87" t="str">
        <x:v>astrazeneca</x:v>
      </x:c>
      <x:c r="F144" s="87" t="str">
        <x:v>142</x:v>
      </x:c>
      <x:c r="G144" s="87" t="str">
        <x:v>036-947-110-747-622</x:v>
      </x:c>
      <x:c r="H144" s="110" t="n">
        <x:v>43166</x:v>
      </x:c>
      <x:c r="I144" s="88" t="n">
        <x:v>2018</x:v>
      </x:c>
      <x:c r="J144" s="87" t="str">
        <x:v>US</x:v>
      </x:c>
      <x:c r="K144" s="87" t="str">
        <x:v>B2</x:v>
      </x:c>
      <x:c r="L144" s="87" t="str">
        <x:v>US 11964097 B2</x:v>
      </x:c>
      <x:c r="M144" s="87" t="str">
        <x:v>ASTRAZENECA AB</x:v>
      </x:c>
      <x:c r="N144" s="87" t="str">
        <x:v>UPC CAMBRIDGE LTD (2018-09-17);;TEAM CONSULTING LIMITED (2018-09-29);;ASTRAZENECA AB (2018-09-12);;ASTRAZENECA UK LIMITED (2018-10-10)</x:v>
      </x:c>
      <x:c r="O144" s="87" t="str">
        <x:v>Inhaler</x:v>
      </x:c>
      <x:c r="P144" s="109" t="n">
        <x:v>0</x:v>
      </x:c>
      <x:c r="Q144" s="109" t="n">
        <x:v>18</x:v>
      </x:c>
      <x:c r="R144" s="87" t="str">
        <x:v>A61M15/0025;;A61M15/002;;A61M15/0026;;A61M15/0071;;A61M15/0086;;A61M15/009;;A61M15/0091;;A61M15/0096;;A61M15/0025;;A61M15/002;;A61M15/0026;;A61M15/0071;;A61M15/0086;;A61M15/009;;A61M15/0091;;A61M15/0096;;A61M15/009;;A61M15/0025;;A61M15/0026;;A61M15/0091;;A61M15/0095;;A61M15/0096;;A61M2205/8281;;A61M15/002;;A61M15/0013;;A61M15/0025;;A61M15/0026;;A61M15/0071;;A61M15/0086;;A61M15/009;;A61M15/0091;;A61M15/0095;;A61M15/0096;;A61M2205/8281</x:v>
      </x:c>
      <x:c r="S144" s="87" t="str">
        <x:v>A61M15/00</x:v>
      </x:c>
      <x:c r="T144" s="87" t="str">
        <x:v>ACTIVE</x:v>
      </x:c>
      <x:c r="U144" s="87" t="str">
        <x:v>https://lens.org/036-947-110-747-622</x:v>
      </x:c>
    </x:row>
    <x:row r="145">
      <x:c r="A145" s="87" t="str">
        <x:v>AstraZeneca_Lens_RAW_2009_2024.csv.csv</x:v>
      </x:c>
      <x:c r="B145" s="87" t="str">
        <x:v>AstraZeneca</x:v>
      </x:c>
      <x:c r="C145" s="87"/>
      <x:c r="D145" s="87" t="str">
        <x:v>Yes</x:v>
      </x:c>
      <x:c r="E145" s="87" t="str">
        <x:v>astrazeneca</x:v>
      </x:c>
      <x:c r="F145" s="87" t="str">
        <x:v>143</x:v>
      </x:c>
      <x:c r="G145" s="87" t="str">
        <x:v>053-475-369-681-478</x:v>
      </x:c>
      <x:c r="H145" s="110" t="n">
        <x:v>42724</x:v>
      </x:c>
      <x:c r="I145" s="88" t="n">
        <x:v>2016</x:v>
      </x:c>
      <x:c r="J145" s="87" t="str">
        <x:v>US</x:v>
      </x:c>
      <x:c r="K145" s="87" t="str">
        <x:v>A1</x:v>
      </x:c>
      <x:c r="L145" s="87" t="str">
        <x:v>US 2024/0124492 A1</x:v>
      </x:c>
      <x:c r="M145" s="87" t="str">
        <x:v>ASTRAZENECA AB</x:v>
      </x:c>
      <x:c r="N145" s="87" t="str">
        <x:v>ASTRAZENECA UK LIMITED (2017-12-20);;ASTRAZENECA AB (2020-01-29)</x:v>
      </x:c>
      <x:c r="O145" s="87" t="str">
        <x:v>Amino-triazolopyridine Compounds and Their Use in Treating Cancer</x:v>
      </x:c>
      <x:c r="P145" s="109" t="n">
        <x:v>0</x:v>
      </x:c>
      <x:c r="Q145" s="109" t="n">
        <x:v>59</x:v>
      </x:c>
      <x:c r="R145" s="87" t="str">
        <x:v>A61K31/502;;A61K31/522;;A61K45/06;;A61P35/00;;C07D473/18;;C07D519/00;;C07D519/00;;A61K31/522;;A61K45/06;;A61P35/00;;C07D473/18;;C07D519/00;;A61K31/502;;A61K31/522;;A61K45/06;;A61K2300/00;;A61P35/00;;C07D473/18;;C07D473/18;;A61K31/502;;A61K31/522;;A61K45/06;;A61K2300/00;;A61P35/00;;C07D519/00;;C07D519/00;;A61K31/502;;A61K31/522;;A61K45/06;;A61P35/00;;C07D473/18</x:v>
      </x:c>
      <x:c r="S145" s="87" t="str">
        <x:v>C07D519/00;;A61K31/502;;A61K31/522;;A61K45/06;;A61P35/00;;C07D473/18</x:v>
      </x:c>
      <x:c r="T145" s="87" t="str">
        <x:v>DISCONTINUED</x:v>
      </x:c>
      <x:c r="U145" s="87" t="str">
        <x:v>https://lens.org/053-475-369-681-478</x:v>
      </x:c>
    </x:row>
    <x:row r="146">
      <x:c r="A146" s="87" t="str">
        <x:v>AstraZeneca_Lens_RAW_2009_2024.csv.csv</x:v>
      </x:c>
      <x:c r="B146" s="87" t="str">
        <x:v>AstraZeneca</x:v>
      </x:c>
      <x:c r="C146" s="87"/>
      <x:c r="D146" s="87" t="str">
        <x:v>Yes</x:v>
      </x:c>
      <x:c r="E146" s="87" t="str">
        <x:v>astrazeneca</x:v>
      </x:c>
      <x:c r="F146" s="87" t="str">
        <x:v>144</x:v>
      </x:c>
      <x:c r="G146" s="87" t="str">
        <x:v>088-099-830-866-07X</x:v>
      </x:c>
      <x:c r="H146" s="110" t="n">
        <x:v>42788</x:v>
      </x:c>
      <x:c r="I146" s="88" t="n">
        <x:v>2017</x:v>
      </x:c>
      <x:c r="J146" s="87" t="str">
        <x:v>US</x:v>
      </x:c>
      <x:c r="K146" s="87" t="str">
        <x:v>A1</x:v>
      </x:c>
      <x:c r="L146" s="87" t="str">
        <x:v>US 2024/0115716 A1</x:v>
      </x:c>
      <x:c r="M146" s="87" t="str">
        <x:v>ASTRAZENECA AB</x:v>
      </x:c>
      <x:c r="N146" s="87" t="str">
        <x:v>STARPHARMA PTY LIMITED (2018-02-06);;ASTRAZENECA PHARMACEUTICALS LP (2017-12-07);;ASTRAZENECA UK LIMITED (2018-02-16);;ASTRAZENECA AB (2018-02-26)</x:v>
      </x:c>
      <x:c r="O146" s="87" t="str">
        <x:v>THERAPEUTIC DENDRIMERS</x:v>
      </x:c>
      <x:c r="P146" s="109" t="n">
        <x:v>0</x:v>
      </x:c>
      <x:c r="Q146" s="109" t="n">
        <x:v>38</x:v>
      </x:c>
      <x:c r="R146" s="87" t="str">
        <x:v>C07K7/02;;A61K31/451;;A61K47/60;;A61K47/641;;A61P35/00;;C08G69/10;;C08G69/40;;C08G83/003;;A61K38/00;;C08G69/10;;C08G69/40;;C08G83/003;;A61K47/60;;A61P35/00;;A61K31/451;;A61K47/641;;A61K47/60;;C08G69/10;;C08G69/40;;C08G83/003;;A61K31/451;;A61P35/00;;C08G83/003;;A61K47/60;;A61K47/641;;A61K31/451;;A61P35/00;;C08G69/10;;C08G69/40;;C08G69/10;;C08G69/40;;C08G83/003;;A61K47/60;;A61P35/00;;A61K47/641;;A61K31/451</x:v>
      </x:c>
      <x:c r="S146" s="87" t="str">
        <x:v>A61K47/64;;A61K31/451;;A61K47/60;;A61P35/00;;C08G69/10;;C08G69/40;;C08G83/00</x:v>
      </x:c>
      <x:c r="T146" s="87" t="str">
        <x:v>DISCONTINUED</x:v>
      </x:c>
      <x:c r="U146" s="87" t="str">
        <x:v>https://lens.org/088-099-830-866-07X</x:v>
      </x:c>
    </x:row>
    <x:row r="147">
      <x:c r="A147" s="87" t="str">
        <x:v>AstraZeneca_Lens_RAW_2009_2024.csv.csv</x:v>
      </x:c>
      <x:c r="B147" s="87" t="str">
        <x:v>AstraZeneca</x:v>
      </x:c>
      <x:c r="C147" s="87"/>
      <x:c r="D147" s="87" t="str">
        <x:v>Yes</x:v>
      </x:c>
      <x:c r="E147" s="87" t="str">
        <x:v>astrazeneca</x:v>
      </x:c>
      <x:c r="F147" s="87" t="str">
        <x:v>145</x:v>
      </x:c>
      <x:c r="G147" s="87" t="str">
        <x:v>087-832-513-637-348</x:v>
      </x:c>
      <x:c r="H147" s="110" t="n">
        <x:v>43334</x:v>
      </x:c>
      <x:c r="I147" s="88" t="n">
        <x:v>2018</x:v>
      </x:c>
      <x:c r="J147" s="87" t="str">
        <x:v>US</x:v>
      </x:c>
      <x:c r="K147" s="87" t="str">
        <x:v>B2</x:v>
      </x:c>
      <x:c r="L147" s="87" t="str">
        <x:v>US 11952392 B2</x:v>
      </x:c>
      <x:c r="M147" s="87" t="str">
        <x:v>ASTRAZENECA AB</x:v>
      </x:c>
      <x:c r="N147" s="87" t="str">
        <x:v>ASTRAZENECA PHARMACEUTICALS LP (2019-01-17);;ASTRAZENECA UK LIMITED (2019-01-17);;ASTRAZENECA AB (2019-01-18)</x:v>
      </x:c>
      <x:c r="O147" s="87" t="str">
        <x:v>Arginase inhibitors and methods of use thereof</x:v>
      </x:c>
      <x:c r="P147" s="109" t="n">
        <x:v>2</x:v>
      </x:c>
      <x:c r="Q147" s="109" t="n">
        <x:v>36</x:v>
      </x:c>
      <x:c r="R147" s="87" t="str">
        <x:v>A61K33/22;;A61K31/69;;A61P29/00;;A61P35/00;;C07F5/025;;C07F5/025;;A61K31/69;;A61K33/22;;A61P29/00;;A61P35/00;;C07B2200/13;;C07F5/025;;A61K31/69;;A61P35/00;;C07F5/025;;C07B2200/13</x:v>
      </x:c>
      <x:c r="S147" s="87" t="str">
        <x:v>C07F5/02</x:v>
      </x:c>
      <x:c r="T147" s="87" t="str">
        <x:v>ACTIVE</x:v>
      </x:c>
      <x:c r="U147" s="87" t="str">
        <x:v>https://lens.org/087-832-513-637-348</x:v>
      </x:c>
    </x:row>
    <x:row r="148">
      <x:c r="A148" s="87" t="str">
        <x:v>AstraZeneca_Lens_RAW_2009_2024.csv.csv</x:v>
      </x:c>
      <x:c r="B148" s="87" t="str">
        <x:v>AstraZeneca</x:v>
      </x:c>
      <x:c r="C148" s="87"/>
      <x:c r="D148" s="87" t="str">
        <x:v>Yes</x:v>
      </x:c>
      <x:c r="E148" s="87" t="str">
        <x:v>astrazeneca</x:v>
      </x:c>
      <x:c r="F148" s="87" t="str">
        <x:v>146</x:v>
      </x:c>
      <x:c r="G148" s="87" t="str">
        <x:v>105-531-661-947-067</x:v>
      </x:c>
      <x:c r="H148" s="110" t="n">
        <x:v>44222</x:v>
      </x:c>
      <x:c r="I148" s="88" t="n">
        <x:v>2021</x:v>
      </x:c>
      <x:c r="J148" s="87" t="str">
        <x:v>US</x:v>
      </x:c>
      <x:c r="K148" s="87" t="str">
        <x:v>A1</x:v>
      </x:c>
      <x:c r="L148" s="87" t="str">
        <x:v>US 2024/0105289 A1</x:v>
      </x:c>
      <x:c r="M148" s="87" t="str">
        <x:v>ASTRAZENECA AB</x:v>
      </x:c>
      <x:c r="N148" s="87" t="str">
        <x:v>ASTRAZENECA PHARMACEUTICALS LP (2021-10-25);;ASTRAZENECA AB (2021-08-09);;ASTRAZENECA UK LIMITED (2021-11-25)</x:v>
      </x:c>
      <x:c r="O148" s="87" t="str">
        <x:v>CLINICAL ENDPOINT ADJUDICATION SYSTEM AND METHOD</x:v>
      </x:c>
      <x:c r="P148" s="109" t="n">
        <x:v>12</x:v>
      </x:c>
      <x:c r="Q148" s="109" t="n">
        <x:v>7</x:v>
      </x:c>
      <x:c r="R148" s="87" t="str">
        <x:v>G16H10/20;;G16H50/70;;G16H15/00;;G16H10/60;;G16H50/20;;G16H50/70;;G16H50/20;;G16H10/20;;G06F40/40</x:v>
      </x:c>
      <x:c r="S148" s="87" t="str">
        <x:v>G16H10/20;;G06F40/40;;G16H50/20;;G16H50/70</x:v>
      </x:c>
      <x:c r="T148" s="87" t="str">
        <x:v>PENDING</x:v>
      </x:c>
      <x:c r="U148" s="87" t="str">
        <x:v>https://lens.org/105-531-661-947-067</x:v>
      </x:c>
    </x:row>
    <x:row r="149">
      <x:c r="A149" s="87" t="str">
        <x:v>AstraZeneca_Lens_RAW_2009_2024.csv.csv</x:v>
      </x:c>
      <x:c r="B149" s="87" t="str">
        <x:v>AstraZeneca</x:v>
      </x:c>
      <x:c r="C149" s="87"/>
      <x:c r="D149" s="87" t="str">
        <x:v>Yes</x:v>
      </x:c>
      <x:c r="E149" s="87" t="str">
        <x:v>astrazeneca</x:v>
      </x:c>
      <x:c r="F149" s="87" t="str">
        <x:v>147</x:v>
      </x:c>
      <x:c r="G149" s="87" t="str">
        <x:v>038-598-216-462-369</x:v>
      </x:c>
      <x:c r="H149" s="110" t="n">
        <x:v>44182</x:v>
      </x:c>
      <x:c r="I149" s="88" t="n">
        <x:v>2020</x:v>
      </x:c>
      <x:c r="J149" s="87" t="str">
        <x:v>US</x:v>
      </x:c>
      <x:c r="K149" s="87" t="str">
        <x:v>A1</x:v>
      </x:c>
      <x:c r="L149" s="87" t="str">
        <x:v>US 2024/0101549 A1</x:v>
      </x:c>
      <x:c r="M149" s="87" t="str">
        <x:v>ASTRAZENECA AB</x:v>
      </x:c>
      <x:c r="N149" s="87" t="str">
        <x:v>ASTRAZENECA AB (2023-08-31)</x:v>
      </x:c>
      <x:c r="O149" s="87" t="str">
        <x:v>N-(2-(4-CYANOTHIAZOLIDIN-3-YL)-2-OXOETHYL)-QUINOLINE-4-CARBOXAMIDES</x:v>
      </x:c>
      <x:c r="P149" s="109" t="n">
        <x:v>0</x:v>
      </x:c>
      <x:c r="Q149" s="109" t="n">
        <x:v>30</x:v>
      </x:c>
      <x:c r="R149" s="87" t="str">
        <x:v>C07D417/14;;C07D417/12;;C07D491/10;;C07D498/08;;C07D498/10;;C07D487/04;;C07D487/10;;C07D495/10;;A61P1/16;;C07D417/14;;C07D417/12;;C07D495/10;;C07D498/08;;C07D487/10;;C07D491/10;;C07D498/10;;C07D487/04;;A61P1/16;;C07D417/14;;A61K31/5355;;A61K31/4709;;A61K31/541;;A61K31/5377;;A61P1/16;;C07D417/12;;C07D491/107;;C07D471/04;;C07D491/113;;C07D487/04;;C07D498/10;;C07D498/08;;A61P1/16;;C07D417/12;;C07D417/14;;C07D487/04;;C07D487/10;;C07D491/107;;C07D491/113;;C07D493/10;;C07D495/10;;C07D498/08</x:v>
      </x:c>
      <x:c r="S149" s="87" t="str">
        <x:v>C07D417/14;;A61P1/16;;C07D487/04;;C07D487/10;;C07D491/107;;C07D491/113;;C07D493/10;;C07D495/10;;C07D498/08</x:v>
      </x:c>
      <x:c r="T149" s="87" t="str">
        <x:v>PENDING</x:v>
      </x:c>
      <x:c r="U149" s="87" t="str">
        <x:v>https://lens.org/038-598-216-462-369</x:v>
      </x:c>
    </x:row>
    <x:row r="150">
      <x:c r="A150" s="87" t="str">
        <x:v>AstraZeneca_Lens_RAW_2009_2024.csv.csv</x:v>
      </x:c>
      <x:c r="B150" s="87" t="str">
        <x:v>AstraZeneca</x:v>
      </x:c>
      <x:c r="C150" s="87"/>
      <x:c r="D150" s="87" t="str">
        <x:v>Yes</x:v>
      </x:c>
      <x:c r="E150" s="87" t="str">
        <x:v>astrazeneca</x:v>
      </x:c>
      <x:c r="F150" s="87" t="str">
        <x:v>148</x:v>
      </x:c>
      <x:c r="G150" s="87" t="str">
        <x:v>192-613-530-378-84X</x:v>
      </x:c>
      <x:c r="H150" s="110" t="n">
        <x:v>44797</x:v>
      </x:c>
      <x:c r="I150" s="88" t="n">
        <x:v>2022</x:v>
      </x:c>
      <x:c r="J150" s="87" t="str">
        <x:v>US</x:v>
      </x:c>
      <x:c r="K150" s="87" t="str">
        <x:v>A1</x:v>
      </x:c>
      <x:c r="L150" s="87" t="str">
        <x:v>US 2024/0092787 A1</x:v>
      </x:c>
      <x:c r="M150" s="87" t="str">
        <x:v>ASTRAZENECA AB</x:v>
      </x:c>
      <x:c r="N150" s="87" t="str">
        <x:v>ASTRAZENECA UK LIMITED (2023-10-12);;ASTRAZENECA AB (2023-10-18)</x:v>
      </x:c>
      <x:c r="O150" s="87" t="str">
        <x:v>PHARMACEUTICAL PROCESS AND INTERMEDIATES</x:v>
      </x:c>
      <x:c r="P150" s="109" t="n">
        <x:v>0</x:v>
      </x:c>
      <x:c r="Q150" s="109" t="n">
        <x:v>7</x:v>
      </x:c>
      <x:c r="R150" s="87" t="str">
        <x:v>C07D487/04;;C07D207/34;;B01J31/2226;;B01J31/2409;;B01J2231/4277;;B01J2531/004;;B01J2531/824;;C07B2200/13;;C07D207/34;;C07D487/04</x:v>
      </x:c>
      <x:c r="S150" s="87" t="str">
        <x:v>C07D487/04;;B01J31/22;;B01J31/24;;C07D207/34</x:v>
      </x:c>
      <x:c r="T150" s="87" t="str">
        <x:v>PENDING</x:v>
      </x:c>
      <x:c r="U150" s="87" t="str">
        <x:v>https://lens.org/192-613-530-378-84X</x:v>
      </x:c>
    </x:row>
    <x:row r="151">
      <x:c r="A151" s="87" t="str">
        <x:v>AstraZeneca_Lens_RAW_2009_2024.csv.csv</x:v>
      </x:c>
      <x:c r="B151" s="87" t="str">
        <x:v>AstraZeneca</x:v>
      </x:c>
      <x:c r="C151" s="87"/>
      <x:c r="D151" s="87" t="str">
        <x:v>Yes</x:v>
      </x:c>
      <x:c r="E151" s="87" t="str">
        <x:v>astrazeneca</x:v>
      </x:c>
      <x:c r="F151" s="87" t="str">
        <x:v>149</x:v>
      </x:c>
      <x:c r="G151" s="87" t="str">
        <x:v>008-333-062-039-653</x:v>
      </x:c>
      <x:c r="H151" s="110" t="n">
        <x:v>44804</x:v>
      </x:c>
      <x:c r="I151" s="88" t="n">
        <x:v>2022</x:v>
      </x:c>
      <x:c r="J151" s="87" t="str">
        <x:v>US</x:v>
      </x:c>
      <x:c r="K151" s="87" t="str">
        <x:v>A1</x:v>
      </x:c>
      <x:c r="L151" s="87" t="str">
        <x:v>US 2024/0091231 A1</x:v>
      </x:c>
      <x:c r="M151" s="87" t="str">
        <x:v>ASTRAZENECA AB</x:v>
      </x:c>
      <x:c r="N151" s="87" t="str">
        <x:v>ASTRAZENECA AB (2023-07-05);;ASTRAZENECA INVESTMENT (CHINA) CO. LTD (2022-09-22)</x:v>
      </x:c>
      <x:c r="O151" s="87" t="str">
        <x:v>PHARMACEUTICAL FORMULATIONS</x:v>
      </x:c>
      <x:c r="P151" s="109" t="n">
        <x:v>1</x:v>
      </x:c>
      <x:c r="Q151" s="109" t="n">
        <x:v>13</x:v>
      </x:c>
      <x:c r="R151" s="87" t="str">
        <x:v>A61K9/2054;;A61K9/2018;;A61K9/2027;;A61K9/2866;;A61K31/519;;A61P9/00;;A61K31/519;;A61P9/00;;A61K9/2018;;A61K9/2009;;A61K9/2866;;A61K9/2054;;A61K9/2013;;A61K9/282;;A61K9/2027;;A61K9/2826;;A61K9/2054;;A61K9/2018;;A61K9/2027;;A61K9/2866;;A61K9/2009;;A61K9/2013;;A61K9/2826;;A61K31/519;;A61P9/00;;A61K9/2009;;A61K9/2013;;A61K9/2018;;A61K9/2054;;A61K9/2826;;A61K9/2866;;A61K31/519;;A61K9/284;;A61P9/04;;A61P1/16;;A61P11/00;;A61P9/00</x:v>
      </x:c>
      <x:c r="S151" s="87" t="str">
        <x:v>A61K31/519;;A61K9/20;;A61K9/28</x:v>
      </x:c>
      <x:c r="T151" s="87" t="str">
        <x:v>PENDING</x:v>
      </x:c>
      <x:c r="U151" s="87" t="str">
        <x:v>https://lens.org/008-333-062-039-653</x:v>
      </x:c>
    </x:row>
    <x:row r="152">
      <x:c r="A152" s="87" t="str">
        <x:v>AstraZeneca_Lens_RAW_2009_2024.csv.csv</x:v>
      </x:c>
      <x:c r="B152" s="87" t="str">
        <x:v>AstraZeneca</x:v>
      </x:c>
      <x:c r="C152" s="87"/>
      <x:c r="D152" s="87" t="str">
        <x:v>Yes</x:v>
      </x:c>
      <x:c r="E152" s="87" t="str">
        <x:v>astrazeneca</x:v>
      </x:c>
      <x:c r="F152" s="87" t="str">
        <x:v>150</x:v>
      </x:c>
      <x:c r="G152" s="87" t="str">
        <x:v>170-836-000-878-353</x:v>
      </x:c>
      <x:c r="H152" s="110" t="n">
        <x:v>44053</x:v>
      </x:c>
      <x:c r="I152" s="88" t="n">
        <x:v>2020</x:v>
      </x:c>
      <x:c r="J152" s="87" t="str">
        <x:v>US</x:v>
      </x:c>
      <x:c r="K152" s="87" t="str">
        <x:v>A1</x:v>
      </x:c>
      <x:c r="L152" s="87" t="str">
        <x:v>US 2024/0092875 A1</x:v>
      </x:c>
      <x:c r="M152" s="87" t="str">
        <x:v>ASTRAZENECA UK LTD</x:v>
      </x:c>
      <x:c r="N152" s="87" t="str">
        <x:v>ASTRAZENECA PHARMACEUTICALS LP (2021-02-19);;ASTRAZENECA UK LIMITED (2021-02-23);;MEDIMMUNE LLC (2021-02-15)</x:v>
      </x:c>
      <x:c r="O152" s="87" t="str">
        <x:v>SARS-COV-2 ANTIBODIES FOR TREATMENT AND PREVENTION OF COVID-19</x:v>
      </x:c>
      <x:c r="P152" s="109" t="n">
        <x:v>1</x:v>
      </x:c>
      <x:c r="Q152" s="109" t="n">
        <x:v>12</x:v>
      </x:c>
      <x:c r="R152" s="87" t="str">
        <x:v>A61P31/14;;A61K2039/54;;A61K2039/545;;A61K2039/57;;C07K2317/76;;C07K16/104;;C07K16/10;;A61K2039/54;;C07K2317/24;;C07K2317/565;;A61K2039/545;;A61K2039/57;;A61P31/14;;C07K2317/76;;A61K9/0019;;A61K2039/507;;C07K2317/52;;C07K2317/21;;A61K9/0019;;A61P31/14;;A61K2039/507;;A61K2039/54;;A61K2039/545;;C07K2317/21;;C07K2317/24;;C07K2317/52;;C07K2317/565;;C07K2317/76;;C07K16/104;;A61P31/14;;A61K9/0019;;A61K2039/507;;A61K2039/54;;A61K2039/545;;C07K2317/21;;C07K2317/24;;C07K2317/52;;C07K2317/565;;C07K2317/76;;C07K16/104</x:v>
      </x:c>
      <x:c r="S152" s="87" t="str">
        <x:v>C07K16/10;;A61K9/00;;A61P31/14</x:v>
      </x:c>
      <x:c r="T152" s="87" t="str">
        <x:v>DISCONTINUED</x:v>
      </x:c>
      <x:c r="U152" s="87" t="str">
        <x:v>https://lens.org/170-836-000-878-353</x:v>
      </x:c>
    </x:row>
    <x:row r="153">
      <x:c r="A153" s="87" t="str">
        <x:v>AstraZeneca_Lens_RAW_2009_2024.csv.csv</x:v>
      </x:c>
      <x:c r="B153" s="87" t="str">
        <x:v>AstraZeneca</x:v>
      </x:c>
      <x:c r="C153" s="87"/>
      <x:c r="D153" s="87" t="str">
        <x:v>Yes</x:v>
      </x:c>
      <x:c r="E153" s="87" t="str">
        <x:v>astrazeneca</x:v>
      </x:c>
      <x:c r="F153" s="87" t="str">
        <x:v>151</x:v>
      </x:c>
      <x:c r="G153" s="87" t="str">
        <x:v>005-358-721-815-41X</x:v>
      </x:c>
      <x:c r="H153" s="110" t="n">
        <x:v>43300</x:v>
      </x:c>
      <x:c r="I153" s="88" t="n">
        <x:v>2018</x:v>
      </x:c>
      <x:c r="J153" s="87" t="str">
        <x:v>US</x:v>
      </x:c>
      <x:c r="K153" s="87" t="str">
        <x:v>A1</x:v>
      </x:c>
      <x:c r="L153" s="87" t="str">
        <x:v>US 2024/0082278 A1</x:v>
      </x:c>
      <x:c r="M153" s="87" t="str">
        <x:v>ASTRAZENECA AB</x:v>
      </x:c>
      <x:c r="N153" s="87" t="str">
        <x:v>ASTRAZENECA AB (2018-08-16)</x:v>
      </x:c>
      <x:c r="O153" s="87" t="str">
        <x:v>METHODS OF TREATING HEART FAILURE WITH PRESERVED EJECTION FRACTION EMPLOYING DAPAGLIFLOZIN AND COMPOSITIONS COMPRISING THE SAME</x:v>
      </x:c>
      <x:c r="P153" s="109" t="n">
        <x:v>0</x:v>
      </x:c>
      <x:c r="Q153" s="109" t="n">
        <x:v>40</x:v>
      </x:c>
      <x:c r="R153" s="87" t="str">
        <x:v>A61K31/70;;A61K31/70;;A61K45/06;;A61K2300/00;;A61K31/7034;;A61K31/155;;A61K31/403;;A61K9/20;;A61K45/06;;A61P9/04;;A61K2300/00;;A61K31/70;;A61K45/06</x:v>
      </x:c>
      <x:c r="S153" s="87" t="str">
        <x:v>A61K31/70</x:v>
      </x:c>
      <x:c r="T153" s="87" t="str">
        <x:v>ACTIVE</x:v>
      </x:c>
      <x:c r="U153" s="87" t="str">
        <x:v>https://lens.org/005-358-721-815-41X</x:v>
      </x:c>
    </x:row>
    <x:row r="154">
      <x:c r="A154" s="87" t="str">
        <x:v>AstraZeneca_Lens_RAW_2009_2024.csv.csv</x:v>
      </x:c>
      <x:c r="B154" s="87" t="str">
        <x:v>AstraZeneca</x:v>
      </x:c>
      <x:c r="C154" s="87"/>
      <x:c r="D154" s="87" t="str">
        <x:v>Yes</x:v>
      </x:c>
      <x:c r="E154" s="87" t="str">
        <x:v>astrazeneca</x:v>
      </x:c>
      <x:c r="F154" s="87" t="str">
        <x:v>152</x:v>
      </x:c>
      <x:c r="G154" s="87" t="str">
        <x:v>164-603-385-033-911</x:v>
      </x:c>
      <x:c r="H154" s="110" t="n">
        <x:v>44208</x:v>
      </x:c>
      <x:c r="I154" s="88" t="n">
        <x:v>2021</x:v>
      </x:c>
      <x:c r="J154" s="87" t="str">
        <x:v>US</x:v>
      </x:c>
      <x:c r="K154" s="87" t="str">
        <x:v>A1</x:v>
      </x:c>
      <x:c r="L154" s="87" t="str">
        <x:v>US 2024/0070940 A1</x:v>
      </x:c>
      <x:c r="M154" s="87" t="str">
        <x:v>ASTRAZENECA AB</x:v>
      </x:c>
      <x:c r="N154" s="87" t="str">
        <x:v>ASTRAZENECA PHARMACEUTICALS LP (2021-09-21);;ASTRAZENECA UK LIMITED (2021-09-22);;ASTRAZENECA AB (2021-08-23);;MEDIMMUNE LLC (2021-08-20)</x:v>
      </x:c>
      <x:c r="O154" s="87" t="str">
        <x:v>GRAPH CONSTRUCTION AND VISUALIZATION OF MULTIPLEX IMMUNOFLUORESCENCE IMAGES</x:v>
      </x:c>
      <x:c r="P154" s="109" t="n">
        <x:v>1</x:v>
      </x:c>
      <x:c r="Q154" s="109" t="n">
        <x:v>6</x:v>
      </x:c>
      <x:c r="R154" s="87" t="str">
        <x:v>G06V20/69;;G06V10/82;;G06F18/29;;G06T7/62;;G16H50/20;;G06V20/695;;G06F3/04817;;G06T2207/10064;;G06T11/23</x:v>
      </x:c>
      <x:c r="S154" s="87" t="str">
        <x:v>G06T11/20;;G06F3/04817;;G06T7/62;;G06V20/69;;G16H50/20</x:v>
      </x:c>
      <x:c r="T154" s="87" t="str">
        <x:v>ACTIVE</x:v>
      </x:c>
      <x:c r="U154" s="87" t="str">
        <x:v>https://lens.org/164-603-385-033-911</x:v>
      </x:c>
    </x:row>
    <x:row r="155">
      <x:c r="A155" s="87" t="str">
        <x:v>AstraZeneca_Lens_RAW_2009_2024.csv.csv</x:v>
      </x:c>
      <x:c r="B155" s="87" t="str">
        <x:v>AstraZeneca</x:v>
      </x:c>
      <x:c r="C155" s="87"/>
      <x:c r="D155" s="87" t="str">
        <x:v>Yes</x:v>
      </x:c>
      <x:c r="E155" s="87" t="str">
        <x:v>astrazeneca</x:v>
      </x:c>
      <x:c r="F155" s="87" t="str">
        <x:v>153</x:v>
      </x:c>
      <x:c r="G155" s="87" t="str">
        <x:v>044-311-188-273-275</x:v>
      </x:c>
      <x:c r="H155" s="110" t="n">
        <x:v>44785</x:v>
      </x:c>
      <x:c r="I155" s="88" t="n">
        <x:v>2022</x:v>
      </x:c>
      <x:c r="J155" s="87" t="str">
        <x:v>US</x:v>
      </x:c>
      <x:c r="K155" s="87" t="str">
        <x:v>A1</x:v>
      </x:c>
      <x:c r="L155" s="87" t="str">
        <x:v>US 2024/0058331 A1</x:v>
      </x:c>
      <x:c r="M155" s="87" t="str">
        <x:v>ASTRAZENECA AB</x:v>
      </x:c>
      <x:c r="N155" s="87" t="str">
        <x:v>ASTRAZENECA AB (2023-01-19)</x:v>
      </x:c>
      <x:c r="O155" s="87" t="str">
        <x:v>COMBINATION THERAPIES FOR TREATMENT OF CIRRHOSIS WITH PORTAL HYPERTENSION</x:v>
      </x:c>
      <x:c r="P155" s="109" t="n">
        <x:v>0</x:v>
      </x:c>
      <x:c r="Q155" s="109" t="n">
        <x:v>15</x:v>
      </x:c>
      <x:c r="R155" s="87" t="str">
        <x:v>A61K31/497;;A61K31/70;;A61P1/16;;A61K31/497;;A61K2300/00;;A61K31/351;;A61P1/16;;A61K31/70;;A61K31/497;;A61K31/351;;A61P1/16;;A61K2300/00;;A61P1/16;;A61K31/351;;A61K31/497</x:v>
      </x:c>
      <x:c r="S155" s="87" t="str">
        <x:v>A61K31/497;;A61K9/00;;A61K31/7034;;A61P1/16</x:v>
      </x:c>
      <x:c r="T155" s="87" t="str">
        <x:v>PENDING</x:v>
      </x:c>
      <x:c r="U155" s="87" t="str">
        <x:v>https://lens.org/044-311-188-273-275</x:v>
      </x:c>
    </x:row>
    <x:row r="156">
      <x:c r="A156" s="87" t="str">
        <x:v>AstraZeneca_Lens_RAW_2009_2024.csv.csv</x:v>
      </x:c>
      <x:c r="B156" s="87" t="str">
        <x:v>AstraZeneca</x:v>
      </x:c>
      <x:c r="C156" s="87"/>
      <x:c r="D156" s="87" t="str">
        <x:v>Yes</x:v>
      </x:c>
      <x:c r="E156" s="87" t="str">
        <x:v>astrazeneca</x:v>
      </x:c>
      <x:c r="F156" s="87" t="str">
        <x:v>154</x:v>
      </x:c>
      <x:c r="G156" s="87" t="str">
        <x:v>199-508-166-080-165</x:v>
      </x:c>
      <x:c r="H156" s="110" t="n">
        <x:v>42580</x:v>
      </x:c>
      <x:c r="I156" s="88" t="n">
        <x:v>2016</x:v>
      </x:c>
      <x:c r="J156" s="87" t="str">
        <x:v>US</x:v>
      </x:c>
      <x:c r="K156" s="87" t="str">
        <x:v>A1</x:v>
      </x:c>
      <x:c r="L156" s="87" t="str">
        <x:v>US 2024/0041896 A1</x:v>
      </x:c>
      <x:c r="M156" s="87" t="str">
        <x:v>ASTRAZENECA AB;;INSMED INC</x:v>
      </x:c>
      <x:c r="N156" s="87" t="str">
        <x:v>ASTRAZENECA AB (2017-11-11);;ASTRAZENECA UK LIMITED (2018-02-12);;INSMED INCORPORATED (2020-05-05)</x:v>
      </x:c>
      <x:c r="O156" s="87" t="str">
        <x:v>CERTAIN (2S)-N-[(1S)-1-CYANO-2-PHENYLETHYL]-1,4-OXAZEPANE-2-CARBOXAMIDES FOR TREATING BRONCHIECTASIS</x:v>
      </x:c>
      <x:c r="P156" s="109" t="n">
        <x:v>3</x:v>
      </x:c>
      <x:c r="Q156" s="109" t="n">
        <x:v>17</x:v>
      </x:c>
      <x:c r="R156" s="87" t="str">
        <x:v>A61K31/553;;A61K9/0053;;A61P11/00;;A61P31/04;;A61K31/553;;A61P11/08;;A61K31/553;;A61K9/0053</x:v>
      </x:c>
      <x:c r="S156" s="87" t="str">
        <x:v>A61K31/553;;A61K9/00</x:v>
      </x:c>
      <x:c r="T156" s="87" t="str">
        <x:v>DISCONTINUED</x:v>
      </x:c>
      <x:c r="U156" s="87" t="str">
        <x:v>https://lens.org/199-508-166-080-165</x:v>
      </x:c>
    </x:row>
    <x:row r="157">
      <x:c r="A157" s="87" t="str">
        <x:v>AstraZeneca_Lens_RAW_2009_2024.csv.csv</x:v>
      </x:c>
      <x:c r="B157" s="87" t="str">
        <x:v>AstraZeneca</x:v>
      </x:c>
      <x:c r="C157" s="87"/>
      <x:c r="D157" s="87" t="str">
        <x:v>Yes</x:v>
      </x:c>
      <x:c r="E157" s="87" t="str">
        <x:v>astrazeneca</x:v>
      </x:c>
      <x:c r="F157" s="87" t="str">
        <x:v>155</x:v>
      </x:c>
      <x:c r="G157" s="87" t="str">
        <x:v>063-265-557-724-284</x:v>
      </x:c>
      <x:c r="H157" s="110" t="n">
        <x:v>44236</x:v>
      </x:c>
      <x:c r="I157" s="88" t="n">
        <x:v>2021</x:v>
      </x:c>
      <x:c r="J157" s="87" t="str">
        <x:v>US</x:v>
      </x:c>
      <x:c r="K157" s="87" t="str">
        <x:v>A1</x:v>
      </x:c>
      <x:c r="L157" s="87" t="str">
        <x:v>US 2024/0044901 A1</x:v>
      </x:c>
      <x:c r="M157" s="87" t="str">
        <x:v>INST NAT SANTE RECH MED;;UNIV SORBONNE;;ASTRAZENECA AB</x:v>
      </x:c>
      <x:c r="N157" s="87" t="str">
        <x:v>INSTITUT NATIONAL DE LA SANTE ET DE LA RECHERCHE MEDICALE (2023-08-31);;ASTRAZENECA AB (2023-08-31);;SORBONNE UNIVERSITE (2023-08-31)</x:v>
      </x:c>
      <x:c r="O157" s="87" t="str">
        <x:v>NEW METHOD TO PRONOSTIC LUNG CANCER</x:v>
      </x:c>
      <x:c r="P157" s="109" t="n">
        <x:v>1</x:v>
      </x:c>
      <x:c r="Q157" s="109" t="n">
        <x:v>3</x:v>
      </x:c>
      <x:c r="R157" s="87" t="str">
        <x:v>G01N33/5752;;G01N33/5758;;G01N33/5752</x:v>
      </x:c>
      <x:c r="S157" s="87" t="str">
        <x:v>G01N33/574</x:v>
      </x:c>
      <x:c r="T157" s="87" t="str">
        <x:v>PENDING</x:v>
      </x:c>
      <x:c r="U157" s="87" t="str">
        <x:v>https://lens.org/063-265-557-724-284</x:v>
      </x:c>
    </x:row>
    <x:row r="158">
      <x:c r="A158" s="87" t="str">
        <x:v>AstraZeneca_Lens_RAW_2009_2024.csv.csv</x:v>
      </x:c>
      <x:c r="B158" s="87" t="str">
        <x:v>AstraZeneca</x:v>
      </x:c>
      <x:c r="C158" s="87"/>
      <x:c r="D158" s="87" t="str">
        <x:v>Yes</x:v>
      </x:c>
      <x:c r="E158" s="87" t="str">
        <x:v>astrazeneca</x:v>
      </x:c>
      <x:c r="F158" s="87" t="str">
        <x:v>156</x:v>
      </x:c>
      <x:c r="G158" s="87" t="str">
        <x:v>196-478-393-321-906</x:v>
      </x:c>
      <x:c r="H158" s="110" t="n">
        <x:v>44175</x:v>
      </x:c>
      <x:c r="I158" s="88" t="n">
        <x:v>2020</x:v>
      </x:c>
      <x:c r="J158" s="87" t="str">
        <x:v>US</x:v>
      </x:c>
      <x:c r="K158" s="87" t="str">
        <x:v>A1</x:v>
      </x:c>
      <x:c r="L158" s="87" t="str">
        <x:v>US 2024/0035003 A1</x:v>
      </x:c>
      <x:c r="M158" s="87" t="str">
        <x:v>ASTRAZENECA UK LTD</x:v>
      </x:c>
      <x:c r="N158" s="87" t="str">
        <x:v>ASTRAZENECA UK LIMITED (2022-03-08);;MEDIMMUNE LLC (2022-02-14)</x:v>
      </x:c>
      <x:c r="O158" s="87" t="str">
        <x:v>METHODS OF PRODUCING ADENOVIRUS</x:v>
      </x:c>
      <x:c r="P158" s="109" t="n">
        <x:v>0</x:v>
      </x:c>
      <x:c r="Q158" s="109" t="n">
        <x:v>15</x:v>
      </x:c>
      <x:c r="R158" s="87" t="str">
        <x:v>C12N2710/10351;;C12N15/86;;A61K39/12;;C12N2770/20034;;A61P31/14;;C12N2710/10343;;A61K35/761;;C12N7/00;;A61P31/14;;C12N2710/10051;;C12N2710/10343;;C12N2710/10351;;A61K39/12;;A61K39/235;;C12N15/86;;C12N2770/20034;;C12N2710/10034;;C12N7/00;;A61K39/235;;A61K35/761;;A61P31/14;;C12N2710/10351;;C12N2710/10343;;C12N2710/10034;;C12N2710/10051;;C12N2770/20034;;A61K35/761;;A61K39/235;;C12N7/00;;C12N2710/10034;;C12N2710/10051;;A61K39/215;;A61K2039/5254;;A61K2039/5256;;C12N7/02;;C12N15/86;;C12N2710/10351;;C12N2770/20034</x:v>
      </x:c>
      <x:c r="S158" s="87" t="str">
        <x:v>C12N7/02;;A61K39/215;;C12N15/86</x:v>
      </x:c>
      <x:c r="T158" s="87" t="str">
        <x:v>PENDING</x:v>
      </x:c>
      <x:c r="U158" s="87" t="str">
        <x:v>https://lens.org/196-478-393-321-906</x:v>
      </x:c>
    </x:row>
    <x:row r="159">
      <x:c r="A159" s="87" t="str">
        <x:v>AstraZeneca_Lens_RAW_2009_2024.csv.csv</x:v>
      </x:c>
      <x:c r="B159" s="87" t="str">
        <x:v>AstraZeneca</x:v>
      </x:c>
      <x:c r="C159" s="87"/>
      <x:c r="D159" s="87" t="str">
        <x:v>Yes</x:v>
      </x:c>
      <x:c r="E159" s="87" t="str">
        <x:v>astrazeneca</x:v>
      </x:c>
      <x:c r="F159" s="87" t="str">
        <x:v>157</x:v>
      </x:c>
      <x:c r="G159" s="87" t="str">
        <x:v>061-075-118-383-561</x:v>
      </x:c>
      <x:c r="H159" s="110" t="n">
        <x:v>43755</x:v>
      </x:c>
      <x:c r="I159" s="88" t="n">
        <x:v>2019</x:v>
      </x:c>
      <x:c r="J159" s="87" t="str">
        <x:v>US</x:v>
      </x:c>
      <x:c r="K159" s="87" t="str">
        <x:v>B2</x:v>
      </x:c>
      <x:c r="L159" s="87" t="str">
        <x:v>US 11883582 B2</x:v>
      </x:c>
      <x:c r="M159" s="87" t="str">
        <x:v>ASTRAZENECA AB</x:v>
      </x:c>
      <x:c r="N159" s="87" t="str">
        <x:v>ASTRAZENECA AB (2020-05-28)</x:v>
      </x:c>
      <x:c r="O159" s="87" t="str">
        <x:v>Inhaler</x:v>
      </x:c>
      <x:c r="P159" s="109" t="n">
        <x:v>0</x:v>
      </x:c>
      <x:c r="Q159" s="109" t="n">
        <x:v>14</x:v>
      </x:c>
      <x:c r="R159" s="87" t="str">
        <x:v>A61M15/0026;;A61M15/007;;A61M15/0081;;A61M15/009;;A61M15/0091;;A61M15/009;;A61M15/0026;;A61M15/007;;A61M15/0081;;A61M15/0091;;A61M15/009;;A61M15/0026;;A61M15/007;;A61M15/0081;;A61M15/0091;;A61M15/0081;;A61M15/0026;;A61M15/007;;A61M15/009;;A61M15/0091;;A61M15/007;;A61M15/0026;;A61M15/0081;;A61M15/009;;A61M15/0091</x:v>
      </x:c>
      <x:c r="S159" s="87" t="str">
        <x:v>A61M15/00</x:v>
      </x:c>
      <x:c r="T159" s="87" t="str">
        <x:v>ACTIVE</x:v>
      </x:c>
      <x:c r="U159" s="87" t="str">
        <x:v>https://lens.org/061-075-118-383-561</x:v>
      </x:c>
    </x:row>
    <x:row r="160">
      <x:c r="A160" s="87" t="str">
        <x:v>AstraZeneca_Lens_RAW_2009_2024.csv.csv</x:v>
      </x:c>
      <x:c r="B160" s="87" t="str">
        <x:v>AstraZeneca</x:v>
      </x:c>
      <x:c r="C160" s="87"/>
      <x:c r="D160" s="87" t="str">
        <x:v>Yes</x:v>
      </x:c>
      <x:c r="E160" s="87" t="str">
        <x:v>astrazeneca</x:v>
      </x:c>
      <x:c r="F160" s="87" t="str">
        <x:v>158</x:v>
      </x:c>
      <x:c r="G160" s="87" t="str">
        <x:v>000-216-001-321-459</x:v>
      </x:c>
      <x:c r="H160" s="110" t="n">
        <x:v>44112</x:v>
      </x:c>
      <x:c r="I160" s="88" t="n">
        <x:v>2020</x:v>
      </x:c>
      <x:c r="J160" s="87" t="str">
        <x:v>US</x:v>
      </x:c>
      <x:c r="K160" s="87" t="str">
        <x:v>A1</x:v>
      </x:c>
      <x:c r="L160" s="87" t="str">
        <x:v>US 2024/0026015 A1</x:v>
      </x:c>
      <x:c r="M160" s="87" t="str">
        <x:v>ASTRAZENECA AB</x:v>
      </x:c>
      <x:c r="N160" s="87" t="str">
        <x:v>NORTHWELL HEALTH INC (2022-11-19);;ASTRAZENECA PHARMACEUTICALS LP (2022-11-22);;ASTRAZENECA AB (2021-09-15);;ASTRAZENECA UK LIMITED (2021-12-21);;THE TRUSTEES OF COLUMBIA UNIVERSITY IN THE CITY OF NEW YORK (2022-03-24);;MEDIMMUNE LLC (2022-01-04)</x:v>
      </x:c>
      <x:c r="O160" s="87" t="str">
        <x:v>TREATMENT OF FLARES IN LUPUS</x:v>
      </x:c>
      <x:c r="P160" s="109" t="n">
        <x:v>0</x:v>
      </x:c>
      <x:c r="Q160" s="109" t="n">
        <x:v>12</x:v>
      </x:c>
      <x:c r="R160" s="87" t="str">
        <x:v>A61P37/00;;C07K16/2866;;A61P37/00;;C07K16/2866;;C07K16/2866;;A61K9/0019;;A61K2039/505;;A61M5/28;;A61P13/12;;A61P19/02;;A61P37/00;;C07K16/2866;;A61K9/0019;;A61P13/12;;A61P19/02;;A61P37/06</x:v>
      </x:c>
      <x:c r="S160" s="87" t="str">
        <x:v>C07K16/28;;A61K9/00;;A61P13/12;;A61P19/02;;A61P37/06</x:v>
      </x:c>
      <x:c r="T160" s="87" t="str">
        <x:v>PENDING</x:v>
      </x:c>
      <x:c r="U160" s="87" t="str">
        <x:v>https://lens.org/000-216-001-321-459</x:v>
      </x:c>
    </x:row>
    <x:row r="161">
      <x:c r="A161" s="87" t="str">
        <x:v>AstraZeneca_Lens_RAW_2009_2024.csv.csv</x:v>
      </x:c>
      <x:c r="B161" s="87" t="str">
        <x:v>AstraZeneca</x:v>
      </x:c>
      <x:c r="C161" s="87"/>
      <x:c r="D161" s="87" t="str">
        <x:v>Yes</x:v>
      </x:c>
      <x:c r="E161" s="87" t="str">
        <x:v>astrazeneca</x:v>
      </x:c>
      <x:c r="F161" s="87" t="str">
        <x:v>159</x:v>
      </x:c>
      <x:c r="G161" s="87" t="str">
        <x:v>173-847-078-942-936</x:v>
      </x:c>
      <x:c r="H161" s="110" t="n">
        <x:v>43265</x:v>
      </x:c>
      <x:c r="I161" s="88" t="n">
        <x:v>2018</x:v>
      </x:c>
      <x:c r="J161" s="87" t="str">
        <x:v>US</x:v>
      </x:c>
      <x:c r="K161" s="87" t="str">
        <x:v>A1</x:v>
      </x:c>
      <x:c r="L161" s="87" t="str">
        <x:v>US 2024/0029838 A1</x:v>
      </x:c>
      <x:c r="M161" s="87" t="str">
        <x:v>ASTRAZENECA UK LTD</x:v>
      </x:c>
      <x:c r="N161" s="87" t="str">
        <x:v>ASTRAZENECA UK LIMITED (2020-03-05)</x:v>
      </x:c>
      <x:c r="O161" s="87" t="str">
        <x:v>METHODS FOR TREATING AND PREVENTING SYMPTOMS OF ASTHMA WITH A CORTICOSTEROID PHARMACEUTICAL COMPOSITION</x:v>
      </x:c>
      <x:c r="P161" s="109" t="n">
        <x:v>0</x:v>
      </x:c>
      <x:c r="Q161" s="109" t="n">
        <x:v>10</x:v>
      </x:c>
      <x:c r="R161" s="87" t="str">
        <x:v>G16H10/20;;A61K31/573;;A61K31/58;;G16H20/10;;G16H50/20;;G16H10/20;;A61K31/573;;A61K31/58;;A61P11/06;;G06F16/9035;;G06F16/9038;;G06Q30/0637;;G16H70/40</x:v>
      </x:c>
      <x:c r="S161" s="87" t="str">
        <x:v>G16H10/20;;A61K31/573;;A61K31/58;;A61P11/06;;G06F16/9035;;G06F16/9038;;G06Q30/0601;;G16H70/40</x:v>
      </x:c>
      <x:c r="T161" s="87" t="str">
        <x:v>DISCONTINUED</x:v>
      </x:c>
      <x:c r="U161" s="87" t="str">
        <x:v>https://lens.org/173-847-078-942-936</x:v>
      </x:c>
    </x:row>
    <x:row r="162">
      <x:c r="A162" s="87" t="str">
        <x:v>AstraZeneca_Lens_RAW_2009_2024.csv.csv</x:v>
      </x:c>
      <x:c r="B162" s="87" t="str">
        <x:v>AstraZeneca</x:v>
      </x:c>
      <x:c r="C162" s="87"/>
      <x:c r="D162" s="87" t="str">
        <x:v>Yes</x:v>
      </x:c>
      <x:c r="E162" s="87" t="str">
        <x:v>astrazeneca</x:v>
      </x:c>
      <x:c r="F162" s="87" t="str">
        <x:v>160</x:v>
      </x:c>
      <x:c r="G162" s="87" t="str">
        <x:v>118-084-838-343-913</x:v>
      </x:c>
      <x:c r="H162" s="110" t="n">
        <x:v>44062</x:v>
      </x:c>
      <x:c r="I162" s="88" t="n">
        <x:v>2020</x:v>
      </x:c>
      <x:c r="J162" s="87" t="str">
        <x:v>US</x:v>
      </x:c>
      <x:c r="K162" s="87" t="str">
        <x:v>A1</x:v>
      </x:c>
      <x:c r="L162" s="87" t="str">
        <x:v>US 2024/0026318 A1</x:v>
      </x:c>
      <x:c r="M162" s="87" t="str">
        <x:v>ASTRAZENECA AB</x:v>
      </x:c>
      <x:c r="N162" s="87" t="str">
        <x:v>ASTRAZENECA AB (2020-11-29);;FUNDACIÓ INSTITUT DE RECERCA DE I'HOSPITAL DE LA SANTA CREU I SANT PAU (2021-06-18)</x:v>
      </x:c>
      <x:c r="O162" s="87" t="str">
        <x:v>COMBINATION TREATMENT</x:v>
      </x:c>
      <x:c r="P162" s="109" t="n">
        <x:v>0</x:v>
      </x:c>
      <x:c r="Q162" s="109" t="n">
        <x:v>13</x:v>
      </x:c>
      <x:c r="R162" s="87" t="str">
        <x:v>A61K38/46;;C12N9/14;;C12Y306/01005;;A61P9/00;;A61P9/10;;A61K45/06;;A61K31/4365;;A61K31/519;;A61K31/7076;;A61K31/616;;A61K38/46;;A61K31/519;;A61K31/4365;;A61K31/7064;;A61K45/06;;A61P9/10;;C12Y306/01005;;A61K2300/00;;A61P7/04;;A61K38/00;;C07K14/4703;;C12N9/16;;C12Y306/01005</x:v>
      </x:c>
      <x:c r="S162" s="87" t="str">
        <x:v>A61P7/04;;C12N9/16;;C07K14/47</x:v>
      </x:c>
      <x:c r="T162" s="87" t="str">
        <x:v>ACTIVE</x:v>
      </x:c>
      <x:c r="U162" s="87" t="str">
        <x:v>https://lens.org/118-084-838-343-913</x:v>
      </x:c>
    </x:row>
    <x:row r="163">
      <x:c r="A163" s="87" t="str">
        <x:v>AstraZeneca_Lens_RAW_2009_2024.csv.csv</x:v>
      </x:c>
      <x:c r="B163" s="87" t="str">
        <x:v>AstraZeneca</x:v>
      </x:c>
      <x:c r="C163" s="87"/>
      <x:c r="D163" s="87" t="str">
        <x:v>Yes</x:v>
      </x:c>
      <x:c r="E163" s="87" t="str">
        <x:v>astrazeneca</x:v>
      </x:c>
      <x:c r="F163" s="87" t="str">
        <x:v>161</x:v>
      </x:c>
      <x:c r="G163" s="87" t="str">
        <x:v>146-714-622-089-847</x:v>
      </x:c>
      <x:c r="H163" s="110" t="n">
        <x:v>43265</x:v>
      </x:c>
      <x:c r="I163" s="88" t="n">
        <x:v>2018</x:v>
      </x:c>
      <x:c r="J163" s="87" t="str">
        <x:v>US</x:v>
      </x:c>
      <x:c r="K163" s="87" t="str">
        <x:v>A1</x:v>
      </x:c>
      <x:c r="L163" s="87" t="str">
        <x:v>US 2024/0006084 A1</x:v>
      </x:c>
      <x:c r="M163" s="87" t="str">
        <x:v>ASTRAZENECA UK LTD</x:v>
      </x:c>
      <x:c r="N163" s="87" t="str">
        <x:v>ASTRAZENECA UK LIMITED (2020-03-05)</x:v>
      </x:c>
      <x:c r="O163" s="87" t="str">
        <x:v>METHODS FOR TREATMENT OF HYPERTENSION WITH AN ANGIOTENSIN II RECEPTOR BLOCKER PHARMACEUTICAL COMPOSITION</x:v>
      </x:c>
      <x:c r="P163" s="109" t="n">
        <x:v>0</x:v>
      </x:c>
      <x:c r="Q163" s="109" t="n">
        <x:v>13</x:v>
      </x:c>
      <x:c r="R163" s="87" t="str">
        <x:v>G16H50/20;;A61K31/41;;A61K31/4178;;A61K31/4184;;A61K31/4245;;A61P9/12;;G16H10/20;;G16H20/10;;G16H50/30;;G16H70/40;;G16H20/10;;A61K31/41;;A61K31/4178;;A61K31/4184;;A61K31/4245;;G16H10/20;;G16H50/20;;G16H70/40;;A61K31/4245;;G16H10/20;;G16H20/10;;G16H50/20;;G16H50/30</x:v>
      </x:c>
      <x:c r="S163" s="87" t="str">
        <x:v>G16H70/40;;A61K31/4245;;G16H10/20;;G16H20/10;;G16H50/20;;G16H50/30</x:v>
      </x:c>
      <x:c r="T163" s="87" t="str">
        <x:v>DISCONTINUED</x:v>
      </x:c>
      <x:c r="U163" s="87" t="str">
        <x:v>https://lens.org/146-714-622-089-847</x:v>
      </x:c>
    </x:row>
    <x:row r="164">
      <x:c r="A164" s="87" t="str">
        <x:v>AstraZeneca_Lens_RAW_2009_2024.csv.csv</x:v>
      </x:c>
      <x:c r="B164" s="87" t="str">
        <x:v>AstraZeneca</x:v>
      </x:c>
      <x:c r="C164" s="87"/>
      <x:c r="D164" s="87" t="str">
        <x:v>Yes</x:v>
      </x:c>
      <x:c r="E164" s="87" t="str">
        <x:v>astrazeneca</x:v>
      </x:c>
      <x:c r="F164" s="87" t="str">
        <x:v>162</x:v>
      </x:c>
      <x:c r="G164" s="87" t="str">
        <x:v>089-918-320-286-019</x:v>
      </x:c>
      <x:c r="H164" s="110" t="n">
        <x:v>43781</x:v>
      </x:c>
      <x:c r="I164" s="88" t="n">
        <x:v>2019</x:v>
      </x:c>
      <x:c r="J164" s="87" t="str">
        <x:v>US</x:v>
      </x:c>
      <x:c r="K164" s="87" t="str">
        <x:v>A1</x:v>
      </x:c>
      <x:c r="L164" s="87" t="str">
        <x:v>US 2024/0005501 A1</x:v>
      </x:c>
      <x:c r="M164" s="87" t="str">
        <x:v>ASTRAZENECA AB</x:v>
      </x:c>
      <x:c r="N164" s="87" t="str">
        <x:v>ASTRAZENECA UK LIMITED (2021-11-08);;ASTRAZENECA AB (2021-11-10)</x:v>
      </x:c>
      <x:c r="O164" s="87" t="str">
        <x:v>AUTOMATED ASSESSMENT OF WOUND TISSUE</x:v>
      </x:c>
      <x:c r="P164" s="109" t="n">
        <x:v>3</x:v>
      </x:c>
      <x:c r="Q164" s="109" t="n">
        <x:v>13</x:v>
      </x:c>
      <x:c r="R164" s="87" t="str">
        <x:v>A61L26/0066;;A61B5/0066;;A61B5/0073;;A61B5/445;;A61B5/7267;;A61K31/4545;;A61K31/573;;A61L2300/432;;A61P3/10;;A61P17/02;;G16H15/00;;G16H30/40;;G16H50/20;;A61K31/4545;;A61B5/0066;;A61B5/445;;A61K9/0053;;A61K31/573;;A61K45/06;;A61P17/02;;G06T7/0014;;G06T7/55;;G06T7/60;;G06T2207/10101;;G06T2207/20081;;G06T2207/20084;;G06T2207/30088;;G06V10/764;;G06V2201/03</x:v>
      </x:c>
      <x:c r="S164" s="87" t="str">
        <x:v>G06T7/00;;A61B5/00;;G06T7/55;;G06T7/60;;G06V10/764</x:v>
      </x:c>
      <x:c r="T164" s="87" t="str">
        <x:v>PENDING</x:v>
      </x:c>
      <x:c r="U164" s="87" t="str">
        <x:v>https://lens.org/089-918-320-286-019</x:v>
      </x:c>
    </x:row>
    <x:row r="165">
      <x:c r="A165" s="87" t="str">
        <x:v>AstraZeneca_Lens_RAW_2009_2024.csv.csv</x:v>
      </x:c>
      <x:c r="B165" s="87" t="str">
        <x:v>AstraZeneca</x:v>
      </x:c>
      <x:c r="C165" s="87"/>
      <x:c r="D165" s="87" t="str">
        <x:v>Yes</x:v>
      </x:c>
      <x:c r="E165" s="87" t="str">
        <x:v>astrazeneca</x:v>
      </x:c>
      <x:c r="F165" s="87" t="str">
        <x:v>163</x:v>
      </x:c>
      <x:c r="G165" s="87" t="str">
        <x:v>140-769-610-585-237</x:v>
      </x:c>
      <x:c r="H165" s="110" t="n">
        <x:v>44148</x:v>
      </x:c>
      <x:c r="I165" s="88" t="n">
        <x:v>2020</x:v>
      </x:c>
      <x:c r="J165" s="87" t="str">
        <x:v>US</x:v>
      </x:c>
      <x:c r="K165" s="87" t="str">
        <x:v>A1</x:v>
      </x:c>
      <x:c r="L165" s="87" t="str">
        <x:v>US 2023/0414760 A1</x:v>
      </x:c>
      <x:c r="M165" s="87" t="str">
        <x:v>ASTRAZENECA UK LTD</x:v>
      </x:c>
      <x:c r="N165" s="87" t="str">
        <x:v>ASTRAZENECA UK LIMITED (2021-05-18)</x:v>
      </x:c>
      <x:c r="O165" s="87" t="str">
        <x:v>PHARMACEUTICAL FORMULATION</x:v>
      </x:c>
      <x:c r="P165" s="109" t="n">
        <x:v>1</x:v>
      </x:c>
      <x:c r="Q165" s="109" t="n">
        <x:v>6</x:v>
      </x:c>
      <x:c r="R165" s="87" t="str">
        <x:v>A61K9/19;;A61K47/14;;A61K9/0019;;A61K38/00;;A61K47/68;;A61K47/22</x:v>
      </x:c>
      <x:c r="S165" s="87" t="str">
        <x:v>A61K47/22;;A61K47/68</x:v>
      </x:c>
      <x:c r="T165" s="87" t="str">
        <x:v>PENDING</x:v>
      </x:c>
      <x:c r="U165" s="87" t="str">
        <x:v>https://lens.org/140-769-610-585-237</x:v>
      </x:c>
    </x:row>
    <x:row r="166">
      <x:c r="A166" s="87" t="str">
        <x:v>AstraZeneca_Lens_RAW_2009_2024.csv.csv</x:v>
      </x:c>
      <x:c r="B166" s="87" t="str">
        <x:v>AstraZeneca</x:v>
      </x:c>
      <x:c r="C166" s="87"/>
      <x:c r="D166" s="87" t="str">
        <x:v>Yes</x:v>
      </x:c>
      <x:c r="E166" s="87" t="str">
        <x:v>astrazeneca</x:v>
      </x:c>
      <x:c r="F166" s="87" t="str">
        <x:v>164</x:v>
      </x:c>
      <x:c r="G166" s="87" t="str">
        <x:v>154-337-271-732-19X</x:v>
      </x:c>
      <x:c r="H166" s="110" t="n">
        <x:v>44733</x:v>
      </x:c>
      <x:c r="I166" s="88" t="n">
        <x:v>2022</x:v>
      </x:c>
      <x:c r="J166" s="87" t="str">
        <x:v>US</x:v>
      </x:c>
      <x:c r="K166" s="87" t="str">
        <x:v>A1</x:v>
      </x:c>
      <x:c r="L166" s="87" t="str">
        <x:v>US 2023/0406840 A1</x:v>
      </x:c>
      <x:c r="M166" s="87" t="str">
        <x:v>ASTRAZENECA AB</x:v>
      </x:c>
      <x:c r="N166" s="87" t="str">
        <x:v>ASTRAZENECA AB (2023-10-30)</x:v>
      </x:c>
      <x:c r="O166" s="87" t="str">
        <x:v>N-(2-(3-CYANO-2-AZABICYCLO[3.1.0]HEXAN-2-YL)-2-OXOETHYL)QUINOLINE-4-CARBOXAMIDES</x:v>
      </x:c>
      <x:c r="P166" s="109" t="n">
        <x:v>0</x:v>
      </x:c>
      <x:c r="Q166" s="109" t="n">
        <x:v>20</x:v>
      </x:c>
      <x:c r="R166" s="87" t="str">
        <x:v>C07D401/12;;A61P1/16;;C07D401/12;;A61P1/16;;C07D401/12;;A61K31/4709;;A61P1/16;;C07D401/12</x:v>
      </x:c>
      <x:c r="S166" s="87" t="str">
        <x:v>C07D401/12</x:v>
      </x:c>
      <x:c r="T166" s="87" t="str">
        <x:v>PENDING</x:v>
      </x:c>
      <x:c r="U166" s="87" t="str">
        <x:v>https://lens.org/154-337-271-732-19X</x:v>
      </x:c>
    </x:row>
    <x:row r="167">
      <x:c r="A167" s="87" t="str">
        <x:v>AstraZeneca_Lens_RAW_2009_2024.csv.csv</x:v>
      </x:c>
      <x:c r="B167" s="87" t="str">
        <x:v>AstraZeneca</x:v>
      </x:c>
      <x:c r="C167" s="87"/>
      <x:c r="D167" s="87" t="str">
        <x:v>Yes</x:v>
      </x:c>
      <x:c r="E167" s="87" t="str">
        <x:v>astrazeneca</x:v>
      </x:c>
      <x:c r="F167" s="87" t="str">
        <x:v>165</x:v>
      </x:c>
      <x:c r="G167" s="87" t="str">
        <x:v>009-932-789-071-292</x:v>
      </x:c>
      <x:c r="H167" s="110" t="n">
        <x:v>43483</x:v>
      </x:c>
      <x:c r="I167" s="88" t="n">
        <x:v>2019</x:v>
      </x:c>
      <x:c r="J167" s="87" t="str">
        <x:v>US</x:v>
      </x:c>
      <x:c r="K167" s="87" t="str">
        <x:v>A1</x:v>
      </x:c>
      <x:c r="L167" s="87" t="str">
        <x:v>US 2023/0407285 A1</x:v>
      </x:c>
      <x:c r="M167" s="87" t="str">
        <x:v>ASTRAZENECA AB</x:v>
      </x:c>
      <x:c r="N167" s="87" t="str">
        <x:v>DOGMA THERAPEUTICS INC (2020-01-27);;ASTRAZENECA AB (2020-08-26)</x:v>
      </x:c>
      <x:c r="O167" s="87" t="str">
        <x:v>PCSK9 INHIBITORS AND METHODS OF USE THEREOF</x:v>
      </x:c>
      <x:c r="P167" s="109" t="n">
        <x:v>0</x:v>
      </x:c>
      <x:c r="Q167" s="109" t="n">
        <x:v>29</x:v>
      </x:c>
      <x:c r="R167" s="87" t="str">
        <x:v>C07D403/12;;C07D413/12;;C07D417/12;;C07D417/14;;A61P9/00;;A61K31/506;;A61K31/5377;;A61K31/541;;A61K45/06;;A61P9/12;;A61P3/06;;C07D403/12;;C07D413/12;;C07D417/12;;C07D417/14;;C12N9/0012;;C12N9/6424;;C07D417/12;;A61K31/506;;A61K31/5377;;C07D417/14;;C07D491/107;;C07D487/10;;C07D498/04;;C07D471/10;;C07D413/12;;C07D403/12;;C07D403/14;;C07D401/14;;C07D498/10;;C07D495/04;;C07D239/42;;C07D235/30;;C07D253/075;;C07D263/58;;C07D271/07;;C07D401/12;;C07D471/04;;C07D417/12;;C07D403/12;;C07D417/14;;C07D413/12;;C12N9/0012;;C12N9/6424;;A61P3/06</x:v>
      </x:c>
      <x:c r="S167" s="87" t="str">
        <x:v>C12N9/64;;A61P3/06;;C07D413/12;;C12N9/06</x:v>
      </x:c>
      <x:c r="T167" s="87" t="str">
        <x:v>ACTIVE</x:v>
      </x:c>
      <x:c r="U167" s="87" t="str">
        <x:v>https://lens.org/009-932-789-071-292</x:v>
      </x:c>
    </x:row>
    <x:row r="168">
      <x:c r="A168" s="87" t="str">
        <x:v>AstraZeneca_Lens_RAW_2009_2024.csv.csv</x:v>
      </x:c>
      <x:c r="B168" s="87" t="str">
        <x:v>AstraZeneca</x:v>
      </x:c>
      <x:c r="C168" s="87"/>
      <x:c r="D168" s="87" t="str">
        <x:v>Yes</x:v>
      </x:c>
      <x:c r="E168" s="87" t="str">
        <x:v>astrazeneca</x:v>
      </x:c>
      <x:c r="F168" s="87" t="str">
        <x:v>166</x:v>
      </x:c>
      <x:c r="G168" s="87" t="str">
        <x:v>051-368-461-349-770</x:v>
      </x:c>
      <x:c r="H168" s="110" t="n">
        <x:v>44104</x:v>
      </x:c>
      <x:c r="I168" s="88" t="n">
        <x:v>2020</x:v>
      </x:c>
      <x:c r="J168" s="87" t="str">
        <x:v>US</x:v>
      </x:c>
      <x:c r="K168" s="87" t="str">
        <x:v>B2</x:v>
      </x:c>
      <x:c r="L168" s="87" t="str">
        <x:v>US 11847415 B2</x:v>
      </x:c>
      <x:c r="M168" s="87" t="str">
        <x:v>ASTRAZENECA AB</x:v>
      </x:c>
      <x:c r="N168" s="87" t="str">
        <x:v>ASTRAZENECA PHARMACEUTICALS LP (2020-11-30);;ASTRAZENECA UK LIMITED (2020-12-17);;ASTRAZENECA AB (2020-12-22)</x:v>
      </x:c>
      <x:c r="O168" s="87" t="str">
        <x:v>Automated detection of safety signals for pharmacovigilance</x:v>
      </x:c>
      <x:c r="P168" s="109" t="n">
        <x:v>1</x:v>
      </x:c>
      <x:c r="Q168" s="109" t="n">
        <x:v>2</x:v>
      </x:c>
      <x:c r="R168" s="87" t="str">
        <x:v>G06F40/30;;G06F40/279;;G06N3/045;;G06N3/048;;G06N3/08;;G06N3/09;;G06N3/096;;G16H70/40;;G06F40/279;;G06F40/30;;G06N20/00;;G16H70/40</x:v>
      </x:c>
      <x:c r="S168" s="87" t="str">
        <x:v>G06F40/279;;G06F40/30;;G06N20/00;;G16H70/40</x:v>
      </x:c>
      <x:c r="T168" s="87" t="str">
        <x:v>ACTIVE</x:v>
      </x:c>
      <x:c r="U168" s="87" t="str">
        <x:v>https://lens.org/051-368-461-349-770</x:v>
      </x:c>
    </x:row>
    <x:row r="169">
      <x:c r="A169" s="87" t="str">
        <x:v>AstraZeneca_Lens_RAW_2009_2024.csv.csv</x:v>
      </x:c>
      <x:c r="B169" s="87" t="str">
        <x:v>AstraZeneca</x:v>
      </x:c>
      <x:c r="C169" s="87"/>
      <x:c r="D169" s="87" t="str">
        <x:v>Yes</x:v>
      </x:c>
      <x:c r="E169" s="87" t="str">
        <x:v>astrazeneca</x:v>
      </x:c>
      <x:c r="F169" s="87" t="str">
        <x:v>167</x:v>
      </x:c>
      <x:c r="G169" s="87" t="str">
        <x:v>156-463-126-234-741</x:v>
      </x:c>
      <x:c r="H169" s="110" t="n">
        <x:v>43963</x:v>
      </x:c>
      <x:c r="I169" s="88" t="n">
        <x:v>2020</x:v>
      </x:c>
      <x:c r="J169" s="87" t="str">
        <x:v>US</x:v>
      </x:c>
      <x:c r="K169" s="87" t="str">
        <x:v>A1</x:v>
      </x:c>
      <x:c r="L169" s="87" t="str">
        <x:v>US 2023/0374597 A1</x:v>
      </x:c>
      <x:c r="M169" s="87" t="str">
        <x:v>ASTRAZENECA AB</x:v>
      </x:c>
      <x:c r="N169" s="87" t="str">
        <x:v>ASTRAZENECA PHARMACEUTICALS LP (2021-01-12);;ASTRAZENECA UK LIMITED (2021-01-21);;ASTRAZENECA AB (2021-02-01)</x:v>
      </x:c>
      <x:c r="O169" s="87" t="str">
        <x:v>BIOMARKERS FOR PREDICTING OVERALL SURVIVAL IN RECORRENT/METASTATIC HEAD AND NECK SQUAMOUS CELL CARCINOMA</x:v>
      </x:c>
      <x:c r="P169" s="109" t="n">
        <x:v>0</x:v>
      </x:c>
      <x:c r="Q169" s="109" t="n">
        <x:v>5</x:v>
      </x:c>
      <x:c r="R169" s="87" t="str">
        <x:v>C12Q1/6886;;C12Q2600/106;;C12Q2600/156;;C12Q1/6886;;A61K2039/507;;A61P35/04;;C07K16/2818;;C07K16/2827;;C12Q2600/106;;C12Q2600/156;;G01N33/57557;;G01N2333/70596</x:v>
      </x:c>
      <x:c r="S169" s="87" t="str">
        <x:v>C12Q1/6886;;A61P35/04;;C07K16/28;;G01N33/574</x:v>
      </x:c>
      <x:c r="T169" s="87" t="str">
        <x:v>DISCONTINUED</x:v>
      </x:c>
      <x:c r="U169" s="87" t="str">
        <x:v>https://lens.org/156-463-126-234-741</x:v>
      </x:c>
    </x:row>
    <x:row r="170">
      <x:c r="A170" s="87" t="str">
        <x:v>AstraZeneca_Lens_RAW_2009_2024.csv.csv</x:v>
      </x:c>
      <x:c r="B170" s="87" t="str">
        <x:v>AstraZeneca</x:v>
      </x:c>
      <x:c r="C170" s="87"/>
      <x:c r="D170" s="87" t="str">
        <x:v>Yes</x:v>
      </x:c>
      <x:c r="E170" s="87" t="str">
        <x:v>astrazeneca</x:v>
      </x:c>
      <x:c r="F170" s="87" t="str">
        <x:v>168</x:v>
      </x:c>
      <x:c r="G170" s="87" t="str">
        <x:v>131-349-111-692-815</x:v>
      </x:c>
      <x:c r="H170" s="110" t="n">
        <x:v>44112</x:v>
      </x:c>
      <x:c r="I170" s="88" t="n">
        <x:v>2020</x:v>
      </x:c>
      <x:c r="J170" s="87" t="str">
        <x:v>US</x:v>
      </x:c>
      <x:c r="K170" s="87" t="str">
        <x:v>A1</x:v>
      </x:c>
      <x:c r="L170" s="87" t="str">
        <x:v>US 2023/0372333 A1</x:v>
      </x:c>
      <x:c r="M170" s="87" t="str">
        <x:v>ASTRAZENECA AB</x:v>
      </x:c>
      <x:c r="N170" s="87" t="str">
        <x:v>ASTRAZENECA UK LIMITED (2023-09-22);;ASTRAZENECA AB (2023-09-26)</x:v>
      </x:c>
      <x:c r="O170" s="87" t="str">
        <x:v>COMBINATION THERAPY FOR TREATING CANCER</x:v>
      </x:c>
      <x:c r="P170" s="109" t="n">
        <x:v>1</x:v>
      </x:c>
      <x:c r="Q170" s="109" t="n">
        <x:v>23</x:v>
      </x:c>
      <x:c r="R170" s="87" t="str">
        <x:v>A61K31/496;;A61K31/555;;A61K31/282;;A61K33/243;;A61K45/06;;A61P35/00;;A61K45/06;;A61P35/00;;A61K31/496;;A61K31/555;;A61K33/243;;A61K31/282;;A61K2300/00;;A61K31/496;;A61K33/243;;A61K31/555;;A61K45/06;;A61P35/00;;A61K2300/00;;A61P35/00;;A61K33/243;;A61K31/496;;A61K31/555</x:v>
      </x:c>
      <x:c r="S170" s="87" t="str">
        <x:v>A61K31/496;;A61K31/555;;A61K33/243;;A61P35/00</x:v>
      </x:c>
      <x:c r="T170" s="87" t="str">
        <x:v>PENDING</x:v>
      </x:c>
      <x:c r="U170" s="87" t="str">
        <x:v>https://lens.org/131-349-111-692-815</x:v>
      </x:c>
    </x:row>
    <x:row r="171">
      <x:c r="A171" s="87" t="str">
        <x:v>AstraZeneca_Lens_RAW_2009_2024.csv.csv</x:v>
      </x:c>
      <x:c r="B171" s="87" t="str">
        <x:v>AstraZeneca</x:v>
      </x:c>
      <x:c r="C171" s="87"/>
      <x:c r="D171" s="87" t="str">
        <x:v>Yes</x:v>
      </x:c>
      <x:c r="E171" s="87" t="str">
        <x:v>astrazeneca</x:v>
      </x:c>
      <x:c r="F171" s="87" t="str">
        <x:v>169</x:v>
      </x:c>
      <x:c r="G171" s="87" t="str">
        <x:v>165-896-087-123-124</x:v>
      </x:c>
      <x:c r="H171" s="110" t="n">
        <x:v>41936</x:v>
      </x:c>
      <x:c r="I171" s="88" t="n">
        <x:v>2014</x:v>
      </x:c>
      <x:c r="J171" s="87" t="str">
        <x:v>US</x:v>
      </x:c>
      <x:c r="K171" s="87" t="str">
        <x:v>A1</x:v>
      </x:c>
      <x:c r="L171" s="87" t="str">
        <x:v>US 2023/0374503 A1</x:v>
      </x:c>
      <x:c r="M171" s="87" t="str">
        <x:v>ASTRAZENECA AB</x:v>
      </x:c>
      <x:c r="N171" s="87" t="str">
        <x:v>ASTRAZENECA PHARMACEUTICALS LP (2014-12-10);;ASTRAZENECA AB (2014-12-16);;ASTRAZENECA UK LIMITED (2014-12-16)</x:v>
      </x:c>
      <x:c r="O171" s="87" t="str">
        <x:v>COMBINATION</x:v>
      </x:c>
      <x:c r="P171" s="109" t="n">
        <x:v>0</x:v>
      </x:c>
      <x:c r="Q171" s="109" t="n">
        <x:v>31</x:v>
      </x:c>
      <x:c r="R171" s="87" t="str">
        <x:v>C12N15/111;;C12N15/113;;C12N2310/11;;C12N2310/315;;C12N2310/3231;;C12N2310/341;;C12N2310/346;;C12N2320/31;;C12N15/111;;A61K38/1774;;A61P35/00;;C12N15/113;;C12N2310/11;;C12N2310/315;;C12N2310/3231;;C12N2310/341;;C12N2310/346;;C12N2320/31;;C12N15/111;;A61K38/1774;;A61K45/06;;A61P35/00;;C12N15/113;;C12N2310/11;;C12N2310/315;;C12N2310/3231;;C12N2310/341;;C12N2310/346;;C12N2320/31;;A61K39/395;;A61K31/7088;;A61K39/39558;;A61K2039/505;;A61K2300/00;;A61P35/00;;C12N15/113;;C12N2310/11;;C12N2310/315;;C12N2310/3231;;C12N2310/341;;C12N2310/346;;C12N2320/31;;A61K31/7088;;A61K39/3955;;A61P35/00;;C12N15/111;;A61K38/1774;;A61K45/06;;A61P35/00;;C12N15/113;;C12N2310/11;;C12N2310/315;;C12N2310/3231;;C12N2310/341;;C12N2310/346;;C12N2320/31</x:v>
      </x:c>
      <x:c r="S171" s="87" t="str">
        <x:v>C12N15/11;;A61K38/17;;A61P35/00;;C12N15/113</x:v>
      </x:c>
      <x:c r="T171" s="87" t="str">
        <x:v>PENDING</x:v>
      </x:c>
      <x:c r="U171" s="87" t="str">
        <x:v>https://lens.org/165-896-087-123-124</x:v>
      </x:c>
    </x:row>
    <x:row r="172">
      <x:c r="A172" s="87" t="str">
        <x:v>AstraZeneca_Lens_RAW_2009_2024.csv.csv</x:v>
      </x:c>
      <x:c r="B172" s="87" t="str">
        <x:v>AstraZeneca</x:v>
      </x:c>
      <x:c r="C172" s="87"/>
      <x:c r="D172" s="87" t="str">
        <x:v>Yes</x:v>
      </x:c>
      <x:c r="E172" s="87" t="str">
        <x:v>astrazeneca</x:v>
      </x:c>
      <x:c r="F172" s="87" t="str">
        <x:v>170</x:v>
      </x:c>
      <x:c r="G172" s="87" t="str">
        <x:v>141-539-598-312-123</x:v>
      </x:c>
      <x:c r="H172" s="110" t="n">
        <x:v>44113</x:v>
      </x:c>
      <x:c r="I172" s="88" t="n">
        <x:v>2020</x:v>
      </x:c>
      <x:c r="J172" s="87" t="str">
        <x:v>US</x:v>
      </x:c>
      <x:c r="K172" s="87" t="str">
        <x:v>A1</x:v>
      </x:c>
      <x:c r="L172" s="87" t="str">
        <x:v>US 2023/0372527 A1</x:v>
      </x:c>
      <x:c r="M172" s="87" t="str">
        <x:v>ASTRAZENECA UK LTD;;DAIICHI SANKYO CO LTD</x:v>
      </x:c>
      <x:c r="N172" s="87" t="str">
        <x:v>DAIICHI SANKYO COMPANY LIMITED (2021-06-10);;ASTRAZENECA PHARMACEUTICALS LP (2021-05-17);;ASTRAZENECA UK LIMITED (2021-06-10)</x:v>
      </x:c>
      <x:c r="O172" s="87" t="str">
        <x:v>COMBINATION OF ANTIBODY-DRUG CONJUGATE AND PARP1 SELECTIVE INHIBITOR</x:v>
      </x:c>
      <x:c r="P172" s="109" t="n">
        <x:v>0</x:v>
      </x:c>
      <x:c r="Q172" s="109" t="n">
        <x:v>15</x:v>
      </x:c>
      <x:c r="R172" s="87" t="str">
        <x:v>A61K31/496;;A61K31/498;;A61K31/4985;;A61P35/00;;A61P35/02;;A61K39/395;;C07K16/32;;C07K2317/24;;A61K47/68037;;A61K47/6855;;A61K31/496;;A61K31/4985;;C07K2317/24;;A61P35/00;;A61K2300/00;;C07K16/32;;A61K39/395;;A61P35/02;;A61K31/498;;A61K47/6803;;A61K47/6889;;A61K47/6851;;A61K47/6849;;A61K31/4745;;A61K31/496;;A61K45/06;;A61P35/00;;C07K16/32;;C07K2317/24;;A61K47/6889;;A61K47/545;;A61P35/00;;A61K31/4375;;C07K16/32</x:v>
      </x:c>
      <x:c r="S172" s="87" t="str">
        <x:v>A61K47/68;;A61K31/4375;;A61K47/54;;A61P35/00;;C07K16/32</x:v>
      </x:c>
      <x:c r="T172" s="87" t="str">
        <x:v>PENDING</x:v>
      </x:c>
      <x:c r="U172" s="87" t="str">
        <x:v>https://lens.org/141-539-598-312-123</x:v>
      </x:c>
    </x:row>
    <x:row r="173">
      <x:c r="A173" s="87" t="str">
        <x:v>AstraZeneca_Lens_RAW_2009_2024.csv.csv</x:v>
      </x:c>
      <x:c r="B173" s="87" t="str">
        <x:v>AstraZeneca</x:v>
      </x:c>
      <x:c r="C173" s="87"/>
      <x:c r="D173" s="87" t="str">
        <x:v>Yes</x:v>
      </x:c>
      <x:c r="E173" s="87" t="str">
        <x:v>astrazeneca</x:v>
      </x:c>
      <x:c r="F173" s="87" t="str">
        <x:v>171</x:v>
      </x:c>
      <x:c r="G173" s="87" t="str">
        <x:v>102-857-369-276-850</x:v>
      </x:c>
      <x:c r="H173" s="110" t="n">
        <x:v>43265</x:v>
      </x:c>
      <x:c r="I173" s="88" t="n">
        <x:v>2018</x:v>
      </x:c>
      <x:c r="J173" s="87" t="str">
        <x:v>US</x:v>
      </x:c>
      <x:c r="K173" s="87" t="str">
        <x:v>B2</x:v>
      </x:c>
      <x:c r="L173" s="87" t="str">
        <x:v>US 11817188 B2</x:v>
      </x:c>
      <x:c r="M173" s="87" t="str">
        <x:v>ASTRAZENECA UK LTD</x:v>
      </x:c>
      <x:c r="N173" s="87" t="str">
        <x:v>ASTRAZENECA UK LIMITED (2020-03-05)</x:v>
      </x:c>
      <x:c r="O173" s="87" t="str">
        <x:v>Methods for lowering blood sugar with a metformin pharmaceutical composition</x:v>
      </x:c>
      <x:c r="P173" s="109" t="n">
        <x:v>0</x:v>
      </x:c>
      <x:c r="Q173" s="109" t="n">
        <x:v>13</x:v>
      </x:c>
      <x:c r="R173" s="87" t="str">
        <x:v>G16H20/10;;A61K31/155;;A61K45/00;;A61P3/10;;G16H10/20;;G16H50/20;;G16H20/10;;A61K31/155;;A61P3/10;;G16H10/20;;G16H50/20;;G16H10/40;;G16H20/10;;G16H50/30</x:v>
      </x:c>
      <x:c r="S173" s="87" t="str">
        <x:v>G16H50/30;;G16H10/20;;G16H10/40;;G16H20/10</x:v>
      </x:c>
      <x:c r="T173" s="87" t="str">
        <x:v>ACTIVE</x:v>
      </x:c>
      <x:c r="U173" s="87" t="str">
        <x:v>https://lens.org/102-857-369-276-850</x:v>
      </x:c>
    </x:row>
    <x:row r="174">
      <x:c r="A174" s="87" t="str">
        <x:v>AstraZeneca_Lens_RAW_2009_2024.csv.csv</x:v>
      </x:c>
      <x:c r="B174" s="87" t="str">
        <x:v>AstraZeneca</x:v>
      </x:c>
      <x:c r="C174" s="87"/>
      <x:c r="D174" s="87" t="str">
        <x:v>Yes</x:v>
      </x:c>
      <x:c r="E174" s="87" t="str">
        <x:v>astrazeneca</x:v>
      </x:c>
      <x:c r="F174" s="87" t="str">
        <x:v>172</x:v>
      </x:c>
      <x:c r="G174" s="87" t="str">
        <x:v>050-307-398-779-27X</x:v>
      </x:c>
      <x:c r="H174" s="110" t="n">
        <x:v>43265</x:v>
      </x:c>
      <x:c r="I174" s="88" t="n">
        <x:v>2018</x:v>
      </x:c>
      <x:c r="J174" s="87" t="str">
        <x:v>US</x:v>
      </x:c>
      <x:c r="K174" s="87" t="str">
        <x:v>B2</x:v>
      </x:c>
      <x:c r="L174" s="87" t="str">
        <x:v>US 11817195 B2</x:v>
      </x:c>
      <x:c r="M174" s="87" t="str">
        <x:v>ASTRAZENECA UK LTD</x:v>
      </x:c>
      <x:c r="N174" s="87" t="str">
        <x:v>ASTRAZENECA UK LIMITED (2020-03-05)</x:v>
      </x:c>
      <x:c r="O174" s="87" t="str">
        <x:v>Methods for lowering blood sugar with a gliflozin sodium-glucose cotransport 2 inhibitor pharmaceutical composition</x:v>
      </x:c>
      <x:c r="P174" s="109" t="n">
        <x:v>0</x:v>
      </x:c>
      <x:c r="Q174" s="109" t="n">
        <x:v>11</x:v>
      </x:c>
      <x:c r="R174" s="87" t="str">
        <x:v>G16H20/10;;A61K31/70;;A61K31/7034;;A61K31/7048;;A61K31/7056;;G16H10/20;;G16H50/20;;G16H20/13;;A61K31/70;;G16H10/20;;G16H10/40;;G16H10/60;;G16H70/40</x:v>
      </x:c>
      <x:c r="S174" s="87" t="str">
        <x:v>G16H10/20;;A61K31/70;;G16H10/40;;G16H10/60;;G16H20/13;;G16H70/40</x:v>
      </x:c>
      <x:c r="T174" s="87" t="str">
        <x:v>ACTIVE</x:v>
      </x:c>
      <x:c r="U174" s="87" t="str">
        <x:v>https://lens.org/050-307-398-779-27X</x:v>
      </x:c>
    </x:row>
    <x:row r="175">
      <x:c r="A175" s="87" t="str">
        <x:v>AstraZeneca_Lens_RAW_2009_2024.csv.csv</x:v>
      </x:c>
      <x:c r="B175" s="87" t="str">
        <x:v>AstraZeneca</x:v>
      </x:c>
      <x:c r="C175" s="87"/>
      <x:c r="D175" s="87" t="str">
        <x:v>Yes</x:v>
      </x:c>
      <x:c r="E175" s="87" t="str">
        <x:v>astrazeneca</x:v>
      </x:c>
      <x:c r="F175" s="87" t="str">
        <x:v>173</x:v>
      </x:c>
      <x:c r="G175" s="87" t="str">
        <x:v>099-665-046-776-065</x:v>
      </x:c>
      <x:c r="H175" s="110" t="n">
        <x:v>44091</x:v>
      </x:c>
      <x:c r="I175" s="88" t="n">
        <x:v>2020</x:v>
      </x:c>
      <x:c r="J175" s="87" t="str">
        <x:v>US</x:v>
      </x:c>
      <x:c r="K175" s="87" t="str">
        <x:v>A1</x:v>
      </x:c>
      <x:c r="L175" s="87" t="str">
        <x:v>US 2023/0357768 A1</x:v>
      </x:c>
      <x:c r="M175" s="87" t="str">
        <x:v>ASTRAZENECA AB;;IONIS PHARMCEUTICALS INC</x:v>
      </x:c>
      <x:c r="N175" s="87" t="str">
        <x:v>IONIS PHARMACEUTICALS INC (2021-06-22);;ASTRAZENECA AB (2021-03-24)</x:v>
      </x:c>
      <x:c r="O175" s="87" t="str">
        <x:v>PHARMACEUTICAL COMPOSITIONS COMPRISING AN ANTISENSE OLIGONUCLEOTIDE FOR ORAL ADMINISTRATION</x:v>
      </x:c>
      <x:c r="P175" s="109" t="n">
        <x:v>0</x:v>
      </x:c>
      <x:c r="Q175" s="109" t="n">
        <x:v>12</x:v>
      </x:c>
      <x:c r="R175" s="87" t="str">
        <x:v>A61P9/10;;A61K9/2013;;A61K9/2018;;A61K9/2054;;A61K31/711;;A61K38/48;;A61P1/16;;C12N2310/11;;C12Y304/21062;;A61P9/10;;A61K9/2013;;A61K9/2018;;A61K9/2054;;A61K31/711;;A61K38/48;;A61P1/16;;C12N2310/11;;C12Y304/21062;;A61K9/2013;;A61K31/7125;;A61K47/549;;A61P1/16;;A61P3/06;;A61P9/10;;C12N15/113;;A61P3/06;;C12N2310/11</x:v>
      </x:c>
      <x:c r="S175" s="87" t="str">
        <x:v>C12N15/113;;A61P3/06</x:v>
      </x:c>
      <x:c r="T175" s="87" t="str">
        <x:v>PENDING</x:v>
      </x:c>
      <x:c r="U175" s="87" t="str">
        <x:v>https://lens.org/099-665-046-776-065</x:v>
      </x:c>
    </x:row>
    <x:row r="176">
      <x:c r="A176" s="87" t="str">
        <x:v>AstraZeneca_Lens_RAW_2009_2024.csv.csv</x:v>
      </x:c>
      <x:c r="B176" s="87" t="str">
        <x:v>AstraZeneca</x:v>
      </x:c>
      <x:c r="C176" s="87"/>
      <x:c r="D176" s="87" t="str">
        <x:v>Yes</x:v>
      </x:c>
      <x:c r="E176" s="87" t="str">
        <x:v>astrazeneca</x:v>
      </x:c>
      <x:c r="F176" s="87" t="str">
        <x:v>174</x:v>
      </x:c>
      <x:c r="G176" s="87" t="str">
        <x:v>195-266-343-106-334</x:v>
      </x:c>
      <x:c r="H176" s="110" t="n">
        <x:v>44091</x:v>
      </x:c>
      <x:c r="I176" s="88" t="n">
        <x:v>2020</x:v>
      </x:c>
      <x:c r="J176" s="87" t="str">
        <x:v>US</x:v>
      </x:c>
      <x:c r="K176" s="87" t="str">
        <x:v>A1</x:v>
      </x:c>
      <x:c r="L176" s="87" t="str">
        <x:v>US 2023/0355653 A1</x:v>
      </x:c>
      <x:c r="M176" s="87" t="str">
        <x:v>ASTRAZENECA AB</x:v>
      </x:c>
      <x:c r="N176" s="87" t="str">
        <x:v>ASTRAZENECA AB (2021-03-05)</x:v>
      </x:c>
      <x:c r="O176" s="87" t="str">
        <x:v>PCSK9 INHIBITORS AND METHODS OF TREATMENT USING SAME</x:v>
      </x:c>
      <x:c r="P176" s="109" t="n">
        <x:v>0</x:v>
      </x:c>
      <x:c r="Q176" s="109" t="n">
        <x:v>12</x:v>
      </x:c>
      <x:c r="R176" s="87" t="str">
        <x:v>A61K47/549;;A61K31/7125;;A61K47/56;;A61P3/06;;C07H21/04;;C12N9/6424;;C12Y304/21061;;A61K47/549;;A61K31/7125;;A61K47/56;;A61P3/06;;C07H21/04;;C12N9/6424;;C12Y304/21061;;A61K31/7125;;A61K47/549;;A61P3/06;;A61P9/00;;A61P9/10;;A61K31/7125;;A61K9/0019;;A61P3/06</x:v>
      </x:c>
      <x:c r="S176" s="87" t="str">
        <x:v>A61K31/7125;;A61K9/00;;A61P3/06</x:v>
      </x:c>
      <x:c r="T176" s="87" t="str">
        <x:v>DISCONTINUED</x:v>
      </x:c>
      <x:c r="U176" s="87" t="str">
        <x:v>https://lens.org/195-266-343-106-334</x:v>
      </x:c>
    </x:row>
    <x:row r="177">
      <x:c r="A177" s="87" t="str">
        <x:v>AstraZeneca_Lens_RAW_2009_2024.csv.csv</x:v>
      </x:c>
      <x:c r="B177" s="87" t="str">
        <x:v>AstraZeneca</x:v>
      </x:c>
      <x:c r="C177" s="87"/>
      <x:c r="D177" s="87" t="str">
        <x:v>Yes</x:v>
      </x:c>
      <x:c r="E177" s="87" t="str">
        <x:v>astrazeneca</x:v>
      </x:c>
      <x:c r="F177" s="87" t="str">
        <x:v>175</x:v>
      </x:c>
      <x:c r="G177" s="87" t="str">
        <x:v>149-619-628-120-036</x:v>
      </x:c>
      <x:c r="H177" s="110" t="n">
        <x:v>43962</x:v>
      </x:c>
      <x:c r="I177" s="88" t="n">
        <x:v>2020</x:v>
      </x:c>
      <x:c r="J177" s="87" t="str">
        <x:v>US</x:v>
      </x:c>
      <x:c r="K177" s="87" t="str">
        <x:v>A1</x:v>
      </x:c>
      <x:c r="L177" s="87" t="str">
        <x:v>US 2023/0346791 A1</x:v>
      </x:c>
      <x:c r="M177" s="87" t="str">
        <x:v>ASTRAZENECA AB</x:v>
      </x:c>
      <x:c r="N177" s="87" t="str">
        <x:v>ASTRAZENECA UK LIMITED (2021-04-27);;ASTRAZENECA AB (2021-04-28);;ASTRAZENECA KOREA LTD (2021-04-26)</x:v>
      </x:c>
      <x:c r="O177" s="87" t="str">
        <x:v>ATR INHIBITORS FOR THE TREATMENT OF CANCER</x:v>
      </x:c>
      <x:c r="P177" s="109" t="n">
        <x:v>0</x:v>
      </x:c>
      <x:c r="Q177" s="109" t="n">
        <x:v>14</x:v>
      </x:c>
      <x:c r="R177" s="87" t="str">
        <x:v>A61K31/5377;;A61K45/06;;A61P35/00;;A61K39/3955;;A61K31/337;;A61K31/5377;;A61K31/337;;A61K45/06;;A61P35/00;;A61K45/06;;A61K31/5377;;A61K31/337;;A61P35/00;;A61K2300/00;;A61K31/5377;;A61K31/337;;A61K45/06;;A61P35/00;;A61K2300/00;;A61P35/00;;A61K31/337;;A61K31/5377;;A61K45/06</x:v>
      </x:c>
      <x:c r="S177" s="87" t="str">
        <x:v>A61K31/5377;;A61K31/337;;A61K45/06;;A61P35/00</x:v>
      </x:c>
      <x:c r="T177" s="87" t="str">
        <x:v>PENDING</x:v>
      </x:c>
      <x:c r="U177" s="87" t="str">
        <x:v>https://lens.org/149-619-628-120-036</x:v>
      </x:c>
    </x:row>
    <x:row r="178">
      <x:c r="A178" s="87" t="str">
        <x:v>AstraZeneca_Lens_RAW_2009_2024.csv.csv</x:v>
      </x:c>
      <x:c r="B178" s="87" t="str">
        <x:v>AstraZeneca</x:v>
      </x:c>
      <x:c r="C178" s="87"/>
      <x:c r="D178" s="87" t="str">
        <x:v>Yes</x:v>
      </x:c>
      <x:c r="E178" s="87" t="str">
        <x:v>astrazeneca</x:v>
      </x:c>
      <x:c r="F178" s="87" t="str">
        <x:v>176</x:v>
      </x:c>
      <x:c r="G178" s="87" t="str">
        <x:v>024-441-520-137-057</x:v>
      </x:c>
      <x:c r="H178" s="110" t="n">
        <x:v>44173</x:v>
      </x:c>
      <x:c r="I178" s="88" t="n">
        <x:v>2020</x:v>
      </x:c>
      <x:c r="J178" s="87" t="str">
        <x:v>US</x:v>
      </x:c>
      <x:c r="K178" s="87" t="str">
        <x:v>A1</x:v>
      </x:c>
      <x:c r="L178" s="87" t="str">
        <x:v>US 2023/0348363 A1</x:v>
      </x:c>
      <x:c r="M178" s="87" t="str">
        <x:v>ASTRAZENECA AB;;MITSUBISHI TANABE PHARMA CORP</x:v>
      </x:c>
      <x:c r="N178" s="87" t="str">
        <x:v>ASTRAZENECA AB (2021-09-07);;MITSUBISHI TANABE PHARMA CORPORATION (2021-10-06)</x:v>
      </x:c>
      <x:c r="O178" s="87" t="str">
        <x:v>COMPOUNDS AND THEIR USE</x:v>
      </x:c>
      <x:c r="P178" s="109" t="n">
        <x:v>0</x:v>
      </x:c>
      <x:c r="Q178" s="109" t="n">
        <x:v>23</x:v>
      </x:c>
      <x:c r="R178" s="87" t="str">
        <x:v>C07D237/20;;A61P9/04;;A61P13/12;;C07B2200/07;;C07C237/24;;C07C255/57;;C07C2601/04;;C07C2601/14;;C07C2602/38;;C07C2602/42;;C07D213/79;;C07D231/12;;C07D231/14;;C07D239/42;;C07D241/12;;C07D263/40;;C07D275/02;;C07D307/24;;C07D333/38;;C07D487/04;;C07D493/08;;C07C233/81;;A61P9/04;;A61P13/12;;C07B2200/07;;C07B2200/13;;C07C237/24;;C07C255/57;;C07C2601/04;;C07C2601/14;;C07C2602/38;;C07C2602/42;;C07D213/79;;C07D231/12;;C07D231/14;;C07D237/20;;C07D239/42;;C07D241/12;;C07D263/40;;C07D275/02;;C07D307/24;;C07D333/38;;C07D487/04;;C07D493/08;;C07C237/24;;A61K31/277;;A61K31/44;;A61P9/04;;A61P13/12;;C07B2200/07;;C07C255/57;;C07C2601/04;;C07C2601/14;;C07C2602/38;;C07C2602/42;;C07D213/643;;C07D213/75;;C07D231/12;;C07D237/20;;C07D239/42;;C07D241/12;;C07D277/22;;C07D307/24;;C07D309/04;;C07D309/08;;C07D487/04;;C07C233/81;;C07B2200/13</x:v>
      </x:c>
      <x:c r="S178" s="87" t="str">
        <x:v>C07C233/81</x:v>
      </x:c>
      <x:c r="T178" s="87" t="str">
        <x:v>PENDING</x:v>
      </x:c>
      <x:c r="U178" s="87" t="str">
        <x:v>https://lens.org/024-441-520-137-057</x:v>
      </x:c>
    </x:row>
    <x:row r="179">
      <x:c r="A179" s="87" t="str">
        <x:v>AstraZeneca_Lens_RAW_2009_2024.csv.csv</x:v>
      </x:c>
      <x:c r="B179" s="87" t="str">
        <x:v>AstraZeneca</x:v>
      </x:c>
      <x:c r="C179" s="87"/>
      <x:c r="D179" s="87" t="str">
        <x:v>Yes</x:v>
      </x:c>
      <x:c r="E179" s="87" t="str">
        <x:v>astrazeneca</x:v>
      </x:c>
      <x:c r="F179" s="87" t="str">
        <x:v>177</x:v>
      </x:c>
      <x:c r="G179" s="87" t="str">
        <x:v>015-195-232-525-947</x:v>
      </x:c>
      <x:c r="H179" s="110" t="n">
        <x:v>43987</x:v>
      </x:c>
      <x:c r="I179" s="88" t="n">
        <x:v>2020</x:v>
      </x:c>
      <x:c r="J179" s="87" t="str">
        <x:v>US</x:v>
      </x:c>
      <x:c r="K179" s="87" t="str">
        <x:v>A1</x:v>
      </x:c>
      <x:c r="L179" s="87" t="str">
        <x:v>US 2023/0348606 A1</x:v>
      </x:c>
      <x:c r="M179" s="87" t="str">
        <x:v>ASTRAZENECA AB</x:v>
      </x:c>
      <x:c r="N179" s="87" t="str">
        <x:v>ASTRAZENECA PHARMACEUTICALS LP (2021-03-04);;ASTRAZENECA UK LIMITED (2021-03-16);;ASTRAZENECA AB (2021-03-19);;ASTRAZENECA FARMACEUTICA SPAIN S.A (2021-03-18)</x:v>
      </x:c>
      <x:c r="O179" s="87" t="str">
        <x:v>METHODS FOR TREATING SEVERE ASTHMA IN PATIENTS WITH NASAL POLYPOSIS</x:v>
      </x:c>
      <x:c r="P179" s="109" t="n">
        <x:v>0</x:v>
      </x:c>
      <x:c r="Q179" s="109" t="n">
        <x:v>11</x:v>
      </x:c>
      <x:c r="R179" s="87" t="str">
        <x:v>C07K16/2866;;A61K2039/505;;A61K2039/545;;A61P11/06;;C07K2317/24;;C07K2317/732;;C07K2317/76;;C07K16/2866;;A61K2039/505;;A61K2039/545;;A61P11/06;;C07K2317/24;;C07K2317/732;;C07K2317/76;;C07K16/2866;;A61K2039/505;;A61K2039/545;;A61P11/06;;C07K2317/24;;C07K2317/732;;C07K2317/76;;C07K16/2866;;A61K2039/505;;A61P11/06</x:v>
      </x:c>
      <x:c r="S179" s="87" t="str">
        <x:v>C07K16/28;;A61P11/06</x:v>
      </x:c>
      <x:c r="T179" s="87" t="str">
        <x:v>DISCONTINUED</x:v>
      </x:c>
      <x:c r="U179" s="87" t="str">
        <x:v>https://lens.org/015-195-232-525-947</x:v>
      </x:c>
    </x:row>
    <x:row r="180">
      <x:c r="A180" s="87" t="str">
        <x:v>AstraZeneca_Lens_RAW_2009_2024.csv.csv</x:v>
      </x:c>
      <x:c r="B180" s="87" t="str">
        <x:v>AstraZeneca</x:v>
      </x:c>
      <x:c r="C180" s="87"/>
      <x:c r="D180" s="87" t="str">
        <x:v>Yes</x:v>
      </x:c>
      <x:c r="E180" s="87" t="str">
        <x:v>astrazeneca</x:v>
      </x:c>
      <x:c r="F180" s="87" t="str">
        <x:v>178</x:v>
      </x:c>
      <x:c r="G180" s="87" t="str">
        <x:v>023-058-790-474-821</x:v>
      </x:c>
      <x:c r="H180" s="110" t="n">
        <x:v>43929</x:v>
      </x:c>
      <x:c r="I180" s="88" t="n">
        <x:v>2020</x:v>
      </x:c>
      <x:c r="J180" s="87" t="str">
        <x:v>US</x:v>
      </x:c>
      <x:c r="K180" s="87" t="str">
        <x:v>A1</x:v>
      </x:c>
      <x:c r="L180" s="87" t="str">
        <x:v>US 2023/0340538 A1</x:v>
      </x:c>
      <x:c r="M180" s="87" t="str">
        <x:v>ASTRAZENECA AB</x:v>
      </x:c>
      <x:c r="N180" s="87" t="str">
        <x:v>ASTRAZENECA AB (2022-10-21)</x:v>
      </x:c>
      <x:c r="O180" s="87" t="str">
        <x:v>COMPOSITIONS AND METHODS FOR IMPROVED SITE-SPECIFIC MODIFICATION</x:v>
      </x:c>
      <x:c r="P180" s="109" t="n">
        <x:v>4</x:v>
      </x:c>
      <x:c r="Q180" s="109" t="n">
        <x:v>6</x:v>
      </x:c>
      <x:c r="R180" s="87" t="str">
        <x:v>C12N15/102;;C07K2319/00;;C12N9/1252;;C12N9/1276;;C12N9/22;;C12N9/93;;C12N15/113;;C12N2310/20;;C12N15/90;;C12N9/1252;;C12N9/1276;;C12N9/22;;C12N9/93;;C12N15/11;;C12N15/85;;C12N2310/20;;C12N2800/107;;C12N2800/80</x:v>
      </x:c>
      <x:c r="S180" s="87" t="str">
        <x:v>C12N15/90;;C12N9/00;;C12N9/12;;C12N9/22;;C12N15/11;;C12N15/85</x:v>
      </x:c>
      <x:c r="T180" s="87" t="str">
        <x:v>PENDING</x:v>
      </x:c>
      <x:c r="U180" s="87" t="str">
        <x:v>https://lens.org/023-058-790-474-821</x:v>
      </x:c>
    </x:row>
    <x:row r="181">
      <x:c r="A181" s="87" t="str">
        <x:v>AstraZeneca_Lens_RAW_2009_2024.csv.csv</x:v>
      </x:c>
      <x:c r="B181" s="87" t="str">
        <x:v>AstraZeneca</x:v>
      </x:c>
      <x:c r="C181" s="87"/>
      <x:c r="D181" s="87" t="str">
        <x:v>Yes</x:v>
      </x:c>
      <x:c r="E181" s="87" t="str">
        <x:v>astrazeneca</x:v>
      </x:c>
      <x:c r="F181" s="87" t="str">
        <x:v>179</x:v>
      </x:c>
      <x:c r="G181" s="87" t="str">
        <x:v>009-900-705-034-835</x:v>
      </x:c>
      <x:c r="H181" s="110" t="n">
        <x:v>44020</x:v>
      </x:c>
      <x:c r="I181" s="88" t="n">
        <x:v>2020</x:v>
      </x:c>
      <x:c r="J181" s="87" t="str">
        <x:v>US</x:v>
      </x:c>
      <x:c r="K181" s="87" t="str">
        <x:v>A1</x:v>
      </x:c>
      <x:c r="L181" s="87" t="str">
        <x:v>US 2023/0340079 A1</x:v>
      </x:c>
      <x:c r="M181" s="87" t="str">
        <x:v>ASTRAZENECA AB</x:v>
      </x:c>
      <x:c r="N181" s="87" t="str">
        <x:v>MEDIMMUNE LIMITED (2023-06-21);;ASTRAZENECA UK LIMITED (2023-06-06);;ASTRAZENECA AB (2023-07-12)</x:v>
      </x:c>
      <x:c r="O181" s="87" t="str">
        <x:v>METHODS OF IMPROVING PROTEIN EXPRESSION</x:v>
      </x:c>
      <x:c r="P181" s="109" t="n">
        <x:v>0</x:v>
      </x:c>
      <x:c r="Q181" s="109" t="n">
        <x:v>6</x:v>
      </x:c>
      <x:c r="R181" s="87" t="str">
        <x:v>C12N15/85;;C07K16/00;;C07K16/06;;C07K2317/10</x:v>
      </x:c>
      <x:c r="S181" s="87" t="str">
        <x:v>C07K16/06</x:v>
      </x:c>
      <x:c r="T181" s="87" t="str">
        <x:v>PENDING</x:v>
      </x:c>
      <x:c r="U181" s="87" t="str">
        <x:v>https://lens.org/009-900-705-034-835</x:v>
      </x:c>
    </x:row>
    <x:row r="182">
      <x:c r="A182" s="87" t="str">
        <x:v>AstraZeneca_Lens_RAW_2009_2024.csv.csv</x:v>
      </x:c>
      <x:c r="B182" s="87" t="str">
        <x:v>AstraZeneca</x:v>
      </x:c>
      <x:c r="C182" s="87"/>
      <x:c r="D182" s="87" t="str">
        <x:v>Yes</x:v>
      </x:c>
      <x:c r="E182" s="87" t="str">
        <x:v>astrazeneca</x:v>
      </x:c>
      <x:c r="F182" s="87" t="str">
        <x:v>180</x:v>
      </x:c>
      <x:c r="G182" s="87" t="str">
        <x:v>120-507-679-839-826</x:v>
      </x:c>
      <x:c r="H182" s="110" t="n">
        <x:v>43265</x:v>
      </x:c>
      <x:c r="I182" s="88" t="n">
        <x:v>2018</x:v>
      </x:c>
      <x:c r="J182" s="87" t="str">
        <x:v>US</x:v>
      </x:c>
      <x:c r="K182" s="87" t="str">
        <x:v>B2</x:v>
      </x:c>
      <x:c r="L182" s="87" t="str">
        <x:v>US 11798661 B2</x:v>
      </x:c>
      <x:c r="M182" s="87" t="str">
        <x:v>ASTRAZENECA UK LTD</x:v>
      </x:c>
      <x:c r="N182" s="87" t="str">
        <x:v>ASTRAZENECA UK LIMITED (2020-03-05)</x:v>
      </x:c>
      <x:c r="O182" s="87" t="str">
        <x:v>Methods for lowering blood pressure with a dihydropyridine-type calcium channel blocker pharmaceutical composition</x:v>
      </x:c>
      <x:c r="P182" s="109" t="n">
        <x:v>0</x:v>
      </x:c>
      <x:c r="Q182" s="109" t="n">
        <x:v>13</x:v>
      </x:c>
      <x:c r="R182" s="87" t="str">
        <x:v>G16H20/10;;A61K31/4422;;G16H10/20;;G16H50/20;;G16H10/20;;A61K31/4422;;G16H10/40;;G16H10/60;;G16H15/00;;G16H20/10;;G16H70/40</x:v>
      </x:c>
      <x:c r="S182" s="87" t="str">
        <x:v>G16H10/20;;A61K31/4422;;G16H10/40;;G16H10/60;;G16H15/00;;G16H20/10;;G16H70/40</x:v>
      </x:c>
      <x:c r="T182" s="87" t="str">
        <x:v>ACTIVE</x:v>
      </x:c>
      <x:c r="U182" s="87" t="str">
        <x:v>https://lens.org/120-507-679-839-826</x:v>
      </x:c>
    </x:row>
    <x:row r="183">
      <x:c r="A183" s="87" t="str">
        <x:v>AstraZeneca_Lens_RAW_2009_2024.csv.csv</x:v>
      </x:c>
      <x:c r="B183" s="87" t="str">
        <x:v>AstraZeneca</x:v>
      </x:c>
      <x:c r="C183" s="87"/>
      <x:c r="D183" s="87" t="str">
        <x:v>Yes</x:v>
      </x:c>
      <x:c r="E183" s="87" t="str">
        <x:v>astrazeneca</x:v>
      </x:c>
      <x:c r="F183" s="87" t="str">
        <x:v>181</x:v>
      </x:c>
      <x:c r="G183" s="87" t="str">
        <x:v>153-741-044-832-826</x:v>
      </x:c>
      <x:c r="H183" s="110" t="n">
        <x:v>43795</x:v>
      </x:c>
      <x:c r="I183" s="88" t="n">
        <x:v>2019</x:v>
      </x:c>
      <x:c r="J183" s="87" t="str">
        <x:v>US</x:v>
      </x:c>
      <x:c r="K183" s="87" t="str">
        <x:v>A1</x:v>
      </x:c>
      <x:c r="L183" s="87" t="str">
        <x:v>US 2023/0332239 A1</x:v>
      </x:c>
      <x:c r="M183" s="87" t="str">
        <x:v>ASTRAZENECA AB</x:v>
      </x:c>
      <x:c r="N183" s="87" t="str">
        <x:v>ASTRAZENECA PHARMACEUTICALS LP (2021-05-04);;ASTRAZENECA UK LIMITED (2021-05-05);;ASTRAZENECA AB (2021-05-10)</x:v>
      </x:c>
      <x:c r="O183" s="87" t="str">
        <x:v>METHODS OF TREATING CANCER</x:v>
      </x:c>
      <x:c r="P183" s="109" t="n">
        <x:v>1</x:v>
      </x:c>
      <x:c r="Q183" s="109" t="n">
        <x:v>7</x:v>
      </x:c>
      <x:c r="R183" s="87" t="str">
        <x:v>C12Q1/6886;;C12Q2600/106;;C12Q2600/112;;C12Q2600/158;;C12Q1/6886;;C12Q2600/106;;C12Q2600/112;;C12Q2600/158;;C12Q1/6886;;C12Q2600/106;;C12Q2600/156;;C12Q2600/158</x:v>
      </x:c>
      <x:c r="S183" s="87" t="str">
        <x:v>C12Q1/6886</x:v>
      </x:c>
      <x:c r="T183" s="87" t="str">
        <x:v>DISCONTINUED</x:v>
      </x:c>
      <x:c r="U183" s="87" t="str">
        <x:v>https://lens.org/153-741-044-832-826</x:v>
      </x:c>
    </x:row>
    <x:row r="184">
      <x:c r="A184" s="87" t="str">
        <x:v>AstraZeneca_Lens_RAW_2009_2024.csv.csv</x:v>
      </x:c>
      <x:c r="B184" s="87" t="str">
        <x:v>AstraZeneca</x:v>
      </x:c>
      <x:c r="C184" s="87"/>
      <x:c r="D184" s="87" t="str">
        <x:v>Yes</x:v>
      </x:c>
      <x:c r="E184" s="87" t="str">
        <x:v>astrazeneca</x:v>
      </x:c>
      <x:c r="F184" s="87" t="str">
        <x:v>182</x:v>
      </x:c>
      <x:c r="G184" s="87" t="str">
        <x:v>095-931-191-218-08X</x:v>
      </x:c>
      <x:c r="H184" s="110" t="n">
        <x:v>44006</x:v>
      </x:c>
      <x:c r="I184" s="88" t="n">
        <x:v>2020</x:v>
      </x:c>
      <x:c r="J184" s="87" t="str">
        <x:v>US</x:v>
      </x:c>
      <x:c r="K184" s="87" t="str">
        <x:v>A1</x:v>
      </x:c>
      <x:c r="L184" s="87" t="str">
        <x:v>US 2023/0330243 A1</x:v>
      </x:c>
      <x:c r="M184" s="87" t="str">
        <x:v>DAIICHI SANKYO CO LTD;;ASTRAZENECA UK LTD</x:v>
      </x:c>
      <x:c r="N184" s="87" t="str">
        <x:v>DAIICHI SANKYO COMPANY LIMITED (2021-06-10);;ASTRAZENECA PHARMACEUTICALS LP (2021-05-17);;ASTRAZENECA UK LIMITED (2021-06-10)</x:v>
      </x:c>
      <x:c r="O184" s="87" t="str">
        <x:v>COMBINATION OF ANTIBODY-DRUG CONJUGATE AND ATR INHIBITOR</x:v>
      </x:c>
      <x:c r="P184" s="109" t="n">
        <x:v>0</x:v>
      </x:c>
      <x:c r="Q184" s="109" t="n">
        <x:v>16</x:v>
      </x:c>
      <x:c r="R184" s="87" t="str">
        <x:v>A61K47/6855;;A61K47/6889;;A61P35/00;;A61K45/06;;A61K31/5377;;C07K16/32;;C07K2317/24;;A61K47/68037;;C07K16/32;;A61K47/6855;;A61P35/00;;A61K31/5377;;A61K47/6889;;A61K2300/00;;A61K45/06;;C07K2317/24;;A61K47/68037;;A61K47/6889;;A61K47/6803;;A61K47/6855;;A61K31/5377;;A61K45/06;;A61P35/04;;C07K16/32;;A61K2300/00;;C07K2317/24;;A61K47/6889;;A61K47/6855;;A61P35/00;;A61K31/5377;;C07K16/32;;A61K47/68037</x:v>
      </x:c>
      <x:c r="S184" s="87" t="str">
        <x:v>A61K47/68;;A61K31/5377;;A61P35/00;;C07K16/32</x:v>
      </x:c>
      <x:c r="T184" s="87" t="str">
        <x:v>PENDING</x:v>
      </x:c>
      <x:c r="U184" s="87" t="str">
        <x:v>https://lens.org/095-931-191-218-08X</x:v>
      </x:c>
    </x:row>
    <x:row r="185">
      <x:c r="A185" s="87" t="str">
        <x:v>AstraZeneca_Lens_RAW_2009_2024.csv.csv</x:v>
      </x:c>
      <x:c r="B185" s="87" t="str">
        <x:v>AstraZeneca</x:v>
      </x:c>
      <x:c r="C185" s="87"/>
      <x:c r="D185" s="87" t="str">
        <x:v>Yes</x:v>
      </x:c>
      <x:c r="E185" s="87" t="str">
        <x:v>astrazeneca</x:v>
      </x:c>
      <x:c r="F185" s="87" t="str">
        <x:v>183</x:v>
      </x:c>
      <x:c r="G185" s="87" t="str">
        <x:v>087-629-384-942-595</x:v>
      </x:c>
      <x:c r="H185" s="110" t="n">
        <x:v>44629</x:v>
      </x:c>
      <x:c r="I185" s="88" t="n">
        <x:v>2022</x:v>
      </x:c>
      <x:c r="J185" s="87" t="str">
        <x:v>US</x:v>
      </x:c>
      <x:c r="K185" s="87" t="str">
        <x:v>A1</x:v>
      </x:c>
      <x:c r="L185" s="87" t="str">
        <x:v>US 2023/0295293 A1</x:v>
      </x:c>
      <x:c r="M185" s="87" t="str">
        <x:v>ASTRAZENECA AB</x:v>
      </x:c>
      <x:c r="N185" s="87" t="str">
        <x:v>MEDIMMUNE LIMITED (2022-05-30);;ASTRAZENECA PHARMACEUTICALS LP (2022-05-20);;ASTRAZENECA UK LIMITED (2022-05-19);;ASTRAZENECA AB (2022-06-20);;MEDIMMUNE LLC (2022-05-23)</x:v>
      </x:c>
      <x:c r="O185" s="87" t="str">
        <x:v>BINDING MOLECULES AGAINST FRa</x:v>
      </x:c>
      <x:c r="P185" s="109" t="n">
        <x:v>9</x:v>
      </x:c>
      <x:c r="Q185" s="109" t="n">
        <x:v>16</x:v>
      </x:c>
      <x:c r="R185" s="87" t="str">
        <x:v>C07K16/28;;C07K2317/21;;C07K2317/33;;C07K2317/77;;C07K2317/92;;C07K2317/90;;A61K2039/505;;C07K2317/73;;A61P35/00;;A61K47/6849;;A61K47/6889;;A61K47/68037;;C07K16/28;;C07K2317/24;;C07K2317/14;;C07K2317/56;;C07K2317/94;;A61K47/6889;;C07K2317/92;;C07K2317/90;;C07K2317/21;;C07K2317/73;;A61P15/00;;C07K2317/77;;C07K2317/565;;A61K2039/505;;A61K47/6801;;A61P35/00;;C07K2317/33;;A61K47/6849;;A61K47/68037;;A61P1/00;;A61P11/00;;C07K16/28;;A61K47/6849;;A61K47/6889;;A61K47/68035;;A61K47/6801;;A61P35/00;;C07K2317/77;;C07K2317/33;;C07K2317/73;;C07K2317/92;;C07K2317/24;;C07K2317/55;;C07K2317/54;;A61K2039/505;;A61K47/6801;;A61P1/00;;A61P11/00;;A61P15/00;;A61P35/00;;A61K2039/505;;C07K16/28;;C07K2317/14;;C07K2317/21;;C07K2317/24;;C07K2317/56;;C07K2317/565;;C07K2317/92;;C07K2317/94</x:v>
      </x:c>
      <x:c r="S185" s="87" t="str">
        <x:v>C07K16/28;;A61K47/68;;A61P1/00;;A61P11/00;;A61P15/00;;A61P35/00</x:v>
      </x:c>
      <x:c r="T185" s="87" t="str">
        <x:v>PENDING</x:v>
      </x:c>
      <x:c r="U185" s="87" t="str">
        <x:v>https://lens.org/087-629-384-942-595</x:v>
      </x:c>
    </x:row>
    <x:row r="186">
      <x:c r="A186" s="87" t="str">
        <x:v>AstraZeneca_Lens_RAW_2009_2024.csv.csv</x:v>
      </x:c>
      <x:c r="B186" s="87" t="str">
        <x:v>AstraZeneca</x:v>
      </x:c>
      <x:c r="C186" s="87"/>
      <x:c r="D186" s="87" t="str">
        <x:v>Yes</x:v>
      </x:c>
      <x:c r="E186" s="87" t="str">
        <x:v>astrazeneca</x:v>
      </x:c>
      <x:c r="F186" s="87" t="str">
        <x:v>184</x:v>
      </x:c>
      <x:c r="G186" s="87" t="str">
        <x:v>142-894-448-324-762</x:v>
      </x:c>
      <x:c r="H186" s="110" t="n">
        <x:v>42264</x:v>
      </x:c>
      <x:c r="I186" s="88" t="n">
        <x:v>2015</x:v>
      </x:c>
      <x:c r="J186" s="87" t="str">
        <x:v>US</x:v>
      </x:c>
      <x:c r="K186" s="87" t="str">
        <x:v>A1</x:v>
      </x:c>
      <x:c r="L186" s="87" t="str">
        <x:v>US 2023/0286981 A1</x:v>
      </x:c>
      <x:c r="M186" s="87" t="str">
        <x:v>ASTRAZENECA AB</x:v>
      </x:c>
      <x:c r="N186" s="87" t="str">
        <x:v>ASTRAZENECA UK LIMITED (2016-09-15);;ASTRAZENECA AB (2016-09-15)</x:v>
      </x:c>
      <x:c r="O186" s="87" t="str">
        <x:v>Imidazo[4,5-c]quinolin-2-one Compounds and Their Use in Treating Cancer</x:v>
      </x:c>
      <x:c r="P186" s="109" t="n">
        <x:v>0</x:v>
      </x:c>
      <x:c r="Q186" s="109" t="n">
        <x:v>71</x:v>
      </x:c>
      <x:c r="R186" s="87" t="str">
        <x:v>C07D471/04;;A61K31/4745;;A61P25/28;;A61P35/00;;C07D471/04;;A61K31/4745;;A61P35/00;;C07D471/04;;A61K31/4745;;A61K45/06;;A61P35/00;;C07D471/04;;A61K31/4745;;A61K45/06;;A61P35/00</x:v>
      </x:c>
      <x:c r="S186" s="87" t="str">
        <x:v>C07D471/04;;A61K31/4745;;A61K45/06;;A61P35/00</x:v>
      </x:c>
      <x:c r="T186" s="87" t="str">
        <x:v>PENDING</x:v>
      </x:c>
      <x:c r="U186" s="87" t="str">
        <x:v>https://lens.org/142-894-448-324-762</x:v>
      </x:c>
    </x:row>
    <x:row r="187">
      <x:c r="A187" s="87" t="str">
        <x:v>AstraZeneca_Lens_RAW_2009_2024.csv.csv</x:v>
      </x:c>
      <x:c r="B187" s="87" t="str">
        <x:v>AstraZeneca</x:v>
      </x:c>
      <x:c r="C187" s="87"/>
      <x:c r="D187" s="87" t="str">
        <x:v>Yes</x:v>
      </x:c>
      <x:c r="E187" s="87" t="str">
        <x:v>astrazeneca</x:v>
      </x:c>
      <x:c r="F187" s="87" t="str">
        <x:v>185</x:v>
      </x:c>
      <x:c r="G187" s="87" t="str">
        <x:v>152-322-535-638-427</x:v>
      </x:c>
      <x:c r="H187" s="110" t="n">
        <x:v>44032</x:v>
      </x:c>
      <x:c r="I187" s="88" t="n">
        <x:v>2020</x:v>
      </x:c>
      <x:c r="J187" s="87" t="str">
        <x:v>US</x:v>
      </x:c>
      <x:c r="K187" s="87" t="str">
        <x:v>A1</x:v>
      </x:c>
      <x:c r="L187" s="87" t="str">
        <x:v>US 2023/0279078 A1</x:v>
      </x:c>
      <x:c r="M187" s="87" t="str">
        <x:v>ASTRAZENECA UK LTD</x:v>
      </x:c>
      <x:c r="N187" s="87" t="str">
        <x:v>ASTRAZENECA PHARMACEUTICALS LP (2021-02-16);;ASTRAZENECA UK LIMITED (2021-02-05);;MEDIMMUNE LLC (2021-02-15)</x:v>
      </x:c>
      <x:c r="O187" s="87" t="str">
        <x:v>SARS-COV-2 PROTEINS, ANTI-SARS-COV-2 ANTIBODIES, AND METHODS OF USING THE SAME</x:v>
      </x:c>
      <x:c r="P187" s="109" t="n">
        <x:v>0</x:v>
      </x:c>
      <x:c r="Q187" s="109" t="n">
        <x:v>11</x:v>
      </x:c>
      <x:c r="R187" s="87" t="str">
        <x:v>G01N33/56983;;G01N2469/20;;C07K16/102;;C07K16/104;;C07K16/10;;G01N33/56983;;G01N2469/20;;G01N33/56983;;G01N33/532;;G01N33/54388;;G01N2333/165;;C07K16/104;;G01N33/54388;;C07K2317/565;;C12N15/63;;G01N33/56983;;G01N2469/20;;C07K16/102;;C07K16/104</x:v>
      </x:c>
      <x:c r="S187" s="87" t="str">
        <x:v>C07K16/10;;C12N15/63;;G01N33/543;;G01N33/569</x:v>
      </x:c>
      <x:c r="T187" s="87" t="str">
        <x:v>DISCONTINUED</x:v>
      </x:c>
      <x:c r="U187" s="87" t="str">
        <x:v>https://lens.org/152-322-535-638-427</x:v>
      </x:c>
    </x:row>
    <x:row r="188">
      <x:c r="A188" s="87" t="str">
        <x:v>AstraZeneca_Lens_RAW_2009_2024.csv.csv</x:v>
      </x:c>
      <x:c r="B188" s="87" t="str">
        <x:v>AstraZeneca</x:v>
      </x:c>
      <x:c r="C188" s="87"/>
      <x:c r="D188" s="87" t="str">
        <x:v>Yes</x:v>
      </x:c>
      <x:c r="E188" s="87" t="str">
        <x:v>astrazeneca</x:v>
      </x:c>
      <x:c r="F188" s="87" t="str">
        <x:v>186</x:v>
      </x:c>
      <x:c r="G188" s="87" t="str">
        <x:v>098-990-893-327-810</x:v>
      </x:c>
      <x:c r="H188" s="110" t="n">
        <x:v>44432</x:v>
      </x:c>
      <x:c r="I188" s="88" t="n">
        <x:v>2021</x:v>
      </x:c>
      <x:c r="J188" s="87" t="str">
        <x:v>US</x:v>
      </x:c>
      <x:c r="K188" s="87" t="str">
        <x:v>A1</x:v>
      </x:c>
      <x:c r="L188" s="87" t="str">
        <x:v>US 2023/0279352 A1</x:v>
      </x:c>
      <x:c r="M188" s="87" t="str">
        <x:v>ASTRAZENECA AB</x:v>
      </x:c>
      <x:c r="N188" s="87" t="str">
        <x:v>ASTRAZENECA PHARMACEUTICALS LP (2021-09-15);;ASTRAZENECA AB (2021-09-21);;ASTRAZENECA UK LIMITED (2024-02-19)</x:v>
      </x:c>
      <x:c r="O188" s="87" t="str">
        <x:v>METHODS FOR GENERATING PRIMARY IMMUNE CELLS</x:v>
      </x:c>
      <x:c r="P188" s="109" t="n">
        <x:v>0</x:v>
      </x:c>
      <x:c r="Q188" s="109" t="n">
        <x:v>11</x:v>
      </x:c>
      <x:c r="R188" s="87" t="str">
        <x:v>C12N5/0636;;C12N5/0646;;C12N2510/00;;C07K14/47;;C07K14/4738;;C07K14/7051;;C07K14/70539;;C12N9/16;;C12N9/22;;A61K2239/38;;A61K2239/53;;A61K40/4205;;A61K40/4215;;A61K40/4261;;A61K40/50;;A61K40/31;;A61K40/11;;A61K39/001106;;A61K39/001117;;A61K39/001174;;A61K2039/5156;;A61K2039/5158;;C07K14/47;;C07K14/4738;;C07K14/4747;;C07K14/705;;C07K14/7051;;C07K14/70539;;C12N5/0636;;C12N5/0638;;C12N5/0646;;C12N9/16;;C12N9/22;;C12N2510/00;;C12N2510/04;;A61K40/31;;A61K40/11;;C12N5/0636;;C07K14/7051;;C07K14/4738;;C07K14/4747;;C07K14/70539;;C12N9/16;;C12N9/22;;A61P35/00;;C12N2510/00;;C12N2310/20;;A61K40/31;;A61K40/11;;C07K14/4747;;C07K14/705;;C12N5/0638;;C12N2510/04;;C12N5/0636;;C12N5/0646;;A61K2239/38;;A61K2239/53;;A61K40/11;;A61K40/31;;A61K40/4205;;A61K40/4215;;A61K40/4261;;A61K40/50</x:v>
      </x:c>
      <x:c r="S188" s="87" t="str">
        <x:v>C12N5/0783;;A61K39/00;;C07K14/47;;C07K14/705</x:v>
      </x:c>
      <x:c r="T188" s="87" t="str">
        <x:v>PENDING</x:v>
      </x:c>
      <x:c r="U188" s="87" t="str">
        <x:v>https://lens.org/098-990-893-327-810</x:v>
      </x:c>
    </x:row>
    <x:row r="189">
      <x:c r="A189" s="87" t="str">
        <x:v>AstraZeneca_Lens_RAW_2009_2024.csv.csv</x:v>
      </x:c>
      <x:c r="B189" s="87" t="str">
        <x:v>AstraZeneca</x:v>
      </x:c>
      <x:c r="C189" s="87"/>
      <x:c r="D189" s="87" t="str">
        <x:v>Yes</x:v>
      </x:c>
      <x:c r="E189" s="87" t="str">
        <x:v>astrazeneca</x:v>
      </x:c>
      <x:c r="F189" s="87" t="str">
        <x:v>187</x:v>
      </x:c>
      <x:c r="G189" s="87" t="str">
        <x:v>034-140-453-487-72X</x:v>
      </x:c>
      <x:c r="H189" s="110" t="n">
        <x:v>43440</x:v>
      </x:c>
      <x:c r="I189" s="88" t="n">
        <x:v>2018</x:v>
      </x:c>
      <x:c r="J189" s="87" t="str">
        <x:v>US</x:v>
      </x:c>
      <x:c r="K189" s="87" t="str">
        <x:v>B2</x:v>
      </x:c>
      <x:c r="L189" s="87" t="str">
        <x:v>US 11748981 B2</x:v>
      </x:c>
      <x:c r="M189" s="87" t="str">
        <x:v>ASTRAZENECA COMPUTATIONAL PATHOLOGY GMBH</x:v>
      </x:c>
      <x:c r="N189" s="87" t="str">
        <x:v>ASTRAZENECA COMPUTATIONAL PATHOLOGY GMBH (2019-12-05)</x:v>
      </x:c>
      <x:c r="O189" s="87" t="str">
        <x:v>Deep learning method for predicting patient response to a therapy</x:v>
      </x:c>
      <x:c r="P189" s="109" t="n">
        <x:v>0</x:v>
      </x:c>
      <x:c r="Q189" s="109" t="n">
        <x:v>5</x:v>
      </x:c>
      <x:c r="R189" s="87" t="str">
        <x:v>G06V10/82;;G06V10/764;;G06V20/695;;G06V20/698;;G06V10/82;;G01N1/30;;G01N2800/52;;G01N2800/7028;;G06F18/2414;;G06T7/0012;;G06T7/136;;G06T7/337;;G06T7/35;;G06T2207/20084;;G06T2207/30024;;G06T2207/30242;;G06V10/764;;G06V20/695;;G06V20/698</x:v>
      </x:c>
      <x:c r="S189" s="87" t="str">
        <x:v>G06V10/82;;G01N1/30;;G06F18/2413;;G06T7/00;;G06T7/136;;G06T7/33;;G06T7/35;;G06V10/764;;G06V20/69</x:v>
      </x:c>
      <x:c r="T189" s="87" t="str">
        <x:v>ACTIVE</x:v>
      </x:c>
      <x:c r="U189" s="87" t="str">
        <x:v>https://lens.org/034-140-453-487-72X</x:v>
      </x:c>
    </x:row>
    <x:row r="190">
      <x:c r="A190" s="87" t="str">
        <x:v>AstraZeneca_Lens_RAW_2009_2024.csv.csv</x:v>
      </x:c>
      <x:c r="B190" s="87" t="str">
        <x:v>AstraZeneca</x:v>
      </x:c>
      <x:c r="C190" s="87"/>
      <x:c r="D190" s="87" t="str">
        <x:v>Yes</x:v>
      </x:c>
      <x:c r="E190" s="87" t="str">
        <x:v>astrazeneca</x:v>
      </x:c>
      <x:c r="F190" s="87" t="str">
        <x:v>188</x:v>
      </x:c>
      <x:c r="G190" s="87" t="str">
        <x:v>064-989-659-812-269</x:v>
      </x:c>
      <x:c r="H190" s="110" t="n">
        <x:v>42933</x:v>
      </x:c>
      <x:c r="I190" s="88" t="n">
        <x:v>2017</x:v>
      </x:c>
      <x:c r="J190" s="87" t="str">
        <x:v>US</x:v>
      </x:c>
      <x:c r="K190" s="87" t="str">
        <x:v>B2</x:v>
      </x:c>
      <x:c r="L190" s="87" t="str">
        <x:v>US 11738027 B2</x:v>
      </x:c>
      <x:c r="M190" s="87" t="str">
        <x:v>ASTRAZENECA AB</x:v>
      </x:c>
      <x:c r="N190" s="87" t="str">
        <x:v>ASTRAZENECA UK LIMITED (2019-01-14);;ASTRAZENECA AB (2019-01-21)</x:v>
      </x:c>
      <x:c r="O190" s="87" t="str">
        <x:v>MPO inhibitors for use in medicine</x:v>
      </x:c>
      <x:c r="P190" s="109" t="n">
        <x:v>0</x:v>
      </x:c>
      <x:c r="Q190" s="109" t="n">
        <x:v>26</x:v>
      </x:c>
      <x:c r="R190" s="87" t="str">
        <x:v>A61K31/505;;A61P15/10;;A61K31/505;;A61P15/10;;A61K31/505;;A61K31/519;;A61P15/08;;A61P15/10;;A61K31/519;;A61P15/08;;A61K31/519;;A61P15/10</x:v>
      </x:c>
      <x:c r="S190" s="87" t="str">
        <x:v>A61P15/10;;A61K31/505;;A61K31/519</x:v>
      </x:c>
      <x:c r="T190" s="87" t="str">
        <x:v>ACTIVE</x:v>
      </x:c>
      <x:c r="U190" s="87" t="str">
        <x:v>https://lens.org/064-989-659-812-269</x:v>
      </x:c>
    </x:row>
    <x:row r="191">
      <x:c r="A191" s="87" t="str">
        <x:v>AstraZeneca_Lens_RAW_2009_2024.csv.csv</x:v>
      </x:c>
      <x:c r="B191" s="87" t="str">
        <x:v>AstraZeneca</x:v>
      </x:c>
      <x:c r="C191" s="87"/>
      <x:c r="D191" s="87" t="str">
        <x:v>Yes</x:v>
      </x:c>
      <x:c r="E191" s="87" t="str">
        <x:v>astrazeneca</x:v>
      </x:c>
      <x:c r="F191" s="87" t="str">
        <x:v>189</x:v>
      </x:c>
      <x:c r="G191" s="87" t="str">
        <x:v>103-373-262-667-662</x:v>
      </x:c>
      <x:c r="H191" s="110" t="n">
        <x:v>40890</x:v>
      </x:c>
      <x:c r="I191" s="88" t="n">
        <x:v>2011</x:v>
      </x:c>
      <x:c r="J191" s="87" t="str">
        <x:v>EP</x:v>
      </x:c>
      <x:c r="K191" s="87" t="str">
        <x:v>B1</x:v>
      </x:c>
      <x:c r="L191" s="87" t="str">
        <x:v>EP 3842058 B1</x:v>
      </x:c>
      <x:c r="M191" s="87" t="str">
        <x:v>PIERIS PHARMACEUTICALS GMBH;;ASTRAZENECA AB</x:v>
      </x:c>
      <x:c r="N191" s="87" t="str">
        <x:v>PIERIS PHARMACEUTICALS GMBH, DE (2023-12-12);;ASTRAZENECA AB (2023-08-16);;ASTRAZENECA AB, SE (2023-12-12);;PIERIS PHARMACEUTICALS GMBH (2023-08-16)</x:v>
      </x:c>
      <x:c r="O191" s="87" t="str">
        <x:v>METHODS FOR PREVENTING OR TREATING CERTAIN DISORDERS BY INHIBITING BINDING OF IL-4 AND/OR IL-13 TO THEIR RESPECTIVE RECEPTORS</x:v>
      </x:c>
      <x:c r="P191" s="109" t="n">
        <x:v>0</x:v>
      </x:c>
      <x:c r="Q191" s="109" t="n">
        <x:v>47</x:v>
      </x:c>
      <x:c r="R191" s="87" t="str">
        <x:v>A61K38/1709;;A61K9/0078;;A61K9/08;;A61P11/00;;A61P11/02;;A61P11/06;;A61P11/16;;A61P27/02;;A61P29/00;;A61P35/00;;A61P37/08;;A61P43/00;;A61K38/1709;;A61K9/0078;;A61K9/08</x:v>
      </x:c>
      <x:c r="S191" s="87" t="str">
        <x:v>A61K38/17;;A61K9/00</x:v>
      </x:c>
      <x:c r="T191" s="87" t="str">
        <x:v>ACTIVE</x:v>
      </x:c>
      <x:c r="U191" s="87" t="str">
        <x:v>https://lens.org/103-373-262-667-662</x:v>
      </x:c>
    </x:row>
    <x:row r="192">
      <x:c r="A192" s="87" t="str">
        <x:v>AstraZeneca_Lens_RAW_2009_2024.csv.csv</x:v>
      </x:c>
      <x:c r="B192" s="87" t="str">
        <x:v>AstraZeneca</x:v>
      </x:c>
      <x:c r="C192" s="87"/>
      <x:c r="D192" s="87" t="str">
        <x:v>Yes</x:v>
      </x:c>
      <x:c r="E192" s="87" t="str">
        <x:v>astrazeneca</x:v>
      </x:c>
      <x:c r="F192" s="87" t="str">
        <x:v>190</x:v>
      </x:c>
      <x:c r="G192" s="87" t="str">
        <x:v>077-110-034-669-783</x:v>
      </x:c>
      <x:c r="H192" s="110" t="n">
        <x:v>43003</x:v>
      </x:c>
      <x:c r="I192" s="88" t="n">
        <x:v>2017</x:v>
      </x:c>
      <x:c r="J192" s="87" t="str">
        <x:v>US</x:v>
      </x:c>
      <x:c r="K192" s="87" t="str">
        <x:v>A1</x:v>
      </x:c>
      <x:c r="L192" s="87" t="str">
        <x:v>US 2023/0255962 A1</x:v>
      </x:c>
      <x:c r="M192" s="87" t="str">
        <x:v>ASTRAZENECA AB</x:v>
      </x:c>
      <x:c r="N192" s="87" t="str">
        <x:v>ASTRAZENECA PHARMACEUTICALS LP (2017-10-18);;ASTRAZENECA UK LIMITED (2017-10-24);;ASTRAZENECA AB (2017-10-26)</x:v>
      </x:c>
      <x:c r="O192" s="87" t="str">
        <x:v>COMBINATION OF A BTK INHIBITOR AND AN INHIBITOR OF CDK9 TO TREAT CANCER</x:v>
      </x:c>
      <x:c r="P192" s="109" t="n">
        <x:v>3</x:v>
      </x:c>
      <x:c r="Q192" s="109" t="n">
        <x:v>9</x:v>
      </x:c>
      <x:c r="R192" s="87" t="str">
        <x:v>A61K31/4439;;A61K31/444;;A61K31/454;;A61K31/4985;;A61K31/505;;A61K31/519;;A61K31/522;;A61K31/53;;A61K31/519;;A61K31/4439;;A61K31/453;;A61P35/00;;A61K2300/00;;A61P35/00;;A61K31/4025;;A61K31/4433;;A61K31/4439;;A61K31/444;;A61K31/4985;;A61K31/505;;A61K31/519;;A61K31/522;;A61K31/53</x:v>
      </x:c>
      <x:c r="S192" s="87" t="str">
        <x:v>A61K31/4985;;A61K31/4025;;A61K31/4433;;A61K31/4439;;A61K31/444;;A61K31/505;;A61K31/519;;A61K31/522;;A61K31/53;;A61P35/00</x:v>
      </x:c>
      <x:c r="T192" s="87" t="str">
        <x:v>DISCONTINUED</x:v>
      </x:c>
      <x:c r="U192" s="87" t="str">
        <x:v>https://lens.org/077-110-034-669-783</x:v>
      </x:c>
    </x:row>
    <x:row r="193">
      <x:c r="A193" s="87" t="str">
        <x:v>AstraZeneca_Lens_RAW_2009_2024.csv.csv</x:v>
      </x:c>
      <x:c r="B193" s="87" t="str">
        <x:v>AstraZeneca</x:v>
      </x:c>
      <x:c r="C193" s="87"/>
      <x:c r="D193" s="87" t="str">
        <x:v>Yes</x:v>
      </x:c>
      <x:c r="E193" s="87" t="str">
        <x:v>astrazeneca</x:v>
      </x:c>
      <x:c r="F193" s="87" t="str">
        <x:v>191</x:v>
      </x:c>
      <x:c r="G193" s="87" t="str">
        <x:v>116-783-478-574-039</x:v>
      </x:c>
      <x:c r="H193" s="110" t="n">
        <x:v>44006</x:v>
      </x:c>
      <x:c r="I193" s="88" t="n">
        <x:v>2020</x:v>
      </x:c>
      <x:c r="J193" s="87" t="str">
        <x:v>US</x:v>
      </x:c>
      <x:c r="K193" s="87" t="str">
        <x:v>A1</x:v>
      </x:c>
      <x:c r="L193" s="87" t="str">
        <x:v>US 2023/0256110 A1</x:v>
      </x:c>
      <x:c r="M193" s="87" t="str">
        <x:v>ASTRAZENECA UK LTD;;DAIICHI SANKYO CO LTD</x:v>
      </x:c>
      <x:c r="N193" s="87" t="str">
        <x:v>DAIICHI SANKYO COMPANY LIMITED (2021-06-10);;ASTRAZENECA PHARMACEUTICALS LP (2021-05-17);;ASTRAZENECA UK LIMITED (2021-06-10)</x:v>
      </x:c>
      <x:c r="O193" s="87" t="str">
        <x:v>COMBINATION OF ANTIBODY-DRUG CONJUGATE AND ATM INHIBITOR</x:v>
      </x:c>
      <x:c r="P193" s="109" t="n">
        <x:v>0</x:v>
      </x:c>
      <x:c r="Q193" s="109" t="n">
        <x:v>6</x:v>
      </x:c>
      <x:c r="R193" s="87" t="str">
        <x:v>A61K47/6855;;A61K31/4745;;A61K45/06;;A61K47/68037;;A61K47/6889;;A61P35/00;;A61K47/6855;;A61K31/4745;;A61K47/68037;;A61K47/6889;;A61P35/00;;C07K16/22</x:v>
      </x:c>
      <x:c r="S193" s="87" t="str">
        <x:v>A61K47/68;;A61K31/4745;;A61P35/00;;C07K16/22</x:v>
      </x:c>
      <x:c r="T193" s="87" t="str">
        <x:v>PENDING</x:v>
      </x:c>
      <x:c r="U193" s="87" t="str">
        <x:v>https://lens.org/116-783-478-574-039</x:v>
      </x:c>
    </x:row>
    <x:row r="194">
      <x:c r="A194" s="87" t="str">
        <x:v>AstraZeneca_Lens_RAW_2009_2024.csv.csv</x:v>
      </x:c>
      <x:c r="B194" s="87" t="str">
        <x:v>AstraZeneca</x:v>
      </x:c>
      <x:c r="C194" s="87"/>
      <x:c r="D194" s="87" t="str">
        <x:v>Yes</x:v>
      </x:c>
      <x:c r="E194" s="87" t="str">
        <x:v>astrazeneca</x:v>
      </x:c>
      <x:c r="F194" s="87" t="str">
        <x:v>192</x:v>
      </x:c>
      <x:c r="G194" s="87" t="str">
        <x:v>115-322-789-817-853</x:v>
      </x:c>
      <x:c r="H194" s="110" t="n">
        <x:v>44505</x:v>
      </x:c>
      <x:c r="I194" s="88" t="n">
        <x:v>2021</x:v>
      </x:c>
      <x:c r="J194" s="87" t="str">
        <x:v>US</x:v>
      </x:c>
      <x:c r="K194" s="87" t="str">
        <x:v>A1</x:v>
      </x:c>
      <x:c r="L194" s="87" t="str">
        <x:v>US 2023/0242626 A1</x:v>
      </x:c>
      <x:c r="M194" s="87" t="str">
        <x:v>ASTRAZENECA UK LTD</x:v>
      </x:c>
      <x:c r="N194" s="87" t="str">
        <x:v>ASTRAZENECA UK LIMITED (2022-09-06);;MEDIMMUNE LLC (2022-08-30)</x:v>
      </x:c>
      <x:c r="O194" s="87" t="str">
        <x:v>COMPOSITION FOR TREATMENT AND PREVENTION OF COVID-19</x:v>
      </x:c>
      <x:c r="P194" s="109" t="n">
        <x:v>3</x:v>
      </x:c>
      <x:c r="Q194" s="109" t="n">
        <x:v>10</x:v>
      </x:c>
      <x:c r="R194" s="87" t="str">
        <x:v>A61K39/39591;;A61K47/26;;A61K47/18;;A61K9/0019;;A61P37/00;;C07K16/10;;C07K2317/565;;A61P37/00;;A61P31/14;;A61K47/18;;A61K47/26;;A61K9/0019;;A61K39/39591;;A61K39/39591;;A61K47/183;;A61K47/22;;A61K47/26;;A61K9/0019;;A61P31/14;;A61K2039/54;;C07K2317/565;;C07K16/104;;A61P31/14;;C07K16/10;;C07K2317/565</x:v>
      </x:c>
      <x:c r="S194" s="87" t="str">
        <x:v>A61P31/14;;C07K16/10</x:v>
      </x:c>
      <x:c r="T194" s="87" t="str">
        <x:v>PENDING</x:v>
      </x:c>
      <x:c r="U194" s="87" t="str">
        <x:v>https://lens.org/115-322-789-817-853</x:v>
      </x:c>
    </x:row>
    <x:row r="195">
      <x:c r="A195" s="87" t="str">
        <x:v>AstraZeneca_Lens_RAW_2009_2024.csv.csv</x:v>
      </x:c>
      <x:c r="B195" s="87" t="str">
        <x:v>AstraZeneca</x:v>
      </x:c>
      <x:c r="C195" s="87"/>
      <x:c r="D195" s="87" t="str">
        <x:v>Yes</x:v>
      </x:c>
      <x:c r="E195" s="87" t="str">
        <x:v>astrazeneca</x:v>
      </x:c>
      <x:c r="F195" s="87" t="str">
        <x:v>193</x:v>
      </x:c>
      <x:c r="G195" s="87" t="str">
        <x:v>103-766-225-929-093</x:v>
      </x:c>
      <x:c r="H195" s="110" t="n">
        <x:v>44006</x:v>
      </x:c>
      <x:c r="I195" s="88" t="n">
        <x:v>2020</x:v>
      </x:c>
      <x:c r="J195" s="87" t="str">
        <x:v>US</x:v>
      </x:c>
      <x:c r="K195" s="87" t="str">
        <x:v>A1</x:v>
      </x:c>
      <x:c r="L195" s="87" t="str">
        <x:v>US 2023/0233540 A1</x:v>
      </x:c>
      <x:c r="M195" s="87" t="str">
        <x:v>ASTRAZENECA UK LTD;;DAIICHI SANKYO CO LTD</x:v>
      </x:c>
      <x:c r="N195" s="87" t="str">
        <x:v>DAIICHI SANKYO COMPANY LIMITED (2021-06-10);;ASTRAZENECA PHARMACEUTICALS LP (2021-05-17);;ASTRAZENECA UK LIMITED (2021-06-10)</x:v>
      </x:c>
      <x:c r="O195" s="87" t="str">
        <x:v>COMBINATION OF ANTIBODY-DRUG CONJUGATE AND CDK9 INHIBITOR</x:v>
      </x:c>
      <x:c r="P195" s="109" t="n">
        <x:v>0</x:v>
      </x:c>
      <x:c r="Q195" s="109" t="n">
        <x:v>8</x:v>
      </x:c>
      <x:c r="R195" s="87" t="str">
        <x:v>A61K47/6855;;A61K47/6889;;A61P35/00;;A61K45/06;;A61K31/4439;;A61K39/001106;;A61K2039/505;;A61K47/68037;;A61K47/6889;;A61K47/6855;;A61P35/00;;A61K31/4439;;C07K16/2863;;A61K47/68037;;A61K39/001106</x:v>
      </x:c>
      <x:c r="S195" s="87" t="str">
        <x:v>A61K31/4439;;A61K47/68;;A61P35/00;;C07K16/28</x:v>
      </x:c>
      <x:c r="T195" s="87" t="str">
        <x:v>PENDING</x:v>
      </x:c>
      <x:c r="U195" s="87" t="str">
        <x:v>https://lens.org/103-766-225-929-093</x:v>
      </x:c>
    </x:row>
    <x:row r="196">
      <x:c r="A196" s="87" t="str">
        <x:v>AstraZeneca_Lens_RAW_2009_2024.csv.csv</x:v>
      </x:c>
      <x:c r="B196" s="87" t="str">
        <x:v>AstraZeneca</x:v>
      </x:c>
      <x:c r="C196" s="87"/>
      <x:c r="D196" s="87" t="str">
        <x:v>Yes</x:v>
      </x:c>
      <x:c r="E196" s="87" t="str">
        <x:v>astrazeneca</x:v>
      </x:c>
      <x:c r="F196" s="87" t="str">
        <x:v>194</x:v>
      </x:c>
      <x:c r="G196" s="87" t="str">
        <x:v>005-730-321-899-763</x:v>
      </x:c>
      <x:c r="H196" s="110" t="n">
        <x:v>42264</x:v>
      </x:c>
      <x:c r="I196" s="88" t="n">
        <x:v>2015</x:v>
      </x:c>
      <x:c r="J196" s="87" t="str">
        <x:v>US</x:v>
      </x:c>
      <x:c r="K196" s="87" t="str">
        <x:v>B2</x:v>
      </x:c>
      <x:c r="L196" s="87" t="str">
        <x:v>US 11685953 B2</x:v>
      </x:c>
      <x:c r="M196" s="87" t="str">
        <x:v>ASTRAZENECA AB</x:v>
      </x:c>
      <x:c r="N196" s="87" t="str">
        <x:v>ASTRAZENECA UK LIMITED (2016-01-25);;ASTRAZENECA AB (2016-01-19)</x:v>
      </x:c>
      <x:c r="O196" s="87" t="str">
        <x:v>Biomarkers and methods of treating cancer</x:v>
      </x:c>
      <x:c r="P196" s="109" t="n">
        <x:v>0</x:v>
      </x:c>
      <x:c r="Q196" s="109" t="n">
        <x:v>18</x:v>
      </x:c>
      <x:c r="R196" s="87" t="str">
        <x:v>C12Q1/6886;;A61P15/00;;A61P35/00;;A61P35/02;;A61P43/00;;C12Q2600/106;;C12Q2600/156;;C12Q1/6886;;C12Q2600/106;;C12Q2600/156;;C12Q1/6886;;A61P35/00;;A61P35/02;;C07D401/12;;C12Q2600/106;;C12Q2600/156</x:v>
      </x:c>
      <x:c r="S196" s="87" t="str">
        <x:v>C12Q1/68;;A61P35/00;;A61P35/02;;C07D401/12;;C12Q1/6886</x:v>
      </x:c>
      <x:c r="T196" s="87" t="str">
        <x:v>ACTIVE</x:v>
      </x:c>
      <x:c r="U196" s="87" t="str">
        <x:v>https://lens.org/005-730-321-899-763</x:v>
      </x:c>
    </x:row>
    <x:row r="197">
      <x:c r="A197" s="87" t="str">
        <x:v>AstraZeneca_Lens_RAW_2009_2024.csv.csv</x:v>
      </x:c>
      <x:c r="B197" s="87" t="str">
        <x:v>AstraZeneca</x:v>
      </x:c>
      <x:c r="C197" s="87"/>
      <x:c r="D197" s="87" t="str">
        <x:v>Yes</x:v>
      </x:c>
      <x:c r="E197" s="87" t="str">
        <x:v>astrazeneca</x:v>
      </x:c>
      <x:c r="F197" s="87" t="str">
        <x:v>195</x:v>
      </x:c>
      <x:c r="G197" s="87" t="str">
        <x:v>153-603-651-126-362</x:v>
      </x:c>
      <x:c r="H197" s="110" t="n">
        <x:v>44518</x:v>
      </x:c>
      <x:c r="I197" s="88" t="n">
        <x:v>2021</x:v>
      </x:c>
      <x:c r="J197" s="87" t="str">
        <x:v>US</x:v>
      </x:c>
      <x:c r="K197" s="87" t="str">
        <x:v>A1</x:v>
      </x:c>
      <x:c r="L197" s="87" t="str">
        <x:v>US 2023/0181482 A1</x:v>
      </x:c>
      <x:c r="M197" s="87" t="str">
        <x:v>ASTRAZENECA AB</x:v>
      </x:c>
      <x:c r="N197" s="87" t="str">
        <x:v>ASTRAZENECA PHARMACEUTICALS LP (2023-03-03);;ASTRAZENECA AB (2023-03-06);;ASTRAZENECA UK LIMITED (2023-03-20)</x:v>
      </x:c>
      <x:c r="O197" s="87" t="str">
        <x:v>LIPIDS FOR DELIVERY OF NUCLEIC ACID SEGMENTS</x:v>
      </x:c>
      <x:c r="P197" s="109" t="n">
        <x:v>0</x:v>
      </x:c>
      <x:c r="Q197" s="109" t="n">
        <x:v>19</x:v>
      </x:c>
      <x:c r="R197" s="87" t="str">
        <x:v>C07D305/06;;C07D305/14;;C07D307/06;;C07D309/04;;C12N15/88;;A61K48/0041;;A61K48/0033;;A61K48/0041;;C12N15/88;;C07D309/04;;C07D305/14;;A61K9/5123;;C07D309/14;;C07D307/06;;A61K9/5146;;C07D311/96;;C07D307/14;;C07D307/94;;C07D305/06;;C07D319/12;;C07D305/14;;A61K9/5123;;A61K48/0033;;A61K47/22;;C07D309/14;;C07D307/14;;C07D305/06;;C07D319/12;;C07D311/96;;C07D307/94;;A61K9/5123;;A61K9/5146;;A61K48/0033;;C07D305/06;;C07D305/14;;C07D307/14;;C07D307/94;;C07D309/04;;C07D309/14;;C07D311/96;;C07D319/12</x:v>
      </x:c>
      <x:c r="S197" s="87" t="str">
        <x:v>A61K9/51;;A61K48/00;;C07D305/06;;C07D305/14;;C07D307/14;;C07D307/94;;C07D309/04;;C07D309/14;;C07D311/96;;C07D319/12</x:v>
      </x:c>
      <x:c r="T197" s="87" t="str">
        <x:v>PENDING</x:v>
      </x:c>
      <x:c r="U197" s="87" t="str">
        <x:v>https://lens.org/153-603-651-126-362</x:v>
      </x:c>
    </x:row>
    <x:row r="198">
      <x:c r="A198" s="87" t="str">
        <x:v>AstraZeneca_Lens_RAW_2009_2024.csv.csv</x:v>
      </x:c>
      <x:c r="B198" s="87" t="str">
        <x:v>AstraZeneca</x:v>
      </x:c>
      <x:c r="C198" s="87"/>
      <x:c r="D198" s="87" t="str">
        <x:v>Yes</x:v>
      </x:c>
      <x:c r="E198" s="87" t="str">
        <x:v>astrazeneca</x:v>
      </x:c>
      <x:c r="F198" s="87" t="str">
        <x:v>196</x:v>
      </x:c>
      <x:c r="G198" s="87" t="str">
        <x:v>174-115-745-908-698</x:v>
      </x:c>
      <x:c r="H198" s="110" t="n">
        <x:v>43950</x:v>
      </x:c>
      <x:c r="I198" s="88" t="n">
        <x:v>2020</x:v>
      </x:c>
      <x:c r="J198" s="87" t="str">
        <x:v>US</x:v>
      </x:c>
      <x:c r="K198" s="87" t="str">
        <x:v>A1</x:v>
      </x:c>
      <x:c r="L198" s="87" t="str">
        <x:v>US 2023/0165856 A1</x:v>
      </x:c>
      <x:c r="M198" s="87" t="str">
        <x:v>ASTRAZENECA AB</x:v>
      </x:c>
      <x:c r="N198" s="87" t="str">
        <x:v>ASTRAZENECA AB (2020-09-14)</x:v>
      </x:c>
      <x:c r="O198" s="87" t="str">
        <x:v>DAPAGLIFLOZIN AND AMBRISENTAN FOR THE PREVENTION AND TREATMENT OF COVID-19</x:v>
      </x:c>
      <x:c r="P198" s="109" t="n">
        <x:v>1</x:v>
      </x:c>
      <x:c r="Q198" s="109" t="n">
        <x:v>2</x:v>
      </x:c>
      <x:c r="R198" s="87" t="str">
        <x:v>A61P31/14;;A61K31/505;;A61K31/70;;A61P9/00;;A61P11/00;;A61P13/12;;A61K31/505;;A61K31/70;;A61P31/14</x:v>
      </x:c>
      <x:c r="S198" s="87" t="str">
        <x:v>A61K31/505;;A61K31/70;;A61P31/14</x:v>
      </x:c>
      <x:c r="T198" s="87" t="str">
        <x:v>DISCONTINUED</x:v>
      </x:c>
      <x:c r="U198" s="87" t="str">
        <x:v>https://lens.org/174-115-745-908-698</x:v>
      </x:c>
    </x:row>
    <x:row r="199">
      <x:c r="A199" s="87" t="str">
        <x:v>AstraZeneca_Lens_RAW_2009_2024.csv.csv</x:v>
      </x:c>
      <x:c r="B199" s="87" t="str">
        <x:v>AstraZeneca</x:v>
      </x:c>
      <x:c r="C199" s="87"/>
      <x:c r="D199" s="87" t="str">
        <x:v>Yes</x:v>
      </x:c>
      <x:c r="E199" s="87" t="str">
        <x:v>astrazeneca</x:v>
      </x:c>
      <x:c r="F199" s="87" t="str">
        <x:v>197</x:v>
      </x:c>
      <x:c r="G199" s="87" t="str">
        <x:v>029-740-772-700-469</x:v>
      </x:c>
      <x:c r="H199" s="110" t="n">
        <x:v>43903</x:v>
      </x:c>
      <x:c r="I199" s="88" t="n">
        <x:v>2020</x:v>
      </x:c>
      <x:c r="J199" s="87" t="str">
        <x:v>US</x:v>
      </x:c>
      <x:c r="K199" s="87" t="str">
        <x:v>A1</x:v>
      </x:c>
      <x:c r="L199" s="87" t="str">
        <x:v>US 2023/0151013 A1</x:v>
      </x:c>
      <x:c r="M199" s="87" t="str">
        <x:v>ASTRAZENECA AB</x:v>
      </x:c>
      <x:c r="N199" s="87" t="str">
        <x:v>MEDIMMUNE LIMITED (2020-07-01);;ASTRAZENECA AB (2021-04-23)</x:v>
      </x:c>
      <x:c r="O199" s="87" t="str">
        <x:v>FUSED PYRIMIDINE COMPOUNDS AS KCC2 MODULATORS</x:v>
      </x:c>
      <x:c r="P199" s="109" t="n">
        <x:v>10</x:v>
      </x:c>
      <x:c r="Q199" s="109" t="n">
        <x:v>37</x:v>
      </x:c>
      <x:c r="R199" s="87" t="str">
        <x:v>C07D471/04;;C07D487/04;;C07D491/04;;A61P25/08;;A61P29/00;;A61P25/22;;A61P25/08;;C07D471/04;;C07D491/04;;A61P25/22;;C07D487/04;;A61P29/00;;A61K31/541;;C07D491/048;;A61K31/5377;;A61K31/519;;A61P25/00;;C07D519/00;;A61K31/553;;C07D498/10;;C07D487/04;;A61K31/519;;A61K31/5377;;A61K31/541;;A61K31/553;;A61P25/00;;C07D498/10;;C07D491/048;;C07D471/04;;C07D487/04;;C07D519/00</x:v>
      </x:c>
      <x:c r="S199" s="87" t="str">
        <x:v>C07D487/04;;C07D519/00</x:v>
      </x:c>
      <x:c r="T199" s="87" t="str">
        <x:v>ACTIVE</x:v>
      </x:c>
      <x:c r="U199" s="87" t="str">
        <x:v>https://lens.org/029-740-772-700-469</x:v>
      </x:c>
    </x:row>
    <x:row r="200">
      <x:c r="A200" s="87" t="str">
        <x:v>AstraZeneca_Lens_RAW_2009_2024.csv.csv</x:v>
      </x:c>
      <x:c r="B200" s="87" t="str">
        <x:v>AstraZeneca</x:v>
      </x:c>
      <x:c r="C200" s="87"/>
      <x:c r="D200" s="87" t="str">
        <x:v>Yes</x:v>
      </x:c>
      <x:c r="E200" s="87" t="str">
        <x:v>astrazeneca</x:v>
      </x:c>
      <x:c r="F200" s="87" t="str">
        <x:v>198</x:v>
      </x:c>
      <x:c r="G200" s="87" t="str">
        <x:v>081-243-484-675-527</x:v>
      </x:c>
      <x:c r="H200" s="110" t="n">
        <x:v>42929</x:v>
      </x:c>
      <x:c r="I200" s="88" t="n">
        <x:v>2017</x:v>
      </x:c>
      <x:c r="J200" s="87" t="str">
        <x:v>US</x:v>
      </x:c>
      <x:c r="K200" s="87" t="str">
        <x:v>A1</x:v>
      </x:c>
      <x:c r="L200" s="87" t="str">
        <x:v>US 2023/0128091 A1</x:v>
      </x:c>
      <x:c r="M200" s="87" t="str">
        <x:v>ASTRAZENECA AB</x:v>
      </x:c>
      <x:c r="N200" s="87" t="str">
        <x:v>KTH HOLDING AB 556498-0455 (2017-07-13);;ASTRAZENECA AB (2017-07-13)</x:v>
      </x:c>
      <x:c r="O200" s="87" t="str">
        <x:v>MEDICAMENT DISPENSING SYSTEM AND DISPENSING METHOD</x:v>
      </x:c>
      <x:c r="P200" s="109" t="n">
        <x:v>0</x:v>
      </x:c>
      <x:c r="Q200" s="109" t="n">
        <x:v>17</x:v>
      </x:c>
      <x:c r="R200" s="87" t="str">
        <x:v>A61J1/035;;A61J7/0409;;G08B21/24;;G08B25/10;;A61J1/035;;A61J7/0418;;A61J7/0436;;A61J2200/30;;A61J7/0418;;A61J1/035;;A61J2200/30;;B65D83/0463;;G01D5/342;;G01L1/142;;G16H20/13;;G16H40/67;;H04B1/02;;H04B10/50</x:v>
      </x:c>
      <x:c r="S200" s="87" t="str">
        <x:v>A61J7/04;;A61J1/03;;B65D83/04;;G01D5/34;;G01L1/14;;G16H20/13;;G16H40/67</x:v>
      </x:c>
      <x:c r="T200" s="87" t="str">
        <x:v>DISCONTINUED</x:v>
      </x:c>
      <x:c r="U200" s="87" t="str">
        <x:v>https://lens.org/081-243-484-675-527</x:v>
      </x:c>
    </x:row>
    <x:row r="201">
      <x:c r="A201" s="87" t="str">
        <x:v>AstraZeneca_Lens_RAW_2009_2024.csv.csv</x:v>
      </x:c>
      <x:c r="B201" s="87" t="str">
        <x:v>AstraZeneca</x:v>
      </x:c>
      <x:c r="C201" s="87"/>
      <x:c r="D201" s="87" t="str">
        <x:v>Yes</x:v>
      </x:c>
      <x:c r="E201" s="87" t="str">
        <x:v>astrazeneca</x:v>
      </x:c>
      <x:c r="F201" s="87" t="str">
        <x:v>199</x:v>
      </x:c>
      <x:c r="G201" s="87" t="str">
        <x:v>050-960-143-340-005</x:v>
      </x:c>
      <x:c r="H201" s="110" t="n">
        <x:v>43896</x:v>
      </x:c>
      <x:c r="I201" s="88" t="n">
        <x:v>2020</x:v>
      </x:c>
      <x:c r="J201" s="87" t="str">
        <x:v>US</x:v>
      </x:c>
      <x:c r="K201" s="87" t="str">
        <x:v>A1</x:v>
      </x:c>
      <x:c r="L201" s="87" t="str">
        <x:v>US 2023/0119254 A1</x:v>
      </x:c>
      <x:c r="M201" s="87" t="str">
        <x:v>ASTRAZENECA AB</x:v>
      </x:c>
      <x:c r="N201" s="87" t="str">
        <x:v>APT THERAPEUTICS INC (2024-03-21);;ASTRAZENECA AB (2020-09-25)</x:v>
      </x:c>
      <x:c r="O201" s="87" t="str">
        <x:v>SYNERGISTIC AND TARGETING COMPOSITIONS FOR TREATMENT OF ARTERIAL AND VENOUS THROMBOSIS</x:v>
      </x:c>
      <x:c r="P201" s="109" t="n">
        <x:v>0</x:v>
      </x:c>
      <x:c r="Q201" s="109" t="n">
        <x:v>23</x:v>
      </x:c>
      <x:c r="R201" s="87" t="str">
        <x:v>A61K38/46;;A61K38/1709;;C12N9/14;;A61P7/02;;A61P7/04;;C07K14/4721;;C12Y306/01005;;C07K2319/00;;C07K2319/02;;C07K2319/33;;C07K14/70596;;C07K14/745;;C12N9/18;;C12Y301/01004;;A61K2300/00;;A61K38/46;;C07K2319/33;;C07K2319/00;;C07K2319/02;;A61K38/1709;;C07K14/70596;;C12N9/14;;C07K14/745;;A61P7/04;;C12Y301/01004;;A61P7/02;;C12N9/18;;C07K14/4721;;C12Y306/01005;;A61K38/43;;A61K38/1709;;A61P7/02;;C12N9/14;;C12N9/18;;C07K14/4721;;C07K14/70596;;C07K14/745;;C12Y306/01005;;C12Y301/01004;;A61K2300/00;;C07K2319/00;;C07K2319/02;;C07K2319/33;;A61P7/04;;A61K38/00;;C07K14/4721;;C07K2319/33;;C12N9/14;;C12Y306/01005</x:v>
      </x:c>
      <x:c r="S201" s="87" t="str">
        <x:v>C12N9/14;;A61P7/04;;C07K14/47</x:v>
      </x:c>
      <x:c r="T201" s="87" t="str">
        <x:v>PENDING</x:v>
      </x:c>
      <x:c r="U201" s="87" t="str">
        <x:v>https://lens.org/050-960-143-340-005</x:v>
      </x:c>
    </x:row>
    <x:row r="202">
      <x:c r="A202" s="87" t="str">
        <x:v>AstraZeneca_Lens_RAW_2009_2024.csv.csv</x:v>
      </x:c>
      <x:c r="B202" s="87" t="str">
        <x:v>AstraZeneca</x:v>
      </x:c>
      <x:c r="C202" s="87"/>
      <x:c r="D202" s="87" t="str">
        <x:v>Yes</x:v>
      </x:c>
      <x:c r="E202" s="87" t="str">
        <x:v>astrazeneca</x:v>
      </x:c>
      <x:c r="F202" s="87" t="str">
        <x:v>200</x:v>
      </x:c>
      <x:c r="G202" s="87" t="str">
        <x:v>128-932-047-457-043</x:v>
      </x:c>
      <x:c r="H202" s="110" t="n">
        <x:v>43850</x:v>
      </x:c>
      <x:c r="I202" s="88" t="n">
        <x:v>2020</x:v>
      </x:c>
      <x:c r="J202" s="87" t="str">
        <x:v>US</x:v>
      </x:c>
      <x:c r="K202" s="87" t="str">
        <x:v>A1</x:v>
      </x:c>
      <x:c r="L202" s="87" t="str">
        <x:v>US 2023/0056604 A1</x:v>
      </x:c>
      <x:c r="M202" s="87" t="str">
        <x:v>ASTRAZENECA AB</x:v>
      </x:c>
      <x:c r="N202" s="87" t="str">
        <x:v>ASTRAZENECA AB (2020-03-11);;ASTRAZENECA UK LIMITED (2020-06-23)</x:v>
      </x:c>
      <x:c r="O202" s="87" t="str">
        <x:v>EPIDERMAL GROWTH FACTOR RECEPTOR TYROSINE KINASE INHIBITORS FOR THE TREATMENT OF CANCER</x:v>
      </x:c>
      <x:c r="P202" s="109" t="n">
        <x:v>1</x:v>
      </x:c>
      <x:c r="Q202" s="109" t="n">
        <x:v>10</x:v>
      </x:c>
      <x:c r="R202" s="87" t="str">
        <x:v>A61K45/06;;A61K31/4025;;A61K31/404;;A61K31/407;;A61K31/427;;A61K31/433;;A61K31/506;;A61K31/517;;A61K31/519;;A61K31/5377;;A61P35/00;;A61K31/506;;A61K31/444;;A61K31/517;;A61K31/519;;A61K31/5377;;A61K45/06;;A61K2300/00;;A61P35/00;;A61K31/506;;A61K31/40;;A61P35/00</x:v>
      </x:c>
      <x:c r="S202" s="87" t="str">
        <x:v>A61K31/506;;A61K31/40;;A61P35/00</x:v>
      </x:c>
      <x:c r="T202" s="87" t="str">
        <x:v>DISCONTINUED</x:v>
      </x:c>
      <x:c r="U202" s="87" t="str">
        <x:v>https://lens.org/128-932-047-457-043</x:v>
      </x:c>
    </x:row>
    <x:row r="203">
      <x:c r="A203" s="87" t="str">
        <x:v>AstraZeneca_Lens_RAW_2009_2024.csv.csv</x:v>
      </x:c>
      <x:c r="B203" s="87" t="str">
        <x:v>AstraZeneca</x:v>
      </x:c>
      <x:c r="C203" s="87"/>
      <x:c r="D203" s="87" t="str">
        <x:v>Yes</x:v>
      </x:c>
      <x:c r="E203" s="87" t="str">
        <x:v>astrazeneca</x:v>
      </x:c>
      <x:c r="F203" s="87" t="str">
        <x:v>201</x:v>
      </x:c>
      <x:c r="G203" s="87" t="str">
        <x:v>174-257-441-200-395</x:v>
      </x:c>
      <x:c r="H203" s="110" t="n">
        <x:v>43804</x:v>
      </x:c>
      <x:c r="I203" s="88" t="n">
        <x:v>2019</x:v>
      </x:c>
      <x:c r="J203" s="87" t="str">
        <x:v>US</x:v>
      </x:c>
      <x:c r="K203" s="87" t="str">
        <x:v>A1</x:v>
      </x:c>
      <x:c r="L203" s="87" t="str">
        <x:v>US 2023/0046093 A1</x:v>
      </x:c>
      <x:c r="M203" s="87" t="str">
        <x:v>ASTRAZENECA AB</x:v>
      </x:c>
      <x:c r="N203" s="87" t="str">
        <x:v>ASTRAZENECA AB (2020-11-29)</x:v>
      </x:c>
      <x:c r="O203" s="87" t="str">
        <x:v>PROCESS AND INTERMEDIATES FOR THE PRODUCTION OF FORMULA (I)</x:v>
      </x:c>
      <x:c r="P203" s="109" t="n">
        <x:v>0</x:v>
      </x:c>
      <x:c r="Q203" s="109" t="n">
        <x:v>16</x:v>
      </x:c>
      <x:c r="R203" s="87" t="str">
        <x:v>C07D487/04;;C07D403/04;;C07D405/14;;C07D487/04;;C07D403/04;;C07D405/14;;C07D487/04;;A61K31/506;;A61P35/00;;C07D403/04;;C07D487/04;;C07D403/04;;C07D405/14</x:v>
      </x:c>
      <x:c r="S203" s="87" t="str">
        <x:v>C07D487/04;;C07D403/04;;C07D405/14</x:v>
      </x:c>
      <x:c r="T203" s="87" t="str">
        <x:v>DISCONTINUED</x:v>
      </x:c>
      <x:c r="U203" s="87" t="str">
        <x:v>https://lens.org/174-257-441-200-395</x:v>
      </x:c>
    </x:row>
    <x:row r="204">
      <x:c r="A204" s="87" t="str">
        <x:v>AstraZeneca_Lens_RAW_2009_2024.csv.csv</x:v>
      </x:c>
      <x:c r="B204" s="87" t="str">
        <x:v>AstraZeneca</x:v>
      </x:c>
      <x:c r="C204" s="87"/>
      <x:c r="D204" s="87" t="str">
        <x:v>Yes</x:v>
      </x:c>
      <x:c r="E204" s="87" t="str">
        <x:v>astrazeneca</x:v>
      </x:c>
      <x:c r="F204" s="87" t="str">
        <x:v>202</x:v>
      </x:c>
      <x:c r="G204" s="87" t="str">
        <x:v>199-461-946-634-151</x:v>
      </x:c>
      <x:c r="H204" s="110" t="n">
        <x:v>43839</x:v>
      </x:c>
      <x:c r="I204" s="88" t="n">
        <x:v>2020</x:v>
      </x:c>
      <x:c r="J204" s="87" t="str">
        <x:v>US</x:v>
      </x:c>
      <x:c r="K204" s="87" t="str">
        <x:v>A1</x:v>
      </x:c>
      <x:c r="L204" s="87" t="str">
        <x:v>US 2023/0038138 A1</x:v>
      </x:c>
      <x:c r="M204" s="87" t="str">
        <x:v>ASTRAZENECA AB</x:v>
      </x:c>
      <x:c r="N204" s="87" t="str">
        <x:v>ASTRAZENECA PHARMACEUTICALS LP (2020-12-02);;ASTRAZENECA UK LIMITED (2020-12-15);;ASTRAZENECA AB (2020-12-16)</x:v>
      </x:c>
      <x:c r="O204" s="87" t="str">
        <x:v>COMBINATION THERAPY FOR TREATING CANCER</x:v>
      </x:c>
      <x:c r="P204" s="109" t="n">
        <x:v>4</x:v>
      </x:c>
      <x:c r="Q204" s="109" t="n">
        <x:v>10</x:v>
      </x:c>
      <x:c r="R204" s="87" t="str">
        <x:v>A61K31/502;;A61K31/5025;;A61K31/502;;A61K31/5025;;A61K31/5025;;A61K31/502;;A61K2300/00;;A61P35/00;;A61K31/5025</x:v>
      </x:c>
      <x:c r="S204" s="87" t="str">
        <x:v>A61K31/5025</x:v>
      </x:c>
      <x:c r="T204" s="87" t="str">
        <x:v>DISCONTINUED</x:v>
      </x:c>
      <x:c r="U204" s="87" t="str">
        <x:v>https://lens.org/199-461-946-634-151</x:v>
      </x:c>
    </x:row>
    <x:row r="205">
      <x:c r="A205" s="87" t="str">
        <x:v>AstraZeneca_Lens_RAW_2009_2024.csv.csv</x:v>
      </x:c>
      <x:c r="B205" s="87" t="str">
        <x:v>AstraZeneca</x:v>
      </x:c>
      <x:c r="C205" s="87"/>
      <x:c r="D205" s="87" t="str">
        <x:v>Yes</x:v>
      </x:c>
      <x:c r="E205" s="87" t="str">
        <x:v>astrazeneca</x:v>
      </x:c>
      <x:c r="F205" s="87" t="str">
        <x:v>203</x:v>
      </x:c>
      <x:c r="G205" s="87" t="str">
        <x:v>074-517-394-446-060</x:v>
      </x:c>
      <x:c r="H205" s="110" t="n">
        <x:v>41848</x:v>
      </x:c>
      <x:c r="I205" s="88" t="n">
        <x:v>2014</x:v>
      </x:c>
      <x:c r="J205" s="87" t="str">
        <x:v>US</x:v>
      </x:c>
      <x:c r="K205" s="87" t="str">
        <x:v>A1</x:v>
      </x:c>
      <x:c r="L205" s="87" t="str">
        <x:v>US 2023/0035133 A1</x:v>
      </x:c>
      <x:c r="M205" s="87" t="str">
        <x:v>ASTRAZENECA AB</x:v>
      </x:c>
      <x:c r="N205" s="87" t="str">
        <x:v>ASTRAZENECA UK LIMITED (2014-11-03);;ASTRAZENECA AB (2014-11-07)</x:v>
      </x:c>
      <x:c r="O205" s="87" t="str">
        <x:v>[1,2,4]Triazolo[4,3-B]Pyridazines For Use in the Treatment of Proliferative Diseases</x:v>
      </x:c>
      <x:c r="P205" s="109" t="n">
        <x:v>0</x:v>
      </x:c>
      <x:c r="Q205" s="109" t="n">
        <x:v>58</x:v>
      </x:c>
      <x:c r="R205" s="87" t="str">
        <x:v>C07D487/04;;C07B2200/13;;C07C65/11;;C07D487/04;;C07B2200/13;;E21B7/06;;E21B7/062;;C07D487/04;;A61P35/00;;A61P35/02;;C07D487/04;;A61K31/5025;;C07B2200/13;;C07D487/04;;C07B2200/13;;E21B7/06;;E21B7/062</x:v>
      </x:c>
      <x:c r="S205" s="87" t="str">
        <x:v>C07D487/04;;E21B7/06</x:v>
      </x:c>
      <x:c r="T205" s="87" t="str">
        <x:v>DISCONTINUED</x:v>
      </x:c>
      <x:c r="U205" s="87" t="str">
        <x:v>https://lens.org/074-517-394-446-060</x:v>
      </x:c>
    </x:row>
    <x:row r="206">
      <x:c r="A206" s="87" t="str">
        <x:v>AstraZeneca_Lens_RAW_2009_2024.csv.csv</x:v>
      </x:c>
      <x:c r="B206" s="87" t="str">
        <x:v>AstraZeneca</x:v>
      </x:c>
      <x:c r="C206" s="87"/>
      <x:c r="D206" s="87" t="str">
        <x:v>Yes</x:v>
      </x:c>
      <x:c r="E206" s="87" t="str">
        <x:v>astrazeneca</x:v>
      </x:c>
      <x:c r="F206" s="87" t="str">
        <x:v>204</x:v>
      </x:c>
      <x:c r="G206" s="87" t="str">
        <x:v>037-427-779-661-06X</x:v>
      </x:c>
      <x:c r="H206" s="110" t="n">
        <x:v>43662</x:v>
      </x:c>
      <x:c r="I206" s="88" t="n">
        <x:v>2019</x:v>
      </x:c>
      <x:c r="J206" s="87" t="str">
        <x:v>US</x:v>
      </x:c>
      <x:c r="K206" s="87" t="str">
        <x:v>A9</x:v>
      </x:c>
      <x:c r="L206" s="87" t="str">
        <x:v>US 2023/0037277 A9</x:v>
      </x:c>
      <x:c r="M206" s="87" t="str">
        <x:v>ASTRAZENECA AB</x:v>
      </x:c>
      <x:c r="N206" s="87" t="str">
        <x:v>ASTRAZENECA AB (2019-12-20)</x:v>
      </x:c>
      <x:c r="O206" s="87" t="str">
        <x:v>DOSE DUMPING RESISTANT PHARMACEUTICAL COMPOSITIONS COMPRISING VERINURAD</x:v>
      </x:c>
      <x:c r="P206" s="109" t="n">
        <x:v>0</x:v>
      </x:c>
      <x:c r="Q206" s="109" t="n">
        <x:v>20</x:v>
      </x:c>
      <x:c r="R206" s="87" t="str">
        <x:v>A61K31/4418;;A61K9/5026;;A61K9/5036;;A61K9/5042;;A61K9/5047;;A61K9/5078;;A61K9/5089;;A61K31/519;;A61P5/20;;A61P7/00;;A61P9/00;;A61P9/04;;A61P9/10;;A61P9/12;;A61P13/04;;A61P13/12;;A61P17/06;;A61P19/02;;A61P19/06;;A61P29/00;;A61P39/02;;A61P43/00;;A61K9/5078;;A61K9/5036;;A61K31/4418;;A61K31/519;;A61P13/12;;A61K9/5078;;A61K9/5036;;A61K31/4418;;A61K31/519;;A61P13/12;;A61K9/5078;;A61K9/5026;;A61K9/5036;;A61K9/5042;;A61K31/4418;;A61K31/519;;A61P13/12;;A61K9/5078;;A61K9/5026;;A61K9/5036;;A61K9/5042;;A61K31/4418;;A61K31/519</x:v>
      </x:c>
      <x:c r="S206" s="87" t="str">
        <x:v>A61K9/50;;A61K31/4418;;A61K31/519</x:v>
      </x:c>
      <x:c r="T206" s="87" t="str">
        <x:v>DISCONTINUED</x:v>
      </x:c>
      <x:c r="U206" s="87" t="str">
        <x:v>https://lens.org/037-427-779-661-06X</x:v>
      </x:c>
    </x:row>
    <x:row r="207">
      <x:c r="A207" s="87" t="str">
        <x:v>AstraZeneca_Lens_RAW_2009_2024.csv.csv</x:v>
      </x:c>
      <x:c r="B207" s="87" t="str">
        <x:v>AstraZeneca</x:v>
      </x:c>
      <x:c r="C207" s="87"/>
      <x:c r="D207" s="87" t="str">
        <x:v>Yes</x:v>
      </x:c>
      <x:c r="E207" s="87" t="str">
        <x:v>astrazeneca</x:v>
      </x:c>
      <x:c r="F207" s="87" t="str">
        <x:v>205</x:v>
      </x:c>
      <x:c r="G207" s="87" t="str">
        <x:v>012-456-439-902-328</x:v>
      </x:c>
      <x:c r="H207" s="110" t="n">
        <x:v>42346</x:v>
      </x:c>
      <x:c r="I207" s="88" t="n">
        <x:v>2015</x:v>
      </x:c>
      <x:c r="J207" s="87" t="str">
        <x:v>US</x:v>
      </x:c>
      <x:c r="K207" s="87" t="str">
        <x:v>A1</x:v>
      </x:c>
      <x:c r="L207" s="87" t="str">
        <x:v>US 2023/0011269 A1</x:v>
      </x:c>
      <x:c r="M207" s="87" t="str">
        <x:v>ARDEA BIOSCIENCES INC;;ASTRAZENECA AB</x:v>
      </x:c>
      <x:c r="N207" s="87" t="str">
        <x:v>ARDEA BIOSCIENCES INC (2016-08-18);;ASTRAZENECA AB (2016-12-15)</x:v>
      </x:c>
      <x:c r="O207" s="87" t="str">
        <x:v>PHARMACEUTICAL COMPOSITION COMPRISING A POTENT INHIBITOR OF URAT1</x:v>
      </x:c>
      <x:c r="P207" s="109" t="n">
        <x:v>0</x:v>
      </x:c>
      <x:c r="Q207" s="109" t="n">
        <x:v>30</x:v>
      </x:c>
      <x:c r="R207" s="87" t="str">
        <x:v>A61K9/146;;A61K31/426;;A61K31/4418;;A61P5/18;;A61P7/00;;A61P9/00;;A61P9/04;;A61P9/12;;A61P13/04;;A61P13/12;;A61P17/06;;A61P19/02;;A61P19/06;;A61P43/00;;A61K9/146;;A61K9/0053;;A61K9/2077;;A61K9/2081;;A61K9/485;;A61K9/4858;;A61K9/5042;;A61K9/5047;;A61K31/426;;A61K31/44;;A61K31/4418;;A61K45/06;;A61P5/18;;A61P7/00;;A61P9/00;;A61P9/04;;A61P9/12;;A61P13/04;;A61P13/12;;A61P17/06;;A61P19/02;;A61P19/06;;A61P43/00;;A61K9/2077;;A61K9/0053;;A61K9/146;;A61K9/2081;;A61K31/44;;A61P19/06;;A61K9/2081;;A61K9/0053;;A61K9/146;;A61K9/485;;A61K9/4858;;A61K9/5042;;A61K9/5047;;A61K31/426;;A61K31/4418;;A61K45/06</x:v>
      </x:c>
      <x:c r="S207" s="87" t="str">
        <x:v>A61K9/20;;A61K9/00;;A61K9/14;;A61K9/48;;A61K9/50;;A61K31/426;;A61K31/4418;;A61K45/06</x:v>
      </x:c>
      <x:c r="T207" s="87" t="str">
        <x:v>DISCONTINUED</x:v>
      </x:c>
      <x:c r="U207" s="87" t="str">
        <x:v>https://lens.org/012-456-439-902-328</x:v>
      </x:c>
    </x:row>
    <x:row r="208">
      <x:c r="A208" s="87" t="str">
        <x:v>AstraZeneca_Lens_RAW_2009_2024.csv.csv</x:v>
      </x:c>
      <x:c r="B208" s="87" t="str">
        <x:v>AstraZeneca</x:v>
      </x:c>
      <x:c r="C208" s="87"/>
      <x:c r="D208" s="87" t="str">
        <x:v>Yes</x:v>
      </x:c>
      <x:c r="E208" s="87" t="str">
        <x:v>astrazeneca</x:v>
      </x:c>
      <x:c r="F208" s="87" t="str">
        <x:v>206</x:v>
      </x:c>
      <x:c r="G208" s="87" t="str">
        <x:v>002-215-858-907-377</x:v>
      </x:c>
      <x:c r="H208" s="110" t="n">
        <x:v>43801</x:v>
      </x:c>
      <x:c r="I208" s="88" t="n">
        <x:v>2019</x:v>
      </x:c>
      <x:c r="J208" s="87" t="str">
        <x:v>US</x:v>
      </x:c>
      <x:c r="K208" s="87" t="str">
        <x:v>A1</x:v>
      </x:c>
      <x:c r="L208" s="87" t="str">
        <x:v>US 2023/0000775 A1</x:v>
      </x:c>
      <x:c r="M208" s="87" t="str">
        <x:v>ASTRAZENECA AB</x:v>
      </x:c>
      <x:c r="N208" s="87" t="str">
        <x:v>ASTRAZENECA AB (2020-01-13)</x:v>
      </x:c>
      <x:c r="O208" s="87" t="str">
        <x:v>SOLID PHARMACEUTICAL FORMULATIONS OF 6-(2-CHLORO-6-METHYLPYRIDIN-4-YL)-5-(4-FLUOROPHENYL)-1,2,4-TRIAZIN-3-AMINE</x:v>
      </x:c>
      <x:c r="P208" s="109" t="n">
        <x:v>0</x:v>
      </x:c>
      <x:c r="Q208" s="109" t="n">
        <x:v>22</x:v>
      </x:c>
      <x:c r="R208" s="87" t="str">
        <x:v>A61K9/1676;;A61K9/2013;;A61K9/4808;;A61K31/53;;A61K9/1676;;A61K9/2013;;A61K9/4808;;A61K31/53;;A61K9/1676;;A61K9/2077;;A61K9/4808;;A61K31/53;;A61K47/14;;A61K47/20;;A61K47/26;;A61K47/32;;A61K47/34;;A61K9/1676;;A61K9/2013;;A61K9/4808;;A61K31/53;;A61K47/14</x:v>
      </x:c>
      <x:c r="S208" s="87" t="str">
        <x:v>A61K9/16;;A61K9/20;;A61K9/48;;A61K31/53;;A61K47/14</x:v>
      </x:c>
      <x:c r="T208" s="87" t="str">
        <x:v>ACTIVE</x:v>
      </x:c>
      <x:c r="U208" s="87" t="str">
        <x:v>https://lens.org/002-215-858-907-377</x:v>
      </x:c>
    </x:row>
    <x:row r="209">
      <x:c r="A209" s="87" t="str">
        <x:v>AstraZeneca_Lens_RAW_2009_2024.csv.csv</x:v>
      </x:c>
      <x:c r="B209" s="87" t="str">
        <x:v>AstraZeneca</x:v>
      </x:c>
      <x:c r="C209" s="87"/>
      <x:c r="D209" s="87" t="str">
        <x:v>Yes</x:v>
      </x:c>
      <x:c r="E209" s="87" t="str">
        <x:v>astrazeneca</x:v>
      </x:c>
      <x:c r="F209" s="87" t="str">
        <x:v>207</x:v>
      </x:c>
      <x:c r="G209" s="87" t="str">
        <x:v>145-858-044-291-301</x:v>
      </x:c>
      <x:c r="H209" s="110" t="n">
        <x:v>43773</x:v>
      </x:c>
      <x:c r="I209" s="88" t="n">
        <x:v>2019</x:v>
      </x:c>
      <x:c r="J209" s="87" t="str">
        <x:v>US</x:v>
      </x:c>
      <x:c r="K209" s="87" t="str">
        <x:v>A1</x:v>
      </x:c>
      <x:c r="L209" s="87" t="str">
        <x:v>US 2022/0409642 A1</x:v>
      </x:c>
      <x:c r="M209" s="87" t="str">
        <x:v>ASTRAZENECA AB</x:v>
      </x:c>
      <x:c r="N209" s="87" t="str">
        <x:v>ASTRAZENECA PHARMACEUTICALS LP (2020-07-21);;ASTRAZENECA UK LIMITED (2020-07-31);;ASTRAZENECA AB (2020-08-03)</x:v>
      </x:c>
      <x:c r="O209" s="87" t="str">
        <x:v>COMBINATION THERAPY FOR TREATING CANCER</x:v>
      </x:c>
      <x:c r="P209" s="109" t="n">
        <x:v>0</x:v>
      </x:c>
      <x:c r="Q209" s="109" t="n">
        <x:v>8</x:v>
      </x:c>
      <x:c r="R209" s="87" t="str">
        <x:v>A61K31/69;;A61K45/06;;A61K39/39558;;A61P35/00;;A61P35/02;;A61P35/00;;A61P35/02;;A61K31/69;;A61K31/7084;;C07K16/2827;;A61K2039/505;;A61K39/39558;;A61P35/00;;A61K31/69;;C07K16/2803;;C07K16/2818;;C07K16/2827</x:v>
      </x:c>
      <x:c r="S209" s="87" t="str">
        <x:v>A61K31/69;;A61P35/00;;C07K16/28</x:v>
      </x:c>
      <x:c r="T209" s="87" t="str">
        <x:v>ACTIVE</x:v>
      </x:c>
      <x:c r="U209" s="87" t="str">
        <x:v>https://lens.org/145-858-044-291-301</x:v>
      </x:c>
    </x:row>
    <x:row r="210">
      <x:c r="A210" s="87" t="str">
        <x:v>AstraZeneca_Lens_RAW_2009_2024.csv.csv</x:v>
      </x:c>
      <x:c r="B210" s="87" t="str">
        <x:v>AstraZeneca</x:v>
      </x:c>
      <x:c r="C210" s="87"/>
      <x:c r="D210" s="87" t="str">
        <x:v>Yes</x:v>
      </x:c>
      <x:c r="E210" s="87" t="str">
        <x:v>astrazeneca</x:v>
      </x:c>
      <x:c r="F210" s="87" t="str">
        <x:v>208</x:v>
      </x:c>
      <x:c r="G210" s="87" t="str">
        <x:v>058-749-062-414-209</x:v>
      </x:c>
      <x:c r="H210" s="110" t="n">
        <x:v>43773</x:v>
      </x:c>
      <x:c r="I210" s="88" t="n">
        <x:v>2019</x:v>
      </x:c>
      <x:c r="J210" s="87" t="str">
        <x:v>US</x:v>
      </x:c>
      <x:c r="K210" s="87" t="str">
        <x:v>A1</x:v>
      </x:c>
      <x:c r="L210" s="87" t="str">
        <x:v>US 2022/0401442 A1</x:v>
      </x:c>
      <x:c r="M210" s="87" t="str">
        <x:v>ASTRAZENECA AB</x:v>
      </x:c>
      <x:c r="N210" s="87" t="str">
        <x:v>ASTRAZENECA PHARMACEUTICALS LP (2023-05-19);;ASTRAZENECA UK LIMITED (2023-06-26);;ASTRAZENECA AB (2020-01-23)</x:v>
      </x:c>
      <x:c r="O210" s="87" t="str">
        <x:v>THERAPEUTIC COMBINATIONS OF ACALABRUTINIB AND CAPIVASERTIB TO TREAT B-CELL MALIGNANCIES</x:v>
      </x:c>
      <x:c r="P210" s="109" t="n">
        <x:v>0</x:v>
      </x:c>
      <x:c r="Q210" s="109" t="n">
        <x:v>19</x:v>
      </x:c>
      <x:c r="R210" s="87" t="str">
        <x:v>A61K31/4985;;A61K31/519;;A61P35/00;;A61K31/4985;;A61K31/519;;A61P35/00;;A61K2300/00;;A61K31/4985;;A61K31/519</x:v>
      </x:c>
      <x:c r="S210" s="87" t="str">
        <x:v>A61K31/4985;;A61K31/519</x:v>
      </x:c>
      <x:c r="T210" s="87" t="str">
        <x:v>ACTIVE</x:v>
      </x:c>
      <x:c r="U210" s="87" t="str">
        <x:v>https://lens.org/058-749-062-414-209</x:v>
      </x:c>
    </x:row>
    <x:row r="211">
      <x:c r="A211" s="87" t="str">
        <x:v>AstraZeneca_Lens_RAW_2009_2024.csv.csv</x:v>
      </x:c>
      <x:c r="B211" s="87" t="str">
        <x:v>AstraZeneca</x:v>
      </x:c>
      <x:c r="C211" s="87"/>
      <x:c r="D211" s="87" t="str">
        <x:v>Yes</x:v>
      </x:c>
      <x:c r="E211" s="87" t="str">
        <x:v>astrazeneca</x:v>
      </x:c>
      <x:c r="F211" s="87" t="str">
        <x:v>209</x:v>
      </x:c>
      <x:c r="G211" s="87" t="str">
        <x:v>120-328-266-126-39X</x:v>
      </x:c>
      <x:c r="H211" s="110" t="n">
        <x:v>43766</x:v>
      </x:c>
      <x:c r="I211" s="88" t="n">
        <x:v>2019</x:v>
      </x:c>
      <x:c r="J211" s="87" t="str">
        <x:v>US</x:v>
      </x:c>
      <x:c r="K211" s="87" t="str">
        <x:v>A1</x:v>
      </x:c>
      <x:c r="L211" s="87" t="str">
        <x:v>US 2022/0401365 A1</x:v>
      </x:c>
      <x:c r="M211" s="87" t="str">
        <x:v>ASTRAZENECA AB</x:v>
      </x:c>
      <x:c r="N211" s="87" t="str">
        <x:v>PEARL THERAPEUTICS INC (2020-12-04);;ASTRAZENECA AB (2020-12-15);;MEDIMMUNE LLC (2020-11-19)</x:v>
      </x:c>
      <x:c r="O211" s="87" t="str">
        <x:v>DRY POWDER FORMULATIONS CONTAINING LEUCINE AND TRILEUCINE</x:v>
      </x:c>
      <x:c r="P211" s="109" t="n">
        <x:v>2</x:v>
      </x:c>
      <x:c r="Q211" s="109" t="n">
        <x:v>8</x:v>
      </x:c>
      <x:c r="R211" s="87" t="str">
        <x:v>A61K9/0075;;A61K39/395;;A61K45/00;;A61K47/183;;A61K47/26;;A61K47/36;;A61K47/40;;A61K9/0075;;A61K9/1617;;C07K16/244;;C07K16/247;;C07K2317/55;;A61K9/1617;;A61K9/0075;;A61K9/1623;;A61K9/1652;;A61K9/1694;;C07K16/244;;C07K2317/55</x:v>
      </x:c>
      <x:c r="S211" s="87" t="str">
        <x:v>A61K9/16;;A61K9/00;;C07K16/24</x:v>
      </x:c>
      <x:c r="T211" s="87" t="str">
        <x:v>PENDING</x:v>
      </x:c>
      <x:c r="U211" s="87" t="str">
        <x:v>https://lens.org/120-328-266-126-39X</x:v>
      </x:c>
    </x:row>
    <x:row r="212">
      <x:c r="A212" s="87" t="str">
        <x:v>AstraZeneca_Lens_RAW_2009_2024.csv.csv</x:v>
      </x:c>
      <x:c r="B212" s="87" t="str">
        <x:v>AstraZeneca</x:v>
      </x:c>
      <x:c r="C212" s="87"/>
      <x:c r="D212" s="87" t="str">
        <x:v>Yes</x:v>
      </x:c>
      <x:c r="E212" s="87" t="str">
        <x:v>astrazeneca</x:v>
      </x:c>
      <x:c r="F212" s="87" t="str">
        <x:v>210</x:v>
      </x:c>
      <x:c r="G212" s="87" t="str">
        <x:v>048-866-185-565-533</x:v>
      </x:c>
      <x:c r="H212" s="110" t="n">
        <x:v>43265</x:v>
      </x:c>
      <x:c r="I212" s="88" t="n">
        <x:v>2018</x:v>
      </x:c>
      <x:c r="J212" s="87" t="str">
        <x:v>US</x:v>
      </x:c>
      <x:c r="K212" s="87" t="str">
        <x:v>A1</x:v>
      </x:c>
      <x:c r="L212" s="87" t="str">
        <x:v>US 2022/0406428 A1</x:v>
      </x:c>
      <x:c r="M212" s="87" t="str">
        <x:v>ASTRAZENECA UK LTD</x:v>
      </x:c>
      <x:c r="N212" s="87" t="str">
        <x:v>ASTRAZENECA UK LIMITED (2020-03-05)</x:v>
      </x:c>
      <x:c r="O212" s="87" t="str">
        <x:v>METHODS FOR TREATING ERECTILE DYSFUNCTION WITH A CGMP-SPECIFIC PHOSPHODIESTERASE 5 INHIBITOR PHARMACEUTICAL COMPOSITION</x:v>
      </x:c>
      <x:c r="P212" s="109" t="n">
        <x:v>0</x:v>
      </x:c>
      <x:c r="Q212" s="109" t="n">
        <x:v>9</x:v>
      </x:c>
      <x:c r="R212" s="87" t="str">
        <x:v>G16H20/10;;G16H10/20;;G16H20/10;;A61K31/4985;;A61K31/53;;A61P15/10;;G16H10/20;;G16H50/30;;G16H50/70</x:v>
      </x:c>
      <x:c r="S212" s="87" t="str">
        <x:v>G16H20/10;;A61K31/4985;;A61K31/53;;A61P15/10;;G16H10/20;;G16H50/30;;G16H50/70</x:v>
      </x:c>
      <x:c r="T212" s="87" t="str">
        <x:v>DISCONTINUED</x:v>
      </x:c>
      <x:c r="U212" s="87" t="str">
        <x:v>https://lens.org/048-866-185-565-533</x:v>
      </x:c>
    </x:row>
    <x:row r="213">
      <x:c r="A213" s="87" t="str">
        <x:v>AstraZeneca_Lens_RAW_2009_2024.csv.csv</x:v>
      </x:c>
      <x:c r="B213" s="87" t="str">
        <x:v>AstraZeneca</x:v>
      </x:c>
      <x:c r="C213" s="87"/>
      <x:c r="D213" s="87" t="str">
        <x:v>Yes</x:v>
      </x:c>
      <x:c r="E213" s="87" t="str">
        <x:v>astrazeneca</x:v>
      </x:c>
      <x:c r="F213" s="87" t="str">
        <x:v>211</x:v>
      </x:c>
      <x:c r="G213" s="87" t="str">
        <x:v>137-467-237-287-415</x:v>
      </x:c>
      <x:c r="H213" s="110" t="n">
        <x:v>43763</x:v>
      </x:c>
      <x:c r="I213" s="88" t="n">
        <x:v>2019</x:v>
      </x:c>
      <x:c r="J213" s="87" t="str">
        <x:v>US</x:v>
      </x:c>
      <x:c r="K213" s="87" t="str">
        <x:v>A1</x:v>
      </x:c>
      <x:c r="L213" s="87" t="str">
        <x:v>US 2022/0387468 A1</x:v>
      </x:c>
      <x:c r="M213" s="87" t="str">
        <x:v>ASTRAZENECA AB</x:v>
      </x:c>
      <x:c r="N213" s="87" t="str">
        <x:v>ASTRAZENECA UK LIMITED (2020-03-05);;ASTRAZENECA AB (2020-03-11)</x:v>
      </x:c>
      <x:c r="O213" s="87" t="str">
        <x:v>METHODS OF TREATING CANCER</x:v>
      </x:c>
      <x:c r="P213" s="109" t="n">
        <x:v>0</x:v>
      </x:c>
      <x:c r="Q213" s="109" t="n">
        <x:v>12</x:v>
      </x:c>
      <x:c r="R213" s="87" t="str">
        <x:v>A61K45/06;;A61K31/519;;A61P35/00;;A61K31/519;;A61K31/519;;A61K31/519;;A61K31/7068;;A61K45/06;;A61K2300/00;;A61P35/00;;A61K31/7068;;A61K31/17;;A61K31/35;;A61K31/519;;A61K33/243;;A61K47/6855;;A61P15/00;;A61P35/00;;G01N33/5758;;G01N2800/52</x:v>
      </x:c>
      <x:c r="S213" s="87" t="str">
        <x:v>A61K31/7068;;A61K31/17;;A61K31/35;;A61K31/519;;A61K33/243;;A61K47/68;;A61P15/00;;A61P35/00;;G01N33/574</x:v>
      </x:c>
      <x:c r="T213" s="87" t="str">
        <x:v>DISCONTINUED</x:v>
      </x:c>
      <x:c r="U213" s="87" t="str">
        <x:v>https://lens.org/137-467-237-287-415</x:v>
      </x:c>
    </x:row>
    <x:row r="214">
      <x:c r="A214" s="87" t="str">
        <x:v>AstraZeneca_Lens_RAW_2009_2024.csv.csv</x:v>
      </x:c>
      <x:c r="B214" s="87" t="str">
        <x:v>AstraZeneca</x:v>
      </x:c>
      <x:c r="C214" s="87"/>
      <x:c r="D214" s="87" t="str">
        <x:v>Yes</x:v>
      </x:c>
      <x:c r="E214" s="87" t="str">
        <x:v>astrazeneca</x:v>
      </x:c>
      <x:c r="F214" s="87" t="str">
        <x:v>212</x:v>
      </x:c>
      <x:c r="G214" s="87" t="str">
        <x:v>115-375-702-482-464</x:v>
      </x:c>
      <x:c r="H214" s="110" t="n">
        <x:v>42499</x:v>
      </x:c>
      <x:c r="I214" s="88" t="n">
        <x:v>2016</x:v>
      </x:c>
      <x:c r="J214" s="87" t="str">
        <x:v>US</x:v>
      </x:c>
      <x:c r="K214" s="87" t="str">
        <x:v>A1</x:v>
      </x:c>
      <x:c r="L214" s="87" t="str">
        <x:v>US 2022/0370370 A1</x:v>
      </x:c>
      <x:c r="M214" s="87" t="str">
        <x:v>ASTRAZENECA AB</x:v>
      </x:c>
      <x:c r="N214" s="87" t="str">
        <x:v>ASTRAZENECA AB (2016-12-09)</x:v>
      </x:c>
      <x:c r="O214" s="87" t="str">
        <x:v>LIPID NANOPARTICLES COMPRISING LIPOPHILIC ANTI-INFLAMMATORY AGENTS AND METHODS OF USE THEREOF</x:v>
      </x:c>
      <x:c r="P214" s="109" t="n">
        <x:v>0</x:v>
      </x:c>
      <x:c r="Q214" s="109" t="n">
        <x:v>12</x:v>
      </x:c>
      <x:c r="R214" s="87" t="str">
        <x:v>A61K9/5123;;A61K9/1272;;A61K31/58;;A61K31/7088;;A61K45/06;;A61P43/00;;C12N15/88;;A61K9/5123;;A61K9/1075;;A61K9/1272;;A61K9/5146;;A61K31/58;;A61K31/7088;;A61K45/06;;C12N15/88</x:v>
      </x:c>
      <x:c r="S214" s="87" t="str">
        <x:v>A61K9/51;;A61K9/107;;A61K9/127;;A61K31/58;;A61K31/7088;;A61K45/06;;C12N15/88</x:v>
      </x:c>
      <x:c r="T214" s="87" t="str">
        <x:v>DISCONTINUED</x:v>
      </x:c>
      <x:c r="U214" s="87" t="str">
        <x:v>https://lens.org/115-375-702-482-464</x:v>
      </x:c>
    </x:row>
    <x:row r="215">
      <x:c r="A215" s="87" t="str">
        <x:v>AstraZeneca_Lens_RAW_2009_2024.csv.csv</x:v>
      </x:c>
      <x:c r="B215" s="87" t="str">
        <x:v>AstraZeneca</x:v>
      </x:c>
      <x:c r="C215" s="87"/>
      <x:c r="D215" s="87" t="str">
        <x:v>Yes</x:v>
      </x:c>
      <x:c r="E215" s="87" t="str">
        <x:v>astrazeneca</x:v>
      </x:c>
      <x:c r="F215" s="87" t="str">
        <x:v>213</x:v>
      </x:c>
      <x:c r="G215" s="87" t="str">
        <x:v>156-459-227-556-705</x:v>
      </x:c>
      <x:c r="H215" s="110" t="n">
        <x:v>43738</x:v>
      </x:c>
      <x:c r="I215" s="88" t="n">
        <x:v>2019</x:v>
      </x:c>
      <x:c r="J215" s="87" t="str">
        <x:v>US</x:v>
      </x:c>
      <x:c r="K215" s="87" t="str">
        <x:v>A1</x:v>
      </x:c>
      <x:c r="L215" s="87" t="str">
        <x:v>US 2022/0354880 A1</x:v>
      </x:c>
      <x:c r="M215" s="87" t="str">
        <x:v>ASTRAZENECA AB</x:v>
      </x:c>
      <x:c r="N215" s="87" t="str">
        <x:v>ASTRAZENECA PHARMACEUTICALS LP (2020-06-04);;ASTRAZENECA UK LIMITED (2020-08-03);;ASTRAZENECA AB (2020-08-03)</x:v>
      </x:c>
      <x:c r="O215" s="87" t="str">
        <x:v>COMBINATION TREATMENT FOR CANCER</x:v>
      </x:c>
      <x:c r="P215" s="109" t="n">
        <x:v>1</x:v>
      </x:c>
      <x:c r="Q215" s="109" t="n">
        <x:v>8</x:v>
      </x:c>
      <x:c r="R215" s="87" t="str">
        <x:v>A61K45/06;;A61K31/7088;;A61K33/243;;A61K39/395;;A61K39/3955;;A61P35/00;;A61P35/02;;A61K39/001102;;A61K39/001129;;A61K39/001102;;A61K39/001129;;C07K16/2827;;C07K16/2818;;C07K16/2875;;C07K14/705;;A61K33/243;;C12N15/11;;A61P35/00;;A61P35/02;;A61K2039/505;;A61K45/06;;A61K31/713;;A61P35/00;;A61K33/243;;A61K31/7088;;A61K39/3955;;A61K39/001129;;A61K39/001102</x:v>
      </x:c>
      <x:c r="S215" s="87" t="str">
        <x:v>A61K31/7088;;A61K33/243;;A61K39/395;;A61P35/00</x:v>
      </x:c>
      <x:c r="T215" s="87" t="str">
        <x:v>PENDING</x:v>
      </x:c>
      <x:c r="U215" s="87" t="str">
        <x:v>https://lens.org/156-459-227-556-705</x:v>
      </x:c>
    </x:row>
    <x:row r="216">
      <x:c r="A216" s="87" t="str">
        <x:v>AstraZeneca_Lens_RAW_2009_2024.csv.csv</x:v>
      </x:c>
      <x:c r="B216" s="87" t="str">
        <x:v>AstraZeneca</x:v>
      </x:c>
      <x:c r="C216" s="87"/>
      <x:c r="D216" s="87" t="str">
        <x:v>Yes</x:v>
      </x:c>
      <x:c r="E216" s="87" t="str">
        <x:v>astrazeneca</x:v>
      </x:c>
      <x:c r="F216" s="87" t="str">
        <x:v>214</x:v>
      </x:c>
      <x:c r="G216" s="87" t="str">
        <x:v>014-558-871-799-251</x:v>
      </x:c>
      <x:c r="H216" s="110" t="n">
        <x:v>42184</x:v>
      </x:c>
      <x:c r="I216" s="88" t="n">
        <x:v>2015</x:v>
      </x:c>
      <x:c r="J216" s="87" t="str">
        <x:v>US</x:v>
      </x:c>
      <x:c r="K216" s="87" t="str">
        <x:v>A1</x:v>
      </x:c>
      <x:c r="L216" s="87" t="str">
        <x:v>US 2022/0340592 A1</x:v>
      </x:c>
      <x:c r="M216" s="87" t="str">
        <x:v>ASTRAZENECA AB</x:v>
      </x:c>
      <x:c r="N216" s="87" t="str">
        <x:v>ASTRAZENECA PHARMACEUTICALS LP (2016-07-28);;ASTRAZENECA UK LIMITED (2016-10-14);;ASTRAZENECA AB (2016-10-14)</x:v>
      </x:c>
      <x:c r="O216" s="87" t="str">
        <x:v>CHEMICAL COMPOUNDS</x:v>
      </x:c>
      <x:c r="P216" s="109" t="n">
        <x:v>0</x:v>
      </x:c>
      <x:c r="Q216" s="109" t="n">
        <x:v>71</x:v>
      </x:c>
      <x:c r="R216" s="87" t="str">
        <x:v>C07D471/04;;C07B2200/13;;C07D487/04;;C07D498/04;;A61P35/00;;C07B2200/13;;C07D471/04;;C07D487/04;;C07D498/04;;C07D498/04;;A61P35/00;;C07D471/04;;C07D487/04;;C07D498/04;;C07B2200/13;;C07D471/04;;C07D487/04;;C07D471/04;;A61K31/437;;A61K31/4439;;A61K31/444;;A61P35/00;;C07B2200/13;;C07D487/04;;C07D498/04;;C07D498/04;;A61P35/00;;C07B2200/13;;C07D471/04;;C07D487/04</x:v>
      </x:c>
      <x:c r="S216" s="87" t="str">
        <x:v>C07D498/04;;A61P35/00;;C07D471/04;;C07D487/04</x:v>
      </x:c>
      <x:c r="T216" s="87" t="str">
        <x:v>DISCONTINUED</x:v>
      </x:c>
      <x:c r="U216" s="87" t="str">
        <x:v>https://lens.org/014-558-871-799-251</x:v>
      </x:c>
    </x:row>
    <x:row r="217">
      <x:c r="A217" s="87" t="str">
        <x:v>AstraZeneca_Lens_RAW_2009_2024.csv.csv</x:v>
      </x:c>
      <x:c r="B217" s="87" t="str">
        <x:v>AstraZeneca</x:v>
      </x:c>
      <x:c r="C217" s="87"/>
      <x:c r="D217" s="87" t="str">
        <x:v>Yes</x:v>
      </x:c>
      <x:c r="E217" s="87" t="str">
        <x:v>astrazeneca</x:v>
      </x:c>
      <x:c r="F217" s="87" t="str">
        <x:v>215</x:v>
      </x:c>
      <x:c r="G217" s="87" t="str">
        <x:v>100-051-115-914-36X</x:v>
      </x:c>
      <x:c r="H217" s="110" t="n">
        <x:v>42482</x:v>
      </x:c>
      <x:c r="I217" s="88" t="n">
        <x:v>2016</x:v>
      </x:c>
      <x:c r="J217" s="87" t="str">
        <x:v>US</x:v>
      </x:c>
      <x:c r="K217" s="87" t="str">
        <x:v>B2</x:v>
      </x:c>
      <x:c r="L217" s="87" t="str">
        <x:v>US 11472816 B2</x:v>
      </x:c>
      <x:c r="M217" s="87" t="str">
        <x:v>ASTRAZENECA AB</x:v>
      </x:c>
      <x:c r="N217" s="87" t="str">
        <x:v>ASTRAZENECA PHARMACEUTICALS LP (2017-02-14);;ASTRAZENECA UK LIMITED (2017-02-20);;ASTRAZENECA AB (2017-02-24)</x:v>
      </x:c>
      <x:c r="O217" s="87" t="str">
        <x:v>Mcl-1 inhibitors and methods of use thereof</x:v>
      </x:c>
      <x:c r="P217" s="109" t="n">
        <x:v>0</x:v>
      </x:c>
      <x:c r="Q217" s="109" t="n">
        <x:v>57</x:v>
      </x:c>
      <x:c r="R217" s="87" t="str">
        <x:v>C07D497/22;;C07D515/22;;C07D497/22;;A61P35/00;;A61P35/02;;C07D515/22;;C07D497/22;;A61K31/395;;C07D515/22;;C07D515/22;;A61K31/395;;A61P35/00;;C07D497/22;;C07D515/22</x:v>
      </x:c>
      <x:c r="S217" s="87" t="str">
        <x:v>C07D497/22;;C07D515/22</x:v>
      </x:c>
      <x:c r="T217" s="87" t="str">
        <x:v>ACTIVE</x:v>
      </x:c>
      <x:c r="U217" s="87" t="str">
        <x:v>https://lens.org/100-051-115-914-36X</x:v>
      </x:c>
    </x:row>
    <x:row r="218">
      <x:c r="A218" s="87" t="str">
        <x:v>AstraZeneca_Lens_RAW_2009_2024.csv.csv</x:v>
      </x:c>
      <x:c r="B218" s="87" t="str">
        <x:v>AstraZeneca</x:v>
      </x:c>
      <x:c r="C218" s="87"/>
      <x:c r="D218" s="87" t="str">
        <x:v>Yes</x:v>
      </x:c>
      <x:c r="E218" s="87" t="str">
        <x:v>astrazeneca</x:v>
      </x:c>
      <x:c r="F218" s="87" t="str">
        <x:v>216</x:v>
      </x:c>
      <x:c r="G218" s="87" t="str">
        <x:v>049-322-261-108-950</x:v>
      </x:c>
      <x:c r="H218" s="110" t="n">
        <x:v>42353</x:v>
      </x:c>
      <x:c r="I218" s="88" t="n">
        <x:v>2015</x:v>
      </x:c>
      <x:c r="J218" s="87" t="str">
        <x:v>US</x:v>
      </x:c>
      <x:c r="K218" s="87" t="str">
        <x:v>B1</x:v>
      </x:c>
      <x:c r="L218" s="87" t="str">
        <x:v>US 11453644 B1</x:v>
      </x:c>
      <x:c r="M218" s="87" t="str">
        <x:v>ASTRAZENECA AB</x:v>
      </x:c>
      <x:c r="N218" s="87" t="str">
        <x:v>ASTRAZENECA AB (2017-03-08)</x:v>
      </x:c>
      <x:c r="O218" s="87" t="str">
        <x:v>Compounds</x:v>
      </x:c>
      <x:c r="P218" s="109" t="n">
        <x:v>0</x:v>
      </x:c>
      <x:c r="Q218" s="109" t="n">
        <x:v>43</x:v>
      </x:c>
      <x:c r="R218" s="87" t="str">
        <x:v>A61K31/4035;;A61P17/06;;C07D209/44;;C07D405/06;;C07D407/06;;C07D209/44;;A61K31/4035;;A61P1/04;;A61P1/18;;A61P11/00;;A61P11/06;;A61P11/12;;A61P17/06;;A61P19/02;;A61P25/00;;A61P31/00;;A61P37/00;;A61P43/00;;C07D405/06;;C07D407/06;;C07D209/44;;A61K31/4035;;A61P11/00;;A61P11/06;;A61P17/06;;A61P19/02;;C07D405/06;;C07D209/44;;A61K31/4035;;A61P17/06;;C07D405/06;;C07D407/06;;C07D209/44;;A61K31/4035;;C07D405/06;;C07D407/06</x:v>
      </x:c>
      <x:c r="S218" s="87" t="str">
        <x:v>C07D209/44;;A61K31/4035;;C07D405/06;;C07D407/06</x:v>
      </x:c>
      <x:c r="T218" s="87" t="str">
        <x:v>ACTIVE</x:v>
      </x:c>
      <x:c r="U218" s="87" t="str">
        <x:v>https://lens.org/049-322-261-108-950</x:v>
      </x:c>
    </x:row>
    <x:row r="219">
      <x:c r="A219" s="87" t="str">
        <x:v>AstraZeneca_Lens_RAW_2009_2024.csv.csv</x:v>
      </x:c>
      <x:c r="B219" s="87" t="str">
        <x:v>AstraZeneca</x:v>
      </x:c>
      <x:c r="C219" s="87"/>
      <x:c r="D219" s="87" t="str">
        <x:v>Yes</x:v>
      </x:c>
      <x:c r="E219" s="87" t="str">
        <x:v>astrazeneca</x:v>
      </x:c>
      <x:c r="F219" s="87" t="str">
        <x:v>217</x:v>
      </x:c>
      <x:c r="G219" s="87" t="str">
        <x:v>132-616-374-195-466</x:v>
      </x:c>
      <x:c r="H219" s="110" t="n">
        <x:v>43329</x:v>
      </x:c>
      <x:c r="I219" s="88" t="n">
        <x:v>2018</x:v>
      </x:c>
      <x:c r="J219" s="87" t="str">
        <x:v>US</x:v>
      </x:c>
      <x:c r="K219" s="87" t="str">
        <x:v>A1</x:v>
      </x:c>
      <x:c r="L219" s="87" t="str">
        <x:v>US 2022/0273807 A1</x:v>
      </x:c>
      <x:c r="M219" s="87" t="str">
        <x:v>ASTRAZENECA AB</x:v>
      </x:c>
      <x:c r="N219" s="87" t="str">
        <x:v>MONASH UNIVERSITY (2019-05-08);;STARPHARMA PTY LIMITED (2019-06-03);;ASTRAZENECA PHARMACEUTICALS LP (2018-10-29);;ASTRAZENECA UK LIMITED (2019-06-03);;ASTRAZENECA AB (2019-07-03)</x:v>
      </x:c>
      <x:c r="O219" s="87" t="str">
        <x:v>CONJUGATES FOR USE IN METHODS OF TREATING CANCER</x:v>
      </x:c>
      <x:c r="P219" s="109" t="n">
        <x:v>5</x:v>
      </x:c>
      <x:c r="Q219" s="109" t="n">
        <x:v>20</x:v>
      </x:c>
      <x:c r="R219" s="87" t="str">
        <x:v>A61K47/641;;A61K47/60;;A61P35/00;;A61K47/641;;A61K47/60;;A61P35/00;;A61K47/595;;A61K9/0021;;A61K9/19;;A61K31/451;;A61K47/60;;A61P35/00;;C07D211/22;;C08G69/10;;C08G83/004;;A61K47/641;;A61K9/19;;A61K47/60;;A61P35/00</x:v>
      </x:c>
      <x:c r="S219" s="87" t="str">
        <x:v>A61K47/64;;A61K9/19;;A61K47/60;;A61P35/00</x:v>
      </x:c>
      <x:c r="T219" s="87" t="str">
        <x:v>DISCONTINUED</x:v>
      </x:c>
      <x:c r="U219" s="87" t="str">
        <x:v>https://lens.org/132-616-374-195-466</x:v>
      </x:c>
    </x:row>
    <x:row r="220">
      <x:c r="A220" s="87" t="str">
        <x:v>AstraZeneca_Lens_RAW_2009_2024.csv.csv</x:v>
      </x:c>
      <x:c r="B220" s="87" t="str">
        <x:v>AstraZeneca</x:v>
      </x:c>
      <x:c r="C220" s="87"/>
      <x:c r="D220" s="87" t="str">
        <x:v>Yes</x:v>
      </x:c>
      <x:c r="E220" s="87" t="str">
        <x:v>astrazeneca</x:v>
      </x:c>
      <x:c r="F220" s="87" t="str">
        <x:v>218</x:v>
      </x:c>
      <x:c r="G220" s="87" t="str">
        <x:v>172-565-429-237-007</x:v>
      </x:c>
      <x:c r="H220" s="110" t="n">
        <x:v>43669</x:v>
      </x:c>
      <x:c r="I220" s="88" t="n">
        <x:v>2019</x:v>
      </x:c>
      <x:c r="J220" s="87" t="str">
        <x:v>US</x:v>
      </x:c>
      <x:c r="K220" s="87" t="str">
        <x:v>A1</x:v>
      </x:c>
      <x:c r="L220" s="87" t="str">
        <x:v>US 2022/0267356 A1</x:v>
      </x:c>
      <x:c r="M220" s="87" t="str">
        <x:v>ASTRAZENECA AB</x:v>
      </x:c>
      <x:c r="N220" s="87" t="str">
        <x:v>ASTRAZENECA PHARMACEUTICALS LP (2022-04-06);;ASTRAZENECA UK LIMITED (2022-04-07);;ASTRAZENECA AB (2022-04-12)</x:v>
      </x:c>
      <x:c r="O220" s="87" t="str">
        <x:v>ARGINASE INHIBITORS AND METHODS OF USE THEREOF</x:v>
      </x:c>
      <x:c r="P220" s="109" t="n">
        <x:v>0</x:v>
      </x:c>
      <x:c r="Q220" s="109" t="n">
        <x:v>14</x:v>
      </x:c>
      <x:c r="R220" s="87" t="str">
        <x:v>C07K5/06034;;A61K38/00;;A61P11/00;;A61P29/00;;A61P35/00;;C07F5/025;;C07F5/025;;A61K31/69;;A61P35/00;;C07F5/025;;A61K31/69;;A61P11/00;;A61P35/00;;C07F5/025</x:v>
      </x:c>
      <x:c r="S220" s="87" t="str">
        <x:v>C07F5/02</x:v>
      </x:c>
      <x:c r="T220" s="87" t="str">
        <x:v>DISCONTINUED</x:v>
      </x:c>
      <x:c r="U220" s="87" t="str">
        <x:v>https://lens.org/172-565-429-237-007</x:v>
      </x:c>
    </x:row>
    <x:row r="221">
      <x:c r="A221" s="87" t="str">
        <x:v>AstraZeneca_Lens_RAW_2009_2024.csv.csv</x:v>
      </x:c>
      <x:c r="B221" s="87" t="str">
        <x:v>AstraZeneca</x:v>
      </x:c>
      <x:c r="C221" s="87"/>
      <x:c r="D221" s="87" t="str">
        <x:v>Yes</x:v>
      </x:c>
      <x:c r="E221" s="87" t="str">
        <x:v>astrazeneca</x:v>
      </x:c>
      <x:c r="F221" s="87" t="str">
        <x:v>219</x:v>
      </x:c>
      <x:c r="G221" s="87" t="str">
        <x:v>116-739-546-284-802</x:v>
      </x:c>
      <x:c r="H221" s="110" t="n">
        <x:v>43228</x:v>
      </x:c>
      <x:c r="I221" s="88" t="n">
        <x:v>2018</x:v>
      </x:c>
      <x:c r="J221" s="87" t="str">
        <x:v>US</x:v>
      </x:c>
      <x:c r="K221" s="87" t="str">
        <x:v>B2</x:v>
      </x:c>
      <x:c r="L221" s="87" t="str">
        <x:v>US 11407765 B2</x:v>
      </x:c>
      <x:c r="M221" s="87" t="str">
        <x:v>ASTRAZENECA AB</x:v>
      </x:c>
      <x:c r="N221" s="87" t="str">
        <x:v>ASTRAZENECA UK LIMITED (2019-06-18);;ASTRAZENECA AB (2019-06-28)</x:v>
      </x:c>
      <x:c r="O221" s="87" t="str">
        <x:v>Tetracyclic heteroaryl compounds</x:v>
      </x:c>
      <x:c r="P221" s="109" t="n">
        <x:v>0</x:v>
      </x:c>
      <x:c r="Q221" s="109" t="n">
        <x:v>26</x:v>
      </x:c>
      <x:c r="R221" s="87" t="str">
        <x:v>C07D498/14;;C07D498/14;;A61K31/553;;A61P35/00;;C07D498/14</x:v>
      </x:c>
      <x:c r="S221" s="87" t="str">
        <x:v>C07D498/14</x:v>
      </x:c>
      <x:c r="T221" s="87" t="str">
        <x:v>ACTIVE</x:v>
      </x:c>
      <x:c r="U221" s="87" t="str">
        <x:v>https://lens.org/116-739-546-284-802</x:v>
      </x:c>
    </x:row>
    <x:row r="222">
      <x:c r="A222" s="87" t="str">
        <x:v>AstraZeneca_Lens_RAW_2009_2024.csv.csv</x:v>
      </x:c>
      <x:c r="B222" s="87" t="str">
        <x:v>AstraZeneca</x:v>
      </x:c>
      <x:c r="C222" s="87"/>
      <x:c r="D222" s="87" t="str">
        <x:v>Yes</x:v>
      </x:c>
      <x:c r="E222" s="87" t="str">
        <x:v>astrazeneca</x:v>
      </x:c>
      <x:c r="F222" s="87" t="str">
        <x:v>220</x:v>
      </x:c>
      <x:c r="G222" s="87" t="str">
        <x:v>182-494-926-267-343</x:v>
      </x:c>
      <x:c r="H222" s="110" t="n">
        <x:v>43593</x:v>
      </x:c>
      <x:c r="I222" s="88" t="n">
        <x:v>2019</x:v>
      </x:c>
      <x:c r="J222" s="87" t="str">
        <x:v>US</x:v>
      </x:c>
      <x:c r="K222" s="87" t="str">
        <x:v>A1</x:v>
      </x:c>
      <x:c r="L222" s="87" t="str">
        <x:v>US 2022/0226243 A1</x:v>
      </x:c>
      <x:c r="M222" s="87" t="str">
        <x:v>ASTRAZENECA AB</x:v>
      </x:c>
      <x:c r="N222" s="87" t="str">
        <x:v>ASTRAZENECA PHARMACEUTICALS LP (2019-09-17);;MODERNATX INC (2023-01-02);;ASTRAZENECA UK LIMITED (2019-09-23);;ASTRAZENECA AB (2019-09-24);;ASTRAZENCA AB (2019-09-13)</x:v>
      </x:c>
      <x:c r="O222" s="87" t="str">
        <x:v>METHODS OF USING LIPID NANOPARTICLES FOR DELIVERING MODIFIED RNA ENCODING A VEGF-A POLYPEPTIDE AND PHARMACEUTICAL COMPOSITIONS COMPRISING THE SAME</x:v>
      </x:c>
      <x:c r="P222" s="109" t="n">
        <x:v>0</x:v>
      </x:c>
      <x:c r="Q222" s="109" t="n">
        <x:v>5</x:v>
      </x:c>
      <x:c r="R222" s="87" t="str">
        <x:v>A61K9/5146;;A61K9/0014;;A61K9/5123;;A61K38/1866;;A61K48/0008;;A61K48/005;;A61K48/0075;;A61P17/02;;B82Y5/00;;A61K9/5123;;A61K9/0014;;A61K9/0021;;A61K9/1271;;A61K9/1272;;A61K9/1272;;A61K38/1866;;A61K48/0075;;A61P17/02</x:v>
      </x:c>
      <x:c r="S222" s="87" t="str">
        <x:v>A61K9/127;;A61K38/18;;A61K48/00;;A61P17/02</x:v>
      </x:c>
      <x:c r="T222" s="87" t="str">
        <x:v>DISCONTINUED</x:v>
      </x:c>
      <x:c r="U222" s="87" t="str">
        <x:v>https://lens.org/182-494-926-267-343</x:v>
      </x:c>
    </x:row>
    <x:row r="223">
      <x:c r="A223" s="87" t="str">
        <x:v>AstraZeneca_Lens_RAW_2009_2024.csv.csv</x:v>
      </x:c>
      <x:c r="B223" s="87" t="str">
        <x:v>AstraZeneca</x:v>
      </x:c>
      <x:c r="C223" s="87"/>
      <x:c r="D223" s="87" t="str">
        <x:v>Yes</x:v>
      </x:c>
      <x:c r="E223" s="87" t="str">
        <x:v>astrazeneca</x:v>
      </x:c>
      <x:c r="F223" s="87" t="str">
        <x:v>221</x:v>
      </x:c>
      <x:c r="G223" s="87" t="str">
        <x:v>039-438-916-994-626</x:v>
      </x:c>
      <x:c r="H223" s="110" t="n">
        <x:v>43665</x:v>
      </x:c>
      <x:c r="I223" s="88" t="n">
        <x:v>2019</x:v>
      </x:c>
      <x:c r="J223" s="87" t="str">
        <x:v>US</x:v>
      </x:c>
      <x:c r="K223" s="87" t="str">
        <x:v>A1</x:v>
      </x:c>
      <x:c r="L223" s="87" t="str">
        <x:v>US 2022/0227768 A1</x:v>
      </x:c>
      <x:c r="M223" s="87" t="str">
        <x:v>ASTRAZENECA AB</x:v>
      </x:c>
      <x:c r="N223" s="87" t="str">
        <x:v>ASTRAZENECA PHARMACEUTICALS LP (2020-10-01);;ASTRAZENECA UK LIMITED (2020-11-24);;ASTRAZENECA AB (2020-11-26)</x:v>
      </x:c>
      <x:c r="O223" s="87" t="str">
        <x:v>CHEMICAL COMPOUNDS</x:v>
      </x:c>
      <x:c r="P223" s="109" t="n">
        <x:v>0</x:v>
      </x:c>
      <x:c r="Q223" s="109" t="n">
        <x:v>50</x:v>
      </x:c>
      <x:c r="R223" s="87" t="str">
        <x:v>C07D471/04;;C07D401/12;;A61P35/00;;A61P35/02;;C07D471/04;;C07D401/12;;C07D471/04;;C07D401/12;;C07D401/14;;C07D471/04;;A61K31/497;;A61K31/498;;A61P35/00;;C07D401/12;;C07D401/14;;C07D471/04;;A61P35/02;;A61P35/00;;A61K31/497;;C07D401/12;;A61K31/498</x:v>
      </x:c>
      <x:c r="S223" s="87" t="str">
        <x:v>C07D471/04;;C07D401/14</x:v>
      </x:c>
      <x:c r="T223" s="87" t="str">
        <x:v>ACTIVE</x:v>
      </x:c>
      <x:c r="U223" s="87" t="str">
        <x:v>https://lens.org/039-438-916-994-626</x:v>
      </x:c>
    </x:row>
    <x:row r="224">
      <x:c r="A224" s="87" t="str">
        <x:v>AstraZeneca_Lens_RAW_2009_2024.csv.csv</x:v>
      </x:c>
      <x:c r="B224" s="87" t="str">
        <x:v>AstraZeneca</x:v>
      </x:c>
      <x:c r="C224" s="87"/>
      <x:c r="D224" s="87" t="str">
        <x:v>Yes</x:v>
      </x:c>
      <x:c r="E224" s="87" t="str">
        <x:v>astrazeneca</x:v>
      </x:c>
      <x:c r="F224" s="87" t="str">
        <x:v>222</x:v>
      </x:c>
      <x:c r="G224" s="87" t="str">
        <x:v>000-022-088-796-952</x:v>
      </x:c>
      <x:c r="H224" s="110" t="n">
        <x:v>43593</x:v>
      </x:c>
      <x:c r="I224" s="88" t="n">
        <x:v>2019</x:v>
      </x:c>
      <x:c r="J224" s="87" t="str">
        <x:v>US</x:v>
      </x:c>
      <x:c r="K224" s="87" t="str">
        <x:v>A1</x:v>
      </x:c>
      <x:c r="L224" s="87" t="str">
        <x:v>US 2022/0226438 A1</x:v>
      </x:c>
      <x:c r="M224" s="87" t="str">
        <x:v>ASTRAZENECA AB</x:v>
      </x:c>
      <x:c r="N224" s="87" t="str">
        <x:v>ASTRAZENECA PHARMACEUTICALS LP (2020-02-19);;MODERNATX INC (2023-01-02);;ASTRAZENECA AB (2020-02-25);;ASTRAZENECA UK LIMITED (2020-02-24)</x:v>
      </x:c>
      <x:c r="O224" s="87" t="str">
        <x:v>COMPOSITIONS FOR SKIN AND WOUNDS AND METHODS OF USE THEREOF</x:v>
      </x:c>
      <x:c r="P224" s="109" t="n">
        <x:v>7</x:v>
      </x:c>
      <x:c r="Q224" s="109" t="n">
        <x:v>5</x:v>
      </x:c>
      <x:c r="R224" s="87" t="str">
        <x:v>A61K9/0021;;A61K9/0019;;A61K31/7105;;A61K38/18;;A61K38/1866;;A61K38/19;;A61K38/195;;A61K38/39;;A61K45/00;;A61K48/005;;A61K48/0075;;A61P17/02;;A61P17/02;;A61K38/1709;;A61K38/18;;A61K38/1808;;A61K38/1825;;A61K38/1833;;A61K38/1858;;A61K38/1866;;A61K38/1883;;A61K38/19;;A61K38/193;;A61K38/2006;;A61K38/204;;A61K38/2053;;A61K38/2066;;A61K38/39;;A61K38/1866;;A61K9/1617;;A61K47/183;;A61K47/24;;A61K47/28;;A61K48/0058;;A61P17/02</x:v>
      </x:c>
      <x:c r="S224" s="87" t="str">
        <x:v>A61K38/18;;A61K9/16;;A61K47/18;;A61K47/24;;A61K47/28;;A61K48/00;;A61P17/02</x:v>
      </x:c>
      <x:c r="T224" s="87" t="str">
        <x:v>DISCONTINUED</x:v>
      </x:c>
      <x:c r="U224" s="87" t="str">
        <x:v>https://lens.org/000-022-088-796-952</x:v>
      </x:c>
    </x:row>
    <x:row r="225">
      <x:c r="A225" s="87" t="str">
        <x:v>AstraZeneca_Lens_RAW_2009_2024.csv.csv</x:v>
      </x:c>
      <x:c r="B225" s="87" t="str">
        <x:v>AstraZeneca</x:v>
      </x:c>
      <x:c r="C225" s="87"/>
      <x:c r="D225" s="87" t="str">
        <x:v>Yes</x:v>
      </x:c>
      <x:c r="E225" s="87" t="str">
        <x:v>astrazeneca</x:v>
      </x:c>
      <x:c r="F225" s="87" t="str">
        <x:v>223</x:v>
      </x:c>
      <x:c r="G225" s="87" t="str">
        <x:v>190-712-798-849-72X</x:v>
      </x:c>
      <x:c r="H225" s="110" t="n">
        <x:v>43537</x:v>
      </x:c>
      <x:c r="I225" s="88" t="n">
        <x:v>2019</x:v>
      </x:c>
      <x:c r="J225" s="87" t="str">
        <x:v>US</x:v>
      </x:c>
      <x:c r="K225" s="87" t="str">
        <x:v>A1</x:v>
      </x:c>
      <x:c r="L225" s="87" t="str">
        <x:v>US 2022/0218738 A1</x:v>
      </x:c>
      <x:c r="M225" s="87" t="str">
        <x:v>ASTRAZENECA AB</x:v>
      </x:c>
      <x:c r="N225" s="87" t="str">
        <x:v>ASTRAZENECA PHARMACEUTICALS LP (2019-07-31);;ASTRAZENECA AB (2019-08-01);;ASTRAZENECA UK LIMITED (2019-08-08)</x:v>
      </x:c>
      <x:c r="O225" s="87" t="str">
        <x:v>POTASSIUM-BINDING AGENTS FOR USE IN HEMODIALYSIS PATIENTS</x:v>
      </x:c>
      <x:c r="P225" s="109" t="n">
        <x:v>0</x:v>
      </x:c>
      <x:c r="Q225" s="109" t="n">
        <x:v>15</x:v>
      </x:c>
      <x:c r="R225" s="87" t="str">
        <x:v>A61K31/78;;A61K33/24;;A61P3/12;;A61K33/24;;A61K31/78;;A61P3/12;;A61K33/24;;A61K31/78;;A61P3/12;;A61K33/24;;A61K31/78;;A61P3/12;;A61K31/78;;A61K33/24;;A61P3/12</x:v>
      </x:c>
      <x:c r="S225" s="87" t="str">
        <x:v>A61K31/78;;A61K33/24;;A61P3/12</x:v>
      </x:c>
      <x:c r="T225" s="87" t="str">
        <x:v>DISCONTINUED</x:v>
      </x:c>
      <x:c r="U225" s="87" t="str">
        <x:v>https://lens.org/190-712-798-849-72X</x:v>
      </x:c>
    </x:row>
    <x:row r="226">
      <x:c r="A226" s="87" t="str">
        <x:v>AstraZeneca_Lens_RAW_2009_2024.csv.csv</x:v>
      </x:c>
      <x:c r="B226" s="87" t="str">
        <x:v>AstraZeneca</x:v>
      </x:c>
      <x:c r="C226" s="87"/>
      <x:c r="D226" s="87" t="str">
        <x:v>Yes</x:v>
      </x:c>
      <x:c r="E226" s="87" t="str">
        <x:v>astrazeneca</x:v>
      </x:c>
      <x:c r="F226" s="87" t="str">
        <x:v>224</x:v>
      </x:c>
      <x:c r="G226" s="87" t="str">
        <x:v>083-347-119-119-118</x:v>
      </x:c>
      <x:c r="H226" s="110" t="n">
        <x:v>43483</x:v>
      </x:c>
      <x:c r="I226" s="88" t="n">
        <x:v>2019</x:v>
      </x:c>
      <x:c r="J226" s="87" t="str">
        <x:v>US</x:v>
      </x:c>
      <x:c r="K226" s="87" t="str">
        <x:v>A1</x:v>
      </x:c>
      <x:c r="L226" s="87" t="str">
        <x:v>US 2022/0220122 A1</x:v>
      </x:c>
      <x:c r="M226" s="87" t="str">
        <x:v>ASTRAZENECA AB</x:v>
      </x:c>
      <x:c r="N226" s="87" t="str">
        <x:v>DOGMA THERAPEUTICS INC (2020-01-29);;ASTRAZENECA AB (2020-08-26)</x:v>
      </x:c>
      <x:c r="O226" s="87" t="str">
        <x:v>PCSK9 INHIBITORS AND METHODS OF USE THEREOF</x:v>
      </x:c>
      <x:c r="P226" s="109" t="n">
        <x:v>1</x:v>
      </x:c>
      <x:c r="Q226" s="109" t="n">
        <x:v>59</x:v>
      </x:c>
      <x:c r="R226" s="87" t="str">
        <x:v>A61P3/06;;A61P3/00;;A61P1/16;;A61P9/10;;C07D417/12;;C07D417/14;;C07D487/10;;C07D498/04;;C07D471/10;;C07D491/107;;C07D413/12;;C07D401/14;;C07D413/14;;C07D487/04;;C07D498/10;;C07D495/04;;C07D401/14;;A61P3/00;;C07D417/12;;C07D417/14;;C07D491/107;;C07D487/10;;C07D498/04;;C07D471/10;;C07D239/84;;C07D403/12;;C07D413/12;;C07D471/04;;C07D401/12;;C07D413/14;;C07D495/04;;C07D487/04;;C07D403/14;;A61K31/506;;A61K45/06;;A61P3/06;;A61P9/00;;C07B2200/05;;C07D401/14;;C07D403/14;;C07D417/12;;C07D417/14;;C07D471/04;;C07D471/10;;C07D487/10;;C07D491/107;;C07D495/04;;C07D498/04;;C07D417/12;;A61K31/506;;A61P9/00;;C07D417/14;;C07D491/107;;C07D487/10;;C07D498/04;;C07D471/10;;C07D401/14;;C07D403/14;;C07D487/04;;A61K45/06;;C07D413/14;;C07D498/10;;C07D471/04;;C07D401/12;;C07D495/04;;A61K2300/00;;A61P9/00;;A61P3/06;;A61K45/06;;C07B2200/05;;C07D401/14;;C07D403/14;;C07D417/12;;C07D417/14;;C07D471/04;;C07D471/10;;C07D487/10;;C07D491/107;;C07D495/04;;C07D498/04</x:v>
      </x:c>
      <x:c r="S226" s="87" t="str">
        <x:v>C07D491/107;;A61P3/06;;A61P9/00;;C07D401/14;;C07D403/14;;C07D417/12;;C07D417/14;;C07D471/04;;C07D471/10;;C07D487/10;;C07D495/04;;C07D498/04</x:v>
      </x:c>
      <x:c r="T226" s="87" t="str">
        <x:v>ACTIVE</x:v>
      </x:c>
      <x:c r="U226" s="87" t="str">
        <x:v>https://lens.org/083-347-119-119-118</x:v>
      </x:c>
    </x:row>
    <x:row r="227">
      <x:c r="A227" s="87" t="str">
        <x:v>AstraZeneca_Lens_RAW_2009_2024.csv.csv</x:v>
      </x:c>
      <x:c r="B227" s="87" t="str">
        <x:v>AstraZeneca</x:v>
      </x:c>
      <x:c r="C227" s="87"/>
      <x:c r="D227" s="87" t="str">
        <x:v>Yes</x:v>
      </x:c>
      <x:c r="E227" s="87" t="str">
        <x:v>astrazeneca</x:v>
      </x:c>
      <x:c r="F227" s="87" t="str">
        <x:v>225</x:v>
      </x:c>
      <x:c r="G227" s="87" t="str">
        <x:v>053-593-430-914-646</x:v>
      </x:c>
      <x:c r="H227" s="110" t="n">
        <x:v>43553</x:v>
      </x:c>
      <x:c r="I227" s="88" t="n">
        <x:v>2019</x:v>
      </x:c>
      <x:c r="J227" s="87" t="str">
        <x:v>US</x:v>
      </x:c>
      <x:c r="K227" s="87" t="str">
        <x:v>A1</x:v>
      </x:c>
      <x:c r="L227" s="87" t="str">
        <x:v>US 2022/0193191 A1</x:v>
      </x:c>
      <x:c r="M227" s="87" t="str">
        <x:v>ASTRAZENECA AB</x:v>
      </x:c>
      <x:c r="N227" s="87" t="str">
        <x:v>PIERIS PHARMACEUTICALS INC (2020-05-24);;ASTRAZENECA AB (2020-02-07);;ASTRAZENECA UK LIMITED (2020-06-12);;PIERIS PHARMACEUTICALS GMBH (2020-05-27)</x:v>
      </x:c>
      <x:c r="O227" s="87" t="str">
        <x:v>LIPOCALIN MUTEIN FOR TREATMENT OF ASTHMA</x:v>
      </x:c>
      <x:c r="P227" s="109" t="n">
        <x:v>1</x:v>
      </x:c>
      <x:c r="Q227" s="109" t="n">
        <x:v>11</x:v>
      </x:c>
      <x:c r="R227" s="87" t="str">
        <x:v>A61K38/17;;A61P11/06;;A61K38/17;;A61P11/06;;A61K38/1709;;A61K9/0073;;A61P11/06;;C07K14/47;;C07K14/7155;;A61K38/1709;;A61K9/007;;A61P11/06</x:v>
      </x:c>
      <x:c r="S227" s="87" t="str">
        <x:v>A61K38/17;;A61K9/00;;A61P11/06</x:v>
      </x:c>
      <x:c r="T227" s="87" t="str">
        <x:v>DISCONTINUED</x:v>
      </x:c>
      <x:c r="U227" s="87" t="str">
        <x:v>https://lens.org/053-593-430-914-646</x:v>
      </x:c>
    </x:row>
    <x:row r="228">
      <x:c r="A228" s="87" t="str">
        <x:v>AstraZeneca_Lens_RAW_2009_2024.csv.csv</x:v>
      </x:c>
      <x:c r="B228" s="87" t="str">
        <x:v>AstraZeneca</x:v>
      </x:c>
      <x:c r="C228" s="87"/>
      <x:c r="D228" s="87" t="str">
        <x:v>Yes</x:v>
      </x:c>
      <x:c r="E228" s="87" t="str">
        <x:v>astrazeneca</x:v>
      </x:c>
      <x:c r="F228" s="87" t="str">
        <x:v>226</x:v>
      </x:c>
      <x:c r="G228" s="87" t="str">
        <x:v>159-573-506-963-723</x:v>
      </x:c>
      <x:c r="H228" s="110" t="n">
        <x:v>44182</x:v>
      </x:c>
      <x:c r="I228" s="88" t="n">
        <x:v>2020</x:v>
      </x:c>
      <x:c r="J228" s="87" t="str">
        <x:v>US</x:v>
      </x:c>
      <x:c r="K228" s="87" t="str">
        <x:v>A1</x:v>
      </x:c>
      <x:c r="L228" s="87" t="str">
        <x:v>US 2022/0193238 A1</x:v>
      </x:c>
      <x:c r="M228" s="87" t="str">
        <x:v>ASTRAZENECA AB</x:v>
      </x:c>
      <x:c r="N228" s="87" t="str">
        <x:v>ASTRAZENECA AB (2022-02-17);;MEDIMMUNE LLC (2022-01-31)</x:v>
      </x:c>
      <x:c r="O228" s="87" t="str">
        <x:v>ANTI-IL5R ANTIBODY FORMULATIONS</x:v>
      </x:c>
      <x:c r="P228" s="109" t="n">
        <x:v>0</x:v>
      </x:c>
      <x:c r="Q228" s="109" t="n">
        <x:v>12</x:v>
      </x:c>
      <x:c r="R228" s="87" t="str">
        <x:v>A61K9/0019;;A61K39/39591;;A61K47/183;;A61K47/26;;A61P1/04;;A61P11/00;;A61P11/06;;A61P11/14;;A61P37/08;;C07K16/2866;;A61K2039/505;;A61K9/08;;A61K9/19;;A61K47/12;;A61K39/39591;;A61K47/26;;A61P37/08;;A61K47/12;;A61K9/19;;A61K47/22;;A61K47/14;;A61P1/04;;A61K9/08;;C07K16/2866;;A61K2039/505;;A61K9/0019;;A61P11/14;;A61P11/06;;A61P11/00;;A61K47/34;;A61K47/183;;A61K39/39591;;A61K47/26;;A61K47/22;;A61K47/10;;A61K47/183;;A61K9/08;;A61K9/19;;A61P11/00;;A61P11/06;;C07K16/2866;;A61K2039/505;;A61K39/39591;;A61K47/14;;A61K47/22;;A61K47/26;;A61K47/34;;C07K16/2866</x:v>
      </x:c>
      <x:c r="S228" s="87" t="str">
        <x:v>A61K39/395;;A61K47/14;;A61K47/22;;A61K47/26;;A61K47/34;;C07K16/28</x:v>
      </x:c>
      <x:c r="T228" s="87" t="str">
        <x:v>DISCONTINUED</x:v>
      </x:c>
      <x:c r="U228" s="87" t="str">
        <x:v>https://lens.org/159-573-506-963-723</x:v>
      </x:c>
    </x:row>
    <x:row r="229">
      <x:c r="A229" s="87" t="str">
        <x:v>AstraZeneca_Lens_RAW_2009_2024.csv.csv</x:v>
      </x:c>
      <x:c r="B229" s="87" t="str">
        <x:v>AstraZeneca</x:v>
      </x:c>
      <x:c r="C229" s="87"/>
      <x:c r="D229" s="87" t="str">
        <x:v>Yes</x:v>
      </x:c>
      <x:c r="E229" s="87" t="str">
        <x:v>astrazeneca</x:v>
      </x:c>
      <x:c r="F229" s="87" t="str">
        <x:v>227</x:v>
      </x:c>
      <x:c r="G229" s="87" t="str">
        <x:v>124-320-224-243-466</x:v>
      </x:c>
      <x:c r="H229" s="110" t="n">
        <x:v>43538</x:v>
      </x:c>
      <x:c r="I229" s="88" t="n">
        <x:v>2019</x:v>
      </x:c>
      <x:c r="J229" s="87" t="str">
        <x:v>US</x:v>
      </x:c>
      <x:c r="K229" s="87" t="str">
        <x:v>A1</x:v>
      </x:c>
      <x:c r="L229" s="87" t="str">
        <x:v>US 2022/0175749 A1</x:v>
      </x:c>
      <x:c r="M229" s="87" t="str">
        <x:v>ASTRAZENECA AB</x:v>
      </x:c>
      <x:c r="N229" s="87" t="str">
        <x:v>ELI LILLY AND COMPANY (2019-05-29);;ASTRAZENECA PHARMACEUTICALS LP (2019-06-05);;ASTRAZENECA UK LIMITED (2019-07-12);;ASTRAZENECA AB (2019-08-13)</x:v>
      </x:c>
      <x:c r="O229" s="87" t="str">
        <x:v>LANABECESTAT FOR WEIGHT LOSS</x:v>
      </x:c>
      <x:c r="P229" s="109" t="n">
        <x:v>0</x:v>
      </x:c>
      <x:c r="Q229" s="109" t="n">
        <x:v>11</x:v>
      </x:c>
      <x:c r="R229" s="87" t="str">
        <x:v>A61K45/06;;A61K31/4439;;A61P3/04;;A61K31/4439;;A61K45/06;;A61K2300/00;;A61P3/04;;A61K31/4439;;A61K45/06;;A61P3/04</x:v>
      </x:c>
      <x:c r="S229" s="87" t="str">
        <x:v>A61K31/4439;;A61K45/06;;A61P3/04</x:v>
      </x:c>
      <x:c r="T229" s="87" t="str">
        <x:v>DISCONTINUED</x:v>
      </x:c>
      <x:c r="U229" s="87" t="str">
        <x:v>https://lens.org/124-320-224-243-466</x:v>
      </x:c>
    </x:row>
    <x:row r="230">
      <x:c r="A230" s="87" t="str">
        <x:v>AstraZeneca_Lens_RAW_2009_2024.csv.csv</x:v>
      </x:c>
      <x:c r="B230" s="87" t="str">
        <x:v>AstraZeneca</x:v>
      </x:c>
      <x:c r="C230" s="87"/>
      <x:c r="D230" s="87" t="str">
        <x:v>Yes</x:v>
      </x:c>
      <x:c r="E230" s="87" t="str">
        <x:v>astrazeneca</x:v>
      </x:c>
      <x:c r="F230" s="87" t="str">
        <x:v>228</x:v>
      </x:c>
      <x:c r="G230" s="87" t="str">
        <x:v>137-116-578-868-766</x:v>
      </x:c>
      <x:c r="H230" s="110" t="n">
        <x:v>43553</x:v>
      </x:c>
      <x:c r="I230" s="88" t="n">
        <x:v>2019</x:v>
      </x:c>
      <x:c r="J230" s="87" t="str">
        <x:v>US</x:v>
      </x:c>
      <x:c r="K230" s="87" t="str">
        <x:v>A1</x:v>
      </x:c>
      <x:c r="L230" s="87" t="str">
        <x:v>US 2022/0175783 A1</x:v>
      </x:c>
      <x:c r="M230" s="87" t="str">
        <x:v>ASTRAZENECA AB</x:v>
      </x:c>
      <x:c r="N230" s="87" t="str">
        <x:v>ASTRAZENECA UK LIMITED (2019-06-11);;ASTRAZENECA AB (2019-06-12)</x:v>
      </x:c>
      <x:c r="O230" s="87" t="str">
        <x:v>OSIMERTINIB FOR USE IN THE TREATMENT OF NON-SMALL CELL LUNG CANCER</x:v>
      </x:c>
      <x:c r="P230" s="109" t="n">
        <x:v>2</x:v>
      </x:c>
      <x:c r="Q230" s="109" t="n">
        <x:v>15</x:v>
      </x:c>
      <x:c r="R230" s="87" t="str">
        <x:v>A61K31/501;;A61P35/00;;A61K31/517;;A61K31/506;;A61K31/519;;A61K31/555;;A61K33/243;;A61K2300/00;;A61P35/00;;A61K31/519;;A61K9/20;;A61K31/506;;A61K31/517;;A61K33/243;;A61P35/04</x:v>
      </x:c>
      <x:c r="S230" s="87" t="str">
        <x:v>A61K31/519;;A61K31/506;;A61K31/517;;A61K33/243;;A61P35/04</x:v>
      </x:c>
      <x:c r="T230" s="87" t="str">
        <x:v>ACTIVE</x:v>
      </x:c>
      <x:c r="U230" s="87" t="str">
        <x:v>https://lens.org/137-116-578-868-766</x:v>
      </x:c>
    </x:row>
    <x:row r="231">
      <x:c r="A231" s="87" t="str">
        <x:v>AstraZeneca_Lens_RAW_2009_2024.csv.csv</x:v>
      </x:c>
      <x:c r="B231" s="87" t="str">
        <x:v>AstraZeneca</x:v>
      </x:c>
      <x:c r="C231" s="87"/>
      <x:c r="D231" s="87" t="str">
        <x:v>Yes</x:v>
      </x:c>
      <x:c r="E231" s="87" t="str">
        <x:v>astrazeneca</x:v>
      </x:c>
      <x:c r="F231" s="87" t="str">
        <x:v>229</x:v>
      </x:c>
      <x:c r="G231" s="87" t="str">
        <x:v>160-030-407-210-245</x:v>
      </x:c>
      <x:c r="H231" s="110" t="n">
        <x:v>40451</x:v>
      </x:c>
      <x:c r="I231" s="88" t="n">
        <x:v>2010</x:v>
      </x:c>
      <x:c r="J231" s="87" t="str">
        <x:v>EP</x:v>
      </x:c>
      <x:c r="K231" s="87" t="str">
        <x:v>B8</x:v>
      </x:c>
      <x:c r="L231" s="87" t="str">
        <x:v>EP 2992903 B8</x:v>
      </x:c>
      <x:c r="M231" s="87" t="str">
        <x:v>ASTRAZENECA AB;;NEKTAR THERAPEUTICS</x:v>
      </x:c>
      <x:c r="N231" s="87" t="str">
        <x:v>NEKTAR THERAPEUTICS; US (2025-11-05);;NEKTAR THERAPEUTICS (2019-10-23);;ASTRAZENECA AB (2019-10-23);;GRUENENTHAL GMBH, DE (2026-04-27);;NEKTAR THERAPEUTICS, SAN FRANCISCO, US (2026-04-27)</x:v>
      </x:c>
      <x:c r="O231" s="87" t="str">
        <x:v>COMBINATION OF A NALOXOL-PEG CONJUGATE AND AN OPIOID AGONIST</x:v>
      </x:c>
      <x:c r="P231" s="109" t="n">
        <x:v>0</x:v>
      </x:c>
      <x:c r="Q231" s="109" t="n">
        <x:v>71</x:v>
      </x:c>
      <x:c r="R231" s="87" t="str">
        <x:v>C07D489/04;;A61K47/60;;A61P25/00;;A61P25/04;;A61P39/00;;C07B2200/13;;C07C55/07;;A61K47/60;;C07B2200/13;;C07C51/41;;C07D489/04</x:v>
      </x:c>
      <x:c r="S231" s="87" t="str">
        <x:v>A61K47/60;;A61K45/06;;A61P39/00;;C07D489/04</x:v>
      </x:c>
      <x:c r="T231" s="87" t="str">
        <x:v>ACTIVE</x:v>
      </x:c>
      <x:c r="U231" s="87" t="str">
        <x:v>https://lens.org/160-030-407-210-245</x:v>
      </x:c>
    </x:row>
    <x:row r="232">
      <x:c r="A232" s="87" t="str">
        <x:v>AstraZeneca_Lens_RAW_2009_2024.csv.csv</x:v>
      </x:c>
      <x:c r="B232" s="87" t="str">
        <x:v>AstraZeneca</x:v>
      </x:c>
      <x:c r="C232" s="87"/>
      <x:c r="D232" s="87" t="str">
        <x:v>Yes</x:v>
      </x:c>
      <x:c r="E232" s="87" t="str">
        <x:v>astrazeneca</x:v>
      </x:c>
      <x:c r="F232" s="87" t="str">
        <x:v>230</x:v>
      </x:c>
      <x:c r="G232" s="87" t="str">
        <x:v>033-687-118-462-747</x:v>
      </x:c>
      <x:c r="H232" s="110" t="n">
        <x:v>43553</x:v>
      </x:c>
      <x:c r="I232" s="88" t="n">
        <x:v>2019</x:v>
      </x:c>
      <x:c r="J232" s="87" t="str">
        <x:v>US</x:v>
      </x:c>
      <x:c r="K232" s="87" t="str">
        <x:v>A1</x:v>
      </x:c>
      <x:c r="L232" s="87" t="str">
        <x:v>US 2022/0169643 A1</x:v>
      </x:c>
      <x:c r="M232" s="87" t="str">
        <x:v>ASTRAZENECA AB</x:v>
      </x:c>
      <x:c r="N232" s="87" t="str">
        <x:v>ASTRAZENECA PHARMACEUTICALS LP (2020-05-19);;ASTRAZENECA UK LIMITED (2020-07-22);;ASTRAZENECA AB (2020-07-29)</x:v>
      </x:c>
      <x:c r="O232" s="87" t="str">
        <x:v>ESTROGEN RECEPTOR DEGRADING PROTACS</x:v>
      </x:c>
      <x:c r="P232" s="109" t="n">
        <x:v>1</x:v>
      </x:c>
      <x:c r="Q232" s="109" t="n">
        <x:v>26</x:v>
      </x:c>
      <x:c r="R232" s="87" t="str">
        <x:v>C07D471/04;;A61P35/00;;C07D471/04;;A61P35/00;;C07D471/04;;A61K31/506;;A61P35/00;;C07D471/10;;C07D471/04;;C07D519/00</x:v>
      </x:c>
      <x:c r="S232" s="87" t="str">
        <x:v>C07D471/04;;C07D519/00</x:v>
      </x:c>
      <x:c r="T232" s="87" t="str">
        <x:v>DISCONTINUED</x:v>
      </x:c>
      <x:c r="U232" s="87" t="str">
        <x:v>https://lens.org/033-687-118-462-747</x:v>
      </x:c>
    </x:row>
    <x:row r="233">
      <x:c r="A233" s="87" t="str">
        <x:v>AstraZeneca_Lens_RAW_2009_2024.csv.csv</x:v>
      </x:c>
      <x:c r="B233" s="87" t="str">
        <x:v>AstraZeneca</x:v>
      </x:c>
      <x:c r="C233" s="87"/>
      <x:c r="D233" s="87" t="str">
        <x:v>Yes</x:v>
      </x:c>
      <x:c r="E233" s="87" t="str">
        <x:v>astrazeneca</x:v>
      </x:c>
      <x:c r="F233" s="87" t="str">
        <x:v>231</x:v>
      </x:c>
      <x:c r="G233" s="87" t="str">
        <x:v>054-117-029-875-985</x:v>
      </x:c>
      <x:c r="H233" s="110" t="n">
        <x:v>43567</x:v>
      </x:c>
      <x:c r="I233" s="88" t="n">
        <x:v>2019</x:v>
      </x:c>
      <x:c r="J233" s="87" t="str">
        <x:v>US</x:v>
      </x:c>
      <x:c r="K233" s="87" t="str">
        <x:v>A1</x:v>
      </x:c>
      <x:c r="L233" s="87" t="str">
        <x:v>US 2022/0162648 A1</x:v>
      </x:c>
      <x:c r="M233" s="87" t="str">
        <x:v>ASTRAZENECA AB</x:v>
      </x:c>
      <x:c r="N233" s="87" t="str">
        <x:v>ASTRAZENECA AB (2019-04-26)</x:v>
      </x:c>
      <x:c r="O233" s="87" t="str">
        <x:v>COMPOSITIONS AND METHODS FOR IMPROVED GENE EDITING</x:v>
      </x:c>
      <x:c r="P233" s="109" t="n">
        <x:v>1</x:v>
      </x:c>
      <x:c r="Q233" s="109" t="n">
        <x:v>11</x:v>
      </x:c>
      <x:c r="R233" s="87" t="str">
        <x:v>C12N15/102;;C12N9/22;;C12N15/113;;C12N15/907;;C12N2310/20;;C12N15/113;;C12N2310/20;;C12N15/907;;C12N5/0081;;C12N9/22;;C12N9/2497;;C12N9/78;;C12N15/11;;C12N15/86;;C12N2310/20;;C12N2710/10043;;C12N2740/10043;;C12N2800/80;;C12Y305/04;;C12Y305/04004;;C12Y305/04005;;G01N33/5014</x:v>
      </x:c>
      <x:c r="S233" s="87" t="str">
        <x:v>C12N15/90;;C12N5/00;;C12N9/22;;C12N9/24;;C12N9/78;;C12N15/11;;C12N15/86;;G01N33/50</x:v>
      </x:c>
      <x:c r="T233" s="87" t="str">
        <x:v>PENDING</x:v>
      </x:c>
      <x:c r="U233" s="87" t="str">
        <x:v>https://lens.org/054-117-029-875-985</x:v>
      </x:c>
    </x:row>
    <x:row r="234">
      <x:c r="A234" s="87" t="str">
        <x:v>AstraZeneca_Lens_RAW_2009_2024.csv.csv</x:v>
      </x:c>
      <x:c r="B234" s="87" t="str">
        <x:v>AstraZeneca</x:v>
      </x:c>
      <x:c r="C234" s="87"/>
      <x:c r="D234" s="87" t="str">
        <x:v>Yes</x:v>
      </x:c>
      <x:c r="E234" s="87" t="str">
        <x:v>astrazeneca</x:v>
      </x:c>
      <x:c r="F234" s="87" t="str">
        <x:v>232</x:v>
      </x:c>
      <x:c r="G234" s="87" t="str">
        <x:v>195-955-822-169-723</x:v>
      </x:c>
      <x:c r="H234" s="110" t="n">
        <x:v>43511</x:v>
      </x:c>
      <x:c r="I234" s="88" t="n">
        <x:v>2019</x:v>
      </x:c>
      <x:c r="J234" s="87" t="str">
        <x:v>US</x:v>
      </x:c>
      <x:c r="K234" s="87" t="str">
        <x:v>A1</x:v>
      </x:c>
      <x:c r="L234" s="87" t="str">
        <x:v>US 2022/0162325 A1</x:v>
      </x:c>
      <x:c r="M234" s="87" t="str">
        <x:v>ASTRAZENECA AB</x:v>
      </x:c>
      <x:c r="N234" s="87" t="str">
        <x:v>ASTRAZENECA AB (2021-06-21);;MEDIMMUNE LLC (2020-10-08)</x:v>
      </x:c>
      <x:c r="O234" s="87" t="str">
        <x:v>TYPE I INTERFERON-MEDIATED DISORDERS</x:v>
      </x:c>
      <x:c r="P234" s="109" t="n">
        <x:v>1</x:v>
      </x:c>
      <x:c r="Q234" s="109" t="n">
        <x:v>16</x:v>
      </x:c>
      <x:c r="R234" s="87" t="str">
        <x:v>C07K16/2866;;A61K2039/505;;G01N33/564;;G01N2333/522;;G01N2333/70596;;G01N2800/52;;C07K16/2866;;A61K2039/505;;G01N33/564;;G01N2333/522;;G01N2333/70596;;G01N2800/52;;C07K16/2866;;A61K2039/505;;A61P21/00;;A61P29/00;;G01N33/564;;G01N2800/52;;C07K16/2866;;A61K2039/505;;A61P43/00</x:v>
      </x:c>
      <x:c r="S234" s="87" t="str">
        <x:v>C07K16/28;;A61P43/00</x:v>
      </x:c>
      <x:c r="T234" s="87" t="str">
        <x:v>DISCONTINUED</x:v>
      </x:c>
      <x:c r="U234" s="87" t="str">
        <x:v>https://lens.org/195-955-822-169-723</x:v>
      </x:c>
    </x:row>
    <x:row r="235">
      <x:c r="A235" s="87" t="str">
        <x:v>AstraZeneca_Lens_RAW_2009_2024.csv.csv</x:v>
      </x:c>
      <x:c r="B235" s="87" t="str">
        <x:v>AstraZeneca</x:v>
      </x:c>
      <x:c r="C235" s="87"/>
      <x:c r="D235" s="87" t="str">
        <x:v>Yes</x:v>
      </x:c>
      <x:c r="E235" s="87" t="str">
        <x:v>astrazeneca</x:v>
      </x:c>
      <x:c r="F235" s="87" t="str">
        <x:v>233</x:v>
      </x:c>
      <x:c r="G235" s="87" t="str">
        <x:v>031-087-811-690-877</x:v>
      </x:c>
      <x:c r="H235" s="110" t="n">
        <x:v>43039</x:v>
      </x:c>
      <x:c r="I235" s="88" t="n">
        <x:v>2017</x:v>
      </x:c>
      <x:c r="J235" s="87" t="str">
        <x:v>EP</x:v>
      </x:c>
      <x:c r="K235" s="87" t="str">
        <x:v>B1</x:v>
      </x:c>
      <x:c r="L235" s="87" t="str">
        <x:v>EP 3703658 B1</x:v>
      </x:c>
      <x:c r="M235" s="87" t="str">
        <x:v>ASTRAZENECA AB</x:v>
      </x:c>
      <x:c r="N235" s="87" t="str">
        <x:v>MODERNATX, INC., US (2023-05-30);;MODERNATX, INC.; US (2023-06-16);;ASTRAZENECA AB (2021-07-28)</x:v>
      </x:c>
      <x:c r="O235" s="87" t="str">
        <x:v>LIPID NANOPARTICLES FOR DELIVERING MODIFIED RNA ENCODING A VEGF-A POLYPEPTIDE</x:v>
      </x:c>
      <x:c r="P235" s="109" t="n">
        <x:v>0</x:v>
      </x:c>
      <x:c r="Q235" s="109" t="n">
        <x:v>31</x:v>
      </x:c>
      <x:c r="R235" s="87" t="str">
        <x:v>A61K9/1271;;A61K9/0021;;A61K9/1272;;A61K31/7088;;A61K38/1866;;A61K38/1866;;A61K9/0021;;A61K9/1271;;A61K9/1272;;A61K31/7088;;A61K48/0033;;A61K9/1271;;A61K9/5123;;A61K38/1866;;A61K47/14;;A61K47/24;;A61K48/005;;A61K48/0075;;A61P17/02;;A61K9/1272;;A61K9/0019;;A61K31/7088;;A61K38/1866;;A61P43/00;;B82Y5/00</x:v>
      </x:c>
      <x:c r="S235" s="87" t="str">
        <x:v>A61K9/00;;A61K9/127;;A61K31/7088;;A61K38/18;;A61K48/00</x:v>
      </x:c>
      <x:c r="T235" s="87" t="str">
        <x:v>ACTIVE</x:v>
      </x:c>
      <x:c r="U235" s="87" t="str">
        <x:v>https://lens.org/031-087-811-690-877</x:v>
      </x:c>
    </x:row>
    <x:row r="236">
      <x:c r="A236" s="87" t="str">
        <x:v>AstraZeneca_Lens_RAW_2009_2024.csv.csv</x:v>
      </x:c>
      <x:c r="B236" s="87" t="str">
        <x:v>AstraZeneca</x:v>
      </x:c>
      <x:c r="C236" s="87"/>
      <x:c r="D236" s="87" t="str">
        <x:v>Yes</x:v>
      </x:c>
      <x:c r="E236" s="87" t="str">
        <x:v>astrazeneca</x:v>
      </x:c>
      <x:c r="F236" s="87" t="str">
        <x:v>234</x:v>
      </x:c>
      <x:c r="G236" s="87" t="str">
        <x:v>042-258-152-892-83X</x:v>
      </x:c>
      <x:c r="H236" s="110" t="n">
        <x:v>42415</x:v>
      </x:c>
      <x:c r="I236" s="88" t="n">
        <x:v>2016</x:v>
      </x:c>
      <x:c r="J236" s="87" t="str">
        <x:v>EP</x:v>
      </x:c>
      <x:c r="K236" s="87" t="str">
        <x:v>B8</x:v>
      </x:c>
      <x:c r="L236" s="87" t="str">
        <x:v>EP 3417294 B8</x:v>
      </x:c>
      <x:c r="M236" s="87" t="str">
        <x:v>ASTRAZENECA AB;;US HEALTH</x:v>
      </x:c>
      <x:c r="N236" s="87" t="str">
        <x:v>THE UNITED STATES OF AMERICA, AS REPRESENTED BY THE SECRETARY, DEPARTMENT OF HEALTH AND HUMAN SERVICES (2022-05-04);;THE UNITED STATES OF AMERICA, AS REPRESENTED B, US (2022-04-28);;ASTRAZENECA AB (2022-05-04);;ASTRAZENECA AB, SE (2022-04-28)</x:v>
      </x:c>
      <x:c r="O236" s="87" t="str">
        <x:v>METHODS COMPRISING FIXED INTERMITTENT DOSING OF CEDIRANIB</x:v>
      </x:c>
      <x:c r="P236" s="109" t="n">
        <x:v>0</x:v>
      </x:c>
      <x:c r="Q236" s="109" t="n">
        <x:v>32</x:v>
      </x:c>
      <x:c r="R236" s="87" t="str">
        <x:v>A61K48/00;;A61K39/39558;;C07K16/2827;;A61K45/06;;A61K31/506;;A61K31/502;;A61P35/00;;A61P43/00;;A61P9/10;;A61P35/00;;A61K31/502;;A61K31/517;;A61K39/39558;;A61K45/06;;A61K2300/00;;G01N33/575;;A61K31/502;;A61K31/517;;A61K39/39558;;A61K45/06</x:v>
      </x:c>
      <x:c r="S236" s="87" t="str">
        <x:v>C07K16/28;;A61K31/502;;A61K31/506;;A61K38/00;;A61K39/395;;A61K45/06;;A61K48/00;;A61P9/10;;A61P35/00;;A61P43/00;;G01N33/574</x:v>
      </x:c>
      <x:c r="T236" s="87" t="str">
        <x:v>ACTIVE</x:v>
      </x:c>
      <x:c r="U236" s="87" t="str">
        <x:v>https://lens.org/042-258-152-892-83X</x:v>
      </x:c>
    </x:row>
    <x:row r="237">
      <x:c r="A237" s="87" t="str">
        <x:v>AstraZeneca_Lens_RAW_2009_2024.csv.csv</x:v>
      </x:c>
      <x:c r="B237" s="87" t="str">
        <x:v>AstraZeneca</x:v>
      </x:c>
      <x:c r="C237" s="87"/>
      <x:c r="D237" s="87" t="str">
        <x:v>Yes</x:v>
      </x:c>
      <x:c r="E237" s="87" t="str">
        <x:v>astrazeneca</x:v>
      </x:c>
      <x:c r="F237" s="87" t="str">
        <x:v>235</x:v>
      </x:c>
      <x:c r="G237" s="87" t="str">
        <x:v>032-058-315-489-000</x:v>
      </x:c>
      <x:c r="H237" s="110" t="n">
        <x:v>42866</x:v>
      </x:c>
      <x:c r="I237" s="88" t="n">
        <x:v>2017</x:v>
      </x:c>
      <x:c r="J237" s="87" t="str">
        <x:v>US</x:v>
      </x:c>
      <x:c r="K237" s="87" t="str">
        <x:v>A1</x:v>
      </x:c>
      <x:c r="L237" s="87" t="str">
        <x:v>US 2022/0127281 A1</x:v>
      </x:c>
      <x:c r="M237" s="87" t="str">
        <x:v>ASTRAZENECA AB</x:v>
      </x:c>
      <x:c r="N237" s="87" t="str">
        <x:v>ASTRAZENECA UK LIMITED (2018-07-23);;ASTRAZENECA AB (2018-08-21)</x:v>
      </x:c>
      <x:c r="O237" s="87" t="str">
        <x:v>HETEROARYL COMPOUNDS THAT INHIBIT G12C MUTANT RAS PROTEINS</x:v>
      </x:c>
      <x:c r="P237" s="109" t="n">
        <x:v>1</x:v>
      </x:c>
      <x:c r="Q237" s="109" t="n">
        <x:v>9</x:v>
      </x:c>
      <x:c r="R237" s="87" t="str">
        <x:v>C07D498/14;;A61P35/00;;C07D498/14;;C07D519/00</x:v>
      </x:c>
      <x:c r="S237" s="87" t="str">
        <x:v>C07D498/14;;C07D519/00</x:v>
      </x:c>
      <x:c r="T237" s="87" t="str">
        <x:v>DISCONTINUED</x:v>
      </x:c>
      <x:c r="U237" s="87" t="str">
        <x:v>https://lens.org/032-058-315-489-000</x:v>
      </x:c>
    </x:row>
    <x:row r="238">
      <x:c r="A238" s="87" t="str">
        <x:v>AstraZeneca_Lens_RAW_2009_2024.csv.csv</x:v>
      </x:c>
      <x:c r="B238" s="87" t="str">
        <x:v>AstraZeneca</x:v>
      </x:c>
      <x:c r="C238" s="87"/>
      <x:c r="D238" s="87" t="str">
        <x:v>Yes</x:v>
      </x:c>
      <x:c r="E238" s="87" t="str">
        <x:v>astrazeneca</x:v>
      </x:c>
      <x:c r="F238" s="87" t="str">
        <x:v>236</x:v>
      </x:c>
      <x:c r="G238" s="87" t="str">
        <x:v>121-980-960-409-49X</x:v>
      </x:c>
      <x:c r="H238" s="110" t="n">
        <x:v>43167</x:v>
      </x:c>
      <x:c r="I238" s="88" t="n">
        <x:v>2018</x:v>
      </x:c>
      <x:c r="J238" s="87" t="str">
        <x:v>US</x:v>
      </x:c>
      <x:c r="K238" s="87" t="str">
        <x:v>A1</x:v>
      </x:c>
      <x:c r="L238" s="87" t="str">
        <x:v>US 2022/0073622 A1</x:v>
      </x:c>
      <x:c r="M238" s="87" t="str">
        <x:v>ASTRAZENECA AB</x:v>
      </x:c>
      <x:c r="N238" s="87" t="str">
        <x:v>MEDIMMUNE LIMITED (2018-07-09);;ASTRAZENECA PHARMACEUTICALS LP (2018-05-13);;ASTRAZENECA UK LIMITED (2020-07-24);;ASTRAZENECA AB (2020-08-06)</x:v>
      </x:c>
      <x:c r="O238" s="87" t="str">
        <x:v>Compositions and Methods for Treating Late Stage Lung Cancer</x:v>
      </x:c>
      <x:c r="P238" s="109" t="n">
        <x:v>0</x:v>
      </x:c>
      <x:c r="Q238" s="109" t="n">
        <x:v>2</x:v>
      </x:c>
      <x:c r="R238" s="87" t="str">
        <x:v>A61P35/00;;A61K2039/5158;;A61K2039/545;;C07K16/2827;;C07K2317/21;;C07K2317/73;;C07K2317/76;;C07K16/2827;;A61K2039/505;;A61K2039/5158;;A61K2039/54;;A61P35/00;;C07K2317/21;;C07K2317/24</x:v>
      </x:c>
      <x:c r="S238" s="87" t="str">
        <x:v>C07K16/28;;A61P35/00</x:v>
      </x:c>
      <x:c r="T238" s="87" t="str">
        <x:v>PENDING</x:v>
      </x:c>
      <x:c r="U238" s="87" t="str">
        <x:v>https://lens.org/121-980-960-409-49X</x:v>
      </x:c>
    </x:row>
    <x:row r="239">
      <x:c r="A239" s="87" t="str">
        <x:v>AstraZeneca_Lens_RAW_2009_2024.csv.csv</x:v>
      </x:c>
      <x:c r="B239" s="87" t="str">
        <x:v>AstraZeneca</x:v>
      </x:c>
      <x:c r="C239" s="87"/>
      <x:c r="D239" s="87" t="str">
        <x:v>Yes</x:v>
      </x:c>
      <x:c r="E239" s="87" t="str">
        <x:v>astrazeneca</x:v>
      </x:c>
      <x:c r="F239" s="87" t="str">
        <x:v>237</x:v>
      </x:c>
      <x:c r="G239" s="87" t="str">
        <x:v>195-801-256-602-964</x:v>
      </x:c>
      <x:c r="H239" s="110" t="n">
        <x:v>42384</x:v>
      </x:c>
      <x:c r="I239" s="88" t="n">
        <x:v>2016</x:v>
      </x:c>
      <x:c r="J239" s="87" t="str">
        <x:v>US</x:v>
      </x:c>
      <x:c r="K239" s="87" t="str">
        <x:v>B2</x:v>
      </x:c>
      <x:c r="L239" s="87" t="str">
        <x:v>US 11254928 B2</x:v>
      </x:c>
      <x:c r="M239" s="87" t="str">
        <x:v>ASTRAZENECA AB</x:v>
      </x:c>
      <x:c r="N239" s="87" t="str">
        <x:v>ASTRAZENECA AB (2018-11-08)</x:v>
      </x:c>
      <x:c r="O239" s="87" t="str">
        <x:v>Gene modification assays</x:v>
      </x:c>
      <x:c r="P239" s="109" t="n">
        <x:v>0</x:v>
      </x:c>
      <x:c r="Q239" s="109" t="n">
        <x:v>7</x:v>
      </x:c>
      <x:c r="R239" s="87" t="str">
        <x:v>C12N15/102;;C12N15/00;;C12N15/111;;C12N15/63;;C12N15/85;;C12N15/87;;C12N2310/20;;C12N2320/10;;C12N2320/12;;C12N15/102;;C12N5/0606;;C12N5/0696;;C12N15/111;;C12N15/63;;C12N15/85;;C12N15/87;;C12N15/907;;C12N2310/20;;C12N2320/10;;C12N2320/12</x:v>
      </x:c>
      <x:c r="S239" s="87" t="str">
        <x:v>C12N15/11;;C12N5/0735;;C12N5/074;;C12N15/10;;C12N15/63;;C12N15/85;;C12N15/87;;C12N15/90</x:v>
      </x:c>
      <x:c r="T239" s="87" t="str">
        <x:v>ACTIVE</x:v>
      </x:c>
      <x:c r="U239" s="87" t="str">
        <x:v>https://lens.org/195-801-256-602-964</x:v>
      </x:c>
    </x:row>
    <x:row r="240">
      <x:c r="A240" s="87" t="str">
        <x:v>AstraZeneca_Lens_RAW_2009_2024.csv.csv</x:v>
      </x:c>
      <x:c r="B240" s="87" t="str">
        <x:v>AstraZeneca</x:v>
      </x:c>
      <x:c r="C240" s="87"/>
      <x:c r="D240" s="87" t="str">
        <x:v>Yes</x:v>
      </x:c>
      <x:c r="E240" s="87" t="str">
        <x:v>astrazeneca</x:v>
      </x:c>
      <x:c r="F240" s="87" t="str">
        <x:v>238</x:v>
      </x:c>
      <x:c r="G240" s="87" t="str">
        <x:v>092-495-515-948-04X</x:v>
      </x:c>
      <x:c r="H240" s="110" t="n">
        <x:v>43367</x:v>
      </x:c>
      <x:c r="I240" s="88" t="n">
        <x:v>2018</x:v>
      </x:c>
      <x:c r="J240" s="87" t="str">
        <x:v>US</x:v>
      </x:c>
      <x:c r="K240" s="87" t="str">
        <x:v>A1</x:v>
      </x:c>
      <x:c r="L240" s="87" t="str">
        <x:v>US 2022/0040158 A1</x:v>
      </x:c>
      <x:c r="M240" s="87" t="str">
        <x:v>ASTRAZENECA AB</x:v>
      </x:c>
      <x:c r="N240" s="87" t="str">
        <x:v>ASTRAZENECA PHARMACEUTICALS LP (2018-10-11);;ASTRAZENECA UK LIMITED (2018-10-12);;ASTRAZENECA AB (2018-10-15)</x:v>
      </x:c>
      <x:c r="O240" s="87" t="str">
        <x:v>AZD0328 DOSAGE REGIME FOR TREATING COGNITIVE IMPAIRMENT</x:v>
      </x:c>
      <x:c r="P240" s="109" t="n">
        <x:v>0</x:v>
      </x:c>
      <x:c r="Q240" s="109" t="n">
        <x:v>3</x:v>
      </x:c>
      <x:c r="R240" s="87" t="str">
        <x:v>A61K31/439;;A61P25/28;;A61K31/439;;A61P25/28;;C07D491/22</x:v>
      </x:c>
      <x:c r="S240" s="87" t="str">
        <x:v>A61K31/439;;A61P25/28;;C07D491/22</x:v>
      </x:c>
      <x:c r="T240" s="87" t="str">
        <x:v>DISCONTINUED</x:v>
      </x:c>
      <x:c r="U240" s="87" t="str">
        <x:v>https://lens.org/092-495-515-948-04X</x:v>
      </x:c>
    </x:row>
    <x:row r="241">
      <x:c r="A241" s="87" t="str">
        <x:v>AstraZeneca_Lens_RAW_2009_2024.csv.csv</x:v>
      </x:c>
      <x:c r="B241" s="87" t="str">
        <x:v>AstraZeneca</x:v>
      </x:c>
      <x:c r="C241" s="87"/>
      <x:c r="D241" s="87" t="str">
        <x:v>Yes</x:v>
      </x:c>
      <x:c r="E241" s="87" t="str">
        <x:v>astrazeneca</x:v>
      </x:c>
      <x:c r="F241" s="87" t="str">
        <x:v>239</x:v>
      </x:c>
      <x:c r="G241" s="87" t="str">
        <x:v>137-523-674-542-57X</x:v>
      </x:c>
      <x:c r="H241" s="110" t="n">
        <x:v>43418</x:v>
      </x:c>
      <x:c r="I241" s="88" t="n">
        <x:v>2018</x:v>
      </x:c>
      <x:c r="J241" s="87" t="str">
        <x:v>US</x:v>
      </x:c>
      <x:c r="K241" s="87" t="str">
        <x:v>A1</x:v>
      </x:c>
      <x:c r="L241" s="87" t="str">
        <x:v>US 2022/0008392 A1</x:v>
      </x:c>
      <x:c r="M241" s="87" t="str">
        <x:v>ASTRAZENECA AB</x:v>
      </x:c>
      <x:c r="N241" s="87" t="str">
        <x:v>ASTRAZENECA PHARMACEUTICALS LP (2019-01-14);;ASTRAZENECA UK LIMITED (2019-01-15);;ASTRAZENECA AB (2019-01-21)</x:v>
      </x:c>
      <x:c r="O241" s="87" t="str">
        <x:v>METHODS OF TREATING CANCER</x:v>
      </x:c>
      <x:c r="P241" s="109" t="n">
        <x:v>0</x:v>
      </x:c>
      <x:c r="Q241" s="109" t="n">
        <x:v>8</x:v>
      </x:c>
      <x:c r="R241" s="87" t="str">
        <x:v>G01N33/57505;;A61K31/4162;;A61K31/4439;;A61K45/06;;G01N33/57557;;G01N2333/82;;G01N2800/52;;A61K31/4162;;A61K31/4439;;G01N33/57505;;G01N33/57557;;G01N2333/82;;G01N2800/52</x:v>
      </x:c>
      <x:c r="S241" s="87" t="str">
        <x:v>A61K31/4162;;A61K31/4439;;G01N33/574</x:v>
      </x:c>
      <x:c r="T241" s="87" t="str">
        <x:v>DISCONTINUED</x:v>
      </x:c>
      <x:c r="U241" s="87" t="str">
        <x:v>https://lens.org/137-523-674-542-57X</x:v>
      </x:c>
    </x:row>
    <x:row r="242">
      <x:c r="A242" s="87" t="str">
        <x:v>AstraZeneca_Lens_RAW_2009_2024.csv.csv</x:v>
      </x:c>
      <x:c r="B242" s="87" t="str">
        <x:v>AstraZeneca</x:v>
      </x:c>
      <x:c r="C242" s="87"/>
      <x:c r="D242" s="87" t="str">
        <x:v>Yes</x:v>
      </x:c>
      <x:c r="E242" s="87" t="str">
        <x:v>astrazeneca</x:v>
      </x:c>
      <x:c r="F242" s="87" t="str">
        <x:v>240</x:v>
      </x:c>
      <x:c r="G242" s="87" t="str">
        <x:v>147-087-039-562-904</x:v>
      </x:c>
      <x:c r="H242" s="110" t="n">
        <x:v>43997</x:v>
      </x:c>
      <x:c r="I242" s="88" t="n">
        <x:v>2020</x:v>
      </x:c>
      <x:c r="J242" s="87" t="str">
        <x:v>US</x:v>
      </x:c>
      <x:c r="K242" s="87" t="str">
        <x:v>A1</x:v>
      </x:c>
      <x:c r="L242" s="87" t="str">
        <x:v>US 2021/0391090 A1</x:v>
      </x:c>
      <x:c r="M242" s="87" t="str">
        <x:v>ASTRAZENECA AB</x:v>
      </x:c>
      <x:c r="N242" s="87" t="str">
        <x:v>ASTRAZENECA PHARMACEUTICALS LP (2020-09-02);;ASTRAZENECA UK LIMITED (2021-01-12);;ASTRAZENECA AB (2021-01-18)</x:v>
      </x:c>
      <x:c r="O242" s="87" t="str">
        <x:v>Classification of Immuno-Oncology Impact</x:v>
      </x:c>
      <x:c r="P242" s="109" t="n">
        <x:v>1</x:v>
      </x:c>
      <x:c r="Q242" s="109" t="n">
        <x:v>1</x:v>
      </x:c>
      <x:c r="R242" s="87" t="str">
        <x:v>G16H70/60;;G16H10/20;;G16H40/20;;G16H70/60</x:v>
      </x:c>
      <x:c r="S242" s="87" t="str">
        <x:v>G16H70/60</x:v>
      </x:c>
      <x:c r="T242" s="87" t="str">
        <x:v>DISCONTINUED</x:v>
      </x:c>
      <x:c r="U242" s="87" t="str">
        <x:v>https://lens.org/147-087-039-562-904</x:v>
      </x:c>
    </x:row>
    <x:row r="243">
      <x:c r="A243" s="87" t="str">
        <x:v>AstraZeneca_Lens_RAW_2009_2024.csv.csv</x:v>
      </x:c>
      <x:c r="B243" s="87" t="str">
        <x:v>AstraZeneca</x:v>
      </x:c>
      <x:c r="C243" s="87"/>
      <x:c r="D243" s="87" t="str">
        <x:v>Yes</x:v>
      </x:c>
      <x:c r="E243" s="87" t="str">
        <x:v>astrazeneca</x:v>
      </x:c>
      <x:c r="F243" s="87" t="str">
        <x:v>241</x:v>
      </x:c>
      <x:c r="G243" s="87" t="str">
        <x:v>089-225-179-791-646</x:v>
      </x:c>
      <x:c r="H243" s="110" t="n">
        <x:v>43311</x:v>
      </x:c>
      <x:c r="I243" s="88" t="n">
        <x:v>2018</x:v>
      </x:c>
      <x:c r="J243" s="87" t="str">
        <x:v>US</x:v>
      </x:c>
      <x:c r="K243" s="87" t="str">
        <x:v>A1</x:v>
      </x:c>
      <x:c r="L243" s="87" t="str">
        <x:v>US 2021/0386736 A1</x:v>
      </x:c>
      <x:c r="M243" s="87" t="str">
        <x:v>ASTRAZENECA AB</x:v>
      </x:c>
      <x:c r="N243" s="87" t="str">
        <x:v>ASTRAZENECA UK LIMITED (2018-10-14);;ASTRAZENECA AB (2018-10-30)</x:v>
      </x:c>
      <x:c r="O243" s="87" t="str">
        <x:v>COMBINATION THERAPY FOR TREATING CANCER</x:v>
      </x:c>
      <x:c r="P243" s="109" t="n">
        <x:v>0</x:v>
      </x:c>
      <x:c r="Q243" s="109" t="n">
        <x:v>12</x:v>
      </x:c>
      <x:c r="R243" s="87" t="str">
        <x:v>A61K31/517;;A61K9/0019;;A61K9/5153;;A61K31/635;;A61K45/00;;A61K45/06;;A61K2300/00;;A61P35/00;;A61P35/02;;A61K31/517;;A61K9/0019;;A61K9/5153;;A61K31/496;;A61K2300/00;;A61P35/00;;A61P35/02;;A61K31/502;;A61K9/51;;A61K31/496;;A61P35/02;;B82Y5/00</x:v>
      </x:c>
      <x:c r="S243" s="87" t="str">
        <x:v>A61K31/502;;A61K9/51;;A61K31/496;;A61P35/02</x:v>
      </x:c>
      <x:c r="T243" s="87" t="str">
        <x:v>DISCONTINUED</x:v>
      </x:c>
      <x:c r="U243" s="87" t="str">
        <x:v>https://lens.org/089-225-179-791-646</x:v>
      </x:c>
    </x:row>
    <x:row r="244">
      <x:c r="A244" s="87" t="str">
        <x:v>AstraZeneca_Lens_RAW_2009_2024.csv.csv</x:v>
      </x:c>
      <x:c r="B244" s="87" t="str">
        <x:v>AstraZeneca</x:v>
      </x:c>
      <x:c r="C244" s="87"/>
      <x:c r="D244" s="87" t="str">
        <x:v>Yes</x:v>
      </x:c>
      <x:c r="E244" s="87" t="str">
        <x:v>astrazeneca</x:v>
      </x:c>
      <x:c r="F244" s="87" t="str">
        <x:v>242</x:v>
      </x:c>
      <x:c r="G244" s="87" t="str">
        <x:v>067-648-174-853-170</x:v>
      </x:c>
      <x:c r="H244" s="110" t="n">
        <x:v>42900</x:v>
      </x:c>
      <x:c r="I244" s="88" t="n">
        <x:v>2017</x:v>
      </x:c>
      <x:c r="J244" s="87" t="str">
        <x:v>US</x:v>
      </x:c>
      <x:c r="K244" s="87" t="str">
        <x:v>A1</x:v>
      </x:c>
      <x:c r="L244" s="87" t="str">
        <x:v>US 2021/0380533 A1</x:v>
      </x:c>
      <x:c r="M244" s="87" t="str">
        <x:v>ASTRAZENECA AB</x:v>
      </x:c>
      <x:c r="N244" s="87" t="str">
        <x:v>ASTRAZENECA AB (2017-06-14)</x:v>
      </x:c>
      <x:c r="O244" s="87" t="str">
        <x:v>2,3-DIHYDROISOINDOLE-1-CARBOXAMIDES USEFUL AS ROR-GAMMA MODULATORS</x:v>
      </x:c>
      <x:c r="P244" s="109" t="n">
        <x:v>0</x:v>
      </x:c>
      <x:c r="Q244" s="109" t="n">
        <x:v>7</x:v>
      </x:c>
      <x:c r="R244" s="87" t="str">
        <x:v>C07D209/44;;A61K31/4035;;A61K45/06;;A61P17/06;;C07D403/12;;C07D405/12;;C07D413/12;;C07D209/44;;A61K45/06;;C07D403/12;;C07D405/12;;C07D413/12</x:v>
      </x:c>
      <x:c r="S244" s="87" t="str">
        <x:v>C07D209/44;;C07D403/12;;C07D405/12;;C07D413/12</x:v>
      </x:c>
      <x:c r="T244" s="87" t="str">
        <x:v>DISCONTINUED</x:v>
      </x:c>
      <x:c r="U244" s="87" t="str">
        <x:v>https://lens.org/067-648-174-853-170</x:v>
      </x:c>
    </x:row>
    <x:row r="245">
      <x:c r="A245" s="87" t="str">
        <x:v>AstraZeneca_Lens_RAW_2009_2024.csv.csv</x:v>
      </x:c>
      <x:c r="B245" s="87" t="str">
        <x:v>AstraZeneca</x:v>
      </x:c>
      <x:c r="C245" s="87"/>
      <x:c r="D245" s="87" t="str">
        <x:v>Yes</x:v>
      </x:c>
      <x:c r="E245" s="87" t="str">
        <x:v>astrazeneca</x:v>
      </x:c>
      <x:c r="F245" s="87" t="str">
        <x:v>243</x:v>
      </x:c>
      <x:c r="G245" s="87" t="str">
        <x:v>059-799-480-718-936</x:v>
      </x:c>
      <x:c r="H245" s="110" t="n">
        <x:v>42401</x:v>
      </x:c>
      <x:c r="I245" s="88" t="n">
        <x:v>2016</x:v>
      </x:c>
      <x:c r="J245" s="87" t="str">
        <x:v>US</x:v>
      </x:c>
      <x:c r="K245" s="87" t="str">
        <x:v>B2</x:v>
      </x:c>
      <x:c r="L245" s="87" t="str">
        <x:v>US 11180477 B2</x:v>
      </x:c>
      <x:c r="M245" s="87" t="str">
        <x:v>ASTRAZENECA AB</x:v>
      </x:c>
      <x:c r="N245" s="87" t="str">
        <x:v>ASTRAZENECA UK LIMITED (2016-02-22);;ASTRAZENECA AB (2016-02-26)</x:v>
      </x:c>
      <x:c r="O245" s="87" t="str">
        <x:v>Process for the preparation of osimertinib (AZD9291) or a salt thereof, and “AZD9291 Aniline” or a salt thereof</x:v>
      </x:c>
      <x:c r="P245" s="109" t="n">
        <x:v>0</x:v>
      </x:c>
      <x:c r="Q245" s="109" t="n">
        <x:v>30</x:v>
      </x:c>
      <x:c r="R245" s="87" t="str">
        <x:v>C07D403/04;;A61K31/506;;A61P35/00;;C07D403/04;;A61K31/506;;A61P35/00;;C07D403/04;;A61K31/506;;C07D403/04;;C07D403/04</x:v>
      </x:c>
      <x:c r="S245" s="87" t="str">
        <x:v>C07D401/04;;C07D403/04</x:v>
      </x:c>
      <x:c r="T245" s="87" t="str">
        <x:v>ACTIVE</x:v>
      </x:c>
      <x:c r="U245" s="87" t="str">
        <x:v>https://lens.org/059-799-480-718-936</x:v>
      </x:c>
    </x:row>
    <x:row r="246">
      <x:c r="A246" s="87" t="str">
        <x:v>AstraZeneca_Lens_RAW_2009_2024.csv.csv</x:v>
      </x:c>
      <x:c r="B246" s="87" t="str">
        <x:v>AstraZeneca</x:v>
      </x:c>
      <x:c r="C246" s="87"/>
      <x:c r="D246" s="87" t="str">
        <x:v>Yes</x:v>
      </x:c>
      <x:c r="E246" s="87" t="str">
        <x:v>astrazeneca</x:v>
      </x:c>
      <x:c r="F246" s="87" t="str">
        <x:v>244</x:v>
      </x:c>
      <x:c r="G246" s="87" t="str">
        <x:v>121-530-028-732-306</x:v>
      </x:c>
      <x:c r="H246" s="110" t="n">
        <x:v>42810</x:v>
      </x:c>
      <x:c r="I246" s="88" t="n">
        <x:v>2017</x:v>
      </x:c>
      <x:c r="J246" s="87" t="str">
        <x:v>US</x:v>
      </x:c>
      <x:c r="K246" s="87" t="str">
        <x:v>A1</x:v>
      </x:c>
      <x:c r="L246" s="87" t="str">
        <x:v>US 2021/0347775 A1</x:v>
      </x:c>
      <x:c r="M246" s="87" t="str">
        <x:v>ASTRAZENECA AB</x:v>
      </x:c>
      <x:c r="N246" s="87" t="str">
        <x:v>ASTRAZENECA AB (2017-03-16);;ASTRAZENECA UK LIMITED (2017-03-16)</x:v>
      </x:c>
      <x:c r="O246" s="87" t="str">
        <x:v>Deuterated Imidazo[4,5-c]quinolin-2-one Compounds and Their Use in Treating Cancer</x:v>
      </x:c>
      <x:c r="P246" s="109" t="n">
        <x:v>0</x:v>
      </x:c>
      <x:c r="Q246" s="109" t="n">
        <x:v>29</x:v>
      </x:c>
      <x:c r="R246" s="87" t="str">
        <x:v>A61P35/00;;A61K45/06;;C07D471/04;;C07D471/04;;A61P35/00;;C07D471/04;;A61K31/437;;A61P35/00;;C07D471/04;;A61K45/06;;A61P35/00</x:v>
      </x:c>
      <x:c r="S246" s="87" t="str">
        <x:v>C07D471/04;;A61P35/00</x:v>
      </x:c>
      <x:c r="T246" s="87" t="str">
        <x:v>DISCONTINUED</x:v>
      </x:c>
      <x:c r="U246" s="87" t="str">
        <x:v>https://lens.org/121-530-028-732-306</x:v>
      </x:c>
    </x:row>
    <x:row r="247">
      <x:c r="A247" s="87" t="str">
        <x:v>AstraZeneca_Lens_RAW_2009_2024.csv.csv</x:v>
      </x:c>
      <x:c r="B247" s="87" t="str">
        <x:v>AstraZeneca</x:v>
      </x:c>
      <x:c r="C247" s="87"/>
      <x:c r="D247" s="87" t="str">
        <x:v>Yes</x:v>
      </x:c>
      <x:c r="E247" s="87" t="str">
        <x:v>astrazeneca</x:v>
      </x:c>
      <x:c r="F247" s="87" t="str">
        <x:v>245</x:v>
      </x:c>
      <x:c r="G247" s="87" t="str">
        <x:v>048-933-039-407-200</x:v>
      </x:c>
      <x:c r="H247" s="110" t="n">
        <x:v>43374</x:v>
      </x:c>
      <x:c r="I247" s="88" t="n">
        <x:v>2018</x:v>
      </x:c>
      <x:c r="J247" s="87" t="str">
        <x:v>US</x:v>
      </x:c>
      <x:c r="K247" s="87" t="str">
        <x:v>A1</x:v>
      </x:c>
      <x:c r="L247" s="87" t="str">
        <x:v>US 2021/0338648 A1</x:v>
      </x:c>
      <x:c r="M247" s="87" t="str">
        <x:v>ASTRAZENECA AB</x:v>
      </x:c>
      <x:c r="N247" s="87" t="str">
        <x:v>ASTRAZENECA PHARMACEUTICALS LP (2018-09-27);;ASTRAZENECA AB (2018-09-25);;ASTRAZENECA UK LIMITED (2018-09-28)</x:v>
      </x:c>
      <x:c r="O247" s="87" t="str">
        <x:v>METHODS AND COMPOSITIONS FOR REDUCING SERUM URIC ACID</x:v>
      </x:c>
      <x:c r="P247" s="109" t="n">
        <x:v>4</x:v>
      </x:c>
      <x:c r="Q247" s="109" t="n">
        <x:v>13</x:v>
      </x:c>
      <x:c r="R247" s="87" t="str">
        <x:v>A61K31/4418;;A61K31/426;;A61K31/519;;A61K31/70;;A61P9/04;;A61P13/12;;A61P19/06;;A61K31/4418;;A61K31/426;;A61K31/519;;A61K31/70;;A61K2300/00;;A61P9/04;;A61P13/12;;A61P19/06;;A61K31/4418;;A61K31/426;;A61K31/519;;A61K31/7034;;A61K2300/00;;A61P3/10;;A61P9/04;;A61P13/12;;A61P19/06;;A61K31/4418;;A61K31/351;;A61K31/426;;A61K31/519;;A61P13/02</x:v>
      </x:c>
      <x:c r="S247" s="87" t="str">
        <x:v>A61K31/4418;;A61K31/351;;A61K31/426;;A61K31/519;;A61P13/02</x:v>
      </x:c>
      <x:c r="T247" s="87" t="str">
        <x:v>DISCONTINUED</x:v>
      </x:c>
      <x:c r="U247" s="87" t="str">
        <x:v>https://lens.org/048-933-039-407-200</x:v>
      </x:c>
    </x:row>
    <x:row r="248">
      <x:c r="A248" s="87" t="str">
        <x:v>AstraZeneca_Lens_RAW_2009_2024.csv.csv</x:v>
      </x:c>
      <x:c r="B248" s="87" t="str">
        <x:v>AstraZeneca</x:v>
      </x:c>
      <x:c r="C248" s="87"/>
      <x:c r="D248" s="87" t="str">
        <x:v>Yes</x:v>
      </x:c>
      <x:c r="E248" s="87" t="str">
        <x:v>astrazeneca</x:v>
      </x:c>
      <x:c r="F248" s="87" t="str">
        <x:v>246</x:v>
      </x:c>
      <x:c r="G248" s="87" t="str">
        <x:v>170-149-492-119-50X</x:v>
      </x:c>
      <x:c r="H248" s="110" t="n">
        <x:v>43945</x:v>
      </x:c>
      <x:c r="I248" s="88" t="n">
        <x:v>2020</x:v>
      </x:c>
      <x:c r="J248" s="87" t="str">
        <x:v>US</x:v>
      </x:c>
      <x:c r="K248" s="87" t="str">
        <x:v>A1</x:v>
      </x:c>
      <x:c r="L248" s="87" t="str">
        <x:v>US 2021/0330665 A1</x:v>
      </x:c>
      <x:c r="M248" s="87" t="str">
        <x:v>ASTRAZENECA AB</x:v>
      </x:c>
      <x:c r="N248" s="87" t="str">
        <x:v>ASTRAZENECA UK LIMITED (2020-10-01);;ASTRAZENECA AB (2020-10-22)</x:v>
      </x:c>
      <x:c r="O248" s="87" t="str">
        <x:v>PHARMACEUTICAL FORMULATIONS</x:v>
      </x:c>
      <x:c r="P248" s="109" t="n">
        <x:v>0</x:v>
      </x:c>
      <x:c r="Q248" s="109" t="n">
        <x:v>25</x:v>
      </x:c>
      <x:c r="R248" s="87" t="str">
        <x:v>A61K9/2054;;A61K9/2009;;A61K9/2059;;A61K9/2027;;A61K9/2013;;A61K9/485;;A61K9/4858;;A61K9/4866;;A61K9/2077;;A61K31/4745;;A61K31/4745;;A61K9/2027;;A61K9/4858;;A61K9/2054;;A61K9/4866;;A61K9/2059;;A61K9/2077;;A61K9/2866;;A61K9/2013;;A61K9/2095;;A61K9/284;;A61K9/2009;;A61K9/485;;A61K9/2054;;A61K9/2009;;A61K9/2059;;A61K9/4808;;A61K31/4745;;A61K9/2009;;A61K9/2013;;A61K9/2054;;A61K9/2095;;A61K9/284;;A61K9/2866;;A61K31/4745</x:v>
      </x:c>
      <x:c r="S248" s="87" t="str">
        <x:v>A61K9/20;;A61K31/4745;;A61K9/28</x:v>
      </x:c>
      <x:c r="T248" s="87" t="str">
        <x:v>ACTIVE</x:v>
      </x:c>
      <x:c r="U248" s="87" t="str">
        <x:v>https://lens.org/170-149-492-119-50X</x:v>
      </x:c>
    </x:row>
    <x:row r="249">
      <x:c r="A249" s="87" t="str">
        <x:v>AstraZeneca_Lens_RAW_2009_2024.csv.csv</x:v>
      </x:c>
      <x:c r="B249" s="87" t="str">
        <x:v>AstraZeneca</x:v>
      </x:c>
      <x:c r="C249" s="87"/>
      <x:c r="D249" s="87" t="str">
        <x:v>Yes</x:v>
      </x:c>
      <x:c r="E249" s="87" t="str">
        <x:v>astrazeneca</x:v>
      </x:c>
      <x:c r="F249" s="87" t="str">
        <x:v>247</x:v>
      </x:c>
      <x:c r="G249" s="87" t="str">
        <x:v>196-373-504-924-419</x:v>
      </x:c>
      <x:c r="H249" s="110" t="n">
        <x:v>43299</x:v>
      </x:c>
      <x:c r="I249" s="88" t="n">
        <x:v>2018</x:v>
      </x:c>
      <x:c r="J249" s="87" t="str">
        <x:v>US</x:v>
      </x:c>
      <x:c r="K249" s="87" t="str">
        <x:v>B2</x:v>
      </x:c>
      <x:c r="L249" s="87" t="str">
        <x:v>US 11149029 B2</x:v>
      </x:c>
      <x:c r="M249" s="87" t="str">
        <x:v>ASTRAZENECA AB</x:v>
      </x:c>
      <x:c r="N249" s="87" t="str">
        <x:v>ASTRAZENECA AB (2018-10-09);;ASTRAZENECA UK LIMITED (2019-07-01)</x:v>
      </x:c>
      <x:c r="O249" s="87" t="str">
        <x:v>Salts of IJAK inhibitors and methods of using the same</x:v>
      </x:c>
      <x:c r="P249" s="109" t="n">
        <x:v>0</x:v>
      </x:c>
      <x:c r="Q249" s="109" t="n">
        <x:v>25</x:v>
      </x:c>
      <x:c r="R249" s="87" t="str">
        <x:v>C07D403/04;;A61P11/06;;C07B2200/13;;C07C51/412;;C07C59/255;;C07C65/11;;C07D295/15;;A61P11/06;;C07D403/04;;C07D403/14;;A61P11/06;;C07D403/04;;C07D403/04;;A61K31/506;;A61P11/00;;A61P11/06;;C07B2200/13;;C07D403/14;;A61K31/506;;A61P11/06;;C07D403/04</x:v>
      </x:c>
      <x:c r="S249" s="87" t="str">
        <x:v>C07D403/14;;A61K31/506;;A61P11/06;;C07D403/04</x:v>
      </x:c>
      <x:c r="T249" s="87" t="str">
        <x:v>ACTIVE</x:v>
      </x:c>
      <x:c r="U249" s="87" t="str">
        <x:v>https://lens.org/196-373-504-924-419</x:v>
      </x:c>
    </x:row>
    <x:row r="250">
      <x:c r="A250" s="87" t="str">
        <x:v>AstraZeneca_Lens_RAW_2009_2024.csv.csv</x:v>
      </x:c>
      <x:c r="B250" s="87" t="str">
        <x:v>AstraZeneca</x:v>
      </x:c>
      <x:c r="C250" s="87"/>
      <x:c r="D250" s="87" t="str">
        <x:v>Yes</x:v>
      </x:c>
      <x:c r="E250" s="87" t="str">
        <x:v>astrazeneca</x:v>
      </x:c>
      <x:c r="F250" s="87" t="str">
        <x:v>248</x:v>
      </x:c>
      <x:c r="G250" s="87" t="str">
        <x:v>027-208-633-846-624</x:v>
      </x:c>
      <x:c r="H250" s="110" t="n">
        <x:v>42825</x:v>
      </x:c>
      <x:c r="I250" s="88" t="n">
        <x:v>2017</x:v>
      </x:c>
      <x:c r="J250" s="87" t="str">
        <x:v>US</x:v>
      </x:c>
      <x:c r="K250" s="87" t="str">
        <x:v>B2</x:v>
      </x:c>
      <x:c r="L250" s="87" t="str">
        <x:v>US 11149024 B2</x:v>
      </x:c>
      <x:c r="M250" s="87" t="str">
        <x:v>ASTRAZENECA AB</x:v>
      </x:c>
      <x:c r="N250" s="87" t="str">
        <x:v>SYNCOM BV (2018-02-12);;ASTRAZENECA PHARMACEUTICALS LP (2018-02-20);;ASTRAZENECA UK LIMITED (2018-02-22);;ASTRAZENECA AB (2018-02-23);;PHARMARON INC (2018-02-10)</x:v>
      </x:c>
      <x:c r="O250" s="87" t="str">
        <x:v>Synthesis of Mcl-1 inhibitor</x:v>
      </x:c>
      <x:c r="P250" s="109" t="n">
        <x:v>0</x:v>
      </x:c>
      <x:c r="Q250" s="109" t="n">
        <x:v>28</x:v>
      </x:c>
      <x:c r="R250" s="87" t="str">
        <x:v>C07C245/06;;C07C251/76;;C07D231/12;;C07D403/04;;C07D403/04;;C07C251/76;;C07D231/12;;C07D403/04;;C07D231/12;;C07C251/76;;C07D231/12;;C07D403/04;;C07D403/04;;C07C251/76;;C07D231/12</x:v>
      </x:c>
      <x:c r="S250" s="87" t="str">
        <x:v>C07D403/04;;C07C251/76;;C07D231/12</x:v>
      </x:c>
      <x:c r="T250" s="87" t="str">
        <x:v>ACTIVE</x:v>
      </x:c>
      <x:c r="U250" s="87" t="str">
        <x:v>https://lens.org/027-208-633-846-624</x:v>
      </x:c>
    </x:row>
    <x:row r="251">
      <x:c r="A251" s="87" t="str">
        <x:v>AstraZeneca_Lens_RAW_2009_2024.csv.csv</x:v>
      </x:c>
      <x:c r="B251" s="87" t="str">
        <x:v>AstraZeneca</x:v>
      </x:c>
      <x:c r="C251" s="87"/>
      <x:c r="D251" s="87" t="str">
        <x:v>Yes</x:v>
      </x:c>
      <x:c r="E251" s="87" t="str">
        <x:v>astrazeneca</x:v>
      </x:c>
      <x:c r="F251" s="87" t="str">
        <x:v>249</x:v>
      </x:c>
      <x:c r="G251" s="87" t="str">
        <x:v>017-605-240-543-637</x:v>
      </x:c>
      <x:c r="H251" s="110" t="n">
        <x:v>43311</x:v>
      </x:c>
      <x:c r="I251" s="88" t="n">
        <x:v>2018</x:v>
      </x:c>
      <x:c r="J251" s="87" t="str">
        <x:v>US</x:v>
      </x:c>
      <x:c r="K251" s="87" t="str">
        <x:v>A1</x:v>
      </x:c>
      <x:c r="L251" s="87" t="str">
        <x:v>US 2021/0315898 A1</x:v>
      </x:c>
      <x:c r="M251" s="87" t="str">
        <x:v>ASTRAZENECA AB</x:v>
      </x:c>
      <x:c r="N251" s="87" t="str">
        <x:v>ASTRAZENECA UK LIMITED (2018-10-14);;ASTRAZENECA AB (2018-10-30)</x:v>
      </x:c>
      <x:c r="O251" s="87" t="str">
        <x:v>COMBINATION THERAPY FOR TREATING CANCER</x:v>
      </x:c>
      <x:c r="P251" s="109" t="n">
        <x:v>0</x:v>
      </x:c>
      <x:c r="Q251" s="109" t="n">
        <x:v>11</x:v>
      </x:c>
      <x:c r="R251" s="87" t="str">
        <x:v>A61K31/517;;A61K9/0019;;A61K9/5153;;A61K31/706;;A61P35/00;;A61P35/02;;A61K31/517;;A61K9/0019;;A61K9/5153;;A61K31/706;;A61K2300/00;;A61P35/00;;A61P35/02;;A61K31/517;;A61K9/5153;;A61K31/706;;A61P35/02</x:v>
      </x:c>
      <x:c r="S251" s="87" t="str">
        <x:v>A61K31/517;;A61K9/51;;A61K31/706;;A61P35/02</x:v>
      </x:c>
      <x:c r="T251" s="87" t="str">
        <x:v>DISCONTINUED</x:v>
      </x:c>
      <x:c r="U251" s="87" t="str">
        <x:v>https://lens.org/017-605-240-543-637</x:v>
      </x:c>
    </x:row>
    <x:row r="252">
      <x:c r="A252" s="87" t="str">
        <x:v>AstraZeneca_Lens_RAW_2009_2024.csv.csv</x:v>
      </x:c>
      <x:c r="B252" s="87" t="str">
        <x:v>AstraZeneca</x:v>
      </x:c>
      <x:c r="C252" s="87"/>
      <x:c r="D252" s="87" t="str">
        <x:v>Yes</x:v>
      </x:c>
      <x:c r="E252" s="87" t="str">
        <x:v>astrazeneca</x:v>
      </x:c>
      <x:c r="F252" s="87" t="str">
        <x:v>250</x:v>
      </x:c>
      <x:c r="G252" s="87" t="str">
        <x:v>038-590-909-204-171</x:v>
      </x:c>
      <x:c r="H252" s="110" t="n">
        <x:v>41498</x:v>
      </x:c>
      <x:c r="I252" s="88" t="n">
        <x:v>2013</x:v>
      </x:c>
      <x:c r="J252" s="87" t="str">
        <x:v>EP</x:v>
      </x:c>
      <x:c r="K252" s="87" t="str">
        <x:v>A1</x:v>
      </x:c>
      <x:c r="L252" s="87" t="str">
        <x:v>EP 3875487 A1</x:v>
      </x:c>
      <x:c r="M252" s="87" t="str">
        <x:v>ASTRAZENECA AB</x:v>
      </x:c>
      <x:c r="N252" s="87" t="str">
        <x:v>ASTRAZENECA AB (2025-02-26)</x:v>
      </x:c>
      <x:c r="O252" s="87" t="str">
        <x:v>METHODS FOR INCREASING FORCED EXPIRATORY VOLUME IN ASTHMATICS USING BENRALIZUMAB</x:v>
      </x:c>
      <x:c r="P252" s="109" t="n">
        <x:v>0</x:v>
      </x:c>
      <x:c r="Q252" s="109" t="n">
        <x:v>65</x:v>
      </x:c>
      <x:c r="R252" s="87" t="str">
        <x:v>A61K39/39541;;C07K16/2866;;A61K2039/505;;C07K16/2866;;A61K45/06;;C07K2317/24;;A61K2039/505;;A61P11/06;;A61P43/00;;A61K39/395;;A61P11/06;;C07K16/2866;;A61K45/06;;C07K2317/24;;A61K2039/505</x:v>
      </x:c>
      <x:c r="S252" s="87" t="str">
        <x:v>C07K16/28;;A61K39/00;;A61K39/395;;G01N33/48</x:v>
      </x:c>
      <x:c r="T252" s="87" t="str">
        <x:v>DISCONTINUED</x:v>
      </x:c>
      <x:c r="U252" s="87" t="str">
        <x:v>https://lens.org/038-590-909-204-171</x:v>
      </x:c>
    </x:row>
    <x:row r="253">
      <x:c r="A253" s="87" t="str">
        <x:v>AstraZeneca_Lens_RAW_2009_2024.csv.csv</x:v>
      </x:c>
      <x:c r="B253" s="87" t="str">
        <x:v>AstraZeneca</x:v>
      </x:c>
      <x:c r="C253" s="87"/>
      <x:c r="D253" s="87" t="str">
        <x:v>Yes</x:v>
      </x:c>
      <x:c r="E253" s="87" t="str">
        <x:v>astrazeneca</x:v>
      </x:c>
      <x:c r="F253" s="87" t="str">
        <x:v>251</x:v>
      </x:c>
      <x:c r="G253" s="87" t="str">
        <x:v>138-305-141-052-261</x:v>
      </x:c>
      <x:c r="H253" s="110" t="n">
        <x:v>42635</x:v>
      </x:c>
      <x:c r="I253" s="88" t="n">
        <x:v>2016</x:v>
      </x:c>
      <x:c r="J253" s="87" t="str">
        <x:v>US</x:v>
      </x:c>
      <x:c r="K253" s="87" t="str">
        <x:v>A1</x:v>
      </x:c>
      <x:c r="L253" s="87" t="str">
        <x:v>US 2021/0246130 A1</x:v>
      </x:c>
      <x:c r="M253" s="87" t="str">
        <x:v>ASTRAZENECA AB</x:v>
      </x:c>
      <x:c r="N253" s="87" t="str">
        <x:v>ASTRAZENECA AB (2016-10-05)</x:v>
      </x:c>
      <x:c r="O253" s="87" t="str">
        <x:v>DUAL INHIBITORS OF PHOSPHATIDYLINOSITOL 3-KINASE DELTA &amp; GAMMA</x:v>
      </x:c>
      <x:c r="P253" s="109" t="n">
        <x:v>0</x:v>
      </x:c>
      <x:c r="Q253" s="109" t="n">
        <x:v>47</x:v>
      </x:c>
      <x:c r="R253" s="87" t="str">
        <x:v>C07D417/14;;A61P11/00;;A61P11/06;;C07D471/04;;C07D487/04;;C07D417/14;;A61K31/427;;A61K31/4427;;A61P11/00;;C07D471/04;;C07D487/04;;C07D417/14;;A61K31/4439;;A61P11/00;;A61P11/06;;C07D471/04;;C07D487/04;;C07D417/14</x:v>
      </x:c>
      <x:c r="S253" s="87" t="str">
        <x:v>C07D417/14</x:v>
      </x:c>
      <x:c r="T253" s="87" t="str">
        <x:v>DISCONTINUED</x:v>
      </x:c>
      <x:c r="U253" s="87" t="str">
        <x:v>https://lens.org/138-305-141-052-261</x:v>
      </x:c>
    </x:row>
    <x:row r="254">
      <x:c r="A254" s="87" t="str">
        <x:v>AstraZeneca_Lens_RAW_2009_2024.csv.csv</x:v>
      </x:c>
      <x:c r="B254" s="87" t="str">
        <x:v>AstraZeneca</x:v>
      </x:c>
      <x:c r="C254" s="87"/>
      <x:c r="D254" s="87" t="str">
        <x:v>Yes</x:v>
      </x:c>
      <x:c r="E254" s="87" t="str">
        <x:v>astrazeneca</x:v>
      </x:c>
      <x:c r="F254" s="87" t="str">
        <x:v>252</x:v>
      </x:c>
      <x:c r="G254" s="87" t="str">
        <x:v>014-418-453-748-123</x:v>
      </x:c>
      <x:c r="H254" s="110" t="n">
        <x:v>42293</x:v>
      </x:c>
      <x:c r="I254" s="88" t="n">
        <x:v>2015</x:v>
      </x:c>
      <x:c r="J254" s="87" t="str">
        <x:v>US</x:v>
      </x:c>
      <x:c r="K254" s="87" t="str">
        <x:v>A1</x:v>
      </x:c>
      <x:c r="L254" s="87" t="str">
        <x:v>US 2021/0230630 A1</x:v>
      </x:c>
      <x:c r="M254" s="87" t="str">
        <x:v>ASTRAZENECA AB</x:v>
      </x:c>
      <x:c r="N254" s="87" t="str">
        <x:v>ASTRAZENECA AB (2018-07-03)</x:v>
      </x:c>
      <x:c r="O254" s="87" t="str">
        <x:v>INDUCIBLE MODIFICATION OF A CELL GENOME</x:v>
      </x:c>
      <x:c r="P254" s="109" t="n">
        <x:v>0</x:v>
      </x:c>
      <x:c r="Q254" s="109" t="n">
        <x:v>13</x:v>
      </x:c>
      <x:c r="R254" s="87" t="str">
        <x:v>C12N15/111;;C12N15/79;;C12N2310/20;;A61P43/00;;C12N2310/20;;C12N15/111;;C12N15/79;;A01K67/0275;;A01K2217/072;;A01K2217/075;;A01K2217/203;;A01K2217/206;;A01K2227/105;;A01K2267/0393;;C12N15/8509;;C12N15/86;;C12N15/907;;C12N2015/8572</x:v>
      </x:c>
      <x:c r="S254" s="87" t="str">
        <x:v>C12N15/85;;A01K67/027;;C12N15/11;;C12N15/79;;C12N15/86</x:v>
      </x:c>
      <x:c r="T254" s="87" t="str">
        <x:v>ACTIVE</x:v>
      </x:c>
      <x:c r="U254" s="87" t="str">
        <x:v>https://lens.org/014-418-453-748-123</x:v>
      </x:c>
    </x:row>
    <x:row r="255">
      <x:c r="A255" s="87" t="str">
        <x:v>AstraZeneca_Lens_RAW_2009_2024.csv.csv</x:v>
      </x:c>
      <x:c r="B255" s="87" t="str">
        <x:v>AstraZeneca</x:v>
      </x:c>
      <x:c r="C255" s="87"/>
      <x:c r="D255" s="87" t="str">
        <x:v>Yes</x:v>
      </x:c>
      <x:c r="E255" s="87" t="str">
        <x:v>astrazeneca</x:v>
      </x:c>
      <x:c r="F255" s="87" t="str">
        <x:v>253</x:v>
      </x:c>
      <x:c r="G255" s="87" t="str">
        <x:v>138-976-864-196-741</x:v>
      </x:c>
      <x:c r="H255" s="110" t="n">
        <x:v>42852</x:v>
      </x:c>
      <x:c r="I255" s="88" t="n">
        <x:v>2017</x:v>
      </x:c>
      <x:c r="J255" s="87" t="str">
        <x:v>US</x:v>
      </x:c>
      <x:c r="K255" s="87" t="str">
        <x:v>B2</x:v>
      </x:c>
      <x:c r="L255" s="87" t="str">
        <x:v>US 11053223 B2</x:v>
      </x:c>
      <x:c r="M255" s="87" t="str">
        <x:v>ASTRAZENECA AB</x:v>
      </x:c>
      <x:c r="N255" s="87" t="str">
        <x:v>ASTRAZENECA UK LIMITED (2020-07-02);;ASTRAZENECA AB (2020-08-18)</x:v>
      </x:c>
      <x:c r="O255" s="87" t="str">
        <x:v>Phenoxyquinazoline compounds and their use in treating cancer</x:v>
      </x:c>
      <x:c r="P255" s="109" t="n">
        <x:v>0</x:v>
      </x:c>
      <x:c r="Q255" s="109" t="n">
        <x:v>11</x:v>
      </x:c>
      <x:c r="R255" s="87" t="str">
        <x:v>C07D403/12;;A61K31/517;;A61P35/00;;C07D403/12;;A61P35/04;;C07B2200/13;;C07D405/14</x:v>
      </x:c>
      <x:c r="S255" s="87" t="str">
        <x:v>C07D403/12;;A61K31/517;;A61P35/00;;A61P35/04;;C07D405/14</x:v>
      </x:c>
      <x:c r="T255" s="87" t="str">
        <x:v>ACTIVE</x:v>
      </x:c>
      <x:c r="U255" s="87" t="str">
        <x:v>https://lens.org/138-976-864-196-741</x:v>
      </x:c>
    </x:row>
    <x:row r="256">
      <x:c r="A256" s="87" t="str">
        <x:v>AstraZeneca_Lens_RAW_2009_2024.csv.csv</x:v>
      </x:c>
      <x:c r="B256" s="87" t="str">
        <x:v>AstraZeneca</x:v>
      </x:c>
      <x:c r="C256" s="87"/>
      <x:c r="D256" s="87" t="str">
        <x:v>Yes</x:v>
      </x:c>
      <x:c r="E256" s="87" t="str">
        <x:v>astrazeneca</x:v>
      </x:c>
      <x:c r="F256" s="87" t="str">
        <x:v>254</x:v>
      </x:c>
      <x:c r="G256" s="87" t="str">
        <x:v>087-545-882-205-071</x:v>
      </x:c>
      <x:c r="H256" s="110" t="n">
        <x:v>43350</x:v>
      </x:c>
      <x:c r="I256" s="88" t="n">
        <x:v>2018</x:v>
      </x:c>
      <x:c r="J256" s="87" t="str">
        <x:v>US</x:v>
      </x:c>
      <x:c r="K256" s="87" t="str">
        <x:v>A1</x:v>
      </x:c>
      <x:c r="L256" s="87" t="str">
        <x:v>US 2021/0198642 A1</x:v>
      </x:c>
      <x:c r="M256" s="87" t="str">
        <x:v>ASTRAZENECA AB</x:v>
      </x:c>
      <x:c r="N256" s="87" t="str">
        <x:v>ASTRAZENECA AB (2021-05-12)</x:v>
      </x:c>
      <x:c r="O256" s="87" t="str">
        <x:v>COMPOSITIONS AND METHODS FOR IMPROVED NUCLEASES</x:v>
      </x:c>
      <x:c r="P256" s="109" t="n">
        <x:v>2</x:v>
      </x:c>
      <x:c r="Q256" s="109" t="n">
        <x:v>8</x:v>
      </x:c>
      <x:c r="R256" s="87" t="str">
        <x:v>C12N9/22;;C12N9/22;;C12N15/11;;C12N15/907;;C12N2310/20;;C12N2800/80</x:v>
      </x:c>
      <x:c r="S256" s="87" t="str">
        <x:v>C12N9/22;;C12N15/11;;C12N15/90</x:v>
      </x:c>
      <x:c r="T256" s="87" t="str">
        <x:v>ACTIVE</x:v>
      </x:c>
      <x:c r="U256" s="87" t="str">
        <x:v>https://lens.org/087-545-882-205-071</x:v>
      </x:c>
    </x:row>
    <x:row r="257">
      <x:c r="A257" s="87" t="str">
        <x:v>AstraZeneca_Lens_RAW_2009_2024.csv.csv</x:v>
      </x:c>
      <x:c r="B257" s="87" t="str">
        <x:v>AstraZeneca</x:v>
      </x:c>
      <x:c r="C257" s="87"/>
      <x:c r="D257" s="87" t="str">
        <x:v>Yes</x:v>
      </x:c>
      <x:c r="E257" s="87" t="str">
        <x:v>astrazeneca</x:v>
      </x:c>
      <x:c r="F257" s="87" t="str">
        <x:v>255</x:v>
      </x:c>
      <x:c r="G257" s="87" t="str">
        <x:v>123-076-892-820-355</x:v>
      </x:c>
      <x:c r="H257" s="110" t="n">
        <x:v>43244</x:v>
      </x:c>
      <x:c r="I257" s="88" t="n">
        <x:v>2018</x:v>
      </x:c>
      <x:c r="J257" s="87" t="str">
        <x:v>US</x:v>
      </x:c>
      <x:c r="K257" s="87" t="str">
        <x:v>A1</x:v>
      </x:c>
      <x:c r="L257" s="87" t="str">
        <x:v>US 2021/0198248 A1</x:v>
      </x:c>
      <x:c r="M257" s="87" t="str">
        <x:v>ASTRAZENECA AB</x:v>
      </x:c>
      <x:c r="N257" s="87" t="str">
        <x:v>ASTRAZENECA AB (2018-11-19);;RIGEL PHARMACEUTICALS INC (2022-06-07)</x:v>
      </x:c>
      <x:c r="O257" s="87" t="str">
        <x:v>FUMARATE SALT OF 5-((5-METHYL-2-((3,4,5-TRIMETHYLPHENYL)AMINO)PYRIMIDIN-4-YL)AMINO)-BENZO[D]OXAZOL-2(3H)-ONE</x:v>
      </x:c>
      <x:c r="P257" s="109" t="n">
        <x:v>0</x:v>
      </x:c>
      <x:c r="Q257" s="109" t="n">
        <x:v>19</x:v>
      </x:c>
      <x:c r="R257" s="87" t="str">
        <x:v>A61P11/06;;A61P11/00;;C07C57/15;;C07D413/12;;A61P11/06;;A61P11/00;;C07D413/12;;C07D413/12;;A61K31/506;;A61P11/00;;A61P11/06;;C07B2200/13;;C07D413/12;;C07B2200/13</x:v>
      </x:c>
      <x:c r="S257" s="87" t="str">
        <x:v>C07D413/12</x:v>
      </x:c>
      <x:c r="T257" s="87" t="str">
        <x:v>DISCONTINUED</x:v>
      </x:c>
      <x:c r="U257" s="87" t="str">
        <x:v>https://lens.org/123-076-892-820-355</x:v>
      </x:c>
    </x:row>
    <x:row r="258">
      <x:c r="A258" s="87" t="str">
        <x:v>AstraZeneca_Lens_RAW_2009_2024.csv.csv</x:v>
      </x:c>
      <x:c r="B258" s="87" t="str">
        <x:v>AstraZeneca</x:v>
      </x:c>
      <x:c r="C258" s="87"/>
      <x:c r="D258" s="87" t="str">
        <x:v>Yes</x:v>
      </x:c>
      <x:c r="E258" s="87" t="str">
        <x:v>astrazeneca</x:v>
      </x:c>
      <x:c r="F258" s="87" t="str">
        <x:v>256</x:v>
      </x:c>
      <x:c r="G258" s="87" t="str">
        <x:v>177-323-045-676-393</x:v>
      </x:c>
      <x:c r="H258" s="110" t="n">
        <x:v>40337</x:v>
      </x:c>
      <x:c r="I258" s="88" t="n">
        <x:v>2010</x:v>
      </x:c>
      <x:c r="J258" s="87" t="str">
        <x:v>US</x:v>
      </x:c>
      <x:c r="K258" s="87" t="str">
        <x:v>A1</x:v>
      </x:c>
      <x:c r="L258" s="87" t="str">
        <x:v>US 2021/0196788 A1</x:v>
      </x:c>
      <x:c r="M258" s="87" t="str">
        <x:v>ASTRAZENECA AB;;PIERIS PHARMACEUTICLAS GMBH</x:v>
      </x:c>
      <x:c r="N258" s="87" t="str">
        <x:v>ASTRAZENECA AB (2017-06-15);;PIERIS PHARMACEUTICALS GMBH (2017-06-15)</x:v>
      </x:c>
      <x:c r="O258" s="87" t="str">
        <x:v>TEAR LIPOCALIN MUTEINS BINDING IL-4 R ALPHA</x:v>
      </x:c>
      <x:c r="P258" s="109" t="n">
        <x:v>0</x:v>
      </x:c>
      <x:c r="Q258" s="109" t="n">
        <x:v>45</x:v>
      </x:c>
      <x:c r="R258" s="87" t="str">
        <x:v>C07K14/47;;A61K38/00;;C07K2319/00;;A61K38/1709;;A61P31/04;;A61P31/10;;A61P35/00;;A61P37/02;;A61P43/00;;C07K14/435;;C07K14/47;;C12N9/16;;A61K38/1709;;C07K14/435;;C07K14/47;;C07K2319/00;;C12N5/10;;C12N9/16;;C12N15/63</x:v>
      </x:c>
      <x:c r="S258" s="87" t="str">
        <x:v>A61K38/17;;C07K14/435;;C07K14/47;;C12N9/16</x:v>
      </x:c>
      <x:c r="T258" s="87" t="str">
        <x:v>DISCONTINUED</x:v>
      </x:c>
      <x:c r="U258" s="87" t="str">
        <x:v>https://lens.org/177-323-045-676-393</x:v>
      </x:c>
    </x:row>
    <x:row r="259">
      <x:c r="A259" s="87" t="str">
        <x:v>AstraZeneca_Lens_RAW_2009_2024.csv.csv</x:v>
      </x:c>
      <x:c r="B259" s="87" t="str">
        <x:v>AstraZeneca</x:v>
      </x:c>
      <x:c r="C259" s="87"/>
      <x:c r="D259" s="87" t="str">
        <x:v>Yes</x:v>
      </x:c>
      <x:c r="E259" s="87" t="str">
        <x:v>astrazeneca</x:v>
      </x:c>
      <x:c r="F259" s="87" t="str">
        <x:v>257</x:v>
      </x:c>
      <x:c r="G259" s="87" t="str">
        <x:v>108-745-744-699-161</x:v>
      </x:c>
      <x:c r="H259" s="110" t="n">
        <x:v>42765</x:v>
      </x:c>
      <x:c r="I259" s="88" t="n">
        <x:v>2017</x:v>
      </x:c>
      <x:c r="J259" s="87" t="str">
        <x:v>US</x:v>
      </x:c>
      <x:c r="K259" s="87" t="str">
        <x:v>B2</x:v>
      </x:c>
      <x:c r="L259" s="87" t="str">
        <x:v>US 11046689 B2</x:v>
      </x:c>
      <x:c r="M259" s="87" t="str">
        <x:v>ASTRAZENECA AB</x:v>
      </x:c>
      <x:c r="N259" s="87" t="str">
        <x:v>ASTRAZENECA PHARMACEUTICALS LP (2018-02-20);;ASTRAZENECA UK LIMITED (2018-02-27);;ASTRAZENECA AB (2018-02-28)</x:v>
      </x:c>
      <x:c r="O259" s="87" t="str">
        <x:v>Selective estrogen receptor down-regulators</x:v>
      </x:c>
      <x:c r="P259" s="109" t="n">
        <x:v>0</x:v>
      </x:c>
      <x:c r="Q259" s="109" t="n">
        <x:v>53</x:v>
      </x:c>
      <x:c r="R259" s="87" t="str">
        <x:v>C07D471/04;;A61K31/407;;A61K31/437;;A61P35/00;;C07D471/04;;A61K31/437;;A61P35/00;;C07D471/04;;A61K31/407;;A61K31/437;;A61P35/00;;C07D471/04;;A61K31/407;;A61K31/437;;A61P35/00</x:v>
      </x:c>
      <x:c r="S259" s="87" t="str">
        <x:v>C07D471/04;;A61K31/407;;A61K31/437;;A61P35/00</x:v>
      </x:c>
      <x:c r="T259" s="87" t="str">
        <x:v>ACTIVE</x:v>
      </x:c>
      <x:c r="U259" s="87" t="str">
        <x:v>https://lens.org/108-745-744-699-161</x:v>
      </x:c>
    </x:row>
    <x:row r="260">
      <x:c r="A260" s="87" t="str">
        <x:v>AstraZeneca_Lens_RAW_2009_2024.csv.csv</x:v>
      </x:c>
      <x:c r="B260" s="87" t="str">
        <x:v>AstraZeneca</x:v>
      </x:c>
      <x:c r="C260" s="87"/>
      <x:c r="D260" s="87" t="str">
        <x:v>Yes</x:v>
      </x:c>
      <x:c r="E260" s="87" t="str">
        <x:v>astrazeneca</x:v>
      </x:c>
      <x:c r="F260" s="87" t="str">
        <x:v>258</x:v>
      </x:c>
      <x:c r="G260" s="87" t="str">
        <x:v>110-627-883-879-28X</x:v>
      </x:c>
      <x:c r="H260" s="110" t="n">
        <x:v>43781</x:v>
      </x:c>
      <x:c r="I260" s="88" t="n">
        <x:v>2019</x:v>
      </x:c>
      <x:c r="J260" s="87" t="str">
        <x:v>US</x:v>
      </x:c>
      <x:c r="K260" s="87" t="str">
        <x:v>A1</x:v>
      </x:c>
      <x:c r="L260" s="87" t="str">
        <x:v>US 2021/0161897 A1</x:v>
      </x:c>
      <x:c r="M260" s="87" t="str">
        <x:v>ASTRAZENECA AB</x:v>
      </x:c>
      <x:c r="N260" s="87" t="str">
        <x:v>ASTRAZENECA UK LIMITED (2021-04-23);;ASTRAZENECA AB (2021-04-28)</x:v>
      </x:c>
      <x:c r="O260" s="87" t="str">
        <x:v>EPIDERMAL GROWTH FACTOR RECEPTOR TYROSINE KINASE INHIBITORS FOR THE TREATMENT OF CANCER</x:v>
      </x:c>
      <x:c r="P260" s="109" t="n">
        <x:v>0</x:v>
      </x:c>
      <x:c r="Q260" s="109" t="n">
        <x:v>3</x:v>
      </x:c>
      <x:c r="R260" s="87" t="str">
        <x:v>A61K31/506;;A61K31/517;;A61K31/5377;;A61P35/00;;A61K31/517;;A61K31/506;;A61P35/00</x:v>
      </x:c>
      <x:c r="S260" s="87" t="str">
        <x:v>A61K31/517;;A61K31/506;;A61P35/00</x:v>
      </x:c>
      <x:c r="T260" s="87" t="str">
        <x:v>DISCONTINUED</x:v>
      </x:c>
      <x:c r="U260" s="87" t="str">
        <x:v>https://lens.org/110-627-883-879-28X</x:v>
      </x:c>
    </x:row>
    <x:row r="261">
      <x:c r="A261" s="87" t="str">
        <x:v>AstraZeneca_Lens_RAW_2009_2024.csv.csv</x:v>
      </x:c>
      <x:c r="B261" s="87" t="str">
        <x:v>AstraZeneca</x:v>
      </x:c>
      <x:c r="C261" s="87"/>
      <x:c r="D261" s="87" t="str">
        <x:v>Yes</x:v>
      </x:c>
      <x:c r="E261" s="87" t="str">
        <x:v>astrazeneca</x:v>
      </x:c>
      <x:c r="F261" s="87" t="str">
        <x:v>259</x:v>
      </x:c>
      <x:c r="G261" s="87" t="str">
        <x:v>074-921-623-761-182</x:v>
      </x:c>
      <x:c r="H261" s="110" t="n">
        <x:v>43214</x:v>
      </x:c>
      <x:c r="I261" s="88" t="n">
        <x:v>2018</x:v>
      </x:c>
      <x:c r="J261" s="87" t="str">
        <x:v>US</x:v>
      </x:c>
      <x:c r="K261" s="87" t="str">
        <x:v>A1</x:v>
      </x:c>
      <x:c r="L261" s="87" t="str">
        <x:v>US 2021/0137931 A1</x:v>
      </x:c>
      <x:c r="M261" s="87" t="str">
        <x:v>ASTRAZENECA AB</x:v>
      </x:c>
      <x:c r="N261" s="87" t="str">
        <x:v>ASTRAZENECA PHARMACEUTICALS LP (2018-12-03);;ASTRAZENECA UK LIMITED (2018-12-11);;ASTRAZENECA AB (2018-12-18)</x:v>
      </x:c>
      <x:c r="O261" s="87" t="str">
        <x:v>SELECTING PATIENTS FOR THERAPY WITH ADENOSINE SIGNALING INHIBITORS</x:v>
      </x:c>
      <x:c r="P261" s="109" t="n">
        <x:v>0</x:v>
      </x:c>
      <x:c r="Q261" s="109" t="n">
        <x:v>14</x:v>
      </x:c>
      <x:c r="R261" s="87" t="str">
        <x:v>C12Q1/6886;;C12Q2600/106;;C12Q2600/118;;C12Q2600/158;;C12Q1/6886;;C12Q2600/106;;C12Q2600/118;;C12Q2600/158;;C12Q1/6886;;C12Q2600/106;;C12Q2600/118;;C12Q2600/158;;A61K31/53;;C07K16/2896;;C12Q1/6886;;C12Q2600/158</x:v>
      </x:c>
      <x:c r="S261" s="87" t="str">
        <x:v>A61K31/53;;C07K16/28;;C12Q1/6886</x:v>
      </x:c>
      <x:c r="T261" s="87" t="str">
        <x:v>DISCONTINUED</x:v>
      </x:c>
      <x:c r="U261" s="87" t="str">
        <x:v>https://lens.org/074-921-623-761-182</x:v>
      </x:c>
    </x:row>
    <x:row r="262">
      <x:c r="A262" s="87" t="str">
        <x:v>AstraZeneca_Lens_RAW_2009_2024.csv.csv</x:v>
      </x:c>
      <x:c r="B262" s="87" t="str">
        <x:v>AstraZeneca</x:v>
      </x:c>
      <x:c r="C262" s="87"/>
      <x:c r="D262" s="87" t="str">
        <x:v>Yes</x:v>
      </x:c>
      <x:c r="E262" s="87" t="str">
        <x:v>astrazeneca</x:v>
      </x:c>
      <x:c r="F262" s="87" t="str">
        <x:v>260</x:v>
      </x:c>
      <x:c r="G262" s="87" t="str">
        <x:v>023-650-154-664-344</x:v>
      </x:c>
      <x:c r="H262" s="110" t="n">
        <x:v>40800</x:v>
      </x:c>
      <x:c r="I262" s="88" t="n">
        <x:v>2011</x:v>
      </x:c>
      <x:c r="J262" s="87" t="str">
        <x:v>US</x:v>
      </x:c>
      <x:c r="K262" s="87" t="str">
        <x:v>B2</x:v>
      </x:c>
      <x:c r="L262" s="87" t="str">
        <x:v>US 10994082 B2</x:v>
      </x:c>
      <x:c r="M262" s="87" t="str">
        <x:v>ASTRAZENECA AB</x:v>
      </x:c>
      <x:c r="N262" s="87" t="str">
        <x:v>DANSK INGENIOR SERVICE A/S (2012-11-07);;ASTRAZENECA UK LIMITED (2012-11-16);;ASTRAZENECA AB (2012-11-10);;BANG &amp; OLUFSEN MEDICOM A/S (2012-11-09)</x:v>
      </x:c>
      <x:c r="O262" s="87" t="str">
        <x:v>Inhaler counter</x:v>
      </x:c>
      <x:c r="P262" s="109" t="n">
        <x:v>0</x:v>
      </x:c>
      <x:c r="Q262" s="109" t="n">
        <x:v>29</x:v>
      </x:c>
      <x:c r="R262" s="87" t="str">
        <x:v>A61M15/0075;;A61M15/0026;;A61M15/008;;A61M15/0081;;A61M15/009;;A61M15/0091;;A61M15/0096;;A61M2205/276;;A61M2205/585;;A61M15/00;;A61M15/0075;;A61M15/0025;;A61M15/0026;;A61M15/008;;A61M15/0081;;A61M15/009;;A61M15/0091;;A61M15/0096;;A61M2205/27;;A61M2205/276;;A61M2205/585</x:v>
      </x:c>
      <x:c r="S262" s="87" t="str">
        <x:v>A61M15/00</x:v>
      </x:c>
      <x:c r="T262" s="87" t="str">
        <x:v>ACTIVE</x:v>
      </x:c>
      <x:c r="U262" s="87" t="str">
        <x:v>https://lens.org/023-650-154-664-344</x:v>
      </x:c>
    </x:row>
    <x:row r="263">
      <x:c r="A263" s="87" t="str">
        <x:v>AstraZeneca_Lens_RAW_2009_2024.csv.csv</x:v>
      </x:c>
      <x:c r="B263" s="87" t="str">
        <x:v>AstraZeneca</x:v>
      </x:c>
      <x:c r="C263" s="87"/>
      <x:c r="D263" s="87" t="str">
        <x:v>Yes</x:v>
      </x:c>
      <x:c r="E263" s="87" t="str">
        <x:v>astrazeneca</x:v>
      </x:c>
      <x:c r="F263" s="87" t="str">
        <x:v>261</x:v>
      </x:c>
      <x:c r="G263" s="87" t="str">
        <x:v>089-392-442-791-183</x:v>
      </x:c>
      <x:c r="H263" s="110" t="n">
        <x:v>43735</x:v>
      </x:c>
      <x:c r="I263" s="88" t="n">
        <x:v>2019</x:v>
      </x:c>
      <x:c r="J263" s="87" t="str">
        <x:v>US</x:v>
      </x:c>
      <x:c r="K263" s="87" t="str">
        <x:v>A1</x:v>
      </x:c>
      <x:c r="L263" s="87" t="str">
        <x:v>US 2021/0095037 A1</x:v>
      </x:c>
      <x:c r="M263" s="87" t="str">
        <x:v>ASTRAZENECA AB</x:v>
      </x:c>
      <x:c r="N263" s="87" t="str">
        <x:v>ASTRAZENECA PHARMACEUTICALS LP (2020-01-24);;ASTRAZENECA UK LIMITED (2020-02-04);;ASTRAZENECA AB (2020-02-11)</x:v>
      </x:c>
      <x:c r="O263" s="87" t="str">
        <x:v>METHODS FOR TREATING LATE-ONSET ASTHMA USING BENRALIZUMAB</x:v>
      </x:c>
      <x:c r="P263" s="109" t="n">
        <x:v>0</x:v>
      </x:c>
      <x:c r="Q263" s="109" t="n">
        <x:v>10</x:v>
      </x:c>
      <x:c r="R263" s="87" t="str">
        <x:v>C07K16/2866;;A61K9/0019;;A61K9/0029;;A61K39/3955;;A61K45/06;;A61K2039/505;;A61K2039/54;;A61K2039/545;;A61P11/06;;C07K2317/76;;A61P11/06;;A61K2039/545;;C07K16/2866;;C07K2317/24;;C07K16/2866;;A61K9/0019;;A61K9/0029;;A61K39/3955;;A61K45/06;;A61K2039/505;;A61K2039/54;;A61K2039/545;;A61P11/06;;C07K2317/24;;C07K2317/76;;C07K16/2896;;A61K2039/505;;A61K2039/545;;A61P11/06;;C07K2317/24;;C07K16/2866;;A61K9/0019;;A61K9/0029;;A61K39/3955;;A61K45/06;;A61K2039/505;;A61K2039/54;;A61K2039/545;;A61P11/06;;C07K2317/24;;C07K2317/76</x:v>
      </x:c>
      <x:c r="S263" s="87" t="str">
        <x:v>C07K16/28;;A61K9/00;;A61K39/395;;A61K45/06;;A61P11/06</x:v>
      </x:c>
      <x:c r="T263" s="87" t="str">
        <x:v>DISCONTINUED</x:v>
      </x:c>
      <x:c r="U263" s="87" t="str">
        <x:v>https://lens.org/089-392-442-791-183</x:v>
      </x:c>
    </x:row>
    <x:row r="264">
      <x:c r="A264" s="87" t="str">
        <x:v>AstraZeneca_Lens_RAW_2009_2024.csv.csv</x:v>
      </x:c>
      <x:c r="B264" s="87" t="str">
        <x:v>AstraZeneca</x:v>
      </x:c>
      <x:c r="C264" s="87"/>
      <x:c r="D264" s="87" t="str">
        <x:v>Yes</x:v>
      </x:c>
      <x:c r="E264" s="87" t="str">
        <x:v>astrazeneca</x:v>
      </x:c>
      <x:c r="F264" s="87" t="str">
        <x:v>262</x:v>
      </x:c>
      <x:c r="G264" s="87" t="str">
        <x:v>100-675-725-821-529</x:v>
      </x:c>
      <x:c r="H264" s="110" t="n">
        <x:v>41716</x:v>
      </x:c>
      <x:c r="I264" s="88" t="n">
        <x:v>2014</x:v>
      </x:c>
      <x:c r="J264" s="87" t="str">
        <x:v>US</x:v>
      </x:c>
      <x:c r="K264" s="87" t="str">
        <x:v>B2</x:v>
      </x:c>
      <x:c r="L264" s="87" t="str">
        <x:v>US 10954211 B2</x:v>
      </x:c>
      <x:c r="M264" s="87" t="str">
        <x:v>ASTRAZENECA AB</x:v>
      </x:c>
      <x:c r="N264" s="87" t="str">
        <x:v>ASTRAZENECA UK LIMITED (2015-03-27);;ASTRAZENECA AB (2015-04-13)</x:v>
      </x:c>
      <x:c r="O264" s="87" t="str">
        <x:v>Chemical compounds</x:v>
      </x:c>
      <x:c r="P264" s="109" t="n">
        <x:v>0</x:v>
      </x:c>
      <x:c r="Q264" s="109" t="n">
        <x:v>55</x:v>
      </x:c>
      <x:c r="R264" s="87" t="str">
        <x:v>C07D401/12;;A61K31/4965;;A61K31/497;;A61P3/12;;A61P11/00;;A61P43/00;;C07D241/26;;C07D241/28;;C07D401/06;;C07D405/14;;C07D401/06;;C07D241/28;;C07D241/28;;A61K31/497;;A61K45/06;;A61P11/06;;C07D401/12;;C07D405/14;;C07D401/12;;A61K31/4965;;A61K31/497;;A61K45/06;;A61P3/12;;A61P11/00;;A61P11/06;;A61P43/00;;C07D241/26;;C07D241/28;;C07D401/06;;C07D405/14</x:v>
      </x:c>
      <x:c r="S264" s="87" t="str">
        <x:v>C07D401/12;;A61K31/4965;;A61K31/497;;A61K45/06;;A61P3/12;;A61P11/00;;A61P11/06;;A61P43/00;;C07D241/26;;C07D241/28;;C07D401/06;;C07D405/14</x:v>
      </x:c>
      <x:c r="T264" s="87" t="str">
        <x:v>ACTIVE</x:v>
      </x:c>
      <x:c r="U264" s="87" t="str">
        <x:v>https://lens.org/100-675-725-821-529</x:v>
      </x:c>
    </x:row>
    <x:row r="265">
      <x:c r="A265" s="87" t="str">
        <x:v>AstraZeneca_Lens_RAW_2009_2024.csv.csv</x:v>
      </x:c>
      <x:c r="B265" s="87" t="str">
        <x:v>AstraZeneca</x:v>
      </x:c>
      <x:c r="C265" s="87"/>
      <x:c r="D265" s="87" t="str">
        <x:v>Yes</x:v>
      </x:c>
      <x:c r="E265" s="87" t="str">
        <x:v>astrazeneca</x:v>
      </x:c>
      <x:c r="F265" s="87" t="str">
        <x:v>263</x:v>
      </x:c>
      <x:c r="G265" s="87" t="str">
        <x:v>088-208-003-764-758</x:v>
      </x:c>
      <x:c r="H265" s="110" t="n">
        <x:v>42439</x:v>
      </x:c>
      <x:c r="I265" s="88" t="n">
        <x:v>2016</x:v>
      </x:c>
      <x:c r="J265" s="87" t="str">
        <x:v>US</x:v>
      </x:c>
      <x:c r="K265" s="87" t="str">
        <x:v>A1</x:v>
      </x:c>
      <x:c r="L265" s="87" t="str">
        <x:v>US 2021/0047312 A1</x:v>
      </x:c>
      <x:c r="M265" s="87" t="str">
        <x:v>ASTRAZENECA AB</x:v>
      </x:c>
      <x:c r="N265" s="87" t="str">
        <x:v>ASTRAZENECA AB (2016-04-01)</x:v>
      </x:c>
      <x:c r="O265" s="87" t="str">
        <x:v>INHIBITORS OF PHOSPHATIDYLINOSITOL 3-KINASE GAMMA</x:v>
      </x:c>
      <x:c r="P265" s="109" t="n">
        <x:v>0</x:v>
      </x:c>
      <x:c r="Q265" s="109" t="n">
        <x:v>23</x:v>
      </x:c>
      <x:c r="R265" s="87" t="str">
        <x:v>C07D417/04;;C07D487/04;;C07D417/04;;A61P11/00;;A61P11/06;;A61P11/08;;A61P37/08;;C07D487/04;;C07D417/04;;A61K31/427;;A61K31/4985;;A61P11/06;;A61P11/08;;C07D487/04;;C07D417/04</x:v>
      </x:c>
      <x:c r="S265" s="87" t="str">
        <x:v>C07D417/04</x:v>
      </x:c>
      <x:c r="T265" s="87" t="str">
        <x:v>DISCONTINUED</x:v>
      </x:c>
      <x:c r="U265" s="87" t="str">
        <x:v>https://lens.org/088-208-003-764-758</x:v>
      </x:c>
    </x:row>
    <x:row r="266">
      <x:c r="A266" s="87" t="str">
        <x:v>AstraZeneca_Lens_RAW_2009_2024.csv.csv</x:v>
      </x:c>
      <x:c r="B266" s="87" t="str">
        <x:v>AstraZeneca</x:v>
      </x:c>
      <x:c r="C266" s="87"/>
      <x:c r="D266" s="87" t="str">
        <x:v>Yes</x:v>
      </x:c>
      <x:c r="E266" s="87" t="str">
        <x:v>astrazeneca</x:v>
      </x:c>
      <x:c r="F266" s="87" t="str">
        <x:v>264</x:v>
      </x:c>
      <x:c r="G266" s="87" t="str">
        <x:v>159-054-271-143-59X</x:v>
      </x:c>
      <x:c r="H266" s="110" t="n">
        <x:v>43220</x:v>
      </x:c>
      <x:c r="I266" s="88" t="n">
        <x:v>2018</x:v>
      </x:c>
      <x:c r="J266" s="87" t="str">
        <x:v>US</x:v>
      </x:c>
      <x:c r="K266" s="87" t="str">
        <x:v>A1</x:v>
      </x:c>
      <x:c r="L266" s="87" t="str">
        <x:v>US 2021/0030718 A1</x:v>
      </x:c>
      <x:c r="M266" s="87" t="str">
        <x:v>ASTRAZENECA AB</x:v>
      </x:c>
      <x:c r="N266" s="87" t="str">
        <x:v>ASTRAZENECA PHARMACEUTICALS LP (2018-07-16);;ASTRAZENECA UK LIMITED (2018-07-17)</x:v>
      </x:c>
      <x:c r="O266" s="87" t="str">
        <x:v>COMBINATIONS FOR TREATING CANCER</x:v>
      </x:c>
      <x:c r="P266" s="109" t="n">
        <x:v>0</x:v>
      </x:c>
      <x:c r="Q266" s="109" t="n">
        <x:v>15</x:v>
      </x:c>
      <x:c r="R266" s="87" t="str">
        <x:v>A61K31/4162;;A61K31/4985;;A61P35/00;;A61P35/02;;A61K31/4162;;A61K31/4985;;A61K2300/00;;A61P35/00;;A61P35/02;;A61K31/4155;;A61K31/4985;;A61P35/00</x:v>
      </x:c>
      <x:c r="S266" s="87" t="str">
        <x:v>A61K31/4155;;A61K31/4985;;A61P35/00</x:v>
      </x:c>
      <x:c r="T266" s="87" t="str">
        <x:v>DISCONTINUED</x:v>
      </x:c>
      <x:c r="U266" s="87" t="str">
        <x:v>https://lens.org/159-054-271-143-59X</x:v>
      </x:c>
    </x:row>
    <x:row r="267">
      <x:c r="A267" s="87" t="str">
        <x:v>AstraZeneca_Lens_RAW_2009_2024.csv.csv</x:v>
      </x:c>
      <x:c r="B267" s="87" t="str">
        <x:v>AstraZeneca</x:v>
      </x:c>
      <x:c r="C267" s="87"/>
      <x:c r="D267" s="87" t="str">
        <x:v>Yes</x:v>
      </x:c>
      <x:c r="E267" s="87" t="str">
        <x:v>astrazeneca</x:v>
      </x:c>
      <x:c r="F267" s="87" t="str">
        <x:v>265</x:v>
      </x:c>
      <x:c r="G267" s="87" t="str">
        <x:v>054-681-871-957-939</x:v>
      </x:c>
      <x:c r="H267" s="110" t="n">
        <x:v>42886</x:v>
      </x:c>
      <x:c r="I267" s="88" t="n">
        <x:v>2017</x:v>
      </x:c>
      <x:c r="J267" s="87" t="str">
        <x:v>US</x:v>
      </x:c>
      <x:c r="K267" s="87" t="str">
        <x:v>A1</x:v>
      </x:c>
      <x:c r="L267" s="87" t="str">
        <x:v>US 2020/0394581 A1</x:v>
      </x:c>
      <x:c r="M267" s="87" t="str">
        <x:v>ASTRAZENECA PHARMACEUTICALS LP</x:v>
      </x:c>
      <x:c r="N267" s="87" t="str">
        <x:v>ASTRAZENECA PHARMACEUTICALS LP (2020-11-16)</x:v>
      </x:c>
      <x:c r="O267" s="87" t="str">
        <x:v>NON-LINEAR SYSTEMS AND METHODS FOR DESTINATION SELECTION</x:v>
      </x:c>
      <x:c r="P267" s="109" t="n">
        <x:v>0</x:v>
      </x:c>
      <x:c r="Q267" s="109" t="n">
        <x:v>4</x:v>
      </x:c>
      <x:c r="R267" s="87" t="str">
        <x:v>G06Q10/06315;;G06Q10/04;;G06Q10/06311;;G06F16/285;;G06F16/29;;G06Q10/04;;G06Q10/06314;;G06Q10/06315;;G06Q10/1093</x:v>
      </x:c>
      <x:c r="S267" s="87" t="str">
        <x:v>G06Q10/06;;G06F16/28;;G06F16/29;;G06Q10/04;;G06Q10/10</x:v>
      </x:c>
      <x:c r="T267" s="87" t="str">
        <x:v>DISCONTINUED</x:v>
      </x:c>
      <x:c r="U267" s="87" t="str">
        <x:v>https://lens.org/054-681-871-957-939</x:v>
      </x:c>
    </x:row>
    <x:row r="268">
      <x:c r="A268" s="87" t="str">
        <x:v>AstraZeneca_Lens_RAW_2009_2024.csv.csv</x:v>
      </x:c>
      <x:c r="B268" s="87" t="str">
        <x:v>AstraZeneca</x:v>
      </x:c>
      <x:c r="C268" s="87"/>
      <x:c r="D268" s="87" t="str">
        <x:v>Yes</x:v>
      </x:c>
      <x:c r="E268" s="87" t="str">
        <x:v>astrazeneca</x:v>
      </x:c>
      <x:c r="F268" s="87" t="str">
        <x:v>266</x:v>
      </x:c>
      <x:c r="G268" s="87" t="str">
        <x:v>149-228-125-757-862</x:v>
      </x:c>
      <x:c r="H268" s="110" t="n">
        <x:v>43010</x:v>
      </x:c>
      <x:c r="I268" s="88" t="n">
        <x:v>2017</x:v>
      </x:c>
      <x:c r="J268" s="87" t="str">
        <x:v>US</x:v>
      </x:c>
      <x:c r="K268" s="87" t="str">
        <x:v>A1</x:v>
      </x:c>
      <x:c r="L268" s="87" t="str">
        <x:v>US 2020/0370056 A1</x:v>
      </x:c>
      <x:c r="M268" s="87" t="str">
        <x:v>ASTRAZENECA AB</x:v>
      </x:c>
      <x:c r="N268" s="87" t="str">
        <x:v>ASTRAZENECA AB (2017-11-20);;ASTRAZENECA UK LIMITED (2017-12-03)</x:v>
      </x:c>
      <x:c r="O268" s="87" t="str">
        <x:v>CELL LINES AND METHODS FOR INCREASED PROTEIN PRODUCTION</x:v>
      </x:c>
      <x:c r="P268" s="109" t="n">
        <x:v>1</x:v>
      </x:c>
      <x:c r="Q268" s="109" t="n">
        <x:v>5</x:v>
      </x:c>
      <x:c r="R268" s="87" t="str">
        <x:v>C12N15/102;;C07K16/00;;C07K2317/14;;C12N9/12;;C12N15/1137;;C12N15/63;;C12N2310/20;;C12Y207/11001;;C12N15/67;;C12N15/63;;C12N2015/8518;;C12N2320/30</x:v>
      </x:c>
      <x:c r="S268" s="87" t="str">
        <x:v>C12N15/67</x:v>
      </x:c>
      <x:c r="T268" s="87" t="str">
        <x:v>DISCONTINUED</x:v>
      </x:c>
      <x:c r="U268" s="87" t="str">
        <x:v>https://lens.org/149-228-125-757-862</x:v>
      </x:c>
    </x:row>
    <x:row r="269">
      <x:c r="A269" s="87" t="str">
        <x:v>AstraZeneca_Lens_RAW_2009_2024.csv.csv</x:v>
      </x:c>
      <x:c r="B269" s="87" t="str">
        <x:v>AstraZeneca</x:v>
      </x:c>
      <x:c r="C269" s="87"/>
      <x:c r="D269" s="87" t="str">
        <x:v>Yes</x:v>
      </x:c>
      <x:c r="E269" s="87" t="str">
        <x:v>astrazeneca</x:v>
      </x:c>
      <x:c r="F269" s="87" t="str">
        <x:v>267</x:v>
      </x:c>
      <x:c r="G269" s="87" t="str">
        <x:v>135-554-403-706-906</x:v>
      </x:c>
      <x:c r="H269" s="110" t="n">
        <x:v>41641</x:v>
      </x:c>
      <x:c r="I269" s="88" t="n">
        <x:v>2014</x:v>
      </x:c>
      <x:c r="J269" s="87" t="str">
        <x:v>US</x:v>
      </x:c>
      <x:c r="K269" s="87" t="str">
        <x:v>A1</x:v>
      </x:c>
      <x:c r="L269" s="87" t="str">
        <x:v>US 2020/0360378 A1</x:v>
      </x:c>
      <x:c r="M269" s="87" t="str">
        <x:v>ASTRAZENECA AB</x:v>
      </x:c>
      <x:c r="N269" s="87" t="str">
        <x:v>ASTRAZENECA UK LIMITED (2015-02-03);;ASTRAZENECA AB (2015-02-05)</x:v>
      </x:c>
      <x:c r="O269" s="87" t="str">
        <x:v>PHARMACEUTICAL COMPOSITIONS COMPRISING AZD9291</x:v>
      </x:c>
      <x:c r="P269" s="109" t="n">
        <x:v>1</x:v>
      </x:c>
      <x:c r="Q269" s="109" t="n">
        <x:v>57</x:v>
      </x:c>
      <x:c r="R269" s="87" t="str">
        <x:v>A61K9/0053;;A61K9/2013;;A61K9/2054;;A61K9/28;;A61K31/506;;A61P35/00;;A61K31/506;;A61K9/2054;;A61P35/00;;A61K31/506;;A61K9/00;;A61K9/20;;A61K9/28;;A61K9/2054;;A61K9/0053;;A61K9/2013;;A61K9/28;;A61K31/506;;A61K31/506;;A61K9/0053;;A61K9/2054;;A61K9/28</x:v>
      </x:c>
      <x:c r="S269" s="87" t="str">
        <x:v>A61K31/506;;A61K9/00;;A61K9/20;;A61K9/28</x:v>
      </x:c>
      <x:c r="T269" s="87" t="str">
        <x:v>DISCONTINUED</x:v>
      </x:c>
      <x:c r="U269" s="87" t="str">
        <x:v>https://lens.org/135-554-403-706-906</x:v>
      </x:c>
    </x:row>
    <x:row r="270">
      <x:c r="A270" s="87" t="str">
        <x:v>AstraZeneca_Lens_RAW_2009_2024.csv.csv</x:v>
      </x:c>
      <x:c r="B270" s="87" t="str">
        <x:v>AstraZeneca</x:v>
      </x:c>
      <x:c r="C270" s="87"/>
      <x:c r="D270" s="87" t="str">
        <x:v>Yes</x:v>
      </x:c>
      <x:c r="E270" s="87" t="str">
        <x:v>astrazeneca</x:v>
      </x:c>
      <x:c r="F270" s="87" t="str">
        <x:v>268</x:v>
      </x:c>
      <x:c r="G270" s="87" t="str">
        <x:v>119-905-946-861-103</x:v>
      </x:c>
      <x:c r="H270" s="110" t="n">
        <x:v>42852</x:v>
      </x:c>
      <x:c r="I270" s="88" t="n">
        <x:v>2017</x:v>
      </x:c>
      <x:c r="J270" s="87" t="str">
        <x:v>US</x:v>
      </x:c>
      <x:c r="K270" s="87" t="str">
        <x:v>B2</x:v>
      </x:c>
      <x:c r="L270" s="87" t="str">
        <x:v>US 10829479 B2</x:v>
      </x:c>
      <x:c r="M270" s="87" t="str">
        <x:v>ASTRAZENECA AB</x:v>
      </x:c>
      <x:c r="N270" s="87" t="str">
        <x:v>ASTRAZENECA UK LIMITED (2020-07-02);;ASTRAZENECA AB (2020-08-18)</x:v>
      </x:c>
      <x:c r="O270" s="87" t="str">
        <x:v>C5-anilinoquinazoline compounds and their use in treating cancer</x:v>
      </x:c>
      <x:c r="P270" s="109" t="n">
        <x:v>0</x:v>
      </x:c>
      <x:c r="Q270" s="109" t="n">
        <x:v>26</x:v>
      </x:c>
      <x:c r="R270" s="87" t="str">
        <x:v>C07D403/12;;A61P35/00;;C07D405/14;;C07D403/12;;A61K31/517;;A61K2121/00;;A61P35/00;;A61K31/517;;A61K31/5377;;A61P35/00;;C07D403/12;;C07D405/14;;C07D403/12;;A61K2121/00;;A61P35/00;;C07D405/14</x:v>
      </x:c>
      <x:c r="S270" s="87" t="str">
        <x:v>A61K31/517;;A61K31/4192;;A61P35/00;;C07D403/10;;C07D403/12;;C07D405/14</x:v>
      </x:c>
      <x:c r="T270" s="87" t="str">
        <x:v>ACTIVE</x:v>
      </x:c>
      <x:c r="U270" s="87" t="str">
        <x:v>https://lens.org/119-905-946-861-103</x:v>
      </x:c>
    </x:row>
    <x:row r="271">
      <x:c r="A271" s="87" t="str">
        <x:v>AstraZeneca_Lens_RAW_2009_2024.csv.csv</x:v>
      </x:c>
      <x:c r="B271" s="87" t="str">
        <x:v>AstraZeneca</x:v>
      </x:c>
      <x:c r="C271" s="87"/>
      <x:c r="D271" s="87" t="str">
        <x:v>Yes</x:v>
      </x:c>
      <x:c r="E271" s="87" t="str">
        <x:v>astrazeneca</x:v>
      </x:c>
      <x:c r="F271" s="87" t="str">
        <x:v>269</x:v>
      </x:c>
      <x:c r="G271" s="87" t="str">
        <x:v>043-664-060-832-872</x:v>
      </x:c>
      <x:c r="H271" s="110" t="n">
        <x:v>40928</x:v>
      </x:c>
      <x:c r="I271" s="88" t="n">
        <x:v>2012</x:v>
      </x:c>
      <x:c r="J271" s="87" t="str">
        <x:v>US</x:v>
      </x:c>
      <x:c r="K271" s="87" t="str">
        <x:v>B2</x:v>
      </x:c>
      <x:c r="L271" s="87" t="str">
        <x:v>US 10828433 B2</x:v>
      </x:c>
      <x:c r="M271" s="87" t="str">
        <x:v>ALMIRALL SA;;ASTRAZENECA AB</x:v>
      </x:c>
      <x:c r="N271" s="87" t="str">
        <x:v>ALMIRALL S.A (2014-07-08);;ASTRAZENECA AB (2015-02-23)</x:v>
      </x:c>
      <x:c r="O271" s="87" t="str">
        <x:v>Inhalation device for powdered drugs</x:v>
      </x:c>
      <x:c r="P271" s="109" t="n">
        <x:v>0</x:v>
      </x:c>
      <x:c r="Q271" s="109" t="n">
        <x:v>40</x:v>
      </x:c>
      <x:c r="R271" s="87" t="str">
        <x:v>A61M15/0065;;A61M15/0026;;A61M15/0073;;A61M15/0081;;A61M15/0091;;A61M15/0093;;A61M15/0095;;A61M2202/064;;A61M2205/583;;A61M2205/584;;A61M2206/16;;A61M15/0071;;A61M15/0026;;A61M15/0065;;A61M15/0073;;A61M15/0081;;A61M15/0091;;A61M15/0093;;A61M15/0095;;A61M2202/064;;A61M2205/583;;A61M2205/584;;A61M2206/16</x:v>
      </x:c>
      <x:c r="S271" s="87" t="str">
        <x:v>A61M15/00</x:v>
      </x:c>
      <x:c r="T271" s="87" t="str">
        <x:v>ACTIVE</x:v>
      </x:c>
      <x:c r="U271" s="87" t="str">
        <x:v>https://lens.org/043-664-060-832-872</x:v>
      </x:c>
    </x:row>
    <x:row r="272">
      <x:c r="A272" s="87" t="str">
        <x:v>AstraZeneca_Lens_RAW_2009_2024.csv.csv</x:v>
      </x:c>
      <x:c r="B272" s="87" t="str">
        <x:v>AstraZeneca</x:v>
      </x:c>
      <x:c r="C272" s="87"/>
      <x:c r="D272" s="87" t="str">
        <x:v>Yes</x:v>
      </x:c>
      <x:c r="E272" s="87" t="str">
        <x:v>astrazeneca</x:v>
      </x:c>
      <x:c r="F272" s="87" t="str">
        <x:v>270</x:v>
      </x:c>
      <x:c r="G272" s="87" t="str">
        <x:v>099-227-904-650-929</x:v>
      </x:c>
      <x:c r="H272" s="110" t="n">
        <x:v>43453</x:v>
      </x:c>
      <x:c r="I272" s="88" t="n">
        <x:v>2018</x:v>
      </x:c>
      <x:c r="J272" s="87" t="str">
        <x:v>US</x:v>
      </x:c>
      <x:c r="K272" s="87" t="str">
        <x:v>A1</x:v>
      </x:c>
      <x:c r="L272" s="87" t="str">
        <x:v>US 2020/0300865 A1</x:v>
      </x:c>
      <x:c r="M272" s="87" t="str">
        <x:v>ASTRAZENECA AB</x:v>
      </x:c>
      <x:c r="N272" s="87" t="str">
        <x:v>ASTRAZENECA AB (2019-06-13)</x:v>
      </x:c>
      <x:c r="O272" s="87" t="str">
        <x:v>BIOMARKER OF PNPLA3 EXPRESSION</x:v>
      </x:c>
      <x:c r="P272" s="109" t="n">
        <x:v>1</x:v>
      </x:c>
      <x:c r="Q272" s="109" t="n">
        <x:v>5</x:v>
      </x:c>
      <x:c r="R272" s="87" t="str">
        <x:v>G01N33/6893;;C12Q1/44;;C12Q1/60;;G01N33/92;;G01N2800/085;;G01N2800/7085;;G01N33/6893;;A61K45/06;;C12N15/113;;C12N2310/111;;C12N2320/30;;G01N33/92;;G01N2800/085;;G01N2800/7085</x:v>
      </x:c>
      <x:c r="S272" s="87" t="str">
        <x:v>G01N33/68;;G01N33/92</x:v>
      </x:c>
      <x:c r="T272" s="87" t="str">
        <x:v>DISCONTINUED</x:v>
      </x:c>
      <x:c r="U272" s="87" t="str">
        <x:v>https://lens.org/099-227-904-650-929</x:v>
      </x:c>
    </x:row>
    <x:row r="273">
      <x:c r="A273" s="87" t="str">
        <x:v>AstraZeneca_Lens_RAW_2009_2024.csv.csv</x:v>
      </x:c>
      <x:c r="B273" s="87" t="str">
        <x:v>AstraZeneca</x:v>
      </x:c>
      <x:c r="C273" s="87"/>
      <x:c r="D273" s="87" t="str">
        <x:v>Yes</x:v>
      </x:c>
      <x:c r="E273" s="87" t="str">
        <x:v>astrazeneca</x:v>
      </x:c>
      <x:c r="F273" s="87" t="str">
        <x:v>271</x:v>
      </x:c>
      <x:c r="G273" s="87" t="str">
        <x:v>138-553-029-649-677</x:v>
      </x:c>
      <x:c r="H273" s="110" t="n">
        <x:v>42559</x:v>
      </x:c>
      <x:c r="I273" s="88" t="n">
        <x:v>2016</x:v>
      </x:c>
      <x:c r="J273" s="87" t="str">
        <x:v>US</x:v>
      </x:c>
      <x:c r="K273" s="87" t="str">
        <x:v>A1</x:v>
      </x:c>
      <x:c r="L273" s="87" t="str">
        <x:v>US 2020/0254046 A1</x:v>
      </x:c>
      <x:c r="M273" s="87" t="str">
        <x:v>ASTRAZENECA AB</x:v>
      </x:c>
      <x:c r="N273" s="87" t="str">
        <x:v>ASTRAZENECA AB (2016-12-06)</x:v>
      </x:c>
      <x:c r="O273" s="87" t="str">
        <x:v>PHARMACEUTICAL COMPOSITIONS</x:v>
      </x:c>
      <x:c r="P273" s="109" t="n">
        <x:v>0</x:v>
      </x:c>
      <x:c r="Q273" s="109" t="n">
        <x:v>22</x:v>
      </x:c>
      <x:c r="R273" s="87" t="str">
        <x:v>A61K9/1652;;A61K9/146;;A61K9/2018;;A61K9/2054;;A61K9/5078;;A61K31/201;;A61K31/202;;A61K36/48;;A61K9/1652;;A61K9/146;;A61K9/2018;;A61K9/2054;;A61K9/5078;;A61K31/201;;A61K31/202;;A61K36/48;;A61P3/06;;A61K9/2054;;A61K9/2018;;A61K31/202;;A61K36/48;;A61K36/48;;A61K9/1611;;A61K9/1623;;A61K9/1652;;A61K9/20;;A61K31/201;;A61K31/202</x:v>
      </x:c>
      <x:c r="S273" s="87" t="str">
        <x:v>A61K36/48;;A61K9/16;;A61K9/20;;A61K31/201;;A61K31/202</x:v>
      </x:c>
      <x:c r="T273" s="87" t="str">
        <x:v>DISCONTINUED</x:v>
      </x:c>
      <x:c r="U273" s="87" t="str">
        <x:v>https://lens.org/138-553-029-649-677</x:v>
      </x:c>
    </x:row>
    <x:row r="274">
      <x:c r="A274" s="87" t="str">
        <x:v>AstraZeneca_Lens_RAW_2009_2024.csv.csv</x:v>
      </x:c>
      <x:c r="B274" s="87" t="str">
        <x:v>AstraZeneca</x:v>
      </x:c>
      <x:c r="C274" s="87"/>
      <x:c r="D274" s="87" t="str">
        <x:v>Yes</x:v>
      </x:c>
      <x:c r="E274" s="87" t="str">
        <x:v>astrazeneca</x:v>
      </x:c>
      <x:c r="F274" s="87" t="str">
        <x:v>272</x:v>
      </x:c>
      <x:c r="G274" s="87" t="str">
        <x:v>156-793-279-465-008</x:v>
      </x:c>
      <x:c r="H274" s="110" t="n">
        <x:v>42481</x:v>
      </x:c>
      <x:c r="I274" s="88" t="n">
        <x:v>2016</x:v>
      </x:c>
      <x:c r="J274" s="87" t="str">
        <x:v>US</x:v>
      </x:c>
      <x:c r="K274" s="87" t="str">
        <x:v>B2</x:v>
      </x:c>
      <x:c r="L274" s="87" t="str">
        <x:v>US 10729655 B2</x:v>
      </x:c>
      <x:c r="M274" s="87" t="str">
        <x:v>ASTRAZENECA AB</x:v>
      </x:c>
      <x:c r="N274" s="87" t="str">
        <x:v>ASTRAZENECA UK LIMITED (2018-01-12);;ASTRAZENECA AB (2018-01-12)</x:v>
      </x:c>
      <x:c r="O274" s="87" t="str">
        <x:v>Orally disintegrating tablets</x:v>
      </x:c>
      <x:c r="P274" s="109" t="n">
        <x:v>1</x:v>
      </x:c>
      <x:c r="Q274" s="109" t="n">
        <x:v>50</x:v>
      </x:c>
      <x:c r="R274" s="87" t="str">
        <x:v>A61J1/035;;A61J3/10;;A61K9/0056;;A61K9/2009;;A61K9/2013;;A61K9/2018;;A61K9/2027;;A61K9/2054;;A61K9/2095;;A61K31/519;;B65D75/327;;A61K9/2018;;A61J1/035;;A61K9/0056;;A61K9/2009;;A61K9/2027;;A61K9/2054;;A61K31/519;;A61P7/02;;A61P9/00;;A61P9/10;;B65D75/327;;A61K9/0056;;A61J1/035;;A61K9/2009;;A61K9/2018;;A61K9/2027;;A61K9/2054;;A61K31/519;;A61P7/02;;A61P9/10;;B65D75/327;;A61K9/2018;;A61J1/035;;A61K9/0056;;A61K9/2009;;A61K9/2027;;A61K9/2054;;A61K9/2095;;A61K31/519;;A61P7/02;;A61P9/10;;B65D75/327;;A61K9/2018;;A61J1/035;;A61J3/10;;A61K9/0056;;A61K9/2009;;A61K9/2013;;A61K9/2027;;A61K9/2054;;A61K9/2095;;A61K31/519;;B65D75/327</x:v>
      </x:c>
      <x:c r="S274" s="87" t="str">
        <x:v>A61K31/519;;A61J1/03;;A61J3/10;;A61K9/00;;A61K9/20;;B65D75/32</x:v>
      </x:c>
      <x:c r="T274" s="87" t="str">
        <x:v>ACTIVE</x:v>
      </x:c>
      <x:c r="U274" s="87" t="str">
        <x:v>https://lens.org/156-793-279-465-008</x:v>
      </x:c>
    </x:row>
    <x:row r="275">
      <x:c r="A275" s="87" t="str">
        <x:v>AstraZeneca_Lens_RAW_2009_2024.csv.csv</x:v>
      </x:c>
      <x:c r="B275" s="87" t="str">
        <x:v>AstraZeneca</x:v>
      </x:c>
      <x:c r="C275" s="87"/>
      <x:c r="D275" s="87" t="str">
        <x:v>Yes</x:v>
      </x:c>
      <x:c r="E275" s="87" t="str">
        <x:v>astrazeneca</x:v>
      </x:c>
      <x:c r="F275" s="87" t="str">
        <x:v>273</x:v>
      </x:c>
      <x:c r="G275" s="87" t="str">
        <x:v>182-579-887-606-084</x:v>
      </x:c>
      <x:c r="H275" s="110" t="n">
        <x:v>42235</x:v>
      </x:c>
      <x:c r="I275" s="88" t="n">
        <x:v>2015</x:v>
      </x:c>
      <x:c r="J275" s="87" t="str">
        <x:v>EP</x:v>
      </x:c>
      <x:c r="K275" s="87" t="str">
        <x:v>B1</x:v>
      </x:c>
      <x:c r="L275" s="87" t="str">
        <x:v>EP 3337502 B1</x:v>
      </x:c>
      <x:c r="M275" s="87" t="str">
        <x:v>ASTRAZENECA AB</x:v>
      </x:c>
      <x:c r="N275" s="87" t="str">
        <x:v>ASTRAZENECA AB (2020-06-24)</x:v>
      </x:c>
      <x:c r="O275" s="87" t="str">
        <x:v>STABLE ANTI-IFNAR1 FORMULATION</x:v>
      </x:c>
      <x:c r="P275" s="109" t="n">
        <x:v>0</x:v>
      </x:c>
      <x:c r="Q275" s="109" t="n">
        <x:v>67</x:v>
      </x:c>
      <x:c r="R275" s="87" t="str">
        <x:v>C07K16/2866;;A61K39/39591;;A61K9/0019;;A61P1/04;;A61P1/14;;A61P13/12;;A61P17/00;;A61P17/06;;A61P19/02;;A61P21/00;;A61P25/00;;A61P29/00;;A61P37/02;;A61P37/06;;A61P43/00;;A61P5/14;;A61P3/10;;C07K16/2866;;C07K2317/524;;C07K2317/56;;C07K2317/52;;A61K9/0019;;A61K39/39591;;A61K9/0019;;A61K39/39591;;C07K16/2866;;A61K47/183;;A61K47/26;;A61K47/22;;A61P37/02;;A61P29/00;;A61P13/12;;A61P3/10;;A61P1/04;;A61P17/00;;A61P17/06;;A61P19/02;;A61P21/00;;A61P5/14;;A61P43/00;;A61K39/395;;C07K16/18;;C07K16/28;;C12P21/00;;C07K16/2866;;A61K39/39591;;A61K9/0019</x:v>
      </x:c>
      <x:c r="S275" s="87" t="str">
        <x:v>A61K39/00;;A61K39/395;;C07K16/00;;C07K16/18;;C07K16/28;;C12P21/00;;C12P21/08</x:v>
      </x:c>
      <x:c r="T275" s="87" t="str">
        <x:v>ACTIVE</x:v>
      </x:c>
      <x:c r="U275" s="87" t="str">
        <x:v>https://lens.org/182-579-887-606-084</x:v>
      </x:c>
    </x:row>
    <x:row r="276">
      <x:c r="A276" s="87" t="str">
        <x:v>AstraZeneca_Lens_RAW_2009_2024.csv.csv</x:v>
      </x:c>
      <x:c r="B276" s="87" t="str">
        <x:v>AstraZeneca</x:v>
      </x:c>
      <x:c r="C276" s="87"/>
      <x:c r="D276" s="87" t="str">
        <x:v>Yes</x:v>
      </x:c>
      <x:c r="E276" s="87" t="str">
        <x:v>astrazeneca</x:v>
      </x:c>
      <x:c r="F276" s="87" t="str">
        <x:v>274</x:v>
      </x:c>
      <x:c r="G276" s="87" t="str">
        <x:v>092-402-287-005-860</x:v>
      </x:c>
      <x:c r="H276" s="110" t="n">
        <x:v>42671</x:v>
      </x:c>
      <x:c r="I276" s="88" t="n">
        <x:v>2016</x:v>
      </x:c>
      <x:c r="J276" s="87" t="str">
        <x:v>US</x:v>
      </x:c>
      <x:c r="K276" s="87" t="str">
        <x:v>B2</x:v>
      </x:c>
      <x:c r="L276" s="87" t="str">
        <x:v>US 10689387 B2</x:v>
      </x:c>
      <x:c r="M276" s="87" t="str">
        <x:v>ASTRAZENECA AB</x:v>
      </x:c>
      <x:c r="N276" s="87" t="str">
        <x:v>ASTRAZENECA AB (2018-04-19)</x:v>
      </x:c>
      <x:c r="O276" s="87" t="str">
        <x:v>Crystalline form of (1R,2R)-2-[4-(3-methyl-1H-pyrazol-5-yl)benzoyl]-N-(4-oxo-4,5,6,7-tetrahydropyrazolo[1,5-A]pyrazin-3-yl)cyclohexanecarboxamide</x:v>
      </x:c>
      <x:c r="P276" s="109" t="n">
        <x:v>0</x:v>
      </x:c>
      <x:c r="Q276" s="109" t="n">
        <x:v>26</x:v>
      </x:c>
      <x:c r="R276" s="87" t="str">
        <x:v>C07D231/40;;A61K31/4155;;A61P9/00;;C07D231/44;;C07D231/50;;C07D413/12;;C07D417/12;;C07D487/04;;C07D498/04;;A61K31/4985;;A61K31/4155;;A61P9/10;;C07D403/14;;C07D487/04;;C07D487/04;;A61K31/4985;;A61P9/00;;C07B2200/13;;C07D487/04;;A61K31/4155;;A61P9/00;;C07B2200/13;;C07D231/40;;C07D231/44;;C07D231/50;;C07D413/12;;C07D417/12;;C07D498/04</x:v>
      </x:c>
      <x:c r="S276" s="87" t="str">
        <x:v>A61K31/4985;;A61K31/4155;;A61P9/00;;C07D231/40;;C07D231/44;;C07D231/50;;C07D413/12;;C07D417/12;;C07D487/04;;C07D498/04</x:v>
      </x:c>
      <x:c r="T276" s="87" t="str">
        <x:v>ACTIVE</x:v>
      </x:c>
      <x:c r="U276" s="87" t="str">
        <x:v>https://lens.org/092-402-287-005-860</x:v>
      </x:c>
    </x:row>
    <x:row r="277">
      <x:c r="A277" s="87" t="str">
        <x:v>AstraZeneca_Lens_RAW_2009_2024.csv.csv</x:v>
      </x:c>
      <x:c r="B277" s="87" t="str">
        <x:v>AstraZeneca</x:v>
      </x:c>
      <x:c r="C277" s="87"/>
      <x:c r="D277" s="87" t="str">
        <x:v>Yes</x:v>
      </x:c>
      <x:c r="E277" s="87" t="str">
        <x:v>astrazeneca</x:v>
      </x:c>
      <x:c r="F277" s="87" t="str">
        <x:v>275</x:v>
      </x:c>
      <x:c r="G277" s="87" t="str">
        <x:v>091-941-778-652-903</x:v>
      </x:c>
      <x:c r="H277" s="110" t="n">
        <x:v>41562</x:v>
      </x:c>
      <x:c r="I277" s="88" t="n">
        <x:v>2013</x:v>
      </x:c>
      <x:c r="J277" s="87" t="str">
        <x:v>US</x:v>
      </x:c>
      <x:c r="K277" s="87" t="str">
        <x:v>A1</x:v>
      </x:c>
      <x:c r="L277" s="87" t="str">
        <x:v>US 2020/0123262 A1</x:v>
      </x:c>
      <x:c r="M277" s="87" t="str">
        <x:v>ASTRAZENECA AB</x:v>
      </x:c>
      <x:c r="N277" s="87" t="str">
        <x:v>MEDIMMUNE LIMITED (2014-07-09);;ASTRAZENECA AB (2016-07-22);;MEDIMMUNE LLC (2014-08-04)</x:v>
      </x:c>
      <x:c r="O277" s="87" t="str">
        <x:v>Methods For Treating Chronic Obstructive Pulmonary Disease Using Benralizumab</x:v>
      </x:c>
      <x:c r="P277" s="109" t="n">
        <x:v>2</x:v>
      </x:c>
      <x:c r="Q277" s="109" t="n">
        <x:v>26</x:v>
      </x:c>
      <x:c r="R277" s="87" t="str">
        <x:v>C07K16/2866;;A61K2039/505;;A61P11/00;;C07K2317/24;;A61K39/00;;A61K39/395;;C07K16/2866;;A61K2039/505;;A61K2039/545;;A61P11/00;;C07K2317/24</x:v>
      </x:c>
      <x:c r="S277" s="87" t="str">
        <x:v>C07K16/28;;A61P11/00</x:v>
      </x:c>
      <x:c r="T277" s="87" t="str">
        <x:v>DISCONTINUED</x:v>
      </x:c>
      <x:c r="U277" s="87" t="str">
        <x:v>https://lens.org/091-941-778-652-903</x:v>
      </x:c>
    </x:row>
    <x:row r="278">
      <x:c r="A278" s="87" t="str">
        <x:v>AstraZeneca_Lens_RAW_2009_2024.csv.csv</x:v>
      </x:c>
      <x:c r="B278" s="87" t="str">
        <x:v>AstraZeneca</x:v>
      </x:c>
      <x:c r="C278" s="87"/>
      <x:c r="D278" s="87" t="str">
        <x:v>Yes</x:v>
      </x:c>
      <x:c r="E278" s="87" t="str">
        <x:v>astrazeneca</x:v>
      </x:c>
      <x:c r="F278" s="87" t="str">
        <x:v>276</x:v>
      </x:c>
      <x:c r="G278" s="87" t="str">
        <x:v>008-693-522-263-736</x:v>
      </x:c>
      <x:c r="H278" s="110" t="n">
        <x:v>42276</x:v>
      </x:c>
      <x:c r="I278" s="88" t="n">
        <x:v>2015</x:v>
      </x:c>
      <x:c r="J278" s="87" t="str">
        <x:v>US</x:v>
      </x:c>
      <x:c r="K278" s="87" t="str">
        <x:v>B2</x:v>
      </x:c>
      <x:c r="L278" s="87" t="str">
        <x:v>US 10597397 B2</x:v>
      </x:c>
      <x:c r="M278" s="87" t="str">
        <x:v>SUMITOMO DAINIPPON PHARMA CO LTD;;ASTRAZENECA AB</x:v>
      </x:c>
      <x:c r="N278" s="87" t="str">
        <x:v>SUMITOMO PHARMA CO. LTD (2019-02-22);;ASTRAZENECA AKTIEBOLAG (2019-02-22);;MEDIMMUNE LLC (2019-02-19)</x:v>
      </x:c>
      <x:c r="O278" s="87" t="str">
        <x:v>Adenine conjugate compounds and their use as vaccine adjuvants</x:v>
      </x:c>
      <x:c r="P278" s="109" t="n">
        <x:v>0</x:v>
      </x:c>
      <x:c r="Q278" s="109" t="n">
        <x:v>13</x:v>
      </x:c>
      <x:c r="R278" s="87" t="str">
        <x:v>C07D473/18;;A61K31/522;;A61K39/0011;;A61K39/12;;A61K39/39;;A61K47/54;;A61K47/6907;;A61K2039/55511;;A61P31/12;;A61P35/00;;A61P37/04;;C07D473/34;;C12N2710/16134;;C12N2710/16634;;C07D473/18;;A61K31/522;;A61K39/0011;;A61K39/12;;A61K39/39;;A61K47/54;;A61K47/6907;;A61K2039/55511;;A61K2039/55566;;A61P35/00;;C07D473/34;;C12N2710/16134;;C12N2710/16634</x:v>
      </x:c>
      <x:c r="S278" s="87" t="str">
        <x:v>C07D473/18;;A61K31/522;;A61K31/54;;A61K31/59;;A61K39/00;;A61K39/12;;A61K39/39;;A61K47/54;;A61K47/69;;A61P35/00;;C07D473/34</x:v>
      </x:c>
      <x:c r="T278" s="87" t="str">
        <x:v>ACTIVE</x:v>
      </x:c>
      <x:c r="U278" s="87" t="str">
        <x:v>https://lens.org/008-693-522-263-736</x:v>
      </x:c>
    </x:row>
    <x:row r="279">
      <x:c r="A279" s="87" t="str">
        <x:v>AstraZeneca_Lens_RAW_2009_2024.csv.csv</x:v>
      </x:c>
      <x:c r="B279" s="87" t="str">
        <x:v>AstraZeneca</x:v>
      </x:c>
      <x:c r="C279" s="87"/>
      <x:c r="D279" s="87" t="str">
        <x:v>Yes</x:v>
      </x:c>
      <x:c r="E279" s="87" t="str">
        <x:v>astrazeneca</x:v>
      </x:c>
      <x:c r="F279" s="87" t="str">
        <x:v>277</x:v>
      </x:c>
      <x:c r="G279" s="87" t="str">
        <x:v>192-171-469-774-345</x:v>
      </x:c>
      <x:c r="H279" s="110" t="n">
        <x:v>43077</x:v>
      </x:c>
      <x:c r="I279" s="88" t="n">
        <x:v>2017</x:v>
      </x:c>
      <x:c r="J279" s="87" t="str">
        <x:v>US</x:v>
      </x:c>
      <x:c r="K279" s="87" t="str">
        <x:v>B2</x:v>
      </x:c>
      <x:c r="L279" s="87" t="str">
        <x:v>US 10597405 B2</x:v>
      </x:c>
      <x:c r="M279" s="87" t="str">
        <x:v>ASTRAZENECA AB</x:v>
      </x:c>
      <x:c r="N279" s="87" t="str">
        <x:v>ASTRAZENECA UK LIMITED (2019-10-01);;ASTRAZENECA AB (2019-01-21)</x:v>
      </x:c>
      <x:c r="O279" s="87" t="str">
        <x:v>Chemical compounds</x:v>
      </x:c>
      <x:c r="P279" s="109" t="n">
        <x:v>1</x:v>
      </x:c>
      <x:c r="Q279" s="109" t="n">
        <x:v>5</x:v>
      </x:c>
      <x:c r="R279" s="87" t="str">
        <x:v>C07D498/14;;A61P35/00;;C07D471/14;;C07D471/22;;C07D498/14;;A61P35/00;;C07D471/14;;C07D471/22</x:v>
      </x:c>
      <x:c r="S279" s="87" t="str">
        <x:v>C07D498/14;;A61P35/00;;C07D471/14;;C07D471/22</x:v>
      </x:c>
      <x:c r="T279" s="87" t="str">
        <x:v>ACTIVE</x:v>
      </x:c>
      <x:c r="U279" s="87" t="str">
        <x:v>https://lens.org/192-171-469-774-345</x:v>
      </x:c>
    </x:row>
    <x:row r="280">
      <x:c r="A280" s="87" t="str">
        <x:v>AstraZeneca_Lens_RAW_2009_2024.csv.csv</x:v>
      </x:c>
      <x:c r="B280" s="87" t="str">
        <x:v>AstraZeneca</x:v>
      </x:c>
      <x:c r="C280" s="87"/>
      <x:c r="D280" s="87" t="str">
        <x:v>Yes</x:v>
      </x:c>
      <x:c r="E280" s="87" t="str">
        <x:v>astrazeneca</x:v>
      </x:c>
      <x:c r="F280" s="87" t="str">
        <x:v>278</x:v>
      </x:c>
      <x:c r="G280" s="87" t="str">
        <x:v>160-623-037-746-387</x:v>
      </x:c>
      <x:c r="H280" s="110" t="n">
        <x:v>41533</x:v>
      </x:c>
      <x:c r="I280" s="88" t="n">
        <x:v>2013</x:v>
      </x:c>
      <x:c r="J280" s="87" t="str">
        <x:v>US</x:v>
      </x:c>
      <x:c r="K280" s="87" t="str">
        <x:v>B2</x:v>
      </x:c>
      <x:c r="L280" s="87" t="str">
        <x:v>US 10577351 B2</x:v>
      </x:c>
      <x:c r="M280" s="87" t="str">
        <x:v>ASTRAZENECA AB</x:v>
      </x:c>
      <x:c r="N280" s="87" t="str">
        <x:v>BIND THERAPEUTICS INC (2014-11-03);;ASTRAZENECA UK LIMITED (2014-10-23);;ASTRAZENECA AB (2014-11-03)</x:v>
      </x:c>
      <x:c r="O280" s="87" t="str">
        <x:v>Therapeutic polymeric nanoparticles and methods of making and using same</x:v>
      </x:c>
      <x:c r="P280" s="109" t="n">
        <x:v>0</x:v>
      </x:c>
      <x:c r="Q280" s="109" t="n">
        <x:v>73</x:v>
      </x:c>
      <x:c r="R280" s="87" t="str">
        <x:v>C07D403/12;;A61K9/0019;;A61K9/5123;;A61K9/5153;;A61K31/517;;A61K45/06;;A61K47/10;;A61K47/12;;A61K47/34;;A61P35/00;;A61P35/02;;A61P43/00;;A61K31/517;;A61K9/0019;;A61K9/16;;A61K9/51;;A61K9/5123;;A61K9/5153;;A61K31/675;;A61K45/06;;A61K47/10;;A61K47/12;;A61K47/34;;A61P35/00;;A61P35/02;;A61P43/00;;B82B1/00;;B82Y40/00;;C07D403/12;;A61K9/51;;A61K31/517;;A61K47/12;;A61K47/34;;A61P35/00;;B82B1/00;;B82Y40/00;;C07D403/12;;A61K9/0019;;A61K9/16;;A61K9/5123;;A61K9/5153;;A61K31/517;;A61K31/675;;A61K45/06;;A61K47/10;;A61K47/12;;A61K47/34</x:v>
      </x:c>
      <x:c r="S280" s="87" t="str">
        <x:v>C07D403/12;;A61K9/00;;A61K9/16;;A61K9/51;;A61K31/517;;A61K31/675;;A61K45/06;;A61K47/10;;A61K47/12;;A61K47/34</x:v>
      </x:c>
      <x:c r="T280" s="87" t="str">
        <x:v>ACTIVE</x:v>
      </x:c>
      <x:c r="U280" s="87" t="str">
        <x:v>https://lens.org/160-623-037-746-387</x:v>
      </x:c>
    </x:row>
    <x:row r="281">
      <x:c r="A281" s="87" t="str">
        <x:v>AstraZeneca_Lens_RAW_2009_2024.csv.csv</x:v>
      </x:c>
      <x:c r="B281" s="87" t="str">
        <x:v>AstraZeneca</x:v>
      </x:c>
      <x:c r="C281" s="87"/>
      <x:c r="D281" s="87" t="str">
        <x:v>Yes</x:v>
      </x:c>
      <x:c r="E281" s="87" t="str">
        <x:v>astrazeneca</x:v>
      </x:c>
      <x:c r="F281" s="87" t="str">
        <x:v>279</x:v>
      </x:c>
      <x:c r="G281" s="87" t="str">
        <x:v>051-681-251-824-140</x:v>
      </x:c>
      <x:c r="H281" s="110" t="n">
        <x:v>41081</x:v>
      </x:c>
      <x:c r="I281" s="88" t="n">
        <x:v>2012</x:v>
      </x:c>
      <x:c r="J281" s="87" t="str">
        <x:v>US</x:v>
      </x:c>
      <x:c r="K281" s="87" t="str">
        <x:v>B2</x:v>
      </x:c>
      <x:c r="L281" s="87" t="str">
        <x:v>US 10548882 B2</x:v>
      </x:c>
      <x:c r="M281" s="87" t="str">
        <x:v>ASTRAZENECA AB</x:v>
      </x:c>
      <x:c r="N281" s="87" t="str">
        <x:v>ASTRAZENECA UK LIMITED (2013-11-06);;ASTRAZENECA AB (2013-11-06)</x:v>
      </x:c>
      <x:c r="O281" s="87" t="str">
        <x:v>Camsylate salt</x:v>
      </x:c>
      <x:c r="P281" s="109" t="n">
        <x:v>0</x:v>
      </x:c>
      <x:c r="Q281" s="109" t="n">
        <x:v>72</x:v>
      </x:c>
      <x:c r="R281" s="87" t="str">
        <x:v>C07D401/04;;A61P25/00;;A61P25/16;;A61P25/28;;C07D401/10;;C07D235/02;;A61K31/4439;;C07D401/10;;C07D401/10;;A61K31/4439;;A61K31/4439;;A61K45/06;;C07D401/10</x:v>
      </x:c>
      <x:c r="S281" s="87" t="str">
        <x:v>A61K31/4439;;A61K45/06;;C07D401/10</x:v>
      </x:c>
      <x:c r="T281" s="87" t="str">
        <x:v>ACTIVE</x:v>
      </x:c>
      <x:c r="U281" s="87" t="str">
        <x:v>https://lens.org/051-681-251-824-140</x:v>
      </x:c>
    </x:row>
    <x:row r="282">
      <x:c r="A282" s="87" t="str">
        <x:v>AstraZeneca_Lens_RAW_2009_2024.csv.csv</x:v>
      </x:c>
      <x:c r="B282" s="87" t="str">
        <x:v>AstraZeneca</x:v>
      </x:c>
      <x:c r="C282" s="87"/>
      <x:c r="D282" s="87" t="str">
        <x:v>Yes</x:v>
      </x:c>
      <x:c r="E282" s="87" t="str">
        <x:v>astrazeneca</x:v>
      </x:c>
      <x:c r="F282" s="87" t="str">
        <x:v>280</x:v>
      </x:c>
      <x:c r="G282" s="87" t="str">
        <x:v>081-674-777-724-454</x:v>
      </x:c>
      <x:c r="H282" s="110" t="n">
        <x:v>41498</x:v>
      </x:c>
      <x:c r="I282" s="88" t="n">
        <x:v>2013</x:v>
      </x:c>
      <x:c r="J282" s="87" t="str">
        <x:v>AU</x:v>
      </x:c>
      <x:c r="K282" s="87" t="str">
        <x:v>B2</x:v>
      </x:c>
      <x:c r="L282" s="87" t="str">
        <x:v>AU 2014/306960 B2</x:v>
      </x:c>
      <x:c r="M282" s="87" t="str">
        <x:v>ASTRAZENECA AB</x:v>
      </x:c>
      <x:c r="N282" s="87" t="str">
        <x:v>ASTRAZENECA AB (2016-12-01)</x:v>
      </x:c>
      <x:c r="O282" s="87" t="str">
        <x:v>Methods for improving asthma symptoms using benralizumab</x:v>
      </x:c>
      <x:c r="P282" s="109" t="n">
        <x:v>0</x:v>
      </x:c>
      <x:c r="Q282" s="109" t="n">
        <x:v>44</x:v>
      </x:c>
      <x:c r="R282" s="87" t="str">
        <x:v>C07K16/2866;;A61K2039/505;;C07K2317/76;;A61P11/06;;C07K2317/24;;C07K16/2866;;A61K2039/505;;C07K2317/76;;A61K39/395;;A61P11/06;;C07K16/2866;;A61K2039/505;;C07K2317/76</x:v>
      </x:c>
      <x:c r="S282" s="87" t="str">
        <x:v>A61K39/00;;A61K39/395;;G01N33/48</x:v>
      </x:c>
      <x:c r="T282" s="87" t="str">
        <x:v>ACTIVE</x:v>
      </x:c>
      <x:c r="U282" s="87" t="str">
        <x:v>https://lens.org/081-674-777-724-454</x:v>
      </x:c>
    </x:row>
    <x:row r="283">
      <x:c r="A283" s="87" t="str">
        <x:v>AstraZeneca_Lens_RAW_2009_2024.csv.csv</x:v>
      </x:c>
      <x:c r="B283" s="87" t="str">
        <x:v>AstraZeneca</x:v>
      </x:c>
      <x:c r="C283" s="87"/>
      <x:c r="D283" s="87" t="str">
        <x:v>Yes</x:v>
      </x:c>
      <x:c r="E283" s="87" t="str">
        <x:v>astrazeneca</x:v>
      </x:c>
      <x:c r="F283" s="87" t="str">
        <x:v>281</x:v>
      </x:c>
      <x:c r="G283" s="87" t="str">
        <x:v>105-366-334-050-993</x:v>
      </x:c>
      <x:c r="H283" s="110" t="n">
        <x:v>42317</x:v>
      </x:c>
      <x:c r="I283" s="88" t="n">
        <x:v>2015</x:v>
      </x:c>
      <x:c r="J283" s="87" t="str">
        <x:v>EP</x:v>
      </x:c>
      <x:c r="K283" s="87" t="str">
        <x:v>B1</x:v>
      </x:c>
      <x:c r="L283" s="87" t="str">
        <x:v>EP 3374359 B1</x:v>
      </x:c>
      <x:c r="M283" s="87" t="str">
        <x:v>ASTRAZENECA AB</x:v>
      </x:c>
      <x:c r="N283" s="87" t="str">
        <x:v>ASTRAZENECA AB (2019-04-10)</x:v>
      </x:c>
      <x:c r="O283" s="87" t="str">
        <x:v>DIHYDROIMIDAZOPYRAZINONE DERIVATIVES USEFUL IN THE TREATMENT OF CANCER</x:v>
      </x:c>
      <x:c r="P283" s="109" t="n">
        <x:v>0</x:v>
      </x:c>
      <x:c r="Q283" s="109" t="n">
        <x:v>47</x:v>
      </x:c>
      <x:c r="R283" s="87" t="str">
        <x:v>C07D487/04;;A61K31/416;;A61K31/506;;A61K45/06;;A61P1/04;;A61P1/18;;A61P35/00;;A61P35/02;;A61P43/00;;C07D403/04;;C07D487/04;;A61K31/416;;A61K31/4985;;A61K31/506;;A61K45/06;;A61K2300/00;;A61P35/00;;C07D403/04;;C07D487/04;;A61K31/416;;A61K31/506;;A61K45/06;;C07B2200/13;;C07D403/04</x:v>
      </x:c>
      <x:c r="S283" s="87" t="str">
        <x:v>C07D487/04;;A61K31/4985;;A61P35/00;;C07D403/04</x:v>
      </x:c>
      <x:c r="T283" s="87" t="str">
        <x:v>ACTIVE</x:v>
      </x:c>
      <x:c r="U283" s="87" t="str">
        <x:v>https://lens.org/105-366-334-050-993</x:v>
      </x:c>
    </x:row>
    <x:row r="284">
      <x:c r="A284" s="87" t="str">
        <x:v>AstraZeneca_Lens_RAW_2009_2024.csv.csv</x:v>
      </x:c>
      <x:c r="B284" s="87" t="str">
        <x:v>AstraZeneca</x:v>
      </x:c>
      <x:c r="C284" s="87"/>
      <x:c r="D284" s="87" t="str">
        <x:v>Yes</x:v>
      </x:c>
      <x:c r="E284" s="87" t="str">
        <x:v>astrazeneca</x:v>
      </x:c>
      <x:c r="F284" s="87" t="str">
        <x:v>282</x:v>
      </x:c>
      <x:c r="G284" s="87" t="str">
        <x:v>129-082-707-568-178</x:v>
      </x:c>
      <x:c r="H284" s="110" t="n">
        <x:v>43090</x:v>
      </x:c>
      <x:c r="I284" s="88" t="n">
        <x:v>2017</x:v>
      </x:c>
      <x:c r="J284" s="87" t="str">
        <x:v>US</x:v>
      </x:c>
      <x:c r="K284" s="87" t="str">
        <x:v>B2</x:v>
      </x:c>
      <x:c r="L284" s="87" t="str">
        <x:v>US 10519152 B2</x:v>
      </x:c>
      <x:c r="M284" s="87" t="str">
        <x:v>ASTRAZENECA AB</x:v>
      </x:c>
      <x:c r="N284" s="87" t="str">
        <x:v>ASTRAZENECA PHARMACEUTICALS LP (2019-01-23);;ASTRAZENECA UK LIMITED (2019-01-24);;ASTRAZENECA AB (2019-01-28)</x:v>
      </x:c>
      <x:c r="O284" s="87" t="str">
        <x:v>Compounds and their use in treating cancer</x:v>
      </x:c>
      <x:c r="P284" s="109" t="n">
        <x:v>1</x:v>
      </x:c>
      <x:c r="Q284" s="109" t="n">
        <x:v>9</x:v>
      </x:c>
      <x:c r="R284" s="87" t="str">
        <x:v>C07D471/04;;C07D519/00;;C07K5/06034;;C07D471/04;;C07D519/00;;C07K5/06034</x:v>
      </x:c>
      <x:c r="S284" s="87" t="str">
        <x:v>A61K31/437;;C07D471/04;;C07D519/00;;C07K5/062</x:v>
      </x:c>
      <x:c r="T284" s="87" t="str">
        <x:v>INACTIVE</x:v>
      </x:c>
      <x:c r="U284" s="87" t="str">
        <x:v>https://lens.org/129-082-707-568-178</x:v>
      </x:c>
    </x:row>
    <x:row r="285">
      <x:c r="A285" s="87" t="str">
        <x:v>AstraZeneca_Lens_RAW_2009_2024.csv.csv</x:v>
      </x:c>
      <x:c r="B285" s="87" t="str">
        <x:v>AstraZeneca</x:v>
      </x:c>
      <x:c r="C285" s="87"/>
      <x:c r="D285" s="87" t="str">
        <x:v>Yes</x:v>
      </x:c>
      <x:c r="E285" s="87" t="str">
        <x:v>astrazeneca</x:v>
      </x:c>
      <x:c r="F285" s="87" t="str">
        <x:v>283</x:v>
      </x:c>
      <x:c r="G285" s="87" t="str">
        <x:v>023-163-034-774-196</x:v>
      </x:c>
      <x:c r="H285" s="110" t="n">
        <x:v>42338</x:v>
      </x:c>
      <x:c r="I285" s="88" t="n">
        <x:v>2015</x:v>
      </x:c>
      <x:c r="J285" s="87" t="str">
        <x:v>US</x:v>
      </x:c>
      <x:c r="K285" s="87" t="str">
        <x:v>A1</x:v>
      </x:c>
      <x:c r="L285" s="87" t="str">
        <x:v>US 2019/0389853 A1</x:v>
      </x:c>
      <x:c r="M285" s="87" t="str">
        <x:v>ASTRAZENECA AB;;CANCER RESEARCH TECH LTD</x:v>
      </x:c>
      <x:c r="N285" s="87" t="str">
        <x:v>ASTRAZENECA UK LIMITED (2018-06-19);;ASTRAZENECA AB (2018-06-22);;CANCER RESEARCH TECHNOLOGY LIMITED (2018-05-14)</x:v>
      </x:c>
      <x:c r="O285" s="87" t="str">
        <x:v>1,3,4-Thiadiazole Compounds and Their Use in Treating Cancer</x:v>
      </x:c>
      <x:c r="P285" s="109" t="n">
        <x:v>1</x:v>
      </x:c>
      <x:c r="Q285" s="109" t="n">
        <x:v>34</x:v>
      </x:c>
      <x:c r="R285" s="87" t="str">
        <x:v>C07D417/14;;A61P35/00;;A61P43/00;;A61P35/00;;A61K31/501;;A61K31/53;;C07D417/14;;C07D417/14</x:v>
      </x:c>
      <x:c r="S285" s="87" t="str">
        <x:v>C07D417/14</x:v>
      </x:c>
      <x:c r="T285" s="87" t="str">
        <x:v>ACTIVE</x:v>
      </x:c>
      <x:c r="U285" s="87" t="str">
        <x:v>https://lens.org/023-163-034-774-196</x:v>
      </x:c>
    </x:row>
    <x:row r="286">
      <x:c r="A286" s="87" t="str">
        <x:v>AstraZeneca_Lens_RAW_2009_2024.csv.csv</x:v>
      </x:c>
      <x:c r="B286" s="87" t="str">
        <x:v>AstraZeneca</x:v>
      </x:c>
      <x:c r="C286" s="87"/>
      <x:c r="D286" s="87" t="str">
        <x:v>Yes</x:v>
      </x:c>
      <x:c r="E286" s="87" t="str">
        <x:v>astrazeneca</x:v>
      </x:c>
      <x:c r="F286" s="87" t="str">
        <x:v>284</x:v>
      </x:c>
      <x:c r="G286" s="87" t="str">
        <x:v>085-296-961-705-376</x:v>
      </x:c>
      <x:c r="H286" s="110" t="n">
        <x:v>40928</x:v>
      </x:c>
      <x:c r="I286" s="88" t="n">
        <x:v>2012</x:v>
      </x:c>
      <x:c r="J286" s="87" t="str">
        <x:v>US</x:v>
      </x:c>
      <x:c r="K286" s="87" t="str">
        <x:v>B2</x:v>
      </x:c>
      <x:c r="L286" s="87" t="str">
        <x:v>US 10512740 B2</x:v>
      </x:c>
      <x:c r="M286" s="87" t="str">
        <x:v>ALMIRALL SA;;ASTRAZENECA AB</x:v>
      </x:c>
      <x:c r="N286" s="87" t="str">
        <x:v>ALMIRALL S.A (2014-07-08);;ASTRAZENECA AB (2015-02-23)</x:v>
      </x:c>
      <x:c r="O286" s="87" t="str">
        <x:v>Inhalation device for powdered drugs</x:v>
      </x:c>
      <x:c r="P286" s="109" t="n">
        <x:v>0</x:v>
      </x:c>
      <x:c r="Q286" s="109" t="n">
        <x:v>37</x:v>
      </x:c>
      <x:c r="R286" s="87" t="str">
        <x:v>A61M15/0073;;A61M15/0026;;A61M15/0065;;A61M15/0081;;A61M15/0091;;A61M15/0093;;A61M15/0095;;A61M15/0096;;A61M2202/064;;A61M2205/584;;A61M2206/16;;A61M15/0073;;A61M15/0026;;A61M15/0065;;A61M15/0081;;A61M15/0091;;A61M15/0093;;A61M15/0095;;A61M15/0096;;A61M2202/064;;A61M2205/584;;A61M2206/16</x:v>
      </x:c>
      <x:c r="S286" s="87" t="str">
        <x:v>A61M15/00</x:v>
      </x:c>
      <x:c r="T286" s="87" t="str">
        <x:v>ACTIVE</x:v>
      </x:c>
      <x:c r="U286" s="87" t="str">
        <x:v>https://lens.org/085-296-961-705-376</x:v>
      </x:c>
    </x:row>
    <x:row r="287">
      <x:c r="A287" s="87" t="str">
        <x:v>AstraZeneca_Lens_RAW_2009_2024.csv.csv</x:v>
      </x:c>
      <x:c r="B287" s="87" t="str">
        <x:v>AstraZeneca</x:v>
      </x:c>
      <x:c r="C287" s="87"/>
      <x:c r="D287" s="87" t="str">
        <x:v>Yes</x:v>
      </x:c>
      <x:c r="E287" s="87" t="str">
        <x:v>astrazeneca</x:v>
      </x:c>
      <x:c r="F287" s="87" t="str">
        <x:v>285</x:v>
      </x:c>
      <x:c r="G287" s="87" t="str">
        <x:v>009-168-996-967-488</x:v>
      </x:c>
      <x:c r="H287" s="110" t="n">
        <x:v>43265</x:v>
      </x:c>
      <x:c r="I287" s="88" t="n">
        <x:v>2018</x:v>
      </x:c>
      <x:c r="J287" s="87" t="str">
        <x:v>US</x:v>
      </x:c>
      <x:c r="K287" s="87" t="str">
        <x:v>A1</x:v>
      </x:c>
      <x:c r="L287" s="87" t="str">
        <x:v>US 2019/0385718 A1</x:v>
      </x:c>
      <x:c r="M287" s="87" t="str">
        <x:v>ASTRAZENECA UK LTD</x:v>
      </x:c>
      <x:c r="N287" s="87" t="str">
        <x:v>ASTRAZENECA UK LIMITED (2020-03-05)</x:v>
      </x:c>
      <x:c r="O287" s="87" t="str">
        <x:v>METHODS FOR LOWERING TRIGLYCERIDE LEVELS WITH A CONCENTRATED FISH OIL-BASED PHARMACEUTICAL COMPOSITION</x:v>
      </x:c>
      <x:c r="P287" s="109" t="n">
        <x:v>0</x:v>
      </x:c>
      <x:c r="Q287" s="109" t="n">
        <x:v>2</x:v>
      </x:c>
      <x:c r="R287" s="87" t="str">
        <x:v>G16H10/20;;A61K31/202;;A61K35/612;;G16H20/10;;G16H50/20;;G16H20/10;;A61K31/202;;A61K35/60;;A61K35/63;;G06F16/335;;G06Q10/083;;G06Q30/0635;;G16H10/20</x:v>
      </x:c>
      <x:c r="S287" s="87" t="str">
        <x:v>G16H20/10;;A61K31/202;;A61K35/60;;A61K35/63;;G06F16/335;;G16H10/20</x:v>
      </x:c>
      <x:c r="T287" s="87" t="str">
        <x:v>DISCONTINUED</x:v>
      </x:c>
      <x:c r="U287" s="87" t="str">
        <x:v>https://lens.org/009-168-996-967-488</x:v>
      </x:c>
    </x:row>
    <x:row r="288">
      <x:c r="A288" s="87" t="str">
        <x:v>AstraZeneca_Lens_RAW_2009_2024.csv.csv</x:v>
      </x:c>
      <x:c r="B288" s="87" t="str">
        <x:v>AstraZeneca</x:v>
      </x:c>
      <x:c r="C288" s="87"/>
      <x:c r="D288" s="87" t="str">
        <x:v>Yes</x:v>
      </x:c>
      <x:c r="E288" s="87" t="str">
        <x:v>astrazeneca</x:v>
      </x:c>
      <x:c r="F288" s="87" t="str">
        <x:v>286</x:v>
      </x:c>
      <x:c r="G288" s="87" t="str">
        <x:v>025-288-522-496-641</x:v>
      </x:c>
      <x:c r="H288" s="110" t="n">
        <x:v>41498</x:v>
      </x:c>
      <x:c r="I288" s="88" t="n">
        <x:v>2013</x:v>
      </x:c>
      <x:c r="J288" s="87" t="str">
        <x:v>AU</x:v>
      </x:c>
      <x:c r="K288" s="87" t="str">
        <x:v>B2</x:v>
      </x:c>
      <x:c r="L288" s="87" t="str">
        <x:v>AU 2014/306956 B2</x:v>
      </x:c>
      <x:c r="M288" s="87" t="str">
        <x:v>ASTRAZENECA AB</x:v>
      </x:c>
      <x:c r="N288" s="87" t="str">
        <x:v>ASTRAZENECA AB (2016-12-01)</x:v>
      </x:c>
      <x:c r="O288" s="87" t="str">
        <x:v>Methods for reducing exacerbation rates of asthma using benralizumab</x:v>
      </x:c>
      <x:c r="P288" s="109" t="n">
        <x:v>0</x:v>
      </x:c>
      <x:c r="Q288" s="109" t="n">
        <x:v>47</x:v>
      </x:c>
      <x:c r="R288" s="87" t="str">
        <x:v>A61K2039/545;;A61K39/395;;C07K16/244;;A61K2039/505;;C07K2317/24;;A61P11/06;;A61P11/10;;C07K16/2866;;A61P11/06;;A61P11/10;;C07K2317/24;;A61K2039/505;;A61K2039/545;;A61P11/06;;A61K39/395;;C07K16/244;;A61K2039/505;;C07K2317/24;;A61K2039/545;;A61K39/395;;C07K16/2866;;C07K2317/76</x:v>
      </x:c>
      <x:c r="S288" s="87" t="str">
        <x:v>A61K39/00;;A61K39/395;;G01N33/48</x:v>
      </x:c>
      <x:c r="T288" s="87" t="str">
        <x:v>ACTIVE</x:v>
      </x:c>
      <x:c r="U288" s="87" t="str">
        <x:v>https://lens.org/025-288-522-496-641</x:v>
      </x:c>
    </x:row>
    <x:row r="289">
      <x:c r="A289" s="87" t="str">
        <x:v>AstraZeneca_Lens_RAW_2009_2024.csv.csv</x:v>
      </x:c>
      <x:c r="B289" s="87" t="str">
        <x:v>AstraZeneca</x:v>
      </x:c>
      <x:c r="C289" s="87"/>
      <x:c r="D289" s="87" t="str">
        <x:v>Yes</x:v>
      </x:c>
      <x:c r="E289" s="87" t="str">
        <x:v>astrazeneca</x:v>
      </x:c>
      <x:c r="F289" s="87" t="str">
        <x:v>287</x:v>
      </x:c>
      <x:c r="G289" s="87" t="str">
        <x:v>146-428-929-472-405</x:v>
      </x:c>
      <x:c r="H289" s="110" t="n">
        <x:v>40928</x:v>
      </x:c>
      <x:c r="I289" s="88" t="n">
        <x:v>2012</x:v>
      </x:c>
      <x:c r="J289" s="87" t="str">
        <x:v>US</x:v>
      </x:c>
      <x:c r="K289" s="87" t="str">
        <x:v>B2</x:v>
      </x:c>
      <x:c r="L289" s="87" t="str">
        <x:v>US 10434268 B2</x:v>
      </x:c>
      <x:c r="M289" s="87" t="str">
        <x:v>ALMIRALL SA;;ASTRAZENECA AB</x:v>
      </x:c>
      <x:c r="N289" s="87" t="str">
        <x:v>ALMIRALL S.A (2014-07-08);;ASTRAZENECA AB (2015-02-23)</x:v>
      </x:c>
      <x:c r="O289" s="87" t="str">
        <x:v>Inhalation device for powdered drugs</x:v>
      </x:c>
      <x:c r="P289" s="109" t="n">
        <x:v>2</x:v>
      </x:c>
      <x:c r="Q289" s="109" t="n">
        <x:v>38</x:v>
      </x:c>
      <x:c r="R289" s="87" t="str">
        <x:v>A61M15/0065;;A61M15/0026;;A61M15/0073;;A61M15/0081;;A61M15/0091;;A61M15/0095;;A61M15/0096;;A61M2202/064;;A61M2205/584;;A61M2206/16;;F04C2270/0421;;A61M15/0066;;A61M15/0016;;A61M15/0026;;A61M15/0065;;A61M15/0073;;A61M15/0081;;A61M15/0091;;A61M15/0095;;A61M15/0096;;A61M2202/064;;A61M2205/584;;A61M2206/16;;F04C2270/0421</x:v>
      </x:c>
      <x:c r="S289" s="87" t="str">
        <x:v>A61M15/00</x:v>
      </x:c>
      <x:c r="T289" s="87" t="str">
        <x:v>ACTIVE</x:v>
      </x:c>
      <x:c r="U289" s="87" t="str">
        <x:v>https://lens.org/146-428-929-472-405</x:v>
      </x:c>
    </x:row>
    <x:row r="290">
      <x:c r="A290" s="87" t="str">
        <x:v>AstraZeneca_Lens_RAW_2009_2024.csv.csv</x:v>
      </x:c>
      <x:c r="B290" s="87" t="str">
        <x:v>AstraZeneca</x:v>
      </x:c>
      <x:c r="C290" s="87"/>
      <x:c r="D290" s="87" t="str">
        <x:v>Yes</x:v>
      </x:c>
      <x:c r="E290" s="87" t="str">
        <x:v>astrazeneca</x:v>
      </x:c>
      <x:c r="F290" s="87" t="str">
        <x:v>288</x:v>
      </x:c>
      <x:c r="G290" s="87" t="str">
        <x:v>050-758-514-561-714</x:v>
      </x:c>
      <x:c r="H290" s="110" t="n">
        <x:v>41264</x:v>
      </x:c>
      <x:c r="I290" s="88" t="n">
        <x:v>2012</x:v>
      </x:c>
      <x:c r="J290" s="87" t="str">
        <x:v>US</x:v>
      </x:c>
      <x:c r="K290" s="87" t="str">
        <x:v>B2</x:v>
      </x:c>
      <x:c r="L290" s="87" t="str">
        <x:v>US 10420764 B2</x:v>
      </x:c>
      <x:c r="M290" s="87" t="str">
        <x:v>ASTRAZENECA AB</x:v>
      </x:c>
      <x:c r="N290" s="87" t="str">
        <x:v>ASTRAZENECA AB (2014-01-20);;ASTRAZENECA UK LIMITED (2014-01-20)</x:v>
      </x:c>
      <x:c r="O290" s="87" t="str">
        <x:v>Pharmaceutical formulation of N-[5-[2-(3,5-dimethoxyphenyl)ethyl]-2H-pyrazol-3-YL]-4-[(3R,5S)-3 ,5-dimethylpiperazin-1-YL] benzamide</x:v>
      </x:c>
      <x:c r="P290" s="109" t="n">
        <x:v>0</x:v>
      </x:c>
      <x:c r="Q290" s="109" t="n">
        <x:v>36</x:v>
      </x:c>
      <x:c r="R290" s="87" t="str">
        <x:v>A61K31/496;;A61K9/0007;;A61K9/1611;;A61K9/2009;;A61K9/2054;;A61K9/2077;;A61P35/00;;A61K31/4155;;A61K47/02;;A61K47/14;;A61K31/496;;A61K9/0007;;A61K9/1611;;A61K9/2009;;A61K9/2054;;A61K9/2077;;A61K47/24</x:v>
      </x:c>
      <x:c r="S290" s="87" t="str">
        <x:v>A61K31/496;;A61K9/16;;A61K9/20;;A61K9/46;;A61K47/24</x:v>
      </x:c>
      <x:c r="T290" s="87" t="str">
        <x:v>ACTIVE</x:v>
      </x:c>
      <x:c r="U290" s="87" t="str">
        <x:v>https://lens.org/050-758-514-561-714</x:v>
      </x:c>
    </x:row>
    <x:row r="291">
      <x:c r="A291" s="87" t="str">
        <x:v>AstraZeneca_Lens_RAW_2009_2024.csv.csv</x:v>
      </x:c>
      <x:c r="B291" s="87" t="str">
        <x:v>AstraZeneca</x:v>
      </x:c>
      <x:c r="C291" s="87"/>
      <x:c r="D291" s="87" t="str">
        <x:v>Yes</x:v>
      </x:c>
      <x:c r="E291" s="87" t="str">
        <x:v>astrazeneca</x:v>
      </x:c>
      <x:c r="F291" s="87" t="str">
        <x:v>289</x:v>
      </x:c>
      <x:c r="G291" s="87" t="str">
        <x:v>101-420-994-577-060</x:v>
      </x:c>
      <x:c r="H291" s="110" t="n">
        <x:v>42338</x:v>
      </x:c>
      <x:c r="I291" s="88" t="n">
        <x:v>2015</x:v>
      </x:c>
      <x:c r="J291" s="87" t="str">
        <x:v>EP</x:v>
      </x:c>
      <x:c r="K291" s="87" t="str">
        <x:v>B1</x:v>
      </x:c>
      <x:c r="L291" s="87" t="str">
        <x:v>EP 3383871 B1</x:v>
      </x:c>
      <x:c r="M291" s="87" t="str">
        <x:v>ASTRAZENECA AB;;CANCER RESEARCH TECH LTD</x:v>
      </x:c>
      <x:c r="N291" s="87" t="str">
        <x:v>ASTRAZENECA AB (2020-01-01);;CANCER RESEARCH TECHNOLOGY LIMITED (2020-01-01)</x:v>
      </x:c>
      <x:c r="O291" s="87" t="str">
        <x:v>1,3,4-THIADIAZOLE COMPOUNDS AND THEIR USE IN TREATING CANCER</x:v>
      </x:c>
      <x:c r="P291" s="109" t="n">
        <x:v>0</x:v>
      </x:c>
      <x:c r="Q291" s="109" t="n">
        <x:v>33</x:v>
      </x:c>
      <x:c r="R291" s="87" t="str">
        <x:v>C07D417/14;;A61P35/00;;C07D417/14;;A61K31/501;;A61K31/53;;A61P35/00;;C07D417/14</x:v>
      </x:c>
      <x:c r="S291" s="87" t="str">
        <x:v>C07D417/14;;A61K31/501;;A61K31/53;;A61P35/00</x:v>
      </x:c>
      <x:c r="T291" s="87" t="str">
        <x:v>ACTIVE</x:v>
      </x:c>
      <x:c r="U291" s="87" t="str">
        <x:v>https://lens.org/101-420-994-577-060</x:v>
      </x:c>
    </x:row>
    <x:row r="292">
      <x:c r="A292" s="87" t="str">
        <x:v>AstraZeneca_Lens_RAW_2009_2024.csv.csv</x:v>
      </x:c>
      <x:c r="B292" s="87" t="str">
        <x:v>AstraZeneca</x:v>
      </x:c>
      <x:c r="C292" s="87"/>
      <x:c r="D292" s="87" t="str">
        <x:v>Yes</x:v>
      </x:c>
      <x:c r="E292" s="87" t="str">
        <x:v>astrazeneca</x:v>
      </x:c>
      <x:c r="F292" s="87" t="str">
        <x:v>290</x:v>
      </x:c>
      <x:c r="G292" s="87" t="str">
        <x:v>055-681-114-120-61X</x:v>
      </x:c>
      <x:c r="H292" s="110" t="n">
        <x:v>42452</x:v>
      </x:c>
      <x:c r="I292" s="88" t="n">
        <x:v>2016</x:v>
      </x:c>
      <x:c r="J292" s="87" t="str">
        <x:v>US</x:v>
      </x:c>
      <x:c r="K292" s="87" t="str">
        <x:v>B2</x:v>
      </x:c>
      <x:c r="L292" s="87" t="str">
        <x:v>US 10407404 B2</x:v>
      </x:c>
      <x:c r="M292" s="87" t="str">
        <x:v>ASTRAZENECA AB</x:v>
      </x:c>
      <x:c r="N292" s="87" t="str">
        <x:v>ASTRAZENECA UK LIMITED (2019-01-23);;ASTRAZENECA AB (2019-02-07);;STA PHARMACEUTICAL R&amp;D CO. LTD (2018-12-20);;STA PHARMACEUTICAL HONG KONG LTD (2019-01-23)</x:v>
      </x:c>
      <x:c r="O292" s="87" t="str">
        <x:v>Physical form of a SGR modulator</x:v>
      </x:c>
      <x:c r="P292" s="109" t="n">
        <x:v>0</x:v>
      </x:c>
      <x:c r="Q292" s="109" t="n">
        <x:v>21</x:v>
      </x:c>
      <x:c r="R292" s="87" t="str">
        <x:v>C07D401/04;;A61P11/06;;A61P19/02;;C07D403/12;;C07D403/12;;A61K31/416;;A61P11/06;;A61P19/02;;C07B2200/13;;C07D401/04;;A61P11/06;;A61P19/02;;C07B2200/13;;C07D403/12</x:v>
      </x:c>
      <x:c r="S292" s="87" t="str">
        <x:v>C07D401/14;;A61P11/06;;A61P19/02;;C07D401/04;;C07D403/12</x:v>
      </x:c>
      <x:c r="T292" s="87" t="str">
        <x:v>ACTIVE</x:v>
      </x:c>
      <x:c r="U292" s="87" t="str">
        <x:v>https://lens.org/055-681-114-120-61X</x:v>
      </x:c>
    </x:row>
    <x:row r="293">
      <x:c r="A293" s="87" t="str">
        <x:v>AstraZeneca_Lens_RAW_2009_2024.csv.csv</x:v>
      </x:c>
      <x:c r="B293" s="87" t="str">
        <x:v>AstraZeneca</x:v>
      </x:c>
      <x:c r="C293" s="87"/>
      <x:c r="D293" s="87" t="str">
        <x:v>Yes</x:v>
      </x:c>
      <x:c r="E293" s="87" t="str">
        <x:v>astrazeneca</x:v>
      </x:c>
      <x:c r="F293" s="87" t="str">
        <x:v>291</x:v>
      </x:c>
      <x:c r="G293" s="87" t="str">
        <x:v>073-024-790-002-275</x:v>
      </x:c>
      <x:c r="H293" s="110" t="n">
        <x:v>41767</x:v>
      </x:c>
      <x:c r="I293" s="88" t="n">
        <x:v>2014</x:v>
      </x:c>
      <x:c r="J293" s="87" t="str">
        <x:v>US</x:v>
      </x:c>
      <x:c r="K293" s="87" t="str">
        <x:v>A1</x:v>
      </x:c>
      <x:c r="L293" s="87" t="str">
        <x:v>US 2019/0185468 A1</x:v>
      </x:c>
      <x:c r="M293" s="87" t="str">
        <x:v>ASTRAZENECA AB</x:v>
      </x:c>
      <x:c r="N293" s="87" t="str">
        <x:v>ASTRAZENECA UK LIMITED (2015-05-27);;ASTRAZENECA AB (2015-05-27)</x:v>
      </x:c>
      <x:c r="O293" s="87" t="str">
        <x:v>Imidazo[4,5-c]quinolin-2-one Compounds and Their Use in Treating Cancer</x:v>
      </x:c>
      <x:c r="P293" s="109" t="n">
        <x:v>0</x:v>
      </x:c>
      <x:c r="Q293" s="109" t="n">
        <x:v>57</x:v>
      </x:c>
      <x:c r="R293" s="87" t="str">
        <x:v>C07D471/04;;A61K31/444;;A61K31/4545;;A61K31/4745;;A61K31/502;;C07D471/04;;A61K31/444;;A61K31/4545;;A61K31/4745;;A61K31/502;;A61P35/00;;A61P43/00;;C07D471/04;;A61K31/444;;A61K31/4545;;A61K31/4745;;A61K31/502;;A61K45/06;;C07D471/04;;A61K31/444;;A61K31/4545;;A61K31/4745;;A61K31/502;;A61K45/06;;C07D471/04;;A61K31/444;;A61K31/4545;;A61K31/4745;;A61K31/502;;A61K45/06</x:v>
      </x:c>
      <x:c r="S293" s="87" t="str">
        <x:v>C07D471/04;;A61K31/444;;A61K31/4545;;A61K31/4745;;A61K31/502;;A61K45/06</x:v>
      </x:c>
      <x:c r="T293" s="87" t="str">
        <x:v>DISCONTINUED</x:v>
      </x:c>
      <x:c r="U293" s="87" t="str">
        <x:v>https://lens.org/073-024-790-002-275</x:v>
      </x:c>
    </x:row>
    <x:row r="294">
      <x:c r="A294" s="87" t="str">
        <x:v>AstraZeneca_Lens_RAW_2009_2024.csv.csv</x:v>
      </x:c>
      <x:c r="B294" s="87" t="str">
        <x:v>AstraZeneca</x:v>
      </x:c>
      <x:c r="C294" s="87"/>
      <x:c r="D294" s="87" t="str">
        <x:v>Yes</x:v>
      </x:c>
      <x:c r="E294" s="87" t="str">
        <x:v>astrazeneca</x:v>
      </x:c>
      <x:c r="F294" s="87" t="str">
        <x:v>292</x:v>
      </x:c>
      <x:c r="G294" s="87" t="str">
        <x:v>107-092-604-504-279</x:v>
      </x:c>
      <x:c r="H294" s="110" t="n">
        <x:v>42335</x:v>
      </x:c>
      <x:c r="I294" s="88" t="n">
        <x:v>2015</x:v>
      </x:c>
      <x:c r="J294" s="87" t="str">
        <x:v>US</x:v>
      </x:c>
      <x:c r="K294" s="87" t="str">
        <x:v>A1</x:v>
      </x:c>
      <x:c r="L294" s="87" t="str">
        <x:v>US 2019/0169172 A1</x:v>
      </x:c>
      <x:c r="M294" s="87" t="str">
        <x:v>ASTRAZENECA AB;;CANCER RESEARCH TECH LTD</x:v>
      </x:c>
      <x:c r="N294" s="87" t="str">
        <x:v>ASTRAZENECA UK LIMITED (2018-04-27);;ASTRAZENECA AB (2018-06-22);;CANCER RESEARCH TECHNOLOGY LIMITED (2018-06-22)</x:v>
      </x:c>
      <x:c r="O294" s="87" t="str">
        <x:v>bis-Pyridazine Compounds and Their Use in Treating Cancer</x:v>
      </x:c>
      <x:c r="P294" s="109" t="n">
        <x:v>1</x:v>
      </x:c>
      <x:c r="Q294" s="109" t="n">
        <x:v>24</x:v>
      </x:c>
      <x:c r="R294" s="87" t="str">
        <x:v>C07D403/14;;A61P35/00;;A61P43/00;;C07D403/14;;A61K31/501;;A61P35/00;;C07D403/14</x:v>
      </x:c>
      <x:c r="S294" s="87" t="str">
        <x:v>C07D403/14</x:v>
      </x:c>
      <x:c r="T294" s="87" t="str">
        <x:v>INACTIVE</x:v>
      </x:c>
      <x:c r="U294" s="87" t="str">
        <x:v>https://lens.org/107-092-604-504-279</x:v>
      </x:c>
    </x:row>
    <x:row r="295">
      <x:c r="A295" s="87" t="str">
        <x:v>AstraZeneca_Lens_RAW_2009_2024.csv.csv</x:v>
      </x:c>
      <x:c r="B295" s="87" t="str">
        <x:v>AstraZeneca</x:v>
      </x:c>
      <x:c r="C295" s="87"/>
      <x:c r="D295" s="87" t="str">
        <x:v>Yes</x:v>
      </x:c>
      <x:c r="E295" s="87" t="str">
        <x:v>astrazeneca</x:v>
      </x:c>
      <x:c r="F295" s="87" t="str">
        <x:v>293</x:v>
      </x:c>
      <x:c r="G295" s="87" t="str">
        <x:v>066-213-240-799-522</x:v>
      </x:c>
      <x:c r="H295" s="110" t="n">
        <x:v>42031</x:v>
      </x:c>
      <x:c r="I295" s="88" t="n">
        <x:v>2015</x:v>
      </x:c>
      <x:c r="J295" s="87" t="str">
        <x:v>US</x:v>
      </x:c>
      <x:c r="K295" s="87" t="str">
        <x:v>B2</x:v>
      </x:c>
      <x:c r="L295" s="87" t="str">
        <x:v>US 10300065 B2</x:v>
      </x:c>
      <x:c r="M295" s="87" t="str">
        <x:v>ASTRAZENECA AB;;UNIV SHEFFIELD;;SHEFFIELD TEACHING HOSPITALS NHS FOUND TRUST;;STOREY ROBERT</x:v>
      </x:c>
      <x:c r="N295" s="87" t="str">
        <x:v>ASTRAZENECA PHARMACEUTICALS LP (2017-05-16);;ASTRAZENECA AB (2017-02-27);;ASTRAZENECA UK LIMITED (2023-01-24);;SHEFFIELD TEACHING HOSPITALS NHS FOUNDATION TRUST (2017-02-08);;THE UNIVERSITY OF SHEFFIELD (2017-02-07)</x:v>
      </x:c>
      <x:c r="O295" s="87" t="str">
        <x:v>Method of treating or prevention of atherothrombotic events in patients with history of myocardial infarction</x:v>
      </x:c>
      <x:c r="P295" s="109" t="n">
        <x:v>0</x:v>
      </x:c>
      <x:c r="Q295" s="109" t="n">
        <x:v>21</x:v>
      </x:c>
      <x:c r="R295" s="87" t="str">
        <x:v>A61K31/519;;A61K9/2054;;A61K9/2866;;A61K31/616;;A61P7/02;;A61P9/10;;A61K31/519;;A61K31/60;;A61K31/609;;A61K31/616;;A61P7/02;;A61P9/00;;A61P9/10;;A61P43/00;;A61K31/519;;A61P9/00;;A61K31/519;;A61K9/20;;A61K31/60;;A61K31/609;;A61K31/616</x:v>
      </x:c>
      <x:c r="S295" s="87" t="str">
        <x:v>A61K31/519;;A61K9/20;;A61K31/60;;A61K31/609;;A61K31/616</x:v>
      </x:c>
      <x:c r="T295" s="87" t="str">
        <x:v>ACTIVE</x:v>
      </x:c>
      <x:c r="U295" s="87" t="str">
        <x:v>https://lens.org/066-213-240-799-522</x:v>
      </x:c>
    </x:row>
    <x:row r="296">
      <x:c r="A296" s="87" t="str">
        <x:v>AstraZeneca_Lens_RAW_2009_2024.csv.csv</x:v>
      </x:c>
      <x:c r="B296" s="87" t="str">
        <x:v>AstraZeneca</x:v>
      </x:c>
      <x:c r="C296" s="87"/>
      <x:c r="D296" s="87" t="str">
        <x:v>Yes</x:v>
      </x:c>
      <x:c r="E296" s="87" t="str">
        <x:v>astrazeneca</x:v>
      </x:c>
      <x:c r="F296" s="87" t="str">
        <x:v>294</x:v>
      </x:c>
      <x:c r="G296" s="87" t="str">
        <x:v>065-426-807-445-120</x:v>
      </x:c>
      <x:c r="H296" s="110" t="n">
        <x:v>41789</x:v>
      </x:c>
      <x:c r="I296" s="88" t="n">
        <x:v>2014</x:v>
      </x:c>
      <x:c r="J296" s="87" t="str">
        <x:v>US</x:v>
      </x:c>
      <x:c r="K296" s="87" t="str">
        <x:v>B2</x:v>
      </x:c>
      <x:c r="L296" s="87" t="str">
        <x:v>US 10294221 B2</x:v>
      </x:c>
      <x:c r="M296" s="87" t="str">
        <x:v>ASTRAZENECA AB;;CANCER RESEARCH TECH LTD</x:v>
      </x:c>
      <x:c r="N296" s="87" t="str">
        <x:v>ASTRAZENECA AB (2015-06-20);;ASTRAZENECA UK LIMITED (2015-06-17);;CANCER RESEARCH TECHNOLOGY LIMITED (2015-06-17)</x:v>
      </x:c>
      <x:c r="O296" s="87" t="str">
        <x:v>1, 3, 4-thiadiazole compounds and their use in treating cancer</x:v>
      </x:c>
      <x:c r="P296" s="109" t="n">
        <x:v>3</x:v>
      </x:c>
      <x:c r="Q296" s="109" t="n">
        <x:v>52</x:v>
      </x:c>
      <x:c r="R296" s="87" t="str">
        <x:v>C07D417/14;;A61P35/00;;C07D417/14;;A61K31/433;;A61K31/501;;C07D417/14;;A61K31/433;;A61K31/53;;C07D417/14;;C07B59/002;;C07B2200/05;;C07B2200/13</x:v>
      </x:c>
      <x:c r="S296" s="87" t="str">
        <x:v>C07D417/14;;C07B59/00</x:v>
      </x:c>
      <x:c r="T296" s="87" t="str">
        <x:v>ACTIVE</x:v>
      </x:c>
      <x:c r="U296" s="87" t="str">
        <x:v>https://lens.org/065-426-807-445-120</x:v>
      </x:c>
    </x:row>
    <x:row r="297">
      <x:c r="A297" s="87" t="str">
        <x:v>AstraZeneca_Lens_RAW_2009_2024.csv.csv</x:v>
      </x:c>
      <x:c r="B297" s="87" t="str">
        <x:v>AstraZeneca</x:v>
      </x:c>
      <x:c r="C297" s="87"/>
      <x:c r="D297" s="87" t="str">
        <x:v>Yes</x:v>
      </x:c>
      <x:c r="E297" s="87" t="str">
        <x:v>astrazeneca</x:v>
      </x:c>
      <x:c r="F297" s="87" t="str">
        <x:v>295</x:v>
      </x:c>
      <x:c r="G297" s="87" t="str">
        <x:v>067-101-277-028-860</x:v>
      </x:c>
      <x:c r="H297" s="110" t="n">
        <x:v>39839</x:v>
      </x:c>
      <x:c r="I297" s="88" t="n">
        <x:v>2009</x:v>
      </x:c>
      <x:c r="J297" s="87" t="str">
        <x:v>EP</x:v>
      </x:c>
      <x:c r="K297" s="87" t="str">
        <x:v>B1</x:v>
      </x:c>
      <x:c r="L297" s="87" t="str">
        <x:v>EP 2389352 B1</x:v>
      </x:c>
      <x:c r="M297" s="87" t="str">
        <x:v>UNIV PENNSYLVANIA;;ASTRAZENECA UK LTD</x:v>
      </x:c>
      <x:c r="N297" s="87" t="str">
        <x:v>CORRIDOR PHARMACEUTICALS, INC. (2013-10-16);;THE TRUSTEES OF THE UNIVERSITY OF PENNSYLVANIA (2019-05-01);;ASTRAZENECA UK LIMITED (2019-05-01)</x:v>
      </x:c>
      <x:c r="O297" s="87" t="str">
        <x:v>ARGINASE INHIBITORS AND METHODS OF USE</x:v>
      </x:c>
      <x:c r="P297" s="109" t="n">
        <x:v>0</x:v>
      </x:c>
      <x:c r="Q297" s="109" t="n">
        <x:v>28</x:v>
      </x:c>
      <x:c r="R297" s="87" t="str">
        <x:v>C07F5/025;;A61K49/0002;;A61P1/00;;A61P1/04;;A61P1/16;;A61P3/06;;A61P3/10;;A61P7/04;;A61P9/00;;A61P9/10;;A61P9/12;;A61P11/00;;A61P11/06;;A61P13/12;;A61P15/10;;A61P17/02;;A61P17/06;;A61P19/02;;A61P21/02;;A61P25/00;;A61P29/00;;A61P31/04;;A61P31/10;;A61P33/00;;A61P33/02;;A61P33/06;;A61P35/00;;A61P37/00;;A61P37/02;;A61P37/06;;A61P43/00;;C07F5/025;;A61K49/0002</x:v>
      </x:c>
      <x:c r="S297" s="87" t="str">
        <x:v>C07C229/00;;A61K31/155;;A61K31/69;;A61K49/00;;A61P35/00;;C07F5/02</x:v>
      </x:c>
      <x:c r="T297" s="87" t="str">
        <x:v>ACTIVE</x:v>
      </x:c>
      <x:c r="U297" s="87" t="str">
        <x:v>https://lens.org/067-101-277-028-860</x:v>
      </x:c>
    </x:row>
    <x:row r="298">
      <x:c r="A298" s="87" t="str">
        <x:v>AstraZeneca_Lens_RAW_2009_2024.csv.csv</x:v>
      </x:c>
      <x:c r="B298" s="87" t="str">
        <x:v>AstraZeneca</x:v>
      </x:c>
      <x:c r="C298" s="87"/>
      <x:c r="D298" s="87" t="str">
        <x:v>Yes</x:v>
      </x:c>
      <x:c r="E298" s="87" t="str">
        <x:v>astrazeneca</x:v>
      </x:c>
      <x:c r="F298" s="87" t="str">
        <x:v>296</x:v>
      </x:c>
      <x:c r="G298" s="87" t="str">
        <x:v>118-000-283-336-611</x:v>
      </x:c>
      <x:c r="H298" s="110" t="n">
        <x:v>40534</x:v>
      </x:c>
      <x:c r="I298" s="88" t="n">
        <x:v>2010</x:v>
      </x:c>
      <x:c r="J298" s="87" t="str">
        <x:v>US</x:v>
      </x:c>
      <x:c r="K298" s="87" t="str">
        <x:v>B2</x:v>
      </x:c>
      <x:c r="L298" s="87" t="str">
        <x:v>US 10231967 B2</x:v>
      </x:c>
      <x:c r="M298" s="87" t="str">
        <x:v>ASTRAZENECA AB</x:v>
      </x:c>
      <x:c r="N298" s="87" t="str">
        <x:v>ASTRAZENECA AB (2012-01-11)</x:v>
      </x:c>
      <x:c r="O298" s="87" t="str">
        <x:v>Compounds and their use as BACE inhibitors</x:v>
      </x:c>
      <x:c r="P298" s="109" t="n">
        <x:v>0</x:v>
      </x:c>
      <x:c r="Q298" s="109" t="n">
        <x:v>85</x:v>
      </x:c>
      <x:c r="R298" s="87" t="str">
        <x:v>C07D235/02;;C07B2200/05;;C07B2200/07;;C07D401/04;;C07D401/12;;C07D403/04;;C07D403/12;;C07D405/12;;C07D471/04;;C07D491/107;;C07D491/20;;C07D401/10;;A61K31/497;;A61K31/4184;;A61K31/4188;;A61K31/437;;A61K31/4439;;A61K31/506;;A61K45/06;;A61P7/00;;A61P9/00;;A61P9/10;;A61P25/00;;A61P25/16;;A61P25/28;;A61P43/00;;C07D235/02;;C07D401/04;;C07D401/12;;C07D403/12;;C07D405/12;;C07D471/04;;C07D491/107;;C07D491/20;;C07D491/107;;A61K31/4188;;A61K31/497;;A61K31/4184;;A61K31/4188;;A61K31/437;;A61K31/4439;;A61K31/506;;A61K45/06;;A61K2300/00;;C07D235/02;;C07D401/04;;C07D401/12;;C07D403/12;;C07D405/12;;C07D471/04;;C07D491/107;;C07D491/20</x:v>
      </x:c>
      <x:c r="S298" s="87" t="str">
        <x:v>A61K31/4439;;A61K31/4184;;A61K31/4188;;A61K31/437;;A61K31/497;;A61K31/506;;A61K45/06;;C07D235/02;;C07D401/04;;C07D401/12;;C07D403/12;;C07D405/12;;C07D471/04;;C07D491/107;;C07D491/20</x:v>
      </x:c>
      <x:c r="T298" s="87" t="str">
        <x:v>INACTIVE</x:v>
      </x:c>
      <x:c r="U298" s="87" t="str">
        <x:v>https://lens.org/118-000-283-336-611</x:v>
      </x:c>
    </x:row>
    <x:row r="299">
      <x:c r="A299" s="87" t="str">
        <x:v>AstraZeneca_Lens_RAW_2009_2024.csv.csv</x:v>
      </x:c>
      <x:c r="B299" s="87" t="str">
        <x:v>AstraZeneca</x:v>
      </x:c>
      <x:c r="C299" s="87"/>
      <x:c r="D299" s="87" t="str">
        <x:v>Yes</x:v>
      </x:c>
      <x:c r="E299" s="87" t="str">
        <x:v>astrazeneca</x:v>
      </x:c>
      <x:c r="F299" s="87" t="str">
        <x:v>297</x:v>
      </x:c>
      <x:c r="G299" s="87" t="str">
        <x:v>086-670-682-102-314</x:v>
      </x:c>
      <x:c r="H299" s="110" t="n">
        <x:v>41583</x:v>
      </x:c>
      <x:c r="I299" s="88" t="n">
        <x:v>2013</x:v>
      </x:c>
      <x:c r="J299" s="87" t="str">
        <x:v>US</x:v>
      </x:c>
      <x:c r="K299" s="87" t="str">
        <x:v>B2</x:v>
      </x:c>
      <x:c r="L299" s="87" t="str">
        <x:v>US 10207994 B2</x:v>
      </x:c>
      <x:c r="M299" s="87" t="str">
        <x:v>ASTRAZENECA AB</x:v>
      </x:c>
      <x:c r="N299" s="87" t="str">
        <x:v>ASTRAZENECA PHARMACEUTICALS LP (2015-02-09);;ASTRAZENECA AB (2014-08-05);;ASTRAZENECA UK LIMITED (2015-03-09)</x:v>
      </x:c>
      <x:c r="O299" s="87" t="str">
        <x:v>NMDA antagonist prodrugs</x:v>
      </x:c>
      <x:c r="P299" s="109" t="n">
        <x:v>0</x:v>
      </x:c>
      <x:c r="Q299" s="109" t="n">
        <x:v>65</x:v>
      </x:c>
      <x:c r="R299" s="87" t="str">
        <x:v>C07D213/40;;A61P25/24;;C07D401/12;;C07D401/14;;C07K5/06043;;C07K5/06052;;C07K5/06078;;C07K5/06086;;C07K5/06095;;C07K5/06147;;C07K5/06156;;C07D213/40;;A61K31/4402;;A61K31/4439;;C07D401/12;;C07D401/14;;C07D401/14;;C07D213/40;;C07D401/12;;C07D401/14;;A61K31/4402;;C07D213/40;;A61K38/00;;A61P25/24;;C07D401/12;;C07D401/14;;C07K5/06043;;C07K5/06052;;C07K5/06078;;C07K5/06086;;C07K5/06095;;C07K5/06104;;C07K5/06139;;C07K5/06147;;C07K5/06156</x:v>
      </x:c>
      <x:c r="S299" s="87" t="str">
        <x:v>C07K5/078;;A61K38/00;;C07D213/40;;C07D401/12;;C07D401/14;;C07K5/062;;C07K5/065;;C07K5/068;;C07K5/072</x:v>
      </x:c>
      <x:c r="T299" s="87" t="str">
        <x:v>ACTIVE</x:v>
      </x:c>
      <x:c r="U299" s="87" t="str">
        <x:v>https://lens.org/086-670-682-102-314</x:v>
      </x:c>
    </x:row>
    <x:row r="300">
      <x:c r="A300" s="87" t="str">
        <x:v>AstraZeneca_Lens_RAW_2009_2024.csv.csv</x:v>
      </x:c>
      <x:c r="B300" s="87" t="str">
        <x:v>AstraZeneca</x:v>
      </x:c>
      <x:c r="C300" s="87"/>
      <x:c r="D300" s="87" t="str">
        <x:v>Yes</x:v>
      </x:c>
      <x:c r="E300" s="87" t="str">
        <x:v>astrazeneca</x:v>
      </x:c>
      <x:c r="F300" s="87" t="str">
        <x:v>298</x:v>
      </x:c>
      <x:c r="G300" s="87" t="str">
        <x:v>126-622-659-172-640</x:v>
      </x:c>
      <x:c r="H300" s="110" t="n">
        <x:v>41422</x:v>
      </x:c>
      <x:c r="I300" s="88" t="n">
        <x:v>2013</x:v>
      </x:c>
      <x:c r="J300" s="87" t="str">
        <x:v>US</x:v>
      </x:c>
      <x:c r="K300" s="87" t="str">
        <x:v>A1</x:v>
      </x:c>
      <x:c r="L300" s="87" t="str">
        <x:v>US 2019/0038607 A1</x:v>
      </x:c>
      <x:c r="M300" s="87" t="str">
        <x:v>ASTRAZENECA AB</x:v>
      </x:c>
      <x:c r="N300" s="87" t="str">
        <x:v>ASTRAZENECA UK LIMITED (2014-07-09);;ASTRAZENECA AB (2014-07-28)</x:v>
      </x:c>
      <x:c r="O300" s="87" t="str">
        <x:v>CHEMICAL COMPOUNDS</x:v>
      </x:c>
      <x:c r="P300" s="109" t="n">
        <x:v>1</x:v>
      </x:c>
      <x:c r="Q300" s="109" t="n">
        <x:v>53</x:v>
      </x:c>
      <x:c r="R300" s="87" t="str">
        <x:v>A61K31/437;;A61K31/519;;A61P15/00;;A61P35/00;;C07D471/04;;C07D487/04;;A61K31/437;;A61P35/00;;C07D471/04;;A61K31/437;;A61K31/519;;A61K45/06;;C07B2200/07;;C07B2200/13;;C07C57/145;;C07D471/04;;C07D487/04</x:v>
      </x:c>
      <x:c r="S300" s="87" t="str">
        <x:v>A61K31/437;;A61K31/519;;A61K45/06;;C07C57/145;;C07D471/04;;C07D487/04</x:v>
      </x:c>
      <x:c r="T300" s="87" t="str">
        <x:v>DISCONTINUED</x:v>
      </x:c>
      <x:c r="U300" s="87" t="str">
        <x:v>https://lens.org/126-622-659-172-640</x:v>
      </x:c>
    </x:row>
    <x:row r="301">
      <x:c r="A301" s="87" t="str">
        <x:v>AstraZeneca_Lens_RAW_2009_2024.csv.csv</x:v>
      </x:c>
      <x:c r="B301" s="87" t="str">
        <x:v>AstraZeneca</x:v>
      </x:c>
      <x:c r="C301" s="87"/>
      <x:c r="D301" s="87" t="str">
        <x:v>Yes</x:v>
      </x:c>
      <x:c r="E301" s="87" t="str">
        <x:v>astrazeneca</x:v>
      </x:c>
      <x:c r="F301" s="87" t="str">
        <x:v>299</x:v>
      </x:c>
      <x:c r="G301" s="87" t="str">
        <x:v>042-311-287-883-498</x:v>
      </x:c>
      <x:c r="H301" s="110" t="n">
        <x:v>41908</x:v>
      </x:c>
      <x:c r="I301" s="88" t="n">
        <x:v>2014</x:v>
      </x:c>
      <x:c r="J301" s="87" t="str">
        <x:v>US</x:v>
      </x:c>
      <x:c r="K301" s="87" t="str">
        <x:v>B2</x:v>
      </x:c>
      <x:c r="L301" s="87" t="str">
        <x:v>US 10196374 B2</x:v>
      </x:c>
      <x:c r="M301" s="87" t="str">
        <x:v>ASTRAZENECA AB</x:v>
      </x:c>
      <x:c r="N301" s="87" t="str">
        <x:v>ASTRAZENECA AB (2015-11-02)</x:v>
      </x:c>
      <x:c r="O301" s="87" t="str">
        <x:v>1-alkyl-6-oxo-1,6-dihydropyridin-3-yl compounds and use as SGRM modulators</x:v>
      </x:c>
      <x:c r="P301" s="109" t="n">
        <x:v>2</x:v>
      </x:c>
      <x:c r="Q301" s="109" t="n">
        <x:v>40</x:v>
      </x:c>
      <x:c r="R301" s="87" t="str">
        <x:v>C07D401/04;;C07D401/04;;A61P19/02;;A61P29/00;;A61P43/00;;C07D401/04;;A61K31/4439;;C07D401/04</x:v>
      </x:c>
      <x:c r="S301" s="87" t="str">
        <x:v>C07D401/14;;C07D401/04</x:v>
      </x:c>
      <x:c r="T301" s="87" t="str">
        <x:v>ACTIVE</x:v>
      </x:c>
      <x:c r="U301" s="87" t="str">
        <x:v>https://lens.org/042-311-287-883-498</x:v>
      </x:c>
    </x:row>
    <x:row r="302">
      <x:c r="A302" s="87" t="str">
        <x:v>AstraZeneca_Lens_RAW_2009_2024.csv.csv</x:v>
      </x:c>
      <x:c r="B302" s="87" t="str">
        <x:v>AstraZeneca</x:v>
      </x:c>
      <x:c r="C302" s="87"/>
      <x:c r="D302" s="87" t="str">
        <x:v>Yes</x:v>
      </x:c>
      <x:c r="E302" s="87" t="str">
        <x:v>astrazeneca</x:v>
      </x:c>
      <x:c r="F302" s="87" t="str">
        <x:v>300</x:v>
      </x:c>
      <x:c r="G302" s="87" t="str">
        <x:v>100-755-028-898-395</x:v>
      </x:c>
      <x:c r="H302" s="110" t="n">
        <x:v>41047</x:v>
      </x:c>
      <x:c r="I302" s="88" t="n">
        <x:v>2012</x:v>
      </x:c>
      <x:c r="J302" s="87" t="str">
        <x:v>US</x:v>
      </x:c>
      <x:c r="K302" s="87" t="str">
        <x:v>B2</x:v>
      </x:c>
      <x:c r="L302" s="87" t="str">
        <x:v>US 10150743 B2</x:v>
      </x:c>
      <x:c r="M302" s="87" t="str">
        <x:v>SUMITOMO DAINIPPON PHARMA CO LTD;;ASTRAZENECA AB</x:v>
      </x:c>
      <x:c r="N302" s="87" t="str">
        <x:v>SUMITOMO PHARMA CO. LTD (2014-12-02);;ASTRAZENECA AKTIEBOLAG (2014-12-05)</x:v>
      </x:c>
      <x:c r="O302" s="87" t="str">
        <x:v>Carboxylic acid compounds</x:v>
      </x:c>
      <x:c r="P302" s="109" t="n">
        <x:v>4</x:v>
      </x:c>
      <x:c r="Q302" s="109" t="n">
        <x:v>38</x:v>
      </x:c>
      <x:c r="R302" s="87" t="str">
        <x:v>C07D403/12;;C07D239/47;;C07D239/48;;C07D239/49;;C07D403/10;;C07D239/48;;A61K31/505;;A61K31/506;;A61P11/00;;A61P11/02;;A61P11/06;;A61P17/00;;A61P27/02;;A61P31/00;;A61P31/04;;A61P31/14;;A61P31/18;;A61P35/00;;A61P37/08;;A61P43/00;;C07D239/47;;C07D239/49;;C07D403/10;;C07D403/12;;Y02A50/30;;Y02P20/55;;C07D239/48;;A61K31/505;;A61K31/506;;C07D403/12;;C07D239/48;;A61K31/505;;A61K31/506;;C07D239/47;;C07D239/49;;C07D403/10;;C07D403/12;;Y02P20/55</x:v>
      </x:c>
      <x:c r="S302" s="87" t="str">
        <x:v>A61K31/506;;A61K31/505;;C07D239/47;;C07D239/48;;C07D239/49;;C07D403/10;;C07D403/12</x:v>
      </x:c>
      <x:c r="T302" s="87" t="str">
        <x:v>ACTIVE</x:v>
      </x:c>
      <x:c r="U302" s="87" t="str">
        <x:v>https://lens.org/100-755-028-898-395</x:v>
      </x:c>
    </x:row>
    <x:row r="303">
      <x:c r="A303" s="87" t="str">
        <x:v>AstraZeneca_Lens_RAW_2009_2024.csv.csv</x:v>
      </x:c>
      <x:c r="B303" s="87" t="str">
        <x:v>AstraZeneca</x:v>
      </x:c>
      <x:c r="C303" s="87"/>
      <x:c r="D303" s="87" t="str">
        <x:v>Yes</x:v>
      </x:c>
      <x:c r="E303" s="87" t="str">
        <x:v>astrazeneca</x:v>
      </x:c>
      <x:c r="F303" s="87" t="str">
        <x:v>301</x:v>
      </x:c>
      <x:c r="G303" s="87" t="str">
        <x:v>030-181-170-929-44X</x:v>
      </x:c>
      <x:c r="H303" s="110" t="n">
        <x:v>42576</x:v>
      </x:c>
      <x:c r="I303" s="88" t="n">
        <x:v>2016</x:v>
      </x:c>
      <x:c r="J303" s="87" t="str">
        <x:v>US</x:v>
      </x:c>
      <x:c r="K303" s="87" t="str">
        <x:v>B2</x:v>
      </x:c>
      <x:c r="L303" s="87" t="str">
        <x:v>US 10149839 B2</x:v>
      </x:c>
      <x:c r="M303" s="87" t="str">
        <x:v>ASTRAZENECA AB</x:v>
      </x:c>
      <x:c r="N303" s="87" t="str">
        <x:v>ASTRAZENECA PHARMACEUTICALS LP (2017-07-24);;ASTRAZENECA AB (2017-07-24);;ASTRAZENECA UK LIMITED (2017-07-24)</x:v>
      </x:c>
      <x:c r="O303" s="87" t="str">
        <x:v>Chemical compounds</x:v>
      </x:c>
      <x:c r="P303" s="109" t="n">
        <x:v>0</x:v>
      </x:c>
      <x:c r="Q303" s="109" t="n">
        <x:v>4</x:v>
      </x:c>
      <x:c r="R303" s="87" t="str">
        <x:v>A61K31/437;;A61K31/407;;A61K31/495;;A61K31/506;;A61P35/00;;C07D471/04;;A61K31/437;;A61K31/407;;A61K31/495;;A61K31/506;;C07D471/04;;G01N23/20075;;G01N25/4866</x:v>
      </x:c>
      <x:c r="S303" s="87" t="str">
        <x:v>C07D471/04;;A61K31/407;;A61K31/437;;A61K31/495;;A61K31/506;;G01N23/20;;G01N25/48</x:v>
      </x:c>
      <x:c r="T303" s="87" t="str">
        <x:v>ACTIVE</x:v>
      </x:c>
      <x:c r="U303" s="87" t="str">
        <x:v>https://lens.org/030-181-170-929-44X</x:v>
      </x:c>
    </x:row>
    <x:row r="304">
      <x:c r="A304" s="87" t="str">
        <x:v>AstraZeneca_Lens_RAW_2009_2024.csv.csv</x:v>
      </x:c>
      <x:c r="B304" s="87" t="str">
        <x:v>AstraZeneca</x:v>
      </x:c>
      <x:c r="C304" s="87"/>
      <x:c r="D304" s="87" t="str">
        <x:v>Yes</x:v>
      </x:c>
      <x:c r="E304" s="87" t="str">
        <x:v>astrazeneca</x:v>
      </x:c>
      <x:c r="F304" s="87" t="str">
        <x:v>302</x:v>
      </x:c>
      <x:c r="G304" s="87" t="str">
        <x:v>046-513-997-917-219</x:v>
      </x:c>
      <x:c r="H304" s="110" t="n">
        <x:v>40800</x:v>
      </x:c>
      <x:c r="I304" s="88" t="n">
        <x:v>2011</x:v>
      </x:c>
      <x:c r="J304" s="87" t="str">
        <x:v>US</x:v>
      </x:c>
      <x:c r="K304" s="87" t="str">
        <x:v>A1</x:v>
      </x:c>
      <x:c r="L304" s="87" t="str">
        <x:v>US 2018/0339119 A1</x:v>
      </x:c>
      <x:c r="M304" s="87" t="str">
        <x:v>ASTRAZENECA AB</x:v>
      </x:c>
      <x:c r="N304" s="87" t="str">
        <x:v>DANSK INGENIOR SERVICE A/S (2012-11-07);;ASTRAZENECA UK LIMITED (2012-11-08);;ASTRAZENECA AB (2012-11-10);;BANG &amp; OLUFSEN MEDICOM A/S (2012-10-29)</x:v>
      </x:c>
      <x:c r="O304" s="87" t="str">
        <x:v>INHALER</x:v>
      </x:c>
      <x:c r="P304" s="109" t="n">
        <x:v>0</x:v>
      </x:c>
      <x:c r="Q304" s="109" t="n">
        <x:v>22</x:v>
      </x:c>
      <x:c r="R304" s="87" t="str">
        <x:v>A61M15/0071;;A61M15/0026;;A61M15/0081;;A61M15/009;;A61M15/0091;;A61M15/0096;;A61M2205/276;;A61M15/00;;A61M15/0071;;A61K47/06;;A61M15/002;;A61M15/0025;;A61M15/0026;;A61M15/0081;;A61M15/0086;;A61M15/009;;A61M15/0091;;A61M15/0096;;A61M2202/0007;;A61M2205/276</x:v>
      </x:c>
      <x:c r="S304" s="87" t="str">
        <x:v>A61M15/00;;A61K47/06</x:v>
      </x:c>
      <x:c r="T304" s="87" t="str">
        <x:v>DISCONTINUED</x:v>
      </x:c>
      <x:c r="U304" s="87" t="str">
        <x:v>https://lens.org/046-513-997-917-219</x:v>
      </x:c>
    </x:row>
    <x:row r="305">
      <x:c r="A305" s="87" t="str">
        <x:v>AstraZeneca_Lens_RAW_2009_2024.csv.csv</x:v>
      </x:c>
      <x:c r="B305" s="87" t="str">
        <x:v>AstraZeneca</x:v>
      </x:c>
      <x:c r="C305" s="87"/>
      <x:c r="D305" s="87" t="str">
        <x:v>Yes</x:v>
      </x:c>
      <x:c r="E305" s="87" t="str">
        <x:v>astrazeneca</x:v>
      </x:c>
      <x:c r="F305" s="87" t="str">
        <x:v>303</x:v>
      </x:c>
      <x:c r="G305" s="87" t="str">
        <x:v>103-307-825-905-009</x:v>
      </x:c>
      <x:c r="H305" s="110" t="n">
        <x:v>42480</x:v>
      </x:c>
      <x:c r="I305" s="88" t="n">
        <x:v>2016</x:v>
      </x:c>
      <x:c r="J305" s="87" t="str">
        <x:v>US</x:v>
      </x:c>
      <x:c r="K305" s="87" t="str">
        <x:v>B2</x:v>
      </x:c>
      <x:c r="L305" s="87" t="str">
        <x:v>US 10125135 B2</x:v>
      </x:c>
      <x:c r="M305" s="87" t="str">
        <x:v>ASTRAZENECA AB</x:v>
      </x:c>
      <x:c r="N305" s="87" t="str">
        <x:v>ASTRAZENECA PHARMACEUTICALS LP (2017-04-19);;ASTRAZENECA UK LIMITED (2017-04-19);;ASTRAZENECA AB (2017-04-19)</x:v>
      </x:c>
      <x:c r="O305" s="87" t="str">
        <x:v>Chemical compounds</x:v>
      </x:c>
      <x:c r="P305" s="109" t="n">
        <x:v>0</x:v>
      </x:c>
      <x:c r="Q305" s="109" t="n">
        <x:v>4</x:v>
      </x:c>
      <x:c r="R305" s="87" t="str">
        <x:v>C07D471/14;;A61K31/4745;;A61P35/00;;C07D487/04;;C07D471/14;;A61K31/4745;;C07D487/04</x:v>
      </x:c>
      <x:c r="S305" s="87" t="str">
        <x:v>C07D471/14;;A61K31/4745;;C07D487/04</x:v>
      </x:c>
      <x:c r="T305" s="87" t="str">
        <x:v>ACTIVE</x:v>
      </x:c>
      <x:c r="U305" s="87" t="str">
        <x:v>https://lens.org/103-307-825-905-009</x:v>
      </x:c>
    </x:row>
    <x:row r="306">
      <x:c r="A306" s="87" t="str">
        <x:v>AstraZeneca_Lens_RAW_2009_2024.csv.csv</x:v>
      </x:c>
      <x:c r="B306" s="87" t="str">
        <x:v>AstraZeneca</x:v>
      </x:c>
      <x:c r="C306" s="87"/>
      <x:c r="D306" s="87" t="str">
        <x:v>Yes</x:v>
      </x:c>
      <x:c r="E306" s="87" t="str">
        <x:v>astrazeneca</x:v>
      </x:c>
      <x:c r="F306" s="87" t="str">
        <x:v>304</x:v>
      </x:c>
      <x:c r="G306" s="87" t="str">
        <x:v>062-064-582-113-293</x:v>
      </x:c>
      <x:c r="H306" s="110" t="n">
        <x:v>42311</x:v>
      </x:c>
      <x:c r="I306" s="88" t="n">
        <x:v>2015</x:v>
      </x:c>
      <x:c r="J306" s="87" t="str">
        <x:v>US</x:v>
      </x:c>
      <x:c r="K306" s="87" t="str">
        <x:v>A1</x:v>
      </x:c>
      <x:c r="L306" s="87" t="str">
        <x:v>US 2018/0318287 A1</x:v>
      </x:c>
      <x:c r="M306" s="87" t="str">
        <x:v>ASTRAZENECA AB</x:v>
      </x:c>
      <x:c r="N306" s="87" t="str">
        <x:v>ASTRAZENECA UK LIMITED (2016-11-23);;ASTRAZENECA AB (2016-12-05)</x:v>
      </x:c>
      <x:c r="O306" s="87" t="str">
        <x:v>Imidazo[4,5-c]quinolin-2-one Compounds and Their Use in Treating Cancer</x:v>
      </x:c>
      <x:c r="P306" s="109" t="n">
        <x:v>4</x:v>
      </x:c>
      <x:c r="Q306" s="109" t="n">
        <x:v>23</x:v>
      </x:c>
      <x:c r="R306" s="87" t="str">
        <x:v>A61K31/4745;;A61K31/282;;A61K31/407;;A61K31/704;;A61K33/243;;A61K45/06;;A61P35/00;;C07D471/04;;C07D471/04;;A61K31/4745;;A61K33/243;;A61K45/06;;A61P35/00;;A61K31/4745;;A61K31/282;;A61K31/407;;A61K31/704;;A61K33/243;;A61K45/06;;A61K2121/00;;A61K2300/00;;A61P35/00;;C07D471/04</x:v>
      </x:c>
      <x:c r="S306" s="87" t="str">
        <x:v>A61K31/4745;;A61K33/243;;A61P35/00</x:v>
      </x:c>
      <x:c r="T306" s="87" t="str">
        <x:v>DISCONTINUED</x:v>
      </x:c>
      <x:c r="U306" s="87" t="str">
        <x:v>https://lens.org/062-064-582-113-293</x:v>
      </x:c>
    </x:row>
    <x:row r="307">
      <x:c r="A307" s="87" t="str">
        <x:v>AstraZeneca_Lens_RAW_2009_2024.csv.csv</x:v>
      </x:c>
      <x:c r="B307" s="87" t="str">
        <x:v>AstraZeneca</x:v>
      </x:c>
      <x:c r="C307" s="87"/>
      <x:c r="D307" s="87" t="str">
        <x:v>Yes</x:v>
      </x:c>
      <x:c r="E307" s="87" t="str">
        <x:v>astrazeneca</x:v>
      </x:c>
      <x:c r="F307" s="87" t="str">
        <x:v>305</x:v>
      </x:c>
      <x:c r="G307" s="87" t="str">
        <x:v>159-003-643-523-914</x:v>
      </x:c>
      <x:c r="H307" s="110" t="n">
        <x:v>42313</x:v>
      </x:c>
      <x:c r="I307" s="88" t="n">
        <x:v>2015</x:v>
      </x:c>
      <x:c r="J307" s="87" t="str">
        <x:v>US</x:v>
      </x:c>
      <x:c r="K307" s="87" t="str">
        <x:v>A1</x:v>
      </x:c>
      <x:c r="L307" s="87" t="str">
        <x:v>US 2018/0280377 A1</x:v>
      </x:c>
      <x:c r="M307" s="87" t="str">
        <x:v>ASTRAZENECA AB</x:v>
      </x:c>
      <x:c r="N307" s="87" t="str">
        <x:v>ASTRAZENECA UK LIMITED (2016-11-23);;ASTRAZENECA AB (2016-12-05)</x:v>
      </x:c>
      <x:c r="O307" s="87" t="str">
        <x:v>Imidazo[4,5-c]quinolin-2-one Compounds and Their Use in Treating Cancer</x:v>
      </x:c>
      <x:c r="P307" s="109" t="n">
        <x:v>3</x:v>
      </x:c>
      <x:c r="Q307" s="109" t="n">
        <x:v>24</x:v>
      </x:c>
      <x:c r="R307" s="87" t="str">
        <x:v>C07D471/04;;A61P35/04;;A61K31/17;;A61K31/195;;A61K31/407;;A61K31/4184;;A61K31/4741;;A61K31/4745;;A61K31/506;;A61K31/555;;A61K31/675;;A61K31/704;;A61K33/243;;A61P35/00;;A61K31/4745;;A61K45/06;;C07D471/04;;A61K33/243;;C07D471/04;;A61K33/243;;A61P35/04;;A61K31/17;;A61K31/195;;A61K31/407;;A61K31/4184;;A61K31/4741;;A61K31/4745;;A61K31/506;;A61K31/555;;A61K31/675;;A61K31/704;;A61K39/39541;;A61K2300/00</x:v>
      </x:c>
      <x:c r="S307" s="87" t="str">
        <x:v>A61K31/4745;;A61K33/243;;A61P35/04</x:v>
      </x:c>
      <x:c r="T307" s="87" t="str">
        <x:v>DISCONTINUED</x:v>
      </x:c>
      <x:c r="U307" s="87" t="str">
        <x:v>https://lens.org/159-003-643-523-914</x:v>
      </x:c>
    </x:row>
    <x:row r="308">
      <x:c r="A308" s="87" t="str">
        <x:v>AstraZeneca_Lens_RAW_2009_2024.csv.csv</x:v>
      </x:c>
      <x:c r="B308" s="87" t="str">
        <x:v>AstraZeneca</x:v>
      </x:c>
      <x:c r="C308" s="87"/>
      <x:c r="D308" s="87" t="str">
        <x:v>Yes</x:v>
      </x:c>
      <x:c r="E308" s="87" t="str">
        <x:v>astrazeneca</x:v>
      </x:c>
      <x:c r="F308" s="87" t="str">
        <x:v>306</x:v>
      </x:c>
      <x:c r="G308" s="87" t="str">
        <x:v>025-927-877-699-331</x:v>
      </x:c>
      <x:c r="H308" s="110" t="n">
        <x:v>41919</x:v>
      </x:c>
      <x:c r="I308" s="88" t="n">
        <x:v>2014</x:v>
      </x:c>
      <x:c r="J308" s="87" t="str">
        <x:v>US</x:v>
      </x:c>
      <x:c r="K308" s="87" t="str">
        <x:v>B2</x:v>
      </x:c>
      <x:c r="L308" s="87" t="str">
        <x:v>US 10053453 B2</x:v>
      </x:c>
      <x:c r="M308" s="87" t="str">
        <x:v>ASTRAZENECA AB</x:v>
      </x:c>
      <x:c r="N308" s="87" t="str">
        <x:v>MEDIMMUNE LIMITED (2015-09-29);;ASTRAZENECA PHARMACEUTICALS LP (2015-10-01);;ASTRAZENECA AB (2015-09-09);;ASTRAZENECA UK LIMITED (2015-10-02);;SPRINT BIOSCIENCE (2015-09-11);;CHARNWOOD MOLECULAR LTD (2015-09-11)</x:v>
      </x:c>
      <x:c r="O308" s="87" t="str">
        <x:v>Compounds and their use as BACE inhibitors</x:v>
      </x:c>
      <x:c r="P308" s="109" t="n">
        <x:v>0</x:v>
      </x:c>
      <x:c r="Q308" s="109" t="n">
        <x:v>6</x:v>
      </x:c>
      <x:c r="R308" s="87" t="str">
        <x:v>C07D413/04;;A61K45/06;;A61P25/00;;A61P25/28;;C07D263/52;;C07D263/62;;C07D413/10;;C07D413/04;;A61K45/06;;C07B2200/05;;C07D263/52;;C07D263/62;;C07D265/12;;C07D413/10</x:v>
      </x:c>
      <x:c r="S308" s="87" t="str">
        <x:v>C07D413/04;;C07D263/52;;C07D265/12</x:v>
      </x:c>
      <x:c r="T308" s="87" t="str">
        <x:v>ACTIVE</x:v>
      </x:c>
      <x:c r="U308" s="87" t="str">
        <x:v>https://lens.org/025-927-877-699-331</x:v>
      </x:c>
    </x:row>
    <x:row r="309">
      <x:c r="A309" s="87" t="str">
        <x:v>AstraZeneca_Lens_RAW_2009_2024.csv.csv</x:v>
      </x:c>
      <x:c r="B309" s="87" t="str">
        <x:v>AstraZeneca</x:v>
      </x:c>
      <x:c r="C309" s="87"/>
      <x:c r="D309" s="87" t="str">
        <x:v>Yes</x:v>
      </x:c>
      <x:c r="E309" s="87" t="str">
        <x:v>astrazeneca</x:v>
      </x:c>
      <x:c r="F309" s="87" t="str">
        <x:v>307</x:v>
      </x:c>
      <x:c r="G309" s="87" t="str">
        <x:v>030-609-060-084-348</x:v>
      </x:c>
      <x:c r="H309" s="110" t="n">
        <x:v>42338</x:v>
      </x:c>
      <x:c r="I309" s="88" t="n">
        <x:v>2015</x:v>
      </x:c>
      <x:c r="J309" s="87" t="str">
        <x:v>US</x:v>
      </x:c>
      <x:c r="K309" s="87" t="str">
        <x:v>B2</x:v>
      </x:c>
      <x:c r="L309" s="87" t="str">
        <x:v>US 10040789 B2</x:v>
      </x:c>
      <x:c r="M309" s="87" t="str">
        <x:v>ASTRAZENECA AB;;CANCER RESEARCH TECH LTD</x:v>
      </x:c>
      <x:c r="N309" s="87" t="str">
        <x:v>ASTRAZENECA UK LIMITED (2018-04-30);;ASTRAZENECA AB (2018-06-22);;CANCER RESEARCH TECHNOLOGY LIMITED (2018-06-22)</x:v>
      </x:c>
      <x:c r="O309" s="87" t="str">
        <x:v>1,3,4-thiadiazole compounds and their use in treating cancer</x:v>
      </x:c>
      <x:c r="P309" s="109" t="n">
        <x:v>3</x:v>
      </x:c>
      <x:c r="Q309" s="109" t="n">
        <x:v>37</x:v>
      </x:c>
      <x:c r="R309" s="87" t="str">
        <x:v>A61K31/433;;A61K31/501;;A61P35/00;;A61P43/00;;C07D417/14;;C07D417/14;;A61K31/433;;A61K31/501;;A61P35/00;;A61P43/00;;C07D417/14;;A61K31/433;;A61K31/501;;A61P35/00;;C07D417/14;;A61K31/433;;A61K31/501</x:v>
      </x:c>
      <x:c r="S309" s="87" t="str">
        <x:v>C07D417/14;;A61K31/433;;A61K31/501</x:v>
      </x:c>
      <x:c r="T309" s="87" t="str">
        <x:v>ACTIVE</x:v>
      </x:c>
      <x:c r="U309" s="87" t="str">
        <x:v>https://lens.org/030-609-060-084-348</x:v>
      </x:c>
    </x:row>
    <x:row r="310">
      <x:c r="A310" s="87" t="str">
        <x:v>AstraZeneca_Lens_RAW_2009_2024.csv.csv</x:v>
      </x:c>
      <x:c r="B310" s="87" t="str">
        <x:v>AstraZeneca</x:v>
      </x:c>
      <x:c r="C310" s="87"/>
      <x:c r="D310" s="87" t="str">
        <x:v>Yes</x:v>
      </x:c>
      <x:c r="E310" s="87" t="str">
        <x:v>astrazeneca</x:v>
      </x:c>
      <x:c r="F310" s="87" t="str">
        <x:v>308</x:v>
      </x:c>
      <x:c r="G310" s="87" t="str">
        <x:v>051-120-611-338-374</x:v>
      </x:c>
      <x:c r="H310" s="110" t="n">
        <x:v>41016</x:v>
      </x:c>
      <x:c r="I310" s="88" t="n">
        <x:v>2012</x:v>
      </x:c>
      <x:c r="J310" s="87" t="str">
        <x:v>US</x:v>
      </x:c>
      <x:c r="K310" s="87" t="str">
        <x:v>B2</x:v>
      </x:c>
      <x:c r="L310" s="87" t="str">
        <x:v>US 10039766 B2</x:v>
      </x:c>
      <x:c r="M310" s="87" t="str">
        <x:v>ASTRAZENECA AB</x:v>
      </x:c>
      <x:c r="N310" s="87" t="str">
        <x:v>ASTRAZENECA UK LIMITED (2013-04-17);;ASTRAZENECA AB (2013-04-17)</x:v>
      </x:c>
      <x:c r="O310" s="87" t="str">
        <x:v>Crystalline forms of (s)-4-amino-n-(1-(4-chlorophenyl)-3-hydroxypropyl)-1-(7h-pyrrolo[2,3-d] pyrimidin-4-y1) piperidine-4-carboxamide</x:v>
      </x:c>
      <x:c r="P310" s="109" t="n">
        <x:v>1</x:v>
      </x:c>
      <x:c r="Q310" s="109" t="n">
        <x:v>28</x:v>
      </x:c>
      <x:c r="R310" s="87" t="str">
        <x:v>C07D487/04;;A61K31/519;;A61P1/04;;A61P15/00;;A61P35/00;;A61P35/04;;A61P43/00;;C07D487/04;;A61K9/2013;;A61K9/2018;;A61K9/2054;;A61K31/519;;C07D487/04;;A61K31/519;;A61K9/2013;;A61K9/2018;;A61K9/2054;;C07D487/04</x:v>
      </x:c>
      <x:c r="S310" s="87" t="str">
        <x:v>A61K31/519;;A61K9/20;;C07D487/04</x:v>
      </x:c>
      <x:c r="T310" s="87" t="str">
        <x:v>ACTIVE</x:v>
      </x:c>
      <x:c r="U310" s="87" t="str">
        <x:v>https://lens.org/051-120-611-338-374</x:v>
      </x:c>
    </x:row>
    <x:row r="311">
      <x:c r="A311" s="87" t="str">
        <x:v>AstraZeneca_Lens_RAW_2009_2024.csv.csv</x:v>
      </x:c>
      <x:c r="B311" s="87" t="str">
        <x:v>AstraZeneca</x:v>
      </x:c>
      <x:c r="C311" s="87"/>
      <x:c r="D311" s="87" t="str">
        <x:v>Yes</x:v>
      </x:c>
      <x:c r="E311" s="87" t="str">
        <x:v>astrazeneca</x:v>
      </x:c>
      <x:c r="F311" s="87" t="str">
        <x:v>309</x:v>
      </x:c>
      <x:c r="G311" s="87" t="str">
        <x:v>100-001-057-197-239</x:v>
      </x:c>
      <x:c r="H311" s="110" t="n">
        <x:v>40130</x:v>
      </x:c>
      <x:c r="I311" s="88" t="n">
        <x:v>2009</x:v>
      </x:c>
      <x:c r="J311" s="87" t="str">
        <x:v>EP</x:v>
      </x:c>
      <x:c r="K311" s="87" t="str">
        <x:v>B1</x:v>
      </x:c>
      <x:c r="L311" s="87" t="str">
        <x:v>EP 2498759 B1</x:v>
      </x:c>
      <x:c r="M311" s="87" t="str">
        <x:v>ASTRAZENECA AB;;ASTRAZENECA UK LTD</x:v>
      </x:c>
      <x:c r="N311" s="87" t="str">
        <x:v>ASTRAZENECA UK LIMITED (2016-09-21);;ASTRAZENECA AB (2016-09-21)</x:v>
      </x:c>
      <x:c r="O311" s="87" t="str">
        <x:v>IMMEDIATE RELEASE TABLET FORMULATIONS</x:v>
      </x:c>
      <x:c r="P311" s="109" t="n">
        <x:v>3</x:v>
      </x:c>
      <x:c r="Q311" s="109" t="n">
        <x:v>35</x:v>
      </x:c>
      <x:c r="R311" s="87" t="str">
        <x:v>A61K9/2054;;A61K9/209;;A61K31/155;;A61K31/70;;A61K45/06;;A61P3/04;;A61P3/06;;A61P3/10;;A61P5/50;;A61P9/00;;A61P9/10;;A61P9/12;;A61P13/12;;A61P17/02;;A61P25/00;;A61P27/02;;A61P27/12;;A61P43/00;;A61K9/2054;;A61K9/209;;A61K31/155;;A61K31/351;;A61K31/70;;A61K45/06</x:v>
      </x:c>
      <x:c r="S311" s="87" t="str">
        <x:v>A61K9/20;;A61K31/155;;A61K31/351;;A61K45/06</x:v>
      </x:c>
      <x:c r="T311" s="87" t="str">
        <x:v>ACTIVE</x:v>
      </x:c>
      <x:c r="U311" s="87" t="str">
        <x:v>https://lens.org/100-001-057-197-239</x:v>
      </x:c>
    </x:row>
    <x:row r="312">
      <x:c r="A312" s="87" t="str">
        <x:v>AstraZeneca_Lens_RAW_2009_2024.csv.csv</x:v>
      </x:c>
      <x:c r="B312" s="87" t="str">
        <x:v>AstraZeneca</x:v>
      </x:c>
      <x:c r="C312" s="87"/>
      <x:c r="D312" s="87" t="str">
        <x:v>Yes</x:v>
      </x:c>
      <x:c r="E312" s="87" t="str">
        <x:v>astrazeneca</x:v>
      </x:c>
      <x:c r="F312" s="87" t="str">
        <x:v>310</x:v>
      </x:c>
      <x:c r="G312" s="87" t="str">
        <x:v>131-530-782-631-649</x:v>
      </x:c>
      <x:c r="H312" s="110" t="n">
        <x:v>40130</x:v>
      </x:c>
      <x:c r="I312" s="88" t="n">
        <x:v>2009</x:v>
      </x:c>
      <x:c r="J312" s="87" t="str">
        <x:v>EP</x:v>
      </x:c>
      <x:c r="K312" s="87" t="str">
        <x:v>B1</x:v>
      </x:c>
      <x:c r="L312" s="87" t="str">
        <x:v>EP 2498758 B1</x:v>
      </x:c>
      <x:c r="M312" s="87" t="str">
        <x:v>ASTRAZENECA AB;;ASTRAZENECA UK LTD</x:v>
      </x:c>
      <x:c r="N312" s="87" t="str">
        <x:v>ASTRAZENECA AB (2016-09-21);;ASTRAZENECA UK LIMITED (2016-09-21)</x:v>
      </x:c>
      <x:c r="O312" s="87" t="str">
        <x:v>BILAYER TABLET FORMULATIONS</x:v>
      </x:c>
      <x:c r="P312" s="109" t="n">
        <x:v>5</x:v>
      </x:c>
      <x:c r="Q312" s="109" t="n">
        <x:v>57</x:v>
      </x:c>
      <x:c r="R312" s="87" t="str">
        <x:v>A61K9/209;;A61K9/2054;;A61K31/155;;A61K31/403;;A61K31/70;;A61K31/7004;;A61K31/7034;;A61K31/7042;;A61K45/06;;A61P3/00;;A61P3/04;;A61P3/06;;A61P3/10;;A61P5/50;;A61P9/10;;A61P9/12;;A61P13/12;;A61P17/02;;A61P25/00;;A61P27/02;;A61P27/12;;A61P43/00;;A61K31/132;;A61K31/7028;;A61K9/209;;A61K9/2054;;A61K9/282;;A61K31/155;;A61K31/403;;A61K31/70;;A61K31/7004;;A61K31/7034;;A61K31/7042;;A61K45/06</x:v>
      </x:c>
      <x:c r="S312" s="87" t="str">
        <x:v>A61K9/20;;A61K9/24;;A61K31/155;;A61K31/70;;A61K31/7004;;A61K31/7034;;A61K31/7042;;A61K45/06</x:v>
      </x:c>
      <x:c r="T312" s="87" t="str">
        <x:v>ACTIVE</x:v>
      </x:c>
      <x:c r="U312" s="87" t="str">
        <x:v>https://lens.org/131-530-782-631-649</x:v>
      </x:c>
    </x:row>
    <x:row r="313">
      <x:c r="A313" s="87" t="str">
        <x:v>AstraZeneca_Lens_RAW_2009_2024.csv.csv</x:v>
      </x:c>
      <x:c r="B313" s="87" t="str">
        <x:v>AstraZeneca</x:v>
      </x:c>
      <x:c r="C313" s="87"/>
      <x:c r="D313" s="87" t="str">
        <x:v>Yes</x:v>
      </x:c>
      <x:c r="E313" s="87" t="str">
        <x:v>astrazeneca</x:v>
      </x:c>
      <x:c r="F313" s="87" t="str">
        <x:v>311</x:v>
      </x:c>
      <x:c r="G313" s="87" t="str">
        <x:v>181-427-487-846-565</x:v>
      </x:c>
      <x:c r="H313" s="110" t="n">
        <x:v>40683</x:v>
      </x:c>
      <x:c r="I313" s="88" t="n">
        <x:v>2011</x:v>
      </x:c>
      <x:c r="J313" s="87" t="str">
        <x:v>US</x:v>
      </x:c>
      <x:c r="K313" s="87" t="str">
        <x:v>B2</x:v>
      </x:c>
      <x:c r="L313" s="87" t="str">
        <x:v>US 10028953 B2</x:v>
      </x:c>
      <x:c r="M313" s="87" t="str">
        <x:v>ASTRAZENECA UK LTD</x:v>
      </x:c>
      <x:c r="N313" s="87" t="str">
        <x:v>ASTRAZENECA PHARMACEUTICALS LP (2012-08-30);;ASTRAZENECA UK LIMITED (2012-08-30)</x:v>
      </x:c>
      <x:c r="O313" s="87" t="str">
        <x:v>Pharmaceutical composition of rosuvastatin calcium</x:v>
      </x:c>
      <x:c r="P313" s="109" t="n">
        <x:v>0</x:v>
      </x:c>
      <x:c r="Q313" s="109" t="n">
        <x:v>31</x:v>
      </x:c>
      <x:c r="R313" s="87" t="str">
        <x:v>A61K9/2893;;A61K9/167;;A61K9/1694;;A61K9/209;;A61K9/2813;;A61K9/282;;A61K9/2866;;A61K9/2886;;A61K9/501;;A61K9/5015;;A61K9/5042;;A61K9/5073;;A61K31/155;;A61K31/455;;A61K31/505;;A61K31/616;;A61K31/505;;A61K9/167;;A61K9/1676;;A61K9/2086;;A61K9/209;;A61K9/5073;;A61K9/5078;;A61K31/155;;A61K31/455;;A61K31/616;;A61P3/06;;A61P9/10;;A61P43/00;;A61K9/209;;A61K9/2813;;A61K9/282;;A61K9/2853;;A61K9/2866;;A61K9/5073;;A61K31/155;;A61K31/455;;A61K31/505;;A61K45/06;;A61K2300/00;;A61K31/505;;A61K9/0053;;A61K9/2095;;A61K9/28;;A61K9/282;;A61K9/2853;;A61K9/2866;;A61K9/2886;;A61K9/2893;;A61K31/155;;A61K47/34;;A61K47/38;;A61K2121/00;;A61K31/505;;A61K9/167;;A61K9/1676;;A61K9/1694;;A61K9/2086;;A61K9/209;;A61K9/2813;;A61K9/282;;A61K9/2866;;A61K9/2886;;A61K9/2893;;A61K9/501;;A61K9/5015;;A61K9/5042;;A61K9/5073;;A61K9/5078;;A61K31/155;;A61K31/455;;A61K31/616</x:v>
      </x:c>
      <x:c r="S313" s="87" t="str">
        <x:v>A61K31/505;;A61K9/16;;A61K9/20;;A61K9/24;;A61K9/28;;A61K9/50;;A61K31/155;;A61K31/455;;A61K31/616</x:v>
      </x:c>
      <x:c r="T313" s="87" t="str">
        <x:v>ACTIVE</x:v>
      </x:c>
      <x:c r="U313" s="87" t="str">
        <x:v>https://lens.org/181-427-487-846-565</x:v>
      </x:c>
    </x:row>
    <x:row r="314">
      <x:c r="A314" s="87" t="str">
        <x:v>AstraZeneca_Lens_RAW_2009_2024.csv.csv</x:v>
      </x:c>
      <x:c r="B314" s="87" t="str">
        <x:v>AstraZeneca</x:v>
      </x:c>
      <x:c r="C314" s="87"/>
      <x:c r="D314" s="87" t="str">
        <x:v>Yes</x:v>
      </x:c>
      <x:c r="E314" s="87" t="str">
        <x:v>astrazeneca</x:v>
      </x:c>
      <x:c r="F314" s="87" t="str">
        <x:v>312</x:v>
      </x:c>
      <x:c r="G314" s="87" t="str">
        <x:v>112-212-516-367-125</x:v>
      </x:c>
      <x:c r="H314" s="110" t="n">
        <x:v>41820</x:v>
      </x:c>
      <x:c r="I314" s="88" t="n">
        <x:v>2014</x:v>
      </x:c>
      <x:c r="J314" s="87" t="str">
        <x:v>US</x:v>
      </x:c>
      <x:c r="K314" s="87" t="str">
        <x:v>B2</x:v>
      </x:c>
      <x:c r="L314" s="87" t="str">
        <x:v>US 10017502 B2</x:v>
      </x:c>
      <x:c r="M314" s="87" t="str">
        <x:v>ASTRAZENECA AB</x:v>
      </x:c>
      <x:c r="N314" s="87" t="str">
        <x:v>ASTRAZENECA AB (2015-06-29);;ASTRAZENECA UK LIMITED (2015-07-02)</x:v>
      </x:c>
      <x:c r="O314" s="87" t="str">
        <x:v>Benzoxazinone amides as mineralocorticoid receptor modulators</x:v>
      </x:c>
      <x:c r="P314" s="109" t="n">
        <x:v>0</x:v>
      </x:c>
      <x:c r="Q314" s="109" t="n">
        <x:v>39</x:v>
      </x:c>
      <x:c r="R314" s="87" t="str">
        <x:v>C07D265/36;;C07D413/10;;A61P3/00;;A61P3/10;;A61P9/00;;A61P9/04;;A61P9/10;;A61P9/12;;A61P13/12;;A61P29/00;;C07D265/36;;C07D413/06;;C07D265/36;;A61K31/538;;C07D413/06;;C07D413/10;;C07D265/36;;C07D413/06</x:v>
      </x:c>
      <x:c r="S314" s="87" t="str">
        <x:v>C07D413/10</x:v>
      </x:c>
      <x:c r="T314" s="87" t="str">
        <x:v>ACTIVE</x:v>
      </x:c>
      <x:c r="U314" s="87" t="str">
        <x:v>https://lens.org/112-212-516-367-125</x:v>
      </x:c>
    </x:row>
    <x:row r="315">
      <x:c r="A315" s="87" t="str">
        <x:v>AstraZeneca_Lens_RAW_2009_2024.csv.csv</x:v>
      </x:c>
      <x:c r="B315" s="87" t="str">
        <x:v>AstraZeneca</x:v>
      </x:c>
      <x:c r="C315" s="87"/>
      <x:c r="D315" s="87" t="str">
        <x:v>Yes</x:v>
      </x:c>
      <x:c r="E315" s="87" t="str">
        <x:v>astrazeneca</x:v>
      </x:c>
      <x:c r="F315" s="87" t="str">
        <x:v>313</x:v>
      </x:c>
      <x:c r="G315" s="87" t="str">
        <x:v>191-840-660-936-591</x:v>
      </x:c>
      <x:c r="H315" s="110" t="n">
        <x:v>40736</x:v>
      </x:c>
      <x:c r="I315" s="88" t="n">
        <x:v>2011</x:v>
      </x:c>
      <x:c r="J315" s="87" t="str">
        <x:v>US</x:v>
      </x:c>
      <x:c r="K315" s="87" t="str">
        <x:v>B2</x:v>
      </x:c>
      <x:c r="L315" s="87" t="str">
        <x:v>US 9975881 B2</x:v>
      </x:c>
      <x:c r="M315" s="87" t="str">
        <x:v>ASTRAZENECA AB</x:v>
      </x:c>
      <x:c r="N315" s="87" t="str">
        <x:v>ASTRAZENECA UK LIMITED (2012-08-02);;ASTRAZENECA AB (2012-07-24)</x:v>
      </x:c>
      <x:c r="O315" s="87" t="str">
        <x:v>Compound</x:v>
      </x:c>
      <x:c r="P315" s="109" t="n">
        <x:v>0</x:v>
      </x:c>
      <x:c r="Q315" s="109" t="n">
        <x:v>69</x:v>
      </x:c>
      <x:c r="R315" s="87" t="str">
        <x:v>C07D403/12;;C07C69/92;;C07D205/04;;C07D317/20;;C07D317/24;;C07D403/12;;A61K31/506;;A61P1/00;;A61P1/02;;A61P1/04;;A61P9/10;;A61P11/00;;A61P11/02;;A61P11/06;;A61P17/06;;A61P19/00;;A61P19/02;;A61P19/08;;A61P19/10;;A61P29/00;;A61P37/00;;A61P37/08;;A61P43/00;;C07C69/92;;C07D205/04;;C07D239/56;;C07D307/12;;C07D317/18;;C07D317/20;;C07D317/24;;C07D317/26;;C07D403/12;;A61K31/506;;C07C65/21;;C07C69/78;;C07C69/92;;C07D205/04;;C07D239/56;;C07D307/12;;C07D317/18;;C07D317/20;;C07D317/24;;C07D317/26</x:v>
      </x:c>
      <x:c r="S315" s="87" t="str">
        <x:v>A61K31/506;;C07C65/21;;C07C69/78;;C07C69/92;;C07D205/04;;C07D239/56;;C07D307/12;;C07D317/18;;C07D317/20;;C07D317/24;;C07D317/26;;C07D403/12</x:v>
      </x:c>
      <x:c r="T315" s="87" t="str">
        <x:v>INACTIVE</x:v>
      </x:c>
      <x:c r="U315" s="87" t="str">
        <x:v>https://lens.org/191-840-660-936-591</x:v>
      </x:c>
    </x:row>
    <x:row r="316">
      <x:c r="A316" s="87" t="str">
        <x:v>AstraZeneca_Lens_RAW_2009_2024.csv.csv</x:v>
      </x:c>
      <x:c r="B316" s="87" t="str">
        <x:v>AstraZeneca</x:v>
      </x:c>
      <x:c r="C316" s="87"/>
      <x:c r="D316" s="87" t="str">
        <x:v>Yes</x:v>
      </x:c>
      <x:c r="E316" s="87" t="str">
        <x:v>astrazeneca</x:v>
      </x:c>
      <x:c r="F316" s="87" t="str">
        <x:v>314</x:v>
      </x:c>
      <x:c r="G316" s="87" t="str">
        <x:v>099-088-728-484-214</x:v>
      </x:c>
      <x:c r="H316" s="110" t="n">
        <x:v>41787</x:v>
      </x:c>
      <x:c r="I316" s="88" t="n">
        <x:v>2014</x:v>
      </x:c>
      <x:c r="J316" s="87" t="str">
        <x:v>US</x:v>
      </x:c>
      <x:c r="K316" s="87" t="str">
        <x:v>B2</x:v>
      </x:c>
      <x:c r="L316" s="87" t="str">
        <x:v>US 9879017 B2</x:v>
      </x:c>
      <x:c r="M316" s="87" t="str">
        <x:v>ASTRAZENECA AB</x:v>
      </x:c>
      <x:c r="N316" s="87" t="str">
        <x:v>ASTRAZENECA INDIA PRIVATE LIMITED (2014-06-03);;ASTRAZENECA UK LIMITED (2014-06-19);;ASTRAZENECA AB (2014-06-19)</x:v>
      </x:c>
      <x:c r="O316" s="87" t="str">
        <x:v>Processes for the preparation of AZD5363 and intermediate used therein</x:v>
      </x:c>
      <x:c r="P316" s="109" t="n">
        <x:v>0</x:v>
      </x:c>
      <x:c r="Q316" s="109" t="n">
        <x:v>29</x:v>
      </x:c>
      <x:c r="R316" s="87" t="str">
        <x:v>C07D487/04;;C07D519/00;;C07D487/04;;A61P35/00;;C07D498/10;;C07D519/00;;C07D487/04;;C07D498/10;;C07D487/04;;A61K31/438;;A61K31/519;;C07D498/10;;C07D487/04;;C07D498/10;;C07D487/04;;C07D498/10;;C07D519/00</x:v>
      </x:c>
      <x:c r="S316" s="87" t="str">
        <x:v>C07D487/04;;C07D519/00</x:v>
      </x:c>
      <x:c r="T316" s="87" t="str">
        <x:v>ACTIVE</x:v>
      </x:c>
      <x:c r="U316" s="87" t="str">
        <x:v>https://lens.org/099-088-728-484-214</x:v>
      </x:c>
    </x:row>
    <x:row r="317">
      <x:c r="A317" s="87" t="str">
        <x:v>AstraZeneca_Lens_RAW_2009_2024.csv.csv</x:v>
      </x:c>
      <x:c r="B317" s="87" t="str">
        <x:v>AstraZeneca</x:v>
      </x:c>
      <x:c r="C317" s="87"/>
      <x:c r="D317" s="87" t="str">
        <x:v>Yes</x:v>
      </x:c>
      <x:c r="E317" s="87" t="str">
        <x:v>astrazeneca</x:v>
      </x:c>
      <x:c r="F317" s="87" t="str">
        <x:v>315</x:v>
      </x:c>
      <x:c r="G317" s="87" t="str">
        <x:v>115-716-156-424-074</x:v>
      </x:c>
      <x:c r="H317" s="110" t="n">
        <x:v>41907</x:v>
      </x:c>
      <x:c r="I317" s="88" t="n">
        <x:v>2014</x:v>
      </x:c>
      <x:c r="J317" s="87" t="str">
        <x:v>US</x:v>
      </x:c>
      <x:c r="K317" s="87" t="str">
        <x:v>A1</x:v>
      </x:c>
      <x:c r="L317" s="87" t="str">
        <x:v>US 2018/0021359 A1</x:v>
      </x:c>
      <x:c r="M317" s="87" t="str">
        <x:v>ASTRAZENECA AB</x:v>
      </x:c>
      <x:c r="N317" s="87" t="str">
        <x:v>ASTRAZENECA AB (2016-02-01)</x:v>
      </x:c>
      <x:c r="O317" s="87" t="str">
        <x:v>COMBINATION COMPRISING AN OMEGA-3 FATTY ACID COMPOSITION AND AN SGLT2 INHIBITOR</x:v>
      </x:c>
      <x:c r="P317" s="109" t="n">
        <x:v>0</x:v>
      </x:c>
      <x:c r="Q317" s="109" t="n">
        <x:v>17</x:v>
      </x:c>
      <x:c r="R317" s="87" t="str">
        <x:v>A61K31/7034;;A61K31/202;;A61K45/06;;A61P1/16;;A61P3/04;;A61P3/06;;A61P3/10;;A61P19/04;;A61P43/00;;A61K31/202;;A61K31/7034;;A61K45/06;;A61K2300/00;;A61K45/06;;A61K31/202;;A61K31/7034;;A61P1/16;;A61P3/04;;A61P3/10;;A61K31/7034;;A61K31/202;;A61K45/06</x:v>
      </x:c>
      <x:c r="S317" s="87" t="str">
        <x:v>A61K31/7034;;A61K31/202;;A61K45/06</x:v>
      </x:c>
      <x:c r="T317" s="87" t="str">
        <x:v>DISCONTINUED</x:v>
      </x:c>
      <x:c r="U317" s="87" t="str">
        <x:v>https://lens.org/115-716-156-424-074</x:v>
      </x:c>
    </x:row>
    <x:row r="318">
      <x:c r="A318" s="87" t="str">
        <x:v>AstraZeneca_Lens_RAW_2009_2024.csv.csv</x:v>
      </x:c>
      <x:c r="B318" s="87" t="str">
        <x:v>AstraZeneca</x:v>
      </x:c>
      <x:c r="C318" s="87"/>
      <x:c r="D318" s="87" t="str">
        <x:v>Yes</x:v>
      </x:c>
      <x:c r="E318" s="87" t="str">
        <x:v>astrazeneca</x:v>
      </x:c>
      <x:c r="F318" s="87" t="str">
        <x:v>316</x:v>
      </x:c>
      <x:c r="G318" s="87" t="str">
        <x:v>119-850-140-530-289</x:v>
      </x:c>
      <x:c r="H318" s="110" t="n">
        <x:v>41337</x:v>
      </x:c>
      <x:c r="I318" s="88" t="n">
        <x:v>2013</x:v>
      </x:c>
      <x:c r="J318" s="87" t="str">
        <x:v>US</x:v>
      </x:c>
      <x:c r="K318" s="87" t="str">
        <x:v>B2</x:v>
      </x:c>
      <x:c r="L318" s="87" t="str">
        <x:v>US 9763950 B2</x:v>
      </x:c>
      <x:c r="M318" s="87" t="str">
        <x:v>ASTRAZENECA AB</x:v>
      </x:c>
      <x:c r="N318" s="87" t="str">
        <x:v>ASTRAZENECA UK LIMITED (2014-05-12);;ASTRAZENECA AB (2014-05-13)</x:v>
      </x:c>
      <x:c r="O318" s="87" t="str">
        <x:v>Combination treatment</x:v>
      </x:c>
      <x:c r="P318" s="109" t="n">
        <x:v>0</x:v>
      </x:c>
      <x:c r="Q318" s="109" t="n">
        <x:v>24</x:v>
      </x:c>
      <x:c r="R318" s="87" t="str">
        <x:v>A61K31/5377;;A61K31/337;;A61P1/04;;A61P1/18;;A61P11/00;;A61P13/08;;A61P15/00;;A61P35/00;;A61P43/00;;A61K31/337;;A61K31/5377;;A61P35/00;;A61K31/5377;;A61K31/337</x:v>
      </x:c>
      <x:c r="S318" s="87" t="str">
        <x:v>A61K31/54;;A61K31/337;;A61K31/535;;A61K31/5377</x:v>
      </x:c>
      <x:c r="T318" s="87" t="str">
        <x:v>INACTIVE</x:v>
      </x:c>
      <x:c r="U318" s="87" t="str">
        <x:v>https://lens.org/119-850-140-530-289</x:v>
      </x:c>
    </x:row>
    <x:row r="319">
      <x:c r="A319" s="87" t="str">
        <x:v>AstraZeneca_Lens_RAW_2009_2024.csv.csv</x:v>
      </x:c>
      <x:c r="B319" s="87" t="str">
        <x:v>AstraZeneca</x:v>
      </x:c>
      <x:c r="C319" s="87"/>
      <x:c r="D319" s="87" t="str">
        <x:v>Yes</x:v>
      </x:c>
      <x:c r="E319" s="87" t="str">
        <x:v>astrazeneca</x:v>
      </x:c>
      <x:c r="F319" s="87" t="str">
        <x:v>317</x:v>
      </x:c>
      <x:c r="G319" s="87" t="str">
        <x:v>154-810-482-143-775</x:v>
      </x:c>
      <x:c r="H319" s="110" t="n">
        <x:v>40877</x:v>
      </x:c>
      <x:c r="I319" s="88" t="n">
        <x:v>2011</x:v>
      </x:c>
      <x:c r="J319" s="87" t="str">
        <x:v>US</x:v>
      </x:c>
      <x:c r="K319" s="87" t="str">
        <x:v>B2</x:v>
      </x:c>
      <x:c r="L319" s="87" t="str">
        <x:v>US 9737540 B2</x:v>
      </x:c>
      <x:c r="M319" s="87" t="str">
        <x:v>ASTRAZENECA AB</x:v>
      </x:c>
      <x:c r="N319" s="87" t="str">
        <x:v>ASTRAZENECA UK LIMITED (2012-12-10);;ASTRAZENECA AB (2012-12-10)</x:v>
      </x:c>
      <x:c r="O319" s="87" t="str">
        <x:v>Combination treatment of cancer</x:v>
      </x:c>
      <x:c r="P319" s="109" t="n">
        <x:v>1</x:v>
      </x:c>
      <x:c r="Q319" s="109" t="n">
        <x:v>49</x:v>
      </x:c>
      <x:c r="R319" s="87" t="str">
        <x:v>A61K31/519;;A61K31/277;;A61K31/4166;;A61K31/5025;;A61K31/58;;A61P13/08;;A61K31/519;;A61K31/138;;A61K31/4166;;A61K31/519;;A61K31/277;;A61K31/4166;;A61K31/5025;;A61K31/58;;A61K45/06;;A61P13/08</x:v>
      </x:c>
      <x:c r="S319" s="87" t="str">
        <x:v>A61K31/519;;A61K31/277;;A61K31/4166;;A61K31/5025;;A61K31/58;;A61K45/06</x:v>
      </x:c>
      <x:c r="T319" s="87" t="str">
        <x:v>ACTIVE</x:v>
      </x:c>
      <x:c r="U319" s="87" t="str">
        <x:v>https://lens.org/154-810-482-143-775</x:v>
      </x:c>
    </x:row>
    <x:row r="320">
      <x:c r="A320" s="87" t="str">
        <x:v>AstraZeneca_Lens_RAW_2009_2024.csv.csv</x:v>
      </x:c>
      <x:c r="B320" s="87" t="str">
        <x:v>AstraZeneca</x:v>
      </x:c>
      <x:c r="C320" s="87"/>
      <x:c r="D320" s="87" t="str">
        <x:v>Yes</x:v>
      </x:c>
      <x:c r="E320" s="87" t="str">
        <x:v>astrazeneca</x:v>
      </x:c>
      <x:c r="F320" s="87" t="str">
        <x:v>318</x:v>
      </x:c>
      <x:c r="G320" s="87" t="str">
        <x:v>183-921-223-960-854</x:v>
      </x:c>
      <x:c r="H320" s="110" t="n">
        <x:v>42130</x:v>
      </x:c>
      <x:c r="I320" s="88" t="n">
        <x:v>2015</x:v>
      </x:c>
      <x:c r="J320" s="87" t="str">
        <x:v>US</x:v>
      </x:c>
      <x:c r="K320" s="87" t="str">
        <x:v>A1</x:v>
      </x:c>
      <x:c r="L320" s="87" t="str">
        <x:v>US 2017/0216283 A1</x:v>
      </x:c>
      <x:c r="M320" s="87" t="str">
        <x:v>ASTRAZENECA AB</x:v>
      </x:c>
      <x:c r="N320" s="87" t="str">
        <x:v>BIOLIPOX AB (2015-08-21);;ASTRAZENECA AB (2016-03-17)</x:v>
      </x:c>
      <x:c r="O320" s="87" t="str">
        <x:v>COMPOUNDS AND USES</x:v>
      </x:c>
      <x:c r="P320" s="109" t="n">
        <x:v>0</x:v>
      </x:c>
      <x:c r="Q320" s="109" t="n">
        <x:v>19</x:v>
      </x:c>
      <x:c r="R320" s="87" t="str">
        <x:v>A61K31/4965;;A61P11/00;;A61P29/00;;A61P43/00;;C07D213/74;;C07D215/38;;C07D239/42;;C07D239/47;;C07D241/20;;C07D401/08;;C07D401/12;;C07D405/12;;C07D241/20;;A61K31/44;;A61K31/4439;;A61K31/4965;;A61K31/505;;C07D213/74;;C07D401/08;;C07D401/12;;C07D405/12;;A61K31/4965;;A61K31/44;;A61K31/4439;;A61K31/496;;A61K31/505;;C07C211/55;;C07C211/58;;C07D213/74;;C07D215/38;;C07D239/42;;C07D239/47;;C07D241/20;;C07D401/08;;C07D401/12;;C07D405/12</x:v>
      </x:c>
      <x:c r="S320" s="87" t="str">
        <x:v>A61K31/4965</x:v>
      </x:c>
      <x:c r="T320" s="87" t="str">
        <x:v>DISCONTINUED</x:v>
      </x:c>
      <x:c r="U320" s="87" t="str">
        <x:v>https://lens.org/183-921-223-960-854</x:v>
      </x:c>
    </x:row>
    <x:row r="321">
      <x:c r="A321" s="87" t="str">
        <x:v>AstraZeneca_Lens_RAW_2009_2024.csv.csv</x:v>
      </x:c>
      <x:c r="B321" s="87" t="str">
        <x:v>AstraZeneca</x:v>
      </x:c>
      <x:c r="C321" s="87"/>
      <x:c r="D321" s="87" t="str">
        <x:v>Yes</x:v>
      </x:c>
      <x:c r="E321" s="87" t="str">
        <x:v>astrazeneca</x:v>
      </x:c>
      <x:c r="F321" s="87" t="str">
        <x:v>319</x:v>
      </x:c>
      <x:c r="G321" s="87" t="str">
        <x:v>070-093-527-323-901</x:v>
      </x:c>
      <x:c r="H321" s="110" t="n">
        <x:v>41339</x:v>
      </x:c>
      <x:c r="I321" s="88" t="n">
        <x:v>2013</x:v>
      </x:c>
      <x:c r="J321" s="87" t="str">
        <x:v>US</x:v>
      </x:c>
      <x:c r="K321" s="87" t="str">
        <x:v>B2</x:v>
      </x:c>
      <x:c r="L321" s="87" t="str">
        <x:v>US 9718806 B2</x:v>
      </x:c>
      <x:c r="M321" s="87" t="str">
        <x:v>ASTRAZENECA AB</x:v>
      </x:c>
      <x:c r="N321" s="87" t="str">
        <x:v>ASTRAZENECA AB (2014-05-12);;ASTRAZENECA INVESTMENT (CHINA) CO. LTD (2014-04-01)</x:v>
      </x:c>
      <x:c r="O321" s="87" t="str">
        <x:v>Quinazoline inhibitors of activating mutant forms of epidermal growth factor receptor</x:v>
      </x:c>
      <x:c r="P321" s="109" t="n">
        <x:v>0</x:v>
      </x:c>
      <x:c r="Q321" s="109" t="n">
        <x:v>64</x:v>
      </x:c>
      <x:c r="R321" s="87" t="str">
        <x:v>A61K31/517;;A61K31/4184;;A61K31/4985;;A61K31/519;;A61K45/06;;A61P35/00;;A61P35/02;;A61P35/04;;C07D403/12;;A61K31/495;;A61K31/517;;C07D403/12;;A61K31/517;;A61K31/4184;;A61K31/4985;;A61K31/519;;A61K39/3955;;A61K45/06;;C07D403/12</x:v>
      </x:c>
      <x:c r="S321" s="87" t="str">
        <x:v>C07D403/12;;A61K31/4184;;A61K31/4985;;A61K31/517;;A61K31/519;;A61K39/395;;A61K45/06</x:v>
      </x:c>
      <x:c r="T321" s="87" t="str">
        <x:v>ACTIVE</x:v>
      </x:c>
      <x:c r="U321" s="87" t="str">
        <x:v>https://lens.org/070-093-527-323-901</x:v>
      </x:c>
    </x:row>
    <x:row r="322">
      <x:c r="A322" s="87" t="str">
        <x:v>AstraZeneca_Lens_RAW_2009_2024.csv.csv</x:v>
      </x:c>
      <x:c r="B322" s="87" t="str">
        <x:v>AstraZeneca</x:v>
      </x:c>
      <x:c r="C322" s="87"/>
      <x:c r="D322" s="87" t="str">
        <x:v>Yes</x:v>
      </x:c>
      <x:c r="E322" s="87" t="str">
        <x:v>astrazeneca</x:v>
      </x:c>
      <x:c r="F322" s="87" t="str">
        <x:v>320</x:v>
      </x:c>
      <x:c r="G322" s="87" t="str">
        <x:v>156-392-227-331-924</x:v>
      </x:c>
      <x:c r="H322" s="110" t="n">
        <x:v>40113</x:v>
      </x:c>
      <x:c r="I322" s="88" t="n">
        <x:v>2009</x:v>
      </x:c>
      <x:c r="J322" s="87" t="str">
        <x:v>US</x:v>
      </x:c>
      <x:c r="K322" s="87" t="str">
        <x:v>B2</x:v>
      </x:c>
      <x:c r="L322" s="87" t="str">
        <x:v>US 9718800 B2</x:v>
      </x:c>
      <x:c r="M322" s="87" t="str">
        <x:v>ASTRAZENECA AB</x:v>
      </x:c>
      <x:c r="N322" s="87" t="str">
        <x:v>ASTRAZENECA S.A.S (2010-10-22);;ASTRAZENECA AB (2010-10-22)</x:v>
      </x:c>
      <x:c r="O322" s="87" t="str">
        <x:v>Chromenone derivatives</x:v>
      </x:c>
      <x:c r="P322" s="109" t="n">
        <x:v>0</x:v>
      </x:c>
      <x:c r="Q322" s="109" t="n">
        <x:v>67</x:v>
      </x:c>
      <x:c r="R322" s="87" t="str">
        <x:v>C07D311/22;;C07D405/06;;C07D413/04;;C07D413/14;;C07D417/14;;C07F7/1804;;C07D311/74;;A61K31/277;;A61K31/337;;A61K31/5377;;A61P35/00;;A61P43/00;;C07D311/22;;C07D405/06;;C07D413/06;;C07D413/04;;A61K31/277;;A61K31/337;;A61K31/5377;;A61K45/06;;C07B2200/07;;C07D311/22;;C07D405/06;;C07D413/06;;C07D311/74;;A61K31/277;;A61K31/337;;A61K31/5377;;A61K45/06;;C07D311/22;;C07D405/06;;C07D413/06</x:v>
      </x:c>
      <x:c r="S322" s="87" t="str">
        <x:v>C07D311/74;;A61K31/277;;A61K31/337;;A61K31/5377;;A61K45/06;;C07D311/22;;C07D405/06;;C07D413/06</x:v>
      </x:c>
      <x:c r="T322" s="87" t="str">
        <x:v>INACTIVE</x:v>
      </x:c>
      <x:c r="U322" s="87" t="str">
        <x:v>https://lens.org/156-392-227-331-924</x:v>
      </x:c>
    </x:row>
    <x:row r="323">
      <x:c r="A323" s="87" t="str">
        <x:v>AstraZeneca_Lens_RAW_2009_2024.csv.csv</x:v>
      </x:c>
      <x:c r="B323" s="87" t="str">
        <x:v>AstraZeneca</x:v>
      </x:c>
      <x:c r="C323" s="87"/>
      <x:c r="D323" s="87" t="str">
        <x:v>Yes</x:v>
      </x:c>
      <x:c r="E323" s="87" t="str">
        <x:v>astrazeneca</x:v>
      </x:c>
      <x:c r="F323" s="87" t="str">
        <x:v>321</x:v>
      </x:c>
      <x:c r="G323" s="87" t="str">
        <x:v>059-429-294-278-414</x:v>
      </x:c>
      <x:c r="H323" s="110" t="n">
        <x:v>42272</x:v>
      </x:c>
      <x:c r="I323" s="88" t="n">
        <x:v>2015</x:v>
      </x:c>
      <x:c r="J323" s="87" t="str">
        <x:v>US</x:v>
      </x:c>
      <x:c r="K323" s="87" t="str">
        <x:v>B2</x:v>
      </x:c>
      <x:c r="L323" s="87" t="str">
        <x:v>US 9714236 B2</x:v>
      </x:c>
      <x:c r="M323" s="87" t="str">
        <x:v>ASTRAZENECA AB</x:v>
      </x:c>
      <x:c r="N323" s="87" t="str">
        <x:v>ASTRAZENECA PHARMACEUTICALS LP (2016-12-06);;ASTRAZENECA AB (2017-03-15);;ASTRAZENECA UK LIMITED (2017-02-23);;DIZAL (JIANGSU) PHARMACEUTICAL CO. LTD (2017-11-09)</x:v>
      </x:c>
      <x:c r="O323" s="87" t="str">
        <x:v>Compounds and methods for inhibiting JAK</x:v>
      </x:c>
      <x:c r="P323" s="109" t="n">
        <x:v>6</x:v>
      </x:c>
      <x:c r="Q323" s="109" t="n">
        <x:v>46</x:v>
      </x:c>
      <x:c r="R323" s="87" t="str">
        <x:v>C07D403/14;;A61P9/10;;A61P17/06;;A61P19/00;;A61P19/02;;A61P35/00;;A61P37/00;;A61P37/02;;C07D403/14;;A61P7/00;;A61P35/00;;A61P37/02;;A61P43/00;;C07D403/14;;A61K31/506;;A61P35/00;;C07B2200/13;;A61K31/506;;A61P35/00;;C07D403/14;;C07D403/14</x:v>
      </x:c>
      <x:c r="S323" s="87" t="str">
        <x:v>C07D403/14</x:v>
      </x:c>
      <x:c r="T323" s="87" t="str">
        <x:v>ACTIVE</x:v>
      </x:c>
      <x:c r="U323" s="87" t="str">
        <x:v>https://lens.org/059-429-294-278-414</x:v>
      </x:c>
    </x:row>
    <x:row r="324">
      <x:c r="A324" s="87" t="str">
        <x:v>AstraZeneca_Lens_RAW_2009_2024.csv.csv</x:v>
      </x:c>
      <x:c r="B324" s="87" t="str">
        <x:v>AstraZeneca</x:v>
      </x:c>
      <x:c r="C324" s="87"/>
      <x:c r="D324" s="87" t="str">
        <x:v>Yes</x:v>
      </x:c>
      <x:c r="E324" s="87" t="str">
        <x:v>astrazeneca</x:v>
      </x:c>
      <x:c r="F324" s="87" t="str">
        <x:v>322</x:v>
      </x:c>
      <x:c r="G324" s="87" t="str">
        <x:v>188-324-020-170-517</x:v>
      </x:c>
      <x:c r="H324" s="110" t="n">
        <x:v>41297</x:v>
      </x:c>
      <x:c r="I324" s="88" t="n">
        <x:v>2013</x:v>
      </x:c>
      <x:c r="J324" s="87" t="str">
        <x:v>US</x:v>
      </x:c>
      <x:c r="K324" s="87" t="str">
        <x:v>B2</x:v>
      </x:c>
      <x:c r="L324" s="87" t="str">
        <x:v>US 9657008 B2</x:v>
      </x:c>
      <x:c r="M324" s="87" t="str">
        <x:v>ASTRAZENECA AB</x:v>
      </x:c>
      <x:c r="N324" s="87" t="str">
        <x:v>ASTRAZENECA UK LIMITED (2014-04-08);;ASTRAZENECA AB (2014-04-08);;ASTRAZENECA REIMS SAS (2014-03-24);;ONYX SCIENTIFIC LIMITED (2014-02-19)</x:v>
      </x:c>
      <x:c r="O324" s="87" t="str">
        <x:v>Chemical compounds</x:v>
      </x:c>
      <x:c r="P324" s="109" t="n">
        <x:v>1</x:v>
      </x:c>
      <x:c r="Q324" s="109" t="n">
        <x:v>42</x:v>
      </x:c>
      <x:c r="R324" s="87" t="str">
        <x:v>C07D413/14;;A61K31/497;;C12Q1/6886;;C07D413/14;;A61K31/497;;A61P35/00;;A61P43/00;;C07D413/14;;A61K31/497;;C07D413/14;;A61K31/497;;A61K45/06;;C12Q1/6886;;C12Q2600/106;;C12Q2600/156</x:v>
      </x:c>
      <x:c r="S324" s="87" t="str">
        <x:v>A61K31/497;;A61K45/06;;C07D413/14;;C12Q1/68</x:v>
      </x:c>
      <x:c r="T324" s="87" t="str">
        <x:v>INACTIVE</x:v>
      </x:c>
      <x:c r="U324" s="87" t="str">
        <x:v>https://lens.org/188-324-020-170-517</x:v>
      </x:c>
    </x:row>
    <x:row r="325">
      <x:c r="A325" s="87" t="str">
        <x:v>AstraZeneca_Lens_RAW_2009_2024.csv.csv</x:v>
      </x:c>
      <x:c r="B325" s="87" t="str">
        <x:v>AstraZeneca</x:v>
      </x:c>
      <x:c r="C325" s="87"/>
      <x:c r="D325" s="87" t="str">
        <x:v>Yes</x:v>
      </x:c>
      <x:c r="E325" s="87" t="str">
        <x:v>astrazeneca</x:v>
      </x:c>
      <x:c r="F325" s="87" t="str">
        <x:v>323</x:v>
      </x:c>
      <x:c r="G325" s="87" t="str">
        <x:v>108-527-190-654-758</x:v>
      </x:c>
      <x:c r="H325" s="110" t="n">
        <x:v>41775</x:v>
      </x:c>
      <x:c r="I325" s="88" t="n">
        <x:v>2014</x:v>
      </x:c>
      <x:c r="J325" s="87" t="str">
        <x:v>US</x:v>
      </x:c>
      <x:c r="K325" s="87" t="str">
        <x:v>A1</x:v>
      </x:c>
      <x:c r="L325" s="87" t="str">
        <x:v>US 2017/0135981 A1</x:v>
      </x:c>
      <x:c r="M325" s="87" t="str">
        <x:v>ASTRAZENECA AB</x:v>
      </x:c>
      <x:c r="N325" s="87" t="str">
        <x:v>ASTRAZENECA PHARMACEUTICALS LP (2015-06-29);;ASTRAZENECA AB (2015-08-24);;ASTRAZENECA UK LIMITED (2015-08-24);;BRISTOL-MYERS SQUIBB (2015-07-01)</x:v>
      </x:c>
      <x:c r="O325" s="87" t="str">
        <x:v>Method for Suppressing Glucagon Secretion of an SGLT2 Inhibitor</x:v>
      </x:c>
      <x:c r="P325" s="109" t="n">
        <x:v>0</x:v>
      </x:c>
      <x:c r="Q325" s="109" t="n">
        <x:v>8</x:v>
      </x:c>
      <x:c r="R325" s="87" t="str">
        <x:v>A61K31/351;;A61K31/155;;A61K31/40;;A61K31/403;;A61K31/4985;;A61K31/522;;A61K31/70;;A61K31/7042;;A61K38/26;;A61K38/28;;A61P1/06;;A61P3/00;;A61P3/04;;A61P3/06;;A61P3/10;;A61P9/10;;A61P43/00;;A61K31/351;;A61K31/155;;A61K31/40;;A61K31/403;;A61K31/4985;;A61K31/522;;A61K31/70;;A61K31/7042;;A61K38/26;;A61K38/28;;A61K45/06</x:v>
      </x:c>
      <x:c r="S325" s="87" t="str">
        <x:v>A61K31/351;;A61K31/155;;A61K31/403;;A61K45/06</x:v>
      </x:c>
      <x:c r="T325" s="87" t="str">
        <x:v>DISCONTINUED</x:v>
      </x:c>
      <x:c r="U325" s="87" t="str">
        <x:v>https://lens.org/108-527-190-654-758</x:v>
      </x:c>
    </x:row>
    <x:row r="326">
      <x:c r="A326" s="87" t="str">
        <x:v>AstraZeneca_Lens_RAW_2009_2024.csv.csv</x:v>
      </x:c>
      <x:c r="B326" s="87" t="str">
        <x:v>AstraZeneca</x:v>
      </x:c>
      <x:c r="C326" s="87"/>
      <x:c r="D326" s="87" t="str">
        <x:v>Yes</x:v>
      </x:c>
      <x:c r="E326" s="87" t="str">
        <x:v>astrazeneca</x:v>
      </x:c>
      <x:c r="F326" s="87" t="str">
        <x:v>324</x:v>
      </x:c>
      <x:c r="G326" s="87" t="str">
        <x:v>133-717-713-725-011</x:v>
      </x:c>
      <x:c r="H326" s="110" t="n">
        <x:v>40826</x:v>
      </x:c>
      <x:c r="I326" s="88" t="n">
        <x:v>2011</x:v>
      </x:c>
      <x:c r="J326" s="87" t="str">
        <x:v>US</x:v>
      </x:c>
      <x:c r="K326" s="87" t="str">
        <x:v>B2</x:v>
      </x:c>
      <x:c r="L326" s="87" t="str">
        <x:v>US 9650336 B2</x:v>
      </x:c>
      <x:c r="M326" s="87" t="str">
        <x:v>ASTRAZENECA AB</x:v>
      </x:c>
      <x:c r="N326" s="87" t="str">
        <x:v>ASTRAZENECA AB (2013-02-06)</x:v>
      </x:c>
      <x:c r="O326" s="87" t="str">
        <x:v>Mono-fluoro beta-secretase inhibitors</x:v>
      </x:c>
      <x:c r="P326" s="109" t="n">
        <x:v>1</x:v>
      </x:c>
      <x:c r="Q326" s="109" t="n">
        <x:v>6</x:v>
      </x:c>
      <x:c r="R326" s="87" t="str">
        <x:v>C07D209/54;;A61P25/00;;A61P25/28;;C07D207/34;;C07D401/04;;C07D401/10;;C07D403/04;;C07D403/10;;C07D491/107;;C07D209/54;;A61K31/403;;A61K31/407;;A61K31/4439;;A61K31/506;;A61K45/06;;C07D207/34;;C07D401/04;;C07D401/10;;C07D403/04;;C07D403/10;;C07D491/107</x:v>
      </x:c>
      <x:c r="S326" s="87" t="str">
        <x:v>A61K31/40;;A61K31/403;;A61K31/407;;A61K31/44;;A61K31/4439;;A61K31/506;;A61K45/06;;C07D207/34;;C07D209/54;;C07D209/96;;C07D401/04;;C07D401/10;;C07D403/04;;C07D403/10;;C07D491/107</x:v>
      </x:c>
      <x:c r="T326" s="87" t="str">
        <x:v>INACTIVE</x:v>
      </x:c>
      <x:c r="U326" s="87" t="str">
        <x:v>https://lens.org/133-717-713-725-011</x:v>
      </x:c>
    </x:row>
    <x:row r="327">
      <x:c r="A327" s="87" t="str">
        <x:v>AstraZeneca_Lens_RAW_2009_2024.csv.csv</x:v>
      </x:c>
      <x:c r="B327" s="87" t="str">
        <x:v>AstraZeneca</x:v>
      </x:c>
      <x:c r="C327" s="87"/>
      <x:c r="D327" s="87" t="str">
        <x:v>Yes</x:v>
      </x:c>
      <x:c r="E327" s="87" t="str">
        <x:v>astrazeneca</x:v>
      </x:c>
      <x:c r="F327" s="87" t="str">
        <x:v>325</x:v>
      </x:c>
      <x:c r="G327" s="87" t="str">
        <x:v>107-362-352-362-653</x:v>
      </x:c>
      <x:c r="H327" s="110" t="n">
        <x:v>41774</x:v>
      </x:c>
      <x:c r="I327" s="88" t="n">
        <x:v>2014</x:v>
      </x:c>
      <x:c r="J327" s="87" t="str">
        <x:v>US</x:v>
      </x:c>
      <x:c r="K327" s="87" t="str">
        <x:v>A1</x:v>
      </x:c>
      <x:c r="L327" s="87" t="str">
        <x:v>US 2017/0106154 A1</x:v>
      </x:c>
      <x:c r="M327" s="87" t="str">
        <x:v>ASTRAZENECA AB</x:v>
      </x:c>
      <x:c r="N327" s="87" t="str">
        <x:v>ASTRAZENECA AB (2016-11-11)</x:v>
      </x:c>
      <x:c r="O327" s="87" t="str">
        <x:v>DRY POWDER INHALER</x:v>
      </x:c>
      <x:c r="P327" s="109" t="n">
        <x:v>13</x:v>
      </x:c>
      <x:c r="Q327" s="109" t="n">
        <x:v>4</x:v>
      </x:c>
      <x:c r="R327" s="87" t="str">
        <x:v>A61M15/0021;;A61M11/002;;A61M11/003;;A61M15/0028;;A61M2202/064;;A61M2205/21;;A61M2206/16;;A61M2209/06;;A61M15/0021;;A61M11/002;;A61M11/003;;A61M15/0015;;A61M15/0016;;A61M15/0028;;A61M15/0091;;A61M2202/064;;A61M2205/21;;A61M2205/75;;A61M2206/14;;A61M2206/16;;A61M2209/06</x:v>
      </x:c>
      <x:c r="S327" s="87" t="str">
        <x:v>A61M15/00</x:v>
      </x:c>
      <x:c r="T327" s="87" t="str">
        <x:v>DISCONTINUED</x:v>
      </x:c>
      <x:c r="U327" s="87" t="str">
        <x:v>https://lens.org/107-362-352-362-653</x:v>
      </x:c>
    </x:row>
    <x:row r="328">
      <x:c r="A328" s="87" t="str">
        <x:v>AstraZeneca_Lens_RAW_2009_2024.csv.csv</x:v>
      </x:c>
      <x:c r="B328" s="87" t="str">
        <x:v>AstraZeneca</x:v>
      </x:c>
      <x:c r="C328" s="87"/>
      <x:c r="D328" s="87" t="str">
        <x:v>Yes</x:v>
      </x:c>
      <x:c r="E328" s="87" t="str">
        <x:v>astrazeneca</x:v>
      </x:c>
      <x:c r="F328" s="87" t="str">
        <x:v>326</x:v>
      </x:c>
      <x:c r="G328" s="87" t="str">
        <x:v>128-344-912-641-62X</x:v>
      </x:c>
      <x:c r="H328" s="110" t="n">
        <x:v>42216</x:v>
      </x:c>
      <x:c r="I328" s="88" t="n">
        <x:v>2015</x:v>
      </x:c>
      <x:c r="J328" s="87" t="str">
        <x:v>US</x:v>
      </x:c>
      <x:c r="K328" s="87" t="str">
        <x:v>A1</x:v>
      </x:c>
      <x:c r="L328" s="87" t="str">
        <x:v>US 2017/0029499 A1</x:v>
      </x:c>
      <x:c r="M328" s="87" t="str">
        <x:v>ASTRAZENECA PHARMACEUTICALS LP;;MEDIMMUNE LTD</x:v>
      </x:c>
      <x:c r="N328" s="87" t="str">
        <x:v>MEDIMMUNE LIMITED (2016-06-03);;ASTRAZENECA PHARMACEUTICALS LP (2017-01-11);;ASTRAZENECA AB (2018-02-14);;ASTRAZENECA UK LIMITED (2018-02-09)</x:v>
      </x:c>
      <x:c r="O328" s="87" t="str">
        <x:v>METHODS FOR TREATING HEPCIDIN-MEDIATED DISORDERS</x:v>
      </x:c>
      <x:c r="P328" s="109" t="n">
        <x:v>26</x:v>
      </x:c>
      <x:c r="Q328" s="109" t="n">
        <x:v>47</x:v>
      </x:c>
      <x:c r="R328" s="87" t="str">
        <x:v>C07K16/248;;A61K2039/505;;A61P9/10;;A61P29/00;;C07K2317/56;;C07K2317/565;;C07K2317/76;;C12Q1/6883;;C12Q2600/158;;C07K16/248;;A61K2039/505;;A61P7/00;;A61P7/06;;A61P9/10;;A61P19/02;;A61P29/00;;A61P35/00;;A61P43/00;;C07K2317/76;;C12Q1/6883;;C12Q1/6886;;C12Q2600/106;;C12Q2600/156;;C07K16/248;;A61K2039/505;;C07K2317/76;;C12Q1/6883;;C12Q2600/106;;C12Q2600/156;;C12Q2600/172;;C07K16/248;;A61K2039/505;;A61K2039/545;;A61P7/06;;A61P9/04;;A61P9/10;;A61P29/00;;A61P31/00;;A61P35/00;;C07K2317/76;;C07K2317/92;;C07K16/248;;A61K2039/505;;C07K2317/76;;C12Q1/6883;;C12Q1/6886;;C12Q2600/106;;C12Q2600/156</x:v>
      </x:c>
      <x:c r="S328" s="87" t="str">
        <x:v>C07K16/24;;C12Q1/68</x:v>
      </x:c>
      <x:c r="T328" s="87" t="str">
        <x:v>DISCONTINUED</x:v>
      </x:c>
      <x:c r="U328" s="87" t="str">
        <x:v>https://lens.org/128-344-912-641-62X</x:v>
      </x:c>
    </x:row>
    <x:row r="329">
      <x:c r="A329" s="87" t="str">
        <x:v>AstraZeneca_Lens_RAW_2009_2024.csv.csv</x:v>
      </x:c>
      <x:c r="B329" s="87" t="str">
        <x:v>AstraZeneca</x:v>
      </x:c>
      <x:c r="C329" s="87"/>
      <x:c r="D329" s="87" t="str">
        <x:v>Yes</x:v>
      </x:c>
      <x:c r="E329" s="87" t="str">
        <x:v>astrazeneca</x:v>
      </x:c>
      <x:c r="F329" s="87" t="str">
        <x:v>327</x:v>
      </x:c>
      <x:c r="G329" s="87" t="str">
        <x:v>138-720-679-480-434</x:v>
      </x:c>
      <x:c r="H329" s="110" t="n">
        <x:v>40165</x:v>
      </x:c>
      <x:c r="I329" s="88" t="n">
        <x:v>2009</x:v>
      </x:c>
      <x:c r="J329" s="87" t="str">
        <x:v>EP</x:v>
      </x:c>
      <x:c r="K329" s="87" t="str">
        <x:v>B1</x:v>
      </x:c>
      <x:c r="L329" s="87" t="str">
        <x:v>EP 2813509 B1</x:v>
      </x:c>
      <x:c r="M329" s="87" t="str">
        <x:v>ASTRAZENECA AB</x:v>
      </x:c>
      <x:c r="N329" s="87" t="str">
        <x:v>NYCOMED GERMANY HOLDING GMBH (2015-06-10);;NYCOMED ASSET MANAGEMENT GMBH (2015-06-03);;ASTRAZENECA AB (2017-01-04);;TAKEDA GMBH (2015-06-24)</x:v>
      </x:c>
      <x:c r="O329" s="87" t="str">
        <x:v>3,4,4a,10b-tetrahydro-1h-thiopyrano-[4,3-c]isoquinoline derivatives</x:v>
      </x:c>
      <x:c r="P329" s="109" t="n">
        <x:v>0</x:v>
      </x:c>
      <x:c r="Q329" s="109" t="n">
        <x:v>46</x:v>
      </x:c>
      <x:c r="R329" s="87" t="str">
        <x:v>C07D519/00;;A61P1/04;;A61P1/16;;A61P3/10;;A61P7/02;;A61P7/10;;A61P9/04;;A61P9/10;;A61P9/12;;A61P11/00;;A61P11/02;;A61P11/06;;A61P11/08;;A61P13/12;;A61P15/10;;A61P17/00;;A61P17/04;;A61P17/06;;A61P17/14;;A61P19/02;;A61P19/10;;A61P25/00;;A61P25/16;;A61P25/18;;A61P25/22;;A61P25/24;;A61P25/28;;A61P27/02;;A61P27/14;;A61P29/00;;A61P31/00;;A61P31/04;;A61P37/02;;A61P37/06;;A61P37/08;;A61P43/00;;C07D495/04;;A61K31/519;;C07D519/00</x:v>
      </x:c>
      <x:c r="S329" s="87" t="str">
        <x:v>C07D519/00;;A61K31/519;;A61P11/00;;A61P11/06;;A61P11/08</x:v>
      </x:c>
      <x:c r="T329" s="87" t="str">
        <x:v>ACTIVE</x:v>
      </x:c>
      <x:c r="U329" s="87" t="str">
        <x:v>https://lens.org/138-720-679-480-434</x:v>
      </x:c>
    </x:row>
    <x:row r="330">
      <x:c r="A330" s="87" t="str">
        <x:v>AstraZeneca_Lens_RAW_2009_2024.csv.csv</x:v>
      </x:c>
      <x:c r="B330" s="87" t="str">
        <x:v>AstraZeneca</x:v>
      </x:c>
      <x:c r="C330" s="87"/>
      <x:c r="D330" s="87" t="str">
        <x:v>Yes</x:v>
      </x:c>
      <x:c r="E330" s="87" t="str">
        <x:v>astrazeneca</x:v>
      </x:c>
      <x:c r="F330" s="87" t="str">
        <x:v>328</x:v>
      </x:c>
      <x:c r="G330" s="87" t="str">
        <x:v>029-068-740-696-706</x:v>
      </x:c>
      <x:c r="H330" s="110" t="n">
        <x:v>39954</x:v>
      </x:c>
      <x:c r="I330" s="88" t="n">
        <x:v>2009</x:v>
      </x:c>
      <x:c r="J330" s="87" t="str">
        <x:v>US</x:v>
      </x:c>
      <x:c r="K330" s="87" t="str">
        <x:v>B2</x:v>
      </x:c>
      <x:c r="L330" s="87" t="str">
        <x:v>US 9533978 B2</x:v>
      </x:c>
      <x:c r="M330" s="87" t="str">
        <x:v>ASTRAZENECA AB;;SUMITOMO DAINIPPON PHARMA CO LTD</x:v>
      </x:c>
      <x:c r="N330" s="87" t="str">
        <x:v>SUMITOMO PHARMA CO. LTD (2011-12-21);;ASTRAZENECA UK LIMITED (2011-12-19);;ASTRAZENECA AB (2011-12-21)</x:v>
      </x:c>
      <x:c r="O330" s="87" t="str">
        <x:v>Pyrimidine derivatives and their use in the treatment of cancer and further diseases</x:v>
      </x:c>
      <x:c r="P330" s="109" t="n">
        <x:v>2</x:v>
      </x:c>
      <x:c r="Q330" s="109" t="n">
        <x:v>27</x:v>
      </x:c>
      <x:c r="R330" s="87" t="str">
        <x:v>C07D413/12;;A61P11/00;;A61P11/02;;A61P13/00;;A61P15/00;;A61P17/00;;A61P27/02;;A61P31/00;;A61P31/04;;A61P31/10;;A61P31/12;;A61P35/00;;A61P35/02;;A61P37/00;;A61P37/06;;A61P37/08;;A61P43/00;;C07D239/48;;C07D239/49;;C07D239/49;;A61K31/505;;C07D401/12;;C07D413/12;;C07D239/48;;C07D239/49</x:v>
      </x:c>
      <x:c r="S330" s="87" t="str">
        <x:v>C07D413/12;;C07D239/48;;C07D239/49</x:v>
      </x:c>
      <x:c r="T330" s="87" t="str">
        <x:v>ACTIVE</x:v>
      </x:c>
      <x:c r="U330" s="87" t="str">
        <x:v>https://lens.org/029-068-740-696-706</x:v>
      </x:c>
    </x:row>
    <x:row r="331">
      <x:c r="A331" s="87" t="str">
        <x:v>AstraZeneca_Lens_RAW_2009_2024.csv.csv</x:v>
      </x:c>
      <x:c r="B331" s="87" t="str">
        <x:v>AstraZeneca</x:v>
      </x:c>
      <x:c r="C331" s="87"/>
      <x:c r="D331" s="87" t="str">
        <x:v>Yes</x:v>
      </x:c>
      <x:c r="E331" s="87" t="str">
        <x:v>astrazeneca</x:v>
      </x:c>
      <x:c r="F331" s="87" t="str">
        <x:v>329</x:v>
      </x:c>
      <x:c r="G331" s="87" t="str">
        <x:v>147-689-513-425-594</x:v>
      </x:c>
      <x:c r="H331" s="110" t="n">
        <x:v>40634</x:v>
      </x:c>
      <x:c r="I331" s="88" t="n">
        <x:v>2011</x:v>
      </x:c>
      <x:c r="J331" s="87" t="str">
        <x:v>US</x:v>
      </x:c>
      <x:c r="K331" s="87" t="str">
        <x:v>A1</x:v>
      </x:c>
      <x:c r="L331" s="87" t="str">
        <x:v>US 2016/0317540 A1</x:v>
      </x:c>
      <x:c r="M331" s="87" t="str">
        <x:v>ASTRAZENECA AB</x:v>
      </x:c>
      <x:c r="N331" s="87" t="str">
        <x:v>ASTRAZENECA AB (2012-04-12);;ASTRAZENECA UK LIMITED (2012-04-12)</x:v>
      </x:c>
      <x:c r="O331" s="87" t="str">
        <x:v>Therapeutic Treatment</x:v>
      </x:c>
      <x:c r="P331" s="109" t="n">
        <x:v>0</x:v>
      </x:c>
      <x:c r="Q331" s="109" t="n">
        <x:v>42</x:v>
      </x:c>
      <x:c r="R331" s="87" t="str">
        <x:v>A61K31/519;;A61K31/337;;A61P15/00;;A61P35/00;;A61P43/00;;A61K31/337;;A61K31/519;;A61K31/519;;A61K31/337</x:v>
      </x:c>
      <x:c r="S331" s="87" t="str">
        <x:v>A61K31/519;;A61K31/337</x:v>
      </x:c>
      <x:c r="T331" s="87" t="str">
        <x:v>DISCONTINUED</x:v>
      </x:c>
      <x:c r="U331" s="87" t="str">
        <x:v>https://lens.org/147-689-513-425-594</x:v>
      </x:c>
    </x:row>
    <x:row r="332">
      <x:c r="A332" s="87" t="str">
        <x:v>AstraZeneca_Lens_RAW_2009_2024.csv.csv</x:v>
      </x:c>
      <x:c r="B332" s="87" t="str">
        <x:v>AstraZeneca</x:v>
      </x:c>
      <x:c r="C332" s="87"/>
      <x:c r="D332" s="87" t="str">
        <x:v>Yes</x:v>
      </x:c>
      <x:c r="E332" s="87" t="str">
        <x:v>astrazeneca</x:v>
      </x:c>
      <x:c r="F332" s="87" t="str">
        <x:v>330</x:v>
      </x:c>
      <x:c r="G332" s="87" t="str">
        <x:v>142-822-211-336-658</x:v>
      </x:c>
      <x:c r="H332" s="110" t="n">
        <x:v>41383</x:v>
      </x:c>
      <x:c r="I332" s="88" t="n">
        <x:v>2013</x:v>
      </x:c>
      <x:c r="J332" s="87" t="str">
        <x:v>US</x:v>
      </x:c>
      <x:c r="K332" s="87" t="str">
        <x:v>B2</x:v>
      </x:c>
      <x:c r="L332" s="87" t="str">
        <x:v>US 9475773 B2</x:v>
      </x:c>
      <x:c r="M332" s="87" t="str">
        <x:v>ASTRAZENECA AB</x:v>
      </x:c>
      <x:c r="N332" s="87" t="str">
        <x:v>ASTRAZENECA PHARMACEUTICALS LP (2013-06-25);;ASTRAZENECA UK LIMITED (2013-07-03);;ASTRAZENECA AB (2013-07-04)</x:v>
      </x:c>
      <x:c r="O332" s="87" t="str">
        <x:v>NK3 receptor antagonist compound (NK3RA) for use in a method for the treatment of polycystic ovary syndrome (PCOS)</x:v>
      </x:c>
      <x:c r="P332" s="109" t="n">
        <x:v>0</x:v>
      </x:c>
      <x:c r="Q332" s="109" t="n">
        <x:v>8</x:v>
      </x:c>
      <x:c r="R332" s="87" t="str">
        <x:v>A61K31/47;;A61K9/2013;;A61K9/2018;;A61K9/2054;;A61P5/24;;A61P15/08;;C07D215/52;;A61K31/47;;A61K9/2013;;A61K9/2018;;A61K9/2054;;A61K47/12;;A61K47/20;;A61K47/26;;A61K47/38;;C07D215/52</x:v>
      </x:c>
      <x:c r="S332" s="87" t="str">
        <x:v>A61K31/47;;A61K9/20;;A61K47/12;;A61K47/20;;A61K47/26;;A61K47/38;;C07D215/52</x:v>
      </x:c>
      <x:c r="T332" s="87" t="str">
        <x:v>INACTIVE</x:v>
      </x:c>
      <x:c r="U332" s="87" t="str">
        <x:v>https://lens.org/142-822-211-336-658</x:v>
      </x:c>
    </x:row>
    <x:row r="333">
      <x:c r="A333" s="87" t="str">
        <x:v>AstraZeneca_Lens_RAW_2009_2024.csv.csv</x:v>
      </x:c>
      <x:c r="B333" s="87" t="str">
        <x:v>AstraZeneca</x:v>
      </x:c>
      <x:c r="C333" s="87"/>
      <x:c r="D333" s="87" t="str">
        <x:v>Yes</x:v>
      </x:c>
      <x:c r="E333" s="87" t="str">
        <x:v>astrazeneca</x:v>
      </x:c>
      <x:c r="F333" s="87" t="str">
        <x:v>331</x:v>
      </x:c>
      <x:c r="G333" s="87" t="str">
        <x:v>059-232-173-444-157</x:v>
      </x:c>
      <x:c r="H333" s="110" t="n">
        <x:v>40340</x:v>
      </x:c>
      <x:c r="I333" s="88" t="n">
        <x:v>2010</x:v>
      </x:c>
      <x:c r="J333" s="87" t="str">
        <x:v>US</x:v>
      </x:c>
      <x:c r="K333" s="87" t="str">
        <x:v>B2</x:v>
      </x:c>
      <x:c r="L333" s="87" t="str">
        <x:v>US 9421213 B2</x:v>
      </x:c>
      <x:c r="M333" s="87" t="str">
        <x:v>ASTRAZENECA AB</x:v>
      </x:c>
      <x:c r="N333" s="87" t="str">
        <x:v>ASTRAZENECA UK LIMITED (2011-07-21);;ASTRAZENECA AB (2011-07-21)</x:v>
      </x:c>
      <x:c r="O333" s="87" t="str">
        <x:v>Chemical compounds</x:v>
      </x:c>
      <x:c r="P333" s="109" t="n">
        <x:v>4</x:v>
      </x:c>
      <x:c r="Q333" s="109" t="n">
        <x:v>58</x:v>
      </x:c>
      <x:c r="R333" s="87" t="str">
        <x:v>A61K31/5377;;A61K31/505;;A61P35/00;;A61P43/00;;C07D413/14;;C07D471/04;;C07D471/04;;A61K31/437;;C07D413/14;;A61K31/5377;;A61K31/505;;C07D413/14;;C07D471/04</x:v>
      </x:c>
      <x:c r="S333" s="87" t="str">
        <x:v>A61K31/506;;A61K31/505;;A61K31/5377;;C07D403/14;;C07D413/14;;C07D471/04</x:v>
      </x:c>
      <x:c r="T333" s="87" t="str">
        <x:v>ACTIVE</x:v>
      </x:c>
      <x:c r="U333" s="87" t="str">
        <x:v>https://lens.org/059-232-173-444-157</x:v>
      </x:c>
    </x:row>
    <x:row r="334">
      <x:c r="A334" s="87" t="str">
        <x:v>AstraZeneca_Lens_RAW_2009_2024.csv.csv</x:v>
      </x:c>
      <x:c r="B334" s="87" t="str">
        <x:v>AstraZeneca</x:v>
      </x:c>
      <x:c r="C334" s="87"/>
      <x:c r="D334" s="87" t="str">
        <x:v>Yes</x:v>
      </x:c>
      <x:c r="E334" s="87" t="str">
        <x:v>astrazeneca</x:v>
      </x:c>
      <x:c r="F334" s="87" t="str">
        <x:v>332</x:v>
      </x:c>
      <x:c r="G334" s="87" t="str">
        <x:v>185-169-527-768-351</x:v>
      </x:c>
      <x:c r="H334" s="110" t="n">
        <x:v>40396</x:v>
      </x:c>
      <x:c r="I334" s="88" t="n">
        <x:v>2010</x:v>
      </x:c>
      <x:c r="J334" s="87" t="str">
        <x:v>US</x:v>
      </x:c>
      <x:c r="K334" s="87" t="str">
        <x:v>A1</x:v>
      </x:c>
      <x:c r="L334" s="87" t="str">
        <x:v>US 2016/0176906 A1</x:v>
      </x:c>
      <x:c r="M334" s="87" t="str">
        <x:v>ASTRAZENECA AB</x:v>
      </x:c>
      <x:c r="N334" s="87" t="str">
        <x:v>ASTRAZENECA PHARMACEUTICALS LP (2011-09-30);;ASTRAZENECA AB (2011-09-30)</x:v>
      </x:c>
      <x:c r="O334" s="87" t="str">
        <x:v>Chemical Compounds</x:v>
      </x:c>
      <x:c r="P334" s="109" t="n">
        <x:v>1</x:v>
      </x:c>
      <x:c r="Q334" s="109" t="n">
        <x:v>65</x:v>
      </x:c>
      <x:c r="R334" s="87" t="str">
        <x:v>C07D211/22;;C07D211/26;;C07D211/34;;C07D413/12;;C07F9/59;;C07F9/65583;;A61K31/451;;A61K31/496;;A61K31/5377;;A61K31/675;;A61P35/00;;A61P35/02;;A61P43/00;;C07D211/22;;C07D211/34;;C07D413/12;;C07D211/22;;A61K31/445;;C07F9/65583;;A61K31/451;;A61K31/496;;A61K31/5377;;A61K31/675;;C07D211/22;;C07D211/34;;C07D413/12;;C07F9/58;;C07F9/59;;C07F9/650952</x:v>
      </x:c>
      <x:c r="S334" s="87" t="str">
        <x:v>C07F9/6558;;C07D211/22;;C07F9/58;;C07F9/6509</x:v>
      </x:c>
      <x:c r="T334" s="87" t="str">
        <x:v>DISCONTINUED</x:v>
      </x:c>
      <x:c r="U334" s="87" t="str">
        <x:v>https://lens.org/185-169-527-768-351</x:v>
      </x:c>
    </x:row>
    <x:row r="335">
      <x:c r="A335" s="87" t="str">
        <x:v>AstraZeneca_Lens_RAW_2009_2024.csv.csv</x:v>
      </x:c>
      <x:c r="B335" s="87" t="str">
        <x:v>AstraZeneca</x:v>
      </x:c>
      <x:c r="C335" s="87"/>
      <x:c r="D335" s="87" t="str">
        <x:v>Yes</x:v>
      </x:c>
      <x:c r="E335" s="87" t="str">
        <x:v>astrazeneca</x:v>
      </x:c>
      <x:c r="F335" s="87" t="str">
        <x:v>333</x:v>
      </x:c>
      <x:c r="G335" s="87" t="str">
        <x:v>030-878-347-932-063</x:v>
      </x:c>
      <x:c r="H335" s="110" t="n">
        <x:v>40695</x:v>
      </x:c>
      <x:c r="I335" s="88" t="n">
        <x:v>2011</x:v>
      </x:c>
      <x:c r="J335" s="87" t="str">
        <x:v>US</x:v>
      </x:c>
      <x:c r="K335" s="87" t="str">
        <x:v>A1</x:v>
      </x:c>
      <x:c r="L335" s="87" t="str">
        <x:v>US 2016/0176912 A1</x:v>
      </x:c>
      <x:c r="M335" s="87" t="str">
        <x:v>ASTRAZENECA AB</x:v>
      </x:c>
      <x:c r="N335" s="87" t="str">
        <x:v>ASTRAZENECA UK LIMITED (2012-09-13);;ASTRAZENECA AB (2012-10-02);;TRICLINIC LABS (2012-07-13)</x:v>
      </x:c>
      <x:c r="O335" s="87" t="str">
        <x:v>Novel Ticagrelor Co-Crystal</x:v>
      </x:c>
      <x:c r="P335" s="109" t="n">
        <x:v>6</x:v>
      </x:c>
      <x:c r="Q335" s="109" t="n">
        <x:v>14</x:v>
      </x:c>
      <x:c r="R335" s="87" t="str">
        <x:v>A61K31/519;;A61K31/616;;A61K31/7042;;A61K31/7052;;A61K31/706;;A61K31/7064;;A61K31/7076;;A61P7/02;;A61P9/00;;A61P43/00;;C07D487/04;;C07D487/04;;A61K31/519;;C07H19/23;;A61K31/519;;A61K31/616;;A61K31/7042;;A61K31/7052;;A61K31/706;;A61K31/7064;;A61K31/7076;;C07B2200/13;;C07D487/04;;C07H19/16;;C07H19/167</x:v>
      </x:c>
      <x:c r="S335" s="87" t="str">
        <x:v>C07H19/23</x:v>
      </x:c>
      <x:c r="T335" s="87" t="str">
        <x:v>DISCONTINUED</x:v>
      </x:c>
      <x:c r="U335" s="87" t="str">
        <x:v>https://lens.org/030-878-347-932-063</x:v>
      </x:c>
    </x:row>
    <x:row r="336">
      <x:c r="A336" s="87" t="str">
        <x:v>AstraZeneca_Lens_RAW_2009_2024.csv.csv</x:v>
      </x:c>
      <x:c r="B336" s="87" t="str">
        <x:v>AstraZeneca</x:v>
      </x:c>
      <x:c r="C336" s="87"/>
      <x:c r="D336" s="87" t="str">
        <x:v>Yes</x:v>
      </x:c>
      <x:c r="E336" s="87" t="str">
        <x:v>astrazeneca</x:v>
      </x:c>
      <x:c r="F336" s="87" t="str">
        <x:v>334</x:v>
      </x:c>
      <x:c r="G336" s="87" t="str">
        <x:v>075-870-563-258-938</x:v>
      </x:c>
      <x:c r="H336" s="110" t="n">
        <x:v>40528</x:v>
      </x:c>
      <x:c r="I336" s="88" t="n">
        <x:v>2010</x:v>
      </x:c>
      <x:c r="J336" s="87" t="str">
        <x:v>EP</x:v>
      </x:c>
      <x:c r="K336" s="87" t="str">
        <x:v>B1</x:v>
      </x:c>
      <x:c r="L336" s="87" t="str">
        <x:v>EP 2651937 B1</x:v>
      </x:c>
      <x:c r="M336" s="87" t="str">
        <x:v>ASTRAZENECA AB;;DAINIPPON SUMITOMO PHARMA CO</x:v>
      </x:c>
      <x:c r="N336" s="87" t="str">
        <x:v>DAINIPPON SUMITOMO PHARMA CO., LTD. (2015-12-16);;ASTRAZENECA AB (2015-12-16);;SUMITOMO DAINIPPON PHARMA CO., LTD. (2016-06-01)</x:v>
      </x:c>
      <x:c r="O336" s="87" t="str">
        <x:v>IMIDAZO[4,5-C]QUINOLIN-1-YL DERIVATIVE USEFUL IN THERAPY</x:v>
      </x:c>
      <x:c r="P336" s="109" t="n">
        <x:v>0</x:v>
      </x:c>
      <x:c r="Q336" s="109" t="n">
        <x:v>14</x:v>
      </x:c>
      <x:c r="R336" s="87" t="str">
        <x:v>C07D471/04;;A61P1/16;;A61P11/00;;A61P11/02;;A61P11/06;;A61P17/00;;A61P17/02;;A61P17/04;;A61P17/06;;A61P17/12;;A61P17/16;;A61P27/14;;A61P31/04;;A61P31/12;;A61P31/14;;A61P31/18;;A61P31/20;;A61P35/00;;A61P37/04;;A61P37/08;;C07D471/04</x:v>
      </x:c>
      <x:c r="S336" s="87" t="str">
        <x:v>C07D471/04;;A61K31/4188;;A61K31/4745;;A61P1/16;;A61P11/06;;A61P17/04;;A61P17/06;;A61P17/12;;A61P31/04;;A61P31/12;;A61P31/18;;A61P37/08</x:v>
      </x:c>
      <x:c r="T336" s="87" t="str">
        <x:v>ACTIVE</x:v>
      </x:c>
      <x:c r="U336" s="87" t="str">
        <x:v>https://lens.org/075-870-563-258-938</x:v>
      </x:c>
    </x:row>
    <x:row r="337">
      <x:c r="A337" s="87" t="str">
        <x:v>AstraZeneca_Lens_RAW_2009_2024.csv.csv</x:v>
      </x:c>
      <x:c r="B337" s="87" t="str">
        <x:v>AstraZeneca</x:v>
      </x:c>
      <x:c r="C337" s="87"/>
      <x:c r="D337" s="87" t="str">
        <x:v>Yes</x:v>
      </x:c>
      <x:c r="E337" s="87" t="str">
        <x:v>astrazeneca</x:v>
      </x:c>
      <x:c r="F337" s="87" t="str">
        <x:v>335</x:v>
      </x:c>
      <x:c r="G337" s="87" t="str">
        <x:v>117-942-324-002-638</x:v>
      </x:c>
      <x:c r="H337" s="110" t="n">
        <x:v>40494</x:v>
      </x:c>
      <x:c r="I337" s="88" t="n">
        <x:v>2010</x:v>
      </x:c>
      <x:c r="J337" s="87" t="str">
        <x:v>AU</x:v>
      </x:c>
      <x:c r="K337" s="87" t="str">
        <x:v>B2</x:v>
      </x:c>
      <x:c r="L337" s="87" t="str">
        <x:v>AU 2014/218385 B2</x:v>
      </x:c>
      <x:c r="M337" s="87" t="str">
        <x:v>ASTRAZENECA AB;;ASTRAZENECA UK LTD</x:v>
      </x:c>
      <x:c r="N337" s="87" t="str">
        <x:v>ASTRAZENECA AB (2016-10-20);;ASTRAZENECA UK LIMITED (2016-10-20)</x:v>
      </x:c>
      <x:c r="O337" s="87" t="str">
        <x:v>BILAYER TABLET FORMULATIONS</x:v>
      </x:c>
      <x:c r="P337" s="109" t="n">
        <x:v>1</x:v>
      </x:c>
      <x:c r="Q337" s="109" t="n">
        <x:v>2</x:v>
      </x:c>
      <x:c r="R337" s="87" t="str"/>
      <x:c r="S337" s="87" t="str">
        <x:v>A61K9/20</x:v>
      </x:c>
      <x:c r="T337" s="87" t="str">
        <x:v>ACTIVE</x:v>
      </x:c>
      <x:c r="U337" s="87" t="str">
        <x:v>https://lens.org/117-942-324-002-638</x:v>
      </x:c>
    </x:row>
    <x:row r="338">
      <x:c r="A338" s="87" t="str">
        <x:v>AstraZeneca_Lens_RAW_2009_2024.csv.csv</x:v>
      </x:c>
      <x:c r="B338" s="87" t="str">
        <x:v>AstraZeneca</x:v>
      </x:c>
      <x:c r="C338" s="87"/>
      <x:c r="D338" s="87" t="str">
        <x:v>Yes</x:v>
      </x:c>
      <x:c r="E338" s="87" t="str">
        <x:v>astrazeneca</x:v>
      </x:c>
      <x:c r="F338" s="87" t="str">
        <x:v>336</x:v>
      </x:c>
      <x:c r="G338" s="87" t="str">
        <x:v>018-364-187-190-415</x:v>
      </x:c>
      <x:c r="H338" s="110" t="n">
        <x:v>39954</x:v>
      </x:c>
      <x:c r="I338" s="88" t="n">
        <x:v>2009</x:v>
      </x:c>
      <x:c r="J338" s="87" t="str">
        <x:v>EP</x:v>
      </x:c>
      <x:c r="K338" s="87" t="str">
        <x:v>B1</x:v>
      </x:c>
      <x:c r="L338" s="87" t="str">
        <x:v>EP 2435412 B1</x:v>
      </x:c>
      <x:c r="M338" s="87" t="str">
        <x:v>ASTRAZENECA AB;;SUMITOMO DAINIPPON PHARMA CO LTD</x:v>
      </x:c>
      <x:c r="N338" s="87" t="str">
        <x:v>ASTRAZENECA AB (2016-01-06);;SUMITOMO DAINIPPON PHARMA CO., LTD. (2016-01-06)</x:v>
      </x:c>
      <x:c r="O338" s="87" t="str">
        <x:v>SACCHARIN, FUMARIC ACID, 1-HYDROXY-2-NAPHTHOIC ACID AND BENZOIC ACID SALTS OF 4-(DIMETHYLAMINO)BUTYL 2-(4-((2-AMINO-4-METHYL-6-(PENTYLAMINO)PYRIMIDIN-5-YL)METHYL)PHENYL)ACETATE</x:v>
      </x:c>
      <x:c r="P338" s="109" t="n">
        <x:v>0</x:v>
      </x:c>
      <x:c r="Q338" s="109" t="n">
        <x:v>40</x:v>
      </x:c>
      <x:c r="R338" s="87" t="str">
        <x:v>C07D239/49;;A61P11/00;;A61P11/02;;A61P11/06;;A61P17/00;;A61P27/14;;A61P31/00;;A61P31/04;;A61P31/12;;A61P31/14;;A61P31/18;;A61P31/20;;A61P35/00;;A61P37/00;;A61P37/08;;C07D275/06;;C07D239/49;;A61K31/505;;C07D275/06;;C07D239/49;;C07D275/06</x:v>
      </x:c>
      <x:c r="S338" s="87" t="str">
        <x:v>C07D239/49;;A61K31/505;;A61P11/00;;A61P17/00;;A61P27/14;;A61P31/00;;A61P35/00;;C07D275/06</x:v>
      </x:c>
      <x:c r="T338" s="87" t="str">
        <x:v>ACTIVE</x:v>
      </x:c>
      <x:c r="U338" s="87" t="str">
        <x:v>https://lens.org/018-364-187-190-415</x:v>
      </x:c>
    </x:row>
    <x:row r="339">
      <x:c r="A339" s="87" t="str">
        <x:v>AstraZeneca_Lens_RAW_2009_2024.csv.csv</x:v>
      </x:c>
      <x:c r="B339" s="87" t="str">
        <x:v>AstraZeneca</x:v>
      </x:c>
      <x:c r="C339" s="87"/>
      <x:c r="D339" s="87" t="str">
        <x:v>Yes</x:v>
      </x:c>
      <x:c r="E339" s="87" t="str">
        <x:v>astrazeneca</x:v>
      </x:c>
      <x:c r="F339" s="87" t="str">
        <x:v>337</x:v>
      </x:c>
      <x:c r="G339" s="87" t="str">
        <x:v>129-412-358-514-508</x:v>
      </x:c>
      <x:c r="H339" s="110" t="n">
        <x:v>41311</x:v>
      </x:c>
      <x:c r="I339" s="88" t="n">
        <x:v>2013</x:v>
      </x:c>
      <x:c r="J339" s="87" t="str">
        <x:v>US</x:v>
      </x:c>
      <x:c r="K339" s="87" t="str">
        <x:v>A1</x:v>
      </x:c>
      <x:c r="L339" s="87" t="str">
        <x:v>US 2015/0374673 A1</x:v>
      </x:c>
      <x:c r="M339" s="87" t="str">
        <x:v>ASTRAZENECA AB;;ASTRAZENECA AB</x:v>
      </x:c>
      <x:c r="N339" s="87" t="str">
        <x:v>FOREST LABORATORIES HOLDINGS LIMITED (2016-05-13);;ASTRAZENECA PHARMACEUTICALS LP (2015-08-06);;STICHTING KATHOLIEKE UNIVERSITEIT (2015-10-14);;ASTRAZENECA AB (2015-07-31);;ASTRAZENECA UK LIMITED (2015-08-03)</x:v>
      </x:c>
      <x:c r="O339" s="87" t="str">
        <x:v>Combination Therapy for the Treatment of Nosocomial Pneumonia</x:v>
      </x:c>
      <x:c r="P339" s="109" t="n">
        <x:v>3</x:v>
      </x:c>
      <x:c r="Q339" s="109" t="n">
        <x:v>18</x:v>
      </x:c>
      <x:c r="R339" s="87" t="str">
        <x:v>A61K31/439;;A61K31/529;;A61K31/5377;;A61K31/5383;;A61K31/546;;A61K31/65;;A61K31/7036;;A61P11/00;;A61P31/04;;A61P43/00;;Y02A50/30;;A61K31/546;;A61K31/4184;;A61P11/00;;A61K31/439;;A61K9/0019;;A61K31/529;;A61K31/5377;;A61K31/5383;;A61K31/546;;A61K31/65;;A61K31/7036;;A61K38/14</x:v>
      </x:c>
      <x:c r="S339" s="87" t="str">
        <x:v>A61K31/439;;A61K9/00;;A61K31/5377;;A61K31/5383;;A61K31/546;;A61K31/65;;A61K31/7036;;A61K38/14</x:v>
      </x:c>
      <x:c r="T339" s="87" t="str">
        <x:v>DISCONTINUED</x:v>
      </x:c>
      <x:c r="U339" s="87" t="str">
        <x:v>https://lens.org/129-412-358-514-508</x:v>
      </x:c>
    </x:row>
    <x:row r="340">
      <x:c r="A340" s="87" t="str">
        <x:v>AstraZeneca_Lens_RAW_2009_2024.csv.csv</x:v>
      </x:c>
      <x:c r="B340" s="87" t="str">
        <x:v>AstraZeneca</x:v>
      </x:c>
      <x:c r="C340" s="87"/>
      <x:c r="D340" s="87" t="str">
        <x:v>Yes</x:v>
      </x:c>
      <x:c r="E340" s="87" t="str">
        <x:v>astrazeneca</x:v>
      </x:c>
      <x:c r="F340" s="87" t="str">
        <x:v>338</x:v>
      </x:c>
      <x:c r="G340" s="87" t="str">
        <x:v>070-722-748-143-700</x:v>
      </x:c>
      <x:c r="H340" s="110" t="n">
        <x:v>39995</x:v>
      </x:c>
      <x:c r="I340" s="88" t="n">
        <x:v>2009</x:v>
      </x:c>
      <x:c r="J340" s="87" t="str">
        <x:v>US</x:v>
      </x:c>
      <x:c r="K340" s="87" t="str">
        <x:v>B2</x:v>
      </x:c>
      <x:c r="L340" s="87" t="str">
        <x:v>US 9211383 B2</x:v>
      </x:c>
      <x:c r="M340" s="87" t="str">
        <x:v>KJELLGREN PER ARNE;;LASTOW OREST;;REMMELGAS JOHAN;;SVENSSON MÅRTEN;;ASTRAZENECA AB</x:v>
      </x:c>
      <x:c r="N340" s="87" t="str">
        <x:v>ASTRAZENECA AB (2012-01-20)</x:v>
      </x:c>
      <x:c r="O340" s="87" t="str">
        <x:v>Dispenser and method for entraining powder in an airflow</x:v>
      </x:c>
      <x:c r="P340" s="109" t="n">
        <x:v>1</x:v>
      </x:c>
      <x:c r="Q340" s="109" t="n">
        <x:v>20</x:v>
      </x:c>
      <x:c r="R340" s="87" t="str">
        <x:v>A61M15/0045;;A61M15/0003;;A61M15/0025;;A61M15/0043;;A61M15/0048;;A61M2202/064;;A61M2206/10;;A61M2206/14;;A61M2206/16;;A61M2209/02;;A61M15/0003;;A61M15/0025;;A61M15/0043;;A61M15/0045;;A61M2202/064;;A61M2206/10;;A61M2206/14;;A61M2206/16;;A61M15/0045;;A61M15/0003;;A61M15/0025;;A61M15/0043;;A61M15/0048;;A61M2202/064;;A61M2206/10;;A61M2206/14;;A61M2206/16;;A61M2209/02</x:v>
      </x:c>
      <x:c r="S340" s="87" t="str">
        <x:v>A61M11/00;;A61M15/00</x:v>
      </x:c>
      <x:c r="T340" s="87" t="str">
        <x:v>INACTIVE</x:v>
      </x:c>
      <x:c r="U340" s="87" t="str">
        <x:v>https://lens.org/070-722-748-143-700</x:v>
      </x:c>
    </x:row>
    <x:row r="341">
      <x:c r="A341" s="87" t="str">
        <x:v>AstraZeneca_Lens_RAW_2009_2024.csv.csv</x:v>
      </x:c>
      <x:c r="B341" s="87" t="str">
        <x:v>AstraZeneca</x:v>
      </x:c>
      <x:c r="C341" s="87"/>
      <x:c r="D341" s="87" t="str">
        <x:v>Yes</x:v>
      </x:c>
      <x:c r="E341" s="87" t="str">
        <x:v>astrazeneca</x:v>
      </x:c>
      <x:c r="F341" s="87" t="str">
        <x:v>339</x:v>
      </x:c>
      <x:c r="G341" s="87" t="str">
        <x:v>051-849-347-044-516</x:v>
      </x:c>
      <x:c r="H341" s="110" t="n">
        <x:v>40711</x:v>
      </x:c>
      <x:c r="I341" s="88" t="n">
        <x:v>2011</x:v>
      </x:c>
      <x:c r="J341" s="87" t="str">
        <x:v>EP</x:v>
      </x:c>
      <x:c r="K341" s="87" t="str">
        <x:v>B1</x:v>
      </x:c>
      <x:c r="L341" s="87" t="str">
        <x:v>EP 2721005 B1</x:v>
      </x:c>
      <x:c r="M341" s="87" t="str">
        <x:v>ASTRAZENECA AB</x:v>
      </x:c>
      <x:c r="N341" s="87" t="str">
        <x:v>PFIZER ANTI-INFECTIVES AB (2019-05-10);;ASTRAZENECA SOEDERTAELJE 1 AB; SE (2018-06-08);;PFIZER ANTI-LNFECTIVES AB, SE (2017-03-22);;PFIZER ANTI-INFECTIVES AB; SE (2018-06-08);;ASTRAZENECA SOEDERTAELJE 1 AB, SE (2017-09-15);;PFIZER ANTI-INFECTIVES AB, SE (2018-07-04)</x:v>
      </x:c>
      <x:c r="O341" s="87" t="str">
        <x:v>PROCESS FOR PREPARING HETEROCYCLIC COMPOUNDS INCLUDING TRANS-7-OXO-6-(SULPHOOXY)-1,6-DIAZABICYCLO[3,2,1]OCTANE-2-CARBOXAMIDE AND SALTS THEREOF</x:v>
      </x:c>
      <x:c r="P341" s="109" t="n">
        <x:v>0</x:v>
      </x:c>
      <x:c r="Q341" s="109" t="n">
        <x:v>43</x:v>
      </x:c>
      <x:c r="R341" s="87" t="str">
        <x:v>C07D471/08;;C07D211/60;;C07D211/60;;A61P31/04;;A61P43/00;;C07D211/56;;C07D471/08;;Y02P20/55;;C07D471/08;;C07D211/60;;C07D471/08;;C07D211/60;;A61K31/439;;A61K31/445;;C07D211/56;;C07D471/08;;Y02P20/55</x:v>
      </x:c>
      <x:c r="S341" s="87" t="str">
        <x:v>C07D211/60;;C07D471/08</x:v>
      </x:c>
      <x:c r="T341" s="87" t="str">
        <x:v>ACTIVE</x:v>
      </x:c>
      <x:c r="U341" s="87" t="str">
        <x:v>https://lens.org/051-849-347-044-516</x:v>
      </x:c>
    </x:row>
    <x:row r="342">
      <x:c r="A342" s="87" t="str">
        <x:v>AstraZeneca_Lens_RAW_2009_2024.csv.csv</x:v>
      </x:c>
      <x:c r="B342" s="87" t="str">
        <x:v>AstraZeneca</x:v>
      </x:c>
      <x:c r="C342" s="87"/>
      <x:c r="D342" s="87" t="str">
        <x:v>Yes</x:v>
      </x:c>
      <x:c r="E342" s="87" t="str">
        <x:v>astrazeneca</x:v>
      </x:c>
      <x:c r="F342" s="87" t="str">
        <x:v>340</x:v>
      </x:c>
      <x:c r="G342" s="87" t="str">
        <x:v>195-742-282-330-221</x:v>
      </x:c>
      <x:c r="H342" s="110" t="n">
        <x:v>41472</x:v>
      </x:c>
      <x:c r="I342" s="88" t="n">
        <x:v>2013</x:v>
      </x:c>
      <x:c r="J342" s="87" t="str">
        <x:v>US</x:v>
      </x:c>
      <x:c r="K342" s="87" t="str">
        <x:v>B2</x:v>
      </x:c>
      <x:c r="L342" s="87" t="str">
        <x:v>US 9163020 B2</x:v>
      </x:c>
      <x:c r="M342" s="87" t="str">
        <x:v>GLOBAL ALLIANCE FOR TB DRUG DEV;;ASTRAZENECA AB;;FOUNDATION FOR NEGLECTED DISEASE RES</x:v>
      </x:c>
      <x:c r="N342" s="87" t="str">
        <x:v>ASTRAZENECA INDIA PRIVATE LIMITED (2013-09-26);;GLOBAL ALLIANCE FOR TB DRUG DEVELOPMENT (2014-07-08);;ASTRAZENECA AB (2014-07-08);;FOUNDATION FOR NEGLECTED DISEASE RESEARCH (2015-03-18)</x:v>
      </x:c>
      <x:c r="O342" s="87" t="str">
        <x:v>Azaindole compounds, synthesis thereof, and methods of using the same</x:v>
      </x:c>
      <x:c r="P342" s="109" t="n">
        <x:v>2</x:v>
      </x:c>
      <x:c r="Q342" s="109" t="n">
        <x:v>19</x:v>
      </x:c>
      <x:c r="R342" s="87" t="str">
        <x:v>C07D471/04;;A61P31/04;;A61P31/06;;A61P43/00;;C07D403/12;;C07D471/04;;A61K31/437;;C07D403/12</x:v>
      </x:c>
      <x:c r="S342" s="87" t="str">
        <x:v>C07D471/04;;A61K31/437;;A61P31/06;;C07D403/12</x:v>
      </x:c>
      <x:c r="T342" s="87" t="str">
        <x:v>ACTIVE</x:v>
      </x:c>
      <x:c r="U342" s="87" t="str">
        <x:v>https://lens.org/195-742-282-330-221</x:v>
      </x:c>
    </x:row>
    <x:row r="343">
      <x:c r="A343" s="87" t="str">
        <x:v>AstraZeneca_Lens_RAW_2009_2024.csv.csv</x:v>
      </x:c>
      <x:c r="B343" s="87" t="str">
        <x:v>AstraZeneca</x:v>
      </x:c>
      <x:c r="C343" s="87"/>
      <x:c r="D343" s="87" t="str">
        <x:v>Yes</x:v>
      </x:c>
      <x:c r="E343" s="87" t="str">
        <x:v>astrazeneca</x:v>
      </x:c>
      <x:c r="F343" s="87" t="str">
        <x:v>341</x:v>
      </x:c>
      <x:c r="G343" s="87" t="str">
        <x:v>145-860-889-350-134</x:v>
      </x:c>
      <x:c r="H343" s="110" t="n">
        <x:v>39972</x:v>
      </x:c>
      <x:c r="I343" s="88" t="n">
        <x:v>2009</x:v>
      </x:c>
      <x:c r="J343" s="87" t="str">
        <x:v>US</x:v>
      </x:c>
      <x:c r="K343" s="87" t="str">
        <x:v>A1</x:v>
      </x:c>
      <x:c r="L343" s="87" t="str">
        <x:v>US 2015/0252077 A1</x:v>
      </x:c>
      <x:c r="M343" s="87" t="str">
        <x:v>ASTRAZENECA AB</x:v>
      </x:c>
      <x:c r="N343" s="87" t="str">
        <x:v>ASTRAZENECA AB (2010-06-07);;PALATIN TECHNOLOGIES INC (2010-06-07)</x:v>
      </x:c>
      <x:c r="O343" s="87" t="str">
        <x:v>Melanocortin Receptor-Specific Peptides</x:v>
      </x:c>
      <x:c r="P343" s="109" t="n">
        <x:v>1</x:v>
      </x:c>
      <x:c r="Q343" s="109" t="n">
        <x:v>43</x:v>
      </x:c>
      <x:c r="R343" s="87" t="str">
        <x:v>A61P1/04;;A61K38/00;;A61P1/16;;A61P3/00;;A61P3/04;;A61P3/06;;A61P3/08;;A61P3/10;;A61P5/00;;A61P5/50;;A61P7/00;;A61P9/00;;A61P9/10;;A61P9/12;;A61P11/00;;A61P19/02;;A61P25/00;;A61P25/20;;A61P43/00;;C07K7/06;;C07K7/56;;A61K38/08;;A61P3/04;;A61P3/06;;C07K7/06;;C07K7/56;;A61K38/00;;C07K7/06</x:v>
      </x:c>
      <x:c r="S343" s="87" t="str">
        <x:v>C07K7/56</x:v>
      </x:c>
      <x:c r="T343" s="87" t="str">
        <x:v>DISCONTINUED</x:v>
      </x:c>
      <x:c r="U343" s="87" t="str">
        <x:v>https://lens.org/145-860-889-350-134</x:v>
      </x:c>
    </x:row>
    <x:row r="344">
      <x:c r="A344" s="87" t="str">
        <x:v>AstraZeneca_Lens_RAW_2009_2024.csv.csv</x:v>
      </x:c>
      <x:c r="B344" s="87" t="str">
        <x:v>AstraZeneca</x:v>
      </x:c>
      <x:c r="C344" s="87"/>
      <x:c r="D344" s="87" t="str">
        <x:v>Yes</x:v>
      </x:c>
      <x:c r="E344" s="87" t="str">
        <x:v>astrazeneca</x:v>
      </x:c>
      <x:c r="F344" s="87" t="str">
        <x:v>342</x:v>
      </x:c>
      <x:c r="G344" s="87" t="str">
        <x:v>001-701-456-669-457</x:v>
      </x:c>
      <x:c r="H344" s="110" t="n">
        <x:v>41297</x:v>
      </x:c>
      <x:c r="I344" s="88" t="n">
        <x:v>2013</x:v>
      </x:c>
      <x:c r="J344" s="87" t="str">
        <x:v>US</x:v>
      </x:c>
      <x:c r="K344" s="87" t="str">
        <x:v>A1</x:v>
      </x:c>
      <x:c r="L344" s="87" t="str">
        <x:v>US 2015/0203513 A1</x:v>
      </x:c>
      <x:c r="M344" s="87" t="str">
        <x:v>ASTRAZENECA AB</x:v>
      </x:c>
      <x:c r="N344" s="87" t="str">
        <x:v>ENTASIS THERAPEUTICS LIMITED (2015-06-16);;ENTASIS THERAPEUTICS INC (2024-12-30);;ASTRAZENECA PHARMACEUTICALS LP (2014-03-07);;ASTRAZENECA AB (2014-03-11);;ASTRAZENECA UK LIMITED (2014-03-18)</x:v>
      </x:c>
      <x:c r="O344" s="87" t="str">
        <x:v>COMPOUNDS AND METHODS FOR TREATING BACTERIAL INFECTIONS</x:v>
      </x:c>
      <x:c r="P344" s="109" t="n">
        <x:v>0</x:v>
      </x:c>
      <x:c r="Q344" s="109" t="n">
        <x:v>50</x:v>
      </x:c>
      <x:c r="R344" s="87" t="str">
        <x:v>A61K31/5383;;A61P31/04;;A61P43/00;;C07D498/22;;Y02A50/30;;A61K31/5383;;C07D498/22;;Y02A50/30</x:v>
      </x:c>
      <x:c r="S344" s="87" t="str">
        <x:v>C07D498/22</x:v>
      </x:c>
      <x:c r="T344" s="87" t="str">
        <x:v>ACTIVE</x:v>
      </x:c>
      <x:c r="U344" s="87" t="str">
        <x:v>https://lens.org/001-701-456-669-457</x:v>
      </x:c>
    </x:row>
    <x:row r="345">
      <x:c r="A345" s="87" t="str">
        <x:v>AstraZeneca_Lens_RAW_2009_2024.csv.csv</x:v>
      </x:c>
      <x:c r="B345" s="87" t="str">
        <x:v>AstraZeneca</x:v>
      </x:c>
      <x:c r="C345" s="87"/>
      <x:c r="D345" s="87" t="str">
        <x:v>Yes</x:v>
      </x:c>
      <x:c r="E345" s="87" t="str">
        <x:v>astrazeneca</x:v>
      </x:c>
      <x:c r="F345" s="87" t="str">
        <x:v>343</x:v>
      </x:c>
      <x:c r="G345" s="87" t="str">
        <x:v>138-870-210-537-425</x:v>
      </x:c>
      <x:c r="H345" s="110" t="n">
        <x:v>40676</x:v>
      </x:c>
      <x:c r="I345" s="88" t="n">
        <x:v>2011</x:v>
      </x:c>
      <x:c r="J345" s="87" t="str">
        <x:v>US</x:v>
      </x:c>
      <x:c r="K345" s="87" t="str">
        <x:v>B2</x:v>
      </x:c>
      <x:c r="L345" s="87" t="str">
        <x:v>US 9079873 B2</x:v>
      </x:c>
      <x:c r="M345" s="87" t="str">
        <x:v>MUSIL TIBOR;;ASTRAZENECA AB</x:v>
      </x:c>
      <x:c r="N345" s="87" t="str">
        <x:v>ASTRAZENECA AB (2012-05-25)</x:v>
      </x:c>
      <x:c r="O345" s="87" t="str">
        <x:v>Process for the preparation of benzyl [(3aS,4R,6S,6aR)-6-hydroxy-2,2-dimethyltetrahydro-3aH-cyclopenta[d][1,3]dioxol]-4-yl]carbamate and intermediates in the process</x:v>
      </x:c>
      <x:c r="P345" s="109" t="n">
        <x:v>0</x:v>
      </x:c>
      <x:c r="Q345" s="109" t="n">
        <x:v>37</x:v>
      </x:c>
      <x:c r="R345" s="87" t="str">
        <x:v>C07D317/44;;C07D317/44;;C07B53/00;;C07B57/00;;C07D317/44;;C07D317/44;;C07B53/00</x:v>
      </x:c>
      <x:c r="S345" s="87" t="str">
        <x:v>C07D317/44;;C07B53/00</x:v>
      </x:c>
      <x:c r="T345" s="87" t="str">
        <x:v>ACTIVE</x:v>
      </x:c>
      <x:c r="U345" s="87" t="str">
        <x:v>https://lens.org/138-870-210-537-425</x:v>
      </x:c>
    </x:row>
    <x:row r="346">
      <x:c r="A346" s="87" t="str">
        <x:v>AstraZeneca_Lens_RAW_2009_2024.csv.csv</x:v>
      </x:c>
      <x:c r="B346" s="87" t="str">
        <x:v>AstraZeneca</x:v>
      </x:c>
      <x:c r="C346" s="87"/>
      <x:c r="D346" s="87" t="str">
        <x:v>Yes</x:v>
      </x:c>
      <x:c r="E346" s="87" t="str">
        <x:v>astrazeneca</x:v>
      </x:c>
      <x:c r="F346" s="87" t="str">
        <x:v>344</x:v>
      </x:c>
      <x:c r="G346" s="87" t="str">
        <x:v>081-935-784-480-518</x:v>
      </x:c>
      <x:c r="H346" s="110" t="n">
        <x:v>40247</x:v>
      </x:c>
      <x:c r="I346" s="88" t="n">
        <x:v>2010</x:v>
      </x:c>
      <x:c r="J346" s="87" t="str">
        <x:v>US</x:v>
      </x:c>
      <x:c r="K346" s="87" t="str">
        <x:v>B2</x:v>
      </x:c>
      <x:c r="L346" s="87" t="str">
        <x:v>US 9067888 B2</x:v>
      </x:c>
      <x:c r="M346" s="87" t="str">
        <x:v>INGENIUM PHARMACEUTICALS GMBH;;ASTRAZENECA AB</x:v>
      </x:c>
      <x:c r="N346" s="87" t="str">
        <x:v>ASTRAZENECA AB (2013-12-16)</x:v>
      </x:c>
      <x:c r="O346" s="87" t="str">
        <x:v>Inhibitors of protein kinases</x:v>
      </x:c>
      <x:c r="P346" s="109" t="n">
        <x:v>1</x:v>
      </x:c>
      <x:c r="Q346" s="109" t="n">
        <x:v>23</x:v>
      </x:c>
      <x:c r="R346" s="87" t="str">
        <x:v>A61K31/496;;A61K31/4418;;A61K31/443;;A61K31/4439;;A61K31/444;;A61K31/4545;;A61P9/00;;A61P25/00;;A61P25/04;;A61P25/28;;A61P29/00;;A61P31/00;;A61P35/00;;A61P37/00;;A61P37/02;;A61P43/00;;C07D213/72;;C07D213/75;;C07D401/12;;C07D401/14;;C07D409/12;;C07D417/12;;Y02A50/30;;C07D213/75;;A61K31/4439;;C07D401/12;;A61K31/496;;A61K31/4418;;A61K31/443;;A61K31/4439;;A61K31/444;;A61K31/4545;;C07D213/72;;C07D213/75;;C07D401/12;;C07D401/14;;C07D409/12;;C07D417/12;;Y02A50/30</x:v>
      </x:c>
      <x:c r="S346" s="87" t="str">
        <x:v>C07D401/12;;A61K31/444;;C07D213/72;;C07D213/75;;C07D401/14;;C07D409/12;;C07D417/12</x:v>
      </x:c>
      <x:c r="T346" s="87" t="str">
        <x:v>INACTIVE</x:v>
      </x:c>
      <x:c r="U346" s="87" t="str">
        <x:v>https://lens.org/081-935-784-480-518</x:v>
      </x:c>
    </x:row>
    <x:row r="347">
      <x:c r="A347" s="87" t="str">
        <x:v>AstraZeneca_Lens_RAW_2009_2024.csv.csv</x:v>
      </x:c>
      <x:c r="B347" s="87" t="str">
        <x:v>AstraZeneca</x:v>
      </x:c>
      <x:c r="C347" s="87"/>
      <x:c r="D347" s="87" t="str">
        <x:v>Yes</x:v>
      </x:c>
      <x:c r="E347" s="87" t="str">
        <x:v>astrazeneca</x:v>
      </x:c>
      <x:c r="F347" s="87" t="str">
        <x:v>345</x:v>
      </x:c>
      <x:c r="G347" s="87" t="str">
        <x:v>077-419-351-685-512</x:v>
      </x:c>
      <x:c r="H347" s="110" t="n">
        <x:v>39864</x:v>
      </x:c>
      <x:c r="I347" s="88" t="n">
        <x:v>2009</x:v>
      </x:c>
      <x:c r="J347" s="87" t="str">
        <x:v>US</x:v>
      </x:c>
      <x:c r="K347" s="87" t="str">
        <x:v>A1</x:v>
      </x:c>
      <x:c r="L347" s="87" t="str">
        <x:v>US 2015/0164888 A1</x:v>
      </x:c>
      <x:c r="M347" s="87" t="str">
        <x:v>ASTRAZENECA AB</x:v>
      </x:c>
      <x:c r="N347" s="87" t="str">
        <x:v>ASTRAZENECA AB (2010-02-02)</x:v>
      </x:c>
      <x:c r="O347" s="87" t="str">
        <x:v>CYCLOPROPYL AMIDE DERIVATIVES</x:v>
      </x:c>
      <x:c r="P347" s="109" t="n">
        <x:v>0</x:v>
      </x:c>
      <x:c r="Q347" s="109" t="n">
        <x:v>55</x:v>
      </x:c>
      <x:c r="R347" s="87" t="str">
        <x:v>A61K31/495;;C07D241/04;;A61K31/495;;A61P3/04;;A61P3/10;;A61P25/00;;A61P25/02;;A61P25/04;;A61P25/08;;A61P25/16;;A61P25/18;;A61P25/20;;A61P25/26;;A61P25/28;;A61P29/00;;A61P43/00;;C07D241/04;;C07D295/108;;A61K31/495;;C07D295/10;;A61K31/495;;C07D241/04</x:v>
      </x:c>
      <x:c r="S347" s="87" t="str">
        <x:v>A61K31/495</x:v>
      </x:c>
      <x:c r="T347" s="87" t="str">
        <x:v>DISCONTINUED</x:v>
      </x:c>
      <x:c r="U347" s="87" t="str">
        <x:v>https://lens.org/077-419-351-685-512</x:v>
      </x:c>
    </x:row>
    <x:row r="348">
      <x:c r="A348" s="87" t="str">
        <x:v>AstraZeneca_Lens_RAW_2009_2024.csv.csv</x:v>
      </x:c>
      <x:c r="B348" s="87" t="str">
        <x:v>AstraZeneca</x:v>
      </x:c>
      <x:c r="C348" s="87"/>
      <x:c r="D348" s="87" t="str">
        <x:v>Yes</x:v>
      </x:c>
      <x:c r="E348" s="87" t="str">
        <x:v>astrazeneca</x:v>
      </x:c>
      <x:c r="F348" s="87" t="str">
        <x:v>346</x:v>
      </x:c>
      <x:c r="G348" s="87" t="str">
        <x:v>063-120-689-576-626</x:v>
      </x:c>
      <x:c r="H348" s="110" t="n">
        <x:v>40996</x:v>
      </x:c>
      <x:c r="I348" s="88" t="n">
        <x:v>2012</x:v>
      </x:c>
      <x:c r="J348" s="87" t="str">
        <x:v>US</x:v>
      </x:c>
      <x:c r="K348" s="87" t="str">
        <x:v>A1</x:v>
      </x:c>
      <x:c r="L348" s="87" t="str">
        <x:v>US 2015/0133373 A1</x:v>
      </x:c>
      <x:c r="M348" s="87" t="str">
        <x:v>AMYLIN PHARMACEUTICALS LLC;;ASTRAZENECA PHARMACEUTICALS LP</x:v>
      </x:c>
      <x:c r="N348" s="87" t="str">
        <x:v>AMYLIN PHARMACEUTICALS LLC (2012-08-08);;ASTRAZENECA PHARMACEUTICALS LP (2012-09-19)</x:v>
      </x:c>
      <x:c r="O348" s="87" t="str">
        <x:v>TRANSMUCOSAL DELIVERY OF ENGINEERED POLYPEPTIDES</x:v>
      </x:c>
      <x:c r="P348" s="109" t="n">
        <x:v>4</x:v>
      </x:c>
      <x:c r="Q348" s="109" t="n">
        <x:v>5</x:v>
      </x:c>
      <x:c r="R348" s="87" t="str">
        <x:v>A61K38/2278;;A61K9/0095;;A61K9/145;;A61K9/4891;;A61K47/64;;A61P17/00;;C07K2319/31;;C07K2319/75;;A61K47/26;;A61K9/0095;;A61K9/145;;A61K9/4891;;A61K38/2278;;A61K47/64;;C07K2319/31;;C07K2319/75</x:v>
      </x:c>
      <x:c r="S348" s="87" t="str">
        <x:v>A61K47/26;;A61K38/22;;A61K47/14;;A61K47/48</x:v>
      </x:c>
      <x:c r="T348" s="87" t="str">
        <x:v>DISCONTINUED</x:v>
      </x:c>
      <x:c r="U348" s="87" t="str">
        <x:v>https://lens.org/063-120-689-576-626</x:v>
      </x:c>
    </x:row>
    <x:row r="349">
      <x:c r="A349" s="87" t="str">
        <x:v>AstraZeneca_Lens_RAW_2009_2024.csv.csv</x:v>
      </x:c>
      <x:c r="B349" s="87" t="str">
        <x:v>AstraZeneca</x:v>
      </x:c>
      <x:c r="C349" s="87"/>
      <x:c r="D349" s="87" t="str">
        <x:v>Yes</x:v>
      </x:c>
      <x:c r="E349" s="87" t="str">
        <x:v>astrazeneca</x:v>
      </x:c>
      <x:c r="F349" s="87" t="str">
        <x:v>347</x:v>
      </x:c>
      <x:c r="G349" s="87" t="str">
        <x:v>017-201-778-187-565</x:v>
      </x:c>
      <x:c r="H349" s="110" t="n">
        <x:v>41023</x:v>
      </x:c>
      <x:c r="I349" s="88" t="n">
        <x:v>2012</x:v>
      </x:c>
      <x:c r="J349" s="87" t="str">
        <x:v>US</x:v>
      </x:c>
      <x:c r="K349" s="87" t="str">
        <x:v>A1</x:v>
      </x:c>
      <x:c r="L349" s="87" t="str">
        <x:v>US 2015/0111246 A1</x:v>
      </x:c>
      <x:c r="M349" s="87" t="str">
        <x:v>AMYLIN PHARMACEUTICALS LLC;;ASTRAZENECA PHARMACEUTICALS LP</x:v>
      </x:c>
      <x:c r="N349" s="87" t="str">
        <x:v>AMYLIN PHARMACEUTICALS LLC (2012-08-08);;ASTRAZENECA PHARMACEUTICALS LP (2012-09-19)</x:v>
      </x:c>
      <x:c r="O349" s="87" t="str">
        <x:v>SITE-SPECIFIC ENZYMATIC MODIFICATION OF EXENDINS AND ANALOGS THEREOF</x:v>
      </x:c>
      <x:c r="P349" s="109" t="n">
        <x:v>7</x:v>
      </x:c>
      <x:c r="Q349" s="109" t="n">
        <x:v>3</x:v>
      </x:c>
      <x:c r="R349" s="87" t="str">
        <x:v>C07K14/57563;;A61K47/54;;A61K47/551;;A61K47/554;;A61K47/557;;A61K47/60;;A61K47/64;;C12N9/1044;;C07K14/605;;A61K47/54;;A61K47/551;;A61K47/554;;A61K47/557;;A61K47/60;;A61K47/64;;C07K14/57563;;C12N9/1044;;C12P21/00</x:v>
      </x:c>
      <x:c r="S349" s="87" t="str">
        <x:v>C07K14/605;;C12P21/00</x:v>
      </x:c>
      <x:c r="T349" s="87" t="str">
        <x:v>DISCONTINUED</x:v>
      </x:c>
      <x:c r="U349" s="87" t="str">
        <x:v>https://lens.org/017-201-778-187-565</x:v>
      </x:c>
    </x:row>
    <x:row r="350">
      <x:c r="A350" s="87" t="str">
        <x:v>AstraZeneca_Lens_RAW_2009_2024.csv.csv</x:v>
      </x:c>
      <x:c r="B350" s="87" t="str">
        <x:v>AstraZeneca</x:v>
      </x:c>
      <x:c r="C350" s="87"/>
      <x:c r="D350" s="87" t="str">
        <x:v>Yes</x:v>
      </x:c>
      <x:c r="E350" s="87" t="str">
        <x:v>astrazeneca</x:v>
      </x:c>
      <x:c r="F350" s="87" t="str">
        <x:v>348</x:v>
      </x:c>
      <x:c r="G350" s="87" t="str">
        <x:v>123-435-572-408-814</x:v>
      </x:c>
      <x:c r="H350" s="110" t="n">
        <x:v>40532</x:v>
      </x:c>
      <x:c r="I350" s="88" t="n">
        <x:v>2010</x:v>
      </x:c>
      <x:c r="J350" s="87" t="str">
        <x:v>US</x:v>
      </x:c>
      <x:c r="K350" s="87" t="str">
        <x:v>B2</x:v>
      </x:c>
      <x:c r="L350" s="87" t="str">
        <x:v>US 9012457 B2</x:v>
      </x:c>
      <x:c r="M350" s="87" t="str">
        <x:v>GYBÄCK HELENA;;MALMSTRÖM JONAS;;TERP ELGAARD GITTE;;ASTRAZENECA AB</x:v>
      </x:c>
      <x:c r="N350" s="87" t="str">
        <x:v>ACTURUM LIFE AB (2019-05-14);;ASTRAZENECA AB (2013-07-24);;ACTURUM REAL ESTATE AB (2016-03-12);;ACTURUM LIFE SCIENCE AB (2013-06-25)</x:v>
      </x:c>
      <x:c r="O350" s="87" t="str">
        <x:v>2-carboxamide-4-piperazinyl-benzofuran derivative</x:v>
      </x:c>
      <x:c r="P350" s="109" t="n">
        <x:v>0</x:v>
      </x:c>
      <x:c r="Q350" s="109" t="n">
        <x:v>16</x:v>
      </x:c>
      <x:c r="R350" s="87" t="str">
        <x:v>C07D405/12;;A61P21/00;;A61P21/02;;A61P21/04;;A61P25/00;;A61P25/02;;A61P25/14;;A61P25/16;;A61P25/18;;A61P25/24;;A61P25/28;;A61P43/00;;C07D215/227;;C07D307/85;;C07D405/14;;A61K31/497;;C07D405/12;;C07D215/227;;C07D307/85</x:v>
      </x:c>
      <x:c r="S350" s="87" t="str">
        <x:v>C07D405/12;;C07D215/227;;C07D307/85</x:v>
      </x:c>
      <x:c r="T350" s="87" t="str">
        <x:v>INACTIVE</x:v>
      </x:c>
      <x:c r="U350" s="87" t="str">
        <x:v>https://lens.org/123-435-572-408-814</x:v>
      </x:c>
    </x:row>
    <x:row r="351">
      <x:c r="A351" s="87" t="str">
        <x:v>AstraZeneca_Lens_RAW_2009_2024.csv.csv</x:v>
      </x:c>
      <x:c r="B351" s="87" t="str">
        <x:v>AstraZeneca</x:v>
      </x:c>
      <x:c r="C351" s="87"/>
      <x:c r="D351" s="87" t="str">
        <x:v>Yes</x:v>
      </x:c>
      <x:c r="E351" s="87" t="str">
        <x:v>astrazeneca</x:v>
      </x:c>
      <x:c r="F351" s="87" t="str">
        <x:v>349</x:v>
      </x:c>
      <x:c r="G351" s="87" t="str">
        <x:v>104-424-458-688-565</x:v>
      </x:c>
      <x:c r="H351" s="110" t="n">
        <x:v>40227</x:v>
      </x:c>
      <x:c r="I351" s="88" t="n">
        <x:v>2010</x:v>
      </x:c>
      <x:c r="J351" s="87" t="str">
        <x:v>US</x:v>
      </x:c>
      <x:c r="K351" s="87" t="str">
        <x:v>B2</x:v>
      </x:c>
      <x:c r="L351" s="87" t="str">
        <x:v>US 9012452 B2</x:v>
      </x:c>
      <x:c r="M351" s="87" t="str">
        <x:v>STRANNE ROBERT;;ASTRAZENECA AB</x:v>
      </x:c>
      <x:c r="N351" s="87" t="str">
        <x:v>ASTRAZENECA AB (2012-10-23)</x:v>
      </x:c>
      <x:c r="O351" s="87" t="str">
        <x:v>Processes for making cyclopropyl amide derivatives and intermediates associated therewith</x:v>
      </x:c>
      <x:c r="P351" s="109" t="n">
        <x:v>0</x:v>
      </x:c>
      <x:c r="Q351" s="109" t="n">
        <x:v>50</x:v>
      </x:c>
      <x:c r="R351" s="87" t="str">
        <x:v>C07D295/192;;A61K31/4965;;A61P3/04;;A61P25/00;;A61P25/04;;A61P25/14;;A61P25/18;;A61P25/20;;A61P25/28;;A61P25/36;;A61P29/00;;A61P43/00;;C07D241/04;;C07D295/185;;C07C233/65;;C07D241/04;;C07D295/182;;C07D295/192;;A61K31/4965;;C07C231/06;;C07C231/14;;C07C235/84;;C07D241/04;;C07D295/185</x:v>
      </x:c>
      <x:c r="S351" s="87" t="str">
        <x:v>A61K31/497;;A61K31/4965;;C07C231/06;;C07C231/14;;C07C235/84;;C07D241/04;;C07D295/104;;C07D295/185;;C07D295/192</x:v>
      </x:c>
      <x:c r="T351" s="87" t="str">
        <x:v>INACTIVE</x:v>
      </x:c>
      <x:c r="U351" s="87" t="str">
        <x:v>https://lens.org/104-424-458-688-565</x:v>
      </x:c>
    </x:row>
    <x:row r="352">
      <x:c r="A352" s="87" t="str">
        <x:v>AstraZeneca_Lens_RAW_2009_2024.csv.csv</x:v>
      </x:c>
      <x:c r="B352" s="87" t="str">
        <x:v>AstraZeneca</x:v>
      </x:c>
      <x:c r="C352" s="87"/>
      <x:c r="D352" s="87" t="str">
        <x:v>Yes</x:v>
      </x:c>
      <x:c r="E352" s="87" t="str">
        <x:v>astrazeneca</x:v>
      </x:c>
      <x:c r="F352" s="87" t="str">
        <x:v>350</x:v>
      </x:c>
      <x:c r="G352" s="87" t="str">
        <x:v>178-205-849-126-45X</x:v>
      </x:c>
      <x:c r="H352" s="110" t="n">
        <x:v>41080</x:v>
      </x:c>
      <x:c r="I352" s="88" t="n">
        <x:v>2012</x:v>
      </x:c>
      <x:c r="J352" s="87" t="str">
        <x:v>US</x:v>
      </x:c>
      <x:c r="K352" s="87" t="str">
        <x:v>B2</x:v>
      </x:c>
      <x:c r="L352" s="87" t="str">
        <x:v>US 9000182 B2</x:v>
      </x:c>
      <x:c r="M352" s="87" t="str">
        <x:v>ASTRAZENECA AB</x:v>
      </x:c>
      <x:c r="N352" s="87" t="str">
        <x:v>ASTRAZENECA AB (2013-10-05)</x:v>
      </x:c>
      <x:c r="O352" s="87" t="str">
        <x:v>2H-imidazol-4-amine compounds and their use as BACE inhibitors</x:v>
      </x:c>
      <x:c r="P352" s="109" t="n">
        <x:v>6</x:v>
      </x:c>
      <x:c r="Q352" s="109" t="n">
        <x:v>8</x:v>
      </x:c>
      <x:c r="R352" s="87" t="str">
        <x:v>C07D235/02;;C07D401/04;;C07D235/02;;A61K31/4184;;A61K31/4439;;A61P25/16;;A61P25/28;;C07D401/02;;C07D401/04;;C07D235/02;;A61K31/4184;;A61K31/4439;;A61K45/06;;C07D401/02;;C07D401/04</x:v>
      </x:c>
      <x:c r="S352" s="87" t="str">
        <x:v>C07D235/02;;A61K31/4184;;A61K31/4439;;A61K45/06;;C07D401/02;;C07D401/04</x:v>
      </x:c>
      <x:c r="T352" s="87" t="str">
        <x:v>INACTIVE</x:v>
      </x:c>
      <x:c r="U352" s="87" t="str">
        <x:v>https://lens.org/178-205-849-126-45X</x:v>
      </x:c>
    </x:row>
    <x:row r="353">
      <x:c r="A353" s="87" t="str">
        <x:v>AstraZeneca_Lens_RAW_2009_2024.csv.csv</x:v>
      </x:c>
      <x:c r="B353" s="87" t="str">
        <x:v>AstraZeneca</x:v>
      </x:c>
      <x:c r="C353" s="87"/>
      <x:c r="D353" s="87" t="str">
        <x:v>Yes</x:v>
      </x:c>
      <x:c r="E353" s="87" t="str">
        <x:v>astrazeneca</x:v>
      </x:c>
      <x:c r="F353" s="87" t="str">
        <x:v>351</x:v>
      </x:c>
      <x:c r="G353" s="87" t="str">
        <x:v>023-556-184-498-18X</x:v>
      </x:c>
      <x:c r="H353" s="110" t="n">
        <x:v>41080</x:v>
      </x:c>
      <x:c r="I353" s="88" t="n">
        <x:v>2012</x:v>
      </x:c>
      <x:c r="J353" s="87" t="str">
        <x:v>US</x:v>
      </x:c>
      <x:c r="K353" s="87" t="str">
        <x:v>B2</x:v>
      </x:c>
      <x:c r="L353" s="87" t="str">
        <x:v>US 9000185 B2</x:v>
      </x:c>
      <x:c r="M353" s="87" t="str">
        <x:v>ASTRAZENECA AB</x:v>
      </x:c>
      <x:c r="N353" s="87" t="str">
        <x:v>ASTRAZENECA AB (2013-10-07)</x:v>
      </x:c>
      <x:c r="O353" s="87" t="str">
        <x:v>Cycloalkyl ether compounds and their use as BACE inhibitors</x:v>
      </x:c>
      <x:c r="P353" s="109" t="n">
        <x:v>7</x:v>
      </x:c>
      <x:c r="Q353" s="109" t="n">
        <x:v>8</x:v>
      </x:c>
      <x:c r="R353" s="87" t="str">
        <x:v>C07D235/02;;C07D235/02;;A61K31/428;;A61P9/00;;A61P25/00;;A61P25/28;;C07D235/02;;A61K31/428;;A61K45/06</x:v>
      </x:c>
      <x:c r="S353" s="87" t="str">
        <x:v>C07D235/02;;A61K31/428;;A61K45/06</x:v>
      </x:c>
      <x:c r="T353" s="87" t="str">
        <x:v>INACTIVE</x:v>
      </x:c>
      <x:c r="U353" s="87" t="str">
        <x:v>https://lens.org/023-556-184-498-18X</x:v>
      </x:c>
    </x:row>
    <x:row r="354">
      <x:c r="A354" s="87" t="str">
        <x:v>AstraZeneca_Lens_RAW_2009_2024.csv.csv</x:v>
      </x:c>
      <x:c r="B354" s="87" t="str">
        <x:v>AstraZeneca</x:v>
      </x:c>
      <x:c r="C354" s="87"/>
      <x:c r="D354" s="87" t="str">
        <x:v>Yes</x:v>
      </x:c>
      <x:c r="E354" s="87" t="str">
        <x:v>astrazeneca</x:v>
      </x:c>
      <x:c r="F354" s="87" t="str">
        <x:v>352</x:v>
      </x:c>
      <x:c r="G354" s="87" t="str">
        <x:v>190-078-684-980-29X</x:v>
      </x:c>
      <x:c r="H354" s="110" t="n">
        <x:v>41080</x:v>
      </x:c>
      <x:c r="I354" s="88" t="n">
        <x:v>2012</x:v>
      </x:c>
      <x:c r="J354" s="87" t="str">
        <x:v>US</x:v>
      </x:c>
      <x:c r="K354" s="87" t="str">
        <x:v>B2</x:v>
      </x:c>
      <x:c r="L354" s="87" t="str">
        <x:v>US 9000183 B2</x:v>
      </x:c>
      <x:c r="M354" s="87" t="str">
        <x:v>ASTRAZENECA AB</x:v>
      </x:c>
      <x:c r="N354" s="87" t="str">
        <x:v>ASTRAZENECA AB (2013-10-07)</x:v>
      </x:c>
      <x:c r="O354" s="87" t="str">
        <x:v>Cyclohexane-1,2′-indene-1′,2″-imidazol compounds and their use as BACE inhibitors</x:v>
      </x:c>
      <x:c r="P354" s="109" t="n">
        <x:v>7</x:v>
      </x:c>
      <x:c r="Q354" s="109" t="n">
        <x:v>8</x:v>
      </x:c>
      <x:c r="R354" s="87" t="str">
        <x:v>C07D235/02;;C07D401/04;;C07D235/02;;A61K45/06;;A61P25/00;;A61P25/16;;A61P25/28;;A61P43/00;;C07D401/02;;C07D401/04;;C07D235/02;;A61K31/4184;;A61K31/4439;;A61K45/06;;C07D401/02;;C07D401/04</x:v>
      </x:c>
      <x:c r="S354" s="87" t="str">
        <x:v>C07D235/02;;A61K31/4184;;A61K31/4439;;A61K45/06;;C07D401/02;;C07D401/04</x:v>
      </x:c>
      <x:c r="T354" s="87" t="str">
        <x:v>INACTIVE</x:v>
      </x:c>
      <x:c r="U354" s="87" t="str">
        <x:v>https://lens.org/190-078-684-980-29X</x:v>
      </x:c>
    </x:row>
    <x:row r="355">
      <x:c r="A355" s="87" t="str">
        <x:v>AstraZeneca_Lens_RAW_2009_2024.csv.csv</x:v>
      </x:c>
      <x:c r="B355" s="87" t="str">
        <x:v>AstraZeneca</x:v>
      </x:c>
      <x:c r="C355" s="87"/>
      <x:c r="D355" s="87" t="str">
        <x:v>Yes</x:v>
      </x:c>
      <x:c r="E355" s="87" t="str">
        <x:v>astrazeneca</x:v>
      </x:c>
      <x:c r="F355" s="87" t="str">
        <x:v>353</x:v>
      </x:c>
      <x:c r="G355" s="87" t="str">
        <x:v>044-293-193-143-487</x:v>
      </x:c>
      <x:c r="H355" s="110" t="n">
        <x:v>41080</x:v>
      </x:c>
      <x:c r="I355" s="88" t="n">
        <x:v>2012</x:v>
      </x:c>
      <x:c r="J355" s="87" t="str">
        <x:v>US</x:v>
      </x:c>
      <x:c r="K355" s="87" t="str">
        <x:v>B2</x:v>
      </x:c>
      <x:c r="L355" s="87" t="str">
        <x:v>US 9000184 B2</x:v>
      </x:c>
      <x:c r="M355" s="87" t="str">
        <x:v>ASTRAZENECA AB</x:v>
      </x:c>
      <x:c r="N355" s="87" t="str">
        <x:v>ASTRAZENECA AB (2013-10-07)</x:v>
      </x:c>
      <x:c r="O355" s="87" t="str">
        <x:v>Cyclohexane-1,2′-naphthalene-1′,2″-imidazol compounds and their use as BACE inhibitors</x:v>
      </x:c>
      <x:c r="P355" s="109" t="n">
        <x:v>7</x:v>
      </x:c>
      <x:c r="Q355" s="109" t="n">
        <x:v>8</x:v>
      </x:c>
      <x:c r="R355" s="87" t="str">
        <x:v>C07D401/04;;C07D235/02;;C07D491/107;;C07D235/02;;A61P25/28;;A61P43/00;;C07D401/02;;C07D401/04;;C07D491/107;;C07D235/02;;A61K31/4184;;A61K31/4439;;A61K45/06;;C07D401/02;;C07D401/04;;C07D491/107</x:v>
      </x:c>
      <x:c r="S355" s="87" t="str">
        <x:v>C07D235/02;;A61K31/4184;;A61K31/4439;;A61K45/06;;C07D401/02;;C07D401/04;;C07D491/107</x:v>
      </x:c>
      <x:c r="T355" s="87" t="str">
        <x:v>INACTIVE</x:v>
      </x:c>
      <x:c r="U355" s="87" t="str">
        <x:v>https://lens.org/044-293-193-143-487</x:v>
      </x:c>
    </x:row>
    <x:row r="356">
      <x:c r="A356" s="87" t="str">
        <x:v>AstraZeneca_Lens_RAW_2009_2024.csv.csv</x:v>
      </x:c>
      <x:c r="B356" s="87" t="str">
        <x:v>AstraZeneca</x:v>
      </x:c>
      <x:c r="C356" s="87"/>
      <x:c r="D356" s="87" t="str">
        <x:v>Yes</x:v>
      </x:c>
      <x:c r="E356" s="87" t="str">
        <x:v>astrazeneca</x:v>
      </x:c>
      <x:c r="F356" s="87" t="str">
        <x:v>354</x:v>
      </x:c>
      <x:c r="G356" s="87" t="str">
        <x:v>128-155-507-005-539</x:v>
      </x:c>
      <x:c r="H356" s="110" t="n">
        <x:v>41001</x:v>
      </x:c>
      <x:c r="I356" s="88" t="n">
        <x:v>2012</x:v>
      </x:c>
      <x:c r="J356" s="87" t="str">
        <x:v>US</x:v>
      </x:c>
      <x:c r="K356" s="87" t="str">
        <x:v>A1</x:v>
      </x:c>
      <x:c r="L356" s="87" t="str">
        <x:v>US 2015/0073011 A1</x:v>
      </x:c>
      <x:c r="M356" s="87" t="str">
        <x:v>ASTRAZENECA AB</x:v>
      </x:c>
      <x:c r="N356" s="87" t="str">
        <x:v>ENTASIS THERAPEUTICS LIMITED (2015-06-16);;ASTRAZENECA PHARMACEUTICALS LP (2014-10-01);;ASTRAZENECA AB (2014-10-01);;ASTRAZENECA UK LIMITED (2014-10-01)</x:v>
      </x:c>
      <x:c r="O356" s="87" t="str">
        <x:v>Beta-Lactamase Inhibitor Compounds</x:v>
      </x:c>
      <x:c r="P356" s="109" t="n">
        <x:v>2</x:v>
      </x:c>
      <x:c r="Q356" s="109" t="n">
        <x:v>57</x:v>
      </x:c>
      <x:c r="R356" s="87" t="str">
        <x:v>C07D471/08;;C07D471/08;;A61P31/00;;A61P31/04;;A61P43/00;;Y02A50/30;;C07D471/08;;A61K31/439;;A61K31/439;;A61K31/407;;A61K31/427;;A61K31/43;;A61K31/444;;A61K31/4545;;A61K31/496;;A61K31/546;;A61K31/675;;C07D471/08</x:v>
      </x:c>
      <x:c r="S356" s="87" t="str">
        <x:v>C07D471/08</x:v>
      </x:c>
      <x:c r="T356" s="87" t="str">
        <x:v>ACTIVE</x:v>
      </x:c>
      <x:c r="U356" s="87" t="str">
        <x:v>https://lens.org/128-155-507-005-539</x:v>
      </x:c>
    </x:row>
    <x:row r="357">
      <x:c r="A357" s="87" t="str">
        <x:v>AstraZeneca_Lens_RAW_2009_2024.csv.csv</x:v>
      </x:c>
      <x:c r="B357" s="87" t="str">
        <x:v>AstraZeneca</x:v>
      </x:c>
      <x:c r="C357" s="87"/>
      <x:c r="D357" s="87" t="str">
        <x:v>Yes</x:v>
      </x:c>
      <x:c r="E357" s="87" t="str">
        <x:v>astrazeneca</x:v>
      </x:c>
      <x:c r="F357" s="87" t="str">
        <x:v>355</x:v>
      </x:c>
      <x:c r="G357" s="87" t="str">
        <x:v>150-070-475-927-823</x:v>
      </x:c>
      <x:c r="H357" s="110" t="n">
        <x:v>40891</x:v>
      </x:c>
      <x:c r="I357" s="88" t="n">
        <x:v>2011</x:v>
      </x:c>
      <x:c r="J357" s="87" t="str">
        <x:v>US</x:v>
      </x:c>
      <x:c r="K357" s="87" t="str">
        <x:v>A1</x:v>
      </x:c>
      <x:c r="L357" s="87" t="str">
        <x:v>US 2015/0057317 A1</x:v>
      </x:c>
      <x:c r="M357" s="87" t="str">
        <x:v>ASTRAZENECA AB</x:v>
      </x:c>
      <x:c r="N357" s="87" t="str">
        <x:v>ASTRAZENECA PHARMACEUTICALS LP (2013-01-16);;ASTRAZENECA UK LIMITED (2013-01-15);;ASTRAZENECA AB (2013-03-04)</x:v>
      </x:c>
      <x:c r="O357" s="87" t="str">
        <x:v>GABR-A2 DIAGNOSTIC</x:v>
      </x:c>
      <x:c r="P357" s="109" t="n">
        <x:v>7</x:v>
      </x:c>
      <x:c r="Q357" s="109" t="n">
        <x:v>6</x:v>
      </x:c>
      <x:c r="R357" s="87" t="str">
        <x:v>C12Q1/6883;;C12Q2600/106;;C12Q2600/156;;A61K31/4402;;A61K31/135;;A61P25/18;;A61P25/22;;A61P25/24;;A61P43/00;;C12Q1/6883;;C12Q2600/106;;C12Q2600/156;;A61K31/4402;;A61K31/135;;C12Q1/6883;;C12Q2600/106;;C12Q2600/156</x:v>
      </x:c>
      <x:c r="S357" s="87" t="str">
        <x:v>A61K31/4402</x:v>
      </x:c>
      <x:c r="T357" s="87" t="str">
        <x:v>DISCONTINUED</x:v>
      </x:c>
      <x:c r="U357" s="87" t="str">
        <x:v>https://lens.org/150-070-475-927-823</x:v>
      </x:c>
    </x:row>
    <x:row r="358">
      <x:c r="A358" s="87" t="str">
        <x:v>AstraZeneca_Lens_RAW_2009_2024.csv.csv</x:v>
      </x:c>
      <x:c r="B358" s="87" t="str">
        <x:v>AstraZeneca</x:v>
      </x:c>
      <x:c r="C358" s="87"/>
      <x:c r="D358" s="87" t="str">
        <x:v>Yes</x:v>
      </x:c>
      <x:c r="E358" s="87" t="str">
        <x:v>astrazeneca</x:v>
      </x:c>
      <x:c r="F358" s="87" t="str">
        <x:v>356</x:v>
      </x:c>
      <x:c r="G358" s="87" t="str">
        <x:v>112-068-608-010-197</x:v>
      </x:c>
      <x:c r="H358" s="110" t="n">
        <x:v>40051</x:v>
      </x:c>
      <x:c r="I358" s="88" t="n">
        <x:v>2009</x:v>
      </x:c>
      <x:c r="J358" s="87" t="str">
        <x:v>AU</x:v>
      </x:c>
      <x:c r="K358" s="87" t="str">
        <x:v>B2</x:v>
      </x:c>
      <x:c r="L358" s="87" t="str">
        <x:v>AU 2010/288550 B2</x:v>
      </x:c>
      <x:c r="M358" s="87" t="str">
        <x:v>ASTRAZENECA AB</x:v>
      </x:c>
      <x:c r="N358" s="87" t="str">
        <x:v>ASTRAZENECA AB (2016-08-18)</x:v>
      </x:c>
      <x:c r="O358" s="87" t="str">
        <x:v>Methylpyrrolopyrimidinecarboxamides</x:v>
      </x:c>
      <x:c r="P358" s="109" t="n">
        <x:v>0</x:v>
      </x:c>
      <x:c r="Q358" s="109" t="n">
        <x:v>40</x:v>
      </x:c>
      <x:c r="R358" s="87" t="str">
        <x:v>C07D487/04;;A61P1/16;;A61P9/08;;A61P9/12;;A61P11/00;;A61P11/06;;A61P11/08;;A61P13/12;;A61P43/00;;C07D487/04;;A61K31/525;;C07D513/04;;C07D487/04</x:v>
      </x:c>
      <x:c r="S358" s="87" t="str">
        <x:v>C07D487/04;;A61K31/519;;A61P11/00</x:v>
      </x:c>
      <x:c r="T358" s="87" t="str">
        <x:v>INACTIVE</x:v>
      </x:c>
      <x:c r="U358" s="87" t="str">
        <x:v>https://lens.org/112-068-608-010-197</x:v>
      </x:c>
    </x:row>
    <x:row r="359">
      <x:c r="A359" s="87" t="str">
        <x:v>AstraZeneca_Lens_RAW_2009_2024.csv.csv</x:v>
      </x:c>
      <x:c r="B359" s="87" t="str">
        <x:v>AstraZeneca</x:v>
      </x:c>
      <x:c r="C359" s="87"/>
      <x:c r="D359" s="87" t="str">
        <x:v>Yes</x:v>
      </x:c>
      <x:c r="E359" s="87" t="str">
        <x:v>astrazeneca</x:v>
      </x:c>
      <x:c r="F359" s="87" t="str">
        <x:v>357</x:v>
      </x:c>
      <x:c r="G359" s="87" t="str">
        <x:v>117-535-711-682-399</x:v>
      </x:c>
      <x:c r="H359" s="110" t="n">
        <x:v>40676</x:v>
      </x:c>
      <x:c r="I359" s="88" t="n">
        <x:v>2011</x:v>
      </x:c>
      <x:c r="J359" s="87" t="str">
        <x:v>US</x:v>
      </x:c>
      <x:c r="K359" s="87" t="str">
        <x:v>A1</x:v>
      </x:c>
      <x:c r="L359" s="87" t="str">
        <x:v>US 2014/0364601 A1</x:v>
      </x:c>
      <x:c r="M359" s="87" t="str">
        <x:v>BARNWELL NEIL;;CORNWALL PHILIP;;GILL DUNCAN MICHAEL;;HOWELL GARETH P;;MEADOWS REBECCA ELIZABETH;;MURUGAN ANDIAPPAN;;O'KEEFE PHILIP;;SINGLETON JOHN;;WITHNALL JANE;;MERIFIELD ERIC;;MITCHELL CHRISTOPHER WILLIAM;;PATEL ZAKARIYA MOHAMED;;ROSE JAMES BARRY;;ASTRAZENECA AB</x:v>
      </x:c>
      <x:c r="N359" s="87" t="str">
        <x:v>ASTRAZENECA INDIA PRIVATE LIMITED (2012-08-03);;ASTRAZENECA UK LIMITED (2012-08-13);;ASTRAZENECA AB (2012-07-26)</x:v>
      </x:c>
      <x:c r="O359" s="87" t="str">
        <x:v>PROCESS</x:v>
      </x:c>
      <x:c r="P359" s="109" t="n">
        <x:v>0</x:v>
      </x:c>
      <x:c r="Q359" s="109" t="n">
        <x:v>15</x:v>
      </x:c>
      <x:c r="R359" s="87" t="str">
        <x:v>C07D498/10;;C07C309/24;;C07D277/68;;C07D498/10;;A61P11/08;;C07C309/24;;C07D277/68;;C07D277/68;;C07D498/10;;C07D498/10;;C07C55/07;;C07C309/08;;C07C309/24;;C07D277/68</x:v>
      </x:c>
      <x:c r="S359" s="87" t="str">
        <x:v>C07D498/10;;C07C55/07;;C07C309/08;;C07D277/68</x:v>
      </x:c>
      <x:c r="T359" s="87" t="str">
        <x:v>DISCONTINUED</x:v>
      </x:c>
      <x:c r="U359" s="87" t="str">
        <x:v>https://lens.org/117-535-711-682-399</x:v>
      </x:c>
    </x:row>
    <x:row r="360">
      <x:c r="A360" s="87" t="str">
        <x:v>AstraZeneca_Lens_RAW_2009_2024.csv.csv</x:v>
      </x:c>
      <x:c r="B360" s="87" t="str">
        <x:v>AstraZeneca</x:v>
      </x:c>
      <x:c r="C360" s="87"/>
      <x:c r="D360" s="87" t="str">
        <x:v>Yes</x:v>
      </x:c>
      <x:c r="E360" s="87" t="str">
        <x:v>astrazeneca</x:v>
      </x:c>
      <x:c r="F360" s="87" t="str">
        <x:v>358</x:v>
      </x:c>
      <x:c r="G360" s="87" t="str">
        <x:v>130-412-804-354-133</x:v>
      </x:c>
      <x:c r="H360" s="110" t="n">
        <x:v>40529</x:v>
      </x:c>
      <x:c r="I360" s="88" t="n">
        <x:v>2010</x:v>
      </x:c>
      <x:c r="J360" s="87" t="str">
        <x:v>US</x:v>
      </x:c>
      <x:c r="K360" s="87" t="str">
        <x:v>B2</x:v>
      </x:c>
      <x:c r="L360" s="87" t="str">
        <x:v>US 8895570 B2</x:v>
      </x:c>
      <x:c r="M360" s="87" t="str">
        <x:v>ABBOTT PHILLIP;;BONNERT ROGER VICTOR;;MCINALLY THOMAS;;THOM STEPHEN;;WADA HIROKI;;ONUMA SATOSHI;;ASTRAZENECA AB;;DAINIPPON SUMITOMO PHARMA CO</x:v>
      </x:c>
      <x:c r="N360" s="87" t="str">
        <x:v>SUMITOMO PHARMA CO. LTD (2011-12-14);;ASTRAZENECA UK LIMITED (2012-01-24);;ASTRAZENECA AB (2011-12-14)</x:v>
      </x:c>
      <x:c r="O360" s="87" t="str">
        <x:v>Purine derivatives</x:v>
      </x:c>
      <x:c r="P360" s="109" t="n">
        <x:v>0</x:v>
      </x:c>
      <x:c r="Q360" s="109" t="n">
        <x:v>9</x:v>
      </x:c>
      <x:c r="R360" s="87" t="str">
        <x:v>C07D473/18;;A61P1/16;;A61P11/00;;A61P11/02;;A61P11/06;;A61P17/00;;A61P17/02;;A61P17/04;;A61P17/16;;A61P27/02;;A61P27/14;;A61P31/04;;A61P31/14;;A61P31/18;;A61P31/20;;A61P35/00;;A61P37/04;;A61P37/08;;A61P43/00;;C07D473/18</x:v>
      </x:c>
      <x:c r="S360" s="87" t="str">
        <x:v>A61K31/52;;C07D473/18</x:v>
      </x:c>
      <x:c r="T360" s="87" t="str">
        <x:v>ACTIVE</x:v>
      </x:c>
      <x:c r="U360" s="87" t="str">
        <x:v>https://lens.org/130-412-804-354-133</x:v>
      </x:c>
    </x:row>
    <x:row r="361">
      <x:c r="A361" s="87" t="str">
        <x:v>AstraZeneca_Lens_RAW_2009_2024.csv.csv</x:v>
      </x:c>
      <x:c r="B361" s="87" t="str">
        <x:v>AstraZeneca</x:v>
      </x:c>
      <x:c r="C361" s="87"/>
      <x:c r="D361" s="87" t="str">
        <x:v>Yes</x:v>
      </x:c>
      <x:c r="E361" s="87" t="str">
        <x:v>astrazeneca</x:v>
      </x:c>
      <x:c r="F361" s="87" t="str">
        <x:v>359</x:v>
      </x:c>
      <x:c r="G361" s="87" t="str">
        <x:v>045-520-357-801-348</x:v>
      </x:c>
      <x:c r="H361" s="110" t="n">
        <x:v>40150</x:v>
      </x:c>
      <x:c r="I361" s="88" t="n">
        <x:v>2009</x:v>
      </x:c>
      <x:c r="J361" s="87" t="str">
        <x:v>US</x:v>
      </x:c>
      <x:c r="K361" s="87" t="str">
        <x:v>B2</x:v>
      </x:c>
      <x:c r="L361" s="87" t="str">
        <x:v>US 8883802 B2</x:v>
      </x:c>
      <x:c r="M361" s="87" t="str">
        <x:v>COSGROVE STEPHEN DAVID;;JONES MATTHEW JONATHAN;;POLYAKOVA-AKKUS ANNA;;SMOLENSKAYA VALERIYA NIKOLAYEVNA;;WOLFE BRENTON SKYLAR;;ASTRAZENECA AB</x:v>
      </x:c>
      <x:c r="N361" s="87" t="str">
        <x:v>APTUIT INC (2012-08-15);;ASTRAZENECA AB (2012-07-05);;ASTRA ZENECA UK LIMITED (2012-10-18)</x:v>
      </x:c>
      <x:c r="O361" s="87" t="str">
        <x:v>Co-crystals of a triazolo [4,5-D] pyrimide platelet aggregation inhibitor</x:v>
      </x:c>
      <x:c r="P361" s="109" t="n">
        <x:v>2</x:v>
      </x:c>
      <x:c r="Q361" s="109" t="n">
        <x:v>14</x:v>
      </x:c>
      <x:c r="R361" s="87" t="str">
        <x:v>C07D487/04;;C07D487/04;;A61P7/02;;A61P9/00;;A61P9/10;;C07D487/04;;A61K31/519;;C07B2200/13;;C07D487/04</x:v>
      </x:c>
      <x:c r="S361" s="87" t="str">
        <x:v>A61K31/519;;C07D471/00</x:v>
      </x:c>
      <x:c r="T361" s="87" t="str">
        <x:v>INACTIVE</x:v>
      </x:c>
      <x:c r="U361" s="87" t="str">
        <x:v>https://lens.org/045-520-357-801-348</x:v>
      </x:c>
    </x:row>
    <x:row r="362">
      <x:c r="A362" s="87" t="str">
        <x:v>AstraZeneca_Lens_RAW_2009_2024.csv.csv</x:v>
      </x:c>
      <x:c r="B362" s="87" t="str">
        <x:v>AstraZeneca</x:v>
      </x:c>
      <x:c r="C362" s="87"/>
      <x:c r="D362" s="87" t="str">
        <x:v>Yes</x:v>
      </x:c>
      <x:c r="E362" s="87" t="str">
        <x:v>astrazeneca</x:v>
      </x:c>
      <x:c r="F362" s="87" t="str">
        <x:v>360</x:v>
      </x:c>
      <x:c r="G362" s="87" t="str">
        <x:v>193-678-654-128-82X</x:v>
      </x:c>
      <x:c r="H362" s="110" t="n">
        <x:v>39994</x:v>
      </x:c>
      <x:c r="I362" s="88" t="n">
        <x:v>2009</x:v>
      </x:c>
      <x:c r="J362" s="87" t="str">
        <x:v>US</x:v>
      </x:c>
      <x:c r="K362" s="87" t="str">
        <x:v>B2</x:v>
      </x:c>
      <x:c r="L362" s="87" t="str">
        <x:v>US 8859534 B2</x:v>
      </x:c>
      <x:c r="M362" s="87" t="str">
        <x:v>ASTRAZENECA AB;;ACTURUM LIFE SCIENCE AB</x:v>
      </x:c>
      <x:c r="N362" s="87" t="str">
        <x:v>ACTURUM LIFE AB (2019-05-14);;ASTRAZENECA AB (2010-06-28);;ACTURUM REAL ESTATE AB (2016-03-12);;ACTURUM LIFE SCIENCE AB (2013-06-25)</x:v>
      </x:c>
      <x:c r="O362" s="87" t="str">
        <x:v>2-carboxamide-7-piperazinyl-benzofuran derivatives</x:v>
      </x:c>
      <x:c r="P362" s="109" t="n">
        <x:v>1</x:v>
      </x:c>
      <x:c r="Q362" s="109" t="n">
        <x:v>22</x:v>
      </x:c>
      <x:c r="R362" s="87" t="str">
        <x:v>C07D405/12;;A61P25/00;;A61P25/16;;A61P25/18;;A61P25/20;;A61P25/24;;A61P25/28;;A61P43/00;;C07D307/84;;C07D307/85;;C07D405/14;;C07D407/14;;C07D413/14;;C07D417/14;;C07D405/14;;A61K31/496;;C07D417/14;;C07D405/12;;C07D307/84;;C07D307/85;;C07D405/14;;C07D407/14;;C07D413/14;;C07D417/14</x:v>
      </x:c>
      <x:c r="S362" s="87" t="str">
        <x:v>A61K31/496;;A61K31/5377;;C07D307/84;;C07D307/85;;C07D405/12;;C07D405/14;;C07D407/14;;C07D413/14;;C07D417/14</x:v>
      </x:c>
      <x:c r="T362" s="87" t="str">
        <x:v>ACTIVE</x:v>
      </x:c>
      <x:c r="U362" s="87" t="str">
        <x:v>https://lens.org/193-678-654-128-82X</x:v>
      </x:c>
    </x:row>
    <x:row r="363">
      <x:c r="A363" s="87" t="str">
        <x:v>AstraZeneca_Lens_RAW_2009_2024.csv.csv</x:v>
      </x:c>
      <x:c r="B363" s="87" t="str">
        <x:v>AstraZeneca</x:v>
      </x:c>
      <x:c r="C363" s="87"/>
      <x:c r="D363" s="87" t="str">
        <x:v>Yes</x:v>
      </x:c>
      <x:c r="E363" s="87" t="str">
        <x:v>astrazeneca</x:v>
      </x:c>
      <x:c r="F363" s="87" t="str">
        <x:v>361</x:v>
      </x:c>
      <x:c r="G363" s="87" t="str">
        <x:v>039-976-666-942-337</x:v>
      </x:c>
      <x:c r="H363" s="110" t="n">
        <x:v>40732</x:v>
      </x:c>
      <x:c r="I363" s="88" t="n">
        <x:v>2011</x:v>
      </x:c>
      <x:c r="J363" s="87" t="str">
        <x:v>US</x:v>
      </x:c>
      <x:c r="K363" s="87" t="str">
        <x:v>A1</x:v>
      </x:c>
      <x:c r="L363" s="87" t="str">
        <x:v>US 2014/0256621 A1</x:v>
      </x:c>
      <x:c r="M363" s="87" t="str">
        <x:v>ERICKSON MARY;;LITZINGER DAVID C;;GHOSH SOUMITRA S;;GUO ZIJIAN;;EKBLAND CAROLINE;;ROTH JONATHAN DAVID;;ASTRAZENECA PHARMACEUTICALS LP;;AMYLIN PHARMACEUTICALS LLC</x:v>
      </x:c>
      <x:c r="N363" s="87" t="str">
        <x:v>AFFIBODY AB (2012-06-25);;AMYLIN PHARMACEUTICALS LLC (2012-08-08);;ASTRAZENECA PHARMACEUTICALS LP (2012-09-19);;NOVELION THERAPEUTICS INC (2016-11-29);;AEGERION PHARMACEUTICALS INC (2015-01-09)</x:v>
      </x:c>
      <x:c r="O363" s="87" t="str">
        <x:v>ENGINEERED POYPEPTIDES HAVING ENHANCED DURATION OF ACTION AND REDUCED IMMUNOGENICITY</x:v>
      </x:c>
      <x:c r="P363" s="109" t="n">
        <x:v>9</x:v>
      </x:c>
      <x:c r="Q363" s="109" t="n">
        <x:v>19</x:v>
      </x:c>
      <x:c r="R363" s="87" t="str">
        <x:v>C07K14/5759;;A61K38/00;;A61K38/22;;A61K38/2264;;A61P1/16;;A61P3/04;;A61P3/06;;A61P3/10;;A61P5/00;;A61P9/12;;A61P15/00;;A61P25/14;;A61P25/28;;C07K2319/70;;C07K14/5759;;A61K38/00;;A61K38/22;;A61K38/2264;;C07K14/315;;C07K14/575;;C07K2319/31;;C07K2319/70</x:v>
      </x:c>
      <x:c r="S363" s="87" t="str">
        <x:v>C07K14/575;;C07K14/315</x:v>
      </x:c>
      <x:c r="T363" s="87" t="str">
        <x:v>DISCONTINUED</x:v>
      </x:c>
      <x:c r="U363" s="87" t="str">
        <x:v>https://lens.org/039-976-666-942-337</x:v>
      </x:c>
    </x:row>
    <x:row r="364">
      <x:c r="A364" s="87" t="str">
        <x:v>AstraZeneca_Lens_RAW_2009_2024.csv.csv</x:v>
      </x:c>
      <x:c r="B364" s="87" t="str">
        <x:v>AstraZeneca</x:v>
      </x:c>
      <x:c r="C364" s="87"/>
      <x:c r="D364" s="87" t="str">
        <x:v>Yes</x:v>
      </x:c>
      <x:c r="E364" s="87" t="str">
        <x:v>astrazeneca</x:v>
      </x:c>
      <x:c r="F364" s="87" t="str">
        <x:v>362</x:v>
      </x:c>
      <x:c r="G364" s="87" t="str">
        <x:v>028-347-987-651-214</x:v>
      </x:c>
      <x:c r="H364" s="110" t="n">
        <x:v>40449</x:v>
      </x:c>
      <x:c r="I364" s="88" t="n">
        <x:v>2010</x:v>
      </x:c>
      <x:c r="J364" s="87" t="str">
        <x:v>EP</x:v>
      </x:c>
      <x:c r="K364" s="87" t="str">
        <x:v>A4</x:v>
      </x:c>
      <x:c r="L364" s="87" t="str">
        <x:v>EP 2621515 A4</x:v>
      </x:c>
      <x:c r="M364" s="87" t="str">
        <x:v>AMYLIN PHARMACEUTICALS LLC;;ASTRAZENECA PHARMACEUTICALS LP</x:v>
      </x:c>
      <x:c r="N364" s="87" t="str">
        <x:v>AMRYT PHARMACEUTICALS INC.; US (2021-06-22);;AMYLIN PHARMACEUTICALS, LLC (2013-09-04);;ASTRAZENECA PHARMACEUTICALS LP (2013-09-04);;AMRYT PHARMACEUTICALS INC. (2021-08-19);;AMRYT PHARMACEUTICALS INC., CAMBRIDGE, US (2021-06-29);;AMRYT PHARMACEUTICALS INC., US (2021-09-01);;AEGERION PHARMACEUTICALS, INC. (2015-08-05)</x:v>
      </x:c>
      <x:c r="O364" s="87" t="str">
        <x:v>HIGHLY SOLUBLE LEPTINS</x:v>
      </x:c>
      <x:c r="P364" s="109" t="n">
        <x:v>0</x:v>
      </x:c>
      <x:c r="Q364" s="109" t="n">
        <x:v>63</x:v>
      </x:c>
      <x:c r="R364" s="87" t="str">
        <x:v>C07K14/5759;;A61K38/2264;;C07K14/5759;;A61K38/00;;A61K38/2264;;A61P1/16;;A61P1/18;;A61P3/00;;A61P3/04;;A61P3/06;;A61P3/10;;A61P15/00;;A61P15/08;;A61P25/14;;A61P25/28;;A61P43/00;;C07K14/00;;C07K14/5759;;A61K38/00;;A61K38/2264;;C07K14/00;;C07K14/575;;C07K2319/33</x:v>
      </x:c>
      <x:c r="S364" s="87" t="str">
        <x:v>A61K38/17;;A61K38/22;;A61P3/00;;A61P3/04;;C07K14/00;;C07K14/575</x:v>
      </x:c>
      <x:c r="T364" s="87" t="str">
        <x:v>ACTIVE</x:v>
      </x:c>
      <x:c r="U364" s="87" t="str">
        <x:v>https://lens.org/028-347-987-651-214</x:v>
      </x:c>
    </x:row>
    <x:row r="365">
      <x:c r="A365" s="87" t="str">
        <x:v>AstraZeneca_Lens_RAW_2009_2024.csv.csv</x:v>
      </x:c>
      <x:c r="B365" s="87" t="str">
        <x:v>AstraZeneca</x:v>
      </x:c>
      <x:c r="C365" s="87"/>
      <x:c r="D365" s="87" t="str">
        <x:v>Yes</x:v>
      </x:c>
      <x:c r="E365" s="87" t="str">
        <x:v>astrazeneca</x:v>
      </x:c>
      <x:c r="F365" s="87" t="str">
        <x:v>363</x:v>
      </x:c>
      <x:c r="G365" s="87" t="str">
        <x:v>021-485-840-724-811</x:v>
      </x:c>
      <x:c r="H365" s="110" t="n">
        <x:v>40372</x:v>
      </x:c>
      <x:c r="I365" s="88" t="n">
        <x:v>2010</x:v>
      </x:c>
      <x:c r="J365" s="87" t="str">
        <x:v>US</x:v>
      </x:c>
      <x:c r="K365" s="87" t="str">
        <x:v>B2</x:v>
      </x:c>
      <x:c r="L365" s="87" t="str">
        <x:v>US 8748603 B2</x:v>
      </x:c>
      <x:c r="M365" s="87" t="str">
        <x:v>GULLBERG BRITT ANNE INGELA;;LARSSON THOMAS PETER;;STONEHOUSE JEFFREY PAUL;;ASTRAZENECA AB</x:v>
      </x:c>
      <x:c r="N365" s="87" t="str">
        <x:v>ASTRAZENECA AB (2011-07-12);;ASTRAZENECA UK LIMITED (2011-08-31)</x:v>
      </x:c>
      <x:c r="O365" s="87" t="str">
        <x:v>Crystalline forms of N-[2-[[(2,3-difluorophenyl)methyl]THIO]-6-{[(1R,2S)-2,3-dihydroxy-1-methylpropyl]oxy}-4-pyrimidinyl]-1-azetidinesulfonamide</x:v>
      </x:c>
      <x:c r="P365" s="109" t="n">
        <x:v>2</x:v>
      </x:c>
      <x:c r="Q365" s="109" t="n">
        <x:v>21</x:v>
      </x:c>
      <x:c r="R365" s="87" t="str">
        <x:v>C07D403/12;;A61K31/506;;A61P1/00;;A61P1/04;;A61P11/00;;A61P11/06;;A61P11/08;;A61P17/06;;A61P19/00;;A61P19/02;;A61P19/10;;A61P29/00;;A61P35/00;;A61P37/00;;A61P37/08;;A61P43/00;;C07D403/12;;A61K31/506;;A61K45/06;;C07D403/10;;C07D403/12;;A61K31/506;;A61K45/06</x:v>
      </x:c>
      <x:c r="S365" s="87" t="str">
        <x:v>C07D403/12;;A61K31/506;;A61P11/06;;A61P19/02</x:v>
      </x:c>
      <x:c r="T365" s="87" t="str">
        <x:v>ACTIVE</x:v>
      </x:c>
      <x:c r="U365" s="87" t="str">
        <x:v>https://lens.org/021-485-840-724-811</x:v>
      </x:c>
    </x:row>
    <x:row r="366">
      <x:c r="A366" s="87" t="str">
        <x:v>AstraZeneca_Lens_RAW_2009_2024.csv.csv</x:v>
      </x:c>
      <x:c r="B366" s="87" t="str">
        <x:v>AstraZeneca</x:v>
      </x:c>
      <x:c r="C366" s="87"/>
      <x:c r="D366" s="87" t="str">
        <x:v>Yes</x:v>
      </x:c>
      <x:c r="E366" s="87" t="str">
        <x:v>astrazeneca</x:v>
      </x:c>
      <x:c r="F366" s="87" t="str">
        <x:v>364</x:v>
      </x:c>
      <x:c r="G366" s="87" t="str">
        <x:v>145-126-427-781-398</x:v>
      </x:c>
      <x:c r="H366" s="110" t="n">
        <x:v>40739</x:v>
      </x:c>
      <x:c r="I366" s="88" t="n">
        <x:v>2011</x:v>
      </x:c>
      <x:c r="J366" s="87" t="str">
        <x:v>US</x:v>
      </x:c>
      <x:c r="K366" s="87" t="str">
        <x:v>B2</x:v>
      </x:c>
      <x:c r="L366" s="87" t="str">
        <x:v>US 8685958 B2</x:v>
      </x:c>
      <x:c r="M366" s="87" t="str">
        <x:v>JOHANSSON LARS ANDERS MIKAEL;;ASTRAZENECA AB</x:v>
      </x:c>
      <x:c r="N366" s="87" t="str">
        <x:v>ASTRAZENECA AB (2012-10-02)</x:v>
      </x:c>
      <x:c r="O366" s="87" t="str">
        <x:v>Therapeutic agents</x:v>
      </x:c>
      <x:c r="P366" s="109" t="n">
        <x:v>0</x:v>
      </x:c>
      <x:c r="Q366" s="109" t="n">
        <x:v>15</x:v>
      </x:c>
      <x:c r="R366" s="87" t="str">
        <x:v>C07D491/107;;C07D491/044;;A61P3/04;;A61P25/22;;A61P43/00;;C07D491/048;;C07D491/107;;C07D491/044;;C07D491/048</x:v>
      </x:c>
      <x:c r="S366" s="87" t="str">
        <x:v>C07D491/107</x:v>
      </x:c>
      <x:c r="T366" s="87" t="str">
        <x:v>INACTIVE</x:v>
      </x:c>
      <x:c r="U366" s="87" t="str">
        <x:v>https://lens.org/145-126-427-781-398</x:v>
      </x:c>
    </x:row>
    <x:row r="367">
      <x:c r="A367" s="87" t="str">
        <x:v>AstraZeneca_Lens_RAW_2009_2024.csv.csv</x:v>
      </x:c>
      <x:c r="B367" s="87" t="str">
        <x:v>AstraZeneca</x:v>
      </x:c>
      <x:c r="C367" s="87"/>
      <x:c r="D367" s="87" t="str">
        <x:v>Yes</x:v>
      </x:c>
      <x:c r="E367" s="87" t="str">
        <x:v>astrazeneca</x:v>
      </x:c>
      <x:c r="F367" s="87" t="str">
        <x:v>365</x:v>
      </x:c>
      <x:c r="G367" s="87" t="str">
        <x:v>029-680-044-408-652</x:v>
      </x:c>
      <x:c r="H367" s="110" t="n">
        <x:v>40773</x:v>
      </x:c>
      <x:c r="I367" s="88" t="n">
        <x:v>2011</x:v>
      </x:c>
      <x:c r="J367" s="87" t="str">
        <x:v>AU</x:v>
      </x:c>
      <x:c r="K367" s="87" t="str">
        <x:v>A1</x:v>
      </x:c>
      <x:c r="L367" s="87" t="str">
        <x:v>AU 2012/296880 A1</x:v>
      </x:c>
      <x:c r="M367" s="87" t="str">
        <x:v>ASTRAZENECA AB</x:v>
      </x:c>
      <x:c r="N367" s="87" t="str">
        <x:v>ASTRAZENECA AB (2016-08-18)</x:v>
      </x:c>
      <x:c r="O367" s="87" t="str">
        <x:v>Pharmaceutical aerosol product for administration by oral or nasal inhalation</x:v>
      </x:c>
      <x:c r="P367" s="109" t="n">
        <x:v>0</x:v>
      </x:c>
      <x:c r="Q367" s="109" t="n">
        <x:v>11</x:v>
      </x:c>
      <x:c r="R367" s="87" t="str">
        <x:v>A61K9/124;;A61K9/008;;A61K31/58;;A61K9/124;;A61K9/008;;A61K31/58;;A61M11/04;;A61M15/0001;;A61M15/0065;;A61M15/009</x:v>
      </x:c>
      <x:c r="S367" s="87" t="str">
        <x:v>A61K9/00;;A61K9/12;;A61K31/57;;A61K47/10</x:v>
      </x:c>
      <x:c r="T367" s="87" t="str">
        <x:v>DISCONTINUED</x:v>
      </x:c>
      <x:c r="U367" s="87" t="str">
        <x:v>https://lens.org/029-680-044-408-652</x:v>
      </x:c>
    </x:row>
    <x:row r="368">
      <x:c r="A368" s="87" t="str">
        <x:v>AstraZeneca_Lens_RAW_2009_2024.csv.csv</x:v>
      </x:c>
      <x:c r="B368" s="87" t="str">
        <x:v>AstraZeneca</x:v>
      </x:c>
      <x:c r="C368" s="87"/>
      <x:c r="D368" s="87" t="str">
        <x:v>Yes</x:v>
      </x:c>
      <x:c r="E368" s="87" t="str">
        <x:v>astrazeneca</x:v>
      </x:c>
      <x:c r="F368" s="87" t="str">
        <x:v>366</x:v>
      </x:c>
      <x:c r="G368" s="87" t="str">
        <x:v>179-826-943-912-770</x:v>
      </x:c>
      <x:c r="H368" s="110" t="n">
        <x:v>40380</x:v>
      </x:c>
      <x:c r="I368" s="88" t="n">
        <x:v>2010</x:v>
      </x:c>
      <x:c r="J368" s="87" t="str">
        <x:v>US</x:v>
      </x:c>
      <x:c r="K368" s="87" t="str">
        <x:v>A1</x:v>
      </x:c>
      <x:c r="L368" s="87" t="str">
        <x:v>US 2014/0083422 A1</x:v>
      </x:c>
      <x:c r="M368" s="87" t="str">
        <x:v>ARVIDSSON LARS RUNE GUSTAV;;BAKEWELL WILLIAM;;BRIANT JOHN PHILLIP;;CAMPBELL PATRICK;;COOKE CHARLES;;GROOMBRIDGE CHRISTOPHER;;JOHN JAMES DANIEL;;LASTOW OREST;;PENHALLURICK TREVOR JOHN;;SMARTT NICHOLAS;;SVENSSON MAERTIN;;ULLBRAND BJOERN;;ASTRAZENECA AB</x:v>
      </x:c>
      <x:c r="N368" s="87" t="str">
        <x:v>ASTRAZENECA AB (2011-06-07);;ASTRAZENECA UK LIMITED (2011-07-08)</x:v>
      </x:c>
      <x:c r="O368" s="87" t="str">
        <x:v>INHALER</x:v>
      </x:c>
      <x:c r="P368" s="109" t="n">
        <x:v>23</x:v>
      </x:c>
      <x:c r="Q368" s="109" t="n">
        <x:v>21</x:v>
      </x:c>
      <x:c r="R368" s="87" t="str">
        <x:v>A61M15/0045;;A61M15/0021;;A61M15/0043;;A61M15/0048;;A61M15/0075;;A61M15/0081;;A61M15/0091;;A61M2202/064;;A61M15/00;;A61M15/0045;;A61M15/0021;;A61M15/0043;;A61M15/0048;;A61M15/0075;;A61M15/0081;;A61M15/0091;;A61M15/08;;A61M2202/064</x:v>
      </x:c>
      <x:c r="S368" s="87" t="str">
        <x:v>A61M15/00;;A61M15/08</x:v>
      </x:c>
      <x:c r="T368" s="87" t="str">
        <x:v>DISCONTINUED</x:v>
      </x:c>
      <x:c r="U368" s="87" t="str">
        <x:v>https://lens.org/179-826-943-912-770</x:v>
      </x:c>
    </x:row>
    <x:row r="369">
      <x:c r="A369" s="87" t="str">
        <x:v>AstraZeneca_Lens_RAW_2009_2024.csv.csv</x:v>
      </x:c>
      <x:c r="B369" s="87" t="str">
        <x:v>AstraZeneca</x:v>
      </x:c>
      <x:c r="C369" s="87"/>
      <x:c r="D369" s="87" t="str">
        <x:v>Yes</x:v>
      </x:c>
      <x:c r="E369" s="87" t="str">
        <x:v>astrazeneca</x:v>
      </x:c>
      <x:c r="F369" s="87" t="str">
        <x:v>367</x:v>
      </x:c>
      <x:c r="G369" s="87" t="str">
        <x:v>118-828-434-673-763</x:v>
      </x:c>
      <x:c r="H369" s="110" t="n">
        <x:v>40575</x:v>
      </x:c>
      <x:c r="I369" s="88" t="n">
        <x:v>2011</x:v>
      </x:c>
      <x:c r="J369" s="87" t="str">
        <x:v>US</x:v>
      </x:c>
      <x:c r="K369" s="87" t="str">
        <x:v>A1</x:v>
      </x:c>
      <x:c r="L369" s="87" t="str">
        <x:v>US 2014/0079778 A1</x:v>
      </x:c>
      <x:c r="M369" s="87" t="str">
        <x:v>NARANG AJIT;;RAO VENKATRAMANA M;;DESAI DIVYAKANT S;;ASTRAZENECA UK LTD;;BRISTOL MYERS SQUIBB CO</x:v>
      </x:c>
      <x:c r="N369" s="87" t="str">
        <x:v>ASTRAZENECA UK LIMITED (2013-08-01);;HALLIBURTON ENERGY SERVICES INC (2013-01-28)</x:v>
      </x:c>
      <x:c r="O369" s="87" t="str">
        <x:v>Pharmaceutical Formulations Including An Amine Compound</x:v>
      </x:c>
      <x:c r="P369" s="109" t="n">
        <x:v>5</x:v>
      </x:c>
      <x:c r="Q369" s="109" t="n">
        <x:v>16</x:v>
      </x:c>
      <x:c r="R369" s="87" t="str">
        <x:v>A61K9/209;;A61K9/282;;A61K9/284;;A61K9/2886;;A61K31/155;;A61K31/198;;A61K31/351;;A61K31/403;;A61K31/4439;;A61K31/4985;;A61K31/64;;A61P3/10;;A61K45/06;;A61K9/0053;;A61K9/28;;A61K9/2853;;A61K9/2886;;A61K31/155;;A61K31/403;;A61K47/18;;A61K47/32;;A61K2121/00;;A61K9/2826;;A61K9/209;;A61K9/282;;A61K9/284;;A61K9/2886;;A61K31/155;;A61K31/198;;A61K31/351;;A61K31/403;;A61K31/4439;;A61K31/4985;;A61K31/64;;A61K47/18</x:v>
      </x:c>
      <x:c r="S369" s="87" t="str">
        <x:v>A61K9/28;;A61K31/155;;A61K31/403;;A61K31/4985;;A61K47/18</x:v>
      </x:c>
      <x:c r="T369" s="87" t="str">
        <x:v>DISCONTINUED</x:v>
      </x:c>
      <x:c r="U369" s="87" t="str">
        <x:v>https://lens.org/118-828-434-673-763</x:v>
      </x:c>
    </x:row>
    <x:row r="370">
      <x:c r="A370" s="87" t="str">
        <x:v>AstraZeneca_Lens_RAW_2009_2024.csv.csv</x:v>
      </x:c>
      <x:c r="B370" s="87" t="str">
        <x:v>AstraZeneca</x:v>
      </x:c>
      <x:c r="C370" s="87"/>
      <x:c r="D370" s="87" t="str">
        <x:v>Yes</x:v>
      </x:c>
      <x:c r="E370" s="87" t="str">
        <x:v>astrazeneca</x:v>
      </x:c>
      <x:c r="F370" s="87" t="str">
        <x:v>368</x:v>
      </x:c>
      <x:c r="G370" s="87" t="str">
        <x:v>166-114-172-074-459</x:v>
      </x:c>
      <x:c r="H370" s="110" t="n">
        <x:v>40380</x:v>
      </x:c>
      <x:c r="I370" s="88" t="n">
        <x:v>2010</x:v>
      </x:c>
      <x:c r="J370" s="87" t="str">
        <x:v>US</x:v>
      </x:c>
      <x:c r="K370" s="87" t="str">
        <x:v>A1</x:v>
      </x:c>
      <x:c r="L370" s="87" t="str">
        <x:v>US 2014/0000601 A1</x:v>
      </x:c>
      <x:c r="M370" s="87" t="str">
        <x:v>ARVIDSSON LARS RUNE GUSTAV;;BAKEWELL WILLIAM;;CAMPBELL PATRICK;;GROOMBRIDGE CHRISTOPHER;;JOHN JAMES DANIEL;;LUNDGREN JAN OLOF BERTIL;;LUNDSTROM CAMILLA;;RITTFELDT MAARTEN;;SVENNBERG JONAS;;ASTRAZENECA AB</x:v>
      </x:c>
      <x:c r="N370" s="87" t="str">
        <x:v>ASTRAZENECA UK LIMITED (2011-07-08);;ASTRAZENECA AB (2011-07-13)</x:v>
      </x:c>
      <x:c r="O370" s="87" t="str">
        <x:v>INHALER</x:v>
      </x:c>
      <x:c r="P370" s="109" t="n">
        <x:v>13</x:v>
      </x:c>
      <x:c r="Q370" s="109" t="n">
        <x:v>18</x:v>
      </x:c>
      <x:c r="R370" s="87" t="str">
        <x:v>A61M15/0045;;A61M15/0021;;A61M15/0043;;A61M15/0048;;A61M15/0075;;A61M15/0081;;A61M2202/064;;A61M15/00;;A61M15/0045;;A61M15/0021;;A61M15/0043;;A61M15/0048;;A61M15/0075;;A61M15/0081;;A61M2202/064</x:v>
      </x:c>
      <x:c r="S370" s="87" t="str">
        <x:v>A61M15/00</x:v>
      </x:c>
      <x:c r="T370" s="87" t="str">
        <x:v>DISCONTINUED</x:v>
      </x:c>
      <x:c r="U370" s="87" t="str">
        <x:v>https://lens.org/166-114-172-074-459</x:v>
      </x:c>
    </x:row>
    <x:row r="371">
      <x:c r="A371" s="87" t="str">
        <x:v>AstraZeneca_Lens_RAW_2009_2024.csv.csv</x:v>
      </x:c>
      <x:c r="B371" s="87" t="str">
        <x:v>AstraZeneca</x:v>
      </x:c>
      <x:c r="C371" s="87"/>
      <x:c r="D371" s="87" t="str">
        <x:v>Yes</x:v>
      </x:c>
      <x:c r="E371" s="87" t="str">
        <x:v>astrazeneca</x:v>
      </x:c>
      <x:c r="F371" s="87" t="str">
        <x:v>369</x:v>
      </x:c>
      <x:c r="G371" s="87" t="str">
        <x:v>194-081-764-349-070</x:v>
      </x:c>
      <x:c r="H371" s="110" t="n">
        <x:v>39962</x:v>
      </x:c>
      <x:c r="I371" s="88" t="n">
        <x:v>2009</x:v>
      </x:c>
      <x:c r="J371" s="87" t="str">
        <x:v>US</x:v>
      </x:c>
      <x:c r="K371" s="87" t="str">
        <x:v>B2</x:v>
      </x:c>
      <x:c r="L371" s="87" t="str">
        <x:v>US 8569484 B2</x:v>
      </x:c>
      <x:c r="M371" s="87" t="str">
        <x:v>BIFULCO NEIL;;CHOY ALLISON LAURA;;QUIROGA OLGA;;SHERER BRIAN ALAN;;ASTRAZENECA AB</x:v>
      </x:c>
      <x:c r="N371" s="87" t="str">
        <x:v>ASTRAZENECA PHARMACEUTICALS LP (2012-01-10);;ASTRAZENECA AB (2012-01-12)</x:v>
      </x:c>
      <x:c r="O371" s="87" t="str">
        <x:v>Heterocyclic urea derivatives and methods of use thereof</x:v>
      </x:c>
      <x:c r="P371" s="109" t="n">
        <x:v>0</x:v>
      </x:c>
      <x:c r="Q371" s="109" t="n">
        <x:v>9</x:v>
      </x:c>
      <x:c r="R371" s="87" t="str">
        <x:v>C07D471/04;;A61P7/00;;A61P9/00;;A61P11/00;;A61P11/02;;A61P11/08;;A61P13/02;;A61P17/00;;A61P27/16;;A61P31/04;;A61P43/00;;C07D471/04</x:v>
      </x:c>
      <x:c r="S371" s="87" t="str">
        <x:v>C07D471/04;;C07F9/6561</x:v>
      </x:c>
      <x:c r="T371" s="87" t="str">
        <x:v>INACTIVE</x:v>
      </x:c>
      <x:c r="U371" s="87" t="str">
        <x:v>https://lens.org/194-081-764-349-070</x:v>
      </x:c>
    </x:row>
    <x:row r="372">
      <x:c r="A372" s="87" t="str">
        <x:v>AstraZeneca_Lens_RAW_2009_2024.csv.csv</x:v>
      </x:c>
      <x:c r="B372" s="87" t="str">
        <x:v>AstraZeneca</x:v>
      </x:c>
      <x:c r="C372" s="87"/>
      <x:c r="D372" s="87" t="str">
        <x:v>Yes</x:v>
      </x:c>
      <x:c r="E372" s="87" t="str">
        <x:v>astrazeneca</x:v>
      </x:c>
      <x:c r="F372" s="87" t="str">
        <x:v>370</x:v>
      </x:c>
      <x:c r="G372" s="87" t="str">
        <x:v>071-991-754-255-09X</x:v>
      </x:c>
      <x:c r="H372" s="110" t="n">
        <x:v>40365</x:v>
      </x:c>
      <x:c r="I372" s="88" t="n">
        <x:v>2010</x:v>
      </x:c>
      <x:c r="J372" s="87" t="str">
        <x:v>US</x:v>
      </x:c>
      <x:c r="K372" s="87" t="str">
        <x:v>B2</x:v>
      </x:c>
      <x:c r="L372" s="87" t="str">
        <x:v>US 8546375 B2</x:v>
      </x:c>
      <x:c r="M372" s="87" t="str">
        <x:v>BOEKMAN-WINIWARTER SUSANNE DORIS MARGIT;;FREDENWALL MARLENE;;HOGNER CARL ANDERS;;JOHANSSON LARS ANDERS MIKAEL;;JUDKINS ROBERT ANDREW;;LI LANNA;;LOEFBERG BJOERN CHRISTIAN INGVAR;;UNGE SVERKER VON;;ASTRAZENECA AB</x:v>
      </x:c>
      <x:c r="N372" s="87" t="str">
        <x:v>ASTRAZENECA AB (2011-08-23)</x:v>
      </x:c>
      <x:c r="O372" s="87" t="str">
        <x:v>(3-(4-(aminomethyl)phenoxy or phenylthio)azetidin-1-yl)(5-phenyl-1,3,4-oxadiazol-2-yl)methanone compounds</x:v>
      </x:c>
      <x:c r="P372" s="109" t="n">
        <x:v>0</x:v>
      </x:c>
      <x:c r="Q372" s="109" t="n">
        <x:v>33</x:v>
      </x:c>
      <x:c r="R372" s="87" t="str">
        <x:v>C07D413/06;;A61K31/4245;;A61P1/16;;A61P3/04;;A61P5/02;;A61P5/50;;A61P11/00;;A61P25/00;;A61P25/22;;A61P25/24;;A61P43/00;;C07D413/14;;C07D413/06;;A61K31/397;;A61K31/4245;;C07D413/14;;C07D413/06;;A61K31/4245;;C07D413/14</x:v>
      </x:c>
      <x:c r="S372" s="87" t="str">
        <x:v>A61K31/4245;;C07D205/04;;C07D295/096;;C07D295/155;;C07D413/12;;C07D413/14</x:v>
      </x:c>
      <x:c r="T372" s="87" t="str">
        <x:v>INACTIVE</x:v>
      </x:c>
      <x:c r="U372" s="87" t="str">
        <x:v>https://lens.org/071-991-754-255-09X</x:v>
      </x:c>
    </x:row>
    <x:row r="373">
      <x:c r="A373" s="87" t="str">
        <x:v>AstraZeneca_Lens_RAW_2009_2024.csv.csv</x:v>
      </x:c>
      <x:c r="B373" s="87" t="str">
        <x:v>AstraZeneca</x:v>
      </x:c>
      <x:c r="C373" s="87"/>
      <x:c r="D373" s="87" t="str">
        <x:v>Yes</x:v>
      </x:c>
      <x:c r="E373" s="87" t="str">
        <x:v>astrazeneca</x:v>
      </x:c>
      <x:c r="F373" s="87" t="str">
        <x:v>371</x:v>
      </x:c>
      <x:c r="G373" s="87" t="str">
        <x:v>026-874-977-032-374</x:v>
      </x:c>
      <x:c r="H373" s="110" t="n">
        <x:v>40501</x:v>
      </x:c>
      <x:c r="I373" s="88" t="n">
        <x:v>2010</x:v>
      </x:c>
      <x:c r="J373" s="87" t="str">
        <x:v>EP</x:v>
      </x:c>
      <x:c r="K373" s="87" t="str">
        <x:v>A1</x:v>
      </x:c>
      <x:c r="L373" s="87" t="str">
        <x:v>EP 2640716 A1</x:v>
      </x:c>
      <x:c r="M373" s="87" t="str">
        <x:v>DAINIPPON SUMITOMO PHARMA CO;;ASTRAZENECA AB</x:v>
      </x:c>
      <x:c r="N373" s="87" t="str">
        <x:v>ASTRAZENECA AKTIEBOLAG (2014-10-08);;SUMITOMO DAINIPPON PHARMA CO., LTD. (2014-10-08)</x:v>
      </x:c>
      <x:c r="O373" s="87" t="str">
        <x:v>CYCLIC AMIDE COMPOUNDS AND THEIR USE IN THE TREATMENT OF DISEASE</x:v>
      </x:c>
      <x:c r="P373" s="109" t="n">
        <x:v>0</x:v>
      </x:c>
      <x:c r="Q373" s="109" t="n">
        <x:v>4</x:v>
      </x:c>
      <x:c r="R373" s="87" t="str">
        <x:v>C07D403/10;;A61P35/00;;C07D403/10</x:v>
      </x:c>
      <x:c r="S373" s="87" t="str">
        <x:v>C07D403/10;;A61K31/505;;A61P35/00</x:v>
      </x:c>
      <x:c r="T373" s="87" t="str">
        <x:v>DISCONTINUED</x:v>
      </x:c>
      <x:c r="U373" s="87" t="str">
        <x:v>https://lens.org/026-874-977-032-374</x:v>
      </x:c>
    </x:row>
    <x:row r="374">
      <x:c r="A374" s="87" t="str">
        <x:v>AstraZeneca_Lens_RAW_2009_2024.csv.csv</x:v>
      </x:c>
      <x:c r="B374" s="87" t="str">
        <x:v>AstraZeneca</x:v>
      </x:c>
      <x:c r="C374" s="87"/>
      <x:c r="D374" s="87" t="str">
        <x:v>Yes</x:v>
      </x:c>
      <x:c r="E374" s="87" t="str">
        <x:v>astrazeneca</x:v>
      </x:c>
      <x:c r="F374" s="87" t="str">
        <x:v>372</x:v>
      </x:c>
      <x:c r="G374" s="87" t="str">
        <x:v>030-003-065-931-853</x:v>
      </x:c>
      <x:c r="H374" s="110" t="n">
        <x:v>40298</x:v>
      </x:c>
      <x:c r="I374" s="88" t="n">
        <x:v>2010</x:v>
      </x:c>
      <x:c r="J374" s="87" t="str">
        <x:v>US</x:v>
      </x:c>
      <x:c r="K374" s="87" t="str">
        <x:v>A1</x:v>
      </x:c>
      <x:c r="L374" s="87" t="str">
        <x:v>US 2013/0237548 A1</x:v>
      </x:c>
      <x:c r="M374" s="87" t="str">
        <x:v>BLADE HELEN;;COSGROVE STEPHEN DAVID;;ASTRAZENECA AB</x:v>
      </x:c>
      <x:c r="N374" s="87" t="str">
        <x:v>ASTRAZENECA UK LIMITED (2012-11-02);;ASTRAZENECA AB (2012-11-12)</x:v>
      </x:c>
      <x:c r="O374" s="87" t="str">
        <x:v>INJECTABLE EMULSION OF SEDATIVE HYPNOTIC AGENT</x:v>
      </x:c>
      <x:c r="P374" s="109" t="n">
        <x:v>0</x:v>
      </x:c>
      <x:c r="Q374" s="109" t="n">
        <x:v>16</x:v>
      </x:c>
      <x:c r="R374" s="87" t="str">
        <x:v>C07D413/04;;A61K31/496;;A61P25/04;;A61P25/22;;A61P29/00;;A61P43/00;;C07D413/14;;A61K31/4245;;C07D413/04;;A61K31/496</x:v>
      </x:c>
      <x:c r="S374" s="87" t="str">
        <x:v>C07D413/04</x:v>
      </x:c>
      <x:c r="T374" s="87" t="str">
        <x:v>DISCONTINUED</x:v>
      </x:c>
      <x:c r="U374" s="87" t="str">
        <x:v>https://lens.org/030-003-065-931-853</x:v>
      </x:c>
    </x:row>
    <x:row r="375">
      <x:c r="A375" s="87" t="str">
        <x:v>AstraZeneca_Lens_RAW_2009_2024.csv.csv</x:v>
      </x:c>
      <x:c r="B375" s="87" t="str">
        <x:v>AstraZeneca</x:v>
      </x:c>
      <x:c r="C375" s="87"/>
      <x:c r="D375" s="87" t="str">
        <x:v>Yes</x:v>
      </x:c>
      <x:c r="E375" s="87" t="str">
        <x:v>astrazeneca</x:v>
      </x:c>
      <x:c r="F375" s="87" t="str">
        <x:v>373</x:v>
      </x:c>
      <x:c r="G375" s="87" t="str">
        <x:v>193-925-566-498-48X</x:v>
      </x:c>
      <x:c r="H375" s="110" t="n">
        <x:v>40311</x:v>
      </x:c>
      <x:c r="I375" s="88" t="n">
        <x:v>2010</x:v>
      </x:c>
      <x:c r="J375" s="87" t="str">
        <x:v>US</x:v>
      </x:c>
      <x:c r="K375" s="87" t="str">
        <x:v>A1</x:v>
      </x:c>
      <x:c r="L375" s="87" t="str">
        <x:v>US 2013/0236501 A1</x:v>
      </x:c>
      <x:c r="M375" s="87" t="str">
        <x:v>BOOTH JONATHAN;;DIXON LEIGH;;WASHINGTON CLIVE;;ASTRAZENECA AB</x:v>
      </x:c>
      <x:c r="N375" s="87" t="str">
        <x:v>ASTRAZENECA UK LIMITED (2012-11-19);;ASTRAZENECA AB (2012-11-22)</x:v>
      </x:c>
      <x:c r="O375" s="87" t="str">
        <x:v>Injectable Emulsion of Sedative Hypnotic Agent</x:v>
      </x:c>
      <x:c r="P375" s="109" t="n">
        <x:v>16</x:v>
      </x:c>
      <x:c r="Q375" s="109" t="n">
        <x:v>16</x:v>
      </x:c>
      <x:c r="R375" s="87" t="str">
        <x:v>A61K9/0019;;A61K9/1075;;A61K31/216;;A61K47/10;;A61K47/14;;A61K47/24;;A61K47/44;;A61P23/00;;A61P25/20;;A61K9/107;;A61K31/216;;A61K9/107;;A61K9/0019;;A61K9/1075;;A61K31/216;;A61K47/10;;A61K47/14;;A61K47/24;;A61K47/44</x:v>
      </x:c>
      <x:c r="S375" s="87" t="str">
        <x:v>A61K9/107;;A61K31/216</x:v>
      </x:c>
      <x:c r="T375" s="87" t="str">
        <x:v>DISCONTINUED</x:v>
      </x:c>
      <x:c r="U375" s="87" t="str">
        <x:v>https://lens.org/193-925-566-498-48X</x:v>
      </x:c>
    </x:row>
    <x:row r="376">
      <x:c r="A376" s="87" t="str">
        <x:v>AstraZeneca_Lens_RAW_2009_2024.csv.csv</x:v>
      </x:c>
      <x:c r="B376" s="87" t="str">
        <x:v>AstraZeneca</x:v>
      </x:c>
      <x:c r="C376" s="87"/>
      <x:c r="D376" s="87" t="str">
        <x:v>Yes</x:v>
      </x:c>
      <x:c r="E376" s="87" t="str">
        <x:v>astrazeneca</x:v>
      </x:c>
      <x:c r="F376" s="87" t="str">
        <x:v>374</x:v>
      </x:c>
      <x:c r="G376" s="87" t="str">
        <x:v>071-683-453-281-273</x:v>
      </x:c>
      <x:c r="H376" s="110" t="n">
        <x:v>40646</x:v>
      </x:c>
      <x:c r="I376" s="88" t="n">
        <x:v>2011</x:v>
      </x:c>
      <x:c r="J376" s="87" t="str">
        <x:v>US</x:v>
      </x:c>
      <x:c r="K376" s="87" t="str">
        <x:v>B2</x:v>
      </x:c>
      <x:c r="L376" s="87" t="str">
        <x:v>US 8530470 B2</x:v>
      </x:c>
      <x:c r="M376" s="87" t="str">
        <x:v>BARLAAM BERNARD CHRISTOPHE;;DEGORCE SEBASTIEN LOUIS;;LAMBERT-VAN DER BREMPT CHRISTINE MARIE PAUL;;LOHMANN JEAN-JACQUES MARCEL;;PLE PATRICK;;ASTRAZENECA AB</x:v>
      </x:c>
      <x:c r="N376" s="87" t="str">
        <x:v>ASTRAZENECA UK LIMITED (2012-06-29);;ASTRAZENECA AB (2013-07-02);;ASTRAZENECA REIMS S.A.S (2012-05-31)</x:v>
      </x:c>
      <x:c r="O376" s="87" t="str">
        <x:v>Chromenone derivatives</x:v>
      </x:c>
      <x:c r="P376" s="109" t="n">
        <x:v>3</x:v>
      </x:c>
      <x:c r="Q376" s="109" t="n">
        <x:v>24</x:v>
      </x:c>
      <x:c r="R376" s="87" t="str">
        <x:v>C07D405/04;;C07D405/14;;C07D413/14;;C07D417/14;;C07D413/14;;A61K31/5377;;A61K31/715;;A61P1/04;;A61P1/16;;A61P3/10;;A61P9/10;;A61P11/06;;A61P13/08;;A61P13/12;;A61P17/06;;A61P19/02;;A61P25/00;;A61P29/00;;A61P35/00;;A61P37/08;;A61P43/00;;C07D417/14;;C07D413/14;;A61K31/5377;;C07D413/14;;A61K31/5377;;A61K31/715;;C07D417/14</x:v>
      </x:c>
      <x:c r="S376" s="87" t="str">
        <x:v>A61K31/535;;C07D413/14</x:v>
      </x:c>
      <x:c r="T376" s="87" t="str">
        <x:v>INACTIVE</x:v>
      </x:c>
      <x:c r="U376" s="87" t="str">
        <x:v>https://lens.org/071-683-453-281-273</x:v>
      </x:c>
    </x:row>
    <x:row r="377">
      <x:c r="A377" s="87" t="str">
        <x:v>AstraZeneca_Lens_RAW_2009_2024.csv.csv</x:v>
      </x:c>
      <x:c r="B377" s="87" t="str">
        <x:v>AstraZeneca</x:v>
      </x:c>
      <x:c r="C377" s="87"/>
      <x:c r="D377" s="87" t="str">
        <x:v>Yes</x:v>
      </x:c>
      <x:c r="E377" s="87" t="str">
        <x:v>astrazeneca</x:v>
      </x:c>
      <x:c r="F377" s="87" t="str">
        <x:v>375</x:v>
      </x:c>
      <x:c r="G377" s="87" t="str">
        <x:v>030-181-297-303-719</x:v>
      </x:c>
      <x:c r="H377" s="110" t="n">
        <x:v>40185</x:v>
      </x:c>
      <x:c r="I377" s="88" t="n">
        <x:v>2010</x:v>
      </x:c>
      <x:c r="J377" s="87" t="str">
        <x:v>US</x:v>
      </x:c>
      <x:c r="K377" s="87" t="str">
        <x:v>A1</x:v>
      </x:c>
      <x:c r="L377" s="87" t="str">
        <x:v>US 2013/0203995 A1</x:v>
      </x:c>
      <x:c r="M377" s="87" t="str">
        <x:v>BOYD ALISTAIR;;FIELDING MARK RICHARD;;FORD JAMES GAIR;;FRODSHAM LIANNE;;GOLDEN MICHAEL D;;LESLIE KEVIN WILLIAM;;MCKEEVER-ABBAS BEN;;TOMLIN PAULA;;ASTRAZENECA AB</x:v>
      </x:c>
      <x:c r="N377" s="87" t="str">
        <x:v>ASTRAZENECA UK LIMITED (2012-09-17);;ASTRAZENECA AB (2012-09-18)</x:v>
      </x:c>
      <x:c r="O377" s="87" t="str">
        <x:v>Process for Making a Metabotropic Glutamate Receptor Positive Allosteric Modulator - 874</x:v>
      </x:c>
      <x:c r="P377" s="109" t="n">
        <x:v>4</x:v>
      </x:c>
      <x:c r="Q377" s="109" t="n">
        <x:v>16</x:v>
      </x:c>
      <x:c r="R377" s="87" t="str">
        <x:v>A61P25/00;;A61P25/04;;C07C235/42;;C07D209/46;;C07D307/68;;C07D307/88;;C07D413/04;;C07D413/14;;A61K31/496;;C07D209/46;;C07D307/88;;C07D413/10;;C07C235/42;;C07D209/46;;C07D307/68;;C07D307/88;;C07D413/04</x:v>
      </x:c>
      <x:c r="S377" s="87" t="str">
        <x:v>C07D413/10</x:v>
      </x:c>
      <x:c r="T377" s="87" t="str">
        <x:v>DISCONTINUED</x:v>
      </x:c>
      <x:c r="U377" s="87" t="str">
        <x:v>https://lens.org/030-181-297-303-719</x:v>
      </x:c>
    </x:row>
    <x:row r="378">
      <x:c r="A378" s="87" t="str">
        <x:v>AstraZeneca_Lens_RAW_2009_2024.csv.csv</x:v>
      </x:c>
      <x:c r="B378" s="87" t="str">
        <x:v>AstraZeneca</x:v>
      </x:c>
      <x:c r="C378" s="87"/>
      <x:c r="D378" s="87" t="str">
        <x:v>Yes</x:v>
      </x:c>
      <x:c r="E378" s="87" t="str">
        <x:v>astrazeneca</x:v>
      </x:c>
      <x:c r="F378" s="87" t="str">
        <x:v>376</x:v>
      </x:c>
      <x:c r="G378" s="87" t="str">
        <x:v>166-958-282-169-459</x:v>
      </x:c>
      <x:c r="H378" s="110" t="n">
        <x:v>40338</x:v>
      </x:c>
      <x:c r="I378" s="88" t="n">
        <x:v>2010</x:v>
      </x:c>
      <x:c r="J378" s="87" t="str">
        <x:v>US</x:v>
      </x:c>
      <x:c r="K378" s="87" t="str">
        <x:v>B2</x:v>
      </x:c>
      <x:c r="L378" s="87" t="str">
        <x:v>US 8481490 B2</x:v>
      </x:c>
      <x:c r="M378" s="87" t="str">
        <x:v>TATARKIEWICZ KRYSTYNA;;PARKES DAVID G;;ROY DENIS;;GEDULIN BRONISLAVA;;AMYLIN PHARMACEUTICALS LLC;;ASTRAZENECA PHARMACEUTICALS LP</x:v>
      </x:c>
      <x:c r="N378" s="87" t="str">
        <x:v>AMYLIN PHARMACEUTICALS LLC (2012-08-08);;ASTRAZENECA PHARMACEUTICALS LP (2012-09-19)</x:v>
      </x:c>
      <x:c r="O378" s="87" t="str">
        <x:v>Method of reducing plasma amylase and/or plasma lipase in patients with pancreatitis</x:v>
      </x:c>
      <x:c r="P378" s="109" t="n">
        <x:v>14</x:v>
      </x:c>
      <x:c r="Q378" s="109" t="n">
        <x:v>6</x:v>
      </x:c>
      <x:c r="R378" s="87" t="str">
        <x:v>A61K38/26;;A61P1/18;;A61P3/10;;A61P7/12;;A61K38/26</x:v>
      </x:c>
      <x:c r="S378" s="87" t="str">
        <x:v>A61K38/26;;A61P3/10;;A61P7/12;;C07K14/605</x:v>
      </x:c>
      <x:c r="T378" s="87" t="str">
        <x:v>INACTIVE</x:v>
      </x:c>
      <x:c r="U378" s="87" t="str">
        <x:v>https://lens.org/166-958-282-169-459</x:v>
      </x:c>
    </x:row>
    <x:row r="379">
      <x:c r="A379" s="87" t="str">
        <x:v>AstraZeneca_Lens_RAW_2009_2024.csv.csv</x:v>
      </x:c>
      <x:c r="B379" s="87" t="str">
        <x:v>AstraZeneca</x:v>
      </x:c>
      <x:c r="C379" s="87"/>
      <x:c r="D379" s="87" t="str">
        <x:v>Yes</x:v>
      </x:c>
      <x:c r="E379" s="87" t="str">
        <x:v>astrazeneca</x:v>
      </x:c>
      <x:c r="F379" s="87" t="str">
        <x:v>377</x:v>
      </x:c>
      <x:c r="G379" s="87" t="str">
        <x:v>099-748-533-601-717</x:v>
      </x:c>
      <x:c r="H379" s="110" t="n">
        <x:v>40052</x:v>
      </x:c>
      <x:c r="I379" s="88" t="n">
        <x:v>2009</x:v>
      </x:c>
      <x:c r="J379" s="87" t="str">
        <x:v>US</x:v>
      </x:c>
      <x:c r="K379" s="87" t="str">
        <x:v>S</x:v>
      </x:c>
      <x:c r="L379" s="87" t="str">
        <x:v>US D0685460 S</x:v>
      </x:c>
      <x:c r="M379" s="87" t="str">
        <x:v>ILLING TOVE;;JANNER JOHAN;;SUTCH JONATHAN;;ASTRAZENECA AB</x:v>
      </x:c>
      <x:c r="N379" s="87" t="str">
        <x:v>ASTRAZENECA AB (2010-04-05)</x:v>
      </x:c>
      <x:c r="O379" s="87" t="str">
        <x:v>Tablet</x:v>
      </x:c>
      <x:c r="P379" s="109" t="n">
        <x:v>3</x:v>
      </x:c>
      <x:c r="Q379" s="109" t="n">
        <x:v>2</x:v>
      </x:c>
      <x:c r="R379" s="87" t="str"/>
      <x:c r="S379" s="87" t="str"/>
      <x:c r="T379" s="87" t="str">
        <x:v>ACTIVE</x:v>
      </x:c>
      <x:c r="U379" s="87" t="str">
        <x:v>https://lens.org/099-748-533-601-717</x:v>
      </x:c>
    </x:row>
    <x:row r="380">
      <x:c r="A380" s="87" t="str">
        <x:v>AstraZeneca_Lens_RAW_2009_2024.csv.csv</x:v>
      </x:c>
      <x:c r="B380" s="87" t="str">
        <x:v>AstraZeneca</x:v>
      </x:c>
      <x:c r="C380" s="87"/>
      <x:c r="D380" s="87" t="str">
        <x:v>Yes</x:v>
      </x:c>
      <x:c r="E380" s="87" t="str">
        <x:v>astrazeneca</x:v>
      </x:c>
      <x:c r="F380" s="87" t="str">
        <x:v>378</x:v>
      </x:c>
      <x:c r="G380" s="87" t="str">
        <x:v>079-250-193-561-953</x:v>
      </x:c>
      <x:c r="H380" s="110" t="n">
        <x:v>40025</x:v>
      </x:c>
      <x:c r="I380" s="88" t="n">
        <x:v>2009</x:v>
      </x:c>
      <x:c r="J380" s="87" t="str">
        <x:v>US</x:v>
      </x:c>
      <x:c r="K380" s="87" t="str">
        <x:v>B2</x:v>
      </x:c>
      <x:c r="L380" s="87" t="str">
        <x:v>US 8476265 B2</x:v>
      </x:c>
      <x:c r="M380" s="87" t="str">
        <x:v>ALCARAZ LILIAN;;BAILEY ANDREW;;KINDON NICHOLAS;;ASTRAZENECA AB;;PULMAGEN THERAPEUTICS SYNERGY</x:v>
      </x:c>
      <x:c r="N380" s="87" t="str">
        <x:v>ASTRAZENECA UK LIMITED (2010-07-30);;PULMAGEN THERAPEUTICS (SYNERGY) LIMITED (2010-07-30);;ASTRAZENECA AB (2010-07-30)</x:v>
      </x:c>
      <x:c r="O380" s="87" t="str">
        <x:v>Compounds-801</x:v>
      </x:c>
      <x:c r="P380" s="109" t="n">
        <x:v>0</x:v>
      </x:c>
      <x:c r="Q380" s="109" t="n">
        <x:v>48</x:v>
      </x:c>
      <x:c r="R380" s="87" t="str">
        <x:v>C07D498/10;;A61P1/00;;A61P9/00;;A61P11/00;;A61P11/06;;A61P11/08;;A61P13/00;;A61P17/00;;A61P19/00;;A61P25/00;;A61P27/00;;A61P29/00;;A61P35/00;;A61P37/00;;C07D519/00;;C07D498/10;;A61K31/5386;;C07D417/14;;C07D519/04;;C07D498/10;;C07D519/00</x:v>
      </x:c>
      <x:c r="S380" s="87" t="str">
        <x:v>C07D498/10;;A61K31/5386</x:v>
      </x:c>
      <x:c r="T380" s="87" t="str">
        <x:v>INACTIVE</x:v>
      </x:c>
      <x:c r="U380" s="87" t="str">
        <x:v>https://lens.org/079-250-193-561-953</x:v>
      </x:c>
    </x:row>
    <x:row r="381">
      <x:c r="A381" s="87" t="str">
        <x:v>AstraZeneca_Lens_RAW_2009_2024.csv.csv</x:v>
      </x:c>
      <x:c r="B381" s="87" t="str">
        <x:v>AstraZeneca</x:v>
      </x:c>
      <x:c r="C381" s="87"/>
      <x:c r="D381" s="87" t="str">
        <x:v>Yes</x:v>
      </x:c>
      <x:c r="E381" s="87" t="str">
        <x:v>astrazeneca</x:v>
      </x:c>
      <x:c r="F381" s="87" t="str">
        <x:v>379</x:v>
      </x:c>
      <x:c r="G381" s="87" t="str">
        <x:v>005-531-175-946-688</x:v>
      </x:c>
      <x:c r="H381" s="110" t="n">
        <x:v>40392</x:v>
      </x:c>
      <x:c r="I381" s="88" t="n">
        <x:v>2010</x:v>
      </x:c>
      <x:c r="J381" s="87" t="str">
        <x:v>US</x:v>
      </x:c>
      <x:c r="K381" s="87" t="str">
        <x:v>B2</x:v>
      </x:c>
      <x:c r="L381" s="87" t="str">
        <x:v>US 8461170 B2</x:v>
      </x:c>
      <x:c r="M381" s="87" t="str">
        <x:v>AQUILA BRIAN;;KAMHI VICTOR;;PENG BO;;PONTZ TIMOTHY;;SAEH JAMAL CARLOS;;THAKUR KUMAR;;YANG BIN;;ASTRAZENECA AB</x:v>
      </x:c>
      <x:c r="N381" s="87" t="str">
        <x:v>ASTRAZENECA AB (2011-09-28)</x:v>
      </x:c>
      <x:c r="O381" s="87" t="str">
        <x:v>Chemical compounds</x:v>
      </x:c>
      <x:c r="P381" s="109" t="n">
        <x:v>7</x:v>
      </x:c>
      <x:c r="Q381" s="109" t="n">
        <x:v>16</x:v>
      </x:c>
      <x:c r="R381" s="87" t="str">
        <x:v>C07D401/14;;A61P35/00;;A61P43/00;;C07F9/65685;;C07D401/14;;A61K31/506;;C07D401/14;;C07F9/65685</x:v>
      </x:c>
      <x:c r="S381" s="87" t="str">
        <x:v>A01N43/54;;A61K31/505</x:v>
      </x:c>
      <x:c r="T381" s="87" t="str">
        <x:v>INACTIVE</x:v>
      </x:c>
      <x:c r="U381" s="87" t="str">
        <x:v>https://lens.org/005-531-175-946-688</x:v>
      </x:c>
    </x:row>
    <x:row r="382">
      <x:c r="A382" s="87" t="str">
        <x:v>AstraZeneca_Lens_RAW_2009_2024.csv.csv</x:v>
      </x:c>
      <x:c r="B382" s="87" t="str">
        <x:v>AstraZeneca</x:v>
      </x:c>
      <x:c r="C382" s="87"/>
      <x:c r="D382" s="87" t="str">
        <x:v>Yes</x:v>
      </x:c>
      <x:c r="E382" s="87" t="str">
        <x:v>astrazeneca</x:v>
      </x:c>
      <x:c r="F382" s="87" t="str">
        <x:v>380</x:v>
      </x:c>
      <x:c r="G382" s="87" t="str">
        <x:v>145-284-822-192-634</x:v>
      </x:c>
      <x:c r="H382" s="110" t="n">
        <x:v>39926</x:v>
      </x:c>
      <x:c r="I382" s="88" t="n">
        <x:v>2009</x:v>
      </x:c>
      <x:c r="J382" s="87" t="str">
        <x:v>US</x:v>
      </x:c>
      <x:c r="K382" s="87" t="str">
        <x:v>B2</x:v>
      </x:c>
      <x:c r="L382" s="87" t="str">
        <x:v>US 8450482 B2</x:v>
      </x:c>
      <x:c r="M382" s="87" t="str">
        <x:v>BOARDMAN KAY ALISON;;CUNNINGHAM OLIVER ROBERT;;GOUNDRY WILLIAM ROBERT FRASER;;LAFFAN DAVID DERMOT PATRICK;;ASTRAZENECA AB</x:v>
      </x:c>
      <x:c r="N382" s="87" t="str">
        <x:v>ASTRAZENECA UK LIMITED (2011-11-08);;ASTRAZENECA AB (2011-12-08)</x:v>
      </x:c>
      <x:c r="O382" s="87" t="str">
        <x:v>Process for the preparation of 4-(3-chloro-2-fluoroanilino)-7-methoxy-6-([1-(N-methylcarbamoymethyl)piperidin-4-yl]oxy)quinazoline</x:v>
      </x:c>
      <x:c r="P382" s="109" t="n">
        <x:v>0</x:v>
      </x:c>
      <x:c r="Q382" s="109" t="n">
        <x:v>17</x:v>
      </x:c>
      <x:c r="R382" s="87" t="str">
        <x:v>C07D401/12;;A61P43/00;;C07C257/12;;C07D211/46;;C07D401/12;;C07C257/12;;C07D239/70;;C07D401/12;;C07C257/12;;C07D211/46</x:v>
      </x:c>
      <x:c r="S382" s="87" t="str">
        <x:v>C07D239/72</x:v>
      </x:c>
      <x:c r="T382" s="87" t="str">
        <x:v>INACTIVE</x:v>
      </x:c>
      <x:c r="U382" s="87" t="str">
        <x:v>https://lens.org/145-284-822-192-634</x:v>
      </x:c>
    </x:row>
    <x:row r="383">
      <x:c r="A383" s="87" t="str">
        <x:v>AstraZeneca_Lens_RAW_2009_2024.csv.csv</x:v>
      </x:c>
      <x:c r="B383" s="87" t="str">
        <x:v>AstraZeneca</x:v>
      </x:c>
      <x:c r="C383" s="87"/>
      <x:c r="D383" s="87" t="str">
        <x:v>Yes</x:v>
      </x:c>
      <x:c r="E383" s="87" t="str">
        <x:v>astrazeneca</x:v>
      </x:c>
      <x:c r="F383" s="87" t="str">
        <x:v>381</x:v>
      </x:c>
      <x:c r="G383" s="87" t="str">
        <x:v>095-835-825-353-145</x:v>
      </x:c>
      <x:c r="H383" s="110" t="n">
        <x:v>40197</x:v>
      </x:c>
      <x:c r="I383" s="88" t="n">
        <x:v>2010</x:v>
      </x:c>
      <x:c r="J383" s="87" t="str">
        <x:v>US</x:v>
      </x:c>
      <x:c r="K383" s="87" t="str">
        <x:v>A1</x:v>
      </x:c>
      <x:c r="L383" s="87" t="str">
        <x:v>US 2013/0123275 A1</x:v>
      </x:c>
      <x:c r="M383" s="87" t="str">
        <x:v>FENG TAO;;SANGANEE HITESH JAYANTILAL;;WADA HIROKI;;ASTRAZENECA AB</x:v>
      </x:c>
      <x:c r="N383" s="87" t="str">
        <x:v>WUXI APPTEC CO. LTD (WUXI PHARMATECH CO. LTD) (2011-02-18);;ASTRAZENECA UK LIMITED (2011-02-11);;ASTRAZENECA AB (2012-10-18)</x:v>
      </x:c>
      <x:c r="O383" s="87" t="str">
        <x:v>PYRAZINE DERIVATIVES</x:v>
      </x:c>
      <x:c r="P383" s="109" t="n">
        <x:v>0</x:v>
      </x:c>
      <x:c r="Q383" s="109" t="n">
        <x:v>16</x:v>
      </x:c>
      <x:c r="R383" s="87" t="str">
        <x:v>C07D401/12;;A61P3/10;;A61P19/00;;A61P19/02;;A61P19/08;;A61P19/10;;A61P25/00;;A61P35/00;;A61P35/02;;A61P43/00;;C07D401/12;;A61K31/497;;C07D401/12</x:v>
      </x:c>
      <x:c r="S383" s="87" t="str">
        <x:v>C07D401/12</x:v>
      </x:c>
      <x:c r="T383" s="87" t="str">
        <x:v>DISCONTINUED</x:v>
      </x:c>
      <x:c r="U383" s="87" t="str">
        <x:v>https://lens.org/095-835-825-353-145</x:v>
      </x:c>
    </x:row>
    <x:row r="384">
      <x:c r="A384" s="87" t="str">
        <x:v>AstraZeneca_Lens_RAW_2009_2024.csv.csv</x:v>
      </x:c>
      <x:c r="B384" s="87" t="str">
        <x:v>AstraZeneca</x:v>
      </x:c>
      <x:c r="C384" s="87"/>
      <x:c r="D384" s="87" t="str">
        <x:v>Yes</x:v>
      </x:c>
      <x:c r="E384" s="87" t="str">
        <x:v>astrazeneca</x:v>
      </x:c>
      <x:c r="F384" s="87" t="str">
        <x:v>382</x:v>
      </x:c>
      <x:c r="G384" s="87" t="str">
        <x:v>010-245-264-237-545</x:v>
      </x:c>
      <x:c r="H384" s="110" t="n">
        <x:v>40140</x:v>
      </x:c>
      <x:c r="I384" s="88" t="n">
        <x:v>2009</x:v>
      </x:c>
      <x:c r="J384" s="87" t="str">
        <x:v>EP</x:v>
      </x:c>
      <x:c r="K384" s="87" t="str">
        <x:v>A4</x:v>
      </x:c>
      <x:c r="L384" s="87" t="str">
        <x:v>EP 2504021 A4</x:v>
      </x:c>
      <x:c r="M384" s="87" t="str">
        <x:v>AMYLIN PHARMACEUTICALS LLC;;ASTRAZENECA PHARMACEUTICALS LP</x:v>
      </x:c>
      <x:c r="N384" s="87" t="str">
        <x:v>AMYLIN PHARMACEUTICALS, LLC (2013-03-13);;ASTRAZENECA PHARMACEUTICALS LP (2013-03-13)</x:v>
      </x:c>
      <x:c r="O384" s="87" t="str">
        <x:v>POLYPEPTIDE CONJUGATE</x:v>
      </x:c>
      <x:c r="P384" s="109" t="n">
        <x:v>0</x:v>
      </x:c>
      <x:c r="Q384" s="109" t="n">
        <x:v>12</x:v>
      </x:c>
      <x:c r="R384" s="87" t="str">
        <x:v>C07K14/575;;C07K14/57563;;C07K14/585;;A61K38/00;;A61K47/60;;A61K47/54;;A61K47/542;;A61K47/554;;A61K47/64;;A61K47/643;;C07K14/605;;A61P3/04;;A61P3/06;;A61P9/10;;A61P3/10;;A61K47/50;;A61K38/16;;A61K38/23;;C07K14/585;;C07K14/57563;;C07K14/575;;A61K38/00;;A61K47/643;;A61K47/64;;A61K47/542;;A61K47/60;;A61K47/54;;A61K47/554;;C07K14/605</x:v>
      </x:c>
      <x:c r="S384" s="87" t="str">
        <x:v>A61K38/00;;A61K47/48;;A61P3/04;;C07K14/575;;C07K14/585;;C07K14/605</x:v>
      </x:c>
      <x:c r="T384" s="87" t="str">
        <x:v>DISCONTINUED</x:v>
      </x:c>
      <x:c r="U384" s="87" t="str">
        <x:v>https://lens.org/010-245-264-237-545</x:v>
      </x:c>
    </x:row>
    <x:row r="385">
      <x:c r="A385" s="87" t="str">
        <x:v>AstraZeneca_Lens_RAW_2009_2024.csv.csv</x:v>
      </x:c>
      <x:c r="B385" s="87" t="str">
        <x:v>AstraZeneca</x:v>
      </x:c>
      <x:c r="C385" s="87"/>
      <x:c r="D385" s="87" t="str">
        <x:v>Yes</x:v>
      </x:c>
      <x:c r="E385" s="87" t="str">
        <x:v>astrazeneca</x:v>
      </x:c>
      <x:c r="F385" s="87" t="str">
        <x:v>383</x:v>
      </x:c>
      <x:c r="G385" s="87" t="str">
        <x:v>081-487-417-738-816</x:v>
      </x:c>
      <x:c r="H385" s="110" t="n">
        <x:v>40088</x:v>
      </x:c>
      <x:c r="I385" s="88" t="n">
        <x:v>2009</x:v>
      </x:c>
      <x:c r="J385" s="87" t="str">
        <x:v>US</x:v>
      </x:c>
      <x:c r="K385" s="87" t="str">
        <x:v>B2</x:v>
      </x:c>
      <x:c r="L385" s="87" t="str">
        <x:v>US 8436024 B2</x:v>
      </x:c>
      <x:c r="M385" s="87" t="str">
        <x:v>MURUGAN ANDIAPPAN;;BERGSTROM LENA KRISTINA;;KRISTOFFERSSON ANNA;;LINDSJOE MARTIN;;SJOE PETER OLOF;;ASHTON MARK DAVID;;MEIGH JON;;ASTRAZENECA AB</x:v>
      </x:c>
      <x:c r="N385" s="87" t="str">
        <x:v>ASTRAZENECA INDIA PRIVATE LIMITED (2010-10-01);;SIGMA-ALDRICH COMPANY LTD (2010-10-01);;ASTRAZENECA AB (2010-10-01);;ASTRAZENECA UK LIMITED (2010-12-15)</x:v>
      </x:c>
      <x:c r="O385" s="87" t="str">
        <x:v>2-pyridone compounds</x:v>
      </x:c>
      <x:c r="P385" s="109" t="n">
        <x:v>0</x:v>
      </x:c>
      <x:c r="Q385" s="109" t="n">
        <x:v>16</x:v>
      </x:c>
      <x:c r="R385" s="87" t="str">
        <x:v>C07D401/14;;A61P1/00;;A61P11/06;;A61P29/00;;A61P43/00;;C07D213/64;;C07D401/04;;C07D403/04;;C07D401/14;;A61K31/4439;;C07D401/04;;C07D401/14;;C07D213/64;;C07D401/04;;C07D403/04</x:v>
      </x:c>
      <x:c r="S385" s="87" t="str">
        <x:v>A61K31/4439</x:v>
      </x:c>
      <x:c r="T385" s="87" t="str">
        <x:v>INACTIVE</x:v>
      </x:c>
      <x:c r="U385" s="87" t="str">
        <x:v>https://lens.org/081-487-417-738-816</x:v>
      </x:c>
    </x:row>
    <x:row r="386">
      <x:c r="A386" s="87" t="str">
        <x:v>AstraZeneca_Lens_RAW_2009_2024.csv.csv</x:v>
      </x:c>
      <x:c r="B386" s="87" t="str">
        <x:v>AstraZeneca</x:v>
      </x:c>
      <x:c r="C386" s="87"/>
      <x:c r="D386" s="87" t="str">
        <x:v>Yes</x:v>
      </x:c>
      <x:c r="E386" s="87" t="str">
        <x:v>astrazeneca</x:v>
      </x:c>
      <x:c r="F386" s="87" t="str">
        <x:v>384</x:v>
      </x:c>
      <x:c r="G386" s="87" t="str">
        <x:v>149-280-691-847-748</x:v>
      </x:c>
      <x:c r="H386" s="110" t="n">
        <x:v>39913</x:v>
      </x:c>
      <x:c r="I386" s="88" t="n">
        <x:v>2009</x:v>
      </x:c>
      <x:c r="J386" s="87" t="str">
        <x:v>EP</x:v>
      </x:c>
      <x:c r="K386" s="87" t="str">
        <x:v>A4</x:v>
      </x:c>
      <x:c r="L386" s="87" t="str">
        <x:v>EP 2416797 A4</x:v>
      </x:c>
      <x:c r="M386" s="87" t="str">
        <x:v>AMYLIN PHARMACEUTICALS LLC;;ASTRAZENECA PHARMACEUTICALS LP</x:v>
      </x:c>
      <x:c r="N386" s="87" t="str">
        <x:v>AMYLIN PHARMACEUTICALS, LLC (2013-01-02);;ASTRAZENECA PHARMACEUTICALS LP (2013-01-02)</x:v>
      </x:c>
      <x:c r="O386" s="87" t="str">
        <x:v>AMYLIN AGONIST COMPOUNDS FOR ESTROGEN-DEFICIENT MAMMALS</x:v>
      </x:c>
      <x:c r="P386" s="109" t="n">
        <x:v>0</x:v>
      </x:c>
      <x:c r="Q386" s="109" t="n">
        <x:v>7</x:v>
      </x:c>
      <x:c r="R386" s="87" t="str">
        <x:v>A61K38/22;;A61K38/2264;;A61K38/23;;A61P3/04;;A61P3/10;;A61P5/24;;C07K14/575;;A61K38/22;;A61K38/2264;;A61K38/23;;C07K14/575</x:v>
      </x:c>
      <x:c r="S386" s="87" t="str">
        <x:v>A61K38/22;;A61K38/23;;A61P3/04;;C07K14/575</x:v>
      </x:c>
      <x:c r="T386" s="87" t="str">
        <x:v>DISCONTINUED</x:v>
      </x:c>
      <x:c r="U386" s="87" t="str">
        <x:v>https://lens.org/149-280-691-847-748</x:v>
      </x:c>
    </x:row>
    <x:row r="387">
      <x:c r="A387" s="87" t="str">
        <x:v>AstraZeneca_Lens_RAW_2009_2024.csv.csv</x:v>
      </x:c>
      <x:c r="B387" s="87" t="str">
        <x:v>AstraZeneca</x:v>
      </x:c>
      <x:c r="C387" s="87"/>
      <x:c r="D387" s="87" t="str">
        <x:v>Yes</x:v>
      </x:c>
      <x:c r="E387" s="87" t="str">
        <x:v>astrazeneca</x:v>
      </x:c>
      <x:c r="F387" s="87" t="str">
        <x:v>385</x:v>
      </x:c>
      <x:c r="G387" s="87" t="str">
        <x:v>066-982-332-937-407</x:v>
      </x:c>
      <x:c r="H387" s="110" t="n">
        <x:v>39910</x:v>
      </x:c>
      <x:c r="I387" s="88" t="n">
        <x:v>2009</x:v>
      </x:c>
      <x:c r="J387" s="87" t="str">
        <x:v>US</x:v>
      </x:c>
      <x:c r="K387" s="87" t="str">
        <x:v>B2</x:v>
      </x:c>
      <x:c r="L387" s="87" t="str">
        <x:v>US 8415378 B2</x:v>
      </x:c>
      <x:c r="M387" s="87" t="str">
        <x:v>BOSTROEM JONAS;;CHENG LEIFENG;;FEX TOMAS;;KARLE MICHAEL;;PETTERSEN DANIEL;;SCHELL PETER;;ASTRAZENECA AB</x:v>
      </x:c>
      <x:c r="N387" s="87" t="str">
        <x:v>EMERITI PHARMA AB (2014-10-02);;ASTRAZENECA AB (2010-04-21)</x:v>
      </x:c>
      <x:c r="O387" s="87" t="str">
        <x:v>Isoxazol-3(2H)-one analogs as therapeutic agents</x:v>
      </x:c>
      <x:c r="P387" s="109" t="n">
        <x:v>0</x:v>
      </x:c>
      <x:c r="Q387" s="109" t="n">
        <x:v>30</x:v>
      </x:c>
      <x:c r="R387" s="87" t="str">
        <x:v>C07D413/04;;A61P1/16;;A61P7/00;;A61P7/04;;A61P9/00;;A61P9/10;;A61P15/08;;A61P19/04;;C07D413/04;;A61K31/4525;;A61K31/4545;;C07D413/04</x:v>
      </x:c>
      <x:c r="S387" s="87" t="str">
        <x:v>A01N43/40;;A01N43/80;;A61K31/42;;A61K31/445;;C07D261/00;;C07D307/02;;C07D315/00;;C07D401/00;;C07D405/00;;C07D407/00;;C07D409/00;;C07D411/00;;C07D413/00;;C07D417/00;;C07D419/00;;C07D421/00</x:v>
      </x:c>
      <x:c r="T387" s="87" t="str">
        <x:v>INACTIVE</x:v>
      </x:c>
      <x:c r="U387" s="87" t="str">
        <x:v>https://lens.org/066-982-332-937-407</x:v>
      </x:c>
    </x:row>
    <x:row r="388">
      <x:c r="A388" s="87" t="str">
        <x:v>AstraZeneca_Lens_RAW_2009_2024.csv.csv</x:v>
      </x:c>
      <x:c r="B388" s="87" t="str">
        <x:v>AstraZeneca</x:v>
      </x:c>
      <x:c r="C388" s="87"/>
      <x:c r="D388" s="87" t="str">
        <x:v>Yes</x:v>
      </x:c>
      <x:c r="E388" s="87" t="str">
        <x:v>astrazeneca</x:v>
      </x:c>
      <x:c r="F388" s="87" t="str">
        <x:v>386</x:v>
      </x:c>
      <x:c r="G388" s="87" t="str">
        <x:v>138-803-899-560-720</x:v>
      </x:c>
      <x:c r="H388" s="110" t="n">
        <x:v>40752</x:v>
      </x:c>
      <x:c r="I388" s="88" t="n">
        <x:v>2011</x:v>
      </x:c>
      <x:c r="J388" s="87" t="str">
        <x:v>US</x:v>
      </x:c>
      <x:c r="K388" s="87" t="str">
        <x:v>A1</x:v>
      </x:c>
      <x:c r="L388" s="87" t="str">
        <x:v>US 2013/0058876 A1</x:v>
      </x:c>
      <x:c r="M388" s="87" t="str">
        <x:v>GURURAJAN BINDHUMADHAVAN;;ALHUSBAN FARHAN ABDUL KARIM;;GABBOTT IAN PAUL;;SIMPSON DAVID BRADLEY BROOK;;SIEVWRIGHT DAWN;;ASTRAZENECA AB</x:v>
      </x:c>
      <x:c r="N388" s="87" t="str">
        <x:v>ASTRAZENECA UK LIMITED (2012-09-14);;ASTRAZENECA AB (2012-09-17);;RIGEL PHARMACEUTICALS INC (2014-01-08)</x:v>
      </x:c>
      <x:c r="O388" s="87" t="str">
        <x:v>(TRIMETHOXYPHENYLAMINO) PYRIMIDINYL FORMULATIONS</x:v>
      </x:c>
      <x:c r="P388" s="109" t="n">
        <x:v>2</x:v>
      </x:c>
      <x:c r="Q388" s="109" t="n">
        <x:v>49</x:v>
      </x:c>
      <x:c r="R388" s="87" t="str">
        <x:v>A61K9/0007;;A61K31/5383;;A61K31/675;;A61P7/00;;A61P19/02;;A61P29/00;;A61P35/00;;A61P37/00;;A61P37/02;;A61P37/06;;A61K31/5383;;A61K9/0007;;A61K9/20;;A61P35/00;;A61P37/00;;A61K9/0007;;A61K31/5383;;A61K31/675</x:v>
      </x:c>
      <x:c r="S388" s="87" t="str">
        <x:v>A61K31/5383;;A61P29/00;;A61P35/00;;A61P37/06</x:v>
      </x:c>
      <x:c r="T388" s="87" t="str">
        <x:v>ACTIVE</x:v>
      </x:c>
      <x:c r="U388" s="87" t="str">
        <x:v>https://lens.org/138-803-899-560-720</x:v>
      </x:c>
    </x:row>
    <x:row r="389">
      <x:c r="A389" s="87" t="str">
        <x:v>AstraZeneca_Lens_RAW_2009_2024.csv.csv</x:v>
      </x:c>
      <x:c r="B389" s="87" t="str">
        <x:v>AstraZeneca</x:v>
      </x:c>
      <x:c r="C389" s="87"/>
      <x:c r="D389" s="87" t="str">
        <x:v>Yes</x:v>
      </x:c>
      <x:c r="E389" s="87" t="str">
        <x:v>astrazeneca</x:v>
      </x:c>
      <x:c r="F389" s="87" t="str">
        <x:v>387</x:v>
      </x:c>
      <x:c r="G389" s="87" t="str">
        <x:v>038-555-554-695-130</x:v>
      </x:c>
      <x:c r="H389" s="110" t="n">
        <x:v>40512</x:v>
      </x:c>
      <x:c r="I389" s="88" t="n">
        <x:v>2010</x:v>
      </x:c>
      <x:c r="J389" s="87" t="str">
        <x:v>US</x:v>
      </x:c>
      <x:c r="K389" s="87" t="str">
        <x:v>B2</x:v>
      </x:c>
      <x:c r="L389" s="87" t="str">
        <x:v>US 8361998 B2</x:v>
      </x:c>
      <x:c r="M389" s="87" t="str">
        <x:v>ASTRAZENECA AB;;BOSTROM JONAS;;EMTENAES HANS;;GRANBERG KENNETH;;MOGEMARK MICKAEL;;LLINAS ANTONIO</x:v>
      </x:c>
      <x:c r="N389" s="87" t="str">
        <x:v>ASTRAZENECA AB (2012-01-11)</x:v>
      </x:c>
      <x:c r="O389" s="87" t="str">
        <x:v>Compounds and their use as IKACh blockers</x:v>
      </x:c>
      <x:c r="P389" s="109" t="n">
        <x:v>2</x:v>
      </x:c>
      <x:c r="Q389" s="109" t="n">
        <x:v>7</x:v>
      </x:c>
      <x:c r="R389" s="87" t="str">
        <x:v>C07D205/04;;A61P7/02;;A61P9/00;;A61P9/04;;A61P9/06;;A61P11/00;;C07D211/38;;C07D211/46;;C07D211/62;;C07D295/13;;C07D205/04;;C07D207/08;;C07D207/12;;C07D211/38;;C07D211/46;;C07D211/62</x:v>
      </x:c>
      <x:c r="S389" s="87" t="str">
        <x:v>A61K31/397;;C07D205/04</x:v>
      </x:c>
      <x:c r="T389" s="87" t="str">
        <x:v>INACTIVE</x:v>
      </x:c>
      <x:c r="U389" s="87" t="str">
        <x:v>https://lens.org/038-555-554-695-130</x:v>
      </x:c>
    </x:row>
    <x:row r="390">
      <x:c r="A390" s="87" t="str">
        <x:v>AstraZeneca_Lens_RAW_2009_2024.csv.csv</x:v>
      </x:c>
      <x:c r="B390" s="87" t="str">
        <x:v>AstraZeneca</x:v>
      </x:c>
      <x:c r="C390" s="87"/>
      <x:c r="D390" s="87" t="str">
        <x:v>Yes</x:v>
      </x:c>
      <x:c r="E390" s="87" t="str">
        <x:v>astrazeneca</x:v>
      </x:c>
      <x:c r="F390" s="87" t="str">
        <x:v>388</x:v>
      </x:c>
      <x:c r="G390" s="87" t="str">
        <x:v>180-943-831-982-668</x:v>
      </x:c>
      <x:c r="H390" s="110" t="n">
        <x:v>39906</x:v>
      </x:c>
      <x:c r="I390" s="88" t="n">
        <x:v>2009</x:v>
      </x:c>
      <x:c r="J390" s="87" t="str">
        <x:v>US</x:v>
      </x:c>
      <x:c r="K390" s="87" t="str">
        <x:v>B2</x:v>
      </x:c>
      <x:c r="L390" s="87" t="str">
        <x:v>US 8338587 B2</x:v>
      </x:c>
      <x:c r="M390" s="87" t="str">
        <x:v>BURKAMP FRANK;;HANSEN PETER;;GABOS BALINT;;BLADH HAAKAN;;ASTRAZENECA AB</x:v>
      </x:c>
      <x:c r="N390" s="87" t="str">
        <x:v>ASTRAZENECA AB (2010-03-24)</x:v>
      </x:c>
      <x:c r="O390" s="87" t="str">
        <x:v>Compounds</x:v>
      </x:c>
      <x:c r="P390" s="109" t="n">
        <x:v>0</x:v>
      </x:c>
      <x:c r="Q390" s="109" t="n">
        <x:v>37</x:v>
      </x:c>
      <x:c r="R390" s="87" t="str">
        <x:v>A61K31/58;;A61P1/04;;A61P3/10;;A61P5/00;;A61P5/44;;A61P7/00;;A61P11/00;;A61P11/02;;A61P11/06;;A61P13/00;;A61P15/00;;A61P17/00;;A61P19/02;;A61P25/00;;A61P27/02;;A61P29/00;;A61P31/00;;A61P31/04;;A61P31/10;;A61P31/12;;A61P33/00;;A61P35/00;;A61P35/02;;A61P37/06;;A61P37/08;;A61P43/00;;C07J71/0047;;A61K31/58;;C07J71/0047</x:v>
      </x:c>
      <x:c r="S390" s="87" t="str">
        <x:v>C07D345/00</x:v>
      </x:c>
      <x:c r="T390" s="87" t="str">
        <x:v>INACTIVE</x:v>
      </x:c>
      <x:c r="U390" s="87" t="str">
        <x:v>https://lens.org/180-943-831-982-668</x:v>
      </x:c>
    </x:row>
    <x:row r="391">
      <x:c r="A391" s="87" t="str">
        <x:v>AstraZeneca_Lens_RAW_2009_2024.csv.csv</x:v>
      </x:c>
      <x:c r="B391" s="87" t="str">
        <x:v>AstraZeneca</x:v>
      </x:c>
      <x:c r="C391" s="87"/>
      <x:c r="D391" s="87" t="str">
        <x:v>Yes</x:v>
      </x:c>
      <x:c r="E391" s="87" t="str">
        <x:v>astrazeneca</x:v>
      </x:c>
      <x:c r="F391" s="87" t="str">
        <x:v>389</x:v>
      </x:c>
      <x:c r="G391" s="87" t="str">
        <x:v>160-995-488-042-845</x:v>
      </x:c>
      <x:c r="H391" s="110" t="n">
        <x:v>40380</x:v>
      </x:c>
      <x:c r="I391" s="88" t="n">
        <x:v>2010</x:v>
      </x:c>
      <x:c r="J391" s="87" t="str">
        <x:v>US</x:v>
      </x:c>
      <x:c r="K391" s="87" t="str">
        <x:v>S</x:v>
      </x:c>
      <x:c r="L391" s="87" t="str">
        <x:v>US D0671207 S</x:v>
      </x:c>
      <x:c r="M391" s="87" t="str">
        <x:v>BOBJER KAJSA;;LUNDSTROEM CAMILLA;;RITTFELDT MAARTEN;;SVENNBERG JONAS;;ASTRAZENECA UK LTD</x:v>
      </x:c>
      <x:c r="N391" s="87" t="str">
        <x:v>ZENIT DESIGN GROUP AB (2011-02-14);;ASTRAZENECA UK LIMITED (2011-02-14)</x:v>
      </x:c>
      <x:c r="O391" s="87" t="str">
        <x:v>Inhaler</x:v>
      </x:c>
      <x:c r="P391" s="109" t="n">
        <x:v>9</x:v>
      </x:c>
      <x:c r="Q391" s="109" t="n">
        <x:v>1</x:v>
      </x:c>
      <x:c r="R391" s="87" t="str"/>
      <x:c r="S391" s="87" t="str"/>
      <x:c r="T391" s="87" t="str">
        <x:v>ACTIVE</x:v>
      </x:c>
      <x:c r="U391" s="87" t="str">
        <x:v>https://lens.org/160-995-488-042-845</x:v>
      </x:c>
    </x:row>
    <x:row r="392">
      <x:c r="A392" s="87" t="str">
        <x:v>AstraZeneca_Lens_RAW_2009_2024.csv.csv</x:v>
      </x:c>
      <x:c r="B392" s="87" t="str">
        <x:v>AstraZeneca</x:v>
      </x:c>
      <x:c r="C392" s="87"/>
      <x:c r="D392" s="87" t="str">
        <x:v>Yes</x:v>
      </x:c>
      <x:c r="E392" s="87" t="str">
        <x:v>astrazeneca</x:v>
      </x:c>
      <x:c r="F392" s="87" t="str">
        <x:v>390</x:v>
      </x:c>
      <x:c r="G392" s="87" t="str">
        <x:v>073-953-355-743-788</x:v>
      </x:c>
      <x:c r="H392" s="110" t="n">
        <x:v>40135</x:v>
      </x:c>
      <x:c r="I392" s="88" t="n">
        <x:v>2009</x:v>
      </x:c>
      <x:c r="J392" s="87" t="str">
        <x:v>US</x:v>
      </x:c>
      <x:c r="K392" s="87" t="str">
        <x:v>A1</x:v>
      </x:c>
      <x:c r="L392" s="87" t="str">
        <x:v>US 2012/0289504 A1</x:v>
      </x:c>
      <x:c r="M392" s="87" t="str">
        <x:v>CANTIN LOUIS-DAVID;;LUO XUEHONG;;TOMASZEWSKI MIROSLAW JERZY;;ASTRAZENECA AB</x:v>
      </x:c>
      <x:c r="N392" s="87" t="str">
        <x:v>GLAXOSMITHKLINE INTELLECTUAL PROPERTY (NO.3) LIMITED (2023-11-30);;BELLUS HEALTH INC (2023-06-28);;14245563 CANADA INC (2023-06-28);;ASTRAZENECA AB (2012-04-13);;NEOMED INSTITUTE (2012-12-06);;ID BIOMEDICAL CORPORATION OF QUEBEC (2023-11-30);;ASTRAZENECA CANADA INC (2012-04-03);;BELLUS HEALTH COUGH INC (2020-07-03)</x:v>
      </x:c>
      <x:c r="O392" s="87" t="str">
        <x:v>Benzoimidazole Compounds and Uses Thereof</x:v>
      </x:c>
      <x:c r="P392" s="109" t="n">
        <x:v>0</x:v>
      </x:c>
      <x:c r="Q392" s="109" t="n">
        <x:v>27</x:v>
      </x:c>
      <x:c r="R392" s="87" t="str">
        <x:v>C07D413/06;;A61P13/00;;A61P13/02;;A61P13/10;;A61P25/00;;A61P25/04;;A61P29/00;;A61P43/00;;C07D265/30;;C07D413/06;;A61K31/5377;;C07D413/06;;C07D265/30</x:v>
      </x:c>
      <x:c r="S392" s="87" t="str">
        <x:v>A61K31/5377;;A61P13/02;;A61P13/10;;A61P25/00;;C07D413/06</x:v>
      </x:c>
      <x:c r="T392" s="87" t="str">
        <x:v>ACTIVE</x:v>
      </x:c>
      <x:c r="U392" s="87" t="str">
        <x:v>https://lens.org/073-953-355-743-788</x:v>
      </x:c>
    </x:row>
    <x:row r="393">
      <x:c r="A393" s="87" t="str">
        <x:v>AstraZeneca_Lens_RAW_2009_2024.csv.csv</x:v>
      </x:c>
      <x:c r="B393" s="87" t="str">
        <x:v>AstraZeneca</x:v>
      </x:c>
      <x:c r="C393" s="87"/>
      <x:c r="D393" s="87" t="str">
        <x:v>Yes</x:v>
      </x:c>
      <x:c r="E393" s="87" t="str">
        <x:v>astrazeneca</x:v>
      </x:c>
      <x:c r="F393" s="87" t="str">
        <x:v>391</x:v>
      </x:c>
      <x:c r="G393" s="87" t="str">
        <x:v>166-975-013-927-519</x:v>
      </x:c>
      <x:c r="H393" s="110" t="n">
        <x:v>40380</x:v>
      </x:c>
      <x:c r="I393" s="88" t="n">
        <x:v>2010</x:v>
      </x:c>
      <x:c r="J393" s="87" t="str">
        <x:v>US</x:v>
      </x:c>
      <x:c r="K393" s="87" t="str">
        <x:v>S</x:v>
      </x:c>
      <x:c r="L393" s="87" t="str">
        <x:v>US D0670374 S</x:v>
      </x:c>
      <x:c r="M393" s="87" t="str">
        <x:v>BOBJER KAJSA;;LUNDSTROEM CAMILLA;;RITTFELDT MAARTEN;;SVENNBERG JONAS;;ASTRAZENECA UK LTD</x:v>
      </x:c>
      <x:c r="N393" s="87" t="str">
        <x:v>ZENIT DESIGN GROUP AB (2011-02-14);;ASTRAZENECA UK LIMITED (2011-02-14)</x:v>
      </x:c>
      <x:c r="O393" s="87" t="str">
        <x:v>Inhaler</x:v>
      </x:c>
      <x:c r="P393" s="109" t="n">
        <x:v>9</x:v>
      </x:c>
      <x:c r="Q393" s="109" t="n">
        <x:v>1</x:v>
      </x:c>
      <x:c r="R393" s="87" t="str"/>
      <x:c r="S393" s="87" t="str"/>
      <x:c r="T393" s="87" t="str">
        <x:v>ACTIVE</x:v>
      </x:c>
      <x:c r="U393" s="87" t="str">
        <x:v>https://lens.org/166-975-013-927-519</x:v>
      </x:c>
    </x:row>
    <x:row r="394">
      <x:c r="A394" s="87" t="str">
        <x:v>AstraZeneca_Lens_RAW_2009_2024.csv.csv</x:v>
      </x:c>
      <x:c r="B394" s="87" t="str">
        <x:v>AstraZeneca</x:v>
      </x:c>
      <x:c r="C394" s="87"/>
      <x:c r="D394" s="87" t="str">
        <x:v>Yes</x:v>
      </x:c>
      <x:c r="E394" s="87" t="str">
        <x:v>astrazeneca</x:v>
      </x:c>
      <x:c r="F394" s="87" t="str">
        <x:v>392</x:v>
      </x:c>
      <x:c r="G394" s="87" t="str">
        <x:v>049-337-402-363-19X</x:v>
      </x:c>
      <x:c r="H394" s="110" t="n">
        <x:v>40360</x:v>
      </x:c>
      <x:c r="I394" s="88" t="n">
        <x:v>2010</x:v>
      </x:c>
      <x:c r="J394" s="87" t="str">
        <x:v>US</x:v>
      </x:c>
      <x:c r="K394" s="87" t="str">
        <x:v>S</x:v>
      </x:c>
      <x:c r="L394" s="87" t="str">
        <x:v>US D0668949 S</x:v>
      </x:c>
      <x:c r="M394" s="87" t="str">
        <x:v>HIPPERSON ROBERT;;CORVEZ SEBASTIEN;;KRAAIJENBRINK MARK;;ASTRAZENECA UK LTD</x:v>
      </x:c>
      <x:c r="N394" s="87" t="str">
        <x:v>ASTRAZENECA DUNKERQUE PRODUCTION SCS (2012-07-23);;ASTRAZENECA AB (2012-03-19);;ASTRAZENECA UK LIMITED (2012-04-30)</x:v>
      </x:c>
      <x:c r="O394" s="87" t="str">
        <x:v>Packaging</x:v>
      </x:c>
      <x:c r="P394" s="109" t="n">
        <x:v>13</x:v>
      </x:c>
      <x:c r="Q394" s="109" t="n">
        <x:v>3</x:v>
      </x:c>
      <x:c r="R394" s="87" t="str"/>
      <x:c r="S394" s="87" t="str"/>
      <x:c r="T394" s="87" t="str">
        <x:v>ACTIVE</x:v>
      </x:c>
      <x:c r="U394" s="87" t="str">
        <x:v>https://lens.org/049-337-402-363-19X</x:v>
      </x:c>
    </x:row>
    <x:row r="395">
      <x:c r="A395" s="87" t="str">
        <x:v>AstraZeneca_Lens_RAW_2009_2024.csv.csv</x:v>
      </x:c>
      <x:c r="B395" s="87" t="str">
        <x:v>AstraZeneca</x:v>
      </x:c>
      <x:c r="C395" s="87"/>
      <x:c r="D395" s="87" t="str">
        <x:v>Yes</x:v>
      </x:c>
      <x:c r="E395" s="87" t="str">
        <x:v>astrazeneca</x:v>
      </x:c>
      <x:c r="F395" s="87" t="str">
        <x:v>393</x:v>
      </x:c>
      <x:c r="G395" s="87" t="str">
        <x:v>177-380-198-711-154</x:v>
      </x:c>
      <x:c r="H395" s="110" t="n">
        <x:v>39854</x:v>
      </x:c>
      <x:c r="I395" s="88" t="n">
        <x:v>2009</x:v>
      </x:c>
      <x:c r="J395" s="87" t="str">
        <x:v>US</x:v>
      </x:c>
      <x:c r="K395" s="87" t="str">
        <x:v>B2</x:v>
      </x:c>
      <x:c r="L395" s="87" t="str">
        <x:v>US 8258140 B2</x:v>
      </x:c>
      <x:c r="M395" s="87" t="str">
        <x:v>BRADBURY ROBERT HUGH;;CARR GREGORY RICHARD;;RABOW ALFRED ARTHUR;;RAO KORUPOJU SRINIVASA;;TUMMA HARIKRISHNA;;ASTRAZENECA AB</x:v>
      </x:c>
      <x:c r="N395" s="87" t="str">
        <x:v>ASTRAZENECA AB (2010-02-22)</x:v>
      </x:c>
      <x:c r="O395" s="87" t="str">
        <x:v>Chemical compounds—643</x:v>
      </x:c>
      <x:c r="P395" s="109" t="n">
        <x:v>8</x:v>
      </x:c>
      <x:c r="Q395" s="109" t="n">
        <x:v>34</x:v>
      </x:c>
      <x:c r="R395" s="87" t="str">
        <x:v>A61P13/08;;A61P35/00;;A61P43/00;;C07D487/04;;C07D487/04;;A61K31/5025;;C07D403/04;;A61K31/5025;;A61K31/551;;A61K31/58;;C07D471/04;;C07D487/04</x:v>
      </x:c>
      <x:c r="S395" s="87" t="str">
        <x:v>A61K31/501;;C07D237/02</x:v>
      </x:c>
      <x:c r="T395" s="87" t="str">
        <x:v>ACTIVE</x:v>
      </x:c>
      <x:c r="U395" s="87" t="str">
        <x:v>https://lens.org/177-380-198-711-154</x:v>
      </x:c>
    </x:row>
    <x:row r="396">
      <x:c r="A396" s="87" t="str">
        <x:v>AstraZeneca_Lens_RAW_2009_2024.csv.csv</x:v>
      </x:c>
      <x:c r="B396" s="87" t="str">
        <x:v>AstraZeneca</x:v>
      </x:c>
      <x:c r="C396" s="87"/>
      <x:c r="D396" s="87" t="str">
        <x:v>Yes</x:v>
      </x:c>
      <x:c r="E396" s="87" t="str">
        <x:v>astrazeneca</x:v>
      </x:c>
      <x:c r="F396" s="87" t="str">
        <x:v>394</x:v>
      </x:c>
      <x:c r="G396" s="87" t="str">
        <x:v>090-640-453-560-714</x:v>
      </x:c>
      <x:c r="H396" s="110" t="n">
        <x:v>39960</x:v>
      </x:c>
      <x:c r="I396" s="88" t="n">
        <x:v>2009</x:v>
      </x:c>
      <x:c r="J396" s="87" t="str">
        <x:v>CN</x:v>
      </x:c>
      <x:c r="K396" s="87" t="str">
        <x:v>A</x:v>
      </x:c>
      <x:c r="L396" s="87" t="str">
        <x:v>CN 102639125 A</x:v>
      </x:c>
      <x:c r="M396" s="87" t="str">
        <x:v>BRISTOL MYERS SQUIBB CO;;ASTRAZENECA UK LTD</x:v>
      </x:c>
      <x:c r="N396" s="87" t="str">
        <x:v>ASTRAZENECA AB (2014-06-03)</x:v>
      </x:c>
      <x:c r="O396" s="87" t="str">
        <x:v>Methods for treating type 2 diabetes in patients resistant to previous treatment with other anti-diabetic drugs employing an SGLT2 inhibitor and compositions thereof</x:v>
      </x:c>
      <x:c r="P396" s="109" t="n">
        <x:v>6</x:v>
      </x:c>
      <x:c r="Q396" s="109" t="n">
        <x:v>9</x:v>
      </x:c>
      <x:c r="R396" s="87" t="str">
        <x:v>A61K45/06;;A61K31/155;;A61K31/4439;;A61K31/70;;A61K38/28;;A61K31/70;;A61K31/00;;A61K31/155;;A61K31/4439;;A61K45/06;;A61P3/04;;A61P3/06;;A61P3/10;;A61P5/50;;A61P7/02;;A61P7/10;;A61P9/10;;A61P9/12;;A61P39/06;;A61P43/00;;A61K31/70;;A61K31/00;;A61K31/155;;A61K31/4439;;A61K45/06</x:v>
      </x:c>
      <x:c r="S396" s="87" t="str">
        <x:v>A61K31/00;;A61K31/155;;A61K31/4439;;A61K31/70;;A61P3/10</x:v>
      </x:c>
      <x:c r="T396" s="87" t="str">
        <x:v>DISCONTINUED</x:v>
      </x:c>
      <x:c r="U396" s="87" t="str">
        <x:v>https://lens.org/090-640-453-560-714</x:v>
      </x:c>
    </x:row>
    <x:row r="397">
      <x:c r="A397" s="87" t="str">
        <x:v>AstraZeneca_Lens_RAW_2009_2024.csv.csv</x:v>
      </x:c>
      <x:c r="B397" s="87" t="str">
        <x:v>AstraZeneca</x:v>
      </x:c>
      <x:c r="C397" s="87"/>
      <x:c r="D397" s="87" t="str">
        <x:v>Yes</x:v>
      </x:c>
      <x:c r="E397" s="87" t="str">
        <x:v>astrazeneca</x:v>
      </x:c>
      <x:c r="F397" s="87" t="str">
        <x:v>395</x:v>
      </x:c>
      <x:c r="G397" s="87" t="str">
        <x:v>150-901-848-838-837</x:v>
      </x:c>
      <x:c r="H397" s="110" t="n">
        <x:v>40079</x:v>
      </x:c>
      <x:c r="I397" s="88" t="n">
        <x:v>2009</x:v>
      </x:c>
      <x:c r="J397" s="87" t="str">
        <x:v>US</x:v>
      </x:c>
      <x:c r="K397" s="87" t="str">
        <x:v>B2</x:v>
      </x:c>
      <x:c r="L397" s="87" t="str">
        <x:v>US 8242044 B2</x:v>
      </x:c>
      <x:c r="M397" s="87" t="str">
        <x:v>QUITTMAN WILHELM;;BELSER THOMAS PETER;;AUFDENBLATTEN RHONY NIKLAUS;;ASTRAZENECA AB</x:v>
      </x:c>
      <x:c r="N397" s="87" t="str">
        <x:v>ASTRAZENECA AB (2010-11-29);;LONZA LIMITED (2010-11-26)</x:v>
      </x:c>
      <x:c r="O397" s="87" t="str">
        <x:v>Process and catalyst</x:v>
      </x:c>
      <x:c r="P397" s="109" t="n">
        <x:v>0</x:v>
      </x:c>
      <x:c r="Q397" s="109" t="n">
        <x:v>31</x:v>
      </x:c>
      <x:c r="R397" s="87" t="str">
        <x:v>B01J27/1856;;B01J21/18;;B01J23/6525;;B01J27/19;;C07C209/36;;C07D239/47;;B01J23/6525;;B01J21/18;;B01J27/1856;;B01J27/19;;B01J37/28;;C07D239/47;;B01J27/1856;;B01J21/18;;B01J23/6525;;B01J27/19;;C07C209/36;;C07D239/47</x:v>
      </x:c>
      <x:c r="S397" s="87" t="str">
        <x:v>B01J27/19;;C07D239/02</x:v>
      </x:c>
      <x:c r="T397" s="87" t="str">
        <x:v>ACTIVE</x:v>
      </x:c>
      <x:c r="U397" s="87" t="str">
        <x:v>https://lens.org/150-901-848-838-837</x:v>
      </x:c>
    </x:row>
    <x:row r="398">
      <x:c r="A398" s="87" t="str">
        <x:v>AstraZeneca_Lens_RAW_2009_2024.csv.csv</x:v>
      </x:c>
      <x:c r="B398" s="87" t="str">
        <x:v>AstraZeneca</x:v>
      </x:c>
      <x:c r="C398" s="87"/>
      <x:c r="D398" s="87" t="str">
        <x:v>Yes</x:v>
      </x:c>
      <x:c r="E398" s="87" t="str">
        <x:v>astrazeneca</x:v>
      </x:c>
      <x:c r="F398" s="87" t="str">
        <x:v>396</x:v>
      </x:c>
      <x:c r="G398" s="87" t="str">
        <x:v>037-611-270-792-489</x:v>
      </x:c>
      <x:c r="H398" s="110" t="n">
        <x:v>39864</x:v>
      </x:c>
      <x:c r="I398" s="88" t="n">
        <x:v>2009</x:v>
      </x:c>
      <x:c r="J398" s="87" t="str">
        <x:v>US</x:v>
      </x:c>
      <x:c r="K398" s="87" t="str">
        <x:v>B2</x:v>
      </x:c>
      <x:c r="L398" s="87" t="str">
        <x:v>US 8232296 B2</x:v>
      </x:c>
      <x:c r="M398" s="87" t="str">
        <x:v>BRIGGNER LARS-ERIK;;KLINGSTEDT PER TOMAS;;LOENN HANS ROLAND;;ZUBAN ROBERT;;ALCARAZ MARIE-LYNE;;NIXON ROBERT ANTHONY;;WATTS ANDREW JAMES;;ASTRAZENECA AB</x:v>
      </x:c>
      <x:c r="N398" s="87" t="str">
        <x:v>ASTRAZENECA AB (2010-02-24)</x:v>
      </x:c>
      <x:c r="O398" s="87" t="str">
        <x:v>Salt 628</x:v>
      </x:c>
      <x:c r="P398" s="109" t="n">
        <x:v>11</x:v>
      </x:c>
      <x:c r="Q398" s="109" t="n">
        <x:v>26</x:v>
      </x:c>
      <x:c r="R398" s="87" t="str">
        <x:v>C07D401/14;;A61P11/00;;A61P11/08;;A61P29/00;;A61P43/00;;C07D401/14;;A61K9/20;;A61K9/28;;A61K31/444;;A61K47/02;;A61K47/38;;C07D401/14</x:v>
      </x:c>
      <x:c r="S398" s="87" t="str">
        <x:v>A61K31/4439;;C07D401/14</x:v>
      </x:c>
      <x:c r="T398" s="87" t="str">
        <x:v>ACTIVE</x:v>
      </x:c>
      <x:c r="U398" s="87" t="str">
        <x:v>https://lens.org/037-611-270-792-489</x:v>
      </x:c>
    </x:row>
    <x:row r="399">
      <x:c r="A399" s="87" t="str">
        <x:v>AstraZeneca_Lens_RAW_2009_2024.csv.csv</x:v>
      </x:c>
      <x:c r="B399" s="87" t="str">
        <x:v>AstraZeneca</x:v>
      </x:c>
      <x:c r="C399" s="87"/>
      <x:c r="D399" s="87" t="str">
        <x:v>Yes</x:v>
      </x:c>
      <x:c r="E399" s="87" t="str">
        <x:v>astrazeneca</x:v>
      </x:c>
      <x:c r="F399" s="87" t="str">
        <x:v>397</x:v>
      </x:c>
      <x:c r="G399" s="87" t="str">
        <x:v>040-464-792-695-791</x:v>
      </x:c>
      <x:c r="H399" s="110" t="n">
        <x:v>40000</x:v>
      </x:c>
      <x:c r="I399" s="88" t="n">
        <x:v>2009</x:v>
      </x:c>
      <x:c r="J399" s="87" t="str">
        <x:v>US</x:v>
      </x:c>
      <x:c r="K399" s="87" t="str">
        <x:v>B2</x:v>
      </x:c>
      <x:c r="L399" s="87" t="str">
        <x:v>US 8227622 B2</x:v>
      </x:c>
      <x:c r="M399" s="87" t="str">
        <x:v>AINGE DEBRA;;MERIFIELD ERIC;;THOMSON COLIN;;BUTTERS MICHAEL;;RAMAKRISHNAN RAVI;;RAYAPATI RAVI NAIDU;;SHARMA PARHALAD RAY;;ASTRAZENECA AB</x:v>
      </x:c>
      <x:c r="N399" s="87" t="str">
        <x:v>ASTRAZENECA INDIA PRIVATE LIMITED (2010-07-06);;ASTRAZENECA UK LIMITED (2010-07-06);;ASTRAZENECA AB (2010-07-06)</x:v>
      </x:c>
      <x:c r="O399" s="87" t="str">
        <x:v>Pharmaceutical process and intermediates 714</x:v>
      </x:c>
      <x:c r="P399" s="109" t="n">
        <x:v>0</x:v>
      </x:c>
      <x:c r="Q399" s="109" t="n">
        <x:v>27</x:v>
      </x:c>
      <x:c r="R399" s="87" t="str">
        <x:v>C07D209/40;;A61P11/00;;C07D209/30;;C07D209/32;;C07D209/30;;C07D209/08;;C07D209/40;;C07D403/06;;C07D209/40;;C07D209/30;;C07D209/32</x:v>
      </x:c>
      <x:c r="S399" s="87" t="str">
        <x:v>C07D209/30;;C07D209/12</x:v>
      </x:c>
      <x:c r="T399" s="87" t="str">
        <x:v>INACTIVE</x:v>
      </x:c>
      <x:c r="U399" s="87" t="str">
        <x:v>https://lens.org/040-464-792-695-791</x:v>
      </x:c>
    </x:row>
    <x:row r="400">
      <x:c r="A400" s="87" t="str">
        <x:v>AstraZeneca_Lens_RAW_2009_2024.csv.csv</x:v>
      </x:c>
      <x:c r="B400" s="87" t="str">
        <x:v>AstraZeneca</x:v>
      </x:c>
      <x:c r="C400" s="87"/>
      <x:c r="D400" s="87" t="str">
        <x:v>Yes</x:v>
      </x:c>
      <x:c r="E400" s="87" t="str">
        <x:v>astrazeneca</x:v>
      </x:c>
      <x:c r="F400" s="87" t="str">
        <x:v>398</x:v>
      </x:c>
      <x:c r="G400" s="87" t="str">
        <x:v>118-914-195-736-51X</x:v>
      </x:c>
      <x:c r="H400" s="110" t="n">
        <x:v>40534</x:v>
      </x:c>
      <x:c r="I400" s="88" t="n">
        <x:v>2010</x:v>
      </x:c>
      <x:c r="J400" s="87" t="str">
        <x:v>US</x:v>
      </x:c>
      <x:c r="K400" s="87" t="str">
        <x:v>A1</x:v>
      </x:c>
      <x:c r="L400" s="87" t="str">
        <x:v>US 2012/0165346 A1</x:v>
      </x:c>
      <x:c r="M400" s="87" t="str">
        <x:v>KOLMODIN KARIN;;SWAHN BRITT-MARIE;;KIHLSTROEM JACOB;;LINDSTROEM JOHAN;;KARLSTROEM SOFIA;;SUNDSTROEM MARIE;;VON BERG STEFAN;;ASTRAZENECA AB</x:v>
      </x:c>
      <x:c r="N400" s="87" t="str">
        <x:v>ASTRAZENECA AB (2012-01-12)</x:v>
      </x:c>
      <x:c r="O400" s="87" t="str">
        <x:v>Compounds and their use as BACE inhibitors</x:v>
      </x:c>
      <x:c r="P400" s="109" t="n">
        <x:v>4</x:v>
      </x:c>
      <x:c r="Q400" s="109" t="n">
        <x:v>2</x:v>
      </x:c>
      <x:c r="R400" s="87" t="str">
        <x:v>C07D401/14;;A61P25/00;;A61P25/28;;C07D403/14;;C07D401/14;;C07D403/14</x:v>
      </x:c>
      <x:c r="S400" s="87" t="str">
        <x:v>A61K31/506;;A61K31/444;;A61P25/00;;A61P25/28;;C07D401/14</x:v>
      </x:c>
      <x:c r="T400" s="87" t="str">
        <x:v>DISCONTINUED</x:v>
      </x:c>
      <x:c r="U400" s="87" t="str">
        <x:v>https://lens.org/118-914-195-736-51X</x:v>
      </x:c>
    </x:row>
    <x:row r="401">
      <x:c r="A401" s="87" t="str">
        <x:v>AstraZeneca_Lens_RAW_2009_2024.csv.csv</x:v>
      </x:c>
      <x:c r="B401" s="87" t="str">
        <x:v>AstraZeneca</x:v>
      </x:c>
      <x:c r="C401" s="87"/>
      <x:c r="D401" s="87" t="str">
        <x:v>Yes</x:v>
      </x:c>
      <x:c r="E401" s="87" t="str">
        <x:v>astrazeneca</x:v>
      </x:c>
      <x:c r="F401" s="87" t="str">
        <x:v>399</x:v>
      </x:c>
      <x:c r="G401" s="87" t="str">
        <x:v>122-860-942-469-51X</x:v>
      </x:c>
      <x:c r="H401" s="110" t="n">
        <x:v>39940</x:v>
      </x:c>
      <x:c r="I401" s="88" t="n">
        <x:v>2009</x:v>
      </x:c>
      <x:c r="J401" s="87" t="str">
        <x:v>US</x:v>
      </x:c>
      <x:c r="K401" s="87" t="str">
        <x:v>B2</x:v>
      </x:c>
      <x:c r="L401" s="87" t="str">
        <x:v>US 8193239 B2</x:v>
      </x:c>
      <x:c r="M401" s="87" t="str">
        <x:v>FORD RHONAN;;MATHER ANDREW;;METE ANTONIO;;MILLICHIP IAN;;ASTRAZENECA AB</x:v>
      </x:c>
      <x:c r="N401" s="87" t="str">
        <x:v>ASTRAZENECA AB (2010-05-19)</x:v>
      </x:c>
      <x:c r="O401" s="87" t="str">
        <x:v>Substituted 1-cyanoethylheterocyclylcarboxamide compounds</x:v>
      </x:c>
      <x:c r="P401" s="109" t="n">
        <x:v>3</x:v>
      </x:c>
      <x:c r="Q401" s="109" t="n">
        <x:v>25</x:v>
      </x:c>
      <x:c r="R401" s="87" t="str">
        <x:v>C07D309/14;;A61P11/00;;A61P11/02;;A61P11/06;;A61P11/08;;A61P37/08;;A61P43/00;;C07D309/14;;A61K31/351;;C07D309/14</x:v>
      </x:c>
      <x:c r="S401" s="87" t="str">
        <x:v>A61K31/351</x:v>
      </x:c>
      <x:c r="T401" s="87" t="str">
        <x:v>INACTIVE</x:v>
      </x:c>
      <x:c r="U401" s="87" t="str">
        <x:v>https://lens.org/122-860-942-469-51X</x:v>
      </x:c>
    </x:row>
    <x:row r="402">
      <x:c r="A402" s="87" t="str">
        <x:v>AstraZeneca_Lens_RAW_2009_2024.csv.csv</x:v>
      </x:c>
      <x:c r="B402" s="87" t="str">
        <x:v>AstraZeneca</x:v>
      </x:c>
      <x:c r="C402" s="87"/>
      <x:c r="D402" s="87" t="str">
        <x:v>Yes</x:v>
      </x:c>
      <x:c r="E402" s="87" t="str">
        <x:v>astrazeneca</x:v>
      </x:c>
      <x:c r="F402" s="87" t="str">
        <x:v>400</x:v>
      </x:c>
      <x:c r="G402" s="87" t="str">
        <x:v>013-166-981-589-184</x:v>
      </x:c>
      <x:c r="H402" s="110" t="n">
        <x:v>39983</x:v>
      </x:c>
      <x:c r="I402" s="88" t="n">
        <x:v>2009</x:v>
      </x:c>
      <x:c r="J402" s="87" t="str">
        <x:v>US</x:v>
      </x:c>
      <x:c r="K402" s="87" t="str">
        <x:v>B2</x:v>
      </x:c>
      <x:c r="L402" s="87" t="str">
        <x:v>US 8188092 B2</x:v>
      </x:c>
      <x:c r="M402" s="87" t="str">
        <x:v>BIRCH ALAN MARTIN;;BUTLIN ROGER JOHN;;CAMPBELL LEONIE;;GREEN CLIVE;;LEACH ANDREW;;WARING MICHAEL JAMES;;MURRAY PAUL MICHAEL;;RYBERG PER OLOF;;ASTRAZENECA AB</x:v>
      </x:c>
      <x:c r="N402" s="87" t="str">
        <x:v>ASTRAZENECA AB (2010-06-21)</x:v>
      </x:c>
      <x:c r="O402" s="87" t="str">
        <x:v>Substituted pyrazines as DGAT-1 inhibitors</x:v>
      </x:c>
      <x:c r="P402" s="109" t="n">
        <x:v>7</x:v>
      </x:c>
      <x:c r="Q402" s="109" t="n">
        <x:v>16</x:v>
      </x:c>
      <x:c r="R402" s="87" t="str">
        <x:v>C07D241/24;;A61P3/00;;A61P3/04;;A61P3/10;;A61P43/00;;C07D401/12;;C07D413/10;;C07D241/14;;A61K31/4965;;C07D241/24;;C07D401/12;;C07D413/10</x:v>
      </x:c>
      <x:c r="S402" s="87" t="str">
        <x:v>A61K31/4965</x:v>
      </x:c>
      <x:c r="T402" s="87" t="str">
        <x:v>INACTIVE</x:v>
      </x:c>
      <x:c r="U402" s="87" t="str">
        <x:v>https://lens.org/013-166-981-589-184</x:v>
      </x:c>
    </x:row>
    <x:row r="403">
      <x:c r="A403" s="87" t="str">
        <x:v>AstraZeneca_Lens_RAW_2009_2024.csv.csv</x:v>
      </x:c>
      <x:c r="B403" s="87" t="str">
        <x:v>AstraZeneca</x:v>
      </x:c>
      <x:c r="C403" s="87"/>
      <x:c r="D403" s="87" t="str">
        <x:v>Yes</x:v>
      </x:c>
      <x:c r="E403" s="87" t="str">
        <x:v>astrazeneca</x:v>
      </x:c>
      <x:c r="F403" s="87" t="str">
        <x:v>401</x:v>
      </x:c>
      <x:c r="G403" s="87" t="str">
        <x:v>163-926-187-225-47X</x:v>
      </x:c>
      <x:c r="H403" s="110" t="n">
        <x:v>40493</x:v>
      </x:c>
      <x:c r="I403" s="88" t="n">
        <x:v>2010</x:v>
      </x:c>
      <x:c r="J403" s="87" t="str">
        <x:v>US</x:v>
      </x:c>
      <x:c r="K403" s="87" t="str">
        <x:v>A1</x:v>
      </x:c>
      <x:c r="L403" s="87" t="str">
        <x:v>US 2012/0122843 A1</x:v>
      </x:c>
      <x:c r="M403" s="87" t="str">
        <x:v>MACSARI ISTVAN;;PAULSEN KIM;;RAKOS LASZLO;;SWAHN BRITT-MARIE;;WALDMAN MAGNUS;;ROTTICCI DIDIER;;VON BERG STEFAN;;ASTRAZENECA AB</x:v>
      </x:c>
      <x:c r="N403" s="87" t="str">
        <x:v>ASTRAZENECA AB (2011-12-14)</x:v>
      </x:c>
      <x:c r="O403" s="87" t="str">
        <x:v>Compounds and Their Use for Treatment of Amyloid Beta-Related Diseases</x:v>
      </x:c>
      <x:c r="P403" s="109" t="n">
        <x:v>1</x:v>
      </x:c>
      <x:c r="Q403" s="109" t="n">
        <x:v>5</x:v>
      </x:c>
      <x:c r="R403" s="87" t="str">
        <x:v>A61K31/553;;A61P25/18;;A61P25/28;;A61P29/00;;C07D498/04;;A61K31/553;;C07D498/04</x:v>
      </x:c>
      <x:c r="S403" s="87" t="str">
        <x:v>A61K31/553;;A61P25/18;;A61P25/28;;A61P29/00;;C07D498/04</x:v>
      </x:c>
      <x:c r="T403" s="87" t="str">
        <x:v>DISCONTINUED</x:v>
      </x:c>
      <x:c r="U403" s="87" t="str">
        <x:v>https://lens.org/163-926-187-225-47X</x:v>
      </x:c>
    </x:row>
    <x:row r="404">
      <x:c r="A404" s="87" t="str">
        <x:v>AstraZeneca_Lens_RAW_2009_2024.csv.csv</x:v>
      </x:c>
      <x:c r="B404" s="87" t="str">
        <x:v>AstraZeneca</x:v>
      </x:c>
      <x:c r="C404" s="87"/>
      <x:c r="D404" s="87" t="str">
        <x:v>Yes</x:v>
      </x:c>
      <x:c r="E404" s="87" t="str">
        <x:v>astrazeneca</x:v>
      </x:c>
      <x:c r="F404" s="87" t="str">
        <x:v>402</x:v>
      </x:c>
      <x:c r="G404" s="87" t="str">
        <x:v>064-597-323-251-354</x:v>
      </x:c>
      <x:c r="H404" s="110" t="n">
        <x:v>39918</x:v>
      </x:c>
      <x:c r="I404" s="88" t="n">
        <x:v>2009</x:v>
      </x:c>
      <x:c r="J404" s="87" t="str">
        <x:v>US</x:v>
      </x:c>
      <x:c r="K404" s="87" t="str">
        <x:v>B2</x:v>
      </x:c>
      <x:c r="L404" s="87" t="str">
        <x:v>US 8178529 B2</x:v>
      </x:c>
      <x:c r="M404" s="87" t="str">
        <x:v>ARVIDSSON PER I;;BURROWS JEREMY NICHOLAS;;YNGVE ULRIKA;;TJERNELD ERICA;;ASTRAZENECA AB</x:v>
      </x:c>
      <x:c r="N404" s="87" t="str">
        <x:v>ASTRAZENECA AB (2010-04-12)</x:v>
      </x:c>
      <x:c r="O404" s="87" t="str">
        <x:v>Imidazole substituted pyrimidines</x:v>
      </x:c>
      <x:c r="P404" s="109" t="n">
        <x:v>4</x:v>
      </x:c>
      <x:c r="Q404" s="109" t="n">
        <x:v>17</x:v>
      </x:c>
      <x:c r="R404" s="87" t="str">
        <x:v>C07D405/14;;A61K31/5377;;A61P3/00;;A61P3/10;;A61P17/14;;A61P25/00;;A61P25/14;;A61P25/16;;A61P25/18;;A61P25/22;;A61P25/24;;A61P25/28;;A61P27/06;;A61P29/00;;A61P31/00;;A61P31/14;;A61P35/00;;C07D413/14;;C07D413/14;;A61K31/5377;;C07D403/04;;C07D405/14;;A61K31/5377;;C07D413/14</x:v>
      </x:c>
      <x:c r="S404" s="87" t="str">
        <x:v>A61K31/506;;C07D413/14</x:v>
      </x:c>
      <x:c r="T404" s="87" t="str">
        <x:v>INACTIVE</x:v>
      </x:c>
      <x:c r="U404" s="87" t="str">
        <x:v>https://lens.org/064-597-323-251-354</x:v>
      </x:c>
    </x:row>
    <x:row r="405">
      <x:c r="A405" s="87" t="str">
        <x:v>AstraZeneca_Lens_RAW_2009_2024.csv.csv</x:v>
      </x:c>
      <x:c r="B405" s="87" t="str">
        <x:v>AstraZeneca</x:v>
      </x:c>
      <x:c r="C405" s="87"/>
      <x:c r="D405" s="87" t="str">
        <x:v>Yes</x:v>
      </x:c>
      <x:c r="E405" s="87" t="str">
        <x:v>astrazeneca</x:v>
      </x:c>
      <x:c r="F405" s="87" t="str">
        <x:v>403</x:v>
      </x:c>
      <x:c r="G405" s="87" t="str">
        <x:v>035-533-891-121-289</x:v>
      </x:c>
      <x:c r="H405" s="110" t="n">
        <x:v>40380</x:v>
      </x:c>
      <x:c r="I405" s="88" t="n">
        <x:v>2010</x:v>
      </x:c>
      <x:c r="J405" s="87" t="str">
        <x:v>US</x:v>
      </x:c>
      <x:c r="K405" s="87" t="str">
        <x:v>S</x:v>
      </x:c>
      <x:c r="L405" s="87" t="str">
        <x:v>US D0659236 S</x:v>
      </x:c>
      <x:c r="M405" s="87" t="str">
        <x:v>BOBJER KAJSA;;LUNDSTROEM CAMILLA;;RITTFELDT MAARTEN;;SVENNBERG JONAS;;ASTRAZENECA UK LTD</x:v>
      </x:c>
      <x:c r="N405" s="87" t="str">
        <x:v>ZENIT DESIGN GROUP AB (2011-02-14);;ASTRAZENECA UK LIMITED (2011-02-14)</x:v>
      </x:c>
      <x:c r="O405" s="87" t="str">
        <x:v>Inhaler</x:v>
      </x:c>
      <x:c r="P405" s="109" t="n">
        <x:v>17</x:v>
      </x:c>
      <x:c r="Q405" s="109" t="n">
        <x:v>1</x:v>
      </x:c>
      <x:c r="R405" s="87" t="str"/>
      <x:c r="S405" s="87" t="str"/>
      <x:c r="T405" s="87" t="str">
        <x:v>EXPIRED</x:v>
      </x:c>
      <x:c r="U405" s="87" t="str">
        <x:v>https://lens.org/035-533-891-121-289</x:v>
      </x:c>
    </x:row>
    <x:row r="406">
      <x:c r="A406" s="87" t="str">
        <x:v>AstraZeneca_Lens_RAW_2009_2024.csv.csv</x:v>
      </x:c>
      <x:c r="B406" s="87" t="str">
        <x:v>AstraZeneca</x:v>
      </x:c>
      <x:c r="C406" s="87"/>
      <x:c r="D406" s="87" t="str">
        <x:v>Yes</x:v>
      </x:c>
      <x:c r="E406" s="87" t="str">
        <x:v>astrazeneca</x:v>
      </x:c>
      <x:c r="F406" s="87" t="str">
        <x:v>404</x:v>
      </x:c>
      <x:c r="G406" s="87" t="str">
        <x:v>077-124-928-500-298</x:v>
      </x:c>
      <x:c r="H406" s="110" t="n">
        <x:v>39888</x:v>
      </x:c>
      <x:c r="I406" s="88" t="n">
        <x:v>2009</x:v>
      </x:c>
      <x:c r="J406" s="87" t="str">
        <x:v>US</x:v>
      </x:c>
      <x:c r="K406" s="87" t="str">
        <x:v>A1</x:v>
      </x:c>
      <x:c r="L406" s="87" t="str">
        <x:v>US 2012/0035219 A1</x:v>
      </x:c>
      <x:c r="M406" s="87" t="str">
        <x:v>DAS KAVERI;;MELNICK DAVID ALAN;;RADHA SHANDIL;;ASTRAZENECA AB</x:v>
      </x:c>
      <x:c r="N406" s="87" t="str">
        <x:v>ASTRAZENECA AB (2011-09-30)</x:v>
      </x:c>
      <x:c r="O406" s="87" t="str">
        <x:v>Compound for the Treatment of Tuberculosis</x:v>
      </x:c>
      <x:c r="P406" s="109" t="n">
        <x:v>0</x:v>
      </x:c>
      <x:c r="Q406" s="109" t="n">
        <x:v>17</x:v>
      </x:c>
      <x:c r="R406" s="87" t="str">
        <x:v>A61K31/4439;;A61K45/06;;A61P31/04;;A61P31/06;;A61K31/4439;;A61K31/06;;A61K45/06;;A61K31/4439;;A61K45/06</x:v>
      </x:c>
      <x:c r="S406" s="87" t="str">
        <x:v>A61K31/4439;;A01N43/80;;A01P1/00;;A61P31/06;;C07D413/14</x:v>
      </x:c>
      <x:c r="T406" s="87" t="str">
        <x:v>DISCONTINUED</x:v>
      </x:c>
      <x:c r="U406" s="87" t="str">
        <x:v>https://lens.org/077-124-928-500-298</x:v>
      </x:c>
    </x:row>
    <x:row r="407">
      <x:c r="A407" s="87" t="str">
        <x:v>AstraZeneca_Lens_RAW_2009_2024.csv.csv</x:v>
      </x:c>
      <x:c r="B407" s="87" t="str">
        <x:v>AstraZeneca</x:v>
      </x:c>
      <x:c r="C407" s="87"/>
      <x:c r="D407" s="87" t="str">
        <x:v>Yes</x:v>
      </x:c>
      <x:c r="E407" s="87" t="str">
        <x:v>astrazeneca</x:v>
      </x:c>
      <x:c r="F407" s="87" t="str">
        <x:v>405</x:v>
      </x:c>
      <x:c r="G407" s="87" t="str">
        <x:v>018-891-903-153-223</x:v>
      </x:c>
      <x:c r="H407" s="110" t="n">
        <x:v>39934</x:v>
      </x:c>
      <x:c r="I407" s="88" t="n">
        <x:v>2009</x:v>
      </x:c>
      <x:c r="J407" s="87" t="str">
        <x:v>US</x:v>
      </x:c>
      <x:c r="K407" s="87" t="str">
        <x:v>B2</x:v>
      </x:c>
      <x:c r="L407" s="87" t="str">
        <x:v>US 8110566 B2</x:v>
      </x:c>
      <x:c r="M407" s="87" t="str">
        <x:v>JOHANSSON LARS ANDERS MIKAEL;;JUDKINS ROBERT ANDREW;;LI LANNA;;LOFBERG BJORN CHRISTIAN INGVAR;;PERSSON JOACHIM;;ASTRAZENECA AB</x:v>
      </x:c>
      <x:c r="N407" s="87" t="str">
        <x:v>ASTRAZENECA AB (2010-05-21)</x:v>
      </x:c>
      <x:c r="O407" s="87" t="str">
        <x:v>Therapeutic agents 713</x:v>
      </x:c>
      <x:c r="P407" s="109" t="n">
        <x:v>2</x:v>
      </x:c>
      <x:c r="Q407" s="109" t="n">
        <x:v>29</x:v>
      </x:c>
      <x:c r="R407" s="87" t="str">
        <x:v>C07D491/107;;C07D413/06;;C07D491/10;;A61P3/00;;A61P3/04;;A61P25/00;;A61P25/04;;A61P25/14;;A61P25/18;;A61P25/20;;A61P25/22;;A61P25/24;;A61P25/28;;A61P43/00;;C07D491/107;;A61K31/4245;;A61K45/06;;C07D491/10</x:v>
      </x:c>
      <x:c r="S407" s="87" t="str">
        <x:v>A61K31/4245;;A61P3/04;;A61P25/18;;A61P25/22;;A61P25/24;;A61P25/28;;C07D491/107</x:v>
      </x:c>
      <x:c r="T407" s="87" t="str">
        <x:v>INACTIVE</x:v>
      </x:c>
      <x:c r="U407" s="87" t="str">
        <x:v>https://lens.org/018-891-903-153-223</x:v>
      </x:c>
    </x:row>
    <x:row r="408">
      <x:c r="A408" s="87" t="str">
        <x:v>AstraZeneca_Lens_RAW_2009_2024.csv.csv</x:v>
      </x:c>
      <x:c r="B408" s="87" t="str">
        <x:v>AstraZeneca</x:v>
      </x:c>
      <x:c r="C408" s="87"/>
      <x:c r="D408" s="87" t="str">
        <x:v>Yes</x:v>
      </x:c>
      <x:c r="E408" s="87" t="str">
        <x:v>astrazeneca</x:v>
      </x:c>
      <x:c r="F408" s="87" t="str">
        <x:v>406</x:v>
      </x:c>
      <x:c r="G408" s="87" t="str">
        <x:v>162-795-675-657-745</x:v>
      </x:c>
      <x:c r="H408" s="110" t="n">
        <x:v>39899</x:v>
      </x:c>
      <x:c r="I408" s="88" t="n">
        <x:v>2009</x:v>
      </x:c>
      <x:c r="J408" s="87" t="str">
        <x:v>EP</x:v>
      </x:c>
      <x:c r="K408" s="87" t="str">
        <x:v>A1</x:v>
      </x:c>
      <x:c r="L408" s="87" t="str">
        <x:v>EP 2411005 A1</x:v>
      </x:c>
      <x:c r="M408" s="87" t="str">
        <x:v>BRISTOL MYERS SQUIBB CO;;ASTRAZENECA UK LTD</x:v>
      </x:c>
      <x:c r="N408" s="87" t="str">
        <x:v>ASTRAZENECA AB (2014-06-25);;ASTRAZENECA UK LIMITED (2014-06-25)</x:v>
      </x:c>
      <x:c r="O408" s="87" t="str">
        <x:v>METHODS FOR PREVENTING MAJOR ADVERSE CARDIOVASCULAR EVENTS WITH DPP-IV INHIBITORS</x:v>
      </x:c>
      <x:c r="P408" s="109" t="n">
        <x:v>0</x:v>
      </x:c>
      <x:c r="Q408" s="109" t="n">
        <x:v>16</x:v>
      </x:c>
      <x:c r="R408" s="87" t="str">
        <x:v>A61K31/40;;A61K31/4985;;A61P3/00;;A61P3/06;;A61P3/10;;A61P9/00;;A61P9/10;;A61P9/12;;A61P43/00;;A61K31/40;;A61K31/4985;;A61K31/40;;A61K31/4985</x:v>
      </x:c>
      <x:c r="S408" s="87" t="str">
        <x:v>A61K31/40;;A61K31/4985;;A61P3/00;;A61P9/00</x:v>
      </x:c>
      <x:c r="T408" s="87" t="str">
        <x:v>DISCONTINUED</x:v>
      </x:c>
      <x:c r="U408" s="87" t="str">
        <x:v>https://lens.org/162-795-675-657-745</x:v>
      </x:c>
    </x:row>
    <x:row r="409">
      <x:c r="A409" s="87" t="str">
        <x:v>AstraZeneca_Lens_RAW_2009_2024.csv.csv</x:v>
      </x:c>
      <x:c r="B409" s="87" t="str">
        <x:v>AstraZeneca</x:v>
      </x:c>
      <x:c r="C409" s="87"/>
      <x:c r="D409" s="87" t="str">
        <x:v>Yes</x:v>
      </x:c>
      <x:c r="E409" s="87" t="str">
        <x:v>astrazeneca</x:v>
      </x:c>
      <x:c r="F409" s="87" t="str">
        <x:v>407</x:v>
      </x:c>
      <x:c r="G409" s="87" t="str">
        <x:v>184-262-489-258-851</x:v>
      </x:c>
      <x:c r="H409" s="110" t="n">
        <x:v>40378</x:v>
      </x:c>
      <x:c r="I409" s="88" t="n">
        <x:v>2010</x:v>
      </x:c>
      <x:c r="J409" s="87" t="str">
        <x:v>US</x:v>
      </x:c>
      <x:c r="K409" s="87" t="str">
        <x:v>A1</x:v>
      </x:c>
      <x:c r="L409" s="87" t="str">
        <x:v>US 2012/0022110 A1</x:v>
      </x:c>
      <x:c r="M409" s="87" t="str">
        <x:v>JANIN ARMELLE MARIE-LAUDINE;;MACFAUL PHILIP ALEXANDER;;PUGH RACHEL MARIE;;ROBERTS EMILY JANE;;NASH IAN ALUN;;ASTRAZENECA AB</x:v>
      </x:c>
      <x:c r="N409" s="87" t="str">
        <x:v>ASTRAZENECA UK LIMITED (2011-07-26);;ASTRAZENECA AB (2011-07-26)</x:v>
      </x:c>
      <x:c r="O409" s="87" t="str">
        <x:v>PHARMACEUTICAL DEPOT FOR 5-FLUORO-2-[[(1S)-1-(5-FLUORO-2-PYRIDYL)ETHYL]AMINO]-6-[(5-ISOPROPOXY-1H-PYRAZOL-3-YL)AMINO]PYRIDINE-3-CARBONITRILE</x:v>
      </x:c>
      <x:c r="P409" s="109" t="n">
        <x:v>0</x:v>
      </x:c>
      <x:c r="Q409" s="109" t="n">
        <x:v>22</x:v>
      </x:c>
      <x:c r="R409" s="87" t="str">
        <x:v>A61K31/444;;A61K9/0024;;A61K9/1647;;A61P11/06;;A61P19/02;;A61P19/06;;A61P29/00;;A61P37/08;;A61P43/00;;A61K9/20;;A61K9/16;;A61K31/444;;A61K47/34;;A61K31/444;;A61K9/0024;;A61K9/1647</x:v>
      </x:c>
      <x:c r="S409" s="87" t="str">
        <x:v>A61K31/444;;A61P19/02</x:v>
      </x:c>
      <x:c r="T409" s="87" t="str">
        <x:v>DISCONTINUED</x:v>
      </x:c>
      <x:c r="U409" s="87" t="str">
        <x:v>https://lens.org/184-262-489-258-851</x:v>
      </x:c>
    </x:row>
    <x:row r="410">
      <x:c r="A410" s="87" t="str">
        <x:v>AstraZeneca_Lens_RAW_2009_2024.csv.csv</x:v>
      </x:c>
      <x:c r="B410" s="87" t="str">
        <x:v>AstraZeneca</x:v>
      </x:c>
      <x:c r="C410" s="87"/>
      <x:c r="D410" s="87" t="str">
        <x:v>Yes</x:v>
      </x:c>
      <x:c r="E410" s="87" t="str">
        <x:v>astrazeneca</x:v>
      </x:c>
      <x:c r="F410" s="87" t="str">
        <x:v>408</x:v>
      </x:c>
      <x:c r="G410" s="87" t="str">
        <x:v>137-026-289-434-639</x:v>
      </x:c>
      <x:c r="H410" s="110" t="n">
        <x:v>39969</x:v>
      </x:c>
      <x:c r="I410" s="88" t="n">
        <x:v>2009</x:v>
      </x:c>
      <x:c r="J410" s="87" t="str">
        <x:v>AU</x:v>
      </x:c>
      <x:c r="K410" s="87" t="str">
        <x:v>A1</x:v>
      </x:c>
      <x:c r="L410" s="87" t="str">
        <x:v>AU 2010/256360 A1</x:v>
      </x:c>
      <x:c r="M410" s="87" t="str">
        <x:v>ASTRAZENECA AB</x:v>
      </x:c>
      <x:c r="N410" s="87" t="str">
        <x:v>ASTRAZENECA AB (2013-08-22)</x:v>
      </x:c>
      <x:c r="O410" s="87" t="str">
        <x:v>Aminopyrrolidinone derivatives and uses thereof</x:v>
      </x:c>
      <x:c r="P410" s="109" t="n">
        <x:v>0</x:v>
      </x:c>
      <x:c r="Q410" s="109" t="n">
        <x:v>14</x:v>
      </x:c>
      <x:c r="R410" s="87" t="str">
        <x:v>C07D403/12;;A61P1/04;;A61P3/04;;A61P3/10;;A61P21/04;;A61P25/00;;A61P25/14;;A61P25/16;;A61P25/22;;A61P25/24;;A61P25/28;;A61P27/02;;A61P29/00;;A61P37/00;;A61P43/00;;C07D403/14;;C07D405/14;;C07D403/12;;C07D403/14;;C07D405/14</x:v>
      </x:c>
      <x:c r="S410" s="87" t="str">
        <x:v>C07D403/12;;A61K31/216;;C07D403/14;;C07D405/14</x:v>
      </x:c>
      <x:c r="T410" s="87" t="str">
        <x:v>DISCONTINUED</x:v>
      </x:c>
      <x:c r="U410" s="87" t="str">
        <x:v>https://lens.org/137-026-289-434-639</x:v>
      </x:c>
    </x:row>
    <x:row r="411">
      <x:c r="A411" s="87" t="str">
        <x:v>AstraZeneca_Lens_RAW_2009_2024.csv.csv</x:v>
      </x:c>
      <x:c r="B411" s="87" t="str">
        <x:v>AstraZeneca</x:v>
      </x:c>
      <x:c r="C411" s="87"/>
      <x:c r="D411" s="87" t="str">
        <x:v>Yes</x:v>
      </x:c>
      <x:c r="E411" s="87" t="str">
        <x:v>astrazeneca</x:v>
      </x:c>
      <x:c r="F411" s="87" t="str">
        <x:v>409</x:v>
      </x:c>
      <x:c r="G411" s="87" t="str">
        <x:v>061-035-641-969-202</x:v>
      </x:c>
      <x:c r="H411" s="110" t="n">
        <x:v>39857</x:v>
      </x:c>
      <x:c r="I411" s="88" t="n">
        <x:v>2009</x:v>
      </x:c>
      <x:c r="J411" s="87" t="str">
        <x:v>US</x:v>
      </x:c>
      <x:c r="K411" s="87" t="str">
        <x:v>B2</x:v>
      </x:c>
      <x:c r="L411" s="87" t="str">
        <x:v>US 8093252 B2</x:v>
      </x:c>
      <x:c r="M411" s="87" t="str">
        <x:v>BOWDEN SHARON ANN;;HOILE DAVID PETER;;LOEVQVIST KARIN;;ASTRAZENECA AB</x:v>
      </x:c>
      <x:c r="N411" s="87" t="str">
        <x:v>ASTRAZENECA AB (2010-03-10)</x:v>
      </x:c>
      <x:c r="O411" s="87" t="str">
        <x:v>Crystalline polymorphic form of glucokinase activator</x:v>
      </x:c>
      <x:c r="P411" s="109" t="n">
        <x:v>0</x:v>
      </x:c>
      <x:c r="Q411" s="109" t="n">
        <x:v>17</x:v>
      </x:c>
      <x:c r="R411" s="87" t="str">
        <x:v>C07D403/14;;A61P3/00;;A61P3/04;;A61P3/06;;A61P3/08;;A61P3/10;;A61P43/00;;C07D403/14;;A61K31/497;;C07D403/14</x:v>
      </x:c>
      <x:c r="S411" s="87" t="str">
        <x:v>A61K31/4965</x:v>
      </x:c>
      <x:c r="T411" s="87" t="str">
        <x:v>ACTIVE</x:v>
      </x:c>
      <x:c r="U411" s="87" t="str">
        <x:v>https://lens.org/061-035-641-969-202</x:v>
      </x:c>
    </x:row>
    <x:row r="412">
      <x:c r="A412" s="87" t="str">
        <x:v>AstraZeneca_Lens_RAW_2009_2024.csv.csv</x:v>
      </x:c>
      <x:c r="B412" s="87" t="str">
        <x:v>AstraZeneca</x:v>
      </x:c>
      <x:c r="C412" s="87"/>
      <x:c r="D412" s="87" t="str">
        <x:v>Yes</x:v>
      </x:c>
      <x:c r="E412" s="87" t="str">
        <x:v>astrazeneca</x:v>
      </x:c>
      <x:c r="F412" s="87" t="str">
        <x:v>410</x:v>
      </x:c>
      <x:c r="G412" s="87" t="str">
        <x:v>066-898-448-504-708</x:v>
      </x:c>
      <x:c r="H412" s="110" t="n">
        <x:v>39857</x:v>
      </x:c>
      <x:c r="I412" s="88" t="n">
        <x:v>2009</x:v>
      </x:c>
      <x:c r="J412" s="87" t="str">
        <x:v>US</x:v>
      </x:c>
      <x:c r="K412" s="87" t="str">
        <x:v>B2</x:v>
      </x:c>
      <x:c r="L412" s="87" t="str">
        <x:v>US 8076481 B2</x:v>
      </x:c>
      <x:c r="M412" s="87" t="str">
        <x:v>BUTTERS MICHAEL;;CRABB JEFFREY;;HOPES PHILIP;;PATEL BHARTI;;ASTRAZENECA AB</x:v>
      </x:c>
      <x:c r="N412" s="87" t="str">
        <x:v>ASTRAZENECA AB (2010-03-01)</x:v>
      </x:c>
      <x:c r="O412" s="87" t="str">
        <x:v>Chemical process 632</x:v>
      </x:c>
      <x:c r="P412" s="109" t="n">
        <x:v>0</x:v>
      </x:c>
      <x:c r="Q412" s="109" t="n">
        <x:v>9</x:v>
      </x:c>
      <x:c r="R412" s="87" t="str">
        <x:v>C07D401/06;;C07D401/14;;C07D403/06;;C07D403/12;;C07D403/14;;C07D401/06;;C07D401/14;;C07D403/06;;C07D403/12;;C07D403/14</x:v>
      </x:c>
      <x:c r="S412" s="87" t="str">
        <x:v>C07D241/02</x:v>
      </x:c>
      <x:c r="T412" s="87" t="str">
        <x:v>INACTIVE</x:v>
      </x:c>
      <x:c r="U412" s="87" t="str">
        <x:v>https://lens.org/066-898-448-504-708</x:v>
      </x:c>
    </x:row>
    <x:row r="413">
      <x:c r="A413" s="87" t="str">
        <x:v>AstraZeneca_Lens_RAW_2009_2024.csv.csv</x:v>
      </x:c>
      <x:c r="B413" s="87" t="str">
        <x:v>AstraZeneca</x:v>
      </x:c>
      <x:c r="C413" s="87"/>
      <x:c r="D413" s="87" t="str">
        <x:v>Yes</x:v>
      </x:c>
      <x:c r="E413" s="87" t="str">
        <x:v>astrazeneca</x:v>
      </x:c>
      <x:c r="F413" s="87" t="str">
        <x:v>411</x:v>
      </x:c>
      <x:c r="G413" s="87" t="str">
        <x:v>127-179-654-590-31X</x:v>
      </x:c>
      <x:c r="H413" s="110" t="n">
        <x:v>39912</x:v>
      </x:c>
      <x:c r="I413" s="88" t="n">
        <x:v>2009</x:v>
      </x:c>
      <x:c r="J413" s="87" t="str">
        <x:v>US</x:v>
      </x:c>
      <x:c r="K413" s="87" t="str">
        <x:v>B2</x:v>
      </x:c>
      <x:c r="L413" s="87" t="str">
        <x:v>US 8071608 B2</x:v>
      </x:c>
      <x:c r="M413" s="87" t="str">
        <x:v>BENNETT STUART NORMAN LILE;;WALKER ROLF PETER;;WARING MICHAEL JAMES;;ASTRAZENECA AB</x:v>
      </x:c>
      <x:c r="N413" s="87" t="str">
        <x:v>ASTRAZENECA AB (2010-05-11)</x:v>
      </x:c>
      <x:c r="O413" s="87" t="str">
        <x:v>Therapeutic agents</x:v>
      </x:c>
      <x:c r="P413" s="109" t="n">
        <x:v>0</x:v>
      </x:c>
      <x:c r="Q413" s="109" t="n">
        <x:v>6</x:v>
      </x:c>
      <x:c r="R413" s="87" t="str">
        <x:v>C07D487/04;;A61P3/04;;A61P3/08;;A61P3/10;;C07D487/04</x:v>
      </x:c>
      <x:c r="S413" s="87" t="str">
        <x:v>A01N43/90;;A61K31/519;;C07D487/00</x:v>
      </x:c>
      <x:c r="T413" s="87" t="str">
        <x:v>INACTIVE</x:v>
      </x:c>
      <x:c r="U413" s="87" t="str">
        <x:v>https://lens.org/127-179-654-590-31X</x:v>
      </x:c>
    </x:row>
    <x:row r="414">
      <x:c r="A414" s="87" t="str">
        <x:v>AstraZeneca_Lens_RAW_2009_2024.csv.csv</x:v>
      </x:c>
      <x:c r="B414" s="87" t="str">
        <x:v>AstraZeneca</x:v>
      </x:c>
      <x:c r="C414" s="87"/>
      <x:c r="D414" s="87" t="str">
        <x:v>Yes</x:v>
      </x:c>
      <x:c r="E414" s="87" t="str">
        <x:v>astrazeneca</x:v>
      </x:c>
      <x:c r="F414" s="87" t="str">
        <x:v>412</x:v>
      </x:c>
      <x:c r="G414" s="87" t="str">
        <x:v>084-191-444-017-631</x:v>
      </x:c>
      <x:c r="H414" s="110" t="n">
        <x:v>39912</x:v>
      </x:c>
      <x:c r="I414" s="88" t="n">
        <x:v>2009</x:v>
      </x:c>
      <x:c r="J414" s="87" t="str">
        <x:v>US</x:v>
      </x:c>
      <x:c r="K414" s="87" t="str">
        <x:v>B2</x:v>
      </x:c>
      <x:c r="L414" s="87" t="str">
        <x:v>US 8071585 B2</x:v>
      </x:c>
      <x:c r="M414" s="87" t="str">
        <x:v>WARING MICHAEL JAMES;;ASTRAZENECA AB</x:v>
      </x:c>
      <x:c r="N414" s="87" t="str">
        <x:v>ASTRAZENECA AB (2010-05-11)</x:v>
      </x:c>
      <x:c r="O414" s="87" t="str">
        <x:v>Therapeutic agents</x:v>
      </x:c>
      <x:c r="P414" s="109" t="n">
        <x:v>0</x:v>
      </x:c>
      <x:c r="Q414" s="109" t="n">
        <x:v>6</x:v>
      </x:c>
      <x:c r="R414" s="87" t="str">
        <x:v>C07D487/04;;A61P3/04;;A61P3/10;;C07D487/04</x:v>
      </x:c>
      <x:c r="S414" s="87" t="str">
        <x:v>A01N43/00;;A61K31/00;;C07D487/00</x:v>
      </x:c>
      <x:c r="T414" s="87" t="str">
        <x:v>INACTIVE</x:v>
      </x:c>
      <x:c r="U414" s="87" t="str">
        <x:v>https://lens.org/084-191-444-017-631</x:v>
      </x:c>
    </x:row>
    <x:row r="415">
      <x:c r="A415" s="87" t="str">
        <x:v>AstraZeneca_Lens_RAW_2009_2024.csv.csv</x:v>
      </x:c>
      <x:c r="B415" s="87" t="str">
        <x:v>AstraZeneca</x:v>
      </x:c>
      <x:c r="C415" s="87"/>
      <x:c r="D415" s="87" t="str">
        <x:v>Yes</x:v>
      </x:c>
      <x:c r="E415" s="87" t="str">
        <x:v>astrazeneca</x:v>
      </x:c>
      <x:c r="F415" s="87" t="str">
        <x:v>413</x:v>
      </x:c>
      <x:c r="G415" s="87" t="str">
        <x:v>078-997-233-828-472</x:v>
      </x:c>
      <x:c r="H415" s="110" t="n">
        <x:v>40310</x:v>
      </x:c>
      <x:c r="I415" s="88" t="n">
        <x:v>2010</x:v>
      </x:c>
      <x:c r="J415" s="87" t="str">
        <x:v>US</x:v>
      </x:c>
      <x:c r="K415" s="87" t="str">
        <x:v>A1</x:v>
      </x:c>
      <x:c r="L415" s="87" t="str">
        <x:v>US 2011/0281894 A1</x:v>
      </x:c>
      <x:c r="M415" s="87" t="str">
        <x:v>BERGSTROEM PER-OLOV;;MINIDIS ANNA;;STRANNE ROBERT ULF JOHAN;;WERNERSSON MIKAEL;;ASTRAZENECA AB</x:v>
      </x:c>
      <x:c r="N415" s="87" t="str">
        <x:v>ASTRAZENECA AB (2011-06-29)</x:v>
      </x:c>
      <x:c r="O415" s="87" t="str">
        <x:v>HEMIFUMARATE SALT</x:v>
      </x:c>
      <x:c r="P415" s="109" t="n">
        <x:v>1</x:v>
      </x:c>
      <x:c r="Q415" s="109" t="n">
        <x:v>5</x:v>
      </x:c>
      <x:c r="R415" s="87" t="str">
        <x:v>C07D401/14;;A61P7/00;;A61P25/16;;A61P25/28;;A61P43/00;;C07D213/50;;C07D401/04;;C07D401/14;;C07D213/50;;C07D401/04</x:v>
      </x:c>
      <x:c r="S415" s="87" t="str">
        <x:v>A61K31/506;;A61P7/00;;A61P25/16;;A61P25/28;;A61P43/00;;C07D213/57;;C07D401/04;;C07D401/14</x:v>
      </x:c>
      <x:c r="T415" s="87" t="str">
        <x:v>DISCONTINUED</x:v>
      </x:c>
      <x:c r="U415" s="87" t="str">
        <x:v>https://lens.org/078-997-233-828-472</x:v>
      </x:c>
    </x:row>
    <x:row r="416">
      <x:c r="A416" s="87" t="str">
        <x:v>AstraZeneca_Lens_RAW_2009_2024.csv.csv</x:v>
      </x:c>
      <x:c r="B416" s="87" t="str">
        <x:v>AstraZeneca</x:v>
      </x:c>
      <x:c r="C416" s="87"/>
      <x:c r="D416" s="87" t="str">
        <x:v>Yes</x:v>
      </x:c>
      <x:c r="E416" s="87" t="str">
        <x:v>astrazeneca</x:v>
      </x:c>
      <x:c r="F416" s="87" t="str">
        <x:v>414</x:v>
      </x:c>
      <x:c r="G416" s="87" t="str">
        <x:v>112-984-896-186-405</x:v>
      </x:c>
      <x:c r="H416" s="110" t="n">
        <x:v>40269</x:v>
      </x:c>
      <x:c r="I416" s="88" t="n">
        <x:v>2010</x:v>
      </x:c>
      <x:c r="J416" s="87" t="str">
        <x:v>US</x:v>
      </x:c>
      <x:c r="K416" s="87" t="str">
        <x:v>A1</x:v>
      </x:c>
      <x:c r="L416" s="87" t="str">
        <x:v>US 2011/0251173 A1</x:v>
      </x:c>
      <x:c r="M416" s="87" t="str">
        <x:v>ASTRAZENECA AB</x:v>
      </x:c>
      <x:c r="N416" s="87" t="str">
        <x:v>ASTRAZENECA UK LIMITED (2011-05-16);;ASTRAZENECA AB (2011-05-23)</x:v>
      </x:c>
      <x:c r="O416" s="87" t="str">
        <x:v>CHEMICAL COMPOUNDS</x:v>
      </x:c>
      <x:c r="P416" s="109" t="n">
        <x:v>8</x:v>
      </x:c>
      <x:c r="Q416" s="109" t="n">
        <x:v>4</x:v>
      </x:c>
      <x:c r="R416" s="87" t="str">
        <x:v>C07D498/04;;A61P3/04;;A61P3/10;;C07D498/04</x:v>
      </x:c>
      <x:c r="S416" s="87" t="str">
        <x:v>A61K31/553;;A61P3/04;;A61P3/10;;C07D498/04</x:v>
      </x:c>
      <x:c r="T416" s="87" t="str">
        <x:v>DISCONTINUED</x:v>
      </x:c>
      <x:c r="U416" s="87" t="str">
        <x:v>https://lens.org/112-984-896-186-405</x:v>
      </x:c>
    </x:row>
    <x:row r="417">
      <x:c r="A417" s="87" t="str">
        <x:v>AstraZeneca_Lens_RAW_2009_2024.csv.csv</x:v>
      </x:c>
      <x:c r="B417" s="87" t="str">
        <x:v>AstraZeneca</x:v>
      </x:c>
      <x:c r="C417" s="87"/>
      <x:c r="D417" s="87" t="str">
        <x:v>Yes</x:v>
      </x:c>
      <x:c r="E417" s="87" t="str">
        <x:v>astrazeneca</x:v>
      </x:c>
      <x:c r="F417" s="87" t="str">
        <x:v>415</x:v>
      </x:c>
      <x:c r="G417" s="87" t="str">
        <x:v>093-705-108-644-435</x:v>
      </x:c>
      <x:c r="H417" s="110" t="n">
        <x:v>40142</x:v>
      </x:c>
      <x:c r="I417" s="88" t="n">
        <x:v>2009</x:v>
      </x:c>
      <x:c r="J417" s="87" t="str">
        <x:v>US</x:v>
      </x:c>
      <x:c r="K417" s="87" t="str">
        <x:v>A1</x:v>
      </x:c>
      <x:c r="L417" s="87" t="str">
        <x:v>US 2011/0207745 A1</x:v>
      </x:c>
      <x:c r="M417" s="87" t="str">
        <x:v>ASTRAZENECA AB</x:v>
      </x:c>
      <x:c r="N417" s="87" t="str">
        <x:v>ASTRAZENECA PHARMACEUTICALS LP (2010-11-24);;ASTRAZENECA UK LIMITED (2010-11-24);;ASTRAZENECA AB (2010-11-24)</x:v>
      </x:c>
      <x:c r="O417" s="87" t="str">
        <x:v>SOLID FORMS OF 4--N,N-DIETHYLBENZAMIDE, COMPOSITIONS THEREOF, AND USES THEREWITH</x:v>
      </x:c>
      <x:c r="P417" s="109" t="n">
        <x:v>1</x:v>
      </x:c>
      <x:c r="Q417" s="109" t="n">
        <x:v>5</x:v>
      </x:c>
      <x:c r="R417" s="87" t="str">
        <x:v>A61K31/495;;A61P25/00;;A61P25/04;;A61P25/22;;A61P25/24;;C07D295/155;;A61K31/495;;C07D295/155</x:v>
      </x:c>
      <x:c r="S417" s="87" t="str">
        <x:v>A61K31/4965;;A61P25/00;;A61P25/22;;A61P25/24;;C07D241/04</x:v>
      </x:c>
      <x:c r="T417" s="87" t="str">
        <x:v>DISCONTINUED</x:v>
      </x:c>
      <x:c r="U417" s="87" t="str">
        <x:v>https://lens.org/093-705-108-644-435</x:v>
      </x:c>
    </x:row>
    <x:row r="418">
      <x:c r="A418" s="87" t="str">
        <x:v>AstraZeneca_Lens_RAW_2009_2024.csv.csv</x:v>
      </x:c>
      <x:c r="B418" s="87" t="str">
        <x:v>AstraZeneca</x:v>
      </x:c>
      <x:c r="C418" s="87"/>
      <x:c r="D418" s="87" t="str">
        <x:v>Yes</x:v>
      </x:c>
      <x:c r="E418" s="87" t="str">
        <x:v>astrazeneca</x:v>
      </x:c>
      <x:c r="F418" s="87" t="str">
        <x:v>416</x:v>
      </x:c>
      <x:c r="G418" s="87" t="str">
        <x:v>177-893-134-917-43X</x:v>
      </x:c>
      <x:c r="H418" s="110" t="n">
        <x:v>40150</x:v>
      </x:c>
      <x:c r="I418" s="88" t="n">
        <x:v>2009</x:v>
      </x:c>
      <x:c r="J418" s="87" t="str">
        <x:v>US</x:v>
      </x:c>
      <x:c r="K418" s="87" t="str">
        <x:v>A1</x:v>
      </x:c>
      <x:c r="L418" s="87" t="str">
        <x:v>US 2011/0136801 A1</x:v>
      </x:c>
      <x:c r="M418" s="87" t="str">
        <x:v>DAINIPPON SUMITOMO PHARMA CO;;ASTRAZENECA AB</x:v>
      </x:c>
      <x:c r="N418" s="87" t="str">
        <x:v>DAINIPPON SUMITOMO PHARMA CO. LTD (2010-12-15);;ASTRAZENECA AKTIEBOLAG (2010-12-15)</x:v>
      </x:c>
      <x:c r="O418" s="87" t="str">
        <x:v>Novel Compounds</x:v>
      </x:c>
      <x:c r="P418" s="109" t="n">
        <x:v>25</x:v>
      </x:c>
      <x:c r="Q418" s="109" t="n">
        <x:v>7</x:v>
      </x:c>
      <x:c r="R418" s="87" t="str">
        <x:v>C07D471/04;;A61P11/00;;A61P11/02;;A61P11/06;;A61P17/00;;A61P27/02;;A61P31/00;;A61P31/04;;A61P31/12;;A61P31/14;;A61P31/18;;A61P31/20;;A61P35/00;;A61P37/02;;A61P37/08;;C07D471/04</x:v>
      </x:c>
      <x:c r="S418" s="87" t="str">
        <x:v>A61K31/4745;;A61K31/496;;A61K31/5377;;A61P11/06;;A61P17/00;;A61P31/04;;A61P31/12;;A61P31/14;;A61P31/18;;A61P31/20;;A61P35/00;;C07D471/04</x:v>
      </x:c>
      <x:c r="T418" s="87" t="str">
        <x:v>DISCONTINUED</x:v>
      </x:c>
      <x:c r="U418" s="87" t="str">
        <x:v>https://lens.org/177-893-134-917-43X</x:v>
      </x:c>
    </x:row>
    <x:row r="419">
      <x:c r="A419" s="87" t="str">
        <x:v>AstraZeneca_Lens_RAW_2009_2024.csv.csv</x:v>
      </x:c>
      <x:c r="B419" s="87" t="str">
        <x:v>AstraZeneca</x:v>
      </x:c>
      <x:c r="C419" s="87"/>
      <x:c r="D419" s="87" t="str">
        <x:v>Yes</x:v>
      </x:c>
      <x:c r="E419" s="87" t="str">
        <x:v>astrazeneca</x:v>
      </x:c>
      <x:c r="F419" s="87" t="str">
        <x:v>417</x:v>
      </x:c>
      <x:c r="G419" s="87" t="str">
        <x:v>128-586-568-489-551</x:v>
      </x:c>
      <x:c r="H419" s="110" t="n">
        <x:v>40130</x:v>
      </x:c>
      <x:c r="I419" s="88" t="n">
        <x:v>2009</x:v>
      </x:c>
      <x:c r="J419" s="87" t="str">
        <x:v>US</x:v>
      </x:c>
      <x:c r="K419" s="87" t="str">
        <x:v>A1</x:v>
      </x:c>
      <x:c r="L419" s="87" t="str">
        <x:v>US 2011/0118275 A1</x:v>
      </x:c>
      <x:c r="M419" s="87" t="str">
        <x:v>ASTRAZENECA AB</x:v>
      </x:c>
      <x:c r="N419" s="87" t="str">
        <x:v>ASTRAZENECA AB (2010-11-12)</x:v>
      </x:c>
      <x:c r="O419" s="87" t="str">
        <x:v>OXAZOLO[4,5-c]PYRIDINE SUBSTITUTED PYRAZINE</x:v>
      </x:c>
      <x:c r="P419" s="109" t="n">
        <x:v>0</x:v>
      </x:c>
      <x:c r="Q419" s="109" t="n">
        <x:v>5</x:v>
      </x:c>
      <x:c r="R419" s="87" t="str">
        <x:v>C07D498/04;;A61P3/10;;A61P19/00;;A61P19/08;;A61P19/10;;A61P23/00;;A61P25/00;;A61P25/16;;A61P25/18;;A61P25/28;;A61P27/00;;A61P29/00;;A61P35/00;;A61P35/02;;A61P35/04;;C07D498/04</x:v>
      </x:c>
      <x:c r="S419" s="87" t="str">
        <x:v>A61K31/497;;A61P3/10;;A61P19/08;;A61P19/10;;A61P25/00;;A61P25/16;;A61P25/18;;A61P25/28;;A61P27/00;;A61P29/00;;A61P35/02;;A61P35/04;;C07D498/04</x:v>
      </x:c>
      <x:c r="T419" s="87" t="str">
        <x:v>DISCONTINUED</x:v>
      </x:c>
      <x:c r="U419" s="87" t="str">
        <x:v>https://lens.org/128-586-568-489-551</x:v>
      </x:c>
    </x:row>
    <x:row r="420">
      <x:c r="A420" s="87" t="str">
        <x:v>AstraZeneca_Lens_RAW_2009_2024.csv.csv</x:v>
      </x:c>
      <x:c r="B420" s="87" t="str">
        <x:v>AstraZeneca</x:v>
      </x:c>
      <x:c r="C420" s="87"/>
      <x:c r="D420" s="87" t="str">
        <x:v>Yes</x:v>
      </x:c>
      <x:c r="E420" s="87" t="str">
        <x:v>astrazeneca</x:v>
      </x:c>
      <x:c r="F420" s="87" t="str">
        <x:v>418</x:v>
      </x:c>
      <x:c r="G420" s="87" t="str">
        <x:v>132-003-491-595-07X</x:v>
      </x:c>
      <x:c r="H420" s="110" t="n">
        <x:v>40106</x:v>
      </x:c>
      <x:c r="I420" s="88" t="n">
        <x:v>2009</x:v>
      </x:c>
      <x:c r="J420" s="87" t="str">
        <x:v>US</x:v>
      </x:c>
      <x:c r="K420" s="87" t="str">
        <x:v>A1</x:v>
      </x:c>
      <x:c r="L420" s="87" t="str">
        <x:v>US 2011/0092526 A1</x:v>
      </x:c>
      <x:c r="M420" s="87" t="str">
        <x:v>ASTRAZENECA AB</x:v>
      </x:c>
      <x:c r="N420" s="87" t="str">
        <x:v>ASTRAZENECA AB (2010-10-19);;ASTRAZENECA UK LIMITED (2010-10-19)</x:v>
      </x:c>
      <x:c r="O420" s="87" t="str">
        <x:v>Adamantyl Iminocarbonyl-Substituted Pyrimidines As Inhibitors Of 11-Beta-HSD1 826</x:v>
      </x:c>
      <x:c r="P420" s="109" t="n">
        <x:v>10</x:v>
      </x:c>
      <x:c r="Q420" s="109" t="n">
        <x:v>5</x:v>
      </x:c>
      <x:c r="R420" s="87" t="str">
        <x:v>C07D405/12;;A61P3/00;;C07D239/42;;C07D401/12;;C07D403/12;;C07D409/12;;C07D413/12;;C07D405/12;;C07D239/42;;C07D401/12;;C07D403/12;;C07D409/12;;C07D413/12</x:v>
      </x:c>
      <x:c r="S420" s="87" t="str">
        <x:v>A61K31/506;;A61K31/505;;A61P3/00;;C07D239/28;;C07D239/38;;C07D239/47</x:v>
      </x:c>
      <x:c r="T420" s="87" t="str">
        <x:v>DISCONTINUED</x:v>
      </x:c>
      <x:c r="U420" s="87" t="str">
        <x:v>https://lens.org/132-003-491-595-07X</x:v>
      </x:c>
    </x:row>
    <x:row r="421">
      <x:c r="A421" s="87" t="str">
        <x:v>AstraZeneca_Lens_RAW_2009_2024.csv.csv</x:v>
      </x:c>
      <x:c r="B421" s="87" t="str">
        <x:v>AstraZeneca</x:v>
      </x:c>
      <x:c r="C421" s="87"/>
      <x:c r="D421" s="87" t="str">
        <x:v>Yes</x:v>
      </x:c>
      <x:c r="E421" s="87" t="str">
        <x:v>astrazeneca</x:v>
      </x:c>
      <x:c r="F421" s="87" t="str">
        <x:v>419</x:v>
      </x:c>
      <x:c r="G421" s="87" t="str">
        <x:v>133-370-577-084-773</x:v>
      </x:c>
      <x:c r="H421" s="110" t="n">
        <x:v>40235</x:v>
      </x:c>
      <x:c r="I421" s="88" t="n">
        <x:v>2010</x:v>
      </x:c>
      <x:c r="J421" s="87" t="str">
        <x:v>US</x:v>
      </x:c>
      <x:c r="K421" s="87" t="str">
        <x:v>S</x:v>
      </x:c>
      <x:c r="L421" s="87" t="str">
        <x:v>US D0636070 S</x:v>
      </x:c>
      <x:c r="M421" s="87" t="str">
        <x:v>ASTRAZENECA AB</x:v>
      </x:c>
      <x:c r="N421" s="87" t="str">
        <x:v>ASTRAZENECA AB (2010-04-05)</x:v>
      </x:c>
      <x:c r="O421" s="87" t="str">
        <x:v>Tablet</x:v>
      </x:c>
      <x:c r="P421" s="109" t="n">
        <x:v>15</x:v>
      </x:c>
      <x:c r="Q421" s="109" t="n">
        <x:v>1</x:v>
      </x:c>
      <x:c r="R421" s="87" t="str"/>
      <x:c r="S421" s="87" t="str"/>
      <x:c r="T421" s="87" t="str">
        <x:v>EXPIRED</x:v>
      </x:c>
      <x:c r="U421" s="87" t="str">
        <x:v>https://lens.org/133-370-577-084-773</x:v>
      </x:c>
    </x:row>
    <x:row r="422">
      <x:c r="A422" s="87" t="str">
        <x:v>AstraZeneca_Lens_RAW_2009_2024.csv.csv</x:v>
      </x:c>
      <x:c r="B422" s="87" t="str">
        <x:v>AstraZeneca</x:v>
      </x:c>
      <x:c r="C422" s="87"/>
      <x:c r="D422" s="87" t="str">
        <x:v>Yes</x:v>
      </x:c>
      <x:c r="E422" s="87" t="str">
        <x:v>astrazeneca</x:v>
      </x:c>
      <x:c r="F422" s="87" t="str">
        <x:v>420</x:v>
      </x:c>
      <x:c r="G422" s="87" t="str">
        <x:v>091-639-931-778-418</x:v>
      </x:c>
      <x:c r="H422" s="110" t="n">
        <x:v>40067</x:v>
      </x:c>
      <x:c r="I422" s="88" t="n">
        <x:v>2009</x:v>
      </x:c>
      <x:c r="J422" s="87" t="str">
        <x:v>US</x:v>
      </x:c>
      <x:c r="K422" s="87" t="str">
        <x:v>A1</x:v>
      </x:c>
      <x:c r="L422" s="87" t="str">
        <x:v>US 2011/0065706 A1</x:v>
      </x:c>
      <x:c r="M422" s="87" t="str">
        <x:v>ASTRAZENECA AB</x:v>
      </x:c>
      <x:c r="N422" s="87" t="str">
        <x:v>ASTRAZENECA AB (2010-09-10);;ASTRAZENECA UK LIMITED (2010-09-10)</x:v>
      </x:c>
      <x:c r="O422" s="87" t="str">
        <x:v>Therapeutic Agents 812</x:v>
      </x:c>
      <x:c r="P422" s="109" t="n">
        <x:v>17</x:v>
      </x:c>
      <x:c r="Q422" s="109" t="n">
        <x:v>5</x:v>
      </x:c>
      <x:c r="R422" s="87" t="str">
        <x:v>C07D239/47;;A61P3/04;;A61P3/10;;C07D401/12;;C07D401/14;;C07D403/04;;C07D403/12;;C07D403/14;;C07D405/12;;C07D405/14;;C07D413/12;;C07D413/14;;C07D471/08;;C07D487/08;;C07D239/47;;C07D401/12;;C07D401/14;;C07D403/04;;C07D403/12;;C07D403/14;;C07D405/12;;C07D405/14;;C07D413/12;;C07D413/14;;C07D471/08;;C07D487/08</x:v>
      </x:c>
      <x:c r="S422" s="87" t="str">
        <x:v>A61K31/5377;;A61K31/506;;A61P3/04;;A61P3/10;;C07D401/14;;C07D403/04;;C07D403/14;;C07D405/14;;C07D413/14;;C07D487/08</x:v>
      </x:c>
      <x:c r="T422" s="87" t="str">
        <x:v>DISCONTINUED</x:v>
      </x:c>
      <x:c r="U422" s="87" t="str">
        <x:v>https://lens.org/091-639-931-778-418</x:v>
      </x:c>
    </x:row>
    <x:row r="423">
      <x:c r="A423" s="87" t="str">
        <x:v>AstraZeneca_Lens_RAW_2009_2024.csv.csv</x:v>
      </x:c>
      <x:c r="B423" s="87" t="str">
        <x:v>AstraZeneca</x:v>
      </x:c>
      <x:c r="C423" s="87"/>
      <x:c r="D423" s="87" t="str">
        <x:v>Yes</x:v>
      </x:c>
      <x:c r="E423" s="87" t="str">
        <x:v>astrazeneca</x:v>
      </x:c>
      <x:c r="F423" s="87" t="str">
        <x:v>421</x:v>
      </x:c>
      <x:c r="G423" s="87" t="str">
        <x:v>184-729-653-831-047</x:v>
      </x:c>
      <x:c r="H423" s="110" t="n">
        <x:v>40009</x:v>
      </x:c>
      <x:c r="I423" s="88" t="n">
        <x:v>2009</x:v>
      </x:c>
      <x:c r="J423" s="87" t="str">
        <x:v>US</x:v>
      </x:c>
      <x:c r="K423" s="87" t="str">
        <x:v>A1</x:v>
      </x:c>
      <x:c r="L423" s="87" t="str">
        <x:v>US 2011/0015393 A1</x:v>
      </x:c>
      <x:c r="M423" s="87" t="str">
        <x:v>ASTRAZENECA AB</x:v>
      </x:c>
      <x:c r="N423" s="87" t="str">
        <x:v>ASTRAZENECA AB (2010-06-23);;ASTRAZENECA UK LIMITED (2010-06-23)</x:v>
      </x:c>
      <x:c r="O423" s="87" t="str">
        <x:v>PHTHALAZINONE COMPOUND</x:v>
      </x:c>
      <x:c r="P423" s="109" t="n">
        <x:v>2</x:v>
      </x:c>
      <x:c r="Q423" s="109" t="n">
        <x:v>5</x:v>
      </x:c>
      <x:c r="R423" s="87" t="str">
        <x:v>C07D401/10;;A61P35/00;;C07D401/10</x:v>
      </x:c>
      <x:c r="S423" s="87" t="str">
        <x:v>C07D401/10</x:v>
      </x:c>
      <x:c r="T423" s="87" t="str">
        <x:v>DISCONTINUED</x:v>
      </x:c>
      <x:c r="U423" s="87" t="str">
        <x:v>https://lens.org/184-729-653-831-047</x:v>
      </x:c>
    </x:row>
    <x:row r="424">
      <x:c r="A424" s="87" t="str">
        <x:v>AstraZeneca_Lens_RAW_2009_2024.csv.csv</x:v>
      </x:c>
      <x:c r="B424" s="87" t="str">
        <x:v>AstraZeneca</x:v>
      </x:c>
      <x:c r="C424" s="87"/>
      <x:c r="D424" s="87" t="str">
        <x:v>Yes</x:v>
      </x:c>
      <x:c r="E424" s="87" t="str">
        <x:v>astrazeneca</x:v>
      </x:c>
      <x:c r="F424" s="87" t="str">
        <x:v>422</x:v>
      </x:c>
      <x:c r="G424" s="87" t="str">
        <x:v>007-926-630-983-050</x:v>
      </x:c>
      <x:c r="H424" s="110" t="n">
        <x:v>39989</x:v>
      </x:c>
      <x:c r="I424" s="88" t="n">
        <x:v>2009</x:v>
      </x:c>
      <x:c r="J424" s="87" t="str">
        <x:v>US</x:v>
      </x:c>
      <x:c r="K424" s="87" t="str">
        <x:v>A1</x:v>
      </x:c>
      <x:c r="L424" s="87" t="str">
        <x:v>US 2010/0330179 A1</x:v>
      </x:c>
      <x:c r="M424" s="87" t="str">
        <x:v>ASTRAZENECA AB;;POZEN INC</x:v>
      </x:c>
      <x:c r="N424" s="87" t="str">
        <x:v>ASTRAZENECA PLP (2011-10-18);;NUVO PHARMACEUTICALS (IRELAND) DESIGNATED ACTIVITY COMPANY (2018-12-31);;POZEN INC (2011-12-14);;HORIZON MEDICINES LLC (2018-07-15);;ASTRAZENECA AB (2011-12-14);;ASTRAZENECA UK LIMITED (2011-12-09);;HORIZON THERAPEUTICS USA INC (2019-09-16)</x:v>
      </x:c>
      <x:c r="O424" s="87" t="str">
        <x:v>Method for Treating a Patient at Risk for Developing an NSAID-associated Ulcer</x:v>
      </x:c>
      <x:c r="P424" s="109" t="n">
        <x:v>8</x:v>
      </x:c>
      <x:c r="Q424" s="109" t="n">
        <x:v>18</x:v>
      </x:c>
      <x:c r="R424" s="87" t="str">
        <x:v>A61K9/209;;A61K45/06;;A61K31/192;;A61K31/4439;;A61P1/04;;A61P19/02;;A61P25/04;;A61P29/00;;A61P43/00;;A61K31/4439;;A61K9/209;;A61K31/192;;A61K9/209;;A61K45/06;;A61K31/192;;A61K31/4439;;A61K9/0053</x:v>
      </x:c>
      <x:c r="S424" s="87" t="str">
        <x:v>A61K9/24;;A61K9/30;;A61K9/36;;A61K31/4439;;A61P1/04;;A61P19/02;;A61P29/00</x:v>
      </x:c>
      <x:c r="T424" s="87" t="str">
        <x:v>ACTIVE</x:v>
      </x:c>
      <x:c r="U424" s="87" t="str">
        <x:v>https://lens.org/007-926-630-983-050</x:v>
      </x:c>
    </x:row>
    <x:row r="425">
      <x:c r="A425" s="87" t="str">
        <x:v>AstraZeneca_Lens_RAW_2009_2024.csv.csv</x:v>
      </x:c>
      <x:c r="B425" s="87" t="str">
        <x:v>AstraZeneca</x:v>
      </x:c>
      <x:c r="C425" s="87"/>
      <x:c r="D425" s="87" t="str">
        <x:v>Yes</x:v>
      </x:c>
      <x:c r="E425" s="87" t="str">
        <x:v>astrazeneca</x:v>
      </x:c>
      <x:c r="F425" s="87" t="str">
        <x:v>423</x:v>
      </x:c>
      <x:c r="G425" s="87" t="str">
        <x:v>042-738-397-979-768</x:v>
      </x:c>
      <x:c r="H425" s="110" t="n">
        <x:v>39976</x:v>
      </x:c>
      <x:c r="I425" s="88" t="n">
        <x:v>2009</x:v>
      </x:c>
      <x:c r="J425" s="87" t="str">
        <x:v>US</x:v>
      </x:c>
      <x:c r="K425" s="87" t="str">
        <x:v>A1</x:v>
      </x:c>
      <x:c r="L425" s="87" t="str">
        <x:v>US 2010/0317593 A1</x:v>
      </x:c>
      <x:c r="M425" s="87" t="str">
        <x:v>ASTRAZENECA AB</x:v>
      </x:c>
      <x:c r="N425" s="87" t="str">
        <x:v>ASTRAZENECA PHARMACEUTICALS LP (2010-07-28);;ASTRAZENECA AB (2010-07-28)</x:v>
      </x:c>
      <x:c r="O425" s="87" t="str">
        <x:v>2,3-DIHYDRO-1H-INDENE COMPOUNDS</x:v>
      </x:c>
      <x:c r="P425" s="109" t="n">
        <x:v>1</x:v>
      </x:c>
      <x:c r="Q425" s="109" t="n">
        <x:v>11</x:v>
      </x:c>
      <x:c r="R425" s="87" t="str">
        <x:v>C07D403/12;;A61P35/00;;A61P35/02;;A61P43/00;;C07D403/12;;A61K31/4025;;C07D403/12</x:v>
      </x:c>
      <x:c r="S425" s="87" t="str">
        <x:v>A61K38/06;;A61P35/00;;A61P35/02;;C07K7/02</x:v>
      </x:c>
      <x:c r="T425" s="87" t="str">
        <x:v>DISCONTINUED</x:v>
      </x:c>
      <x:c r="U425" s="87" t="str">
        <x:v>https://lens.org/042-738-397-979-768</x:v>
      </x:c>
    </x:row>
    <x:row r="426">
      <x:c r="A426" s="87" t="str">
        <x:v>AstraZeneca_Lens_RAW_2009_2024.csv.csv</x:v>
      </x:c>
      <x:c r="B426" s="87" t="str">
        <x:v>AstraZeneca</x:v>
      </x:c>
      <x:c r="C426" s="87"/>
      <x:c r="D426" s="87" t="str">
        <x:v>Yes</x:v>
      </x:c>
      <x:c r="E426" s="87" t="str">
        <x:v>astrazeneca</x:v>
      </x:c>
      <x:c r="F426" s="87" t="str">
        <x:v>424</x:v>
      </x:c>
      <x:c r="G426" s="87" t="str">
        <x:v>097-767-781-221-255</x:v>
      </x:c>
      <x:c r="H426" s="110" t="n">
        <x:v>39972</x:v>
      </x:c>
      <x:c r="I426" s="88" t="n">
        <x:v>2009</x:v>
      </x:c>
      <x:c r="J426" s="87" t="str">
        <x:v>US</x:v>
      </x:c>
      <x:c r="K426" s="87" t="str">
        <x:v>A1</x:v>
      </x:c>
      <x:c r="L426" s="87" t="str">
        <x:v>US 2010/0317624 A1</x:v>
      </x:c>
      <x:c r="M426" s="87" t="str">
        <x:v>ASTRAZENECA AB</x:v>
      </x:c>
      <x:c r="N426" s="87" t="str">
        <x:v>ASTRAZENECA AB (2010-06-07);;ASTRAZENECA PHARMACEUTICALS (2010-07-06)</x:v>
      </x:c>
      <x:c r="O426" s="87" t="str">
        <x:v>HETEROCYCLIC UREA DERIVATIVES AND METHODS OF USE THEREOF</x:v>
      </x:c>
      <x:c r="P426" s="109" t="n">
        <x:v>3</x:v>
      </x:c>
      <x:c r="Q426" s="109" t="n">
        <x:v>5</x:v>
      </x:c>
      <x:c r="R426" s="87" t="str">
        <x:v>C07D417/14;;A61P31/04;;C07D417/14</x:v>
      </x:c>
      <x:c r="S426" s="87" t="str">
        <x:v>A61K31/675;;A61K31/4709;;A61K31/496;;A61K31/4995;;A61K31/5377;;A61P31/04;;C07D417/14;;C07D487/08;;C07F9/6558</x:v>
      </x:c>
      <x:c r="T426" s="87" t="str">
        <x:v>DISCONTINUED</x:v>
      </x:c>
      <x:c r="U426" s="87" t="str">
        <x:v>https://lens.org/097-767-781-221-255</x:v>
      </x:c>
    </x:row>
    <x:row r="427">
      <x:c r="A427" s="87" t="str">
        <x:v>AstraZeneca_Lens_RAW_2009_2024.csv.csv</x:v>
      </x:c>
      <x:c r="B427" s="87" t="str">
        <x:v>AstraZeneca</x:v>
      </x:c>
      <x:c r="C427" s="87"/>
      <x:c r="D427" s="87" t="str">
        <x:v>Yes</x:v>
      </x:c>
      <x:c r="E427" s="87" t="str">
        <x:v>astrazeneca</x:v>
      </x:c>
      <x:c r="F427" s="87" t="str">
        <x:v>425</x:v>
      </x:c>
      <x:c r="G427" s="87" t="str">
        <x:v>123-447-504-675-53X</x:v>
      </x:c>
      <x:c r="H427" s="110" t="n">
        <x:v>39947</x:v>
      </x:c>
      <x:c r="I427" s="88" t="n">
        <x:v>2009</x:v>
      </x:c>
      <x:c r="J427" s="87" t="str">
        <x:v>US</x:v>
      </x:c>
      <x:c r="K427" s="87" t="str">
        <x:v>A1</x:v>
      </x:c>
      <x:c r="L427" s="87" t="str">
        <x:v>US 2010/0292279 A1</x:v>
      </x:c>
      <x:c r="M427" s="87" t="str">
        <x:v>ASTRAZENECA AB</x:v>
      </x:c>
      <x:c r="N427" s="87" t="str">
        <x:v>ASTRAZENECA AB (2010-05-03)</x:v>
      </x:c>
      <x:c r="O427" s="87" t="str">
        <x:v>Bis-(Sulfonylamino) Derivatives in Therapy</x:v>
      </x:c>
      <x:c r="P427" s="109" t="n">
        <x:v>9</x:v>
      </x:c>
      <x:c r="Q427" s="109" t="n">
        <x:v>5</x:v>
      </x:c>
      <x:c r="R427" s="87" t="str">
        <x:v>C07D307/80;;A61P9/10;;A61P19/02;;A61P25/00;;A61P25/02;;A61P25/28;;A61P29/00;;A61P35/00;;C07C311/51;;C07C2601/02;;C07C2601/08;;C07D207/10;;C07D213/82;;C07D307/79;;C07D307/80;;C07C311/51;;C07C2601/02;;C07C2601/08;;C07D207/10;;C07D213/82;;C07D307/79</x:v>
      </x:c>
      <x:c r="S427" s="87" t="str">
        <x:v>A61K31/44;;A61K31/18;;A61K31/343;;A61K31/40;;A61P9/10;;A61P19/02;;A61P25/00;;A61P25/02;;A61P25/28;;A61P29/00;;A61P35/00;;C07C311/16;;C07D207/04;;C07D213/81;;C07D307/78</x:v>
      </x:c>
      <x:c r="T427" s="87" t="str">
        <x:v>DISCONTINUED</x:v>
      </x:c>
      <x:c r="U427" s="87" t="str">
        <x:v>https://lens.org/123-447-504-675-53X</x:v>
      </x:c>
    </x:row>
    <x:row r="428">
      <x:c r="A428" s="87" t="str">
        <x:v>AstraZeneca_Lens_RAW_2009_2024.csv.csv</x:v>
      </x:c>
      <x:c r="B428" s="87" t="str">
        <x:v>AstraZeneca</x:v>
      </x:c>
      <x:c r="C428" s="87"/>
      <x:c r="D428" s="87" t="str">
        <x:v>Yes</x:v>
      </x:c>
      <x:c r="E428" s="87" t="str">
        <x:v>astrazeneca</x:v>
      </x:c>
      <x:c r="F428" s="87" t="str">
        <x:v>426</x:v>
      </x:c>
      <x:c r="G428" s="87" t="str">
        <x:v>002-016-633-867-720</x:v>
      </x:c>
      <x:c r="H428" s="110" t="n">
        <x:v>39945</x:v>
      </x:c>
      <x:c r="I428" s="88" t="n">
        <x:v>2009</x:v>
      </x:c>
      <x:c r="J428" s="87" t="str">
        <x:v>US</x:v>
      </x:c>
      <x:c r="K428" s="87" t="str">
        <x:v>A1</x:v>
      </x:c>
      <x:c r="L428" s="87" t="str">
        <x:v>US 2010/0292210 A1</x:v>
      </x:c>
      <x:c r="M428" s="87" t="str">
        <x:v>ASTRAZENECA AB</x:v>
      </x:c>
      <x:c r="N428" s="87" t="str">
        <x:v>ASTRAZENECA AB (2010-05-07)</x:v>
      </x:c>
      <x:c r="O428" s="87" t="str">
        <x:v>Novel Compounds for A-Beta-Related Pathologies</x:v>
      </x:c>
      <x:c r="P428" s="109" t="n">
        <x:v>5</x:v>
      </x:c>
      <x:c r="Q428" s="109" t="n">
        <x:v>5</x:v>
      </x:c>
      <x:c r="R428" s="87" t="str">
        <x:v>C07D498/04;;A61P25/16;;A61P25/28;;C07D471/04;;C07D498/04;;C07D471/04</x:v>
      </x:c>
      <x:c r="S428" s="87" t="str">
        <x:v>A61K31/553;;A61P25/28;;C07D267/08</x:v>
      </x:c>
      <x:c r="T428" s="87" t="str">
        <x:v>DISCONTINUED</x:v>
      </x:c>
      <x:c r="U428" s="87" t="str">
        <x:v>https://lens.org/002-016-633-867-720</x:v>
      </x:c>
    </x:row>
    <x:row r="429">
      <x:c r="A429" s="87" t="str">
        <x:v>AstraZeneca_Lens_RAW_2009_2024.csv.csv</x:v>
      </x:c>
      <x:c r="B429" s="87" t="str">
        <x:v>AstraZeneca</x:v>
      </x:c>
      <x:c r="C429" s="87"/>
      <x:c r="D429" s="87" t="str">
        <x:v>Yes</x:v>
      </x:c>
      <x:c r="E429" s="87" t="str">
        <x:v>astrazeneca</x:v>
      </x:c>
      <x:c r="F429" s="87" t="str">
        <x:v>427</x:v>
      </x:c>
      <x:c r="G429" s="87" t="str">
        <x:v>123-722-699-887-930</x:v>
      </x:c>
      <x:c r="H429" s="110" t="n">
        <x:v>39944</x:v>
      </x:c>
      <x:c r="I429" s="88" t="n">
        <x:v>2009</x:v>
      </x:c>
      <x:c r="J429" s="87" t="str">
        <x:v>US</x:v>
      </x:c>
      <x:c r="K429" s="87" t="str">
        <x:v>A1</x:v>
      </x:c>
      <x:c r="L429" s="87" t="str">
        <x:v>US 2010/0292222 A1</x:v>
      </x:c>
      <x:c r="M429" s="87" t="str">
        <x:v>ASTRAZENECA AB</x:v>
      </x:c>
      <x:c r="N429" s="87" t="str">
        <x:v>ASTRAZENECA AB (2010-05-10)</x:v>
      </x:c>
      <x:c r="O429" s="87" t="str">
        <x:v>CHEMICAL COMPOUNDS 751</x:v>
      </x:c>
      <x:c r="P429" s="109" t="n">
        <x:v>7</x:v>
      </x:c>
      <x:c r="Q429" s="109" t="n">
        <x:v>25</x:v>
      </x:c>
      <x:c r="R429" s="87" t="str">
        <x:v>C07D487/04;;A61P1/00;;A61P1/02;;A61P3/00;;A61P3/04;;A61P3/06;;A61P5/00;;A61P5/28;;A61P5/48;;A61P7/00;;A61P7/04;;A61P9/00;;A61P9/04;;A61P11/00;;A61P13/02;;A61P13/08;;A61P15/08;;A61P15/16;;A61P15/18;;A61P17/02;;A61P17/08;;A61P17/10;;A61P17/14;;A61P19/00;;A61P19/02;;A61P25/18;;A61P25/24;;A61P25/28;;A61P35/00;;A61P43/00;;C07D487/04;;A61K31/5025;;C07D403/14;;C07D487/04</x:v>
      </x:c>
      <x:c r="S429" s="87" t="str">
        <x:v>A61K31/551;;A61K31/5025;;A61P35/00;;C07D243/08;;C07D487/04</x:v>
      </x:c>
      <x:c r="T429" s="87" t="str">
        <x:v>DISCONTINUED</x:v>
      </x:c>
      <x:c r="U429" s="87" t="str">
        <x:v>https://lens.org/123-722-699-887-930</x:v>
      </x:c>
    </x:row>
    <x:row r="430">
      <x:c r="A430" s="87" t="str">
        <x:v>AstraZeneca_Lens_RAW_2009_2024.csv.csv</x:v>
      </x:c>
      <x:c r="B430" s="87" t="str">
        <x:v>AstraZeneca</x:v>
      </x:c>
      <x:c r="C430" s="87"/>
      <x:c r="D430" s="87" t="str">
        <x:v>Yes</x:v>
      </x:c>
      <x:c r="E430" s="87" t="str">
        <x:v>astrazeneca</x:v>
      </x:c>
      <x:c r="F430" s="87" t="str">
        <x:v>428</x:v>
      </x:c>
      <x:c r="G430" s="87" t="str">
        <x:v>022-464-715-657-65X</x:v>
      </x:c>
      <x:c r="H430" s="110" t="n">
        <x:v>39882</x:v>
      </x:c>
      <x:c r="I430" s="88" t="n">
        <x:v>2009</x:v>
      </x:c>
      <x:c r="J430" s="87" t="str">
        <x:v>US</x:v>
      </x:c>
      <x:c r="K430" s="87" t="str">
        <x:v>A1</x:v>
      </x:c>
      <x:c r="L430" s="87" t="str">
        <x:v>US 2010/0278835 A1</x:v>
      </x:c>
      <x:c r="M430" s="87" t="str">
        <x:v>ASTRAZENECA UK LTD;;ARROW THERAPEUTICS LTD</x:v>
      </x:c>
      <x:c r="N430" s="87" t="str">
        <x:v>ASTRAZENECA UK LIMITED (2010-03-19);;ARROW THERAPEUTICS LIMITED (2010-03-19)</x:v>
      </x:c>
      <x:c r="O430" s="87" t="str">
        <x:v>NOVEL COMPOUNDS 660</x:v>
      </x:c>
      <x:c r="P430" s="109" t="n">
        <x:v>2</x:v>
      </x:c>
      <x:c r="Q430" s="109" t="n">
        <x:v>5</x:v>
      </x:c>
      <x:c r="R430" s="87" t="str">
        <x:v>C07D403/06;;A61P11/00;;A61P31/12;;A61P31/14;;C07D471/04;;C07D403/06;;C07D471/04</x:v>
      </x:c>
      <x:c r="S430" s="87" t="str">
        <x:v>A61K31/519;;A61K31/517;;A61K39/42;;A61P11/00;;A61P31/14;;C07D403/06;;C07D471/04</x:v>
      </x:c>
      <x:c r="T430" s="87" t="str">
        <x:v>DISCONTINUED</x:v>
      </x:c>
      <x:c r="U430" s="87" t="str">
        <x:v>https://lens.org/022-464-715-657-65X</x:v>
      </x:c>
    </x:row>
    <x:row r="431">
      <x:c r="A431" s="87" t="str">
        <x:v>AstraZeneca_Lens_RAW_2009_2024.csv.csv</x:v>
      </x:c>
      <x:c r="B431" s="87" t="str">
        <x:v>AstraZeneca</x:v>
      </x:c>
      <x:c r="C431" s="87"/>
      <x:c r="D431" s="87" t="str">
        <x:v>Yes</x:v>
      </x:c>
      <x:c r="E431" s="87" t="str">
        <x:v>astrazeneca</x:v>
      </x:c>
      <x:c r="F431" s="87" t="str">
        <x:v>429</x:v>
      </x:c>
      <x:c r="G431" s="87" t="str">
        <x:v>056-806-418-651-973</x:v>
      </x:c>
      <x:c r="H431" s="110" t="n">
        <x:v>39926</x:v>
      </x:c>
      <x:c r="I431" s="88" t="n">
        <x:v>2009</x:v>
      </x:c>
      <x:c r="J431" s="87" t="str">
        <x:v>US</x:v>
      </x:c>
      <x:c r="K431" s="87" t="str">
        <x:v>A1</x:v>
      </x:c>
      <x:c r="L431" s="87" t="str">
        <x:v>US 2010/0273805 A1</x:v>
      </x:c>
      <x:c r="M431" s="87" t="str">
        <x:v>ASTRAZENECA AB</x:v>
      </x:c>
      <x:c r="N431" s="87" t="str">
        <x:v>ASTRAZENECA AB (2010-04-09)</x:v>
      </x:c>
      <x:c r="O431" s="87" t="str">
        <x:v>SULPHIDE BRIDGED DERIVATIVES AS MODULATORS OF MGLUR5 733</x:v>
      </x:c>
      <x:c r="P431" s="109" t="n">
        <x:v>0</x:v>
      </x:c>
      <x:c r="Q431" s="109" t="n">
        <x:v>5</x:v>
      </x:c>
      <x:c r="R431" s="87" t="str">
        <x:v>C07D401/14;;A61K31/341;;A61K31/417;;A61K31/4439;;A61K31/501;;A61K45/06;;A61P1/00;;A61P1/04;;A61P25/00;;A61P25/22;;A61P29/00;;C07D403/14;;C07D413/14;;C07D401/14;;A61K31/341;;A61K31/417;;A61K31/4439;;A61K31/501;;A61K45/06;;C07D403/14;;C07D413/14</x:v>
      </x:c>
      <x:c r="S431" s="87" t="str">
        <x:v>A61K31/501;;A61K31/4439;;A61P1/04;;A61P25/22;;A61P29/00;;C07D401/14;;C07D413/14</x:v>
      </x:c>
      <x:c r="T431" s="87" t="str">
        <x:v>DISCONTINUED</x:v>
      </x:c>
      <x:c r="U431" s="87" t="str">
        <x:v>https://lens.org/056-806-418-651-973</x:v>
      </x:c>
    </x:row>
    <x:row r="432">
      <x:c r="A432" s="87" t="str">
        <x:v>Chinook Therapeutics.csv</x:v>
      </x:c>
      <x:c r="B432" s="87" t="str">
        <x:v>Chinook Therapeutics / Aduro BioTech</x:v>
      </x:c>
      <x:c r="C432" s="87" t="str">
        <x:v>TRT-0028</x:v>
      </x:c>
      <x:c r="D432" s="87" t="str">
        <x:v>Yes</x:v>
      </x:c>
      <x:c r="E432" s="87" t="str">
        <x:v>chinook therapeutics</x:v>
      </x:c>
      <x:c r="F432" s="87" t="str">
        <x:v>1</x:v>
      </x:c>
      <x:c r="G432" s="87" t="str">
        <x:v>075-842-016-404-483</x:v>
      </x:c>
      <x:c r="H432" s="110" t="n">
        <x:v>43816</x:v>
      </x:c>
      <x:c r="I432" s="88" t="n">
        <x:v>2019</x:v>
      </x:c>
      <x:c r="J432" s="87" t="str">
        <x:v>EP</x:v>
      </x:c>
      <x:c r="K432" s="87" t="str">
        <x:v>B1</x:v>
      </x:c>
      <x:c r="L432" s="87" t="str">
        <x:v>EP 4076652 B1</x:v>
      </x:c>
      <x:c r="M432" s="87" t="str">
        <x:v>CHINOOK THERAPEUTICS INC</x:v>
      </x:c>
      <x:c r="N432" s="87" t="str">
        <x:v>CHINOOK THERAPEUTICS, INC. (2025-12-03)</x:v>
      </x:c>
      <x:c r="O432" s="87" t="str">
        <x:v>A PHARMACEUTICALLY ACCEPTABLE SALT OF ATRASENTAN FOR USE IN A METHOD OF TREATING IGA NEPHROPATHY</x:v>
      </x:c>
      <x:c r="P432" s="109" t="n">
        <x:v>0</x:v>
      </x:c>
      <x:c r="Q432" s="109" t="n">
        <x:v>52</x:v>
      </x:c>
      <x:c r="R432" s="87" t="str">
        <x:v>A61K31/4025;;A61P31/12;;A61P7/12;;A61P13/12;;A61K45/06;;A61K31/4025;;A61K31/70;;A61K31/4025;;A61K2300/00;;A61P13/12;;A61K31/41;;A61K45/06;;A61P7/12;;A61K31/7042;;A61K31/472;;A61K31/4025;;A61P13/12;;A61P7/12;;A61K2300/00;;A61P13/12;;A61K31/4025;;A61K45/06;;A61K31/472;;A61K31/7042;;A61K31/41;;A61P7/12;;C07D405/04</x:v>
      </x:c>
      <x:c r="S432" s="87" t="str">
        <x:v>A61K31/4025;;A61K31/70;;A61K45/06;;A61P7/12;;A61P13/12</x:v>
      </x:c>
      <x:c r="T432" s="87" t="str">
        <x:v>ACTIVE</x:v>
      </x:c>
      <x:c r="U432" s="87" t="str">
        <x:v>https://lens.org/075-842-016-404-483</x:v>
      </x:c>
    </x:row>
    <x:row r="433">
      <x:c r="A433" s="87" t="str">
        <x:v>Chinook Therapeutics.csv</x:v>
      </x:c>
      <x:c r="B433" s="87" t="str">
        <x:v>Chinook Therapeutics / Aduro BioTech</x:v>
      </x:c>
      <x:c r="C433" s="87" t="str">
        <x:v>TRT-0028</x:v>
      </x:c>
      <x:c r="D433" s="87" t="str">
        <x:v>Yes</x:v>
      </x:c>
      <x:c r="E433" s="87" t="str">
        <x:v>chinook therapeutics</x:v>
      </x:c>
      <x:c r="F433" s="87" t="str">
        <x:v>3</x:v>
      </x:c>
      <x:c r="G433" s="87" t="str">
        <x:v>165-424-737-274-499</x:v>
      </x:c>
      <x:c r="H433" s="110" t="n">
        <x:v>43969</x:v>
      </x:c>
      <x:c r="I433" s="88" t="n">
        <x:v>2020</x:v>
      </x:c>
      <x:c r="J433" s="87" t="str">
        <x:v>US</x:v>
      </x:c>
      <x:c r="K433" s="87" t="str">
        <x:v>A1</x:v>
      </x:c>
      <x:c r="L433" s="87" t="str">
        <x:v>US 2025/0205203 A1</x:v>
      </x:c>
      <x:c r="M433" s="87" t="str">
        <x:v>CHINOOK THERAPEUTICS CANADA INC</x:v>
      </x:c>
      <x:c r="N433" s="87" t="str">
        <x:v>NOVARTIS PHARMA AG (2024-08-12);;CHINOOK THERAPEUTICS CANADA INC (2021-07-08)</x:v>
      </x:c>
      <x:c r="O433" s="87" t="str">
        <x:v>SUBSTITUTED PYRAZOLYL COMPOUNDS AND METHODS OF USE THEREOF</x:v>
      </x:c>
      <x:c r="P433" s="109" t="n">
        <x:v>1</x:v>
      </x:c>
      <x:c r="Q433" s="109" t="n">
        <x:v>4</x:v>
      </x:c>
      <x:c r="R433" s="87" t="str">
        <x:v>C07D413/04;;A61K31/427;;A61K45/06;;A61P7/00;;A61P13/04;;A61P13/12;;C07D417/04;;C07D417/14;;A61K31/427;;A61K31/36;;A61K31/422;;A61K31/4415;;A61K31/7105;;A61K35/74;;A61K38/51;;C07D417/04;;C07D417/14</x:v>
      </x:c>
      <x:c r="S433" s="87" t="str">
        <x:v>A61K31/427;;A61K31/36;;A61K31/422;;A61K31/4415;;A61K31/7105;;A61K35/74;;A61K38/51;;C07D417/04;;C07D417/14</x:v>
      </x:c>
      <x:c r="T433" s="87" t="str">
        <x:v>DISCONTINUED</x:v>
      </x:c>
      <x:c r="U433" s="87" t="str">
        <x:v>https://lens.org/165-424-737-274-499</x:v>
      </x:c>
    </x:row>
    <x:row r="434">
      <x:c r="A434" s="87" t="str">
        <x:v>Chinook Therapeutics.csv</x:v>
      </x:c>
      <x:c r="B434" s="87" t="str">
        <x:v>Chinook Therapeutics / Aduro BioTech</x:v>
      </x:c>
      <x:c r="C434" s="87" t="str">
        <x:v>TRT-0028</x:v>
      </x:c>
      <x:c r="D434" s="87" t="str">
        <x:v>Yes</x:v>
      </x:c>
      <x:c r="E434" s="87" t="str">
        <x:v>chinook therapeutics</x:v>
      </x:c>
      <x:c r="F434" s="87" t="str">
        <x:v>4</x:v>
      </x:c>
      <x:c r="G434" s="87" t="str">
        <x:v>088-195-841-595-770</x:v>
      </x:c>
      <x:c r="H434" s="110" t="n">
        <x:v>44872</x:v>
      </x:c>
      <x:c r="I434" s="88" t="n">
        <x:v>2022</x:v>
      </x:c>
      <x:c r="J434" s="87" t="str">
        <x:v>AU</x:v>
      </x:c>
      <x:c r="K434" s="87" t="str">
        <x:v>A1</x:v>
      </x:c>
      <x:c r="L434" s="87" t="str">
        <x:v>AU 2023/378052 A1</x:v>
      </x:c>
      <x:c r="M434" s="87" t="str">
        <x:v>CHINOOK THERAPEUTICS INC</x:v>
      </x:c>
      <x:c r="N434" s="87" t="str">
        <x:v>CHINOOK THERAPEUTICS, INC. (2025-10-23)</x:v>
      </x:c>
      <x:c r="O434" s="87" t="str">
        <x:v>COMBINATION OF ENDOTHELIN RECEPTOR ANTAGONIST AND GLUCOCORTICOID FOR TREATING IGA NEPHROPATHY</x:v>
      </x:c>
      <x:c r="P434" s="109" t="n">
        <x:v>0</x:v>
      </x:c>
      <x:c r="Q434" s="109" t="n">
        <x:v>9</x:v>
      </x:c>
      <x:c r="R434" s="87" t="str">
        <x:v>A61P13/12;;A61K31/4025;;A61K31/422;;A61K31/505;;A61K31/506;;A61K31/513;;A61K31/573;;A61K31/58;;A61K45/06;;A61K31/4025;;A61K31/573;;A61K45/06;;A61P13/12;;A61K31/4025;;A61K31/351;;A61K31/573;;A61K31/58;;A61K45/06;;A61K2300/00;;A61P13/12</x:v>
      </x:c>
      <x:c r="S434" s="87" t="str">
        <x:v>A61K45/06;;A61K31/4025;;A61K31/573;;A61P13/12</x:v>
      </x:c>
      <x:c r="T434" s="87" t="str">
        <x:v>PENDING</x:v>
      </x:c>
      <x:c r="U434" s="87" t="str">
        <x:v>https://lens.org/088-195-841-595-770</x:v>
      </x:c>
    </x:row>
    <x:row r="435">
      <x:c r="A435" s="87" t="str">
        <x:v>Chinook Therapeutics.csv</x:v>
      </x:c>
      <x:c r="B435" s="87" t="str">
        <x:v>Chinook Therapeutics / Aduro BioTech</x:v>
      </x:c>
      <x:c r="C435" s="87" t="str">
        <x:v>TRT-0028</x:v>
      </x:c>
      <x:c r="D435" s="87" t="str">
        <x:v>Yes</x:v>
      </x:c>
      <x:c r="E435" s="87" t="str">
        <x:v>chinook therapeutics</x:v>
      </x:c>
      <x:c r="F435" s="87" t="str">
        <x:v>9</x:v>
      </x:c>
      <x:c r="G435" s="87" t="str">
        <x:v>090-911-470-316-344</x:v>
      </x:c>
      <x:c r="H435" s="110" t="n">
        <x:v>44350</x:v>
      </x:c>
      <x:c r="I435" s="88" t="n">
        <x:v>2021</x:v>
      </x:c>
      <x:c r="J435" s="87" t="str">
        <x:v>US</x:v>
      </x:c>
      <x:c r="K435" s="87" t="str">
        <x:v>A1</x:v>
      </x:c>
      <x:c r="L435" s="87" t="str">
        <x:v>US 2024/0287034 A1</x:v>
      </x:c>
      <x:c r="M435" s="87" t="str">
        <x:v>CHINOOK THERAPEUTICS INC</x:v>
      </x:c>
      <x:c r="N435" s="87" t="str">
        <x:v>NOVARTIS PHARMA AG (2024-02-29);;CHINOOK THERAPEUTICS INC (2022-08-05)</x:v>
      </x:c>
      <x:c r="O435" s="87" t="str">
        <x:v>SUBSTITUTED INDOLE COMPOUNDS AND METHODS OF USE THEREOF</x:v>
      </x:c>
      <x:c r="P435" s="109" t="n">
        <x:v>1</x:v>
      </x:c>
      <x:c r="Q435" s="109" t="n">
        <x:v>23</x:v>
      </x:c>
      <x:c r="R435" s="87" t="str">
        <x:v>C07D401/06;;A61P37/06;;A61P29/00;;A61P3/00;;A61P25/00;;A61P11/00;;A61P27/02;;A61P9/00;;A61P13/12;;C07B2200/07;;C07D401/14;;C07D405/14;;C07D403/06;;C07D401/06;;C07D491/107;;A61P37/00;;A61P29/00;;A61P3/00;;A61P25/00;;A61P11/00;;A61P27/02;;A61P9/00;;A61P13/12;;C07D401/14;;C07D401/06;;C07D403/06;;C07D405/14;;C07D491/107;;C07D401/14;;A61K31/454;;A61K31/496;;C07D401/06;;C07D405/14;;C07D491/107;;C07D403/06;;A61P13/12;;C07D401/06;;C07D401/14;;C07D403/06;;C07D405/14;;C07D491/107;;A61K31/4523</x:v>
      </x:c>
      <x:c r="S435" s="87" t="str">
        <x:v>C07D401/14;;A61P13/12;;C07D401/06;;C07D403/06;;C07D405/14;;C07D491/107</x:v>
      </x:c>
      <x:c r="T435" s="87" t="str">
        <x:v>PENDING</x:v>
      </x:c>
      <x:c r="U435" s="87" t="str">
        <x:v>https://lens.org/090-911-470-316-344</x:v>
      </x:c>
    </x:row>
    <x:row r="436">
      <x:c r="A436" s="87" t="str">
        <x:v>Chinook Therapeutics.csv</x:v>
      </x:c>
      <x:c r="B436" s="87" t="str">
        <x:v>Chinook Therapeutics / Aduro BioTech</x:v>
      </x:c>
      <x:c r="C436" s="87" t="str">
        <x:v>TRT-0028</x:v>
      </x:c>
      <x:c r="D436" s="87" t="str">
        <x:v>Yes</x:v>
      </x:c>
      <x:c r="E436" s="87" t="str">
        <x:v>chinook therapeutics</x:v>
      </x:c>
      <x:c r="F436" s="87" t="str">
        <x:v>12</x:v>
      </x:c>
      <x:c r="G436" s="87" t="str">
        <x:v>148-481-548-436-14X</x:v>
      </x:c>
      <x:c r="H436" s="110" t="n">
        <x:v>43931</x:v>
      </x:c>
      <x:c r="I436" s="88" t="n">
        <x:v>2020</x:v>
      </x:c>
      <x:c r="J436" s="87" t="str">
        <x:v>EP</x:v>
      </x:c>
      <x:c r="K436" s="87" t="str">
        <x:v>A4</x:v>
      </x:c>
      <x:c r="L436" s="87" t="str">
        <x:v>EP 4132509 A4</x:v>
      </x:c>
      <x:c r="M436" s="87" t="str">
        <x:v>CHINOOK THERAPEUTICS INC;;ABBVIE INC</x:v>
      </x:c>
      <x:c r="N436" s="87" t="str">
        <x:v>ABBVIE INC. (2024-06-19);;CHINOOK THERAPEUTICS, INC. (2024-06-19)</x:v>
      </x:c>
      <x:c r="O436" s="87" t="str">
        <x:v>METHODS OF TREATING DIABETIC KIDNEY DISEASE</x:v>
      </x:c>
      <x:c r="P436" s="109" t="n">
        <x:v>0</x:v>
      </x:c>
      <x:c r="Q436" s="109" t="n">
        <x:v>14</x:v>
      </x:c>
      <x:c r="R436" s="87" t="str">
        <x:v>A61K31/4025;;A61K31/382;;A61K31/70;;A61K31/7042;;A61K31/7048;;A61P13/12;;A61K31/4025;;A61K31/382;;A61K31/70;;A61K31/7042;;A61K31/7048;;A61K45/06;;A61K2300/00;;A61K31/4025;;A61K31/7042;;A61K45/06;;A61K2300/00;;A61P13/12;;A61K31/4025;;A61K31/382;;A61K31/70;;A61K31/7042;;A61K31/7048;;A61K45/06;;A61P3/10;;A61P13/12</x:v>
      </x:c>
      <x:c r="S436" s="87" t="str">
        <x:v>A61K31/4025;;A61K9/20;;A61K9/28;;A61K31/382;;A61K31/70;;A61K31/7042;;A61K31/7048;;A61P3/10;;A61P13/12</x:v>
      </x:c>
      <x:c r="T436" s="87" t="str">
        <x:v>PENDING</x:v>
      </x:c>
      <x:c r="U436" s="87" t="str">
        <x:v>https://lens.org/148-481-548-436-14X</x:v>
      </x:c>
    </x:row>
    <x:row r="437">
      <x:c r="A437" s="87" t="str">
        <x:v>Chinook Therapeutics.csv</x:v>
      </x:c>
      <x:c r="B437" s="87" t="str">
        <x:v>Chinook Therapeutics / Aduro BioTech</x:v>
      </x:c>
      <x:c r="C437" s="87" t="str">
        <x:v>TRT-0028</x:v>
      </x:c>
      <x:c r="D437" s="87" t="str">
        <x:v>Yes</x:v>
      </x:c>
      <x:c r="E437" s="87" t="str">
        <x:v>chinook therapeutics</x:v>
      </x:c>
      <x:c r="F437" s="87" t="str">
        <x:v>13</x:v>
      </x:c>
      <x:c r="G437" s="87" t="str">
        <x:v>140-794-724-774-487</x:v>
      </x:c>
      <x:c r="H437" s="110" t="n">
        <x:v>43969</x:v>
      </x:c>
      <x:c r="I437" s="88" t="n">
        <x:v>2020</x:v>
      </x:c>
      <x:c r="J437" s="87" t="str">
        <x:v>US</x:v>
      </x:c>
      <x:c r="K437" s="87" t="str">
        <x:v>A1</x:v>
      </x:c>
      <x:c r="L437" s="87" t="str">
        <x:v>US 2023/0183228 A1</x:v>
      </x:c>
      <x:c r="M437" s="87" t="str">
        <x:v>CHINOOK THERAPEUTICS CANADA INC</x:v>
      </x:c>
      <x:c r="N437" s="87" t="str">
        <x:v>NOVARTIS PHARMA AG (2024-08-12);;CHINOOK THERAPEUTICS CANADA INC (2021-07-08)</x:v>
      </x:c>
      <x:c r="O437" s="87" t="str">
        <x:v>SUBSTITUTED PYRAZOLYL COMPOUNDS AND METHODS OF USE THEREOF</x:v>
      </x:c>
      <x:c r="P437" s="109" t="n">
        <x:v>0</x:v>
      </x:c>
      <x:c r="Q437" s="109" t="n">
        <x:v>15</x:v>
      </x:c>
      <x:c r="R437" s="87" t="str">
        <x:v>A61K31/427;;A61K31/422;;A61P7/00;;A61P13/04;;A61P13/12;;C07D413/04;;C07D417/04;;A61K31/36;;A61K31/4415;;C07D413/04;;A61K2300/00;;A61P13/12;;A61K31/36;;A61K31/427;;A61K31/4415;;A61P13/04;;A61P7/00;;A61K31/422;;C07D417/04;;C07D417/04;;A61K31/422;;A61K31/427;;A61K45/06;;A61P13/12;;A61P13/02;;A61P7/00;;C07D413/04;;A61K2300/00;;A61P1/16;;A61K31/4178;;A61K31/427;;A61K45/06;;C07D413/04;;C07D417/04</x:v>
      </x:c>
      <x:c r="S437" s="87" t="str">
        <x:v>C07D417/04;;A61K31/4178;;A61K31/427;;A61K45/06;;A61P1/16;;C07D413/04</x:v>
      </x:c>
      <x:c r="T437" s="87" t="str">
        <x:v>PENDING</x:v>
      </x:c>
      <x:c r="U437" s="87" t="str">
        <x:v>https://lens.org/140-794-724-774-487</x:v>
      </x:c>
    </x:row>
    <x:row r="438">
      <x:c r="A438" s="87" t="str">
        <x:v>Chinook Therapeutics.csv</x:v>
      </x:c>
      <x:c r="B438" s="87" t="str">
        <x:v>Chinook Therapeutics / Aduro BioTech</x:v>
      </x:c>
      <x:c r="C438" s="87" t="str">
        <x:v>TRT-0028</x:v>
      </x:c>
      <x:c r="D438" s="87" t="str">
        <x:v>Yes</x:v>
      </x:c>
      <x:c r="E438" s="87" t="str">
        <x:v>chinook therapeutics</x:v>
      </x:c>
      <x:c r="F438" s="87" t="str">
        <x:v>14</x:v>
      </x:c>
      <x:c r="G438" s="87" t="str">
        <x:v>062-821-705-374-959</x:v>
      </x:c>
      <x:c r="H438" s="110" t="n">
        <x:v>44294</x:v>
      </x:c>
      <x:c r="I438" s="88" t="n">
        <x:v>2021</x:v>
      </x:c>
      <x:c r="J438" s="87" t="str">
        <x:v>US</x:v>
      </x:c>
      <x:c r="K438" s="87" t="str">
        <x:v>A1</x:v>
      </x:c>
      <x:c r="L438" s="87" t="str">
        <x:v>US 2022/0339144 A1</x:v>
      </x:c>
      <x:c r="M438" s="87" t="str">
        <x:v>CHINOOK THERAPEUTICS CANADA INC</x:v>
      </x:c>
      <x:c r="N438" s="87" t="str">
        <x:v>CHINOOK THERAPEUTICS CANADA INC (2022-05-02)</x:v>
      </x:c>
      <x:c r="O438" s="87" t="str">
        <x:v>PYRIDINYL INDOLE COMPOUNDS AND METHODS OF USE THEREOF</x:v>
      </x:c>
      <x:c r="P438" s="109" t="n">
        <x:v>0</x:v>
      </x:c>
      <x:c r="Q438" s="109" t="n">
        <x:v>1</x:v>
      </x:c>
      <x:c r="R438" s="87" t="str">
        <x:v>A61K45/06;;C07D401/14;;C07D487/04;;C07D487/10;;C07D491/048;;C07D491/107;;C07D495/10;;C07D498/08;;A61K31/4439;;A61K31/444;;A61K31/537;;A61K31/55;;A61K31/553;;A61K45/06;;C07D401/14;;C07D487/04;;C07D487/10;;C07D491/048;;C07D491/107;;C07D495/10;;C07D498/08</x:v>
      </x:c>
      <x:c r="S438" s="87" t="str">
        <x:v>A61K31/4439;;A61K31/444;;A61K31/537;;A61K31/55;;A61K31/553;;A61K45/06;;C07D401/14;;C07D487/04;;C07D487/10;;C07D491/048;;C07D491/107;;C07D495/10;;C07D498/08</x:v>
      </x:c>
      <x:c r="T438" s="87" t="str">
        <x:v>DISCONTINUED</x:v>
      </x:c>
      <x:c r="U438" s="87" t="str">
        <x:v>https://lens.org/062-821-705-374-959</x:v>
      </x:c>
    </x:row>
    <x:row r="439">
      <x:c r="A439" s="87" t="str">
        <x:v>Chinook Therapeutics.csv</x:v>
      </x:c>
      <x:c r="B439" s="87" t="str">
        <x:v>Chinook Therapeutics / Aduro BioTech</x:v>
      </x:c>
      <x:c r="C439" s="87" t="str">
        <x:v>TRT-0028</x:v>
      </x:c>
      <x:c r="D439" s="87" t="str">
        <x:v>Yes</x:v>
      </x:c>
      <x:c r="E439" s="87" t="str">
        <x:v>chinook therapeutics</x:v>
      </x:c>
      <x:c r="F439" s="87" t="str">
        <x:v>15</x:v>
      </x:c>
      <x:c r="G439" s="87" t="str">
        <x:v>198-150-443-338-882</x:v>
      </x:c>
      <x:c r="H439" s="110" t="n">
        <x:v>43816</x:v>
      </x:c>
      <x:c r="I439" s="88" t="n">
        <x:v>2019</x:v>
      </x:c>
      <x:c r="J439" s="87" t="str">
        <x:v>US</x:v>
      </x:c>
      <x:c r="K439" s="87" t="str">
        <x:v>A1</x:v>
      </x:c>
      <x:c r="L439" s="87" t="str">
        <x:v>US 2022/0304979 A1</x:v>
      </x:c>
      <x:c r="M439" s="87" t="str">
        <x:v>CHINOOK THERAPEUTICS INC</x:v>
      </x:c>
      <x:c r="N439" s="87" t="str">
        <x:v>CHINOOK THERAPEUTICS INC (2022-07-14)</x:v>
      </x:c>
      <x:c r="O439" s="87" t="str">
        <x:v>METHODS OF REDUCING DISEASE FLARES</x:v>
      </x:c>
      <x:c r="P439" s="109" t="n">
        <x:v>5</x:v>
      </x:c>
      <x:c r="Q439" s="109" t="n">
        <x:v>1</x:v>
      </x:c>
      <x:c r="R439" s="87" t="str">
        <x:v>A61P13/12;;A61K31/4025;;A61K45/06;;A61P7/12;;A61K31/4025;;A61K45/06;;A61P7/12;;A61P13/12</x:v>
      </x:c>
      <x:c r="S439" s="87" t="str">
        <x:v>A61K31/4025;;A61K45/06;;A61P7/12;;A61P13/12</x:v>
      </x:c>
      <x:c r="T439" s="87" t="str">
        <x:v>DISCONTINUED</x:v>
      </x:c>
      <x:c r="U439" s="87" t="str">
        <x:v>https://lens.org/198-150-443-338-882</x:v>
      </x:c>
    </x:row>
    <x:row r="440">
      <x:c r="A440" s="87" t="str">
        <x:v>Chinook Therapeutics.csv</x:v>
      </x:c>
      <x:c r="B440" s="87" t="str">
        <x:v>Chinook Therapeutics / Aduro BioTech</x:v>
      </x:c>
      <x:c r="C440" s="87" t="str">
        <x:v>TRT-0028</x:v>
      </x:c>
      <x:c r="D440" s="87" t="str">
        <x:v>Yes</x:v>
      </x:c>
      <x:c r="E440" s="87" t="str">
        <x:v>chinook therapeutics</x:v>
      </x:c>
      <x:c r="F440" s="87" t="str">
        <x:v>16</x:v>
      </x:c>
      <x:c r="G440" s="87" t="str">
        <x:v>002-209-472-382-757</x:v>
      </x:c>
      <x:c r="H440" s="110" t="n">
        <x:v>43133</x:v>
      </x:c>
      <x:c r="I440" s="88" t="n">
        <x:v>2018</x:v>
      </x:c>
      <x:c r="J440" s="87" t="str">
        <x:v>US</x:v>
      </x:c>
      <x:c r="K440" s="87" t="str">
        <x:v>A1</x:v>
      </x:c>
      <x:c r="L440" s="87" t="str">
        <x:v>US 2022/0211815 A1</x:v>
      </x:c>
      <x:c r="M440" s="87" t="str">
        <x:v>NOVARTIS AG;;CHINOOK THERAPEUTICS INC</x:v>
      </x:c>
      <x:c r="N440" s="87" t="str">
        <x:v>NOVARTIS AG (2018-11-30);;NOVARTIS INSTITUTES FOR BIOMEDICAL RESEARCH INC (2018-11-28);;CHINOOK THERAPEUTICS INC (2018-12-04)</x:v>
      </x:c>
      <x:c r="O440" s="87" t="str">
        <x:v>COMBINATION THERAPY FOR THE TREATMENT OF CANCER</x:v>
      </x:c>
      <x:c r="P440" s="109" t="n">
        <x:v>0</x:v>
      </x:c>
      <x:c r="Q440" s="109" t="n">
        <x:v>11</x:v>
      </x:c>
      <x:c r="R440" s="87" t="str">
        <x:v>A61K38/00;;A61K38/1793;;A61K38/2086;;A61K45/06;;C07K14/5443;;C07K14/705;;C07K14/7155;;A61K38/00;;A61K38/1793;;A61K38/2086;;A61K45/06;;C07K14/5443;;C07K14/705;;C07K14/7155;;A61K38/00;;A61K38/1793;;A61K38/2086;;A61K45/06;;A61K2300/00;;A61P35/00;;C07K14/5443;;C07K14/705;;C07K14/7155;;A61K38/2086;;A61K38/1793;;A61K45/06;;A61P35/00</x:v>
      </x:c>
      <x:c r="S440" s="87" t="str">
        <x:v>A61K38/20;;A61K38/17;;A61K45/06;;A61P35/00</x:v>
      </x:c>
      <x:c r="T440" s="87" t="str">
        <x:v>DISCONTINUED</x:v>
      </x:c>
      <x:c r="U440" s="87" t="str">
        <x:v>https://lens.org/002-209-472-382-757</x:v>
      </x:c>
    </x:row>
    <x:row r="441">
      <x:c r="A441" s="87" t="str">
        <x:v>Chinook Therapeutics.csv</x:v>
      </x:c>
      <x:c r="B441" s="87" t="str">
        <x:v>Chinook Therapeutics / Aduro BioTech</x:v>
      </x:c>
      <x:c r="C441" s="87" t="str">
        <x:v>TRT-0028</x:v>
      </x:c>
      <x:c r="D441" s="87" t="str">
        <x:v>Yes</x:v>
      </x:c>
      <x:c r="E441" s="87" t="str">
        <x:v>chinook therapeutics, aduro biotech</x:v>
      </x:c>
      <x:c r="F441" s="87" t="str">
        <x:v>18</x:v>
      </x:c>
      <x:c r="G441" s="87" t="str">
        <x:v>032-959-861-257-766</x:v>
      </x:c>
      <x:c r="H441" s="110" t="n">
        <x:v>43980</x:v>
      </x:c>
      <x:c r="I441" s="88" t="n">
        <x:v>2020</x:v>
      </x:c>
      <x:c r="J441" s="87" t="str">
        <x:v>US</x:v>
      </x:c>
      <x:c r="K441" s="87" t="str">
        <x:v>A1</x:v>
      </x:c>
      <x:c r="L441" s="87" t="str">
        <x:v>US 2021/0379183 A1</x:v>
      </x:c>
      <x:c r="M441" s="87" t="str">
        <x:v>CHINOOK THERAPEUTICS INC;;ADURO BIOTECH HOLDINGS EUROPE B V</x:v>
      </x:c>
      <x:c r="N441" s="87" t="str">
        <x:v>ADURO BIOTECH HOLDINGS EUROPE B.V (2020-06-17);;CHINOOK THERAPEUTICS INC (2020-06-18)</x:v>
      </x:c>
      <x:c r="O441" s="87" t="str">
        <x:v>METHODS OF TREATING IgA NEPHROPATHY WITH AN APRIL BINDING ANTIBODY</x:v>
      </x:c>
      <x:c r="P441" s="109" t="n">
        <x:v>4</x:v>
      </x:c>
      <x:c r="Q441" s="109" t="n">
        <x:v>13</x:v>
      </x:c>
      <x:c r="R441" s="87" t="str">
        <x:v>C07K16/2875;;C07K2317/94;;A61K2039/505;;A61K2039/545;;A61K2039/55;;A61P35/00;;A61K9/0019;;A61K39/39591;;A61K2039/55;;A61K47/22;;A61K47/26;;A61K2039/545;;C07K16/2875;;A61K47/183;;A61K2039/505;;A61K2039/54;;A61K9/0019;;C07K2317/94;;C07K2317/24;;A61P35/00;;A61K39/39591;;A61K47/22;;A61K47/183;;A61K47/26;;A61K9/0019;;A61P13/12;;C07K16/2875;;A61K2039/505;;A61K2039/545;;A61K2039/55;;C07K2317/94;;A61K39/39591;;C07K16/2875;;A61K47/22;;A61K47/183;;A61K2039/505;;C07K2317/24;;A61K2039/54;;A61K2039/545;;A61K47/26</x:v>
      </x:c>
      <x:c r="S441" s="87" t="str">
        <x:v>A61K39/395;;A61K47/18;;A61K47/22;;A61K47/26;;C07K16/28</x:v>
      </x:c>
      <x:c r="T441" s="87" t="str">
        <x:v>PENDING</x:v>
      </x:c>
      <x:c r="U441" s="87" t="str">
        <x:v>https://lens.org/032-959-861-257-766</x:v>
      </x:c>
    </x:row>
    <x:row r="442">
      <x:c r="A442" s="87" t="str">
        <x:v>Chinook Therapeutics.csv</x:v>
      </x:c>
      <x:c r="B442" s="87" t="str">
        <x:v>Chinook Therapeutics / Aduro BioTech</x:v>
      </x:c>
      <x:c r="C442" s="87" t="str">
        <x:v>TRT-0028</x:v>
      </x:c>
      <x:c r="D442" s="87" t="str">
        <x:v>Yes</x:v>
      </x:c>
      <x:c r="E442" s="87" t="str">
        <x:v>chinook therapeutics</x:v>
      </x:c>
      <x:c r="F442" s="87" t="str">
        <x:v>19</x:v>
      </x:c>
      <x:c r="G442" s="87" t="str">
        <x:v>093-834-305-918-029</x:v>
      </x:c>
      <x:c r="H442" s="110" t="n">
        <x:v>42556</x:v>
      </x:c>
      <x:c r="I442" s="88" t="n">
        <x:v>2016</x:v>
      </x:c>
      <x:c r="J442" s="87" t="str">
        <x:v>US</x:v>
      </x:c>
      <x:c r="K442" s="87" t="str">
        <x:v>B2</x:v>
      </x:c>
      <x:c r="L442" s="87" t="str">
        <x:v>US 11098077 B2</x:v>
      </x:c>
      <x:c r="M442" s="87" t="str">
        <x:v>CHINOOK THERAPEUTICS INC;;NOVARTIS AG</x:v>
      </x:c>
      <x:c r="N442" s="87" t="str">
        <x:v>NOVARTIS AG (2017-11-17);;NOVARTIS INSTITUTES FOR BIOMEDICAL RESEARCH INC (2017-10-06);;CHINOOK THERAPEUTICS INC (2018-03-12)</x:v>
      </x:c>
      <x:c r="O442" s="87" t="str">
        <x:v>Locked nucleic acid cyclic dinucleotide compounds and uses thereof</x:v>
      </x:c>
      <x:c r="P442" s="109" t="n">
        <x:v>0</x:v>
      </x:c>
      <x:c r="Q442" s="109" t="n">
        <x:v>5</x:v>
      </x:c>
      <x:c r="R442" s="87" t="str">
        <x:v>C07H21/00;;A61K31/7084;;A61K45/06;;A61P1/00;;A61P3/10;;A61P17/06;;A61P31/00;;A61P35/00;;A61P37/06;;C07H21/00;;A61K9/0019;;A61K45/06;;A61P1/00;;A61P3/10;;A61P17/06;;A61P31/00;;A61P35/00;;A61P37/06;;C12N15/113</x:v>
      </x:c>
      <x:c r="S442" s="87" t="str">
        <x:v>C07H21/00;;A61K9/00;;A61K45/06;;A61P1/00;;A61P3/10;;A61P17/06;;A61P31/00;;A61P35/00;;A61P37/06;;C12N15/113</x:v>
      </x:c>
      <x:c r="T442" s="87" t="str">
        <x:v>INACTIVE</x:v>
      </x:c>
      <x:c r="U442" s="87" t="str">
        <x:v>https://lens.org/093-834-305-918-029</x:v>
      </x:c>
    </x:row>
    <x:row r="443">
      <x:c r="A443" s="87" t="str">
        <x:v>Chinook Therapeutics.csv</x:v>
      </x:c>
      <x:c r="B443" s="87" t="str">
        <x:v>Chinook Therapeutics / Aduro BioTech</x:v>
      </x:c>
      <x:c r="C443" s="87" t="str">
        <x:v>TRT-0028</x:v>
      </x:c>
      <x:c r="D443" s="87" t="str">
        <x:v>Yes</x:v>
      </x:c>
      <x:c r="E443" s="87" t="str">
        <x:v>chinook therapeutics</x:v>
      </x:c>
      <x:c r="F443" s="87" t="str">
        <x:v>20</x:v>
      </x:c>
      <x:c r="G443" s="87" t="str">
        <x:v>126-788-168-604-381</x:v>
      </x:c>
      <x:c r="H443" s="110" t="n">
        <x:v>42073</x:v>
      </x:c>
      <x:c r="I443" s="88" t="n">
        <x:v>2015</x:v>
      </x:c>
      <x:c r="J443" s="87" t="str">
        <x:v>US</x:v>
      </x:c>
      <x:c r="K443" s="87" t="str">
        <x:v>B2</x:v>
      </x:c>
      <x:c r="L443" s="87" t="str">
        <x:v>US 11040053 B2</x:v>
      </x:c>
      <x:c r="M443" s="87" t="str">
        <x:v>CHINOOK THERAPEUTICS INC</x:v>
      </x:c>
      <x:c r="N443" s="87" t="str">
        <x:v>CHINOOK THERAPEUTICS INC (2017-09-28)</x:v>
      </x:c>
      <x:c r="O443" s="87" t="str">
        <x:v>Compositions and methods for activating “stimulator of interferon gene”13 dependent signalling</x:v>
      </x:c>
      <x:c r="P443" s="109" t="n">
        <x:v>0</x:v>
      </x:c>
      <x:c r="Q443" s="109" t="n">
        <x:v>38</x:v>
      </x:c>
      <x:c r="R443" s="87" t="str">
        <x:v>A61K31/7084;;A61K39/39;;A61P3/10;;A61P11/06;;A61P29/00;;A61P35/00;;A61P37/06;;C07H19/213;;C07H21/00;;C07H21/02;;Y02A50/30;;A61K31/7084;;A61P3/10;;A61P11/06;;A61P29/00;;A61P35/00;;A61P37/06;;C07H19/213;;C07H21/00;;C07H21/02;;Y02A50/30;;C07H21/00;;A61K39/12;;A61K39/39;;C07H21/02;;A61K31/7084;;A61K39/39;;A61P3/10;;A61P11/06;;A61P29/00;;A61P35/00;;A61P37/06;;C07H19/213;;C07H21/00;;C07H21/02;;Y02A50/30</x:v>
      </x:c>
      <x:c r="S443" s="87" t="str">
        <x:v>A01N43/04;;A61K31/70;;A61K31/7084;;A61K39/39;;A61P3/10;;A61P11/06;;A61P29/00;;A61P35/00;;A61P37/06;;C07H19/213;;C07H21/00;;C07H21/02</x:v>
      </x:c>
      <x:c r="T443" s="87" t="str">
        <x:v>INACTIVE</x:v>
      </x:c>
      <x:c r="U443" s="87" t="str">
        <x:v>https://lens.org/126-788-168-604-381</x:v>
      </x:c>
    </x:row>
    <x:row r="444">
      <x:c r="A444" s="87" t="str">
        <x:v>Chinook Therapeutics.csv</x:v>
      </x:c>
      <x:c r="B444" s="87" t="str">
        <x:v>Chinook Therapeutics / Aduro BioTech</x:v>
      </x:c>
      <x:c r="C444" s="87" t="str">
        <x:v>TRT-0028</x:v>
      </x:c>
      <x:c r="D444" s="87" t="str">
        <x:v>Yes</x:v>
      </x:c>
      <x:c r="E444" s="87" t="str">
        <x:v>chinook therapeutics, aduro biotech</x:v>
      </x:c>
      <x:c r="F444" s="87" t="str">
        <x:v>21</x:v>
      </x:c>
      <x:c r="G444" s="87" t="str">
        <x:v>027-400-565-335-768</x:v>
      </x:c>
      <x:c r="H444" s="110" t="n">
        <x:v>42853</x:v>
      </x:c>
      <x:c r="I444" s="88" t="n">
        <x:v>2017</x:v>
      </x:c>
      <x:c r="J444" s="87" t="str">
        <x:v>US</x:v>
      </x:c>
      <x:c r="K444" s="87" t="str">
        <x:v>B2</x:v>
      </x:c>
      <x:c r="L444" s="87" t="str">
        <x:v>US 10975114 B2</x:v>
      </x:c>
      <x:c r="M444" s="87" t="str">
        <x:v>ADURO BIOTECH INC;;NOVARTIS AG;;CHINOOK THERAPEUTICS INC</x:v>
      </x:c>
      <x:c r="N444" s="87" t="str">
        <x:v>NOVARTIS AG (2018-02-08);;NOVARTIS INSTITUTES FOR BIOMEDICAL RESEARCH INC (2018-02-08);;CHINOOK THERAPEUTICS INC (2017-11-30)</x:v>
      </x:c>
      <x:c r="O444" s="87" t="str">
        <x:v>Bis 2′-5′-RR-(3′F-A)(3′F-A) cyclic dinucleotide compound and uses thereof</x:v>
      </x:c>
      <x:c r="P444" s="109" t="n">
        <x:v>0</x:v>
      </x:c>
      <x:c r="Q444" s="109" t="n">
        <x:v>13</x:v>
      </x:c>
      <x:c r="R444" s="87" t="str">
        <x:v>C07H21/02;;A61K31/7084;;A61K39/0011;;A61K39/39;;A61K45/06;;A61K2039/585;;A61P35/00;;A61P37/02;;C07H21/02;;A61K31/7084;;A61K39/0011;;A61K39/39;;A61K45/06;;A61K2039/505;;A61K2039/585;;A61K2300/00;;C07H21/04;;A61K39/0011;;A61K39/39;;A61K45/06;;A61K2039/585;;A61P35/04</x:v>
      </x:c>
      <x:c r="S444" s="87" t="str">
        <x:v>A01N43/04;;A61K31/70;;A61K39/00;;A61K39/39;;A61K45/06;;A61P35/04;;C07H21/04</x:v>
      </x:c>
      <x:c r="T444" s="87" t="str">
        <x:v>INACTIVE</x:v>
      </x:c>
      <x:c r="U444" s="87" t="str">
        <x:v>https://lens.org/027-400-565-335-768</x:v>
      </x:c>
    </x:row>
    <x:row r="445">
      <x:c r="A445" s="87" t="str">
        <x:v>Chinook Therapeutics.csv</x:v>
      </x:c>
      <x:c r="B445" s="87" t="str">
        <x:v>Chinook Therapeutics / Aduro BioTech</x:v>
      </x:c>
      <x:c r="C445" s="87" t="str">
        <x:v>TRT-0028</x:v>
      </x:c>
      <x:c r="D445" s="87" t="str">
        <x:v>Yes</x:v>
      </x:c>
      <x:c r="E445" s="87" t="str">
        <x:v>chinook therapeutics, aduro biotech</x:v>
      </x:c>
      <x:c r="F445" s="87" t="str">
        <x:v>22</x:v>
      </x:c>
      <x:c r="G445" s="87" t="str">
        <x:v>057-140-790-836-745</x:v>
      </x:c>
      <x:c r="H445" s="110" t="n">
        <x:v>42305</x:v>
      </x:c>
      <x:c r="I445" s="88" t="n">
        <x:v>2015</x:v>
      </x:c>
      <x:c r="J445" s="87" t="str">
        <x:v>US</x:v>
      </x:c>
      <x:c r="K445" s="87" t="str">
        <x:v>B2</x:v>
      </x:c>
      <x:c r="L445" s="87" t="str">
        <x:v>US 10906930 B2</x:v>
      </x:c>
      <x:c r="M445" s="87" t="str">
        <x:v>ADURO BIOTECH INC;;NOVARTIS AG;;CHINOOK THERAPEUTICS INC</x:v>
      </x:c>
      <x:c r="N445" s="87" t="str">
        <x:v>CHINOOK THERAPEUTICS INC (2020-10-05)</x:v>
      </x:c>
      <x:c r="O445" s="87" t="str">
        <x:v>Compositions and methods for activating “stimulator of interferon gene”-dependent signalling</x:v>
      </x:c>
      <x:c r="P445" s="109" t="n">
        <x:v>3</x:v>
      </x:c>
      <x:c r="Q445" s="109" t="n">
        <x:v>16</x:v>
      </x:c>
      <x:c r="R445" s="87" t="str">
        <x:v>C07H21/04;;A61K39/39;;A61K2039/55561;;A61P35/00;;C07H21/02;;C07H19/213;;A61K39/12;;A61K39/39;;A61K2039/55561;;A61P35/00;;C07H21/02;;C07H21/04;;C07H21/04;;A61K39/12;;A61K39/39;;A61K39/395;;A61K45/06;;A61K2039/55561;;A61K2039/572;;A61P35/00;;C07H21/02</x:v>
      </x:c>
      <x:c r="S445" s="87" t="str">
        <x:v>C07H21/04;;A61K39/00;;A61K39/12;;A61K39/39;;A61K39/395;;A61K45/06;;A61P35/00;;C07H21/02</x:v>
      </x:c>
      <x:c r="T445" s="87" t="str">
        <x:v>INACTIVE</x:v>
      </x:c>
      <x:c r="U445" s="87" t="str">
        <x:v>https://lens.org/057-140-790-836-745</x:v>
      </x:c>
    </x:row>
    <x:row r="446">
      <x:c r="A446" s="87" t="str">
        <x:v>Chinook Therapeutics.csv</x:v>
      </x:c>
      <x:c r="B446" s="87" t="str">
        <x:v>Chinook Therapeutics / Aduro BioTech</x:v>
      </x:c>
      <x:c r="C446" s="87" t="str">
        <x:v>TRT-0028</x:v>
      </x:c>
      <x:c r="D446" s="87" t="str">
        <x:v>Yes</x:v>
      </x:c>
      <x:c r="E446" s="87" t="str">
        <x:v>chinook therapeutics</x:v>
      </x:c>
      <x:c r="F446" s="87" t="str">
        <x:v>23</x:v>
      </x:c>
      <x:c r="G446" s="87" t="str">
        <x:v>124-416-634-427-395</x:v>
      </x:c>
      <x:c r="H446" s="110" t="n">
        <x:v>42993</x:v>
      </x:c>
      <x:c r="I446" s="88" t="n">
        <x:v>2017</x:v>
      </x:c>
      <x:c r="J446" s="87" t="str">
        <x:v>AU</x:v>
      </x:c>
      <x:c r="K446" s="87" t="str">
        <x:v>B2</x:v>
      </x:c>
      <x:c r="L446" s="87" t="str">
        <x:v>AU 2018/331456 B2</x:v>
      </x:c>
      <x:c r="M446" s="87" t="str">
        <x:v>CHINOOK THERAPEUTICS INC</x:v>
      </x:c>
      <x:c r="N446" s="87" t="str">
        <x:v>CHINOOK THERAPEUTICS, INC. (2021-03-04)</x:v>
      </x:c>
      <x:c r="O446" s="87" t="str">
        <x:v>Pyrazolopyrimidinone compounds and uses thereof</x:v>
      </x:c>
      <x:c r="P446" s="109" t="n">
        <x:v>0</x:v>
      </x:c>
      <x:c r="Q446" s="109" t="n">
        <x:v>25</x:v>
      </x:c>
      <x:c r="R446" s="87" t="str">
        <x:v>C07D487/04;;A61K31/519;;A61K31/5377;;A61P43/00;;C07D519/00;;C07D487/04;;C07D498/04;;C07D487/04;;A61K31/519;;A61K31/5377;;A61K45/06;;A61P43/00;;C07D519/00</x:v>
      </x:c>
      <x:c r="S446" s="87" t="str">
        <x:v>C07D487/04;;C07D498/04</x:v>
      </x:c>
      <x:c r="T446" s="87" t="str">
        <x:v>INACTIVE</x:v>
      </x:c>
      <x:c r="U446" s="87" t="str">
        <x:v>https://lens.org/124-416-634-427-395</x:v>
      </x:c>
    </x:row>
    <x:row r="447">
      <x:c r="A447" s="87" t="str">
        <x:v>Chinook Therapeutics.csv</x:v>
      </x:c>
      <x:c r="B447" s="87" t="str">
        <x:v>Chinook Therapeutics / Aduro BioTech</x:v>
      </x:c>
      <x:c r="C447" s="87" t="str">
        <x:v>TRT-0028</x:v>
      </x:c>
      <x:c r="D447" s="87" t="str">
        <x:v>No</x:v>
      </x:c>
      <x:c r="E447" s="87" t="str">
        <x:v>No configured applicant/owner alias match</x:v>
      </x:c>
      <x:c r="F447" s="87" t="str">
        <x:v>2</x:v>
      </x:c>
      <x:c r="G447" s="87" t="str">
        <x:v>009-987-503-855-066</x:v>
      </x:c>
      <x:c r="H447" s="110" t="n">
        <x:v>45121</x:v>
      </x:c>
      <x:c r="I447" s="88" t="n">
        <x:v>2023</x:v>
      </x:c>
      <x:c r="J447" s="87" t="str">
        <x:v>US</x:v>
      </x:c>
      <x:c r="K447" s="87" t="str">
        <x:v>A1</x:v>
      </x:c>
      <x:c r="L447" s="87" t="str">
        <x:v>US 2025/0269093 A1</x:v>
      </x:c>
      <x:c r="M447" s="87" t="str">
        <x:v>CHINOOK CONTRACT RES INC</x:v>
      </x:c>
      <x:c r="N447" s="87" t="str">
        <x:v>CHINOOK CONTRACT RESEARCH INC (2023-08-03)</x:v>
      </x:c>
      <x:c r="O447" s="87" t="str">
        <x:v>METHODS OF ENHANCING ANTIMICROBIAL EFFICACY OF LOCAL ANESTHETICS</x:v>
      </x:c>
      <x:c r="P447" s="109" t="n">
        <x:v>0</x:v>
      </x:c>
      <x:c r="Q447" s="109" t="n">
        <x:v>3</x:v>
      </x:c>
      <x:c r="R447" s="87" t="str">
        <x:v>A61P23/02;;A61K31/167;;A61K31/445;;A61M25/0017;;A61M35/10;;A61M2025/0056;;A61M2037/0007;;A61P31/02</x:v>
      </x:c>
      <x:c r="S447" s="87" t="str">
        <x:v>A61L29/16</x:v>
      </x:c>
      <x:c r="T447" s="87" t="str">
        <x:v>PENDING</x:v>
      </x:c>
      <x:c r="U447" s="87" t="str">
        <x:v>https://lens.org/009-987-503-855-066</x:v>
      </x:c>
    </x:row>
    <x:row r="448">
      <x:c r="A448" s="87" t="str">
        <x:v>Chinook Therapeutics.csv</x:v>
      </x:c>
      <x:c r="B448" s="87" t="str">
        <x:v>Chinook Therapeutics / Aduro BioTech</x:v>
      </x:c>
      <x:c r="C448" s="87" t="str">
        <x:v>TRT-0028</x:v>
      </x:c>
      <x:c r="D448" s="87" t="str">
        <x:v>No</x:v>
      </x:c>
      <x:c r="E448" s="87" t="str">
        <x:v>No configured applicant/owner alias match</x:v>
      </x:c>
      <x:c r="F448" s="87" t="str">
        <x:v>5</x:v>
      </x:c>
      <x:c r="G448" s="87" t="str">
        <x:v>086-408-895-831-103</x:v>
      </x:c>
      <x:c r="H448" s="110" t="n">
        <x:v>42958</x:v>
      </x:c>
      <x:c r="I448" s="88" t="n">
        <x:v>2017</x:v>
      </x:c>
      <x:c r="J448" s="87" t="str">
        <x:v>US</x:v>
      </x:c>
      <x:c r="K448" s="87" t="str">
        <x:v>B2</x:v>
      </x:c>
      <x:c r="L448" s="87" t="str">
        <x:v>US 12295811 B2</x:v>
      </x:c>
      <x:c r="M448" s="87" t="str">
        <x:v>CHINOOK CONTRACT RES INC</x:v>
      </x:c>
      <x:c r="N448" s="87" t="str">
        <x:v>CHINOOK CONTRACT RESEARCH INC (2019-04-02)</x:v>
      </x:c>
      <x:c r="O448" s="87" t="str">
        <x:v>Ligature device and method of use</x:v>
      </x:c>
      <x:c r="P448" s="109" t="n">
        <x:v>1</x:v>
      </x:c>
      <x:c r="Q448" s="109" t="n">
        <x:v>12</x:v>
      </x:c>
      <x:c r="R448" s="87" t="str">
        <x:v>A61D1/06;;A61B17/12009;;A61B2017/00889;;A61B2017/00893;;A61B2017/12018;;A61D7/00;;A61B17/12009;;A61B2017/00526;;A61B2017/00889;;A61B2017/00893;;A61B2017/12018;;A61D1/04;;A61D1/06;;A61K31/167</x:v>
      </x:c>
      <x:c r="S448" s="87" t="str">
        <x:v>A61D7/00;;A61B17/00;;A61B17/12;;A61D1/04;;A61D1/06;;A61K31/167</x:v>
      </x:c>
      <x:c r="T448" s="87" t="str">
        <x:v>ACTIVE</x:v>
      </x:c>
      <x:c r="U448" s="87" t="str">
        <x:v>https://lens.org/086-408-895-831-103</x:v>
      </x:c>
    </x:row>
    <x:row r="449">
      <x:c r="A449" s="87" t="str">
        <x:v>Chinook Therapeutics.csv</x:v>
      </x:c>
      <x:c r="B449" s="87" t="str">
        <x:v>Chinook Therapeutics / Aduro BioTech</x:v>
      </x:c>
      <x:c r="C449" s="87" t="str">
        <x:v>TRT-0028</x:v>
      </x:c>
      <x:c r="D449" s="87" t="str">
        <x:v>No</x:v>
      </x:c>
      <x:c r="E449" s="87" t="str">
        <x:v>No configured applicant/owner alias match</x:v>
      </x:c>
      <x:c r="F449" s="87" t="str">
        <x:v>6</x:v>
      </x:c>
      <x:c r="G449" s="87" t="str">
        <x:v>167-946-884-610-190</x:v>
      </x:c>
      <x:c r="H449" s="110" t="n">
        <x:v>44979</x:v>
      </x:c>
      <x:c r="I449" s="88" t="n">
        <x:v>2023</x:v>
      </x:c>
      <x:c r="J449" s="87" t="str">
        <x:v>US</x:v>
      </x:c>
      <x:c r="K449" s="87" t="str">
        <x:v>A1</x:v>
      </x:c>
      <x:c r="L449" s="87" t="str">
        <x:v>US 2025/0017714 A1</x:v>
      </x:c>
      <x:c r="M449" s="87" t="str">
        <x:v>CHINOOK CONTRACT RES INC</x:v>
      </x:c>
      <x:c r="N449" s="87" t="str">
        <x:v>CHINOOK CONTRACT RESEARCH INC (2023-03-09)</x:v>
      </x:c>
      <x:c r="O449" s="87" t="str">
        <x:v>METHODS OF INSECT CONTROL FOR AN ANIMAL, PRODUCTS THEREOF AND METHODS FOR THEIR PREPARATION</x:v>
      </x:c>
      <x:c r="P449" s="109" t="n">
        <x:v>1</x:v>
      </x:c>
      <x:c r="Q449" s="109" t="n">
        <x:v>13</x:v>
      </x:c>
      <x:c r="R449" s="87" t="str">
        <x:v>A01N25/34;;A01P7/04;;A01P17/00;;A61D1/04;;A61D1/06;;A61D7/00;;A61K31/167;;A61P23/02;;A61P33/00;;A61K9/0017;;A61K9/7007;;A61K45/06;;A61K31/7048;;A01K27/007;;A01P7/04;;A61D9/00;;A61K9/0017;;A01N43/22;;A01N25/34;;A61D1/06;;A61K31/7048;;A61P23/02;;A01N51/00;;A61K31/167;;A61K9/7007;;A01N43/90;;A61D1/04;;A01P17/00;;A61D7/00;;A61K45/06;;A61P33/00;;A61K2300/00;;A01K27/007;;A61D7/00;;A61D9/00</x:v>
      </x:c>
      <x:c r="S449" s="87" t="str">
        <x:v>A61D7/00;;A01K27/00;;A61D9/00</x:v>
      </x:c>
      <x:c r="T449" s="87" t="str">
        <x:v>ACTIVE</x:v>
      </x:c>
      <x:c r="U449" s="87" t="str">
        <x:v>https://lens.org/167-946-884-610-190</x:v>
      </x:c>
    </x:row>
    <x:row r="450">
      <x:c r="A450" s="87" t="str">
        <x:v>Chinook Therapeutics.csv</x:v>
      </x:c>
      <x:c r="B450" s="87" t="str">
        <x:v>Chinook Therapeutics / Aduro BioTech</x:v>
      </x:c>
      <x:c r="C450" s="87" t="str">
        <x:v>TRT-0028</x:v>
      </x:c>
      <x:c r="D450" s="87" t="str">
        <x:v>No</x:v>
      </x:c>
      <x:c r="E450" s="87" t="str">
        <x:v>No configured applicant/owner alias match</x:v>
      </x:c>
      <x:c r="F450" s="87" t="str">
        <x:v>7</x:v>
      </x:c>
      <x:c r="G450" s="87" t="str">
        <x:v>099-329-848-096-018</x:v>
      </x:c>
      <x:c r="H450" s="110" t="n">
        <x:v>44134</x:v>
      </x:c>
      <x:c r="I450" s="88" t="n">
        <x:v>2020</x:v>
      </x:c>
      <x:c r="J450" s="87" t="str">
        <x:v>US</x:v>
      </x:c>
      <x:c r="K450" s="87" t="str">
        <x:v>B2</x:v>
      </x:c>
      <x:c r="L450" s="87" t="str">
        <x:v>US 12118972 B2</x:v>
      </x:c>
      <x:c r="M450" s="87" t="str">
        <x:v>CHINOOK ACOUSTICS INC</x:v>
      </x:c>
      <x:c r="N450" s="87" t="str">
        <x:v>CHINOOK ACOUSTICS INC (2020-11-07)</x:v>
      </x:c>
      <x:c r="O450" s="87" t="str">
        <x:v>Systems and methods for manufacturing acoustic panels</x:v>
      </x:c>
      <x:c r="P450" s="109" t="n">
        <x:v>2</x:v>
      </x:c>
      <x:c r="Q450" s="109" t="n">
        <x:v>3</x:v>
      </x:c>
      <x:c r="R450" s="87" t="str">
        <x:v>B32B7/12;;B32B3/04;;B32B3/06;;B32B3/266;;B32B5/02;;B32B5/26;;B32B27/12;;B32B27/30;;B32B27/302;;B32B27/304;;B32B27/308;;B32B27/32;;B32B27/36;;B32B27/365;;B32B2250/40;;B32B2262/0276;;B32B2262/04;;B32B2262/062;;B32B2262/065;;B32B2262/08;;B32B2270/00;;B32B2307/102;;B32B2307/3065;;B32B2307/412;;B32B2307/546;;B32B2307/5825;;B32B2307/72;;B32B2307/7265;;B32B2307/732;;B32B2571/00;;G10K11/168;;G10K11/168;;B32B27/36;;B32B37/10;;B32B37/1284;;B32B38/0004;;B32B2307/102;;B32B2307/412;;B32B2307/72;;B32B2307/732;;B32B2310/0868;;B32B2367/00</x:v>
      </x:c>
      <x:c r="S450" s="87" t="str">
        <x:v>G10K11/168;;B32B27/36;;B32B37/10;;B32B37/12;;B32B38/00</x:v>
      </x:c>
      <x:c r="T450" s="87" t="str">
        <x:v>ACTIVE</x:v>
      </x:c>
      <x:c r="U450" s="87" t="str">
        <x:v>https://lens.org/099-329-848-096-018</x:v>
      </x:c>
    </x:row>
    <x:row r="451">
      <x:c r="A451" s="87" t="str">
        <x:v>Chinook Therapeutics.csv</x:v>
      </x:c>
      <x:c r="B451" s="87" t="str">
        <x:v>Chinook Therapeutics / Aduro BioTech</x:v>
      </x:c>
      <x:c r="C451" s="87" t="str">
        <x:v>TRT-0028</x:v>
      </x:c>
      <x:c r="D451" s="87" t="str">
        <x:v>No</x:v>
      </x:c>
      <x:c r="E451" s="87" t="str">
        <x:v>No configured applicant/owner alias match</x:v>
      </x:c>
      <x:c r="F451" s="87" t="str">
        <x:v>8</x:v>
      </x:c>
      <x:c r="G451" s="87" t="str">
        <x:v>026-054-533-844-79X</x:v>
      </x:c>
      <x:c r="H451" s="110" t="n">
        <x:v>44008</x:v>
      </x:c>
      <x:c r="I451" s="88" t="n">
        <x:v>2020</x:v>
      </x:c>
      <x:c r="J451" s="87" t="str">
        <x:v>US</x:v>
      </x:c>
      <x:c r="K451" s="87" t="str">
        <x:v>B2</x:v>
      </x:c>
      <x:c r="L451" s="87" t="str">
        <x:v>US 12083275 B2</x:v>
      </x:c>
      <x:c r="M451" s="87" t="str">
        <x:v>CHINOOK BIOMEDICAL INC</x:v>
      </x:c>
      <x:c r="N451" s="87" t="str">
        <x:v>CHINOOK BIOMEDICAL INC (2021-07-30);;INC. CHINOOK B (2021-07-30)</x:v>
      </x:c>
      <x:c r="O451" s="87" t="str">
        <x:v>Method of pressure control in a mechanical ventilator with non-proportional solenoid valves</x:v>
      </x:c>
      <x:c r="P451" s="109" t="n">
        <x:v>0</x:v>
      </x:c>
      <x:c r="Q451" s="109" t="n">
        <x:v>3</x:v>
      </x:c>
      <x:c r="R451" s="87" t="str">
        <x:v>A61M16/024;;A61M16/04;;A61M16/1055;;A61M16/1065;;A61M16/107;;A61M16/125;;A61M16/202;;A61M16/208;;A61M2016/0027;;A61M2202/0208;;A61M2205/3331;;A61M16/024;;A61M16/0003;;A61M16/201;;A61M16/208;;A61M2016/0027</x:v>
      </x:c>
      <x:c r="S451" s="87" t="str">
        <x:v>A61M16/00;;A61M16/20</x:v>
      </x:c>
      <x:c r="T451" s="87" t="str">
        <x:v>ACTIVE</x:v>
      </x:c>
      <x:c r="U451" s="87" t="str">
        <x:v>https://lens.org/026-054-533-844-79X</x:v>
      </x:c>
    </x:row>
    <x:row r="452">
      <x:c r="A452" s="87" t="str">
        <x:v>Chinook Therapeutics.csv</x:v>
      </x:c>
      <x:c r="B452" s="87" t="str">
        <x:v>Chinook Therapeutics / Aduro BioTech</x:v>
      </x:c>
      <x:c r="C452" s="87" t="str">
        <x:v>TRT-0028</x:v>
      </x:c>
      <x:c r="D452" s="87" t="str">
        <x:v>No</x:v>
      </x:c>
      <x:c r="E452" s="87" t="str">
        <x:v>No configured applicant/owner alias match</x:v>
      </x:c>
      <x:c r="F452" s="87" t="str">
        <x:v>10</x:v>
      </x:c>
      <x:c r="G452" s="87" t="str">
        <x:v>157-222-066-470-580</x:v>
      </x:c>
      <x:c r="H452" s="110" t="n">
        <x:v>44630</x:v>
      </x:c>
      <x:c r="I452" s="88" t="n">
        <x:v>2022</x:v>
      </x:c>
      <x:c r="J452" s="87" t="str">
        <x:v>US</x:v>
      </x:c>
      <x:c r="K452" s="87" t="str">
        <x:v>S</x:v>
      </x:c>
      <x:c r="L452" s="87" t="str">
        <x:v>US D1037869 S</x:v>
      </x:c>
      <x:c r="M452" s="87" t="str">
        <x:v>CHINOOK CONTRACT RES INC</x:v>
      </x:c>
      <x:c r="N452" s="87" t="str">
        <x:v>CHINOOK CONTRACT RESEARCH INC (2022-04-07)</x:v>
      </x:c>
      <x:c r="O452" s="87" t="str">
        <x:v>Double-recessed blister packaging</x:v>
      </x:c>
      <x:c r="P452" s="109" t="n">
        <x:v>0</x:v>
      </x:c>
      <x:c r="Q452" s="109" t="n">
        <x:v>1</x:v>
      </x:c>
      <x:c r="R452" s="87" t="str"/>
      <x:c r="S452" s="87" t="str"/>
      <x:c r="T452" s="87" t="str">
        <x:v>ACTIVE</x:v>
      </x:c>
      <x:c r="U452" s="87" t="str">
        <x:v>https://lens.org/157-222-066-470-580</x:v>
      </x:c>
    </x:row>
    <x:row r="453">
      <x:c r="A453" s="87" t="str">
        <x:v>Chinook Therapeutics.csv</x:v>
      </x:c>
      <x:c r="B453" s="87" t="str">
        <x:v>Chinook Therapeutics / Aduro BioTech</x:v>
      </x:c>
      <x:c r="C453" s="87" t="str">
        <x:v>TRT-0028</x:v>
      </x:c>
      <x:c r="D453" s="87" t="str">
        <x:v>No</x:v>
      </x:c>
      <x:c r="E453" s="87" t="str">
        <x:v>No configured applicant/owner alias match</x:v>
      </x:c>
      <x:c r="F453" s="87" t="str">
        <x:v>11</x:v>
      </x:c>
      <x:c r="G453" s="87" t="str">
        <x:v>048-392-766-249-916</x:v>
      </x:c>
      <x:c r="H453" s="110" t="n">
        <x:v>42809</x:v>
      </x:c>
      <x:c r="I453" s="88" t="n">
        <x:v>2017</x:v>
      </x:c>
      <x:c r="J453" s="87" t="str">
        <x:v>US</x:v>
      </x:c>
      <x:c r="K453" s="87" t="str">
        <x:v>B2</x:v>
      </x:c>
      <x:c r="L453" s="87" t="str">
        <x:v>US 12014713 B2</x:v>
      </x:c>
      <x:c r="M453" s="87" t="str">
        <x:v>CHINOOK ACOUSTICS INC</x:v>
      </x:c>
      <x:c r="N453" s="87" t="str">
        <x:v>FORREST SOUND PRODUCTS LLC (2017-03-12);;CHINOOK ACOUSTICS INC (2020-02-17)</x:v>
      </x:c>
      <x:c r="O453" s="87" t="str">
        <x:v>Systems and methods for acoustic absorption</x:v>
      </x:c>
      <x:c r="P453" s="109" t="n">
        <x:v>0</x:v>
      </x:c>
      <x:c r="Q453" s="109" t="n">
        <x:v>5</x:v>
      </x:c>
      <x:c r="R453" s="87" t="str">
        <x:v>G10K11/168;;G10K11/162</x:v>
      </x:c>
      <x:c r="S453" s="87" t="str">
        <x:v>G10K11/162</x:v>
      </x:c>
      <x:c r="T453" s="87" t="str">
        <x:v>ACTIVE</x:v>
      </x:c>
      <x:c r="U453" s="87" t="str">
        <x:v>https://lens.org/048-392-766-249-916</x:v>
      </x:c>
    </x:row>
    <x:row r="454">
      <x:c r="A454" s="87" t="str">
        <x:v>Chinook Therapeutics.csv</x:v>
      </x:c>
      <x:c r="B454" s="87" t="str">
        <x:v>Chinook Therapeutics / Aduro BioTech</x:v>
      </x:c>
      <x:c r="C454" s="87" t="str">
        <x:v>TRT-0028</x:v>
      </x:c>
      <x:c r="D454" s="87" t="str">
        <x:v>No</x:v>
      </x:c>
      <x:c r="E454" s="87" t="str">
        <x:v>No configured applicant/owner alias match</x:v>
      </x:c>
      <x:c r="F454" s="87" t="str">
        <x:v>17</x:v>
      </x:c>
      <x:c r="G454" s="87" t="str">
        <x:v>075-543-336-261-418</x:v>
      </x:c>
      <x:c r="H454" s="110" t="n">
        <x:v>42936</x:v>
      </x:c>
      <x:c r="I454" s="88" t="n">
        <x:v>2017</x:v>
      </x:c>
      <x:c r="J454" s="87" t="str">
        <x:v>US</x:v>
      </x:c>
      <x:c r="K454" s="87" t="str">
        <x:v>B2</x:v>
      </x:c>
      <x:c r="L454" s="87" t="str">
        <x:v>US 11371776 B2</x:v>
      </x:c>
      <x:c r="M454" s="87" t="str">
        <x:v>CHINOOK HAY SYSTEMS INC</x:v>
      </x:c>
      <x:c r="N454" s="87" t="str">
        <x:v>CHINOOK HAY SYSTEMS INC (2018-07-19)</x:v>
      </x:c>
      <x:c r="O454" s="87" t="str">
        <x:v>System and apparatus for drying hay bales</x:v>
      </x:c>
      <x:c r="P454" s="109" t="n">
        <x:v>0</x:v>
      </x:c>
      <x:c r="Q454" s="109" t="n">
        <x:v>8</x:v>
      </x:c>
      <x:c r="R454" s="87" t="str">
        <x:v>F26B9/106;;F26B21/001;;F26B21/50;;F26B2200/02;;F26B2200/10;;F26B9/106;;F26B9/006;;F26B21/001;;F26B21/50;;F26B2200/02;;F26B2200/10</x:v>
      </x:c>
      <x:c r="S454" s="87" t="str">
        <x:v>F26B9/10;;F26B9/00;;F26B21/00</x:v>
      </x:c>
      <x:c r="T454" s="87" t="str">
        <x:v>ACTIVE</x:v>
      </x:c>
      <x:c r="U454" s="87" t="str">
        <x:v>https://lens.org/075-543-336-261-418</x:v>
      </x:c>
    </x:row>
    <x:row r="455">
      <x:c r="A455" s="87" t="str">
        <x:v>Esteve Pharmaceuticals.csv</x:v>
      </x:c>
      <x:c r="B455" s="87" t="str">
        <x:v>Esteve Pharmaceuticals</x:v>
      </x:c>
      <x:c r="C455" s="87" t="str">
        <x:v>TRT-0044</x:v>
      </x:c>
      <x:c r="D455" s="87" t="str">
        <x:v>Yes</x:v>
      </x:c>
      <x:c r="E455" s="87" t="str">
        <x:v>esteve pharmaceuticals</x:v>
      </x:c>
      <x:c r="F455" s="87" t="str">
        <x:v>1</x:v>
      </x:c>
      <x:c r="G455" s="87" t="str">
        <x:v>172-061-012-773-294</x:v>
      </x:c>
      <x:c r="H455" s="110" t="n">
        <x:v>43552</x:v>
      </x:c>
      <x:c r="I455" s="88" t="n">
        <x:v>2019</x:v>
      </x:c>
      <x:c r="J455" s="87" t="str">
        <x:v>US</x:v>
      </x:c>
      <x:c r="K455" s="87" t="str">
        <x:v>B2</x:v>
      </x:c>
      <x:c r="L455" s="87" t="str">
        <x:v>US 12398403 B2</x:v>
      </x:c>
      <x:c r="M455" s="87" t="str">
        <x:v>ESTEVE PHARMACEUTICALS SA;;UNIV BARCELONA AUTONOMA</x:v>
      </x:c>
      <x:c r="N455" s="87" t="str">
        <x:v>UNIVERSITAT AUTÓNOMA DE BARCELONA (2021-10-08);;ESTEVE PHARMACEUTICALS S.A (2021-10-08)</x:v>
      </x:c>
      <x:c r="O455" s="87" t="str">
        <x:v>Methods for the manufacture of recombinant viral vectors</x:v>
      </x:c>
      <x:c r="P455" s="109" t="n">
        <x:v>0</x:v>
      </x:c>
      <x:c r="Q455" s="109" t="n">
        <x:v>19</x:v>
      </x:c>
      <x:c r="R455" s="87" t="str">
        <x:v>C12N7/02;;C12N15/86;;C12N2750/14143;;C12N2750/14151;;C12N2750/14152;;C12N7/02;;C12N15/86;;C12N2750/14143;;C12N2750/14151;;C12N2750/14152;;C12N15/86;;C12N2750/14143;;C12N2750/14151;;C12N7/02;;C12N15/86;;C12N2750/14143;;C12N2750/14152</x:v>
      </x:c>
      <x:c r="S455" s="87" t="str">
        <x:v>C12N15/80;;C12N7/02;;C12N15/86</x:v>
      </x:c>
      <x:c r="T455" s="87" t="str">
        <x:v>ACTIVE</x:v>
      </x:c>
      <x:c r="U455" s="87" t="str">
        <x:v>https://lens.org/172-061-012-773-294</x:v>
      </x:c>
    </x:row>
    <x:row r="456">
      <x:c r="A456" s="87" t="str">
        <x:v>Esteve Pharmaceuticals.csv</x:v>
      </x:c>
      <x:c r="B456" s="87" t="str">
        <x:v>Esteve Pharmaceuticals</x:v>
      </x:c>
      <x:c r="C456" s="87" t="str">
        <x:v>TRT-0044</x:v>
      </x:c>
      <x:c r="D456" s="87" t="str">
        <x:v>Yes</x:v>
      </x:c>
      <x:c r="E456" s="87" t="str">
        <x:v>esteve pharmaceuticals</x:v>
      </x:c>
      <x:c r="F456" s="87" t="str">
        <x:v>2</x:v>
      </x:c>
      <x:c r="G456" s="87" t="str">
        <x:v>046-046-402-488-92X</x:v>
      </x:c>
      <x:c r="H456" s="110" t="n">
        <x:v>43250</x:v>
      </x:c>
      <x:c r="I456" s="88" t="n">
        <x:v>2018</x:v>
      </x:c>
      <x:c r="J456" s="87" t="str">
        <x:v>US</x:v>
      </x:c>
      <x:c r="K456" s="87" t="str">
        <x:v>A1</x:v>
      </x:c>
      <x:c r="L456" s="87" t="str">
        <x:v>US 2025/0075194 A1</x:v>
      </x:c>
      <x:c r="M456" s="87" t="str">
        <x:v>ESTEVE PHARMACEUTICALS SA;;UNIV AUTONONOMA DE BARCELONA</x:v>
      </x:c>
      <x:c r="N456" s="87" t="str">
        <x:v>UNIVERSITAT AUTÓNOMA DE BARCELONA (2021-01-21);;ESTEVE PHARMACEUTICALS S.A (2021-01-21)</x:v>
      </x:c>
      <x:c r="O456" s="87" t="str">
        <x:v>ADENOASSOCIATED VIRUS VECTORS FOR THE TREATMENT OF MUCOPOLYSACCHARIDOSES TYPE IV A</x:v>
      </x:c>
      <x:c r="P456" s="109" t="n">
        <x:v>0</x:v>
      </x:c>
      <x:c r="Q456" s="109" t="n">
        <x:v>29</x:v>
      </x:c>
      <x:c r="R456" s="87" t="str">
        <x:v>C12N15/86;;C12N9/16;;C12N2750/14143;;C12Y301/06004;;C12N15/86;;C12N9/16;;C12N2750/14143;;C12Y301/06004;;C12N9/16;;A61K38/465;;C12N15/86;;C12N2750/14143;;C12Y301/06004;;C12N9/16;;A61K9/0019;;A61P43/00;;C12N15/86;;C12N2750/14143;;C12N2750/14152;;C12Y301/06004</x:v>
      </x:c>
      <x:c r="S456" s="87" t="str">
        <x:v>C12N9/16;;A61K9/00;;A61P43/00;;C12N15/86</x:v>
      </x:c>
      <x:c r="T456" s="87" t="str">
        <x:v>PENDING</x:v>
      </x:c>
      <x:c r="U456" s="87" t="str">
        <x:v>https://lens.org/046-046-402-488-92X</x:v>
      </x:c>
    </x:row>
    <x:row r="457">
      <x:c r="A457" s="87" t="str">
        <x:v>Esteve Pharmaceuticals.csv</x:v>
      </x:c>
      <x:c r="B457" s="87" t="str">
        <x:v>Esteve Pharmaceuticals</x:v>
      </x:c>
      <x:c r="C457" s="87" t="str">
        <x:v>TRT-0044</x:v>
      </x:c>
      <x:c r="D457" s="87" t="str">
        <x:v>Yes</x:v>
      </x:c>
      <x:c r="E457" s="87" t="str">
        <x:v>esteve pharmaceuticals</x:v>
      </x:c>
      <x:c r="F457" s="87" t="str">
        <x:v>3</x:v>
      </x:c>
      <x:c r="G457" s="87" t="str">
        <x:v>197-885-869-840-07X</x:v>
      </x:c>
      <x:c r="H457" s="110" t="n">
        <x:v>43419</x:v>
      </x:c>
      <x:c r="I457" s="88" t="n">
        <x:v>2018</x:v>
      </x:c>
      <x:c r="J457" s="87" t="str">
        <x:v>US</x:v>
      </x:c>
      <x:c r="K457" s="87" t="str">
        <x:v>B2</x:v>
      </x:c>
      <x:c r="L457" s="87" t="str">
        <x:v>US 12201095 B2</x:v>
      </x:c>
      <x:c r="M457" s="87" t="str">
        <x:v>ESTEVE PHARMACEUTICALS SA;;UNIV BARCELONA AUTONOMA</x:v>
      </x:c>
      <x:c r="N457" s="87" t="str">
        <x:v>UNIVERSITAT AUTÓNOMA DE BARCELONA (2021-05-10);;ESTEVE PHARMACEUTICALS S.A (2021-05-10)</x:v>
      </x:c>
      <x:c r="O457" s="87" t="str">
        <x:v>Animal model of mucopolysaccharidoses type IVA</x:v>
      </x:c>
      <x:c r="P457" s="109" t="n">
        <x:v>0</x:v>
      </x:c>
      <x:c r="Q457" s="109" t="n">
        <x:v>8</x:v>
      </x:c>
      <x:c r="R457" s="87" t="str">
        <x:v>C12N9/16;;A01K2217/075;;A01K2227/105;;A01K2267/0306;;C12Y301/06004;;A01K67/0276;;A01K2217/075;;A01K2227/105;;A01K2267/0306;;C12N15/113</x:v>
      </x:c>
      <x:c r="S457" s="87" t="str">
        <x:v>A01K67/0276;;C12N15/113</x:v>
      </x:c>
      <x:c r="T457" s="87" t="str">
        <x:v>ACTIVE</x:v>
      </x:c>
      <x:c r="U457" s="87" t="str">
        <x:v>https://lens.org/197-885-869-840-07X</x:v>
      </x:c>
    </x:row>
    <x:row r="458">
      <x:c r="A458" s="87" t="str">
        <x:v>Esteve Pharmaceuticals.csv</x:v>
      </x:c>
      <x:c r="B458" s="87" t="str">
        <x:v>Esteve Pharmaceuticals</x:v>
      </x:c>
      <x:c r="C458" s="87" t="str">
        <x:v>TRT-0044</x:v>
      </x:c>
      <x:c r="D458" s="87" t="str">
        <x:v>Yes</x:v>
      </x:c>
      <x:c r="E458" s="87" t="str">
        <x:v>esteve pharmaceuticals</x:v>
      </x:c>
      <x:c r="F458" s="87" t="str">
        <x:v>4</x:v>
      </x:c>
      <x:c r="G458" s="87" t="str">
        <x:v>126-333-250-994-349</x:v>
      </x:c>
      <x:c r="H458" s="110" t="n">
        <x:v>44459</x:v>
      </x:c>
      <x:c r="I458" s="88" t="n">
        <x:v>2021</x:v>
      </x:c>
      <x:c r="J458" s="87" t="str">
        <x:v>US</x:v>
      </x:c>
      <x:c r="K458" s="87" t="str">
        <x:v>A1</x:v>
      </x:c>
      <x:c r="L458" s="87" t="str">
        <x:v>US 2025/0002503 A1</x:v>
      </x:c>
      <x:c r="M458" s="87" t="str">
        <x:v>ESTEVE PHARMACEUTICALS SA</x:v>
      </x:c>
      <x:c r="N458" s="87" t="str">
        <x:v>ESTEVE PHARMACEUTICALS S.A (2024-02-05)</x:v>
      </x:c>
      <x:c r="O458" s="87" t="str">
        <x:v>OXADIAZASPIRO COMPOUNDS FOR USE IN THE TREATMENT OF MOTONEURON DEGENERATION OR IN NEUROPROTECTION</x:v>
      </x:c>
      <x:c r="P458" s="109" t="n">
        <x:v>0</x:v>
      </x:c>
      <x:c r="Q458" s="109" t="n">
        <x:v>12</x:v>
      </x:c>
      <x:c r="R458" s="87" t="str">
        <x:v>A61K31/5375;;A61K31/5386;;A61P21/00;;A61P25/28;;A61K31/5375;;A61K31/5386;;A61P21/00;;A61P25/28;;C07D498/10;;A61K31/5386;;A61P25/00;;A61P25/28;;C07D498/10;;A61K31/5386;;A61P21/00;;A61P25/28</x:v>
      </x:c>
      <x:c r="S458" s="87" t="str">
        <x:v>C07D498/10;;A61K31/5386;;A61P21/00;;A61P25/28</x:v>
      </x:c>
      <x:c r="T458" s="87" t="str">
        <x:v>PENDING</x:v>
      </x:c>
      <x:c r="U458" s="87" t="str">
        <x:v>https://lens.org/126-333-250-994-349</x:v>
      </x:c>
    </x:row>
    <x:row r="459">
      <x:c r="A459" s="87" t="str">
        <x:v>Esteve Pharmaceuticals.csv</x:v>
      </x:c>
      <x:c r="B459" s="87" t="str">
        <x:v>Esteve Pharmaceuticals</x:v>
      </x:c>
      <x:c r="C459" s="87" t="str">
        <x:v>TRT-0044</x:v>
      </x:c>
      <x:c r="D459" s="87" t="str">
        <x:v>Yes</x:v>
      </x:c>
      <x:c r="E459" s="87" t="str">
        <x:v>esteve pharmaceuticals</x:v>
      </x:c>
      <x:c r="F459" s="87" t="str">
        <x:v>6</x:v>
      </x:c>
      <x:c r="G459" s="87" t="str">
        <x:v>124-305-415-708-160</x:v>
      </x:c>
      <x:c r="H459" s="110" t="n">
        <x:v>40935</x:v>
      </x:c>
      <x:c r="I459" s="88" t="n">
        <x:v>2012</x:v>
      </x:c>
      <x:c r="J459" s="87" t="str">
        <x:v>US</x:v>
      </x:c>
      <x:c r="K459" s="87" t="str">
        <x:v>B2</x:v>
      </x:c>
      <x:c r="L459" s="87" t="str">
        <x:v>US 11919926 B2</x:v>
      </x:c>
      <x:c r="M459" s="87" t="str">
        <x:v>ESTEVE PHARMACEUTICALS SA;;FUNDACIO PRIVADA INST DE RECERCA DE LA SIDA—CAIXA</x:v>
      </x:c>
      <x:c r="N459" s="87" t="str">
        <x:v>CORPORACIÓN QUÍMICO-FARMACÉUTICA ESTEVE S.A (2024-10-10);;INSTITUCIO CATALANA DE RECERCA I ESTUDIS AVANCATS (2014-07-24);;FUNDACIO PRIVADA INSTITUT DE RECERCA DE LA SIDA - CAIXA (2014-07-23);;ESTEVE PHARMACEUTICALS S.A (2018-06-25)</x:v>
      </x:c>
      <x:c r="O459" s="87" t="str">
        <x:v>Method of treating HIV-1 infection utilizing a multiepitope T cell immunogen comprising Gag, Pol, Vif, and Nef epitopes</x:v>
      </x:c>
      <x:c r="P459" s="109" t="n">
        <x:v>1</x:v>
      </x:c>
      <x:c r="Q459" s="109" t="n">
        <x:v>53</x:v>
      </x:c>
      <x:c r="R459" s="87" t="str">
        <x:v>C07K14/005;;A61K39/00;;C12N2740/16022;;C12N2740/16034;;C07K14/005;;A61K39/12;;A61K39/21;;A61K2039/53;;A61K2039/545;;A61K2039/57;;A61P31/18;;C12N2740/16122;;C12N2740/16134;;Y02A50/30;;C07K14/005;;A61K39/12;;A61K39/21;;A61K2039/5256;;A61K2039/53;;A61K2039/545;;A61K2039/57;;A61K2039/575;;C07K2319/35;;C12N7/00;;C12N2740/16022;;C12N2740/16034;;C12N2740/16122;;C12N2740/16134;;C07K14/005;;A61K39/12;;A61K39/21;;A61K2039/5256;;A61K2039/53;;A61K2039/545;;A61K2039/575;;C07K2319/35;;C12N2740/16022;;C12N2740/16034;;C12N2740/16122;;C12N2740/16134;;A61K39/21;;C07K14/005;;C12N7/00;;C07K14/005;;A61K39/12;;A61K39/21;;A61K2039/5256;;A61K2039/53;;A61K2039/545;;A61K2039/57;;A61K2039/575;;C07K2319/00;;C07K2319/35;;C12N7/00;;C12N2740/16022;;C12N2740/16034;;C12N2740/16122;;C12N2740/16134;;C12N2740/16222;;C12N2740/16322</x:v>
      </x:c>
      <x:c r="S459" s="87" t="str">
        <x:v>C07K14/005;;A61K39/00;;A61K39/12;;A61K39/21;;C12N7/00</x:v>
      </x:c>
      <x:c r="T459" s="87" t="str">
        <x:v>ACTIVE</x:v>
      </x:c>
      <x:c r="U459" s="87" t="str">
        <x:v>https://lens.org/124-305-415-708-160</x:v>
      </x:c>
    </x:row>
    <x:row r="460">
      <x:c r="A460" s="87" t="str">
        <x:v>Esteve Pharmaceuticals.csv</x:v>
      </x:c>
      <x:c r="B460" s="87" t="str">
        <x:v>Esteve Pharmaceuticals</x:v>
      </x:c>
      <x:c r="C460" s="87" t="str">
        <x:v>TRT-0044</x:v>
      </x:c>
      <x:c r="D460" s="87" t="str">
        <x:v>Yes</x:v>
      </x:c>
      <x:c r="E460" s="87" t="str">
        <x:v>esteve pharmaceuticals</x:v>
      </x:c>
      <x:c r="F460" s="87" t="str">
        <x:v>7</x:v>
      </x:c>
      <x:c r="G460" s="87" t="str">
        <x:v>198-481-723-882-790</x:v>
      </x:c>
      <x:c r="H460" s="110" t="n">
        <x:v>43978</x:v>
      </x:c>
      <x:c r="I460" s="88" t="n">
        <x:v>2020</x:v>
      </x:c>
      <x:c r="J460" s="87" t="str">
        <x:v>US</x:v>
      </x:c>
      <x:c r="K460" s="87" t="str">
        <x:v>A1</x:v>
      </x:c>
      <x:c r="L460" s="87" t="str">
        <x:v>US 2024/0059690 A1</x:v>
      </x:c>
      <x:c r="M460" s="87" t="str">
        <x:v>ESTEVE PHARMACEUTICALS SA</x:v>
      </x:c>
      <x:c r="N460" s="87" t="str">
        <x:v>ESTEVE PHARMACEUTICALS S.A (2022-10-20)</x:v>
      </x:c>
      <x:c r="O460" s="87" t="str">
        <x:v>PYRAZOLO[1,5-a]PYRIMIDINE DERIVATIVES HAVING MULTIMODAL ACTIVITY AGAINST PAIN</x:v>
      </x:c>
      <x:c r="P460" s="109" t="n">
        <x:v>0</x:v>
      </x:c>
      <x:c r="Q460" s="109" t="n">
        <x:v>17</x:v>
      </x:c>
      <x:c r="R460" s="87" t="str">
        <x:v>C07D487/04;;A61P29/02;;C07D487/04;;A61P29/02;;C07D487/04;;A61K31/519;;A61P29/02;;A61P29/02;;C07D487/04</x:v>
      </x:c>
      <x:c r="S460" s="87" t="str">
        <x:v>C07D487/04;;A61P29/02</x:v>
      </x:c>
      <x:c r="T460" s="87" t="str">
        <x:v>ACTIVE</x:v>
      </x:c>
      <x:c r="U460" s="87" t="str">
        <x:v>https://lens.org/198-481-723-882-790</x:v>
      </x:c>
    </x:row>
    <x:row r="461">
      <x:c r="A461" s="87" t="str">
        <x:v>Esteve Pharmaceuticals.csv</x:v>
      </x:c>
      <x:c r="B461" s="87" t="str">
        <x:v>Esteve Pharmaceuticals</x:v>
      </x:c>
      <x:c r="C461" s="87" t="str">
        <x:v>TRT-0044</x:v>
      </x:c>
      <x:c r="D461" s="87" t="str">
        <x:v>Yes</x:v>
      </x:c>
      <x:c r="E461" s="87" t="str">
        <x:v>esteve pharmaceuticals</x:v>
      </x:c>
      <x:c r="F461" s="87" t="str">
        <x:v>9</x:v>
      </x:c>
      <x:c r="G461" s="87" t="str">
        <x:v>058-005-044-870-380</x:v>
      </x:c>
      <x:c r="H461" s="110" t="n">
        <x:v>43599</x:v>
      </x:c>
      <x:c r="I461" s="88" t="n">
        <x:v>2019</x:v>
      </x:c>
      <x:c r="J461" s="87" t="str">
        <x:v>US</x:v>
      </x:c>
      <x:c r="K461" s="87" t="str">
        <x:v>A1</x:v>
      </x:c>
      <x:c r="L461" s="87" t="str">
        <x:v>US 2023/0020469 A1</x:v>
      </x:c>
      <x:c r="M461" s="87" t="str">
        <x:v>ESTEVE PHARMACEUTICALS SA</x:v>
      </x:c>
      <x:c r="N461" s="87" t="str">
        <x:v>ESTEVE PHARMACEUTICALS S.A (2021-10-20)</x:v>
      </x:c>
      <x:c r="O461" s="87" t="str">
        <x:v>USE OF CO-CRYSTALS OF TRAMADOL AND CELECOXIB FOR TREATING PAIN WHILE REDUCING THE ABUSE LIABILITY OF TRAMADOL</x:v>
      </x:c>
      <x:c r="P461" s="109" t="n">
        <x:v>0</x:v>
      </x:c>
      <x:c r="Q461" s="109" t="n">
        <x:v>23</x:v>
      </x:c>
      <x:c r="R461" s="87" t="str">
        <x:v>A61K31/135;;A61K31/415;;A61P29/00;;A61K31/135;;A61K31/415;;A61K47/32;;A61K2300/00;;A61P29/00;;C07B2200/13;;A61K31/415;;A61K9/14;;A61K31/135;;A61K2300/00;;A61P29/00;;C07B2200/13;;A61K31/135;;A61K9/0053;;A61K9/20;;A61K31/415;;A61K31/635;;A61K47/32;;C07B2200/13</x:v>
      </x:c>
      <x:c r="S461" s="87" t="str">
        <x:v>A61K31/135;;A61K9/00;;A61K9/20;;A61K31/635;;A61K47/32</x:v>
      </x:c>
      <x:c r="T461" s="87" t="str">
        <x:v>DISCONTINUED</x:v>
      </x:c>
      <x:c r="U461" s="87" t="str">
        <x:v>https://lens.org/058-005-044-870-380</x:v>
      </x:c>
    </x:row>
    <x:row r="462">
      <x:c r="A462" s="87" t="str">
        <x:v>Esteve Pharmaceuticals.csv</x:v>
      </x:c>
      <x:c r="B462" s="87" t="str">
        <x:v>Esteve Pharmaceuticals</x:v>
      </x:c>
      <x:c r="C462" s="87" t="str">
        <x:v>TRT-0044</x:v>
      </x:c>
      <x:c r="D462" s="87" t="str">
        <x:v>Yes</x:v>
      </x:c>
      <x:c r="E462" s="87" t="str">
        <x:v>esteve pharmaceuticals</x:v>
      </x:c>
      <x:c r="F462" s="87" t="str">
        <x:v>10</x:v>
      </x:c>
      <x:c r="G462" s="87" t="str">
        <x:v>068-851-411-888-167</x:v>
      </x:c>
      <x:c r="H462" s="110" t="n">
        <x:v>43748</x:v>
      </x:c>
      <x:c r="I462" s="88" t="n">
        <x:v>2019</x:v>
      </x:c>
      <x:c r="J462" s="87" t="str">
        <x:v>US</x:v>
      </x:c>
      <x:c r="K462" s="87" t="str">
        <x:v>A1</x:v>
      </x:c>
      <x:c r="L462" s="87" t="str">
        <x:v>US 2022/0380345 A1</x:v>
      </x:c>
      <x:c r="M462" s="87" t="str">
        <x:v>ESTEVE PHARMACEUTICALS SA</x:v>
      </x:c>
      <x:c r="N462" s="87" t="str">
        <x:v>ESTEVE PHARMACEUTICALS S.A (2022-03-10)</x:v>
      </x:c>
      <x:c r="O462" s="87" t="str">
        <x:v>HOMOPIPERAZINYL AND HOMOPIPERIDINYL QUINAZOLIN-4(3H)-ONE DERIVATIVES HAVING MULTIMODAL ACTIVITY AGAINST PAIN</x:v>
      </x:c>
      <x:c r="P462" s="109" t="n">
        <x:v>0</x:v>
      </x:c>
      <x:c r="Q462" s="109" t="n">
        <x:v>19</x:v>
      </x:c>
      <x:c r="R462" s="87" t="str">
        <x:v>C07D403/06;;A61K31/551;;A61P25/04;;A61P25/06;;A61P29/00;;C07B2200/07;;C07D401/14;;C07D405/14;;C07D471/04;;C07D471/08;;A61P25/04;;C07D401/14;;C07D403/06;;C07D405/14;;C07D471/04;;C07D471/08;;A61P25/04;;C07D401/14;;C07D403/06;;C07D405/14;;C07D471/04;;C07D471/08;;C07D403/04;;A61K31/551;;A61P25/04;;A61P29/00;;C07D401/14;;C07D405/14;;C07D471/04;;C07D471/08;;C07D403/06;;C07D471/04;;C07D471/08</x:v>
      </x:c>
      <x:c r="S462" s="87" t="str">
        <x:v>C07D403/06;;C07D471/04;;C07D471/08</x:v>
      </x:c>
      <x:c r="T462" s="87" t="str">
        <x:v>ACTIVE</x:v>
      </x:c>
      <x:c r="U462" s="87" t="str">
        <x:v>https://lens.org/068-851-411-888-167</x:v>
      </x:c>
    </x:row>
    <x:row r="463">
      <x:c r="A463" s="87" t="str">
        <x:v>Esteve Pharmaceuticals.csv</x:v>
      </x:c>
      <x:c r="B463" s="87" t="str">
        <x:v>Esteve Pharmaceuticals</x:v>
      </x:c>
      <x:c r="C463" s="87" t="str">
        <x:v>TRT-0044</x:v>
      </x:c>
      <x:c r="D463" s="87" t="str">
        <x:v>Yes</x:v>
      </x:c>
      <x:c r="E463" s="87" t="str">
        <x:v>esteve pharmaceuticals</x:v>
      </x:c>
      <x:c r="F463" s="87" t="str">
        <x:v>11</x:v>
      </x:c>
      <x:c r="G463" s="87" t="str">
        <x:v>070-602-903-007-201</x:v>
      </x:c>
      <x:c r="H463" s="110" t="n">
        <x:v>42249</x:v>
      </x:c>
      <x:c r="I463" s="88" t="n">
        <x:v>2015</x:v>
      </x:c>
      <x:c r="J463" s="87" t="str">
        <x:v>EP</x:v>
      </x:c>
      <x:c r="K463" s="87" t="str">
        <x:v>B1</x:v>
      </x:c>
      <x:c r="L463" s="87" t="str">
        <x:v>EP 3344620 B1</x:v>
      </x:c>
      <x:c r="M463" s="87" t="str">
        <x:v>ESTEVE PHARMACEUTICALS SA</x:v>
      </x:c>
      <x:c r="N463" s="87" t="str">
        <x:v>ESTEVE PHARMACEUTICALS, S.A. (2018-09-12)</x:v>
      </x:c>
      <x:c r="O463" s="87" t="str">
        <x:v>1-(4-(2-((1-(3,4-DIFLUOROPHENYL)-1H-PYRAZOL-3-YL)METHOXY)ETHYL) PIPERAZIN-1-YL)ETHANONE SALTS</x:v>
      </x:c>
      <x:c r="P463" s="109" t="n">
        <x:v>0</x:v>
      </x:c>
      <x:c r="Q463" s="109" t="n">
        <x:v>26</x:v>
      </x:c>
      <x:c r="R463" s="87" t="str">
        <x:v>C07D231/12;;A61P1/12;;A61P3/04;;A61P9/06;;A61P9/10;;A61P9/12;;A61P17/02;;A61P19/02;;A61P25/00;;A61P25/04;;A61P25/06;;A61P25/08;;A61P25/14;;A61P25/18;;A61P25/22;;A61P25/24;;A61P25/28;;A61P25/30;;A61P25/32;;A61P25/34;;A61P25/36;;A61P29/00;;A61P35/00;;A61P37/06;;A61P43/00;;C07D403/12;;C07D403/12;;A61K31/496;;A61P1/12;;A61P3/04;;A61P9/12;;A61P25/06;;C07B2200/13;;A61K31/496;;A61P1/12;;A61P3/04;;A61P9/08;;A61P9/10;;A61P9/12;;A61P19/02;;A61P25/06;;A61P25/08;;A61P25/14;;A61P25/24;;A61P25/28;;A61P25/30;;A61P35/00;;A61P37/00;;C07D231/12;;C07D403/12;;C07D231/12;;C07B2200/13;;C07D403/12</x:v>
      </x:c>
      <x:c r="S463" s="87" t="str">
        <x:v>C07D403/12;;A61K31/496;;A61P25/34</x:v>
      </x:c>
      <x:c r="T463" s="87" t="str">
        <x:v>ACTIVE</x:v>
      </x:c>
      <x:c r="U463" s="87" t="str">
        <x:v>https://lens.org/070-602-903-007-201</x:v>
      </x:c>
    </x:row>
    <x:row r="464">
      <x:c r="A464" s="87" t="str">
        <x:v>Esteve Pharmaceuticals.csv</x:v>
      </x:c>
      <x:c r="B464" s="87" t="str">
        <x:v>Esteve Pharmaceuticals</x:v>
      </x:c>
      <x:c r="C464" s="87" t="str">
        <x:v>TRT-0044</x:v>
      </x:c>
      <x:c r="D464" s="87" t="str">
        <x:v>Yes</x:v>
      </x:c>
      <x:c r="E464" s="87" t="str">
        <x:v>esteve pharmaceuticals</x:v>
      </x:c>
      <x:c r="F464" s="87" t="str">
        <x:v>12</x:v>
      </x:c>
      <x:c r="G464" s="87" t="str">
        <x:v>045-157-088-672-280</x:v>
      </x:c>
      <x:c r="H464" s="110" t="n">
        <x:v>42300</x:v>
      </x:c>
      <x:c r="I464" s="88" t="n">
        <x:v>2015</x:v>
      </x:c>
      <x:c r="J464" s="87" t="str">
        <x:v>EP</x:v>
      </x:c>
      <x:c r="K464" s="87" t="str">
        <x:v>B1</x:v>
      </x:c>
      <x:c r="L464" s="87" t="str">
        <x:v>EP 3365338 B1</x:v>
      </x:c>
      <x:c r="M464" s="87" t="str">
        <x:v>ESTEVE PHARMACEUTICALS SA</x:v>
      </x:c>
      <x:c r="N464" s="87" t="str">
        <x:v>ESTEVE PHARMACEUTICALS, S.A. (2018-09-12)</x:v>
      </x:c>
      <x:c r="O464" s="87" t="str">
        <x:v>SUBSTITUTED MORPHOLINE DERIVATIVES HAVING ACTIVITY AGAINST PAIN</x:v>
      </x:c>
      <x:c r="P464" s="109" t="n">
        <x:v>0</x:v>
      </x:c>
      <x:c r="Q464" s="109" t="n">
        <x:v>15</x:v>
      </x:c>
      <x:c r="R464" s="87" t="str">
        <x:v>C07D413/04;;A61P29/00;;C07D413/04;;A61P29/00</x:v>
      </x:c>
      <x:c r="S464" s="87" t="str">
        <x:v>C07D413/04;;A61K31/5377</x:v>
      </x:c>
      <x:c r="T464" s="87" t="str">
        <x:v>ACTIVE</x:v>
      </x:c>
      <x:c r="U464" s="87" t="str">
        <x:v>https://lens.org/045-157-088-672-280</x:v>
      </x:c>
    </x:row>
    <x:row r="465">
      <x:c r="A465" s="87" t="str">
        <x:v>Esteve Pharmaceuticals.csv</x:v>
      </x:c>
      <x:c r="B465" s="87" t="str">
        <x:v>Esteve Pharmaceuticals</x:v>
      </x:c>
      <x:c r="C465" s="87" t="str">
        <x:v>TRT-0044</x:v>
      </x:c>
      <x:c r="D465" s="87" t="str">
        <x:v>Yes</x:v>
      </x:c>
      <x:c r="E465" s="87" t="str">
        <x:v>esteve pharmaceuticals</x:v>
      </x:c>
      <x:c r="F465" s="87" t="str">
        <x:v>13</x:v>
      </x:c>
      <x:c r="G465" s="87" t="str">
        <x:v>050-078-511-627-803</x:v>
      </x:c>
      <x:c r="H465" s="110" t="n">
        <x:v>43035</x:v>
      </x:c>
      <x:c r="I465" s="88" t="n">
        <x:v>2017</x:v>
      </x:c>
      <x:c r="J465" s="87" t="str">
        <x:v>US</x:v>
      </x:c>
      <x:c r="K465" s="87" t="str">
        <x:v>B2</x:v>
      </x:c>
      <x:c r="L465" s="87" t="str">
        <x:v>US 11401270 B2</x:v>
      </x:c>
      <x:c r="M465" s="87" t="str">
        <x:v>ESTEVE PHARMACEUTICALS SA</x:v>
      </x:c>
      <x:c r="N465" s="87" t="str">
        <x:v>ESTEVE PHARMACEUTICALS S.A (2020-05-22)</x:v>
      </x:c>
      <x:c r="O465" s="87" t="str">
        <x:v>Alcoxyamino derivatives for treating pain and pain related conditions</x:v>
      </x:c>
      <x:c r="P465" s="109" t="n">
        <x:v>0</x:v>
      </x:c>
      <x:c r="Q465" s="109" t="n">
        <x:v>22</x:v>
      </x:c>
      <x:c r="R465" s="87" t="str">
        <x:v>C07D243/08;;A61P29/00;;C07D223/10;;C07D243/14;;C07D409/12;;C07D487/02;;C07D243/08;;A61P29/00;;C07D223/10;;C07D243/14;;C07D409/12;;C07D487/02;;C07D409/12;;A61K31/55;;A61K31/551;;A61P29/00;;C07D223/10;;C07D471/04;;C07D487/04;;C07D487/04;;C07D223/10;;C07D243/08;;C07D243/14;;C07D409/12;;C07D471/04</x:v>
      </x:c>
      <x:c r="S465" s="87" t="str">
        <x:v>C07D471/04;;A61P29/00;;C07D223/10;;C07D243/08;;C07D243/14;;C07D409/12;;C07D487/02;;C07D487/04</x:v>
      </x:c>
      <x:c r="T465" s="87" t="str">
        <x:v>ACTIVE</x:v>
      </x:c>
      <x:c r="U465" s="87" t="str">
        <x:v>https://lens.org/050-078-511-627-803</x:v>
      </x:c>
    </x:row>
    <x:row r="466">
      <x:c r="A466" s="87" t="str">
        <x:v>Esteve Pharmaceuticals.csv</x:v>
      </x:c>
      <x:c r="B466" s="87" t="str">
        <x:v>Esteve Pharmaceuticals</x:v>
      </x:c>
      <x:c r="C466" s="87" t="str">
        <x:v>TRT-0044</x:v>
      </x:c>
      <x:c r="D466" s="87" t="str">
        <x:v>Yes</x:v>
      </x:c>
      <x:c r="E466" s="87" t="str">
        <x:v>esteve pharmaceuticals</x:v>
      </x:c>
      <x:c r="F466" s="87" t="str">
        <x:v>14</x:v>
      </x:c>
      <x:c r="G466" s="87" t="str">
        <x:v>027-924-456-405-63X</x:v>
      </x:c>
      <x:c r="H466" s="110" t="n">
        <x:v>42643</x:v>
      </x:c>
      <x:c r="I466" s="88" t="n">
        <x:v>2016</x:v>
      </x:c>
      <x:c r="J466" s="87" t="str">
        <x:v>US</x:v>
      </x:c>
      <x:c r="K466" s="87" t="str">
        <x:v>B2</x:v>
      </x:c>
      <x:c r="L466" s="87" t="str">
        <x:v>US 11338046 B2</x:v>
      </x:c>
      <x:c r="M466" s="87" t="str">
        <x:v>ESTEVE PHARMACEUTICALS SA;;UNIV BARCELONA AUTONOMA</x:v>
      </x:c>
      <x:c r="N466" s="87" t="str">
        <x:v>UNIVERSITAT AUTÓNOMA DE BARCELONA (2019-05-02);;ESTEVE PHARMACEUTICALS S.A (2019-05-02)</x:v>
      </x:c>
      <x:c r="O466" s="87" t="str">
        <x:v>Adenoassociated virus vectors for the treatment of mucopolysaccharidoses</x:v>
      </x:c>
      <x:c r="P466" s="109" t="n">
        <x:v>0</x:v>
      </x:c>
      <x:c r="Q466" s="109" t="n">
        <x:v>15</x:v>
      </x:c>
      <x:c r="R466" s="87" t="str">
        <x:v>C12N9/16;;A01K2217/075;;A01K2227/105;;A01K2267/0362;;A61K38/465;;A61P3/00;;C12N15/86;;C12N2750/14143;;C12N2830/15;;C12N2830/90;;C12Y301/06014;;A61K48/0066;;A01K2217/075;;A01K2227/105;;A01K2267/0362;;A61K38/465;;A61P3/00;;C12N9/16;;C12N15/86;;C12N2750/14143;;C12N2830/15;;C12N2830/90;;C12Y301/06014</x:v>
      </x:c>
      <x:c r="S466" s="87" t="str">
        <x:v>A61K48/00;;A61K38/46;;A61P3/00;;C12N9/16;;C12N15/86</x:v>
      </x:c>
      <x:c r="T466" s="87" t="str">
        <x:v>INACTIVE</x:v>
      </x:c>
      <x:c r="U466" s="87" t="str">
        <x:v>https://lens.org/027-924-456-405-63X</x:v>
      </x:c>
    </x:row>
    <x:row r="467">
      <x:c r="A467" s="87" t="str">
        <x:v>Esteve Pharmaceuticals.csv</x:v>
      </x:c>
      <x:c r="B467" s="87" t="str">
        <x:v>Esteve Pharmaceuticals</x:v>
      </x:c>
      <x:c r="C467" s="87" t="str">
        <x:v>TRT-0044</x:v>
      </x:c>
      <x:c r="D467" s="87" t="str">
        <x:v>Yes</x:v>
      </x:c>
      <x:c r="E467" s="87" t="str">
        <x:v>esteve pharmaceuticals</x:v>
      </x:c>
      <x:c r="F467" s="87" t="str">
        <x:v>15</x:v>
      </x:c>
      <x:c r="G467" s="87" t="str">
        <x:v>147-715-999-499-628</x:v>
      </x:c>
      <x:c r="H467" s="110" t="n">
        <x:v>42160</x:v>
      </x:c>
      <x:c r="I467" s="88" t="n">
        <x:v>2015</x:v>
      </x:c>
      <x:c r="J467" s="87" t="str">
        <x:v>AU</x:v>
      </x:c>
      <x:c r="K467" s="87" t="str">
        <x:v>B2</x:v>
      </x:c>
      <x:c r="L467" s="87" t="str">
        <x:v>AU 2016/273343 B2</x:v>
      </x:c>
      <x:c r="M467" s="87" t="str">
        <x:v>ESTEVE PHARMACEUTICALS SA;;UNIV BARCELONA AUTONOMA</x:v>
      </x:c>
      <x:c r="N467" s="87" t="str">
        <x:v>UNIVERSITAT AUTONOMA DE BARCELONA (2018-09-20);;ESTEVE PHARMACEUTICALS, S.A. (2018-09-20)</x:v>
      </x:c>
      <x:c r="O467" s="87" t="str">
        <x:v>Adenoassociated virus vectors for the treatment of mucopolysaccharidoses</x:v>
      </x:c>
      <x:c r="P467" s="109" t="n">
        <x:v>0</x:v>
      </x:c>
      <x:c r="Q467" s="109" t="n">
        <x:v>35</x:v>
      </x:c>
      <x:c r="R467" s="87" t="str">
        <x:v>A61K48/00;;C12N9/16;;C12N2750/14143;;C12N2800/22;;C12Y301/06013;;A61P43/00;;C12N9/16;;A61K48/00;;A61K48/0016;;A61K48/0066;;A61K48/0075;;A61K9/0019;;A61P43/00;;C12N15/79;;C12N15/86;;C12N2750/14143;;C12N2800/22;;C12Y301/06013;;A61K48/00;;C12N9/16;;C12N15/86;;C12N2750/14143;;C12N2800/22;;C12Y301/06013;;A61K48/00;;A61K48/0016;;A61K48/0066;;A61K48/0075;;A61K9/0019;;A61P43/00;;C12N15/79;;C12N15/86;;C12N9/16;;C12Y301/06013;;C12N9/16;;C12Y301/06013;;A61K48/00;;C12N2800/22;;C12N2750/14143;;A61P43/00;;A61K9/0019;;A61K48/0016;;A61K48/0066;;A61K48/0075;;C12N15/79</x:v>
      </x:c>
      <x:c r="S467" s="87" t="str">
        <x:v>C12N9/16;;A61K48/00;;C12N15/864</x:v>
      </x:c>
      <x:c r="T467" s="87" t="str">
        <x:v>INACTIVE</x:v>
      </x:c>
      <x:c r="U467" s="87" t="str">
        <x:v>https://lens.org/147-715-999-499-628</x:v>
      </x:c>
    </x:row>
    <x:row r="468">
      <x:c r="A468" s="87" t="str">
        <x:v>Esteve Pharmaceuticals.csv</x:v>
      </x:c>
      <x:c r="B468" s="87" t="str">
        <x:v>Esteve Pharmaceuticals</x:v>
      </x:c>
      <x:c r="C468" s="87" t="str">
        <x:v>TRT-0044</x:v>
      </x:c>
      <x:c r="D468" s="87" t="str">
        <x:v>Yes</x:v>
      </x:c>
      <x:c r="E468" s="87" t="str">
        <x:v>esteve pharmaceuticals</x:v>
      </x:c>
      <x:c r="F468" s="87" t="str">
        <x:v>16</x:v>
      </x:c>
      <x:c r="G468" s="87" t="str">
        <x:v>067-128-368-294-881</x:v>
      </x:c>
      <x:c r="H468" s="110" t="n">
        <x:v>43454</x:v>
      </x:c>
      <x:c r="I468" s="88" t="n">
        <x:v>2018</x:v>
      </x:c>
      <x:c r="J468" s="87" t="str">
        <x:v>US</x:v>
      </x:c>
      <x:c r="K468" s="87" t="str">
        <x:v>A1</x:v>
      </x:c>
      <x:c r="L468" s="87" t="str">
        <x:v>US 2022/0042043 A1</x:v>
      </x:c>
      <x:c r="M468" s="87" t="str">
        <x:v>ESTEVE PHARMACEUTICALS SA;;UNIV AUTÒNOMA DE BARCELONA</x:v>
      </x:c>
      <x:c r="N468" s="87" t="str">
        <x:v>UNIVERSITAT AUTÓNOMA DE BARCELONA (2021-06-10);;ESTEVE PHARMACEUTICALS S.A (2021-06-10)</x:v>
      </x:c>
      <x:c r="O468" s="87" t="str">
        <x:v>RECOMBINANT VECTORS FOR THE LONG TERM TREATMENT OF MUCCHOPOLYSACHARIDOSIS</x:v>
      </x:c>
      <x:c r="P468" s="109" t="n">
        <x:v>0</x:v>
      </x:c>
      <x:c r="Q468" s="109" t="n">
        <x:v>6</x:v>
      </x:c>
      <x:c r="R468" s="87" t="str">
        <x:v>A61K38/46;;A61P3/00;;C12N15/86;;C12N2750/14143;;C12Y310/01001;;C12N15/86;;A61K38/46;;C12N9/14;;C12Y310/01001</x:v>
      </x:c>
      <x:c r="S468" s="87" t="str">
        <x:v>C12N15/86;;A61K38/46;;C12N9/14</x:v>
      </x:c>
      <x:c r="T468" s="87" t="str">
        <x:v>DISCONTINUED</x:v>
      </x:c>
      <x:c r="U468" s="87" t="str">
        <x:v>https://lens.org/067-128-368-294-881</x:v>
      </x:c>
    </x:row>
    <x:row r="469">
      <x:c r="A469" s="87" t="str">
        <x:v>Esteve Pharmaceuticals.csv</x:v>
      </x:c>
      <x:c r="B469" s="87" t="str">
        <x:v>Esteve Pharmaceuticals</x:v>
      </x:c>
      <x:c r="C469" s="87" t="str">
        <x:v>TRT-0044</x:v>
      </x:c>
      <x:c r="D469" s="87" t="str">
        <x:v>Yes</x:v>
      </x:c>
      <x:c r="E469" s="87" t="str">
        <x:v>esteve pharmaceuticals</x:v>
      </x:c>
      <x:c r="F469" s="87" t="str">
        <x:v>17</x:v>
      </x:c>
      <x:c r="G469" s="87" t="str">
        <x:v>127-706-225-858-842</x:v>
      </x:c>
      <x:c r="H469" s="110" t="n">
        <x:v>43025</x:v>
      </x:c>
      <x:c r="I469" s="88" t="n">
        <x:v>2017</x:v>
      </x:c>
      <x:c r="J469" s="87" t="str">
        <x:v>US</x:v>
      </x:c>
      <x:c r="K469" s="87" t="str">
        <x:v>B2</x:v>
      </x:c>
      <x:c r="L469" s="87" t="str">
        <x:v>US 11236110 B2</x:v>
      </x:c>
      <x:c r="M469" s="87" t="str">
        <x:v>ESTEVE PHARMACEUTICALS SA</x:v>
      </x:c>
      <x:c r="N469" s="87" t="str">
        <x:v>ACONDICIONAMIENTO TARRASENSE (2022-02-03);;ESTEVE PHARMACEUTICALS S.A (2020-04-29)</x:v>
      </x:c>
      <x:c r="O469" s="87" t="str">
        <x:v>Salts of (R)-9-(2,5-difluorophenethyl)-4-ethyl-2-methyl-1-oxa-4,9-diazaspiro[5.5]undecan-3-one</x:v>
      </x:c>
      <x:c r="P469" s="109" t="n">
        <x:v>0</x:v>
      </x:c>
      <x:c r="Q469" s="109" t="n">
        <x:v>33</x:v>
      </x:c>
      <x:c r="R469" s="87" t="str">
        <x:v>C07D498/10;;A61P29/00;;A61K31/5386;;A61P29/00;;C07B2200/13;;C07D498/10;;C07D498/10;;A61K31/5386;;A61P29/00;;C07B2200/13;;C07D498/10;;C07B2200/13</x:v>
      </x:c>
      <x:c r="S469" s="87" t="str">
        <x:v>A61K31/5386;;A61P29/00;;C07D498/10</x:v>
      </x:c>
      <x:c r="T469" s="87" t="str">
        <x:v>INACTIVE</x:v>
      </x:c>
      <x:c r="U469" s="87" t="str">
        <x:v>https://lens.org/127-706-225-858-842</x:v>
      </x:c>
    </x:row>
    <x:row r="470">
      <x:c r="A470" s="87" t="str">
        <x:v>Esteve Pharmaceuticals.csv</x:v>
      </x:c>
      <x:c r="B470" s="87" t="str">
        <x:v>Esteve Pharmaceuticals</x:v>
      </x:c>
      <x:c r="C470" s="87" t="str">
        <x:v>TRT-0044</x:v>
      </x:c>
      <x:c r="D470" s="87" t="str">
        <x:v>Yes</x:v>
      </x:c>
      <x:c r="E470" s="87" t="str">
        <x:v>esteve pharmaceuticals</x:v>
      </x:c>
      <x:c r="F470" s="87" t="str">
        <x:v>18</x:v>
      </x:c>
      <x:c r="G470" s="87" t="str">
        <x:v>156-444-453-729-166</x:v>
      </x:c>
      <x:c r="H470" s="110" t="n">
        <x:v>43406</x:v>
      </x:c>
      <x:c r="I470" s="88" t="n">
        <x:v>2018</x:v>
      </x:c>
      <x:c r="J470" s="87" t="str">
        <x:v>US</x:v>
      </x:c>
      <x:c r="K470" s="87" t="str">
        <x:v>A1</x:v>
      </x:c>
      <x:c r="L470" s="87" t="str">
        <x:v>US 2021/0395254 A1</x:v>
      </x:c>
      <x:c r="M470" s="87" t="str">
        <x:v>ESTEVE PHARMACEUTICALS SA</x:v>
      </x:c>
      <x:c r="N470" s="87" t="str">
        <x:v>ESTEVE PHARMACEUTICALS S.A (2021-06-08)</x:v>
      </x:c>
      <x:c r="O470" s="87" t="str">
        <x:v>NEW TETRAHYDROPYRIMIDODIAZEPIN AND TETRAHYDROPYRIDODIAZEPIN COMPOUNDS FOR TREATING PAIN AND PAIN RELATED CONDITIONS</x:v>
      </x:c>
      <x:c r="P470" s="109" t="n">
        <x:v>0</x:v>
      </x:c>
      <x:c r="Q470" s="109" t="n">
        <x:v>5</x:v>
      </x:c>
      <x:c r="R470" s="87" t="str">
        <x:v>C07D471/04;;A61P25/00;;C07D487/04;;C07D487/04;;C07D471/04</x:v>
      </x:c>
      <x:c r="S470" s="87" t="str">
        <x:v>C07D487/04;;C07D471/04</x:v>
      </x:c>
      <x:c r="T470" s="87" t="str">
        <x:v>DISCONTINUED</x:v>
      </x:c>
      <x:c r="U470" s="87" t="str">
        <x:v>https://lens.org/156-444-453-729-166</x:v>
      </x:c>
    </x:row>
    <x:row r="471">
      <x:c r="A471" s="87" t="str">
        <x:v>Esteve Pharmaceuticals.csv</x:v>
      </x:c>
      <x:c r="B471" s="87" t="str">
        <x:v>Esteve Pharmaceuticals</x:v>
      </x:c>
      <x:c r="C471" s="87" t="str">
        <x:v>TRT-0044</x:v>
      </x:c>
      <x:c r="D471" s="87" t="str">
        <x:v>Yes</x:v>
      </x:c>
      <x:c r="E471" s="87" t="str">
        <x:v>esteve pharmaceuticals</x:v>
      </x:c>
      <x:c r="F471" s="87" t="str">
        <x:v>19</x:v>
      </x:c>
      <x:c r="G471" s="87" t="str">
        <x:v>089-874-684-753-923</x:v>
      </x:c>
      <x:c r="H471" s="110" t="n">
        <x:v>43406</x:v>
      </x:c>
      <x:c r="I471" s="88" t="n">
        <x:v>2018</x:v>
      </x:c>
      <x:c r="J471" s="87" t="str">
        <x:v>US</x:v>
      </x:c>
      <x:c r="K471" s="87" t="str">
        <x:v>A1</x:v>
      </x:c>
      <x:c r="L471" s="87" t="str">
        <x:v>US 2021/0395249 A1</x:v>
      </x:c>
      <x:c r="M471" s="87" t="str">
        <x:v>ESTEVE PHARMACEUTICALS SA</x:v>
      </x:c>
      <x:c r="N471" s="87" t="str">
        <x:v>ESTEVE PHARMACEUTICALS S.A (2021-06-02)</x:v>
      </x:c>
      <x:c r="O471" s="87" t="str">
        <x:v>NEW ALKOXYAMINOPYRIDINE DERIVATIVES FOR TREATING PAIN AND PAIN RELATED CONDITIONS</x:v>
      </x:c>
      <x:c r="P471" s="109" t="n">
        <x:v>0</x:v>
      </x:c>
      <x:c r="Q471" s="109" t="n">
        <x:v>7</x:v>
      </x:c>
      <x:c r="R471" s="87" t="str">
        <x:v>C07D471/04;;A61P25/00;;A61P29/00;;C07D471/04</x:v>
      </x:c>
      <x:c r="S471" s="87" t="str">
        <x:v>C07D471/04</x:v>
      </x:c>
      <x:c r="T471" s="87" t="str">
        <x:v>DISCONTINUED</x:v>
      </x:c>
      <x:c r="U471" s="87" t="str">
        <x:v>https://lens.org/089-874-684-753-923</x:v>
      </x:c>
    </x:row>
    <x:row r="472">
      <x:c r="A472" s="87" t="str">
        <x:v>Esteve Pharmaceuticals.csv</x:v>
      </x:c>
      <x:c r="B472" s="87" t="str">
        <x:v>Esteve Pharmaceuticals</x:v>
      </x:c>
      <x:c r="C472" s="87" t="str">
        <x:v>TRT-0044</x:v>
      </x:c>
      <x:c r="D472" s="87" t="str">
        <x:v>Yes</x:v>
      </x:c>
      <x:c r="E472" s="87" t="str">
        <x:v>esteve pharmaceuticals</x:v>
      </x:c>
      <x:c r="F472" s="87" t="str">
        <x:v>20</x:v>
      </x:c>
      <x:c r="G472" s="87" t="str">
        <x:v>124-135-940-268-539</x:v>
      </x:c>
      <x:c r="H472" s="110" t="n">
        <x:v>41773</x:v>
      </x:c>
      <x:c r="I472" s="88" t="n">
        <x:v>2014</x:v>
      </x:c>
      <x:c r="J472" s="87" t="str">
        <x:v>US</x:v>
      </x:c>
      <x:c r="K472" s="87" t="str">
        <x:v>B2</x:v>
      </x:c>
      <x:c r="L472" s="87" t="str">
        <x:v>US 11149285 B2</x:v>
      </x:c>
      <x:c r="M472" s="87" t="str">
        <x:v>UNIV BARCELONA AUTONOMA;;ESTEVE PHARMACEUTICALS SA</x:v>
      </x:c>
      <x:c r="N472" s="87" t="str">
        <x:v>UNIVERSITAT AUTÓNOMA DE BARCELONA (2016-12-22);;ESTEVE PHARMACEUTICALS S.A (2016-12-22)</x:v>
      </x:c>
      <x:c r="O472" s="87" t="str">
        <x:v>Adenoassociated virus vectors for the treatment of lysosomal storage disorders</x:v>
      </x:c>
      <x:c r="P472" s="109" t="n">
        <x:v>2</x:v>
      </x:c>
      <x:c r="Q472" s="109" t="n">
        <x:v>36</x:v>
      </x:c>
      <x:c r="R472" s="87" t="str">
        <x:v>C12N15/86;;A61K9/0019;;A61K9/0085;;A61K48/005;;C12N9/2402;;C12N2750/14143;;C12N2830/008;;C12N2840/105;;C12Y302/0105;;C12N15/86;;A61K38/47;;A61K48/005;;A61K48/0075;;A61P1/16;;A61P3/00;;A61P13/00;;A61P19/08;;A61P25/00;;A61P43/00;;C12N9/2474;;C12N2750/14143;;C12N2800/22;;C12N2830/008;;C12N2840/105;;C12Y302/0105;;C12N15/86;;A61K9/0019;;A61K9/0085;;A61K38/47;;A61K48/00;;A61K48/005;;A61K48/0075;;A61P1/16;;A61P3/00;;A61P13/00;;A61P19/08;;A61P25/00;;A61P43/00;;C12N9/2402;;C12N9/2474;;C12N2750/14143;;C12N2800/22;;C12N2830/008;;C12N2840/105;;C12Y302/0105;;C12N15/86;;A61K38/47;;A61K48/00;;C12N9/2402;;C12N2750/14143;;C12N2830/008;;C12N2840/105;;C12Y302/0105;;A61K38/47;;A61K48/005;;C12N9/2474;;C12N15/86;;C12Y302/0105;;C12N15/86;;A61K38/47;;A61K48/00;;A61K48/005;;A61K48/0075;;C12N9/2474;;C12N2750/14143;;C12N2800/22;;C12N2830/008;;C12N2840/105;;C12Y302/0105</x:v>
      </x:c>
      <x:c r="S472" s="87" t="str">
        <x:v>A01N63/00;;A61K38/47;;A61K48/00;;C12N9/26;;C12N15/86</x:v>
      </x:c>
      <x:c r="T472" s="87" t="str">
        <x:v>INACTIVE</x:v>
      </x:c>
      <x:c r="U472" s="87" t="str">
        <x:v>https://lens.org/124-135-940-268-539</x:v>
      </x:c>
    </x:row>
    <x:row r="473">
      <x:c r="A473" s="87" t="str">
        <x:v>Esteve Pharmaceuticals.csv</x:v>
      </x:c>
      <x:c r="B473" s="87" t="str">
        <x:v>Esteve Pharmaceuticals</x:v>
      </x:c>
      <x:c r="C473" s="87" t="str">
        <x:v>TRT-0044</x:v>
      </x:c>
      <x:c r="D473" s="87" t="str">
        <x:v>Yes</x:v>
      </x:c>
      <x:c r="E473" s="87" t="str">
        <x:v>esteve pharmaceuticals</x:v>
      </x:c>
      <x:c r="F473" s="87" t="str">
        <x:v>21</x:v>
      </x:c>
      <x:c r="G473" s="87" t="str">
        <x:v>077-738-369-924-495</x:v>
      </x:c>
      <x:c r="H473" s="110" t="n">
        <x:v>43024</x:v>
      </x:c>
      <x:c r="I473" s="88" t="n">
        <x:v>2017</x:v>
      </x:c>
      <x:c r="J473" s="87" t="str">
        <x:v>US</x:v>
      </x:c>
      <x:c r="K473" s="87" t="str">
        <x:v>B2</x:v>
      </x:c>
      <x:c r="L473" s="87" t="str">
        <x:v>US 11111220 B2</x:v>
      </x:c>
      <x:c r="M473" s="87" t="str">
        <x:v>ESTEVE PHARMACEUTICALS SA</x:v>
      </x:c>
      <x:c r="N473" s="87" t="str">
        <x:v>ESTEVE PHARMACEUTICALS S.A (2020-04-21)</x:v>
      </x:c>
      <x:c r="O473" s="87" t="str">
        <x:v>Propanamine derivatives for treating pain and pain related conditions</x:v>
      </x:c>
      <x:c r="P473" s="109" t="n">
        <x:v>0</x:v>
      </x:c>
      <x:c r="Q473" s="109" t="n">
        <x:v>7</x:v>
      </x:c>
      <x:c r="R473" s="87" t="str">
        <x:v>C07C235/56;;A61P25/00;;A61P29/00;;C07C217/76;;C07C233/25;;C07C233/67;;C07C233/76;;C07C235/46;;C07C235/50;;C07C237/06;;C07C237/40;;C07D211/58;;C07D213/40;;C07D213/75;;C07D213/82;;C07D239/26;;C07D239/28;;C07D239/34;;C07D239/38;;C07D239/48;;C07D271/10;;C07D333/20;;C07D409/12;;C07D413/12;;C07D239/48;;C07C235/56;;C07D211/58;;C07D213/75;;C07D213/82;;C07D239/34;;C07D333/20;;C07D409/12;;C07D413/12</x:v>
      </x:c>
      <x:c r="S473" s="87" t="str">
        <x:v>A61K31/505;;C07C235/56;;C07D211/58;;C07D213/75;;C07D213/82;;C07D239/34;;C07D239/48;;C07D333/20;;C07D409/12;;C07D413/12</x:v>
      </x:c>
      <x:c r="T473" s="87" t="str">
        <x:v>INACTIVE</x:v>
      </x:c>
      <x:c r="U473" s="87" t="str">
        <x:v>https://lens.org/077-738-369-924-495</x:v>
      </x:c>
    </x:row>
    <x:row r="474">
      <x:c r="A474" s="87" t="str">
        <x:v>Esteve Pharmaceuticals.csv</x:v>
      </x:c>
      <x:c r="B474" s="87" t="str">
        <x:v>Esteve Pharmaceuticals</x:v>
      </x:c>
      <x:c r="C474" s="87" t="str">
        <x:v>TRT-0044</x:v>
      </x:c>
      <x:c r="D474" s="87" t="str">
        <x:v>Yes</x:v>
      </x:c>
      <x:c r="E474" s="87" t="str">
        <x:v>esteve pharmaceuticals</x:v>
      </x:c>
      <x:c r="F474" s="87" t="str">
        <x:v>22</x:v>
      </x:c>
      <x:c r="G474" s="87" t="str">
        <x:v>021-069-587-142-494</x:v>
      </x:c>
      <x:c r="H474" s="110" t="n">
        <x:v>40960</x:v>
      </x:c>
      <x:c r="I474" s="88" t="n">
        <x:v>2012</x:v>
      </x:c>
      <x:c r="J474" s="87" t="str">
        <x:v>EP</x:v>
      </x:c>
      <x:c r="K474" s="87" t="str">
        <x:v>B1</x:v>
      </x:c>
      <x:c r="L474" s="87" t="str">
        <x:v>EP 2817000 B1</x:v>
      </x:c>
      <x:c r="M474" s="87" t="str">
        <x:v>TOWA PHARMACEUTICAL EUROPE S L</x:v>
      </x:c>
      <x:c r="N474" s="87" t="str">
        <x:v>TOWA PHARMACEUTICAL EUROPE, S.L. (2021-04-21);;ESTEVE PHARMACEUTICALS, S.A. (2018-09-12)</x:v>
      </x:c>
      <x:c r="O474" s="87" t="str">
        <x:v>ORAL PHARMACEUTICAL COMPOSITIONS OF DABIGATRAN ETEXILATE</x:v>
      </x:c>
      <x:c r="P474" s="109" t="n">
        <x:v>0</x:v>
      </x:c>
      <x:c r="Q474" s="109" t="n">
        <x:v>44</x:v>
      </x:c>
      <x:c r="R474" s="87" t="str">
        <x:v>A61K9/1617;;A61K9/1652;;A61K9/5026;;A61K9/5084;;A61K9/5089;;A61K31/4439;;A61P7/02;;A61K31/4439;;A61K9/14;;A61K9/16;;A61K9/1617;;A61K9/1652;;A61K9/4833;;A61K9/50;;A61K9/5026;;A61K9/5042;;A61K9/5084;;A61K9/5089;;A61P7/02;;A61K9/16;;A61K9/50;;A61K31/4439;;A61K2121/00;;A61K9/1617;;A61K9/1652;;A61K9/5026;;A61K9/5084;;A61K9/5089;;A61K31/4439;;A61K9/14;;A61K9/4833;;A61K9/5042</x:v>
      </x:c>
      <x:c r="S474" s="87" t="str">
        <x:v>A61K9/16;;A61K9/14;;A61K9/48;;A61K9/50;;A61K31/4439;;A61P7/02</x:v>
      </x:c>
      <x:c r="T474" s="87" t="str">
        <x:v>ACTIVE</x:v>
      </x:c>
      <x:c r="U474" s="87" t="str">
        <x:v>https://lens.org/021-069-587-142-494</x:v>
      </x:c>
    </x:row>
    <x:row r="475">
      <x:c r="A475" s="87" t="str">
        <x:v>Esteve Pharmaceuticals.csv</x:v>
      </x:c>
      <x:c r="B475" s="87" t="str">
        <x:v>Esteve Pharmaceuticals</x:v>
      </x:c>
      <x:c r="C475" s="87" t="str">
        <x:v>TRT-0044</x:v>
      </x:c>
      <x:c r="D475" s="87" t="str">
        <x:v>Yes</x:v>
      </x:c>
      <x:c r="E475" s="87" t="str">
        <x:v>esteve pharmaceuticals</x:v>
      </x:c>
      <x:c r="F475" s="87" t="str">
        <x:v>23</x:v>
      </x:c>
      <x:c r="G475" s="87" t="str">
        <x:v>182-038-823-841-729</x:v>
      </x:c>
      <x:c r="H475" s="110" t="n">
        <x:v>42724</x:v>
      </x:c>
      <x:c r="I475" s="88" t="n">
        <x:v>2016</x:v>
      </x:c>
      <x:c r="J475" s="87" t="str">
        <x:v>US</x:v>
      </x:c>
      <x:c r="K475" s="87" t="str">
        <x:v>B2</x:v>
      </x:c>
      <x:c r="L475" s="87" t="str">
        <x:v>US 10941138 B2</x:v>
      </x:c>
      <x:c r="M475" s="87" t="str">
        <x:v>ESTEVE PHARMACEUTICALS SA</x:v>
      </x:c>
      <x:c r="N475" s="87" t="str">
        <x:v>ESTEVE PHARMACEUTICALS S.A (2019-06-11)</x:v>
      </x:c>
      <x:c r="O475" s="87" t="str">
        <x:v>Quinoline and isoquinoline derivatives for treating pain and pain related conditions</x:v>
      </x:c>
      <x:c r="P475" s="109" t="n">
        <x:v>0</x:v>
      </x:c>
      <x:c r="Q475" s="109" t="n">
        <x:v>7</x:v>
      </x:c>
      <x:c r="R475" s="87" t="str">
        <x:v>C07D409/06;;A61P25/02;;A61P25/04;;A61P25/06;;A61P25/22;;A61P25/24;;A61P25/28;;A61P43/00;;C07D401/12;;C07D405/12;;C07D409/02;;C07D417/12;;C07D409/12;;C07D401/12;;C07D407/12;;C07D417/12</x:v>
      </x:c>
      <x:c r="S475" s="87" t="str">
        <x:v>C07D409/12;;C07D401/12;;C07D407/12;;C07D417/12</x:v>
      </x:c>
      <x:c r="T475" s="87" t="str">
        <x:v>INACTIVE</x:v>
      </x:c>
      <x:c r="U475" s="87" t="str">
        <x:v>https://lens.org/182-038-823-841-729</x:v>
      </x:c>
    </x:row>
    <x:row r="476">
      <x:c r="A476" s="87" t="str">
        <x:v>Esteve Pharmaceuticals.csv</x:v>
      </x:c>
      <x:c r="B476" s="87" t="str">
        <x:v>Esteve Pharmaceuticals</x:v>
      </x:c>
      <x:c r="C476" s="87" t="str">
        <x:v>TRT-0044</x:v>
      </x:c>
      <x:c r="D476" s="87" t="str">
        <x:v>Yes</x:v>
      </x:c>
      <x:c r="E476" s="87" t="str">
        <x:v>esteve pharmaceuticals</x:v>
      </x:c>
      <x:c r="F476" s="87" t="str">
        <x:v>24</x:v>
      </x:c>
      <x:c r="G476" s="87" t="str">
        <x:v>183-127-497-915-884</x:v>
      </x:c>
      <x:c r="H476" s="110" t="n">
        <x:v>42324</x:v>
      </x:c>
      <x:c r="I476" s="88" t="n">
        <x:v>2015</x:v>
      </x:c>
      <x:c r="J476" s="87" t="str">
        <x:v>US</x:v>
      </x:c>
      <x:c r="K476" s="87" t="str">
        <x:v>B2</x:v>
      </x:c>
      <x:c r="L476" s="87" t="str">
        <x:v>US 10927128 B2</x:v>
      </x:c>
      <x:c r="M476" s="87" t="str">
        <x:v>ESTEVE PHARMACEUTICALS SA</x:v>
      </x:c>
      <x:c r="N476" s="87" t="str">
        <x:v>ESTEVE PHARMACEUTICALS S.A (2018-04-20)</x:v>
      </x:c>
      <x:c r="O476" s="87" t="str">
        <x:v>Oxadiazaspiro compounds for the treatment of drug abuse and addiction</x:v>
      </x:c>
      <x:c r="P476" s="109" t="n">
        <x:v>0</x:v>
      </x:c>
      <x:c r="Q476" s="109" t="n">
        <x:v>45</x:v>
      </x:c>
      <x:c r="R476" s="87" t="str">
        <x:v>C07D498/10;;A61P25/30;;C07D498/10;;A61K31/5386;;A61P25/30;;C07D498/10;;A61K31/5386;;A61P25/30;;C07D498/10;;A61P25/30</x:v>
      </x:c>
      <x:c r="S476" s="87" t="str">
        <x:v>C07D498/10;;A61P25/30</x:v>
      </x:c>
      <x:c r="T476" s="87" t="str">
        <x:v>ACTIVE</x:v>
      </x:c>
      <x:c r="U476" s="87" t="str">
        <x:v>https://lens.org/183-127-497-915-884</x:v>
      </x:c>
    </x:row>
    <x:row r="477">
      <x:c r="A477" s="87" t="str">
        <x:v>Esteve Pharmaceuticals.csv</x:v>
      </x:c>
      <x:c r="B477" s="87" t="str">
        <x:v>Esteve Pharmaceuticals</x:v>
      </x:c>
      <x:c r="C477" s="87" t="str">
        <x:v>TRT-0044</x:v>
      </x:c>
      <x:c r="D477" s="87" t="str">
        <x:v>Yes</x:v>
      </x:c>
      <x:c r="E477" s="87" t="str">
        <x:v>esteve pharmaceuticals</x:v>
      </x:c>
      <x:c r="F477" s="87" t="str">
        <x:v>25</x:v>
      </x:c>
      <x:c r="G477" s="87" t="str">
        <x:v>047-777-148-941-711</x:v>
      </x:c>
      <x:c r="H477" s="110" t="n">
        <x:v>42510</x:v>
      </x:c>
      <x:c r="I477" s="88" t="n">
        <x:v>2016</x:v>
      </x:c>
      <x:c r="J477" s="87" t="str">
        <x:v>US</x:v>
      </x:c>
      <x:c r="K477" s="87" t="str">
        <x:v>B2</x:v>
      </x:c>
      <x:c r="L477" s="87" t="str">
        <x:v>US 10807970 B2</x:v>
      </x:c>
      <x:c r="M477" s="87" t="str">
        <x:v>ESTEVE PHARMACEUTICALS SA</x:v>
      </x:c>
      <x:c r="N477" s="87" t="str">
        <x:v>ESTEVE PHARMACEUTICALS S.A (2018-11-12)</x:v>
      </x:c>
      <x:c r="O477" s="87" t="str">
        <x:v>Tetrahydropyran and thiopyran derivatives having multimodal activity against pain</x:v>
      </x:c>
      <x:c r="P477" s="109" t="n">
        <x:v>0</x:v>
      </x:c>
      <x:c r="Q477" s="109" t="n">
        <x:v>20</x:v>
      </x:c>
      <x:c r="R477" s="87" t="str">
        <x:v>C07D405/04;;A61P29/00;;C07D307/04;;C07D405/14;;C07D407/06;;C07D407/14;;C07D487/04;;C07D405/06;;A61K31/341;;A61K31/351;;A61K31/496;;A61P29/00;;C07D307/04;;C07D309/04;;C07D309/14;;C07D311/96;;C07D405/12;;C07D405/14;;C07D407/06;;C07D407/14;;C07D487/04;;C07D405/04;;A61P29/00;;C07D307/04;;C07D405/14;;C07D407/06;;C07D407/14;;C07D487/04</x:v>
      </x:c>
      <x:c r="S477" s="87" t="str">
        <x:v>C07D405/04;;A61P29/00;;C07D307/04;;C07D405/14;;C07D407/06;;C07D407/14;;C07D487/04</x:v>
      </x:c>
      <x:c r="T477" s="87" t="str">
        <x:v>INACTIVE</x:v>
      </x:c>
      <x:c r="U477" s="87" t="str">
        <x:v>https://lens.org/047-777-148-941-711</x:v>
      </x:c>
    </x:row>
    <x:row r="478">
      <x:c r="A478" s="87" t="str">
        <x:v>Esteve Pharmaceuticals.csv</x:v>
      </x:c>
      <x:c r="B478" s="87" t="str">
        <x:v>Esteve Pharmaceuticals</x:v>
      </x:c>
      <x:c r="C478" s="87" t="str">
        <x:v>TRT-0044</x:v>
      </x:c>
      <x:c r="D478" s="87" t="str">
        <x:v>Yes</x:v>
      </x:c>
      <x:c r="E478" s="87" t="str">
        <x:v>esteve pharmaceuticals</x:v>
      </x:c>
      <x:c r="F478" s="87" t="str">
        <x:v>26</x:v>
      </x:c>
      <x:c r="G478" s="87" t="str">
        <x:v>170-136-278-699-192</x:v>
      </x:c>
      <x:c r="H478" s="110" t="n">
        <x:v>41792</x:v>
      </x:c>
      <x:c r="I478" s="88" t="n">
        <x:v>2014</x:v>
      </x:c>
      <x:c r="J478" s="87" t="str">
        <x:v>EP</x:v>
      </x:c>
      <x:c r="K478" s="87" t="str">
        <x:v>B1</x:v>
      </x:c>
      <x:c r="L478" s="87" t="str">
        <x:v>EP 3149006 B1</x:v>
      </x:c>
      <x:c r="M478" s="87" t="str">
        <x:v>ESTEVE PHARMACEUTICALS SA</x:v>
      </x:c>
      <x:c r="N478" s="87" t="str">
        <x:v>ACONDICIONAMIENTO TARRASENSE; ES (2022-07-26);;ACONDICIONAMIENTO TARRASENSE, TERRASSA, ES (2022-02-21);;ESTEVE PHARMACEUTICALS, S.A. (2018-09-12)</x:v>
      </x:c>
      <x:c r="O478" s="87" t="str">
        <x:v>ALKYL DERIVATIVES OF 1-OXA-4,9-DIAZASPIRO UNDECANE COMPOUNDS HAVING MULTIMODAL ACTIVITY AGAINST PAIN</x:v>
      </x:c>
      <x:c r="P478" s="109" t="n">
        <x:v>0</x:v>
      </x:c>
      <x:c r="Q478" s="109" t="n">
        <x:v>36</x:v>
      </x:c>
      <x:c r="R478" s="87" t="str">
        <x:v>C07D498/10;;A61P25/04;;C07D498/10;;A61K31/537;;C07D498/10;;A61K31/5386;;A61K31/5386;;A61P25/04;;C07D498/10;;C07D498/10</x:v>
      </x:c>
      <x:c r="S478" s="87" t="str">
        <x:v>C07D498/10;;A61K31/537</x:v>
      </x:c>
      <x:c r="T478" s="87" t="str">
        <x:v>ACTIVE</x:v>
      </x:c>
      <x:c r="U478" s="87" t="str">
        <x:v>https://lens.org/170-136-278-699-192</x:v>
      </x:c>
    </x:row>
    <x:row r="479">
      <x:c r="A479" s="87" t="str">
        <x:v>Esteve Pharmaceuticals.csv</x:v>
      </x:c>
      <x:c r="B479" s="87" t="str">
        <x:v>Esteve Pharmaceuticals</x:v>
      </x:c>
      <x:c r="C479" s="87" t="str">
        <x:v>TRT-0044</x:v>
      </x:c>
      <x:c r="D479" s="87" t="str">
        <x:v>Yes</x:v>
      </x:c>
      <x:c r="E479" s="87" t="str">
        <x:v>esteve pharmaceuticals</x:v>
      </x:c>
      <x:c r="F479" s="87" t="str">
        <x:v>27</x:v>
      </x:c>
      <x:c r="G479" s="87" t="str">
        <x:v>165-336-249-664-148</x:v>
      </x:c>
      <x:c r="H479" s="110" t="n">
        <x:v>41628</x:v>
      </x:c>
      <x:c r="I479" s="88" t="n">
        <x:v>2013</x:v>
      </x:c>
      <x:c r="J479" s="87" t="str">
        <x:v>EP</x:v>
      </x:c>
      <x:c r="K479" s="87" t="str">
        <x:v>B1</x:v>
      </x:c>
      <x:c r="L479" s="87" t="str">
        <x:v>EP 3083601 B1</x:v>
      </x:c>
      <x:c r="M479" s="87" t="str">
        <x:v>ESTEVE PHARMACEUTICALS SA</x:v>
      </x:c>
      <x:c r="N479" s="87" t="str">
        <x:v>ESTEVE PHARMACEUTICALS, S.A. (2018-09-12)</x:v>
      </x:c>
      <x:c r="O479" s="87" t="str">
        <x:v>PIPERIDINE DERIVATIVES HAVING MULTIMODAL ACTIVITY AGAINST PAIN</x:v>
      </x:c>
      <x:c r="P479" s="109" t="n">
        <x:v>0</x:v>
      </x:c>
      <x:c r="Q479" s="109" t="n">
        <x:v>10</x:v>
      </x:c>
      <x:c r="R479" s="87" t="str">
        <x:v>C07D401/06;;A61P25/04;;A61P25/06;;A61P29/00;;A61P43/00;;C07D401/14;;C07D405/14;;C07D413/06;;C07D413/14;;C07D417/14;;C07D487/04;;C07D401/06;;C07D401/14;;C07D405/14;;C07D413/06;;C07D413/14;;C07D417/14;;C07D487/04</x:v>
      </x:c>
      <x:c r="S479" s="87" t="str">
        <x:v>C07D401/14;;A61K31/454;;A61P25/04;;C07D401/06;;C07D405/14;;C07D413/06;;C07D413/14;;C07D417/14;;C07D487/04</x:v>
      </x:c>
      <x:c r="T479" s="87" t="str">
        <x:v>ACTIVE</x:v>
      </x:c>
      <x:c r="U479" s="87" t="str">
        <x:v>https://lens.org/165-336-249-664-148</x:v>
      </x:c>
    </x:row>
    <x:row r="480">
      <x:c r="A480" s="87" t="str">
        <x:v>Esteve Pharmaceuticals.csv</x:v>
      </x:c>
      <x:c r="B480" s="87" t="str">
        <x:v>Esteve Pharmaceuticals</x:v>
      </x:c>
      <x:c r="C480" s="87" t="str">
        <x:v>TRT-0044</x:v>
      </x:c>
      <x:c r="D480" s="87" t="str">
        <x:v>Yes</x:v>
      </x:c>
      <x:c r="E480" s="87" t="str">
        <x:v>esteve pharmaceuticals</x:v>
      </x:c>
      <x:c r="F480" s="87" t="str">
        <x:v>28</x:v>
      </x:c>
      <x:c r="G480" s="87" t="str">
        <x:v>104-965-444-702-479</x:v>
      </x:c>
      <x:c r="H480" s="110" t="n">
        <x:v>43027</x:v>
      </x:c>
      <x:c r="I480" s="88" t="n">
        <x:v>2017</x:v>
      </x:c>
      <x:c r="J480" s="87" t="str">
        <x:v>US</x:v>
      </x:c>
      <x:c r="K480" s="87" t="str">
        <x:v>A1</x:v>
      </x:c>
      <x:c r="L480" s="87" t="str">
        <x:v>US 2020/0270237 A1</x:v>
      </x:c>
      <x:c r="M480" s="87" t="str">
        <x:v>ESTEVE PHARMACEUTICALS SA</x:v>
      </x:c>
      <x:c r="N480" s="87" t="str">
        <x:v>ESTEVE PHARMACEUTICALS S.A (2020-04-27)</x:v>
      </x:c>
      <x:c r="O480" s="87" t="str">
        <x:v>NEW ALKOXYAMINO COMPOUNDS FOR TREATING PAIN AND PAIN RELATED CONDITIONS</x:v>
      </x:c>
      <x:c r="P480" s="109" t="n">
        <x:v>0</x:v>
      </x:c>
      <x:c r="Q480" s="109" t="n">
        <x:v>3</x:v>
      </x:c>
      <x:c r="R480" s="87" t="str">
        <x:v>C07D295/192;;A61P25/04;;C07D211/58;;C07D211/76;;C07D241/42;;C07D295/096;;C07D309/14;;C07D333/16;;C07D405/06;;C07D409/12;;C07D409/14;;C07D487/04;;C07D409/14;;C07D211/16;;C07D231/12;;C07D241/04;;C07D295/195;;C07D405/04;;C07D409/12;;C07D487/04</x:v>
      </x:c>
      <x:c r="S480" s="87" t="str">
        <x:v>C07D409/14;;C07D211/16;;C07D231/12;;C07D241/04;;C07D295/195;;C07D405/04;;C07D409/12;;C07D487/04</x:v>
      </x:c>
      <x:c r="T480" s="87" t="str">
        <x:v>DISCONTINUED</x:v>
      </x:c>
      <x:c r="U480" s="87" t="str">
        <x:v>https://lens.org/104-965-444-702-479</x:v>
      </x:c>
    </x:row>
    <x:row r="481">
      <x:c r="A481" s="87" t="str">
        <x:v>Esteve Pharmaceuticals.csv</x:v>
      </x:c>
      <x:c r="B481" s="87" t="str">
        <x:v>Esteve Pharmaceuticals</x:v>
      </x:c>
      <x:c r="C481" s="87" t="str">
        <x:v>TRT-0044</x:v>
      </x:c>
      <x:c r="D481" s="87" t="str">
        <x:v>Yes</x:v>
      </x:c>
      <x:c r="E481" s="87" t="str">
        <x:v>esteve pharmaceuticals</x:v>
      </x:c>
      <x:c r="F481" s="87" t="str">
        <x:v>29</x:v>
      </x:c>
      <x:c r="G481" s="87" t="str">
        <x:v>171-360-159-084-550</x:v>
      </x:c>
      <x:c r="H481" s="110" t="n">
        <x:v>41628</x:v>
      </x:c>
      <x:c r="I481" s="88" t="n">
        <x:v>2013</x:v>
      </x:c>
      <x:c r="J481" s="87" t="str">
        <x:v>US</x:v>
      </x:c>
      <x:c r="K481" s="87" t="str">
        <x:v>B2</x:v>
      </x:c>
      <x:c r="L481" s="87" t="str">
        <x:v>US 10745361 B2</x:v>
      </x:c>
      <x:c r="M481" s="87" t="str">
        <x:v>ESTEVE PHARMACEUTICALS SA</x:v>
      </x:c>
      <x:c r="N481" s="87" t="str">
        <x:v>ESTEVE PHARMACEUTICALS S.A (2016-07-04)</x:v>
      </x:c>
      <x:c r="O481" s="87" t="str">
        <x:v>Piperazine derivatives having multimodal activity against pain</x:v>
      </x:c>
      <x:c r="P481" s="109" t="n">
        <x:v>0</x:v>
      </x:c>
      <x:c r="Q481" s="109" t="n">
        <x:v>27</x:v>
      </x:c>
      <x:c r="R481" s="87" t="str">
        <x:v>C07D249/06;;A61P25/00;;A61P25/02;;A61P25/04;;A61P25/06;;A61P43/00;;C07D231/12;;C07D233/64;;C07D249/04;;C07D401/04;;C07D401/06;;C07D401/12;;C07D401/14;;C07D403/06;;C07D487/04;;C07D487/08;;C07D403/06;;A61K31/18;;A61K31/4192;;A61K31/496;;C07D231/12;;C07D233/64;;C07D249/04;;C07D401/04;;C07D401/14;;C07D487/04;;C07D487/08;;A61K31/496;;A61P25/00;;C07D231/12;;C07D249/04;;C07D249/14;;C07D401/14;;C07D403/06;;C07D249/06;;C07D231/12;;C07D233/64;;C07D249/04;;C07D401/04;;C07D401/06;;C07D401/12;;C07D401/14;;C07D403/06;;C07D487/04;;C07D487/08</x:v>
      </x:c>
      <x:c r="S481" s="87" t="str">
        <x:v>A61P25/04;;A61K31/407;;A61K31/4155;;A61K31/4178;;A61K31/4192;;A61K31/4196;;A61K31/4439;;C07D231/12;;C07D233/64;;C07D249/04;;C07D249/06;;C07D401/04;;C07D401/06;;C07D401/12;;C07D401/14;;C07D403/06;;C07D487/04;;C07D487/08</x:v>
      </x:c>
      <x:c r="T481" s="87" t="str">
        <x:v>INACTIVE</x:v>
      </x:c>
      <x:c r="U481" s="87" t="str">
        <x:v>https://lens.org/171-360-159-084-550</x:v>
      </x:c>
    </x:row>
    <x:row r="482">
      <x:c r="A482" s="87" t="str">
        <x:v>Esteve Pharmaceuticals.csv</x:v>
      </x:c>
      <x:c r="B482" s="87" t="str">
        <x:v>Esteve Pharmaceuticals</x:v>
      </x:c>
      <x:c r="C482" s="87" t="str">
        <x:v>TRT-0044</x:v>
      </x:c>
      <x:c r="D482" s="87" t="str">
        <x:v>Yes</x:v>
      </x:c>
      <x:c r="E482" s="87" t="str">
        <x:v>esteve pharmaceuticals, esteve labor dr</x:v>
      </x:c>
      <x:c r="F482" s="87" t="str">
        <x:v>30</x:v>
      </x:c>
      <x:c r="G482" s="87" t="str">
        <x:v>024-718-263-555-686</x:v>
      </x:c>
      <x:c r="H482" s="110" t="n">
        <x:v>41792</x:v>
      </x:c>
      <x:c r="I482" s="88" t="n">
        <x:v>2014</x:v>
      </x:c>
      <x:c r="J482" s="87" t="str">
        <x:v>US</x:v>
      </x:c>
      <x:c r="K482" s="87" t="str">
        <x:v>B2</x:v>
      </x:c>
      <x:c r="L482" s="87" t="str">
        <x:v>US 10703765 B2</x:v>
      </x:c>
      <x:c r="M482" s="87" t="str">
        <x:v>ESTEVE LABOR DR;;ESTEVE PHARMACEUTICALS SA</x:v>
      </x:c>
      <x:c r="N482" s="87" t="str">
        <x:v>ESTEVE PHARMACEUTICALS S.A (2016-11-21)</x:v>
      </x:c>
      <x:c r="O482" s="87" t="str">
        <x:v>Alkyl and aryl derivatives of 1-oxa-4,9-diazaspiro undecane compounds having multimodal activity against pain</x:v>
      </x:c>
      <x:c r="P482" s="109" t="n">
        <x:v>0</x:v>
      </x:c>
      <x:c r="Q482" s="109" t="n">
        <x:v>15</x:v>
      </x:c>
      <x:c r="R482" s="87" t="str">
        <x:v>C07D519/00;;C07D498/10;;C07D498/10;;A61P25/04;;A61P25/06;;A61P29/00;;A61P43/00;;C07D519/00;;C07D498/10;;C07D519/00</x:v>
      </x:c>
      <x:c r="S482" s="87" t="str">
        <x:v>C07D498/10;;C07D519/00</x:v>
      </x:c>
      <x:c r="T482" s="87" t="str">
        <x:v>INACTIVE</x:v>
      </x:c>
      <x:c r="U482" s="87" t="str">
        <x:v>https://lens.org/024-718-263-555-686</x:v>
      </x:c>
    </x:row>
    <x:row r="483">
      <x:c r="A483" s="87" t="str">
        <x:v>Esteve Pharmaceuticals.csv</x:v>
      </x:c>
      <x:c r="B483" s="87" t="str">
        <x:v>Esteve Pharmaceuticals</x:v>
      </x:c>
      <x:c r="C483" s="87" t="str">
        <x:v>TRT-0044</x:v>
      </x:c>
      <x:c r="D483" s="87" t="str">
        <x:v>Yes</x:v>
      </x:c>
      <x:c r="E483" s="87" t="str">
        <x:v>esteve pharmaceuticals</x:v>
      </x:c>
      <x:c r="F483" s="87" t="str">
        <x:v>31</x:v>
      </x:c>
      <x:c r="G483" s="87" t="str">
        <x:v>051-263-732-921-791</x:v>
      </x:c>
      <x:c r="H483" s="110" t="n">
        <x:v>42943</x:v>
      </x:c>
      <x:c r="I483" s="88" t="n">
        <x:v>2017</x:v>
      </x:c>
      <x:c r="J483" s="87" t="str">
        <x:v>US</x:v>
      </x:c>
      <x:c r="K483" s="87" t="str">
        <x:v>A1</x:v>
      </x:c>
      <x:c r="L483" s="87" t="str">
        <x:v>US 2020/0207759 A1</x:v>
      </x:c>
      <x:c r="M483" s="87" t="str">
        <x:v>ESTEVE PHARMACEUTICALS SA</x:v>
      </x:c>
      <x:c r="N483" s="87" t="str">
        <x:v>ESTEVE PHARMACEUTICALS S.A (2020-02-10)</x:v>
      </x:c>
      <x:c r="O483" s="87" t="str">
        <x:v>NEW PROPANAMINE DERIVATIVES FOR TREATING PAIN AND PAIN RELATED CONDITIONS</x:v>
      </x:c>
      <x:c r="P483" s="109" t="n">
        <x:v>0</x:v>
      </x:c>
      <x:c r="Q483" s="109" t="n">
        <x:v>12</x:v>
      </x:c>
      <x:c r="R483" s="87" t="str">
        <x:v>C07D409/06;;C07D471/04;;C07D409/06;;A61K31/4045;;A61K31/437;;A61P25/02;;A61P25/22;;A61P25/24;;A61P29/00;;C07D471/04;;C07D471/04;;C07D409/06</x:v>
      </x:c>
      <x:c r="S483" s="87" t="str">
        <x:v>C07D471/04;;C07D409/06</x:v>
      </x:c>
      <x:c r="T483" s="87" t="str">
        <x:v>DISCONTINUED</x:v>
      </x:c>
      <x:c r="U483" s="87" t="str">
        <x:v>https://lens.org/051-263-732-921-791</x:v>
      </x:c>
    </x:row>
    <x:row r="484">
      <x:c r="A484" s="87" t="str">
        <x:v>Esteve Pharmaceuticals.csv</x:v>
      </x:c>
      <x:c r="B484" s="87" t="str">
        <x:v>Esteve Pharmaceuticals</x:v>
      </x:c>
      <x:c r="C484" s="87" t="str">
        <x:v>TRT-0044</x:v>
      </x:c>
      <x:c r="D484" s="87" t="str">
        <x:v>Yes</x:v>
      </x:c>
      <x:c r="E484" s="87" t="str">
        <x:v>esteve pharmaceuticals</x:v>
      </x:c>
      <x:c r="F484" s="87" t="str">
        <x:v>32</x:v>
      </x:c>
      <x:c r="G484" s="87" t="str">
        <x:v>082-834-660-058-458</x:v>
      </x:c>
      <x:c r="H484" s="110" t="n">
        <x:v>42885</x:v>
      </x:c>
      <x:c r="I484" s="88" t="n">
        <x:v>2017</x:v>
      </x:c>
      <x:c r="J484" s="87" t="str">
        <x:v>US</x:v>
      </x:c>
      <x:c r="K484" s="87" t="str">
        <x:v>A1</x:v>
      </x:c>
      <x:c r="L484" s="87" t="str">
        <x:v>US 2020/0199127 A1</x:v>
      </x:c>
      <x:c r="M484" s="87" t="str">
        <x:v>ESTEVE PHARMACEUTICALS SA</x:v>
      </x:c>
      <x:c r="N484" s="87" t="str">
        <x:v>ESTEVE PHARMACEUTICALS S.A (2019-10-15)</x:v>
      </x:c>
      <x:c r="O484" s="87" t="str">
        <x:v>(HETERO)ARYLALKYLAMINO-PYRAZOLOPYRIDAZINE DERIVATIVES HAVING MULTIMODAL ACTIVITY AGAINST PAIN</x:v>
      </x:c>
      <x:c r="P484" s="109" t="n">
        <x:v>0</x:v>
      </x:c>
      <x:c r="Q484" s="109" t="n">
        <x:v>3</x:v>
      </x:c>
      <x:c r="R484" s="87" t="str">
        <x:v>C07D487/04;;A61P25/04;;C07D487/04</x:v>
      </x:c>
      <x:c r="S484" s="87" t="str">
        <x:v>C07D487/04</x:v>
      </x:c>
      <x:c r="T484" s="87" t="str">
        <x:v>DISCONTINUED</x:v>
      </x:c>
      <x:c r="U484" s="87" t="str">
        <x:v>https://lens.org/082-834-660-058-458</x:v>
      </x:c>
    </x:row>
    <x:row r="485">
      <x:c r="A485" s="87" t="str">
        <x:v>Esteve Pharmaceuticals.csv</x:v>
      </x:c>
      <x:c r="B485" s="87" t="str">
        <x:v>Esteve Pharmaceuticals</x:v>
      </x:c>
      <x:c r="C485" s="87" t="str">
        <x:v>TRT-0044</x:v>
      </x:c>
      <x:c r="D485" s="87" t="str">
        <x:v>Yes</x:v>
      </x:c>
      <x:c r="E485" s="87" t="str">
        <x:v>esteve pharmaceuticals</x:v>
      </x:c>
      <x:c r="F485" s="87" t="str">
        <x:v>33</x:v>
      </x:c>
      <x:c r="G485" s="87" t="str">
        <x:v>119-952-213-219-852</x:v>
      </x:c>
      <x:c r="H485" s="110" t="n">
        <x:v>42300</x:v>
      </x:c>
      <x:c r="I485" s="88" t="n">
        <x:v>2015</x:v>
      </x:c>
      <x:c r="J485" s="87" t="str">
        <x:v>US</x:v>
      </x:c>
      <x:c r="K485" s="87" t="str">
        <x:v>B2</x:v>
      </x:c>
      <x:c r="L485" s="87" t="str">
        <x:v>US 10689398 B2</x:v>
      </x:c>
      <x:c r="M485" s="87" t="str">
        <x:v>ESTEVE PHARMACEUTICALS SA</x:v>
      </x:c>
      <x:c r="N485" s="87" t="str">
        <x:v>ESTEVE PHARMACEUTICALS S.A (2018-04-20)</x:v>
      </x:c>
      <x:c r="O485" s="87" t="str">
        <x:v>OXA-Diazaspiro compounds having activity against pain</x:v>
      </x:c>
      <x:c r="P485" s="109" t="n">
        <x:v>0</x:v>
      </x:c>
      <x:c r="Q485" s="109" t="n">
        <x:v>37</x:v>
      </x:c>
      <x:c r="R485" s="87" t="str">
        <x:v>C07D498/10;;A61P25/00;;A61P25/04;;A61P29/00;;A61P43/00;;C07D498/10;;A61K31/424;;A61P25/00;;C07D498/10</x:v>
      </x:c>
      <x:c r="S485" s="87" t="str">
        <x:v>C07D498/10</x:v>
      </x:c>
      <x:c r="T485" s="87" t="str">
        <x:v>ACTIVE</x:v>
      </x:c>
      <x:c r="U485" s="87" t="str">
        <x:v>https://lens.org/119-952-213-219-852</x:v>
      </x:c>
    </x:row>
    <x:row r="486">
      <x:c r="A486" s="87" t="str">
        <x:v>Esteve Pharmaceuticals.csv</x:v>
      </x:c>
      <x:c r="B486" s="87" t="str">
        <x:v>Esteve Pharmaceuticals</x:v>
      </x:c>
      <x:c r="C486" s="87" t="str">
        <x:v>TRT-0044</x:v>
      </x:c>
      <x:c r="D486" s="87" t="str">
        <x:v>Yes</x:v>
      </x:c>
      <x:c r="E486" s="87" t="str">
        <x:v>esteve pharmaceuticals</x:v>
      </x:c>
      <x:c r="F486" s="87" t="str">
        <x:v>34</x:v>
      </x:c>
      <x:c r="G486" s="87" t="str">
        <x:v>078-996-428-682-616</x:v>
      </x:c>
      <x:c r="H486" s="110" t="n">
        <x:v>42704</x:v>
      </x:c>
      <x:c r="I486" s="88" t="n">
        <x:v>2016</x:v>
      </x:c>
      <x:c r="J486" s="87" t="str">
        <x:v>US</x:v>
      </x:c>
      <x:c r="K486" s="87" t="str">
        <x:v>A1</x:v>
      </x:c>
      <x:c r="L486" s="87" t="str">
        <x:v>US 2020/0190081 A1</x:v>
      </x:c>
      <x:c r="M486" s="87" t="str">
        <x:v>ESTEVE PHARMACEUTICALS SA</x:v>
      </x:c>
      <x:c r="N486" s="87" t="str">
        <x:v>ESTEVE PHARMACEUTICALS S.A (2019-06-25)</x:v>
      </x:c>
      <x:c r="O486" s="87" t="str">
        <x:v>META SUBSTITUTED PHENYLPYRAZOLO- AND PHENYLPYRROLO- PYRIDAZINE DERIVATIVES HAVING MULTIMODAL ACTIVITY AGAINST PAIN</x:v>
      </x:c>
      <x:c r="P486" s="109" t="n">
        <x:v>0</x:v>
      </x:c>
      <x:c r="Q486" s="109" t="n">
        <x:v>3</x:v>
      </x:c>
      <x:c r="R486" s="87" t="str">
        <x:v>C07D487/04;;A61P29/00;;C07D471/04;;C07D473/02</x:v>
      </x:c>
      <x:c r="S486" s="87" t="str">
        <x:v>C07D471/04;;C07D473/02</x:v>
      </x:c>
      <x:c r="T486" s="87" t="str">
        <x:v>DISCONTINUED</x:v>
      </x:c>
      <x:c r="U486" s="87" t="str">
        <x:v>https://lens.org/078-996-428-682-616</x:v>
      </x:c>
    </x:row>
    <x:row r="487">
      <x:c r="A487" s="87" t="str">
        <x:v>Esteve Pharmaceuticals.csv</x:v>
      </x:c>
      <x:c r="B487" s="87" t="str">
        <x:v>Esteve Pharmaceuticals</x:v>
      </x:c>
      <x:c r="C487" s="87" t="str">
        <x:v>TRT-0044</x:v>
      </x:c>
      <x:c r="D487" s="87" t="str">
        <x:v>Yes</x:v>
      </x:c>
      <x:c r="E487" s="87" t="str">
        <x:v>esteve pharmaceuticals</x:v>
      </x:c>
      <x:c r="F487" s="87" t="str">
        <x:v>35</x:v>
      </x:c>
      <x:c r="G487" s="87" t="str">
        <x:v>152-390-602-421-952</x:v>
      </x:c>
      <x:c r="H487" s="110" t="n">
        <x:v>42704</x:v>
      </x:c>
      <x:c r="I487" s="88" t="n">
        <x:v>2016</x:v>
      </x:c>
      <x:c r="J487" s="87" t="str">
        <x:v>US</x:v>
      </x:c>
      <x:c r="K487" s="87" t="str">
        <x:v>A1</x:v>
      </x:c>
      <x:c r="L487" s="87" t="str">
        <x:v>US 2020/0190087 A1</x:v>
      </x:c>
      <x:c r="M487" s="87" t="str">
        <x:v>ESTEVE PHARMACEUTICALS SA</x:v>
      </x:c>
      <x:c r="N487" s="87" t="str">
        <x:v>ESTEVE PHARMACEUTICALS S.A (2019-05-28)</x:v>
      </x:c>
      <x:c r="O487" s="87" t="str">
        <x:v>2-PHENYL-2H-PYRAZOLO[3,4-D]PYRIDAZINE DERIVATIVES HAVING ACTIVITY AGAINST PAIN</x:v>
      </x:c>
      <x:c r="P487" s="109" t="n">
        <x:v>0</x:v>
      </x:c>
      <x:c r="Q487" s="109" t="n">
        <x:v>3</x:v>
      </x:c>
      <x:c r="R487" s="87" t="str">
        <x:v>C07D487/04;;A61P29/00;;C07D487/04</x:v>
      </x:c>
      <x:c r="S487" s="87" t="str">
        <x:v>C07D487/04</x:v>
      </x:c>
      <x:c r="T487" s="87" t="str">
        <x:v>DISCONTINUED</x:v>
      </x:c>
      <x:c r="U487" s="87" t="str">
        <x:v>https://lens.org/152-390-602-421-952</x:v>
      </x:c>
    </x:row>
    <x:row r="488">
      <x:c r="A488" s="87" t="str">
        <x:v>Esteve Pharmaceuticals.csv</x:v>
      </x:c>
      <x:c r="B488" s="87" t="str">
        <x:v>Esteve Pharmaceuticals</x:v>
      </x:c>
      <x:c r="C488" s="87" t="str">
        <x:v>TRT-0044</x:v>
      </x:c>
      <x:c r="D488" s="87" t="str">
        <x:v>Yes</x:v>
      </x:c>
      <x:c r="E488" s="87" t="str">
        <x:v>esteve pharmaceuticals</x:v>
      </x:c>
      <x:c r="F488" s="87" t="str">
        <x:v>36</x:v>
      </x:c>
      <x:c r="G488" s="87" t="str">
        <x:v>055-684-069-328-14X</x:v>
      </x:c>
      <x:c r="H488" s="110" t="n">
        <x:v>41628</x:v>
      </x:c>
      <x:c r="I488" s="88" t="n">
        <x:v>2013</x:v>
      </x:c>
      <x:c r="J488" s="87" t="str">
        <x:v>EP</x:v>
      </x:c>
      <x:c r="K488" s="87" t="str">
        <x:v>B1</x:v>
      </x:c>
      <x:c r="L488" s="87" t="str">
        <x:v>EP 3083595 B1</x:v>
      </x:c>
      <x:c r="M488" s="87" t="str">
        <x:v>ESTEVE PHARMACEUTICALS SA</x:v>
      </x:c>
      <x:c r="N488" s="87" t="str">
        <x:v>ESTEVE PHARMACEUTICALS, S.A. (2018-09-12)</x:v>
      </x:c>
      <x:c r="O488" s="87" t="str">
        <x:v>PIPERIDINE COMPOUNDS HAVING MULTIMODAL ACTIVITY AGAINST PAIN</x:v>
      </x:c>
      <x:c r="P488" s="109" t="n">
        <x:v>0</x:v>
      </x:c>
      <x:c r="Q488" s="109" t="n">
        <x:v>12</x:v>
      </x:c>
      <x:c r="R488" s="87" t="str">
        <x:v>C07D401/06;;A61P25/04;;A61P25/06;;A61P43/00;;C07D401/14;;C07D401/06;;C07D401/14</x:v>
      </x:c>
      <x:c r="S488" s="87" t="str">
        <x:v>C07D401/14;;A61K31/4439;;A61P25/04;;A61P25/06;;C07D401/06</x:v>
      </x:c>
      <x:c r="T488" s="87" t="str">
        <x:v>ACTIVE</x:v>
      </x:c>
      <x:c r="U488" s="87" t="str">
        <x:v>https://lens.org/055-684-069-328-14X</x:v>
      </x:c>
    </x:row>
    <x:row r="489">
      <x:c r="A489" s="87" t="str">
        <x:v>Esteve Pharmaceuticals.csv</x:v>
      </x:c>
      <x:c r="B489" s="87" t="str">
        <x:v>Esteve Pharmaceuticals</x:v>
      </x:c>
      <x:c r="C489" s="87" t="str">
        <x:v>TRT-0044</x:v>
      </x:c>
      <x:c r="D489" s="87" t="str">
        <x:v>Yes</x:v>
      </x:c>
      <x:c r="E489" s="87" t="str">
        <x:v>esteve pharmaceuticals</x:v>
      </x:c>
      <x:c r="F489" s="87" t="str">
        <x:v>37</x:v>
      </x:c>
      <x:c r="G489" s="87" t="str">
        <x:v>161-613-276-636-06X</x:v>
      </x:c>
      <x:c r="H489" s="110" t="n">
        <x:v>42912</x:v>
      </x:c>
      <x:c r="I489" s="88" t="n">
        <x:v>2017</x:v>
      </x:c>
      <x:c r="J489" s="87" t="str">
        <x:v>US</x:v>
      </x:c>
      <x:c r="K489" s="87" t="str">
        <x:v>A1</x:v>
      </x:c>
      <x:c r="L489" s="87" t="str">
        <x:v>US 2020/0123115 A1</x:v>
      </x:c>
      <x:c r="M489" s="87" t="str">
        <x:v>ESTEVE PHARMACEUTICALS SA</x:v>
      </x:c>
      <x:c r="N489" s="87" t="str">
        <x:v>ESTEVE PHARMACEUTICALS S.A (2019-11-27)</x:v>
      </x:c>
      <x:c r="O489" s="87" t="str">
        <x:v>COMPOUNDS HAVING MULTIMODAL ACTIVITY AGAINST PAIN</x:v>
      </x:c>
      <x:c r="P489" s="109" t="n">
        <x:v>0</x:v>
      </x:c>
      <x:c r="Q489" s="109" t="n">
        <x:v>3</x:v>
      </x:c>
      <x:c r="R489" s="87" t="str">
        <x:v>C07D239/26;;C07D213/30;;C07D213/64;;C07D237/08;;C07D239/34;;C07D239/38;;C07D239/42;;C07D277/24;;C07D333/16;;C07D403/04;;C07D403/12;;C07D409/12;;C07D409/14;;C07D239/34;;C07D213/30;;C07D213/64;;C07D237/08;;C07D239/26;;C07D239/38;;C07D239/42;;C07D277/24;;C07D333/16;;C07D403/12;;C07D409/12;;C07D409/14</x:v>
      </x:c>
      <x:c r="S489" s="87" t="str">
        <x:v>C07D239/34;;C07D213/30;;C07D213/64;;C07D237/08;;C07D239/26;;C07D239/38;;C07D239/42;;C07D277/24;;C07D333/16;;C07D403/12;;C07D409/12;;C07D409/14</x:v>
      </x:c>
      <x:c r="T489" s="87" t="str">
        <x:v>DISCONTINUED</x:v>
      </x:c>
      <x:c r="U489" s="87" t="str">
        <x:v>https://lens.org/161-613-276-636-06X</x:v>
      </x:c>
    </x:row>
    <x:row r="490">
      <x:c r="A490" s="87" t="str">
        <x:v>Esteve Pharmaceuticals.csv</x:v>
      </x:c>
      <x:c r="B490" s="87" t="str">
        <x:v>Esteve Pharmaceuticals</x:v>
      </x:c>
      <x:c r="C490" s="87" t="str">
        <x:v>TRT-0044</x:v>
      </x:c>
      <x:c r="D490" s="87" t="str">
        <x:v>Yes</x:v>
      </x:c>
      <x:c r="E490" s="87" t="str">
        <x:v>esteve pharmaceuticals</x:v>
      </x:c>
      <x:c r="F490" s="87" t="str">
        <x:v>38</x:v>
      </x:c>
      <x:c r="G490" s="87" t="str">
        <x:v>185-056-638-767-65X</x:v>
      </x:c>
      <x:c r="H490" s="110" t="n">
        <x:v>42496</x:v>
      </x:c>
      <x:c r="I490" s="88" t="n">
        <x:v>2016</x:v>
      </x:c>
      <x:c r="J490" s="87" t="str">
        <x:v>US</x:v>
      </x:c>
      <x:c r="K490" s="87" t="str">
        <x:v>B2</x:v>
      </x:c>
      <x:c r="L490" s="87" t="str">
        <x:v>US 10590140 B2</x:v>
      </x:c>
      <x:c r="M490" s="87" t="str">
        <x:v>ESTEVE PHARMACEUTICALS SA</x:v>
      </x:c>
      <x:c r="N490" s="87" t="str">
        <x:v>ESTEVE PHARMACEUTICALS S.A (2018-11-30)</x:v>
      </x:c>
      <x:c r="O490" s="87" t="str">
        <x:v>Tetrahydropyrimidodiazepine and dihydropyridodiazepine compounds for treating pain and pain related conditions</x:v>
      </x:c>
      <x:c r="P490" s="109" t="n">
        <x:v>0</x:v>
      </x:c>
      <x:c r="Q490" s="109" t="n">
        <x:v>41</x:v>
      </x:c>
      <x:c r="R490" s="87" t="str">
        <x:v>C07D487/04;;A61P25/00;;A61P29/00;;C07D471/04;;C07D498/10;;C07D471/04;;A61K31/551;;A61P25/00;;A61P29/00;;C07D487/04;;C07D498/10;;C07D487/04;;A61P25/00;;A61P29/00;;C07D471/04;;C07D498/10</x:v>
      </x:c>
      <x:c r="S490" s="87" t="str">
        <x:v>C07D471/04;;A61K31/551;;A61P25/00;;A61P29/00;;C07D487/04;;C07D498/10</x:v>
      </x:c>
      <x:c r="T490" s="87" t="str">
        <x:v>ACTIVE</x:v>
      </x:c>
      <x:c r="U490" s="87" t="str">
        <x:v>https://lens.org/185-056-638-767-65X</x:v>
      </x:c>
    </x:row>
    <x:row r="491">
      <x:c r="A491" s="87" t="str">
        <x:v>Esteve Pharmaceuticals.csv</x:v>
      </x:c>
      <x:c r="B491" s="87" t="str">
        <x:v>Esteve Pharmaceuticals</x:v>
      </x:c>
      <x:c r="C491" s="87" t="str">
        <x:v>TRT-0044</x:v>
      </x:c>
      <x:c r="D491" s="87" t="str">
        <x:v>Yes</x:v>
      </x:c>
      <x:c r="E491" s="87" t="str">
        <x:v>esteve pharmaceuticals</x:v>
      </x:c>
      <x:c r="F491" s="87" t="str">
        <x:v>39</x:v>
      </x:c>
      <x:c r="G491" s="87" t="str">
        <x:v>140-576-858-678-938</x:v>
      </x:c>
      <x:c r="H491" s="110" t="n">
        <x:v>41387</x:v>
      </x:c>
      <x:c r="I491" s="88" t="n">
        <x:v>2013</x:v>
      </x:c>
      <x:c r="J491" s="87" t="str">
        <x:v>EP</x:v>
      </x:c>
      <x:c r="K491" s="87" t="str">
        <x:v>B1</x:v>
      </x:c>
      <x:c r="L491" s="87" t="str">
        <x:v>EP 2989105 B1</x:v>
      </x:c>
      <x:c r="M491" s="87" t="str">
        <x:v>ESTEVE PHARMACEUTICALS SA</x:v>
      </x:c>
      <x:c r="N491" s="87" t="str">
        <x:v>ESTEVE PHARMACEUTICALS, S.A. (2018-09-12)</x:v>
      </x:c>
      <x:c r="O491" s="87" t="str">
        <x:v>PYRAZINO[1,2-A]INDOLE COMPOUNDS, THEIR PREPARATION AND USE IN MEDICAMENTS</x:v>
      </x:c>
      <x:c r="P491" s="109" t="n">
        <x:v>0</x:v>
      </x:c>
      <x:c r="Q491" s="109" t="n">
        <x:v>14</x:v>
      </x:c>
      <x:c r="R491" s="87" t="str">
        <x:v>C07D487/04;;A61P1/04;;A61P1/12;;A61P3/04;;A61P3/06;;A61P9/00;;A61P9/06;;A61P9/12;;A61P19/02;;A61P25/04;;A61P25/06;;A61P25/08;;A61P25/14;;A61P25/18;;A61P25/22;;A61P25/24;;A61P25/28;;A61P25/32;;A61P25/34;;A61P25/36;;A61P27/06;;A61P29/00;;A61P35/00;;A61P37/06;;A61P43/00;;C07D487/04</x:v>
      </x:c>
      <x:c r="S491" s="87" t="str">
        <x:v>C07D487/04;;A61K31/4985;;A61K31/55;;A61P29/00</x:v>
      </x:c>
      <x:c r="T491" s="87" t="str">
        <x:v>ACTIVE</x:v>
      </x:c>
      <x:c r="U491" s="87" t="str">
        <x:v>https://lens.org/140-576-858-678-938</x:v>
      </x:c>
    </x:row>
    <x:row r="492">
      <x:c r="A492" s="87" t="str">
        <x:v>Esteve Pharmaceuticals.csv</x:v>
      </x:c>
      <x:c r="B492" s="87" t="str">
        <x:v>Esteve Pharmaceuticals</x:v>
      </x:c>
      <x:c r="C492" s="87" t="str">
        <x:v>TRT-0044</x:v>
      </x:c>
      <x:c r="D492" s="87" t="str">
        <x:v>Yes</x:v>
      </x:c>
      <x:c r="E492" s="87" t="str">
        <x:v>esteve pharmaceuticals</x:v>
      </x:c>
      <x:c r="F492" s="87" t="str">
        <x:v>40</x:v>
      </x:c>
      <x:c r="G492" s="87" t="str">
        <x:v>126-556-755-865-794</x:v>
      </x:c>
      <x:c r="H492" s="110" t="n">
        <x:v>42472</x:v>
      </x:c>
      <x:c r="I492" s="88" t="n">
        <x:v>2016</x:v>
      </x:c>
      <x:c r="J492" s="87" t="str">
        <x:v>US</x:v>
      </x:c>
      <x:c r="K492" s="87" t="str">
        <x:v>B2</x:v>
      </x:c>
      <x:c r="L492" s="87" t="str">
        <x:v>US 10577360 B2</x:v>
      </x:c>
      <x:c r="M492" s="87" t="str">
        <x:v>ESTEVE PHARMACEUTICALS SA</x:v>
      </x:c>
      <x:c r="N492" s="87" t="str">
        <x:v>ESTEVE PHARMACEUTICALS S.A (2018-10-02)</x:v>
      </x:c>
      <x:c r="O492" s="87" t="str">
        <x:v>Arylamide derivatives having multimodal activity against pain</x:v>
      </x:c>
      <x:c r="P492" s="109" t="n">
        <x:v>0</x:v>
      </x:c>
      <x:c r="Q492" s="109" t="n">
        <x:v>4</x:v>
      </x:c>
      <x:c r="R492" s="87" t="str">
        <x:v>C07D413/10;;A61P25/04;;C07D401/12;;C07D401/14;;C07D405/14;;C07D407/14;;C07D409/12;;C07D409/14;;C07D413/14;;C07D417/14;;C07D413/10;;A61P25/04;;C07D401/12;;C07D401/14;;C07D405/14;;C07D407/14;;C07D409/12;;C07D409/14;;C07D413/14;;C07D417/14</x:v>
      </x:c>
      <x:c r="S492" s="87" t="str">
        <x:v>C07D413/10;;A61P25/04;;C07D401/12;;C07D401/14;;C07D405/14;;C07D407/14;;C07D409/12;;C07D409/14;;C07D413/14;;C07D417/14</x:v>
      </x:c>
      <x:c r="T492" s="87" t="str">
        <x:v>INACTIVE</x:v>
      </x:c>
      <x:c r="U492" s="87" t="str">
        <x:v>https://lens.org/126-556-755-865-794</x:v>
      </x:c>
    </x:row>
    <x:row r="493">
      <x:c r="A493" s="87" t="str">
        <x:v>Esteve Pharmaceuticals.csv</x:v>
      </x:c>
      <x:c r="B493" s="87" t="str">
        <x:v>Esteve Pharmaceuticals</x:v>
      </x:c>
      <x:c r="C493" s="87" t="str">
        <x:v>TRT-0044</x:v>
      </x:c>
      <x:c r="D493" s="87" t="str">
        <x:v>Yes</x:v>
      </x:c>
      <x:c r="E493" s="87" t="str">
        <x:v>esteve pharmaceuticals</x:v>
      </x:c>
      <x:c r="F493" s="87" t="str">
        <x:v>41</x:v>
      </x:c>
      <x:c r="G493" s="87" t="str">
        <x:v>043-984-911-055-841</x:v>
      </x:c>
      <x:c r="H493" s="110" t="n">
        <x:v>42885</x:v>
      </x:c>
      <x:c r="I493" s="88" t="n">
        <x:v>2017</x:v>
      </x:c>
      <x:c r="J493" s="87" t="str">
        <x:v>US</x:v>
      </x:c>
      <x:c r="K493" s="87" t="str">
        <x:v>A1</x:v>
      </x:c>
      <x:c r="L493" s="87" t="str">
        <x:v>US 2020/0062767 A1</x:v>
      </x:c>
      <x:c r="M493" s="87" t="str">
        <x:v>ESTEVE PHARMACEUTICALS SA</x:v>
      </x:c>
      <x:c r="N493" s="87" t="str">
        <x:v>ESTEVE PHARMACEUTICALS S.A (2019-10-15)</x:v>
      </x:c>
      <x:c r="O493" s="87" t="str">
        <x:v>SUBSTITUTED PYRROLIDINYL AND PIPERIDINYL PYRAZOLOPYRIDAZINE DERIVATIVES HAVING MULTIMODAL ACTIVITY AGAINST PAIN</x:v>
      </x:c>
      <x:c r="P493" s="109" t="n">
        <x:v>0</x:v>
      </x:c>
      <x:c r="Q493" s="109" t="n">
        <x:v>3</x:v>
      </x:c>
      <x:c r="R493" s="87" t="str">
        <x:v>C07D487/04;;C07D487/04</x:v>
      </x:c>
      <x:c r="S493" s="87" t="str">
        <x:v>C07D487/04</x:v>
      </x:c>
      <x:c r="T493" s="87" t="str">
        <x:v>DISCONTINUED</x:v>
      </x:c>
      <x:c r="U493" s="87" t="str">
        <x:v>https://lens.org/043-984-911-055-841</x:v>
      </x:c>
    </x:row>
    <x:row r="494">
      <x:c r="A494" s="87" t="str">
        <x:v>Esteve Pharmaceuticals.csv</x:v>
      </x:c>
      <x:c r="B494" s="87" t="str">
        <x:v>Esteve Pharmaceuticals</x:v>
      </x:c>
      <x:c r="C494" s="87" t="str">
        <x:v>TRT-0044</x:v>
      </x:c>
      <x:c r="D494" s="87" t="str">
        <x:v>Yes</x:v>
      </x:c>
      <x:c r="E494" s="87" t="str">
        <x:v>esteve pharmaceuticals</x:v>
      </x:c>
      <x:c r="F494" s="87" t="str">
        <x:v>42</x:v>
      </x:c>
      <x:c r="G494" s="87" t="str">
        <x:v>003-849-933-256-748</x:v>
      </x:c>
      <x:c r="H494" s="110" t="n">
        <x:v>42300</x:v>
      </x:c>
      <x:c r="I494" s="88" t="n">
        <x:v>2015</x:v>
      </x:c>
      <x:c r="J494" s="87" t="str">
        <x:v>EP</x:v>
      </x:c>
      <x:c r="K494" s="87" t="str">
        <x:v>B1</x:v>
      </x:c>
      <x:c r="L494" s="87" t="str">
        <x:v>EP 3365345 B1</x:v>
      </x:c>
      <x:c r="M494" s="87" t="str">
        <x:v>ESTEVE PHARMACEUTICALS SA</x:v>
      </x:c>
      <x:c r="N494" s="87" t="str">
        <x:v>ESTEVE PHARMACEUTICALS, S.A. (2018-09-12)</x:v>
      </x:c>
      <x:c r="O494" s="87" t="str">
        <x:v>OXA-AZASPIRO COMPOUNDS HAVING ACTIVITY AGAINST PAIN</x:v>
      </x:c>
      <x:c r="P494" s="109" t="n">
        <x:v>0</x:v>
      </x:c>
      <x:c r="Q494" s="109" t="n">
        <x:v>15</x:v>
      </x:c>
      <x:c r="R494" s="87" t="str">
        <x:v>C07D265/34;;A61P25/04;;A61P29/00;;C07D498/10;;C07D265/34;;C07D498/10</x:v>
      </x:c>
      <x:c r="S494" s="87" t="str">
        <x:v>C07D498/10;;A61K31/5386</x:v>
      </x:c>
      <x:c r="T494" s="87" t="str">
        <x:v>ACTIVE</x:v>
      </x:c>
      <x:c r="U494" s="87" t="str">
        <x:v>https://lens.org/003-849-933-256-748</x:v>
      </x:c>
    </x:row>
    <x:row r="495">
      <x:c r="A495" s="87" t="str">
        <x:v>Esteve Pharmaceuticals.csv</x:v>
      </x:c>
      <x:c r="B495" s="87" t="str">
        <x:v>Esteve Pharmaceuticals</x:v>
      </x:c>
      <x:c r="C495" s="87" t="str">
        <x:v>TRT-0044</x:v>
      </x:c>
      <x:c r="D495" s="87" t="str">
        <x:v>Yes</x:v>
      </x:c>
      <x:c r="E495" s="87" t="str">
        <x:v>esteve pharmaceuticals</x:v>
      </x:c>
      <x:c r="F495" s="87" t="str">
        <x:v>43</x:v>
      </x:c>
      <x:c r="G495" s="87" t="str">
        <x:v>020-879-815-447-694</x:v>
      </x:c>
      <x:c r="H495" s="110" t="n">
        <x:v>42704</x:v>
      </x:c>
      <x:c r="I495" s="88" t="n">
        <x:v>2016</x:v>
      </x:c>
      <x:c r="J495" s="87" t="str">
        <x:v>US</x:v>
      </x:c>
      <x:c r="K495" s="87" t="str">
        <x:v>B2</x:v>
      </x:c>
      <x:c r="L495" s="87" t="str">
        <x:v>US 10562908 B2</x:v>
      </x:c>
      <x:c r="M495" s="87" t="str">
        <x:v>ESTEVE PHARMACEUTICALS SA</x:v>
      </x:c>
      <x:c r="N495" s="87" t="str">
        <x:v>ESTEVE PHARMACEUTICALS S.A (2019-06-25)</x:v>
      </x:c>
      <x:c r="O495" s="87" t="str">
        <x:v>Ortho substituted phenylpyrazolo- and phenylpyrrolo-pyridazine derivatives having multimodal activity against pain</x:v>
      </x:c>
      <x:c r="P495" s="109" t="n">
        <x:v>0</x:v>
      </x:c>
      <x:c r="Q495" s="109" t="n">
        <x:v>4</x:v>
      </x:c>
      <x:c r="R495" s="87" t="str">
        <x:v>C07D487/04;;A61P29/00;;C07D487/04;;A61P29/00</x:v>
      </x:c>
      <x:c r="S495" s="87" t="str">
        <x:v>C07D487/04</x:v>
      </x:c>
      <x:c r="T495" s="87" t="str">
        <x:v>INACTIVE</x:v>
      </x:c>
      <x:c r="U495" s="87" t="str">
        <x:v>https://lens.org/020-879-815-447-694</x:v>
      </x:c>
    </x:row>
    <x:row r="496">
      <x:c r="A496" s="87" t="str">
        <x:v>Esteve Pharmaceuticals.csv</x:v>
      </x:c>
      <x:c r="B496" s="87" t="str">
        <x:v>Esteve Pharmaceuticals</x:v>
      </x:c>
      <x:c r="C496" s="87" t="str">
        <x:v>TRT-0044</x:v>
      </x:c>
      <x:c r="D496" s="87" t="str">
        <x:v>Yes</x:v>
      </x:c>
      <x:c r="E496" s="87" t="str">
        <x:v>esteve pharmaceuticals</x:v>
      </x:c>
      <x:c r="F496" s="87" t="str">
        <x:v>44</x:v>
      </x:c>
      <x:c r="G496" s="87" t="str">
        <x:v>063-732-338-101-132</x:v>
      </x:c>
      <x:c r="H496" s="110" t="n">
        <x:v>42550</x:v>
      </x:c>
      <x:c r="I496" s="88" t="n">
        <x:v>2016</x:v>
      </x:c>
      <x:c r="J496" s="87" t="str">
        <x:v>US</x:v>
      </x:c>
      <x:c r="K496" s="87" t="str">
        <x:v>A1</x:v>
      </x:c>
      <x:c r="L496" s="87" t="str">
        <x:v>US 2020/0002283 A1</x:v>
      </x:c>
      <x:c r="M496" s="87" t="str">
        <x:v>ESTEVE PHARMACEUTICALS SA</x:v>
      </x:c>
      <x:c r="N496" s="87" t="str">
        <x:v>ESTEVE PHARMACEUTICALS S.A (2018-11-20)</x:v>
      </x:c>
      <x:c r="O496" s="87" t="str">
        <x:v>PYRAZOLE DERIVATIVES HAVING ACTIVITY AGAINST PAIN</x:v>
      </x:c>
      <x:c r="P496" s="109" t="n">
        <x:v>0</x:v>
      </x:c>
      <x:c r="Q496" s="109" t="n">
        <x:v>3</x:v>
      </x:c>
      <x:c r="R496" s="87" t="str">
        <x:v>C07D231/12;;A61P29/00;;C07D231/22;;C07D401/04;;C07D231/12;;C07D401/04;;C07D401/06;;C07D403/04;;C07D413/06;;C07D417/12</x:v>
      </x:c>
      <x:c r="S496" s="87" t="str">
        <x:v>C07D231/12;;C07D401/04;;C07D401/06;;C07D403/04;;C07D413/06;;C07D417/12</x:v>
      </x:c>
      <x:c r="T496" s="87" t="str">
        <x:v>DISCONTINUED</x:v>
      </x:c>
      <x:c r="U496" s="87" t="str">
        <x:v>https://lens.org/063-732-338-101-132</x:v>
      </x:c>
    </x:row>
    <x:row r="497">
      <x:c r="A497" s="87" t="str">
        <x:v>Esteve Pharmaceuticals.csv</x:v>
      </x:c>
      <x:c r="B497" s="87" t="str">
        <x:v>Esteve Pharmaceuticals</x:v>
      </x:c>
      <x:c r="C497" s="87" t="str">
        <x:v>TRT-0044</x:v>
      </x:c>
      <x:c r="D497" s="87" t="str">
        <x:v>Yes</x:v>
      </x:c>
      <x:c r="E497" s="87" t="str">
        <x:v>esteve pharmaceuticals</x:v>
      </x:c>
      <x:c r="F497" s="87" t="str">
        <x:v>45</x:v>
      </x:c>
      <x:c r="G497" s="87" t="str">
        <x:v>148-758-516-568-34X</x:v>
      </x:c>
      <x:c r="H497" s="110" t="n">
        <x:v>42129</x:v>
      </x:c>
      <x:c r="I497" s="88" t="n">
        <x:v>2015</x:v>
      </x:c>
      <x:c r="J497" s="87" t="str">
        <x:v>US</x:v>
      </x:c>
      <x:c r="K497" s="87" t="str">
        <x:v>B2</x:v>
      </x:c>
      <x:c r="L497" s="87" t="str">
        <x:v>US 10508114 B2</x:v>
      </x:c>
      <x:c r="M497" s="87" t="str">
        <x:v>ESTEVE PHARMACEUTICALS SA</x:v>
      </x:c>
      <x:c r="N497" s="87" t="str">
        <x:v>ESTEVE PHARMACEUTICALS S.A (2017-11-20)</x:v>
      </x:c>
      <x:c r="O497" s="87" t="str">
        <x:v>Spiro-isoquinoline-4,4′-piperidine compounds having multimodal activity against pain</x:v>
      </x:c>
      <x:c r="P497" s="109" t="n">
        <x:v>0</x:v>
      </x:c>
      <x:c r="Q497" s="109" t="n">
        <x:v>4</x:v>
      </x:c>
      <x:c r="R497" s="87" t="str">
        <x:v>C07D471/10;;C07D471/10</x:v>
      </x:c>
      <x:c r="S497" s="87" t="str">
        <x:v>C07D471/10</x:v>
      </x:c>
      <x:c r="T497" s="87" t="str">
        <x:v>INACTIVE</x:v>
      </x:c>
      <x:c r="U497" s="87" t="str">
        <x:v>https://lens.org/148-758-516-568-34X</x:v>
      </x:c>
    </x:row>
    <x:row r="498">
      <x:c r="A498" s="87" t="str">
        <x:v>Esteve Pharmaceuticals.csv</x:v>
      </x:c>
      <x:c r="B498" s="87" t="str">
        <x:v>Esteve Pharmaceuticals</x:v>
      </x:c>
      <x:c r="C498" s="87" t="str">
        <x:v>TRT-0044</x:v>
      </x:c>
      <x:c r="D498" s="87" t="str">
        <x:v>Yes</x:v>
      </x:c>
      <x:c r="E498" s="87" t="str">
        <x:v>esteve pharmaceuticals</x:v>
      </x:c>
      <x:c r="F498" s="87" t="str">
        <x:v>46</x:v>
      </x:c>
      <x:c r="G498" s="87" t="str">
        <x:v>164-346-235-114-527</x:v>
      </x:c>
      <x:c r="H498" s="110" t="n">
        <x:v>42724</x:v>
      </x:c>
      <x:c r="I498" s="88" t="n">
        <x:v>2016</x:v>
      </x:c>
      <x:c r="J498" s="87" t="str">
        <x:v>US</x:v>
      </x:c>
      <x:c r="K498" s="87" t="str">
        <x:v>A1</x:v>
      </x:c>
      <x:c r="L498" s="87" t="str">
        <x:v>US 2019/0345146 A1</x:v>
      </x:c>
      <x:c r="M498" s="87" t="str">
        <x:v>ESTEVE PHARMACEUTICALS SA</x:v>
      </x:c>
      <x:c r="N498" s="87" t="str">
        <x:v>ESTEVE PHARMACEUTICALS S.A (2019-06-11)</x:v>
      </x:c>
      <x:c r="O498" s="87" t="str">
        <x:v>NITROGEN CONTAINING BICYCLIC DERIVATIVES FOR TREATING PAIN AND PAIN RELATED CONDITIONS</x:v>
      </x:c>
      <x:c r="P498" s="109" t="n">
        <x:v>5</x:v>
      </x:c>
      <x:c r="Q498" s="109" t="n">
        <x:v>7</x:v>
      </x:c>
      <x:c r="R498" s="87" t="str">
        <x:v>C07D409/12;;A61P25/00;;A61P29/00;;C07D215/14;;C07D217/02;;C07D237/30;;C07D409/12;;A61K31/4725;;A61K31/502;;A61K31/517;;A61P25/00;;C07D215/06;;C07D217/02;;C07D237/30;;C07D239/72;;C07D401/12</x:v>
      </x:c>
      <x:c r="S498" s="87" t="str">
        <x:v>C07D409/12;;C07D215/06;;C07D237/30</x:v>
      </x:c>
      <x:c r="T498" s="87" t="str">
        <x:v>DISCONTINUED</x:v>
      </x:c>
      <x:c r="U498" s="87" t="str">
        <x:v>https://lens.org/164-346-235-114-527</x:v>
      </x:c>
    </x:row>
    <x:row r="499">
      <x:c r="A499" s="87" t="str">
        <x:v>Esteve Pharmaceuticals.csv</x:v>
      </x:c>
      <x:c r="B499" s="87" t="str">
        <x:v>Esteve Pharmaceuticals</x:v>
      </x:c>
      <x:c r="C499" s="87" t="str">
        <x:v>TRT-0044</x:v>
      </x:c>
      <x:c r="D499" s="87" t="str">
        <x:v>Yes</x:v>
      </x:c>
      <x:c r="E499" s="87" t="str">
        <x:v>esteve pharmaceuticals</x:v>
      </x:c>
      <x:c r="F499" s="87" t="str">
        <x:v>47</x:v>
      </x:c>
      <x:c r="G499" s="87" t="str">
        <x:v>042-214-864-707-108</x:v>
      </x:c>
      <x:c r="H499" s="110" t="n">
        <x:v>42214</x:v>
      </x:c>
      <x:c r="I499" s="88" t="n">
        <x:v>2015</x:v>
      </x:c>
      <x:c r="J499" s="87" t="str">
        <x:v>US</x:v>
      </x:c>
      <x:c r="K499" s="87" t="str">
        <x:v>B2</x:v>
      </x:c>
      <x:c r="L499" s="87" t="str">
        <x:v>US 10428051 B2</x:v>
      </x:c>
      <x:c r="M499" s="87" t="str">
        <x:v>ESTEVE PHARMACEUTICALS SA</x:v>
      </x:c>
      <x:c r="N499" s="87" t="str">
        <x:v>ESTEVE PHARMACEUTICALS S.A (2018-01-15)</x:v>
      </x:c>
      <x:c r="O499" s="87" t="str">
        <x:v>Substituted amide derivatives having multimodal activity against pain</x:v>
      </x:c>
      <x:c r="P499" s="109" t="n">
        <x:v>0</x:v>
      </x:c>
      <x:c r="Q499" s="109" t="n">
        <x:v>12</x:v>
      </x:c>
      <x:c r="R499" s="87" t="str">
        <x:v>C07D405/04;;A61P25/04;;C07D211/26;;C07D213/38;;C07D213/75;;C07D277/46;;C07D295/12;;C07D295/125;;C07D295/13;;C07D295/135;;C07D295/192;;C07D305/06;;C07D307/54;;C07D309/06;;C07D311/96;;C07D333/38;;C07D401/04;;C07D401/12;;C07D405/12;;C07D405/14;;C07D409/12;;C07D409/14;;C07D417/14;;C07D487/04;;C07D405/04;;A61P25/04;;C07D211/26;;C07D213/38;;C07D213/75;;C07D277/46;;C07D295/12;;C07D295/125;;C07D295/13;;C07D295/135;;C07D295/192;;C07D305/06;;C07D307/54;;C07D309/06;;C07D311/96;;C07D333/38;;C07D401/04;;C07D401/12;;C07D405/12;;C07D405/14;;C07D409/12;;C07D409/14;;C07D417/14;;C07D487/04</x:v>
      </x:c>
      <x:c r="S499" s="87" t="str">
        <x:v>C07D405/04;;A61P25/04;;C07D211/26;;C07D213/38;;C07D213/75;;C07D277/46;;C07D295/12;;C07D295/125;;C07D295/13;;C07D295/135;;C07D295/192;;C07D305/06;;C07D307/54;;C07D309/06;;C07D311/96;;C07D333/38;;C07D401/04;;C07D401/12;;C07D405/12;;C07D405/14;;C07D409/12;;C07D409/14;;C07D417/14;;C07D487/04</x:v>
      </x:c>
      <x:c r="T499" s="87" t="str">
        <x:v>INACTIVE</x:v>
      </x:c>
      <x:c r="U499" s="87" t="str">
        <x:v>https://lens.org/042-214-864-707-108</x:v>
      </x:c>
    </x:row>
    <x:row r="500">
      <x:c r="A500" s="87" t="str">
        <x:v>Esteve Pharmaceuticals.csv</x:v>
      </x:c>
      <x:c r="B500" s="87" t="str">
        <x:v>Esteve Pharmaceuticals</x:v>
      </x:c>
      <x:c r="C500" s="87" t="str">
        <x:v>TRT-0044</x:v>
      </x:c>
      <x:c r="D500" s="87" t="str">
        <x:v>Yes</x:v>
      </x:c>
      <x:c r="E500" s="87" t="str">
        <x:v>esteve pharmaceuticals</x:v>
      </x:c>
      <x:c r="F500" s="87" t="str">
        <x:v>48</x:v>
      </x:c>
      <x:c r="G500" s="87" t="str">
        <x:v>161-420-355-872-158</x:v>
      </x:c>
      <x:c r="H500" s="110" t="n">
        <x:v>42214</x:v>
      </x:c>
      <x:c r="I500" s="88" t="n">
        <x:v>2015</x:v>
      </x:c>
      <x:c r="J500" s="87" t="str">
        <x:v>EP</x:v>
      </x:c>
      <x:c r="K500" s="87" t="str">
        <x:v>B1</x:v>
      </x:c>
      <x:c r="L500" s="87" t="str">
        <x:v>EP 3328847 B1</x:v>
      </x:c>
      <x:c r="M500" s="87" t="str">
        <x:v>ESTEVE PHARMACEUTICALS SA</x:v>
      </x:c>
      <x:c r="N500" s="87" t="str">
        <x:v>ESTEVE PHARMACEUTICALS, S.A. (2018-09-12)</x:v>
      </x:c>
      <x:c r="O500" s="87" t="str">
        <x:v>N-(2-(3-(BENZYL(METHYL)AMINO)PYRROLIDIN-1-YL)ETHYL)-N-PHENYL)PROPIONAMIDE DERIVATIVES AND RELATED COMPOUNDS AS DUAL SIGMA 1 AND MU OPIOID RECEPTOR LIGANDS FOR THE TREATMENT OF PAIN</x:v>
      </x:c>
      <x:c r="P500" s="109" t="n">
        <x:v>0</x:v>
      </x:c>
      <x:c r="Q500" s="109" t="n">
        <x:v>11</x:v>
      </x:c>
      <x:c r="R500" s="87" t="str">
        <x:v>C07D401/12;;A61P25/04;;C07D211/56;;C07D487/04;;C07D401/12;;A61P25/04;;A61P29/00;;C07B2200/07;;C07B2200/09;;C07D211/56;;C07D487/04</x:v>
      </x:c>
      <x:c r="S500" s="87" t="str">
        <x:v>C07D401/12;;A61K31/40;;A61K31/4439;;A61P25/04;;C07D211/56;;C07D487/04</x:v>
      </x:c>
      <x:c r="T500" s="87" t="str">
        <x:v>ACTIVE</x:v>
      </x:c>
      <x:c r="U500" s="87" t="str">
        <x:v>https://lens.org/161-420-355-872-158</x:v>
      </x:c>
    </x:row>
    <x:row r="501">
      <x:c r="A501" s="87" t="str">
        <x:v>Esteve Pharmaceuticals.csv</x:v>
      </x:c>
      <x:c r="B501" s="87" t="str">
        <x:v>Esteve Pharmaceuticals</x:v>
      </x:c>
      <x:c r="C501" s="87" t="str">
        <x:v>TRT-0044</x:v>
      </x:c>
      <x:c r="D501" s="87" t="str">
        <x:v>Yes</x:v>
      </x:c>
      <x:c r="E501" s="87" t="str">
        <x:v>esteve pharmaceuticals</x:v>
      </x:c>
      <x:c r="F501" s="87" t="str">
        <x:v>49</x:v>
      </x:c>
      <x:c r="G501" s="87" t="str">
        <x:v>108-298-129-657-689</x:v>
      </x:c>
      <x:c r="H501" s="110" t="n">
        <x:v>41964</x:v>
      </x:c>
      <x:c r="I501" s="88" t="n">
        <x:v>2014</x:v>
      </x:c>
      <x:c r="J501" s="87" t="str">
        <x:v>US</x:v>
      </x:c>
      <x:c r="K501" s="87" t="str">
        <x:v>B2</x:v>
      </x:c>
      <x:c r="L501" s="87" t="str">
        <x:v>US 10407428 B2</x:v>
      </x:c>
      <x:c r="M501" s="87" t="str">
        <x:v>ESTEVE PHARMACEUTICALS SA</x:v>
      </x:c>
      <x:c r="N501" s="87" t="str">
        <x:v>ESTEVE PHARMACEUTICALS S.A (2017-05-08)</x:v>
      </x:c>
      <x:c r="O501" s="87" t="str">
        <x:v>Spiro-isoquinoline-1,4′-piperidine compounds having multimodal activity against pain</x:v>
      </x:c>
      <x:c r="P501" s="109" t="n">
        <x:v>0</x:v>
      </x:c>
      <x:c r="Q501" s="109" t="n">
        <x:v>12</x:v>
      </x:c>
      <x:c r="R501" s="87" t="str">
        <x:v>C07D471/10;;C07D471/10;;A61P25/04;;C07D471/20;;C07D471/10;;A61P25/04;;C07D471/20</x:v>
      </x:c>
      <x:c r="S501" s="87" t="str">
        <x:v>C07D471/10;;A61K31/423;;A61P25/04;;C07D471/20</x:v>
      </x:c>
      <x:c r="T501" s="87" t="str">
        <x:v>INACTIVE</x:v>
      </x:c>
      <x:c r="U501" s="87" t="str">
        <x:v>https://lens.org/108-298-129-657-689</x:v>
      </x:c>
    </x:row>
    <x:row r="502">
      <x:c r="A502" s="87" t="str">
        <x:v>Esteve Pharmaceuticals.csv</x:v>
      </x:c>
      <x:c r="B502" s="87" t="str">
        <x:v>Esteve Pharmaceuticals</x:v>
      </x:c>
      <x:c r="C502" s="87" t="str">
        <x:v>TRT-0044</x:v>
      </x:c>
      <x:c r="D502" s="87" t="str">
        <x:v>Yes</x:v>
      </x:c>
      <x:c r="E502" s="87" t="str">
        <x:v>esteve pharmaceuticals</x:v>
      </x:c>
      <x:c r="F502" s="87" t="str">
        <x:v>50</x:v>
      </x:c>
      <x:c r="G502" s="87" t="str">
        <x:v>167-997-823-191-244</x:v>
      </x:c>
      <x:c r="H502" s="110" t="n">
        <x:v>41387</x:v>
      </x:c>
      <x:c r="I502" s="88" t="n">
        <x:v>2013</x:v>
      </x:c>
      <x:c r="J502" s="87" t="str">
        <x:v>EP</x:v>
      </x:c>
      <x:c r="K502" s="87" t="str">
        <x:v>B1</x:v>
      </x:c>
      <x:c r="L502" s="87" t="str">
        <x:v>EP 2989104 B1</x:v>
      </x:c>
      <x:c r="M502" s="87" t="str">
        <x:v>ESTEVE PHARMACEUTICALS SA</x:v>
      </x:c>
      <x:c r="N502" s="87" t="str">
        <x:v>ESTEVE PHARMACEUTICALS, S.A. (2018-09-12)</x:v>
      </x:c>
      <x:c r="O502" s="87" t="str">
        <x:v>PYRAZINO[1,2-A]INDOLE COMPOUNDS, THEIR PREPARATION AND USE IN MEDICAMENTS</x:v>
      </x:c>
      <x:c r="P502" s="109" t="n">
        <x:v>0</x:v>
      </x:c>
      <x:c r="Q502" s="109" t="n">
        <x:v>26</x:v>
      </x:c>
      <x:c r="R502" s="87" t="str">
        <x:v>C07D487/04;;A61P1/04;;A61P1/12;;A61P3/04;;A61P3/06;;A61P9/06;;A61P9/12;;A61P19/02;;A61P21/04;;A61P25/00;;A61P25/04;;A61P25/06;;A61P25/08;;A61P25/14;;A61P25/18;;A61P25/22;;A61P25/24;;A61P25/28;;A61P25/30;;A61P25/32;;A61P25/34;;A61P25/36;;A61P27/06;;A61P29/00;;A61P35/00;;A61P37/02;;A61P39/00;;A61P43/00;;C07D519/00;;C07D487/04;;A61K31/4985;;C07D487/04;;C07D519/00</x:v>
      </x:c>
      <x:c r="S502" s="87" t="str">
        <x:v>C07D487/04;;A61K31/4985;;A61K31/5377;;A61K31/55;;A61K31/551;;A61K31/553;;A61P29/00</x:v>
      </x:c>
      <x:c r="T502" s="87" t="str">
        <x:v>ACTIVE</x:v>
      </x:c>
      <x:c r="U502" s="87" t="str">
        <x:v>https://lens.org/167-997-823-191-244</x:v>
      </x:c>
    </x:row>
    <x:row r="503">
      <x:c r="A503" s="87" t="str">
        <x:v>Esteve Pharmaceuticals.csv</x:v>
      </x:c>
      <x:c r="B503" s="87" t="str">
        <x:v>Esteve Pharmaceuticals</x:v>
      </x:c>
      <x:c r="C503" s="87" t="str">
        <x:v>TRT-0044</x:v>
      </x:c>
      <x:c r="D503" s="87" t="str">
        <x:v>Yes</x:v>
      </x:c>
      <x:c r="E503" s="87" t="str">
        <x:v>esteve pharmaceuticals</x:v>
      </x:c>
      <x:c r="F503" s="87" t="str">
        <x:v>51</x:v>
      </x:c>
      <x:c r="G503" s="87" t="str">
        <x:v>124-790-781-153-750</x:v>
      </x:c>
      <x:c r="H503" s="110" t="n">
        <x:v>41628</x:v>
      </x:c>
      <x:c r="I503" s="88" t="n">
        <x:v>2013</x:v>
      </x:c>
      <x:c r="J503" s="87" t="str">
        <x:v>EP</x:v>
      </x:c>
      <x:c r="K503" s="87" t="str">
        <x:v>B1</x:v>
      </x:c>
      <x:c r="L503" s="87" t="str">
        <x:v>EP 3083628 B1</x:v>
      </x:c>
      <x:c r="M503" s="87" t="str">
        <x:v>ESTEVE PHARMACEUTICALS SA</x:v>
      </x:c>
      <x:c r="N503" s="87" t="str">
        <x:v>ESTEVE PHARMACEUTICALS, S.A. (2018-09-12)</x:v>
      </x:c>
      <x:c r="O503" s="87" t="str">
        <x:v>FUSED IMIDAZOLYL DERIVATIVES, THEIR PREPARATION AND USE AS MEDICAMENTS</x:v>
      </x:c>
      <x:c r="P503" s="109" t="n">
        <x:v>0</x:v>
      </x:c>
      <x:c r="Q503" s="109" t="n">
        <x:v>23</x:v>
      </x:c>
      <x:c r="R503" s="87" t="str">
        <x:v>C07D487/04;;A61P1/04;;A61P1/12;;A61P3/00;;A61P3/04;;A61P3/06;;A61P9/00;;A61P9/06;;A61P9/12;;A61P19/02;;A61P21/00;;A61P25/00;;A61P25/04;;A61P25/06;;A61P25/08;;A61P25/18;;A61P25/22;;A61P25/24;;A61P25/28;;A61P25/32;;A61P25/34;;A61P25/36;;A61P27/06;;A61P29/00;;A61P35/00;;A61P37/06;;A61P43/00;;C07D487/04;;A61K9/20;;A61K9/48;;A61K31/4985;;C07D487/04</x:v>
      </x:c>
      <x:c r="S503" s="87" t="str">
        <x:v>C07D487/04;;A61K31/4985;;A61P1/12;;A61P3/04;;A61P3/06;;A61P9/00;;A61P25/00;;A61P25/04;;A61P35/00</x:v>
      </x:c>
      <x:c r="T503" s="87" t="str">
        <x:v>ACTIVE</x:v>
      </x:c>
      <x:c r="U503" s="87" t="str">
        <x:v>https://lens.org/124-790-781-153-750</x:v>
      </x:c>
    </x:row>
    <x:row r="504">
      <x:c r="A504" s="87" t="str">
        <x:v>Esteve Pharmaceuticals.csv</x:v>
      </x:c>
      <x:c r="B504" s="87" t="str">
        <x:v>Esteve Pharmaceuticals</x:v>
      </x:c>
      <x:c r="C504" s="87" t="str">
        <x:v>TRT-0044</x:v>
      </x:c>
      <x:c r="D504" s="87" t="str">
        <x:v>Yes</x:v>
      </x:c>
      <x:c r="E504" s="87" t="str">
        <x:v>esteve pharmaceuticals</x:v>
      </x:c>
      <x:c r="F504" s="87" t="str">
        <x:v>52</x:v>
      </x:c>
      <x:c r="G504" s="87" t="str">
        <x:v>184-469-992-077-319</x:v>
      </x:c>
      <x:c r="H504" s="110" t="n">
        <x:v>42527</x:v>
      </x:c>
      <x:c r="I504" s="88" t="n">
        <x:v>2016</x:v>
      </x:c>
      <x:c r="J504" s="87" t="str">
        <x:v>US</x:v>
      </x:c>
      <x:c r="K504" s="87" t="str">
        <x:v>A1</x:v>
      </x:c>
      <x:c r="L504" s="87" t="str">
        <x:v>US 2019/0142840 A1</x:v>
      </x:c>
      <x:c r="M504" s="87" t="str">
        <x:v>ESTEVE PHARMACEUTICALS SA</x:v>
      </x:c>
      <x:c r="N504" s="87" t="str">
        <x:v>ESTEVE PHARMACEUTICALS S.A (2019-04-29)</x:v>
      </x:c>
      <x:c r="O504" s="87" t="str">
        <x:v>USE OF SIGMA RECEPTOR LIGANDS IN CANCER</x:v>
      </x:c>
      <x:c r="P504" s="109" t="n">
        <x:v>0</x:v>
      </x:c>
      <x:c r="Q504" s="109" t="n">
        <x:v>12</x:v>
      </x:c>
      <x:c r="R504" s="87" t="str">
        <x:v>A61K31/5377;;A61K31/337;;A61K31/415;;A61K31/4155;;A61K31/555;;A61P35/00;;A61K31/5377;;A61K31/337;;A61K31/415;;A61K31/4155;;A61K31/555;;A61K33/243;;A61P35/00</x:v>
      </x:c>
      <x:c r="S504" s="87" t="str">
        <x:v>A61K31/5377;;A61K31/337;;A61K31/555;;A61K33/243;;A61P35/00</x:v>
      </x:c>
      <x:c r="T504" s="87" t="str">
        <x:v>DISCONTINUED</x:v>
      </x:c>
      <x:c r="U504" s="87" t="str">
        <x:v>https://lens.org/184-469-992-077-319</x:v>
      </x:c>
    </x:row>
    <x:row r="505">
      <x:c r="A505" s="87" t="str">
        <x:v>Esteve Pharmaceuticals.csv</x:v>
      </x:c>
      <x:c r="B505" s="87" t="str">
        <x:v>Esteve Pharmaceuticals</x:v>
      </x:c>
      <x:c r="C505" s="87" t="str">
        <x:v>TRT-0044</x:v>
      </x:c>
      <x:c r="D505" s="87" t="str">
        <x:v>Yes</x:v>
      </x:c>
      <x:c r="E505" s="87" t="str">
        <x:v>esteve pharmaceuticals</x:v>
      </x:c>
      <x:c r="F505" s="87" t="str">
        <x:v>53</x:v>
      </x:c>
      <x:c r="G505" s="87" t="str">
        <x:v>021-463-468-990-859</x:v>
      </x:c>
      <x:c r="H505" s="110" t="n">
        <x:v>42472</x:v>
      </x:c>
      <x:c r="I505" s="88" t="n">
        <x:v>2016</x:v>
      </x:c>
      <x:c r="J505" s="87" t="str">
        <x:v>US</x:v>
      </x:c>
      <x:c r="K505" s="87" t="str">
        <x:v>A1</x:v>
      </x:c>
      <x:c r="L505" s="87" t="str">
        <x:v>US 2019/0055217 A1</x:v>
      </x:c>
      <x:c r="M505" s="87" t="str">
        <x:v>ESTEVE PHARMACEUTICALS SA</x:v>
      </x:c>
      <x:c r="N505" s="87" t="str">
        <x:v>ESTEVE PHARMACEUTICALS S.A (2018-10-02)</x:v>
      </x:c>
      <x:c r="O505" s="87" t="str">
        <x:v>PIPERIDINYLALKYLAMIDE DERIVATIVES HAVING MULTIMODAL ACTIVITY AGAINST PAIN</x:v>
      </x:c>
      <x:c r="P505" s="109" t="n">
        <x:v>2</x:v>
      </x:c>
      <x:c r="Q505" s="109" t="n">
        <x:v>3</x:v>
      </x:c>
      <x:c r="R505" s="87" t="str">
        <x:v>C07D401/12;;A61K31/4535;;A61K31/454;;A61K31/497;;A61K31/506;;A61P25/04;;C07D413/12;;C07D417/12;;C07D401/12;;A61K31/4535;;A61K31/454;;A61K31/497;;A61K31/506;;A61P25/04;;C07D413/12;;C07D417/12</x:v>
      </x:c>
      <x:c r="S505" s="87" t="str">
        <x:v>C07D401/12;;A61P25/04;;C07D413/12;;C07D417/12</x:v>
      </x:c>
      <x:c r="T505" s="87" t="str">
        <x:v>DISCONTINUED</x:v>
      </x:c>
      <x:c r="U505" s="87" t="str">
        <x:v>https://lens.org/021-463-468-990-859</x:v>
      </x:c>
    </x:row>
    <x:row r="506">
      <x:c r="A506" s="87" t="str">
        <x:v>Esteve Pharmaceuticals.csv</x:v>
      </x:c>
      <x:c r="B506" s="87" t="str">
        <x:v>Esteve Pharmaceuticals</x:v>
      </x:c>
      <x:c r="C506" s="87" t="str">
        <x:v>TRT-0044</x:v>
      </x:c>
      <x:c r="D506" s="87" t="str">
        <x:v>Yes</x:v>
      </x:c>
      <x:c r="E506" s="87" t="str">
        <x:v>esteve pharmaceuticals</x:v>
      </x:c>
      <x:c r="F506" s="87" t="str">
        <x:v>54</x:v>
      </x:c>
      <x:c r="G506" s="87" t="str">
        <x:v>011-388-130-369-782</x:v>
      </x:c>
      <x:c r="H506" s="110" t="n">
        <x:v>41988</x:v>
      </x:c>
      <x:c r="I506" s="88" t="n">
        <x:v>2014</x:v>
      </x:c>
      <x:c r="J506" s="87" t="str">
        <x:v>EP</x:v>
      </x:c>
      <x:c r="K506" s="87" t="str">
        <x:v>B1</x:v>
      </x:c>
      <x:c r="L506" s="87" t="str">
        <x:v>EP 3233805 B1</x:v>
      </x:c>
      <x:c r="M506" s="87" t="str">
        <x:v>ESTEVE PHARMACEUTICALS SA</x:v>
      </x:c>
      <x:c r="N506" s="87" t="str">
        <x:v>ESTEVE PHARMACEUTICALS, S.A. (2018-09-12)</x:v>
      </x:c>
      <x:c r="O506" s="87" t="str">
        <x:v>METHYL-1H-PYRAZOLE-ALKYLAMINE COMPOUNDS HAVING MULTIMODAL ACTIVITY AGAINST PAIN</x:v>
      </x:c>
      <x:c r="P506" s="109" t="n">
        <x:v>0</x:v>
      </x:c>
      <x:c r="Q506" s="109" t="n">
        <x:v>6</x:v>
      </x:c>
      <x:c r="R506" s="87" t="str">
        <x:v>C07D231/12;;A61P25/04;;C07D401/12;;C07D409/06;;C07D417/06;;C07D231/12;;C07D401/12;;C07D409/06;;C07D417/06</x:v>
      </x:c>
      <x:c r="S506" s="87" t="str">
        <x:v>C07D231/12;;A61K31/415;;A61P25/04;;C07D401/12;;C07D409/06;;C07D417/06</x:v>
      </x:c>
      <x:c r="T506" s="87" t="str">
        <x:v>ACTIVE</x:v>
      </x:c>
      <x:c r="U506" s="87" t="str">
        <x:v>https://lens.org/011-388-130-369-782</x:v>
      </x:c>
    </x:row>
    <x:row r="507">
      <x:c r="A507" s="87" t="str">
        <x:v>Esteve Pharmaceuticals.csv</x:v>
      </x:c>
      <x:c r="B507" s="87" t="str">
        <x:v>Esteve Pharmaceuticals</x:v>
      </x:c>
      <x:c r="C507" s="87" t="str">
        <x:v>TRT-0044</x:v>
      </x:c>
      <x:c r="D507" s="87" t="str">
        <x:v>Yes</x:v>
      </x:c>
      <x:c r="E507" s="87" t="str">
        <x:v>esteve pharmaceuticals, esteve labor dr</x:v>
      </x:c>
      <x:c r="F507" s="87" t="str">
        <x:v>55</x:v>
      </x:c>
      <x:c r="G507" s="87" t="str">
        <x:v>163-232-208-769-120</x:v>
      </x:c>
      <x:c r="H507" s="110" t="n">
        <x:v>42384</x:v>
      </x:c>
      <x:c r="I507" s="88" t="n">
        <x:v>2016</x:v>
      </x:c>
      <x:c r="J507" s="87" t="str">
        <x:v>US</x:v>
      </x:c>
      <x:c r="K507" s="87" t="str">
        <x:v>A1</x:v>
      </x:c>
      <x:c r="L507" s="87" t="str">
        <x:v>US 2019/0031615 A1</x:v>
      </x:c>
      <x:c r="M507" s="87" t="str">
        <x:v>ESTEVE LABOR DR</x:v>
      </x:c>
      <x:c r="N507" s="87" t="str">
        <x:v>ESTEVE PHARMACEUTICALS S.A (2018-07-11)</x:v>
      </x:c>
      <x:c r="O507" s="87" t="str">
        <x:v>3-ETHYL-3-PHENYLAZEPANE DERIVATIVES HAVING MULTIMODAL ACTIVITY AGAINST PAIN</x:v>
      </x:c>
      <x:c r="P507" s="109" t="n">
        <x:v>0</x:v>
      </x:c>
      <x:c r="Q507" s="109" t="n">
        <x:v>3</x:v>
      </x:c>
      <x:c r="R507" s="87" t="str">
        <x:v>C07D223/04;;A61P29/00;;C07D401/12;;C07D223/04;;C07D401/12</x:v>
      </x:c>
      <x:c r="S507" s="87" t="str">
        <x:v>C07D223/04;;C07D401/12</x:v>
      </x:c>
      <x:c r="T507" s="87" t="str">
        <x:v>DISCONTINUED</x:v>
      </x:c>
      <x:c r="U507" s="87" t="str">
        <x:v>https://lens.org/163-232-208-769-120</x:v>
      </x:c>
    </x:row>
    <x:row r="508">
      <x:c r="A508" s="87" t="str">
        <x:v>Esteve Pharmaceuticals.csv</x:v>
      </x:c>
      <x:c r="B508" s="87" t="str">
        <x:v>Esteve Pharmaceuticals</x:v>
      </x:c>
      <x:c r="C508" s="87" t="str">
        <x:v>TRT-0044</x:v>
      </x:c>
      <x:c r="D508" s="87" t="str">
        <x:v>Yes</x:v>
      </x:c>
      <x:c r="E508" s="87" t="str">
        <x:v>esteve pharmaceuticals, esteve labor dr</x:v>
      </x:c>
      <x:c r="F508" s="87" t="str">
        <x:v>56</x:v>
      </x:c>
      <x:c r="G508" s="87" t="str">
        <x:v>126-395-082-022-64X</x:v>
      </x:c>
      <x:c r="H508" s="110" t="n">
        <x:v>41988</x:v>
      </x:c>
      <x:c r="I508" s="88" t="n">
        <x:v>2014</x:v>
      </x:c>
      <x:c r="J508" s="87" t="str">
        <x:v>US</x:v>
      </x:c>
      <x:c r="K508" s="87" t="str">
        <x:v>B2</x:v>
      </x:c>
      <x:c r="L508" s="87" t="str">
        <x:v>US 10189828 B2</x:v>
      </x:c>
      <x:c r="M508" s="87" t="str">
        <x:v>ESTEVE LABOR DR</x:v>
      </x:c>
      <x:c r="N508" s="87" t="str">
        <x:v>ESTEVE PHARMACEUTICALS S.A (2017-05-10)</x:v>
      </x:c>
      <x:c r="O508" s="87" t="str">
        <x:v>1-methylpyrazole-piperazine compounds having multimodal activity against pain</x:v>
      </x:c>
      <x:c r="P508" s="109" t="n">
        <x:v>0</x:v>
      </x:c>
      <x:c r="Q508" s="109" t="n">
        <x:v>4</x:v>
      </x:c>
      <x:c r="R508" s="87" t="str">
        <x:v>C07D417/12;;A61K31/4523;;A61K31/496;;C07D231/12;;C07D401/06;;C07D401/12;;C07D401/14;;C07D403/06;;C07D417/14;;C07D417/12;;A61K31/4523;;A61K31/496;;C07D231/12;;C07D401/06;;C07D401/12;;C07D401/14;;C07D403/06;;C07D417/14</x:v>
      </x:c>
      <x:c r="S508" s="87" t="str">
        <x:v>C07D231/12;;A61K31/4523;;A61K31/496;;C07D401/06;;C07D401/12;;C07D401/14;;C07D403/06;;C07D403/14;;C07D417/12;;C07D417/14</x:v>
      </x:c>
      <x:c r="T508" s="87" t="str">
        <x:v>INACTIVE</x:v>
      </x:c>
      <x:c r="U508" s="87" t="str">
        <x:v>https://lens.org/126-395-082-022-64X</x:v>
      </x:c>
    </x:row>
    <x:row r="509">
      <x:c r="A509" s="87" t="str">
        <x:v>Esteve Pharmaceuticals.csv</x:v>
      </x:c>
      <x:c r="B509" s="87" t="str">
        <x:v>Esteve Pharmaceuticals</x:v>
      </x:c>
      <x:c r="C509" s="87" t="str">
        <x:v>TRT-0044</x:v>
      </x:c>
      <x:c r="D509" s="87" t="str">
        <x:v>Yes</x:v>
      </x:c>
      <x:c r="E509" s="87" t="str">
        <x:v>esteve pharmaceuticals</x:v>
      </x:c>
      <x:c r="F509" s="87" t="str">
        <x:v>57</x:v>
      </x:c>
      <x:c r="G509" s="87" t="str">
        <x:v>036-998-192-740-431</x:v>
      </x:c>
      <x:c r="H509" s="110" t="n">
        <x:v>42122</x:v>
      </x:c>
      <x:c r="I509" s="88" t="n">
        <x:v>2015</x:v>
      </x:c>
      <x:c r="J509" s="87" t="str">
        <x:v>EP</x:v>
      </x:c>
      <x:c r="K509" s="87" t="str">
        <x:v>B1</x:v>
      </x:c>
      <x:c r="L509" s="87" t="str">
        <x:v>EP 3288941 B1</x:v>
      </x:c>
      <x:c r="M509" s="87" t="str">
        <x:v>ESTEVE PHARMACEUTICALS SA</x:v>
      </x:c>
      <x:c r="N509" s="87" t="str">
        <x:v>ESTEVE PHARMACEUTICALS, S.A. (2018-09-12)</x:v>
      </x:c>
      <x:c r="O509" s="87" t="str">
        <x:v>SPIRO-ISOQUINOLINE-3,4'-PIPERIDINE COMPOUNDS HAVING ACTIVITY AGAINST PAIN</x:v>
      </x:c>
      <x:c r="P509" s="109" t="n">
        <x:v>0</x:v>
      </x:c>
      <x:c r="Q509" s="109" t="n">
        <x:v>6</x:v>
      </x:c>
      <x:c r="R509" s="87" t="str">
        <x:v>C07D471/10;;A61P25/00;;A61P25/04;;A61P29/00;;C07D471/10;;A61P25/00;;A61P25/04;;A61P29/00</x:v>
      </x:c>
      <x:c r="S509" s="87" t="str">
        <x:v>C07D471/10;;A61K31/4747;;A61P25/00</x:v>
      </x:c>
      <x:c r="T509" s="87" t="str">
        <x:v>ACTIVE</x:v>
      </x:c>
      <x:c r="U509" s="87" t="str">
        <x:v>https://lens.org/036-998-192-740-431</x:v>
      </x:c>
    </x:row>
    <x:row r="510">
      <x:c r="A510" s="87" t="str">
        <x:v>Esteve Pharmaceuticals.csv</x:v>
      </x:c>
      <x:c r="B510" s="87" t="str">
        <x:v>Esteve Pharmaceuticals</x:v>
      </x:c>
      <x:c r="C510" s="87" t="str">
        <x:v>TRT-0044</x:v>
      </x:c>
      <x:c r="D510" s="87" t="str">
        <x:v>Yes</x:v>
      </x:c>
      <x:c r="E510" s="87" t="str">
        <x:v>esteve pharmaceuticals</x:v>
      </x:c>
      <x:c r="F510" s="87" t="str">
        <x:v>58</x:v>
      </x:c>
      <x:c r="G510" s="87" t="str">
        <x:v>012-027-877-425-394</x:v>
      </x:c>
      <x:c r="H510" s="110" t="n">
        <x:v>41822</x:v>
      </x:c>
      <x:c r="I510" s="88" t="n">
        <x:v>2014</x:v>
      </x:c>
      <x:c r="J510" s="87" t="str">
        <x:v>EP</x:v>
      </x:c>
      <x:c r="K510" s="87" t="str">
        <x:v>B8</x:v>
      </x:c>
      <x:c r="L510" s="87" t="str">
        <x:v>EP 3164403 B8</x:v>
      </x:c>
      <x:c r="M510" s="87" t="str">
        <x:v>ESTEVE PHARMACEUTICALS SA</x:v>
      </x:c>
      <x:c r="N510" s="87" t="str">
        <x:v>ESTEVE PHARMACEUTICALS, S.A., ES (2020-10-30);;ESTEVE PHARMACEUTICALS, S.A.; ES (2018-11-14);;ESTEVE PHARMACEUTICALS, S.A. (2018-09-12)</x:v>
      </x:c>
      <x:c r="O510" s="87" t="str">
        <x:v>TRICYCLIC TRIAZOLIC COMPOUNDS</x:v>
      </x:c>
      <x:c r="P510" s="109" t="n">
        <x:v>0</x:v>
      </x:c>
      <x:c r="Q510" s="109" t="n">
        <x:v>25</x:v>
      </x:c>
      <x:c r="R510" s="87" t="str">
        <x:v>C07D487/14;;C07D487/14;;A61P1/12;;A61P3/04;;A61P3/06;;A61P9/06;;A61P9/12;;A61P19/02;;A61P25/00;;A61P25/04;;A61P25/06;;A61P25/28;;A61P25/32;;A61P25/34;;A61P25/36;;A61P27/06;;A61P29/00;;A61P43/00;;C07D487/14;;A61K31/4192;;A61K31/4985;;C07D487/14</x:v>
      </x:c>
      <x:c r="S510" s="87" t="str">
        <x:v>C07D487/14;;A61K31/4985;;A61P25/00</x:v>
      </x:c>
      <x:c r="T510" s="87" t="str">
        <x:v>ACTIVE</x:v>
      </x:c>
      <x:c r="U510" s="87" t="str">
        <x:v>https://lens.org/012-027-877-425-394</x:v>
      </x:c>
    </x:row>
    <x:row r="511">
      <x:c r="A511" s="87" t="str">
        <x:v>Esteve Pharmaceuticals.csv</x:v>
      </x:c>
      <x:c r="B511" s="87" t="str">
        <x:v>Esteve Pharmaceuticals</x:v>
      </x:c>
      <x:c r="C511" s="87" t="str">
        <x:v>TRT-0044</x:v>
      </x:c>
      <x:c r="D511" s="87" t="str">
        <x:v>Yes</x:v>
      </x:c>
      <x:c r="E511" s="87" t="str">
        <x:v>esteve pharmaceuticals, esteve labor dr</x:v>
      </x:c>
      <x:c r="F511" s="87" t="str">
        <x:v>59</x:v>
      </x:c>
      <x:c r="G511" s="87" t="str">
        <x:v>035-993-623-661-358</x:v>
      </x:c>
      <x:c r="H511" s="110" t="n">
        <x:v>41792</x:v>
      </x:c>
      <x:c r="I511" s="88" t="n">
        <x:v>2014</x:v>
      </x:c>
      <x:c r="J511" s="87" t="str">
        <x:v>US</x:v>
      </x:c>
      <x:c r="K511" s="87" t="str">
        <x:v>B2</x:v>
      </x:c>
      <x:c r="L511" s="87" t="str">
        <x:v>US 10065971 B2</x:v>
      </x:c>
      <x:c r="M511" s="87" t="str">
        <x:v>ESTEVE LABOR DR;;ESTEVE PHARMACEUTICALS SA</x:v>
      </x:c>
      <x:c r="N511" s="87" t="str">
        <x:v>ESTEVE PHARMACEUTICALS S.A (2016-11-21)</x:v>
      </x:c>
      <x:c r="O511" s="87" t="str">
        <x:v>Amide derivatives of 1-oxa-4,9-diazaspiro undecane compounds having multimodal activity against pain</x:v>
      </x:c>
      <x:c r="P511" s="109" t="n">
        <x:v>0</x:v>
      </x:c>
      <x:c r="Q511" s="109" t="n">
        <x:v>16</x:v>
      </x:c>
      <x:c r="R511" s="87" t="str">
        <x:v>C07D498/10;;C07D498/10;;A61P23/00;;A61P25/04;;A61P25/06;;A61P29/00;;C07D498/10</x:v>
      </x:c>
      <x:c r="S511" s="87" t="str">
        <x:v>C07D498/10</x:v>
      </x:c>
      <x:c r="T511" s="87" t="str">
        <x:v>INACTIVE</x:v>
      </x:c>
      <x:c r="U511" s="87" t="str">
        <x:v>https://lens.org/035-993-623-661-358</x:v>
      </x:c>
    </x:row>
    <x:row r="512">
      <x:c r="A512" s="87" t="str">
        <x:v>Esteve Pharmaceuticals.csv</x:v>
      </x:c>
      <x:c r="B512" s="87" t="str">
        <x:v>Esteve Pharmaceuticals</x:v>
      </x:c>
      <x:c r="C512" s="87" t="str">
        <x:v>TRT-0044</x:v>
      </x:c>
      <x:c r="D512" s="87" t="str">
        <x:v>Yes</x:v>
      </x:c>
      <x:c r="E512" s="87" t="str">
        <x:v>esteve pharmaceuticals, esteve labor dr</x:v>
      </x:c>
      <x:c r="F512" s="87" t="str">
        <x:v>60</x:v>
      </x:c>
      <x:c r="G512" s="87" t="str">
        <x:v>104-464-564-428-894</x:v>
      </x:c>
      <x:c r="H512" s="110" t="n">
        <x:v>41485</x:v>
      </x:c>
      <x:c r="I512" s="88" t="n">
        <x:v>2013</x:v>
      </x:c>
      <x:c r="J512" s="87" t="str">
        <x:v>EP</x:v>
      </x:c>
      <x:c r="K512" s="87" t="str">
        <x:v>B1</x:v>
      </x:c>
      <x:c r="L512" s="87" t="str">
        <x:v>EP 3027587 B1</x:v>
      </x:c>
      <x:c r="M512" s="87" t="str">
        <x:v>ESTEVE LABOR DR</x:v>
      </x:c>
      <x:c r="N512" s="87" t="str">
        <x:v>ESTEVE PHARMACEUTICALS, S.A., ES (2019-01-14);;ESTEVE PHARMACEUTICALS, S.A.; ES (2018-10-18);;ESTEVE PHARMACEUTICALS, S.A. (2018-09-12)</x:v>
      </x:c>
      <x:c r="O512" s="87" t="str">
        <x:v>1,2-DISUBSTITUTED CYCLOBUTYL COMPOUNDS</x:v>
      </x:c>
      <x:c r="P512" s="109" t="n">
        <x:v>0</x:v>
      </x:c>
      <x:c r="Q512" s="109" t="n">
        <x:v>15</x:v>
      </x:c>
      <x:c r="R512" s="87" t="str">
        <x:v>C07D401/12;;A61P1/04;;A61P1/12;;A61P3/04;;A61P3/06;;A61P9/00;;A61P9/06;;A61P9/10;;A61P9/12;;A61P25/00;;A61P25/04;;A61P25/06;;A61P25/08;;A61P25/18;;A61P25/22;;A61P25/24;;A61P25/28;;A61P25/30;;A61P25/34;;A61P25/36;;A61P27/06;;A61P29/00;;A61P35/00;;A61P37/04;;A61P43/00;;C07C217/44;;C07C2601/04;;C07D207/06;;C07D211/14;;C07D231/22;;C07D295/03;;C07D295/096;;C07D401/12;;C07C211/17;;C07C217/44;;C07C2601/04;;C07D207/06;;C07D211/14;;C07D231/22;;C07D295/03;;C07D295/096</x:v>
      </x:c>
      <x:c r="S512" s="87" t="str">
        <x:v>C07C217/44;;A61K31/13;;A61K31/415;;A61K31/435;;A61P25/00;;C07D211/14;;C07D295/096;;C07D401/12;;C07D413/12</x:v>
      </x:c>
      <x:c r="T512" s="87" t="str">
        <x:v>ACTIVE</x:v>
      </x:c>
      <x:c r="U512" s="87" t="str">
        <x:v>https://lens.org/104-464-564-428-894</x:v>
      </x:c>
    </x:row>
    <x:row r="513">
      <x:c r="A513" s="87" t="str">
        <x:v>Esteve Pharmaceuticals.csv</x:v>
      </x:c>
      <x:c r="B513" s="87" t="str">
        <x:v>Esteve Pharmaceuticals</x:v>
      </x:c>
      <x:c r="C513" s="87" t="str">
        <x:v>TRT-0044</x:v>
      </x:c>
      <x:c r="D513" s="87" t="str">
        <x:v>Yes</x:v>
      </x:c>
      <x:c r="E513" s="87" t="str">
        <x:v>esteve pharmaceuticals, esteve labor dr</x:v>
      </x:c>
      <x:c r="F513" s="87" t="str">
        <x:v>61</x:v>
      </x:c>
      <x:c r="G513" s="87" t="str">
        <x:v>011-423-698-408-44X</x:v>
      </x:c>
      <x:c r="H513" s="110" t="n">
        <x:v>41964</x:v>
      </x:c>
      <x:c r="I513" s="88" t="n">
        <x:v>2014</x:v>
      </x:c>
      <x:c r="J513" s="87" t="str">
        <x:v>US</x:v>
      </x:c>
      <x:c r="K513" s="87" t="str">
        <x:v>B2</x:v>
      </x:c>
      <x:c r="L513" s="87" t="str">
        <x:v>US 10022359 B2</x:v>
      </x:c>
      <x:c r="M513" s="87" t="str">
        <x:v>ESTEVE LABOR DR;;ESTEVE PHARMACEUTICALS SA</x:v>
      </x:c>
      <x:c r="N513" s="87" t="str">
        <x:v>ESTEVE PHARMACEUTICALS S.A (2017-05-05)</x:v>
      </x:c>
      <x:c r="O513" s="87" t="str">
        <x:v>1,9-diazaspiro undecane compounds having multimodal activity against pain</x:v>
      </x:c>
      <x:c r="P513" s="109" t="n">
        <x:v>0</x:v>
      </x:c>
      <x:c r="Q513" s="109" t="n">
        <x:v>9</x:v>
      </x:c>
      <x:c r="R513" s="87" t="str">
        <x:v>C07D471/10;;C07D498/10;;A61K31/435;;A61K31/438;;A61P25/00;;A61P25/04;;A61P25/06;;A61P29/00;;A61P35/00;;C07D471/10;;C07D471/20;;A61K31/435;;A61K31/438;;C07D471/10;;C07D471/20</x:v>
      </x:c>
      <x:c r="S513" s="87" t="str">
        <x:v>C07D471/10;;A61K31/435;;A61K31/438;;C07D471/20</x:v>
      </x:c>
      <x:c r="T513" s="87" t="str">
        <x:v>INACTIVE</x:v>
      </x:c>
      <x:c r="U513" s="87" t="str">
        <x:v>https://lens.org/011-423-698-408-44X</x:v>
      </x:c>
    </x:row>
    <x:row r="514">
      <x:c r="A514" s="87" t="str">
        <x:v>Esteve Pharmaceuticals.csv</x:v>
      </x:c>
      <x:c r="B514" s="87" t="str">
        <x:v>Esteve Pharmaceuticals</x:v>
      </x:c>
      <x:c r="C514" s="87" t="str">
        <x:v>TRT-0044</x:v>
      </x:c>
      <x:c r="D514" s="87" t="str">
        <x:v>Yes</x:v>
      </x:c>
      <x:c r="E514" s="87" t="str">
        <x:v>esteve pharmaceuticals</x:v>
      </x:c>
      <x:c r="F514" s="87" t="str">
        <x:v>62</x:v>
      </x:c>
      <x:c r="G514" s="87" t="str">
        <x:v>019-476-379-092-433</x:v>
      </x:c>
      <x:c r="H514" s="110" t="n">
        <x:v>41383</x:v>
      </x:c>
      <x:c r="I514" s="88" t="n">
        <x:v>2013</x:v>
      </x:c>
      <x:c r="J514" s="87" t="str">
        <x:v>AU</x:v>
      </x:c>
      <x:c r="K514" s="87" t="str">
        <x:v>B2</x:v>
      </x:c>
      <x:c r="L514" s="87" t="str">
        <x:v>AU 2014/255679 B2</x:v>
      </x:c>
      <x:c r="M514" s="87" t="str">
        <x:v>ESTEVE PHARMACEUTICALS SA</x:v>
      </x:c>
      <x:c r="N514" s="87" t="str">
        <x:v>ESTEVE PHARMACEUTICALS, S.A. (2018-12-06)</x:v>
      </x:c>
      <x:c r="O514" s="87" t="str">
        <x:v>Tricyclic triazolic compounds as sigma receptors ligans</x:v>
      </x:c>
      <x:c r="P514" s="109" t="n">
        <x:v>0</x:v>
      </x:c>
      <x:c r="Q514" s="109" t="n">
        <x:v>47</x:v>
      </x:c>
      <x:c r="R514" s="87" t="str">
        <x:v>C07D498/14;;C07D498/16;;A61P1/12;;A61P19/02;;A61P25/00;;A61P25/04;;A61P25/06;;A61P25/08;;A61P25/14;;A61P25/18;;A61P25/22;;A61P25/24;;A61P25/28;;A61P25/30;;A61P25/32;;A61P25/34;;A61P25/36;;A61P27/06;;A61P29/00;;A61P3/04;;A61P35/00;;A61P3/06;;A61P37/02;;A61P43/00;;A61P9/06;;A61P9/10;;A61P9/12;;A61K31/5383;;C07D498/14;;C07D498/14;;C07D498/16</x:v>
      </x:c>
      <x:c r="S514" s="87" t="str">
        <x:v>C07D498/14;;A61K31/5383;;A61P25/00</x:v>
      </x:c>
      <x:c r="T514" s="87" t="str">
        <x:v>ACTIVE</x:v>
      </x:c>
      <x:c r="U514" s="87" t="str">
        <x:v>https://lens.org/019-476-379-092-433</x:v>
      </x:c>
    </x:row>
    <x:row r="515">
      <x:c r="A515" s="87" t="str">
        <x:v>Esteve Pharmaceuticals.csv</x:v>
      </x:c>
      <x:c r="B515" s="87" t="str">
        <x:v>Esteve Pharmaceuticals</x:v>
      </x:c>
      <x:c r="C515" s="87" t="str">
        <x:v>TRT-0044</x:v>
      </x:c>
      <x:c r="D515" s="87" t="str">
        <x:v>Yes</x:v>
      </x:c>
      <x:c r="E515" s="87" t="str">
        <x:v>esteve pharmaceuticals, esteve labor dr</x:v>
      </x:c>
      <x:c r="F515" s="87" t="str">
        <x:v>63</x:v>
      </x:c>
      <x:c r="G515" s="87" t="str">
        <x:v>190-020-133-809-582</x:v>
      </x:c>
      <x:c r="H515" s="110" t="n">
        <x:v>42719</x:v>
      </x:c>
      <x:c r="I515" s="88" t="n">
        <x:v>2016</x:v>
      </x:c>
      <x:c r="J515" s="87" t="str">
        <x:v>EP</x:v>
      </x:c>
      <x:c r="K515" s="87" t="str">
        <x:v>A1</x:v>
      </x:c>
      <x:c r="L515" s="87" t="str">
        <x:v>EP 3336085 A1</x:v>
      </x:c>
      <x:c r="M515" s="87" t="str">
        <x:v>ESTEVE LABOR DR</x:v>
      </x:c>
      <x:c r="N515" s="87" t="str">
        <x:v>ESTEVE PHARMACEUTICALS, S.A. (2018-09-12)</x:v>
      </x:c>
      <x:c r="O515" s="87" t="str">
        <x:v>PROCESS AND INTERMEDIATE FOR THE PREPARATION OF 1-(4-(2-((1-(3,4-DIFLUOROPHENYL)-1H-PYRAZOL-3-YL)METHOXY)ETHYL)PIPERAZIN-1-YL)ETHANONE</x:v>
      </x:c>
      <x:c r="P515" s="109" t="n">
        <x:v>0</x:v>
      </x:c>
      <x:c r="Q515" s="109" t="n">
        <x:v>4</x:v>
      </x:c>
      <x:c r="R515" s="87" t="str">
        <x:v>C07D231/12;;A61P29/00;;C07D231/24;;C07D401/12;;C07D403/12;;C07D413/12</x:v>
      </x:c>
      <x:c r="S515" s="87" t="str">
        <x:v>C07D403/12;;C07D231/12;;C07D231/24;;C07D401/12;;C07D413/12</x:v>
      </x:c>
      <x:c r="T515" s="87" t="str">
        <x:v>DISCONTINUED</x:v>
      </x:c>
      <x:c r="U515" s="87" t="str">
        <x:v>https://lens.org/190-020-133-809-582</x:v>
      </x:c>
    </x:row>
    <x:row r="516">
      <x:c r="A516" s="87" t="str">
        <x:v>Esteve Pharmaceuticals.csv</x:v>
      </x:c>
      <x:c r="B516" s="87" t="str">
        <x:v>Esteve Pharmaceuticals</x:v>
      </x:c>
      <x:c r="C516" s="87" t="str">
        <x:v>TRT-0044</x:v>
      </x:c>
      <x:c r="D516" s="87" t="str">
        <x:v>Yes</x:v>
      </x:c>
      <x:c r="E516" s="87" t="str">
        <x:v>esteve pharmaceuticals, esteve labor dr</x:v>
      </x:c>
      <x:c r="F516" s="87" t="str">
        <x:v>64</x:v>
      </x:c>
      <x:c r="G516" s="87" t="str">
        <x:v>115-417-901-091-805</x:v>
      </x:c>
      <x:c r="H516" s="110" t="n">
        <x:v>40960</x:v>
      </x:c>
      <x:c r="I516" s="88" t="n">
        <x:v>2012</x:v>
      </x:c>
      <x:c r="J516" s="87" t="str">
        <x:v>EP</x:v>
      </x:c>
      <x:c r="K516" s="87" t="str">
        <x:v>B1</x:v>
      </x:c>
      <x:c r="L516" s="87" t="str">
        <x:v>EP 2817309 B1</x:v>
      </x:c>
      <x:c r="M516" s="87" t="str">
        <x:v>ESTEVE LABOR DR</x:v>
      </x:c>
      <x:c r="N516" s="87" t="str">
        <x:v>ESTEVE PHARMACEUTICALS, S.A., ES (2018-10-22);;ESTEVE PHARMACEUTICALS, S.A. (2018-09-12)</x:v>
      </x:c>
      <x:c r="O516" s="87" t="str">
        <x:v>SUBSTITUTED PYRAZOLO[1,5-A]PYRIDINES, THEIR PREPARATION AND USE AS MEDICAMENTS</x:v>
      </x:c>
      <x:c r="P516" s="109" t="n">
        <x:v>0</x:v>
      </x:c>
      <x:c r="Q516" s="109" t="n">
        <x:v>16</x:v>
      </x:c>
      <x:c r="R516" s="87" t="str">
        <x:v>C07D471/04;;C07D519/00;;C07D471/04;;A61P1/04;;A61P1/12;;A61P3/04;;A61P3/06;;A61P9/00;;A61P9/06;;A61P9/12;;A61P19/02;;A61P25/00;;A61P25/06;;A61P25/10;;A61P25/18;;A61P25/22;;A61P25/24;;A61P25/28;;A61P25/32;;A61P25/34;;A61P25/36;;A61P27/06;;A61P29/00;;A61P35/00;;A61P37/06;;A61P43/00;;C07D491/107;;C07D519/00;;C07D471/04;;C07D491/107;;C07D519/00</x:v>
      </x:c>
      <x:c r="S516" s="87" t="str">
        <x:v>C07D471/04;;A61K31/437;;A61P25/18</x:v>
      </x:c>
      <x:c r="T516" s="87" t="str">
        <x:v>ACTIVE</x:v>
      </x:c>
      <x:c r="U516" s="87" t="str">
        <x:v>https://lens.org/115-417-901-091-805</x:v>
      </x:c>
    </x:row>
    <x:row r="517">
      <x:c r="A517" s="87" t="str">
        <x:v>Esteve Pharmaceuticals.csv</x:v>
      </x:c>
      <x:c r="B517" s="87" t="str">
        <x:v>Esteve Pharmaceuticals</x:v>
      </x:c>
      <x:c r="C517" s="87" t="str">
        <x:v>TRT-0044</x:v>
      </x:c>
      <x:c r="D517" s="87" t="str">
        <x:v>Yes</x:v>
      </x:c>
      <x:c r="E517" s="87" t="str">
        <x:v>esteve pharmaceuticals, esteve labor dr</x:v>
      </x:c>
      <x:c r="F517" s="87" t="str">
        <x:v>65</x:v>
      </x:c>
      <x:c r="G517" s="87" t="str">
        <x:v>042-319-878-937-765</x:v>
      </x:c>
      <x:c r="H517" s="110" t="n">
        <x:v>42216</x:v>
      </x:c>
      <x:c r="I517" s="88" t="n">
        <x:v>2015</x:v>
      </x:c>
      <x:c r="J517" s="87" t="str">
        <x:v>EP</x:v>
      </x:c>
      <x:c r="K517" s="87" t="str">
        <x:v>A1</x:v>
      </x:c>
      <x:c r="L517" s="87" t="str">
        <x:v>EP 3328365 A1</x:v>
      </x:c>
      <x:c r="M517" s="87" t="str">
        <x:v>ESTEVE LABOR DR</x:v>
      </x:c>
      <x:c r="N517" s="87" t="str">
        <x:v>ESTEVE PHARMACEUTICALS, S.A. (2018-09-12)</x:v>
      </x:c>
      <x:c r="O517" s="87" t="str">
        <x:v>USE OF SIGMA RECEPTOR LIGANDS IN DYSLIPIDEMIA</x:v>
      </x:c>
      <x:c r="P517" s="109" t="n">
        <x:v>0</x:v>
      </x:c>
      <x:c r="Q517" s="109" t="n">
        <x:v>2</x:v>
      </x:c>
      <x:c r="R517" s="87" t="str">
        <x:v>A61K31/00;;A61K31/415;;A61K31/5375;;A61P3/06;;A61P9/10</x:v>
      </x:c>
      <x:c r="S517" s="87" t="str">
        <x:v>A61K31/00;;A61K31/415;;A61K31/5375;;A61P3/06;;A61P9/10</x:v>
      </x:c>
      <x:c r="T517" s="87" t="str">
        <x:v>DISCONTINUED</x:v>
      </x:c>
      <x:c r="U517" s="87" t="str">
        <x:v>https://lens.org/042-319-878-937-765</x:v>
      </x:c>
    </x:row>
    <x:row r="518">
      <x:c r="A518" s="87" t="str">
        <x:v>Esteve Pharmaceuticals.csv</x:v>
      </x:c>
      <x:c r="B518" s="87" t="str">
        <x:v>Esteve Pharmaceuticals</x:v>
      </x:c>
      <x:c r="C518" s="87" t="str">
        <x:v>TRT-0044</x:v>
      </x:c>
      <x:c r="D518" s="87" t="str">
        <x:v>Yes</x:v>
      </x:c>
      <x:c r="E518" s="87" t="str">
        <x:v>esteve pharmaceuticals, esteve labor dr</x:v>
      </x:c>
      <x:c r="F518" s="87" t="str">
        <x:v>66</x:v>
      </x:c>
      <x:c r="G518" s="87" t="str">
        <x:v>198-823-241-195-178</x:v>
      </x:c>
      <x:c r="H518" s="110" t="n">
        <x:v>40849</x:v>
      </x:c>
      <x:c r="I518" s="88" t="n">
        <x:v>2011</x:v>
      </x:c>
      <x:c r="J518" s="87" t="str">
        <x:v>EP</x:v>
      </x:c>
      <x:c r="K518" s="87" t="str">
        <x:v>B1</x:v>
      </x:c>
      <x:c r="L518" s="87" t="str">
        <x:v>EP 2773348 B1</x:v>
      </x:c>
      <x:c r="M518" s="87" t="str">
        <x:v>ESTEVE LABOR DR</x:v>
      </x:c>
      <x:c r="N518" s="87" t="str">
        <x:v>ESTEVE PHARMACEUTICALS, S.A., ES (2019-03-27);;TOWA PHARMACEUTICAL EUROPE, S.L., ES (2022-05-23);;TOWA PHARMACEUTICAL EUROPE, S.L.; ES (2021-04-01);;ESTEVE PHARMACEUTICALS, S.A.; ES (2018-12-10);;DOSE INNOVA, S.L. (2019-12-27);;TOWA PHARMACEUTICAL EUROPE, S.L. (2021-03-08);;ESTEVE PHARMACEUTICALS, S.A. (2018-10-22);;DOSE INNOVA, S.L.; ES (2020-04-03)</x:v>
      </x:c>
      <x:c r="O518" s="87" t="str">
        <x:v>PHARMACEUTICAL COMPOSITION OF OMEPRAZOLE</x:v>
      </x:c>
      <x:c r="P518" s="109" t="n">
        <x:v>0</x:v>
      </x:c>
      <x:c r="Q518" s="109" t="n">
        <x:v>19</x:v>
      </x:c>
      <x:c r="R518" s="87" t="str">
        <x:v>A61K9/5026;;A61K9/2846;;A61K9/2886;;A61K9/5078;;A61K31/4439;;A61P1/00;;A61P1/04;;A61K9/2054;;A61K9/2086;;A61K31/4439;;A61K2121/00;;A61K9/5026;;A61K9/2846;;A61K9/2886;;A61K9/5078;;A61K31/4439</x:v>
      </x:c>
      <x:c r="S518" s="87" t="str">
        <x:v>A61K31/4439;;A61K9/28;;A61K9/50;;A61P1/04</x:v>
      </x:c>
      <x:c r="T518" s="87" t="str">
        <x:v>ACTIVE</x:v>
      </x:c>
      <x:c r="U518" s="87" t="str">
        <x:v>https://lens.org/198-823-241-195-178</x:v>
      </x:c>
    </x:row>
    <x:row r="519">
      <x:c r="A519" s="87" t="str">
        <x:v>Esteve Pharmaceuticals.csv</x:v>
      </x:c>
      <x:c r="B519" s="87" t="str">
        <x:v>Esteve Pharmaceuticals</x:v>
      </x:c>
      <x:c r="C519" s="87" t="str">
        <x:v>TRT-0044</x:v>
      </x:c>
      <x:c r="D519" s="87" t="str">
        <x:v>Yes</x:v>
      </x:c>
      <x:c r="E519" s="87" t="str">
        <x:v>esteve pharmaceuticals, esteve labor dr</x:v>
      </x:c>
      <x:c r="F519" s="87" t="str">
        <x:v>67</x:v>
      </x:c>
      <x:c r="G519" s="87" t="str">
        <x:v>152-433-635-525-392</x:v>
      </x:c>
      <x:c r="H519" s="110" t="n">
        <x:v>41988</x:v>
      </x:c>
      <x:c r="I519" s="88" t="n">
        <x:v>2014</x:v>
      </x:c>
      <x:c r="J519" s="87" t="str">
        <x:v>EP</x:v>
      </x:c>
      <x:c r="K519" s="87" t="str">
        <x:v>A1</x:v>
      </x:c>
      <x:c r="L519" s="87" t="str">
        <x:v>EP 3233078 A1</x:v>
      </x:c>
      <x:c r="M519" s="87" t="str">
        <x:v>ESTEVE LABOR DR</x:v>
      </x:c>
      <x:c r="N519" s="87" t="str">
        <x:v>ESTEVE PHARMACEUTICALS, S.A. (2018-09-12)</x:v>
      </x:c>
      <x:c r="O519" s="87" t="str">
        <x:v>USE OF SIGMA RECEPTOR LIGANDS IN OSTEOARTHRITIS</x:v>
      </x:c>
      <x:c r="P519" s="109" t="n">
        <x:v>0</x:v>
      </x:c>
      <x:c r="Q519" s="109" t="n">
        <x:v>19</x:v>
      </x:c>
      <x:c r="R519" s="87" t="str">
        <x:v>A61K31/415;;A61K31/496;;A61K31/5377;;A61K31/415;;A61K31/496;;A61K31/5377;;A61P19/02;;A61P25/00;;A61P25/02;;A61P25/04;;A61P29/00;;A61P29/02;;A61P43/00;;A61K31/415;;A61K31/496;;A61K31/5377;;A61K31/415;;A61K31/496;;A61K31/5377;;A61K45/06;;A61K2300/00</x:v>
      </x:c>
      <x:c r="S519" s="87" t="str">
        <x:v>A61K31/415;;A61K31/496;;A61K31/5377;;A61P19/02</x:v>
      </x:c>
      <x:c r="T519" s="87" t="str">
        <x:v>DISCONTINUED</x:v>
      </x:c>
      <x:c r="U519" s="87" t="str">
        <x:v>https://lens.org/152-433-635-525-392</x:v>
      </x:c>
    </x:row>
    <x:row r="520">
      <x:c r="A520" s="87" t="str">
        <x:v>Esteve Pharmaceuticals.csv</x:v>
      </x:c>
      <x:c r="B520" s="87" t="str">
        <x:v>Esteve Pharmaceuticals</x:v>
      </x:c>
      <x:c r="C520" s="87" t="str">
        <x:v>TRT-0044</x:v>
      </x:c>
      <x:c r="D520" s="87" t="str">
        <x:v>Yes</x:v>
      </x:c>
      <x:c r="E520" s="87" t="str">
        <x:v>esteve pharmaceuticals, esteve labor dr</x:v>
      </x:c>
      <x:c r="F520" s="87" t="str">
        <x:v>68</x:v>
      </x:c>
      <x:c r="G520" s="87" t="str">
        <x:v>025-179-916-070-843</x:v>
      </x:c>
      <x:c r="H520" s="110" t="n">
        <x:v>41281</x:v>
      </x:c>
      <x:c r="I520" s="88" t="n">
        <x:v>2013</x:v>
      </x:c>
      <x:c r="J520" s="87" t="str">
        <x:v>EP</x:v>
      </x:c>
      <x:c r="K520" s="87" t="str">
        <x:v>B1</x:v>
      </x:c>
      <x:c r="L520" s="87" t="str">
        <x:v>EP 2941424 B1</x:v>
      </x:c>
      <x:c r="M520" s="87" t="str">
        <x:v>ESTEVE LABOR DR</x:v>
      </x:c>
      <x:c r="N520" s="87" t="str">
        <x:v>ESTEVE PHARMACEUTICALS, S.A., ES (2019-12-02);;ESTEVE PHARMACEUTICALS, S.A.; ES (2019-04-29);;ESTEVE PHARMACEUTICALS, S.A. (2018-10-22)</x:v>
      </x:c>
      <x:c r="O520" s="87" t="str">
        <x:v>1,2,3-TRIAZOLE-4-AMINE DERIVATIVES FOR THE TREATMENT OF SIGMA RECEPTOR RELATED DISEASES AND DISORDERS</x:v>
      </x:c>
      <x:c r="P520" s="109" t="n">
        <x:v>0</x:v>
      </x:c>
      <x:c r="Q520" s="109" t="n">
        <x:v>15</x:v>
      </x:c>
      <x:c r="R520" s="87" t="str">
        <x:v>C07D249/04;;A61P1/00;;A61P1/04;;A61P1/12;;A61P3/00;;A61P3/04;;A61P3/06;;A61P5/00;;A61P9/00;;A61P9/06;;A61P9/10;;A61P9/12;;A61P19/00;;A61P19/02;;A61P25/00;;A61P25/04;;A61P25/06;;A61P25/08;;A61P25/14;;A61P25/18;;A61P25/22;;A61P25/24;;A61P25/28;;A61P25/30;;A61P25/32;;A61P25/34;;A61P25/36;;A61P27/00;;A61P27/06;;A61P29/00;;A61P35/00;;A61P37/00;;A61P37/06;;A61P43/00;;C07D249/06;;C07D295/185;;C07D401/12;;C07D249/04;;C07D249/06;;C07D295/185;;C07D401/12;;C07F7/10</x:v>
      </x:c>
      <x:c r="S520" s="87" t="str">
        <x:v>C07D401/12;;A61K31/4192;;A61K31/4439;;A61K31/496;;A61K31/5377;;A61P1/00;;A61P3/00;;A61P5/00;;A61P9/00;;A61P19/00;;A61P25/00;;A61P35/00;;C07D249/04;;C07D249/06;;C07D295/185;;C07F7/10</x:v>
      </x:c>
      <x:c r="T520" s="87" t="str">
        <x:v>ACTIVE</x:v>
      </x:c>
      <x:c r="U520" s="87" t="str">
        <x:v>https://lens.org/025-179-916-070-843</x:v>
      </x:c>
    </x:row>
    <x:row r="521">
      <x:c r="A521" s="87" t="str">
        <x:v>Esteve Pharmaceuticals.csv</x:v>
      </x:c>
      <x:c r="B521" s="87" t="str">
        <x:v>Esteve Pharmaceuticals</x:v>
      </x:c>
      <x:c r="C521" s="87" t="str">
        <x:v>TRT-0044</x:v>
      </x:c>
      <x:c r="D521" s="87" t="str">
        <x:v>Yes</x:v>
      </x:c>
      <x:c r="E521" s="87" t="str">
        <x:v>esteve pharmaceuticals, esteve labor dr</x:v>
      </x:c>
      <x:c r="F521" s="87" t="str">
        <x:v>69</x:v>
      </x:c>
      <x:c r="G521" s="87" t="str">
        <x:v>063-832-515-795-488</x:v>
      </x:c>
      <x:c r="H521" s="110" t="n">
        <x:v>40802</x:v>
      </x:c>
      <x:c r="I521" s="88" t="n">
        <x:v>2011</x:v>
      </x:c>
      <x:c r="J521" s="87" t="str">
        <x:v>EP</x:v>
      </x:c>
      <x:c r="K521" s="87" t="str">
        <x:v>B1</x:v>
      </x:c>
      <x:c r="L521" s="87" t="str">
        <x:v>EP 2766344 B1</x:v>
      </x:c>
      <x:c r="M521" s="87" t="str">
        <x:v>ESTEVE LABOR DR</x:v>
      </x:c>
      <x:c r="N521" s="87" t="str">
        <x:v>ESTEVE PHARMACEUTICALS, S.A., ES (2018-12-05);;ESTEVE PHARMACEUTICALS, S.A. (2018-10-22)</x:v>
      </x:c>
      <x:c r="O521" s="87" t="str">
        <x:v>EP1 RECEPTOR LIGANDS</x:v>
      </x:c>
      <x:c r="P521" s="109" t="n">
        <x:v>0</x:v>
      </x:c>
      <x:c r="Q521" s="109" t="n">
        <x:v>26</x:v>
      </x:c>
      <x:c r="R521" s="87" t="str">
        <x:v>C07D209/08;;C07D209/12;;C07D209/34;;C07D215/36;;C07D215/48;;C07D231/56;;C07D235/06;;C07D241/42;;C07D265/36;;C07D405/12;;C07D471/04;;C07D487/04;;C07D209/42;;A61P1/00;;A61P1/04;;A61P9/00;;A61P9/10;;A61P13/02;;A61P13/12;;A61P15/00;;A61P15/06;;A61P17/00;;A61P17/02;;A61P19/02;;A61P19/10;;A61P25/00;;A61P25/04;;A61P25/06;;A61P25/14;;A61P25/16;;A61P25/28;;A61P27/02;;A61P29/00;;A61P31/12;;A61P35/00;;A61P43/00;;C07D209/08;;C07D209/12;;C07D209/34;;C07D215/48;;C07D231/56;;C07D235/06;;C07D241/42;;C07D265/36;;C07D401/06;;C07D405/06;;C07D405/12;;C07D471/04;;C07D487/04;;C07D209/42;;C07D209/08;;C07D209/12;;C07D209/34;;C07D215/48;;C07D231/56;;C07D235/06;;C07D241/42;;C07D265/36;;C07D401/06;;C07D405/06;;C07D405/12;;C07D471/04;;C07D487/04</x:v>
      </x:c>
      <x:c r="S521" s="87" t="str">
        <x:v>C07D215/48;;C07D209/08;;C07D209/12;;C07D209/34;;C07D209/42;;C07D231/56;;C07D235/06;;C07D241/42;;C07D265/36;;C07D401/06;;C07D405/06;;C07D405/12;;C07D471/04;;C07D487/04</x:v>
      </x:c>
      <x:c r="T521" s="87" t="str">
        <x:v>ACTIVE</x:v>
      </x:c>
      <x:c r="U521" s="87" t="str">
        <x:v>https://lens.org/063-832-515-795-488</x:v>
      </x:c>
    </x:row>
    <x:row r="522">
      <x:c r="A522" s="87" t="str">
        <x:v>Esteve Pharmaceuticals.csv</x:v>
      </x:c>
      <x:c r="B522" s="87" t="str">
        <x:v>Esteve Pharmaceuticals</x:v>
      </x:c>
      <x:c r="C522" s="87" t="str">
        <x:v>TRT-0044</x:v>
      </x:c>
      <x:c r="D522" s="87" t="str">
        <x:v>Yes</x:v>
      </x:c>
      <x:c r="E522" s="87" t="str">
        <x:v>esteve pharmaceuticals, esteve labor dr</x:v>
      </x:c>
      <x:c r="F522" s="87" t="str">
        <x:v>70</x:v>
      </x:c>
      <x:c r="G522" s="87" t="str">
        <x:v>016-446-120-654-883</x:v>
      </x:c>
      <x:c r="H522" s="110" t="n">
        <x:v>41094</x:v>
      </x:c>
      <x:c r="I522" s="88" t="n">
        <x:v>2012</x:v>
      </x:c>
      <x:c r="J522" s="87" t="str">
        <x:v>US</x:v>
      </x:c>
      <x:c r="K522" s="87" t="str">
        <x:v>B2</x:v>
      </x:c>
      <x:c r="L522" s="87" t="str">
        <x:v>US 9617281 B2</x:v>
      </x:c>
      <x:c r="M522" s="87" t="str">
        <x:v>ESTEVE LABOR DR;;ESTEVE LABOR DR</x:v>
      </x:c>
      <x:c r="N522" s="87" t="str">
        <x:v>ESTEVE PHARMACEUTICALS S.A (2015-03-15)</x:v>
      </x:c>
      <x:c r="O522" s="87" t="str">
        <x:v>Imidazo[2,1-b]thiazole derivatives, their preparation and use as medicaments</x:v>
      </x:c>
      <x:c r="P522" s="109" t="n">
        <x:v>1</x:v>
      </x:c>
      <x:c r="Q522" s="109" t="n">
        <x:v>16</x:v>
      </x:c>
      <x:c r="R522" s="87" t="str">
        <x:v>C07D513/04;;C07D513/04;;A61P1/04;;A61P1/12;;A61P3/04;;A61P3/06;;A61P9/06;;A61P9/10;;A61P9/12;;A61P19/02;;A61P25/00;;A61P25/04;;A61P25/06;;A61P25/08;;A61P25/14;;A61P25/18;;A61P25/22;;A61P25/24;;A61P25/28;;A61P25/30;;A61P25/32;;A61P25/34;;A61P25/36;;A61P27/06;;A61P29/00;;A61P35/00;;A61P37/06;;A61P43/00;;C07D513/04</x:v>
      </x:c>
      <x:c r="S522" s="87" t="str">
        <x:v>C07D513/04</x:v>
      </x:c>
      <x:c r="T522" s="87" t="str">
        <x:v>INACTIVE</x:v>
      </x:c>
      <x:c r="U522" s="87" t="str">
        <x:v>https://lens.org/016-446-120-654-883</x:v>
      </x:c>
    </x:row>
    <x:row r="523">
      <x:c r="A523" s="87" t="str">
        <x:v>Esteve Pharmaceuticals.csv</x:v>
      </x:c>
      <x:c r="B523" s="87" t="str">
        <x:v>Esteve Pharmaceuticals</x:v>
      </x:c>
      <x:c r="C523" s="87" t="str">
        <x:v>TRT-0044</x:v>
      </x:c>
      <x:c r="D523" s="87" t="str">
        <x:v>Yes</x:v>
      </x:c>
      <x:c r="E523" s="87" t="str">
        <x:v>esteve pharmaceuticals, esteve labor dr</x:v>
      </x:c>
      <x:c r="F523" s="87" t="str">
        <x:v>71</x:v>
      </x:c>
      <x:c r="G523" s="87" t="str">
        <x:v>186-062-900-717-509</x:v>
      </x:c>
      <x:c r="H523" s="110" t="n">
        <x:v>40932</x:v>
      </x:c>
      <x:c r="I523" s="88" t="n">
        <x:v>2012</x:v>
      </x:c>
      <x:c r="J523" s="87" t="str">
        <x:v>EP</x:v>
      </x:c>
      <x:c r="K523" s="87" t="str">
        <x:v>B1</x:v>
      </x:c>
      <x:c r="L523" s="87" t="str">
        <x:v>EP 2807169 B1</x:v>
      </x:c>
      <x:c r="M523" s="87" t="str">
        <x:v>ESTEVE LABOR DR</x:v>
      </x:c>
      <x:c r="N523" s="87" t="str">
        <x:v>ESTEVE PHARMACEUTICALS, S.A. (2018-10-22)</x:v>
      </x:c>
      <x:c r="O523" s="87" t="str">
        <x:v>SUBSTITUTED PYRANO AND FURANOQUINOLINES, THEIR PREPARATION AND USE AS MEDICAMENTS</x:v>
      </x:c>
      <x:c r="P523" s="109" t="n">
        <x:v>0</x:v>
      </x:c>
      <x:c r="Q523" s="109" t="n">
        <x:v>15</x:v>
      </x:c>
      <x:c r="R523" s="87" t="str">
        <x:v>C07D491/048;;C07D491/052;;A61K31/4741;;A61K31/5377;;A61P1/04;;A61P3/04;;A61P3/06;;A61P9/06;;A61P9/12;;A61P19/02;;A61P25/00;;A61P25/04;;A61P25/06;;A61P25/08;;A61P25/18;;A61P25/22;;A61P25/24;;A61P25/28;;A61P25/36;;A61P27/06;;A61P35/00;;A61P43/00;;C07D491/04;;C07D491/048;;C07D491/052;;A61K31/4741;;A61K31/5377;;C07D491/04;;C07D491/048;;C07D491/052</x:v>
      </x:c>
      <x:c r="S523" s="87" t="str">
        <x:v>C07D491/04;;A61K31/436;;A61P25/04</x:v>
      </x:c>
      <x:c r="T523" s="87" t="str">
        <x:v>ACTIVE</x:v>
      </x:c>
      <x:c r="U523" s="87" t="str">
        <x:v>https://lens.org/186-062-900-717-509</x:v>
      </x:c>
    </x:row>
    <x:row r="524">
      <x:c r="A524" s="87" t="str">
        <x:v>Esteve Pharmaceuticals.csv</x:v>
      </x:c>
      <x:c r="B524" s="87" t="str">
        <x:v>Esteve Pharmaceuticals</x:v>
      </x:c>
      <x:c r="C524" s="87" t="str">
        <x:v>TRT-0044</x:v>
      </x:c>
      <x:c r="D524" s="87" t="str">
        <x:v>Yes</x:v>
      </x:c>
      <x:c r="E524" s="87" t="str">
        <x:v>esteve pharmaceuticals, esteve labor dr</x:v>
      </x:c>
      <x:c r="F524" s="87" t="str">
        <x:v>72</x:v>
      </x:c>
      <x:c r="G524" s="87" t="str">
        <x:v>002-043-967-476-117</x:v>
      </x:c>
      <x:c r="H524" s="110" t="n">
        <x:v>40745</x:v>
      </x:c>
      <x:c r="I524" s="88" t="n">
        <x:v>2011</x:v>
      </x:c>
      <x:c r="J524" s="87" t="str">
        <x:v>EP</x:v>
      </x:c>
      <x:c r="K524" s="87" t="str">
        <x:v>B1</x:v>
      </x:c>
      <x:c r="L524" s="87" t="str">
        <x:v>EP 2734524 B1</x:v>
      </x:c>
      <x:c r="M524" s="87" t="str">
        <x:v>ESTEVE LABOR DR</x:v>
      </x:c>
      <x:c r="N524" s="87" t="str">
        <x:v>ESTEVE PHARMACEUTICALS S.A., ES (2018-07-16);;ESTEVE PHARMACEUTICALS, S.A. (2018-10-22)</x:v>
      </x:c>
      <x:c r="O524" s="87" t="str">
        <x:v>PYRAZOLO[3,4-d]PYRIMIDINE COMPOUNDS, THEIR PREPARATION AND USE AS SIGMA LIGANDS</x:v>
      </x:c>
      <x:c r="P524" s="109" t="n">
        <x:v>0</x:v>
      </x:c>
      <x:c r="Q524" s="109" t="n">
        <x:v>14</x:v>
      </x:c>
      <x:c r="R524" s="87" t="str">
        <x:v>C07D487/04;;C07D487/04;;A61P1/04;;A61P3/04;;A61P3/06;;A61P7/00;;A61P9/06;;A61P9/10;;A61P9/12;;A61P19/02;;A61P25/04;;A61P25/06;;A61P25/08;;A61P25/18;;A61P25/22;;A61P25/24;;A61P25/28;;A61P25/30;;A61P25/32;;A61P25/36;;A61P27/06;;A61P29/00;;A61P31/04;;A61P35/00;;A61P37/06;;A61P43/00;;C07D487/04</x:v>
      </x:c>
      <x:c r="S524" s="87" t="str">
        <x:v>C07D487/04;;A61K31/519</x:v>
      </x:c>
      <x:c r="T524" s="87" t="str">
        <x:v>ACTIVE</x:v>
      </x:c>
      <x:c r="U524" s="87" t="str">
        <x:v>https://lens.org/002-043-967-476-117</x:v>
      </x:c>
    </x:row>
    <x:row r="525">
      <x:c r="A525" s="87" t="str">
        <x:v>Esteve Pharmaceuticals.csv</x:v>
      </x:c>
      <x:c r="B525" s="87" t="str">
        <x:v>Esteve Pharmaceuticals</x:v>
      </x:c>
      <x:c r="C525" s="87" t="str">
        <x:v>TRT-0044</x:v>
      </x:c>
      <x:c r="D525" s="87" t="str">
        <x:v>Yes</x:v>
      </x:c>
      <x:c r="E525" s="87" t="str">
        <x:v>esteve pharmaceuticals, esteve labor dr</x:v>
      </x:c>
      <x:c r="F525" s="87" t="str">
        <x:v>73</x:v>
      </x:c>
      <x:c r="G525" s="87" t="str">
        <x:v>140-217-613-567-987</x:v>
      </x:c>
      <x:c r="H525" s="110" t="n">
        <x:v>41093</x:v>
      </x:c>
      <x:c r="I525" s="88" t="n">
        <x:v>2012</x:v>
      </x:c>
      <x:c r="J525" s="87" t="str">
        <x:v>US</x:v>
      </x:c>
      <x:c r="K525" s="87" t="str">
        <x:v>B2</x:v>
      </x:c>
      <x:c r="L525" s="87" t="str">
        <x:v>US 9493434 B2</x:v>
      </x:c>
      <x:c r="M525" s="87" t="str">
        <x:v>ESTEVE LABOR DR</x:v>
      </x:c>
      <x:c r="N525" s="87" t="str">
        <x:v>ESTEVE PHARMACEUTICALS S.A (2015-03-03)</x:v>
      </x:c>
      <x:c r="O525" s="87" t="str">
        <x:v>Substituted indenes as medicaments</x:v>
      </x:c>
      <x:c r="P525" s="109" t="n">
        <x:v>0</x:v>
      </x:c>
      <x:c r="Q525" s="109" t="n">
        <x:v>17</x:v>
      </x:c>
      <x:c r="R525" s="87" t="str">
        <x:v>C07D295/03;;C07D211/14;;C07D213/38;;C07D213/61;;C07D231/12;;C07D239/26;;C07D249/06;;C07D261/08;;C07D295/073;;C07D295/096;;C07D333/20;;C07D295/03;;A61P1/00;;A61P1/04;;A61P1/12;;A61P3/04;;A61P3/06;;A61P7/00;;A61P9/12;;A61P19/02;;A61P19/06;;A61P25/06;;A61P25/08;;A61P25/22;;A61P25/24;;A61P25/28;;A61P25/30;;A61P27/06;;A61P29/00;;A61P35/00;;A61P37/00;;A61P43/00;;C07D213/36;;C07D231/12;;C07D239/26;;C07D249/06;;C07D261/08;;C07D295/073;;C07D295/096;;C07D333/20;;C07D295/03;;C07D213/36;;C07D231/12;;C07D239/26;;C07D249/06;;C07D261/08;;C07D295/073;;C07D295/096;;C07D333/20</x:v>
      </x:c>
      <x:c r="S525" s="87" t="str">
        <x:v>A61K31/137;;C07C211/34;;C07D213/36;;C07D231/12;;C07D239/26;;C07D249/06;;C07D261/08;;C07D295/03;;C07D295/073;;C07D295/096;;C07D333/20</x:v>
      </x:c>
      <x:c r="T525" s="87" t="str">
        <x:v>INACTIVE</x:v>
      </x:c>
      <x:c r="U525" s="87" t="str">
        <x:v>https://lens.org/140-217-613-567-987</x:v>
      </x:c>
    </x:row>
    <x:row r="526">
      <x:c r="A526" s="87" t="str">
        <x:v>Esteve Pharmaceuticals.csv</x:v>
      </x:c>
      <x:c r="B526" s="87" t="str">
        <x:v>Esteve Pharmaceuticals</x:v>
      </x:c>
      <x:c r="C526" s="87" t="str">
        <x:v>TRT-0044</x:v>
      </x:c>
      <x:c r="D526" s="87" t="str">
        <x:v>Yes</x:v>
      </x:c>
      <x:c r="E526" s="87" t="str">
        <x:v>esteve pharmaceuticals, esteve labor dr</x:v>
      </x:c>
      <x:c r="F526" s="87" t="str">
        <x:v>74</x:v>
      </x:c>
      <x:c r="G526" s="87" t="str">
        <x:v>074-809-487-048-816</x:v>
      </x:c>
      <x:c r="H526" s="110" t="n">
        <x:v>41625</x:v>
      </x:c>
      <x:c r="I526" s="88" t="n">
        <x:v>2013</x:v>
      </x:c>
      <x:c r="J526" s="87" t="str">
        <x:v>US</x:v>
      </x:c>
      <x:c r="K526" s="87" t="str">
        <x:v>A1</x:v>
      </x:c>
      <x:c r="L526" s="87" t="str">
        <x:v>US 2016/0310501 A1</x:v>
      </x:c>
      <x:c r="M526" s="87" t="str">
        <x:v>ESTEVE LABOR DR</x:v>
      </x:c>
      <x:c r="N526" s="87" t="str">
        <x:v>ESTEVE PHARMACEUTICALS S.A (2016-06-06)</x:v>
      </x:c>
      <x:c r="O526" s="87" t="str">
        <x:v>GABAPENTINOIDS AND SIGMA RECEPTOR LIGANDS COMBINATIONS</x:v>
      </x:c>
      <x:c r="P526" s="109" t="n">
        <x:v>2</x:v>
      </x:c>
      <x:c r="Q526" s="109" t="n">
        <x:v>17</x:v>
      </x:c>
      <x:c r="R526" s="87" t="str">
        <x:v>A61K31/5377;;A61K31/195;;A61K31/197;;A61K31/415;;A61K45/06;;A61P25/04;;A61P29/00;;A61P43/00;;A61K31/197;;A61K31/195;;A61K31/415;;A61K31/4178;;A61K31/5377;;A61K45/06;;A61K2300/00;;A61K31/5377;;A61K31/195;;A61K31/197;;A61K31/415;;A61K45/06</x:v>
      </x:c>
      <x:c r="S526" s="87" t="str">
        <x:v>A61K31/5377;;A61K31/195</x:v>
      </x:c>
      <x:c r="T526" s="87" t="str">
        <x:v>DISCONTINUED</x:v>
      </x:c>
      <x:c r="U526" s="87" t="str">
        <x:v>https://lens.org/074-809-487-048-816</x:v>
      </x:c>
    </x:row>
    <x:row r="527">
      <x:c r="A527" s="87" t="str">
        <x:v>Esteve Pharmaceuticals.csv</x:v>
      </x:c>
      <x:c r="B527" s="87" t="str">
        <x:v>Esteve Pharmaceuticals</x:v>
      </x:c>
      <x:c r="C527" s="87" t="str">
        <x:v>TRT-0044</x:v>
      </x:c>
      <x:c r="D527" s="87" t="str">
        <x:v>Yes</x:v>
      </x:c>
      <x:c r="E527" s="87" t="str">
        <x:v>esteve pharmaceuticals, esteve labor dr</x:v>
      </x:c>
      <x:c r="F527" s="87" t="str">
        <x:v>75</x:v>
      </x:c>
      <x:c r="G527" s="87" t="str">
        <x:v>178-536-575-104-451</x:v>
      </x:c>
      <x:c r="H527" s="110" t="n">
        <x:v>41625</x:v>
      </x:c>
      <x:c r="I527" s="88" t="n">
        <x:v>2013</x:v>
      </x:c>
      <x:c r="J527" s="87" t="str">
        <x:v>EP</x:v>
      </x:c>
      <x:c r="K527" s="87" t="str">
        <x:v>A1</x:v>
      </x:c>
      <x:c r="L527" s="87" t="str">
        <x:v>EP 3082782 A1</x:v>
      </x:c>
      <x:c r="M527" s="87" t="str">
        <x:v>ESTEVE LABOR DR</x:v>
      </x:c>
      <x:c r="N527" s="87" t="str">
        <x:v>ESTEVE PHARMACEUTICALS, S.A. (2018-09-12)</x:v>
      </x:c>
      <x:c r="O527" s="87" t="str">
        <x:v>COMBINATIONS COMPRISING SEROTONIN-NOREPINEPHRINE REUPTAKE INHIBITORS (SNRIS) AND SIGMA RECEPTOR LIGANDS</x:v>
      </x:c>
      <x:c r="P527" s="109" t="n">
        <x:v>0</x:v>
      </x:c>
      <x:c r="Q527" s="109" t="n">
        <x:v>18</x:v>
      </x:c>
      <x:c r="R527" s="87" t="str">
        <x:v>A61K31/5377;;A61K31/137;;A61K31/381;;A61K45/06;;A61P25/04;;A61P29/00;;A61P29/02;;A61P43/00;;A61K31/137;;A61K31/381;;A61K31/5377;;A61K45/06;;A61K2300/00;;A61K31/5377;;A61K31/137;;A61K31/381;;A61K45/06</x:v>
      </x:c>
      <x:c r="S527" s="87" t="str">
        <x:v>A61K31/137;;A61K31/381;;A61K31/415;;A61K31/5377;;A61P29/00</x:v>
      </x:c>
      <x:c r="T527" s="87" t="str">
        <x:v>DISCONTINUED</x:v>
      </x:c>
      <x:c r="U527" s="87" t="str">
        <x:v>https://lens.org/178-536-575-104-451</x:v>
      </x:c>
    </x:row>
    <x:row r="528">
      <x:c r="A528" s="87" t="str">
        <x:v>Esteve Pharmaceuticals.csv</x:v>
      </x:c>
      <x:c r="B528" s="87" t="str">
        <x:v>Esteve Pharmaceuticals</x:v>
      </x:c>
      <x:c r="C528" s="87" t="str">
        <x:v>TRT-0044</x:v>
      </x:c>
      <x:c r="D528" s="87" t="str">
        <x:v>Yes</x:v>
      </x:c>
      <x:c r="E528" s="87" t="str">
        <x:v>esteve pharmaceuticals, esteve labor dr</x:v>
      </x:c>
      <x:c r="F528" s="87" t="str">
        <x:v>76</x:v>
      </x:c>
      <x:c r="G528" s="87" t="str">
        <x:v>054-197-760-760-303</x:v>
      </x:c>
      <x:c r="H528" s="110" t="n">
        <x:v>41227</x:v>
      </x:c>
      <x:c r="I528" s="88" t="n">
        <x:v>2012</x:v>
      </x:c>
      <x:c r="J528" s="87" t="str">
        <x:v>EP</x:v>
      </x:c>
      <x:c r="K528" s="87" t="str">
        <x:v>B1</x:v>
      </x:c>
      <x:c r="L528" s="87" t="str">
        <x:v>EP 2920174 B1</x:v>
      </x:c>
      <x:c r="M528" s="87" t="str">
        <x:v>ESTEVE LABOR DR</x:v>
      </x:c>
      <x:c r="N528" s="87" t="str">
        <x:v>ESTEVE PHARMACEUTICALS, S.A., ES (2019-04-25);;ESTEVE PHARMACEUTICALS, S.A.; ES (2018-11-22);;ESTEVE PHARMACEUTICALS, S.A. (2018-10-22)</x:v>
      </x:c>
      <x:c r="O528" s="87" t="str">
        <x:v>SUBSTITUTED PYRAZOLO[3,4-D]PYRIMIDINE COMPOUNDS, THEIR PREPARATION AND USE AS SIGMA RECEPTORS LIGANDS</x:v>
      </x:c>
      <x:c r="P528" s="109" t="n">
        <x:v>0</x:v>
      </x:c>
      <x:c r="Q528" s="109" t="n">
        <x:v>15</x:v>
      </x:c>
      <x:c r="R528" s="87" t="str">
        <x:v>C07D487/04;;A61P1/04;;A61P1/12;;A61P3/04;;A61P3/06;;A61P9/00;;A61P9/06;;A61P9/12;;A61P19/02;;A61P25/00;;A61P25/04;;A61P25/06;;A61P25/18;;A61P25/22;;A61P25/24;;A61P25/28;;A61P25/32;;A61P25/36;;A61P27/06;;A61P29/00;;A61P35/00;;A61P37/02;;A61P43/00;;C07D487/04</x:v>
      </x:c>
      <x:c r="S528" s="87" t="str">
        <x:v>C07D487/04;;A61K31/519;;A61P25/00;;A61P29/00</x:v>
      </x:c>
      <x:c r="T528" s="87" t="str">
        <x:v>ACTIVE</x:v>
      </x:c>
      <x:c r="U528" s="87" t="str">
        <x:v>https://lens.org/054-197-760-760-303</x:v>
      </x:c>
    </x:row>
    <x:row r="529">
      <x:c r="A529" s="87" t="str">
        <x:v>Esteve Pharmaceuticals.csv</x:v>
      </x:c>
      <x:c r="B529" s="87" t="str">
        <x:v>Esteve Pharmaceuticals</x:v>
      </x:c>
      <x:c r="C529" s="87" t="str">
        <x:v>TRT-0044</x:v>
      </x:c>
      <x:c r="D529" s="87" t="str">
        <x:v>Yes</x:v>
      </x:c>
      <x:c r="E529" s="87" t="str">
        <x:v>esteve pharmaceuticals, esteve labor dr</x:v>
      </x:c>
      <x:c r="F529" s="87" t="str">
        <x:v>77</x:v>
      </x:c>
      <x:c r="G529" s="87" t="str">
        <x:v>186-504-763-258-793</x:v>
      </x:c>
      <x:c r="H529" s="110" t="n">
        <x:v>41529</x:v>
      </x:c>
      <x:c r="I529" s="88" t="n">
        <x:v>2013</x:v>
      </x:c>
      <x:c r="J529" s="87" t="str">
        <x:v>EP</x:v>
      </x:c>
      <x:c r="K529" s="87" t="str">
        <x:v>A1</x:v>
      </x:c>
      <x:c r="L529" s="87" t="str">
        <x:v>EP 3043795 A1</x:v>
      </x:c>
      <x:c r="M529" s="87" t="str">
        <x:v>ESTEVE LABOR DR</x:v>
      </x:c>
      <x:c r="N529" s="87" t="str">
        <x:v>ESTEVE PHARMACEUTICALS, S.A. (2018-09-12)</x:v>
      </x:c>
      <x:c r="O529" s="87" t="str">
        <x:v>NSAID AND SIGMA RECEPTOR LIGAND COMBINATIONS</x:v>
      </x:c>
      <x:c r="P529" s="109" t="n">
        <x:v>7</x:v>
      </x:c>
      <x:c r="Q529" s="109" t="n">
        <x:v>19</x:v>
      </x:c>
      <x:c r="R529" s="87" t="str">
        <x:v>A61K45/06;;A61K31/167;;A61K31/196;;A61K31/415;;A61K31/4152;;A61K31/4523;;A61K31/4725;;A61K31/496;;A61K31/5377;;A61P25/02;;A61P25/04;;A61P29/00;;A61P43/00;;A61K31/192;;A61K31/167;;A61K31/196;;A61K31/415;;A61K45/06;;A61K31/4152;;A61K31/4725;;A61K31/4523;;A61K31/496;;A61K31/5377;;A61K31/192;;A61K31/635</x:v>
      </x:c>
      <x:c r="S529" s="87" t="str">
        <x:v>A61K31/415;;A61K31/167;;A61K31/196;;A61K31/4152;;A61K31/4523;;A61K31/4725;;A61K31/496;;A61K31/5377;;A61K45/06;;A61P29/00</x:v>
      </x:c>
      <x:c r="T529" s="87" t="str">
        <x:v>DISCONTINUED</x:v>
      </x:c>
      <x:c r="U529" s="87" t="str">
        <x:v>https://lens.org/186-504-763-258-793</x:v>
      </x:c>
    </x:row>
    <x:row r="530">
      <x:c r="A530" s="87" t="str">
        <x:v>Esteve Pharmaceuticals.csv</x:v>
      </x:c>
      <x:c r="B530" s="87" t="str">
        <x:v>Esteve Pharmaceuticals</x:v>
      </x:c>
      <x:c r="C530" s="87" t="str">
        <x:v>TRT-0044</x:v>
      </x:c>
      <x:c r="D530" s="87" t="str">
        <x:v>Yes</x:v>
      </x:c>
      <x:c r="E530" s="87" t="str">
        <x:v>esteve pharmaceuticals, esteve labor dr</x:v>
      </x:c>
      <x:c r="F530" s="87" t="str">
        <x:v>78</x:v>
      </x:c>
      <x:c r="G530" s="87" t="str">
        <x:v>017-983-920-592-385</x:v>
      </x:c>
      <x:c r="H530" s="110" t="n">
        <x:v>41451</x:v>
      </x:c>
      <x:c r="I530" s="88" t="n">
        <x:v>2013</x:v>
      </x:c>
      <x:c r="J530" s="87" t="str">
        <x:v>EP</x:v>
      </x:c>
      <x:c r="K530" s="87" t="str">
        <x:v>A1</x:v>
      </x:c>
      <x:c r="L530" s="87" t="str">
        <x:v>EP 3013338 A1</x:v>
      </x:c>
      <x:c r="M530" s="87" t="str">
        <x:v>ESTEVE LABOR DR</x:v>
      </x:c>
      <x:c r="N530" s="87" t="str">
        <x:v>ESTEVE PHARMACEUTICALS, S.A. (2018-09-12)</x:v>
      </x:c>
      <x:c r="O530" s="87" t="str">
        <x:v>USE OF SIGMA RECEPTOR LIGANDS FOR THE PREVENTION AND TREATMENT OF PAIN ASSOCIATED TO INTERSTITIAL CYSTITIS/BLADDER PAIN SYNDROME (IC/BPS)</x:v>
      </x:c>
      <x:c r="P530" s="109" t="n">
        <x:v>0</x:v>
      </x:c>
      <x:c r="Q530" s="109" t="n">
        <x:v>23</x:v>
      </x:c>
      <x:c r="R530" s="87" t="str">
        <x:v>A61K31/5377;;A61K31/415;;A61K31/4155;;A61K31/485;;A61P13/10;;A61P25/00;;A61P25/02;;A61P29/00;;A61P43/00;;A61K31/415;;A61K31/4155;;A61K31/485;;A61K31/5377;;A61K45/06;;A61K31/5377;;A61K31/415;;A61K31/4155;;A61K31/485;;A61K45/06</x:v>
      </x:c>
      <x:c r="S530" s="87" t="str">
        <x:v>A61K31/415;;A61K31/4155;;A61K31/485;;A61K31/5377;;A61P13/10;;A61P29/00</x:v>
      </x:c>
      <x:c r="T530" s="87" t="str">
        <x:v>DISCONTINUED</x:v>
      </x:c>
      <x:c r="U530" s="87" t="str">
        <x:v>https://lens.org/017-983-920-592-385</x:v>
      </x:c>
    </x:row>
    <x:row r="531">
      <x:c r="A531" s="87" t="str">
        <x:v>Esteve Pharmaceuticals.csv</x:v>
      </x:c>
      <x:c r="B531" s="87" t="str">
        <x:v>Esteve Pharmaceuticals</x:v>
      </x:c>
      <x:c r="C531" s="87" t="str">
        <x:v>TRT-0044</x:v>
      </x:c>
      <x:c r="D531" s="87" t="str">
        <x:v>Yes</x:v>
      </x:c>
      <x:c r="E531" s="87" t="str">
        <x:v>esteve pharmaceuticals, esteve labor dr</x:v>
      </x:c>
      <x:c r="F531" s="87" t="str">
        <x:v>79</x:v>
      </x:c>
      <x:c r="G531" s="87" t="str">
        <x:v>105-287-223-051-760</x:v>
      </x:c>
      <x:c r="H531" s="110" t="n">
        <x:v>41380</x:v>
      </x:c>
      <x:c r="I531" s="88" t="n">
        <x:v>2013</x:v>
      </x:c>
      <x:c r="J531" s="87" t="str">
        <x:v>EP</x:v>
      </x:c>
      <x:c r="K531" s="87" t="str">
        <x:v>A1</x:v>
      </x:c>
      <x:c r="L531" s="87" t="str">
        <x:v>EP 2986284 A1</x:v>
      </x:c>
      <x:c r="M531" s="87" t="str">
        <x:v>ESTEVE LABOR DR</x:v>
      </x:c>
      <x:c r="N531" s="87" t="str">
        <x:v>ESTEVE PHARMACEUTICALS, S.A. (2018-09-12)</x:v>
      </x:c>
      <x:c r="O531" s="87" t="str">
        <x:v>ALPHA-2 ADRENOCEPTOR AND SIGMA RECEPTOR LIGAND COMBINATIONS</x:v>
      </x:c>
      <x:c r="P531" s="109" t="n">
        <x:v>0</x:v>
      </x:c>
      <x:c r="Q531" s="109" t="n">
        <x:v>18</x:v>
      </x:c>
      <x:c r="R531" s="87" t="str">
        <x:v>A61K31/5377;;A61K31/155;;A61K31/415;;A61K31/4155;;A61K31/4168;;A61K31/454;;A61K31/4545;;A61K31/496;;A61P25/04;;A61P25/06;;A61K31/5377;;A61K31/155;;A61K31/415;;A61K31/4155;;A61K31/4168;;A61K31/454;;A61K31/4545;;A61K31/496</x:v>
      </x:c>
      <x:c r="S531" s="87" t="str">
        <x:v>A61K31/155;;A61K31/415;;A61K31/4168;;A61K31/5377;;A61P25/06</x:v>
      </x:c>
      <x:c r="T531" s="87" t="str">
        <x:v>DISCONTINUED</x:v>
      </x:c>
      <x:c r="U531" s="87" t="str">
        <x:v>https://lens.org/105-287-223-051-760</x:v>
      </x:c>
    </x:row>
    <x:row r="532">
      <x:c r="A532" s="87" t="str">
        <x:v>Esteve Pharmaceuticals.csv</x:v>
      </x:c>
      <x:c r="B532" s="87" t="str">
        <x:v>Esteve Pharmaceuticals</x:v>
      </x:c>
      <x:c r="C532" s="87" t="str">
        <x:v>TRT-0044</x:v>
      </x:c>
      <x:c r="D532" s="87" t="str">
        <x:v>Yes</x:v>
      </x:c>
      <x:c r="E532" s="87" t="str">
        <x:v>esteve pharmaceuticals, esteve labor dr</x:v>
      </x:c>
      <x:c r="F532" s="87" t="str">
        <x:v>81</x:v>
      </x:c>
      <x:c r="G532" s="87" t="str">
        <x:v>024-492-459-142-681</x:v>
      </x:c>
      <x:c r="H532" s="110" t="n">
        <x:v>40899</x:v>
      </x:c>
      <x:c r="I532" s="88" t="n">
        <x:v>2011</x:v>
      </x:c>
      <x:c r="J532" s="87" t="str">
        <x:v>EP</x:v>
      </x:c>
      <x:c r="K532" s="87" t="str">
        <x:v>A1</x:v>
      </x:c>
      <x:c r="L532" s="87" t="str">
        <x:v>EP 2793904 A1</x:v>
      </x:c>
      <x:c r="M532" s="87" t="str">
        <x:v>ESTEVE LABOR DR;;FUNDACIÓ PRIVADA INST DE RECERCA DE LA SIDA CAIXA;;INSTITUCIÓ CATALANA DE RECERCA I ESTUDIS AVANÇATS;;UNIV HEIDELBERG RUPRECHT KARLS</x:v>
      </x:c>
      <x:c r="N532" s="87" t="str">
        <x:v>RUPRECHT-KARLS-UNIVERSITAET HEIDELBERG (2019-02-13);;INSTITUCIO CATALANA DE RECERCA I ESTUDIS AVANCATS (2019-02-13);;FUNDACIO PRIVADA INSTITUT DE RECERCA DE LA SIDA-CA (2019-02-13);;ESTEVE PHARMACEUTICALS, S.A. (2018-09-12)</x:v>
      </x:c>
      <x:c r="O532" s="87" t="str">
        <x:v>INHIBITORS OF SIALOADHESIN FOR THE TREATMENT OF DISEASES CAUSED BY ENVELOPED VIRUSES</x:v>
      </x:c>
      <x:c r="P532" s="109" t="n">
        <x:v>0</x:v>
      </x:c>
      <x:c r="Q532" s="109" t="n">
        <x:v>21</x:v>
      </x:c>
      <x:c r="R532" s="87" t="str">
        <x:v>A61K31/7016;;A61K31/7028;;A61K2039/5154;;A61P31/00;;A61P31/12;;A61P31/14;;A61P31/16;;A61P31/18;;C12N2740/16034;;G01N33/56988;;G01N2333/16;;Y02A50/30;;A61K31/7028;;A61K8/14;;A61K8/602;;A61K8/68;;A61K31/7016;;A61K39/21;;A61K2039/5154;;C07K16/2803;;C12N2740/16034;;C12N2740/16061;;G01N33/56988;;G01N2333/16;;Y02A50/30</x:v>
      </x:c>
      <x:c r="S532" s="87" t="str">
        <x:v>A61K31/7016;;A61P31/12;;A61P31/18;;G01N33/569</x:v>
      </x:c>
      <x:c r="T532" s="87" t="str">
        <x:v>DISCONTINUED</x:v>
      </x:c>
      <x:c r="U532" s="87" t="str">
        <x:v>https://lens.org/024-492-459-142-681</x:v>
      </x:c>
    </x:row>
    <x:row r="533">
      <x:c r="A533" s="87" t="str">
        <x:v>Esteve Pharmaceuticals.csv</x:v>
      </x:c>
      <x:c r="B533" s="87" t="str">
        <x:v>Esteve Pharmaceuticals</x:v>
      </x:c>
      <x:c r="C533" s="87" t="str">
        <x:v>TRT-0044</x:v>
      </x:c>
      <x:c r="D533" s="87" t="str">
        <x:v>Yes</x:v>
      </x:c>
      <x:c r="E533" s="87" t="str">
        <x:v>esteve pharmaceuticals, esteve labor dr</x:v>
      </x:c>
      <x:c r="F533" s="87" t="str">
        <x:v>82</x:v>
      </x:c>
      <x:c r="G533" s="87" t="str">
        <x:v>004-575-375-399-875</x:v>
      </x:c>
      <x:c r="H533" s="110" t="n">
        <x:v>40682</x:v>
      </x:c>
      <x:c r="I533" s="88" t="n">
        <x:v>2011</x:v>
      </x:c>
      <x:c r="J533" s="87" t="str">
        <x:v>EP</x:v>
      </x:c>
      <x:c r="K533" s="87" t="str">
        <x:v>A1</x:v>
      </x:c>
      <x:c r="L533" s="87" t="str">
        <x:v>EP 2709620 A1</x:v>
      </x:c>
      <x:c r="M533" s="87" t="str">
        <x:v>ESTEVE LABOR DR</x:v>
      </x:c>
      <x:c r="N533" s="87" t="str">
        <x:v>ESTEVE PHARMACEUTICALS, S.A. (2018-09-12)</x:v>
      </x:c>
      <x:c r="O533" s="87" t="str">
        <x:v>USE OF SIGMA LIGANDS IN DIABETES TYPE-2 ASSOCIATED PAIN</x:v>
      </x:c>
      <x:c r="P533" s="109" t="n">
        <x:v>0</x:v>
      </x:c>
      <x:c r="Q533" s="109" t="n">
        <x:v>34</x:v>
      </x:c>
      <x:c r="R533" s="87" t="str">
        <x:v>A61K31/4523;;A61K31/4725;;A61K31/496;;A61K31/5377;;A61K45/06;;A61P1/00;;A61P1/12;;A61P3/10;;A61P13/10;;A61P13/12;;A61P19/02;;A61P25/02;;A61P25/04;;A61P29/00;;A61P43/00;;C07D231/22;;C07D401/12;;C07D403/12;;C07D471/04;;A61K31/5377;;A61K31/4523;;A61K31/4725;;A61K31/537;;A61K31/415;;A61K31/4178;;A61K31/454;;A61K31/4725;;A61K31/496;;A61K31/541;;C07D231/22;;C07D401/12;;C07D403/12;;C07D471/04;;A61K31/541;;A61K31/415;;A61K31/4155;;A61K31/4178;;A61K31/4523;;A61K31/454;;A61K31/4545;;A61K31/4725;;A61K31/496;;A61K31/5377;;A61K45/06;;C07D231/22;;C07D401/12;;C07D403/12;;C07D471/04</x:v>
      </x:c>
      <x:c r="S533" s="87" t="str">
        <x:v>A61K31/4523;;A61K31/4725;;A61K31/496;;A61K31/5377;;A61P25/02</x:v>
      </x:c>
      <x:c r="T533" s="87" t="str">
        <x:v>DISCONTINUED</x:v>
      </x:c>
      <x:c r="U533" s="87" t="str">
        <x:v>https://lens.org/004-575-375-399-875</x:v>
      </x:c>
    </x:row>
    <x:row r="534">
      <x:c r="A534" s="87" t="str">
        <x:v>Esteve Pharmaceuticals.csv</x:v>
      </x:c>
      <x:c r="B534" s="87" t="str">
        <x:v>Esteve Pharmaceuticals</x:v>
      </x:c>
      <x:c r="C534" s="87" t="str">
        <x:v>TRT-0044</x:v>
      </x:c>
      <x:c r="D534" s="87" t="str">
        <x:v>No</x:v>
      </x:c>
      <x:c r="E534" s="87" t="str">
        <x:v>No configured applicant/owner alias match</x:v>
      </x:c>
      <x:c r="F534" s="87" t="str">
        <x:v>5</x:v>
      </x:c>
      <x:c r="G534" s="87" t="str">
        <x:v>177-770-957-825-35X</x:v>
      </x:c>
      <x:c r="H534" s="110" t="n">
        <x:v>43070</x:v>
      </x:c>
      <x:c r="I534" s="88" t="n">
        <x:v>2017</x:v>
      </x:c>
      <x:c r="J534" s="87" t="str">
        <x:v>US</x:v>
      </x:c>
      <x:c r="K534" s="87" t="str">
        <x:v>B2</x:v>
      </x:c>
      <x:c r="L534" s="87" t="str">
        <x:v>US 12024491 B2</x:v>
      </x:c>
      <x:c r="M534" s="87" t="str">
        <x:v>VERTEX PHARMA</x:v>
      </x:c>
      <x:c r="N534" s="87" t="str">
        <x:v>ESTEVE QUIMICA S.A (2018-02-13);;CONCERT PHARMACEUTICALS INC (2017-12-20);;VERTEX PHARMACEUTICALS INCORPORATED (2017-12-20)</x:v>
      </x:c>
      <x:c r="O534" s="87" t="str">
        <x:v>Processes for making modulators of cystic fibrosis transmembrane conductance regulator</x:v>
      </x:c>
      <x:c r="P534" s="109" t="n">
        <x:v>0</x:v>
      </x:c>
      <x:c r="Q534" s="109" t="n">
        <x:v>35</x:v>
      </x:c>
      <x:c r="R534" s="87" t="str">
        <x:v>C07D215/56;;C07B59/002;;C07B2200/05;;C07C37/0555;;C07C39/06;;C07C39/27;;C07C69/96;;C07C201/08;;C07C205/43;;C07C219/34;;C07D215/56;;C07B59/002;;C07B2200/05;;C07C37/0555;;C07C37/16;;C07C39/06;;C07C39/27;;C07C68/02;;C07C68/06;;C07C69/96;;C07C201/08;;C07C205/43;;C07C219/34;;C07D215/56;;A61K31/47;;A61P43/00;;C07B59/002;;C07B2200/05;;C07C37/0555;;C07C37/16;;C07C39/06;;C07C39/16;;C07C39/27;;C07C68/02;;C07C68/06;;C07C69/96;;C07C201/08;;C07C205/43;;C07C219/34;;C07C201/08;;A61K31/47;;C07C205/43;;C07D215/56;;C07D215/56;;C07B59/002;;C07B2200/05;;C07C39/06;;C07C69/96;;C07C205/43;;C07C219/34</x:v>
      </x:c>
      <x:c r="S534" s="87" t="str">
        <x:v>C07D215/56;;C07B59/00;;C07C39/06;;C07C69/96;;C07C205/43;;C07C219/34</x:v>
      </x:c>
      <x:c r="T534" s="87" t="str">
        <x:v>ACTIVE</x:v>
      </x:c>
      <x:c r="U534" s="87" t="str">
        <x:v>https://lens.org/177-770-957-825-35X</x:v>
      </x:c>
    </x:row>
    <x:row r="535">
      <x:c r="A535" s="87" t="str">
        <x:v>Esteve Pharmaceuticals.csv</x:v>
      </x:c>
      <x:c r="B535" s="87" t="str">
        <x:v>Esteve Pharmaceuticals</x:v>
      </x:c>
      <x:c r="C535" s="87" t="str">
        <x:v>TRT-0044</x:v>
      </x:c>
      <x:c r="D535" s="87" t="str">
        <x:v>No</x:v>
      </x:c>
      <x:c r="E535" s="87" t="str">
        <x:v>No configured applicant/owner alias match</x:v>
      </x:c>
      <x:c r="F535" s="87" t="str">
        <x:v>8</x:v>
      </x:c>
      <x:c r="G535" s="87" t="str">
        <x:v>197-692-332-949-699</x:v>
      </x:c>
      <x:c r="H535" s="110" t="n">
        <x:v>42149</x:v>
      </x:c>
      <x:c r="I535" s="88" t="n">
        <x:v>2015</x:v>
      </x:c>
      <x:c r="J535" s="87" t="str">
        <x:v>EP</x:v>
      </x:c>
      <x:c r="K535" s="87" t="str">
        <x:v>B1</x:v>
      </x:c>
      <x:c r="L535" s="87" t="str">
        <x:v>EP 3302441 B1</x:v>
      </x:c>
      <x:c r="M535" s="87" t="str">
        <x:v>SUZHOU PENGXU PHARMATECH CO LTD</x:v>
      </x:c>
      <x:c r="N535" s="87" t="str">
        <x:v>SUZHOU PENGXU PHARMATECH CO. LTD (2023-12-13);;ESTEVE QUIMICA S.A. (2018-08-01)</x:v>
      </x:c>
      <x:c r="O535" s="87" t="str">
        <x:v>PROCESSES TO PRODUCE BRIVARACETAM</x:v>
      </x:c>
      <x:c r="P535" s="109" t="n">
        <x:v>0</x:v>
      </x:c>
      <x:c r="Q535" s="109" t="n">
        <x:v>26</x:v>
      </x:c>
      <x:c r="R535" s="87" t="str">
        <x:v>C07D207/27;;A61K31/4015;;A61P9/10;;A61P25/08;;C07C53/19;;C07C53/50;;C07D207/27;;A61K31/4015;;A61P9/10;;A61P25/08;;C07C53/19;;C07C53/50;;C07C67/307;;C07C69/63;;C07C71/00;;C07C209/08;;C07C231/14;;C07C233/05;;C07C237/06;;C07D207/27;;A61K31/4015;;A61P25/08;;C07C53/19;;C07C53/50;;C07D207/27;;A61K31/4015;;C07C53/19;;C07C53/50;;C07C67/307;;C07C69/63;;C07C71/00;;C07C209/08;;C07C231/14;;C07C233/05;;C07C237/06</x:v>
      </x:c>
      <x:c r="S535" s="87" t="str">
        <x:v>A61K9/20;;A61K31/4015;;A61P9/10;;C07D207/26</x:v>
      </x:c>
      <x:c r="T535" s="87" t="str">
        <x:v>ACTIVE</x:v>
      </x:c>
      <x:c r="U535" s="87" t="str">
        <x:v>https://lens.org/197-692-332-949-699</x:v>
      </x:c>
    </x:row>
    <x:row r="536">
      <x:c r="A536" s="87" t="str">
        <x:v>Esteve Pharmaceuticals.csv</x:v>
      </x:c>
      <x:c r="B536" s="87" t="str">
        <x:v>Esteve Pharmaceuticals</x:v>
      </x:c>
      <x:c r="C536" s="87" t="str">
        <x:v>TRT-0044</x:v>
      </x:c>
      <x:c r="D536" s="87" t="str">
        <x:v>No</x:v>
      </x:c>
      <x:c r="E536" s="87" t="str">
        <x:v>No configured applicant/owner alias match</x:v>
      </x:c>
      <x:c r="F536" s="87" t="str">
        <x:v>80</x:v>
      </x:c>
      <x:c r="G536" s="87" t="str">
        <x:v>082-248-758-906-29X</x:v>
      </x:c>
      <x:c r="H536" s="110" t="n">
        <x:v>40962</x:v>
      </x:c>
      <x:c r="I536" s="88" t="n">
        <x:v>2012</x:v>
      </x:c>
      <x:c r="J536" s="87" t="str">
        <x:v>US</x:v>
      </x:c>
      <x:c r="K536" s="87" t="str">
        <x:v>B2</x:v>
      </x:c>
      <x:c r="L536" s="87" t="str">
        <x:v>US 9073899 B2</x:v>
      </x:c>
      <x:c r="M536" s="87" t="str">
        <x:v>ESTEVE QUÍMICA S A</x:v>
      </x:c>
      <x:c r="N536" s="87" t="str">
        <x:v>ESTEVE QUIMICA S.A (2014-06-27)</x:v>
      </x:c>
      <x:c r="O536" s="87" t="str">
        <x:v>Solid forms of dabigatran etexilate mesylate and processes for their preparation</x:v>
      </x:c>
      <x:c r="P536" s="109" t="n">
        <x:v>1</x:v>
      </x:c>
      <x:c r="Q536" s="109" t="n">
        <x:v>9</x:v>
      </x:c>
      <x:c r="R536" s="87" t="str">
        <x:v>C07D401/12;;C07D401/12;;A61P7/02;;C07D401/12;;C07B2200/13</x:v>
      </x:c>
      <x:c r="S536" s="87" t="str">
        <x:v>C07D401/12;;A61K31/4439</x:v>
      </x:c>
      <x:c r="T536" s="87" t="str">
        <x:v>INACTIVE</x:v>
      </x:c>
      <x:c r="U536" s="87" t="str">
        <x:v>https://lens.org/082-248-758-906-29X</x:v>
      </x:c>
    </x:row>
    <x:row r="537">
      <x:c r="A537" s="87" t="str">
        <x:v>Eurofins Scientific.csv</x:v>
      </x:c>
      <x:c r="B537" s="87" t="str">
        <x:v>Eurofins Scientific</x:v>
      </x:c>
      <x:c r="C537" s="87" t="str">
        <x:v>TRT-0039</x:v>
      </x:c>
      <x:c r="D537" s="87" t="str">
        <x:v>Yes</x:v>
      </x:c>
      <x:c r="E537" s="87" t="str">
        <x:v>eurofins</x:v>
      </x:c>
      <x:c r="F537" s="87" t="str">
        <x:v>1</x:v>
      </x:c>
      <x:c r="G537" s="87" t="str">
        <x:v>116-653-571-836-480</x:v>
      </x:c>
      <x:c r="H537" s="110" t="n">
        <x:v>43411</x:v>
      </x:c>
      <x:c r="I537" s="88" t="n">
        <x:v>2018</x:v>
      </x:c>
      <x:c r="J537" s="87" t="str">
        <x:v>US</x:v>
      </x:c>
      <x:c r="K537" s="87" t="str">
        <x:v>B2</x:v>
      </x:c>
      <x:c r="L537" s="87" t="str">
        <x:v>US 12319735 B2</x:v>
      </x:c>
      <x:c r="M537" s="87" t="str">
        <x:v>MERCK SHARP &amp; DOHME LLC</x:v>
      </x:c>
      <x:c r="N537" s="87" t="str">
        <x:v>EUROFINS LANCASTER LABORATORIES PROFESSIONAL SCIENTIFIC SERVICES LLC (2019-10-24);;MERCK SHARP &amp; DOHME LLC (2022-04-07);;MERCK SHARP &amp; DOHME CORP (2019-10-31)</x:v>
      </x:c>
      <x:c r="O537" s="87" t="str">
        <x:v>Co-formulations of anti-LAG3 antibodies and anti-PD-1 antibodies</x:v>
      </x:c>
      <x:c r="P537" s="109" t="n">
        <x:v>1</x:v>
      </x:c>
      <x:c r="Q537" s="109" t="n">
        <x:v>17</x:v>
      </x:c>
      <x:c r="R537" s="87" t="str">
        <x:v>A61K9/0019;;A61K9/19;;A61K39/00;;A61K39/39591;;A61K45/06;;A61K47/183;;A61K47/20;;A61K47/26;;A61P35/00;;C07K16/2803;;C07K16/2818;;A61K39/39591;;A61K9/0019;;A61K9/08;;A61K9/19;;A61K39/00;;A61K47/12;;A61K47/183;;A61K47/20;;A61K47/22;;A61K47/26;;A61K2039/505;;A61K2300/00;;A61P35/00;;C07K16/2803;;C07K16/2818;;C07K16/2818;;A61K39/00;;A61K47/10;;A61K47/12;;A61K47/183;;A61K47/22;;A61K47/26;;C07K16/2803;;C07K2317/565;;C07K2317/92;;C07K2317/94</x:v>
      </x:c>
      <x:c r="S537" s="87" t="str">
        <x:v>C07K16/28;;A61K39/00;;A61K47/10;;A61K47/12;;A61K47/18;;A61K47/22;;A61K47/26</x:v>
      </x:c>
      <x:c r="T537" s="87" t="str">
        <x:v>ACTIVE</x:v>
      </x:c>
      <x:c r="U537" s="87" t="str">
        <x:v>https://lens.org/116-653-571-836-480</x:v>
      </x:c>
    </x:row>
    <x:row r="538">
      <x:c r="A538" s="87" t="str">
        <x:v>GSK.csv</x:v>
      </x:c>
      <x:c r="B538" s="87" t="str">
        <x:v>GSK</x:v>
      </x:c>
      <x:c r="C538" s="87" t="str">
        <x:v>TRT-0038</x:v>
      </x:c>
      <x:c r="D538" s="87" t="str">
        <x:v>Yes</x:v>
      </x:c>
      <x:c r="E538" s="87" t="str">
        <x:v>gsk</x:v>
      </x:c>
      <x:c r="F538" s="87" t="str">
        <x:v>1</x:v>
      </x:c>
      <x:c r="G538" s="87" t="str">
        <x:v>026-275-481-794-848</x:v>
      </x:c>
      <x:c r="H538" s="110" t="n">
        <x:v>43340</x:v>
      </x:c>
      <x:c r="I538" s="88" t="n">
        <x:v>2018</x:v>
      </x:c>
      <x:c r="J538" s="87" t="str">
        <x:v>EP</x:v>
      </x:c>
      <x:c r="K538" s="87" t="str">
        <x:v>B1</x:v>
      </x:c>
      <x:c r="L538" s="87" t="str">
        <x:v>EP 3843703 B1</x:v>
      </x:c>
      <x:c r="M538" s="87" t="str">
        <x:v>HALEON CH SARL</x:v>
      </x:c>
      <x:c r="N538" s="87" t="str">
        <x:v>HALEON CH SARL (2024-01-24);;GSK CONSUMER HEALTHCARE SARL (2021-11-10)</x:v>
      </x:c>
      <x:c r="O538" s="87" t="str">
        <x:v>PARACETAMOL LIQUID SUSPENSIONS</x:v>
      </x:c>
      <x:c r="P538" s="109" t="n">
        <x:v>0</x:v>
      </x:c>
      <x:c r="Q538" s="109" t="n">
        <x:v>16</x:v>
      </x:c>
      <x:c r="R538" s="87" t="str">
        <x:v>A61K9/10;;A61K31/167;;A61K47/36;;A61K47/14;;A61K47/26;;A61K47/183;;A61K47/10;;A61P29/00;;A61K9/10;;A61K31/167;;A61K47/26;;A61K9/10;;A61K31/167;;A61K47/10;;A61K47/14;;A61K47/183;;A61K47/26;;A61K47/36</x:v>
      </x:c>
      <x:c r="S538" s="87" t="str">
        <x:v>A61K9/10;;A61K31/167;;A61K47/26</x:v>
      </x:c>
      <x:c r="T538" s="87" t="str">
        <x:v>ACTIVE</x:v>
      </x:c>
      <x:c r="U538" s="87" t="str">
        <x:v>https://lens.org/026-275-481-794-848</x:v>
      </x:c>
    </x:row>
    <x:row r="539">
      <x:c r="A539" s="87" t="str">
        <x:v>GSK.csv</x:v>
      </x:c>
      <x:c r="B539" s="87" t="str">
        <x:v>GSK</x:v>
      </x:c>
      <x:c r="C539" s="87" t="str">
        <x:v>TRT-0038</x:v>
      </x:c>
      <x:c r="D539" s="87" t="str">
        <x:v>Yes</x:v>
      </x:c>
      <x:c r="E539" s="87" t="str">
        <x:v>gsk</x:v>
      </x:c>
      <x:c r="F539" s="87" t="str">
        <x:v>2</x:v>
      </x:c>
      <x:c r="G539" s="87" t="str">
        <x:v>195-515-655-153-871</x:v>
      </x:c>
      <x:c r="H539" s="110" t="n">
        <x:v>43783</x:v>
      </x:c>
      <x:c r="I539" s="88" t="n">
        <x:v>2019</x:v>
      </x:c>
      <x:c r="J539" s="87" t="str">
        <x:v>US</x:v>
      </x:c>
      <x:c r="K539" s="87" t="str">
        <x:v>B2</x:v>
      </x:c>
      <x:c r="L539" s="87" t="str">
        <x:v>US 12377075 B2</x:v>
      </x:c>
      <x:c r="M539" s="87" t="str">
        <x:v>HALEON CH SARL</x:v>
      </x:c>
      <x:c r="N539" s="87" t="str">
        <x:v>GSK CONSUMER HEALTHCARE S.A (2020-12-03);;HALEON CH SARL (2021-02-19)</x:v>
      </x:c>
      <x:c r="O539" s="87" t="str">
        <x:v>Device for internal and external nasal application</x:v>
      </x:c>
      <x:c r="P539" s="109" t="n">
        <x:v>0</x:v>
      </x:c>
      <x:c r="Q539" s="109" t="n">
        <x:v>8</x:v>
      </x:c>
      <x:c r="R539" s="87" t="str">
        <x:v>A61K9/06;;A45D40/24;;A45D2200/05;;A61K8/0216;;A61K9/0014;;A61K9/0043;;A61K31/4174;;A61K36/22;;A61K36/5777;;A61K47/44;;A61K2800/87;;A61K2800/884;;A61M11/00;;A61M15/0025;;A61M15/08;;A61M35/003;;A61M2205/3606;;A61M2210/04;;A61M2210/0618;;A61P11/02;;A61P11/06;;A61P17/02;;A61Q19/00;;A61K31/4164;;A61K9/0014;;A61K9/0043;;A61K31/045;;A61K31/23;;A61K31/35;;A61K31/569;;A61K36/22;;A61K36/47;;A61K36/54;;A61K36/5777;;A61K36/758;;A61K36/899;;A61P11/02;;A61P17/16</x:v>
      </x:c>
      <x:c r="S539" s="87" t="str">
        <x:v>A61K31/4164;;A61K9/00;;A61K31/045;;A61K31/23;;A61K31/35;;A61K31/569;;A61K36/185;;A61K36/22;;A61K36/47;;A61K36/54;;A61K36/758;;A61K36/899;;A61P11/02;;A61P17/16</x:v>
      </x:c>
      <x:c r="T539" s="87" t="str">
        <x:v>ACTIVE</x:v>
      </x:c>
      <x:c r="U539" s="87" t="str">
        <x:v>https://lens.org/195-515-655-153-871</x:v>
      </x:c>
    </x:row>
    <x:row r="540">
      <x:c r="A540" s="87" t="str">
        <x:v>GSK.csv</x:v>
      </x:c>
      <x:c r="B540" s="87" t="str">
        <x:v>GSK</x:v>
      </x:c>
      <x:c r="C540" s="87" t="str">
        <x:v>TRT-0038</x:v>
      </x:c>
      <x:c r="D540" s="87" t="str">
        <x:v>Yes</x:v>
      </x:c>
      <x:c r="E540" s="87" t="str">
        <x:v>gsk</x:v>
      </x:c>
      <x:c r="F540" s="87" t="str">
        <x:v>3</x:v>
      </x:c>
      <x:c r="G540" s="87" t="str">
        <x:v>077-924-366-521-163</x:v>
      </x:c>
      <x:c r="H540" s="110" t="n">
        <x:v>44252</x:v>
      </x:c>
      <x:c r="I540" s="88" t="n">
        <x:v>2021</x:v>
      </x:c>
      <x:c r="J540" s="87" t="str">
        <x:v>US</x:v>
      </x:c>
      <x:c r="K540" s="87" t="str">
        <x:v>S</x:v>
      </x:c>
      <x:c r="L540" s="87" t="str">
        <x:v>US D1081978 S</x:v>
      </x:c>
      <x:c r="M540" s="87" t="str">
        <x:v>HALEON CH SARL</x:v>
      </x:c>
      <x:c r="N540" s="87" t="str">
        <x:v>HALEON CH SARL (2021-02-19);;GSK CONSUMER HEALTHCARE S.A (2021-08-09)</x:v>
      </x:c>
      <x:c r="O540" s="87" t="str">
        <x:v>Applicator head with dosing aid</x:v>
      </x:c>
      <x:c r="P540" s="109" t="n">
        <x:v>0</x:v>
      </x:c>
      <x:c r="Q540" s="109" t="n">
        <x:v>2</x:v>
      </x:c>
      <x:c r="R540" s="87" t="str"/>
      <x:c r="S540" s="87" t="str"/>
      <x:c r="T540" s="87" t="str">
        <x:v>ACTIVE</x:v>
      </x:c>
      <x:c r="U540" s="87" t="str">
        <x:v>https://lens.org/077-924-366-521-163</x:v>
      </x:c>
    </x:row>
    <x:row r="541">
      <x:c r="A541" s="87" t="str">
        <x:v>GSK.csv</x:v>
      </x:c>
      <x:c r="B541" s="87" t="str">
        <x:v>GSK</x:v>
      </x:c>
      <x:c r="C541" s="87" t="str">
        <x:v>TRT-0038</x:v>
      </x:c>
      <x:c r="D541" s="87" t="str">
        <x:v>Yes</x:v>
      </x:c>
      <x:c r="E541" s="87" t="str">
        <x:v>gsk</x:v>
      </x:c>
      <x:c r="F541" s="87" t="str">
        <x:v>4</x:v>
      </x:c>
      <x:c r="G541" s="87" t="str">
        <x:v>066-735-541-654-691</x:v>
      </x:c>
      <x:c r="H541" s="110" t="n">
        <x:v>42244</x:v>
      </x:c>
      <x:c r="I541" s="88" t="n">
        <x:v>2015</x:v>
      </x:c>
      <x:c r="J541" s="87" t="str">
        <x:v>US</x:v>
      </x:c>
      <x:c r="K541" s="87" t="str">
        <x:v>B2</x:v>
      </x:c>
      <x:c r="L541" s="87" t="str">
        <x:v>US 11834246 B2</x:v>
      </x:c>
      <x:c r="M541" s="87" t="str">
        <x:v>GSK CONSUMER HEALTHCARE SARL</x:v>
      </x:c>
      <x:c r="N541" s="87" t="str">
        <x:v>GSK CONSUMER HEALTHCARE S.A (2018-07-11);;HALEON CH SARL (2023-08-14);;NOVARTIS CONSUMER HEALTHCARE S.A (2016-12-06)</x:v>
      </x:c>
      <x:c r="O541" s="87" t="str">
        <x:v>Device</x:v>
      </x:c>
      <x:c r="P541" s="109" t="n">
        <x:v>1</x:v>
      </x:c>
      <x:c r="Q541" s="109" t="n">
        <x:v>9</x:v>
      </x:c>
      <x:c r="R541" s="87" t="str">
        <x:v>B65D75/5811;;B65D83/0481;;B65D2215/00;;B65D75/5811;;A61J1/03;;B65D75/30;;B65D75/5822;;B65D83/0481;;B65D2215/00</x:v>
      </x:c>
      <x:c r="S541" s="87" t="str">
        <x:v>B65D83/04;;A61J1/03;;B65D75/30;;B65D75/58</x:v>
      </x:c>
      <x:c r="T541" s="87" t="str">
        <x:v>ACTIVE</x:v>
      </x:c>
      <x:c r="U541" s="87" t="str">
        <x:v>https://lens.org/066-735-541-654-691</x:v>
      </x:c>
    </x:row>
    <x:row r="542">
      <x:c r="A542" s="87" t="str">
        <x:v>GSK.csv</x:v>
      </x:c>
      <x:c r="B542" s="87" t="str">
        <x:v>GSK</x:v>
      </x:c>
      <x:c r="C542" s="87" t="str">
        <x:v>TRT-0038</x:v>
      </x:c>
      <x:c r="D542" s="87" t="str">
        <x:v>Yes</x:v>
      </x:c>
      <x:c r="E542" s="87" t="str">
        <x:v>gsk</x:v>
      </x:c>
      <x:c r="F542" s="87" t="str">
        <x:v>5</x:v>
      </x:c>
      <x:c r="G542" s="87" t="str">
        <x:v>033-274-880-585-41X</x:v>
      </x:c>
      <x:c r="H542" s="110" t="n">
        <x:v>42564</x:v>
      </x:c>
      <x:c r="I542" s="88" t="n">
        <x:v>2016</x:v>
      </x:c>
      <x:c r="J542" s="87" t="str">
        <x:v>EP</x:v>
      </x:c>
      <x:c r="K542" s="87" t="str">
        <x:v>B1</x:v>
      </x:c>
      <x:c r="L542" s="87" t="str">
        <x:v>EP 3484576 B1</x:v>
      </x:c>
      <x:c r="M542" s="87" t="str">
        <x:v>NEUROMETRIX INC</x:v>
      </x:c>
      <x:c r="N542" s="87" t="str">
        <x:v>NEUROMETRIX, INC. (2022-03-09);;GSK CONSUMER HEALTHCARE SARL (2021-12-08)</x:v>
      </x:c>
      <x:c r="O542" s="87" t="str">
        <x:v>APPARATUS FOR AUTOMATED COMPENSATION OF TRANSCUTANEOUS ELECTRICAL NERVE STIMULATION FOR TEMPORAL FLUCTUATIONS SUCH AS CIRCADIAN RHYTHMS</x:v>
      </x:c>
      <x:c r="P542" s="109" t="n">
        <x:v>0</x:v>
      </x:c>
      <x:c r="Q542" s="109" t="n">
        <x:v>16</x:v>
      </x:c>
      <x:c r="R542" s="87" t="str">
        <x:v>A61N1/36021;;A61N1/0456;;A61N1/36128;;A61N2001/37294;;A61N1/36021;;A61N1/0456;;A61N1/36128;;A61N2001/37294</x:v>
      </x:c>
      <x:c r="S542" s="87" t="str">
        <x:v>A61N1/00;;A61N1/32;;A61N1/36</x:v>
      </x:c>
      <x:c r="T542" s="87" t="str">
        <x:v>ACTIVE</x:v>
      </x:c>
      <x:c r="U542" s="87" t="str">
        <x:v>https://lens.org/033-274-880-585-41X</x:v>
      </x:c>
    </x:row>
    <x:row r="543">
      <x:c r="A543" s="87" t="str">
        <x:v>GSK.csv</x:v>
      </x:c>
      <x:c r="B543" s="87" t="str">
        <x:v>GSK</x:v>
      </x:c>
      <x:c r="C543" s="87" t="str">
        <x:v>TRT-0038</x:v>
      </x:c>
      <x:c r="D543" s="87" t="str">
        <x:v>Yes</x:v>
      </x:c>
      <x:c r="E543" s="87" t="str">
        <x:v>gsk</x:v>
      </x:c>
      <x:c r="F543" s="87" t="str">
        <x:v>6</x:v>
      </x:c>
      <x:c r="G543" s="87" t="str">
        <x:v>100-100-420-335-063</x:v>
      </x:c>
      <x:c r="H543" s="110" t="n">
        <x:v>42688</x:v>
      </x:c>
      <x:c r="I543" s="88" t="n">
        <x:v>2016</x:v>
      </x:c>
      <x:c r="J543" s="87" t="str">
        <x:v>EP</x:v>
      </x:c>
      <x:c r="K543" s="87" t="str">
        <x:v>B1</x:v>
      </x:c>
      <x:c r="L543" s="87" t="str">
        <x:v>EP 3538202 B1</x:v>
      </x:c>
      <x:c r="M543" s="87" t="str">
        <x:v>NEUROMETRIX INC</x:v>
      </x:c>
      <x:c r="N543" s="87" t="str">
        <x:v>NEUROMETRIX, INC. (2022-01-12);;GSK CONSUMER HEALTHCARE SARL (2021-12-08)</x:v>
      </x:c>
      <x:c r="O543" s="87" t="str">
        <x:v>TRANSCUTANEOUS ELECTRICAL NERVE STIMULATION USING NOVEL UNBALANCED BIPHASIC WAVEFORM AND NOVEL ELECTRODE ARRANGEMENT</x:v>
      </x:c>
      <x:c r="P543" s="109" t="n">
        <x:v>0</x:v>
      </x:c>
      <x:c r="Q543" s="109" t="n">
        <x:v>15</x:v>
      </x:c>
      <x:c r="R543" s="87" t="str">
        <x:v>A61N1/0456;;A61N1/0476;;A61N1/0492;;A61N1/321;;A61N1/36014;;A61N1/36021</x:v>
      </x:c>
      <x:c r="S543" s="87" t="str">
        <x:v>A61N1/00</x:v>
      </x:c>
      <x:c r="T543" s="87" t="str">
        <x:v>ACTIVE</x:v>
      </x:c>
      <x:c r="U543" s="87" t="str">
        <x:v>https://lens.org/100-100-420-335-063</x:v>
      </x:c>
    </x:row>
    <x:row r="544">
      <x:c r="A544" s="87" t="str">
        <x:v>GSK.csv</x:v>
      </x:c>
      <x:c r="B544" s="87" t="str">
        <x:v>GSK</x:v>
      </x:c>
      <x:c r="C544" s="87" t="str">
        <x:v>TRT-0038</x:v>
      </x:c>
      <x:c r="D544" s="87" t="str">
        <x:v>Yes</x:v>
      </x:c>
      <x:c r="E544" s="87" t="str">
        <x:v>gsk</x:v>
      </x:c>
      <x:c r="F544" s="87" t="str">
        <x:v>7</x:v>
      </x:c>
      <x:c r="G544" s="87" t="str">
        <x:v>065-280-986-071-953</x:v>
      </x:c>
      <x:c r="H544" s="110" t="n">
        <x:v>43752</x:v>
      </x:c>
      <x:c r="I544" s="88" t="n">
        <x:v>2019</x:v>
      </x:c>
      <x:c r="J544" s="87" t="str">
        <x:v>EP</x:v>
      </x:c>
      <x:c r="K544" s="87" t="str">
        <x:v>B1</x:v>
      </x:c>
      <x:c r="L544" s="87" t="str">
        <x:v>EP 3808680 B1</x:v>
      </x:c>
      <x:c r="M544" s="87" t="str">
        <x:v>GSK CONSUMER HEALTHCARE SARL</x:v>
      </x:c>
      <x:c r="N544" s="87" t="str">
        <x:v>HALEON CH SARL (2024-01-24);;GSK CONSUMER HEALTHCARE SARL (2021-12-08)</x:v>
      </x:c>
      <x:c r="O544" s="87" t="str">
        <x:v>BLISTER PACKAGING, PACKAGED PHARMACEUTICAL OR NUTRITIONAL PRODUCT AND METHOD FOR PRODUCING SUCH A PRODUCT</x:v>
      </x:c>
      <x:c r="P544" s="109" t="n">
        <x:v>1</x:v>
      </x:c>
      <x:c r="Q544" s="109" t="n">
        <x:v>18</x:v>
      </x:c>
      <x:c r="R544" s="87" t="str">
        <x:v>B32B27/32;;B32B3/30;;B32B7/05;;B32B27/08;;B32B27/18;;B32B27/20;;B32B27/306;;B32B2250/246;;B32B2307/31;;B32B2307/7244;;B32B2307/738;;B32B2307/75;;B32B2439/80;;B65D75/34;;B65D75/327;;B32B3/30;;B32B7/05;;B32B7/12;;B32B27/08;;B32B27/18;;B32B27/306;;B32B27/32;;B32B27/327;;B32B2250/05;;B32B2250/246;;B32B2264/10;;B32B2264/102;;B32B2264/104;;B32B2307/31;;B32B2307/7244;;B32B2307/732;;B32B2307/738;;B32B2439/80;;B65D2565/386;;B65D75/367;;B65D75/5855;;B65D2301/20;;B65D2575/362;;B65D2585/56</x:v>
      </x:c>
      <x:c r="S544" s="87" t="str">
        <x:v>B65D75/34;;B32B3/30;;B32B7/05;;B32B7/12;;B32B27/08;;B32B27/18;;B32B27/30;;B32B27/32</x:v>
      </x:c>
      <x:c r="T544" s="87" t="str">
        <x:v>ACTIVE</x:v>
      </x:c>
      <x:c r="U544" s="87" t="str">
        <x:v>https://lens.org/065-280-986-071-953</x:v>
      </x:c>
    </x:row>
    <x:row r="545">
      <x:c r="A545" s="87" t="str">
        <x:v>GSK.csv</x:v>
      </x:c>
      <x:c r="B545" s="87" t="str">
        <x:v>GSK</x:v>
      </x:c>
      <x:c r="C545" s="87" t="str">
        <x:v>TRT-0038</x:v>
      </x:c>
      <x:c r="D545" s="87" t="str">
        <x:v>Yes</x:v>
      </x:c>
      <x:c r="E545" s="87" t="str">
        <x:v>gsk</x:v>
      </x:c>
      <x:c r="F545" s="87" t="str">
        <x:v>8</x:v>
      </x:c>
      <x:c r="G545" s="87" t="str">
        <x:v>020-165-735-966-596</x:v>
      </x:c>
      <x:c r="H545" s="110" t="n">
        <x:v>43781</x:v>
      </x:c>
      <x:c r="I545" s="88" t="n">
        <x:v>2019</x:v>
      </x:c>
      <x:c r="J545" s="87" t="str">
        <x:v>US</x:v>
      </x:c>
      <x:c r="K545" s="87" t="str">
        <x:v>A1</x:v>
      </x:c>
      <x:c r="L545" s="87" t="str">
        <x:v>US 2022/0387388 A1</x:v>
      </x:c>
      <x:c r="M545" s="87" t="str">
        <x:v>GSK CONSUMER HEAKTGCARE SARL</x:v>
      </x:c>
      <x:c r="N545" s="87" t="str">
        <x:v>GSK CONSUMER HEALTHCARE S.A (2020-12-03);;HALEON CH SARL (2021-02-19)</x:v>
      </x:c>
      <x:c r="O545" s="87" t="str">
        <x:v>SKIN-CARE BALM AND DEVICE FOR INTERNAL AND EXTERNAL NASAL APPLICATION</x:v>
      </x:c>
      <x:c r="P545" s="109" t="n">
        <x:v>1</x:v>
      </x:c>
      <x:c r="Q545" s="109" t="n">
        <x:v>3</x:v>
      </x:c>
      <x:c r="R545" s="87" t="str">
        <x:v>A61K9/0014;;A61K8/342;;A61K8/37;;A61K8/375;;A61K8/922;;A61K9/0043;;A61K9/06;;A61K36/185;;A61K36/22;;A61K36/47;;A61K36/54;;A61K36/5777;;A61K36/758;;A61K36/899;;A61K47/44;;A61M11/00;;A61M2210/04;;A61M2210/0618;;A61P11/02;;A61P11/06;;A61P17/02;;A61Q19/00;;A61K31/4164;;A61K9/0014;;A61K9/0043;;A61K31/045;;A61K31/23;;A61K31/35;;A61K31/569;;A61K36/185;;A61K36/22;;A61K36/47;;A61K36/54;;A61K36/5777;;A61K36/758;;A61K36/899;;A61P11/02;;A61P17/16</x:v>
      </x:c>
      <x:c r="S545" s="87" t="str">
        <x:v>A61K31/4164;;A61K9/00;;A61K31/045;;A61K31/23;;A61K31/35;;A61K31/569;;A61K36/185;;A61K36/22;;A61K36/47;;A61K36/54;;A61K36/758;;A61K36/899;;A61P11/02;;A61P17/16</x:v>
      </x:c>
      <x:c r="T545" s="87" t="str">
        <x:v>PENDING</x:v>
      </x:c>
      <x:c r="U545" s="87" t="str">
        <x:v>https://lens.org/020-165-735-966-596</x:v>
      </x:c>
    </x:row>
    <x:row r="546">
      <x:c r="A546" s="87" t="str">
        <x:v>GSK.csv</x:v>
      </x:c>
      <x:c r="B546" s="87" t="str">
        <x:v>GSK</x:v>
      </x:c>
      <x:c r="C546" s="87" t="str">
        <x:v>TRT-0038</x:v>
      </x:c>
      <x:c r="D546" s="87" t="str">
        <x:v>Yes</x:v>
      </x:c>
      <x:c r="E546" s="87" t="str">
        <x:v>gsk</x:v>
      </x:c>
      <x:c r="F546" s="87" t="str">
        <x:v>9</x:v>
      </x:c>
      <x:c r="G546" s="87" t="str">
        <x:v>156-316-493-582-895</x:v>
      </x:c>
      <x:c r="H546" s="110" t="n">
        <x:v>43803</x:v>
      </x:c>
      <x:c r="I546" s="88" t="n">
        <x:v>2019</x:v>
      </x:c>
      <x:c r="J546" s="87" t="str">
        <x:v>US</x:v>
      </x:c>
      <x:c r="K546" s="87" t="str">
        <x:v>S</x:v>
      </x:c>
      <x:c r="L546" s="87" t="str">
        <x:v>US D0968222 S</x:v>
      </x:c>
      <x:c r="M546" s="87" t="str">
        <x:v>GSK CONSUMER HEALTHCARE SA;;GSK CONSUMER HEALTHCARE SARL</x:v>
      </x:c>
      <x:c r="N546" s="87" t="str">
        <x:v>GSK CONSUMER HEALTHCARE S.A (2020-04-27);;HALEON CH SARL (2023-08-14)</x:v>
      </x:c>
      <x:c r="O546" s="87" t="str">
        <x:v>Tamper-proof container</x:v>
      </x:c>
      <x:c r="P546" s="109" t="n">
        <x:v>8</x:v>
      </x:c>
      <x:c r="Q546" s="109" t="n">
        <x:v>4</x:v>
      </x:c>
      <x:c r="R546" s="87" t="str"/>
      <x:c r="S546" s="87" t="str"/>
      <x:c r="T546" s="87" t="str">
        <x:v>ACTIVE</x:v>
      </x:c>
      <x:c r="U546" s="87" t="str">
        <x:v>https://lens.org/156-316-493-582-895</x:v>
      </x:c>
    </x:row>
    <x:row r="547">
      <x:c r="A547" s="87" t="str">
        <x:v>GSK.csv</x:v>
      </x:c>
      <x:c r="B547" s="87" t="str">
        <x:v>GSK</x:v>
      </x:c>
      <x:c r="C547" s="87" t="str">
        <x:v>TRT-0038</x:v>
      </x:c>
      <x:c r="D547" s="87" t="str">
        <x:v>Yes</x:v>
      </x:c>
      <x:c r="E547" s="87" t="str">
        <x:v>gsk</x:v>
      </x:c>
      <x:c r="F547" s="87" t="str">
        <x:v>10</x:v>
      </x:c>
      <x:c r="G547" s="87" t="str">
        <x:v>037-321-550-062-450</x:v>
      </x:c>
      <x:c r="H547" s="110" t="n">
        <x:v>42727</x:v>
      </x:c>
      <x:c r="I547" s="88" t="n">
        <x:v>2016</x:v>
      </x:c>
      <x:c r="J547" s="87" t="str">
        <x:v>EP</x:v>
      </x:c>
      <x:c r="K547" s="87" t="str">
        <x:v>B1</x:v>
      </x:c>
      <x:c r="L547" s="87" t="str">
        <x:v>EP 3558446 B1</x:v>
      </x:c>
      <x:c r="M547" s="87" t="str">
        <x:v>NEUROMETRIX INC</x:v>
      </x:c>
      <x:c r="N547" s="87" t="str">
        <x:v>NEUROMETRIX, INC. (2022-03-09);;GSK CONSUMER HEALTHCARE SARL (2021-12-08)</x:v>
      </x:c>
      <x:c r="O547" s="87" t="str">
        <x:v>SMART ELECTRODE ASSEMBLY FOR TRANSCUTANEOUS ELECTRICAL NERVE STIMULATION (TENS)</x:v>
      </x:c>
      <x:c r="P547" s="109" t="n">
        <x:v>0</x:v>
      </x:c>
      <x:c r="Q547" s="109" t="n">
        <x:v>20</x:v>
      </x:c>
      <x:c r="R547" s="87" t="str">
        <x:v>A61N1/0456;;A61B5/01;;A61B5/0533;;A61B5/1118;;A61B5/4806;;A61B5/4809;;A61B5/4812;;A61B5/4815;;A61N1/025;;A61N1/08;;A61N1/36021;;A61N1/36031;;A61N1/3968;;A61N1/0456;;A61B5/01;;A61B5/0533;;A61B5/1118;;A61B5/4806;;A61B5/4809;;A61B5/4812;;A61B5/4815;;A61B2560/028;;A61N1/025;;A61N1/08;;A61N1/36021;;A61N1/36031</x:v>
      </x:c>
      <x:c r="S547" s="87" t="str">
        <x:v>A61N1/04;;A61B5/00;;A61B5/01;;A61B5/053;;A61B5/11;;A61N1/02;;A61N1/08;;A61N1/32;;A61N1/36;;A61N1/39</x:v>
      </x:c>
      <x:c r="T547" s="87" t="str">
        <x:v>ACTIVE</x:v>
      </x:c>
      <x:c r="U547" s="87" t="str">
        <x:v>https://lens.org/037-321-550-062-450</x:v>
      </x:c>
    </x:row>
    <x:row r="548">
      <x:c r="A548" s="87" t="str">
        <x:v>GSK.csv</x:v>
      </x:c>
      <x:c r="B548" s="87" t="str">
        <x:v>GSK</x:v>
      </x:c>
      <x:c r="C548" s="87" t="str">
        <x:v>TRT-0038</x:v>
      </x:c>
      <x:c r="D548" s="87" t="str">
        <x:v>Yes</x:v>
      </x:c>
      <x:c r="E548" s="87" t="str">
        <x:v>gsk</x:v>
      </x:c>
      <x:c r="F548" s="87" t="str">
        <x:v>11</x:v>
      </x:c>
      <x:c r="G548" s="87" t="str">
        <x:v>092-618-414-133-690</x:v>
      </x:c>
      <x:c r="H548" s="110" t="n">
        <x:v>43670</x:v>
      </x:c>
      <x:c r="I548" s="88" t="n">
        <x:v>2019</x:v>
      </x:c>
      <x:c r="J548" s="87" t="str">
        <x:v>US</x:v>
      </x:c>
      <x:c r="K548" s="87" t="str">
        <x:v>S</x:v>
      </x:c>
      <x:c r="L548" s="87" t="str">
        <x:v>US D0942149 S</x:v>
      </x:c>
      <x:c r="M548" s="87" t="str">
        <x:v>GSK CONSUMER HEALTHCARE SA</x:v>
      </x:c>
      <x:c r="N548" s="87" t="str">
        <x:v>GSK CONSUMER HEALTHCARE S.A (2020-04-23);;HALEON CH SARL (2023-08-14)</x:v>
      </x:c>
      <x:c r="O548" s="87" t="str">
        <x:v>Toothbrush</x:v>
      </x:c>
      <x:c r="P548" s="109" t="n">
        <x:v>7</x:v>
      </x:c>
      <x:c r="Q548" s="109" t="n">
        <x:v>3</x:v>
      </x:c>
      <x:c r="R548" s="87" t="str"/>
      <x:c r="S548" s="87" t="str"/>
      <x:c r="T548" s="87" t="str">
        <x:v>ACTIVE</x:v>
      </x:c>
      <x:c r="U548" s="87" t="str">
        <x:v>https://lens.org/092-618-414-133-690</x:v>
      </x:c>
    </x:row>
    <x:row r="549">
      <x:c r="A549" s="87" t="str">
        <x:v>GSK.csv</x:v>
      </x:c>
      <x:c r="B549" s="87" t="str">
        <x:v>GSK</x:v>
      </x:c>
      <x:c r="C549" s="87" t="str">
        <x:v>TRT-0038</x:v>
      </x:c>
      <x:c r="D549" s="87" t="str">
        <x:v>Yes</x:v>
      </x:c>
      <x:c r="E549" s="87" t="str">
        <x:v>gsk</x:v>
      </x:c>
      <x:c r="F549" s="87" t="str">
        <x:v>12</x:v>
      </x:c>
      <x:c r="G549" s="87" t="str">
        <x:v>069-076-557-741-32X</x:v>
      </x:c>
      <x:c r="H549" s="110" t="n">
        <x:v>43783</x:v>
      </x:c>
      <x:c r="I549" s="88" t="n">
        <x:v>2019</x:v>
      </x:c>
      <x:c r="J549" s="87" t="str">
        <x:v>EP</x:v>
      </x:c>
      <x:c r="K549" s="87" t="str">
        <x:v>B1</x:v>
      </x:c>
      <x:c r="L549" s="87" t="str">
        <x:v>EP 3821927 B1</x:v>
      </x:c>
      <x:c r="M549" s="87" t="str">
        <x:v>GSK CONSUMER HEALTHCARE SARL</x:v>
      </x:c>
      <x:c r="N549" s="87" t="str">
        <x:v>GSK CONSUMER HEALTHCARE SARL (2021-12-08)</x:v>
      </x:c>
      <x:c r="O549" s="87" t="str">
        <x:v>DEVICE FOR INTERNAL AND EXTERNAL NASAL APPLICATION</x:v>
      </x:c>
      <x:c r="P549" s="109" t="n">
        <x:v>0</x:v>
      </x:c>
      <x:c r="Q549" s="109" t="n">
        <x:v>4</x:v>
      </x:c>
      <x:c r="R549" s="87" t="str">
        <x:v>A61K9/0014;;A61K9/0043;;A61K9/06;;A61K9/08;;A61K31/045;;A61K31/164;;A61K31/4174;;A61K31/455;;A61K31/505;;A61K36/28;;A61K36/886;;A61K47/44;;A61M15/08;;A61M35/003;;A61M2210/04</x:v>
      </x:c>
      <x:c r="S549" s="87" t="str">
        <x:v>A61K31/045;;A61K9/06;;A61K9/08;;A61K31/164;;A61K31/4174;;A61K31/455;;A61K31/505;;A61K36/28;;A61K36/886;;A61K47/44;;A61M11/00;;A61M15/00;;A61M15/08;;A61M35/00;;B05B11/00</x:v>
      </x:c>
      <x:c r="T549" s="87" t="str">
        <x:v>ACTIVE</x:v>
      </x:c>
      <x:c r="U549" s="87" t="str">
        <x:v>https://lens.org/069-076-557-741-32X</x:v>
      </x:c>
    </x:row>
    <x:row r="550">
      <x:c r="A550" s="87" t="str">
        <x:v>GSK.csv</x:v>
      </x:c>
      <x:c r="B550" s="87" t="str">
        <x:v>GSK</x:v>
      </x:c>
      <x:c r="C550" s="87" t="str">
        <x:v>TRT-0038</x:v>
      </x:c>
      <x:c r="D550" s="87" t="str">
        <x:v>Yes</x:v>
      </x:c>
      <x:c r="E550" s="87" t="str">
        <x:v>gsk</x:v>
      </x:c>
      <x:c r="F550" s="87" t="str">
        <x:v>13</x:v>
      </x:c>
      <x:c r="G550" s="87" t="str">
        <x:v>037-678-114-085-009</x:v>
      </x:c>
      <x:c r="H550" s="110" t="n">
        <x:v>43809</x:v>
      </x:c>
      <x:c r="I550" s="88" t="n">
        <x:v>2019</x:v>
      </x:c>
      <x:c r="J550" s="87" t="str">
        <x:v>US</x:v>
      </x:c>
      <x:c r="K550" s="87" t="str">
        <x:v>S</x:v>
      </x:c>
      <x:c r="L550" s="87" t="str">
        <x:v>US D0939104 S</x:v>
      </x:c>
      <x:c r="M550" s="87" t="str">
        <x:v>GSK CONSUMER HEALTHCARE SA</x:v>
      </x:c>
      <x:c r="N550" s="87" t="str">
        <x:v>GSK CONSUMER HEALTHCARE S.A (2020-02-24);;HALEON CH SARL (2023-08-14)</x:v>
      </x:c>
      <x:c r="O550" s="87" t="str">
        <x:v>Ultrasonic denture cleaner</x:v>
      </x:c>
      <x:c r="P550" s="109" t="n">
        <x:v>5</x:v>
      </x:c>
      <x:c r="Q550" s="109" t="n">
        <x:v>1</x:v>
      </x:c>
      <x:c r="R550" s="87" t="str"/>
      <x:c r="S550" s="87" t="str"/>
      <x:c r="T550" s="87" t="str">
        <x:v>ACTIVE</x:v>
      </x:c>
      <x:c r="U550" s="87" t="str">
        <x:v>https://lens.org/037-678-114-085-009</x:v>
      </x:c>
    </x:row>
    <x:row r="551">
      <x:c r="A551" s="87" t="str">
        <x:v>GSK.csv</x:v>
      </x:c>
      <x:c r="B551" s="87" t="str">
        <x:v>GSK</x:v>
      </x:c>
      <x:c r="C551" s="87" t="str">
        <x:v>TRT-0038</x:v>
      </x:c>
      <x:c r="D551" s="87" t="str">
        <x:v>Yes</x:v>
      </x:c>
      <x:c r="E551" s="87" t="str">
        <x:v>gsk</x:v>
      </x:c>
      <x:c r="F551" s="87" t="str">
        <x:v>14</x:v>
      </x:c>
      <x:c r="G551" s="87" t="str">
        <x:v>154-999-129-811-391</x:v>
      </x:c>
      <x:c r="H551" s="110" t="n">
        <x:v>41379</x:v>
      </x:c>
      <x:c r="I551" s="88" t="n">
        <x:v>2013</x:v>
      </x:c>
      <x:c r="J551" s="87" t="str">
        <x:v>EP</x:v>
      </x:c>
      <x:c r="K551" s="87" t="str">
        <x:v>B8</x:v>
      </x:c>
      <x:c r="L551" s="87" t="str">
        <x:v>EP 2986338 B8</x:v>
      </x:c>
      <x:c r="M551" s="87" t="str">
        <x:v>GSK CONSUMER HEALTHCARE SARL</x:v>
      </x:c>
      <x:c r="N551" s="87" t="str">
        <x:v>GSK CONSUMER HEALTHCARE S.A. (2018-12-12);;NEUROMETRIX, INC. (2022-03-09);;NEUROMETRIX, INC., WOBURN, US (2025-03-26);;GSK CONSUMER HEALTHCARE SARL (2021-12-08)</x:v>
      </x:c>
      <x:c r="O551" s="87" t="str">
        <x:v>TRANSCUTANEOUS ELECTRICAL NERVES STIMULATOR WITH AUTOMATIC DETECTION OF USER SLEEP-WAKE STATE</x:v>
      </x:c>
      <x:c r="P551" s="109" t="n">
        <x:v>0</x:v>
      </x:c>
      <x:c r="Q551" s="109" t="n">
        <x:v>12</x:v>
      </x:c>
      <x:c r="R551" s="87" t="str">
        <x:v>A61B5/4815;;A61B5/1118;;A61B5/4809;;A61B5/4824;;A61B5/4836;;A61B2562/0219;;A61N1/0456;;A61N1/0492;;A61N1/36021;;A61N1/3603;;G06F1/163;;G06F1/1694;;G06F3/017;;A61B5/4815;;A61B5/1118;;A61B5/4809;;A61B5/4836;;A61B2562/0219;;A61N1/0456;;A61N1/36021;;A61N1/3603</x:v>
      </x:c>
      <x:c r="S551" s="87" t="str">
        <x:v>A61N1/08;;A61B5/00;;A61N1/04;;A61N1/36;;G06F1/16;;G06F3/01</x:v>
      </x:c>
      <x:c r="T551" s="87" t="str">
        <x:v>ACTIVE</x:v>
      </x:c>
      <x:c r="U551" s="87" t="str">
        <x:v>https://lens.org/154-999-129-811-391</x:v>
      </x:c>
    </x:row>
    <x:row r="552">
      <x:c r="A552" s="87" t="str">
        <x:v>GSK.csv</x:v>
      </x:c>
      <x:c r="B552" s="87" t="str">
        <x:v>GSK</x:v>
      </x:c>
      <x:c r="C552" s="87" t="str">
        <x:v>TRT-0038</x:v>
      </x:c>
      <x:c r="D552" s="87" t="str">
        <x:v>Yes</x:v>
      </x:c>
      <x:c r="E552" s="87" t="str">
        <x:v>gsk, glaxosmithkline</x:v>
      </x:c>
      <x:c r="F552" s="87" t="str">
        <x:v>15</x:v>
      </x:c>
      <x:c r="G552" s="87" t="str">
        <x:v>178-423-759-110-142</x:v>
      </x:c>
      <x:c r="H552" s="110" t="n">
        <x:v>43815</x:v>
      </x:c>
      <x:c r="I552" s="88" t="n">
        <x:v>2019</x:v>
      </x:c>
      <x:c r="J552" s="87" t="str">
        <x:v>US</x:v>
      </x:c>
      <x:c r="K552" s="87" t="str">
        <x:v>S</x:v>
      </x:c>
      <x:c r="L552" s="87" t="str">
        <x:v>US D0932190 S</x:v>
      </x:c>
      <x:c r="M552" s="87" t="str">
        <x:v>GSK CONSUMER HEALTHCARE SA;;GLAXOSMITHKLINE CONSUMER HEALTHCARE S A</x:v>
      </x:c>
      <x:c r="N552" s="87" t="str">
        <x:v>GSK CONSUMER HEALTHCARE S.A (2020-04-23);;HALEON CH SARL (2023-08-14)</x:v>
      </x:c>
      <x:c r="O552" s="87" t="str">
        <x:v>Toothbrush head</x:v>
      </x:c>
      <x:c r="P552" s="109" t="n">
        <x:v>18</x:v>
      </x:c>
      <x:c r="Q552" s="109" t="n">
        <x:v>1</x:v>
      </x:c>
      <x:c r="R552" s="87" t="str"/>
      <x:c r="S552" s="87" t="str"/>
      <x:c r="T552" s="87" t="str">
        <x:v>ACTIVE</x:v>
      </x:c>
      <x:c r="U552" s="87" t="str">
        <x:v>https://lens.org/178-423-759-110-142</x:v>
      </x:c>
    </x:row>
    <x:row r="553">
      <x:c r="A553" s="87" t="str">
        <x:v>GSK.csv</x:v>
      </x:c>
      <x:c r="B553" s="87" t="str">
        <x:v>GSK</x:v>
      </x:c>
      <x:c r="C553" s="87" t="str">
        <x:v>TRT-0038</x:v>
      </x:c>
      <x:c r="D553" s="87" t="str">
        <x:v>Yes</x:v>
      </x:c>
      <x:c r="E553" s="87" t="str">
        <x:v>gsk</x:v>
      </x:c>
      <x:c r="F553" s="87" t="str">
        <x:v>16</x:v>
      </x:c>
      <x:c r="G553" s="87" t="str">
        <x:v>191-798-423-723-000</x:v>
      </x:c>
      <x:c r="H553" s="110" t="n">
        <x:v>41892</x:v>
      </x:c>
      <x:c r="I553" s="88" t="n">
        <x:v>2014</x:v>
      </x:c>
      <x:c r="J553" s="87" t="str">
        <x:v>US</x:v>
      </x:c>
      <x:c r="K553" s="87" t="str">
        <x:v>B2</x:v>
      </x:c>
      <x:c r="L553" s="87" t="str">
        <x:v>US 11000495 B2</x:v>
      </x:c>
      <x:c r="M553" s="87" t="str">
        <x:v>NOVARTIS CONSUMER HEALTH SA;;GSK CONSUMER HEALTHCARE SA</x:v>
      </x:c>
      <x:c r="N553" s="87" t="str">
        <x:v>GSK CONSUMER HEALTHCARE S.A (2015-09-02);;HALEON CH SARL (2023-08-14);;NOVARTIS AG (2014-12-05);;NOVARTIS CONSUMER HEALTH INC (2014-10-02)</x:v>
      </x:c>
      <x:c r="O553" s="87" t="str">
        <x:v>Topical diclofenac sodium compositions</x:v>
      </x:c>
      <x:c r="P553" s="109" t="n">
        <x:v>0</x:v>
      </x:c>
      <x:c r="Q553" s="109" t="n">
        <x:v>15</x:v>
      </x:c>
      <x:c r="R553" s="87" t="str">
        <x:v>A61K9/0014;;A61K9/06;;A61K9/107;;A61K31/196;;A61K31/196;;A61K9/0014;;A61K9/06;;A61K9/107;;A61P19/02;;A61P29/00;;A61K9/107;;A61K31/196;;A61K47/02;;A61K47/10;;A61K47/32;;A61K47/44;;A61P29/00;;A61K31/196;;A61K9/0014;;A61K9/06;;A61K9/107;;A61K47/00;;A61K47/10</x:v>
      </x:c>
      <x:c r="S553" s="87" t="str">
        <x:v>A61K31/196;;A61K9/00;;A61K9/06;;A61K9/107;;A61K47/00;;A61K47/10</x:v>
      </x:c>
      <x:c r="T553" s="87" t="str">
        <x:v>ACTIVE</x:v>
      </x:c>
      <x:c r="U553" s="87" t="str">
        <x:v>https://lens.org/191-798-423-723-000</x:v>
      </x:c>
    </x:row>
    <x:row r="554">
      <x:c r="A554" s="87" t="str">
        <x:v>GSK.csv</x:v>
      </x:c>
      <x:c r="B554" s="87" t="str">
        <x:v>GSK</x:v>
      </x:c>
      <x:c r="C554" s="87" t="str">
        <x:v>TRT-0038</x:v>
      </x:c>
      <x:c r="D554" s="87" t="str">
        <x:v>Yes</x:v>
      </x:c>
      <x:c r="E554" s="87" t="str">
        <x:v>gsk</x:v>
      </x:c>
      <x:c r="F554" s="87" t="str">
        <x:v>17</x:v>
      </x:c>
      <x:c r="G554" s="87" t="str">
        <x:v>184-003-290-980-285</x:v>
      </x:c>
      <x:c r="H554" s="110" t="n">
        <x:v>42885</x:v>
      </x:c>
      <x:c r="I554" s="88" t="n">
        <x:v>2017</x:v>
      </x:c>
      <x:c r="J554" s="87" t="str">
        <x:v>EP</x:v>
      </x:c>
      <x:c r="K554" s="87" t="str">
        <x:v>B1</x:v>
      </x:c>
      <x:c r="L554" s="87" t="str">
        <x:v>EP 3630272 B1</x:v>
      </x:c>
      <x:c r="M554" s="87" t="str">
        <x:v>GSK CONSUMER HEALTHCARE SA</x:v>
      </x:c>
      <x:c r="N554" s="87" t="str">
        <x:v>NEUROMETRIX, INC (2022-02-14);;GSK CONSUMER HEALTHCARE SARL (2021-12-08);;NEUROMETRIX, INC. (N.D.GES.D. STAATES DELAWARE, US (2021-10-26)</x:v>
      </x:c>
      <x:c r="O554" s="87" t="str">
        <x:v>APPARATUS FOR THE AUTOMATED CONTROL OF TRANSCUTANEOUS ELECTRICAL NERVE STIMULATION BASED ON CURRENT AND FORECASTED WEATHER CONDITIONS</x:v>
      </x:c>
      <x:c r="P554" s="109" t="n">
        <x:v>0</x:v>
      </x:c>
      <x:c r="Q554" s="109" t="n">
        <x:v>15</x:v>
      </x:c>
      <x:c r="R554" s="87" t="str">
        <x:v>A61N1/36021;;A61N1/0456;;A61N1/0476;;A61N1/0492;;A61N1/321;;A61N1/36034;;A61N1/36021;;A61N1/0456;;A61N1/0476;;A61N1/0484;;A61N1/0492;;A61N1/22;;A61N1/321;;A61N1/3603;;A61N1/36034</x:v>
      </x:c>
      <x:c r="S554" s="87" t="str">
        <x:v>A61N1/36;;A61N1/04</x:v>
      </x:c>
      <x:c r="T554" s="87" t="str">
        <x:v>ACTIVE</x:v>
      </x:c>
      <x:c r="U554" s="87" t="str">
        <x:v>https://lens.org/184-003-290-980-285</x:v>
      </x:c>
    </x:row>
    <x:row r="555">
      <x:c r="A555" s="87" t="str">
        <x:v>GSK.csv</x:v>
      </x:c>
      <x:c r="B555" s="87" t="str">
        <x:v>GSK</x:v>
      </x:c>
      <x:c r="C555" s="87" t="str">
        <x:v>TRT-0038</x:v>
      </x:c>
      <x:c r="D555" s="87" t="str">
        <x:v>Yes</x:v>
      </x:c>
      <x:c r="E555" s="87" t="str">
        <x:v>gsk</x:v>
      </x:c>
      <x:c r="F555" s="87" t="str">
        <x:v>18</x:v>
      </x:c>
      <x:c r="G555" s="87" t="str">
        <x:v>196-653-838-468-608</x:v>
      </x:c>
      <x:c r="H555" s="110" t="n">
        <x:v>42909</x:v>
      </x:c>
      <x:c r="I555" s="88" t="n">
        <x:v>2017</x:v>
      </x:c>
      <x:c r="J555" s="87" t="str">
        <x:v>EP</x:v>
      </x:c>
      <x:c r="K555" s="87" t="str">
        <x:v>B1</x:v>
      </x:c>
      <x:c r="L555" s="87" t="str">
        <x:v>EP 3641876 B1</x:v>
      </x:c>
      <x:c r="M555" s="87" t="str">
        <x:v>GSK CONSUMER HEALTHCARE SA</x:v>
      </x:c>
      <x:c r="N555" s="87" t="str">
        <x:v>NEUROMETRIX, INC (2022-02-14);;GSK CONSUMER HEALTHCARE SARL (2021-12-08);;NEUROMETRIX, INC. (N.D.GES.D. STAATES DELAWARE, US (2021-10-26)</x:v>
      </x:c>
      <x:c r="O555" s="87" t="str">
        <x:v>APPARATUS FOR BUTTON-FREE CONTROL OF A WEARABLE TRANSCUTANEOUS ELECTRICAL NERVE STIMULATOR USING INTERACTIVE GESTURES AND OTHER MEANS</x:v>
      </x:c>
      <x:c r="P555" s="109" t="n">
        <x:v>0</x:v>
      </x:c>
      <x:c r="Q555" s="109" t="n">
        <x:v>20</x:v>
      </x:c>
      <x:c r="R555" s="87" t="str">
        <x:v>A61N1/36021;;A61B5/1118;;A61B5/1123;;A61B5/681;;A61B5/6828;;A61B5/7455;;A61B5/7475;;A61B2560/0276;;A61B2562/0219;;A61N1/0456;;A61N1/0492;;A61N1/08;;A61N1/36031;;G06F1/3231;;G06F3/017;;G06F3/0346;;G06F2200/1636;;Y02D10/00;;A61N1/36021;;A61B5/11;;A61B5/1118;;A61B5/1123;;A61B5/681;;A61B5/6828;;A61B5/7455;;A61B5/7475;;A61B2560/0276;;A61B2562/0219;;A61N1/0456;;A61N1/0492;;A61N1/08;;A61N1/36031;;A61N2001/083;;G06F1/163;;G06F1/3231;;G06F3/015;;G06F3/017;;G06F3/0346</x:v>
      </x:c>
      <x:c r="S555" s="87" t="str">
        <x:v>A61N1/36</x:v>
      </x:c>
      <x:c r="T555" s="87" t="str">
        <x:v>ACTIVE</x:v>
      </x:c>
      <x:c r="U555" s="87" t="str">
        <x:v>https://lens.org/196-653-838-468-608</x:v>
      </x:c>
    </x:row>
    <x:row r="556">
      <x:c r="A556" s="87" t="str">
        <x:v>GSK.csv</x:v>
      </x:c>
      <x:c r="B556" s="87" t="str">
        <x:v>GSK</x:v>
      </x:c>
      <x:c r="C556" s="87" t="str">
        <x:v>TRT-0038</x:v>
      </x:c>
      <x:c r="D556" s="87" t="str">
        <x:v>Yes</x:v>
      </x:c>
      <x:c r="E556" s="87" t="str">
        <x:v>gsk</x:v>
      </x:c>
      <x:c r="F556" s="87" t="str">
        <x:v>19</x:v>
      </x:c>
      <x:c r="G556" s="87" t="str">
        <x:v>065-577-656-172-441</x:v>
      </x:c>
      <x:c r="H556" s="110" t="n">
        <x:v>41362</x:v>
      </x:c>
      <x:c r="I556" s="88" t="n">
        <x:v>2013</x:v>
      </x:c>
      <x:c r="J556" s="87" t="str">
        <x:v>EP</x:v>
      </x:c>
      <x:c r="K556" s="87" t="str">
        <x:v>B1</x:v>
      </x:c>
      <x:c r="L556" s="87" t="str">
        <x:v>EP 2978488 B1</x:v>
      </x:c>
      <x:c r="M556" s="87" t="str">
        <x:v>GSK CONSUMER HEALTHCARE SA</x:v>
      </x:c>
      <x:c r="N556" s="87" t="str">
        <x:v>GSK CONSUMER HEALTHCARE S.A. (2018-12-12);;NEUROMETRIX, INC. (2022-05-12);;GSK CONSUMER HEALTHCARE SARL (2021-12-08);;NEUROMETRIX, INC. (N.D.GES.D. STAATES DELAWARE, US (2021-10-26)</x:v>
      </x:c>
      <x:c r="O556" s="87" t="str">
        <x:v>DETECTING CUTANEOUS ELECTRODE PEELING USING ELECTRODE-SKIN IMPEDANCE</x:v>
      </x:c>
      <x:c r="P556" s="109" t="n">
        <x:v>0</x:v>
      </x:c>
      <x:c r="Q556" s="109" t="n">
        <x:v>16</x:v>
      </x:c>
      <x:c r="R556" s="87" t="str">
        <x:v>A61B5/0531;;A61B5/486;;A61B5/6828;;A61B2560/0276;;A61N1/0456;;A61N1/0492;;A61N1/36021;;A61N1/3603;;A61B5/0531;;A61B5/486;;A61B5/6828;;A61B2560/0276;;A61N1/0456;;A61N1/0492;;A61N1/36021;;A61N1/3603</x:v>
      </x:c>
      <x:c r="S556" s="87" t="str">
        <x:v>A61N1/08;;A61B5/00;;A61B5/053;;A61N1/04;;A61N1/36</x:v>
      </x:c>
      <x:c r="T556" s="87" t="str">
        <x:v>ACTIVE</x:v>
      </x:c>
      <x:c r="U556" s="87" t="str">
        <x:v>https://lens.org/065-577-656-172-441</x:v>
      </x:c>
    </x:row>
    <x:row r="557">
      <x:c r="A557" s="87" t="str">
        <x:v>GSK.csv</x:v>
      </x:c>
      <x:c r="B557" s="87" t="str">
        <x:v>GSK</x:v>
      </x:c>
      <x:c r="C557" s="87" t="str">
        <x:v>TRT-0038</x:v>
      </x:c>
      <x:c r="D557" s="87" t="str">
        <x:v>Yes</x:v>
      </x:c>
      <x:c r="E557" s="87" t="str">
        <x:v>gsk</x:v>
      </x:c>
      <x:c r="F557" s="87" t="str">
        <x:v>20</x:v>
      </x:c>
      <x:c r="G557" s="87" t="str">
        <x:v>068-639-909-030-813</x:v>
      </x:c>
      <x:c r="H557" s="110" t="n">
        <x:v>43412</x:v>
      </x:c>
      <x:c r="I557" s="88" t="n">
        <x:v>2018</x:v>
      </x:c>
      <x:c r="J557" s="87" t="str">
        <x:v>US</x:v>
      </x:c>
      <x:c r="K557" s="87" t="str">
        <x:v>S</x:v>
      </x:c>
      <x:c r="L557" s="87" t="str">
        <x:v>US D0895789 S</x:v>
      </x:c>
      <x:c r="M557" s="87" t="str">
        <x:v>GSK CONSUMER HEALTHCARE SA</x:v>
      </x:c>
      <x:c r="N557" s="87" t="str">
        <x:v>GSK CONSUMER HEALTHCARE S.A (2019-03-04);;HALEON CH SARL (2023-08-14)</x:v>
      </x:c>
      <x:c r="O557" s="87" t="str">
        <x:v>Nasal spray device</x:v>
      </x:c>
      <x:c r="P557" s="109" t="n">
        <x:v>9</x:v>
      </x:c>
      <x:c r="Q557" s="109" t="n">
        <x:v>1</x:v>
      </x:c>
      <x:c r="R557" s="87" t="str"/>
      <x:c r="S557" s="87" t="str"/>
      <x:c r="T557" s="87" t="str">
        <x:v>ACTIVE</x:v>
      </x:c>
      <x:c r="U557" s="87" t="str">
        <x:v>https://lens.org/068-639-909-030-813</x:v>
      </x:c>
    </x:row>
    <x:row r="558">
      <x:c r="A558" s="87" t="str">
        <x:v>GSK.csv</x:v>
      </x:c>
      <x:c r="B558" s="87" t="str">
        <x:v>GSK</x:v>
      </x:c>
      <x:c r="C558" s="87" t="str">
        <x:v>TRT-0038</x:v>
      </x:c>
      <x:c r="D558" s="87" t="str">
        <x:v>Yes</x:v>
      </x:c>
      <x:c r="E558" s="87" t="str">
        <x:v>gsk</x:v>
      </x:c>
      <x:c r="F558" s="87" t="str">
        <x:v>21</x:v>
      </x:c>
      <x:c r="G558" s="87" t="str">
        <x:v>056-657-722-511-688</x:v>
      </x:c>
      <x:c r="H558" s="110" t="n">
        <x:v>42685</x:v>
      </x:c>
      <x:c r="I558" s="88" t="n">
        <x:v>2016</x:v>
      </x:c>
      <x:c r="J558" s="87" t="str">
        <x:v>EP</x:v>
      </x:c>
      <x:c r="K558" s="87" t="str">
        <x:v>A4</x:v>
      </x:c>
      <x:c r="L558" s="87" t="str">
        <x:v>EP 3537955 A4</x:v>
      </x:c>
      <x:c r="M558" s="87" t="str">
        <x:v>GSK CONSUMER HEALTHCARE SA</x:v>
      </x:c>
      <x:c r="N558" s="87" t="str">
        <x:v>NEUROMETRIX, INC. (2022-01-19);;GSK CONSUMER HEALTHCARE SARL (2021-12-08)</x:v>
      </x:c>
      <x:c r="O558" s="87" t="str">
        <x:v>A TENS DEVICE FOR ACTIVITY MONITORING, GAIT ANALYSIS, AND BALANCE ASSESSMENT</x:v>
      </x:c>
      <x:c r="P558" s="109" t="n">
        <x:v>0</x:v>
      </x:c>
      <x:c r="Q558" s="109" t="n">
        <x:v>14</x:v>
      </x:c>
      <x:c r="R558" s="87" t="str">
        <x:v>A61B5/112;;A61B5/1106;;A61B5/1118;;A61B5/4023;;A61B5/4836;;A61B5/6828;;A61B5/6844;;A61B2562/0219;;A61N1/025;;A61N1/0456;;A61N1/0484;;A61N1/36021;;A61N1/36031;;A61N1/36034;;A61B5/112;;A61B5/1038;;A61B5/1118;;A61B5/4023;;A61B5/6828;;A61B5/6885;;A61B2562/0219;;A61N1/025;;A61N1/0456;;A61N1/0484;;A61N1/36021;;A61N1/36031;;A61N1/36034</x:v>
      </x:c>
      <x:c r="S558" s="87" t="str">
        <x:v>A61B5/00;;A61B5/11;;A61N1/02;;A61N1/04;;A61N1/32;;A61N1/36</x:v>
      </x:c>
      <x:c r="T558" s="87" t="str">
        <x:v>PENDING</x:v>
      </x:c>
      <x:c r="U558" s="87" t="str">
        <x:v>https://lens.org/056-657-722-511-688</x:v>
      </x:c>
    </x:row>
    <x:row r="559">
      <x:c r="A559" s="87" t="str">
        <x:v>GSK.csv</x:v>
      </x:c>
      <x:c r="B559" s="87" t="str">
        <x:v>GSK</x:v>
      </x:c>
      <x:c r="C559" s="87" t="str">
        <x:v>TRT-0038</x:v>
      </x:c>
      <x:c r="D559" s="87" t="str">
        <x:v>Yes</x:v>
      </x:c>
      <x:c r="E559" s="87" t="str">
        <x:v>gsk</x:v>
      </x:c>
      <x:c r="F559" s="87" t="str">
        <x:v>22</x:v>
      </x:c>
      <x:c r="G559" s="87" t="str">
        <x:v>087-793-438-666-341</x:v>
      </x:c>
      <x:c r="H559" s="110" t="n">
        <x:v>40862</x:v>
      </x:c>
      <x:c r="I559" s="88" t="n">
        <x:v>2011</x:v>
      </x:c>
      <x:c r="J559" s="87" t="str">
        <x:v>AU</x:v>
      </x:c>
      <x:c r="K559" s="87" t="str">
        <x:v>B2</x:v>
      </x:c>
      <x:c r="L559" s="87" t="str">
        <x:v>AU 2017/268561 B2</x:v>
      </x:c>
      <x:c r="M559" s="87" t="str">
        <x:v>GSK CONSUMER HEALTHCARE SA</x:v>
      </x:c>
      <x:c r="N559" s="87" t="str">
        <x:v>NOVARTIS CONSUMER HEALTH S.A. (2018-08-23);;GSK CONSUMER HEALTHCARE S.A. (2018-09-13)</x:v>
      </x:c>
      <x:c r="O559" s="87" t="str">
        <x:v>APPARATUS AND METHOD FOR RELIEVING PAIN USING TRANSCUTANEOUS ELECTRICAL NERVE STIMULATION</x:v>
      </x:c>
      <x:c r="P559" s="109" t="n">
        <x:v>0</x:v>
      </x:c>
      <x:c r="Q559" s="109" t="n">
        <x:v>32</x:v>
      </x:c>
      <x:c r="R559" s="87" t="str">
        <x:v>A61N1/0456;;A61N1/0476;;A61N1/0492;;A61N1/321;;A61N1/36014;;A61N1/36021;;A61N1/37247;;A61N1/0492;;A61N1/321;;A61N1/0476;;A61N1/0456;;A61N1/36021;;A61N1/36031;;A61N1/36034;;A61N1/36021;;A61N1/3603;;A61N1/0456;;A61N1/0476;;A61N1/0492;;A61N1/321;;A61N1/0492;;A61N1/321;;A61N1/36031;;A61N1/36034;;A61N1/36014;;A61N1/0456;;A61N1/36021;;A61N1/0476;;A61N1/37247</x:v>
      </x:c>
      <x:c r="S559" s="87" t="str">
        <x:v>A61N1/26</x:v>
      </x:c>
      <x:c r="T559" s="87" t="str">
        <x:v>INACTIVE</x:v>
      </x:c>
      <x:c r="U559" s="87" t="str">
        <x:v>https://lens.org/087-793-438-666-341</x:v>
      </x:c>
    </x:row>
    <x:row r="560">
      <x:c r="A560" s="87" t="str">
        <x:v>GSK.csv</x:v>
      </x:c>
      <x:c r="B560" s="87" t="str">
        <x:v>GSK</x:v>
      </x:c>
      <x:c r="C560" s="87" t="str">
        <x:v>TRT-0038</x:v>
      </x:c>
      <x:c r="D560" s="87" t="str">
        <x:v>Yes</x:v>
      </x:c>
      <x:c r="E560" s="87" t="str">
        <x:v>gsk</x:v>
      </x:c>
      <x:c r="F560" s="87" t="str">
        <x:v>23</x:v>
      </x:c>
      <x:c r="G560" s="87" t="str">
        <x:v>197-518-950-943-784</x:v>
      </x:c>
      <x:c r="H560" s="110" t="n">
        <x:v>42012</x:v>
      </x:c>
      <x:c r="I560" s="88" t="n">
        <x:v>2015</x:v>
      </x:c>
      <x:c r="J560" s="87" t="str">
        <x:v>EP</x:v>
      </x:c>
      <x:c r="K560" s="87" t="str">
        <x:v>A4</x:v>
      </x:c>
      <x:c r="L560" s="87" t="str">
        <x:v>EP 3242715 A4</x:v>
      </x:c>
      <x:c r="M560" s="87" t="str">
        <x:v>NEUROMETRIX INC</x:v>
      </x:c>
      <x:c r="N560" s="87" t="str">
        <x:v>GSK CONSUMER HEALTHCARE S.A. (2019-01-02)</x:v>
      </x:c>
      <x:c r="O560" s="87" t="str">
        <x:v>ENHANCED TRANSCUTANEOUS ELECTRICAL NERVE STIMULATOR WITH AUTOMATIC DETECTION OF LEG ORIENTATION AND MOTION FOR ENHANCED SLEEP ANALYSIS</x:v>
      </x:c>
      <x:c r="P560" s="109" t="n">
        <x:v>0</x:v>
      </x:c>
      <x:c r="Q560" s="109" t="n">
        <x:v>7</x:v>
      </x:c>
      <x:c r="R560" s="87" t="str">
        <x:v>A61N1/36021;;A61B5/1114;;A61B5/1118;;A61B5/4815;;A61B5/6828;;A61N1/0456;;A61N1/0484;;A61N1/36031</x:v>
      </x:c>
      <x:c r="S560" s="87" t="str">
        <x:v>A61N1/36;;A61B5/00;;A61B5/11</x:v>
      </x:c>
      <x:c r="T560" s="87" t="str">
        <x:v>DISCONTINUED</x:v>
      </x:c>
      <x:c r="U560" s="87" t="str">
        <x:v>https://lens.org/197-518-950-943-784</x:v>
      </x:c>
    </x:row>
    <x:row r="561">
      <x:c r="A561" s="87" t="str">
        <x:v>GSK.csv</x:v>
      </x:c>
      <x:c r="B561" s="87" t="str">
        <x:v>GSK</x:v>
      </x:c>
      <x:c r="C561" s="87" t="str">
        <x:v>TRT-0038</x:v>
      </x:c>
      <x:c r="D561" s="87" t="str">
        <x:v>Yes</x:v>
      </x:c>
      <x:c r="E561" s="87" t="str">
        <x:v>gsk</x:v>
      </x:c>
      <x:c r="F561" s="87" t="str">
        <x:v>24</x:v>
      </x:c>
      <x:c r="G561" s="87" t="str">
        <x:v>193-974-820-679-501</x:v>
      </x:c>
      <x:c r="H561" s="110" t="n">
        <x:v>42472</x:v>
      </x:c>
      <x:c r="I561" s="88" t="n">
        <x:v>2016</x:v>
      </x:c>
      <x:c r="J561" s="87" t="str">
        <x:v>US</x:v>
      </x:c>
      <x:c r="K561" s="87" t="str">
        <x:v>S</x:v>
      </x:c>
      <x:c r="L561" s="87" t="str">
        <x:v>US D0827434 S</x:v>
      </x:c>
      <x:c r="M561" s="87" t="str">
        <x:v>NOVARTIS CONSUMER HEALTH SA;;NOVARTIS CONSUMER HEALTH SA</x:v>
      </x:c>
      <x:c r="N561" s="87" t="str">
        <x:v>GSK CONSUMER HEALTHCARE S.A (2016-11-21);;HALEON CH SARL (2023-08-14)</x:v>
      </x:c>
      <x:c r="O561" s="87" t="str">
        <x:v>Cap</x:v>
      </x:c>
      <x:c r="P561" s="109" t="n">
        <x:v>13</x:v>
      </x:c>
      <x:c r="Q561" s="109" t="n">
        <x:v>4</x:v>
      </x:c>
      <x:c r="R561" s="87" t="str"/>
      <x:c r="S561" s="87" t="str"/>
      <x:c r="T561" s="87" t="str">
        <x:v>ACTIVE</x:v>
      </x:c>
      <x:c r="U561" s="87" t="str">
        <x:v>https://lens.org/193-974-820-679-501</x:v>
      </x:c>
    </x:row>
    <x:row r="562">
      <x:c r="A562" s="87" t="str">
        <x:v>GSK.csv</x:v>
      </x:c>
      <x:c r="B562" s="87" t="str">
        <x:v>GSK</x:v>
      </x:c>
      <x:c r="C562" s="87" t="str">
        <x:v>TRT-0038</x:v>
      </x:c>
      <x:c r="D562" s="87" t="str">
        <x:v>Yes</x:v>
      </x:c>
      <x:c r="E562" s="87" t="str">
        <x:v>gsk</x:v>
      </x:c>
      <x:c r="F562" s="87" t="str">
        <x:v>25</x:v>
      </x:c>
      <x:c r="G562" s="87" t="str">
        <x:v>080-857-488-687-832</x:v>
      </x:c>
      <x:c r="H562" s="110" t="n">
        <x:v>42472</x:v>
      </x:c>
      <x:c r="I562" s="88" t="n">
        <x:v>2016</x:v>
      </x:c>
      <x:c r="J562" s="87" t="str">
        <x:v>US</x:v>
      </x:c>
      <x:c r="K562" s="87" t="str">
        <x:v>S</x:v>
      </x:c>
      <x:c r="L562" s="87" t="str">
        <x:v>US D0827433 S</x:v>
      </x:c>
      <x:c r="M562" s="87" t="str">
        <x:v>NOVARTIS CONSUMER HEALTH SA</x:v>
      </x:c>
      <x:c r="N562" s="87" t="str">
        <x:v>GSK CONSUMER HEALTHCARE S.A (2016-11-21);;HALEON CH SARL (2023-08-14)</x:v>
      </x:c>
      <x:c r="O562" s="87" t="str">
        <x:v>Cap</x:v>
      </x:c>
      <x:c r="P562" s="109" t="n">
        <x:v>5</x:v>
      </x:c>
      <x:c r="Q562" s="109" t="n">
        <x:v>4</x:v>
      </x:c>
      <x:c r="R562" s="87" t="str"/>
      <x:c r="S562" s="87" t="str"/>
      <x:c r="T562" s="87" t="str">
        <x:v>ACTIVE</x:v>
      </x:c>
      <x:c r="U562" s="87" t="str">
        <x:v>https://lens.org/080-857-488-687-832</x:v>
      </x:c>
    </x:row>
    <x:row r="563">
      <x:c r="A563" s="87" t="str">
        <x:v>GSK.csv</x:v>
      </x:c>
      <x:c r="B563" s="87" t="str">
        <x:v>GSK</x:v>
      </x:c>
      <x:c r="C563" s="87" t="str">
        <x:v>TRT-0038</x:v>
      </x:c>
      <x:c r="D563" s="87" t="str">
        <x:v>Yes</x:v>
      </x:c>
      <x:c r="E563" s="87" t="str">
        <x:v>gsk</x:v>
      </x:c>
      <x:c r="F563" s="87" t="str">
        <x:v>26</x:v>
      </x:c>
      <x:c r="G563" s="87" t="str">
        <x:v>032-615-746-355-169</x:v>
      </x:c>
      <x:c r="H563" s="110" t="n">
        <x:v>41437</x:v>
      </x:c>
      <x:c r="I563" s="88" t="n">
        <x:v>2013</x:v>
      </x:c>
      <x:c r="J563" s="87" t="str">
        <x:v>US</x:v>
      </x:c>
      <x:c r="K563" s="87" t="str">
        <x:v>S</x:v>
      </x:c>
      <x:c r="L563" s="87" t="str">
        <x:v>US D0764923 S</x:v>
      </x:c>
      <x:c r="M563" s="87" t="str">
        <x:v>NOVARTIS CONSUMER HEALTH SA;;NOVARTIS CONSUMER HEALTHCARE SA</x:v>
      </x:c>
      <x:c r="N563" s="87" t="str">
        <x:v>GSK CONSUMER HEALTHCARE S.A (2018-07-11);;HALEON CH SARL (2023-08-14);;NOVARTIS AG (2013-12-09);;NOVARTIS CONSUMER HEALTHCARE SA (2016-02-22);;NOVARTIS CONSUMER HEALTH INC (2013-12-03)</x:v>
      </x:c>
      <x:c r="O563" s="87" t="str">
        <x:v>Bottle for a dietary supplement</x:v>
      </x:c>
      <x:c r="P563" s="109" t="n">
        <x:v>8</x:v>
      </x:c>
      <x:c r="Q563" s="109" t="n">
        <x:v>3</x:v>
      </x:c>
      <x:c r="R563" s="87" t="str"/>
      <x:c r="S563" s="87" t="str"/>
      <x:c r="T563" s="87" t="str">
        <x:v>ACTIVE</x:v>
      </x:c>
      <x:c r="U563" s="87" t="str">
        <x:v>https://lens.org/032-615-746-355-169</x:v>
      </x:c>
    </x:row>
    <x:row r="564">
      <x:c r="A564" s="87" t="str">
        <x:v>GSK.csv</x:v>
      </x:c>
      <x:c r="B564" s="87" t="str">
        <x:v>GSK</x:v>
      </x:c>
      <x:c r="C564" s="87" t="str">
        <x:v>TRT-0038</x:v>
      </x:c>
      <x:c r="D564" s="87" t="str">
        <x:v>Yes</x:v>
      </x:c>
      <x:c r="E564" s="87" t="str">
        <x:v>gsk</x:v>
      </x:c>
      <x:c r="F564" s="87" t="str">
        <x:v>27</x:v>
      </x:c>
      <x:c r="G564" s="87" t="str">
        <x:v>039-099-309-487-24X</x:v>
      </x:c>
      <x:c r="H564" s="110" t="n">
        <x:v>41437</x:v>
      </x:c>
      <x:c r="I564" s="88" t="n">
        <x:v>2013</x:v>
      </x:c>
      <x:c r="J564" s="87" t="str">
        <x:v>US</x:v>
      </x:c>
      <x:c r="K564" s="87" t="str">
        <x:v>S</x:v>
      </x:c>
      <x:c r="L564" s="87" t="str">
        <x:v>US D0764301 S</x:v>
      </x:c>
      <x:c r="M564" s="87" t="str">
        <x:v>NOVARTIS CONSUMER HEALTH SA;;NOVARTIS CONSUMER HEALTHCARE S A</x:v>
      </x:c>
      <x:c r="N564" s="87" t="str">
        <x:v>GSK CONSUMER HEALTHCARE S.A (2018-07-11);;HALEON CH SARL (2023-08-14);;NOVARTIS AG (2013-12-09);;NOVARTIS CONSUMER HEALTHCARE SA (2016-02-22);;NOVARTIS CONSUMER HEALTH INC (2013-12-03)</x:v>
      </x:c>
      <x:c r="O564" s="87" t="str">
        <x:v>Bottle for a dietary supplement</x:v>
      </x:c>
      <x:c r="P564" s="109" t="n">
        <x:v>6</x:v>
      </x:c>
      <x:c r="Q564" s="109" t="n">
        <x:v>3</x:v>
      </x:c>
      <x:c r="R564" s="87" t="str"/>
      <x:c r="S564" s="87" t="str"/>
      <x:c r="T564" s="87" t="str">
        <x:v>ACTIVE</x:v>
      </x:c>
      <x:c r="U564" s="87" t="str">
        <x:v>https://lens.org/039-099-309-487-24X</x:v>
      </x:c>
    </x:row>
    <x:row r="565">
      <x:c r="A565" s="87" t="str">
        <x:v>GSK.csv</x:v>
      </x:c>
      <x:c r="B565" s="87" t="str">
        <x:v>GSK</x:v>
      </x:c>
      <x:c r="C565" s="87" t="str">
        <x:v>TRT-0038</x:v>
      </x:c>
      <x:c r="D565" s="87" t="str">
        <x:v>Yes</x:v>
      </x:c>
      <x:c r="E565" s="87" t="str">
        <x:v>gsk</x:v>
      </x:c>
      <x:c r="F565" s="87" t="str">
        <x:v>28</x:v>
      </x:c>
      <x:c r="G565" s="87" t="str">
        <x:v>106-421-712-979-026</x:v>
      </x:c>
      <x:c r="H565" s="110" t="n">
        <x:v>41348</x:v>
      </x:c>
      <x:c r="I565" s="88" t="n">
        <x:v>2013</x:v>
      </x:c>
      <x:c r="J565" s="87" t="str">
        <x:v>US</x:v>
      </x:c>
      <x:c r="K565" s="87" t="str">
        <x:v>S</x:v>
      </x:c>
      <x:c r="L565" s="87" t="str">
        <x:v>US D0753834 S</x:v>
      </x:c>
      <x:c r="M565" s="87" t="str">
        <x:v>HUTCHISON WILLIAM;;MUNN CARYL G;;NOVARTIS CONSUMER HEALTHCARE SA</x:v>
      </x:c>
      <x:c r="N565" s="87" t="str">
        <x:v>GSK CONSUMER HEALTHCARE S.A (2018-07-11);;HALEON CH SARL (2023-08-14);;NOVARTIS AG (2013-07-09);;NOVARTIS CONSUMER HEALTHCARE SA (2016-02-22);;NOVARTIS CONSUMER HEALTH INC (2013-07-08)</x:v>
      </x:c>
      <x:c r="O565" s="87" t="str">
        <x:v>Dosing card for a topical preparation</x:v>
      </x:c>
      <x:c r="P565" s="109" t="n">
        <x:v>2</x:v>
      </x:c>
      <x:c r="Q565" s="109" t="n">
        <x:v>1</x:v>
      </x:c>
      <x:c r="R565" s="87" t="str"/>
      <x:c r="S565" s="87" t="str"/>
      <x:c r="T565" s="87" t="str">
        <x:v>ACTIVE</x:v>
      </x:c>
      <x:c r="U565" s="87" t="str">
        <x:v>https://lens.org/106-421-712-979-026</x:v>
      </x:c>
    </x:row>
    <x:row r="566">
      <x:c r="A566" s="87" t="str">
        <x:v>GSK.csv</x:v>
      </x:c>
      <x:c r="B566" s="87" t="str">
        <x:v>GSK</x:v>
      </x:c>
      <x:c r="C566" s="87" t="str">
        <x:v>TRT-0038</x:v>
      </x:c>
      <x:c r="D566" s="87" t="str">
        <x:v>Yes</x:v>
      </x:c>
      <x:c r="E566" s="87" t="str">
        <x:v>gsk</x:v>
      </x:c>
      <x:c r="F566" s="87" t="str">
        <x:v>29</x:v>
      </x:c>
      <x:c r="G566" s="87" t="str">
        <x:v>119-842-469-934-06X</x:v>
      </x:c>
      <x:c r="H566" s="110" t="n">
        <x:v>41348</x:v>
      </x:c>
      <x:c r="I566" s="88" t="n">
        <x:v>2013</x:v>
      </x:c>
      <x:c r="J566" s="87" t="str">
        <x:v>US</x:v>
      </x:c>
      <x:c r="K566" s="87" t="str">
        <x:v>S</x:v>
      </x:c>
      <x:c r="L566" s="87" t="str">
        <x:v>US D0748809 S</x:v>
      </x:c>
      <x:c r="M566" s="87" t="str">
        <x:v>NOVARTIS AG</x:v>
      </x:c>
      <x:c r="N566" s="87" t="str">
        <x:v>GSK CONSUMER HEALTHCARE S.A (2019-12-16);;HALEON CH SARL (2023-08-14);;NOVARTIS AG (2013-07-09);;NOVARTIS CONSUMER HEALTH INC (2013-08-07)</x:v>
      </x:c>
      <x:c r="O566" s="87" t="str">
        <x:v>Dosing card for a topical preparation</x:v>
      </x:c>
      <x:c r="P566" s="109" t="n">
        <x:v>2</x:v>
      </x:c>
      <x:c r="Q566" s="109" t="n">
        <x:v>1</x:v>
      </x:c>
      <x:c r="R566" s="87" t="str"/>
      <x:c r="S566" s="87" t="str"/>
      <x:c r="T566" s="87" t="str">
        <x:v>ACTIVE</x:v>
      </x:c>
      <x:c r="U566" s="87" t="str">
        <x:v>https://lens.org/119-842-469-934-06X</x:v>
      </x:c>
    </x:row>
    <x:row r="567">
      <x:c r="A567" s="87" t="str">
        <x:v>GSK.csv</x:v>
      </x:c>
      <x:c r="B567" s="87" t="str">
        <x:v>GSK</x:v>
      </x:c>
      <x:c r="C567" s="87" t="str">
        <x:v>TRT-0038</x:v>
      </x:c>
      <x:c r="D567" s="87" t="str">
        <x:v>Yes</x:v>
      </x:c>
      <x:c r="E567" s="87" t="str">
        <x:v>gsk</x:v>
      </x:c>
      <x:c r="F567" s="87" t="str">
        <x:v>30</x:v>
      </x:c>
      <x:c r="G567" s="87" t="str">
        <x:v>095-539-513-846-139</x:v>
      </x:c>
      <x:c r="H567" s="110" t="n">
        <x:v>41596</x:v>
      </x:c>
      <x:c r="I567" s="88" t="n">
        <x:v>2013</x:v>
      </x:c>
      <x:c r="J567" s="87" t="str">
        <x:v>US</x:v>
      </x:c>
      <x:c r="K567" s="87" t="str">
        <x:v>S</x:v>
      </x:c>
      <x:c r="L567" s="87" t="str">
        <x:v>US D0744826 S</x:v>
      </x:c>
      <x:c r="M567" s="87" t="str">
        <x:v>CSP TECHNOLOGIES INC;;NOVARTIS AG</x:v>
      </x:c>
      <x:c r="N567" s="87" t="str">
        <x:v>NOVARTIS CONSUMER HEALTH S.A (2014-05-12);;GSK CONSUMER HEALTHCARE S.A (2019-12-16);;HALEON CH SARL (2023-08-14);;NOVARTIS AG (2014-05-12);;CSP TECHNOLOGIES INC (2014-09-11)</x:v>
      </x:c>
      <x:c r="O567" s="87" t="str">
        <x:v>Container for storage</x:v>
      </x:c>
      <x:c r="P567" s="109" t="n">
        <x:v>19</x:v>
      </x:c>
      <x:c r="Q567" s="109" t="n">
        <x:v>3</x:v>
      </x:c>
      <x:c r="R567" s="87" t="str"/>
      <x:c r="S567" s="87" t="str"/>
      <x:c r="T567" s="87" t="str">
        <x:v>ACTIVE</x:v>
      </x:c>
      <x:c r="U567" s="87" t="str">
        <x:v>https://lens.org/095-539-513-846-139</x:v>
      </x:c>
    </x:row>
    <x:row r="568">
      <x:c r="A568" s="87" t="str">
        <x:v>Nicox.csv</x:v>
      </x:c>
      <x:c r="B568" s="87" t="str">
        <x:v>Nicox</x:v>
      </x:c>
      <x:c r="C568" s="87" t="str">
        <x:v>TRT-0034</x:v>
      </x:c>
      <x:c r="D568" s="87" t="str">
        <x:v>Yes</x:v>
      </x:c>
      <x:c r="E568" s="87" t="str">
        <x:v>nicox</x:v>
      </x:c>
      <x:c r="F568" s="87" t="str">
        <x:v>1</x:v>
      </x:c>
      <x:c r="G568" s="87" t="str">
        <x:v>112-651-239-181-123</x:v>
      </x:c>
      <x:c r="H568" s="110" t="n">
        <x:v>43871</x:v>
      </x:c>
      <x:c r="I568" s="88" t="n">
        <x:v>2020</x:v>
      </x:c>
      <x:c r="J568" s="87" t="str">
        <x:v>EP</x:v>
      </x:c>
      <x:c r="K568" s="87" t="str">
        <x:v>C0</x:v>
      </x:c>
      <x:c r="L568" s="87" t="str">
        <x:v>EP 4103171 C0</x:v>
      </x:c>
      <x:c r="M568" s="87" t="str">
        <x:v>NICOX SA</x:v>
      </x:c>
      <x:c r="N568" s="87" t="str">
        <x:v>NICOX S.A. (2024-04-10)</x:v>
      </x:c>
      <x:c r="O568" s="87" t="str">
        <x:v>TREATMENT OF VASO OCCLUSIVE CRISES ASSOCIATED WITH SICKLE CELL DISEASE</x:v>
      </x:c>
      <x:c r="P568" s="109" t="n">
        <x:v>0</x:v>
      </x:c>
      <x:c r="Q568" s="109" t="n">
        <x:v>15</x:v>
      </x:c>
      <x:c r="R568" s="87" t="str">
        <x:v>A61K31/216;;A61P7/06;;A61P9/10;;A61K31/222</x:v>
      </x:c>
      <x:c r="S568" s="87" t="str">
        <x:v>A61K31/216;;A61P7/06</x:v>
      </x:c>
      <x:c r="T568" s="87" t="str">
        <x:v>ACTIVE</x:v>
      </x:c>
      <x:c r="U568" s="87" t="str">
        <x:v>https://lens.org/112-651-239-181-123</x:v>
      </x:c>
    </x:row>
    <x:row r="569">
      <x:c r="A569" s="87" t="str">
        <x:v>Nicox.csv</x:v>
      </x:c>
      <x:c r="B569" s="87" t="str">
        <x:v>Nicox</x:v>
      </x:c>
      <x:c r="C569" s="87" t="str">
        <x:v>TRT-0034</x:v>
      </x:c>
      <x:c r="D569" s="87" t="str">
        <x:v>Yes</x:v>
      </x:c>
      <x:c r="E569" s="87" t="str">
        <x:v>nicox</x:v>
      </x:c>
      <x:c r="F569" s="87" t="str">
        <x:v>2</x:v>
      </x:c>
      <x:c r="G569" s="87" t="str">
        <x:v>105-883-892-795-397</x:v>
      </x:c>
      <x:c r="H569" s="110" t="n">
        <x:v>44616</x:v>
      </x:c>
      <x:c r="I569" s="88" t="n">
        <x:v>2022</x:v>
      </x:c>
      <x:c r="J569" s="87" t="str">
        <x:v>EP</x:v>
      </x:c>
      <x:c r="K569" s="87" t="str">
        <x:v>C0</x:v>
      </x:c>
      <x:c r="L569" s="87" t="str">
        <x:v>EP 4233867 C0</x:v>
      </x:c>
      <x:c r="M569" s="87" t="str">
        <x:v>NICOX SA</x:v>
      </x:c>
      <x:c r="N569" s="87" t="str">
        <x:v>NICOX SA (2024-04-10)</x:v>
      </x:c>
      <x:c r="O569" s="87" t="str">
        <x:v>PDE5 INHIBITOR FOR USE IN THE TREATMENT OF ANTERIOR ISCHEMIC OPTIC NEUROPATHY</x:v>
      </x:c>
      <x:c r="P569" s="109" t="n">
        <x:v>0</x:v>
      </x:c>
      <x:c r="Q569" s="109" t="n">
        <x:v>11</x:v>
      </x:c>
      <x:c r="R569" s="87" t="str">
        <x:v>A61K45/06;;A61K9/0048;;A61K31/506;;A61K31/573;;A61K47/10;;A61K47/14;;A61K47/183;;A61K47/186;;A61P27/02;;A61K31/506;;A61K9/0014;;A61K9/0019;;A61K9/0048;;A61P27/02</x:v>
      </x:c>
      <x:c r="S569" s="87" t="str">
        <x:v>A61K31/506;;A61K9/00;;A61K31/573;;A61K45/06;;A61P27/02</x:v>
      </x:c>
      <x:c r="T569" s="87" t="str">
        <x:v>ACTIVE</x:v>
      </x:c>
      <x:c r="U569" s="87" t="str">
        <x:v>https://lens.org/105-883-892-795-397</x:v>
      </x:c>
    </x:row>
    <x:row r="570">
      <x:c r="A570" s="87" t="str">
        <x:v>Nicox.csv</x:v>
      </x:c>
      <x:c r="B570" s="87" t="str">
        <x:v>Nicox</x:v>
      </x:c>
      <x:c r="C570" s="87" t="str">
        <x:v>TRT-0034</x:v>
      </x:c>
      <x:c r="D570" s="87" t="str">
        <x:v>Yes</x:v>
      </x:c>
      <x:c r="E570" s="87" t="str">
        <x:v>nicox</x:v>
      </x:c>
      <x:c r="F570" s="87" t="str">
        <x:v>3</x:v>
      </x:c>
      <x:c r="G570" s="87" t="str">
        <x:v>195-315-531-716-429</x:v>
      </x:c>
      <x:c r="H570" s="110" t="n">
        <x:v>43293</x:v>
      </x:c>
      <x:c r="I570" s="88" t="n">
        <x:v>2018</x:v>
      </x:c>
      <x:c r="J570" s="87" t="str">
        <x:v>EP</x:v>
      </x:c>
      <x:c r="K570" s="87" t="str">
        <x:v>B1</x:v>
      </x:c>
      <x:c r="L570" s="87" t="str">
        <x:v>EP 3718535 B1</x:v>
      </x:c>
      <x:c r="M570" s="87" t="str">
        <x:v>NICOX SA</x:v>
      </x:c>
      <x:c r="N570" s="87" t="str">
        <x:v>NICOX S.A. (2024-04-10)</x:v>
      </x:c>
      <x:c r="O570" s="87" t="str">
        <x:v>OPHTHALMIC COMPOSITIONS CONTAINING A NITRIC OXIDE RELEASING PROSTAMIDE</x:v>
      </x:c>
      <x:c r="P570" s="109" t="n">
        <x:v>0</x:v>
      </x:c>
      <x:c r="Q570" s="109" t="n">
        <x:v>64</x:v>
      </x:c>
      <x:c r="R570" s="87" t="str">
        <x:v>A61K9/08;;A61K9/0048;;A61K31/222;;A61K47/10;;A61K47/14;;A61K47/26;;A61P27/06;;A61K31/5575;;A61K9/0048;;A61K9/08;;A61K47/14;;A61P27/06;;A61K9/08;;A61K9/0048;;A61K31/5575;;A61K47/02;;A61K47/10;;A61K47/14;;A61K47/186;;A61K47/26;;A61K47/38;;A61P27/02;;A61P27/06;;A61K31/216;;A61K9/0048;;A61K9/08;;A61K31/222;;A61K47/02;;A61K47/10;;A61K47/12;;A61K47/18;;A61K47/183;;A61K47/186;;A61K47/24;;A61K47/26</x:v>
      </x:c>
      <x:c r="S570" s="87" t="str">
        <x:v>A61K9/00;;A61K9/08;;A61K31/5575;;A61K47/14;;A61P27/06</x:v>
      </x:c>
      <x:c r="T570" s="87" t="str">
        <x:v>ACTIVE</x:v>
      </x:c>
      <x:c r="U570" s="87" t="str">
        <x:v>https://lens.org/195-315-531-716-429</x:v>
      </x:c>
    </x:row>
    <x:row r="571">
      <x:c r="A571" s="87" t="str">
        <x:v>Nicox.csv</x:v>
      </x:c>
      <x:c r="B571" s="87" t="str">
        <x:v>Nicox</x:v>
      </x:c>
      <x:c r="C571" s="87" t="str">
        <x:v>TRT-0034</x:v>
      </x:c>
      <x:c r="D571" s="87" t="str">
        <x:v>Yes</x:v>
      </x:c>
      <x:c r="E571" s="87" t="str">
        <x:v>nicox</x:v>
      </x:c>
      <x:c r="F571" s="87" t="str">
        <x:v>4</x:v>
      </x:c>
      <x:c r="G571" s="87" t="str">
        <x:v>127-619-719-633-98X</x:v>
      </x:c>
      <x:c r="H571" s="110" t="n">
        <x:v>44230</x:v>
      </x:c>
      <x:c r="I571" s="88" t="n">
        <x:v>2021</x:v>
      </x:c>
      <x:c r="J571" s="87" t="str">
        <x:v>EP</x:v>
      </x:c>
      <x:c r="K571" s="87" t="str">
        <x:v>B1</x:v>
      </x:c>
      <x:c r="L571" s="87" t="str">
        <x:v>EP 4288413 B1</x:v>
      </x:c>
      <x:c r="M571" s="87" t="str">
        <x:v>NICOX SA</x:v>
      </x:c>
      <x:c r="N571" s="87" t="str">
        <x:v>NICOX S.A. (2024-04-10)</x:v>
      </x:c>
      <x:c r="O571" s="87" t="str">
        <x:v>PROCESS FOR THE PREPARATION OF A NITRIC OXIDE DONATING PROSTAGLANDIN ANALOGUE</x:v>
      </x:c>
      <x:c r="P571" s="109" t="n">
        <x:v>0</x:v>
      </x:c>
      <x:c r="Q571" s="109" t="n">
        <x:v>15</x:v>
      </x:c>
      <x:c r="R571" s="87" t="str">
        <x:v>C07C405/0041;;C07C201/02;;C07C2601/08;;Y02P20/55;;C07C2601/08;;A61K31/5575;;C07C201/02;;C07C405/0041</x:v>
      </x:c>
      <x:c r="S571" s="87" t="str">
        <x:v>C07C405/00;;C07C201/02;;C07C203/04</x:v>
      </x:c>
      <x:c r="T571" s="87" t="str">
        <x:v>ACTIVE</x:v>
      </x:c>
      <x:c r="U571" s="87" t="str">
        <x:v>https://lens.org/127-619-719-633-98X</x:v>
      </x:c>
    </x:row>
    <x:row r="572">
      <x:c r="A572" s="87" t="str">
        <x:v>Nicox.csv</x:v>
      </x:c>
      <x:c r="B572" s="87" t="str">
        <x:v>Nicox</x:v>
      </x:c>
      <x:c r="C572" s="87" t="str">
        <x:v>TRT-0034</x:v>
      </x:c>
      <x:c r="D572" s="87" t="str">
        <x:v>Yes</x:v>
      </x:c>
      <x:c r="E572" s="87" t="str">
        <x:v>nicox</x:v>
      </x:c>
      <x:c r="F572" s="87" t="str">
        <x:v>5</x:v>
      </x:c>
      <x:c r="G572" s="87" t="str">
        <x:v>052-621-825-429-695</x:v>
      </x:c>
      <x:c r="H572" s="110" t="n">
        <x:v>44532</x:v>
      </x:c>
      <x:c r="I572" s="88" t="n">
        <x:v>2021</x:v>
      </x:c>
      <x:c r="J572" s="87" t="str">
        <x:v>US</x:v>
      </x:c>
      <x:c r="K572" s="87" t="str">
        <x:v>A1</x:v>
      </x:c>
      <x:c r="L572" s="87" t="str">
        <x:v>US 2025/0017928 A1</x:v>
      </x:c>
      <x:c r="M572" s="87" t="str">
        <x:v>NICOX SA</x:v>
      </x:c>
      <x:c r="N572" s="87" t="str">
        <x:v>NICOX SA (2024-05-06)</x:v>
      </x:c>
      <x:c r="O572" s="87" t="str">
        <x:v>OPHTHALMIC PHARMACEUTICAL COMPOSITIONS CONTAINING A NITRIC OXIDE-RELEASING PHOSPHODIESTERASE 5 INHIBITOR AND METHOD FOR THE PREPARATION THEREOF</x:v>
      </x:c>
      <x:c r="P572" s="109" t="n">
        <x:v>0</x:v>
      </x:c>
      <x:c r="Q572" s="109" t="n">
        <x:v>14</x:v>
      </x:c>
      <x:c r="R572" s="87" t="str">
        <x:v>A61K9/0048;;A61K47/26;;A61K47/44;;A61K47/14;;A61K9/08;;A61P27/02;;A61K31/506;;A61K9/0048;;A61K31/506;;A61K47/02;;A61K47/10;;A61K47/14;;A61K47/183;;A61K47/186;;A61K47/26</x:v>
      </x:c>
      <x:c r="S572" s="87" t="str">
        <x:v>A61K31/506;;A61K9/00;;A61K47/02;;A61K47/10;;A61K47/14;;A61K47/18;;A61K47/26</x:v>
      </x:c>
      <x:c r="T572" s="87" t="str">
        <x:v>PENDING</x:v>
      </x:c>
      <x:c r="U572" s="87" t="str">
        <x:v>https://lens.org/052-621-825-429-695</x:v>
      </x:c>
    </x:row>
    <x:row r="573">
      <x:c r="A573" s="87" t="str">
        <x:v>Nicox.csv</x:v>
      </x:c>
      <x:c r="B573" s="87" t="str">
        <x:v>Nicox</x:v>
      </x:c>
      <x:c r="C573" s="87" t="str">
        <x:v>TRT-0034</x:v>
      </x:c>
      <x:c r="D573" s="87" t="str">
        <x:v>Yes</x:v>
      </x:c>
      <x:c r="E573" s="87" t="str">
        <x:v>nicox</x:v>
      </x:c>
      <x:c r="F573" s="87" t="str">
        <x:v>6</x:v>
      </x:c>
      <x:c r="G573" s="87" t="str">
        <x:v>072-199-674-191-505</x:v>
      </x:c>
      <x:c r="H573" s="110" t="n">
        <x:v>44749</x:v>
      </x:c>
      <x:c r="I573" s="88" t="n">
        <x:v>2022</x:v>
      </x:c>
      <x:c r="J573" s="87" t="str">
        <x:v>EP</x:v>
      </x:c>
      <x:c r="K573" s="87" t="str">
        <x:v>B1</x:v>
      </x:c>
      <x:c r="L573" s="87" t="str">
        <x:v>EP 4303211 B1</x:v>
      </x:c>
      <x:c r="M573" s="87" t="str">
        <x:v>NICOX SA</x:v>
      </x:c>
      <x:c r="N573" s="87" t="str">
        <x:v>NICOX S.A. (2024-04-10)</x:v>
      </x:c>
      <x:c r="O573" s="87" t="str">
        <x:v>INDUSTRIAL PROCESS FOR THE PREPARATION OF HEXANOIC ACID, 6(NITROOXY)-,(1S,2E)-3-[(1R,2R,3S,5R)-2-[(2Z)-7-(ETHYLAMINO)-7-OXO-2-HEPTEN-1-YL]3,5-DIHYDROXYCYCLOPENTYL]-1-(2-PHENYL ETHYL)-2-PROPEN-1-YL ESTER AND HIGH PURE PRODUCT</x:v>
      </x:c>
      <x:c r="P573" s="109" t="n">
        <x:v>0</x:v>
      </x:c>
      <x:c r="Q573" s="109" t="n">
        <x:v>31</x:v>
      </x:c>
      <x:c r="R573" s="87" t="str">
        <x:v>C07C405/0041;;C07B2200/07;;C07B2200/09;;C07C2601/08;;A61P27/02;;A61P27/06;;C07C405/0041;;C07C2601/08;;Y02P20/55;;C07C405/0041;;A61K31/5575;;A61P27/02;;A61P27/06;;C07C2601/08;;C07C235/34;;A61K31/5575;;C07C231/12;;C07C231/24;;C07C405/0041;;C07C2531/02;;C07C2601/08</x:v>
      </x:c>
      <x:c r="S573" s="87" t="str">
        <x:v>C07C405/00;;A61K31/5575;;A61P27/02;;A61P27/06</x:v>
      </x:c>
      <x:c r="T573" s="87" t="str">
        <x:v>ACTIVE</x:v>
      </x:c>
      <x:c r="U573" s="87" t="str">
        <x:v>https://lens.org/072-199-674-191-505</x:v>
      </x:c>
    </x:row>
    <x:row r="574">
      <x:c r="A574" s="87" t="str">
        <x:v>Nicox.csv</x:v>
      </x:c>
      <x:c r="B574" s="87" t="str">
        <x:v>Nicox</x:v>
      </x:c>
      <x:c r="C574" s="87" t="str">
        <x:v>TRT-0034</x:v>
      </x:c>
      <x:c r="D574" s="87" t="str">
        <x:v>Yes</x:v>
      </x:c>
      <x:c r="E574" s="87" t="str">
        <x:v>nicox</x:v>
      </x:c>
      <x:c r="F574" s="87" t="str">
        <x:v>7</x:v>
      </x:c>
      <x:c r="G574" s="87" t="str">
        <x:v>116-050-641-608-30X</x:v>
      </x:c>
      <x:c r="H574" s="110" t="n">
        <x:v>43318</x:v>
      </x:c>
      <x:c r="I574" s="88" t="n">
        <x:v>2018</x:v>
      </x:c>
      <x:c r="J574" s="87" t="str">
        <x:v>US</x:v>
      </x:c>
      <x:c r="K574" s="87" t="str">
        <x:v>A1</x:v>
      </x:c>
      <x:c r="L574" s="87" t="str">
        <x:v>US 2024/0245684 A1</x:v>
      </x:c>
      <x:c r="M574" s="87" t="str">
        <x:v>NICOX SA</x:v>
      </x:c>
      <x:c r="N574" s="87" t="str">
        <x:v>NICOX S.A (2021-01-11)</x:v>
      </x:c>
      <x:c r="O574" s="87" t="str">
        <x:v>NITRIC OXIDE RELEASING PHOSPHODIESTERASE TYPE 5 INHIBITOR</x:v>
      </x:c>
      <x:c r="P574" s="109" t="n">
        <x:v>0</x:v>
      </x:c>
      <x:c r="Q574" s="109" t="n">
        <x:v>22</x:v>
      </x:c>
      <x:c r="R574" s="87" t="str">
        <x:v>A61K45/06;;A61P27/06;;A61P27/02;;C07D487/04;;C07D403/14;;A61P27/02;;C07D487/04;;A61K31/21;;A61K47/186;;A61K47/20;;A61K47/44;;A61K45/06;;A61P27/06;;A61K9/0048;;A61K47/55;;C07D403/14;;C07D403/14;;A61K31/506;;A61K31/519;;A61K45/06;;A61P27/02;;A61P27/06;;C07D487/04;;A61P27/06;;A61K31/197;;A61K31/506;;A61K31/519;;A61K45/06;;C07D403/14;;C07D487/04</x:v>
      </x:c>
      <x:c r="S574" s="87" t="str">
        <x:v>A61K31/506;;A61K31/197;;A61K31/519;;A61K45/06;;A61P27/06;;C07D403/14;;C07D487/04</x:v>
      </x:c>
      <x:c r="T574" s="87" t="str">
        <x:v>ACTIVE</x:v>
      </x:c>
      <x:c r="U574" s="87" t="str">
        <x:v>https://lens.org/116-050-641-608-30X</x:v>
      </x:c>
    </x:row>
    <x:row r="575">
      <x:c r="A575" s="87" t="str">
        <x:v>Nicox.csv</x:v>
      </x:c>
      <x:c r="B575" s="87" t="str">
        <x:v>Nicox</x:v>
      </x:c>
      <x:c r="C575" s="87" t="str">
        <x:v>TRT-0034</x:v>
      </x:c>
      <x:c r="D575" s="87" t="str">
        <x:v>Yes</x:v>
      </x:c>
      <x:c r="E575" s="87" t="str">
        <x:v>nicox</x:v>
      </x:c>
      <x:c r="F575" s="87" t="str">
        <x:v>8</x:v>
      </x:c>
      <x:c r="G575" s="87" t="str">
        <x:v>144-743-424-075-225</x:v>
      </x:c>
      <x:c r="H575" s="110" t="n">
        <x:v>41037</x:v>
      </x:c>
      <x:c r="I575" s="88" t="n">
        <x:v>2012</x:v>
      </x:c>
      <x:c r="J575" s="87" t="str">
        <x:v>EP</x:v>
      </x:c>
      <x:c r="K575" s="87" t="str">
        <x:v>B1</x:v>
      </x:c>
      <x:c r="L575" s="87" t="str">
        <x:v>EP 3741772 B1</x:v>
      </x:c>
      <x:c r="M575" s="87" t="str">
        <x:v>NICOX OPHTHALMICS INC</x:v>
      </x:c>
      <x:c r="N575" s="87" t="str">
        <x:v>NICOX OPHTHALMICS, INC. (2022-08-17)</x:v>
      </x:c>
      <x:c r="O575" s="87" t="str">
        <x:v>PREPARATIONS OF HYDROPHOBIC THERAPEUTIC AGENTS, METHODS OF MANUFACTURE AND USE THEREOF</x:v>
      </x:c>
      <x:c r="P575" s="109" t="n">
        <x:v>0</x:v>
      </x:c>
      <x:c r="Q575" s="109" t="n">
        <x:v>54</x:v>
      </x:c>
      <x:c r="R575" s="87" t="str">
        <x:v>C07J31/006;;C07B2200/13;;C07J71/0031;;C07J31/006;;A61P5/44;;A61P11/00;;A61P11/06;;A61P27/02;;A61P27/04;;A61P27/14;;A61P29/00;;A61P37/08;;A61P43/00;;C07B2200/13;;C07J71/0031;;Y10T428/2982;;A61K31/56;;C07J31/006;;C07J7/009;;C07B2200/13;;C07J3/005;;C07J31/006;;C07J71/0005;;C07J71/0031;;Y10T428/2982</x:v>
      </x:c>
      <x:c r="S575" s="87" t="str">
        <x:v>C07J31/00;;A61K31/58;;A61P5/44;;A61P11/00;;A61P11/06;;A61P27/02;;A61P27/04;;A61P27/14;;A61P29/00;;A61P37/08;;A61P43/00;;C07J71/00</x:v>
      </x:c>
      <x:c r="T575" s="87" t="str">
        <x:v>ACTIVE</x:v>
      </x:c>
      <x:c r="U575" s="87" t="str">
        <x:v>https://lens.org/144-743-424-075-225</x:v>
      </x:c>
    </x:row>
    <x:row r="576">
      <x:c r="A576" s="87" t="str">
        <x:v>Nicox.csv</x:v>
      </x:c>
      <x:c r="B576" s="87" t="str">
        <x:v>Nicox</x:v>
      </x:c>
      <x:c r="C576" s="87" t="str">
        <x:v>TRT-0034</x:v>
      </x:c>
      <x:c r="D576" s="87" t="str">
        <x:v>Yes</x:v>
      </x:c>
      <x:c r="E576" s="87" t="str">
        <x:v>nicox</x:v>
      </x:c>
      <x:c r="F576" s="87" t="str">
        <x:v>9</x:v>
      </x:c>
      <x:c r="G576" s="87" t="str">
        <x:v>178-529-411-181-199</x:v>
      </x:c>
      <x:c r="H576" s="110" t="n">
        <x:v>44137</x:v>
      </x:c>
      <x:c r="I576" s="88" t="n">
        <x:v>2020</x:v>
      </x:c>
      <x:c r="J576" s="87" t="str">
        <x:v>US</x:v>
      </x:c>
      <x:c r="K576" s="87" t="str">
        <x:v>A1</x:v>
      </x:c>
      <x:c r="L576" s="87" t="str">
        <x:v>US 2023/0414621 A1</x:v>
      </x:c>
      <x:c r="M576" s="87" t="str">
        <x:v>NICOX SA</x:v>
      </x:c>
      <x:c r="N576" s="87" t="str">
        <x:v>NICOX S.A (2019-05-29)</x:v>
      </x:c>
      <x:c r="O576" s="87" t="str">
        <x:v>NO-PDE5 INHIBITOR FOR USE IN TREATING DRY AGE-RELATED MACULAR DEGENERATION, GEOGRAPHIC ATROPHY AND GLAUCOMA-ASSOCIATED NEURODEGENERATION</x:v>
      </x:c>
      <x:c r="P576" s="109" t="n">
        <x:v>1</x:v>
      </x:c>
      <x:c r="Q576" s="109" t="n">
        <x:v>5</x:v>
      </x:c>
      <x:c r="R576" s="87" t="str">
        <x:v>A61K31/506;;A61K9/0014;;A61K9/0048;;A61K31/519;;A61K47/55;;A61P27/02;;A61P27/06;;A61K31/519;;A61K31/506</x:v>
      </x:c>
      <x:c r="S576" s="87" t="str">
        <x:v>A61K31/519;;A61K31/506</x:v>
      </x:c>
      <x:c r="T576" s="87" t="str">
        <x:v>PENDING</x:v>
      </x:c>
      <x:c r="U576" s="87" t="str">
        <x:v>https://lens.org/178-529-411-181-199</x:v>
      </x:c>
    </x:row>
    <x:row r="577">
      <x:c r="A577" s="87" t="str">
        <x:v>Nicox.csv</x:v>
      </x:c>
      <x:c r="B577" s="87" t="str">
        <x:v>Nicox</x:v>
      </x:c>
      <x:c r="C577" s="87" t="str">
        <x:v>TRT-0034</x:v>
      </x:c>
      <x:c r="D577" s="87" t="str">
        <x:v>Yes</x:v>
      </x:c>
      <x:c r="E577" s="87" t="str">
        <x:v>nicox</x:v>
      </x:c>
      <x:c r="F577" s="87" t="str">
        <x:v>10</x:v>
      </x:c>
      <x:c r="G577" s="87" t="str">
        <x:v>117-839-413-892-606</x:v>
      </x:c>
      <x:c r="H577" s="110" t="n">
        <x:v>43866</x:v>
      </x:c>
      <x:c r="I577" s="88" t="n">
        <x:v>2020</x:v>
      </x:c>
      <x:c r="J577" s="87" t="str">
        <x:v>US</x:v>
      </x:c>
      <x:c r="K577" s="87" t="str">
        <x:v>A1</x:v>
      </x:c>
      <x:c r="L577" s="87" t="str">
        <x:v>US 2023/0069076 A1</x:v>
      </x:c>
      <x:c r="M577" s="87" t="str">
        <x:v>NICOX SA</x:v>
      </x:c>
      <x:c r="N577" s="87" t="str">
        <x:v>NICOX S.A (2022-08-29)</x:v>
      </x:c>
      <x:c r="O577" s="87" t="str">
        <x:v>COMPOSITIONS FOR THE TREATMENT OF GLAUCOMA AND OCULAR HYPERTENSION</x:v>
      </x:c>
      <x:c r="P577" s="109" t="n">
        <x:v>1</x:v>
      </x:c>
      <x:c r="Q577" s="109" t="n">
        <x:v>10</x:v>
      </x:c>
      <x:c r="R577" s="87" t="str">
        <x:v>A61K31/506;;A61K31/522;;A61K31/5575;;A61P27/02;;A61P27/06;;A61K31/519;;A61K9/0048;;A61K31/5575;;A61K31/5578</x:v>
      </x:c>
      <x:c r="S577" s="87" t="str">
        <x:v>A61K31/519;;A61K9/00;;A61K31/5575;;A61K31/5578</x:v>
      </x:c>
      <x:c r="T577" s="87" t="str">
        <x:v>PENDING</x:v>
      </x:c>
      <x:c r="U577" s="87" t="str">
        <x:v>https://lens.org/117-839-413-892-606</x:v>
      </x:c>
    </x:row>
    <x:row r="578">
      <x:c r="A578" s="87" t="str">
        <x:v>Nicox.csv</x:v>
      </x:c>
      <x:c r="B578" s="87" t="str">
        <x:v>Nicox</x:v>
      </x:c>
      <x:c r="C578" s="87" t="str">
        <x:v>TRT-0034</x:v>
      </x:c>
      <x:c r="D578" s="87" t="str">
        <x:v>Yes</x:v>
      </x:c>
      <x:c r="E578" s="87" t="str">
        <x:v>nicox</x:v>
      </x:c>
      <x:c r="F578" s="87" t="str">
        <x:v>11</x:v>
      </x:c>
      <x:c r="G578" s="87" t="str">
        <x:v>107-059-039-514-049</x:v>
      </x:c>
      <x:c r="H578" s="110" t="n">
        <x:v>43669</x:v>
      </x:c>
      <x:c r="I578" s="88" t="n">
        <x:v>2019</x:v>
      </x:c>
      <x:c r="J578" s="87" t="str">
        <x:v>US</x:v>
      </x:c>
      <x:c r="K578" s="87" t="str">
        <x:v>A1</x:v>
      </x:c>
      <x:c r="L578" s="87" t="str">
        <x:v>US 2022/0323352 A1</x:v>
      </x:c>
      <x:c r="M578" s="87" t="str">
        <x:v>NICOX OPHTHALMICS INC</x:v>
      </x:c>
      <x:c r="N578" s="87" t="str">
        <x:v>NICOX OPHTHALMICS INC (2020-09-04)</x:v>
      </x:c>
      <x:c r="O578" s="87" t="str">
        <x:v>PROCESS FOR THE PREPARATION OF STERILE OPHTHALMIC AQUEOUS FLUTICASONE PROPIONATE FORM A NANOCRYSTALS SUSPENSIONS</x:v>
      </x:c>
      <x:c r="P578" s="109" t="n">
        <x:v>0</x:v>
      </x:c>
      <x:c r="Q578" s="109" t="n">
        <x:v>37</x:v>
      </x:c>
      <x:c r="R578" s="87" t="str">
        <x:v>A61K31/56;;A61K9/10;;A61K9/0048;;A61K47/38;;A61K47/183;;A61K47/186;;A61K47/10;;A61K47/02;;A61K47/26;;A61P27/02;;A61P29/00;;B82Y5/00;;A61K9/0048;;C07J31/006;;A61P27/00;;A61K9/10;;A61K9/14;;A61K47/02;;A61K47/10;;A61K31/56;;C07B2200/13;;A61K9/10;;A61K9/0048;;A61K47/38;;A61K47/02;;A61K47/186;;A61K31/56;;A61P27/02;;A61P27/02;;A61K9/0048;;A61K9/08;;A61K31/567;;A61K47/02;;A61K47/10;;A61K47/183;;A61K47/186;;A61K47/26;;A61K47/38;;B82Y5/00;;A61P27/04;;A61K9/10;;A61K31/569</x:v>
      </x:c>
      <x:c r="S578" s="87" t="str">
        <x:v>A61K9/08;;A61K9/00;;A61K31/567;;A61K47/02;;A61K47/10;;A61K47/18;;A61K47/26;;A61K47/38;;A61P27/02</x:v>
      </x:c>
      <x:c r="T578" s="87" t="str">
        <x:v>ACTIVE</x:v>
      </x:c>
      <x:c r="U578" s="87" t="str">
        <x:v>https://lens.org/107-059-039-514-049</x:v>
      </x:c>
    </x:row>
    <x:row r="579">
      <x:c r="A579" s="87" t="str">
        <x:v>Nicox.csv</x:v>
      </x:c>
      <x:c r="B579" s="87" t="str">
        <x:v>Nicox</x:v>
      </x:c>
      <x:c r="C579" s="87" t="str">
        <x:v>TRT-0034</x:v>
      </x:c>
      <x:c r="D579" s="87" t="str">
        <x:v>Yes</x:v>
      </x:c>
      <x:c r="E579" s="87" t="str">
        <x:v>nicox</x:v>
      </x:c>
      <x:c r="F579" s="87" t="str">
        <x:v>12</x:v>
      </x:c>
      <x:c r="G579" s="87" t="str">
        <x:v>191-083-741-369-60X</x:v>
      </x:c>
      <x:c r="H579" s="110" t="n">
        <x:v>43682</x:v>
      </x:c>
      <x:c r="I579" s="88" t="n">
        <x:v>2019</x:v>
      </x:c>
      <x:c r="J579" s="87" t="str">
        <x:v>US</x:v>
      </x:c>
      <x:c r="K579" s="87" t="str">
        <x:v>A1</x:v>
      </x:c>
      <x:c r="L579" s="87" t="str">
        <x:v>US 2022/0274924 A1</x:v>
      </x:c>
      <x:c r="M579" s="87" t="str">
        <x:v>NICOX SA</x:v>
      </x:c>
      <x:c r="N579" s="87" t="str">
        <x:v>NICOX S.A (2022-01-20)</x:v>
      </x:c>
      <x:c r="O579" s="87" t="str">
        <x:v>PROCESS FOR THE PREPARATION OF A NITRIC OXIDE DONATING PROSTAGLANDIN ANALOGUE</x:v>
      </x:c>
      <x:c r="P579" s="109" t="n">
        <x:v>1</x:v>
      </x:c>
      <x:c r="Q579" s="109" t="n">
        <x:v>14</x:v>
      </x:c>
      <x:c r="R579" s="87" t="str">
        <x:v>C07C405/00;;C07F5/025;;C07C201/00;;C07C51/412;;C07B2200/07;;C07B2200/09;;C07C405/0041;;Y02P20/55;;C07C2601/08;;C07C405/0041</x:v>
      </x:c>
      <x:c r="S579" s="87" t="str">
        <x:v>C07C405/00</x:v>
      </x:c>
      <x:c r="T579" s="87" t="str">
        <x:v>PENDING</x:v>
      </x:c>
      <x:c r="U579" s="87" t="str">
        <x:v>https://lens.org/191-083-741-369-60X</x:v>
      </x:c>
    </x:row>
    <x:row r="580">
      <x:c r="A580" s="87" t="str">
        <x:v>Nicox.csv</x:v>
      </x:c>
      <x:c r="B580" s="87" t="str">
        <x:v>Nicox</x:v>
      </x:c>
      <x:c r="C580" s="87" t="str">
        <x:v>TRT-0034</x:v>
      </x:c>
      <x:c r="D580" s="87" t="str">
        <x:v>Yes</x:v>
      </x:c>
      <x:c r="E580" s="87" t="str">
        <x:v>nicox</x:v>
      </x:c>
      <x:c r="F580" s="87" t="str">
        <x:v>13</x:v>
      </x:c>
      <x:c r="G580" s="87" t="str">
        <x:v>032-567-164-187-341</x:v>
      </x:c>
      <x:c r="H580" s="110" t="n">
        <x:v>42682</x:v>
      </x:c>
      <x:c r="I580" s="88" t="n">
        <x:v>2016</x:v>
      </x:c>
      <x:c r="J580" s="87" t="str">
        <x:v>US</x:v>
      </x:c>
      <x:c r="K580" s="87" t="str">
        <x:v>B2</x:v>
      </x:c>
      <x:c r="L580" s="87" t="str">
        <x:v>US 11058691 B2</x:v>
      </x:c>
      <x:c r="M580" s="87" t="str">
        <x:v>BAUSCH &amp; LOMB;;NICOX SA</x:v>
      </x:c>
      <x:c r="N580" s="87" t="str">
        <x:v>NICOX S.A (2020-10-02);;BAUSCH &amp; LOMB INCORPORATED (2020-10-02)</x:v>
      </x:c>
      <x:c r="O580" s="87" t="str">
        <x:v>Nitric oxide releasing prostaglandin derivatives for treating normal tension glaucoma</x:v>
      </x:c>
      <x:c r="P580" s="109" t="n">
        <x:v>0</x:v>
      </x:c>
      <x:c r="Q580" s="109" t="n">
        <x:v>9</x:v>
      </x:c>
      <x:c r="R580" s="87" t="str">
        <x:v>A61K31/5575;;A61P27/06;;C07C405/0041;;A61K31/5575;;A61P27/06;;A61K31/5575;;A61K45/06;;A61P27/06</x:v>
      </x:c>
      <x:c r="S580" s="87" t="str">
        <x:v>A61K31/5575;;A61K45/06;;A61P27/06</x:v>
      </x:c>
      <x:c r="T580" s="87" t="str">
        <x:v>ACTIVE</x:v>
      </x:c>
      <x:c r="U580" s="87" t="str">
        <x:v>https://lens.org/032-567-164-187-341</x:v>
      </x:c>
    </x:row>
    <x:row r="581">
      <x:c r="A581" s="87" t="str">
        <x:v>Nicox.csv</x:v>
      </x:c>
      <x:c r="B581" s="87" t="str">
        <x:v>Nicox</x:v>
      </x:c>
      <x:c r="C581" s="87" t="str">
        <x:v>TRT-0034</x:v>
      </x:c>
      <x:c r="D581" s="87" t="str">
        <x:v>Yes</x:v>
      </x:c>
      <x:c r="E581" s="87" t="str">
        <x:v>nicox</x:v>
      </x:c>
      <x:c r="F581" s="87" t="str">
        <x:v>14</x:v>
      </x:c>
      <x:c r="G581" s="87" t="str">
        <x:v>047-957-310-029-068</x:v>
      </x:c>
      <x:c r="H581" s="110" t="n">
        <x:v>43152</x:v>
      </x:c>
      <x:c r="I581" s="88" t="n">
        <x:v>2018</x:v>
      </x:c>
      <x:c r="J581" s="87" t="str">
        <x:v>US</x:v>
      </x:c>
      <x:c r="K581" s="87" t="str">
        <x:v>B2</x:v>
      </x:c>
      <x:c r="L581" s="87" t="str">
        <x:v>US 10988438 B2</x:v>
      </x:c>
      <x:c r="M581" s="87" t="str">
        <x:v>NICOX SA</x:v>
      </x:c>
      <x:c r="N581" s="87" t="str">
        <x:v>NICOX S.A (2020-07-20)</x:v>
      </x:c>
      <x:c r="O581" s="87" t="str">
        <x:v>Process for the preparation of a nitric oxide donating prostaglandin analogue</x:v>
      </x:c>
      <x:c r="P581" s="109" t="n">
        <x:v>1</x:v>
      </x:c>
      <x:c r="Q581" s="109" t="n">
        <x:v>26</x:v>
      </x:c>
      <x:c r="R581" s="87" t="str">
        <x:v>C07C201/02;;C07C405/0041;;Y02P20/55;;C07C405/0041;;C07F5/025;;C07C201/02;;C07C203/02;;C07C201/02;;C07C231/12;;C07C291/02;;C07C405/00;;C07C405/0041</x:v>
      </x:c>
      <x:c r="S581" s="87" t="str">
        <x:v>C07C231/12;;C07C201/02;;C07C291/02;;C07C405/00</x:v>
      </x:c>
      <x:c r="T581" s="87" t="str">
        <x:v>ACTIVE</x:v>
      </x:c>
      <x:c r="U581" s="87" t="str">
        <x:v>https://lens.org/047-957-310-029-068</x:v>
      </x:c>
    </x:row>
    <x:row r="582">
      <x:c r="A582" s="87" t="str">
        <x:v>Nicox.csv</x:v>
      </x:c>
      <x:c r="B582" s="87" t="str">
        <x:v>Nicox</x:v>
      </x:c>
      <x:c r="C582" s="87" t="str">
        <x:v>TRT-0034</x:v>
      </x:c>
      <x:c r="D582" s="87" t="str">
        <x:v>Yes</x:v>
      </x:c>
      <x:c r="E582" s="87" t="str">
        <x:v>nicox</x:v>
      </x:c>
      <x:c r="F582" s="87" t="str">
        <x:v>15</x:v>
      </x:c>
      <x:c r="G582" s="87" t="str">
        <x:v>098-622-329-226-892</x:v>
      </x:c>
      <x:c r="H582" s="110" t="n">
        <x:v>41205</x:v>
      </x:c>
      <x:c r="I582" s="88" t="n">
        <x:v>2012</x:v>
      </x:c>
      <x:c r="J582" s="87" t="str">
        <x:v>EP</x:v>
      </x:c>
      <x:c r="K582" s="87" t="str">
        <x:v>B1</x:v>
      </x:c>
      <x:c r="L582" s="87" t="str">
        <x:v>EP 2911656 B1</x:v>
      </x:c>
      <x:c r="M582" s="87" t="str">
        <x:v>NICOX SA</x:v>
      </x:c>
      <x:c r="N582" s="87" t="str">
        <x:v>NICOX SA (2018-12-19)</x:v>
      </x:c>
      <x:c r="O582" s="87" t="str">
        <x:v>QUINONE BASED NITRIC OXIDE DONATING COMPOUNDS FOR OPHTHALMIC USE</x:v>
      </x:c>
      <x:c r="P582" s="109" t="n">
        <x:v>0</x:v>
      </x:c>
      <x:c r="Q582" s="109" t="n">
        <x:v>13</x:v>
      </x:c>
      <x:c r="R582" s="87" t="str">
        <x:v>A61K45/06;;A61K9/0048;;A61K31/122;;A61K31/341;;A61K47/44;;A61P27/02;;A61P27/06;;A61K31/21;;A61K9/0048;;A61K31/122;;A61K31/341;;A61K45/06;;A61K47/44</x:v>
      </x:c>
      <x:c r="S582" s="87" t="str">
        <x:v>A61K31/122;;A61K9/00;;A61K31/341;;A61K45/06;;A61K47/44;;A61P27/02;;A61P27/06</x:v>
      </x:c>
      <x:c r="T582" s="87" t="str">
        <x:v>ACTIVE</x:v>
      </x:c>
      <x:c r="U582" s="87" t="str">
        <x:v>https://lens.org/098-622-329-226-892</x:v>
      </x:c>
    </x:row>
    <x:row r="583">
      <x:c r="A583" s="87" t="str">
        <x:v>Nicox.csv</x:v>
      </x:c>
      <x:c r="B583" s="87" t="str">
        <x:v>Nicox</x:v>
      </x:c>
      <x:c r="C583" s="87" t="str">
        <x:v>TRT-0034</x:v>
      </x:c>
      <x:c r="D583" s="87" t="str">
        <x:v>Yes</x:v>
      </x:c>
      <x:c r="E583" s="87" t="str">
        <x:v>nicox</x:v>
      </x:c>
      <x:c r="F583" s="87" t="str">
        <x:v>16</x:v>
      </x:c>
      <x:c r="G583" s="87" t="str">
        <x:v>017-343-585-113-571</x:v>
      </x:c>
      <x:c r="H583" s="110" t="n">
        <x:v>41962</x:v>
      </x:c>
      <x:c r="I583" s="88" t="n">
        <x:v>2014</x:v>
      </x:c>
      <x:c r="J583" s="87" t="str">
        <x:v>US</x:v>
      </x:c>
      <x:c r="K583" s="87" t="str">
        <x:v>B2</x:v>
      </x:c>
      <x:c r="L583" s="87" t="str">
        <x:v>US 10610509 B2</x:v>
      </x:c>
      <x:c r="M583" s="87" t="str">
        <x:v>NICOX SA</x:v>
      </x:c>
      <x:c r="N583" s="87" t="str">
        <x:v>NICOX S.A (2017-03-09)</x:v>
      </x:c>
      <x:c r="O583" s="87" t="str">
        <x:v>Combinations of prostaglandins and nitric oxide donors</x:v>
      </x:c>
      <x:c r="P583" s="109" t="n">
        <x:v>0</x:v>
      </x:c>
      <x:c r="Q583" s="109" t="n">
        <x:v>11</x:v>
      </x:c>
      <x:c r="R583" s="87" t="str">
        <x:v>A61K31/164;;A61K31/191;;A61K31/343;;A61K31/34;;A61K31/164;;A61K31/191;;A61K31/343;;A61K31/5575;;A61P27/02;;A61P27/06;;A61P43/00;;A61K31/34;;A61K9/0048;;A61K31/164;;A61K31/191;;A61K31/343;;A61K31/5575</x:v>
      </x:c>
      <x:c r="S583" s="87" t="str">
        <x:v>A61K31/34;;A61K9/00;;A61K31/164;;A61K31/191;;A61K31/343;;A61K31/5575</x:v>
      </x:c>
      <x:c r="T583" s="87" t="str">
        <x:v>INACTIVE</x:v>
      </x:c>
      <x:c r="U583" s="87" t="str">
        <x:v>https://lens.org/017-343-585-113-571</x:v>
      </x:c>
    </x:row>
    <x:row r="584">
      <x:c r="A584" s="87" t="str">
        <x:v>Nicox.csv</x:v>
      </x:c>
      <x:c r="B584" s="87" t="str">
        <x:v>Nicox</x:v>
      </x:c>
      <x:c r="C584" s="87" t="str">
        <x:v>TRT-0034</x:v>
      </x:c>
      <x:c r="D584" s="87" t="str">
        <x:v>Yes</x:v>
      </x:c>
      <x:c r="E584" s="87" t="str">
        <x:v>nicox</x:v>
      </x:c>
      <x:c r="F584" s="87" t="str">
        <x:v>17</x:v>
      </x:c>
      <x:c r="G584" s="87" t="str">
        <x:v>064-634-748-035-438</x:v>
      </x:c>
      <x:c r="H584" s="110" t="n">
        <x:v>42094</x:v>
      </x:c>
      <x:c r="I584" s="88" t="n">
        <x:v>2015</x:v>
      </x:c>
      <x:c r="J584" s="87" t="str">
        <x:v>US</x:v>
      </x:c>
      <x:c r="K584" s="87" t="str">
        <x:v>B2</x:v>
      </x:c>
      <x:c r="L584" s="87" t="str">
        <x:v>US 10280138 B2</x:v>
      </x:c>
      <x:c r="M584" s="87" t="str">
        <x:v>NICOX SA</x:v>
      </x:c>
      <x:c r="N584" s="87" t="str">
        <x:v>NICOX S.A (2017-08-31)</x:v>
      </x:c>
      <x:c r="O584" s="87" t="str">
        <x:v>Nitric oxide donating derivatives of fluprostenol</x:v>
      </x:c>
      <x:c r="P584" s="109" t="n">
        <x:v>0</x:v>
      </x:c>
      <x:c r="Q584" s="109" t="n">
        <x:v>3</x:v>
      </x:c>
      <x:c r="R584" s="87" t="str">
        <x:v>C07C405/0016;;A61K31/5575;;A61P27/06;;C07C2601/08;;C07C405/0016;;A61K31/5575;;A61P27/06;;C07C2601/08</x:v>
      </x:c>
      <x:c r="S584" s="87" t="str">
        <x:v>A61K31/5575;;A61P27/06;;C07C405/00;;C07D405/00</x:v>
      </x:c>
      <x:c r="T584" s="87" t="str">
        <x:v>ACTIVE</x:v>
      </x:c>
      <x:c r="U584" s="87" t="str">
        <x:v>https://lens.org/064-634-748-035-438</x:v>
      </x:c>
    </x:row>
    <x:row r="585">
      <x:c r="A585" s="87" t="str">
        <x:v>Nicox.csv</x:v>
      </x:c>
      <x:c r="B585" s="87" t="str">
        <x:v>Nicox</x:v>
      </x:c>
      <x:c r="C585" s="87" t="str">
        <x:v>TRT-0034</x:v>
      </x:c>
      <x:c r="D585" s="87" t="str">
        <x:v>Yes</x:v>
      </x:c>
      <x:c r="E585" s="87" t="str">
        <x:v>nicox</x:v>
      </x:c>
      <x:c r="F585" s="87" t="str">
        <x:v>18</x:v>
      </x:c>
      <x:c r="G585" s="87" t="str">
        <x:v>182-880-571-908-310</x:v>
      </x:c>
      <x:c r="H585" s="110" t="n">
        <x:v>41661</x:v>
      </x:c>
      <x:c r="I585" s="88" t="n">
        <x:v>2014</x:v>
      </x:c>
      <x:c r="J585" s="87" t="str">
        <x:v>US</x:v>
      </x:c>
      <x:c r="K585" s="87" t="str">
        <x:v>B2</x:v>
      </x:c>
      <x:c r="L585" s="87" t="str">
        <x:v>US 10220055 B2</x:v>
      </x:c>
      <x:c r="M585" s="87" t="str">
        <x:v>NICOX SA</x:v>
      </x:c>
      <x:c r="N585" s="87" t="str">
        <x:v>NICOX S.A (2016-07-20)</x:v>
      </x:c>
      <x:c r="O585" s="87" t="str">
        <x:v>Composition effective against viral conjunctivitis</x:v>
      </x:c>
      <x:c r="P585" s="109" t="n">
        <x:v>0</x:v>
      </x:c>
      <x:c r="Q585" s="109" t="n">
        <x:v>26</x:v>
      </x:c>
      <x:c r="R585" s="87" t="str">
        <x:v>A61K31/731;;A61K9/0048;;A61K31/737;;A61P27/02;;A61P31/16;;A61K31/731;;A61K9/0048;;A61K9/08;;A61K31/737;;A61K47/02;;A61K47/12;;A61K47/26;;A61P27/02;;A61P31/16</x:v>
      </x:c>
      <x:c r="S585" s="87" t="str">
        <x:v>A61K31/731;;A61K9/00;;A61K9/08;;A61K31/737;;A61K47/02;;A61K47/12;;A61K47/18;;A61K47/26</x:v>
      </x:c>
      <x:c r="T585" s="87" t="str">
        <x:v>ACTIVE</x:v>
      </x:c>
      <x:c r="U585" s="87" t="str">
        <x:v>https://lens.org/182-880-571-908-310</x:v>
      </x:c>
    </x:row>
    <x:row r="586">
      <x:c r="A586" s="87" t="str">
        <x:v>Nicox.csv</x:v>
      </x:c>
      <x:c r="B586" s="87" t="str">
        <x:v>Nicox</x:v>
      </x:c>
      <x:c r="C586" s="87" t="str">
        <x:v>TRT-0034</x:v>
      </x:c>
      <x:c r="D586" s="87" t="str">
        <x:v>Yes</x:v>
      </x:c>
      <x:c r="E586" s="87" t="str">
        <x:v>nicox</x:v>
      </x:c>
      <x:c r="F586" s="87" t="str">
        <x:v>19</x:v>
      </x:c>
      <x:c r="G586" s="87" t="str">
        <x:v>053-510-753-683-305</x:v>
      </x:c>
      <x:c r="H586" s="110" t="n">
        <x:v>41886</x:v>
      </x:c>
      <x:c r="I586" s="88" t="n">
        <x:v>2014</x:v>
      </x:c>
      <x:c r="J586" s="87" t="str">
        <x:v>US</x:v>
      </x:c>
      <x:c r="K586" s="87" t="str">
        <x:v>B2</x:v>
      </x:c>
      <x:c r="L586" s="87" t="str">
        <x:v>US 10093696 B2</x:v>
      </x:c>
      <x:c r="M586" s="87" t="str">
        <x:v>NICOX SCIENCE IRELAND</x:v>
      </x:c>
      <x:c r="N586" s="87" t="str">
        <x:v>NICOX SCIENCE IRELAND (2017-02-13);;NICOX SA (2018-07-24)</x:v>
      </x:c>
      <x:c r="O586" s="87" t="str">
        <x:v>Nitric oxide donating carnosine compounds</x:v>
      </x:c>
      <x:c r="P586" s="109" t="n">
        <x:v>0</x:v>
      </x:c>
      <x:c r="Q586" s="109" t="n">
        <x:v>12</x:v>
      </x:c>
      <x:c r="R586" s="87" t="str">
        <x:v>C07D233/64;;A61K38/05;;A61P27/02;;A61P27/06;;A61P43/00;;C07K5/06026;;A61K9/0048;;A61K38/05;;A61K45/06;;C07D233/64</x:v>
      </x:c>
      <x:c r="S586" s="87" t="str">
        <x:v>A61K38/00;;A61K9/00;;A61K38/05;;A61K45/06;;C07K5/062</x:v>
      </x:c>
      <x:c r="T586" s="87" t="str">
        <x:v>ACTIVE</x:v>
      </x:c>
      <x:c r="U586" s="87" t="str">
        <x:v>https://lens.org/053-510-753-683-305</x:v>
      </x:c>
    </x:row>
    <x:row r="587">
      <x:c r="A587" s="87" t="str">
        <x:v>Nicox.csv</x:v>
      </x:c>
      <x:c r="B587" s="87" t="str">
        <x:v>Nicox</x:v>
      </x:c>
      <x:c r="C587" s="87" t="str">
        <x:v>TRT-0034</x:v>
      </x:c>
      <x:c r="D587" s="87" t="str">
        <x:v>Yes</x:v>
      </x:c>
      <x:c r="E587" s="87" t="str">
        <x:v>nicox</x:v>
      </x:c>
      <x:c r="F587" s="87" t="str">
        <x:v>20</x:v>
      </x:c>
      <x:c r="G587" s="87" t="str">
        <x:v>110-802-696-290-256</x:v>
      </x:c>
      <x:c r="H587" s="110" t="n">
        <x:v>41281</x:v>
      </x:c>
      <x:c r="I587" s="88" t="n">
        <x:v>2013</x:v>
      </x:c>
      <x:c r="J587" s="87" t="str">
        <x:v>EP</x:v>
      </x:c>
      <x:c r="K587" s="87" t="str">
        <x:v>B1</x:v>
      </x:c>
      <x:c r="L587" s="87" t="str">
        <x:v>EP 2941437 B1</x:v>
      </x:c>
      <x:c r="M587" s="87" t="str">
        <x:v>NICOX OPHTHALMICS INC</x:v>
      </x:c>
      <x:c r="N587" s="87" t="str">
        <x:v>NICOX OPHTHALMICS, INC. (2016-12-14)</x:v>
      </x:c>
      <x:c r="O587" s="87" t="str">
        <x:v>POLYMORPHIC FORM C OF TRIMACINOLONE ACETONIDE</x:v>
      </x:c>
      <x:c r="P587" s="109" t="n">
        <x:v>1</x:v>
      </x:c>
      <x:c r="Q587" s="109" t="n">
        <x:v>7</x:v>
      </x:c>
      <x:c r="R587" s="87" t="str">
        <x:v>C07J71/0031;;A61P5/44;;C07B2200/13;;C07J31/006</x:v>
      </x:c>
      <x:c r="S587" s="87" t="str">
        <x:v>C07J71/00;;A61K31/58;;A61P5/44</x:v>
      </x:c>
      <x:c r="T587" s="87" t="str">
        <x:v>ACTIVE</x:v>
      </x:c>
      <x:c r="U587" s="87" t="str">
        <x:v>https://lens.org/110-802-696-290-256</x:v>
      </x:c>
    </x:row>
    <x:row r="588">
      <x:c r="A588" s="87" t="str">
        <x:v>Nicox.csv</x:v>
      </x:c>
      <x:c r="B588" s="87" t="str">
        <x:v>Nicox</x:v>
      </x:c>
      <x:c r="C588" s="87" t="str">
        <x:v>TRT-0034</x:v>
      </x:c>
      <x:c r="D588" s="87" t="str">
        <x:v>Yes</x:v>
      </x:c>
      <x:c r="E588" s="87" t="str">
        <x:v>nicox</x:v>
      </x:c>
      <x:c r="F588" s="87" t="str">
        <x:v>21</x:v>
      </x:c>
      <x:c r="G588" s="87" t="str">
        <x:v>079-429-405-321-979</x:v>
      </x:c>
      <x:c r="H588" s="110" t="n">
        <x:v>42094</x:v>
      </x:c>
      <x:c r="I588" s="88" t="n">
        <x:v>2015</x:v>
      </x:c>
      <x:c r="J588" s="87" t="str">
        <x:v>US</x:v>
      </x:c>
      <x:c r="K588" s="87" t="str">
        <x:v>B2</x:v>
      </x:c>
      <x:c r="L588" s="87" t="str">
        <x:v>US 10047047 B2</x:v>
      </x:c>
      <x:c r="M588" s="87" t="str">
        <x:v>NICOX SA</x:v>
      </x:c>
      <x:c r="N588" s="87" t="str">
        <x:v>NICOX S.A (2017-08-31)</x:v>
      </x:c>
      <x:c r="O588" s="87" t="str">
        <x:v>Nitric oxide donating derivatives of latanoprost free acid</x:v>
      </x:c>
      <x:c r="P588" s="109" t="n">
        <x:v>0</x:v>
      </x:c>
      <x:c r="Q588" s="109" t="n">
        <x:v>3</x:v>
      </x:c>
      <x:c r="R588" s="87" t="str">
        <x:v>C07C405/00;;A61K31/5575;;A61K45/06;;A61P27/02;;A61P27/06;;C07C2601/08;;C07C405/00;;A61K9/0048;;A61K31/5575;;A61K45/06;;A61P27/02;;A61P27/06;;C07C2601/08</x:v>
      </x:c>
      <x:c r="S588" s="87" t="str">
        <x:v>C07C405/00;;A61K9/00;;A61K31/5575;;A61K45/06;;A61P27/02;;A61P27/06</x:v>
      </x:c>
      <x:c r="T588" s="87" t="str">
        <x:v>ACTIVE</x:v>
      </x:c>
      <x:c r="U588" s="87" t="str">
        <x:v>https://lens.org/079-429-405-321-979</x:v>
      </x:c>
    </x:row>
    <x:row r="589">
      <x:c r="A589" s="87" t="str">
        <x:v>Nicox.csv</x:v>
      </x:c>
      <x:c r="B589" s="87" t="str">
        <x:v>Nicox</x:v>
      </x:c>
      <x:c r="C589" s="87" t="str">
        <x:v>TRT-0034</x:v>
      </x:c>
      <x:c r="D589" s="87" t="str">
        <x:v>Yes</x:v>
      </x:c>
      <x:c r="E589" s="87" t="str">
        <x:v>nicox</x:v>
      </x:c>
      <x:c r="F589" s="87" t="str">
        <x:v>22</x:v>
      </x:c>
      <x:c r="G589" s="87" t="str">
        <x:v>162-929-062-313-684</x:v>
      </x:c>
      <x:c r="H589" s="110" t="n">
        <x:v>41470</x:v>
      </x:c>
      <x:c r="I589" s="88" t="n">
        <x:v>2013</x:v>
      </x:c>
      <x:c r="J589" s="87" t="str">
        <x:v>EP</x:v>
      </x:c>
      <x:c r="K589" s="87" t="str">
        <x:v>B1</x:v>
      </x:c>
      <x:c r="L589" s="87" t="str">
        <x:v>EP 3021870 B1</x:v>
      </x:c>
      <x:c r="M589" s="87" t="str">
        <x:v>NICOX SCIENCE IRELAND LTD</x:v>
      </x:c>
      <x:c r="N589" s="87" t="str">
        <x:v>NICOX S.A. (2018-10-01);;NICOX SCIENCE IRELAND LIMITED (2018-02-14);;NICOX S.A., VALBONNE, FR (2018-11-21)</x:v>
      </x:c>
      <x:c r="O589" s="87" t="str">
        <x:v>OPHTHALMIC COMPOSITIONS CONTAINING A NITRIC OXIDE DONOR</x:v>
      </x:c>
      <x:c r="P589" s="109" t="n">
        <x:v>0</x:v>
      </x:c>
      <x:c r="Q589" s="109" t="n">
        <x:v>9</x:v>
      </x:c>
      <x:c r="R589" s="87" t="str">
        <x:v>A61K45/06;;A61K31/215;;A61P27/02;;A61P27/06;;A61K31/22;;A61K9/0048;;A61K31/215;;A61K45/06;;C07C203/04</x:v>
      </x:c>
      <x:c r="S589" s="87" t="str">
        <x:v>A61K45/06;;A61K31/215;;A61P27/02;;A61P27/06</x:v>
      </x:c>
      <x:c r="T589" s="87" t="str">
        <x:v>ACTIVE</x:v>
      </x:c>
      <x:c r="U589" s="87" t="str">
        <x:v>https://lens.org/162-929-062-313-684</x:v>
      </x:c>
    </x:row>
    <x:row r="590">
      <x:c r="A590" s="87" t="str">
        <x:v>Nicox.csv</x:v>
      </x:c>
      <x:c r="B590" s="87" t="str">
        <x:v>Nicox</x:v>
      </x:c>
      <x:c r="C590" s="87" t="str">
        <x:v>TRT-0034</x:v>
      </x:c>
      <x:c r="D590" s="87" t="str">
        <x:v>Yes</x:v>
      </x:c>
      <x:c r="E590" s="87" t="str">
        <x:v>nicox, aciex therapeutics</x:v>
      </x:c>
      <x:c r="F590" s="87" t="str">
        <x:v>23</x:v>
      </x:c>
      <x:c r="G590" s="87" t="str">
        <x:v>067-639-834-318-612</x:v>
      </x:c>
      <x:c r="H590" s="110" t="n">
        <x:v>41037</x:v>
      </x:c>
      <x:c r="I590" s="88" t="n">
        <x:v>2012</x:v>
      </x:c>
      <x:c r="J590" s="87" t="str">
        <x:v>US</x:v>
      </x:c>
      <x:c r="K590" s="87" t="str">
        <x:v>B2</x:v>
      </x:c>
      <x:c r="L590" s="87" t="str">
        <x:v>US 9822142 B2</x:v>
      </x:c>
      <x:c r="M590" s="87" t="str">
        <x:v>ACIEX THERAPEUTICS INC;;NICOX OPHTHALMICS INC</x:v>
      </x:c>
      <x:c r="N590" s="87" t="str">
        <x:v>NICOX OPHTHALMICS INC (2014-10-30)</x:v>
      </x:c>
      <x:c r="O590" s="87" t="str">
        <x:v>Preparations of hydrophobic therapeutic agents, methods of manufacture and use thereof</x:v>
      </x:c>
      <x:c r="P590" s="109" t="n">
        <x:v>7</x:v>
      </x:c>
      <x:c r="Q590" s="109" t="n">
        <x:v>4</x:v>
      </x:c>
      <x:c r="R590" s="87" t="str">
        <x:v>C07J31/006;;C07B2200/13;;Y10T428/2982;;C07J7/009;;C07B2200/13;;C07J3/005;;C07J31/006;;C07J71/0005;;C07J71/0031;;Y10T428/2982</x:v>
      </x:c>
      <x:c r="S590" s="87" t="str">
        <x:v>C07J71/00;;A61K31/58;;C07J3/00;;C07J7/00;;C07J31/00</x:v>
      </x:c>
      <x:c r="T590" s="87" t="str">
        <x:v>ACTIVE</x:v>
      </x:c>
      <x:c r="U590" s="87" t="str">
        <x:v>https://lens.org/067-639-834-318-612</x:v>
      </x:c>
    </x:row>
    <x:row r="591">
      <x:c r="A591" s="87" t="str">
        <x:v>Nicox.csv</x:v>
      </x:c>
      <x:c r="B591" s="87" t="str">
        <x:v>Nicox</x:v>
      </x:c>
      <x:c r="C591" s="87" t="str">
        <x:v>TRT-0034</x:v>
      </x:c>
      <x:c r="D591" s="87" t="str">
        <x:v>Yes</x:v>
      </x:c>
      <x:c r="E591" s="87" t="str">
        <x:v>nicox, aciex therapeutics</x:v>
      </x:c>
      <x:c r="F591" s="87" t="str">
        <x:v>24</x:v>
      </x:c>
      <x:c r="G591" s="87" t="str">
        <x:v>112-863-491-577-044</x:v>
      </x:c>
      <x:c r="H591" s="110" t="n">
        <x:v>41281</x:v>
      </x:c>
      <x:c r="I591" s="88" t="n">
        <x:v>2013</x:v>
      </x:c>
      <x:c r="J591" s="87" t="str">
        <x:v>US</x:v>
      </x:c>
      <x:c r="K591" s="87" t="str">
        <x:v>B2</x:v>
      </x:c>
      <x:c r="L591" s="87" t="str">
        <x:v>US 9815865 B2</x:v>
      </x:c>
      <x:c r="M591" s="87" t="str">
        <x:v>ACIEX THERAPEUTICS INC;;NICOX OPHTHALMICS INC</x:v>
      </x:c>
      <x:c r="N591" s="87" t="str">
        <x:v>NICOX OPHTHALMICS INC (2014-10-30)</x:v>
      </x:c>
      <x:c r="O591" s="87" t="str">
        <x:v>Preparations of hydrophobic therapeutic agents, methods of manufacture and use thereof</x:v>
      </x:c>
      <x:c r="P591" s="109" t="n">
        <x:v>0</x:v>
      </x:c>
      <x:c r="Q591" s="109" t="n">
        <x:v>2</x:v>
      </x:c>
      <x:c r="R591" s="87" t="str">
        <x:v>C07J71/0031;;C07J3/005;;C07J5/0015;;C07J5/003;;C07J5/0038;;C07J5/0053;;C07J5/0076;;C07J5/0092;;C07J7/002;;C07J7/0045;;C07J7/0085;;C07J9/00;;C07J31/006;;C07J51/00;;Y10T428/2982;;C07J71/0031;;C07J3/005;;C07J5/0015;;C07J5/003;;C07J5/0038;;C07J5/0053;;C07J5/0076;;C07J5/0092;;C07J7/002;;C07J7/0045;;C07J7/0085;;C07J9/00;;C07J31/006;;C07J51/00;;Y10T428/2982</x:v>
      </x:c>
      <x:c r="S591" s="87" t="str">
        <x:v>A61K31/58;;C07J3/00;;C07J5/00;;C07J7/00;;C07J9/00;;C07J31/00;;C07J51/00;;C07J71/00</x:v>
      </x:c>
      <x:c r="T591" s="87" t="str">
        <x:v>INACTIVE</x:v>
      </x:c>
      <x:c r="U591" s="87" t="str">
        <x:v>https://lens.org/112-863-491-577-044</x:v>
      </x:c>
    </x:row>
    <x:row r="592">
      <x:c r="A592" s="87" t="str">
        <x:v>Nicox.csv</x:v>
      </x:c>
      <x:c r="B592" s="87" t="str">
        <x:v>Nicox</x:v>
      </x:c>
      <x:c r="C592" s="87" t="str">
        <x:v>TRT-0034</x:v>
      </x:c>
      <x:c r="D592" s="87" t="str">
        <x:v>Yes</x:v>
      </x:c>
      <x:c r="E592" s="87" t="str">
        <x:v>nicox</x:v>
      </x:c>
      <x:c r="F592" s="87" t="str">
        <x:v>25</x:v>
      </x:c>
      <x:c r="G592" s="87" t="str">
        <x:v>031-068-936-331-145</x:v>
      </x:c>
      <x:c r="H592" s="110" t="n">
        <x:v>41382</x:v>
      </x:c>
      <x:c r="I592" s="88" t="n">
        <x:v>2013</x:v>
      </x:c>
      <x:c r="J592" s="87" t="str">
        <x:v>EP</x:v>
      </x:c>
      <x:c r="K592" s="87" t="str">
        <x:v>B1</x:v>
      </x:c>
      <x:c r="L592" s="87" t="str">
        <x:v>EP 2986288 B1</x:v>
      </x:c>
      <x:c r="M592" s="87" t="str">
        <x:v>NICOX SCIENCE IRELAND</x:v>
      </x:c>
      <x:c r="N592" s="87" t="str">
        <x:v>NICOX S.A. (2018-10-01);;NICOX S.A., VALBONNE, FR (2018-11-21)</x:v>
      </x:c>
      <x:c r="O592" s="87" t="str">
        <x:v>QUINONE BASED NITRIC OXIDE DONATING COMPOUNDS FOR OPHTHALMIC USE</x:v>
      </x:c>
      <x:c r="P592" s="109" t="n">
        <x:v>0</x:v>
      </x:c>
      <x:c r="Q592" s="109" t="n">
        <x:v>13</x:v>
      </x:c>
      <x:c r="R592" s="87" t="str">
        <x:v>C07C203/04;;A61K31/215;;A61K31/216;;A61P27/02;;A61P27/06;;A61P29/00;;A61P43/00;;C07C2601/16;;C07C2602/10;;C07C203/04;;A61K9/0048;;A61K31/215;;A61K31/216;;A61K45/06;;C07C203/00;;C07C2601/16;;C07C2602/10</x:v>
      </x:c>
      <x:c r="S592" s="87" t="str">
        <x:v>A61K31/215;;A61K9/00;;A61K31/216;;C07C69/608;;C07C69/612;;C07C69/635;;C07C203/04</x:v>
      </x:c>
      <x:c r="T592" s="87" t="str">
        <x:v>ACTIVE</x:v>
      </x:c>
      <x:c r="U592" s="87" t="str">
        <x:v>https://lens.org/031-068-936-331-145</x:v>
      </x:c>
    </x:row>
    <x:row r="593">
      <x:c r="A593" s="87" t="str">
        <x:v>Nicox.csv</x:v>
      </x:c>
      <x:c r="B593" s="87" t="str">
        <x:v>Nicox</x:v>
      </x:c>
      <x:c r="C593" s="87" t="str">
        <x:v>TRT-0034</x:v>
      </x:c>
      <x:c r="D593" s="87" t="str">
        <x:v>Yes</x:v>
      </x:c>
      <x:c r="E593" s="87" t="str">
        <x:v>nicox</x:v>
      </x:c>
      <x:c r="F593" s="87" t="str">
        <x:v>26</x:v>
      </x:c>
      <x:c r="G593" s="87" t="str">
        <x:v>065-256-145-712-162</x:v>
      </x:c>
      <x:c r="H593" s="110" t="n">
        <x:v>40840</x:v>
      </x:c>
      <x:c r="I593" s="88" t="n">
        <x:v>2011</x:v>
      </x:c>
      <x:c r="J593" s="87" t="str">
        <x:v>US</x:v>
      </x:c>
      <x:c r="K593" s="87" t="str">
        <x:v>B2</x:v>
      </x:c>
      <x:c r="L593" s="87" t="str">
        <x:v>US 9079821 B2</x:v>
      </x:c>
      <x:c r="M593" s="87" t="str">
        <x:v>NICOX SA;;NICOX SCIENCE IRELAND</x:v>
      </x:c>
      <x:c r="N593" s="87" t="str">
        <x:v>NICOX SA (2018-07-24);;NICOX SCIENCE IRELAND (2014-09-05)</x:v>
      </x:c>
      <x:c r="O593" s="87" t="str">
        <x:v>Quinone based nitric oxide donating compounds</x:v>
      </x:c>
      <x:c r="P593" s="109" t="n">
        <x:v>2</x:v>
      </x:c>
      <x:c r="Q593" s="109" t="n">
        <x:v>2</x:v>
      </x:c>
      <x:c r="R593" s="87" t="str">
        <x:v>C07C203/04;;A61K31/21;;A61K31/341;;A61K45/06;;C07C323/22;;C07C2601/16;;C07D307/20;;C07C203/04;;A61K31/21;;A61K31/341;;A61K45/06;;C07C323/22;;C07C2601/16;;C07D307/20</x:v>
      </x:c>
      <x:c r="S593" s="87" t="str">
        <x:v>C07C203/04;;A61K31/21;;A61K31/341;;A61K45/06;;C07C323/22;;C07D307/20</x:v>
      </x:c>
      <x:c r="T593" s="87" t="str">
        <x:v>ACTIVE</x:v>
      </x:c>
      <x:c r="U593" s="87" t="str">
        <x:v>https://lens.org/065-256-145-712-162</x:v>
      </x:c>
    </x:row>
    <x:row r="594">
      <x:c r="A594" s="87" t="str">
        <x:v>Nicox.csv</x:v>
      </x:c>
      <x:c r="B594" s="87" t="str">
        <x:v>Nicox</x:v>
      </x:c>
      <x:c r="C594" s="87" t="str">
        <x:v>TRT-0034</x:v>
      </x:c>
      <x:c r="D594" s="87" t="str">
        <x:v>Yes</x:v>
      </x:c>
      <x:c r="E594" s="87" t="str">
        <x:v>nicox</x:v>
      </x:c>
      <x:c r="F594" s="87" t="str">
        <x:v>27</x:v>
      </x:c>
      <x:c r="G594" s="87" t="str">
        <x:v>155-242-100-121-399</x:v>
      </x:c>
      <x:c r="H594" s="110" t="n">
        <x:v>40840</x:v>
      </x:c>
      <x:c r="I594" s="88" t="n">
        <x:v>2011</x:v>
      </x:c>
      <x:c r="J594" s="87" t="str">
        <x:v>US</x:v>
      </x:c>
      <x:c r="K594" s="87" t="str">
        <x:v>B2</x:v>
      </x:c>
      <x:c r="L594" s="87" t="str">
        <x:v>US 9061962 B2</x:v>
      </x:c>
      <x:c r="M594" s="87" t="str">
        <x:v>NICOX SA;;NICOX SCIENCE IRELAND</x:v>
      </x:c>
      <x:c r="N594" s="87" t="str">
        <x:v>NICOX SA (2018-07-24);;NICOX SCIENCE IRELAND (2014-09-05)</x:v>
      </x:c>
      <x:c r="O594" s="87" t="str">
        <x:v>Quinone based nitric oxide donating compounds</x:v>
      </x:c>
      <x:c r="P594" s="109" t="n">
        <x:v>6</x:v>
      </x:c>
      <x:c r="Q594" s="109" t="n">
        <x:v>16</x:v>
      </x:c>
      <x:c r="R594" s="87" t="str">
        <x:v>C07C203/04;;A61K31/122;;A61K31/7024;;A61K45/06;;A61P9/00;;A61P9/08;;A61P9/10;;A61P9/12;;A61P9/14;;A61P21/00;;A61P25/00;;A61P27/02;;A61P27/06;;C07C323/22;;C07C2601/16;;C07C2602/10;;C07D307/20;;C07H11/02;;C07C203/04;;A61K31/122;;A61K31/7024;;A61K45/06;;C07C323/22;;C07C323/53;;C07C2601/16;;C07C2602/10;;C07D307/20;;C07H11/02</x:v>
      </x:c>
      <x:c r="S594" s="87" t="str">
        <x:v>C07C203/04;;A61K31/122;;A61K31/7024;;A61K45/06;;C07C323/22;;C07C323/53;;C07D307/20;;C07H11/02</x:v>
      </x:c>
      <x:c r="T594" s="87" t="str">
        <x:v>ACTIVE</x:v>
      </x:c>
      <x:c r="U594" s="87" t="str">
        <x:v>https://lens.org/155-242-100-121-399</x:v>
      </x:c>
    </x:row>
    <x:row r="595">
      <x:c r="A595" s="87" t="str">
        <x:v>Sanofi_Applicant_EP_Families_2015_2021.csv(1).csv</x:v>
      </x:c>
      <x:c r="B595" s="87" t="str">
        <x:v>Sanofi</x:v>
      </x:c>
      <x:c r="C595" s="87" t="str">
        <x:v>TRT-0010</x:v>
      </x:c>
      <x:c r="D595" s="87" t="str">
        <x:v>Yes</x:v>
      </x:c>
      <x:c r="E595" s="87" t="str">
        <x:v>sanofi</x:v>
      </x:c>
      <x:c r="F595" s="87" t="str">
        <x:v>1</x:v>
      </x:c>
      <x:c r="G595" s="87" t="str">
        <x:v>063-618-942-182-777</x:v>
      </x:c>
      <x:c r="H595" s="110" t="n">
        <x:v>41921</x:v>
      </x:c>
      <x:c r="I595" s="88" t="n">
        <x:v>2014</x:v>
      </x:c>
      <x:c r="J595" s="87" t="str">
        <x:v>EP</x:v>
      </x:c>
      <x:c r="K595" s="87" t="str">
        <x:v>B1</x:v>
      </x:c>
      <x:c r="L595" s="87" t="str">
        <x:v>EP 3204086 B1</x:v>
      </x:c>
      <x:c r="M595" s="87" t="str">
        <x:v>SANOFI SA</x:v>
      </x:c>
      <x:c r="N595" s="87" t="str">
        <x:v>SANOFI (2023-11-01)</x:v>
      </x:c>
      <x:c r="O595" s="87" t="str">
        <x:v>HOUSING AND DRUG DELIVERY DEVICE HEREWITH</x:v>
      </x:c>
      <x:c r="P595" s="109" t="n">
        <x:v>0</x:v>
      </x:c>
      <x:c r="Q595" s="109" t="n">
        <x:v>17</x:v>
      </x:c>
      <x:c r="R595" s="87" t="str">
        <x:v>A61M5/24;;A61M2005/2407;;A61M2005/2433;;A61M2005/2485;;A61M2005/2492;;A61M5/24;;A61M5/31553;;A61M2005/2407;;A61M2005/2492;;A61M5/31553;;A61M5/24;;A61M5/31566;;A61M5/31576;;A61M5/31593;;A61M2005/2407;;A61M2005/2492;;A61M5/24;;A61M5/31536;;A61M5/31541;;A61M5/31553;;A61M5/3158;;A61M5/31593;;A61M5/3202;;A61M2005/2407;;A61M2005/2488;;A61M2005/2492;;A61M2005/3126;;A61M2005/3154;;A61M2205/581;;A61M2205/582;;A61M2205/60</x:v>
      </x:c>
      <x:c r="S595" s="87" t="str">
        <x:v>A61M5/24;;A61M5/315</x:v>
      </x:c>
      <x:c r="T595" s="87" t="str">
        <x:v>ACTIVE</x:v>
      </x:c>
      <x:c r="U595" s="87" t="str">
        <x:v>https://lens.org/063-618-942-182-777</x:v>
      </x:c>
    </x:row>
    <x:row r="596">
      <x:c r="A596" s="87" t="str">
        <x:v>Sanofi_Applicant_EP_Families_2015_2021.csv(1).csv</x:v>
      </x:c>
      <x:c r="B596" s="87" t="str">
        <x:v>Sanofi</x:v>
      </x:c>
      <x:c r="C596" s="87" t="str">
        <x:v>TRT-0010</x:v>
      </x:c>
      <x:c r="D596" s="87" t="str">
        <x:v>Yes</x:v>
      </x:c>
      <x:c r="E596" s="87" t="str">
        <x:v>sanofi</x:v>
      </x:c>
      <x:c r="F596" s="87" t="str">
        <x:v>2</x:v>
      </x:c>
      <x:c r="G596" s="87" t="str">
        <x:v>130-569-653-960-800</x:v>
      </x:c>
      <x:c r="H596" s="110" t="n">
        <x:v>42538</x:v>
      </x:c>
      <x:c r="I596" s="88" t="n">
        <x:v>2016</x:v>
      </x:c>
      <x:c r="J596" s="87" t="str">
        <x:v>EP</x:v>
      </x:c>
      <x:c r="K596" s="87" t="str">
        <x:v>B1</x:v>
      </x:c>
      <x:c r="L596" s="87" t="str">
        <x:v>EP 3471760 B1</x:v>
      </x:c>
      <x:c r="M596" s="87" t="str">
        <x:v>BOEHRINGER INGELHEIM VETMEDICA GMBH;;SANOFI PASTEUR</x:v>
      </x:c>
      <x:c r="N596" s="87" t="str">
        <x:v>BOEHRINGER INGELHEIM ANIMAL HEALTH USA INC. (2019-10-09);;BOEHRINGER INGELHEIM VETMEDICA GMBH (2024-09-04);;SANOFI PASTEUR (2024-09-04)</x:v>
      </x:c>
      <x:c r="O596" s="87" t="str">
        <x:v>NOVEL IMMUNOGENIC FORMULATIONS COMPRISING LINEAR OR BRANCHED POLYACRYLIC ACID POLYMER ADJUVANTS</x:v>
      </x:c>
      <x:c r="P596" s="109" t="n">
        <x:v>0</x:v>
      </x:c>
      <x:c r="Q596" s="109" t="n">
        <x:v>28</x:v>
      </x:c>
      <x:c r="R596" s="87" t="str">
        <x:v>A61K39/00;;A61K39/0011;;A61K2039/55511;;A61P31/12;;A61P37/04;;C08F120/06;;Y02A50/30;;A61K39/39;;A61K39/0011;;A61K39/145;;A61K39/205;;A61K39/215;;A61K47/08;;A61K47/26;;A61K2039/5254;;A61K2039/5256;;A61K2039/552;;A61K2039/55516;;A61K2039/55522;;A61K2039/55555;;A61K2039/55561;;A61K2039/57;;A61K2039/585;;A61K2300/00;;A61P31/12;;A61P37/04;;C08F6/001;;C08F120/06;;Y02A50/30;;A61K39/39;;A61K39/00;;A61K39/0011;;A61K47/08;;A61K47/26;;A61K2039/555;;A61K2039/55511;;A61K2039/55516;;A61K2039/55522;;A61K2039/55555;;A61K2039/55561;;A61K2039/57;;A61K2300/00;;C08F120/06;;Y02A50/30</x:v>
      </x:c>
      <x:c r="S596" s="87" t="str">
        <x:v>A61K39/00;;C08F220/06</x:v>
      </x:c>
      <x:c r="T596" s="87" t="str">
        <x:v>ACTIVE</x:v>
      </x:c>
      <x:c r="U596" s="87" t="str">
        <x:v>https://lens.org/130-569-653-960-800</x:v>
      </x:c>
    </x:row>
    <x:row r="597">
      <x:c r="A597" s="87" t="str">
        <x:v>Sanofi_Applicant_EP_Families_2015_2021.csv(1).csv</x:v>
      </x:c>
      <x:c r="B597" s="87" t="str">
        <x:v>Sanofi</x:v>
      </x:c>
      <x:c r="C597" s="87" t="str">
        <x:v>TRT-0010</x:v>
      </x:c>
      <x:c r="D597" s="87" t="str">
        <x:v>Yes</x:v>
      </x:c>
      <x:c r="E597" s="87" t="str">
        <x:v>sanofi</x:v>
      </x:c>
      <x:c r="F597" s="87" t="str">
        <x:v>3</x:v>
      </x:c>
      <x:c r="G597" s="87" t="str">
        <x:v>076-334-585-650-129</x:v>
      </x:c>
      <x:c r="H597" s="110" t="n">
        <x:v>44547</x:v>
      </x:c>
      <x:c r="I597" s="88" t="n">
        <x:v>2021</x:v>
      </x:c>
      <x:c r="J597" s="87" t="str">
        <x:v>EP</x:v>
      </x:c>
      <x:c r="K597" s="87" t="str">
        <x:v>A1</x:v>
      </x:c>
      <x:c r="L597" s="87" t="str">
        <x:v>EP 4448103 A1</x:v>
      </x:c>
      <x:c r="M597" s="87" t="str">
        <x:v>SANOFI SA</x:v>
      </x:c>
      <x:c r="N597" s="87" t="str">
        <x:v>SANOFI PASTEUR INC. (2025-04-09);;SANOFI VACCINES US INC. (2026-05-27)</x:v>
      </x:c>
      <x:c r="O597" s="87" t="str">
        <x:v>LYME DISEASE RNA VACCINE</x:v>
      </x:c>
      <x:c r="P597" s="109" t="n">
        <x:v>0</x:v>
      </x:c>
      <x:c r="Q597" s="109" t="n">
        <x:v>7</x:v>
      </x:c>
      <x:c r="R597" s="87" t="str">
        <x:v>A61K39/0225;;A61K2039/53;;A61K2039/55555;;A61K2039/575;;Y02A50/30;;A61K39/0225;;A61K9/5015;;A61K2039/53;;A61K2039/55;;A61K2039/552;;A61P37/04</x:v>
      </x:c>
      <x:c r="S597" s="87" t="str">
        <x:v>A61P31/04;;A61K39/00;;A61K39/02</x:v>
      </x:c>
      <x:c r="T597" s="87" t="str">
        <x:v>PENDING</x:v>
      </x:c>
      <x:c r="U597" s="87" t="str">
        <x:v>https://lens.org/076-334-585-650-129</x:v>
      </x:c>
    </x:row>
    <x:row r="598">
      <x:c r="A598" s="87" t="str">
        <x:v>Sanofi_Applicant_EP_Families_2015_2021.csv(1).csv</x:v>
      </x:c>
      <x:c r="B598" s="87" t="str">
        <x:v>Sanofi</x:v>
      </x:c>
      <x:c r="C598" s="87" t="str">
        <x:v>TRT-0010</x:v>
      </x:c>
      <x:c r="D598" s="87" t="str">
        <x:v>Yes</x:v>
      </x:c>
      <x:c r="E598" s="87" t="str">
        <x:v>sanofi, ablynx</x:v>
      </x:c>
      <x:c r="F598" s="87" t="str">
        <x:v>4</x:v>
      </x:c>
      <x:c r="G598" s="87" t="str">
        <x:v>111-318-198-575-760</x:v>
      </x:c>
      <x:c r="H598" s="110" t="n">
        <x:v>44547</x:v>
      </x:c>
      <x:c r="I598" s="88" t="n">
        <x:v>2021</x:v>
      </x:c>
      <x:c r="J598" s="87" t="str">
        <x:v>EP</x:v>
      </x:c>
      <x:c r="K598" s="87" t="str">
        <x:v>A1</x:v>
      </x:c>
      <x:c r="L598" s="87" t="str">
        <x:v>EP 4448574 A1</x:v>
      </x:c>
      <x:c r="M598" s="87" t="str">
        <x:v>ABLYNX NV;;SANOFI SA</x:v>
      </x:c>
      <x:c r="N598" s="87" t="str">
        <x:v>ABLYNX NV (2024-12-04);;SANOFI (2024-12-04)</x:v>
      </x:c>
      <x:c r="O598" s="87" t="str">
        <x:v>POLYPEPTIDES COMPRISING IMMUNOGLOBULIN SINGLE VARIABLE DOMAINS TARGETING TCRALPHABETA, CD33 AND CD123</x:v>
      </x:c>
      <x:c r="P598" s="109" t="n">
        <x:v>0</x:v>
      </x:c>
      <x:c r="Q598" s="109" t="n">
        <x:v>11</x:v>
      </x:c>
      <x:c r="R598" s="87" t="str">
        <x:v>C07K16/2809;;A61K2039/505;;A61P35/02;;C07K16/18;;C07K16/2803;;C07K16/2866;;C07K2317/31;;C07K2317/33;;C07K2317/569;;C07K2317/626;;C07K2317/92;;C07K2319/31;;C07K16/2809;;A61K2039/505;;A61P35/02;;C07K16/18;;C07K16/2803;;C07K16/2866;;C07K2317/31;;C07K2317/33;;C07K2317/569;;C07K2317/626;;C07K2317/92;;C07K2319/31;;C07K16/2809;;A61K2039/505;;A61P35/02;;C07K16/18;;C07K16/2803;;C07K16/2866;;C07K2317/31;;C07K2317/33;;C07K2317/569;;C07K2317/92;;C07K2319/31</x:v>
      </x:c>
      <x:c r="S598" s="87" t="str">
        <x:v>C07K16/28;;A61P35/02;;C07K16/18</x:v>
      </x:c>
      <x:c r="T598" s="87" t="str">
        <x:v>PENDING</x:v>
      </x:c>
      <x:c r="U598" s="87" t="str">
        <x:v>https://lens.org/111-318-198-575-760</x:v>
      </x:c>
    </x:row>
    <x:row r="599">
      <x:c r="A599" s="87" t="str">
        <x:v>Sanofi_Applicant_EP_Families_2015_2021.csv(1).csv</x:v>
      </x:c>
      <x:c r="B599" s="87" t="str">
        <x:v>Sanofi</x:v>
      </x:c>
      <x:c r="C599" s="87" t="str">
        <x:v>TRT-0010</x:v>
      </x:c>
      <x:c r="D599" s="87" t="str">
        <x:v>Yes</x:v>
      </x:c>
      <x:c r="E599" s="87" t="str">
        <x:v>sanofi</x:v>
      </x:c>
      <x:c r="F599" s="87" t="str">
        <x:v>5</x:v>
      </x:c>
      <x:c r="G599" s="87" t="str">
        <x:v>063-630-013-620-287</x:v>
      </x:c>
      <x:c r="H599" s="110" t="n">
        <x:v>40317</x:v>
      </x:c>
      <x:c r="I599" s="88" t="n">
        <x:v>2010</x:v>
      </x:c>
      <x:c r="J599" s="87" t="str">
        <x:v>EP</x:v>
      </x:c>
      <x:c r="K599" s="87" t="str">
        <x:v>B9</x:v>
      </x:c>
      <x:c r="L599" s="87" t="str">
        <x:v>EP 2571517 B9</x:v>
      </x:c>
      <x:c r="M599" s="87" t="str">
        <x:v>SANOFI SA</x:v>
      </x:c>
      <x:c r="N599" s="87" t="str">
        <x:v>SANOFI, FR (2025-09-28);;SANOFI; FR (2024-09-17);;SANOFI (2022-12-28);;SANOFI, PARIS, FR (2024-09-02)</x:v>
      </x:c>
      <x:c r="O599" s="87" t="str">
        <x:v>LONG - ACTING FORMULATIONS OF INSULINS</x:v>
      </x:c>
      <x:c r="P599" s="109" t="n">
        <x:v>0</x:v>
      </x:c>
      <x:c r="Q599" s="109" t="n">
        <x:v>147</x:v>
      </x:c>
      <x:c r="R599" s="87" t="str">
        <x:v>A61K9/0019;;A61K9/08;;A61K38/28;;A61K38/2278;;A61K47/02;;A61K47/10;;A61K47/26;;A61K38/26;;A61P3/08;;A61P5/48;;A61P5/50;;A61P3/10;;A61K9/08;;A61K38/28;;A61K47/30;;A61K38/28;;A61K9/0019;;A61K9/08;;A61K38/28;;A61K38/26;;A61K38/2278;;A61K47/02;;A61K47/10;;A61K47/26</x:v>
      </x:c>
      <x:c r="S599" s="87" t="str">
        <x:v>A61K9/00;;A61K9/08;;A61K38/22;;A61K38/26;;A61K38/28;;A61K47/10;;A61K47/26</x:v>
      </x:c>
      <x:c r="T599" s="87" t="str">
        <x:v>ACTIVE</x:v>
      </x:c>
      <x:c r="U599" s="87" t="str">
        <x:v>https://lens.org/063-630-013-620-287</x:v>
      </x:c>
    </x:row>
    <x:row r="600">
      <x:c r="A600" s="87" t="str">
        <x:v>Sanofi_Applicant_EP_Families_2015_2021.csv(1).csv</x:v>
      </x:c>
      <x:c r="B600" s="87" t="str">
        <x:v>Sanofi</x:v>
      </x:c>
      <x:c r="C600" s="87" t="str">
        <x:v>TRT-0010</x:v>
      </x:c>
      <x:c r="D600" s="87" t="str">
        <x:v>Yes</x:v>
      </x:c>
      <x:c r="E600" s="87" t="str">
        <x:v>sanofi</x:v>
      </x:c>
      <x:c r="F600" s="87" t="str">
        <x:v>6</x:v>
      </x:c>
      <x:c r="G600" s="87" t="str">
        <x:v>046-507-068-605-72X</x:v>
      </x:c>
      <x:c r="H600" s="110" t="n">
        <x:v>44530</x:v>
      </x:c>
      <x:c r="I600" s="88" t="n">
        <x:v>2021</x:v>
      </x:c>
      <x:c r="J600" s="87" t="str">
        <x:v>EP</x:v>
      </x:c>
      <x:c r="K600" s="87" t="str">
        <x:v>A1</x:v>
      </x:c>
      <x:c r="L600" s="87" t="str">
        <x:v>EP 4440610 A1</x:v>
      </x:c>
      <x:c r="M600" s="87" t="str">
        <x:v>SANOFI PASTEUR INC;;US HEALTH</x:v>
      </x:c>
      <x:c r="N600" s="87" t="str">
        <x:v>SANOFI VACCINES US INC. (2026-05-27);;THE UNITED STATES OF AMERICA, AS REPRESENTED BYTHE SECRETARY, DEPARTMENT OF HEALTH AND HUMANSERVICES (2026-05-27)</x:v>
      </x:c>
      <x:c r="O600" s="87" t="str">
        <x:v>HUMAN METAPNEUMOVIRUS VIRAL VECTOR-BASED VACCINES</x:v>
      </x:c>
      <x:c r="P600" s="109" t="n">
        <x:v>0</x:v>
      </x:c>
      <x:c r="Q600" s="109" t="n">
        <x:v>9</x:v>
      </x:c>
      <x:c r="R600" s="87" t="str">
        <x:v>A61K39/12;;A61K39/155;;A61K2039/5256;;A61P11/00;;A61P31/14;;C07K14/005;;C07K2319/00;;C12N2760/18322;;C12N2760/18334;;C12N2760/18641;;C12N2760/18643;;C12N15/86;;A61K39/12;;A61K39/155;;A61K2039/5254;;A61K2039/5256;;A61K2039/575;;C07K14/005;;C07K2319/03;;C12N2760/18322;;C12N2760/18334;;C12N2760/18643;;A61K39/155;;A61K2039/575;;A61K2039/70;;A61P31/14;;C12N7/00;;C12N15/86;;C12N2760/18322;;C12N2760/18334;;C12N2760/18343;;C12N2760/18634</x:v>
      </x:c>
      <x:c r="S600" s="87" t="str">
        <x:v>A61K39/12;;A61K39/155;;A61P11/00;;A61P31/14;;C07K14/005</x:v>
      </x:c>
      <x:c r="T600" s="87" t="str">
        <x:v>PENDING</x:v>
      </x:c>
      <x:c r="U600" s="87" t="str">
        <x:v>https://lens.org/046-507-068-605-72X</x:v>
      </x:c>
    </x:row>
    <x:row r="601">
      <x:c r="A601" s="87" t="str">
        <x:v>Sanofi_Applicant_EP_Families_2015_2021.csv(1).csv</x:v>
      </x:c>
      <x:c r="B601" s="87" t="str">
        <x:v>Sanofi</x:v>
      </x:c>
      <x:c r="C601" s="87" t="str">
        <x:v>TRT-0010</x:v>
      </x:c>
      <x:c r="D601" s="87" t="str">
        <x:v>Yes</x:v>
      </x:c>
      <x:c r="E601" s="87" t="str">
        <x:v>sanofi</x:v>
      </x:c>
      <x:c r="F601" s="87" t="str">
        <x:v>7</x:v>
      </x:c>
      <x:c r="G601" s="87" t="str">
        <x:v>064-586-904-702-877</x:v>
      </x:c>
      <x:c r="H601" s="110" t="n">
        <x:v>43642</x:v>
      </x:c>
      <x:c r="I601" s="88" t="n">
        <x:v>2019</x:v>
      </x:c>
      <x:c r="J601" s="87" t="str">
        <x:v>EP</x:v>
      </x:c>
      <x:c r="K601" s="87" t="str">
        <x:v>B1</x:v>
      </x:c>
      <x:c r="L601" s="87" t="str">
        <x:v>EP 3990064 B1</x:v>
      </x:c>
      <x:c r="M601" s="87" t="str">
        <x:v>SANOFI SA</x:v>
      </x:c>
      <x:c r="N601" s="87" t="str">
        <x:v>SANOFI (2023-11-01)</x:v>
      </x:c>
      <x:c r="O601" s="87" t="str">
        <x:v>INJECTION DEVICE</x:v>
      </x:c>
      <x:c r="P601" s="109" t="n">
        <x:v>0</x:v>
      </x:c>
      <x:c r="Q601" s="109" t="n">
        <x:v>18</x:v>
      </x:c>
      <x:c r="R601" s="87" t="str">
        <x:v>A61M5/20;;A61M5/31;;A61M5/31525;;A61M5/31585;;A61M2005/3125;;A61M5/5086;;A61M5/20;;A61M39/1011;;A61M2005/2485;;A61M2005/3125;;A61M2205/273;;A61M2205/3368;;A61M2205/60;;A61M2207/00;;G09F2003/0251;;A61M5/5086;;A61M5/20;;A61M5/24;;A61M5/31;;A61M5/31525;;A61M5/31553;;A61M5/31585;;A61M5/3202;;A61M39/1011;;A61M2005/2485;;A61M2005/3125;;A61M2005/3126;;A61M2205/273;;A61M2205/276;;A61M2205/3368;;A61M2205/60;;A61M2207/00;;B65C3/166;;G09F2003/0251;;A61M5/5086;;A61M5/20;;A61M39/1011;;A61M2005/3125;;A61M2205/273;;A61M2205/276;;A61M2205/3368;;A61M2205/60;;A61M5/24;;A61M5/31553;;A61M5/3202;;A61M2005/2485;;A61M2005/3125;;A61M2005/3126;;A61M2205/3368;;A61M2207/00;;B65C3/166</x:v>
      </x:c>
      <x:c r="S601" s="87" t="str">
        <x:v>B65C3/16;;A61M5/50;;A61M39/10;;G09F3/00</x:v>
      </x:c>
      <x:c r="T601" s="87" t="str">
        <x:v>ACTIVE</x:v>
      </x:c>
      <x:c r="U601" s="87" t="str">
        <x:v>https://lens.org/064-586-904-702-877</x:v>
      </x:c>
    </x:row>
    <x:row r="602">
      <x:c r="A602" s="87" t="str">
        <x:v>Sanofi_Applicant_EP_Families_2015_2021.csv(1).csv</x:v>
      </x:c>
      <x:c r="B602" s="87" t="str">
        <x:v>Sanofi</x:v>
      </x:c>
      <x:c r="C602" s="87" t="str">
        <x:v>TRT-0010</x:v>
      </x:c>
      <x:c r="D602" s="87" t="str">
        <x:v>Yes</x:v>
      </x:c>
      <x:c r="E602" s="87" t="str">
        <x:v>sanofi</x:v>
      </x:c>
      <x:c r="F602" s="87" t="str">
        <x:v>8</x:v>
      </x:c>
      <x:c r="G602" s="87" t="str">
        <x:v>038-673-289-164-749</x:v>
      </x:c>
      <x:c r="H602" s="110" t="n">
        <x:v>44530</x:v>
      </x:c>
      <x:c r="I602" s="88" t="n">
        <x:v>2021</x:v>
      </x:c>
      <x:c r="J602" s="87" t="str">
        <x:v>EP</x:v>
      </x:c>
      <x:c r="K602" s="87" t="str">
        <x:v>A1</x:v>
      </x:c>
      <x:c r="L602" s="87" t="str">
        <x:v>EP 4440608 A1</x:v>
      </x:c>
      <x:c r="M602" s="87" t="str">
        <x:v>SANOFI PASTEUR INC</x:v>
      </x:c>
      <x:c r="N602" s="87" t="str">
        <x:v>SANOFI VACCINES US INC. (2026-05-27)</x:v>
      </x:c>
      <x:c r="O602" s="87" t="str">
        <x:v>HUMAN METAPNEUMOVIRUS VACCINES</x:v>
      </x:c>
      <x:c r="P602" s="109" t="n">
        <x:v>0</x:v>
      </x:c>
      <x:c r="Q602" s="109" t="n">
        <x:v>13</x:v>
      </x:c>
      <x:c r="R602" s="87" t="str">
        <x:v>A61K39/12;;A61K39/155;;A61P11/00;;A61P31/14;;C07K14/005;;C07K2319/00;;C12N2760/18322;;C12N2760/18334;;A61K39/12;;A61K39/145;;A61K39/155;;A61K2039/53;;A61K2039/55;;A61K2039/575;;A61P11/00;;A61P31/14;;C07K14/005;;C07K2319/00;;C07K2319/21;;C07K2319/22;;C12N2760/18322;;C12N2760/18334;;C07K14/005;;A61K39/12;;A61K39/145;;A61K39/155;;A61K2039/53;;A61K2039/55;;A61K2039/575;;A61P11/00;;A61P31/14;;A61P31/16;;C07K2319/21;;C07K2319/22;;C12N2760/18322;;C12N2760/18334;;A61K39/12;;A61K39/145;;A61K2039/53;;A61K2039/55;;A61K2039/575;;A61P31/14;;C07K14/005;;C07K2319/21;;C07K2319/22</x:v>
      </x:c>
      <x:c r="S602" s="87" t="str">
        <x:v>A61K39/12;;A61K39/155;;A61P11/00;;A61P31/14;;C07K14/005</x:v>
      </x:c>
      <x:c r="T602" s="87" t="str">
        <x:v>PENDING</x:v>
      </x:c>
      <x:c r="U602" s="87" t="str">
        <x:v>https://lens.org/038-673-289-164-749</x:v>
      </x:c>
    </x:row>
    <x:row r="603">
      <x:c r="A603" s="87" t="str">
        <x:v>Sanofi_Applicant_EP_Families_2015_2021.csv(1).csv</x:v>
      </x:c>
      <x:c r="B603" s="87" t="str">
        <x:v>Sanofi</x:v>
      </x:c>
      <x:c r="C603" s="87" t="str">
        <x:v>TRT-0010</x:v>
      </x:c>
      <x:c r="D603" s="87" t="str">
        <x:v>Yes</x:v>
      </x:c>
      <x:c r="E603" s="87" t="str">
        <x:v>sanofi</x:v>
      </x:c>
      <x:c r="F603" s="87" t="str">
        <x:v>9</x:v>
      </x:c>
      <x:c r="G603" s="87" t="str">
        <x:v>005-987-035-948-96X</x:v>
      </x:c>
      <x:c r="H603" s="110" t="n">
        <x:v>44505</x:v>
      </x:c>
      <x:c r="I603" s="88" t="n">
        <x:v>2021</x:v>
      </x:c>
      <x:c r="J603" s="87" t="str">
        <x:v>EP</x:v>
      </x:c>
      <x:c r="K603" s="87" t="str">
        <x:v>A1</x:v>
      </x:c>
      <x:c r="L603" s="87" t="str">
        <x:v>EP 4426343 A1</x:v>
      </x:c>
      <x:c r="M603" s="87" t="str">
        <x:v>SANOFI SA</x:v>
      </x:c>
      <x:c r="N603" s="87" t="str">
        <x:v>SANOFI PASTEUR INC. (2025-07-02);;SANOFI VACCINES US INC. (2026-05-27)</x:v>
      </x:c>
      <x:c r="O603" s="87" t="str">
        <x:v>RESPIRATORY SYNCYTIAL VIRUS RNA VACCINE</x:v>
      </x:c>
      <x:c r="P603" s="109" t="n">
        <x:v>0</x:v>
      </x:c>
      <x:c r="Q603" s="109" t="n">
        <x:v>12</x:v>
      </x:c>
      <x:c r="R603" s="87" t="str">
        <x:v>A61K39/12;;A61K2039/53;;A61K2039/54;;A61K2039/545;;A61K2039/55555;;A61K2039/575;;A61P31/14;;C12N2760/18534;;A61K39/12;;A61K2039/53;;A61K2039/54;;A61K2039/545;;A61K2039/55555;;A61K2039/575;;A61P31/14;;C07K14/135;;C12N2760/18534;;A61K39/155;;A61K2039/53;;A61K2039/54;;A61K2039/545;;A61K2039/55555;;A61K2039/575;;A61P31/14;;C07K14/135;;C12N2760/18534;;A61K39/12;;A61K2039/55555;;A61P31/14;;C07K14/135</x:v>
      </x:c>
      <x:c r="S603" s="87" t="str">
        <x:v>A61K39/12;;A61K39/00;;A61P31/14</x:v>
      </x:c>
      <x:c r="T603" s="87" t="str">
        <x:v>PENDING</x:v>
      </x:c>
      <x:c r="U603" s="87" t="str">
        <x:v>https://lens.org/005-987-035-948-96X</x:v>
      </x:c>
    </x:row>
    <x:row r="604">
      <x:c r="A604" s="87" t="str">
        <x:v>Sanofi_Applicant_EP_Families_2015_2021.csv(1).csv</x:v>
      </x:c>
      <x:c r="B604" s="87" t="str">
        <x:v>Sanofi</x:v>
      </x:c>
      <x:c r="C604" s="87" t="str">
        <x:v>TRT-0010</x:v>
      </x:c>
      <x:c r="D604" s="87" t="str">
        <x:v>Yes</x:v>
      </x:c>
      <x:c r="E604" s="87" t="str">
        <x:v>sanofi</x:v>
      </x:c>
      <x:c r="F604" s="87" t="str">
        <x:v>10</x:v>
      </x:c>
      <x:c r="G604" s="87" t="str">
        <x:v>090-892-984-551-519</x:v>
      </x:c>
      <x:c r="H604" s="110" t="n">
        <x:v>44505</x:v>
      </x:c>
      <x:c r="I604" s="88" t="n">
        <x:v>2021</x:v>
      </x:c>
      <x:c r="J604" s="87" t="str">
        <x:v>EP</x:v>
      </x:c>
      <x:c r="K604" s="87" t="str">
        <x:v>A1</x:v>
      </x:c>
      <x:c r="L604" s="87" t="str">
        <x:v>EP 4426345 A1</x:v>
      </x:c>
      <x:c r="M604" s="87" t="str">
        <x:v>SANOFI SA</x:v>
      </x:c>
      <x:c r="N604" s="87" t="str">
        <x:v>SANOFI PASTEUR INC. (2025-12-10);;SANOFI VACCINES US INC. (2026-05-27)</x:v>
      </x:c>
      <x:c r="O604" s="87" t="str">
        <x:v>HYBRID MULTIVALENT INFLUENZA VACCINES COMPRISING HEMAGGLUTININ AND NEURAMINIDASE AND METHODS OF USING THE SAME</x:v>
      </x:c>
      <x:c r="P604" s="109" t="n">
        <x:v>0</x:v>
      </x:c>
      <x:c r="Q604" s="109" t="n">
        <x:v>10</x:v>
      </x:c>
      <x:c r="R604" s="87" t="str">
        <x:v>A61K39/12;;A61K2039/5252;;A61K2039/53;;A61K2039/54;;A61K2039/545;;A61K2039/55555;;A61K2039/575;;A61K2039/70;;A61P31/14;;C12N2740/16134;;C12N2740/16234;;A61K39/12;;A61K2039/5252;;A61K2039/53;;A61K2039/54;;A61K2039/545;;A61K2039/55555;;A61K2039/575;;A61K2039/70;;A61P31/14;;C12N2740/16134;;C12N2740/16234;;A61K39/145;;A61K2039/5252;;A61K2039/53;;A61K2039/54;;A61K2039/545;;A61K2039/55511;;A61K2039/55555;;A61K2039/575;;A61K2039/70;;A61P31/16;;C12N2760/16062;;C12N2760/16134;;C12N2760/16234;;A61K39/145;;A61K2039/53;;A61K2039/70;;A61P31/16</x:v>
      </x:c>
      <x:c r="S604" s="87" t="str">
        <x:v>A61K39/12;;A61K39/00;;A61P31/14</x:v>
      </x:c>
      <x:c r="T604" s="87" t="str">
        <x:v>PENDING</x:v>
      </x:c>
      <x:c r="U604" s="87" t="str">
        <x:v>https://lens.org/090-892-984-551-519</x:v>
      </x:c>
    </x:row>
    <x:row r="605">
      <x:c r="A605" s="87" t="str">
        <x:v>Sanofi_Applicant_EP_Families_2015_2021.csv(1).csv</x:v>
      </x:c>
      <x:c r="B605" s="87" t="str">
        <x:v>Sanofi</x:v>
      </x:c>
      <x:c r="C605" s="87" t="str">
        <x:v>TRT-0010</x:v>
      </x:c>
      <x:c r="D605" s="87" t="str">
        <x:v>Yes</x:v>
      </x:c>
      <x:c r="E605" s="87" t="str">
        <x:v>sanofi</x:v>
      </x:c>
      <x:c r="F605" s="87" t="str">
        <x:v>11</x:v>
      </x:c>
      <x:c r="G605" s="87" t="str">
        <x:v>111-572-580-512-502</x:v>
      </x:c>
      <x:c r="H605" s="110" t="n">
        <x:v>44505</x:v>
      </x:c>
      <x:c r="I605" s="88" t="n">
        <x:v>2021</x:v>
      </x:c>
      <x:c r="J605" s="87" t="str">
        <x:v>EP</x:v>
      </x:c>
      <x:c r="K605" s="87" t="str">
        <x:v>A1</x:v>
      </x:c>
      <x:c r="L605" s="87" t="str">
        <x:v>EP 4426346 A1</x:v>
      </x:c>
      <x:c r="M605" s="87" t="str">
        <x:v>SANOFI PASTEUR INC</x:v>
      </x:c>
      <x:c r="N605" s="87" t="str">
        <x:v>SANOFI VACCINES US INC. (2026-05-27)</x:v>
      </x:c>
      <x:c r="O605" s="87" t="str">
        <x:v>MULTIVALENT INFLUENZA VACCINES COMPRISING RECOMBINANT HEMAGGLUTININ AND NEURAMINIDASE AND METHODS OF USING THE SAME</x:v>
      </x:c>
      <x:c r="P605" s="109" t="n">
        <x:v>0</x:v>
      </x:c>
      <x:c r="Q605" s="109" t="n">
        <x:v>10</x:v>
      </x:c>
      <x:c r="R605" s="87" t="str">
        <x:v>A61K39/12;;A61K39/145;;A61P31/16;;C12N2760/16062;;C12N2760/16111;;C12N2760/16134;;A61K39/12;;A61K39/145;;A61P31/16;;C12N2760/16062;;C12N2760/16111;;C12N2760/16134;;A61K39/145;;A61K2039/54;;A61K2039/545;;A61K2039/55511;;A61K2039/55555;;A61K2039/70;;A61P31/16;;C12N2760/16062;;C12N2760/16134;;A61K39/145;;A61K2039/54;;A61K2039/545;;A61K2039/55555;;A61K2039/55566;;A61K2039/70;;A61P37/04</x:v>
      </x:c>
      <x:c r="S605" s="87" t="str">
        <x:v>A61K39/12;;A61K39/145;;A61P31/16</x:v>
      </x:c>
      <x:c r="T605" s="87" t="str">
        <x:v>PENDING</x:v>
      </x:c>
      <x:c r="U605" s="87" t="str">
        <x:v>https://lens.org/111-572-580-512-502</x:v>
      </x:c>
    </x:row>
    <x:row r="606">
      <x:c r="A606" s="87" t="str">
        <x:v>Sanofi_Applicant_EP_Families_2015_2021.csv(1).csv</x:v>
      </x:c>
      <x:c r="B606" s="87" t="str">
        <x:v>Sanofi</x:v>
      </x:c>
      <x:c r="C606" s="87" t="str">
        <x:v>TRT-0010</x:v>
      </x:c>
      <x:c r="D606" s="87" t="str">
        <x:v>Yes</x:v>
      </x:c>
      <x:c r="E606" s="87" t="str">
        <x:v>sanofi</x:v>
      </x:c>
      <x:c r="F606" s="87" t="str">
        <x:v>12</x:v>
      </x:c>
      <x:c r="G606" s="87" t="str">
        <x:v>092-243-550-906-426</x:v>
      </x:c>
      <x:c r="H606" s="110" t="n">
        <x:v>43489</x:v>
      </x:c>
      <x:c r="I606" s="88" t="n">
        <x:v>2019</x:v>
      </x:c>
      <x:c r="J606" s="87" t="str">
        <x:v>EP</x:v>
      </x:c>
      <x:c r="K606" s="87" t="str">
        <x:v>B1</x:v>
      </x:c>
      <x:c r="L606" s="87" t="str">
        <x:v>EP 3914321 B1</x:v>
      </x:c>
      <x:c r="M606" s="87" t="str">
        <x:v>SANOFI SA</x:v>
      </x:c>
      <x:c r="N606" s="87" t="str">
        <x:v>SANOFI (2023-11-01)</x:v>
      </x:c>
      <x:c r="O606" s="87" t="str">
        <x:v>DRUG DELIVERY DEVICE</x:v>
      </x:c>
      <x:c r="P606" s="109" t="n">
        <x:v>0</x:v>
      </x:c>
      <x:c r="Q606" s="109" t="n">
        <x:v>10</x:v>
      </x:c>
      <x:c r="R606" s="87" t="str">
        <x:v>A61M5/20;;A61M5/315;;A61M5/31585;;A61M2005/3126;;A61M2005/31508;;A61M5/31528;;A61M5/20;;A61M5/24;;A61M5/31585;;A61M2005/31508</x:v>
      </x:c>
      <x:c r="S606" s="87" t="str">
        <x:v>A61M5/20;;A61M5/31;;A61M5/315</x:v>
      </x:c>
      <x:c r="T606" s="87" t="str">
        <x:v>ACTIVE</x:v>
      </x:c>
      <x:c r="U606" s="87" t="str">
        <x:v>https://lens.org/092-243-550-906-426</x:v>
      </x:c>
    </x:row>
    <x:row r="607">
      <x:c r="A607" s="87" t="str">
        <x:v>Sanofi_Applicant_EP_Families_2015_2021.csv(1).csv</x:v>
      </x:c>
      <x:c r="B607" s="87" t="str">
        <x:v>Sanofi</x:v>
      </x:c>
      <x:c r="C607" s="87" t="str">
        <x:v>TRT-0010</x:v>
      </x:c>
      <x:c r="D607" s="87" t="str">
        <x:v>Yes</x:v>
      </x:c>
      <x:c r="E607" s="87" t="str">
        <x:v>sanofi</x:v>
      </x:c>
      <x:c r="F607" s="87" t="str">
        <x:v>13</x:v>
      </x:c>
      <x:c r="G607" s="87" t="str">
        <x:v>001-176-656-249-614</x:v>
      </x:c>
      <x:c r="H607" s="110" t="n">
        <x:v>44477</x:v>
      </x:c>
      <x:c r="I607" s="88" t="n">
        <x:v>2021</x:v>
      </x:c>
      <x:c r="J607" s="87" t="str">
        <x:v>EP</x:v>
      </x:c>
      <x:c r="K607" s="87" t="str">
        <x:v>A1</x:v>
      </x:c>
      <x:c r="L607" s="87" t="str">
        <x:v>EP 4412647 A1</x:v>
      </x:c>
      <x:c r="M607" s="87" t="str">
        <x:v>SANOFI PASTEUR INC</x:v>
      </x:c>
      <x:c r="N607" s="87" t="str">
        <x:v>SANOFI VACCINES US INC. (2026-05-27)</x:v>
      </x:c>
      <x:c r="O607" s="87" t="str">
        <x:v>MULTIVALENT INFLUENZA VACCINES</x:v>
      </x:c>
      <x:c r="P607" s="109" t="n">
        <x:v>0</x:v>
      </x:c>
      <x:c r="Q607" s="109" t="n">
        <x:v>10</x:v>
      </x:c>
      <x:c r="R607" s="87" t="str">
        <x:v>A61K39/12;;A61K2039/55511;;A61K2039/55566;;A61K2039/55577;;A61K2039/70;;A61P31/16;;C12N2760/16122;;C12N2760/16134;;C12N2760/16222;;C12N2760/16234;;G16H20/10;;G16H50/20;;G16H50/70;;G16H50/80;;A61K39/12;;A61K2039/55511;;A61K2039/55566;;A61K2039/55577;;A61K2039/70;;A61P31/16;;C12N2760/16122;;C12N2760/16134;;C12N2760/16222;;C12N2760/16234;;G16H20/10;;G16H50/20;;G16H50/70;;G16H50/80;;A61K39/145;;A61K2039/53;;A61K2039/545;;A61K2039/55555;;A61K2039/55566;;A61K2039/6018;;A61K2039/70;;A61P31/16;;C12N2760/16122;;C12N2760/16134;;C12N2760/16222;;C12N2760/16234;;G16H20/10;;G16H50/80;;A61K39/145;;A61K9/0019;;A61K2039/55555;;A61K2039/70;;C07K14/005;;C12N2760/16322;;C12N2760/16334</x:v>
      </x:c>
      <x:c r="S607" s="87" t="str">
        <x:v>A61K39/12;;A61K39/00;;A61P31/16;;G16H50/80</x:v>
      </x:c>
      <x:c r="T607" s="87" t="str">
        <x:v>PENDING</x:v>
      </x:c>
      <x:c r="U607" s="87" t="str">
        <x:v>https://lens.org/001-176-656-249-614</x:v>
      </x:c>
    </x:row>
    <x:row r="608">
      <x:c r="A608" s="87" t="str">
        <x:v>Sanofi_Applicant_EP_Families_2015_2021.csv(1).csv</x:v>
      </x:c>
      <x:c r="B608" s="87" t="str">
        <x:v>Sanofi</x:v>
      </x:c>
      <x:c r="C608" s="87" t="str">
        <x:v>TRT-0010</x:v>
      </x:c>
      <x:c r="D608" s="87" t="str">
        <x:v>Yes</x:v>
      </x:c>
      <x:c r="E608" s="87" t="str">
        <x:v>sanofi</x:v>
      </x:c>
      <x:c r="F608" s="87" t="str">
        <x:v>14</x:v>
      </x:c>
      <x:c r="G608" s="87" t="str">
        <x:v>006-293-903-839-537</x:v>
      </x:c>
      <x:c r="H608" s="110" t="n">
        <x:v>44474</x:v>
      </x:c>
      <x:c r="I608" s="88" t="n">
        <x:v>2021</x:v>
      </x:c>
      <x:c r="J608" s="87" t="str">
        <x:v>EP</x:v>
      </x:c>
      <x:c r="K608" s="87" t="str">
        <x:v>A1</x:v>
      </x:c>
      <x:c r="L608" s="87" t="str">
        <x:v>EP 4412590 A1</x:v>
      </x:c>
      <x:c r="M608" s="87" t="str">
        <x:v>SANOFI SA</x:v>
      </x:c>
      <x:c r="N608" s="87" t="str">
        <x:v>SANOFI PASTEUR INC. (2025-06-11);;SANOFI VACCINES US INC. (2026-05-27)</x:v>
      </x:c>
      <x:c r="O608" s="87" t="str">
        <x:v>METHODS FOR FREEZING AND FREEZE-DRYING LIPID NANOPARTICLES (LNPS) AND LNPS OBTAINED WITH THE SAME</x:v>
      </x:c>
      <x:c r="P608" s="109" t="n">
        <x:v>0</x:v>
      </x:c>
      <x:c r="Q608" s="109" t="n">
        <x:v>11</x:v>
      </x:c>
      <x:c r="R608" s="87" t="str">
        <x:v>A61K9/1271;;A61K9/1277;;A61K9/19;;A61K9/5123;;A61K31/7105;;A61K39/39;;A61K2039/51;;A61K2039/55555;;A61K31/7105;;A61K9/1271;;A61K9/1277;;A61K9/19;;A61K9/5123;;A61K39/39;;A61K2039/51;;A61K2039/55555;;A61K9/51;;A61K9/1271;;A61K9/19;;A61K31/7105;;A61K9/19;;A61K9/5123;;A61K31/7105</x:v>
      </x:c>
      <x:c r="S608" s="87" t="str">
        <x:v>A61K9/127;;A61K9/19;;A61K9/51;;A61K31/7105</x:v>
      </x:c>
      <x:c r="T608" s="87" t="str">
        <x:v>PENDING</x:v>
      </x:c>
      <x:c r="U608" s="87" t="str">
        <x:v>https://lens.org/006-293-903-839-537</x:v>
      </x:c>
    </x:row>
    <x:row r="609">
      <x:c r="A609" s="87" t="str">
        <x:v>Sanofi_Applicant_EP_Families_2015_2021.csv(1).csv</x:v>
      </x:c>
      <x:c r="B609" s="87" t="str">
        <x:v>Sanofi</x:v>
      </x:c>
      <x:c r="C609" s="87" t="str">
        <x:v>TRT-0010</x:v>
      </x:c>
      <x:c r="D609" s="87" t="str">
        <x:v>Yes</x:v>
      </x:c>
      <x:c r="E609" s="87" t="str">
        <x:v>sanofi</x:v>
      </x:c>
      <x:c r="F609" s="87" t="str">
        <x:v>15</x:v>
      </x:c>
      <x:c r="G609" s="87" t="str">
        <x:v>116-354-202-534-866</x:v>
      </x:c>
      <x:c r="H609" s="110" t="n">
        <x:v>42614</x:v>
      </x:c>
      <x:c r="I609" s="88" t="n">
        <x:v>2016</x:v>
      </x:c>
      <x:c r="J609" s="87" t="str">
        <x:v>EP</x:v>
      </x:c>
      <x:c r="K609" s="87" t="str">
        <x:v>B1</x:v>
      </x:c>
      <x:c r="L609" s="87" t="str">
        <x:v>EP 3506931 B1</x:v>
      </x:c>
      <x:c r="M609" s="87" t="str">
        <x:v>REGENERON PHARMA;;SANOFI BIOTECHNOLOGY</x:v>
      </x:c>
      <x:c r="N609" s="87" t="str">
        <x:v>REGENERON PHARMACEUTICALS, INC. (2024-07-17);;SANOFI BIOTECHNOLOGY (2024-07-17)</x:v>
      </x:c>
      <x:c r="O609" s="87" t="str">
        <x:v>METHODS FOR PREVENTING OR TREATING ALLERGY BY ADMINISTERING AN IL-4R ANTAGONIST</x:v>
      </x:c>
      <x:c r="P609" s="109" t="n">
        <x:v>0</x:v>
      </x:c>
      <x:c r="Q609" s="109" t="n">
        <x:v>34</x:v>
      </x:c>
      <x:c r="R609" s="87" t="str">
        <x:v>C07K16/2866;;A61K9/0019;;A61K39/3955;;A61K45/06;;A61K2039/505;;A61K2039/54;;A61K2039/545;;A61P37/08;;C07K2317/565;;C07K2317/76;;A61K38/1774;;A61K39/00;;A61K2039/505;;A61K2039/545;;A61P17/00;;A61P37/08;;C07K16/2866;;C07K2317/76;;C07K16/2866;;A61K9/0019;;A61K38/1774;;A61K39/00;;A61K39/3955;;A61K45/06;;A61K2039/505;;A61K2039/54;;A61K2039/545;;A61P17/00;;A61P37/08;;C07K2317/565;;C07K2317/76;;G01N33/56966;;C07K16/2866;;A61K45/06;;A61K2039/505;;A61K2039/545;;A61P37/08;;C07K2317/76;;A61K38/1774;;A61K9/0019;;A61K39/00;;A61K45/06;;A61K2039/505;;A61K2039/545;;A61P17/00;;A61P37/08;;C07K16/2866;;C07K2317/76;;G01N33/56966</x:v>
      </x:c>
      <x:c r="S609" s="87" t="str">
        <x:v>A61K39/00;;A61P37/08;;C07K16/28</x:v>
      </x:c>
      <x:c r="T609" s="87" t="str">
        <x:v>EXPIRED</x:v>
      </x:c>
      <x:c r="U609" s="87" t="str">
        <x:v>https://lens.org/116-354-202-534-866</x:v>
      </x:c>
    </x:row>
    <x:row r="610">
      <x:c r="A610" s="87" t="str">
        <x:v>Sanofi_Applicant_EP_Families_2015_2021.csv(1).csv</x:v>
      </x:c>
      <x:c r="B610" s="87" t="str">
        <x:v>Sanofi</x:v>
      </x:c>
      <x:c r="C610" s="87" t="str">
        <x:v>TRT-0010</x:v>
      </x:c>
      <x:c r="D610" s="87" t="str">
        <x:v>Yes</x:v>
      </x:c>
      <x:c r="E610" s="87" t="str">
        <x:v>sanofi</x:v>
      </x:c>
      <x:c r="F610" s="87" t="str">
        <x:v>16</x:v>
      </x:c>
      <x:c r="G610" s="87" t="str">
        <x:v>107-269-842-595-656</x:v>
      </x:c>
      <x:c r="H610" s="110" t="n">
        <x:v>43087</x:v>
      </x:c>
      <x:c r="I610" s="88" t="n">
        <x:v>2017</x:v>
      </x:c>
      <x:c r="J610" s="87" t="str">
        <x:v>EP</x:v>
      </x:c>
      <x:c r="K610" s="87" t="str">
        <x:v>B1</x:v>
      </x:c>
      <x:c r="L610" s="87" t="str">
        <x:v>EP 3727150 B1</x:v>
      </x:c>
      <x:c r="M610" s="87" t="str">
        <x:v>SANOFI SA</x:v>
      </x:c>
      <x:c r="N610" s="87" t="str">
        <x:v>SANOFI (2023-11-01)</x:v>
      </x:c>
      <x:c r="O610" s="87" t="str">
        <x:v>NFC GLUCOMETER CONTAINING RECHARGEABLE BATTERY FOR INDEPENDED USEAGE</x:v>
      </x:c>
      <x:c r="P610" s="109" t="n">
        <x:v>0</x:v>
      </x:c>
      <x:c r="Q610" s="109" t="n">
        <x:v>9</x:v>
      </x:c>
      <x:c r="R610" s="87" t="str">
        <x:v>A61B5/14532;;A61B5/021;;A61B5/14546;;A61B5/1468;;A61B5/1477;;A61B5/4839;;A61B2560/0204;;A61B2560/0209;;A61B2560/0214;;H02J7/82;;H02J50/10;;H02J2105/46;;Y02E60/10;;A61B5/14532;;G01N33/48785;;G01N33/66;;H01M10/44;;H01M2220/30;;H02J7/345;;H02J7/40;;H02J7/82;;H02J50/10;;H02J50/20</x:v>
      </x:c>
      <x:c r="S610" s="87" t="str">
        <x:v>A61B5/145;;A61B5/00;;A61B5/021;;A61B5/1468;;A61B5/1477;;G01N33/66;;H02J5/00;;H02J7/00</x:v>
      </x:c>
      <x:c r="T610" s="87" t="str">
        <x:v>ACTIVE</x:v>
      </x:c>
      <x:c r="U610" s="87" t="str">
        <x:v>https://lens.org/107-269-842-595-656</x:v>
      </x:c>
    </x:row>
    <x:row r="611">
      <x:c r="A611" s="87" t="str">
        <x:v>Sanofi_Applicant_EP_Families_2015_2021.csv(1).csv</x:v>
      </x:c>
      <x:c r="B611" s="87" t="str">
        <x:v>Sanofi</x:v>
      </x:c>
      <x:c r="C611" s="87" t="str">
        <x:v>TRT-0010</x:v>
      </x:c>
      <x:c r="D611" s="87" t="str">
        <x:v>Yes</x:v>
      </x:c>
      <x:c r="E611" s="87" t="str">
        <x:v>sanofi</x:v>
      </x:c>
      <x:c r="F611" s="87" t="str">
        <x:v>17</x:v>
      </x:c>
      <x:c r="G611" s="87" t="str">
        <x:v>024-484-114-029-78X</x:v>
      </x:c>
      <x:c r="H611" s="110" t="n">
        <x:v>42615</x:v>
      </x:c>
      <x:c r="I611" s="88" t="n">
        <x:v>2016</x:v>
      </x:c>
      <x:c r="J611" s="87" t="str">
        <x:v>EP</x:v>
      </x:c>
      <x:c r="K611" s="87" t="str">
        <x:v>A3</x:v>
      </x:c>
      <x:c r="L611" s="87" t="str">
        <x:v>EP 4309670 A3</x:v>
      </x:c>
      <x:c r="M611" s="87" t="str">
        <x:v>SANOFI PASTEUR INC</x:v>
      </x:c>
      <x:c r="N611" s="87" t="str">
        <x:v>SANOFI VACCINES US INC. (2026-04-15)</x:v>
      </x:c>
      <x:c r="O611" s="87" t="str">
        <x:v>NEISSERIA MENINGITIDIS VACCINE</x:v>
      </x:c>
      <x:c r="P611" s="109" t="n">
        <x:v>0</x:v>
      </x:c>
      <x:c r="Q611" s="109" t="n">
        <x:v>47</x:v>
      </x:c>
      <x:c r="R611" s="87" t="str">
        <x:v>A61K39/095;;A61K39/385;;A61K47/6415;;A61K47/65;;A61K47/36;;A61K47/18;;A61P31/04;;A61P37/04;;A61K2039/627;;A61K2039/55583;;A61K2039/6037;;A61K2039/70;;A61K2039/55583;;A61K2039/6037;;A61K2039/70;;A61K39/095;;A61P31/04;;A61P37/04;;Y02A50/30;;A61K39/095;;A61K39/385;;A61K2039/6037;;A61P31/04;;A61P37/04;;A61K2039/70;;A61K2039/627;;A61K2039/6037;;A61K2039/70;;A61K2039/55583;;Y02A50/30;;A61K39/095;;A61K47/65;;A61K47/6415;;A61K47/18;;A61K47/36</x:v>
      </x:c>
      <x:c r="S611" s="87" t="str">
        <x:v>A61K39/095</x:v>
      </x:c>
      <x:c r="T611" s="87" t="str">
        <x:v>PENDING</x:v>
      </x:c>
      <x:c r="U611" s="87" t="str">
        <x:v>https://lens.org/024-484-114-029-78X</x:v>
      </x:c>
    </x:row>
    <x:row r="612">
      <x:c r="A612" s="87" t="str">
        <x:v>Sanofi_Applicant_EP_Families_2015_2021.csv(1).csv</x:v>
      </x:c>
      <x:c r="B612" s="87" t="str">
        <x:v>Sanofi</x:v>
      </x:c>
      <x:c r="C612" s="87" t="str">
        <x:v>TRT-0010</x:v>
      </x:c>
      <x:c r="D612" s="87" t="str">
        <x:v>Yes</x:v>
      </x:c>
      <x:c r="E612" s="87" t="str">
        <x:v>sanofi</x:v>
      </x:c>
      <x:c r="F612" s="87" t="str">
        <x:v>18</x:v>
      </x:c>
      <x:c r="G612" s="87" t="str">
        <x:v>150-446-182-985-176</x:v>
      </x:c>
      <x:c r="H612" s="110" t="n">
        <x:v>44441</x:v>
      </x:c>
      <x:c r="I612" s="88" t="n">
        <x:v>2021</x:v>
      </x:c>
      <x:c r="J612" s="87" t="str">
        <x:v>EP</x:v>
      </x:c>
      <x:c r="K612" s="87" t="str">
        <x:v>A1</x:v>
      </x:c>
      <x:c r="L612" s="87" t="str">
        <x:v>EP 4396363 A1</x:v>
      </x:c>
      <x:c r="M612" s="87" t="str">
        <x:v>SANOFI SA</x:v>
      </x:c>
      <x:c r="N612" s="87" t="str">
        <x:v>SANOFI PASTEUR INC. (2025-06-25);;SANOFI VACCINES US INC. (2026-05-27)</x:v>
      </x:c>
      <x:c r="O612" s="87" t="str">
        <x:v>COMPOSITIONS AND METHODS FOR RNA AFFINITY PURIFICATION</x:v>
      </x:c>
      <x:c r="P612" s="109" t="n">
        <x:v>0</x:v>
      </x:c>
      <x:c r="Q612" s="109" t="n">
        <x:v>5</x:v>
      </x:c>
      <x:c r="R612" s="87" t="str">
        <x:v>C12N15/1003;;C12N15/115;;C12N2310/16;;C12N2310/3519;;C12P19/34;;C12N15/115;;A61K48/0066;;C12N15/101;;C12N2310/16;;C12N2310/351;;C12N2830/50</x:v>
      </x:c>
      <x:c r="S612" s="87" t="str">
        <x:v>C12P19/34;;C12N15/10</x:v>
      </x:c>
      <x:c r="T612" s="87" t="str">
        <x:v>PENDING</x:v>
      </x:c>
      <x:c r="U612" s="87" t="str">
        <x:v>https://lens.org/150-446-182-985-176</x:v>
      </x:c>
    </x:row>
    <x:row r="613">
      <x:c r="A613" s="87" t="str">
        <x:v>Sanofi_Applicant_EP_Families_2015_2021.csv(1).csv</x:v>
      </x:c>
      <x:c r="B613" s="87" t="str">
        <x:v>Sanofi</x:v>
      </x:c>
      <x:c r="C613" s="87" t="str">
        <x:v>TRT-0010</x:v>
      </x:c>
      <x:c r="D613" s="87" t="str">
        <x:v>Yes</x:v>
      </x:c>
      <x:c r="E613" s="87" t="str">
        <x:v>sanofi</x:v>
      </x:c>
      <x:c r="F613" s="87" t="str">
        <x:v>19</x:v>
      </x:c>
      <x:c r="G613" s="87" t="str">
        <x:v>084-586-725-708-865</x:v>
      </x:c>
      <x:c r="H613" s="110" t="n">
        <x:v>44419</x:v>
      </x:c>
      <x:c r="I613" s="88" t="n">
        <x:v>2021</x:v>
      </x:c>
      <x:c r="J613" s="87" t="str">
        <x:v>EP</x:v>
      </x:c>
      <x:c r="K613" s="87" t="str">
        <x:v>A1</x:v>
      </x:c>
      <x:c r="L613" s="87" t="str">
        <x:v>EP 4384534 A1</x:v>
      </x:c>
      <x:c r="M613" s="87" t="str">
        <x:v>SANOFI PASTEUR INC</x:v>
      </x:c>
      <x:c r="N613" s="87" t="str">
        <x:v>SANOFI PASTEUR INC. (2024-11-27);;SANOFI VACCINES US INC. (2026-05-27)</x:v>
      </x:c>
      <x:c r="O613" s="87" t="str">
        <x:v>TRUNCATED INFLUENZA NEURAMINIDASE AND METHODS OF USING THE SAME</x:v>
      </x:c>
      <x:c r="P613" s="109" t="n">
        <x:v>0</x:v>
      </x:c>
      <x:c r="Q613" s="109" t="n">
        <x:v>6</x:v>
      </x:c>
      <x:c r="R613" s="87" t="str">
        <x:v>A61P31/16;;A61K39/12;;A61K39/145;;C07K14/11;;C12N2760/16122;;C12N2760/16134;;C12N2760/16151;;A61K39/145;;A61K2039/645;;A61P37/04;;C07K14/005;;C07K14/70596;;C07K2319/02;;C12N9/2402;;C12N2760/16134;;C12Y302/01018</x:v>
      </x:c>
      <x:c r="S613" s="87" t="str">
        <x:v>C07K14/11;;A61K39/12;;A61K39/145;;A61P31/16</x:v>
      </x:c>
      <x:c r="T613" s="87" t="str">
        <x:v>PENDING</x:v>
      </x:c>
      <x:c r="U613" s="87" t="str">
        <x:v>https://lens.org/084-586-725-708-865</x:v>
      </x:c>
    </x:row>
    <x:row r="614">
      <x:c r="A614" s="87" t="str">
        <x:v>Sanofi_Applicant_EP_Families_2015_2021.csv(1).csv</x:v>
      </x:c>
      <x:c r="B614" s="87" t="str">
        <x:v>Sanofi</x:v>
      </x:c>
      <x:c r="C614" s="87" t="str">
        <x:v>TRT-0010</x:v>
      </x:c>
      <x:c r="D614" s="87" t="str">
        <x:v>Yes</x:v>
      </x:c>
      <x:c r="E614" s="87" t="str">
        <x:v>sanofi</x:v>
      </x:c>
      <x:c r="F614" s="87" t="str">
        <x:v>20</x:v>
      </x:c>
      <x:c r="G614" s="87" t="str">
        <x:v>183-795-595-089-524</x:v>
      </x:c>
      <x:c r="H614" s="110" t="n">
        <x:v>43018</x:v>
      </x:c>
      <x:c r="I614" s="88" t="n">
        <x:v>2017</x:v>
      </x:c>
      <x:c r="J614" s="87" t="str">
        <x:v>EP</x:v>
      </x:c>
      <x:c r="K614" s="87" t="str">
        <x:v>B1</x:v>
      </x:c>
      <x:c r="L614" s="87" t="str">
        <x:v>EP 3694882 B1</x:v>
      </x:c>
      <x:c r="M614" s="87" t="str">
        <x:v>SANOFI SA</x:v>
      </x:c>
      <x:c r="N614" s="87" t="str">
        <x:v>SANOFI (2023-05-17)</x:v>
      </x:c>
      <x:c r="O614" s="87" t="str">
        <x:v>ANTI-CD38 ANTIBODIES AND COMBINATIONS WITH ANTI-CD3 AND ANTI-CD28 ANTIBODIES</x:v>
      </x:c>
      <x:c r="P614" s="109" t="n">
        <x:v>0</x:v>
      </x:c>
      <x:c r="Q614" s="109" t="n">
        <x:v>43</x:v>
      </x:c>
      <x:c r="R614" s="87" t="str">
        <x:v>C07K16/2896;;C07K2317/56;;C07K2317/565;;C07K2317/567;;C07K2317/515;;C07K2317/51;;C07K2317/31;;C07K16/00;;C07K2317/524;;C07K2317/526;;C07K2317/622;;C07K2317/64;;C07K2319/33;;C07K2317/76;;A61P35/00;;C07K16/2896;;C07K16/2818;;A61P35/02;;C07K2317/92;;C07K2317/33;;C07K2317/31;;C07K16/2809;;C07K16/2896;;C07K2317/526;;C07K16/00;;C07K2319/33;;C07K2317/76;;C07K2317/567;;C07K2317/64;;C07K2317/33;;A61K39/3955;;C07K16/2818;;A61K2039/505;;A61P35/02;;C07K2317/622;;C07K2317/565;;C07K2317/515;;A61P35/00;;A61K45/06;;C07K16/2809;;C07K2317/524;;C07K2317/51;;C07K2317/21;;C07K2317/31;;C07K2317/92;;C07K16/2896;;C07K16/2818;;C07K16/2809;;C12N5/0636;;A61P31/16;;A61P31/18;;A61P31/22;;A61K2039/505;;C07K2317/31;;A61K39/39558;;C07K16/2896;;A61K2039/505;;C07K16/2818;;A61K39/3955;;A61K45/06;;A61P35/02;;C07K2317/565;;C07K2317/567;;C07K2317/51;;C07K2317/515;;C07K2317/92;;C07K2317/33;;C07K2317/21;;C07K2317/31;;C07K16/2809;;C07K16/00;;A61P35/00;;C07K2317/524;;C07K2317/622;;C07K2317/64;;C07K2319/33;;C07K2317/526;;C07K2317/76</x:v>
      </x:c>
      <x:c r="S614" s="87" t="str">
        <x:v>C07K16/28;;A61P35/00;;C07K16/00</x:v>
      </x:c>
      <x:c r="T614" s="87" t="str">
        <x:v>ACTIVE</x:v>
      </x:c>
      <x:c r="U614" s="87" t="str">
        <x:v>https://lens.org/183-795-595-089-524</x:v>
      </x:c>
    </x:row>
    <x:row r="615">
      <x:c r="A615" s="87" t="str">
        <x:v>Sanofi_Applicant_EP_Families_2015_2021.csv(1).csv</x:v>
      </x:c>
      <x:c r="B615" s="87" t="str">
        <x:v>Sanofi</x:v>
      </x:c>
      <x:c r="C615" s="87" t="str">
        <x:v>TRT-0010</x:v>
      </x:c>
      <x:c r="D615" s="87" t="str">
        <x:v>Yes</x:v>
      </x:c>
      <x:c r="E615" s="87" t="str">
        <x:v>sanofi</x:v>
      </x:c>
      <x:c r="F615" s="87" t="str">
        <x:v>21</x:v>
      </x:c>
      <x:c r="G615" s="87" t="str">
        <x:v>152-275-354-695-837</x:v>
      </x:c>
      <x:c r="H615" s="110" t="n">
        <x:v>43056</x:v>
      </x:c>
      <x:c r="I615" s="88" t="n">
        <x:v>2017</x:v>
      </x:c>
      <x:c r="J615" s="87" t="str">
        <x:v>EP</x:v>
      </x:c>
      <x:c r="K615" s="87" t="str">
        <x:v>B1</x:v>
      </x:c>
      <x:c r="L615" s="87" t="str">
        <x:v>EP 3710083 B1</x:v>
      </x:c>
      <x:c r="M615" s="87" t="str">
        <x:v>SANOFI SA</x:v>
      </x:c>
      <x:c r="N615" s="87" t="str">
        <x:v>SANOFI (2023-11-01)</x:v>
      </x:c>
      <x:c r="O615" s="87" t="str">
        <x:v>MIXING AND/OR RECONSTITUTION SYSTEM</x:v>
      </x:c>
      <x:c r="P615" s="109" t="n">
        <x:v>0</x:v>
      </x:c>
      <x:c r="Q615" s="109" t="n">
        <x:v>10</x:v>
      </x:c>
      <x:c r="R615" s="87" t="str">
        <x:v>A61M5/1782;;A61J1/2096;;A61M5/19;;A61M5/20;;A61M5/2053;;A61M5/2066;;A61M5/2448;;A61M5/31576;;A61M5/31596;;A61M5/445;;A61M2005/2013;;A61M2005/2474;;A61M2005/3128;;A61M2005/31598;;A61M2005/3267;;A61M2205/0272;;A61M2209/04;;A61M2209/045;;A61M5/20;;A61J1/2096;;A61M5/19;;A61M5/24;;A61M5/31576;;A61M5/34;;A61M2205/19</x:v>
      </x:c>
      <x:c r="S615" s="87" t="str">
        <x:v>A61M5/315</x:v>
      </x:c>
      <x:c r="T615" s="87" t="str">
        <x:v>ACTIVE</x:v>
      </x:c>
      <x:c r="U615" s="87" t="str">
        <x:v>https://lens.org/152-275-354-695-837</x:v>
      </x:c>
    </x:row>
    <x:row r="616">
      <x:c r="A616" s="87" t="str">
        <x:v>Sanofi_Applicant_EP_Families_2015_2021.csv(1).csv</x:v>
      </x:c>
      <x:c r="B616" s="87" t="str">
        <x:v>Sanofi</x:v>
      </x:c>
      <x:c r="C616" s="87" t="str">
        <x:v>TRT-0010</x:v>
      </x:c>
      <x:c r="D616" s="87" t="str">
        <x:v>Yes</x:v>
      </x:c>
      <x:c r="E616" s="87" t="str">
        <x:v>sanofi</x:v>
      </x:c>
      <x:c r="F616" s="87" t="str">
        <x:v>22</x:v>
      </x:c>
      <x:c r="G616" s="87" t="str">
        <x:v>063-136-608-305-661</x:v>
      </x:c>
      <x:c r="H616" s="110" t="n">
        <x:v>43056</x:v>
      </x:c>
      <x:c r="I616" s="88" t="n">
        <x:v>2017</x:v>
      </x:c>
      <x:c r="J616" s="87" t="str">
        <x:v>EP</x:v>
      </x:c>
      <x:c r="K616" s="87" t="str">
        <x:v>C0</x:v>
      </x:c>
      <x:c r="L616" s="87" t="str">
        <x:v>EP 3710088 C0</x:v>
      </x:c>
      <x:c r="M616" s="87" t="str">
        <x:v>SANOFI SA</x:v>
      </x:c>
      <x:c r="N616" s="87" t="str">
        <x:v>SANOFI (2023-11-01)</x:v>
      </x:c>
      <x:c r="O616" s="87" t="str">
        <x:v>DEVICE AND MIXING AND/OR RECONSTITUTION METHOD</x:v>
      </x:c>
      <x:c r="P616" s="109" t="n">
        <x:v>0</x:v>
      </x:c>
      <x:c r="Q616" s="109" t="n">
        <x:v>10</x:v>
      </x:c>
      <x:c r="R616" s="87" t="str">
        <x:v>A61M5/19;;A61J1/1406;;A61J1/16;;A61J1/201;;A61J1/2093;;A61J1/2096;;A61J2205/60;;A61M5/1782;;A61M5/2053;;A61M5/2066;;A61M5/2448;;A61M5/31596;;A61M5/445;;A61M2005/2013;;A61M2005/2474;;A61M2005/3128;;A61M2005/31598;;A61M2005/3267;;A61M2205/0272;;A61M2209/045;;A61M5/19;;A61J1/201;;A61J1/2093;;A61M5/2066;;A61M5/31596</x:v>
      </x:c>
      <x:c r="S616" s="87" t="str">
        <x:v>A61M5/20;;A61J1/20;;A61M5/19</x:v>
      </x:c>
      <x:c r="T616" s="87" t="str">
        <x:v>ACTIVE</x:v>
      </x:c>
      <x:c r="U616" s="87" t="str">
        <x:v>https://lens.org/063-136-608-305-661</x:v>
      </x:c>
    </x:row>
    <x:row r="617">
      <x:c r="A617" s="87" t="str">
        <x:v>Sanofi_Applicant_EP_Families_2015_2021.csv(1).csv</x:v>
      </x:c>
      <x:c r="B617" s="87" t="str">
        <x:v>Sanofi</x:v>
      </x:c>
      <x:c r="C617" s="87" t="str">
        <x:v>TRT-0010</x:v>
      </x:c>
      <x:c r="D617" s="87" t="str">
        <x:v>Yes</x:v>
      </x:c>
      <x:c r="E617" s="87" t="str">
        <x:v>sanofi</x:v>
      </x:c>
      <x:c r="F617" s="87" t="str">
        <x:v>23</x:v>
      </x:c>
      <x:c r="G617" s="87" t="str">
        <x:v>007-673-471-626-861</x:v>
      </x:c>
      <x:c r="H617" s="110" t="n">
        <x:v>44365</x:v>
      </x:c>
      <x:c r="I617" s="88" t="n">
        <x:v>2021</x:v>
      </x:c>
      <x:c r="J617" s="87" t="str">
        <x:v>EP</x:v>
      </x:c>
      <x:c r="K617" s="87" t="str">
        <x:v>A1</x:v>
      </x:c>
      <x:c r="L617" s="87" t="str">
        <x:v>EP 4355308 A1</x:v>
      </x:c>
      <x:c r="M617" s="87" t="str">
        <x:v>SANOFI SA</x:v>
      </x:c>
      <x:c r="N617" s="87" t="str">
        <x:v>SANOFI PASTEUR INC. (2025-06-18);;SANOFI VACCINES US INC. (2026-05-27)</x:v>
      </x:c>
      <x:c r="O617" s="87" t="str">
        <x:v>MULTIVALENT INFLUENZA VACCINES</x:v>
      </x:c>
      <x:c r="P617" s="109" t="n">
        <x:v>0</x:v>
      </x:c>
      <x:c r="Q617" s="109" t="n">
        <x:v>9</x:v>
      </x:c>
      <x:c r="R617" s="87" t="str">
        <x:v>A61P31/16;;A61K39/12;;A61K2039/53;;A61K2039/54;;A61K2039/545;;A61K2039/55555;;A61K2039/572;;A61K2039/575;;A61K2039/6075;;A61K2039/70;;C12N2760/16134;;C12N2760/16234;;C12N2760/16334;;A61K39/145;;A61K31/7115;;A61K39/12;;A61K47/543;;A61K47/6929;;A61K2039/51;;A61K2039/53;;A61K2039/54;;A61K2039/545;;A61K2039/55555;;A61K2039/572;;A61K2039/575;;A61K2039/6075;;A61K2039/70;;A61P31/16;;C12N2760/16134;;C12N2760/16234;;C12N2760/16334;;A61K39/145;;A61K39/116;;A61K2039/53;;A61K2039/54;;A61K2039/6018;;A61K2039/70;;A61P31/16;;C12N2760/16134;;C12N2760/16234;;C12N2760/16334;;A61K39/145;;A61K31/7115;;A61K47/543;;A61K47/6929;;A61K2039/51</x:v>
      </x:c>
      <x:c r="S617" s="87" t="str">
        <x:v>A61K9/51;;A61K39/00;;A61K39/12;;A61K39/145;;A61K47/02;;A61K47/26;;A61P31/16;;A61P37/04</x:v>
      </x:c>
      <x:c r="T617" s="87" t="str">
        <x:v>PENDING</x:v>
      </x:c>
      <x:c r="U617" s="87" t="str">
        <x:v>https://lens.org/007-673-471-626-861</x:v>
      </x:c>
    </x:row>
    <x:row r="618">
      <x:c r="A618" s="87" t="str">
        <x:v>Sanofi_Applicant_EP_Families_2015_2021.csv(1).csv</x:v>
      </x:c>
      <x:c r="B618" s="87" t="str">
        <x:v>Sanofi</x:v>
      </x:c>
      <x:c r="C618" s="87" t="str">
        <x:v>TRT-0010</x:v>
      </x:c>
      <x:c r="D618" s="87" t="str">
        <x:v>Yes</x:v>
      </x:c>
      <x:c r="E618" s="87" t="str">
        <x:v>sanofi</x:v>
      </x:c>
      <x:c r="F618" s="87" t="str">
        <x:v>24</x:v>
      </x:c>
      <x:c r="G618" s="87" t="str">
        <x:v>011-055-483-391-031</x:v>
      </x:c>
      <x:c r="H618" s="110" t="n">
        <x:v>42496</x:v>
      </x:c>
      <x:c r="I618" s="88" t="n">
        <x:v>2016</x:v>
      </x:c>
      <x:c r="J618" s="87" t="str">
        <x:v>EP</x:v>
      </x:c>
      <x:c r="K618" s="87" t="str">
        <x:v>B1</x:v>
      </x:c>
      <x:c r="L618" s="87" t="str">
        <x:v>EP 3452513 B1</x:v>
      </x:c>
      <x:c r="M618" s="87" t="str">
        <x:v>SANOFI BIOTECHNOLOGY</x:v>
      </x:c>
      <x:c r="N618" s="87" t="str">
        <x:v>SANOFI BIOTECHNOLOGY SAS (2020-12-16);;SANOFI BIOTECHNOLOGY (2023-10-11)</x:v>
      </x:c>
      <x:c r="O618" s="87" t="str">
        <x:v>HUMANIZED ANTI-IL-1R3 ANTIBODIES</x:v>
      </x:c>
      <x:c r="P618" s="109" t="n">
        <x:v>0</x:v>
      </x:c>
      <x:c r="Q618" s="109" t="n">
        <x:v>55</x:v>
      </x:c>
      <x:c r="R618" s="87" t="str">
        <x:v>C07K16/2866;;C07K2317/21;;C07K2317/565;;C07K2317/56;;C07K2317/92;;C07K16/2866;;C07K2317/24;;C07K2317/76;;C07K2317/24;;C07K2317/76;;C07K16/2866;;A61P35/00;;A61P43/00;;C07K16/2866;;C07K2317/76;;C07K2317/52;;C07K2317/24;;A61P35/00;;A61P43/00;;A61P35/00;;C07K16/2866;;C07K2317/24;;C07K2317/76;;A61K2039/505;;C07K2317/24;;C07K2317/76;;C07K16/2866;;C07K2317/52</x:v>
      </x:c>
      <x:c r="S618" s="87" t="str">
        <x:v>C07K16/28;;A61K39/00</x:v>
      </x:c>
      <x:c r="T618" s="87" t="str">
        <x:v>ACTIVE</x:v>
      </x:c>
      <x:c r="U618" s="87" t="str">
        <x:v>https://lens.org/011-055-483-391-031</x:v>
      </x:c>
    </x:row>
    <x:row r="619">
      <x:c r="A619" s="87" t="str">
        <x:v>Sanofi_Applicant_EP_Families_2015_2021.csv(1).csv</x:v>
      </x:c>
      <x:c r="B619" s="87" t="str">
        <x:v>Sanofi</x:v>
      </x:c>
      <x:c r="C619" s="87" t="str">
        <x:v>TRT-0010</x:v>
      </x:c>
      <x:c r="D619" s="87" t="str">
        <x:v>Yes</x:v>
      </x:c>
      <x:c r="E619" s="87" t="str">
        <x:v>sanofi</x:v>
      </x:c>
      <x:c r="F619" s="87" t="str">
        <x:v>25</x:v>
      </x:c>
      <x:c r="G619" s="87" t="str">
        <x:v>003-405-182-171-809</x:v>
      </x:c>
      <x:c r="H619" s="110" t="n">
        <x:v>40459</x:v>
      </x:c>
      <x:c r="I619" s="88" t="n">
        <x:v>2010</x:v>
      </x:c>
      <x:c r="J619" s="87" t="str">
        <x:v>EP</x:v>
      </x:c>
      <x:c r="K619" s="87" t="str">
        <x:v>B1</x:v>
      </x:c>
      <x:c r="L619" s="87" t="str">
        <x:v>EP 3366336 B1</x:v>
      </x:c>
      <x:c r="M619" s="87" t="str">
        <x:v>SANOFI SA</x:v>
      </x:c>
      <x:c r="N619" s="87" t="str">
        <x:v>SANOFI (2022-12-28)</x:v>
      </x:c>
      <x:c r="O619" s="87" t="str">
        <x:v>AUTO-INJECTOR</x:v>
      </x:c>
      <x:c r="P619" s="109" t="n">
        <x:v>0</x:v>
      </x:c>
      <x:c r="Q619" s="109" t="n">
        <x:v>33</x:v>
      </x:c>
      <x:c r="R619" s="87" t="str">
        <x:v>A61M5/2033;;A61M5/3202;;A61M5/326;;A61M2005/2013;;A61M2005/206;;A61M5/20;;A61M5/2033;;A61M2005/2013;;A61M2005/206;;A61M5/3257;;A61M5/2033;;A61M5/3202;;A61M5/326;;A61M2005/2013;;A61M2005/206</x:v>
      </x:c>
      <x:c r="S619" s="87" t="str">
        <x:v>A61M5/20</x:v>
      </x:c>
      <x:c r="T619" s="87" t="str">
        <x:v>ACTIVE</x:v>
      </x:c>
      <x:c r="U619" s="87" t="str">
        <x:v>https://lens.org/003-405-182-171-809</x:v>
      </x:c>
    </x:row>
    <x:row r="620">
      <x:c r="A620" s="87" t="str">
        <x:v>Sanofi_Applicant_EP_Families_2015_2021.csv(1).csv</x:v>
      </x:c>
      <x:c r="B620" s="87" t="str">
        <x:v>Sanofi</x:v>
      </x:c>
      <x:c r="C620" s="87" t="str">
        <x:v>TRT-0010</x:v>
      </x:c>
      <x:c r="D620" s="87" t="str">
        <x:v>Yes</x:v>
      </x:c>
      <x:c r="E620" s="87" t="str">
        <x:v>sanofi</x:v>
      </x:c>
      <x:c r="F620" s="87" t="str">
        <x:v>26</x:v>
      </x:c>
      <x:c r="G620" s="87" t="str">
        <x:v>128-681-133-134-052</x:v>
      </x:c>
      <x:c r="H620" s="110" t="n">
        <x:v>43385</x:v>
      </x:c>
      <x:c r="I620" s="88" t="n">
        <x:v>2018</x:v>
      </x:c>
      <x:c r="J620" s="87" t="str">
        <x:v>EP</x:v>
      </x:c>
      <x:c r="K620" s="87" t="str">
        <x:v>B1</x:v>
      </x:c>
      <x:c r="L620" s="87" t="str">
        <x:v>EP 3863701 B1</x:v>
      </x:c>
      <x:c r="M620" s="87" t="str">
        <x:v>SANOFI SA</x:v>
      </x:c>
      <x:c r="N620" s="87" t="str">
        <x:v>SANOFI (2024-06-12)</x:v>
      </x:c>
      <x:c r="O620" s="87" t="str">
        <x:v>AN INJECTION DEVICE</x:v>
      </x:c>
      <x:c r="P620" s="109" t="n">
        <x:v>0</x:v>
      </x:c>
      <x:c r="Q620" s="109" t="n">
        <x:v>12</x:v>
      </x:c>
      <x:c r="R620" s="87" t="str">
        <x:v>A61M5/3204;;A61M5/326;;A61M2005/3267;;A61M2207/00;;A61M5/3204;;A61M5/3146;;A61M2005/3215;;A61M2207/00</x:v>
      </x:c>
      <x:c r="S620" s="87" t="str">
        <x:v>A61M5/32</x:v>
      </x:c>
      <x:c r="T620" s="87" t="str">
        <x:v>ACTIVE</x:v>
      </x:c>
      <x:c r="U620" s="87" t="str">
        <x:v>https://lens.org/128-681-133-134-052</x:v>
      </x:c>
    </x:row>
    <x:row r="621">
      <x:c r="A621" s="87" t="str">
        <x:v>Sanofi_Applicant_EP_Families_2015_2021.csv(1).csv</x:v>
      </x:c>
      <x:c r="B621" s="87" t="str">
        <x:v>Sanofi</x:v>
      </x:c>
      <x:c r="C621" s="87" t="str">
        <x:v>TRT-0010</x:v>
      </x:c>
      <x:c r="D621" s="87" t="str">
        <x:v>Yes</x:v>
      </x:c>
      <x:c r="E621" s="87" t="str">
        <x:v>sanofi</x:v>
      </x:c>
      <x:c r="F621" s="87" t="str">
        <x:v>27</x:v>
      </x:c>
      <x:c r="G621" s="87" t="str">
        <x:v>120-849-414-899-874</x:v>
      </x:c>
      <x:c r="H621" s="110" t="n">
        <x:v>43966</x:v>
      </x:c>
      <x:c r="I621" s="88" t="n">
        <x:v>2020</x:v>
      </x:c>
      <x:c r="J621" s="87" t="str">
        <x:v>EP</x:v>
      </x:c>
      <x:c r="K621" s="87" t="str">
        <x:v>C0</x:v>
      </x:c>
      <x:c r="L621" s="87" t="str">
        <x:v>EP 4149590 C0</x:v>
      </x:c>
      <x:c r="M621" s="87" t="str">
        <x:v>SANOFI SA</x:v>
      </x:c>
      <x:c r="N621" s="87" t="str">
        <x:v>SANOFI (2023-11-01)</x:v>
      </x:c>
      <x:c r="O621" s="87" t="str">
        <x:v>HOUSING ELEMENT AND DRUG DELIVERY DEVICE HEREWITH</x:v>
      </x:c>
      <x:c r="P621" s="109" t="n">
        <x:v>0</x:v>
      </x:c>
      <x:c r="Q621" s="109" t="n">
        <x:v>10</x:v>
      </x:c>
      <x:c r="R621" s="87" t="str">
        <x:v>A61M5/24;;A61M5/20;;A61M5/3134;;A61M5/3135;;A61M2005/2403;;A61M2005/2418;;A61M2005/2433;;A61M2005/2477;;A61M2005/2492;;A61M2005/3131;;A61M2205/0216;;A61M5/20;;A61M5/24;;A61M5/3134;;A61M5/3135;;A61M2005/2403;;A61M2005/2418;;A61M2005/2433;;A61M2005/2477;;A61M2005/2492;;A61M2005/3131;;A61M2205/0216</x:v>
      </x:c>
      <x:c r="S621" s="87" t="str">
        <x:v>A61M5/20;;A61M5/24;;A61M5/31</x:v>
      </x:c>
      <x:c r="T621" s="87" t="str">
        <x:v>ACTIVE</x:v>
      </x:c>
      <x:c r="U621" s="87" t="str">
        <x:v>https://lens.org/120-849-414-899-874</x:v>
      </x:c>
    </x:row>
    <x:row r="622">
      <x:c r="A622" s="87" t="str">
        <x:v>Sanofi_Applicant_EP_Families_2015_2021.csv(1).csv</x:v>
      </x:c>
      <x:c r="B622" s="87" t="str">
        <x:v>Sanofi</x:v>
      </x:c>
      <x:c r="C622" s="87" t="str">
        <x:v>TRT-0010</x:v>
      </x:c>
      <x:c r="D622" s="87" t="str">
        <x:v>Yes</x:v>
      </x:c>
      <x:c r="E622" s="87" t="str">
        <x:v>sanofi</x:v>
      </x:c>
      <x:c r="F622" s="87" t="str">
        <x:v>28</x:v>
      </x:c>
      <x:c r="G622" s="87" t="str">
        <x:v>066-384-281-926-803</x:v>
      </x:c>
      <x:c r="H622" s="110" t="n">
        <x:v>41312</x:v>
      </x:c>
      <x:c r="I622" s="88" t="n">
        <x:v>2013</x:v>
      </x:c>
      <x:c r="J622" s="87" t="str">
        <x:v>EP</x:v>
      </x:c>
      <x:c r="K622" s="87" t="str">
        <x:v>B1</x:v>
      </x:c>
      <x:c r="L622" s="87" t="str">
        <x:v>EP 2953966 B1</x:v>
      </x:c>
      <x:c r="M622" s="87" t="str">
        <x:v>SANOFI PASTEUR;;IP2IPO INNOVATIONS LTD</x:v>
      </x:c>
      <x:c r="N622" s="87" t="str">
        <x:v>IP2IPO INNOVATIONS LIMITED (2024-09-11);;SANOFI PASTEUR (2024-09-11)</x:v>
      </x:c>
      <x:c r="O622" s="87" t="str">
        <x:v>INDUCTION OF CROSS-REACTIVE CELLULAR RESPONSE AGAINST RHINOVIRUS ANTIGENS</x:v>
      </x:c>
      <x:c r="P622" s="109" t="n">
        <x:v>0</x:v>
      </x:c>
      <x:c r="Q622" s="109" t="n">
        <x:v>12</x:v>
      </x:c>
      <x:c r="R622" s="87" t="str">
        <x:v>A61K39/125;;A61K39/12;;A61K2039/53;;A61K2039/55561;;A61K2039/55566;;A61K2039/57;;C07K14/005;;C07K2319/00;;C12N9/127;;C12N2770/32722;;C12N2770/32734;;A61K39/125;;A61K39/12;;A61K2039/53;;A61K2039/55561;;A61K2039/55566;;A61K2039/57;;C07K14/005;;C07K2319/00;;C12N9/127;;C12N2770/32722;;C12N2770/32734</x:v>
      </x:c>
      <x:c r="S622" s="87" t="str">
        <x:v>C07K14/005;;A61K39/00;;A61K39/145;;C07K16/10</x:v>
      </x:c>
      <x:c r="T622" s="87" t="str">
        <x:v>ACTIVE</x:v>
      </x:c>
      <x:c r="U622" s="87" t="str">
        <x:v>https://lens.org/066-384-281-926-803</x:v>
      </x:c>
    </x:row>
    <x:row r="623">
      <x:c r="A623" s="87" t="str">
        <x:v>Sanofi_Applicant_EP_Families_2015_2021.csv(1).csv</x:v>
      </x:c>
      <x:c r="B623" s="87" t="str">
        <x:v>Sanofi</x:v>
      </x:c>
      <x:c r="C623" s="87" t="str">
        <x:v>TRT-0010</x:v>
      </x:c>
      <x:c r="D623" s="87" t="str">
        <x:v>Yes</x:v>
      </x:c>
      <x:c r="E623" s="87" t="str">
        <x:v>sanofi</x:v>
      </x:c>
      <x:c r="F623" s="87" t="str">
        <x:v>29</x:v>
      </x:c>
      <x:c r="G623" s="87" t="str">
        <x:v>180-474-237-200-441</x:v>
      </x:c>
      <x:c r="H623" s="110" t="n">
        <x:v>42552</x:v>
      </x:c>
      <x:c r="I623" s="88" t="n">
        <x:v>2016</x:v>
      </x:c>
      <x:c r="J623" s="87" t="str">
        <x:v>EP</x:v>
      </x:c>
      <x:c r="K623" s="87" t="str">
        <x:v>B1</x:v>
      </x:c>
      <x:c r="L623" s="87" t="str">
        <x:v>EP 3478344 B1</x:v>
      </x:c>
      <x:c r="M623" s="87" t="str">
        <x:v>SANOFI SA</x:v>
      </x:c>
      <x:c r="N623" s="87" t="str">
        <x:v>SANOFI (2023-11-01)</x:v>
      </x:c>
      <x:c r="O623" s="87" t="str">
        <x:v>DRUG DELIVERY DEVICE</x:v>
      </x:c>
      <x:c r="P623" s="109" t="n">
        <x:v>0</x:v>
      </x:c>
      <x:c r="Q623" s="109" t="n">
        <x:v>8</x:v>
      </x:c>
      <x:c r="R623" s="87" t="str">
        <x:v>A61M5/24;;A61M2005/2403;;A61M2005/2407;;A61M5/24;;A61M5/2422;;A61M5/31535;;A61M5/31551;;A61M5/31583;;A61M2005/2403;;A61M2005/2407</x:v>
      </x:c>
      <x:c r="S623" s="87" t="str">
        <x:v>A61M5/24</x:v>
      </x:c>
      <x:c r="T623" s="87" t="str">
        <x:v>ACTIVE</x:v>
      </x:c>
      <x:c r="U623" s="87" t="str">
        <x:v>https://lens.org/180-474-237-200-441</x:v>
      </x:c>
    </x:row>
    <x:row r="624">
      <x:c r="A624" s="87" t="str">
        <x:v>Sanofi_Applicant_EP_Families_2015_2021.csv(1).csv</x:v>
      </x:c>
      <x:c r="B624" s="87" t="str">
        <x:v>Sanofi</x:v>
      </x:c>
      <x:c r="C624" s="87" t="str">
        <x:v>TRT-0010</x:v>
      </x:c>
      <x:c r="D624" s="87" t="str">
        <x:v>Yes</x:v>
      </x:c>
      <x:c r="E624" s="87" t="str">
        <x:v>sanofi</x:v>
      </x:c>
      <x:c r="F624" s="87" t="str">
        <x:v>30</x:v>
      </x:c>
      <x:c r="G624" s="87" t="str">
        <x:v>071-390-161-556-563</x:v>
      </x:c>
      <x:c r="H624" s="110" t="n">
        <x:v>41648</x:v>
      </x:c>
      <x:c r="I624" s="88" t="n">
        <x:v>2014</x:v>
      </x:c>
      <x:c r="J624" s="87" t="str">
        <x:v>EP</x:v>
      </x:c>
      <x:c r="K624" s="87" t="str">
        <x:v>B1</x:v>
      </x:c>
      <x:c r="L624" s="87" t="str">
        <x:v>EP 3091995 B1</x:v>
      </x:c>
      <x:c r="M624" s="87" t="str">
        <x:v>SANOFI SA</x:v>
      </x:c>
      <x:c r="N624" s="87" t="str">
        <x:v>SANOFI (2022-12-28)</x:v>
      </x:c>
      <x:c r="O624" s="87" t="str">
        <x:v>STABILIZED PHARMACEUTICAL FORMULATIONS OF INSULIN ASPART</x:v>
      </x:c>
      <x:c r="P624" s="109" t="n">
        <x:v>0</x:v>
      </x:c>
      <x:c r="Q624" s="109" t="n">
        <x:v>21</x:v>
      </x:c>
      <x:c r="R624" s="87" t="str">
        <x:v>A61K47/26;;A61K9/0019;;A61K9/08;;A61K38/28;;A61K47/02;;A61K47/10;;A61P3/10;;A61K9/08;;A61K9/0019;;A61K33/30;;A61K38/1825;;A61K38/28;;A61K45/06;;A61K47/02;;A61K47/10;;A61K47/26;;A61K2300/00;;A61K47/26;;A61K9/0019;;A61K9/08;;A61K38/28;;A61K45/06;;A61K47/02;;A61K47/10</x:v>
      </x:c>
      <x:c r="S624" s="87" t="str">
        <x:v>A61K38/28;;A61K9/00;;A61K9/08;;A61K47/02;;A61K47/10;;A61K47/26;;A61P3/10</x:v>
      </x:c>
      <x:c r="T624" s="87" t="str">
        <x:v>ACTIVE</x:v>
      </x:c>
      <x:c r="U624" s="87" t="str">
        <x:v>https://lens.org/071-390-161-556-563</x:v>
      </x:c>
    </x:row>
    <x:row r="625">
      <x:c r="A625" s="87" t="str">
        <x:v>Sanofi_Applicant_EP_Families_2015_2021.csv(1).csv</x:v>
      </x:c>
      <x:c r="B625" s="87" t="str">
        <x:v>Sanofi</x:v>
      </x:c>
      <x:c r="C625" s="87" t="str">
        <x:v>TRT-0010</x:v>
      </x:c>
      <x:c r="D625" s="87" t="str">
        <x:v>Yes</x:v>
      </x:c>
      <x:c r="E625" s="87" t="str">
        <x:v>sanofi</x:v>
      </x:c>
      <x:c r="F625" s="87" t="str">
        <x:v>31</x:v>
      </x:c>
      <x:c r="G625" s="87" t="str">
        <x:v>193-301-227-184-616</x:v>
      </x:c>
      <x:c r="H625" s="110" t="n">
        <x:v>40870</x:v>
      </x:c>
      <x:c r="I625" s="88" t="n">
        <x:v>2011</x:v>
      </x:c>
      <x:c r="J625" s="87" t="str">
        <x:v>EP</x:v>
      </x:c>
      <x:c r="K625" s="87" t="str">
        <x:v>C0</x:v>
      </x:c>
      <x:c r="L625" s="87" t="str">
        <x:v>EP 2782925 C0</x:v>
      </x:c>
      <x:c r="M625" s="87" t="str">
        <x:v>SANOFI SA</x:v>
      </x:c>
      <x:c r="N625" s="87" t="str">
        <x:v>SANOFI (2023-12-27)</x:v>
      </x:c>
      <x:c r="O625" s="87" t="str">
        <x:v>PROTEIN PURIFICATION USING BIS-TRIS BUFFER</x:v>
      </x:c>
      <x:c r="P625" s="109" t="n">
        <x:v>0</x:v>
      </x:c>
      <x:c r="Q625" s="109" t="n">
        <x:v>3</x:v>
      </x:c>
      <x:c r="R625" s="87" t="str">
        <x:v>C07K1/165;;C07K1/36;;C07K16/00</x:v>
      </x:c>
      <x:c r="S625" s="87" t="str">
        <x:v>C07K1/36;;C07K1/22;;C07K16/00</x:v>
      </x:c>
      <x:c r="T625" s="87" t="str">
        <x:v>ACTIVE</x:v>
      </x:c>
      <x:c r="U625" s="87" t="str">
        <x:v>https://lens.org/193-301-227-184-616</x:v>
      </x:c>
    </x:row>
    <x:row r="626">
      <x:c r="A626" s="87" t="str">
        <x:v>Sanofi_Applicant_EP_Families_2015_2021.csv(1).csv</x:v>
      </x:c>
      <x:c r="B626" s="87" t="str">
        <x:v>Sanofi</x:v>
      </x:c>
      <x:c r="C626" s="87" t="str">
        <x:v>TRT-0010</x:v>
      </x:c>
      <x:c r="D626" s="87" t="str">
        <x:v>Yes</x:v>
      </x:c>
      <x:c r="E626" s="87" t="str">
        <x:v>sanofi</x:v>
      </x:c>
      <x:c r="F626" s="87" t="str">
        <x:v>32</x:v>
      </x:c>
      <x:c r="G626" s="87" t="str">
        <x:v>030-340-170-465-847</x:v>
      </x:c>
      <x:c r="H626" s="110" t="n">
        <x:v>43119</x:v>
      </x:c>
      <x:c r="I626" s="88" t="n">
        <x:v>2018</x:v>
      </x:c>
      <x:c r="J626" s="87" t="str">
        <x:v>EP</x:v>
      </x:c>
      <x:c r="K626" s="87" t="str">
        <x:v>B1</x:v>
      </x:c>
      <x:c r="L626" s="87" t="str">
        <x:v>EP 3740267 B1</x:v>
      </x:c>
      <x:c r="M626" s="87" t="str">
        <x:v>SANOFI SA</x:v>
      </x:c>
      <x:c r="N626" s="87" t="str">
        <x:v>SANOFI (2023-11-01)</x:v>
      </x:c>
      <x:c r="O626" s="87" t="str">
        <x:v>PACKAGING CONTAINER</x:v>
      </x:c>
      <x:c r="P626" s="109" t="n">
        <x:v>0</x:v>
      </x:c>
      <x:c r="Q626" s="109" t="n">
        <x:v>5</x:v>
      </x:c>
      <x:c r="R626" s="87" t="str">
        <x:v>A61M5/24;;A61M5/31513;;A61M5/31585;;A61M2005/2407;;A61M2005/2444;;A61M2005/3131;;A61M5/31513;;A61M5/24;;A61M5/3129;;A61M5/31563;;A61M5/31585;;A61M2005/2407;;A61M2005/2444;;A61M2005/3131</x:v>
      </x:c>
      <x:c r="S626" s="87" t="str">
        <x:v>A61M5/24;;A61M5/31;;A61M5/315</x:v>
      </x:c>
      <x:c r="T626" s="87" t="str">
        <x:v>ACTIVE</x:v>
      </x:c>
      <x:c r="U626" s="87" t="str">
        <x:v>https://lens.org/030-340-170-465-847</x:v>
      </x:c>
    </x:row>
    <x:row r="627">
      <x:c r="A627" s="87" t="str">
        <x:v>Sanofi_Applicant_EP_Families_2015_2021.csv(1).csv</x:v>
      </x:c>
      <x:c r="B627" s="87" t="str">
        <x:v>Sanofi</x:v>
      </x:c>
      <x:c r="C627" s="87" t="str">
        <x:v>TRT-0010</x:v>
      </x:c>
      <x:c r="D627" s="87" t="str">
        <x:v>Yes</x:v>
      </x:c>
      <x:c r="E627" s="87" t="str">
        <x:v>sanofi</x:v>
      </x:c>
      <x:c r="F627" s="87" t="str">
        <x:v>33</x:v>
      </x:c>
      <x:c r="G627" s="87" t="str">
        <x:v>052-952-132-387-61X</x:v>
      </x:c>
      <x:c r="H627" s="110" t="n">
        <x:v>41715</x:v>
      </x:c>
      <x:c r="I627" s="88" t="n">
        <x:v>2014</x:v>
      </x:c>
      <x:c r="J627" s="87" t="str">
        <x:v>EP</x:v>
      </x:c>
      <x:c r="K627" s="87" t="str">
        <x:v>B1</x:v>
      </x:c>
      <x:c r="L627" s="87" t="str">
        <x:v>EP 3119810 B1</x:v>
      </x:c>
      <x:c r="M627" s="87" t="str">
        <x:v>SANOFI BIOTECHNOLOGY;;REGENERON PHARMA</x:v>
      </x:c>
      <x:c r="N627" s="87" t="str">
        <x:v>REGENERON PHARMACEUTICALS, INC. (2024-06-26);;SANOFI BIOTECHNOLOGY (2024-06-26);;REGENERON PHARMACEUTICALS, INC.; US (2024-06-26);;SANOFI BIOTECHNOLOGY; FR (2024-06-26)</x:v>
      </x:c>
      <x:c r="O627" s="87" t="str">
        <x:v>METHODS FOR REDUCING CARDIOVASCULAR RISK</x:v>
      </x:c>
      <x:c r="P627" s="109" t="n">
        <x:v>0</x:v>
      </x:c>
      <x:c r="Q627" s="109" t="n">
        <x:v>30</x:v>
      </x:c>
      <x:c r="R627" s="87" t="str">
        <x:v>C07K16/40;;A61K31/40;;A61K31/505;;A61K39/39558;;A61K2039/505;;A61P9/00;;A61P9/10;;A61P43/00;;C07K2317/76;;C07K16/40;;A61K31/40;;A61K31/505;;A61K39/39558;;A61K2039/505;;A61K2300/00;;A61P9/00;;A61P9/10;;A61P43/00;;C07K2317/76;;C07K16/40;;A61K2039/505;;A61P9/00;;A61P9/10;;C07K2317/76;;C07K16/40;;A61K31/40;;A61K31/505;;A61K39/39558;;A61K2039/505;;C07K2317/76</x:v>
      </x:c>
      <x:c r="S627" s="87" t="str">
        <x:v>C07K16/40;;A61K39/395;;A61P9/00</x:v>
      </x:c>
      <x:c r="T627" s="87" t="str">
        <x:v>ACTIVE</x:v>
      </x:c>
      <x:c r="U627" s="87" t="str">
        <x:v>https://lens.org/052-952-132-387-61X</x:v>
      </x:c>
    </x:row>
    <x:row r="628">
      <x:c r="A628" s="87" t="str">
        <x:v>Sanofi_Applicant_EP_Families_2015_2021.csv(1).csv</x:v>
      </x:c>
      <x:c r="B628" s="87" t="str">
        <x:v>Sanofi</x:v>
      </x:c>
      <x:c r="C628" s="87" t="str">
        <x:v>TRT-0010</x:v>
      </x:c>
      <x:c r="D628" s="87" t="str">
        <x:v>Yes</x:v>
      </x:c>
      <x:c r="E628" s="87" t="str">
        <x:v>sanofi</x:v>
      </x:c>
      <x:c r="F628" s="87" t="str">
        <x:v>34</x:v>
      </x:c>
      <x:c r="G628" s="87" t="str">
        <x:v>054-110-318-219-94X</x:v>
      </x:c>
      <x:c r="H628" s="110" t="n">
        <x:v>42635</x:v>
      </x:c>
      <x:c r="I628" s="88" t="n">
        <x:v>2016</x:v>
      </x:c>
      <x:c r="J628" s="87" t="str">
        <x:v>EP</x:v>
      </x:c>
      <x:c r="K628" s="87" t="str">
        <x:v>B1</x:v>
      </x:c>
      <x:c r="L628" s="87" t="str">
        <x:v>EP 3515465 B1</x:v>
      </x:c>
      <x:c r="M628" s="87" t="str">
        <x:v>REGENERON PHARMA;;SANOFI BIOTECHNOLOGY</x:v>
      </x:c>
      <x:c r="N628" s="87" t="str">
        <x:v>REGENERON PHARMACEUTICALS, INC. (2024-06-05);;REGENERON PHARMACEUTICALS, INC., TARRYTOWN, US (2024-08-16);;SANOFI BIOTECHNOLOGY (2024-06-05);;SANOFI BIOTECHNOLOGY, FR (2024-08-16)</x:v>
      </x:c>
      <x:c r="O628" s="87" t="str">
        <x:v>METHODS FOR TREATING SEVERE ATOPIC DERMATITIS BY ADMINISTERING AN IL-4R INHIBITOR</x:v>
      </x:c>
      <x:c r="P628" s="109" t="n">
        <x:v>0</x:v>
      </x:c>
      <x:c r="Q628" s="109" t="n">
        <x:v>32</x:v>
      </x:c>
      <x:c r="R628" s="87" t="str">
        <x:v>C07K16/2866;;A61K45/06;;A61K39/3955;;A61K9/0019;;A61P17/00;;C07K2317/565;;C07K2317/56;;C07K2317/76;;C07K2317/90;;C07K2317/21;;A61K2039/505;;A61K2039/54;;A61K2039/545;;A61K38/00;;C07K16/2866;;C07K2317/21;;C07K2317/76;;A61K2039/545;;A61K2039/505;;C07K2317/90;;A61K39/395;;C07K7/06;;C07K16/2866;;C07K2317/21;;A61K2039/505;;A61K2039/54;;A61K39/395;;C07K16/247;;A61K2039/545;;A61K9/0019;;A61K38/02;;A61P17/00;;A61K45/06;;A61P17/00;;C07K16/2866;;A61K2039/505;;A61K2039/545;;A61K2039/54;;C07K2317/21;;A61K38/02;;A61P17/00;;A61P17/00;;A61K9/0019;;A61K38/02;;A61K39/395;;A61K45/06;;A61K2039/505;;A61K2039/54;;A61K2039/545;;C07K7/06;;C07K16/247;;C07K16/2866;;C07K2317/21</x:v>
      </x:c>
      <x:c r="S628" s="87" t="str">
        <x:v>A61K38/00;;A61K39/00;;A61K39/395;;A61P17/00;;C07K16/28</x:v>
      </x:c>
      <x:c r="T628" s="87" t="str">
        <x:v>ACTIVE</x:v>
      </x:c>
      <x:c r="U628" s="87" t="str">
        <x:v>https://lens.org/054-110-318-219-94X</x:v>
      </x:c>
    </x:row>
    <x:row r="629">
      <x:c r="A629" s="87" t="str">
        <x:v>Sanofi_Applicant_EP_Families_2015_2021.csv(1).csv</x:v>
      </x:c>
      <x:c r="B629" s="87" t="str">
        <x:v>Sanofi</x:v>
      </x:c>
      <x:c r="C629" s="87" t="str">
        <x:v>TRT-0010</x:v>
      </x:c>
      <x:c r="D629" s="87" t="str">
        <x:v>Yes</x:v>
      </x:c>
      <x:c r="E629" s="87" t="str">
        <x:v>sanofi</x:v>
      </x:c>
      <x:c r="F629" s="87" t="str">
        <x:v>35</x:v>
      </x:c>
      <x:c r="G629" s="87" t="str">
        <x:v>187-251-088-850-497</x:v>
      </x:c>
      <x:c r="H629" s="110" t="n">
        <x:v>43888</x:v>
      </x:c>
      <x:c r="I629" s="88" t="n">
        <x:v>2020</x:v>
      </x:c>
      <x:c r="J629" s="87" t="str">
        <x:v>EP</x:v>
      </x:c>
      <x:c r="K629" s="87" t="str">
        <x:v>B1</x:v>
      </x:c>
      <x:c r="L629" s="87" t="str">
        <x:v>EP 4110326 B1</x:v>
      </x:c>
      <x:c r="M629" s="87" t="str">
        <x:v>SANOFI SA</x:v>
      </x:c>
      <x:c r="N629" s="87" t="str">
        <x:v>SANOFI (2023-01-11)</x:v>
      </x:c>
      <x:c r="O629" s="87" t="str">
        <x:v>COMBINATION COMPRISING ALPELISIB AND 6-(2,4-DICHLOROPHENYL)-5-[4-[(3S)-1-(3-FLUOROPROPYL)PYRROLIDIN-3-YL]OXYPHENYL]-8,9-DIHYDRO-7H-BENZO[7]ANNULENE-2-CARBOXYLIC ACID</x:v>
      </x:c>
      <x:c r="P629" s="109" t="n">
        <x:v>0</x:v>
      </x:c>
      <x:c r="Q629" s="109" t="n">
        <x:v>17</x:v>
      </x:c>
      <x:c r="R629" s="87" t="str">
        <x:v>A61P35/00;;A61K31/40;;A61K31/4439;;A61P35/04;;A61K31/40;;A61K31/4439;;A61P35/00;;A61P35/04;;A61K31/40;;A61K31/4439;;A61K2300/00;;A61P35/00;;A61K31/4439;;A61K31/40;;A61P35/00</x:v>
      </x:c>
      <x:c r="S629" s="87" t="str">
        <x:v>A61K31/40;;A61K31/4439;;A61P35/00;;A61P35/04</x:v>
      </x:c>
      <x:c r="T629" s="87" t="str">
        <x:v>ACTIVE</x:v>
      </x:c>
      <x:c r="U629" s="87" t="str">
        <x:v>https://lens.org/187-251-088-850-497</x:v>
      </x:c>
    </x:row>
    <x:row r="630">
      <x:c r="A630" s="87" t="str">
        <x:v>Sanofi_Applicant_EP_Families_2015_2021.csv(1).csv</x:v>
      </x:c>
      <x:c r="B630" s="87" t="str">
        <x:v>Sanofi</x:v>
      </x:c>
      <x:c r="C630" s="87" t="str">
        <x:v>TRT-0010</x:v>
      </x:c>
      <x:c r="D630" s="87" t="str">
        <x:v>Yes</x:v>
      </x:c>
      <x:c r="E630" s="87" t="str">
        <x:v>sanofi</x:v>
      </x:c>
      <x:c r="F630" s="87" t="str">
        <x:v>36</x:v>
      </x:c>
      <x:c r="G630" s="87" t="str">
        <x:v>084-636-025-026-591</x:v>
      </x:c>
      <x:c r="H630" s="110" t="n">
        <x:v>42608</x:v>
      </x:c>
      <x:c r="I630" s="88" t="n">
        <x:v>2016</x:v>
      </x:c>
      <x:c r="J630" s="87" t="str">
        <x:v>EP</x:v>
      </x:c>
      <x:c r="K630" s="87" t="str">
        <x:v>B1</x:v>
      </x:c>
      <x:c r="L630" s="87" t="str">
        <x:v>EP 3504233 B1</x:v>
      </x:c>
      <x:c r="M630" s="87" t="str">
        <x:v>SANOFI SA</x:v>
      </x:c>
      <x:c r="N630" s="87" t="str">
        <x:v>SANOFI (2022-12-28)</x:v>
      </x:c>
      <x:c r="O630" s="87" t="str">
        <x:v>MULTISPECIFIC ANTIBODIES FACILITATING SELECTIVE LIGHT CHAIN PAIRING</x:v>
      </x:c>
      <x:c r="P630" s="109" t="n">
        <x:v>0</x:v>
      </x:c>
      <x:c r="Q630" s="109" t="n">
        <x:v>24</x:v>
      </x:c>
      <x:c r="R630" s="87" t="str">
        <x:v>C07K16/244;;A61P37/02;;A61P43/00;;C07K16/247;;C07K16/2809;;C07K16/2866;;C07K16/468;;C07K2317/31;;C07K2317/35;;C07K2317/41;;C07K2317/50;;C07K2317/515;;C07K2317/52;;C07K2317/524;;C07K2317/526;;C07K2317/53;;C07K2317/55;;C07K2317/56;;C07K2317/622;;C07K2317/64;;C07K2317/66;;C07K2317/76;;C07K2317/92;;C07K16/00;;C07K16/244;;C07K16/247;;C07K16/2809;;C07K16/2866;;C07K16/468;;C07K2317/31;;C07K2317/35;;C07K2317/41;;C07K2317/50;;C07K2317/515;;C07K2317/52;;C07K2317/524;;C07K2317/526;;C07K2317/53;;C07K2317/55;;C07K2317/56;;C07K2317/622;;C07K2317/64;;C07K2317/66;;C07K2317/76;;C07K2317/92</x:v>
      </x:c>
      <x:c r="S630" s="87" t="str">
        <x:v>C07K16/00;;C07K16/24</x:v>
      </x:c>
      <x:c r="T630" s="87" t="str">
        <x:v>ACTIVE</x:v>
      </x:c>
      <x:c r="U630" s="87" t="str">
        <x:v>https://lens.org/084-636-025-026-591</x:v>
      </x:c>
    </x:row>
    <x:row r="631">
      <x:c r="A631" s="87" t="str">
        <x:v>Sanofi_Applicant_EP_Families_2015_2021.csv(1).csv</x:v>
      </x:c>
      <x:c r="B631" s="87" t="str">
        <x:v>Sanofi</x:v>
      </x:c>
      <x:c r="C631" s="87" t="str">
        <x:v>TRT-0010</x:v>
      </x:c>
      <x:c r="D631" s="87" t="str">
        <x:v>Yes</x:v>
      </x:c>
      <x:c r="E631" s="87" t="str">
        <x:v>sanofi</x:v>
      </x:c>
      <x:c r="F631" s="87" t="str">
        <x:v>37</x:v>
      </x:c>
      <x:c r="G631" s="87" t="str">
        <x:v>082-383-116-014-259</x:v>
      </x:c>
      <x:c r="H631" s="110" t="n">
        <x:v>41691</x:v>
      </x:c>
      <x:c r="I631" s="88" t="n">
        <x:v>2014</x:v>
      </x:c>
      <x:c r="J631" s="87" t="str">
        <x:v>EP</x:v>
      </x:c>
      <x:c r="K631" s="87" t="str">
        <x:v>B1</x:v>
      </x:c>
      <x:c r="L631" s="87" t="str">
        <x:v>EP 3973987 B1</x:v>
      </x:c>
      <x:c r="M631" s="87" t="str">
        <x:v>SANOFI BIOTECHNOLOGY;;REGENERON PHARMA</x:v>
      </x:c>
      <x:c r="N631" s="87" t="str">
        <x:v>REGENERON PHARMACEUTICALS, INC. (2023-12-20);;SANOFI BIOTECHNOLOGY (2023-12-20)</x:v>
      </x:c>
      <x:c r="O631" s="87" t="str">
        <x:v>COMBINATION COMPRISING AN IL-4R ANTAGONIST, A CORTICOSTEROID AND A LONG-ACTING BETA2-ADRENERGIC AGONIST FOR TREATING ASTHMA</x:v>
      </x:c>
      <x:c r="P631" s="109" t="n">
        <x:v>0</x:v>
      </x:c>
      <x:c r="Q631" s="109" t="n">
        <x:v>46</x:v>
      </x:c>
      <x:c r="R631" s="87" t="str">
        <x:v>A61K31/00;;A61K31/167;;A61K31/56;;C07K16/2866;;A61K2039/54;;C07K2317/21;;A61K39/3955;;A61K31/137;;A61K31/569;;A61K31/58;;A61K2039/545;;A61P11/06;;A61P43/00;;C07K16/2866;;A61P11/06;;A61K2039/505;;C07K2317/76;;A61K39/395;;A61P11/06;;A61K31/00;;A61K31/167;;A61K31/56;;C07K16/2866;;A61K2039/54;;C07K2317/21;;A61K39/3955;;A61K31/137;;A61K31/569;;A61K31/58;;A61K2039/545</x:v>
      </x:c>
      <x:c r="S631" s="87" t="str">
        <x:v>A61K39/395;;A61K31/00;;A61K31/167;;A61K31/56;;A61P11/06</x:v>
      </x:c>
      <x:c r="T631" s="87" t="str">
        <x:v>INACTIVE</x:v>
      </x:c>
      <x:c r="U631" s="87" t="str">
        <x:v>https://lens.org/082-383-116-014-259</x:v>
      </x:c>
    </x:row>
    <x:row r="632">
      <x:c r="A632" s="87" t="str">
        <x:v>Sanofi_Applicant_EP_Families_2015_2021.csv(1).csv</x:v>
      </x:c>
      <x:c r="B632" s="87" t="str">
        <x:v>Sanofi</x:v>
      </x:c>
      <x:c r="C632" s="87" t="str">
        <x:v>TRT-0010</x:v>
      </x:c>
      <x:c r="D632" s="87" t="str">
        <x:v>Yes</x:v>
      </x:c>
      <x:c r="E632" s="87" t="str">
        <x:v>sanofi</x:v>
      </x:c>
      <x:c r="F632" s="87" t="str">
        <x:v>38</x:v>
      </x:c>
      <x:c r="G632" s="87" t="str">
        <x:v>140-842-057-035-624</x:v>
      </x:c>
      <x:c r="H632" s="110" t="n">
        <x:v>44246</x:v>
      </x:c>
      <x:c r="I632" s="88" t="n">
        <x:v>2021</x:v>
      </x:c>
      <x:c r="J632" s="87" t="str">
        <x:v>EP</x:v>
      </x:c>
      <x:c r="K632" s="87" t="str">
        <x:v>A1</x:v>
      </x:c>
      <x:c r="L632" s="87" t="str">
        <x:v>EP 4294432 A1</x:v>
      </x:c>
      <x:c r="M632" s="87" t="str">
        <x:v>SANOFI PASTEUR INC</x:v>
      </x:c>
      <x:c r="N632" s="87" t="str">
        <x:v>SANOFI VACCINES US INC. (2026-05-27)</x:v>
      </x:c>
      <x:c r="O632" s="87" t="str">
        <x:v>MENINGOCOCCAL B RECOMBINANT VACCINE</x:v>
      </x:c>
      <x:c r="P632" s="109" t="n">
        <x:v>0</x:v>
      </x:c>
      <x:c r="Q632" s="109" t="n">
        <x:v>14</x:v>
      </x:c>
      <x:c r="R632" s="87" t="str">
        <x:v>A61K39/095;;A61K2039/55505;;A61K2039/70;;A61P31/04;;C07K14/22;;C12R2001/36;;A61K39/095;;A61K39/39;;A61K2039/55505;;A61K2039/70;;A61P31/04;;A61P37/04;;C07K14/22;;C12R2001/36;;A61K39/095;;A61K2039/55505;;A61K2039/70;;A61P31/04;;C07K14/22;;A61K39/095;;A61K39/39;;A61K2039/55505;;A61P31/04;;A61P37/04</x:v>
      </x:c>
      <x:c r="S632" s="87" t="str">
        <x:v>A61K39/095;;A61P31/04;;C07K14/22</x:v>
      </x:c>
      <x:c r="T632" s="87" t="str">
        <x:v>PENDING</x:v>
      </x:c>
      <x:c r="U632" s="87" t="str">
        <x:v>https://lens.org/140-842-057-035-624</x:v>
      </x:c>
    </x:row>
    <x:row r="633">
      <x:c r="A633" s="87" t="str">
        <x:v>Sanofi_Applicant_EP_Families_2015_2021.csv(1).csv</x:v>
      </x:c>
      <x:c r="B633" s="87" t="str">
        <x:v>Sanofi</x:v>
      </x:c>
      <x:c r="C633" s="87" t="str">
        <x:v>TRT-0010</x:v>
      </x:c>
      <x:c r="D633" s="87" t="str">
        <x:v>Yes</x:v>
      </x:c>
      <x:c r="E633" s="87" t="str">
        <x:v>sanofi</x:v>
      </x:c>
      <x:c r="F633" s="87" t="str">
        <x:v>39</x:v>
      </x:c>
      <x:c r="G633" s="87" t="str">
        <x:v>140-256-388-846-892</x:v>
      </x:c>
      <x:c r="H633" s="110" t="n">
        <x:v>42717</x:v>
      </x:c>
      <x:c r="I633" s="88" t="n">
        <x:v>2016</x:v>
      </x:c>
      <x:c r="J633" s="87" t="str">
        <x:v>EP</x:v>
      </x:c>
      <x:c r="K633" s="87" t="str">
        <x:v>C0</x:v>
      </x:c>
      <x:c r="L633" s="87" t="str">
        <x:v>EP 3555779 C0</x:v>
      </x:c>
      <x:c r="M633" s="87" t="str">
        <x:v>SANOFI SA</x:v>
      </x:c>
      <x:c r="N633" s="87" t="str">
        <x:v>SANOFI (2023-11-01)</x:v>
      </x:c>
      <x:c r="O633" s="87" t="str">
        <x:v>DATA MANAGEMENT UNIT FOR SUPPORTING HEALTH CONTROL</x:v>
      </x:c>
      <x:c r="P633" s="109" t="n">
        <x:v>0</x:v>
      </x:c>
      <x:c r="Q633" s="109" t="n">
        <x:v>10</x:v>
      </x:c>
      <x:c r="R633" s="87" t="str">
        <x:v>G16H20/17;;G06F16/2379;;G16H10/60;;G16H20/10;;G16H50/30;;G16H50/70</x:v>
      </x:c>
      <x:c r="S633" s="87" t="str">
        <x:v>G16H20/17;;G16H10/65</x:v>
      </x:c>
      <x:c r="T633" s="87" t="str">
        <x:v>ACTIVE</x:v>
      </x:c>
      <x:c r="U633" s="87" t="str">
        <x:v>https://lens.org/140-256-388-846-892</x:v>
      </x:c>
    </x:row>
    <x:row r="634">
      <x:c r="A634" s="87" t="str">
        <x:v>Sanofi_Applicant_EP_Families_2015_2021.csv(1).csv</x:v>
      </x:c>
      <x:c r="B634" s="87" t="str">
        <x:v>Sanofi</x:v>
      </x:c>
      <x:c r="C634" s="87" t="str">
        <x:v>TRT-0010</x:v>
      </x:c>
      <x:c r="D634" s="87" t="str">
        <x:v>Yes</x:v>
      </x:c>
      <x:c r="E634" s="87" t="str">
        <x:v>sanofi</x:v>
      </x:c>
      <x:c r="F634" s="87" t="str">
        <x:v>40</x:v>
      </x:c>
      <x:c r="G634" s="87" t="str">
        <x:v>067-873-928-891-896</x:v>
      </x:c>
      <x:c r="H634" s="110" t="n">
        <x:v>41921</x:v>
      </x:c>
      <x:c r="I634" s="88" t="n">
        <x:v>2014</x:v>
      </x:c>
      <x:c r="J634" s="87" t="str">
        <x:v>EP</x:v>
      </x:c>
      <x:c r="K634" s="87" t="str">
        <x:v>B8</x:v>
      </x:c>
      <x:c r="L634" s="87" t="str">
        <x:v>EP 3204074 B8</x:v>
      </x:c>
      <x:c r="M634" s="87" t="str">
        <x:v>SANOFI SA</x:v>
      </x:c>
      <x:c r="N634" s="87" t="str">
        <x:v>SANOFI (2023-11-01)</x:v>
      </x:c>
      <x:c r="O634" s="87" t="str">
        <x:v>AUTOMATIC DRUG INJECTION DEVICE WITH TORSION DRIVE SPRING AND ROTATIONAL DOSE SETTING AND CORRECTION MECHANISM</x:v>
      </x:c>
      <x:c r="P634" s="109" t="n">
        <x:v>0</x:v>
      </x:c>
      <x:c r="Q634" s="109" t="n">
        <x:v>11</x:v>
      </x:c>
      <x:c r="R634" s="87" t="str">
        <x:v>A61M5/31535;;A61M5/20;;A61M5/31541;;A61M5/31553;;A61M5/3157;;A61M5/31593;;A61M2005/202;;A61M2205/581;;A61M2205/582;;A61M5/20;;A61M5/31535;;A61M5/31541;;A61M5/31553;;A61M5/3157;;A61M5/31583;;A61M5/31593;;A61M2005/202;;A61M2205/581;;A61M2205/582;;A61M5/31551;;A61M5/20;;A61M5/2033;;A61M5/31535;;A61M5/31541;;A61M5/31553;;A61M5/3157;;A61M5/31583;;A61M5/31593;;A61M2005/202;;A61M2005/3126;;A61M2205/581;;A61M2205/582;;A61M2205/583;;A61M2205/584</x:v>
      </x:c>
      <x:c r="S634" s="87" t="str">
        <x:v>A61M5/20;;A61M5/315</x:v>
      </x:c>
      <x:c r="T634" s="87" t="str">
        <x:v>ACTIVE</x:v>
      </x:c>
      <x:c r="U634" s="87" t="str">
        <x:v>https://lens.org/067-873-928-891-896</x:v>
      </x:c>
    </x:row>
    <x:row r="635">
      <x:c r="A635" s="87" t="str">
        <x:v>Sanofi_Applicant_EP_Families_2015_2021.csv(1).csv</x:v>
      </x:c>
      <x:c r="B635" s="87" t="str">
        <x:v>Sanofi</x:v>
      </x:c>
      <x:c r="C635" s="87" t="str">
        <x:v>TRT-0010</x:v>
      </x:c>
      <x:c r="D635" s="87" t="str">
        <x:v>Yes</x:v>
      </x:c>
      <x:c r="E635" s="87" t="str">
        <x:v>sanofi</x:v>
      </x:c>
      <x:c r="F635" s="87" t="str">
        <x:v>41</x:v>
      </x:c>
      <x:c r="G635" s="87" t="str">
        <x:v>012-296-894-989-285</x:v>
      </x:c>
      <x:c r="H635" s="110" t="n">
        <x:v>41142</x:v>
      </x:c>
      <x:c r="I635" s="88" t="n">
        <x:v>2012</x:v>
      </x:c>
      <x:c r="J635" s="87" t="str">
        <x:v>EP</x:v>
      </x:c>
      <x:c r="K635" s="87" t="str">
        <x:v>B8</x:v>
      </x:c>
      <x:c r="L635" s="87" t="str">
        <x:v>EP 4011915 B8</x:v>
      </x:c>
      <x:c r="M635" s="87" t="str">
        <x:v>SANOFI BIOTECHNOLOGY;;REGENERON PHARMA</x:v>
      </x:c>
      <x:c r="N635" s="87" t="str">
        <x:v>REGENERON PHARMACEUTICALS, INC. (2023-11-01);;REGENERON PHARMACEUTICALS, INC., TARRYTOWN, US (2023-10-09);;SANOFI BIOTECHNOLOGY (2023-11-01);;SANOFI BIOTECHNOLOGY, FR (2023-10-09)</x:v>
      </x:c>
      <x:c r="O635" s="87" t="str">
        <x:v>METHODS FOR TREATING OR PREVENTING ASTHMA BY ADMINISTERING AN IL-4R ANTAGONIST</x:v>
      </x:c>
      <x:c r="P635" s="109" t="n">
        <x:v>0</x:v>
      </x:c>
      <x:c r="Q635" s="109" t="n">
        <x:v>85</x:v>
      </x:c>
      <x:c r="R635" s="87" t="str">
        <x:v>A61K39/39541;;A61K2039/505;;A61K2039/54;;C07K2317/21;;C07K16/2866;;A61P11/00;;A61P11/02;;A61P11/04;;A61P11/06;;A61P11/08;;A61P29/00;;A61P31/10;;A61P37/00;;A61P37/08;;A61P43/00;;A61P9/00;;C07K16/2866;;A61P31/10;;A61P29/00;;A61P11/02;;C07K2317/76;;A61K39/3955;;A61P11/06;;A61P43/00;;A61P37/08;;A61K39/39541;;A61P37/00;;C07K2317/21;;A61P11/04;;A61P11/00;;C07K16/247;;A61P11/08;;A61K45/06;;A61K2039/54;;A61K2039/505;;A61P9/00;;C07K16/28;;C07K16/2866;;C07K2317/21;;A61K2039/505;;A61P11/06;;A61K2039/54;;A61K2039/545;;C07K2317/76;;A61P11/06;;A61K39/00;;C07K16/247;;A61K39/39541;;C12Q1/6883;;A61K2039/505;;A61K2039/54;;C07K2317/21;;C12Q2600/106;;C12Q2600/158;;A61K39/3955;;A61K45/06;;C07K16/2866;;C07K2317/565;;C07K2317/76;;G01N33/6854;;G01N33/6863;;G01N33/6893;;G01N2333/521;;G01N2800/122;;G01N2800/52</x:v>
      </x:c>
      <x:c r="S635" s="87" t="str">
        <x:v>C07K16/28;;A61K39/395</x:v>
      </x:c>
      <x:c r="T635" s="87" t="str">
        <x:v>INACTIVE</x:v>
      </x:c>
      <x:c r="U635" s="87" t="str">
        <x:v>https://lens.org/012-296-894-989-285</x:v>
      </x:c>
    </x:row>
    <x:row r="636">
      <x:c r="A636" s="87" t="str">
        <x:v>Sanofi_Applicant_EP_Families_2015_2021.csv(1).csv</x:v>
      </x:c>
      <x:c r="B636" s="87" t="str">
        <x:v>Sanofi</x:v>
      </x:c>
      <x:c r="C636" s="87" t="str">
        <x:v>TRT-0010</x:v>
      </x:c>
      <x:c r="D636" s="87" t="str">
        <x:v>Yes</x:v>
      </x:c>
      <x:c r="E636" s="87" t="str">
        <x:v>sanofi</x:v>
      </x:c>
      <x:c r="F636" s="87" t="str">
        <x:v>42</x:v>
      </x:c>
      <x:c r="G636" s="87" t="str">
        <x:v>012-574-680-860-627</x:v>
      </x:c>
      <x:c r="H636" s="110" t="n">
        <x:v>43042</x:v>
      </x:c>
      <x:c r="I636" s="88" t="n">
        <x:v>2017</x:v>
      </x:c>
      <x:c r="J636" s="87" t="str">
        <x:v>EP</x:v>
      </x:c>
      <x:c r="K636" s="87" t="str">
        <x:v>C0</x:v>
      </x:c>
      <x:c r="L636" s="87" t="str">
        <x:v>EP 3703789 C0</x:v>
      </x:c>
      <x:c r="M636" s="87" t="str">
        <x:v>SANOFI SA</x:v>
      </x:c>
      <x:c r="N636" s="87" t="str">
        <x:v>SANOFI (2022-12-28)</x:v>
      </x:c>
      <x:c r="O636" s="87" t="str">
        <x:v>SUBASSEMBLY FOR A DRUG DELIVERY DEVICE AND DRUG DELIVERY DEVICE</x:v>
      </x:c>
      <x:c r="P636" s="109" t="n">
        <x:v>0</x:v>
      </x:c>
      <x:c r="Q636" s="109" t="n">
        <x:v>9</x:v>
      </x:c>
      <x:c r="R636" s="87" t="str">
        <x:v>A61M5/20;;A61M5/002;;A61M5/24;;A61M5/3202;;A61M2005/2013;;A61M2005/3267;;A61M5/3137;;A61M5/20;;A61M5/3202;;A61M2005/3139;;A61M2205/0216;;A61M2205/586</x:v>
      </x:c>
      <x:c r="S636" s="87" t="str">
        <x:v>A61M5/20;;A61M5/00;;A61M5/24;;A61M5/32</x:v>
      </x:c>
      <x:c r="T636" s="87" t="str">
        <x:v>ACTIVE</x:v>
      </x:c>
      <x:c r="U636" s="87" t="str">
        <x:v>https://lens.org/012-574-680-860-627</x:v>
      </x:c>
    </x:row>
    <x:row r="637">
      <x:c r="A637" s="87" t="str">
        <x:v>Sanofi_Applicant_EP_Families_2015_2021.csv(1).csv</x:v>
      </x:c>
      <x:c r="B637" s="87" t="str">
        <x:v>Sanofi</x:v>
      </x:c>
      <x:c r="C637" s="87" t="str">
        <x:v>TRT-0010</x:v>
      </x:c>
      <x:c r="D637" s="87" t="str">
        <x:v>Yes</x:v>
      </x:c>
      <x:c r="E637" s="87" t="str">
        <x:v>sanofi</x:v>
      </x:c>
      <x:c r="F637" s="87" t="str">
        <x:v>43</x:v>
      </x:c>
      <x:c r="G637" s="87" t="str">
        <x:v>071-622-924-333-481</x:v>
      </x:c>
      <x:c r="H637" s="110" t="n">
        <x:v>43038</x:v>
      </x:c>
      <x:c r="I637" s="88" t="n">
        <x:v>2017</x:v>
      </x:c>
      <x:c r="J637" s="87" t="str">
        <x:v>EP</x:v>
      </x:c>
      <x:c r="K637" s="87" t="str">
        <x:v>B1</x:v>
      </x:c>
      <x:c r="L637" s="87" t="str">
        <x:v>EP 3703818 B1</x:v>
      </x:c>
      <x:c r="M637" s="87" t="str">
        <x:v>SANOFI BIOTECHNOLOGY;;REGENERON PHARMA</x:v>
      </x:c>
      <x:c r="N637" s="87" t="str">
        <x:v>REGENERON PHARMACEUTICALS, INC. (2023-11-01);;SANOFI BIOTECHNOLOGY (2023-11-01)</x:v>
      </x:c>
      <x:c r="O637" s="87" t="str">
        <x:v>IL-4R ANTAGONIST FOR USE IN A METHOD FOR TREATING OR PREVENTING ASTHMA</x:v>
      </x:c>
      <x:c r="P637" s="109" t="n">
        <x:v>0</x:v>
      </x:c>
      <x:c r="Q637" s="109" t="n">
        <x:v>30</x:v>
      </x:c>
      <x:c r="R637" s="87" t="str">
        <x:v>C07K16/2866;;A61K31/573;;A61K39/3955;;A61K2039/505;;A61K2039/54;;A61K2039/545;;A61P11/06;;C07K2317/21;;C07K2317/76;;C07K16/2866;;A61K31/573;;A61K39/3955;;A61K2039/505;;A61K2039/54;;A61K2039/545;;A61K2300/00;;A61P11/06;;C07K2317/21;;C07K2317/565;;C07K2317/76;;C07K16/2866;;A61K2039/505;;A61K2039/54;;A61K2039/545;;A61P11/06;;C07K2317/21;;C07K2317/76;;C07K16/2866;;A61B5/445;;A61K31/573;;A61K39/3955;;A61K2039/505;;A61K2039/54;;A61K2039/545;;A61P11/06;;C07K2317/21;;C07K2317/565;;C07K2317/76</x:v>
      </x:c>
      <x:c r="S637" s="87" t="str">
        <x:v>A61P11/06;;A61K39/395</x:v>
      </x:c>
      <x:c r="T637" s="87" t="str">
        <x:v>INACTIVE</x:v>
      </x:c>
      <x:c r="U637" s="87" t="str">
        <x:v>https://lens.org/071-622-924-333-481</x:v>
      </x:c>
    </x:row>
    <x:row r="638">
      <x:c r="A638" s="87" t="str">
        <x:v>Sanofi_Applicant_EP_Families_2015_2021.csv(1).csv</x:v>
      </x:c>
      <x:c r="B638" s="87" t="str">
        <x:v>Sanofi</x:v>
      </x:c>
      <x:c r="C638" s="87" t="str">
        <x:v>TRT-0010</x:v>
      </x:c>
      <x:c r="D638" s="87" t="str">
        <x:v>Yes</x:v>
      </x:c>
      <x:c r="E638" s="87" t="str">
        <x:v>sanofi</x:v>
      </x:c>
      <x:c r="F638" s="87" t="str">
        <x:v>44</x:v>
      </x:c>
      <x:c r="G638" s="87" t="str">
        <x:v>008-039-456-793-512</x:v>
      </x:c>
      <x:c r="H638" s="110" t="n">
        <x:v>43808</x:v>
      </x:c>
      <x:c r="I638" s="88" t="n">
        <x:v>2019</x:v>
      </x:c>
      <x:c r="J638" s="87" t="str">
        <x:v>EP</x:v>
      </x:c>
      <x:c r="K638" s="87" t="str">
        <x:v>B1</x:v>
      </x:c>
      <x:c r="L638" s="87" t="str">
        <x:v>EP 4073036 B1</x:v>
      </x:c>
      <x:c r="M638" s="87" t="str">
        <x:v>SANOFI SA</x:v>
      </x:c>
      <x:c r="N638" s="87" t="str">
        <x:v>SANOFI (2023-01-11)</x:v>
      </x:c>
      <x:c r="O638" s="87" t="str">
        <x:v>CRYSTALLINE FORM OF A 7H-BENZO[7]ANNULENE-2-CARBOXYLIC ACID DERIVATIVE</x:v>
      </x:c>
      <x:c r="P638" s="109" t="n">
        <x:v>1</x:v>
      </x:c>
      <x:c r="Q638" s="109" t="n">
        <x:v>18</x:v>
      </x:c>
      <x:c r="R638" s="87" t="str">
        <x:v>C07D207/12;;A61P35/00;;C07D207/12;;A61P35/00;;C07D207/12;;A61K31/4015;;A61P35/00;;C07B2200/13;;C07D207/12;;A61K31/4015;;A61P35/00;;C07B2200/13</x:v>
      </x:c>
      <x:c r="S638" s="87" t="str">
        <x:v>C07D207/12;;A61K31/40;;A61P35/00</x:v>
      </x:c>
      <x:c r="T638" s="87" t="str">
        <x:v>ACTIVE</x:v>
      </x:c>
      <x:c r="U638" s="87" t="str">
        <x:v>https://lens.org/008-039-456-793-512</x:v>
      </x:c>
    </x:row>
    <x:row r="639">
      <x:c r="A639" s="87" t="str">
        <x:v>Sanofi_Applicant_EP_Families_2015_2021.csv(1).csv</x:v>
      </x:c>
      <x:c r="B639" s="87" t="str">
        <x:v>Sanofi</x:v>
      </x:c>
      <x:c r="C639" s="87" t="str">
        <x:v>TRT-0010</x:v>
      </x:c>
      <x:c r="D639" s="87" t="str">
        <x:v>Yes</x:v>
      </x:c>
      <x:c r="E639" s="87" t="str">
        <x:v>sanofi, ablynx</x:v>
      </x:c>
      <x:c r="F639" s="87" t="str">
        <x:v>45</x:v>
      </x:c>
      <x:c r="G639" s="87" t="str">
        <x:v>174-816-028-067-162</x:v>
      </x:c>
      <x:c r="H639" s="110" t="n">
        <x:v>44183</x:v>
      </x:c>
      <x:c r="I639" s="88" t="n">
        <x:v>2020</x:v>
      </x:c>
      <x:c r="J639" s="87" t="str">
        <x:v>EP</x:v>
      </x:c>
      <x:c r="K639" s="87" t="str">
        <x:v>A1</x:v>
      </x:c>
      <x:c r="L639" s="87" t="str">
        <x:v>EP 4262985 A1</x:v>
      </x:c>
      <x:c r="M639" s="87" t="str">
        <x:v>ABLYNX NV;;SANOFI SA</x:v>
      </x:c>
      <x:c r="N639" s="87" t="str">
        <x:v>ABLYNX NV (2023-12-06);;SANOFI (2023-12-06)</x:v>
      </x:c>
      <x:c r="O639" s="87" t="str">
        <x:v>POLYPEPTIDES COMPRISING IMMUNOGLOBULIN SINGLE VARIABLE DOMAINS TARGETING GLYPICAN-3 AND T CELL RECEPTOR</x:v>
      </x:c>
      <x:c r="P639" s="109" t="n">
        <x:v>0</x:v>
      </x:c>
      <x:c r="Q639" s="109" t="n">
        <x:v>15</x:v>
      </x:c>
      <x:c r="R639" s="87" t="str">
        <x:v>C07K2317/92;;C07K2317/94;;C07K16/18;;C07K16/2809;;C07K16/303;;C07K2317/31;;C07K2317/35;;C07K2317/56;;C07K2317/565;;C07K2317/569;;C07K2317/73;;C07K2317/77;;A61K2039/505;;A61P35/00;;C07K2317/33;;C07K16/303;;C07K2317/56;;C07K16/2809;;C07K2317/94;;C07K2317/35;;C07K2317/569;;C07K2317/92;;C07K2317/73;;C07K2319/30;;A61P35/00;;C07K2317/565;;C07K2317/31;;C07K16/18;;C07K2317/33;;A61K2039/505;;C07K2317/77;;C07K16/2809;;C07K16/303;;A61P35/00;;A61K2039/505;;C07K2319/31;;C07K2317/33;;C07K2317/35;;C07K2317/565;;C07K2317/73;;C07K2317/77;;C07K2317/92;;C07K2317/94;;A61P35/00;;A61K2039/505;;C07K16/2809;;C07K16/303;;C07K2317/31;;C07K2317/33;;C07K2317/565;;C07K2317/569;;C07K2317/73;;C07K2317/92;;C07K2319/30</x:v>
      </x:c>
      <x:c r="S639" s="87" t="str">
        <x:v>A61P35/00;;C07K16/18;;C07K16/28;;C07K16/30</x:v>
      </x:c>
      <x:c r="T639" s="87" t="str">
        <x:v>PENDING</x:v>
      </x:c>
      <x:c r="U639" s="87" t="str">
        <x:v>https://lens.org/174-816-028-067-162</x:v>
      </x:c>
    </x:row>
    <x:row r="640">
      <x:c r="A640" s="87" t="str">
        <x:v>Sanofi_Applicant_EP_Families_2015_2021.csv(1).csv</x:v>
      </x:c>
      <x:c r="B640" s="87" t="str">
        <x:v>Sanofi</x:v>
      </x:c>
      <x:c r="C640" s="87" t="str">
        <x:v>TRT-0010</x:v>
      </x:c>
      <x:c r="D640" s="87" t="str">
        <x:v>Yes</x:v>
      </x:c>
      <x:c r="E640" s="87" t="str">
        <x:v>sanofi, ablynx</x:v>
      </x:c>
      <x:c r="F640" s="87" t="str">
        <x:v>46</x:v>
      </x:c>
      <x:c r="G640" s="87" t="str">
        <x:v>035-966-021-876-964</x:v>
      </x:c>
      <x:c r="H640" s="110" t="n">
        <x:v>44183</x:v>
      </x:c>
      <x:c r="I640" s="88" t="n">
        <x:v>2020</x:v>
      </x:c>
      <x:c r="J640" s="87" t="str">
        <x:v>EP</x:v>
      </x:c>
      <x:c r="K640" s="87" t="str">
        <x:v>A1</x:v>
      </x:c>
      <x:c r="L640" s="87" t="str">
        <x:v>EP 4263610 A1</x:v>
      </x:c>
      <x:c r="M640" s="87" t="str">
        <x:v>ABLYNX NV;;SANOFI SA</x:v>
      </x:c>
      <x:c r="N640" s="87" t="str">
        <x:v>ABLYNX NV (2023-12-13);;SANOFI (2023-12-13)</x:v>
      </x:c>
      <x:c r="O640" s="87" t="str">
        <x:v>T CELL RECRUITING POLYPEPTIDES BASED ON TCR ALPHA/BETA REACTIVITY</x:v>
      </x:c>
      <x:c r="P640" s="109" t="n">
        <x:v>0</x:v>
      </x:c>
      <x:c r="Q640" s="109" t="n">
        <x:v>13</x:v>
      </x:c>
      <x:c r="R640" s="87" t="str">
        <x:v>C07K16/2809;;A61K2039/505;;A61P35/00;;A61P35/02;;A61P37/00;;C07K16/18;;C07K16/2803;;C07K16/2866;;C07K16/2896;;C07K16/303;;C07K16/32;;C07K2317/24;;C07K2317/31;;C07K2317/33;;C07K2317/569;;C07K2317/626;;C07K2317/92;;C07K2319/31;;C07K16/2809;;A61K2039/505;;A61P35/00;;A61P35/02;;A61P37/00;;C07K16/18;;C07K16/2803;;C07K16/2866;;C07K16/2896;;C07K16/303;;C07K16/32;;C07K2317/24;;C07K2317/31;;C07K2317/33;;C07K2317/569;;C07K2317/626;;C07K2317/92;;C07K2319/31;;C07K16/2809;;A61K2039/505;;A61P35/00;;A61P37/00;;C07K16/18;;C07K16/2803;;C07K16/2866;;C07K16/2896;;C07K16/303;;C07K16/32;;C07K2317/31;;C07K2317/33;;C07K2317/569;;C07K2317/626;;C07K2317/92;;C07K2319/31;;C07K16/2866;;A61K2039/505;;A61P35/02;;C07K16/2809;;C07K2317/21;;C07K2317/31;;C07K2317/33;;C07K2317/565;;C07K2317/94;;C07K2319/31</x:v>
      </x:c>
      <x:c r="S640" s="87" t="str">
        <x:v>C07K16/28;;A61P35/00;;A61P37/00;;C07K16/30;;C07K16/32</x:v>
      </x:c>
      <x:c r="T640" s="87" t="str">
        <x:v>PENDING</x:v>
      </x:c>
      <x:c r="U640" s="87" t="str">
        <x:v>https://lens.org/035-966-021-876-964</x:v>
      </x:c>
    </x:row>
    <x:row r="641">
      <x:c r="A641" s="87" t="str">
        <x:v>Sanofi_Applicant_EP_Families_2015_2021.csv(1).csv</x:v>
      </x:c>
      <x:c r="B641" s="87" t="str">
        <x:v>Sanofi</x:v>
      </x:c>
      <x:c r="C641" s="87" t="str">
        <x:v>TRT-0010</x:v>
      </x:c>
      <x:c r="D641" s="87" t="str">
        <x:v>Yes</x:v>
      </x:c>
      <x:c r="E641" s="87" t="str">
        <x:v>sanofi, ablynx</x:v>
      </x:c>
      <x:c r="F641" s="87" t="str">
        <x:v>47</x:v>
      </x:c>
      <x:c r="G641" s="87" t="str">
        <x:v>199-444-682-524-72X</x:v>
      </x:c>
      <x:c r="H641" s="110" t="n">
        <x:v>44183</x:v>
      </x:c>
      <x:c r="I641" s="88" t="n">
        <x:v>2020</x:v>
      </x:c>
      <x:c r="J641" s="87" t="str">
        <x:v>EP</x:v>
      </x:c>
      <x:c r="K641" s="87" t="str">
        <x:v>A1</x:v>
      </x:c>
      <x:c r="L641" s="87" t="str">
        <x:v>EP 4263602 A1</x:v>
      </x:c>
      <x:c r="M641" s="87" t="str">
        <x:v>ABLYNX NV;;SANOFI SA</x:v>
      </x:c>
      <x:c r="N641" s="87" t="str">
        <x:v>ABLYNX NV (2024-01-24);;SANOFI (2024-01-24)</x:v>
      </x:c>
      <x:c r="O641" s="87" t="str">
        <x:v>POLYPEPTIDES COMPRISING IMMUNOGLOBULIN SINGLE VARIABLE DOMAINS TARGETING IL-6 AND TNF-ALPHA</x:v>
      </x:c>
      <x:c r="P641" s="109" t="n">
        <x:v>0</x:v>
      </x:c>
      <x:c r="Q641" s="109" t="n">
        <x:v>9</x:v>
      </x:c>
      <x:c r="R641" s="87" t="str">
        <x:v>C07K16/248;;C07K16/241;;C07K16/18;;C07K2317/569;;C07K2317/92;;C07K2317/94;;C07K2317/33;;C07K2317/31;;C07K2317/35;;C07K2317/76;;A61K2039/507;;A61K2039/505;;A61P37/02;;A61P29/00;;A61P19/00;;A61P19/08;;A61K2039/545;;C07K16/248;;C07K16/241;;A61P19/02;;A61P29/00;;A61P37/02;;A61K2039/507;;C07K2317/31;;C07K2317/33;;C07K2317/35;;C07K2317/565;;C07K2317/76;;C07K2317/92;;C07K2317/94;;A61P29/00;;C07K16/248;;C07K16/2875;;C07K2317/31;;C07K2317/565;;C07K2317/94</x:v>
      </x:c>
      <x:c r="S641" s="87" t="str">
        <x:v>C07K16/24;;A61P19/00;;A61P19/08;;A61P29/00;;A61P37/02;;C07K16/18</x:v>
      </x:c>
      <x:c r="T641" s="87" t="str">
        <x:v>PENDING</x:v>
      </x:c>
      <x:c r="U641" s="87" t="str">
        <x:v>https://lens.org/199-444-682-524-72X</x:v>
      </x:c>
    </x:row>
    <x:row r="642">
      <x:c r="A642" s="87" t="str">
        <x:v>Sanofi_Applicant_EP_Families_2015_2021.csv(1).csv</x:v>
      </x:c>
      <x:c r="B642" s="87" t="str">
        <x:v>Sanofi</x:v>
      </x:c>
      <x:c r="C642" s="87" t="str">
        <x:v>TRT-0010</x:v>
      </x:c>
      <x:c r="D642" s="87" t="str">
        <x:v>Yes</x:v>
      </x:c>
      <x:c r="E642" s="87" t="str">
        <x:v>sanofi</x:v>
      </x:c>
      <x:c r="F642" s="87" t="str">
        <x:v>48</x:v>
      </x:c>
      <x:c r="G642" s="87" t="str">
        <x:v>176-876-880-930-002</x:v>
      </x:c>
      <x:c r="H642" s="110" t="n">
        <x:v>43739</x:v>
      </x:c>
      <x:c r="I642" s="88" t="n">
        <x:v>2019</x:v>
      </x:c>
      <x:c r="J642" s="87" t="str">
        <x:v>EP</x:v>
      </x:c>
      <x:c r="K642" s="87" t="str">
        <x:v>C0</x:v>
      </x:c>
      <x:c r="L642" s="87" t="str">
        <x:v>EP 4037768 C0</x:v>
      </x:c>
      <x:c r="M642" s="87" t="str">
        <x:v>SANOFI SA</x:v>
      </x:c>
      <x:c r="N642" s="87" t="str">
        <x:v>SANOFI (2023-01-11)</x:v>
      </x:c>
      <x:c r="O642" s="87" t="str">
        <x:v>NOVEL SUBSTITUTED 6,7-DIHYDRO-5H-BENZO[7]ANNULENE COMPOUNDS, PROCESSES FOR THEIR PREPARATION AND THERAPEUTIC USES THEREOF</x:v>
      </x:c>
      <x:c r="P642" s="109" t="n">
        <x:v>0</x:v>
      </x:c>
      <x:c r="Q642" s="109" t="n">
        <x:v>9</x:v>
      </x:c>
      <x:c r="R642" s="87" t="str">
        <x:v>C07F5/025;;A61P13/08;;A61P15/00;;A61P15/08;;A61P19/10;;A61P29/00;;A61P35/00;;C07D207/12;;C07D403/12;;C07D413/12;;C07D417/12;;C07D207/12;;A61P5/32;;A61P35/00;;C07D403/12;;C07D405/12;;C07D413/12;;C07D417/12;;C07D419/12;;C07F5/025;;C07D207/12;;A61K9/2013;;A61K9/2018;;A61K9/2054;;A61K9/2059;;C07D207/38;;C07D401/12;;C07D403/12;;C07D405/12;;C07D413/12;;C07D413/14;;C07D417/12;;C07D419/12;;C07F5/025</x:v>
      </x:c>
      <x:c r="S642" s="87" t="str">
        <x:v>A61P5/32;;A61K31/40;;A61K31/4155;;A61K31/4178;;A61K31/4196;;A61K31/422;;A61K31/4245;;A61K31/427;;A61K31/433;;A61K33/22;;A61P35/00;;C07D207/12;;C07D403/12;;C07D405/12;;C07D413/12;;C07D417/12;;C07D419/12;;C07F5/02</x:v>
      </x:c>
      <x:c r="T642" s="87" t="str">
        <x:v>ACTIVE</x:v>
      </x:c>
      <x:c r="U642" s="87" t="str">
        <x:v>https://lens.org/176-876-880-930-002</x:v>
      </x:c>
    </x:row>
    <x:row r="643">
      <x:c r="A643" s="87" t="str">
        <x:v>Sanofi_Applicant_EP_Families_2015_2021.csv(1).csv</x:v>
      </x:c>
      <x:c r="B643" s="87" t="str">
        <x:v>Sanofi</x:v>
      </x:c>
      <x:c r="C643" s="87" t="str">
        <x:v>TRT-0010</x:v>
      </x:c>
      <x:c r="D643" s="87" t="str">
        <x:v>Yes</x:v>
      </x:c>
      <x:c r="E643" s="87" t="str">
        <x:v>sanofi</x:v>
      </x:c>
      <x:c r="F643" s="87" t="str">
        <x:v>49</x:v>
      </x:c>
      <x:c r="G643" s="87" t="str">
        <x:v>170-460-624-680-991</x:v>
      </x:c>
      <x:c r="H643" s="110" t="n">
        <x:v>44141</x:v>
      </x:c>
      <x:c r="I643" s="88" t="n">
        <x:v>2020</x:v>
      </x:c>
      <x:c r="J643" s="87" t="str">
        <x:v>EP</x:v>
      </x:c>
      <x:c r="K643" s="87" t="str">
        <x:v>A1</x:v>
      </x:c>
      <x:c r="L643" s="87" t="str">
        <x:v>EP 4240335 A1</x:v>
      </x:c>
      <x:c r="M643" s="87" t="str">
        <x:v>SANOFI SA</x:v>
      </x:c>
      <x:c r="N643" s="87" t="str">
        <x:v>SANOFI PASTEUR INC. (2025-06-11);;SANOFI VACCINES US INC. (2026-05-27)</x:v>
      </x:c>
      <x:c r="O643" s="87" t="str">
        <x:v>LIPID NANOPARTICLES FOR DELIVERING MRNA VACCINES</x:v>
      </x:c>
      <x:c r="P643" s="109" t="n">
        <x:v>1</x:v>
      </x:c>
      <x:c r="Q643" s="109" t="n">
        <x:v>2</x:v>
      </x:c>
      <x:c r="R643" s="87" t="str">
        <x:v>A61K9/0019;;A61K9/0021;;A61K9/0043;;A61K9/5123;;A61K39/145;;A61K47/02;;A61K47/26;;A61P31/16;;A61P37/04;;A61K9/1272;;A61K39/39;;A61K2039/55555;;A61K2039/53;;A61K9/0019;;A61P31/16;;A61K39/145;;A61K9/5123;;A61K9/0043;;A61P37/04;;A61K47/26;;A61K9/0021;;A61K47/02;;A61K39/145;;A61K9/5123;;A61K9/1272;;A61P31/16;;A61P37/04;;A61K2039/55555;;A61K2039/53</x:v>
      </x:c>
      <x:c r="S643" s="87" t="str">
        <x:v>A61K9/51;;A61K39/145;;A61K47/02;;A61K47/26;;A61P31/16;;A61P37/04</x:v>
      </x:c>
      <x:c r="T643" s="87" t="str">
        <x:v>PENDING</x:v>
      </x:c>
      <x:c r="U643" s="87" t="str">
        <x:v>https://lens.org/170-460-624-680-991</x:v>
      </x:c>
    </x:row>
    <x:row r="644">
      <x:c r="A644" s="87" t="str">
        <x:v>Sanofi_Applicant_EP_Families_2015_2021.csv(1).csv</x:v>
      </x:c>
      <x:c r="B644" s="87" t="str">
        <x:v>Sanofi</x:v>
      </x:c>
      <x:c r="C644" s="87" t="str">
        <x:v>TRT-0010</x:v>
      </x:c>
      <x:c r="D644" s="87" t="str">
        <x:v>Yes</x:v>
      </x:c>
      <x:c r="E644" s="87" t="str">
        <x:v>sanofi</x:v>
      </x:c>
      <x:c r="F644" s="87" t="str">
        <x:v>50</x:v>
      </x:c>
      <x:c r="G644" s="87" t="str">
        <x:v>159-487-403-503-803</x:v>
      </x:c>
      <x:c r="H644" s="110" t="n">
        <x:v>42782</x:v>
      </x:c>
      <x:c r="I644" s="88" t="n">
        <x:v>2017</x:v>
      </x:c>
      <x:c r="J644" s="87" t="str">
        <x:v>EP</x:v>
      </x:c>
      <x:c r="K644" s="87" t="str">
        <x:v>B1</x:v>
      </x:c>
      <x:c r="L644" s="87" t="str">
        <x:v>EP 3668577 B1</x:v>
      </x:c>
      <x:c r="M644" s="87" t="str">
        <x:v>SANOFI SA</x:v>
      </x:c>
      <x:c r="N644" s="87" t="str">
        <x:v>SANOFI (2024-03-13)</x:v>
      </x:c>
      <x:c r="O644" s="87" t="str">
        <x:v>DRIVE MECHANISM FOR AN INJECTION DEVICE</x:v>
      </x:c>
      <x:c r="P644" s="109" t="n">
        <x:v>0</x:v>
      </x:c>
      <x:c r="Q644" s="109" t="n">
        <x:v>9</x:v>
      </x:c>
      <x:c r="R644" s="87" t="str">
        <x:v>A61M5/3156;;A61M5/31536;;A61M5/31553;;A61M5/31585;;A61M2205/276;;A61M2205/8281;;A61M5/3156;;A61M5/31535;;A61M5/31548;;A61M5/31553;;A61M5/31585;;A61M2205/276;;A61M2205/8281</x:v>
      </x:c>
      <x:c r="S644" s="87" t="str">
        <x:v>A61M5/315</x:v>
      </x:c>
      <x:c r="T644" s="87" t="str">
        <x:v>ACTIVE</x:v>
      </x:c>
      <x:c r="U644" s="87" t="str">
        <x:v>https://lens.org/159-487-403-503-803</x:v>
      </x:c>
    </x:row>
    <x:row r="645">
      <x:c r="A645" s="87" t="str">
        <x:v>Sanofi_Applicant_EP_Families_2015_2021.csv(1).csv</x:v>
      </x:c>
      <x:c r="B645" s="87" t="str">
        <x:v>Sanofi</x:v>
      </x:c>
      <x:c r="C645" s="87" t="str">
        <x:v>TRT-0010</x:v>
      </x:c>
      <x:c r="D645" s="87" t="str">
        <x:v>Yes</x:v>
      </x:c>
      <x:c r="E645" s="87" t="str">
        <x:v>sanofi, ablynx</x:v>
      </x:c>
      <x:c r="F645" s="87" t="str">
        <x:v>51</x:v>
      </x:c>
      <x:c r="G645" s="87" t="str">
        <x:v>046-436-788-454-602</x:v>
      </x:c>
      <x:c r="H645" s="110" t="n">
        <x:v>44099</x:v>
      </x:c>
      <x:c r="I645" s="88" t="n">
        <x:v>2020</x:v>
      </x:c>
      <x:c r="J645" s="87" t="str">
        <x:v>EP</x:v>
      </x:c>
      <x:c r="K645" s="87" t="str">
        <x:v>A1</x:v>
      </x:c>
      <x:c r="L645" s="87" t="str">
        <x:v>EP 4217390 A1</x:v>
      </x:c>
      <x:c r="M645" s="87" t="str">
        <x:v>ABLYNX NV;;SANOFI SA</x:v>
      </x:c>
      <x:c r="N645" s="87" t="str">
        <x:v>ABLYNX NV (2023-09-27);;SANOFI (2023-09-27)</x:v>
      </x:c>
      <x:c r="O645" s="87" t="str">
        <x:v>POLYPEPTIDES COMPRISING IMMUNOGLOBULIN SINGLE VARIABLE DOMAINS TARGETING IL-13 AND OX40L</x:v>
      </x:c>
      <x:c r="P645" s="109" t="n">
        <x:v>0</x:v>
      </x:c>
      <x:c r="Q645" s="109" t="n">
        <x:v>15</x:v>
      </x:c>
      <x:c r="R645" s="87" t="str">
        <x:v>C07K16/244;;C07K16/2875;;C07K16/18;;A61K2039/505;;A61P11/06;;A61P37/08;;C07K2317/22;;C07K2317/31;;C07K2317/35;;C07K2317/569;;C07K2317/76;;C07K2317/92;;C07K2317/94;;C07K2319/00;;A61K39/00;;C07K16/2875;;C07K2317/76;;C07K2319/00;;A61K2039/505;;C07K2317/94;;C07K2317/565;;C07K2317/569;;C07K2317/92;;C07K2317/31;;A61P37/08;;A61P11/06;;C07K2317/35;;C07K16/244;;C07K16/18;;A61K39/00;;C07K2317/22;;A61P11/06;;A61P37/08;;A61K39/00;;A61K2039/505;;C07K16/244;;C07K16/2875;;C07K2317/31;;C07K2317/565;;C07K2317/569;;C07K2317/76</x:v>
      </x:c>
      <x:c r="S645" s="87" t="str">
        <x:v>C07K16/24;;A61K39/395;;A61P11/06;;A61P37/08;;C07K16/18;;C07K16/28;;C12N15/62</x:v>
      </x:c>
      <x:c r="T645" s="87" t="str">
        <x:v>PENDING</x:v>
      </x:c>
      <x:c r="U645" s="87" t="str">
        <x:v>https://lens.org/046-436-788-454-602</x:v>
      </x:c>
    </x:row>
    <x:row r="646">
      <x:c r="A646" s="87" t="str">
        <x:v>Sanofi_Applicant_EP_Families_2015_2021.csv(1).csv</x:v>
      </x:c>
      <x:c r="B646" s="87" t="str">
        <x:v>Sanofi</x:v>
      </x:c>
      <x:c r="C646" s="87" t="str">
        <x:v>TRT-0010</x:v>
      </x:c>
      <x:c r="D646" s="87" t="str">
        <x:v>Yes</x:v>
      </x:c>
      <x:c r="E646" s="87" t="str">
        <x:v>sanofi</x:v>
      </x:c>
      <x:c r="F646" s="87" t="str">
        <x:v>52</x:v>
      </x:c>
      <x:c r="G646" s="87" t="str">
        <x:v>053-848-683-597-804</x:v>
      </x:c>
      <x:c r="H646" s="110" t="n">
        <x:v>42473</x:v>
      </x:c>
      <x:c r="I646" s="88" t="n">
        <x:v>2016</x:v>
      </x:c>
      <x:c r="J646" s="87" t="str">
        <x:v>EP</x:v>
      </x:c>
      <x:c r="K646" s="87" t="str">
        <x:v>B1</x:v>
      </x:c>
      <x:c r="L646" s="87" t="str">
        <x:v>EP 3443006 B1</x:v>
      </x:c>
      <x:c r="M646" s="87" t="str">
        <x:v>SANOFI SA</x:v>
      </x:c>
      <x:c r="N646" s="87" t="str">
        <x:v>SANOFI (2023-07-19)</x:v>
      </x:c>
      <x:c r="O646" s="87" t="str">
        <x:v>TRISPECIFIC AND/OR TRIVALENT BINDING PROTEINS</x:v>
      </x:c>
      <x:c r="P646" s="109" t="n">
        <x:v>1</x:v>
      </x:c>
      <x:c r="Q646" s="109" t="n">
        <x:v>36</x:v>
      </x:c>
      <x:c r="R646" s="87" t="str">
        <x:v>C07K16/241;;A61K39/3955;;A61K39/39558;;A61K45/06;;A61K2039/505;;C07K1/22;;C07K16/244;;C07K16/247;;C07K16/2803;;C07K16/2809;;C07K16/2818;;C07K16/2887;;C07K16/2896;;C07K16/32;;C07K16/468;;C07K2317/31;;C07K2317/35;;C07K2317/52;;C07K2317/526;;C07K2317/56;;C07K2317/565;;C07K2317/64;;C07K2317/73;;C07K2317/75;;C07K2317/76;;C07K2317/92;;C07K2317/94;;C07K2319/00;;C07K16/2818;;A61K2039/505;;A61P29/00;;A61P35/00;;C07K16/241;;C07K16/244;;C07K16/247;;C07K16/2803;;C07K16/2809;;C07K16/2887;;C07K16/2896;;C07K16/32;;C07K2317/31;;C07K2317/35;;C07K2317/52;;C07K2317/56;;C07K2317/64;;C07K2317/73;;C07K2317/75;;C07K2317/76;;C07K2317/92;;C07K2317/94;;C07K2319/00;;C07K16/468;;A61K39/3955;;A61K39/39558;;A61K45/06;;A61K2039/505;;A61P29/00;;A61P35/00;;C07K1/22;;C07K16/241;;C07K16/244;;C07K16/247;;C07K16/2803;;C07K16/2809;;C07K16/2818;;C07K16/2887;;C07K16/2896;;C07K16/32;;C07K2317/31;;C07K2317/35;;C07K2317/52;;C07K2317/526;;C07K2317/56;;C07K2317/565;;C07K2317/64;;C07K2317/73;;C07K2317/75;;C07K2317/76;;C07K2317/92;;C07K2317/94;;C07K2319/00;;C07K16/241;;A61K39/3955;;A61K39/39558;;A61K45/06;;A61K2039/505;;C07K1/22;;C07K16/244;;C07K16/247;;C07K16/2803;;C07K16/2809;;C07K16/2818;;C07K16/2887;;C07K16/2896;;C07K16/32;;C07K16/468;;C07K2317/31;;C07K2317/52;;C07K2317/526;;C07K2317/56;;C07K2317/565;;C07K2317/64;;C07K2317/73;;C07K2317/75;;C07K2317/76;;C07K2317/92;;C07K2317/94;;C07K2319/00;;C07K16/468;;A61K39/3955;;A61K39/39558;;A61K45/06;;A61K2039/505;;C07K1/22;;C07K16/241;;C07K16/244;;C07K16/247;;C07K16/2803;;C07K16/2809;;C07K16/2818;;C07K16/2887;;C07K16/2896;;C07K16/32;;C07K2317/31;;C07K2317/35;;C07K2317/52;;C07K2317/526;;C07K2317/56;;C07K2317/565;;C07K2317/64;;C07K2317/73;;C07K2317/75;;C07K2317/76;;C07K2317/92;;C07K2317/94;;C07K2319/00</x:v>
      </x:c>
      <x:c r="S646" s="87" t="str">
        <x:v>C07K16/24;;A61K39/00;;A61P29/00;;A61P35/00;;C07K16/28;;C07K16/32</x:v>
      </x:c>
      <x:c r="T646" s="87" t="str">
        <x:v>ACTIVE</x:v>
      </x:c>
      <x:c r="U646" s="87" t="str">
        <x:v>https://lens.org/053-848-683-597-804</x:v>
      </x:c>
    </x:row>
    <x:row r="647">
      <x:c r="A647" s="87" t="str">
        <x:v>Sanofi_Applicant_EP_Families_2015_2021.csv(1).csv</x:v>
      </x:c>
      <x:c r="B647" s="87" t="str">
        <x:v>Sanofi</x:v>
      </x:c>
      <x:c r="C647" s="87" t="str">
        <x:v>TRT-0010</x:v>
      </x:c>
      <x:c r="D647" s="87" t="str">
        <x:v>Yes</x:v>
      </x:c>
      <x:c r="E647" s="87" t="str">
        <x:v>sanofi</x:v>
      </x:c>
      <x:c r="F647" s="87" t="str">
        <x:v>53</x:v>
      </x:c>
      <x:c r="G647" s="87" t="str">
        <x:v>100-549-537-369-507</x:v>
      </x:c>
      <x:c r="H647" s="110" t="n">
        <x:v>42850</x:v>
      </x:c>
      <x:c r="I647" s="88" t="n">
        <x:v>2017</x:v>
      </x:c>
      <x:c r="J647" s="87" t="str">
        <x:v>EP</x:v>
      </x:c>
      <x:c r="K647" s="87" t="str">
        <x:v>B1</x:v>
      </x:c>
      <x:c r="L647" s="87" t="str">
        <x:v>EP 3939980 B1</x:v>
      </x:c>
      <x:c r="M647" s="87" t="str">
        <x:v>UCB BIOPHARMA SRL;;SANOFI SA</x:v>
      </x:c>
      <x:c r="N647" s="87" t="str">
        <x:v>SANOFI (2023-06-14);;UCB BIOPHARMA SRL (2023-06-14)</x:v>
      </x:c>
      <x:c r="O647" s="87" t="str">
        <x:v>PROCESS FOR PREPARING FUSED PENTACYCLIC IMIDAZOLE DERIVATIVES AND USES THEREOF AS MODULATORS OF TNF ACTIVITY</x:v>
      </x:c>
      <x:c r="P647" s="109" t="n">
        <x:v>0</x:v>
      </x:c>
      <x:c r="Q647" s="109" t="n">
        <x:v>56</x:v>
      </x:c>
      <x:c r="R647" s="87" t="str">
        <x:v>A61K31/55;;A61P3/00;;A61P9/00;;A61P17/06;;A61P19/02;;A61P25/00;;A61P27/02;;A61P29/00;;A61P35/00;;A61P37/00;;A61P37/02;;C07D487/18;;C07D487/18;;A61P17/06;;A61P19/02;;A61P25/00;;A61P27/02;;A61P29/00;;A61P3/00;;A61P35/00;;A61P37/00;;A61P37/02;;A61P9/00;;Y02P20/55;;C07D487/18;;A61K31/55;;C07D487/18;;A61K31/55;;A61K31/55;;C07D487/18;;C07B2200/05</x:v>
      </x:c>
      <x:c r="S647" s="87" t="str">
        <x:v>A61P19/02;;A61P3/00;;A61P9/00;;A61P25/00;;A61P27/02;;A61P29/00;;A61P35/00;;A61P37/00;;A61P37/02;;C07D487/18</x:v>
      </x:c>
      <x:c r="T647" s="87" t="str">
        <x:v>ACTIVE</x:v>
      </x:c>
      <x:c r="U647" s="87" t="str">
        <x:v>https://lens.org/100-549-537-369-507</x:v>
      </x:c>
    </x:row>
    <x:row r="648">
      <x:c r="A648" s="87" t="str">
        <x:v>Sanofi_Applicant_EP_Families_2015_2021.csv(1).csv</x:v>
      </x:c>
      <x:c r="B648" s="87" t="str">
        <x:v>Sanofi</x:v>
      </x:c>
      <x:c r="C648" s="87" t="str">
        <x:v>TRT-0010</x:v>
      </x:c>
      <x:c r="D648" s="87" t="str">
        <x:v>Yes</x:v>
      </x:c>
      <x:c r="E648" s="87" t="str">
        <x:v>sanofi</x:v>
      </x:c>
      <x:c r="F648" s="87" t="str">
        <x:v>54</x:v>
      </x:c>
      <x:c r="G648" s="87" t="str">
        <x:v>050-797-902-931-854</x:v>
      </x:c>
      <x:c r="H648" s="110" t="n">
        <x:v>41439</x:v>
      </x:c>
      <x:c r="I648" s="88" t="n">
        <x:v>2013</x:v>
      </x:c>
      <x:c r="J648" s="87" t="str">
        <x:v>EP</x:v>
      </x:c>
      <x:c r="K648" s="87" t="str">
        <x:v>B1</x:v>
      </x:c>
      <x:c r="L648" s="87" t="str">
        <x:v>EP 3007724 B1</x:v>
      </x:c>
      <x:c r="M648" s="87" t="str">
        <x:v>SANOFI PASTEUR INC</x:v>
      </x:c>
      <x:c r="N648" s="87" t="str">
        <x:v>SANOFI VACCINES US INC. (2026-05-20)</x:v>
      </x:c>
      <x:c r="O648" s="87" t="str">
        <x:v>COMPOSITIONS AND METHODS OF IMMUNIZING AGAINST C. DIFFICILE</x:v>
      </x:c>
      <x:c r="P648" s="109" t="n">
        <x:v>0</x:v>
      </x:c>
      <x:c r="Q648" s="109" t="n">
        <x:v>21</x:v>
      </x:c>
      <x:c r="R648" s="87" t="str">
        <x:v>A61K2039/55;;A61K2039/55511;;A61K39/08;;A61P31/00;;A61P31/04;;A61P37/04;;A61P43/00;;A61K2039/55;;A61K2039/55511;;A61K39/08;;A61K2039/545</x:v>
      </x:c>
      <x:c r="S648" s="87" t="str">
        <x:v>A61K39/08;;A61K39/00</x:v>
      </x:c>
      <x:c r="T648" s="87" t="str">
        <x:v>ACTIVE</x:v>
      </x:c>
      <x:c r="U648" s="87" t="str">
        <x:v>https://lens.org/050-797-902-931-854</x:v>
      </x:c>
    </x:row>
    <x:row r="649">
      <x:c r="A649" s="87" t="str">
        <x:v>Sanofi_Applicant_EP_Families_2015_2021.csv(1).csv</x:v>
      </x:c>
      <x:c r="B649" s="87" t="str">
        <x:v>Sanofi</x:v>
      </x:c>
      <x:c r="C649" s="87" t="str">
        <x:v>TRT-0010</x:v>
      </x:c>
      <x:c r="D649" s="87" t="str">
        <x:v>Yes</x:v>
      </x:c>
      <x:c r="E649" s="87" t="str">
        <x:v>sanofi</x:v>
      </x:c>
      <x:c r="F649" s="87" t="str">
        <x:v>55</x:v>
      </x:c>
      <x:c r="G649" s="87" t="str">
        <x:v>122-157-640-149-153</x:v>
      </x:c>
      <x:c r="H649" s="110" t="n">
        <x:v>43397</x:v>
      </x:c>
      <x:c r="I649" s="88" t="n">
        <x:v>2018</x:v>
      </x:c>
      <x:c r="J649" s="87" t="str">
        <x:v>EP</x:v>
      </x:c>
      <x:c r="K649" s="87" t="str">
        <x:v>B1</x:v>
      </x:c>
      <x:c r="L649" s="87" t="str">
        <x:v>EP 3870586 B1</x:v>
      </x:c>
      <x:c r="M649" s="87" t="str">
        <x:v>UCB BIOPHARMA SRL;;SANOFI SA</x:v>
      </x:c>
      <x:c r="N649" s="87" t="str">
        <x:v>SANOFI (2023-06-14);;UCB BIOPHARMA SRL (2023-06-14)</x:v>
      </x:c>
      <x:c r="O649" s="87" t="str">
        <x:v>FUSED PENTACYCLIC IMIDAZOLE DERIVATIVES AS MODULATORS OF TNF ACTIVITY</x:v>
      </x:c>
      <x:c r="P649" s="109" t="n">
        <x:v>0</x:v>
      </x:c>
      <x:c r="Q649" s="109" t="n">
        <x:v>12</x:v>
      </x:c>
      <x:c r="R649" s="87" t="str">
        <x:v>C07D487/18;;A61K31/55;;C07D471/18;;C07D487/18</x:v>
      </x:c>
      <x:c r="S649" s="87" t="str">
        <x:v>C07D487/18;;A61K31/506;;A61P9/00;;A61P25/00;;A61P29/00;;A61P35/00;;A61P37/02</x:v>
      </x:c>
      <x:c r="T649" s="87" t="str">
        <x:v>ACTIVE</x:v>
      </x:c>
      <x:c r="U649" s="87" t="str">
        <x:v>https://lens.org/122-157-640-149-153</x:v>
      </x:c>
    </x:row>
    <x:row r="650">
      <x:c r="A650" s="87" t="str">
        <x:v>Sanofi_Applicant_EP_Families_2015_2021.csv(1).csv</x:v>
      </x:c>
      <x:c r="B650" s="87" t="str">
        <x:v>Sanofi</x:v>
      </x:c>
      <x:c r="C650" s="87" t="str">
        <x:v>TRT-0010</x:v>
      </x:c>
      <x:c r="D650" s="87" t="str">
        <x:v>Yes</x:v>
      </x:c>
      <x:c r="E650" s="87" t="str">
        <x:v>sanofi</x:v>
      </x:c>
      <x:c r="F650" s="87" t="str">
        <x:v>56</x:v>
      </x:c>
      <x:c r="G650" s="87" t="str">
        <x:v>079-486-652-439-027</x:v>
      </x:c>
      <x:c r="H650" s="110" t="n">
        <x:v>43193</x:v>
      </x:c>
      <x:c r="I650" s="88" t="n">
        <x:v>2018</x:v>
      </x:c>
      <x:c r="J650" s="87" t="str">
        <x:v>EP</x:v>
      </x:c>
      <x:c r="K650" s="87" t="str">
        <x:v>B1</x:v>
      </x:c>
      <x:c r="L650" s="87" t="str">
        <x:v>EP 3775896 B1</x:v>
      </x:c>
      <x:c r="M650" s="87" t="str">
        <x:v>SANOFI SA</x:v>
      </x:c>
      <x:c r="N650" s="87" t="str">
        <x:v>SANOFI (2023-03-29)</x:v>
      </x:c>
      <x:c r="O650" s="87" t="str">
        <x:v>LATERAL FLOW IMMUNOASSAY STRIP DEVICE</x:v>
      </x:c>
      <x:c r="P650" s="109" t="n">
        <x:v>0</x:v>
      </x:c>
      <x:c r="Q650" s="109" t="n">
        <x:v>10</x:v>
      </x:c>
      <x:c r="R650" s="87" t="str">
        <x:v>G01N33/54393;;G01N33/54388;;G01N33/54388;;G01N33/54346;;G01N33/54393;;G01N2333/78;;G01N2800/105</x:v>
      </x:c>
      <x:c r="S650" s="87" t="str">
        <x:v>G01N33/543</x:v>
      </x:c>
      <x:c r="T650" s="87" t="str">
        <x:v>ACTIVE</x:v>
      </x:c>
      <x:c r="U650" s="87" t="str">
        <x:v>https://lens.org/079-486-652-439-027</x:v>
      </x:c>
    </x:row>
    <x:row r="651">
      <x:c r="A651" s="87" t="str">
        <x:v>Sanofi_Applicant_EP_Families_2015_2021.csv(1).csv</x:v>
      </x:c>
      <x:c r="B651" s="87" t="str">
        <x:v>Sanofi</x:v>
      </x:c>
      <x:c r="C651" s="87" t="str">
        <x:v>TRT-0010</x:v>
      </x:c>
      <x:c r="D651" s="87" t="str">
        <x:v>Yes</x:v>
      </x:c>
      <x:c r="E651" s="87" t="str">
        <x:v>sanofi</x:v>
      </x:c>
      <x:c r="F651" s="87" t="str">
        <x:v>57</x:v>
      </x:c>
      <x:c r="G651" s="87" t="str">
        <x:v>166-196-441-901-005</x:v>
      </x:c>
      <x:c r="H651" s="110" t="n">
        <x:v>42367</x:v>
      </x:c>
      <x:c r="I651" s="88" t="n">
        <x:v>2015</x:v>
      </x:c>
      <x:c r="J651" s="87" t="str">
        <x:v>EP</x:v>
      </x:c>
      <x:c r="K651" s="87" t="str">
        <x:v>B1</x:v>
      </x:c>
      <x:c r="L651" s="87" t="str">
        <x:v>EP 3397970 B1</x:v>
      </x:c>
      <x:c r="M651" s="87" t="str">
        <x:v>SANOFI SA</x:v>
      </x:c>
      <x:c r="N651" s="87" t="str">
        <x:v>SANOFI (2023-05-10)</x:v>
      </x:c>
      <x:c r="O651" s="87" t="str">
        <x:v>METHODS FOR CHARACTERIZING COMPOSITIONS COMPRISING PEANUT ANTIGENS</x:v>
      </x:c>
      <x:c r="P651" s="109" t="n">
        <x:v>0</x:v>
      </x:c>
      <x:c r="Q651" s="109" t="n">
        <x:v>24</x:v>
      </x:c>
      <x:c r="R651" s="87" t="str">
        <x:v>G01N33/6848;;G01N2333/415;;G01N33/6848;;G01N2333/415;;G01N2800/24;;G01N33/6848;;G01N2333/415</x:v>
      </x:c>
      <x:c r="S651" s="87" t="str">
        <x:v>G01N33/68</x:v>
      </x:c>
      <x:c r="T651" s="87" t="str">
        <x:v>ACTIVE</x:v>
      </x:c>
      <x:c r="U651" s="87" t="str">
        <x:v>https://lens.org/166-196-441-901-005</x:v>
      </x:c>
    </x:row>
    <x:row r="652">
      <x:c r="A652" s="87" t="str">
        <x:v>Sanofi_Applicant_EP_Families_2015_2021.csv(1).csv</x:v>
      </x:c>
      <x:c r="B652" s="87" t="str">
        <x:v>Sanofi</x:v>
      </x:c>
      <x:c r="C652" s="87" t="str">
        <x:v>TRT-0010</x:v>
      </x:c>
      <x:c r="D652" s="87" t="str">
        <x:v>Yes</x:v>
      </x:c>
      <x:c r="E652" s="87" t="str">
        <x:v>sanofi</x:v>
      </x:c>
      <x:c r="F652" s="87" t="str">
        <x:v>58</x:v>
      </x:c>
      <x:c r="G652" s="87" t="str">
        <x:v>061-146-444-755-469</x:v>
      </x:c>
      <x:c r="H652" s="110" t="n">
        <x:v>44001</x:v>
      </x:c>
      <x:c r="I652" s="88" t="n">
        <x:v>2020</x:v>
      </x:c>
      <x:c r="J652" s="87" t="str">
        <x:v>EP</x:v>
      </x:c>
      <x:c r="K652" s="87" t="str">
        <x:v>A1</x:v>
      </x:c>
      <x:c r="L652" s="87" t="str">
        <x:v>EP 4168066 A1</x:v>
      </x:c>
      <x:c r="M652" s="87" t="str">
        <x:v>SANOFI SA</x:v>
      </x:c>
      <x:c r="N652" s="87" t="str">
        <x:v>SANOFI (2023-11-01)</x:v>
      </x:c>
      <x:c r="O652" s="87" t="str">
        <x:v>SYSTEM FOR A DRUG DELIVERY DEVICE AND DRUG DELIVERY DEVICE</x:v>
      </x:c>
      <x:c r="P652" s="109" t="n">
        <x:v>0</x:v>
      </x:c>
      <x:c r="Q652" s="109" t="n">
        <x:v>11</x:v>
      </x:c>
      <x:c r="R652" s="87" t="str">
        <x:v>A61M5/24;;A61M2005/2407;;A61M2005/2477;;A61M2005/2488;;A61M5/24;;A61M2005/2488;;A61M2005/2407;;A61M2005/2477;;A61M5/24;;A61M2205/6036;;A61M2205/587;;A61M2005/2407;;A61M2005/2477;;A61M2005/2488;;A61M5/2422</x:v>
      </x:c>
      <x:c r="S652" s="87" t="str">
        <x:v>A61M5/24</x:v>
      </x:c>
      <x:c r="T652" s="87" t="str">
        <x:v>PENDING</x:v>
      </x:c>
      <x:c r="U652" s="87" t="str">
        <x:v>https://lens.org/061-146-444-755-469</x:v>
      </x:c>
    </x:row>
    <x:row r="653">
      <x:c r="A653" s="87" t="str">
        <x:v>Sanofi_Applicant_EP_Families_2015_2021.csv(1).csv</x:v>
      </x:c>
      <x:c r="B653" s="87" t="str">
        <x:v>Sanofi</x:v>
      </x:c>
      <x:c r="C653" s="87" t="str">
        <x:v>TRT-0010</x:v>
      </x:c>
      <x:c r="D653" s="87" t="str">
        <x:v>Yes</x:v>
      </x:c>
      <x:c r="E653" s="87" t="str">
        <x:v>sanofi</x:v>
      </x:c>
      <x:c r="F653" s="87" t="str">
        <x:v>59</x:v>
      </x:c>
      <x:c r="G653" s="87" t="str">
        <x:v>024-395-874-703-779</x:v>
      </x:c>
      <x:c r="H653" s="110" t="n">
        <x:v>43441</x:v>
      </x:c>
      <x:c r="I653" s="88" t="n">
        <x:v>2018</x:v>
      </x:c>
      <x:c r="J653" s="87" t="str">
        <x:v>EP</x:v>
      </x:c>
      <x:c r="K653" s="87" t="str">
        <x:v>A2</x:v>
      </x:c>
      <x:c r="L653" s="87" t="str">
        <x:v>EP 4164604 A2</x:v>
      </x:c>
      <x:c r="M653" s="87" t="str">
        <x:v>NEUROCRINE BIOSCIENCES INC;;SANOFI SA</x:v>
      </x:c>
      <x:c r="N653" s="87" t="str">
        <x:v>SANOFI (2025-07-02);;NEUROCRINE BIOSCIENCES, INC. (2025-07-02)</x:v>
      </x:c>
      <x:c r="O653" s="87" t="str">
        <x:v>SYNTHETIC METHODS FOR PREPARATION OF 4-(2-CHLORO-4-METHOXY-5-METHYLPHENYL)-N-[(1S)-2-CYCLOPROPYL-1-(3-FLUORO-4-METHYLPHENYL)ETHYL]-5-METHYL-N-PROP-2-YNYL-1,3-THIAZOL-2-AMINE</x:v>
      </x:c>
      <x:c r="P653" s="109" t="n">
        <x:v>0</x:v>
      </x:c>
      <x:c r="Q653" s="109" t="n">
        <x:v>78</x:v>
      </x:c>
      <x:c r="R653" s="87" t="str">
        <x:v>A61K31/426;;A61P5/00;;C07D277/38;;A61K9/0095;;A61K47/14;;A61K47/10;;A61K47/44;;A61K9/0053;;A61K45/06;;A61K9/0095;;A61K31/573;;A61K31/426;;A61P5/00;;C07D277/42;;C07C209/52;;C07C249/02;;C07C259/06;;A61K9/0095;;A61K31/426;;A61K31/573;;A61K2300/00;;A61P5/00;;C07D277/42;;C07C249/02;;C07C251/24;;A61K9/28;;A61K9/107;;C07C211/29;;C07C209/52;;C07C259/06;;A61K9/4833;;A61K31/426;;A61P5/00;;A61P5/06;;A61K9/0095;;A61K9/107;;A61K9/28;;A61K9/4833;;A61K31/426;;C07D277/42;;A61K45/06;;A61K47/10;;A61K47/14;;A61K47/22;;A61K47/26;;A61K47/32;;C07B2200/13</x:v>
      </x:c>
      <x:c r="S653" s="87" t="str">
        <x:v>A61K31/395;;A61K9/00;;A61K31/426;;A61K31/573;;A61P5/00;;C07C209/44</x:v>
      </x:c>
      <x:c r="T653" s="87" t="str">
        <x:v>PENDING</x:v>
      </x:c>
      <x:c r="U653" s="87" t="str">
        <x:v>https://lens.org/024-395-874-703-779</x:v>
      </x:c>
    </x:row>
    <x:row r="654">
      <x:c r="A654" s="87" t="str">
        <x:v>Sanofi_Applicant_EP_Families_2015_2021.csv(1).csv</x:v>
      </x:c>
      <x:c r="B654" s="87" t="str">
        <x:v>Sanofi</x:v>
      </x:c>
      <x:c r="C654" s="87" t="str">
        <x:v>TRT-0010</x:v>
      </x:c>
      <x:c r="D654" s="87" t="str">
        <x:v>Yes</x:v>
      </x:c>
      <x:c r="E654" s="87" t="str">
        <x:v>sanofi</x:v>
      </x:c>
      <x:c r="F654" s="87" t="str">
        <x:v>60</x:v>
      </x:c>
      <x:c r="G654" s="87" t="str">
        <x:v>016-639-210-648-939</x:v>
      </x:c>
      <x:c r="H654" s="110" t="n">
        <x:v>43992</x:v>
      </x:c>
      <x:c r="I654" s="88" t="n">
        <x:v>2020</x:v>
      </x:c>
      <x:c r="J654" s="87" t="str">
        <x:v>EP</x:v>
      </x:c>
      <x:c r="K654" s="87" t="str">
        <x:v>A1</x:v>
      </x:c>
      <x:c r="L654" s="87" t="str">
        <x:v>EP 4164636 A1</x:v>
      </x:c>
      <x:c r="M654" s="87" t="str">
        <x:v>NEUROCRINE BIOSCIENCES INC;;SANOFI SA</x:v>
      </x:c>
      <x:c r="N654" s="87" t="str">
        <x:v>SANOFI (2025-09-17);;NEUROCRINE BIOSCIENCES, INC. (2025-09-17)</x:v>
      </x:c>
      <x:c r="O654" s="87" t="str">
        <x:v>CRF1 RECEPTOR ANTAGONIST FOR THE TREATMENT OF CONGENITAL ADRENAL HYPERPLASIA</x:v>
      </x:c>
      <x:c r="P654" s="109" t="n">
        <x:v>0</x:v>
      </x:c>
      <x:c r="Q654" s="109" t="n">
        <x:v>22</x:v>
      </x:c>
      <x:c r="R654" s="87" t="str">
        <x:v>A61K31/426;;A61P5/38;;A61K31/573;;A61K9/08;;A61K9/10;;A61K9/0056;;A61K9/2013;;A61K9/4858;;A61K9/4866;;A61K9/0095;;A61K9/1635;;A61K9/1652;;A61K9/2009;;A61K9/1611;;A61K9/2018;;A61K9/2054;;A61K9/2806;;A61K9/4891;;A61K47/14;;A61K47/22;;A61K47/20;;A61K47/10;;A61K31/426;;A61K9/10;;A61K47/22;;A61K9/4866;;A61K47/14;;A61K9/08;;A61K9/2013;;A61K31/573;;A61P5/38;;A61K9/4891;;A61K9/0095;;A61K47/20;;A61K2300/00;;A61K9/1611;;A61K47/10;;A61K9/2806;;A61K9/2018;;A61K9/0056;;A61K9/4858;;A61K9/1635;;A61K9/2054;;A61K9/2009;;A61K9/1652;;A61P5/38;;A61K9/0053;;A61K9/08;;A61K31/426;;A61K31/573;;A61K45/06</x:v>
      </x:c>
      <x:c r="S654" s="87" t="str">
        <x:v>A61K31/426;;A61K9/00;;A61K31/573;;A61P5/38</x:v>
      </x:c>
      <x:c r="T654" s="87" t="str">
        <x:v>PENDING</x:v>
      </x:c>
      <x:c r="U654" s="87" t="str">
        <x:v>https://lens.org/016-639-210-648-939</x:v>
      </x:c>
    </x:row>
    <x:row r="655">
      <x:c r="A655" s="87" t="str">
        <x:v>Sanofi_Applicant_EP_Families_2015_2021.csv(1).csv</x:v>
      </x:c>
      <x:c r="B655" s="87" t="str">
        <x:v>Sanofi</x:v>
      </x:c>
      <x:c r="C655" s="87" t="str">
        <x:v>TRT-0010</x:v>
      </x:c>
      <x:c r="D655" s="87" t="str">
        <x:v>Yes</x:v>
      </x:c>
      <x:c r="E655" s="87" t="str">
        <x:v>sanofi</x:v>
      </x:c>
      <x:c r="F655" s="87" t="str">
        <x:v>61</x:v>
      </x:c>
      <x:c r="G655" s="87" t="str">
        <x:v>184-241-575-341-00X</x:v>
      </x:c>
      <x:c r="H655" s="110" t="n">
        <x:v>43991</x:v>
      </x:c>
      <x:c r="I655" s="88" t="n">
        <x:v>2020</x:v>
      </x:c>
      <x:c r="J655" s="87" t="str">
        <x:v>EP</x:v>
      </x:c>
      <x:c r="K655" s="87" t="str">
        <x:v>A1</x:v>
      </x:c>
      <x:c r="L655" s="87" t="str">
        <x:v>EP 4161610 A1</x:v>
      </x:c>
      <x:c r="M655" s="87" t="str">
        <x:v>SANOFI SA</x:v>
      </x:c>
      <x:c r="N655" s="87" t="str">
        <x:v>SANOFI (2023-11-01)</x:v>
      </x:c>
      <x:c r="O655" s="87" t="str">
        <x:v>DRUG DELIVERY DEVICE AND METHOD FOR DETERMINING A DOSE</x:v>
      </x:c>
      <x:c r="P655" s="109" t="n">
        <x:v>0</x:v>
      </x:c>
      <x:c r="Q655" s="109" t="n">
        <x:v>7</x:v>
      </x:c>
      <x:c r="R655" s="87" t="str">
        <x:v>A61M5/2422;;A61M5/31551;;A61M2205/3306;;A61M2205/50;;A61M5/31551;;A61M2205/50;;A61M2205/587</x:v>
      </x:c>
      <x:c r="S655" s="87" t="str">
        <x:v>A61M5/24;;A61M5/315</x:v>
      </x:c>
      <x:c r="T655" s="87" t="str">
        <x:v>PENDING</x:v>
      </x:c>
      <x:c r="U655" s="87" t="str">
        <x:v>https://lens.org/184-241-575-341-00X</x:v>
      </x:c>
    </x:row>
    <x:row r="656">
      <x:c r="A656" s="87" t="str">
        <x:v>Sanofi_Applicant_EP_Families_2015_2021.csv(1).csv</x:v>
      </x:c>
      <x:c r="B656" s="87" t="str">
        <x:v>Sanofi</x:v>
      </x:c>
      <x:c r="C656" s="87" t="str">
        <x:v>TRT-0010</x:v>
      </x:c>
      <x:c r="D656" s="87" t="str">
        <x:v>Yes</x:v>
      </x:c>
      <x:c r="E656" s="87" t="str">
        <x:v>sanofi</x:v>
      </x:c>
      <x:c r="F656" s="87" t="str">
        <x:v>62</x:v>
      </x:c>
      <x:c r="G656" s="87" t="str">
        <x:v>122-864-444-151-590</x:v>
      </x:c>
      <x:c r="H656" s="110" t="n">
        <x:v>43980</x:v>
      </x:c>
      <x:c r="I656" s="88" t="n">
        <x:v>2020</x:v>
      </x:c>
      <x:c r="J656" s="87" t="str">
        <x:v>EP</x:v>
      </x:c>
      <x:c r="K656" s="87" t="str">
        <x:v>A1</x:v>
      </x:c>
      <x:c r="L656" s="87" t="str">
        <x:v>EP 4157450 A1</x:v>
      </x:c>
      <x:c r="M656" s="87" t="str">
        <x:v>SANOFI BIOTECHNOLOGY</x:v>
      </x:c>
      <x:c r="N656" s="87" t="str">
        <x:v>SANOFI BIOTECHNOLOGY (2023-10-04)</x:v>
      </x:c>
      <x:c r="O656" s="87" t="str">
        <x:v>COMPOSITIONS AND METHODS FOR TREATING NONINFLAMMATORY PAIN IN SUBJECTS WITH RHEUMATOID ARTHRITIS</x:v>
      </x:c>
      <x:c r="P656" s="109" t="n">
        <x:v>0</x:v>
      </x:c>
      <x:c r="Q656" s="109" t="n">
        <x:v>13</x:v>
      </x:c>
      <x:c r="R656" s="87" t="str">
        <x:v>C07K16/2866;;A61P19/02;;A61K2039/505;;C07K2317/21;;A61K2039/55;;C07K16/2866;;C07K2317/21;;A61P19/02;;A61K2039/505;;A61K2039/55;;C07K16/2866;;A61K31/519;;A61K45/06;;A61P29/00;;A61P19/02;;A61K2300/00;;A61K2039/505;;A61K2039/507;;A61K2039/545;;A61K2039/54;;A61K2039/55;;C07K2317/21;;A61P19/02;;A61P29/00;;A61K45/06;;A61K2039/505;;A61K2039/54;;A61K2039/545;;C07K14/7155;;C07K16/2866</x:v>
      </x:c>
      <x:c r="S656" s="87" t="str">
        <x:v>A61P19/02;;C07K16/28</x:v>
      </x:c>
      <x:c r="T656" s="87" t="str">
        <x:v>PENDING</x:v>
      </x:c>
      <x:c r="U656" s="87" t="str">
        <x:v>https://lens.org/122-864-444-151-590</x:v>
      </x:c>
    </x:row>
    <x:row r="657">
      <x:c r="A657" s="87" t="str">
        <x:v>Sanofi_Applicant_EP_Families_2015_2021.csv(1).csv</x:v>
      </x:c>
      <x:c r="B657" s="87" t="str">
        <x:v>Sanofi</x:v>
      </x:c>
      <x:c r="C657" s="87" t="str">
        <x:v>TRT-0010</x:v>
      </x:c>
      <x:c r="D657" s="87" t="str">
        <x:v>Yes</x:v>
      </x:c>
      <x:c r="E657" s="87" t="str">
        <x:v>sanofi</x:v>
      </x:c>
      <x:c r="F657" s="87" t="str">
        <x:v>63</x:v>
      </x:c>
      <x:c r="G657" s="87" t="str">
        <x:v>081-431-540-112-242</x:v>
      </x:c>
      <x:c r="H657" s="110" t="n">
        <x:v>41515</x:v>
      </x:c>
      <x:c r="I657" s="88" t="n">
        <x:v>2013</x:v>
      </x:c>
      <x:c r="J657" s="87" t="str">
        <x:v>EP</x:v>
      </x:c>
      <x:c r="K657" s="87" t="str">
        <x:v>B1</x:v>
      </x:c>
      <x:c r="L657" s="87" t="str">
        <x:v>EP 3459576 B1</x:v>
      </x:c>
      <x:c r="M657" s="87" t="str">
        <x:v>SANOFI SA</x:v>
      </x:c>
      <x:c r="N657" s="87" t="str">
        <x:v>SANOFI (2023-02-15)</x:v>
      </x:c>
      <x:c r="O657" s="87" t="str">
        <x:v>CAP FOR A MEDICAMENT CONTAINER</x:v>
      </x:c>
      <x:c r="P657" s="109" t="n">
        <x:v>0</x:v>
      </x:c>
      <x:c r="Q657" s="109" t="n">
        <x:v>34</x:v>
      </x:c>
      <x:c r="R657" s="87" t="str">
        <x:v>A61M5/3202;;A61M5/3204;;A61M5/326;;A61M2005/3139;;A61M2005/3264;;A61M5/3202;;A61M5/3204;;A61M5/326;;A61M2005/3139;;A61M2005/3264;;A61M5/50;;A61M5/3202;;A61M5/3204;;A61M5/326;;A61M2005/3139;;A61M2005/3264;;A61M2205/583</x:v>
      </x:c>
      <x:c r="S657" s="87" t="str">
        <x:v>A61M5/50;;A61M5/31;;A61M5/32</x:v>
      </x:c>
      <x:c r="T657" s="87" t="str">
        <x:v>ACTIVE</x:v>
      </x:c>
      <x:c r="U657" s="87" t="str">
        <x:v>https://lens.org/081-431-540-112-242</x:v>
      </x:c>
    </x:row>
    <x:row r="658">
      <x:c r="A658" s="87" t="str">
        <x:v>Sanofi_Applicant_EP_Families_2015_2021.csv(1).csv</x:v>
      </x:c>
      <x:c r="B658" s="87" t="str">
        <x:v>Sanofi</x:v>
      </x:c>
      <x:c r="C658" s="87" t="str">
        <x:v>TRT-0010</x:v>
      </x:c>
      <x:c r="D658" s="87" t="str">
        <x:v>Yes</x:v>
      </x:c>
      <x:c r="E658" s="87" t="str">
        <x:v>sanofi</x:v>
      </x:c>
      <x:c r="F658" s="87" t="str">
        <x:v>64</x:v>
      </x:c>
      <x:c r="G658" s="87" t="str">
        <x:v>056-934-459-185-40X</x:v>
      </x:c>
      <x:c r="H658" s="110" t="n">
        <x:v>43944</x:v>
      </x:c>
      <x:c r="I658" s="88" t="n">
        <x:v>2020</x:v>
      </x:c>
      <x:c r="J658" s="87" t="str">
        <x:v>EP</x:v>
      </x:c>
      <x:c r="K658" s="87" t="str">
        <x:v>A1</x:v>
      </x:c>
      <x:c r="L658" s="87" t="str">
        <x:v>EP 4138956 A1</x:v>
      </x:c>
      <x:c r="M658" s="87" t="str">
        <x:v>SANOFI SA</x:v>
      </x:c>
      <x:c r="N658" s="87" t="str">
        <x:v>SANOFI (2023-11-01)</x:v>
      </x:c>
      <x:c r="O658" s="87" t="str">
        <x:v>ELECTRONIC MODULE AND DRUG DELIVERY DEVICE</x:v>
      </x:c>
      <x:c r="P658" s="109" t="n">
        <x:v>0</x:v>
      </x:c>
      <x:c r="Q658" s="109" t="n">
        <x:v>8</x:v>
      </x:c>
      <x:c r="R658" s="87" t="str">
        <x:v>A61M5/20;;A61M5/24;;A61M5/315;;A61M5/31568;;A61M2205/3306;;A61M2205/6045;;A61M2205/8212;;A61M5/31568;;A61M2205/3306;;A61M2205/6045;;A61M2205/8212</x:v>
      </x:c>
      <x:c r="S658" s="87" t="str">
        <x:v>A61M5/20;;A61M5/24;;A61M5/315</x:v>
      </x:c>
      <x:c r="T658" s="87" t="str">
        <x:v>ACTIVE</x:v>
      </x:c>
      <x:c r="U658" s="87" t="str">
        <x:v>https://lens.org/056-934-459-185-40X</x:v>
      </x:c>
    </x:row>
    <x:row r="659">
      <x:c r="A659" s="87" t="str">
        <x:v>Sanofi_Applicant_EP_Families_2015_2021.csv(1).csv</x:v>
      </x:c>
      <x:c r="B659" s="87" t="str">
        <x:v>Sanofi</x:v>
      </x:c>
      <x:c r="C659" s="87" t="str">
        <x:v>TRT-0010</x:v>
      </x:c>
      <x:c r="D659" s="87" t="str">
        <x:v>Yes</x:v>
      </x:c>
      <x:c r="E659" s="87" t="str">
        <x:v>sanofi</x:v>
      </x:c>
      <x:c r="F659" s="87" t="str">
        <x:v>65</x:v>
      </x:c>
      <x:c r="G659" s="87" t="str">
        <x:v>055-339-832-973-162</x:v>
      </x:c>
      <x:c r="H659" s="110" t="n">
        <x:v>43917</x:v>
      </x:c>
      <x:c r="I659" s="88" t="n">
        <x:v>2020</x:v>
      </x:c>
      <x:c r="J659" s="87" t="str">
        <x:v>EP</x:v>
      </x:c>
      <x:c r="K659" s="87" t="str">
        <x:v>A1</x:v>
      </x:c>
      <x:c r="L659" s="87" t="str">
        <x:v>EP 4132614 A1</x:v>
      </x:c>
      <x:c r="M659" s="87" t="str">
        <x:v>SANOFI SA</x:v>
      </x:c>
      <x:c r="N659" s="87" t="str">
        <x:v>SANOFI (2023-04-19)</x:v>
      </x:c>
      <x:c r="O659" s="87" t="str">
        <x:v>ELECTRONIC SYSTEM FOR A DRUG DELIVERY DEVICE AND DRUG DELIVERY DEVICE</x:v>
      </x:c>
      <x:c r="P659" s="109" t="n">
        <x:v>0</x:v>
      </x:c>
      <x:c r="Q659" s="109" t="n">
        <x:v>4</x:v>
      </x:c>
      <x:c r="R659" s="87" t="str">
        <x:v>A61M5/31535;;A61M5/31568;;A61M2205/52;;A61M2205/8212;;A61M5/31528;;A61M5/3155;;A61M5/3156;;A61M5/31593;;A61M2205/3306</x:v>
      </x:c>
      <x:c r="S659" s="87" t="str">
        <x:v>A61M5/315</x:v>
      </x:c>
      <x:c r="T659" s="87" t="str">
        <x:v>PENDING</x:v>
      </x:c>
      <x:c r="U659" s="87" t="str">
        <x:v>https://lens.org/055-339-832-973-162</x:v>
      </x:c>
    </x:row>
    <x:row r="660">
      <x:c r="A660" s="87" t="str">
        <x:v>Sanofi_Applicant_EP_Families_2015_2021.csv(1).csv</x:v>
      </x:c>
      <x:c r="B660" s="87" t="str">
        <x:v>Sanofi</x:v>
      </x:c>
      <x:c r="C660" s="87" t="str">
        <x:v>TRT-0010</x:v>
      </x:c>
      <x:c r="D660" s="87" t="str">
        <x:v>Yes</x:v>
      </x:c>
      <x:c r="E660" s="87" t="str">
        <x:v>sanofi</x:v>
      </x:c>
      <x:c r="F660" s="87" t="str">
        <x:v>66</x:v>
      </x:c>
      <x:c r="G660" s="87" t="str">
        <x:v>069-172-941-107-008</x:v>
      </x:c>
      <x:c r="H660" s="110" t="n">
        <x:v>43924</x:v>
      </x:c>
      <x:c r="I660" s="88" t="n">
        <x:v>2020</x:v>
      </x:c>
      <x:c r="J660" s="87" t="str">
        <x:v>EP</x:v>
      </x:c>
      <x:c r="K660" s="87" t="str">
        <x:v>A1</x:v>
      </x:c>
      <x:c r="L660" s="87" t="str">
        <x:v>EP 4126132 A1</x:v>
      </x:c>
      <x:c r="M660" s="87" t="str">
        <x:v>SANOFI SA</x:v>
      </x:c>
      <x:c r="N660" s="87" t="str">
        <x:v>SANOFI (2026-01-28)</x:v>
      </x:c>
      <x:c r="O660" s="87" t="str">
        <x:v>INJECTION DEVICE WITH NEEDLE OBSCURING ELEMENT</x:v>
      </x:c>
      <x:c r="P660" s="109" t="n">
        <x:v>0</x:v>
      </x:c>
      <x:c r="Q660" s="109" t="n">
        <x:v>8</x:v>
      </x:c>
      <x:c r="R660" s="87" t="str">
        <x:v>A61M5/3245;;A61M2005/325;;A61M5/3202;;A61M5/3202;;A61M5/3245;;A61M2005/325</x:v>
      </x:c>
      <x:c r="S660" s="87" t="str">
        <x:v>A61M5/32</x:v>
      </x:c>
      <x:c r="T660" s="87" t="str">
        <x:v>ACTIVE</x:v>
      </x:c>
      <x:c r="U660" s="87" t="str">
        <x:v>https://lens.org/069-172-941-107-008</x:v>
      </x:c>
    </x:row>
    <x:row r="661">
      <x:c r="A661" s="87" t="str">
        <x:v>Sanofi_Applicant_EP_Families_2015_2021.csv(1).csv</x:v>
      </x:c>
      <x:c r="B661" s="87" t="str">
        <x:v>Sanofi</x:v>
      </x:c>
      <x:c r="C661" s="87" t="str">
        <x:v>TRT-0010</x:v>
      </x:c>
      <x:c r="D661" s="87" t="str">
        <x:v>Yes</x:v>
      </x:c>
      <x:c r="E661" s="87" t="str">
        <x:v>sanofi</x:v>
      </x:c>
      <x:c r="F661" s="87" t="str">
        <x:v>67</x:v>
      </x:c>
      <x:c r="G661" s="87" t="str">
        <x:v>042-088-911-005-818</x:v>
      </x:c>
      <x:c r="H661" s="110" t="n">
        <x:v>43917</x:v>
      </x:c>
      <x:c r="I661" s="88" t="n">
        <x:v>2020</x:v>
      </x:c>
      <x:c r="J661" s="87" t="str">
        <x:v>EP</x:v>
      </x:c>
      <x:c r="K661" s="87" t="str">
        <x:v>A1</x:v>
      </x:c>
      <x:c r="L661" s="87" t="str">
        <x:v>EP 4126125 A1</x:v>
      </x:c>
      <x:c r="M661" s="87" t="str">
        <x:v>SANOFI SA</x:v>
      </x:c>
      <x:c r="N661" s="87" t="str">
        <x:v>SANOFI (2023-11-01)</x:v>
      </x:c>
      <x:c r="O661" s="87" t="str">
        <x:v>ELECTRONIC SYSTEM FOR A DRUG DELIVERY DEVICE</x:v>
      </x:c>
      <x:c r="P661" s="109" t="n">
        <x:v>0</x:v>
      </x:c>
      <x:c r="Q661" s="109" t="n">
        <x:v>5</x:v>
      </x:c>
      <x:c r="R661" s="87" t="str">
        <x:v>A61M5/31568;;A61M5/3157;;A61M2205/8212;;A61M2205/3317;;A61M5/172;;A61M5/31568</x:v>
      </x:c>
      <x:c r="S661" s="87" t="str">
        <x:v>A61M5/315</x:v>
      </x:c>
      <x:c r="T661" s="87" t="str">
        <x:v>PENDING</x:v>
      </x:c>
      <x:c r="U661" s="87" t="str">
        <x:v>https://lens.org/042-088-911-005-818</x:v>
      </x:c>
    </x:row>
    <x:row r="662">
      <x:c r="A662" s="87" t="str">
        <x:v>Sanofi_Applicant_EP_Families_2015_2021.csv(1).csv</x:v>
      </x:c>
      <x:c r="B662" s="87" t="str">
        <x:v>Sanofi</x:v>
      </x:c>
      <x:c r="C662" s="87" t="str">
        <x:v>TRT-0010</x:v>
      </x:c>
      <x:c r="D662" s="87" t="str">
        <x:v>Yes</x:v>
      </x:c>
      <x:c r="E662" s="87" t="str">
        <x:v>sanofi</x:v>
      </x:c>
      <x:c r="F662" s="87" t="str">
        <x:v>68</x:v>
      </x:c>
      <x:c r="G662" s="87" t="str">
        <x:v>011-746-810-071-282</x:v>
      </x:c>
      <x:c r="H662" s="110" t="n">
        <x:v>43917</x:v>
      </x:c>
      <x:c r="I662" s="88" t="n">
        <x:v>2020</x:v>
      </x:c>
      <x:c r="J662" s="87" t="str">
        <x:v>EP</x:v>
      </x:c>
      <x:c r="K662" s="87" t="str">
        <x:v>A1</x:v>
      </x:c>
      <x:c r="L662" s="87" t="str">
        <x:v>EP 4126126 A1</x:v>
      </x:c>
      <x:c r="M662" s="87" t="str">
        <x:v>SANOFI SA</x:v>
      </x:c>
      <x:c r="N662" s="87" t="str">
        <x:v>SANOFI (2023-11-01)</x:v>
      </x:c>
      <x:c r="O662" s="87" t="str">
        <x:v>ELECTRONIC SYSTEM FOR A DRUG DELIVERY DEVICE</x:v>
      </x:c>
      <x:c r="P662" s="109" t="n">
        <x:v>0</x:v>
      </x:c>
      <x:c r="Q662" s="109" t="n">
        <x:v>7</x:v>
      </x:c>
      <x:c r="R662" s="87" t="str">
        <x:v>A61M5/31568;;A61M5/31553;;A61M5/31585;;A61M5/31593;;A61M2205/3317;;A61M2205/3561;;A61M2205/3584;;A61M2205/8212;;A61M5/31553;;A61M5/31568;;A61M5/31585;;A61M2205/3584;;A61M2205/8212</x:v>
      </x:c>
      <x:c r="S662" s="87" t="str">
        <x:v>A61M5/315</x:v>
      </x:c>
      <x:c r="T662" s="87" t="str">
        <x:v>PENDING</x:v>
      </x:c>
      <x:c r="U662" s="87" t="str">
        <x:v>https://lens.org/011-746-810-071-282</x:v>
      </x:c>
    </x:row>
    <x:row r="663">
      <x:c r="A663" s="87" t="str">
        <x:v>Sanofi_Applicant_EP_Families_2015_2021.csv(1).csv</x:v>
      </x:c>
      <x:c r="B663" s="87" t="str">
        <x:v>Sanofi</x:v>
      </x:c>
      <x:c r="C663" s="87" t="str">
        <x:v>TRT-0010</x:v>
      </x:c>
      <x:c r="D663" s="87" t="str">
        <x:v>Yes</x:v>
      </x:c>
      <x:c r="E663" s="87" t="str">
        <x:v>sanofi</x:v>
      </x:c>
      <x:c r="F663" s="87" t="str">
        <x:v>69</x:v>
      </x:c>
      <x:c r="G663" s="87" t="str">
        <x:v>041-114-271-680-62X</x:v>
      </x:c>
      <x:c r="H663" s="110" t="n">
        <x:v>43917</x:v>
      </x:c>
      <x:c r="I663" s="88" t="n">
        <x:v>2020</x:v>
      </x:c>
      <x:c r="J663" s="87" t="str">
        <x:v>EP</x:v>
      </x:c>
      <x:c r="K663" s="87" t="str">
        <x:v>A1</x:v>
      </x:c>
      <x:c r="L663" s="87" t="str">
        <x:v>EP 4126122 A1</x:v>
      </x:c>
      <x:c r="M663" s="87" t="str">
        <x:v>SANOFI SA</x:v>
      </x:c>
      <x:c r="N663" s="87" t="str">
        <x:v>SANOFI (2023-11-01)</x:v>
      </x:c>
      <x:c r="O663" s="87" t="str">
        <x:v>SWITCH ASSEMBLY FOR AN ELECTRONIC SYSTEM OF A DRUG DELIVERY DEVICE</x:v>
      </x:c>
      <x:c r="P663" s="109" t="n">
        <x:v>0</x:v>
      </x:c>
      <x:c r="Q663" s="109" t="n">
        <x:v>9</x:v>
      </x:c>
      <x:c r="R663" s="87" t="str">
        <x:v>A61M5/3157;;A61M2205/8212;;A61M2205/3317;;A61M5/31551;;A61M2205/3561;;A61M5/31568;;A61M5/1782;;A61M5/31551;;A61M5/31568;;A61M5/3157;;A61M5/31585;;A61M2205/3317;;A61M2205/35</x:v>
      </x:c>
      <x:c r="S663" s="87" t="str">
        <x:v>A61M5/24;;A61M5/315</x:v>
      </x:c>
      <x:c r="T663" s="87" t="str">
        <x:v>ACTIVE</x:v>
      </x:c>
      <x:c r="U663" s="87" t="str">
        <x:v>https://lens.org/041-114-271-680-62X</x:v>
      </x:c>
    </x:row>
    <x:row r="664">
      <x:c r="A664" s="87" t="str">
        <x:v>Sanofi_Applicant_EP_Families_2015_2021.csv(1).csv</x:v>
      </x:c>
      <x:c r="B664" s="87" t="str">
        <x:v>Sanofi</x:v>
      </x:c>
      <x:c r="C664" s="87" t="str">
        <x:v>TRT-0010</x:v>
      </x:c>
      <x:c r="D664" s="87" t="str">
        <x:v>Yes</x:v>
      </x:c>
      <x:c r="E664" s="87" t="str">
        <x:v>sanofi</x:v>
      </x:c>
      <x:c r="F664" s="87" t="str">
        <x:v>70</x:v>
      </x:c>
      <x:c r="G664" s="87" t="str">
        <x:v>103-186-827-984-179</x:v>
      </x:c>
      <x:c r="H664" s="110" t="n">
        <x:v>41348</x:v>
      </x:c>
      <x:c r="I664" s="88" t="n">
        <x:v>2013</x:v>
      </x:c>
      <x:c r="J664" s="87" t="str">
        <x:v>EP</x:v>
      </x:c>
      <x:c r="K664" s="87" t="str">
        <x:v>A3</x:v>
      </x:c>
      <x:c r="L664" s="87" t="str">
        <x:v>EP 4079760 A3</x:v>
      </x:c>
      <x:c r="M664" s="87" t="str">
        <x:v>SANOFI PASTEUR INC</x:v>
      </x:c>
      <x:c r="N664" s="87" t="str">
        <x:v>SANOFI VACCINES US INC. (2026-05-27)</x:v>
      </x:c>
      <x:c r="O664" s="87" t="str">
        <x:v>ANTIBODIES AGAINST CLOSTRIDIUM DIFFICILE TOXINS AND METHODS OF USING THE SAME</x:v>
      </x:c>
      <x:c r="P664" s="109" t="n">
        <x:v>0</x:v>
      </x:c>
      <x:c r="Q664" s="109" t="n">
        <x:v>13</x:v>
      </x:c>
      <x:c r="R664" s="87" t="str">
        <x:v>C07K16/1282;;A61K2039/505;;A61P31/04;;C07K2317/21;;C07K2317/30;;C07K2317/34;;C07K2317/76;;C07K2317/92;;C07K16/1282;;A61K39/40;;A61K2039/505;;A61K2039/507;;C07K2317/21;;C07K2317/30;;C07K2317/31;;C07K2317/34;;C07K2317/76;;C07K2317/92</x:v>
      </x:c>
      <x:c r="S664" s="87" t="str">
        <x:v>C07K16/12;;A61K39/40;;A61P31/04</x:v>
      </x:c>
      <x:c r="T664" s="87" t="str">
        <x:v>PENDING</x:v>
      </x:c>
      <x:c r="U664" s="87" t="str">
        <x:v>https://lens.org/103-186-827-984-179</x:v>
      </x:c>
    </x:row>
    <x:row r="665">
      <x:c r="A665" s="87" t="str">
        <x:v>Sanofi_Applicant_EP_Families_2015_2021.csv(1).csv</x:v>
      </x:c>
      <x:c r="B665" s="87" t="str">
        <x:v>Sanofi</x:v>
      </x:c>
      <x:c r="C665" s="87" t="str">
        <x:v>TRT-0010</x:v>
      </x:c>
      <x:c r="D665" s="87" t="str">
        <x:v>Yes</x:v>
      </x:c>
      <x:c r="E665" s="87" t="str">
        <x:v>sanofi</x:v>
      </x:c>
      <x:c r="F665" s="87" t="str">
        <x:v>71</x:v>
      </x:c>
      <x:c r="G665" s="87" t="str">
        <x:v>015-443-371-045-142</x:v>
      </x:c>
      <x:c r="H665" s="110" t="n">
        <x:v>43896</x:v>
      </x:c>
      <x:c r="I665" s="88" t="n">
        <x:v>2020</x:v>
      </x:c>
      <x:c r="J665" s="87" t="str">
        <x:v>EP</x:v>
      </x:c>
      <x:c r="K665" s="87" t="str">
        <x:v>A1</x:v>
      </x:c>
      <x:c r="L665" s="87" t="str">
        <x:v>EP 4110800 A1</x:v>
      </x:c>
      <x:c r="M665" s="87" t="str">
        <x:v>SANOFI SA</x:v>
      </x:c>
      <x:c r="N665" s="87" t="str">
        <x:v>SANOFI (2026-03-18)</x:v>
      </x:c>
      <x:c r="O665" s="87" t="str">
        <x:v>PEPTIDES AS SELECTIVE GIP RECEPTOR AGONISTS</x:v>
      </x:c>
      <x:c r="P665" s="109" t="n">
        <x:v>0</x:v>
      </x:c>
      <x:c r="Q665" s="109" t="n">
        <x:v>12</x:v>
      </x:c>
      <x:c r="R665" s="87" t="str">
        <x:v>C07K14/605;;A61P3/04;;A61P3/10;;A61P9/00;;C07K14/605;;A61K38/00;;A61P3/00;;A61P19/10;;C07K14/575;;A61P3/10</x:v>
      </x:c>
      <x:c r="S665" s="87" t="str">
        <x:v>C07K14/605;;A61K38/22;;A61K38/26;;A61P3/04;;A61P3/10;;A61P9/00;;C07K14/575</x:v>
      </x:c>
      <x:c r="T665" s="87" t="str">
        <x:v>PENDING</x:v>
      </x:c>
      <x:c r="U665" s="87" t="str">
        <x:v>https://lens.org/015-443-371-045-142</x:v>
      </x:c>
    </x:row>
    <x:row r="666">
      <x:c r="A666" s="87" t="str">
        <x:v>Sanofi_Applicant_EP_Families_2015_2021.csv(1).csv</x:v>
      </x:c>
      <x:c r="B666" s="87" t="str">
        <x:v>Sanofi</x:v>
      </x:c>
      <x:c r="C666" s="87" t="str">
        <x:v>TRT-0010</x:v>
      </x:c>
      <x:c r="D666" s="87" t="str">
        <x:v>Yes</x:v>
      </x:c>
      <x:c r="E666" s="87" t="str">
        <x:v>sanofi</x:v>
      </x:c>
      <x:c r="F666" s="87" t="str">
        <x:v>72</x:v>
      </x:c>
      <x:c r="G666" s="87" t="str">
        <x:v>011-621-616-076-179</x:v>
      </x:c>
      <x:c r="H666" s="110" t="n">
        <x:v>43889</x:v>
      </x:c>
      <x:c r="I666" s="88" t="n">
        <x:v>2020</x:v>
      </x:c>
      <x:c r="J666" s="87" t="str">
        <x:v>EP</x:v>
      </x:c>
      <x:c r="K666" s="87" t="str">
        <x:v>A1</x:v>
      </x:c>
      <x:c r="L666" s="87" t="str">
        <x:v>EP 4110382 A1</x:v>
      </x:c>
      <x:c r="M666" s="87" t="str">
        <x:v>SANOFI PASTEUR INC</x:v>
      </x:c>
      <x:c r="N666" s="87" t="str">
        <x:v>SANOFI PASTEUR, INC. (2023-06-28);;SANOFI VACCINES US INC. (2026-05-27)</x:v>
      </x:c>
      <x:c r="O666" s="87" t="str">
        <x:v>HIGH DOSE INFLUENZA VACCINE FOR PEDIATRIC SUBJECTS</x:v>
      </x:c>
      <x:c r="P666" s="109" t="n">
        <x:v>0</x:v>
      </x:c>
      <x:c r="Q666" s="109" t="n">
        <x:v>5</x:v>
      </x:c>
      <x:c r="R666" s="87" t="str">
        <x:v>A61K39/12;;A61K2039/521;;A61K2039/55566;;A61K2039/545;;A61K2039/55;;A61K2039/575;;A61K2039/70;;C12N2760/16134;;C12N2760/16234;;A61P31/16;;A61P31/14;;A61K39/145;;A61K2039/5252;;A61K2039/5254;;A61K2039/54;;A61K2039/545;;A61K2039/55;;A61K2039/70</x:v>
      </x:c>
      <x:c r="S666" s="87" t="str">
        <x:v>A61K39/12;;A61K39/00;;A61P31/16</x:v>
      </x:c>
      <x:c r="T666" s="87" t="str">
        <x:v>PENDING</x:v>
      </x:c>
      <x:c r="U666" s="87" t="str">
        <x:v>https://lens.org/011-621-616-076-179</x:v>
      </x:c>
    </x:row>
    <x:row r="667">
      <x:c r="A667" s="87" t="str">
        <x:v>Sanofi_Applicant_EP_Families_2015_2021.csv(1).csv</x:v>
      </x:c>
      <x:c r="B667" s="87" t="str">
        <x:v>Sanofi</x:v>
      </x:c>
      <x:c r="C667" s="87" t="str">
        <x:v>TRT-0010</x:v>
      </x:c>
      <x:c r="D667" s="87" t="str">
        <x:v>Yes</x:v>
      </x:c>
      <x:c r="E667" s="87" t="str">
        <x:v>sanofi</x:v>
      </x:c>
      <x:c r="F667" s="87" t="str">
        <x:v>73</x:v>
      </x:c>
      <x:c r="G667" s="87" t="str">
        <x:v>117-890-013-995-474</x:v>
      </x:c>
      <x:c r="H667" s="110" t="n">
        <x:v>43861</x:v>
      </x:c>
      <x:c r="I667" s="88" t="n">
        <x:v>2020</x:v>
      </x:c>
      <x:c r="J667" s="87" t="str">
        <x:v>EP</x:v>
      </x:c>
      <x:c r="K667" s="87" t="str">
        <x:v>A1</x:v>
      </x:c>
      <x:c r="L667" s="87" t="str">
        <x:v>EP 4096625 A1</x:v>
      </x:c>
      <x:c r="M667" s="87" t="str">
        <x:v>SANOFI BIOTECHNOLOGY;;UNIV TOURS;;INST NAT SANTE RECH MED</x:v>
      </x:c>
      <x:c r="N667" s="87" t="str">
        <x:v>INSTITUT NATIONAL DE LA SANTE ET DE LA RECHERCHE MEDICALE (INSERM) (2023-01-18);;SANOFI (2023-01-18);;UNIVERSITE DE TOURS (2023-01-18)</x:v>
      </x:c>
      <x:c r="O667" s="87" t="str">
        <x:v>PULMONARY DELIVERY OF ANTIBODIES</x:v>
      </x:c>
      <x:c r="P667" s="109" t="n">
        <x:v>0</x:v>
      </x:c>
      <x:c r="Q667" s="109" t="n">
        <x:v>8</x:v>
      </x:c>
      <x:c r="R667" s="87" t="str">
        <x:v>A61K9/0078;;A61K47/12;;A61K47/183;;A61K47/10;;Y02A50/30;;A61K47/68;;A61K9/0078;;A61K47/10;;A61K47/183</x:v>
      </x:c>
      <x:c r="S667" s="87" t="str">
        <x:v>A61K9/00;;A61K47/10;;A61K47/12;;A61K47/18</x:v>
      </x:c>
      <x:c r="T667" s="87" t="str">
        <x:v>PENDING</x:v>
      </x:c>
      <x:c r="U667" s="87" t="str">
        <x:v>https://lens.org/117-890-013-995-474</x:v>
      </x:c>
    </x:row>
    <x:row r="668">
      <x:c r="A668" s="87" t="str">
        <x:v>Sanofi_Applicant_EP_Families_2015_2021.csv(1).csv</x:v>
      </x:c>
      <x:c r="B668" s="87" t="str">
        <x:v>Sanofi</x:v>
      </x:c>
      <x:c r="C668" s="87" t="str">
        <x:v>TRT-0010</x:v>
      </x:c>
      <x:c r="D668" s="87" t="str">
        <x:v>Yes</x:v>
      </x:c>
      <x:c r="E668" s="87" t="str">
        <x:v>sanofi</x:v>
      </x:c>
      <x:c r="F668" s="87" t="str">
        <x:v>74</x:v>
      </x:c>
      <x:c r="G668" s="87" t="str">
        <x:v>183-286-188-743-271</x:v>
      </x:c>
      <x:c r="H668" s="110" t="n">
        <x:v>43826</x:v>
      </x:c>
      <x:c r="I668" s="88" t="n">
        <x:v>2019</x:v>
      </x:c>
      <x:c r="J668" s="87" t="str">
        <x:v>EP</x:v>
      </x:c>
      <x:c r="K668" s="87" t="str">
        <x:v>A1</x:v>
      </x:c>
      <x:c r="L668" s="87" t="str">
        <x:v>EP 4081282 A1</x:v>
      </x:c>
      <x:c r="M668" s="87" t="str">
        <x:v>SANOFI SA</x:v>
      </x:c>
      <x:c r="N668" s="87" t="str">
        <x:v>SANOFI (2025-05-07)</x:v>
      </x:c>
      <x:c r="O668" s="87" t="str">
        <x:v>APPARATUS FOR DETECTING A MANIPULATION OF AN INJECTION DEVICE</x:v>
      </x:c>
      <x:c r="P668" s="109" t="n">
        <x:v>0</x:v>
      </x:c>
      <x:c r="Q668" s="109" t="n">
        <x:v>9</x:v>
      </x:c>
      <x:c r="R668" s="87" t="str">
        <x:v>A61M5/24;;A61M5/31551;;A61M5/31568;;A61M2205/8212;;A61M2205/50;;A61M2205/332;;A61M2205/581;;A61M5/31551;;A61M5/31568;;A61M2205/50;;A61M2205/581;;A61M2205/8212</x:v>
      </x:c>
      <x:c r="S668" s="87" t="str">
        <x:v>A61M5/315;;A61M5/24</x:v>
      </x:c>
      <x:c r="T668" s="87" t="str">
        <x:v>ACTIVE</x:v>
      </x:c>
      <x:c r="U668" s="87" t="str">
        <x:v>https://lens.org/183-286-188-743-271</x:v>
      </x:c>
    </x:row>
    <x:row r="669">
      <x:c r="A669" s="87" t="str">
        <x:v>Sanofi_Applicant_EP_Families_2015_2021.csv(1).csv</x:v>
      </x:c>
      <x:c r="B669" s="87" t="str">
        <x:v>Sanofi</x:v>
      </x:c>
      <x:c r="C669" s="87" t="str">
        <x:v>TRT-0010</x:v>
      </x:c>
      <x:c r="D669" s="87" t="str">
        <x:v>Yes</x:v>
      </x:c>
      <x:c r="E669" s="87" t="str">
        <x:v>sanofi</x:v>
      </x:c>
      <x:c r="F669" s="87" t="str">
        <x:v>75</x:v>
      </x:c>
      <x:c r="G669" s="87" t="str">
        <x:v>111-773-475-028-525</x:v>
      </x:c>
      <x:c r="H669" s="110" t="n">
        <x:v>43822</x:v>
      </x:c>
      <x:c r="I669" s="88" t="n">
        <x:v>2019</x:v>
      </x:c>
      <x:c r="J669" s="87" t="str">
        <x:v>EP</x:v>
      </x:c>
      <x:c r="K669" s="87" t="str">
        <x:v>A1</x:v>
      </x:c>
      <x:c r="L669" s="87" t="str">
        <x:v>EP 4081544 A1</x:v>
      </x:c>
      <x:c r="M669" s="87" t="str">
        <x:v>SANOFI BIOTECHNOLOGY;;REGENERON PHARMA</x:v>
      </x:c>
      <x:c r="N669" s="87" t="str">
        <x:v>REGENERON PHARMACEUTICALS, INC. (2024-07-24);;SANOFI BIOTECHNOLOGY (2024-07-24)</x:v>
      </x:c>
      <x:c r="O669" s="87" t="str">
        <x:v>METHODS FOR TREATING OR PREVENTING ALLERGIC ASTHMA BY ADMINISTERING AN IL-33 ANTAGONIST AND/OR AN IL-4R ANTAGONIST</x:v>
      </x:c>
      <x:c r="P669" s="109" t="n">
        <x:v>0</x:v>
      </x:c>
      <x:c r="Q669" s="109" t="n">
        <x:v>12</x:v>
      </x:c>
      <x:c r="R669" s="87" t="str">
        <x:v>C07K16/2803;;C07K16/2866;;C07K2317/21;;C07K2317/92;;C07K2317/76;;A61K2039/505;;A61P11/06;;C07K16/2803;;C07K2317/76;;C07K2317/21;;C07K2317/92;;A61P11/06;;C07K16/2866;;A61K2039/505;;C07K16/244;;C07K16/2866;;A61P11/06;;C07K2317/21;;C07K2317/76;;C07K2317/92;;A61K2039/505;;A61P11/06;;A61P37/08;;A61K39/00;;A61K2039/507;;C07K16/244;;C07K16/2866</x:v>
      </x:c>
      <x:c r="S669" s="87" t="str">
        <x:v>C07K16/28;;A61P11/06</x:v>
      </x:c>
      <x:c r="T669" s="87" t="str">
        <x:v>PENDING</x:v>
      </x:c>
      <x:c r="U669" s="87" t="str">
        <x:v>https://lens.org/111-773-475-028-525</x:v>
      </x:c>
    </x:row>
    <x:row r="670">
      <x:c r="A670" s="87" t="str">
        <x:v>Sanofi_Applicant_EP_Families_2015_2021.csv(1).csv</x:v>
      </x:c>
      <x:c r="B670" s="87" t="str">
        <x:v>Sanofi</x:v>
      </x:c>
      <x:c r="C670" s="87" t="str">
        <x:v>TRT-0010</x:v>
      </x:c>
      <x:c r="D670" s="87" t="str">
        <x:v>Yes</x:v>
      </x:c>
      <x:c r="E670" s="87" t="str">
        <x:v>sanofi</x:v>
      </x:c>
      <x:c r="F670" s="87" t="str">
        <x:v>76</x:v>
      </x:c>
      <x:c r="G670" s="87" t="str">
        <x:v>060-076-477-720-740</x:v>
      </x:c>
      <x:c r="H670" s="110" t="n">
        <x:v>43817</x:v>
      </x:c>
      <x:c r="I670" s="88" t="n">
        <x:v>2019</x:v>
      </x:c>
      <x:c r="J670" s="87" t="str">
        <x:v>EP</x:v>
      </x:c>
      <x:c r="K670" s="87" t="str">
        <x:v>A1</x:v>
      </x:c>
      <x:c r="L670" s="87" t="str">
        <x:v>EP 4076592 A1</x:v>
      </x:c>
      <x:c r="M670" s="87" t="str">
        <x:v>SANOFI SA</x:v>
      </x:c>
      <x:c r="N670" s="87" t="str">
        <x:v>SANOFI (2022-12-28)</x:v>
      </x:c>
      <x:c r="O670" s="87" t="str">
        <x:v>CARTRIDGE ASSEMBLY FOR A DRUG DELIVERY DEVICE AND DRUG DELIVERY DEVICE</x:v>
      </x:c>
      <x:c r="P670" s="109" t="n">
        <x:v>0</x:v>
      </x:c>
      <x:c r="Q670" s="109" t="n">
        <x:v>13</x:v>
      </x:c>
      <x:c r="R670" s="87" t="str">
        <x:v>A61M5/24;;A61M2005/2407;;A61M2005/2437;;A61M5/347;;A61M2005/2488;;A61M5/24;;A61M2005/2488;;A61M2005/2437;;A61M2005/2407;;A61M5/347;;A61M5/24;;A61M5/347;;A61M2005/2407;;A61M2005/2437;;A61M2005/2488;;A61M5/24;;A61M5/34;;A61M2005/2437</x:v>
      </x:c>
      <x:c r="S670" s="87" t="str">
        <x:v>A61M5/24;;A61M5/34</x:v>
      </x:c>
      <x:c r="T670" s="87" t="str">
        <x:v>PENDING</x:v>
      </x:c>
      <x:c r="U670" s="87" t="str">
        <x:v>https://lens.org/060-076-477-720-740</x:v>
      </x:c>
    </x:row>
    <x:row r="671">
      <x:c r="A671" s="87" t="str">
        <x:v>Sanofi_Applicant_EP_Families_2015_2021.csv(1).csv</x:v>
      </x:c>
      <x:c r="B671" s="87" t="str">
        <x:v>Sanofi</x:v>
      </x:c>
      <x:c r="C671" s="87" t="str">
        <x:v>TRT-0010</x:v>
      </x:c>
      <x:c r="D671" s="87" t="str">
        <x:v>Yes</x:v>
      </x:c>
      <x:c r="E671" s="87" t="str">
        <x:v>sanofi</x:v>
      </x:c>
      <x:c r="F671" s="87" t="str">
        <x:v>77</x:v>
      </x:c>
      <x:c r="G671" s="87" t="str">
        <x:v>188-784-806-590-705</x:v>
      </x:c>
      <x:c r="H671" s="110" t="n">
        <x:v>43808</x:v>
      </x:c>
      <x:c r="I671" s="88" t="n">
        <x:v>2019</x:v>
      </x:c>
      <x:c r="J671" s="87" t="str">
        <x:v>EP</x:v>
      </x:c>
      <x:c r="K671" s="87" t="str">
        <x:v>A1</x:v>
      </x:c>
      <x:c r="L671" s="87" t="str">
        <x:v>EP 4072618 A1</x:v>
      </x:c>
      <x:c r="M671" s="87" t="str">
        <x:v>SANOFI SA</x:v>
      </x:c>
      <x:c r="N671" s="87" t="str">
        <x:v>SANOFI (2022-12-28)</x:v>
      </x:c>
      <x:c r="O671" s="87" t="str">
        <x:v>DRUG DELIVERY DEVICE, SYSTEM COMPRISING A DRUG DELIVERY DEVICE, AND ASSOCIATED METHOD</x:v>
      </x:c>
      <x:c r="P671" s="109" t="n">
        <x:v>0</x:v>
      </x:c>
      <x:c r="Q671" s="109" t="n">
        <x:v>7</x:v>
      </x:c>
      <x:c r="R671" s="87" t="str">
        <x:v>A61M5/142;;A61M5/178;;A61M5/16831;;A61M2205/3368;;A61M2205/3613;;A61M2205/3673;;A61M5/44;;A61M5/44;;A61M2205/3368</x:v>
      </x:c>
      <x:c r="S671" s="87" t="str">
        <x:v>A61M5/142;;A61M5/168;;A61M5/178;;A61M5/44</x:v>
      </x:c>
      <x:c r="T671" s="87" t="str">
        <x:v>ACTIVE</x:v>
      </x:c>
      <x:c r="U671" s="87" t="str">
        <x:v>https://lens.org/188-784-806-590-705</x:v>
      </x:c>
    </x:row>
    <x:row r="672">
      <x:c r="A672" s="87" t="str">
        <x:v>Sanofi_Applicant_EP_Families_2015_2021.csv(1).csv</x:v>
      </x:c>
      <x:c r="B672" s="87" t="str">
        <x:v>Sanofi</x:v>
      </x:c>
      <x:c r="C672" s="87" t="str">
        <x:v>TRT-0010</x:v>
      </x:c>
      <x:c r="D672" s="87" t="str">
        <x:v>Yes</x:v>
      </x:c>
      <x:c r="E672" s="87" t="str">
        <x:v>sanofi</x:v>
      </x:c>
      <x:c r="F672" s="87" t="str">
        <x:v>78</x:v>
      </x:c>
      <x:c r="G672" s="87" t="str">
        <x:v>187-431-879-574-108</x:v>
      </x:c>
      <x:c r="H672" s="110" t="n">
        <x:v>43810</x:v>
      </x:c>
      <x:c r="I672" s="88" t="n">
        <x:v>2019</x:v>
      </x:c>
      <x:c r="J672" s="87" t="str">
        <x:v>EP</x:v>
      </x:c>
      <x:c r="K672" s="87" t="str">
        <x:v>A1</x:v>
      </x:c>
      <x:c r="L672" s="87" t="str">
        <x:v>EP 4072632 A1</x:v>
      </x:c>
      <x:c r="M672" s="87" t="str">
        <x:v>SANOFI SA</x:v>
      </x:c>
      <x:c r="N672" s="87" t="str">
        <x:v>SANOFI (2022-12-28)</x:v>
      </x:c>
      <x:c r="O672" s="87" t="str">
        <x:v>MODULAR SYSTEM FOR A DRUG DELIVERY DEVICE WITH ELECTRONIC AND CORRESPONDING MODULES AND METHOD</x:v>
      </x:c>
      <x:c r="P672" s="109" t="n">
        <x:v>0</x:v>
      </x:c>
      <x:c r="Q672" s="109" t="n">
        <x:v>7</x:v>
      </x:c>
      <x:c r="R672" s="87" t="str">
        <x:v>A61M5/31568;;A61M2205/3306;;A61M2205/0238;;A61M2205/0216;;A61M2205/50;;A61M5/31568;;A61M2205/0238;;A61M2205/3306;;A61M2207/10;;A61M2205/0216;;A61M2205/50</x:v>
      </x:c>
      <x:c r="S672" s="87" t="str">
        <x:v>A61M5/315</x:v>
      </x:c>
      <x:c r="T672" s="87" t="str">
        <x:v>PENDING</x:v>
      </x:c>
      <x:c r="U672" s="87" t="str">
        <x:v>https://lens.org/187-431-879-574-108</x:v>
      </x:c>
    </x:row>
    <x:row r="673">
      <x:c r="A673" s="87" t="str">
        <x:v>Sanofi_Applicant_EP_Families_2015_2021.csv(1).csv</x:v>
      </x:c>
      <x:c r="B673" s="87" t="str">
        <x:v>Sanofi</x:v>
      </x:c>
      <x:c r="C673" s="87" t="str">
        <x:v>TRT-0010</x:v>
      </x:c>
      <x:c r="D673" s="87" t="str">
        <x:v>Yes</x:v>
      </x:c>
      <x:c r="E673" s="87" t="str">
        <x:v>sanofi</x:v>
      </x:c>
      <x:c r="F673" s="87" t="str">
        <x:v>79</x:v>
      </x:c>
      <x:c r="G673" s="87" t="str">
        <x:v>101-510-845-772-152</x:v>
      </x:c>
      <x:c r="H673" s="110" t="n">
        <x:v>43812</x:v>
      </x:c>
      <x:c r="I673" s="88" t="n">
        <x:v>2019</x:v>
      </x:c>
      <x:c r="J673" s="87" t="str">
        <x:v>EP</x:v>
      </x:c>
      <x:c r="K673" s="87" t="str">
        <x:v>A1</x:v>
      </x:c>
      <x:c r="L673" s="87" t="str">
        <x:v>EP 4072628 A1</x:v>
      </x:c>
      <x:c r="M673" s="87" t="str">
        <x:v>SANOFI SA</x:v>
      </x:c>
      <x:c r="N673" s="87" t="str">
        <x:v>SANOFI (2022-12-28)</x:v>
      </x:c>
      <x:c r="O673" s="87" t="str">
        <x:v>ARRANGEMENT FOR A DRUG DELIVERY DEVICE AND DRUG DELIVERY DEVICE</x:v>
      </x:c>
      <x:c r="P673" s="109" t="n">
        <x:v>0</x:v>
      </x:c>
      <x:c r="Q673" s="109" t="n">
        <x:v>6</x:v>
      </x:c>
      <x:c r="R673" s="87" t="str">
        <x:v>A61M5/20;;A61M5/31541;;A61M5/31553;;A61M5/31568;;A61M5/31585;;A61M5/31593;;A61M2005/2407;;A61M2005/2433;;A61M5/3155</x:v>
      </x:c>
      <x:c r="S673" s="87" t="str">
        <x:v>A61M5/20;;A61M5/24;;A61M5/315</x:v>
      </x:c>
      <x:c r="T673" s="87" t="str">
        <x:v>PENDING</x:v>
      </x:c>
      <x:c r="U673" s="87" t="str">
        <x:v>https://lens.org/101-510-845-772-152</x:v>
      </x:c>
    </x:row>
    <x:row r="674">
      <x:c r="A674" s="87" t="str">
        <x:v>Sanofi_Applicant_EP_Families_2015_2021.csv(1).csv</x:v>
      </x:c>
      <x:c r="B674" s="87" t="str">
        <x:v>Sanofi</x:v>
      </x:c>
      <x:c r="C674" s="87" t="str">
        <x:v>TRT-0010</x:v>
      </x:c>
      <x:c r="D674" s="87" t="str">
        <x:v>Yes</x:v>
      </x:c>
      <x:c r="E674" s="87" t="str">
        <x:v>sanofi</x:v>
      </x:c>
      <x:c r="F674" s="87" t="str">
        <x:v>80</x:v>
      </x:c>
      <x:c r="G674" s="87" t="str">
        <x:v>193-191-255-229-151</x:v>
      </x:c>
      <x:c r="H674" s="110" t="n">
        <x:v>43810</x:v>
      </x:c>
      <x:c r="I674" s="88" t="n">
        <x:v>2019</x:v>
      </x:c>
      <x:c r="J674" s="87" t="str">
        <x:v>EP</x:v>
      </x:c>
      <x:c r="K674" s="87" t="str">
        <x:v>A1</x:v>
      </x:c>
      <x:c r="L674" s="87" t="str">
        <x:v>EP 4073604 A1</x:v>
      </x:c>
      <x:c r="M674" s="87" t="str">
        <x:v>SANOFI SA</x:v>
      </x:c>
      <x:c r="N674" s="87" t="str">
        <x:v>SANOFI (2022-12-28)</x:v>
      </x:c>
      <x:c r="O674" s="87" t="str">
        <x:v>METHOD OF DETERMINING AT LEAST ONE TOLERANCE BAND LIMIT VALUE FOR A TECHNICAL VARIABLE UNDER TEST AND CORRESPONDING CALCULATION DEVICE</x:v>
      </x:c>
      <x:c r="P674" s="109" t="n">
        <x:v>0</x:v>
      </x:c>
      <x:c r="Q674" s="109" t="n">
        <x:v>9</x:v>
      </x:c>
      <x:c r="R674" s="87" t="str">
        <x:v>G05B19/41875;;G05B2219/32191;;G05B19/41875;;G05B2219/32191</x:v>
      </x:c>
      <x:c r="S674" s="87" t="str">
        <x:v>G05B19/418</x:v>
      </x:c>
      <x:c r="T674" s="87" t="str">
        <x:v>ACTIVE</x:v>
      </x:c>
      <x:c r="U674" s="87" t="str">
        <x:v>https://lens.org/193-191-255-229-151</x:v>
      </x:c>
    </x:row>
    <x:row r="675">
      <x:c r="A675" s="87" t="str">
        <x:v>Sanofi_Applicant_EP_Families_2015_2021.csv(1).csv</x:v>
      </x:c>
      <x:c r="B675" s="87" t="str">
        <x:v>Sanofi</x:v>
      </x:c>
      <x:c r="C675" s="87" t="str">
        <x:v>TRT-0010</x:v>
      </x:c>
      <x:c r="D675" s="87" t="str">
        <x:v>Yes</x:v>
      </x:c>
      <x:c r="E675" s="87" t="str">
        <x:v>sanofi</x:v>
      </x:c>
      <x:c r="F675" s="87" t="str">
        <x:v>81</x:v>
      </x:c>
      <x:c r="G675" s="87" t="str">
        <x:v>088-400-143-132-824</x:v>
      </x:c>
      <x:c r="H675" s="110" t="n">
        <x:v>43811</x:v>
      </x:c>
      <x:c r="I675" s="88" t="n">
        <x:v>2019</x:v>
      </x:c>
      <x:c r="J675" s="87" t="str">
        <x:v>EP</x:v>
      </x:c>
      <x:c r="K675" s="87" t="str">
        <x:v>A1</x:v>
      </x:c>
      <x:c r="L675" s="87" t="str">
        <x:v>EP 4072626 A1</x:v>
      </x:c>
      <x:c r="M675" s="87" t="str">
        <x:v>SANOFI SA</x:v>
      </x:c>
      <x:c r="N675" s="87" t="str">
        <x:v>SANOFI (2025-10-22)</x:v>
      </x:c>
      <x:c r="O675" s="87" t="str">
        <x:v>MEDICAL DEVICE COMRISING AN ALARM GENERATOR TAKING INTO ACCOUNT ENVIRONMENTAL SIGNALS</x:v>
      </x:c>
      <x:c r="P675" s="109" t="n">
        <x:v>0</x:v>
      </x:c>
      <x:c r="Q675" s="109" t="n">
        <x:v>9</x:v>
      </x:c>
      <x:c r="R675" s="87" t="str">
        <x:v>A61M2205/18;;A61M2205/581;;A61M2205/582;;A61M5/20;;A61M5/142;;A61M2205/3569;;A61M2205/3584;;A61M2005/14264;;A61M5/142;;A61M5/20;;A61M2005/14264;;A61M2205/18;;A61M2205/3584;;A61M2205/581</x:v>
      </x:c>
      <x:c r="S675" s="87" t="str">
        <x:v>A61M5/20;;A61M5/142</x:v>
      </x:c>
      <x:c r="T675" s="87" t="str">
        <x:v>ACTIVE</x:v>
      </x:c>
      <x:c r="U675" s="87" t="str">
        <x:v>https://lens.org/088-400-143-132-824</x:v>
      </x:c>
    </x:row>
    <x:row r="676">
      <x:c r="A676" s="87" t="str">
        <x:v>Sanofi_Applicant_EP_Families_2015_2021.csv(1).csv</x:v>
      </x:c>
      <x:c r="B676" s="87" t="str">
        <x:v>Sanofi</x:v>
      </x:c>
      <x:c r="C676" s="87" t="str">
        <x:v>TRT-0010</x:v>
      </x:c>
      <x:c r="D676" s="87" t="str">
        <x:v>Yes</x:v>
      </x:c>
      <x:c r="E676" s="87" t="str">
        <x:v>sanofi, ablynx</x:v>
      </x:c>
      <x:c r="F676" s="87" t="str">
        <x:v>82</x:v>
      </x:c>
      <x:c r="G676" s="87" t="str">
        <x:v>187-942-450-307-52X</x:v>
      </x:c>
      <x:c r="H676" s="110" t="n">
        <x:v>43808</x:v>
      </x:c>
      <x:c r="I676" s="88" t="n">
        <x:v>2019</x:v>
      </x:c>
      <x:c r="J676" s="87" t="str">
        <x:v>EP</x:v>
      </x:c>
      <x:c r="K676" s="87" t="str">
        <x:v>A1</x:v>
      </x:c>
      <x:c r="L676" s="87" t="str">
        <x:v>EP 4072674 A1</x:v>
      </x:c>
      <x:c r="M676" s="87" t="str">
        <x:v>ABLYNX NV;;SANOFI SA</x:v>
      </x:c>
      <x:c r="N676" s="87" t="str">
        <x:v>ABLYNX NV (2022-11-30);;SANOFI (2022-11-30)</x:v>
      </x:c>
      <x:c r="O676" s="87" t="str">
        <x:v>POLYPEPTIDES COMPRISING IMMUNOGLOBULIN SINGLE VARIABLE DOMAINS TARGETING IL-13 AND TSLP</x:v>
      </x:c>
      <x:c r="P676" s="109" t="n">
        <x:v>1</x:v>
      </x:c>
      <x:c r="Q676" s="109" t="n">
        <x:v>25</x:v>
      </x:c>
      <x:c r="R676" s="87" t="str">
        <x:v>C07K16/244;;C07K2317/94;;C07K2317/76;;C07K16/18;;C07K2319/00;;C07K2317/31;;A61P11/00;;C07K16/244;;C07K2319/00;;C07K2317/94;;C07K2317/31;;C07K16/18;;C07K2317/76;;C07K2317/565;;A61P11/00;;C07K16/244;;A61P29/00;;A61P11/06;;A61P17/00;;C07K2317/31;;C07K2317/76;;C07K2317/94;;A61K2039/505;;C07K16/244;;C07K2317/565</x:v>
      </x:c>
      <x:c r="S676" s="87" t="str">
        <x:v>A61P11/00;;C07K16/18;;C07K16/24</x:v>
      </x:c>
      <x:c r="T676" s="87" t="str">
        <x:v>PENDING</x:v>
      </x:c>
      <x:c r="U676" s="87" t="str">
        <x:v>https://lens.org/187-942-450-307-52X</x:v>
      </x:c>
    </x:row>
    <x:row r="677">
      <x:c r="A677" s="87" t="str">
        <x:v>Sanofi_Applicant_EP_Families_2015_2021.csv(1).csv</x:v>
      </x:c>
      <x:c r="B677" s="87" t="str">
        <x:v>Sanofi</x:v>
      </x:c>
      <x:c r="C677" s="87" t="str">
        <x:v>TRT-0010</x:v>
      </x:c>
      <x:c r="D677" s="87" t="str">
        <x:v>Yes</x:v>
      </x:c>
      <x:c r="E677" s="87" t="str">
        <x:v>sanofi</x:v>
      </x:c>
      <x:c r="F677" s="87" t="str">
        <x:v>83</x:v>
      </x:c>
      <x:c r="G677" s="87" t="str">
        <x:v>070-717-278-758-770</x:v>
      </x:c>
      <x:c r="H677" s="110" t="n">
        <x:v>43805</x:v>
      </x:c>
      <x:c r="I677" s="88" t="n">
        <x:v>2019</x:v>
      </x:c>
      <x:c r="J677" s="87" t="str">
        <x:v>EP</x:v>
      </x:c>
      <x:c r="K677" s="87" t="str">
        <x:v>A1</x:v>
      </x:c>
      <x:c r="L677" s="87" t="str">
        <x:v>EP 4069338 A1</x:v>
      </x:c>
      <x:c r="M677" s="87" t="str">
        <x:v>SANOFI SA</x:v>
      </x:c>
      <x:c r="N677" s="87" t="str">
        <x:v>SANOFI (2023-11-01)</x:v>
      </x:c>
      <x:c r="O677" s="87" t="str">
        <x:v>DOSING MECHANISM WITH ROTATIONAL END STOP MECHANISM FOR TERMINATING DOSE DISPENSE</x:v>
      </x:c>
      <x:c r="P677" s="109" t="n">
        <x:v>0</x:v>
      </x:c>
      <x:c r="Q677" s="109" t="n">
        <x:v>10</x:v>
      </x:c>
      <x:c r="R677" s="87" t="str">
        <x:v>A61M5/3155;;A61M5/31501;;A61M5/31541;;A61M5/31551;;A61M5/31556;;A61M5/31573;;A61M5/31585;;A61M5/31593;;A61M2005/3152;;A61M5/31501;;A61M5/31541;;A61M5/31551</x:v>
      </x:c>
      <x:c r="S677" s="87" t="str">
        <x:v>A61M5/315;;A61M5/20</x:v>
      </x:c>
      <x:c r="T677" s="87" t="str">
        <x:v>ACTIVE</x:v>
      </x:c>
      <x:c r="U677" s="87" t="str">
        <x:v>https://lens.org/070-717-278-758-770</x:v>
      </x:c>
    </x:row>
    <x:row r="678">
      <x:c r="A678" s="87" t="str">
        <x:v>Sanofi_Applicant_EP_Families_2015_2021.csv(1).csv</x:v>
      </x:c>
      <x:c r="B678" s="87" t="str">
        <x:v>Sanofi</x:v>
      </x:c>
      <x:c r="C678" s="87" t="str">
        <x:v>TRT-0010</x:v>
      </x:c>
      <x:c r="D678" s="87" t="str">
        <x:v>Yes</x:v>
      </x:c>
      <x:c r="E678" s="87" t="str">
        <x:v>sanofi, ablynx</x:v>
      </x:c>
      <x:c r="F678" s="87" t="str">
        <x:v>84</x:v>
      </x:c>
      <x:c r="G678" s="87" t="str">
        <x:v>079-452-169-049-314</x:v>
      </x:c>
      <x:c r="H678" s="110" t="n">
        <x:v>43805</x:v>
      </x:c>
      <x:c r="I678" s="88" t="n">
        <x:v>2019</x:v>
      </x:c>
      <x:c r="J678" s="87" t="str">
        <x:v>EP</x:v>
      </x:c>
      <x:c r="K678" s="87" t="str">
        <x:v>A1</x:v>
      </x:c>
      <x:c r="L678" s="87" t="str">
        <x:v>EP 4069293 A1</x:v>
      </x:c>
      <x:c r="M678" s="87" t="str">
        <x:v>ABLYNX NV;;SANOFI SA</x:v>
      </x:c>
      <x:c r="N678" s="87" t="str">
        <x:v>ABLYNX NV (2022-11-30);;SANOFI (2022-11-30)</x:v>
      </x:c>
      <x:c r="O678" s="87" t="str">
        <x:v>POLYPEPTIDES COMPRISING IMMUNOGLOBULIN SINGLE VARIABLE DOMAINS TARGETING TNFA AND OX40L</x:v>
      </x:c>
      <x:c r="P678" s="109" t="n">
        <x:v>0</x:v>
      </x:c>
      <x:c r="Q678" s="109" t="n">
        <x:v>16</x:v>
      </x:c>
      <x:c r="R678" s="87" t="str">
        <x:v>A61P1/00;;A61K2039/505;;A61P17/06;;A61P19/02;;A61P29/00;;A61P37/00;;A61P37/06;;C07K16/18;;C07K16/241;;C07K16/2875;;C07K2317/31;;C07K2317/569;;C07K2317/76;;C07K2317/92;;C07K2317/94;;C07K16/2875;;A61K2039/505;;A61P1/00;;A61P17/06;;A61P19/02;;A61P29/00;;A61P37/00;;A61P37/06;;C07K16/18;;C07K16/241;;C07K2317/14;;C07K2317/31;;C07K2317/565;;C07K2317/569;;C07K2317/76;;C07K2317/92;;C07K2317/94;;C07K2319/30;;C07K2319/31;;C07K16/2875;;A61K2039/505;;A61P29/00;;A61P39/00;;C07K16/241;;C07K2317/31;;C07K2317/569;;C07K2317/76;;C07K16/2875;;A61P29/00;;C07K16/241;;C07K2317/14;;C07K2317/565;;C07K2317/94;;C07K2319/30;;C07K2319/31</x:v>
      </x:c>
      <x:c r="S678" s="87" t="str">
        <x:v>A61K39/395;;A61P1/00;;A61P17/06;;A61P19/02;;A61P29/00;;A61P37/00</x:v>
      </x:c>
      <x:c r="T678" s="87" t="str">
        <x:v>PENDING</x:v>
      </x:c>
      <x:c r="U678" s="87" t="str">
        <x:v>https://lens.org/079-452-169-049-314</x:v>
      </x:c>
    </x:row>
    <x:row r="679">
      <x:c r="A679" s="87" t="str">
        <x:v>Sanofi_Applicant_EP_Families_2015_2021.csv(1).csv</x:v>
      </x:c>
      <x:c r="B679" s="87" t="str">
        <x:v>Sanofi</x:v>
      </x:c>
      <x:c r="C679" s="87" t="str">
        <x:v>TRT-0010</x:v>
      </x:c>
      <x:c r="D679" s="87" t="str">
        <x:v>Yes</x:v>
      </x:c>
      <x:c r="E679" s="87" t="str">
        <x:v>sanofi, ablynx</x:v>
      </x:c>
      <x:c r="F679" s="87" t="str">
        <x:v>85</x:v>
      </x:c>
      <x:c r="G679" s="87" t="str">
        <x:v>142-630-253-197-303</x:v>
      </x:c>
      <x:c r="H679" s="110" t="n">
        <x:v>43805</x:v>
      </x:c>
      <x:c r="I679" s="88" t="n">
        <x:v>2019</x:v>
      </x:c>
      <x:c r="J679" s="87" t="str">
        <x:v>EP</x:v>
      </x:c>
      <x:c r="K679" s="87" t="str">
        <x:v>A1</x:v>
      </x:c>
      <x:c r="L679" s="87" t="str">
        <x:v>EP 4069733 A1</x:v>
      </x:c>
      <x:c r="M679" s="87" t="str">
        <x:v>ABLYNX NV;;SANOFI SA</x:v>
      </x:c>
      <x:c r="N679" s="87" t="str">
        <x:v>ABLYNX NV (2022-11-30);;SANOFI (2022-11-30)</x:v>
      </x:c>
      <x:c r="O679" s="87" t="str">
        <x:v>POLYPEPTIDES COMPRISING IMMUNOGLOBULIN SINGLE VARIABLE DOMAINS TARGETING TNFalpha AND IL-23</x:v>
      </x:c>
      <x:c r="P679" s="109" t="n">
        <x:v>0</x:v>
      </x:c>
      <x:c r="Q679" s="109" t="n">
        <x:v>21</x:v>
      </x:c>
      <x:c r="R679" s="87" t="str">
        <x:v>C07K16/241;;A61K2039/505;;A61P37/06;;C07K16/18;;C07K16/244;;C07K2317/22;;C07K2317/31;;C07K2317/76;;C07K2317/94;;C07K2319/00;;C07K16/244;;A61K2039/505;;A61P17/00;;A61P19/02;;A61P37/06;;C07K16/18;;C07K16/241;;C07K2317/22;;C07K2317/31;;C07K2317/565;;C07K2317/569;;C07K2317/76;;C07K2317/92;;C07K2317/94;;C07K2319/00;;C07K16/241;;A61K2039/505;;A61P29/00;;C07K16/18;;C07K16/244;;C07K2317/76;;C07K2317/92;;C07K16/244;;A61K39/395;;A61K2039/505;;A61P17/00;;A61P19/02;;A61P37/06;;C07K16/18;;C07K16/241;;C07K2317/31;;C07K2317/565;;C07K2317/569;;C07K2317/76;;C07K2317/92</x:v>
      </x:c>
      <x:c r="S679" s="87" t="str">
        <x:v>C07K16/18;;A61K39/395;;A61P37/06;;C07K16/24</x:v>
      </x:c>
      <x:c r="T679" s="87" t="str">
        <x:v>PENDING</x:v>
      </x:c>
      <x:c r="U679" s="87" t="str">
        <x:v>https://lens.org/142-630-253-197-303</x:v>
      </x:c>
    </x:row>
    <x:row r="680">
      <x:c r="A680" s="87" t="str">
        <x:v>Sanofi_Applicant_EP_Families_2015_2021.csv(1).csv</x:v>
      </x:c>
      <x:c r="B680" s="87" t="str">
        <x:v>Sanofi</x:v>
      </x:c>
      <x:c r="C680" s="87" t="str">
        <x:v>TRT-0010</x:v>
      </x:c>
      <x:c r="D680" s="87" t="str">
        <x:v>Yes</x:v>
      </x:c>
      <x:c r="E680" s="87" t="str">
        <x:v>sanofi</x:v>
      </x:c>
      <x:c r="F680" s="87" t="str">
        <x:v>86</x:v>
      </x:c>
      <x:c r="G680" s="87" t="str">
        <x:v>132-646-021-748-35X</x:v>
      </x:c>
      <x:c r="H680" s="110" t="n">
        <x:v>43805</x:v>
      </x:c>
      <x:c r="I680" s="88" t="n">
        <x:v>2019</x:v>
      </x:c>
      <x:c r="J680" s="87" t="str">
        <x:v>EP</x:v>
      </x:c>
      <x:c r="K680" s="87" t="str">
        <x:v>A1</x:v>
      </x:c>
      <x:c r="L680" s="87" t="str">
        <x:v>EP 4069365 A1</x:v>
      </x:c>
      <x:c r="M680" s="87" t="str">
        <x:v>SANOFI BIOTECHNOLOGY;;REGENERON PHARMA</x:v>
      </x:c>
      <x:c r="N680" s="87" t="str">
        <x:v>REGENERON PHARMACEUTICALS, INC. (2024-07-24);;SANOFI BIOTECHNOLOGY (2024-07-24)</x:v>
      </x:c>
      <x:c r="O680" s="87" t="str">
        <x:v>METHODS FOR TREATING COPD BY ADMINISTERING AN IL-33 ANTAGONIST</x:v>
      </x:c>
      <x:c r="P680" s="109" t="n">
        <x:v>0</x:v>
      </x:c>
      <x:c r="Q680" s="109" t="n">
        <x:v>14</x:v>
      </x:c>
      <x:c r="R680" s="87" t="str">
        <x:v>C07K16/244;;A61K2039/505;;A61K2039/545;;A61P11/00;;C07K2317/21;;C07K2317/76;;C07K2317/90;;C07K16/244;;A61K9/0019;;A61K39/3955;;A61K45/06;;A61K2039/505;;A61K2039/54;;A61K2039/545;;A61K2039/55;;A61P11/00;;C07K2317/21;;C07K2317/565;;C07K2317/76;;C07K2317/90;;C07K16/244;;A61K2039/505;;A61K2039/545;;A61P11/00;;C07K2317/21;;C07K2317/76;;C07K2317/90;;C07K16/244;;A61K9/0019;;A61K39/3955;;A61K45/06;;A61K2039/505;;A61K2039/54;;A61K2039/545;;A61K2039/55;;A61P11/00;;C07K2317/565;;C07K2317/76</x:v>
      </x:c>
      <x:c r="S680" s="87" t="str">
        <x:v>A61P11/00;;C07K16/24</x:v>
      </x:c>
      <x:c r="T680" s="87" t="str">
        <x:v>PENDING</x:v>
      </x:c>
      <x:c r="U680" s="87" t="str">
        <x:v>https://lens.org/132-646-021-748-35X</x:v>
      </x:c>
    </x:row>
    <x:row r="681">
      <x:c r="A681" s="87" t="str">
        <x:v>Sanofi_Applicant_EP_Families_2015_2021.csv(1).csv</x:v>
      </x:c>
      <x:c r="B681" s="87" t="str">
        <x:v>Sanofi</x:v>
      </x:c>
      <x:c r="C681" s="87" t="str">
        <x:v>TRT-0010</x:v>
      </x:c>
      <x:c r="D681" s="87" t="str">
        <x:v>Yes</x:v>
      </x:c>
      <x:c r="E681" s="87" t="str">
        <x:v>sanofi</x:v>
      </x:c>
      <x:c r="F681" s="87" t="str">
        <x:v>87</x:v>
      </x:c>
      <x:c r="G681" s="87" t="str">
        <x:v>190-001-461-533-892</x:v>
      </x:c>
      <x:c r="H681" s="110" t="n">
        <x:v>43439</x:v>
      </x:c>
      <x:c r="I681" s="88" t="n">
        <x:v>2018</x:v>
      </x:c>
      <x:c r="J681" s="87" t="str">
        <x:v>EP</x:v>
      </x:c>
      <x:c r="K681" s="87" t="str">
        <x:v>A4</x:v>
      </x:c>
      <x:c r="L681" s="87" t="str">
        <x:v>EP 3890770 A4</x:v>
      </x:c>
      <x:c r="M681" s="87" t="str">
        <x:v>SANOFI PASTEUR INC</x:v>
      </x:c>
      <x:c r="N681" s="87" t="str">
        <x:v>SANOFI VACCINES US INC. (2026-05-27)</x:v>
      </x:c>
      <x:c r="O681" s="87" t="str">
        <x:v>PERTUSSIS BOOSTER VACCINE</x:v>
      </x:c>
      <x:c r="P681" s="109" t="n">
        <x:v>0</x:v>
      </x:c>
      <x:c r="Q681" s="109" t="n">
        <x:v>10</x:v>
      </x:c>
      <x:c r="R681" s="87" t="str">
        <x:v>A61K39/0018;;A61K2039/545;;A61K2039/55505;;A61K2039/55561;;A61K2039/55572;;A61K2039/57;;A61K2039/6037;;Y02A50/30;;A61K39/099;;A61K39/05;;A61K39/08;;A61K39/39;;A61K2039/545;;A61K2039/55;;A61K2039/55511;;A61K2039/55561;;A61K2039/70;;A61P31/04</x:v>
      </x:c>
      <x:c r="S681" s="87" t="str">
        <x:v>A61K39/00;;A61P31/04</x:v>
      </x:c>
      <x:c r="T681" s="87" t="str">
        <x:v>PENDING</x:v>
      </x:c>
      <x:c r="U681" s="87" t="str">
        <x:v>https://lens.org/190-001-461-533-892</x:v>
      </x:c>
    </x:row>
    <x:row r="682">
      <x:c r="A682" s="87" t="str">
        <x:v>Sanofi_Applicant_EP_Families_2015_2021.csv(1).csv</x:v>
      </x:c>
      <x:c r="B682" s="87" t="str">
        <x:v>Sanofi</x:v>
      </x:c>
      <x:c r="C682" s="87" t="str">
        <x:v>TRT-0010</x:v>
      </x:c>
      <x:c r="D682" s="87" t="str">
        <x:v>Yes</x:v>
      </x:c>
      <x:c r="E682" s="87" t="str">
        <x:v>sanofi</x:v>
      </x:c>
      <x:c r="F682" s="87" t="str">
        <x:v>88</x:v>
      </x:c>
      <x:c r="G682" s="87" t="str">
        <x:v>169-422-146-124-399</x:v>
      </x:c>
      <x:c r="H682" s="110" t="n">
        <x:v>41879</x:v>
      </x:c>
      <x:c r="I682" s="88" t="n">
        <x:v>2014</x:v>
      </x:c>
      <x:c r="J682" s="87" t="str">
        <x:v>EP</x:v>
      </x:c>
      <x:c r="K682" s="87" t="str">
        <x:v>B1</x:v>
      </x:c>
      <x:c r="L682" s="87" t="str">
        <x:v>EP 3185855 B1</x:v>
      </x:c>
      <x:c r="M682" s="87" t="str">
        <x:v>SANOFI AVENTIS DEUTSCHLAND;;SANOFI AVENTIS DE MEXICO SA DE CV</x:v>
      </x:c>
      <x:c r="N682" s="87" t="str">
        <x:v>SANOFI-AVENTIS DE MEXICO SA DE CV, MX (2024-01-18);;SANOFI-AVENTIS DEUTSCHLAND GMBH, DE (2023-05-02);;SANOFI-AVENTIS DE MEXICO SA DE CV (2022-12-21);;A. NATTERMANN &amp; CIE. GESELLSCHAFT MIT BESCHRAEN, DE (2024-02-12);;SANOFI-AVENTIS DE MEXICO SA DE CV, CODIGO POST, MX (2024-02-12);;SANOFI-AVENTIS DEUTSCHLAND GMBH (2022-12-21);;A. NATTERMANN &amp; CIE. GESELLSCHAFT MIT BESCHRAE, DE (2024-01-18)</x:v>
      </x:c>
      <x:c r="O682" s="87" t="str">
        <x:v>FILM COATED TABLET FOR THE TREATMENT OF ACUTE PAIN</x:v>
      </x:c>
      <x:c r="P682" s="109" t="n">
        <x:v>0</x:v>
      </x:c>
      <x:c r="Q682" s="109" t="n">
        <x:v>22</x:v>
      </x:c>
      <x:c r="R682" s="87" t="str">
        <x:v>A61K9/2054;;A61K9/2095;;A61K31/192;;A61K31/522;;A61K9/2054;;A61K9/2095;;A61K31/192;;A61K31/522;;A61P25/04;;A61P29/00;;A61K31/192;;A61K31/522;;A61K9/2054;;A61K9/2095;;A61K47/38</x:v>
      </x:c>
      <x:c r="S682" s="87" t="str">
        <x:v>A61K9/20;;A61K31/192;;A61K31/522;;A61P25/04;;A61P29/00</x:v>
      </x:c>
      <x:c r="T682" s="87" t="str">
        <x:v>ACTIVE</x:v>
      </x:c>
      <x:c r="U682" s="87" t="str">
        <x:v>https://lens.org/169-422-146-124-399</x:v>
      </x:c>
    </x:row>
    <x:row r="683">
      <x:c r="A683" s="87" t="str">
        <x:v>Sanofi_Applicant_EP_Families_2015_2021.csv(1).csv</x:v>
      </x:c>
      <x:c r="B683" s="87" t="str">
        <x:v>Sanofi</x:v>
      </x:c>
      <x:c r="C683" s="87" t="str">
        <x:v>TRT-0010</x:v>
      </x:c>
      <x:c r="D683" s="87" t="str">
        <x:v>Yes</x:v>
      </x:c>
      <x:c r="E683" s="87" t="str">
        <x:v>sanofi</x:v>
      </x:c>
      <x:c r="F683" s="87" t="str">
        <x:v>89</x:v>
      </x:c>
      <x:c r="G683" s="87" t="str">
        <x:v>180-850-259-479-865</x:v>
      </x:c>
      <x:c r="H683" s="110" t="n">
        <x:v>43759</x:v>
      </x:c>
      <x:c r="I683" s="88" t="n">
        <x:v>2019</x:v>
      </x:c>
      <x:c r="J683" s="87" t="str">
        <x:v>EP</x:v>
      </x:c>
      <x:c r="K683" s="87" t="str">
        <x:v>A1</x:v>
      </x:c>
      <x:c r="L683" s="87" t="str">
        <x:v>EP 4049290 A1</x:v>
      </x:c>
      <x:c r="M683" s="87" t="str">
        <x:v>SANOFI PASTEUR INC</x:v>
      </x:c>
      <x:c r="N683" s="87" t="str">
        <x:v>SANOFI VACCINES US INC. (2026-05-27)</x:v>
      </x:c>
      <x:c r="O683" s="87" t="str">
        <x:v>SYSTEMS AND METHODS FOR DESIGNING VACCINES</x:v>
      </x:c>
      <x:c r="P683" s="109" t="n">
        <x:v>0</x:v>
      </x:c>
      <x:c r="Q683" s="109" t="n">
        <x:v>13</x:v>
      </x:c>
      <x:c r="R683" s="87" t="str">
        <x:v>G16H50/80;;A61K39/00;;G16B5/30;;G16H50/20;;Y02A90/10;;G16H50/70;;A61K39/00;;G16B30/00;;G16B40/00;;G16H10/20;;G16H50/20;;G16H50/80;;G16H70/40;;G16H70/60</x:v>
      </x:c>
      <x:c r="S683" s="87" t="str">
        <x:v>G16H50/80;;A61K39/12;;G16B5/30;;G16H50/20</x:v>
      </x:c>
      <x:c r="T683" s="87" t="str">
        <x:v>ACTIVE</x:v>
      </x:c>
      <x:c r="U683" s="87" t="str">
        <x:v>https://lens.org/180-850-259-479-865</x:v>
      </x:c>
    </x:row>
    <x:row r="684">
      <x:c r="A684" s="87" t="str">
        <x:v>Sanofi_Applicant_EP_Families_2015_2021.csv(1).csv</x:v>
      </x:c>
      <x:c r="B684" s="87" t="str">
        <x:v>Sanofi</x:v>
      </x:c>
      <x:c r="C684" s="87" t="str">
        <x:v>TRT-0010</x:v>
      </x:c>
      <x:c r="D684" s="87" t="str">
        <x:v>Yes</x:v>
      </x:c>
      <x:c r="E684" s="87" t="str">
        <x:v>sanofi</x:v>
      </x:c>
      <x:c r="F684" s="87" t="str">
        <x:v>90</x:v>
      </x:c>
      <x:c r="G684" s="87" t="str">
        <x:v>005-145-222-230-303</x:v>
      </x:c>
      <x:c r="H684" s="110" t="n">
        <x:v>43759</x:v>
      </x:c>
      <x:c r="I684" s="88" t="n">
        <x:v>2019</x:v>
      </x:c>
      <x:c r="J684" s="87" t="str">
        <x:v>EP</x:v>
      </x:c>
      <x:c r="K684" s="87" t="str">
        <x:v>A1</x:v>
      </x:c>
      <x:c r="L684" s="87" t="str">
        <x:v>EP 4049291 A1</x:v>
      </x:c>
      <x:c r="M684" s="87" t="str">
        <x:v>SANOFI PASTEUR INC</x:v>
      </x:c>
      <x:c r="N684" s="87" t="str">
        <x:v>SANOFI VACCINES US INC. (2026-05-27)</x:v>
      </x:c>
      <x:c r="O684" s="87" t="str">
        <x:v>SYSTEMS AND METHODS FOR PREDICTING BIOLOGICAL RESPONSES</x:v>
      </x:c>
      <x:c r="P684" s="109" t="n">
        <x:v>0</x:v>
      </x:c>
      <x:c r="Q684" s="109" t="n">
        <x:v>8</x:v>
      </x:c>
      <x:c r="R684" s="87" t="str">
        <x:v>G16H50/20;;G16H50/80;;G06N3/0464;;G06N3/09;;G16B30/10;;G16B40/00;;G16B5/20;;G06N3/04;;G06N3/08</x:v>
      </x:c>
      <x:c r="S684" s="87" t="str">
        <x:v>G16H50/80;;A61K39/12;;G16H50/20</x:v>
      </x:c>
      <x:c r="T684" s="87" t="str">
        <x:v>PENDING</x:v>
      </x:c>
      <x:c r="U684" s="87" t="str">
        <x:v>https://lens.org/005-145-222-230-303</x:v>
      </x:c>
    </x:row>
    <x:row r="685">
      <x:c r="A685" s="87" t="str">
        <x:v>Sanofi_Applicant_EP_Families_2015_2021.csv(1).csv</x:v>
      </x:c>
      <x:c r="B685" s="87" t="str">
        <x:v>Sanofi</x:v>
      </x:c>
      <x:c r="C685" s="87" t="str">
        <x:v>TRT-0010</x:v>
      </x:c>
      <x:c r="D685" s="87" t="str">
        <x:v>Yes</x:v>
      </x:c>
      <x:c r="E685" s="87" t="str">
        <x:v>sanofi</x:v>
      </x:c>
      <x:c r="F685" s="87" t="str">
        <x:v>91</x:v>
      </x:c>
      <x:c r="G685" s="87" t="str">
        <x:v>040-503-462-266-088</x:v>
      </x:c>
      <x:c r="H685" s="110" t="n">
        <x:v>43713</x:v>
      </x:c>
      <x:c r="I685" s="88" t="n">
        <x:v>2019</x:v>
      </x:c>
      <x:c r="J685" s="87" t="str">
        <x:v>EP</x:v>
      </x:c>
      <x:c r="K685" s="87" t="str">
        <x:v>A1</x:v>
      </x:c>
      <x:c r="L685" s="87" t="str">
        <x:v>EP 4025582 A1</x:v>
      </x:c>
      <x:c r="M685" s="87" t="str">
        <x:v>SANOFI SA</x:v>
      </x:c>
      <x:c r="N685" s="87" t="str">
        <x:v>SANOFI (2023-01-11)</x:v>
      </x:c>
      <x:c r="O685" s="87" t="str">
        <x:v>OLIGONUCLEOTIDES CONTAINING NUCLEOTIDE ANALOGS</x:v>
      </x:c>
      <x:c r="P685" s="109" t="n">
        <x:v>0</x:v>
      </x:c>
      <x:c r="Q685" s="109" t="n">
        <x:v>6</x:v>
      </x:c>
      <x:c r="R685" s="87" t="str">
        <x:v>C07H21/02;;A61K31/7125;;C12N15/113;;C12N2310/11;;C12N2310/14;;C12N2310/323;;C12N2310/346;;C12N2320/51;;C07H21/00;;A61K31/713;;C07H21/04;;C12N15/111;;C12N15/113;;C12N2310/14;;C12N2310/315;;C12N2310/323;;C12N2310/3233;;C12N2310/343;;C12N2310/346;;C12N2310/351;;C12N2310/3515;;C12N2320/51;;C07H21/02;;A61K31/713</x:v>
      </x:c>
      <x:c r="S685" s="87" t="str">
        <x:v>C07H21/00;;A61K31/7125;;C07H21/04;;C12N15/113</x:v>
      </x:c>
      <x:c r="T685" s="87" t="str">
        <x:v>PENDING</x:v>
      </x:c>
      <x:c r="U685" s="87" t="str">
        <x:v>https://lens.org/040-503-462-266-088</x:v>
      </x:c>
    </x:row>
    <x:row r="686">
      <x:c r="A686" s="87" t="str">
        <x:v>Sanofi_Applicant_EP_Families_2015_2021.csv(1).csv</x:v>
      </x:c>
      <x:c r="B686" s="87" t="str">
        <x:v>Sanofi</x:v>
      </x:c>
      <x:c r="C686" s="87" t="str">
        <x:v>TRT-0010</x:v>
      </x:c>
      <x:c r="D686" s="87" t="str">
        <x:v>Yes</x:v>
      </x:c>
      <x:c r="E686" s="87" t="str">
        <x:v>sanofi</x:v>
      </x:c>
      <x:c r="F686" s="87" t="str">
        <x:v>92</x:v>
      </x:c>
      <x:c r="G686" s="87" t="str">
        <x:v>032-123-996-527-495</x:v>
      </x:c>
      <x:c r="H686" s="110" t="n">
        <x:v>43703</x:v>
      </x:c>
      <x:c r="I686" s="88" t="n">
        <x:v>2019</x:v>
      </x:c>
      <x:c r="J686" s="87" t="str">
        <x:v>EP</x:v>
      </x:c>
      <x:c r="K686" s="87" t="str">
        <x:v>A1</x:v>
      </x:c>
      <x:c r="L686" s="87" t="str">
        <x:v>EP 4021538 A1</x:v>
      </x:c>
      <x:c r="M686" s="87" t="str">
        <x:v>SANOFI SA</x:v>
      </x:c>
      <x:c r="N686" s="87" t="str">
        <x:v>SANOFI (2023-02-22)</x:v>
      </x:c>
      <x:c r="O686" s="87" t="str">
        <x:v>SENSOR ASSEMBLY</x:v>
      </x:c>
      <x:c r="P686" s="109" t="n">
        <x:v>0</x:v>
      </x:c>
      <x:c r="Q686" s="109" t="n">
        <x:v>6</x:v>
      </x:c>
      <x:c r="R686" s="87" t="str">
        <x:v>A61M2205/13;;A61M2205/33;;A61M2205/3317;;A61M5/3137;;A61M2205/50;;A61B5/1125;;A61B5/4848;;A61B5/6887;;A61B2505/07;;A61B2562/16</x:v>
      </x:c>
      <x:c r="S686" s="87" t="str">
        <x:v>A61M5/31</x:v>
      </x:c>
      <x:c r="T686" s="87" t="str">
        <x:v>PENDING</x:v>
      </x:c>
      <x:c r="U686" s="87" t="str">
        <x:v>https://lens.org/032-123-996-527-495</x:v>
      </x:c>
    </x:row>
    <x:row r="687">
      <x:c r="A687" s="87" t="str">
        <x:v>Sanofi_Applicant_EP_Families_2015_2021.csv(1).csv</x:v>
      </x:c>
      <x:c r="B687" s="87" t="str">
        <x:v>Sanofi</x:v>
      </x:c>
      <x:c r="C687" s="87" t="str">
        <x:v>TRT-0010</x:v>
      </x:c>
      <x:c r="D687" s="87" t="str">
        <x:v>Yes</x:v>
      </x:c>
      <x:c r="E687" s="87" t="str">
        <x:v>sanofi</x:v>
      </x:c>
      <x:c r="F687" s="87" t="str">
        <x:v>93</x:v>
      </x:c>
      <x:c r="G687" s="87" t="str">
        <x:v>093-874-990-160-16X</x:v>
      </x:c>
      <x:c r="H687" s="110" t="n">
        <x:v>43704</x:v>
      </x:c>
      <x:c r="I687" s="88" t="n">
        <x:v>2019</x:v>
      </x:c>
      <x:c r="J687" s="87" t="str">
        <x:v>EP</x:v>
      </x:c>
      <x:c r="K687" s="87" t="str">
        <x:v>A1</x:v>
      </x:c>
      <x:c r="L687" s="87" t="str">
        <x:v>EP 4022061 A1</x:v>
      </x:c>
      <x:c r="M687" s="87" t="str">
        <x:v>SANOFI SA</x:v>
      </x:c>
      <x:c r="N687" s="87" t="str">
        <x:v>SANOFI (2023-01-11)</x:v>
      </x:c>
      <x:c r="O687" s="87" t="str">
        <x:v>COMPOSITIONS AND METHODS FOR INHIBITING PCSK9</x:v>
      </x:c>
      <x:c r="P687" s="109" t="n">
        <x:v>0</x:v>
      </x:c>
      <x:c r="Q687" s="109" t="n">
        <x:v>7</x:v>
      </x:c>
      <x:c r="R687" s="87" t="str">
        <x:v>C12N15/1137;;A61K31/713;;A61P3/06;;C12N9/6454;;C12N2310/141;;C12N2310/317;;C12N2310/531;;C12N2320/51;;C12Y304/21061;;C12N15/1137;;A61K31/713;;C12N2310/14;;C12N2310/317;;C12N2310/343;;C12N2310/351;;C12N2320/11;;C12N2320/51;;C12N15/1137;;A61K31/713;;C12N2310/14;;C12N2310/343;;C12N2310/351;;C12N2320/11;;C12N2320/51</x:v>
      </x:c>
      <x:c r="S687" s="87" t="str">
        <x:v>C12N15/113;;A61K31/713</x:v>
      </x:c>
      <x:c r="T687" s="87" t="str">
        <x:v>PENDING</x:v>
      </x:c>
      <x:c r="U687" s="87" t="str">
        <x:v>https://lens.org/093-874-990-160-16X</x:v>
      </x:c>
    </x:row>
    <x:row r="688">
      <x:c r="A688" s="87" t="str">
        <x:v>Sanofi_Applicant_EP_Families_2015_2021.csv(1).csv</x:v>
      </x:c>
      <x:c r="B688" s="87" t="str">
        <x:v>Sanofi</x:v>
      </x:c>
      <x:c r="C688" s="87" t="str">
        <x:v>TRT-0010</x:v>
      </x:c>
      <x:c r="D688" s="87" t="str">
        <x:v>Yes</x:v>
      </x:c>
      <x:c r="E688" s="87" t="str">
        <x:v>sanofi</x:v>
      </x:c>
      <x:c r="F688" s="87" t="str">
        <x:v>94</x:v>
      </x:c>
      <x:c r="G688" s="87" t="str">
        <x:v>069-513-100-978-549</x:v>
      </x:c>
      <x:c r="H688" s="110" t="n">
        <x:v>40200</x:v>
      </x:c>
      <x:c r="I688" s="88" t="n">
        <x:v>2010</x:v>
      </x:c>
      <x:c r="J688" s="87" t="str">
        <x:v>EP</x:v>
      </x:c>
      <x:c r="K688" s="87" t="str">
        <x:v>B1</x:v>
      </x:c>
      <x:c r="L688" s="87" t="str">
        <x:v>EP 3539595 B1</x:v>
      </x:c>
      <x:c r="M688" s="87" t="str">
        <x:v>SANOFI AVENTIS DEUTSCHLAND</x:v>
      </x:c>
      <x:c r="N688" s="87" t="str">
        <x:v>SANOFI-AVENTIS DEUTSCHLAND GMBH (2022-03-02)</x:v>
      </x:c>
      <x:c r="O688" s="87" t="str">
        <x:v>CODED CARTRIDGE HOLDER AND FASTENER ENABLED BY CARTRIDGE SIZE</x:v>
      </x:c>
      <x:c r="P688" s="109" t="n">
        <x:v>0</x:v>
      </x:c>
      <x:c r="Q688" s="109" t="n">
        <x:v>14</x:v>
      </x:c>
      <x:c r="R688" s="87" t="str">
        <x:v>A61M5/24;;A61M5/3135;;A61M2005/2407;;A61M2005/2488;;A61M2005/2492;;A61M2205/276;;A61M2205/6045;;Y10T137/598;;F16L55/00;;A61M5/24;;A61M5/3135;;A61M2005/2407;;A61M2005/2488;;A61M2005/2492;;A61M2205/276;;A61M2205/6045;;Y10T137/598</x:v>
      </x:c>
      <x:c r="S688" s="87" t="str">
        <x:v>A61M5/24;;A61M5/31;;F16L55/00</x:v>
      </x:c>
      <x:c r="T688" s="87" t="str">
        <x:v>ACTIVE</x:v>
      </x:c>
      <x:c r="U688" s="87" t="str">
        <x:v>https://lens.org/069-513-100-978-549</x:v>
      </x:c>
    </x:row>
    <x:row r="689">
      <x:c r="A689" s="87" t="str">
        <x:v>Sanofi_Applicant_EP_Families_2015_2021.csv(1).csv</x:v>
      </x:c>
      <x:c r="B689" s="87" t="str">
        <x:v>Sanofi</x:v>
      </x:c>
      <x:c r="C689" s="87" t="str">
        <x:v>TRT-0010</x:v>
      </x:c>
      <x:c r="D689" s="87" t="str">
        <x:v>Yes</x:v>
      </x:c>
      <x:c r="E689" s="87" t="str">
        <x:v>sanofi</x:v>
      </x:c>
      <x:c r="F689" s="87" t="str">
        <x:v>95</x:v>
      </x:c>
      <x:c r="G689" s="87" t="str">
        <x:v>136-291-160-810-745</x:v>
      </x:c>
      <x:c r="H689" s="110" t="n">
        <x:v>37271</x:v>
      </x:c>
      <x:c r="I689" s="88" t="n">
        <x:v>2002</x:v>
      </x:c>
      <x:c r="J689" s="87" t="str">
        <x:v>EP</x:v>
      </x:c>
      <x:c r="K689" s="87" t="str">
        <x:v>B1</x:v>
      </x:c>
      <x:c r="L689" s="87" t="str">
        <x:v>EP 3679915 B1</x:v>
      </x:c>
      <x:c r="M689" s="87" t="str">
        <x:v>SANOFI PASTEUR BIOLOGICS LLC</x:v>
      </x:c>
      <x:c r="N689" s="87" t="str">
        <x:v>SANOFI PASTEUR INC. (2023-03-08);;SANOFI PASTEUR INC., SWIFTWATER, US (2022-11-25);;SANOFI PASTEUR INC., ONE DISCOVERY DRIVE, 1837, US (2023-02-15);;SANOFI PASTEUR INC., 18370 SWIFTWATER, PA, US (2023-02-15)</x:v>
      </x:c>
      <x:c r="O689" s="87" t="str">
        <x:v>FLAVIVIRUS VACCINES</x:v>
      </x:c>
      <x:c r="P689" s="109" t="n">
        <x:v>0</x:v>
      </x:c>
      <x:c r="Q689" s="109" t="n">
        <x:v>43</x:v>
      </x:c>
      <x:c r="R689" s="87" t="str">
        <x:v>C07K14/005;;A61K2039/5254;;A61P31/14;;C12N7/00;;C12N2770/24122;;C12N2770/24162;;Y02A50/30;;A61K39/12;;A61K39/395;;A61K39/12;;A61K2039/5254;;C07K14/005;;C12N7/00;;C12N2770/24122;;C12N2770/24134;;C12N2770/24162;;Y02A50/30</x:v>
      </x:c>
      <x:c r="S689" s="87" t="str">
        <x:v>A61K6/00;;C12N15/09;;A61K39/00;;A61K39/12;;A61P31/14;;C07K14/005;;C07K14/18;;C12N7/00;;C12N7/04;;C12Q1/70</x:v>
      </x:c>
      <x:c r="T689" s="87" t="str">
        <x:v>EXPIRED</x:v>
      </x:c>
      <x:c r="U689" s="87" t="str">
        <x:v>https://lens.org/136-291-160-810-745</x:v>
      </x:c>
    </x:row>
    <x:row r="690">
      <x:c r="A690" s="87" t="str">
        <x:v>Sanofi_Applicant_EP_Families_2015_2021.csv(1).csv</x:v>
      </x:c>
      <x:c r="B690" s="87" t="str">
        <x:v>Sanofi</x:v>
      </x:c>
      <x:c r="C690" s="87" t="str">
        <x:v>TRT-0010</x:v>
      </x:c>
      <x:c r="D690" s="87" t="str">
        <x:v>Yes</x:v>
      </x:c>
      <x:c r="E690" s="87" t="str">
        <x:v>sanofi</x:v>
      </x:c>
      <x:c r="F690" s="87" t="str">
        <x:v>96</x:v>
      </x:c>
      <x:c r="G690" s="87" t="str">
        <x:v>099-674-126-923-875</x:v>
      </x:c>
      <x:c r="H690" s="110" t="n">
        <x:v>43662</x:v>
      </x:c>
      <x:c r="I690" s="88" t="n">
        <x:v>2019</x:v>
      </x:c>
      <x:c r="J690" s="87" t="str">
        <x:v>EP</x:v>
      </x:c>
      <x:c r="K690" s="87" t="str">
        <x:v>A2</x:v>
      </x:c>
      <x:c r="L690" s="87" t="str">
        <x:v>EP 3999532 A2</x:v>
      </x:c>
      <x:c r="M690" s="87" t="str">
        <x:v>SANOFI SA;;BRIGHAM &amp; WOMENS HOSPITAL INC</x:v>
      </x:c>
      <x:c r="N690" s="87" t="str">
        <x:v>SANOFI (2022-12-28);;THE BRIGHAM AND WOMEN'S HOSPITAL, INC. (2022-12-28)</x:v>
      </x:c>
      <x:c r="O690" s="87" t="str">
        <x:v>NEUTRALIZING ANTI-AMYLOID BETA ANTIBODIES FOR THE TREATMENT OF ALZHEIMER'S DISEASE</x:v>
      </x:c>
      <x:c r="P690" s="109" t="n">
        <x:v>0</x:v>
      </x:c>
      <x:c r="Q690" s="109" t="n">
        <x:v>14</x:v>
      </x:c>
      <x:c r="R690" s="87" t="str">
        <x:v>C07K16/18;;A61P25/28;;C07K2317/565;;C07K2317/56;;C07K2317/24;;C07K2317/92;;C07K2317/52;;C07K2317/33;;C07K2317/76;;A61K2039/505;;C07K16/18;;C07K2317/24;;C07K2317/33;;C07K2317/52;;C07K2317/92;;C07K2317/76;;A61P25/28;;C07K16/18;;A61P25/28;;C07K2317/76;;C07K2317/24;;C07K2317/33;;C07K2317/52;;C07K2317/92;;A61K2039/505;;A61P25/28;;C07K16/18;;C07K2317/24;;C07K2317/565</x:v>
      </x:c>
      <x:c r="S690" s="87" t="str">
        <x:v>C07K16/18;;A61P25/28;;G01N33/53</x:v>
      </x:c>
      <x:c r="T690" s="87" t="str">
        <x:v>PENDING</x:v>
      </x:c>
      <x:c r="U690" s="87" t="str">
        <x:v>https://lens.org/099-674-126-923-875</x:v>
      </x:c>
    </x:row>
    <x:row r="691">
      <x:c r="A691" s="87" t="str">
        <x:v>Sanofi_Applicant_EP_Families_2015_2021.csv(1).csv</x:v>
      </x:c>
      <x:c r="B691" s="87" t="str">
        <x:v>Sanofi</x:v>
      </x:c>
      <x:c r="C691" s="87" t="str">
        <x:v>TRT-0010</x:v>
      </x:c>
      <x:c r="D691" s="87" t="str">
        <x:v>Yes</x:v>
      </x:c>
      <x:c r="E691" s="87" t="str">
        <x:v>sanofi</x:v>
      </x:c>
      <x:c r="F691" s="87" t="str">
        <x:v>97</x:v>
      </x:c>
      <x:c r="G691" s="87" t="str">
        <x:v>179-393-606-347-79X</x:v>
      </x:c>
      <x:c r="H691" s="110" t="n">
        <x:v>43350</x:v>
      </x:c>
      <x:c r="I691" s="88" t="n">
        <x:v>2018</x:v>
      </x:c>
      <x:c r="J691" s="87" t="str">
        <x:v>EP</x:v>
      </x:c>
      <x:c r="K691" s="87" t="str">
        <x:v>B1</x:v>
      </x:c>
      <x:c r="L691" s="87" t="str">
        <x:v>EP 3847157 B1</x:v>
      </x:c>
      <x:c r="M691" s="87" t="str">
        <x:v>SANOFI SA</x:v>
      </x:c>
      <x:c r="N691" s="87" t="str">
        <x:v>SANOFI; FR (2025-04-11);;SANOFI (2023-01-11)</x:v>
      </x:c>
      <x:c r="O691" s="87" t="str">
        <x:v>PROCESS FOR THE PREPARATION OF METHYL 6-(2,4-DICHLOROPHENYL)-5-[4-[(3S)-1-(3-FLUOROPROPYL)PYRROLIDIN-3-YL]OXYPHENYL]-8,9-DIHYDRO-7H-BENZO[7]ANNULENE-2-CARBOXYLATE AND A SALT THEREOF</x:v>
      </x:c>
      <x:c r="P691" s="109" t="n">
        <x:v>0</x:v>
      </x:c>
      <x:c r="Q691" s="109" t="n">
        <x:v>51</x:v>
      </x:c>
      <x:c r="R691" s="87" t="str">
        <x:v>C07D207/12;;C07C55/07;;C07C59/255;;C07D207/12;;C07C55/07;;C07C59/255;;C07D207/12;;A61K31/4015;;C07C55/07;;C07C59/255;;C07D207/12;;B01J31/1616;;C07C55/07;;C07C59/255</x:v>
      </x:c>
      <x:c r="S691" s="87" t="str">
        <x:v>C07D207/12</x:v>
      </x:c>
      <x:c r="T691" s="87" t="str">
        <x:v>ACTIVE</x:v>
      </x:c>
      <x:c r="U691" s="87" t="str">
        <x:v>https://lens.org/179-393-606-347-79X</x:v>
      </x:c>
    </x:row>
    <x:row r="692">
      <x:c r="A692" s="87" t="str">
        <x:v>Sanofi_Applicant_EP_Families_2015_2021.csv(1).csv</x:v>
      </x:c>
      <x:c r="B692" s="87" t="str">
        <x:v>Sanofi</x:v>
      </x:c>
      <x:c r="C692" s="87" t="str">
        <x:v>TRT-0010</x:v>
      </x:c>
      <x:c r="D692" s="87" t="str">
        <x:v>Yes</x:v>
      </x:c>
      <x:c r="E692" s="87" t="str">
        <x:v>sanofi</x:v>
      </x:c>
      <x:c r="F692" s="87" t="str">
        <x:v>98</x:v>
      </x:c>
      <x:c r="G692" s="87" t="str">
        <x:v>010-813-316-793-942</x:v>
      </x:c>
      <x:c r="H692" s="110" t="n">
        <x:v>43628</x:v>
      </x:c>
      <x:c r="I692" s="88" t="n">
        <x:v>2019</x:v>
      </x:c>
      <x:c r="J692" s="87" t="str">
        <x:v>EP</x:v>
      </x:c>
      <x:c r="K692" s="87" t="str">
        <x:v>A1</x:v>
      </x:c>
      <x:c r="L692" s="87" t="str">
        <x:v>EP 3983071 A1</x:v>
      </x:c>
      <x:c r="M692" s="87" t="str">
        <x:v>SANOFI BIOTECHNOLOGY;;REGENERON PHARMA;;CHEN CHIEH I;;WEI WENHUI</x:v>
      </x:c>
      <x:c r="N692" s="87" t="str">
        <x:v>REGENERON PHARMACEUTICALS, INC. (2024-04-10);;SANOFI BIOTECHNOLOGY (2024-04-10)</x:v>
      </x:c>
      <x:c r="O692" s="87" t="str">
        <x:v>MODIFIED DOSAGE OF SUBCUTANEOUS TOCILIZUMAB FOR RHEUMATOID ARTHRITIS</x:v>
      </x:c>
      <x:c r="P692" s="109" t="n">
        <x:v>2</x:v>
      </x:c>
      <x:c r="Q692" s="109" t="n">
        <x:v>14</x:v>
      </x:c>
      <x:c r="R692" s="87" t="str">
        <x:v>C07K16/2866;;A61K2039/505;;A61P19/02;;A61P29/00;;A61K2039/54;;C07K2317/569;;A61K2039/545;;A61K9/0019;;C07K2317/24;;C07K16/2866;;C07K2317/569;;C07K2317/24;;A61K2039/54;;A61P19/02;;A61K2039/505;;A61K2039/545;;A61K9/0019;;A61P29/00;;C07K16/2866;;A61K9/0019;;A61P19/02;;A61K2039/505;;A61K2039/54;;A61K2039/545;;C07K2317/569;;C07K2317/24;;C07K2317/21;;A61P37/06;;A61P19/02;;A61K31/519;;A61K39/3955;;A61K2039/505;;A61K2039/507;;A61K2039/54;;A61K2039/545;;C07K16/241;;C07K16/2866;;C07K2317/21;;C07K2317/24</x:v>
      </x:c>
      <x:c r="S692" s="87" t="str">
        <x:v>A61P19/02;;A61K9/00;;A61K39/00;;A61P29/00;;C07K16/28</x:v>
      </x:c>
      <x:c r="T692" s="87" t="str">
        <x:v>PENDING</x:v>
      </x:c>
      <x:c r="U692" s="87" t="str">
        <x:v>https://lens.org/010-813-316-793-942</x:v>
      </x:c>
    </x:row>
    <x:row r="693">
      <x:c r="A693" s="87" t="str">
        <x:v>Sanofi_Applicant_EP_Families_2015_2021.csv(1).csv</x:v>
      </x:c>
      <x:c r="B693" s="87" t="str">
        <x:v>Sanofi</x:v>
      </x:c>
      <x:c r="C693" s="87" t="str">
        <x:v>TRT-0010</x:v>
      </x:c>
      <x:c r="D693" s="87" t="str">
        <x:v>Yes</x:v>
      </x:c>
      <x:c r="E693" s="87" t="str">
        <x:v>sanofi</x:v>
      </x:c>
      <x:c r="F693" s="87" t="str">
        <x:v>99</x:v>
      </x:c>
      <x:c r="G693" s="87" t="str">
        <x:v>027-656-984-640-803</x:v>
      </x:c>
      <x:c r="H693" s="110" t="n">
        <x:v>43620</x:v>
      </x:c>
      <x:c r="I693" s="88" t="n">
        <x:v>2019</x:v>
      </x:c>
      <x:c r="J693" s="87" t="str">
        <x:v>EP</x:v>
      </x:c>
      <x:c r="K693" s="87" t="str">
        <x:v>A1</x:v>
      </x:c>
      <x:c r="L693" s="87" t="str">
        <x:v>EP 3980098 A1</x:v>
      </x:c>
      <x:c r="M693" s="87" t="str">
        <x:v>SANOFI SA</x:v>
      </x:c>
      <x:c r="N693" s="87" t="str">
        <x:v>SANOFI (2022-12-28)</x:v>
      </x:c>
      <x:c r="O693" s="87" t="str">
        <x:v>APPARATUS FOR REMOVING A NEEDLE SHIELD</x:v>
      </x:c>
      <x:c r="P693" s="109" t="n">
        <x:v>0</x:v>
      </x:c>
      <x:c r="Q693" s="109" t="n">
        <x:v>8</x:v>
      </x:c>
      <x:c r="R693" s="87" t="str">
        <x:v>A61M5/3204;;A61M5/20;;A61M2005/3109;;A61M2005/312;;A61M2205/58;;A61M5/3204;;A61M5/20;;A61M2005/312</x:v>
      </x:c>
      <x:c r="S693" s="87" t="str">
        <x:v>A61M5/20;;A61M5/31;;A61M5/32</x:v>
      </x:c>
      <x:c r="T693" s="87" t="str">
        <x:v>PENDING</x:v>
      </x:c>
      <x:c r="U693" s="87" t="str">
        <x:v>https://lens.org/027-656-984-640-803</x:v>
      </x:c>
    </x:row>
    <x:row r="694">
      <x:c r="A694" s="87" t="str">
        <x:v>Sanofi_Applicant_EP_Families_2015_2021.csv(1).csv</x:v>
      </x:c>
      <x:c r="B694" s="87" t="str">
        <x:v>Sanofi</x:v>
      </x:c>
      <x:c r="C694" s="87" t="str">
        <x:v>TRT-0010</x:v>
      </x:c>
      <x:c r="D694" s="87" t="str">
        <x:v>Yes</x:v>
      </x:c>
      <x:c r="E694" s="87" t="str">
        <x:v>sanofi</x:v>
      </x:c>
      <x:c r="F694" s="87" t="str">
        <x:v>100</x:v>
      </x:c>
      <x:c r="G694" s="87" t="str">
        <x:v>111-597-409-406-33X</x:v>
      </x:c>
      <x:c r="H694" s="110" t="n">
        <x:v>43614</x:v>
      </x:c>
      <x:c r="I694" s="88" t="n">
        <x:v>2019</x:v>
      </x:c>
      <x:c r="J694" s="87" t="str">
        <x:v>EP</x:v>
      </x:c>
      <x:c r="K694" s="87" t="str">
        <x:v>A1</x:v>
      </x:c>
      <x:c r="L694" s="87" t="str">
        <x:v>EP 3976140 A1</x:v>
      </x:c>
      <x:c r="M694" s="87" t="str">
        <x:v>SANOFI SA</x:v>
      </x:c>
      <x:c r="N694" s="87" t="str">
        <x:v>SANOFI (2023-02-22)</x:v>
      </x:c>
      <x:c r="O694" s="87" t="str">
        <x:v>DRUG DELIVERY DEVICE</x:v>
      </x:c>
      <x:c r="P694" s="109" t="n">
        <x:v>0</x:v>
      </x:c>
      <x:c r="Q694" s="109" t="n">
        <x:v>5</x:v>
      </x:c>
      <x:c r="R694" s="87" t="str">
        <x:v>A61M5/329;;A61M5/2066;;A61M5/2448;;A61M5/3155;;A61M2005/2407;;A61M2205/0238;;A61M2205/0255;;A61P3/10;;C07K14/62;;A61M5/329;;A61M5/2448;;A61M5/3155;;A61M2005/2407;;A61M2205/0238;;A61M2207/10;;A61P3/10;;C07K14/62</x:v>
      </x:c>
      <x:c r="S694" s="87" t="str">
        <x:v>A61M5/32;;A61M5/20;;A61M5/24;;A61M5/315;;A61P3/10;;C07K14/62</x:v>
      </x:c>
      <x:c r="T694" s="87" t="str">
        <x:v>DISCONTINUED</x:v>
      </x:c>
      <x:c r="U694" s="87" t="str">
        <x:v>https://lens.org/111-597-409-406-33X</x:v>
      </x:c>
    </x:row>
    <x:row r="695">
      <x:c r="A695" s="87" t="str">
        <x:v>Sanofi_Applicant_EP_Families_2015_2021.csv(1).csv</x:v>
      </x:c>
      <x:c r="B695" s="87" t="str">
        <x:v>Sanofi</x:v>
      </x:c>
      <x:c r="C695" s="87" t="str">
        <x:v>TRT-0010</x:v>
      </x:c>
      <x:c r="D695" s="87" t="str">
        <x:v>Yes</x:v>
      </x:c>
      <x:c r="E695" s="87" t="str">
        <x:v>sanofi</x:v>
      </x:c>
      <x:c r="F695" s="87" t="str">
        <x:v>101</x:v>
      </x:c>
      <x:c r="G695" s="87" t="str">
        <x:v>154-871-840-230-051</x:v>
      </x:c>
      <x:c r="H695" s="110" t="n">
        <x:v>43609</x:v>
      </x:c>
      <x:c r="I695" s="88" t="n">
        <x:v>2019</x:v>
      </x:c>
      <x:c r="J695" s="87" t="str">
        <x:v>EP</x:v>
      </x:c>
      <x:c r="K695" s="87" t="str">
        <x:v>A1</x:v>
      </x:c>
      <x:c r="L695" s="87" t="str">
        <x:v>EP 3977318 A1</x:v>
      </x:c>
      <x:c r="M695" s="87" t="str">
        <x:v>SANOFI SA</x:v>
      </x:c>
      <x:c r="N695" s="87" t="str">
        <x:v>SANOFI (2022-12-28)</x:v>
      </x:c>
      <x:c r="O695" s="87" t="str">
        <x:v>METHODS FOR DETERMINING A LIMIT OF A TOLERANCE INTERVAL, METHOD FOR EVALUATING A PRODUCTION PROCESS AND CORRESPONDING CALCULATION DEVICE</x:v>
      </x:c>
      <x:c r="P695" s="109" t="n">
        <x:v>0</x:v>
      </x:c>
      <x:c r="Q695" s="109" t="n">
        <x:v>10</x:v>
      </x:c>
      <x:c r="R695" s="87" t="str">
        <x:v>G05B19/41875;;G05B2219/32191;;G06F17/18;;Y02P90/02;;G06F17/18;;G05B2219/32191</x:v>
      </x:c>
      <x:c r="S695" s="87" t="str">
        <x:v>G06F17/18;;G05B19/418</x:v>
      </x:c>
      <x:c r="T695" s="87" t="str">
        <x:v>ACTIVE</x:v>
      </x:c>
      <x:c r="U695" s="87" t="str">
        <x:v>https://lens.org/154-871-840-230-051</x:v>
      </x:c>
    </x:row>
    <x:row r="696">
      <x:c r="A696" s="87" t="str">
        <x:v>Sanofi_Applicant_EP_Families_2015_2021.csv(1).csv</x:v>
      </x:c>
      <x:c r="B696" s="87" t="str">
        <x:v>Sanofi</x:v>
      </x:c>
      <x:c r="C696" s="87" t="str">
        <x:v>TRT-0010</x:v>
      </x:c>
      <x:c r="D696" s="87" t="str">
        <x:v>Yes</x:v>
      </x:c>
      <x:c r="E696" s="87" t="str">
        <x:v>sanofi</x:v>
      </x:c>
      <x:c r="F696" s="87" t="str">
        <x:v>102</x:v>
      </x:c>
      <x:c r="G696" s="87" t="str">
        <x:v>079-478-140-626-005</x:v>
      </x:c>
      <x:c r="H696" s="110" t="n">
        <x:v>43614</x:v>
      </x:c>
      <x:c r="I696" s="88" t="n">
        <x:v>2019</x:v>
      </x:c>
      <x:c r="J696" s="87" t="str">
        <x:v>EP</x:v>
      </x:c>
      <x:c r="K696" s="87" t="str">
        <x:v>A1</x:v>
      </x:c>
      <x:c r="L696" s="87" t="str">
        <x:v>EP 3976138 A1</x:v>
      </x:c>
      <x:c r="M696" s="87" t="str">
        <x:v>SANOFI SA</x:v>
      </x:c>
      <x:c r="N696" s="87" t="str">
        <x:v>SANOFI (2022-12-28)</x:v>
      </x:c>
      <x:c r="O696" s="87" t="str">
        <x:v>ASSEMBLY FOR A DRUG DELIVERY DEVICE AND DRUG DELIVERY DEVICE</x:v>
      </x:c>
      <x:c r="P696" s="109" t="n">
        <x:v>0</x:v>
      </x:c>
      <x:c r="Q696" s="109" t="n">
        <x:v>13</x:v>
      </x:c>
      <x:c r="R696" s="87" t="str">
        <x:v>A61M5/20;;A61M5/3204;;A61M2005/206;;A61M2005/3109;;A61M2205/58;;A61M2205/8206;;A61M2205/8281;;A61M5/2033;;A61M5/3204;;A61M2005/206;;A61M2005/3109;;A61M2205/58;;A61M2205/8281</x:v>
      </x:c>
      <x:c r="S696" s="87" t="str">
        <x:v>A61M5/20;;A61M5/31;;A61M5/32</x:v>
      </x:c>
      <x:c r="T696" s="87" t="str">
        <x:v>ACTIVE</x:v>
      </x:c>
      <x:c r="U696" s="87" t="str">
        <x:v>https://lens.org/079-478-140-626-005</x:v>
      </x:c>
    </x:row>
    <x:row r="697">
      <x:c r="A697" s="87" t="str">
        <x:v>Sanofi_Applicant_EP_Families_2015_2021.csv(1).csv</x:v>
      </x:c>
      <x:c r="B697" s="87" t="str">
        <x:v>Sanofi</x:v>
      </x:c>
      <x:c r="C697" s="87" t="str">
        <x:v>TRT-0010</x:v>
      </x:c>
      <x:c r="D697" s="87" t="str">
        <x:v>Yes</x:v>
      </x:c>
      <x:c r="E697" s="87" t="str">
        <x:v>sanofi</x:v>
      </x:c>
      <x:c r="F697" s="87" t="str">
        <x:v>103</x:v>
      </x:c>
      <x:c r="G697" s="87" t="str">
        <x:v>117-707-971-041-625</x:v>
      </x:c>
      <x:c r="H697" s="110" t="n">
        <x:v>43179</x:v>
      </x:c>
      <x:c r="I697" s="88" t="n">
        <x:v>2018</x:v>
      </x:c>
      <x:c r="J697" s="87" t="str">
        <x:v>EP</x:v>
      </x:c>
      <x:c r="K697" s="87" t="str">
        <x:v>A4</x:v>
      </x:c>
      <x:c r="L697" s="87" t="str">
        <x:v>EP 3768821 A4</x:v>
      </x:c>
      <x:c r="M697" s="87" t="str">
        <x:v>SANOFI PASTEUR INC</x:v>
      </x:c>
      <x:c r="N697" s="87" t="str">
        <x:v>SANOFI VACCINES US INC. (2026-05-27)</x:v>
      </x:c>
      <x:c r="O697" s="87" t="str">
        <x:v>METHODS OF CULTIVATING BORDETELLA SPECIES</x:v>
      </x:c>
      <x:c r="P697" s="109" t="n">
        <x:v>0</x:v>
      </x:c>
      <x:c r="Q697" s="109" t="n">
        <x:v>8</x:v>
      </x:c>
      <x:c r="R697" s="87" t="str">
        <x:v>C12N1/38;;A61P31/04;;A61P37/04;;C07K14/235;;C12N1/20;;C12N1/20;;A61K39/099;;C12N1/38;;C12N2500/02;;C12N2500/34;;C12N2500/60;;C12N2500/72</x:v>
      </x:c>
      <x:c r="S697" s="87" t="str">
        <x:v>C12N1/20;;A61K39/10;;A61P31/04;;A61P37/04;;C12N1/38;;C12P21/08</x:v>
      </x:c>
      <x:c r="T697" s="87" t="str">
        <x:v>PENDING</x:v>
      </x:c>
      <x:c r="U697" s="87" t="str">
        <x:v>https://lens.org/117-707-971-041-625</x:v>
      </x:c>
    </x:row>
    <x:row r="698">
      <x:c r="A698" s="87" t="str">
        <x:v>Sanofi_Applicant_EP_Families_2015_2021.csv(1).csv</x:v>
      </x:c>
      <x:c r="B698" s="87" t="str">
        <x:v>Sanofi</x:v>
      </x:c>
      <x:c r="C698" s="87" t="str">
        <x:v>TRT-0010</x:v>
      </x:c>
      <x:c r="D698" s="87" t="str">
        <x:v>Yes</x:v>
      </x:c>
      <x:c r="E698" s="87" t="str">
        <x:v>sanofi</x:v>
      </x:c>
      <x:c r="F698" s="87" t="str">
        <x:v>104</x:v>
      </x:c>
      <x:c r="G698" s="87" t="str">
        <x:v>012-826-172-412-383</x:v>
      </x:c>
      <x:c r="H698" s="110" t="n">
        <x:v>43601</x:v>
      </x:c>
      <x:c r="I698" s="88" t="n">
        <x:v>2019</x:v>
      </x:c>
      <x:c r="J698" s="87" t="str">
        <x:v>EP</x:v>
      </x:c>
      <x:c r="K698" s="87" t="str">
        <x:v>A1</x:v>
      </x:c>
      <x:c r="L698" s="87" t="str">
        <x:v>EP 3969062 A1</x:v>
      </x:c>
      <x:c r="M698" s="87" t="str">
        <x:v>SANOFI SA</x:v>
      </x:c>
      <x:c r="N698" s="87" t="str">
        <x:v>SANOFI (2022-12-28)</x:v>
      </x:c>
      <x:c r="O698" s="87" t="str">
        <x:v>EXPRESSION OF ANTIGEN-BINDING PROTEINS IN THE NERVOUS SYSTEM</x:v>
      </x:c>
      <x:c r="P698" s="109" t="n">
        <x:v>0</x:v>
      </x:c>
      <x:c r="Q698" s="109" t="n">
        <x:v>16</x:v>
      </x:c>
      <x:c r="R698" s="87" t="str">
        <x:v>C12N5/0619;;C12N5/0622;;C07K16/00;;C07K14/47;;C07K14/4711;;C12N15/86;;A61K48/005;;A61K48/0075;;A61K39/39583;;A61P25/28;;A61P25/00;;A61P21/00;;C12N2510/00;;C12N2750/14141;;C12N2750/14143;;A61K48/005;;C07K16/18;;C07K2317/24;;A61K39/39583;;C07K2317/622;;C12N15/86;;A61K48/0075;;A01K2227/105;;A01K2217/052;;A01K2267/0312;;C07K16/18;;C12N2750/14143;;C07K2317/24;;C12N15/86;;A61K48/005;;A01K2267/0312;;A61K39/39583;;A61K48/0075;;A01K2217/052;;C07K2317/622;;A01K2227/105;;C12N15/86;;C07K16/18;;C12N5/0618;;A61K48/00;;A61P25/28;;C12N2750/14143;;C07K2317/622;;C07K14/4711;;C07K16/18;;C07K2317/24;;C07K2317/622;;C12N5/0619;;C12N5/0622;;C12N15/86;;C12N2750/14143</x:v>
      </x:c>
      <x:c r="S698" s="87" t="str">
        <x:v>A61K48/00;;A61K39/395;;C07K16/18</x:v>
      </x:c>
      <x:c r="T698" s="87" t="str">
        <x:v>PENDING</x:v>
      </x:c>
      <x:c r="U698" s="87" t="str">
        <x:v>https://lens.org/012-826-172-412-383</x:v>
      </x:c>
    </x:row>
    <x:row r="699">
      <x:c r="A699" s="87" t="str">
        <x:v>Sanofi_Applicant_EP_Families_2015_2021.csv(1).csv</x:v>
      </x:c>
      <x:c r="B699" s="87" t="str">
        <x:v>Sanofi</x:v>
      </x:c>
      <x:c r="C699" s="87" t="str">
        <x:v>TRT-0010</x:v>
      </x:c>
      <x:c r="D699" s="87" t="str">
        <x:v>Yes</x:v>
      </x:c>
      <x:c r="E699" s="87" t="str">
        <x:v>sanofi</x:v>
      </x:c>
      <x:c r="F699" s="87" t="str">
        <x:v>105</x:v>
      </x:c>
      <x:c r="G699" s="87" t="str">
        <x:v>174-966-975-757-413</x:v>
      </x:c>
      <x:c r="H699" s="110" t="n">
        <x:v>43599</x:v>
      </x:c>
      <x:c r="I699" s="88" t="n">
        <x:v>2019</x:v>
      </x:c>
      <x:c r="J699" s="87" t="str">
        <x:v>EP</x:v>
      </x:c>
      <x:c r="K699" s="87" t="str">
        <x:v>A1</x:v>
      </x:c>
      <x:c r="L699" s="87" t="str">
        <x:v>EP 3969004 A1</x:v>
      </x:c>
      <x:c r="M699" s="87" t="str">
        <x:v>SANOFI SA</x:v>
      </x:c>
      <x:c r="N699" s="87" t="str">
        <x:v>SANOFI-AVENTIS U.S. LLC. (2025-08-13)</x:v>
      </x:c>
      <x:c r="O699" s="87" t="str">
        <x:v>METHODS OF ADMINISTERING ANTI-CD38 ANTIBODY TO TREAT MULTIPLE MYELOMA</x:v>
      </x:c>
      <x:c r="P699" s="109" t="n">
        <x:v>0</x:v>
      </x:c>
      <x:c r="Q699" s="109" t="n">
        <x:v>18</x:v>
      </x:c>
      <x:c r="R699" s="87" t="str">
        <x:v>C07K16/2896;;A61K9/0019;;A61K2039/505;;A61K2039/54;;A61K2039/545;;A61K2039/804;;A61P35/00;;A61P35/02;;A61K31/454;;A61K31/573;;A61K39/39558;;A61K2039/505;;A61K2039/54;;A61K2039/545;;A61K2039/804;;C07K16/2896;;A61P35/02;;A61K9/0019;;A61K31/454;;A61K31/573;;A61K39/39558;;A61K2039/505;;A61K2039/54;;A61K2039/545;;A61K2039/804;;A61K2300/00;;A61P35/00;;C07K16/2896;;C07K16/2896;;A61K2039/505;;A61K2039/54;;A61K2039/545;;A61P35/00;;C07K16/2896;;A61K9/0019;;A61K2039/505;;A61P35/00</x:v>
      </x:c>
      <x:c r="S699" s="87" t="str">
        <x:v>A61K31/573;;A61K39/395;;A61P35/02;;C07K16/28</x:v>
      </x:c>
      <x:c r="T699" s="87" t="str">
        <x:v>PENDING</x:v>
      </x:c>
      <x:c r="U699" s="87" t="str">
        <x:v>https://lens.org/174-966-975-757-413</x:v>
      </x:c>
    </x:row>
    <x:row r="700">
      <x:c r="A700" s="87" t="str">
        <x:v>Sanofi_Applicant_EP_Families_2015_2021.csv(1).csv</x:v>
      </x:c>
      <x:c r="B700" s="87" t="str">
        <x:v>Sanofi</x:v>
      </x:c>
      <x:c r="C700" s="87" t="str">
        <x:v>TRT-0010</x:v>
      </x:c>
      <x:c r="D700" s="87" t="str">
        <x:v>Yes</x:v>
      </x:c>
      <x:c r="E700" s="87" t="str">
        <x:v>sanofi</x:v>
      </x:c>
      <x:c r="F700" s="87" t="str">
        <x:v>106</x:v>
      </x:c>
      <x:c r="G700" s="87" t="str">
        <x:v>190-845-475-622-589</x:v>
      </x:c>
      <x:c r="H700" s="110" t="n">
        <x:v>43594</x:v>
      </x:c>
      <x:c r="I700" s="88" t="n">
        <x:v>2019</x:v>
      </x:c>
      <x:c r="J700" s="87" t="str">
        <x:v>EP</x:v>
      </x:c>
      <x:c r="K700" s="87" t="str">
        <x:v>A1</x:v>
      </x:c>
      <x:c r="L700" s="87" t="str">
        <x:v>EP 3965758 A1</x:v>
      </x:c>
      <x:c r="M700" s="87" t="str">
        <x:v>SANOFI SA</x:v>
      </x:c>
      <x:c r="N700" s="87" t="str">
        <x:v>SANOFI (2023-01-11)</x:v>
      </x:c>
      <x:c r="O700" s="87" t="str">
        <x:v>6-(2,4-DICHLOROPHENYL)-5-[4-[(3S)-1-(3-FLUOROPROPYL)PYRROLIDIN-3-YL]OXYPHENYL]-8,9-DIHYDRO-7H-BENZO[7]ANNULENE-2-CARBOXYLIC ACID FOR USE IN METASTATIC OR ADVANCED BREAST CANCER PATIENTS</x:v>
      </x:c>
      <x:c r="P700" s="109" t="n">
        <x:v>0</x:v>
      </x:c>
      <x:c r="Q700" s="109" t="n">
        <x:v>14</x:v>
      </x:c>
      <x:c r="R700" s="87" t="str">
        <x:v>A61K31/40;;A61P35/00;;A61P35/04;;A61K31/40;;A61J1/00;;A61K45/06;;A61P35/00;;A61P35/04;;A61K31/4015;;A61P35/00;;A61P35/04;;A61K31/40;;A61J1/00;;A61K45/06</x:v>
      </x:c>
      <x:c r="S700" s="87" t="str">
        <x:v>A61K31/40;;A61P35/00;;A61P35/04</x:v>
      </x:c>
      <x:c r="T700" s="87" t="str">
        <x:v>DISCONTINUED</x:v>
      </x:c>
      <x:c r="U700" s="87" t="str">
        <x:v>https://lens.org/190-845-475-622-589</x:v>
      </x:c>
    </x:row>
    <x:row r="701">
      <x:c r="A701" s="87" t="str">
        <x:v>Sanofi_Applicant_EP_Families_2015_2021.csv(1).csv</x:v>
      </x:c>
      <x:c r="B701" s="87" t="str">
        <x:v>Sanofi</x:v>
      </x:c>
      <x:c r="C701" s="87" t="str">
        <x:v>TRT-0010</x:v>
      </x:c>
      <x:c r="D701" s="87" t="str">
        <x:v>Yes</x:v>
      </x:c>
      <x:c r="E701" s="87" t="str">
        <x:v>sanofi</x:v>
      </x:c>
      <x:c r="F701" s="87" t="str">
        <x:v>107</x:v>
      </x:c>
      <x:c r="G701" s="87" t="str">
        <x:v>159-159-262-182-432</x:v>
      </x:c>
      <x:c r="H701" s="110" t="n">
        <x:v>43579</x:v>
      </x:c>
      <x:c r="I701" s="88" t="n">
        <x:v>2019</x:v>
      </x:c>
      <x:c r="J701" s="87" t="str">
        <x:v>EP</x:v>
      </x:c>
      <x:c r="K701" s="87" t="str">
        <x:v>A1</x:v>
      </x:c>
      <x:c r="L701" s="87" t="str">
        <x:v>EP 3959240 A1</x:v>
      </x:c>
      <x:c r="M701" s="87" t="str">
        <x:v>SANOFI BIOTECHNOLOGY;;REGENERON PHARMA;;ZILBERSTEIN MOSHE E</x:v>
      </x:c>
      <x:c r="N701" s="87" t="str">
        <x:v>REGENERON PHARMACEUTICALS, INC. (2024-09-18);;SANOFI BIOTECHNOLOGY (2024-09-18)</x:v>
      </x:c>
      <x:c r="O701" s="87" t="str">
        <x:v>METHODS OF DIAGNOSIS AND TREATMENT OF RHEUMATOID ARTHRITIS</x:v>
      </x:c>
      <x:c r="P701" s="109" t="n">
        <x:v>0</x:v>
      </x:c>
      <x:c r="Q701" s="109" t="n">
        <x:v>17</x:v>
      </x:c>
      <x:c r="R701" s="87" t="str">
        <x:v>C07K16/2866;;A61K39/395;;A61K2039/505;;A61K2039/54;;A61K2039/545;;A61K2039/55;;A61P37/02;;A61P29/00;;A61P19/02;;G01N33/564;;G01N2333/5412;;G01N2333/715;;A61K39/3955;;A61K31/519;;A61K2039/545;;A61K9/08;;A61K2039/55;;A61K2039/505;;C07K16/2866;;A61B5/4848;;G01N2333/715;;C07K2317/515;;G01N2333/5412;;A61P19/02;;A61K39/395;;A61P29/00;;A61P37/02;;G01N33/564;;C07K2317/51;;A61K2039/54;;C07K16/2866;;A61P19/02;;G01N33/564;;A61K2039/505;;G01N2333/5412;;G01N2333/715;;A61P19/02;;A61B5/4848;;A61K9/08;;A61K31/519;;A61K39/3955;;C07K16/2866;;C07K2317/51;;C07K2317/515</x:v>
      </x:c>
      <x:c r="S701" s="87" t="str">
        <x:v>C07K16/28;;A61K39/395;;A61P19/02;;A61P29/00;;A61P37/02;;G01N33/564</x:v>
      </x:c>
      <x:c r="T701" s="87" t="str">
        <x:v>PENDING</x:v>
      </x:c>
      <x:c r="U701" s="87" t="str">
        <x:v>https://lens.org/159-159-262-182-432</x:v>
      </x:c>
    </x:row>
    <x:row r="702">
      <x:c r="A702" s="87" t="str">
        <x:v>Sanofi_Applicant_EP_Families_2015_2021.csv(1).csv</x:v>
      </x:c>
      <x:c r="B702" s="87" t="str">
        <x:v>Sanofi</x:v>
      </x:c>
      <x:c r="C702" s="87" t="str">
        <x:v>TRT-0010</x:v>
      </x:c>
      <x:c r="D702" s="87" t="str">
        <x:v>Yes</x:v>
      </x:c>
      <x:c r="E702" s="87" t="str">
        <x:v>sanofi</x:v>
      </x:c>
      <x:c r="F702" s="87" t="str">
        <x:v>108</x:v>
      </x:c>
      <x:c r="G702" s="87" t="str">
        <x:v>005-587-604-970-954</x:v>
      </x:c>
      <x:c r="H702" s="110" t="n">
        <x:v>43578</x:v>
      </x:c>
      <x:c r="I702" s="88" t="n">
        <x:v>2019</x:v>
      </x:c>
      <x:c r="J702" s="87" t="str">
        <x:v>EP</x:v>
      </x:c>
      <x:c r="K702" s="87" t="str">
        <x:v>A1</x:v>
      </x:c>
      <x:c r="L702" s="87" t="str">
        <x:v>EP 3958896 A1</x:v>
      </x:c>
      <x:c r="M702" s="87" t="str">
        <x:v>SANOFI SA</x:v>
      </x:c>
      <x:c r="N702" s="87" t="str">
        <x:v>SANOFI (2022-12-28)</x:v>
      </x:c>
      <x:c r="O702" s="87" t="str">
        <x:v>STABLE, LOW-VISCOSITY ANTIBODY FORMULATIONS AND USES THEREOF</x:v>
      </x:c>
      <x:c r="P702" s="109" t="n">
        <x:v>0</x:v>
      </x:c>
      <x:c r="Q702" s="109" t="n">
        <x:v>18</x:v>
      </x:c>
      <x:c r="R702" s="87" t="str">
        <x:v>A61K39/39591;;C07K16/2803;;C07K16/2866;;C07K2317/71;;A61K39/39591;;C07K16/2803;;C07K2317/71;;C07K16/2866;;A61K39/39591;;A61K9/08;;A61K47/183;;C07K16/2803;;C07K16/2866;;C07K2317/71;;A61K9/08;;C07K16/2803;;C07K16/2866;;C07K2317/71</x:v>
      </x:c>
      <x:c r="S702" s="87" t="str">
        <x:v>A61K39/395;;C07K16/28</x:v>
      </x:c>
      <x:c r="T702" s="87" t="str">
        <x:v>PENDING</x:v>
      </x:c>
      <x:c r="U702" s="87" t="str">
        <x:v>https://lens.org/005-587-604-970-954</x:v>
      </x:c>
    </x:row>
    <x:row r="703">
      <x:c r="A703" s="87" t="str">
        <x:v>Sanofi_Applicant_EP_Families_2015_2021.csv(1).csv</x:v>
      </x:c>
      <x:c r="B703" s="87" t="str">
        <x:v>Sanofi</x:v>
      </x:c>
      <x:c r="C703" s="87" t="str">
        <x:v>TRT-0010</x:v>
      </x:c>
      <x:c r="D703" s="87" t="str">
        <x:v>Yes</x:v>
      </x:c>
      <x:c r="E703" s="87" t="str">
        <x:v>sanofi</x:v>
      </x:c>
      <x:c r="F703" s="87" t="str">
        <x:v>109</x:v>
      </x:c>
      <x:c r="G703" s="87" t="str">
        <x:v>118-205-076-272-538</x:v>
      </x:c>
      <x:c r="H703" s="110" t="n">
        <x:v>43578</x:v>
      </x:c>
      <x:c r="I703" s="88" t="n">
        <x:v>2019</x:v>
      </x:c>
      <x:c r="J703" s="87" t="str">
        <x:v>EP</x:v>
      </x:c>
      <x:c r="K703" s="87" t="str">
        <x:v>A1</x:v>
      </x:c>
      <x:c r="L703" s="87" t="str">
        <x:v>EP 3958898 A1</x:v>
      </x:c>
      <x:c r="M703" s="87" t="str">
        <x:v>SANOFI SA</x:v>
      </x:c>
      <x:c r="N703" s="87" t="str">
        <x:v>SANOFI (2022-12-28)</x:v>
      </x:c>
      <x:c r="O703" s="87" t="str">
        <x:v>ANTI-CD38 ANTIBODIES AND FORMULATIONS</x:v>
      </x:c>
      <x:c r="P703" s="109" t="n">
        <x:v>0</x:v>
      </x:c>
      <x:c r="Q703" s="109" t="n">
        <x:v>18</x:v>
      </x:c>
      <x:c r="R703" s="87" t="str">
        <x:v>C07K16/2896;;A61K9/0019;;A61K9/08;;A61K9/19;;A61K39/39591;;A61K47/183;;A61K47/22;;A61K47/26;;A61K2039/505;;A61P35/00;;C07K2317/24;;C07K2317/567;;C07K2317/72;;C07K2317/73;;C07K2317/732;;C07K2317/734;;C07K2317/92;;C07K2317/94;;C07K16/2896;;A61K39/39591;;A61K2039/505;;A61P35/00;;C07K2317/24;;C07K2317/567;;C07K2317/73;;C07K2317/732;;C07K2317/734;;C07K16/2896;;A61K39/39591;;A61K2039/505;;A61P35/00;;C07K2317/24;;C07K2317/567;;C07K2317/73;;C07K2317/732;;C07K2317/734;;C07K16/2896;;A61K9/19;;A61K39/39591;;A61K47/22;;A61K47/26;;A61K2039/505;;A61P35/00;;C07K2317/24;;C07K2317/567;;C07K2317/732;;C07K2317/92</x:v>
      </x:c>
      <x:c r="S703" s="87" t="str">
        <x:v>A61K39/395;;A61K39/00;;A61P35/00;;C07K16/28</x:v>
      </x:c>
      <x:c r="T703" s="87" t="str">
        <x:v>PENDING</x:v>
      </x:c>
      <x:c r="U703" s="87" t="str">
        <x:v>https://lens.org/118-205-076-272-538</x:v>
      </x:c>
    </x:row>
    <x:row r="704">
      <x:c r="A704" s="87" t="str">
        <x:v>Sanofi_Applicant_EP_Families_2015_2021.csv(1).csv</x:v>
      </x:c>
      <x:c r="B704" s="87" t="str">
        <x:v>Sanofi</x:v>
      </x:c>
      <x:c r="C704" s="87" t="str">
        <x:v>TRT-0010</x:v>
      </x:c>
      <x:c r="D704" s="87" t="str">
        <x:v>Yes</x:v>
      </x:c>
      <x:c r="E704" s="87" t="str">
        <x:v>sanofi</x:v>
      </x:c>
      <x:c r="F704" s="87" t="str">
        <x:v>110</x:v>
      </x:c>
      <x:c r="G704" s="87" t="str">
        <x:v>089-405-900-477-555</x:v>
      </x:c>
      <x:c r="H704" s="110" t="n">
        <x:v>43571</x:v>
      </x:c>
      <x:c r="I704" s="88" t="n">
        <x:v>2019</x:v>
      </x:c>
      <x:c r="J704" s="87" t="str">
        <x:v>EP</x:v>
      </x:c>
      <x:c r="K704" s="87" t="str">
        <x:v>A1</x:v>
      </x:c>
      <x:c r="L704" s="87" t="str">
        <x:v>EP 3955993 A1</x:v>
      </x:c>
      <x:c r="M704" s="87" t="str">
        <x:v>SANOFI SA</x:v>
      </x:c>
      <x:c r="N704" s="87" t="str">
        <x:v>SANOFI (2023-02-22)</x:v>
      </x:c>
      <x:c r="O704" s="87" t="str">
        <x:v>DOSE RECORDING DEVICE</x:v>
      </x:c>
      <x:c r="P704" s="109" t="n">
        <x:v>0</x:v>
      </x:c>
      <x:c r="Q704" s="109" t="n">
        <x:v>7</x:v>
      </x:c>
      <x:c r="R704" s="87" t="str">
        <x:v>A61M5/24;;A61M5/2448;;A61M5/31571;;A61M2005/2403;;A61M2005/2488;;A61M2205/276;;A61M2205/50;;A61M2205/6036;;A61M2205/6045;;A61M5/31533;;A61M5/2448;;A61M5/31566;;A61M2005/2433;;A61M2205/584;;A61M2205/6036;;A61M2205/6045</x:v>
      </x:c>
      <x:c r="S704" s="87" t="str">
        <x:v>A61M5/24;;A61M5/20;;A61M5/315</x:v>
      </x:c>
      <x:c r="T704" s="87" t="str">
        <x:v>PENDING</x:v>
      </x:c>
      <x:c r="U704" s="87" t="str">
        <x:v>https://lens.org/089-405-900-477-555</x:v>
      </x:c>
    </x:row>
    <x:row r="705">
      <x:c r="A705" s="87" t="str">
        <x:v>Sanofi_Applicant_EP_Families_2015_2021.csv(1).csv</x:v>
      </x:c>
      <x:c r="B705" s="87" t="str">
        <x:v>Sanofi</x:v>
      </x:c>
      <x:c r="C705" s="87" t="str">
        <x:v>TRT-0010</x:v>
      </x:c>
      <x:c r="D705" s="87" t="str">
        <x:v>Yes</x:v>
      </x:c>
      <x:c r="E705" s="87" t="str">
        <x:v>sanofi</x:v>
      </x:c>
      <x:c r="F705" s="87" t="str">
        <x:v>111</x:v>
      </x:c>
      <x:c r="G705" s="87" t="str">
        <x:v>014-430-293-198-469</x:v>
      </x:c>
      <x:c r="H705" s="110" t="n">
        <x:v>40212</x:v>
      </x:c>
      <x:c r="I705" s="88" t="n">
        <x:v>2010</x:v>
      </x:c>
      <x:c r="J705" s="87" t="str">
        <x:v>DE</x:v>
      </x:c>
      <x:c r="K705" s="87" t="str">
        <x:v>B4</x:v>
      </x:c>
      <x:c r="L705" s="87" t="str">
        <x:v>DE 102011009504 B4</x:v>
      </x:c>
      <x:c r="M705" s="87" t="str">
        <x:v>SANOFI AVENTIS DEUTSCHLAND</x:v>
      </x:c>
      <x:c r="N705" s="87" t="str">
        <x:v>SANOFI-AVENTIS DEUTSCHLAND GMBH, DE (2018-10-26);;A. NATTERMANN &amp; CIE. GESELLSCHAFT MIT BESCHRAE, DE (2024-01-18)</x:v>
      </x:c>
      <x:c r="O705" s="87" t="str">
        <x:v>Applikationsvorrichtung zur Verteilung eines pastösen oder flüssigen Mediums</x:v>
      </x:c>
      <x:c r="P705" s="109" t="n">
        <x:v>0</x:v>
      </x:c>
      <x:c r="Q705" s="109" t="n">
        <x:v>2</x:v>
      </x:c>
      <x:c r="R705" s="87" t="str">
        <x:v>A61M35/003;;B65D35/36;;B65D35/38;;B65D35/44</x:v>
      </x:c>
      <x:c r="S705" s="87" t="str">
        <x:v>B65D35/38;;A61M35/00;;B65D35/36;;B65D35/44</x:v>
      </x:c>
      <x:c r="T705" s="87" t="str">
        <x:v>ACTIVE</x:v>
      </x:c>
      <x:c r="U705" s="87" t="str">
        <x:v>https://lens.org/014-430-293-198-469</x:v>
      </x:c>
    </x:row>
    <x:row r="706">
      <x:c r="A706" s="87" t="str">
        <x:v>Sanofi_Applicant_EP_Families_2015_2021.csv(1).csv</x:v>
      </x:c>
      <x:c r="B706" s="87" t="str">
        <x:v>Sanofi</x:v>
      </x:c>
      <x:c r="C706" s="87" t="str">
        <x:v>TRT-0010</x:v>
      </x:c>
      <x:c r="D706" s="87" t="str">
        <x:v>Yes</x:v>
      </x:c>
      <x:c r="E706" s="87" t="str">
        <x:v>sanofi</x:v>
      </x:c>
      <x:c r="F706" s="87" t="str">
        <x:v>112</x:v>
      </x:c>
      <x:c r="G706" s="87" t="str">
        <x:v>123-557-709-607-212</x:v>
      </x:c>
      <x:c r="H706" s="110" t="n">
        <x:v>43553</x:v>
      </x:c>
      <x:c r="I706" s="88" t="n">
        <x:v>2019</x:v>
      </x:c>
      <x:c r="J706" s="87" t="str">
        <x:v>EP</x:v>
      </x:c>
      <x:c r="K706" s="87" t="str">
        <x:v>A1</x:v>
      </x:c>
      <x:c r="L706" s="87" t="str">
        <x:v>EP 3946516 A1</x:v>
      </x:c>
      <x:c r="M706" s="87" t="str">
        <x:v>SANOFI SA</x:v>
      </x:c>
      <x:c r="N706" s="87" t="str">
        <x:v>SANOFI (2022-12-28)</x:v>
      </x:c>
      <x:c r="O706" s="87" t="str">
        <x:v>DRUG DELIVERY DEVICE AND METHOD FOR ASSEMBLING</x:v>
      </x:c>
      <x:c r="P706" s="109" t="n">
        <x:v>0</x:v>
      </x:c>
      <x:c r="Q706" s="109" t="n">
        <x:v>11</x:v>
      </x:c>
      <x:c r="R706" s="87" t="str">
        <x:v>A61M5/20;;A61M2005/2013;;A61M2005/206;;A61M2005/2477;;A61M5/326;;A61M5/2033;;A61M5/31578;;A61M5/3202;;A61M2005/2013;;A61M2207/00</x:v>
      </x:c>
      <x:c r="S706" s="87" t="str">
        <x:v>A61M5/20;;A61M5/32</x:v>
      </x:c>
      <x:c r="T706" s="87" t="str">
        <x:v>ACTIVE</x:v>
      </x:c>
      <x:c r="U706" s="87" t="str">
        <x:v>https://lens.org/123-557-709-607-212</x:v>
      </x:c>
    </x:row>
    <x:row r="707">
      <x:c r="A707" s="87" t="str">
        <x:v>Sanofi_Applicant_EP_Families_2015_2021.csv(1).csv</x:v>
      </x:c>
      <x:c r="B707" s="87" t="str">
        <x:v>Sanofi</x:v>
      </x:c>
      <x:c r="C707" s="87" t="str">
        <x:v>TRT-0010</x:v>
      </x:c>
      <x:c r="D707" s="87" t="str">
        <x:v>Yes</x:v>
      </x:c>
      <x:c r="E707" s="87" t="str">
        <x:v>sanofi</x:v>
      </x:c>
      <x:c r="F707" s="87" t="str">
        <x:v>113</x:v>
      </x:c>
      <x:c r="G707" s="87" t="str">
        <x:v>175-358-374-088-231</x:v>
      </x:c>
      <x:c r="H707" s="110" t="n">
        <x:v>43559</x:v>
      </x:c>
      <x:c r="I707" s="88" t="n">
        <x:v>2019</x:v>
      </x:c>
      <x:c r="J707" s="87" t="str">
        <x:v>EP</x:v>
      </x:c>
      <x:c r="K707" s="87" t="str">
        <x:v>A1</x:v>
      </x:c>
      <x:c r="L707" s="87" t="str">
        <x:v>EP 3946517 A1</x:v>
      </x:c>
      <x:c r="M707" s="87" t="str">
        <x:v>SANOFI SA</x:v>
      </x:c>
      <x:c r="N707" s="87" t="str">
        <x:v>SANOFI (2022-12-28)</x:v>
      </x:c>
      <x:c r="O707" s="87" t="str">
        <x:v>ASSEMBLY FOR A DRUG DELIVERY DEVICE</x:v>
      </x:c>
      <x:c r="P707" s="109" t="n">
        <x:v>0</x:v>
      </x:c>
      <x:c r="Q707" s="109" t="n">
        <x:v>7</x:v>
      </x:c>
      <x:c r="R707" s="87" t="str">
        <x:v>A61M5/24;;A61M2005/3125;;A61M2205/60;;A61M2205/6072;;A61M5/24;;A61M2005/3126;;A61M2205/6072</x:v>
      </x:c>
      <x:c r="S707" s="87" t="str">
        <x:v>A61M5/24</x:v>
      </x:c>
      <x:c r="T707" s="87" t="str">
        <x:v>PENDING</x:v>
      </x:c>
      <x:c r="U707" s="87" t="str">
        <x:v>https://lens.org/175-358-374-088-231</x:v>
      </x:c>
    </x:row>
    <x:row r="708">
      <x:c r="A708" s="87" t="str">
        <x:v>Sanofi_Applicant_EP_Families_2015_2021.csv(1).csv</x:v>
      </x:c>
      <x:c r="B708" s="87" t="str">
        <x:v>Sanofi</x:v>
      </x:c>
      <x:c r="C708" s="87" t="str">
        <x:v>TRT-0010</x:v>
      </x:c>
      <x:c r="D708" s="87" t="str">
        <x:v>Yes</x:v>
      </x:c>
      <x:c r="E708" s="87" t="str">
        <x:v>sanofi</x:v>
      </x:c>
      <x:c r="F708" s="87" t="str">
        <x:v>114</x:v>
      </x:c>
      <x:c r="G708" s="87" t="str">
        <x:v>051-802-822-826-747</x:v>
      </x:c>
      <x:c r="H708" s="110" t="n">
        <x:v>43557</x:v>
      </x:c>
      <x:c r="I708" s="88" t="n">
        <x:v>2019</x:v>
      </x:c>
      <x:c r="J708" s="87" t="str">
        <x:v>EP</x:v>
      </x:c>
      <x:c r="K708" s="87" t="str">
        <x:v>A1</x:v>
      </x:c>
      <x:c r="L708" s="87" t="str">
        <x:v>EP 3946446 A1</x:v>
      </x:c>
      <x:c r="M708" s="87" t="str">
        <x:v>SANOFI SA</x:v>
      </x:c>
      <x:c r="N708" s="87" t="str">
        <x:v>SANOFI (2022-12-28)</x:v>
      </x:c>
      <x:c r="O708" s="87" t="str">
        <x:v>ANTIGENIC MULTIMERIC RESPIRATORY SYNCYTIAL VIRUS POLYPEPTIDES</x:v>
      </x:c>
      <x:c r="P708" s="109" t="n">
        <x:v>0</x:v>
      </x:c>
      <x:c r="Q708" s="109" t="n">
        <x:v>9</x:v>
      </x:c>
      <x:c r="R708" s="87" t="str">
        <x:v>C07K14/005;;C07K2319/00;;C12N2760/18522;;C12N2760/18571;;A61K39/12;;A61K2039/64;;A61K2039/70;;A61P31/14;;C12N2760/18534;;C07K14/005;;A61K39/155;;A61K2039/64;;A61K2039/70;;A61P31/14;;C12N7/00;;C12N2760/18522;;C12N2760/18534;;C12N2760/18571</x:v>
      </x:c>
      <x:c r="S708" s="87" t="str">
        <x:v>A61K39/12;;A61P31/14</x:v>
      </x:c>
      <x:c r="T708" s="87" t="str">
        <x:v>PENDING</x:v>
      </x:c>
      <x:c r="U708" s="87" t="str">
        <x:v>https://lens.org/051-802-822-826-747</x:v>
      </x:c>
    </x:row>
    <x:row r="709">
      <x:c r="A709" s="87" t="str">
        <x:v>Sanofi_Applicant_EP_Families_2015_2021.csv(1).csv</x:v>
      </x:c>
      <x:c r="B709" s="87" t="str">
        <x:v>Sanofi</x:v>
      </x:c>
      <x:c r="C709" s="87" t="str">
        <x:v>TRT-0010</x:v>
      </x:c>
      <x:c r="D709" s="87" t="str">
        <x:v>Yes</x:v>
      </x:c>
      <x:c r="E709" s="87" t="str">
        <x:v>sanofi</x:v>
      </x:c>
      <x:c r="F709" s="87" t="str">
        <x:v>115</x:v>
      </x:c>
      <x:c r="G709" s="87" t="str">
        <x:v>121-440-486-641-277</x:v>
      </x:c>
      <x:c r="H709" s="110" t="n">
        <x:v>43544</x:v>
      </x:c>
      <x:c r="I709" s="88" t="n">
        <x:v>2019</x:v>
      </x:c>
      <x:c r="J709" s="87" t="str">
        <x:v>EP</x:v>
      </x:c>
      <x:c r="K709" s="87" t="str">
        <x:v>A1</x:v>
      </x:c>
      <x:c r="L709" s="87" t="str">
        <x:v>EP 3941553 A1</x:v>
      </x:c>
      <x:c r="M709" s="87" t="str">
        <x:v>SANOFI SA</x:v>
      </x:c>
      <x:c r="N709" s="87" t="str">
        <x:v>SANOFI (2022-12-28)</x:v>
      </x:c>
      <x:c r="O709" s="87" t="str">
        <x:v>CONTAINER RETAINING MEMBER, DRUG DELIVERY DEVICE AND METHOD</x:v>
      </x:c>
      <x:c r="P709" s="109" t="n">
        <x:v>0</x:v>
      </x:c>
      <x:c r="Q709" s="109" t="n">
        <x:v>7</x:v>
      </x:c>
      <x:c r="R709" s="87" t="str">
        <x:v>A61M5/24;;A61M2005/2407;;A61M2005/2437;;A61M2005/2477;;A61M5/24;;A61M2005/2407;;A61M2005/2437;;A61M2005/2477</x:v>
      </x:c>
      <x:c r="S709" s="87" t="str">
        <x:v>A61M5/24</x:v>
      </x:c>
      <x:c r="T709" s="87" t="str">
        <x:v>ACTIVE</x:v>
      </x:c>
      <x:c r="U709" s="87" t="str">
        <x:v>https://lens.org/121-440-486-641-277</x:v>
      </x:c>
    </x:row>
    <x:row r="710">
      <x:c r="A710" s="87" t="str">
        <x:v>Sanofi_Applicant_EP_Families_2015_2021.csv(1).csv</x:v>
      </x:c>
      <x:c r="B710" s="87" t="str">
        <x:v>Sanofi</x:v>
      </x:c>
      <x:c r="C710" s="87" t="str">
        <x:v>TRT-0010</x:v>
      </x:c>
      <x:c r="D710" s="87" t="str">
        <x:v>Yes</x:v>
      </x:c>
      <x:c r="E710" s="87" t="str">
        <x:v>sanofi</x:v>
      </x:c>
      <x:c r="F710" s="87" t="str">
        <x:v>116</x:v>
      </x:c>
      <x:c r="G710" s="87" t="str">
        <x:v>071-430-076-559-544</x:v>
      </x:c>
      <x:c r="H710" s="110" t="n">
        <x:v>43187</x:v>
      </x:c>
      <x:c r="I710" s="88" t="n">
        <x:v>2018</x:v>
      </x:c>
      <x:c r="J710" s="87" t="str">
        <x:v>EP</x:v>
      </x:c>
      <x:c r="K710" s="87" t="str">
        <x:v>A4</x:v>
      </x:c>
      <x:c r="L710" s="87" t="str">
        <x:v>EP 3773709 A4</x:v>
      </x:c>
      <x:c r="M710" s="87" t="str">
        <x:v>SANOFI PASTEUR INC;;VIB VZW;;UNIV GENT</x:v>
      </x:c>
      <x:c r="N710" s="87" t="str">
        <x:v>VIB VZW (2026-05-27);;SANOFI PASTEUR INC. (2024-02-14);;SANOFI VACCINES US INC. (2026-05-27);;UNIVERSITEIT GENT (2026-05-27)</x:v>
      </x:c>
      <x:c r="O710" s="87" t="str">
        <x:v>METHODS OF GENERATING BROADLY PROTECTIVE VACCINE COMPOSITIONS COMPRISING NEURAMINIDASE</x:v>
      </x:c>
      <x:c r="P710" s="109" t="n">
        <x:v>0</x:v>
      </x:c>
      <x:c r="Q710" s="109" t="n">
        <x:v>9</x:v>
      </x:c>
      <x:c r="R710" s="87" t="str">
        <x:v>A61K39/145;;A61K39/12;;A61K2039/5258;;A61P31/16;;C12N2760/16134;;G16B15/20;;G16B30/10;;A61K39/145;;A61K2039/575;;C12N7/00;;C12N9/2402;;C12N2760/16022;;C12N2760/16023;;C12N2760/16034;;C12Y302/01018;;G16B15/20;;G16B30/10</x:v>
      </x:c>
      <x:c r="S710" s="87" t="str">
        <x:v>A61K39/12;;A61K39/00;;A61K39/145;;A61P31/16;;G16B15/20</x:v>
      </x:c>
      <x:c r="T710" s="87" t="str">
        <x:v>PENDING</x:v>
      </x:c>
      <x:c r="U710" s="87" t="str">
        <x:v>https://lens.org/071-430-076-559-544</x:v>
      </x:c>
    </x:row>
    <x:row r="711">
      <x:c r="A711" s="87" t="str">
        <x:v>Sanofi_Applicant_EP_Families_2015_2021.csv(1).csv</x:v>
      </x:c>
      <x:c r="B711" s="87" t="str">
        <x:v>Sanofi</x:v>
      </x:c>
      <x:c r="C711" s="87" t="str">
        <x:v>TRT-0010</x:v>
      </x:c>
      <x:c r="D711" s="87" t="str">
        <x:v>Yes</x:v>
      </x:c>
      <x:c r="E711" s="87" t="str">
        <x:v>sanofi</x:v>
      </x:c>
      <x:c r="F711" s="87" t="str">
        <x:v>117</x:v>
      </x:c>
      <x:c r="G711" s="87" t="str">
        <x:v>124-374-187-479-931</x:v>
      </x:c>
      <x:c r="H711" s="110" t="n">
        <x:v>43503</x:v>
      </x:c>
      <x:c r="I711" s="88" t="n">
        <x:v>2019</x:v>
      </x:c>
      <x:c r="J711" s="87" t="str">
        <x:v>EP</x:v>
      </x:c>
      <x:c r="K711" s="87" t="str">
        <x:v>A1</x:v>
      </x:c>
      <x:c r="L711" s="87" t="str">
        <x:v>EP 3920972 A1</x:v>
      </x:c>
      <x:c r="M711" s="87" t="str">
        <x:v>SANOFI SA</x:v>
      </x:c>
      <x:c r="N711" s="87" t="str">
        <x:v>SANOFI (2023-01-11)</x:v>
      </x:c>
      <x:c r="O711" s="87" t="str">
        <x:v>USE OF ANTI-CEACAM5 IMMUNOCONJUGATES FOR TREATING LUNG CANCER</x:v>
      </x:c>
      <x:c r="P711" s="109" t="n">
        <x:v>0</x:v>
      </x:c>
      <x:c r="Q711" s="109" t="n">
        <x:v>15</x:v>
      </x:c>
      <x:c r="R711" s="87" t="str">
        <x:v>A61P35/00;;C07K16/30;;A61K47/6853;;A61K47/68033;;A61K47/6853;;A61P35/00;;C07K16/30;;A61K47/68033;;A61K47/6853;;A61P35/00;;A61K2039/545;;A61K2039/505;;A61K47/68033;;A61K47/6803;;A61P11/00;;C07K16/3007;;A61K2039/86;;A61K47/6853;;A61P35/00;;A61K45/06;;A61K2039/505;;A61K2039/545;;C07K16/2818;;C07K16/2827;;C07K16/3023;;A61K47/68033</x:v>
      </x:c>
      <x:c r="S711" s="87" t="str">
        <x:v>A61K47/68;;A61P35/00;;C07K16/30</x:v>
      </x:c>
      <x:c r="T711" s="87" t="str">
        <x:v>PENDING</x:v>
      </x:c>
      <x:c r="U711" s="87" t="str">
        <x:v>https://lens.org/124-374-187-479-931</x:v>
      </x:c>
    </x:row>
    <x:row r="712">
      <x:c r="A712" s="87" t="str">
        <x:v>Sanofi_Applicant_EP_Families_2015_2021.csv(1).csv</x:v>
      </x:c>
      <x:c r="B712" s="87" t="str">
        <x:v>Sanofi</x:v>
      </x:c>
      <x:c r="C712" s="87" t="str">
        <x:v>TRT-0010</x:v>
      </x:c>
      <x:c r="D712" s="87" t="str">
        <x:v>Yes</x:v>
      </x:c>
      <x:c r="E712" s="87" t="str">
        <x:v>sanofi</x:v>
      </x:c>
      <x:c r="F712" s="87" t="str">
        <x:v>118</x:v>
      </x:c>
      <x:c r="G712" s="87" t="str">
        <x:v>041-037-517-267-397</x:v>
      </x:c>
      <x:c r="H712" s="110" t="n">
        <x:v>43493</x:v>
      </x:c>
      <x:c r="I712" s="88" t="n">
        <x:v>2019</x:v>
      </x:c>
      <x:c r="J712" s="87" t="str">
        <x:v>EP</x:v>
      </x:c>
      <x:c r="K712" s="87" t="str">
        <x:v>A1</x:v>
      </x:c>
      <x:c r="L712" s="87" t="str">
        <x:v>EP 3917961 A1</x:v>
      </x:c>
      <x:c r="M712" s="87" t="str">
        <x:v>SANOFI SA</x:v>
      </x:c>
      <x:c r="N712" s="87" t="str">
        <x:v>SANOFI-AVENTIS U.S. LLC (2025-05-14)</x:v>
      </x:c>
      <x:c r="O712" s="87" t="str">
        <x:v>METHODS OF TREATING MULTIPLE MYELOMA</x:v>
      </x:c>
      <x:c r="P712" s="109" t="n">
        <x:v>0</x:v>
      </x:c>
      <x:c r="Q712" s="109" t="n">
        <x:v>27</x:v>
      </x:c>
      <x:c r="R712" s="87" t="str">
        <x:v>A61K9/08;;A61K31/454;;A61K31/573;;A61K39/3955;;A61K47/02;;A61K47/22;;A61K47/26;;A61K2039/505;;A61P35/00;;C07K16/2896;;C07K2317/56;;C07K2317/565;;C07K16/2896;;A61K9/0019;;A61K9/20;;A61K9/48;;A61K31/454;;A61K31/573;;A61K31/69;;A61K39/39591;;A61K47/183;;A61K47/26;;A61K2039/505;;A61K2039/54;;A61K2039/545;;A61K2300/00;;A61P35/00;;C07K2317/24;;C07K16/2896;;A61K9/0019;;A61K9/20;;A61K9/48;;A61K31/454;;A61K31/573;;A61K31/69;;A61K39/395;;A61K47/183;;A61K47/26;;A61K2039/505;;A61K2039/54;;A61K2039/545;;A61K2300/00;;A61P35/00;;C07K2317/24;;C12Q1/6869;;A61K39/3955;;A61K9/08;;A61K31/454;;A61K31/573;;A61K39/39591;;A61K47/02;;A61K47/12;;A61K47/22;;A61K47/26;;A61K2039/505;;A61K2039/54;;A61K2039/545;;A61K2300/00;;A61P35/00;;C07K16/2896;;C07K2317/24;;C12Q1/6869;;C07K16/2896;;A61K31/454;;A61K31/573;;A61K39/395;;A61K2039/505;;A61K2039/545;;A61P35/00;;C12Q1/6869</x:v>
      </x:c>
      <x:c r="S712" s="87" t="str">
        <x:v>C07K16/28;;A61K38/00;;A61K39/00;;A61K39/395;;A61P35/00</x:v>
      </x:c>
      <x:c r="T712" s="87" t="str">
        <x:v>PENDING</x:v>
      </x:c>
      <x:c r="U712" s="87" t="str">
        <x:v>https://lens.org/041-037-517-267-397</x:v>
      </x:c>
    </x:row>
    <x:row r="713">
      <x:c r="A713" s="87" t="str">
        <x:v>Sanofi_Applicant_EP_Families_2015_2021.csv(1).csv</x:v>
      </x:c>
      <x:c r="B713" s="87" t="str">
        <x:v>Sanofi</x:v>
      </x:c>
      <x:c r="C713" s="87" t="str">
        <x:v>TRT-0010</x:v>
      </x:c>
      <x:c r="D713" s="87" t="str">
        <x:v>Yes</x:v>
      </x:c>
      <x:c r="E713" s="87" t="str">
        <x:v>sanofi</x:v>
      </x:c>
      <x:c r="F713" s="87" t="str">
        <x:v>119</x:v>
      </x:c>
      <x:c r="G713" s="87" t="str">
        <x:v>179-886-534-538-567</x:v>
      </x:c>
      <x:c r="H713" s="110" t="n">
        <x:v>42173</x:v>
      </x:c>
      <x:c r="I713" s="88" t="n">
        <x:v>2015</x:v>
      </x:c>
      <x:c r="J713" s="87" t="str">
        <x:v>EP</x:v>
      </x:c>
      <x:c r="K713" s="87" t="str">
        <x:v>B1</x:v>
      </x:c>
      <x:c r="L713" s="87" t="str">
        <x:v>EP 3311171 B1</x:v>
      </x:c>
      <x:c r="M713" s="87" t="str">
        <x:v>UCB BIOPHARMA SRL;;SANOFI SA</x:v>
      </x:c>
      <x:c r="N713" s="87" t="str">
        <x:v>SANOFI (2020-01-08);;UCB BIOPHARMA SRL (2020-01-08)</x:v>
      </x:c>
      <x:c r="O713" s="87" t="str">
        <x:v>ANTIBODY EPITOPE</x:v>
      </x:c>
      <x:c r="P713" s="109" t="n">
        <x:v>0</x:v>
      </x:c>
      <x:c r="Q713" s="109" t="n">
        <x:v>110</x:v>
      </x:c>
      <x:c r="R713" s="87" t="str">
        <x:v>G01N33/6845;;C07D401/14;;C07D471/00;;C07D471/04;;C07K14/525;;C07K14/70575;;C07K16/241;;G01N2500/02;;A61P35/00;;A61P37/00;;C07D401/04;;C07D401/14;;C07D471/04;;C07K14/525;;C07K14/70575;;C07K16/241;;C07K2317/32;;C07K2317/34;;C07K2317/565;;C07K2317/92;;G01N33/6863;;G01N2333/525;;G01N2333/7151;;G01N2500/04;;G01N33/6845;;C07D401/14;;C07D471/00;;C07K14/525;;C07K14/70575;;C07K16/241;;G01N2500/02;;C07K16/241;;C07D401/14;;C07D471/00;;C07K14/525;;C07K14/70575;;C07K2317/24;;C07K2317/92;;G01N33/6845;;G01N2333/525;;G01N2500/02;;G01N33/6845;;A61K47/6425;;A61P35/00;;A61P37/00;;C07D213/72;;C07D235/04;;C07D239/26;;C07D401/14;;C07D471/00;;C07D471/04;;C07K14/525;;C07K14/70575;;C07K16/241;;C07K2317/55;;C07K2317/92;;G01N33/6854;;G01N33/6863;;G01N2333/525;;G01N2500/02</x:v>
      </x:c>
      <x:c r="S713" s="87" t="str">
        <x:v>G01N33/68;;C07D401/14;;C07D471/00;;C07K14/525;;C07K14/705;;C07K16/24</x:v>
      </x:c>
      <x:c r="T713" s="87" t="str">
        <x:v>ACTIVE</x:v>
      </x:c>
      <x:c r="U713" s="87" t="str">
        <x:v>https://lens.org/179-886-534-538-567</x:v>
      </x:c>
    </x:row>
    <x:row r="714">
      <x:c r="A714" s="87" t="str">
        <x:v>Sanofi_Applicant_EP_Families_2015_2021.csv(1).csv</x:v>
      </x:c>
      <x:c r="B714" s="87" t="str">
        <x:v>Sanofi</x:v>
      </x:c>
      <x:c r="C714" s="87" t="str">
        <x:v>TRT-0010</x:v>
      </x:c>
      <x:c r="D714" s="87" t="str">
        <x:v>Yes</x:v>
      </x:c>
      <x:c r="E714" s="87" t="str">
        <x:v>sanofi</x:v>
      </x:c>
      <x:c r="F714" s="87" t="str">
        <x:v>120</x:v>
      </x:c>
      <x:c r="G714" s="87" t="str">
        <x:v>164-652-924-775-860</x:v>
      </x:c>
      <x:c r="H714" s="110" t="n">
        <x:v>43483</x:v>
      </x:c>
      <x:c r="I714" s="88" t="n">
        <x:v>2019</x:v>
      </x:c>
      <x:c r="J714" s="87" t="str">
        <x:v>EP</x:v>
      </x:c>
      <x:c r="K714" s="87" t="str">
        <x:v>A1</x:v>
      </x:c>
      <x:c r="L714" s="87" t="str">
        <x:v>EP 3911383 A1</x:v>
      </x:c>
      <x:c r="M714" s="87" t="str">
        <x:v>SANOFI SA</x:v>
      </x:c>
      <x:c r="N714" s="87" t="str">
        <x:v>SANOFI (2023-11-01)</x:v>
      </x:c>
      <x:c r="O714" s="87" t="str">
        <x:v>INJECTION DEVICE</x:v>
      </x:c>
      <x:c r="P714" s="109" t="n">
        <x:v>0</x:v>
      </x:c>
      <x:c r="Q714" s="109" t="n">
        <x:v>8</x:v>
      </x:c>
      <x:c r="R714" s="87" t="str">
        <x:v>A61M5/24;;A61M5/31551;;A61M5/31556;;A61M5/31561;;A61M5/31585;;A61M2205/582;;A61M2205/585;;A61M5/3157;;A61M5/31551;;A61M5/31553;;A61M5/31558;;A61M5/31585;;A61M2205/582</x:v>
      </x:c>
      <x:c r="S714" s="87" t="str">
        <x:v>A61M5/24;;A61M5/315</x:v>
      </x:c>
      <x:c r="T714" s="87" t="str">
        <x:v>PENDING</x:v>
      </x:c>
      <x:c r="U714" s="87" t="str">
        <x:v>https://lens.org/164-652-924-775-860</x:v>
      </x:c>
    </x:row>
    <x:row r="715">
      <x:c r="A715" s="87" t="str">
        <x:v>Sanofi_Applicant_EP_Families_2015_2021.csv(1).csv</x:v>
      </x:c>
      <x:c r="B715" s="87" t="str">
        <x:v>Sanofi</x:v>
      </x:c>
      <x:c r="C715" s="87" t="str">
        <x:v>TRT-0010</x:v>
      </x:c>
      <x:c r="D715" s="87" t="str">
        <x:v>Yes</x:v>
      </x:c>
      <x:c r="E715" s="87" t="str">
        <x:v>sanofi</x:v>
      </x:c>
      <x:c r="F715" s="87" t="str">
        <x:v>121</x:v>
      </x:c>
      <x:c r="G715" s="87" t="str">
        <x:v>062-643-386-756-431</x:v>
      </x:c>
      <x:c r="H715" s="110" t="n">
        <x:v>42461</x:v>
      </x:c>
      <x:c r="I715" s="88" t="n">
        <x:v>2016</x:v>
      </x:c>
      <x:c r="J715" s="87" t="str">
        <x:v>EP</x:v>
      </x:c>
      <x:c r="K715" s="87" t="str">
        <x:v>B1</x:v>
      </x:c>
      <x:c r="L715" s="87" t="str">
        <x:v>EP 3436456 B1</x:v>
      </x:c>
      <x:c r="M715" s="87" t="str">
        <x:v>UCB BIOPHARMA SRL;;SANOFI SA</x:v>
      </x:c>
      <x:c r="N715" s="87" t="str">
        <x:v>SANOFI (2020-01-08);;UCB BIOPHARMA SRL (2020-01-08)</x:v>
      </x:c>
      <x:c r="O715" s="87" t="str">
        <x:v>FUSED HEXACYCLIC IMIDAZOLE DERIVATIVES AS MODULATORS OF TNF ACTIVITY</x:v>
      </x:c>
      <x:c r="P715" s="109" t="n">
        <x:v>0</x:v>
      </x:c>
      <x:c r="Q715" s="109" t="n">
        <x:v>12</x:v>
      </x:c>
      <x:c r="R715" s="87" t="str">
        <x:v>C07D487/22;;C07D487/04;;C07D487/18;;C07D487/22;;A61P3/00;;A61P19/00;;A61P25/00;;A61P27/02;;A61P29/00;;A61P35/00;;A61P37/06;;C07D487/04;;C07D487/18;;C07D487/22;;C07D487/04;;C07D487/18</x:v>
      </x:c>
      <x:c r="S715" s="87" t="str">
        <x:v>A61P3/00;;A61P19/00;;A61P25/00;;A61P27/02;;A61P29/00;;A61P35/00;;A61P37/06;;C07D487/04;;C07D487/18;;C07D487/22</x:v>
      </x:c>
      <x:c r="T715" s="87" t="str">
        <x:v>ACTIVE</x:v>
      </x:c>
      <x:c r="U715" s="87" t="str">
        <x:v>https://lens.org/062-643-386-756-431</x:v>
      </x:c>
    </x:row>
    <x:row r="716">
      <x:c r="A716" s="87" t="str">
        <x:v>Sanofi_Applicant_EP_Families_2015_2021.csv(1).csv</x:v>
      </x:c>
      <x:c r="B716" s="87" t="str">
        <x:v>Sanofi</x:v>
      </x:c>
      <x:c r="C716" s="87" t="str">
        <x:v>TRT-0010</x:v>
      </x:c>
      <x:c r="D716" s="87" t="str">
        <x:v>Yes</x:v>
      </x:c>
      <x:c r="E716" s="87" t="str">
        <x:v>sanofi</x:v>
      </x:c>
      <x:c r="F716" s="87" t="str">
        <x:v>122</x:v>
      </x:c>
      <x:c r="G716" s="87" t="str">
        <x:v>149-765-750-576-614</x:v>
      </x:c>
      <x:c r="H716" s="110" t="n">
        <x:v>39009</x:v>
      </x:c>
      <x:c r="I716" s="88" t="n">
        <x:v>2006</x:v>
      </x:c>
      <x:c r="J716" s="87" t="str">
        <x:v>EP</x:v>
      </x:c>
      <x:c r="K716" s="87" t="str">
        <x:v>A1</x:v>
      </x:c>
      <x:c r="L716" s="87" t="str">
        <x:v>EP 3909980 A1</x:v>
      </x:c>
      <x:c r="M716" s="87" t="str">
        <x:v>SANOFI SA</x:v>
      </x:c>
      <x:c r="N716" s="87" t="str">
        <x:v>SANOFI-AVENTIS U.S. LLC. (2025-08-13)</x:v>
      </x:c>
      <x:c r="O716" s="87" t="str">
        <x:v>NOVEL ANTI-CD38 ANTIBODIES FOR THE TREATMENT OF CANCER</x:v>
      </x:c>
      <x:c r="P716" s="109" t="n">
        <x:v>0</x:v>
      </x:c>
      <x:c r="Q716" s="109" t="n">
        <x:v>100</x:v>
      </x:c>
      <x:c r="R716" s="87" t="str">
        <x:v>A61K2039/505;;C07K16/2896;;C07K16/462;;C07K2317/24;;C07K2317/56;;C07K2317/565;;C07K2317/732;;C07K2317/734;;C07K2317/30;;C07K2317/34;;C07K2317/73;;G01N2333/924;;A61K47/6803;;A61K47/6867;;A61P1/00;;A61P1/04;;A61P1/16;;A61P11/00;;A61P11/06;;A61P13/12;;A61P17/00;;A61P17/04;;A61P19/02;;A61P21/00;;A61P25/00;;A61P27/02;;A61P29/00;;A61P35/00;;A61P35/02;;A61P37/00;;A61P37/02;;A61P37/06;;A61P43/00;;A61P7/04;;A61P9/00;;A61K47/68033;;A61K47/68035;;G01N33/57505;;G01N33/5758;;A61K47/6803;;A61K39/395;;C07K16/2896;;A61K2039/505;;C07K2317/24;;C07K2317/565;;G01N33/5758;;A61K47/6867;;A61P1/04;;A61P1/16;;A61P7/04;;A61P9/00;;A61P11/06;;A61P13/12;;A61P17/04;;A61P19/02;;A61P21/00;;A61P25/00;;A61P27/02;;A61P29/00;;A61P35/02;;A61P37/06;;A61P43/00;;C07K16/462;;G01N33/57505;;C07K2317/34;;C07K2317/732;;C07K2317/734;;G01N2333/924;;A61K47/6803;;A61K47/6867;;C07K16/28;;C07K16/2896;;C07K16/462;;C12N15/62;;C12N15/63;;C07K2317/24;;C07K2317/56;;C07K2317/73;;C07K2317/732;;C07K2317/734;;A61P35/00;;A61P35/02;;A61K39/395;;A61K39/39558;;A61K47/6803;;A61K47/6867;;C07K2317/30;;C07K2317/34;;C07K2317/73;;G01N2333/924;;A61K2039/505;;C07K16/2896;;C07K16/462;;C07K2317/24;;C07K2317/56;;C07K2317/565;;C07K2317/732;;C07K2317/734;;A61K47/68033;;A61K47/68035;;G01N33/57505;;G01N33/5758</x:v>
      </x:c>
      <x:c r="S716" s="87" t="str">
        <x:v>C07K16/28;;C07K16/46</x:v>
      </x:c>
      <x:c r="T716" s="87" t="str">
        <x:v>PENDING</x:v>
      </x:c>
      <x:c r="U716" s="87" t="str">
        <x:v>https://lens.org/149-765-750-576-614</x:v>
      </x:c>
    </x:row>
    <x:row r="717">
      <x:c r="A717" s="87" t="str">
        <x:v>Sanofi_Applicant_EP_Families_2015_2021.csv(1).csv</x:v>
      </x:c>
      <x:c r="B717" s="87" t="str">
        <x:v>Sanofi</x:v>
      </x:c>
      <x:c r="C717" s="87" t="str">
        <x:v>TRT-0010</x:v>
      </x:c>
      <x:c r="D717" s="87" t="str">
        <x:v>Yes</x:v>
      </x:c>
      <x:c r="E717" s="87" t="str">
        <x:v>sanofi</x:v>
      </x:c>
      <x:c r="F717" s="87" t="str">
        <x:v>123</x:v>
      </x:c>
      <x:c r="G717" s="87" t="str">
        <x:v>023-092-367-682-681</x:v>
      </x:c>
      <x:c r="H717" s="110" t="n">
        <x:v>42415</x:v>
      </x:c>
      <x:c r="I717" s="88" t="n">
        <x:v>2016</x:v>
      </x:c>
      <x:c r="J717" s="87" t="str">
        <x:v>EP</x:v>
      </x:c>
      <x:c r="K717" s="87" t="str">
        <x:v>B1</x:v>
      </x:c>
      <x:c r="L717" s="87" t="str">
        <x:v>EP 3524600 B1</x:v>
      </x:c>
      <x:c r="M717" s="87" t="str">
        <x:v>SANOFI SA</x:v>
      </x:c>
      <x:c r="N717" s="87" t="str">
        <x:v>SANOFI; FR (2025-04-11)</x:v>
      </x:c>
      <x:c r="O717" s="87" t="str">
        <x:v>PROCESSES AND INTERMEDIATES FOR THE PREPARATION OF NOVEL SUBSTITUTED 6,7-DIHYDRO-5H-BENZO[7]ANNULENE COMPOUNDS</x:v>
      </x:c>
      <x:c r="P717" s="109" t="n">
        <x:v>0</x:v>
      </x:c>
      <x:c r="Q717" s="109" t="n">
        <x:v>86</x:v>
      </x:c>
      <x:c r="R717" s="87" t="str">
        <x:v>C07D207/12;;A61P35/00;;C07B2200/07;;C07D209/08;;C07D401/12;;C07D403/12;;C07D405/12;;C07F5/025;;C07F9/572;;A61K31/4025;;A61P5/32;;A61P13/08;;A61P15/00;;A61P15/08;;A61P19/10;;A61P29/00;;A61P35/00;;A61P35/04;;A61P43/00;;C07D207/12;;C07D401/12;;C07D403/12;;C07D405/12;;C07D413/12;;C07D417/12;;C07D471/04;;C07F5/025;;C07F7/0812;;C07D207/12;;C07D401/12;;C07D403/12;;C07D405/12;;C07D413/12;;C07D417/12;;C07D471/04;;C07F5/025;;C07D207/12;;A61P5/32;;A61P13/08;;A61P15/00;;A61P15/08;;A61P19/10;;A61P29/00;;A61P35/00;;A61P35/04;;A61P43/00;;C07D401/12;;C07D403/12;;C07D405/12;;C07D413/12;;C07D417/12;;C07D471/04;;C07F5/025;;C07F7/0812;;C07D207/12;;A61K31/4015;;A61K31/4439;;A61K31/506;;A61P35/00;;C07D401/12;;C07D403/12;;C07D405/12;;C07D417/12;;C07D471/04;;C07F5/027;;C07D207/12;;C07D401/12;;C07D403/12;;C07D405/12;;C07D413/12;;C07D417/12;;C07D471/04;;C07F5/025;;C07F7/0812</x:v>
      </x:c>
      <x:c r="S717" s="87" t="str">
        <x:v>C07D403/12;;A61K31/40;;A61K31/4025;;A61P35/00;;C07D207/12;;C07D401/12;;C07D405/12;;C07D413/12;;C07D417/12;;C07D471/04;;C07F5/02</x:v>
      </x:c>
      <x:c r="T717" s="87" t="str">
        <x:v>ACTIVE</x:v>
      </x:c>
      <x:c r="U717" s="87" t="str">
        <x:v>https://lens.org/023-092-367-682-681</x:v>
      </x:c>
    </x:row>
    <x:row r="718">
      <x:c r="A718" s="87" t="str">
        <x:v>Sanofi_Applicant_EP_Families_2015_2021.csv(1).csv</x:v>
      </x:c>
      <x:c r="B718" s="87" t="str">
        <x:v>Sanofi</x:v>
      </x:c>
      <x:c r="C718" s="87" t="str">
        <x:v>TRT-0010</x:v>
      </x:c>
      <x:c r="D718" s="87" t="str">
        <x:v>Yes</x:v>
      </x:c>
      <x:c r="E718" s="87" t="str">
        <x:v>sanofi</x:v>
      </x:c>
      <x:c r="F718" s="87" t="str">
        <x:v>124</x:v>
      </x:c>
      <x:c r="G718" s="87" t="str">
        <x:v>169-326-742-950-785</x:v>
      </x:c>
      <x:c r="H718" s="110" t="n">
        <x:v>42940</x:v>
      </x:c>
      <x:c r="I718" s="88" t="n">
        <x:v>2017</x:v>
      </x:c>
      <x:c r="J718" s="87" t="str">
        <x:v>EP</x:v>
      </x:c>
      <x:c r="K718" s="87" t="str">
        <x:v>B1</x:v>
      </x:c>
      <x:c r="L718" s="87" t="str">
        <x:v>EP 3658147 B1</x:v>
      </x:c>
      <x:c r="M718" s="87" t="str">
        <x:v>SANOFI SA</x:v>
      </x:c>
      <x:c r="N718" s="87" t="str">
        <x:v>SANOFI; FR (2025-04-11)</x:v>
      </x:c>
      <x:c r="O718" s="87" t="str">
        <x:v>COMBINATION COMPRISING PALBOCICLIB AND 6-(2,4-DICHLOROPHENYL)-5-[4-[(3S)-1-(3-FLUOROPROPYL)PYRROLIDIN-3-YL]OXYPHENYL]-8,9-DIHYDRO-7H-BENZO[7]ANNULENE-2-CARBOXYLIC ACID AND ITS USE FOR THE TREATMENT OF CANCER</x:v>
      </x:c>
      <x:c r="P718" s="109" t="n">
        <x:v>0</x:v>
      </x:c>
      <x:c r="Q718" s="109" t="n">
        <x:v>42</x:v>
      </x:c>
      <x:c r="R718" s="87" t="str">
        <x:v>A61P35/00;;A61K31/40;;A61K31/519;;A61K31/4015;;A61K31/40;;A61K31/519;;A61K2300/00;;A61P35/00;;A61K31/4015;;A61K31/519;;A61K2300/00;;A61P35/00;;A61K31/40;;A61K31/519;;A61P35/00;;A61K31/519;;A61K31/40</x:v>
      </x:c>
      <x:c r="S718" s="87" t="str">
        <x:v>A61K31/519;;A61K31/40;;A61P35/00</x:v>
      </x:c>
      <x:c r="T718" s="87" t="str">
        <x:v>ACTIVE</x:v>
      </x:c>
      <x:c r="U718" s="87" t="str">
        <x:v>https://lens.org/169-326-742-950-785</x:v>
      </x:c>
    </x:row>
    <x:row r="719">
      <x:c r="A719" s="87" t="str">
        <x:v>Sanofi_Applicant_EP_Families_2015_2021.csv(1).csv</x:v>
      </x:c>
      <x:c r="B719" s="87" t="str">
        <x:v>Sanofi</x:v>
      </x:c>
      <x:c r="C719" s="87" t="str">
        <x:v>TRT-0010</x:v>
      </x:c>
      <x:c r="D719" s="87" t="str">
        <x:v>Yes</x:v>
      </x:c>
      <x:c r="E719" s="87" t="str">
        <x:v>sanofi</x:v>
      </x:c>
      <x:c r="F719" s="87" t="str">
        <x:v>125</x:v>
      </x:c>
      <x:c r="G719" s="87" t="str">
        <x:v>064-201-962-351-278</x:v>
      </x:c>
      <x:c r="H719" s="110" t="n">
        <x:v>43458</x:v>
      </x:c>
      <x:c r="I719" s="88" t="n">
        <x:v>2018</x:v>
      </x:c>
      <x:c r="J719" s="87" t="str">
        <x:v>EP</x:v>
      </x:c>
      <x:c r="K719" s="87" t="str">
        <x:v>A1</x:v>
      </x:c>
      <x:c r="L719" s="87" t="str">
        <x:v>EP 3902825 A1</x:v>
      </x:c>
      <x:c r="M719" s="87" t="str">
        <x:v>SANOFI SA;;WEIL SANDRA;;RAO ERCOLE;;LEUSCHNER WULF DIRK;;LANGER THOMAS;;HOELPER SORAYA;;ENGEL KARL CHRISTIAN;;BEIL CHRISTIAN;;HESSLER GERHARD;;LANGE CHRISTIAN;;LEMOINE CENDRINE;;OEZGUER BRUEDERLE SEVIM;;SPINDLER NADJA</x:v>
      </x:c>
      <x:c r="N719" s="87" t="str">
        <x:v>SANOFI (2022-03-16)</x:v>
      </x:c>
      <x:c r="O719" s="87" t="str">
        <x:v>PSEUDOFAB-BASED MULTISPECIFIC BINDING PROTEINS</x:v>
      </x:c>
      <x:c r="P719" s="109" t="n">
        <x:v>1</x:v>
      </x:c>
      <x:c r="Q719" s="109" t="n">
        <x:v>24</x:v>
      </x:c>
      <x:c r="R719" s="87" t="str">
        <x:v>C07K2317/55;;C07K16/468;;C07K2317/60;;C07K2317/31;;C07K2317/92;;C07K2317/94;;C07K16/2818;;C07K16/2878;;C07K16/244;;C07K16/244;;C07K16/2818;;C07K16/2878;;C07K16/32;;C07K16/468;;C07K2317/31;;C07K2317/522;;C07K2317/524;;C07K2317/526;;C07K2317/55;;C07K2317/60;;C07K2317/92;;C07K2317/94;;C07K16/244;;C07K16/2878;;C07K16/2818;;C07K16/468;;C07K2317/31;;C07K2317/55;;C07K2317/60;;C07K2317/94;;A61K2039/505;;C07K16/32;;C07K2317/31;;C07K2317/522;;C07K2317/524;;C07K2317/526;;C07K2317/55</x:v>
      </x:c>
      <x:c r="S719" s="87" t="str">
        <x:v>C07K16/24;;C07K16/28;;C07K16/32;;C07K16/46</x:v>
      </x:c>
      <x:c r="T719" s="87" t="str">
        <x:v>PENDING</x:v>
      </x:c>
      <x:c r="U719" s="87" t="str">
        <x:v>https://lens.org/064-201-962-351-278</x:v>
      </x:c>
    </x:row>
    <x:row r="720">
      <x:c r="A720" s="87" t="str">
        <x:v>Sanofi_Applicant_EP_Families_2015_2021.csv(1).csv</x:v>
      </x:c>
      <x:c r="B720" s="87" t="str">
        <x:v>Sanofi</x:v>
      </x:c>
      <x:c r="C720" s="87" t="str">
        <x:v>TRT-0010</x:v>
      </x:c>
      <x:c r="D720" s="87" t="str">
        <x:v>Yes</x:v>
      </x:c>
      <x:c r="E720" s="87" t="str">
        <x:v>sanofi</x:v>
      </x:c>
      <x:c r="F720" s="87" t="str">
        <x:v>126</x:v>
      </x:c>
      <x:c r="G720" s="87" t="str">
        <x:v>081-402-953-065-592</x:v>
      </x:c>
      <x:c r="H720" s="110" t="n">
        <x:v>42137</x:v>
      </x:c>
      <x:c r="I720" s="88" t="n">
        <x:v>2015</x:v>
      </x:c>
      <x:c r="J720" s="87" t="str">
        <x:v>EP</x:v>
      </x:c>
      <x:c r="K720" s="87" t="str">
        <x:v>B8</x:v>
      </x:c>
      <x:c r="L720" s="87" t="str">
        <x:v>EP 3294875 B8</x:v>
      </x:c>
      <x:c r="M720" s="87" t="str">
        <x:v>SANOFI PASTEUR INC</x:v>
      </x:c>
      <x:c r="N720" s="87" t="str">
        <x:v>SANOFI PASTEUR INC. (2021-10-13);;SANOFI PASTEUR INC., SWIFTWATER, US (2021-09-20)</x:v>
      </x:c>
      <x:c r="O720" s="87" t="str">
        <x:v>ICP0-MEDIATED ENHANCED EXPRESSION SYSTEM</x:v>
      </x:c>
      <x:c r="P720" s="109" t="n">
        <x:v>0</x:v>
      </x:c>
      <x:c r="Q720" s="109" t="n">
        <x:v>10</x:v>
      </x:c>
      <x:c r="R720" s="87" t="str">
        <x:v>C12N7/00;;C12N2710/16634;;C12N2710/16651;;C12N7/00;;C12N2710/16622;;C12N2710/16634;;C12N2710/16651</x:v>
      </x:c>
      <x:c r="S720" s="87" t="str">
        <x:v>C12N7/00</x:v>
      </x:c>
      <x:c r="T720" s="87" t="str">
        <x:v>ACTIVE</x:v>
      </x:c>
      <x:c r="U720" s="87" t="str">
        <x:v>https://lens.org/081-402-953-065-592</x:v>
      </x:c>
    </x:row>
    <x:row r="721">
      <x:c r="A721" s="87" t="str">
        <x:v>Sanofi_Applicant_EP_Families_2015_2021.csv(1).csv</x:v>
      </x:c>
      <x:c r="B721" s="87" t="str">
        <x:v>Sanofi</x:v>
      </x:c>
      <x:c r="C721" s="87" t="str">
        <x:v>TRT-0010</x:v>
      </x:c>
      <x:c r="D721" s="87" t="str">
        <x:v>Yes</x:v>
      </x:c>
      <x:c r="E721" s="87" t="str">
        <x:v>sanofi</x:v>
      </x:c>
      <x:c r="F721" s="87" t="str">
        <x:v>127</x:v>
      </x:c>
      <x:c r="G721" s="87" t="str">
        <x:v>127-668-486-130-038</x:v>
      </x:c>
      <x:c r="H721" s="110" t="n">
        <x:v>43438</x:v>
      </x:c>
      <x:c r="I721" s="88" t="n">
        <x:v>2018</x:v>
      </x:c>
      <x:c r="J721" s="87" t="str">
        <x:v>EP</x:v>
      </x:c>
      <x:c r="K721" s="87" t="str">
        <x:v>A1</x:v>
      </x:c>
      <x:c r="L721" s="87" t="str">
        <x:v>EP 3890806 A1</x:v>
      </x:c>
      <x:c r="M721" s="87" t="str">
        <x:v>SANOFI SA</x:v>
      </x:c>
      <x:c r="N721" s="87" t="str">
        <x:v>SANOFI (2022-12-28)</x:v>
      </x:c>
      <x:c r="O721" s="87" t="str">
        <x:v>ASSEMBLY FOR A DRUG DELIVERY DEVICE, DRUG DELIVERY DEVICE, AND METHOD FOR PRODUCING A DRUG DELIVERY DEVICE</x:v>
      </x:c>
      <x:c r="P721" s="109" t="n">
        <x:v>0</x:v>
      </x:c>
      <x:c r="Q721" s="109" t="n">
        <x:v>8</x:v>
      </x:c>
      <x:c r="R721" s="87" t="str">
        <x:v>A61M5/3146;;A61M5/31541;;A61M5/31568;;A61M5/31585;;A61M2005/3154;;A61M5/31568;;A61M5/2422;;A61M5/31551;;A61M5/31581;;A61M5/31593;;A61M2207/00</x:v>
      </x:c>
      <x:c r="S721" s="87" t="str">
        <x:v>A61M5/31;;A61M5/315</x:v>
      </x:c>
      <x:c r="T721" s="87" t="str">
        <x:v>PENDING</x:v>
      </x:c>
      <x:c r="U721" s="87" t="str">
        <x:v>https://lens.org/127-668-486-130-038</x:v>
      </x:c>
    </x:row>
    <x:row r="722">
      <x:c r="A722" s="87" t="str">
        <x:v>Sanofi_Applicant_EP_Families_2015_2021.csv(1).csv</x:v>
      </x:c>
      <x:c r="B722" s="87" t="str">
        <x:v>Sanofi</x:v>
      </x:c>
      <x:c r="C722" s="87" t="str">
        <x:v>TRT-0010</x:v>
      </x:c>
      <x:c r="D722" s="87" t="str">
        <x:v>Yes</x:v>
      </x:c>
      <x:c r="E722" s="87" t="str">
        <x:v>sanofi</x:v>
      </x:c>
      <x:c r="F722" s="87" t="str">
        <x:v>128</x:v>
      </x:c>
      <x:c r="G722" s="87" t="str">
        <x:v>189-599-345-045-377</x:v>
      </x:c>
      <x:c r="H722" s="110" t="n">
        <x:v>43427</x:v>
      </x:c>
      <x:c r="I722" s="88" t="n">
        <x:v>2018</x:v>
      </x:c>
      <x:c r="J722" s="87" t="str">
        <x:v>EP</x:v>
      </x:c>
      <x:c r="K722" s="87" t="str">
        <x:v>A2</x:v>
      </x:c>
      <x:c r="L722" s="87" t="str">
        <x:v>EP 3884051 A2</x:v>
      </x:c>
      <x:c r="M722" s="87" t="str">
        <x:v>SANOFI SA</x:v>
      </x:c>
      <x:c r="N722" s="87" t="str">
        <x:v>SANOFI (2023-01-11)</x:v>
      </x:c>
      <x:c r="O722" s="87" t="str">
        <x:v>NOVEL RNA COMPOSITIONS AND METHODS FOR INHIBITING ANGPTL8</x:v>
      </x:c>
      <x:c r="P722" s="109" t="n">
        <x:v>0</x:v>
      </x:c>
      <x:c r="Q722" s="109" t="n">
        <x:v>8</x:v>
      </x:c>
      <x:c r="R722" s="87" t="str">
        <x:v>C12N15/113;;A61K31/713;;A61K47/549;;A61P3/06;;A61P3/10;;C12N15/113;;C12N2310/14;;C12N2310/321;;C12N2310/322;;C12N2310/351;;C12N2310/3515;;C12N2320/30</x:v>
      </x:c>
      <x:c r="S722" s="87" t="str">
        <x:v>C12N15/113;;A61K31/7088</x:v>
      </x:c>
      <x:c r="T722" s="87" t="str">
        <x:v>PENDING</x:v>
      </x:c>
      <x:c r="U722" s="87" t="str">
        <x:v>https://lens.org/189-599-345-045-377</x:v>
      </x:c>
    </x:row>
    <x:row r="723">
      <x:c r="A723" s="87" t="str">
        <x:v>Sanofi_Applicant_EP_Families_2015_2021.csv(1).csv</x:v>
      </x:c>
      <x:c r="B723" s="87" t="str">
        <x:v>Sanofi</x:v>
      </x:c>
      <x:c r="C723" s="87" t="str">
        <x:v>TRT-0010</x:v>
      </x:c>
      <x:c r="D723" s="87" t="str">
        <x:v>Yes</x:v>
      </x:c>
      <x:c r="E723" s="87" t="str">
        <x:v>sanofi</x:v>
      </x:c>
      <x:c r="F723" s="87" t="str">
        <x:v>129</x:v>
      </x:c>
      <x:c r="G723" s="87" t="str">
        <x:v>090-124-930-060-376</x:v>
      </x:c>
      <x:c r="H723" s="110" t="n">
        <x:v>42461</x:v>
      </x:c>
      <x:c r="I723" s="88" t="n">
        <x:v>2016</x:v>
      </x:c>
      <x:c r="J723" s="87" t="str">
        <x:v>EP</x:v>
      </x:c>
      <x:c r="K723" s="87" t="str">
        <x:v>B1</x:v>
      </x:c>
      <x:c r="L723" s="87" t="str">
        <x:v>EP 3436459 B1</x:v>
      </x:c>
      <x:c r="M723" s="87" t="str">
        <x:v>UCB BIOPHARMA SRL;;SANOFI SA</x:v>
      </x:c>
      <x:c r="N723" s="87" t="str">
        <x:v>SANOFI (2020-01-08);;UCB BIOPHARMA SRL (2020-01-08)</x:v>
      </x:c>
      <x:c r="O723" s="87" t="str">
        <x:v>FUSED PENTACYCLIC IMIDAZOLE DERIVATIVES AS MODULATORS OF TNF ACTIVITY</x:v>
      </x:c>
      <x:c r="P723" s="109" t="n">
        <x:v>0</x:v>
      </x:c>
      <x:c r="Q723" s="109" t="n">
        <x:v>12</x:v>
      </x:c>
      <x:c r="R723" s="87" t="str">
        <x:v>C07D487/04;;C07D487/18;;C07D519/00;;A61P3/00;;A61P3/10;;A61P9/00;;A61P25/00;;A61P25/04;;A61P25/28;;A61P27/00;;A61P29/00;;A61P35/00;;A61P37/02;;A61P37/04;;A61P43/00;;C07D487/04;;C07D487/18;;C07D487/22;;C07D519/00;;A61P3/10;;A61P9/00;;A61P25/28;;A61P35/00;;A61P37/04;;C07D487/04;;C07D487/18;;C07D487/22</x:v>
      </x:c>
      <x:c r="S723" s="87" t="str">
        <x:v>C07D487/04;;A61K31/4188;;A61P3/00;;A61P9/00;;A61P25/00;;A61P25/04;;A61P25/28;;A61P27/00;;A61P29/00;;A61P35/00;;A61P37/02;;A61P43/00;;C07D487/18;;C07D487/22;;C07D519/00</x:v>
      </x:c>
      <x:c r="T723" s="87" t="str">
        <x:v>ACTIVE</x:v>
      </x:c>
      <x:c r="U723" s="87" t="str">
        <x:v>https://lens.org/090-124-930-060-376</x:v>
      </x:c>
    </x:row>
    <x:row r="724">
      <x:c r="A724" s="87" t="str">
        <x:v>Sanofi_Applicant_EP_Families_2015_2021.csv(1).csv</x:v>
      </x:c>
      <x:c r="B724" s="87" t="str">
        <x:v>Sanofi</x:v>
      </x:c>
      <x:c r="C724" s="87" t="str">
        <x:v>TRT-0010</x:v>
      </x:c>
      <x:c r="D724" s="87" t="str">
        <x:v>Yes</x:v>
      </x:c>
      <x:c r="E724" s="87" t="str">
        <x:v>sanofi</x:v>
      </x:c>
      <x:c r="F724" s="87" t="str">
        <x:v>130</x:v>
      </x:c>
      <x:c r="G724" s="87" t="str">
        <x:v>061-277-571-267-281</x:v>
      </x:c>
      <x:c r="H724" s="110" t="n">
        <x:v>42461</x:v>
      </x:c>
      <x:c r="I724" s="88" t="n">
        <x:v>2016</x:v>
      </x:c>
      <x:c r="J724" s="87" t="str">
        <x:v>EP</x:v>
      </x:c>
      <x:c r="K724" s="87" t="str">
        <x:v>B1</x:v>
      </x:c>
      <x:c r="L724" s="87" t="str">
        <x:v>EP 3436460 B1</x:v>
      </x:c>
      <x:c r="M724" s="87" t="str">
        <x:v>UCB BIOPHARMA SRL;;SANOFI SA</x:v>
      </x:c>
      <x:c r="N724" s="87" t="str">
        <x:v>SANOFI (2020-01-08);;UCB BIOPHARMA SRL (2020-01-08)</x:v>
      </x:c>
      <x:c r="O724" s="87" t="str">
        <x:v>FUSED PENTACYCLIC IMIDAZOLE DERIVATIVES AS MODULATORS OF TNF ACTIVITY</x:v>
      </x:c>
      <x:c r="P724" s="109" t="n">
        <x:v>0</x:v>
      </x:c>
      <x:c r="Q724" s="109" t="n">
        <x:v>12</x:v>
      </x:c>
      <x:c r="R724" s="87" t="str">
        <x:v>C07D487/04;;C07D487/18;;C07D487/18;;A61P3/00;;A61P9/00;;A61P25/00;;A61P25/04;;A61P27/02;;A61P29/00;;A61P35/00;;A61P37/02;;A61P43/00;;C07D487/04;;C07D487/18;;C07D487/04</x:v>
      </x:c>
      <x:c r="S724" s="87" t="str">
        <x:v>A61K31/4188;;A61P9/00;;A61P25/00;;A61P25/04;;A61P27/02;;A61P29/00;;A61P35/00;;A61P37/02;;A61P43/00;;C07D487/04;;C07D487/18</x:v>
      </x:c>
      <x:c r="T724" s="87" t="str">
        <x:v>ACTIVE</x:v>
      </x:c>
      <x:c r="U724" s="87" t="str">
        <x:v>https://lens.org/061-277-571-267-281</x:v>
      </x:c>
    </x:row>
    <x:row r="725">
      <x:c r="A725" s="87" t="str">
        <x:v>Sanofi_Applicant_EP_Families_2015_2021.csv(1).csv</x:v>
      </x:c>
      <x:c r="B725" s="87" t="str">
        <x:v>Sanofi</x:v>
      </x:c>
      <x:c r="C725" s="87" t="str">
        <x:v>TRT-0010</x:v>
      </x:c>
      <x:c r="D725" s="87" t="str">
        <x:v>Yes</x:v>
      </x:c>
      <x:c r="E725" s="87" t="str">
        <x:v>sanofi</x:v>
      </x:c>
      <x:c r="F725" s="87" t="str">
        <x:v>131</x:v>
      </x:c>
      <x:c r="G725" s="87" t="str">
        <x:v>043-038-472-600-930</x:v>
      </x:c>
      <x:c r="H725" s="110" t="n">
        <x:v>43371</x:v>
      </x:c>
      <x:c r="I725" s="88" t="n">
        <x:v>2018</x:v>
      </x:c>
      <x:c r="J725" s="87" t="str">
        <x:v>EP</x:v>
      </x:c>
      <x:c r="K725" s="87" t="str">
        <x:v>A1</x:v>
      </x:c>
      <x:c r="L725" s="87" t="str">
        <x:v>EP 3856237 A1</x:v>
      </x:c>
      <x:c r="M725" s="87" t="str">
        <x:v>SANOFI PASTEUR INC</x:v>
      </x:c>
      <x:c r="N725" s="87" t="str">
        <x:v>SANOFI VACCINES US INC. (2026-04-15)</x:v>
      </x:c>
      <x:c r="O725" s="87" t="str">
        <x:v>COMBINED IMMUNIZATION AGAINST MENINGOCOCCAL DISEASE AND HUMAN PAPILLOMAVIRUS</x:v>
      </x:c>
      <x:c r="P725" s="109" t="n">
        <x:v>0</x:v>
      </x:c>
      <x:c r="Q725" s="109" t="n">
        <x:v>6</x:v>
      </x:c>
      <x:c r="R725" s="87" t="str">
        <x:v>A61K39/12;;A61K39/05;;A61K39/08;;A61K39/095;;A61K39/099;;A61K2039/6037;;A61K2039/70;;A61P31/04;;C12N2710/20034;;A61K39/12;;A61K39/095;;A61K39/385;;A61K2039/6037;;A61K2039/70;;C12N7/00;;C12N2710/20034</x:v>
      </x:c>
      <x:c r="S725" s="87" t="str">
        <x:v>A61K39/05;;A61K39/02;;A61K39/08;;A61K39/095;;A61K39/12;;A61P31/04</x:v>
      </x:c>
      <x:c r="T725" s="87" t="str">
        <x:v>PENDING</x:v>
      </x:c>
      <x:c r="U725" s="87" t="str">
        <x:v>https://lens.org/043-038-472-600-930</x:v>
      </x:c>
    </x:row>
    <x:row r="726">
      <x:c r="A726" s="87" t="str">
        <x:v>Sanofi_Applicant_EP_Families_2015_2021.csv(1).csv</x:v>
      </x:c>
      <x:c r="B726" s="87" t="str">
        <x:v>Sanofi</x:v>
      </x:c>
      <x:c r="C726" s="87" t="str">
        <x:v>TRT-0010</x:v>
      </x:c>
      <x:c r="D726" s="87" t="str">
        <x:v>Yes</x:v>
      </x:c>
      <x:c r="E726" s="87" t="str">
        <x:v>sanofi</x:v>
      </x:c>
      <x:c r="F726" s="87" t="str">
        <x:v>132</x:v>
      </x:c>
      <x:c r="G726" s="87" t="str">
        <x:v>016-454-704-177-38X</x:v>
      </x:c>
      <x:c r="H726" s="110" t="n">
        <x:v>41915</x:v>
      </x:c>
      <x:c r="I726" s="88" t="n">
        <x:v>2014</x:v>
      </x:c>
      <x:c r="J726" s="87" t="str">
        <x:v>EP</x:v>
      </x:c>
      <x:c r="K726" s="87" t="str">
        <x:v>B1</x:v>
      </x:c>
      <x:c r="L726" s="87" t="str">
        <x:v>EP 3201196 B1</x:v>
      </x:c>
      <x:c r="M726" s="87" t="str">
        <x:v>UCB BIOPHARMA SRL;;SANOFI SA</x:v>
      </x:c>
      <x:c r="N726" s="87" t="str">
        <x:v>SANOFI, FR (2025-09-28);;SANOFI (2020-01-08);;UCB BIOPHARMA SRL, BE (2025-09-28);;SANOFI, PARIS, FR (2025-01-13);;UCB BIOPHARMA SRL (2020-01-08);;UCB BIOPHARMA SRL; BE (2025-04-11)</x:v>
      </x:c>
      <x:c r="O726" s="87" t="str">
        <x:v>FUSED PENTACYCLIC IMIDAZOLE DERIVATIVES</x:v>
      </x:c>
      <x:c r="P726" s="109" t="n">
        <x:v>0</x:v>
      </x:c>
      <x:c r="Q726" s="109" t="n">
        <x:v>55</x:v>
      </x:c>
      <x:c r="R726" s="87" t="str">
        <x:v>C07F9/6561;;C07D471/18;;C07D487/18;;C07D491/08;;A61K31/4184;;A61K31/506;;A61K31/55;;C07D471/18;;C07D487/08;;C07D487/18;;C07D491/18;;C07D493/18;;C07D495/08;;C07D495/18;;C07D513/18;;C07D519/00;;C07F7/1804;;C07D519/00;;A61K31/4184;;A61K31/506;;A61K31/55;;A61P3/00;;A61P9/00;;A61P25/00;;A61P25/04;;A61P25/28;;A61P27/02;;A61P29/00;;A61P35/00;;A61P37/00;;A61P37/02;;A61P37/06;;A61P43/00;;C07D471/18;;C07D487/08;;C07D487/18;;C07D491/08;;C07D491/18;;C07D493/18;;C07D495/08;;C07D495/18;;C07D513/18;;C07F7/1804;;C07D471/18;;C07D487/18;;C07D493/18;;C07D487/18;;A61K31/4184;;A61K31/506;;A61K31/55;;C07D491/18;;C07D493/18;;C07D519/00;;A61K31/4184;;A61K31/506;;A61K31/55;;C07D471/18;;C07D487/08;;C07D487/18;;C07D491/08;;C07D491/18;;C07D493/18;;C07D495/08;;C07D495/18;;C07D513/18;;C07F7/1804</x:v>
      </x:c>
      <x:c r="S726" s="87" t="str">
        <x:v>C07D491/08;;A61K31/55;;A61P3/00;;A61P9/00;;A61P25/00;;A61P27/00;;A61P35/00;;A61P37/00;;A61P43/00;;C07D471/18;;C07D487/08;;C07D491/18;;C07D493/18;;C07D495/08;;C07D495/18;;C07D513/18;;C07D519/00;;C07F7/18</x:v>
      </x:c>
      <x:c r="T726" s="87" t="str">
        <x:v>ACTIVE</x:v>
      </x:c>
      <x:c r="U726" s="87" t="str">
        <x:v>https://lens.org/016-454-704-177-38X</x:v>
      </x:c>
    </x:row>
    <x:row r="727">
      <x:c r="A727" s="87" t="str">
        <x:v>Sanofi_Applicant_EP_Families_2015_2021.csv(1).csv</x:v>
      </x:c>
      <x:c r="B727" s="87" t="str">
        <x:v>Sanofi</x:v>
      </x:c>
      <x:c r="C727" s="87" t="str">
        <x:v>TRT-0010</x:v>
      </x:c>
      <x:c r="D727" s="87" t="str">
        <x:v>Yes</x:v>
      </x:c>
      <x:c r="E727" s="87" t="str">
        <x:v>sanofi</x:v>
      </x:c>
      <x:c r="F727" s="87" t="str">
        <x:v>133</x:v>
      </x:c>
      <x:c r="G727" s="87" t="str">
        <x:v>051-972-572-150-503</x:v>
      </x:c>
      <x:c r="H727" s="110" t="n">
        <x:v>41348</x:v>
      </x:c>
      <x:c r="I727" s="88" t="n">
        <x:v>2013</x:v>
      </x:c>
      <x:c r="J727" s="87" t="str">
        <x:v>EP</x:v>
      </x:c>
      <x:c r="K727" s="87" t="str">
        <x:v>B1</x:v>
      </x:c>
      <x:c r="L727" s="87" t="str">
        <x:v>EP 2968337 B1</x:v>
      </x:c>
      <x:c r="M727" s="87" t="str">
        <x:v>CELGENE CAR LLC;;SANOFI SA</x:v>
      </x:c>
      <x:c r="N727" s="87" t="str">
        <x:v>CELGENE CAR LLC (2017-08-23);;SANOFI (2017-08-23)</x:v>
      </x:c>
      <x:c r="O727" s="87" t="str">
        <x:v>HETEROARYL COMPOUNDS AND USES THEREOF</x:v>
      </x:c>
      <x:c r="P727" s="109" t="n">
        <x:v>0</x:v>
      </x:c>
      <x:c r="Q727" s="109" t="n">
        <x:v>25</x:v>
      </x:c>
      <x:c r="R727" s="87" t="str">
        <x:v>C07D487/04;;A61P1/00;;A61P1/16;;A61P15/00;;A61P21/00;;A61P35/00;;A61P43/00;;C07D239/80;;C07D471/04;;C07D519/00;;C07D487/04;;C07D239/80;;C07D471/04;;C07D519/00</x:v>
      </x:c>
      <x:c r="S727" s="87" t="str">
        <x:v>A61K31/519;;A61P35/00;;C07D471/04;;C07D487/04;;C07D519/00</x:v>
      </x:c>
      <x:c r="T727" s="87" t="str">
        <x:v>ACTIVE</x:v>
      </x:c>
      <x:c r="U727" s="87" t="str">
        <x:v>https://lens.org/051-972-572-150-503</x:v>
      </x:c>
    </x:row>
    <x:row r="728">
      <x:c r="A728" s="87" t="str">
        <x:v>Sanofi_Applicant_EP_Families_2015_2021.csv(1).csv</x:v>
      </x:c>
      <x:c r="B728" s="87" t="str">
        <x:v>Sanofi</x:v>
      </x:c>
      <x:c r="C728" s="87" t="str">
        <x:v>TRT-0010</x:v>
      </x:c>
      <x:c r="D728" s="87" t="str">
        <x:v>Yes</x:v>
      </x:c>
      <x:c r="E728" s="87" t="str">
        <x:v>sanofi</x:v>
      </x:c>
      <x:c r="F728" s="87" t="str">
        <x:v>134</x:v>
      </x:c>
      <x:c r="G728" s="87" t="str">
        <x:v>115-561-881-214-447</x:v>
      </x:c>
      <x:c r="H728" s="110" t="n">
        <x:v>42302</x:v>
      </x:c>
      <x:c r="I728" s="88" t="n">
        <x:v>2015</x:v>
      </x:c>
      <x:c r="J728" s="87" t="str">
        <x:v>EP</x:v>
      </x:c>
      <x:c r="K728" s="87" t="str">
        <x:v>B1</x:v>
      </x:c>
      <x:c r="L728" s="87" t="str">
        <x:v>EP 3365366 B1</x:v>
      </x:c>
      <x:c r="M728" s="87" t="str">
        <x:v>SANOFI SA;;THE USA AS REPRESENTED BY THE SEC DEP OF HEALTH AND HUMAN SERVICES</x:v>
      </x:c>
      <x:c r="N728" s="87" t="str">
        <x:v>SANOFI, FR (2025-09-28);;THE USA, AS REPRESENTED BY THE SECRETARY,  DEPARTMENT OF HEALTH AND HUMAN SERVICES, US (2025-09-28);;THE USA, AS REPRESENTED BY THE SECRETARY,  DEPARTMENT OF HEALTH AND HUMAN SERVICES; US (2025-04-11);;SANOFI, PARIS, FR (2025-01-14)</x:v>
      </x:c>
      <x:c r="O728" s="87" t="str">
        <x:v>TRISPECIFIC AND/OR TRIVALENT BINDING PROTEINS FOR PREVENTION OR TREATMENT OF HIV INFECTION</x:v>
      </x:c>
      <x:c r="P728" s="109" t="n">
        <x:v>3</x:v>
      </x:c>
      <x:c r="Q728" s="109" t="n">
        <x:v>60</x:v>
      </x:c>
      <x:c r="R728" s="87" t="str">
        <x:v>C07K16/468;;A61K47/6881;;A61K39/42;;A61P31/18;;C07K2317/76;;C07K2317/31;;C07K2317/94;;C07K2317/92;;C07K2317/565;;C07K16/1145;;C07K16/468;;C07K2317/31;;C07K2317/76;;C07K2317/92;;C07K2317/94;;A61K39/42;;A61K47/6881;;A61P31/18;;C07K16/1145;;C07K2317/94;;C07K2317/31;;C07K2317/76;;C07K2317/92;;C07K16/468;;C07K16/46;;C07K16/1145;;C07K16/468;;C07K2317/31;;C07K2317/76;;C07K2317/94;;C07K2317/92;;C07K16/1145;;C07K16/468;;C07K2317/92;;C07K2317/94;;C07K2317/31;;C07K2317/76;;A61K39/42;;C07K16/1145;;A61K47/6881;;A61P31/18;;C07K2317/565</x:v>
      </x:c>
      <x:c r="S728" s="87" t="str">
        <x:v>C07K16/46;;A61K39/42;;A61K47/68;;A61P31/18;;C07K16/10</x:v>
      </x:c>
      <x:c r="T728" s="87" t="str">
        <x:v>ACTIVE</x:v>
      </x:c>
      <x:c r="U728" s="87" t="str">
        <x:v>https://lens.org/115-561-881-214-447</x:v>
      </x:c>
    </x:row>
    <x:row r="729">
      <x:c r="A729" s="87" t="str">
        <x:v>Sanofi_Applicant_EP_Families_2015_2021.csv(1).csv</x:v>
      </x:c>
      <x:c r="B729" s="87" t="str">
        <x:v>Sanofi</x:v>
      </x:c>
      <x:c r="C729" s="87" t="str">
        <x:v>TRT-0010</x:v>
      </x:c>
      <x:c r="D729" s="87" t="str">
        <x:v>Yes</x:v>
      </x:c>
      <x:c r="E729" s="87" t="str">
        <x:v>sanofi</x:v>
      </x:c>
      <x:c r="F729" s="87" t="str">
        <x:v>135</x:v>
      </x:c>
      <x:c r="G729" s="87" t="str">
        <x:v>061-491-171-952-99X</x:v>
      </x:c>
      <x:c r="H729" s="110" t="n">
        <x:v>41572</x:v>
      </x:c>
      <x:c r="I729" s="88" t="n">
        <x:v>2013</x:v>
      </x:c>
      <x:c r="J729" s="87" t="str">
        <x:v>EP</x:v>
      </x:c>
      <x:c r="K729" s="87" t="str">
        <x:v>B1</x:v>
      </x:c>
      <x:c r="L729" s="87" t="str">
        <x:v>EP 3060664 B1</x:v>
      </x:c>
      <x:c r="M729" s="87" t="str">
        <x:v>SANOFI SA</x:v>
      </x:c>
      <x:c r="N729" s="87" t="str">
        <x:v>SANOFI (2019-10-23)</x:v>
      </x:c>
      <x:c r="O729" s="87" t="str">
        <x:v>MICRORNA COMPOUNDS AND METHODS FOR MODULATING MIR-21 ACTIVITY</x:v>
      </x:c>
      <x:c r="P729" s="109" t="n">
        <x:v>0</x:v>
      </x:c>
      <x:c r="Q729" s="109" t="n">
        <x:v>6</x:v>
      </x:c>
      <x:c r="R729" s="87" t="str">
        <x:v>C12N15/113;;C12N2310/113;;C12N2310/315;;C12N2310/3231;;C12N2310/343;;C12N2310/351;;C12N15/113;;C12N2310/113;;C12N2310/315;;C12N2310/321;;C12N2310/3231;;C12N2310/343;;C12N2310/351;;C12N2310/3521;;C12N2310/3525</x:v>
      </x:c>
      <x:c r="S729" s="87" t="str">
        <x:v>C12N15/113</x:v>
      </x:c>
      <x:c r="T729" s="87" t="str">
        <x:v>ACTIVE</x:v>
      </x:c>
      <x:c r="U729" s="87" t="str">
        <x:v>https://lens.org/061-491-171-952-99X</x:v>
      </x:c>
    </x:row>
    <x:row r="730">
      <x:c r="A730" s="87" t="str">
        <x:v>Sanofi_Applicant_EP_Families_2015_2021.csv(1).csv</x:v>
      </x:c>
      <x:c r="B730" s="87" t="str">
        <x:v>Sanofi</x:v>
      </x:c>
      <x:c r="C730" s="87" t="str">
        <x:v>TRT-0010</x:v>
      </x:c>
      <x:c r="D730" s="87" t="str">
        <x:v>Yes</x:v>
      </x:c>
      <x:c r="E730" s="87" t="str">
        <x:v>sanofi</x:v>
      </x:c>
      <x:c r="F730" s="87" t="str">
        <x:v>136</x:v>
      </x:c>
      <x:c r="G730" s="87" t="str">
        <x:v>044-045-840-787-623</x:v>
      </x:c>
      <x:c r="H730" s="110" t="n">
        <x:v>43341</x:v>
      </x:c>
      <x:c r="I730" s="88" t="n">
        <x:v>2018</x:v>
      </x:c>
      <x:c r="J730" s="87" t="str">
        <x:v>EP</x:v>
      </x:c>
      <x:c r="K730" s="87" t="str">
        <x:v>A1</x:v>
      </x:c>
      <x:c r="L730" s="87" t="str">
        <x:v>EP 3843817 A1</x:v>
      </x:c>
      <x:c r="M730" s="87" t="str">
        <x:v>SANOFI AVENTIS DEUTSCHLAND</x:v>
      </x:c>
      <x:c r="N730" s="87" t="str">
        <x:v>SANOFI-AVENTIS DEUTSCHLAND GMBH (2025-11-12)</x:v>
      </x:c>
      <x:c r="O730" s="87" t="str">
        <x:v>INJECTION DEVICE</x:v>
      </x:c>
      <x:c r="P730" s="109" t="n">
        <x:v>0</x:v>
      </x:c>
      <x:c r="Q730" s="109" t="n">
        <x:v>10</x:v>
      </x:c>
      <x:c r="R730" s="87" t="str">
        <x:v>A61M5/20;;A61M5/31501;;A61M5/31543;;A61M5/3155;;A61M5/31583;;A61M2005/2407;;A61M2005/2485;;A61M2005/3154;;A61M5/24;;A61M5/31501;;A61M5/31543;;A61M5/31551;;A61M2005/2477;;A61M2005/2485;;A61M2005/3154</x:v>
      </x:c>
      <x:c r="S730" s="87" t="str">
        <x:v>A61M5/315;;A61M5/20;;A61M5/24</x:v>
      </x:c>
      <x:c r="T730" s="87" t="str">
        <x:v>ACTIVE</x:v>
      </x:c>
      <x:c r="U730" s="87" t="str">
        <x:v>https://lens.org/044-045-840-787-623</x:v>
      </x:c>
    </x:row>
    <x:row r="731">
      <x:c r="A731" s="87" t="str">
        <x:v>Sanofi_Applicant_EP_Families_2015_2021.csv(1).csv</x:v>
      </x:c>
      <x:c r="B731" s="87" t="str">
        <x:v>Sanofi</x:v>
      </x:c>
      <x:c r="C731" s="87" t="str">
        <x:v>TRT-0010</x:v>
      </x:c>
      <x:c r="D731" s="87" t="str">
        <x:v>Yes</x:v>
      </x:c>
      <x:c r="E731" s="87" t="str">
        <x:v>sanofi</x:v>
      </x:c>
      <x:c r="F731" s="87" t="str">
        <x:v>137</x:v>
      </x:c>
      <x:c r="G731" s="87" t="str">
        <x:v>000-851-156-790-041</x:v>
      </x:c>
      <x:c r="H731" s="110" t="n">
        <x:v>41921</x:v>
      </x:c>
      <x:c r="I731" s="88" t="n">
        <x:v>2014</x:v>
      </x:c>
      <x:c r="J731" s="87" t="str">
        <x:v>EP</x:v>
      </x:c>
      <x:c r="K731" s="87" t="str">
        <x:v>B1</x:v>
      </x:c>
      <x:c r="L731" s="87" t="str">
        <x:v>EP 3204090 B1</x:v>
      </x:c>
      <x:c r="M731" s="87" t="str">
        <x:v>SANOFI SA</x:v>
      </x:c>
      <x:c r="N731" s="87" t="str">
        <x:v>SANOFI (2021-03-17)</x:v>
      </x:c>
      <x:c r="O731" s="87" t="str">
        <x:v>RESETTABLE DRUG DELIVERY DEVICE</x:v>
      </x:c>
      <x:c r="P731" s="109" t="n">
        <x:v>0</x:v>
      </x:c>
      <x:c r="Q731" s="109" t="n">
        <x:v>10</x:v>
      </x:c>
      <x:c r="R731" s="87" t="str">
        <x:v>A61M5/31543;;A61M5/20;;A61M5/24;;A61M5/31541;;A61M5/31553;;A61M5/31583;;A61M5/31593;;A61M5/3202;;A61M2005/3126;;A61M2205/581;;A61M2205/582;;A61M5/31543;;A61M5/20;;A61M5/24;;A61M5/31541;;A61M5/31553;;A61M5/31583;;A61M5/31593;;A61M5/3202;;A61M2005/3126;;A61M2205/581;;A61M2205/582;;A61M5/31543;;A61M5/20;;A61M5/24;;A61M5/31515;;A61M5/31541;;A61M5/31553;;A61M5/31583;;A61M5/31593;;A61M5/3202;;A61M2005/3126;;A61M2205/581;;A61M2205/582</x:v>
      </x:c>
      <x:c r="S731" s="87" t="str">
        <x:v>A61M5/315;;A61M5/20;;A61M5/24;;A61M5/31;;A61M5/32</x:v>
      </x:c>
      <x:c r="T731" s="87" t="str">
        <x:v>ACTIVE</x:v>
      </x:c>
      <x:c r="U731" s="87" t="str">
        <x:v>https://lens.org/000-851-156-790-041</x:v>
      </x:c>
    </x:row>
    <x:row r="732">
      <x:c r="A732" s="87" t="str">
        <x:v>Sanofi_Applicant_EP_Families_2015_2021.csv(1).csv</x:v>
      </x:c>
      <x:c r="B732" s="87" t="str">
        <x:v>Sanofi</x:v>
      </x:c>
      <x:c r="C732" s="87" t="str">
        <x:v>TRT-0010</x:v>
      </x:c>
      <x:c r="D732" s="87" t="str">
        <x:v>Yes</x:v>
      </x:c>
      <x:c r="E732" s="87" t="str">
        <x:v>sanofi</x:v>
      </x:c>
      <x:c r="F732" s="87" t="str">
        <x:v>138</x:v>
      </x:c>
      <x:c r="G732" s="87" t="str">
        <x:v>125-053-411-354-906</x:v>
      </x:c>
      <x:c r="H732" s="110" t="n">
        <x:v>40743</x:v>
      </x:c>
      <x:c r="I732" s="88" t="n">
        <x:v>2011</x:v>
      </x:c>
      <x:c r="J732" s="87" t="str">
        <x:v>EP</x:v>
      </x:c>
      <x:c r="K732" s="87" t="str">
        <x:v>B1</x:v>
      </x:c>
      <x:c r="L732" s="87" t="str">
        <x:v>EP 3400982 B1</x:v>
      </x:c>
      <x:c r="M732" s="87" t="str">
        <x:v>SANOFI AVENTIS DEUTSCHLAND</x:v>
      </x:c>
      <x:c r="N732" s="87" t="str">
        <x:v>SANOFI-AVENTIS DEUTSCHLAND GMBH (2021-05-26)</x:v>
      </x:c>
      <x:c r="O732" s="87" t="str">
        <x:v>CARTRIDGE HOLDER FOR A DRUG DELIVERY DEVICE</x:v>
      </x:c>
      <x:c r="P732" s="109" t="n">
        <x:v>0</x:v>
      </x:c>
      <x:c r="Q732" s="109" t="n">
        <x:v>13</x:v>
      </x:c>
      <x:c r="R732" s="87" t="str">
        <x:v>A61M5/24;;A61M2005/2403;;A61M2005/2407;;A61M2005/2418;;A61M2005/2437;;A61M2005/2477;;A61M2005/2481;;A61M2005/2485;;A61M5/28;;A61M5/24;;A61M2005/2403;;A61M2005/2407;;A61M2005/2418;;A61M2005/2437;;A61M2005/2477;;A61M2005/2481;;A61M2005/2485</x:v>
      </x:c>
      <x:c r="S732" s="87" t="str">
        <x:v>A61M5/24</x:v>
      </x:c>
      <x:c r="T732" s="87" t="str">
        <x:v>ACTIVE</x:v>
      </x:c>
      <x:c r="U732" s="87" t="str">
        <x:v>https://lens.org/125-053-411-354-906</x:v>
      </x:c>
    </x:row>
    <x:row r="733">
      <x:c r="A733" s="87" t="str">
        <x:v>Sanofi_Applicant_EP_Families_2015_2021.csv(1).csv</x:v>
      </x:c>
      <x:c r="B733" s="87" t="str">
        <x:v>Sanofi</x:v>
      </x:c>
      <x:c r="C733" s="87" t="str">
        <x:v>TRT-0010</x:v>
      </x:c>
      <x:c r="D733" s="87" t="str">
        <x:v>Yes</x:v>
      </x:c>
      <x:c r="E733" s="87" t="str">
        <x:v>sanofi</x:v>
      </x:c>
      <x:c r="F733" s="87" t="str">
        <x:v>139</x:v>
      </x:c>
      <x:c r="G733" s="87" t="str">
        <x:v>007-457-687-942-162</x:v>
      </x:c>
      <x:c r="H733" s="110" t="n">
        <x:v>39848</x:v>
      </x:c>
      <x:c r="I733" s="88" t="n">
        <x:v>2009</x:v>
      </x:c>
      <x:c r="J733" s="87" t="str">
        <x:v>EP</x:v>
      </x:c>
      <x:c r="K733" s="87" t="str">
        <x:v>B1</x:v>
      </x:c>
      <x:c r="L733" s="87" t="str">
        <x:v>EP 3254616 B1</x:v>
      </x:c>
      <x:c r="M733" s="87" t="str">
        <x:v>SANOFI AVENTIS DEUTSCHLAND</x:v>
      </x:c>
      <x:c r="N733" s="87" t="str">
        <x:v>SANOFI-AVENTIS DEUTSCHLAND GMBH (2021-01-27)</x:v>
      </x:c>
      <x:c r="O733" s="87" t="str">
        <x:v>MEDICAL DEVICE AND METHOD FOR PROVIDING INFORMATION FOR GLYCEMIC CONTROL</x:v>
      </x:c>
      <x:c r="P733" s="109" t="n">
        <x:v>2</x:v>
      </x:c>
      <x:c r="Q733" s="109" t="n">
        <x:v>28</x:v>
      </x:c>
      <x:c r="R733" s="87" t="str">
        <x:v>A61B5/00;;A61M5/142;;A61B5/14532;;A61B5/1455;;A61B5/1468;;A61B5/7282;;A61M5/1723;;G06F19/3468;;G06F19/3468;;G06F19/3468;;A61M5/1723;;A61B5/14532;;A61M5/142;;A61P3/10;;G01N33/49;;G16H20/17;;G16H70/60;;A61M5/1723;;A61B5/14532;;A61M5/142;;A61M15/0065;;A61M2205/6009;;G01N33/49;;G06F21/34;;G16H20/17;;G16H70/60</x:v>
      </x:c>
      <x:c r="S733" s="87" t="str">
        <x:v>A61B5/00;;A61M5/142;;G16H20/17;;G16H70/60</x:v>
      </x:c>
      <x:c r="T733" s="87" t="str">
        <x:v>INACTIVE</x:v>
      </x:c>
      <x:c r="U733" s="87" t="str">
        <x:v>https://lens.org/007-457-687-942-162</x:v>
      </x:c>
    </x:row>
    <x:row r="734">
      <x:c r="A734" s="87" t="str">
        <x:v>Sanofi_Applicant_EP_Families_2015_2021.csv(1).csv</x:v>
      </x:c>
      <x:c r="B734" s="87" t="str">
        <x:v>Sanofi</x:v>
      </x:c>
      <x:c r="C734" s="87" t="str">
        <x:v>TRT-0010</x:v>
      </x:c>
      <x:c r="D734" s="87" t="str">
        <x:v>Yes</x:v>
      </x:c>
      <x:c r="E734" s="87" t="str">
        <x:v>sanofi</x:v>
      </x:c>
      <x:c r="F734" s="87" t="str">
        <x:v>140</x:v>
      </x:c>
      <x:c r="G734" s="87" t="str">
        <x:v>074-678-664-498-168</x:v>
      </x:c>
      <x:c r="H734" s="110" t="n">
        <x:v>42461</x:v>
      </x:c>
      <x:c r="I734" s="88" t="n">
        <x:v>2016</x:v>
      </x:c>
      <x:c r="J734" s="87" t="str">
        <x:v>EP</x:v>
      </x:c>
      <x:c r="K734" s="87" t="str">
        <x:v>B1</x:v>
      </x:c>
      <x:c r="L734" s="87" t="str">
        <x:v>EP 3436458 B1</x:v>
      </x:c>
      <x:c r="M734" s="87" t="str">
        <x:v>UCB BIOPHARMA SRL;;SANOFI SA</x:v>
      </x:c>
      <x:c r="N734" s="87" t="str">
        <x:v>SANOFI (2020-01-08);;UCB BIOPHARMA SRL (2020-01-08)</x:v>
      </x:c>
      <x:c r="O734" s="87" t="str">
        <x:v>FUSED PENTACYCLIC IMIDAZOLE DERIVATIVES AS MODULATORS OF TNF ACTIVITY</x:v>
      </x:c>
      <x:c r="P734" s="109" t="n">
        <x:v>0</x:v>
      </x:c>
      <x:c r="Q734" s="109" t="n">
        <x:v>12</x:v>
      </x:c>
      <x:c r="R734" s="87" t="str">
        <x:v>C07D487/22;;A61P3/00;;A61P9/00;;A61P25/28;;A61P37/04;;C07D487/04;;C07D487/18;;C07D487/18;;A61P3/00;;A61P9/00;;A61P19/00;;A61P25/00;;A61P25/28;;A61P27/02;;A61P29/00;;A61P35/00;;A61P37/04;;A61P37/06;;C07D487/04;;C07D487/22;;C07D487/18;;A61P3/00;;A61P9/00;;A61P25/28;;A61P37/04;;C07D487/04;;C07D487/22</x:v>
      </x:c>
      <x:c r="S734" s="87" t="str">
        <x:v>C07D487/18;;A61K31/437;;A61P3/00;;A61P9/00;;A61P19/00;;A61P25/00;;A61P27/02;;A61P29/00;;A61P35/00;;A61P37/04;;A61P37/06</x:v>
      </x:c>
      <x:c r="T734" s="87" t="str">
        <x:v>ACTIVE</x:v>
      </x:c>
      <x:c r="U734" s="87" t="str">
        <x:v>https://lens.org/074-678-664-498-168</x:v>
      </x:c>
    </x:row>
    <x:row r="735">
      <x:c r="A735" s="87" t="str">
        <x:v>Sanofi_Applicant_EP_Families_2015_2021.csv(1).csv</x:v>
      </x:c>
      <x:c r="B735" s="87" t="str">
        <x:v>Sanofi</x:v>
      </x:c>
      <x:c r="C735" s="87" t="str">
        <x:v>TRT-0010</x:v>
      </x:c>
      <x:c r="D735" s="87" t="str">
        <x:v>Yes</x:v>
      </x:c>
      <x:c r="E735" s="87" t="str">
        <x:v>sanofi</x:v>
      </x:c>
      <x:c r="F735" s="87" t="str">
        <x:v>141</x:v>
      </x:c>
      <x:c r="G735" s="87" t="str">
        <x:v>001-856-632-113-068</x:v>
      </x:c>
      <x:c r="H735" s="110" t="n">
        <x:v>43304</x:v>
      </x:c>
      <x:c r="I735" s="88" t="n">
        <x:v>2018</x:v>
      </x:c>
      <x:c r="J735" s="87" t="str">
        <x:v>EP</x:v>
      </x:c>
      <x:c r="K735" s="87" t="str">
        <x:v>A1</x:v>
      </x:c>
      <x:c r="L735" s="87" t="str">
        <x:v>EP 3826703 A1</x:v>
      </x:c>
      <x:c r="M735" s="87" t="str">
        <x:v>SANOFI SA</x:v>
      </x:c>
      <x:c r="N735" s="87" t="str">
        <x:v>SANOFI (2023-11-01)</x:v>
      </x:c>
      <x:c r="O735" s="87" t="str">
        <x:v>DRUG DELIVERY DEVICE AND ASSEMBLY METHOD FOR A DRUG DELIVERY DEVICE</x:v>
      </x:c>
      <x:c r="P735" s="109" t="n">
        <x:v>0</x:v>
      </x:c>
      <x:c r="Q735" s="109" t="n">
        <x:v>18</x:v>
      </x:c>
      <x:c r="R735" s="87" t="str">
        <x:v>A61M5/31515;;A61M5/31511;;A61M5/31583;;A61M2207/00;;A61M5/31515;;A61M5/31511;;A61M5/31528;;A61M5/31545;;A61M5/31583;;A61M5/31585;;A61M2005/3125;;A61M2205/0216;;A61M2207/00;;A61M5/31511;;A61M5/31515;;A61M5/31545;;A61M5/31583;;A61M2005/3125;;A61M2207/00;;A61M5/31515;;A61M5/31528;;A61M5/31585;;A61M2205/0216;;A61M2207/00</x:v>
      </x:c>
      <x:c r="S735" s="87" t="str">
        <x:v>A61M5/315</x:v>
      </x:c>
      <x:c r="T735" s="87" t="str">
        <x:v>PENDING</x:v>
      </x:c>
      <x:c r="U735" s="87" t="str">
        <x:v>https://lens.org/001-856-632-113-068</x:v>
      </x:c>
    </x:row>
    <x:row r="736">
      <x:c r="A736" s="87" t="str">
        <x:v>Sanofi_Applicant_EP_Families_2015_2021.csv(1).csv</x:v>
      </x:c>
      <x:c r="B736" s="87" t="str">
        <x:v>Sanofi</x:v>
      </x:c>
      <x:c r="C736" s="87" t="str">
        <x:v>TRT-0010</x:v>
      </x:c>
      <x:c r="D736" s="87" t="str">
        <x:v>Yes</x:v>
      </x:c>
      <x:c r="E736" s="87" t="str">
        <x:v>sanofi</x:v>
      </x:c>
      <x:c r="F736" s="87" t="str">
        <x:v>142</x:v>
      </x:c>
      <x:c r="G736" s="87" t="str">
        <x:v>005-344-822-312-320</x:v>
      </x:c>
      <x:c r="H736" s="110" t="n">
        <x:v>43299</x:v>
      </x:c>
      <x:c r="I736" s="88" t="n">
        <x:v>2018</x:v>
      </x:c>
      <x:c r="J736" s="87" t="str">
        <x:v>EP</x:v>
      </x:c>
      <x:c r="K736" s="87" t="str">
        <x:v>A1</x:v>
      </x:c>
      <x:c r="L736" s="87" t="str">
        <x:v>EP 3823702 A1</x:v>
      </x:c>
      <x:c r="M736" s="87" t="str">
        <x:v>SANOFI SA</x:v>
      </x:c>
      <x:c r="N736" s="87" t="str">
        <x:v>SANOFI (2022-12-28)</x:v>
      </x:c>
      <x:c r="O736" s="87" t="str">
        <x:v>CARTRIDGE ASSEMBLY FOR A DRUG DELIVERY DEVICE AND DRUG DELIVERY DEVICE</x:v>
      </x:c>
      <x:c r="P736" s="109" t="n">
        <x:v>0</x:v>
      </x:c>
      <x:c r="Q736" s="109" t="n">
        <x:v>19</x:v>
      </x:c>
      <x:c r="R736" s="87" t="str">
        <x:v>A61M5/24;;A61M2005/2407;;A61M2005/244;;A61M5/24;;A61M5/31576;;A61M2005/2403;;A61M2005/2407;;A61M2005/2433;;A61M2005/244;;A61M2005/2477;;A61M2005/2481;;A61M5/24;;A61M5/31576;;A61M2005/2407;;A61M2005/244;;A61M2005/2477;;A61M2005/2481;;A61M5/24;;A61M2005/2403;;A61M2005/2433</x:v>
      </x:c>
      <x:c r="S736" s="87" t="str">
        <x:v>A61M5/24</x:v>
      </x:c>
      <x:c r="T736" s="87" t="str">
        <x:v>PENDING</x:v>
      </x:c>
      <x:c r="U736" s="87" t="str">
        <x:v>https://lens.org/005-344-822-312-320</x:v>
      </x:c>
    </x:row>
    <x:row r="737">
      <x:c r="A737" s="87" t="str">
        <x:v>Sanofi_Applicant_EP_Families_2015_2021.csv(1).csv</x:v>
      </x:c>
      <x:c r="B737" s="87" t="str">
        <x:v>Sanofi</x:v>
      </x:c>
      <x:c r="C737" s="87" t="str">
        <x:v>TRT-0010</x:v>
      </x:c>
      <x:c r="D737" s="87" t="str">
        <x:v>Yes</x:v>
      </x:c>
      <x:c r="E737" s="87" t="str">
        <x:v>sanofi</x:v>
      </x:c>
      <x:c r="F737" s="87" t="str">
        <x:v>143</x:v>
      </x:c>
      <x:c r="G737" s="87" t="str">
        <x:v>141-860-376-861-478</x:v>
      </x:c>
      <x:c r="H737" s="110" t="n">
        <x:v>43299</x:v>
      </x:c>
      <x:c r="I737" s="88" t="n">
        <x:v>2018</x:v>
      </x:c>
      <x:c r="J737" s="87" t="str">
        <x:v>EP</x:v>
      </x:c>
      <x:c r="K737" s="87" t="str">
        <x:v>A1</x:v>
      </x:c>
      <x:c r="L737" s="87" t="str">
        <x:v>EP 3823698 A1</x:v>
      </x:c>
      <x:c r="M737" s="87" t="str">
        <x:v>SANOFI SA</x:v>
      </x:c>
      <x:c r="N737" s="87" t="str">
        <x:v>SANOFI (2022-12-28)</x:v>
      </x:c>
      <x:c r="O737" s="87" t="str">
        <x:v>SYSTEM FOR A DRUG DELIVERY DEVICE</x:v>
      </x:c>
      <x:c r="P737" s="109" t="n">
        <x:v>0</x:v>
      </x:c>
      <x:c r="Q737" s="109" t="n">
        <x:v>21</x:v>
      </x:c>
      <x:c r="R737" s="87" t="str">
        <x:v>A61M5/24;;A61M2005/2437;;A61M2005/2488;;A61M2205/582;;A61M2205/6045;;A61M5/24;;A61M2005/2437;;A61M2005/2488;;A61M2205/582;;A61M2205/6045;;A61M2005/2403;;A61M5/31566;;A61M5/24;;A61M5/31566;;A61M2005/2488;;A61M2005/2437;;A61M2205/6045;;A61M2205/582;;A61M5/24;;A61M2005/2403</x:v>
      </x:c>
      <x:c r="S737" s="87" t="str">
        <x:v>A61M5/24</x:v>
      </x:c>
      <x:c r="T737" s="87" t="str">
        <x:v>ACTIVE</x:v>
      </x:c>
      <x:c r="U737" s="87" t="str">
        <x:v>https://lens.org/141-860-376-861-478</x:v>
      </x:c>
    </x:row>
    <x:row r="738">
      <x:c r="A738" s="87" t="str">
        <x:v>Sanofi_Applicant_EP_Families_2015_2021.csv(1).csv</x:v>
      </x:c>
      <x:c r="B738" s="87" t="str">
        <x:v>Sanofi</x:v>
      </x:c>
      <x:c r="C738" s="87" t="str">
        <x:v>TRT-0010</x:v>
      </x:c>
      <x:c r="D738" s="87" t="str">
        <x:v>Yes</x:v>
      </x:c>
      <x:c r="E738" s="87" t="str">
        <x:v>sanofi</x:v>
      </x:c>
      <x:c r="F738" s="87" t="str">
        <x:v>144</x:v>
      </x:c>
      <x:c r="G738" s="87" t="str">
        <x:v>171-139-984-621-253</x:v>
      </x:c>
      <x:c r="H738" s="110" t="n">
        <x:v>43299</x:v>
      </x:c>
      <x:c r="I738" s="88" t="n">
        <x:v>2018</x:v>
      </x:c>
      <x:c r="J738" s="87" t="str">
        <x:v>EP</x:v>
      </x:c>
      <x:c r="K738" s="87" t="str">
        <x:v>A1</x:v>
      </x:c>
      <x:c r="L738" s="87" t="str">
        <x:v>EP 3823699 A1</x:v>
      </x:c>
      <x:c r="M738" s="87" t="str">
        <x:v>SANOFI SA</x:v>
      </x:c>
      <x:c r="N738" s="87" t="str">
        <x:v>SANOFI (2022-12-28)</x:v>
      </x:c>
      <x:c r="O738" s="87" t="str">
        <x:v>CARTRIDGE UNIT FOR A DRUG DELIVERY DEVICE</x:v>
      </x:c>
      <x:c r="P738" s="109" t="n">
        <x:v>0</x:v>
      </x:c>
      <x:c r="Q738" s="109" t="n">
        <x:v>8</x:v>
      </x:c>
      <x:c r="R738" s="87" t="str">
        <x:v>A61M5/24;;A61M2005/2437;;A61M2005/2488;;A61M2205/6045;;A61M5/24;;A61M2005/2488</x:v>
      </x:c>
      <x:c r="S738" s="87" t="str">
        <x:v>A61M5/24</x:v>
      </x:c>
      <x:c r="T738" s="87" t="str">
        <x:v>PENDING</x:v>
      </x:c>
      <x:c r="U738" s="87" t="str">
        <x:v>https://lens.org/171-139-984-621-253</x:v>
      </x:c>
    </x:row>
    <x:row r="739">
      <x:c r="A739" s="87" t="str">
        <x:v>Sanofi_Applicant_EP_Families_2015_2021.csv(1).csv</x:v>
      </x:c>
      <x:c r="B739" s="87" t="str">
        <x:v>Sanofi</x:v>
      </x:c>
      <x:c r="C739" s="87" t="str">
        <x:v>TRT-0010</x:v>
      </x:c>
      <x:c r="D739" s="87" t="str">
        <x:v>Yes</x:v>
      </x:c>
      <x:c r="E739" s="87" t="str">
        <x:v>sanofi</x:v>
      </x:c>
      <x:c r="F739" s="87" t="str">
        <x:v>145</x:v>
      </x:c>
      <x:c r="G739" s="87" t="str">
        <x:v>153-550-359-859-677</x:v>
      </x:c>
      <x:c r="H739" s="110" t="n">
        <x:v>43299</x:v>
      </x:c>
      <x:c r="I739" s="88" t="n">
        <x:v>2018</x:v>
      </x:c>
      <x:c r="J739" s="87" t="str">
        <x:v>EP</x:v>
      </x:c>
      <x:c r="K739" s="87" t="str">
        <x:v>A1</x:v>
      </x:c>
      <x:c r="L739" s="87" t="str">
        <x:v>EP 3823690 A1</x:v>
      </x:c>
      <x:c r="M739" s="87" t="str">
        <x:v>SANOFI SA</x:v>
      </x:c>
      <x:c r="N739" s="87" t="str">
        <x:v>SANOFI (2022-12-28)</x:v>
      </x:c>
      <x:c r="O739" s="87" t="str">
        <x:v>DRUG DELIVERY DEVICES</x:v>
      </x:c>
      <x:c r="P739" s="109" t="n">
        <x:v>0</x:v>
      </x:c>
      <x:c r="Q739" s="109" t="n">
        <x:v>22</x:v>
      </x:c>
      <x:c r="R739" s="87" t="str">
        <x:v>A61M5/24;;A61M5/3157;;A61M5/31535;;A61M5/31568;;A61M5/31533;;A61M5/31576;;A61M5/31563;;A61M5/002;;A61M5/31548;;A61M5/31;;A61M2005/2485;;A61M2005/2477;;A61M2005/3125;;A61M2205/6045;;A61M2205/581;;A61M2205/582;;A61M2205/43;;A61M2207/00;;A61M5/002;;A61M5/24;;A61M5/31533;;A61M2005/2477;;A61M2005/2485;;A61M2205/43;;A61M2205/6045;;A61M2207/00;;A61M5/002;;A61M5/24;;A61M5/31533;;A61M2005/2477;;A61M2005/2485;;A61M2205/43;;A61M2205/6045;;A61M2207/00;;A61M5/24;;A61M5/31535;;A61M5/31563;;A61M5/31576;;A61M5/002;;A61M2005/2477;;A61M2005/2485;;A61M2005/3125;;A61M2205/43;;A61M2205/581;;A61M2205/582;;A61M2205/6045;;A61M5/24;;A61M5/31;;A61M5/31548;;A61M5/31568;;A61M5/3157;;A61M2205/581;;A61M2205/582;;A61M2207/00</x:v>
      </x:c>
      <x:c r="S739" s="87" t="str">
        <x:v>A61M5/00;;A61M5/24;;A61M5/315</x:v>
      </x:c>
      <x:c r="T739" s="87" t="str">
        <x:v>ACTIVE</x:v>
      </x:c>
      <x:c r="U739" s="87" t="str">
        <x:v>https://lens.org/153-550-359-859-677</x:v>
      </x:c>
    </x:row>
    <x:row r="740">
      <x:c r="A740" s="87" t="str">
        <x:v>Sanofi_Applicant_EP_Families_2015_2021.csv(1).csv</x:v>
      </x:c>
      <x:c r="B740" s="87" t="str">
        <x:v>Sanofi</x:v>
      </x:c>
      <x:c r="C740" s="87" t="str">
        <x:v>TRT-0010</x:v>
      </x:c>
      <x:c r="D740" s="87" t="str">
        <x:v>Yes</x:v>
      </x:c>
      <x:c r="E740" s="87" t="str">
        <x:v>sanofi</x:v>
      </x:c>
      <x:c r="F740" s="87" t="str">
        <x:v>146</x:v>
      </x:c>
      <x:c r="G740" s="87" t="str">
        <x:v>007-034-803-946-810</x:v>
      </x:c>
      <x:c r="H740" s="110" t="n">
        <x:v>43299</x:v>
      </x:c>
      <x:c r="I740" s="88" t="n">
        <x:v>2018</x:v>
      </x:c>
      <x:c r="J740" s="87" t="str">
        <x:v>EP</x:v>
      </x:c>
      <x:c r="K740" s="87" t="str">
        <x:v>A1</x:v>
      </x:c>
      <x:c r="L740" s="87" t="str">
        <x:v>EP 3823700 A1</x:v>
      </x:c>
      <x:c r="M740" s="87" t="str">
        <x:v>SANOFI SA</x:v>
      </x:c>
      <x:c r="N740" s="87" t="str">
        <x:v>SANOFI (2022-12-28)</x:v>
      </x:c>
      <x:c r="O740" s="87" t="str">
        <x:v>CARTRIDGE ASSEMBLY FOR A DRUG DELIVERY DEVICE AND METHOD FOR ASSEMBLING THE SAME</x:v>
      </x:c>
      <x:c r="P740" s="109" t="n">
        <x:v>0</x:v>
      </x:c>
      <x:c r="Q740" s="109" t="n">
        <x:v>8</x:v>
      </x:c>
      <x:c r="R740" s="87" t="str">
        <x:v>A61M5/24;;A61M2005/244;;A61M2005/2492;;A61M2005/3142;;A61M5/24;;A61M2005/2444;;A61M2005/2492</x:v>
      </x:c>
      <x:c r="S740" s="87" t="str">
        <x:v>A61M5/24;;A61M5/31</x:v>
      </x:c>
      <x:c r="T740" s="87" t="str">
        <x:v>PENDING</x:v>
      </x:c>
      <x:c r="U740" s="87" t="str">
        <x:v>https://lens.org/007-034-803-946-810</x:v>
      </x:c>
    </x:row>
    <x:row r="741">
      <x:c r="A741" s="87" t="str">
        <x:v>Sanofi_Applicant_EP_Families_2015_2021.csv(1).csv</x:v>
      </x:c>
      <x:c r="B741" s="87" t="str">
        <x:v>Sanofi</x:v>
      </x:c>
      <x:c r="C741" s="87" t="str">
        <x:v>TRT-0010</x:v>
      </x:c>
      <x:c r="D741" s="87" t="str">
        <x:v>Yes</x:v>
      </x:c>
      <x:c r="E741" s="87" t="str">
        <x:v>sanofi</x:v>
      </x:c>
      <x:c r="F741" s="87" t="str">
        <x:v>147</x:v>
      </x:c>
      <x:c r="G741" s="87" t="str">
        <x:v>040-491-136-560-331</x:v>
      </x:c>
      <x:c r="H741" s="110" t="n">
        <x:v>43299</x:v>
      </x:c>
      <x:c r="I741" s="88" t="n">
        <x:v>2018</x:v>
      </x:c>
      <x:c r="J741" s="87" t="str">
        <x:v>EP</x:v>
      </x:c>
      <x:c r="K741" s="87" t="str">
        <x:v>A1</x:v>
      </x:c>
      <x:c r="L741" s="87" t="str">
        <x:v>EP 3823697 A1</x:v>
      </x:c>
      <x:c r="M741" s="87" t="str">
        <x:v>SANOFI SA</x:v>
      </x:c>
      <x:c r="N741" s="87" t="str">
        <x:v>SANOFI (2022-12-28)</x:v>
      </x:c>
      <x:c r="O741" s="87" t="str">
        <x:v>CARTRIDGE ASSEMBLY AND METHOD FOR ASSEMBLING THE SAME</x:v>
      </x:c>
      <x:c r="P741" s="109" t="n">
        <x:v>0</x:v>
      </x:c>
      <x:c r="Q741" s="109" t="n">
        <x:v>11</x:v>
      </x:c>
      <x:c r="R741" s="87" t="str">
        <x:v>A61M5/24;;A61M2005/2407;;A61M2005/244;;A61M2005/2488;;A61M2205/6045;;A61M5/24;;A61M2005/2403;;A61M2005/244;;A61M2207/00</x:v>
      </x:c>
      <x:c r="S741" s="87" t="str">
        <x:v>A61M5/24;;A61J1/16</x:v>
      </x:c>
      <x:c r="T741" s="87" t="str">
        <x:v>ACTIVE</x:v>
      </x:c>
      <x:c r="U741" s="87" t="str">
        <x:v>https://lens.org/040-491-136-560-331</x:v>
      </x:c>
    </x:row>
    <x:row r="742">
      <x:c r="A742" s="87" t="str">
        <x:v>Sanofi_Applicant_EP_Families_2015_2021.csv(1).csv</x:v>
      </x:c>
      <x:c r="B742" s="87" t="str">
        <x:v>Sanofi</x:v>
      </x:c>
      <x:c r="C742" s="87" t="str">
        <x:v>TRT-0010</x:v>
      </x:c>
      <x:c r="D742" s="87" t="str">
        <x:v>Yes</x:v>
      </x:c>
      <x:c r="E742" s="87" t="str">
        <x:v>sanofi</x:v>
      </x:c>
      <x:c r="F742" s="87" t="str">
        <x:v>148</x:v>
      </x:c>
      <x:c r="G742" s="87" t="str">
        <x:v>048-262-749-652-994</x:v>
      </x:c>
      <x:c r="H742" s="110" t="n">
        <x:v>43299</x:v>
      </x:c>
      <x:c r="I742" s="88" t="n">
        <x:v>2018</x:v>
      </x:c>
      <x:c r="J742" s="87" t="str">
        <x:v>EP</x:v>
      </x:c>
      <x:c r="K742" s="87" t="str">
        <x:v>A1</x:v>
      </x:c>
      <x:c r="L742" s="87" t="str">
        <x:v>EP 3823701 A1</x:v>
      </x:c>
      <x:c r="M742" s="87" t="str">
        <x:v>SANOFI SA</x:v>
      </x:c>
      <x:c r="N742" s="87" t="str">
        <x:v>SANOFI (2022-12-28)</x:v>
      </x:c>
      <x:c r="O742" s="87" t="str">
        <x:v>DRUG DELIVERY DEVICE AND METHOD TO MODIFY A DRUG DELIVERY DEVICE</x:v>
      </x:c>
      <x:c r="P742" s="109" t="n">
        <x:v>0</x:v>
      </x:c>
      <x:c r="Q742" s="109" t="n">
        <x:v>16</x:v>
      </x:c>
      <x:c r="R742" s="87" t="str">
        <x:v>A61M5/24;;A61M2005/2407;;A61M2005/2433;;A61M2005/2477;;A61M5/24;;A61M2005/2407;;A61M2005/2433;;A61M2005/2477;;A61M5/24;;A61M5/31576;;A61M2005/2407;;A61M2005/2481;;A61M2005/2477;;A61M2005/2433;;A61M2005/244;;A61M5/24;;A61M2005/2477;;A61M5/2422;;A61M5/31576</x:v>
      </x:c>
      <x:c r="S742" s="87" t="str">
        <x:v>A61M5/24</x:v>
      </x:c>
      <x:c r="T742" s="87" t="str">
        <x:v>PENDING</x:v>
      </x:c>
      <x:c r="U742" s="87" t="str">
        <x:v>https://lens.org/048-262-749-652-994</x:v>
      </x:c>
    </x:row>
    <x:row r="743">
      <x:c r="A743" s="87" t="str">
        <x:v>Sanofi_Applicant_EP_Families_2015_2021.csv(1).csv</x:v>
      </x:c>
      <x:c r="B743" s="87" t="str">
        <x:v>Sanofi</x:v>
      </x:c>
      <x:c r="C743" s="87" t="str">
        <x:v>TRT-0010</x:v>
      </x:c>
      <x:c r="D743" s="87" t="str">
        <x:v>Yes</x:v>
      </x:c>
      <x:c r="E743" s="87" t="str">
        <x:v>sanofi</x:v>
      </x:c>
      <x:c r="F743" s="87" t="str">
        <x:v>149</x:v>
      </x:c>
      <x:c r="G743" s="87" t="str">
        <x:v>025-204-748-781-110</x:v>
      </x:c>
      <x:c r="H743" s="110" t="n">
        <x:v>43291</x:v>
      </x:c>
      <x:c r="I743" s="88" t="n">
        <x:v>2018</x:v>
      </x:c>
      <x:c r="J743" s="87" t="str">
        <x:v>EP</x:v>
      </x:c>
      <x:c r="K743" s="87" t="str">
        <x:v>A1</x:v>
      </x:c>
      <x:c r="L743" s="87" t="str">
        <x:v>EP 3820575 A1</x:v>
      </x:c>
      <x:c r="M743" s="87" t="str">
        <x:v>SANOFI SA</x:v>
      </x:c>
      <x:c r="N743" s="87" t="str">
        <x:v>SANOFI (2025-08-13)</x:v>
      </x:c>
      <x:c r="O743" s="87" t="str">
        <x:v>COMBINATION THERAPIES AGAINST CANCER TARGETING CD38 AND TGF-BETA</x:v>
      </x:c>
      <x:c r="P743" s="109" t="n">
        <x:v>0</x:v>
      </x:c>
      <x:c r="Q743" s="109" t="n">
        <x:v>20</x:v>
      </x:c>
      <x:c r="R743" s="87" t="str">
        <x:v>A61K2039/507;;A61P35/00;;C07K16/22;;C07K16/2896;;C07K2317/732;;C07K2317/76;;A61K2039/507;;A61P35/00;;C07K16/22;;C07K16/2896;;C07K2317/732;;C07K2317/76;;C07K16/2896;;C07K16/22;;A61K31/573;;A61P35/00;;C07K2317/565;;C07K2317/732;;C07K2317/76;;A61K2039/507;;A61K31/12;;A61K2039/507;;C07K16/22;;C07K16/2896;;C07K2317/565</x:v>
      </x:c>
      <x:c r="S743" s="87" t="str">
        <x:v>A61P35/00;;C07K16/22;;C07K16/28</x:v>
      </x:c>
      <x:c r="T743" s="87" t="str">
        <x:v>PENDING</x:v>
      </x:c>
      <x:c r="U743" s="87" t="str">
        <x:v>https://lens.org/025-204-748-781-110</x:v>
      </x:c>
    </x:row>
    <x:row r="744">
      <x:c r="A744" s="87" t="str">
        <x:v>Sanofi_Applicant_EP_Families_2015_2021.csv(1).csv</x:v>
      </x:c>
      <x:c r="B744" s="87" t="str">
        <x:v>Sanofi</x:v>
      </x:c>
      <x:c r="C744" s="87" t="str">
        <x:v>TRT-0010</x:v>
      </x:c>
      <x:c r="D744" s="87" t="str">
        <x:v>Yes</x:v>
      </x:c>
      <x:c r="E744" s="87" t="str">
        <x:v>sanofi</x:v>
      </x:c>
      <x:c r="F744" s="87" t="str">
        <x:v>150</x:v>
      </x:c>
      <x:c r="G744" s="87" t="str">
        <x:v>154-440-277-877-467</x:v>
      </x:c>
      <x:c r="H744" s="110" t="n">
        <x:v>41114</x:v>
      </x:c>
      <x:c r="I744" s="88" t="n">
        <x:v>2012</x:v>
      </x:c>
      <x:c r="J744" s="87" t="str">
        <x:v>EP</x:v>
      </x:c>
      <x:c r="K744" s="87" t="str">
        <x:v>B1</x:v>
      </x:c>
      <x:c r="L744" s="87" t="str">
        <x:v>EP 2877208 B1</x:v>
      </x:c>
      <x:c r="M744" s="87" t="str">
        <x:v>SANOFI PASTEUR</x:v>
      </x:c>
      <x:c r="N744" s="87" t="str">
        <x:v>SANOFI PASTEUR (2018-01-24)</x:v>
      </x:c>
      <x:c r="O744" s="87" t="str">
        <x:v>VACCINE COMPOSITIONS FOR THE PREVENTION OF DENGUE VIRUS INFECTION</x:v>
      </x:c>
      <x:c r="P744" s="109" t="n">
        <x:v>0</x:v>
      </x:c>
      <x:c r="Q744" s="109" t="n">
        <x:v>26</x:v>
      </x:c>
      <x:c r="R744" s="87" t="str">
        <x:v>A61P31/14;;A61K39/12;;A61K2039/5252;;A61K2039/5254;;A61K2039/5258;;A61K2039/70;;A61P43/00;;C12N2770/24134;;Y02A50/30;;A61K39/12;;A61K39/295;;A61K2039/5252;;A61K2039/5254;;A61K39/12;;A61K2039/5252;;A61K2039/5254;;A61K2039/5258;;A61K2039/53;;A61K2039/70;;C12N2770/24134;;Y02A50/30</x:v>
      </x:c>
      <x:c r="S744" s="87" t="str">
        <x:v>A61K39/00;;A61K39/12;;A61K39/295;;A61P31/14;;A61P43/00</x:v>
      </x:c>
      <x:c r="T744" s="87" t="str">
        <x:v>ACTIVE</x:v>
      </x:c>
      <x:c r="U744" s="87" t="str">
        <x:v>https://lens.org/154-440-277-877-467</x:v>
      </x:c>
    </x:row>
    <x:row r="745">
      <x:c r="A745" s="87" t="str">
        <x:v>Sanofi_Applicant_EP_Families_2015_2021.csv(1).csv</x:v>
      </x:c>
      <x:c r="B745" s="87" t="str">
        <x:v>Sanofi</x:v>
      </x:c>
      <x:c r="C745" s="87" t="str">
        <x:v>TRT-0010</x:v>
      </x:c>
      <x:c r="D745" s="87" t="str">
        <x:v>Yes</x:v>
      </x:c>
      <x:c r="E745" s="87" t="str">
        <x:v>sanofi</x:v>
      </x:c>
      <x:c r="F745" s="87" t="str">
        <x:v>151</x:v>
      </x:c>
      <x:c r="G745" s="87" t="str">
        <x:v>056-066-396-596-860</x:v>
      </x:c>
      <x:c r="H745" s="110" t="n">
        <x:v>43273</x:v>
      </x:c>
      <x:c r="I745" s="88" t="n">
        <x:v>2018</x:v>
      </x:c>
      <x:c r="J745" s="87" t="str">
        <x:v>EP</x:v>
      </x:c>
      <x:c r="K745" s="87" t="str">
        <x:v>A1</x:v>
      </x:c>
      <x:c r="L745" s="87" t="str">
        <x:v>EP 3810234 A1</x:v>
      </x:c>
      <x:c r="M745" s="87" t="str">
        <x:v>SANOFI SA</x:v>
      </x:c>
      <x:c r="N745" s="87" t="str">
        <x:v>SANOFI (2022-12-28)</x:v>
      </x:c>
      <x:c r="O745" s="87" t="str">
        <x:v>DRUG DELIVERY DEVICE, METHOD FOR MANUFACTURING A DRUG DELIVERY DEVICE AND USE OF A WELDED CONNECTION</x:v>
      </x:c>
      <x:c r="P745" s="109" t="n">
        <x:v>0</x:v>
      </x:c>
      <x:c r="Q745" s="109" t="n">
        <x:v>8</x:v>
      </x:c>
      <x:c r="R745" s="87" t="str">
        <x:v>A61M5/20;;A61M5/50;;A61M5/2033;;A61M5/24;;A61M5/3202;;A61M5/5086;;A61M2207/00</x:v>
      </x:c>
      <x:c r="S745" s="87" t="str">
        <x:v>A61M5/50;;A61M5/20</x:v>
      </x:c>
      <x:c r="T745" s="87" t="str">
        <x:v>ACTIVE</x:v>
      </x:c>
      <x:c r="U745" s="87" t="str">
        <x:v>https://lens.org/056-066-396-596-860</x:v>
      </x:c>
    </x:row>
    <x:row r="746">
      <x:c r="A746" s="87" t="str">
        <x:v>Sanofi_Applicant_EP_Families_2015_2021.csv(1).csv</x:v>
      </x:c>
      <x:c r="B746" s="87" t="str">
        <x:v>Sanofi</x:v>
      </x:c>
      <x:c r="C746" s="87" t="str">
        <x:v>TRT-0010</x:v>
      </x:c>
      <x:c r="D746" s="87" t="str">
        <x:v>Yes</x:v>
      </x:c>
      <x:c r="E746" s="87" t="str">
        <x:v>sanofi</x:v>
      </x:c>
      <x:c r="F746" s="87" t="str">
        <x:v>152</x:v>
      </x:c>
      <x:c r="G746" s="87" t="str">
        <x:v>060-580-633-745-468</x:v>
      </x:c>
      <x:c r="H746" s="110" t="n">
        <x:v>43272</x:v>
      </x:c>
      <x:c r="I746" s="88" t="n">
        <x:v>2018</x:v>
      </x:c>
      <x:c r="J746" s="87" t="str">
        <x:v>EP</x:v>
      </x:c>
      <x:c r="K746" s="87" t="str">
        <x:v>A1</x:v>
      </x:c>
      <x:c r="L746" s="87" t="str">
        <x:v>EP 3810183 A1</x:v>
      </x:c>
      <x:c r="M746" s="87" t="str">
        <x:v>SANOFI SA</x:v>
      </x:c>
      <x:c r="N746" s="87" t="str">
        <x:v>SANOFI (2022-12-28)</x:v>
      </x:c>
      <x:c r="O746" s="87" t="str">
        <x:v>FGF21 COMPOUND / GLP-1R AGONIST COMBINATIONS WITH OPTIMIZED ACTIVITY RATIO</x:v>
      </x:c>
      <x:c r="P746" s="109" t="n">
        <x:v>0</x:v>
      </x:c>
      <x:c r="Q746" s="109" t="n">
        <x:v>9</x:v>
      </x:c>
      <x:c r="R746" s="87" t="str">
        <x:v>C07K14/50;;C07K14/605;;A61K38/1825;;A61K38/26;;A61P1/16;;A61P3/04;;A61P3/06;;A61P3/10;;A61P9/10;;A61P3/10;;A61K38/00;;A61K38/1825;;A61K38/26;;C07K14/50;;C07K14/605;;C07K2319/00;;C07K2319/30</x:v>
      </x:c>
      <x:c r="S746" s="87" t="str">
        <x:v>A61K38/18;;A61K38/26;;A61P1/16;;A61P3/04;;A61P3/06;;A61P3/10;;A61P9/10;;C07K14/50;;C07K14/605</x:v>
      </x:c>
      <x:c r="T746" s="87" t="str">
        <x:v>DISCONTINUED</x:v>
      </x:c>
      <x:c r="U746" s="87" t="str">
        <x:v>https://lens.org/060-580-633-745-468</x:v>
      </x:c>
    </x:row>
    <x:row r="747">
      <x:c r="A747" s="87" t="str">
        <x:v>Sanofi_Applicant_EP_Families_2015_2021.csv(1).csv</x:v>
      </x:c>
      <x:c r="B747" s="87" t="str">
        <x:v>Sanofi</x:v>
      </x:c>
      <x:c r="C747" s="87" t="str">
        <x:v>TRT-0010</x:v>
      </x:c>
      <x:c r="D747" s="87" t="str">
        <x:v>Yes</x:v>
      </x:c>
      <x:c r="E747" s="87" t="str">
        <x:v>sanofi</x:v>
      </x:c>
      <x:c r="F747" s="87" t="str">
        <x:v>153</x:v>
      </x:c>
      <x:c r="G747" s="87" t="str">
        <x:v>163-943-139-963-712</x:v>
      </x:c>
      <x:c r="H747" s="110" t="n">
        <x:v>43276</x:v>
      </x:c>
      <x:c r="I747" s="88" t="n">
        <x:v>2018</x:v>
      </x:c>
      <x:c r="J747" s="87" t="str">
        <x:v>EP</x:v>
      </x:c>
      <x:c r="K747" s="87" t="str">
        <x:v>A1</x:v>
      </x:c>
      <x:c r="L747" s="87" t="str">
        <x:v>EP 3810227 A1</x:v>
      </x:c>
      <x:c r="M747" s="87" t="str">
        <x:v>SANOFI SA</x:v>
      </x:c>
      <x:c r="N747" s="87" t="str">
        <x:v>SANOFI (2022-12-28)</x:v>
      </x:c>
      <x:c r="O747" s="87" t="str">
        <x:v>MEDICAMENT DELIVERY DEVICE</x:v>
      </x:c>
      <x:c r="P747" s="109" t="n">
        <x:v>0</x:v>
      </x:c>
      <x:c r="Q747" s="109" t="n">
        <x:v>8</x:v>
      </x:c>
      <x:c r="R747" s="87" t="str">
        <x:v>A61M5/20;;A61M5/326;;A61M2005/2013;;A61M2005/208;;A61M2005/3267;;A61M2205/215;;A61M5/20;;A61M5/326;;A61M2005/2013;;A61M2005/208;;A61M2005/3267;;A61M2205/215;;A61M25/0631;;A61M5/321;;A61M2005/3247;;A61M5/3213;;A61M2005/325;;A61M2005/2073;;A61M5/24</x:v>
      </x:c>
      <x:c r="S747" s="87" t="str">
        <x:v>A61M5/20;;A61M5/32</x:v>
      </x:c>
      <x:c r="T747" s="87" t="str">
        <x:v>PENDING</x:v>
      </x:c>
      <x:c r="U747" s="87" t="str">
        <x:v>https://lens.org/163-943-139-963-712</x:v>
      </x:c>
    </x:row>
    <x:row r="748">
      <x:c r="A748" s="87" t="str">
        <x:v>Sanofi_Applicant_EP_Families_2015_2021.csv(1).csv</x:v>
      </x:c>
      <x:c r="B748" s="87" t="str">
        <x:v>Sanofi</x:v>
      </x:c>
      <x:c r="C748" s="87" t="str">
        <x:v>TRT-0010</x:v>
      </x:c>
      <x:c r="D748" s="87" t="str">
        <x:v>Yes</x:v>
      </x:c>
      <x:c r="E748" s="87" t="str">
        <x:v>sanofi</x:v>
      </x:c>
      <x:c r="F748" s="87" t="str">
        <x:v>154</x:v>
      </x:c>
      <x:c r="G748" s="87" t="str">
        <x:v>044-771-740-456-41X</x:v>
      </x:c>
      <x:c r="H748" s="110" t="n">
        <x:v>41782</x:v>
      </x:c>
      <x:c r="I748" s="88" t="n">
        <x:v>2014</x:v>
      </x:c>
      <x:c r="J748" s="87" t="str">
        <x:v>EP</x:v>
      </x:c>
      <x:c r="K748" s="87" t="str">
        <x:v>B1</x:v>
      </x:c>
      <x:c r="L748" s="87" t="str">
        <x:v>EP 3145491 B1</x:v>
      </x:c>
      <x:c r="M748" s="87" t="str">
        <x:v>SANOFI AVENTIS DEUTSCHLAND</x:v>
      </x:c>
      <x:c r="N748" s="87" t="str">
        <x:v>SANOFI-AVENTIS DEUTSCHLAND GMBH (2018-06-13);;A. NATTERMANN &amp; CIE. GESELLSCHAFT MIT BESCHRAE, DE (2024-01-18)</x:v>
      </x:c>
      <x:c r="O748" s="87" t="str">
        <x:v>COUGH SYRUP CONTAINING AMBROXOL HYDROCHLORIDE</x:v>
      </x:c>
      <x:c r="P748" s="109" t="n">
        <x:v>0</x:v>
      </x:c>
      <x:c r="Q748" s="109" t="n">
        <x:v>21</x:v>
      </x:c>
      <x:c r="R748" s="87" t="str">
        <x:v>A61K47/38;;A61K9/0095;;A61K31/136;;A61K9/0095;;A61K31/136;;A61K31/137;;A61K47/38;;A61P11/10;;A61P11/12;;A61P11/14;;A61P29/00;;A61K9/0095;;A61K31/136;;A61K47/38;;A61K9/0056;;A61K9/0095;;A61K31/136;;A61K31/137;;A61K47/38</x:v>
      </x:c>
      <x:c r="S748" s="87" t="str">
        <x:v>A61K9/08;;A61K31/136;;A61P11/12</x:v>
      </x:c>
      <x:c r="T748" s="87" t="str">
        <x:v>ACTIVE</x:v>
      </x:c>
      <x:c r="U748" s="87" t="str">
        <x:v>https://lens.org/044-771-740-456-41X</x:v>
      </x:c>
    </x:row>
    <x:row r="749">
      <x:c r="A749" s="87" t="str">
        <x:v>Sanofi_Applicant_EP_Families_2015_2021.csv(1).csv</x:v>
      </x:c>
      <x:c r="B749" s="87" t="str">
        <x:v>Sanofi</x:v>
      </x:c>
      <x:c r="C749" s="87" t="str">
        <x:v>TRT-0010</x:v>
      </x:c>
      <x:c r="D749" s="87" t="str">
        <x:v>Yes</x:v>
      </x:c>
      <x:c r="E749" s="87" t="str">
        <x:v>sanofi</x:v>
      </x:c>
      <x:c r="F749" s="87" t="str">
        <x:v>155</x:v>
      </x:c>
      <x:c r="G749" s="87" t="str">
        <x:v>193-770-721-110-462</x:v>
      </x:c>
      <x:c r="H749" s="110" t="n">
        <x:v>43265</x:v>
      </x:c>
      <x:c r="I749" s="88" t="n">
        <x:v>2018</x:v>
      </x:c>
      <x:c r="J749" s="87" t="str">
        <x:v>EP</x:v>
      </x:c>
      <x:c r="K749" s="87" t="str">
        <x:v>A1</x:v>
      </x:c>
      <x:c r="L749" s="87" t="str">
        <x:v>EP 3806931 A1</x:v>
      </x:c>
      <x:c r="M749" s="87" t="str">
        <x:v>SANOFI SA</x:v>
      </x:c>
      <x:c r="N749" s="87" t="str">
        <x:v>SANOFI (2023-02-22)</x:v>
      </x:c>
      <x:c r="O749" s="87" t="str">
        <x:v>MEDICATION DELIVERY DEVICE AND MEDICATION DELIVERY ASSEMBLY</x:v>
      </x:c>
      <x:c r="P749" s="109" t="n">
        <x:v>0</x:v>
      </x:c>
      <x:c r="Q749" s="109" t="n">
        <x:v>5</x:v>
      </x:c>
      <x:c r="R749" s="87" t="str">
        <x:v>A61M5/19;;A61M5/20;;A61M5/2466;;A61M5/31525;;A61M5/3158;;A61M5/3234;;A61M2005/1787;;A61M2005/2411;;A61M2005/2414;;A61M2005/3118;;A61M5/31591;;A61M5/2466;;A61M5/31501;;A61M2005/1787</x:v>
      </x:c>
      <x:c r="S749" s="87" t="str">
        <x:v>A61M5/19;;A61M5/178;;A61M5/20;;A61M5/24;;A61M5/31;;A61M5/315</x:v>
      </x:c>
      <x:c r="T749" s="87" t="str">
        <x:v>DISCONTINUED</x:v>
      </x:c>
      <x:c r="U749" s="87" t="str">
        <x:v>https://lens.org/193-770-721-110-462</x:v>
      </x:c>
    </x:row>
    <x:row r="750">
      <x:c r="A750" s="87" t="str">
        <x:v>Sanofi_Applicant_EP_Families_2015_2021.csv(1).csv</x:v>
      </x:c>
      <x:c r="B750" s="87" t="str">
        <x:v>Sanofi</x:v>
      </x:c>
      <x:c r="C750" s="87" t="str">
        <x:v>TRT-0010</x:v>
      </x:c>
      <x:c r="D750" s="87" t="str">
        <x:v>Yes</x:v>
      </x:c>
      <x:c r="E750" s="87" t="str">
        <x:v>sanofi</x:v>
      </x:c>
      <x:c r="F750" s="87" t="str">
        <x:v>156</x:v>
      </x:c>
      <x:c r="G750" s="87" t="str">
        <x:v>107-534-118-799-185</x:v>
      </x:c>
      <x:c r="H750" s="110" t="n">
        <x:v>43265</x:v>
      </x:c>
      <x:c r="I750" s="88" t="n">
        <x:v>2018</x:v>
      </x:c>
      <x:c r="J750" s="87" t="str">
        <x:v>EP</x:v>
      </x:c>
      <x:c r="K750" s="87" t="str">
        <x:v>A1</x:v>
      </x:c>
      <x:c r="L750" s="87" t="str">
        <x:v>EP 3806935 A1</x:v>
      </x:c>
      <x:c r="M750" s="87" t="str">
        <x:v>SANOFI SA</x:v>
      </x:c>
      <x:c r="N750" s="87" t="str">
        <x:v>SANOFI (2023-02-22)</x:v>
      </x:c>
      <x:c r="O750" s="87" t="str">
        <x:v>DEVICE FOR ADMINISTERING A MEDICINAL LIQUID BY INJECTION</x:v>
      </x:c>
      <x:c r="P750" s="109" t="n">
        <x:v>0</x:v>
      </x:c>
      <x:c r="Q750" s="109" t="n">
        <x:v>8</x:v>
      </x:c>
      <x:c r="R750" s="87" t="str">
        <x:v>A61M5/2425;;A61M5/282;;A61M5/288;;A61M5/31591;;A61M5/3232;;A61M2005/2474;;A61M5/2425;;A61M5/2466;;A61M5/31591;;A61M5/3232</x:v>
      </x:c>
      <x:c r="S750" s="87" t="str">
        <x:v>A61M5/32;;A61M5/24;;A61M5/28;;A61M5/315</x:v>
      </x:c>
      <x:c r="T750" s="87" t="str">
        <x:v>PENDING</x:v>
      </x:c>
      <x:c r="U750" s="87" t="str">
        <x:v>https://lens.org/107-534-118-799-185</x:v>
      </x:c>
    </x:row>
    <x:row r="751">
      <x:c r="A751" s="87" t="str">
        <x:v>Sanofi_Applicant_EP_Families_2015_2021.csv(1).csv</x:v>
      </x:c>
      <x:c r="B751" s="87" t="str">
        <x:v>Sanofi</x:v>
      </x:c>
      <x:c r="C751" s="87" t="str">
        <x:v>TRT-0010</x:v>
      </x:c>
      <x:c r="D751" s="87" t="str">
        <x:v>Yes</x:v>
      </x:c>
      <x:c r="E751" s="87" t="str">
        <x:v>sanofi</x:v>
      </x:c>
      <x:c r="F751" s="87" t="str">
        <x:v>157</x:v>
      </x:c>
      <x:c r="G751" s="87" t="str">
        <x:v>091-005-239-706-843</x:v>
      </x:c>
      <x:c r="H751" s="110" t="n">
        <x:v>40630</x:v>
      </x:c>
      <x:c r="I751" s="88" t="n">
        <x:v>2011</x:v>
      </x:c>
      <x:c r="J751" s="87" t="str">
        <x:v>EP</x:v>
      </x:c>
      <x:c r="K751" s="87" t="str">
        <x:v>A1</x:v>
      </x:c>
      <x:c r="L751" s="87" t="str">
        <x:v>EP 3805262 A1</x:v>
      </x:c>
      <x:c r="M751" s="87" t="str">
        <x:v>SANOFI SA</x:v>
      </x:c>
      <x:c r="N751" s="87" t="str">
        <x:v>SANOFI (2022-12-28)</x:v>
      </x:c>
      <x:c r="O751" s="87" t="str">
        <x:v>DUAL VARIABLE REGION ANTIBODY-LIKE BINDING PROTEINS HAVING CROSS-OVER BINDING REGION ORIENTATION</x:v>
      </x:c>
      <x:c r="P751" s="109" t="n">
        <x:v>0</x:v>
      </x:c>
      <x:c r="Q751" s="109" t="n">
        <x:v>99</x:v>
      </x:c>
      <x:c r="R751" s="87" t="str">
        <x:v>C07K16/00;;C07K16/241;;C07K16/244;;C07K16/247;;C07K16/2863;;C07K16/2866;;C07K16/32;;C07K16/461;;C07K2317/21;;C07K2317/24;;C07K2317/624;;C07K2317/64;;C07K2317/76;;C07K2317/92;;C07K2317/94;;C07K16/245;;C07K2317/626;;C07K2317/66;;C07K16/2803;;C07K16/2809;;C07K2317/55;;C07K2317/73;;C07K2317/31;;C07K16/468;;A61P37/02;;C07K16/46;;C07K2317/626;;C07K16/244;;C07K16/247;;C07K16/2863;;C07K16/2866;;C07K16/32;;C07K16/461;;C07K16/468;;C07K2317/21;;C07K2317/24;;C07K2317/624;;C07K2317/64;;C07K2317/76;;C07K2317/92;;C07K2317/94;;C07K2317/31;;C07K2317/73;;C07K16/2803;;C07K16/2809;;C07K2317/55;;C07K2317/66;;C07K16/245;;C07K16/00;;C07K16/241;;A61P37/02;;C07K2317/522;;C07K2317/524;;C07K2317/526;;C07K2317/53;;C07K2318/00;;C07K16/241;;C07K16/244;;C07K16/247;;C07K16/2863;;C07K16/468;;C07K16/2866;;C07K16/32;;A61P37/02;;C07K2317/31;;C07K2317/21;;C07K2317/24;;C07K2317/624;;C07K2317/64;;C07K2317/76;;C07K2317/92;;C07K2317/94;;A61K2039/505;;C07K2317/53;;C07K2317/524;;C07K2317/526;;C07K2317/31;;C07K2317/522;;C07K2318/00;;C07K16/245;;C07K2317/626;;C07K2317/66;;C07K16/2803;;C07K16/2809;;C07K2317/55;;C07K2317/73;;C07K16/00;;C07K16/241;;C07K16/244;;C07K16/247;;C07K16/2863;;C07K16/2866;;C07K16/32;;C07K16/461;;C07K2317/21;;C07K2317/24;;C07K2317/624;;C07K2317/64;;C07K2317/76;;C07K2317/92;;C07K2317/94;;C07K16/468;;C07K16/46</x:v>
      </x:c>
      <x:c r="S751" s="87" t="str">
        <x:v>C07K16/00;;C07K16/24;;C07K16/28;;C07K16/32;;C07K16/46</x:v>
      </x:c>
      <x:c r="T751" s="87" t="str">
        <x:v>PENDING</x:v>
      </x:c>
      <x:c r="U751" s="87" t="str">
        <x:v>https://lens.org/091-005-239-706-843</x:v>
      </x:c>
    </x:row>
    <x:row r="752">
      <x:c r="A752" s="87" t="str">
        <x:v>Sanofi_Applicant_EP_Families_2015_2021.csv(1).csv</x:v>
      </x:c>
      <x:c r="B752" s="87" t="str">
        <x:v>Sanofi</x:v>
      </x:c>
      <x:c r="C752" s="87" t="str">
        <x:v>TRT-0010</x:v>
      </x:c>
      <x:c r="D752" s="87" t="str">
        <x:v>Yes</x:v>
      </x:c>
      <x:c r="E752" s="87" t="str">
        <x:v>sanofi</x:v>
      </x:c>
      <x:c r="F752" s="87" t="str">
        <x:v>158</x:v>
      </x:c>
      <x:c r="G752" s="87" t="str">
        <x:v>073-878-072-638-366</x:v>
      </x:c>
      <x:c r="H752" s="110" t="n">
        <x:v>43252</x:v>
      </x:c>
      <x:c r="I752" s="88" t="n">
        <x:v>2018</x:v>
      </x:c>
      <x:c r="J752" s="87" t="str">
        <x:v>EP</x:v>
      </x:c>
      <x:c r="K752" s="87" t="str">
        <x:v>A1</x:v>
      </x:c>
      <x:c r="L752" s="87" t="str">
        <x:v>EP 3801598 A1</x:v>
      </x:c>
      <x:c r="M752" s="87" t="str">
        <x:v>SANOFI SA;;EVOTEC INT GMBH</x:v>
      </x:c>
      <x:c r="N752" s="87" t="str">
        <x:v>EVOTEC INTERNATIONAL GMBH (2023-01-11);;SANOFI (2023-01-11)</x:v>
      </x:c>
      <x:c r="O752" s="87" t="str">
        <x:v>COMBINATION THERAPY FOR TREATING HEPATITIS B VIRUS INFECTION</x:v>
      </x:c>
      <x:c r="P752" s="109" t="n">
        <x:v>0</x:v>
      </x:c>
      <x:c r="Q752" s="109" t="n">
        <x:v>14</x:v>
      </x:c>
      <x:c r="R752" s="87" t="str">
        <x:v>A61K38/21;;A61K38/177;;A61K38/191;;A61K38/212;;A61K38/215;;A61K45/06;;A61P31/12;;A61P31/20;;C07K14/555;;C07K14/705;;A61K38/21;;A61K45/06;;A61P31/12;;A61P31/20;;C07K14/555;;C07K14/705;;A61K38/215;;A61K38/177;;A61K38/212;;A61P31/20</x:v>
      </x:c>
      <x:c r="S752" s="87" t="str">
        <x:v>A61K38/21;;A61K45/06;;A61P31/12;;A61P31/20</x:v>
      </x:c>
      <x:c r="T752" s="87" t="str">
        <x:v>DISCONTINUED</x:v>
      </x:c>
      <x:c r="U752" s="87" t="str">
        <x:v>https://lens.org/073-878-072-638-366</x:v>
      </x:c>
    </x:row>
    <x:row r="753">
      <x:c r="A753" s="87" t="str">
        <x:v>Sanofi_Applicant_EP_Families_2015_2021.csv(1).csv</x:v>
      </x:c>
      <x:c r="B753" s="87" t="str">
        <x:v>Sanofi</x:v>
      </x:c>
      <x:c r="C753" s="87" t="str">
        <x:v>TRT-0010</x:v>
      </x:c>
      <x:c r="D753" s="87" t="str">
        <x:v>Yes</x:v>
      </x:c>
      <x:c r="E753" s="87" t="str">
        <x:v>sanofi</x:v>
      </x:c>
      <x:c r="F753" s="87" t="str">
        <x:v>159</x:v>
      </x:c>
      <x:c r="G753" s="87" t="str">
        <x:v>046-981-476-707-766</x:v>
      </x:c>
      <x:c r="H753" s="110" t="n">
        <x:v>41897</x:v>
      </x:c>
      <x:c r="I753" s="88" t="n">
        <x:v>2014</x:v>
      </x:c>
      <x:c r="J753" s="87" t="str">
        <x:v>EP</x:v>
      </x:c>
      <x:c r="K753" s="87" t="str">
        <x:v>B1</x:v>
      </x:c>
      <x:c r="L753" s="87" t="str">
        <x:v>EP 3193982 B1</x:v>
      </x:c>
      <x:c r="M753" s="87" t="str">
        <x:v>SANOFI SA</x:v>
      </x:c>
      <x:c r="N753" s="87" t="str">
        <x:v>SANOFI (2020-12-02)</x:v>
      </x:c>
      <x:c r="O753" s="87" t="str">
        <x:v>SKIN-ATTACHABLE DRUG INJECTION DEVICE WITH DETACHMENT SENSOR</x:v>
      </x:c>
      <x:c r="P753" s="109" t="n">
        <x:v>0</x:v>
      </x:c>
      <x:c r="Q753" s="109" t="n">
        <x:v>10</x:v>
      </x:c>
      <x:c r="R753" s="87" t="str">
        <x:v>A61M5/14248;;A61M5/1452;;A61M5/20;;A61M2005/14252;;A61M2005/14268;;A61M2205/13;;A61M2205/18;;A61M2205/3306;;A61M2205/3317;;A61M2205/3344;;A61M2205/3368;;A61M2205/3561;;A61M2205/3584;;A61M2205/3592;;A61M2205/502;;A61M2205/581;;A61M2205/582;;A61M2205/583;;A61M5/20;;A61M5/14248;;A61M5/1452;;A61M2005/14252;;A61M2005/14268;;A61M2205/13;;A61M2205/18;;A61M2205/3306;;A61M2205/3317;;A61M2205/3344;;A61M2205/3368;;A61M2205/3561;;A61M2205/3584;;A61M2205/3592;;A61M2205/502;;A61M2205/581;;A61M2205/582;;A61M2205/583;;A61M5/5086;;A61M5/14248;;A61M5/1452;;A61M5/20;;A61M2005/14252;;A61M2005/14268;;A61M2205/13;;A61M2205/14;;A61M2205/18;;A61M2205/3306;;A61M2205/3317;;A61M2205/3344;;A61M2205/3368;;A61M2205/3561;;A61M2205/3569;;A61M2205/3584;;A61M2205/3592;;A61M2205/50;;A61M2205/502;;A61M2205/52;;A61M2205/581;;A61M2205/582;;A61M2205/583;;A61M2205/8206</x:v>
      </x:c>
      <x:c r="S753" s="87" t="str">
        <x:v>A61M5/20;;A61M5/142;;A61M5/145</x:v>
      </x:c>
      <x:c r="T753" s="87" t="str">
        <x:v>ACTIVE</x:v>
      </x:c>
      <x:c r="U753" s="87" t="str">
        <x:v>https://lens.org/046-981-476-707-766</x:v>
      </x:c>
    </x:row>
    <x:row r="754">
      <x:c r="A754" s="87" t="str">
        <x:v>Sanofi_Applicant_EP_Families_2015_2021.csv(1).csv</x:v>
      </x:c>
      <x:c r="B754" s="87" t="str">
        <x:v>Sanofi</x:v>
      </x:c>
      <x:c r="C754" s="87" t="str">
        <x:v>TRT-0010</x:v>
      </x:c>
      <x:c r="D754" s="87" t="str">
        <x:v>Yes</x:v>
      </x:c>
      <x:c r="E754" s="87" t="str">
        <x:v>sanofi</x:v>
      </x:c>
      <x:c r="F754" s="87" t="str">
        <x:v>160</x:v>
      </x:c>
      <x:c r="G754" s="87" t="str">
        <x:v>007-746-479-785-36X</x:v>
      </x:c>
      <x:c r="H754" s="110" t="n">
        <x:v>43235</x:v>
      </x:c>
      <x:c r="I754" s="88" t="n">
        <x:v>2018</x:v>
      </x:c>
      <x:c r="J754" s="87" t="str">
        <x:v>EP</x:v>
      </x:c>
      <x:c r="K754" s="87" t="str">
        <x:v>A1</x:v>
      </x:c>
      <x:c r="L754" s="87" t="str">
        <x:v>EP 3793639 A1</x:v>
      </x:c>
      <x:c r="M754" s="87" t="str">
        <x:v>SANOFI SA</x:v>
      </x:c>
      <x:c r="N754" s="87" t="str">
        <x:v>SANOFI (2022-12-28)</x:v>
      </x:c>
      <x:c r="O754" s="87" t="str">
        <x:v>DRIVE UNIT FOR A LIQUID HANDLING DEVICE AND LIQUID HANDLING DEVICE</x:v>
      </x:c>
      <x:c r="P754" s="109" t="n">
        <x:v>0</x:v>
      </x:c>
      <x:c r="Q754" s="109" t="n">
        <x:v>11</x:v>
      </x:c>
      <x:c r="R754" s="87" t="str">
        <x:v>A61M5/1413;;A61M5/14212;;A61M5/14248;;A61M5/14546;;A61M5/1456;;A61M2005/14264;;A61M2005/14268;;A61M2005/14573;;A61M2205/103;;A61M5/14566;;A61M5/14248;;A61M2005/14268;;A61M2205/8206</x:v>
      </x:c>
      <x:c r="S754" s="87" t="str">
        <x:v>A61M5/14;;A61M5/142;;A61M5/145</x:v>
      </x:c>
      <x:c r="T754" s="87" t="str">
        <x:v>ACTIVE</x:v>
      </x:c>
      <x:c r="U754" s="87" t="str">
        <x:v>https://lens.org/007-746-479-785-36X</x:v>
      </x:c>
    </x:row>
    <x:row r="755">
      <x:c r="A755" s="87" t="str">
        <x:v>Sanofi_Applicant_EP_Families_2015_2021.csv(1).csv</x:v>
      </x:c>
      <x:c r="B755" s="87" t="str">
        <x:v>Sanofi</x:v>
      </x:c>
      <x:c r="C755" s="87" t="str">
        <x:v>TRT-0010</x:v>
      </x:c>
      <x:c r="D755" s="87" t="str">
        <x:v>Yes</x:v>
      </x:c>
      <x:c r="E755" s="87" t="str">
        <x:v>sanofi</x:v>
      </x:c>
      <x:c r="F755" s="87" t="str">
        <x:v>161</x:v>
      </x:c>
      <x:c r="G755" s="87" t="str">
        <x:v>166-201-213-788-198</x:v>
      </x:c>
      <x:c r="H755" s="110" t="n">
        <x:v>39323</x:v>
      </x:c>
      <x:c r="I755" s="88" t="n">
        <x:v>2007</x:v>
      </x:c>
      <x:c r="J755" s="87" t="str">
        <x:v>EP</x:v>
      </x:c>
      <x:c r="K755" s="87" t="str">
        <x:v>A1</x:v>
      </x:c>
      <x:c r="L755" s="87" t="str">
        <x:v>EP 3792284 A1</x:v>
      </x:c>
      <x:c r="M755" s="87" t="str">
        <x:v>SANOFI SA</x:v>
      </x:c>
      <x:c r="N755" s="87" t="str">
        <x:v>SANOFI (2022-12-28)</x:v>
      </x:c>
      <x:c r="O755" s="87" t="str">
        <x:v>HUMANIZED ANTI-CXCR5 ANTIBODIES, DERIVATIVES THEREOF AND THEIR USES</x:v>
      </x:c>
      <x:c r="P755" s="109" t="n">
        <x:v>0</x:v>
      </x:c>
      <x:c r="Q755" s="109" t="n">
        <x:v>102</x:v>
      </x:c>
      <x:c r="R755" s="87" t="str">
        <x:v>A61K2039/505;;C07K2317/24;;C07K2317/33;;C07K2317/565;;C07K2317/567;;C07K2317/76;;C07K2317/92;;C07K16/2866;;G16B5/00;;A61P1/04;;A61P17/02;;A61P17/06;;A61P19/02;;A61P21/04;;A61P25/00;;A61P25/28;;A61P27/02;;A61P29/00;;A61P35/00;;A61P35/02;;A61P37/00;;A61P37/02;;A61P37/04;;A61P37/06;;A61P43/00;;A61K39/395;;C07K16/28;;C07K16/46;;C07K16/462;;G16B5/00;;A61K2039/505;;C07K2317/24;;C07K2317/33;;C07K2317/565;;C07K2317/567;;C07K2317/76;;C07K2317/92;;C07K16/2866;;C07K16/28;;C07K16/2896;;C07K2317/522;;C07K2317/524;;C07K2317/526;;C07K2317/622</x:v>
      </x:c>
      <x:c r="S755" s="87" t="str">
        <x:v>C07K16/28;;A61K39/395</x:v>
      </x:c>
      <x:c r="T755" s="87" t="str">
        <x:v>PENDING</x:v>
      </x:c>
      <x:c r="U755" s="87" t="str">
        <x:v>https://lens.org/166-201-213-788-198</x:v>
      </x:c>
    </x:row>
    <x:row r="756">
      <x:c r="A756" s="87" t="str">
        <x:v>Sanofi_Applicant_EP_Families_2015_2021.csv(1).csv</x:v>
      </x:c>
      <x:c r="B756" s="87" t="str">
        <x:v>Sanofi</x:v>
      </x:c>
      <x:c r="C756" s="87" t="str">
        <x:v>TRT-0010</x:v>
      </x:c>
      <x:c r="D756" s="87" t="str">
        <x:v>Yes</x:v>
      </x:c>
      <x:c r="E756" s="87" t="str">
        <x:v>sanofi</x:v>
      </x:c>
      <x:c r="F756" s="87" t="str">
        <x:v>162</x:v>
      </x:c>
      <x:c r="G756" s="87" t="str">
        <x:v>078-517-926-233-484</x:v>
      </x:c>
      <x:c r="H756" s="110" t="n">
        <x:v>41520</x:v>
      </x:c>
      <x:c r="I756" s="88" t="n">
        <x:v>2013</x:v>
      </x:c>
      <x:c r="J756" s="87" t="str">
        <x:v>EP</x:v>
      </x:c>
      <x:c r="K756" s="87" t="str">
        <x:v>B1</x:v>
      </x:c>
      <x:c r="L756" s="87" t="str">
        <x:v>EP 3041540 B1</x:v>
      </x:c>
      <x:c r="M756" s="87" t="str">
        <x:v>SANOFI SA</x:v>
      </x:c>
      <x:c r="N756" s="87" t="str">
        <x:v>SANOFI (2020-03-11)</x:v>
      </x:c>
      <x:c r="O756" s="87" t="str">
        <x:v>MECHANISM FOR A DRUG DELIVERY DEVICE AND DRUG DELIVERY DEVICE COMPRISING THE MECHANISM</x:v>
      </x:c>
      <x:c r="P756" s="109" t="n">
        <x:v>0</x:v>
      </x:c>
      <x:c r="Q756" s="109" t="n">
        <x:v>8</x:v>
      </x:c>
      <x:c r="R756" s="87" t="str">
        <x:v>A61M5/31551;;A61M5/31;;A61M5/31548;;A61M5/31586;;A61M2005/3126;;A61M5/31551;;A61M5/31;;A61M5/31548;;A61M5/31586;;A61M2005/3126</x:v>
      </x:c>
      <x:c r="S756" s="87" t="str">
        <x:v>A61M5/31;;A61M5/315</x:v>
      </x:c>
      <x:c r="T756" s="87" t="str">
        <x:v>ACTIVE</x:v>
      </x:c>
      <x:c r="U756" s="87" t="str">
        <x:v>https://lens.org/078-517-926-233-484</x:v>
      </x:c>
    </x:row>
    <x:row r="757">
      <x:c r="A757" s="87" t="str">
        <x:v>Sanofi_Applicant_EP_Families_2015_2021.csv(1).csv</x:v>
      </x:c>
      <x:c r="B757" s="87" t="str">
        <x:v>Sanofi</x:v>
      </x:c>
      <x:c r="C757" s="87" t="str">
        <x:v>TRT-0010</x:v>
      </x:c>
      <x:c r="D757" s="87" t="str">
        <x:v>Yes</x:v>
      </x:c>
      <x:c r="E757" s="87" t="str">
        <x:v>sanofi</x:v>
      </x:c>
      <x:c r="F757" s="87" t="str">
        <x:v>163</x:v>
      </x:c>
      <x:c r="G757" s="87" t="str">
        <x:v>176-665-361-101-86X</x:v>
      </x:c>
      <x:c r="H757" s="110" t="n">
        <x:v>43187</x:v>
      </x:c>
      <x:c r="I757" s="88" t="n">
        <x:v>2018</x:v>
      </x:c>
      <x:c r="J757" s="87" t="str">
        <x:v>EP</x:v>
      </x:c>
      <x:c r="K757" s="87" t="str">
        <x:v>A1</x:v>
      </x:c>
      <x:c r="L757" s="87" t="str">
        <x:v>EP 3773819 A1</x:v>
      </x:c>
      <x:c r="M757" s="87" t="str">
        <x:v>SANOFI SA</x:v>
      </x:c>
      <x:c r="N757" s="87" t="str">
        <x:v>SANOFI (2023-11-01)</x:v>
      </x:c>
      <x:c r="O757" s="87" t="str">
        <x:v>INJECTION DEVICE</x:v>
      </x:c>
      <x:c r="P757" s="109" t="n">
        <x:v>0</x:v>
      </x:c>
      <x:c r="Q757" s="109" t="n">
        <x:v>11</x:v>
      </x:c>
      <x:c r="R757" s="87" t="str">
        <x:v>A61M5/20;;A61M5/24;;A61M5/31525;;A61M5/31533;;A61M5/31541;;A61M5/3155;;A61M5/31551;;A61M5/31553;;A61M5/3156;;A61M5/31583;;A61M5/31593;;A61M2005/3125;;A61M2005/3126;;A61M2205/0227;;A61M2205/3317;;A61M2205/3365;;A61M2205/50;;A61M2205/581;;A61M5/24;;A61M5/3155;;A61M5/31583;;A61M2005/3126;;A61M2205/0227;;A61M2205/0233;;A61M2205/3317;;A61M2205/50</x:v>
      </x:c>
      <x:c r="S757" s="87" t="str">
        <x:v>A61M5/315;;A61M5/20;;A61M5/24;;A61M5/31</x:v>
      </x:c>
      <x:c r="T757" s="87" t="str">
        <x:v>ACTIVE</x:v>
      </x:c>
      <x:c r="U757" s="87" t="str">
        <x:v>https://lens.org/176-665-361-101-86X</x:v>
      </x:c>
    </x:row>
    <x:row r="758">
      <x:c r="A758" s="87" t="str">
        <x:v>Sanofi_Applicant_EP_Families_2015_2021.csv(1).csv</x:v>
      </x:c>
      <x:c r="B758" s="87" t="str">
        <x:v>Sanofi</x:v>
      </x:c>
      <x:c r="C758" s="87" t="str">
        <x:v>TRT-0010</x:v>
      </x:c>
      <x:c r="D758" s="87" t="str">
        <x:v>Yes</x:v>
      </x:c>
      <x:c r="E758" s="87" t="str">
        <x:v>sanofi</x:v>
      </x:c>
      <x:c r="F758" s="87" t="str">
        <x:v>164</x:v>
      </x:c>
      <x:c r="G758" s="87" t="str">
        <x:v>138-485-996-334-441</x:v>
      </x:c>
      <x:c r="H758" s="110" t="n">
        <x:v>43187</x:v>
      </x:c>
      <x:c r="I758" s="88" t="n">
        <x:v>2018</x:v>
      </x:c>
      <x:c r="J758" s="87" t="str">
        <x:v>EP</x:v>
      </x:c>
      <x:c r="K758" s="87" t="str">
        <x:v>A1</x:v>
      </x:c>
      <x:c r="L758" s="87" t="str">
        <x:v>EP 3773818 A1</x:v>
      </x:c>
      <x:c r="M758" s="87" t="str">
        <x:v>SANOFI SA</x:v>
      </x:c>
      <x:c r="N758" s="87" t="str">
        <x:v>SANOFI (2023-11-01)</x:v>
      </x:c>
      <x:c r="O758" s="87" t="str">
        <x:v>INJECTION DEVICE</x:v>
      </x:c>
      <x:c r="P758" s="109" t="n">
        <x:v>0</x:v>
      </x:c>
      <x:c r="Q758" s="109" t="n">
        <x:v>9</x:v>
      </x:c>
      <x:c r="R758" s="87" t="str">
        <x:v>A61M5/3155;;A61M2205/3306;;A61M2205/3317;;A61M2205/3365;;A61M5/3155;;A61M5/31563;;A61M5/31566;;A61M5/3158;;A61M2205/3306;;A61M2205/3317;;A61M2205/3584;;A61M2205/50;;A61M2205/581;;A61M2205/582</x:v>
      </x:c>
      <x:c r="S758" s="87" t="str">
        <x:v>A61M5/315</x:v>
      </x:c>
      <x:c r="T758" s="87" t="str">
        <x:v>PENDING</x:v>
      </x:c>
      <x:c r="U758" s="87" t="str">
        <x:v>https://lens.org/138-485-996-334-441</x:v>
      </x:c>
    </x:row>
    <x:row r="759">
      <x:c r="A759" s="87" t="str">
        <x:v>Sanofi_Applicant_EP_Families_2015_2021.csv(1).csv</x:v>
      </x:c>
      <x:c r="B759" s="87" t="str">
        <x:v>Sanofi</x:v>
      </x:c>
      <x:c r="C759" s="87" t="str">
        <x:v>TRT-0010</x:v>
      </x:c>
      <x:c r="D759" s="87" t="str">
        <x:v>Yes</x:v>
      </x:c>
      <x:c r="E759" s="87" t="str">
        <x:v>sanofi</x:v>
      </x:c>
      <x:c r="F759" s="87" t="str">
        <x:v>165</x:v>
      </x:c>
      <x:c r="G759" s="87" t="str">
        <x:v>107-966-254-747-864</x:v>
      </x:c>
      <x:c r="H759" s="110" t="n">
        <x:v>43201</x:v>
      </x:c>
      <x:c r="I759" s="88" t="n">
        <x:v>2018</x:v>
      </x:c>
      <x:c r="J759" s="87" t="str">
        <x:v>EP</x:v>
      </x:c>
      <x:c r="K759" s="87" t="str">
        <x:v>A1</x:v>
      </x:c>
      <x:c r="L759" s="87" t="str">
        <x:v>EP 3773797 A1</x:v>
      </x:c>
      <x:c r="M759" s="87" t="str">
        <x:v>SANOFI SA</x:v>
      </x:c>
      <x:c r="N759" s="87" t="str">
        <x:v>SANOFI (2022-12-28)</x:v>
      </x:c>
      <x:c r="O759" s="87" t="str">
        <x:v>DRUG DELIVERY DEVICE</x:v>
      </x:c>
      <x:c r="P759" s="109" t="n">
        <x:v>0</x:v>
      </x:c>
      <x:c r="Q759" s="109" t="n">
        <x:v>7</x:v>
      </x:c>
      <x:c r="R759" s="87" t="str">
        <x:v>A61M5/20;;A61M5/31;;A61M5/3129;;A61M5/3137;;A61M5/31576;;A61M5/31581;;A61M5/31591;;A61M5/3202;;A61M5/322;;A61M2005/2073;;A61M2005/3114;;A61M5/14248;;A61M5/2033;;A61M5/3157;;A61M5/50;;A61M2005/14252;;A61M2005/14256;;A61M2005/2013;;A61M2005/206;;A61M2005/208;;A61M2005/247;;A61M2005/3267;;A61M5/2033;;A61M5/286;;A61M5/3158;;A61M5/326;;A61M2005/2013;;A61M2005/206;;A61M2205/13</x:v>
      </x:c>
      <x:c r="S759" s="87" t="str">
        <x:v>A61M5/142;;A61M5/20;;A61M5/24;;A61M5/315;;A61M5/32;;A61M5/50</x:v>
      </x:c>
      <x:c r="T759" s="87" t="str">
        <x:v>PENDING</x:v>
      </x:c>
      <x:c r="U759" s="87" t="str">
        <x:v>https://lens.org/107-966-254-747-864</x:v>
      </x:c>
    </x:row>
    <x:row r="760">
      <x:c r="A760" s="87" t="str">
        <x:v>Sanofi_Applicant_EP_Families_2015_2021.csv(1).csv</x:v>
      </x:c>
      <x:c r="B760" s="87" t="str">
        <x:v>Sanofi</x:v>
      </x:c>
      <x:c r="C760" s="87" t="str">
        <x:v>TRT-0010</x:v>
      </x:c>
      <x:c r="D760" s="87" t="str">
        <x:v>Yes</x:v>
      </x:c>
      <x:c r="E760" s="87" t="str">
        <x:v>sanofi</x:v>
      </x:c>
      <x:c r="F760" s="87" t="str">
        <x:v>166</x:v>
      </x:c>
      <x:c r="G760" s="87" t="str">
        <x:v>122-635-279-760-579</x:v>
      </x:c>
      <x:c r="H760" s="110" t="n">
        <x:v>40658</x:v>
      </x:c>
      <x:c r="I760" s="88" t="n">
        <x:v>2011</x:v>
      </x:c>
      <x:c r="J760" s="87" t="str">
        <x:v>EP</x:v>
      </x:c>
      <x:c r="K760" s="87" t="str">
        <x:v>B1</x:v>
      </x:c>
      <x:c r="L760" s="87" t="str">
        <x:v>EP 3211082 B1</x:v>
      </x:c>
      <x:c r="M760" s="87" t="str">
        <x:v>SANOFI SA</x:v>
      </x:c>
      <x:c r="N760" s="87" t="str">
        <x:v>SANOFI (2019-10-02)</x:v>
      </x:c>
      <x:c r="O760" s="87" t="str">
        <x:v>MICRORNA COMPOUNDS AND METHODS FOR MODULATING MIR-21 ACTIVITY</x:v>
      </x:c>
      <x:c r="P760" s="109" t="n">
        <x:v>0</x:v>
      </x:c>
      <x:c r="Q760" s="109" t="n">
        <x:v>85</x:v>
      </x:c>
      <x:c r="R760" s="87" t="str">
        <x:v>C12N15/113;;A61P1/00;;A61P1/16;;A61P3/10;;A61P9/00;;A61P11/00;;A61P13/02;;A61P13/12;;A61P17/00;;A61P17/02;;A61P19/04;;A61P35/00;;A61P35/02;;A61P35/04;;A61P37/00;;A61P43/00;;C12N2310/113;;C12N2310/3231;;C12N2310/343;;C12N15/113;;A61P1/00;;A61P1/16;;A61P3/10;;A61P9/00;;A61P11/00;;A61P13/02;;A61P13/12;;A61P17/00;;A61P17/02;;A61P19/04;;A61P35/00;;A61P35/02;;A61P35/04;;A61P37/00;;A61P43/00;;C12N2310/11;;C12N2310/113;;C12N2310/3231;;C12N2310/343;;C12N2310/35;;C12N15/113;;A61K31/7088;;A61P1/16;;A61P9/00;;A61P13/12;;A61P17/02;;A61P35/00;;C12N2310/11;;C12N2310/113;;C12N2310/3231;;C12N2310/343;;C12N2310/35;;C12N15/113;;C12N2310/11;;C12N2310/113;;C12N2310/3231;;C12N2310/343;;C12N2310/35</x:v>
      </x:c>
      <x:c r="S760" s="87" t="str">
        <x:v>C12N15/113;;A61P35/00</x:v>
      </x:c>
      <x:c r="T760" s="87" t="str">
        <x:v>ACTIVE</x:v>
      </x:c>
      <x:c r="U760" s="87" t="str">
        <x:v>https://lens.org/122-635-279-760-579</x:v>
      </x:c>
    </x:row>
    <x:row r="761">
      <x:c r="A761" s="87" t="str">
        <x:v>Sanofi_Applicant_EP_Families_2015_2021.csv(1).csv</x:v>
      </x:c>
      <x:c r="B761" s="87" t="str">
        <x:v>Sanofi</x:v>
      </x:c>
      <x:c r="C761" s="87" t="str">
        <x:v>TRT-0010</x:v>
      </x:c>
      <x:c r="D761" s="87" t="str">
        <x:v>Yes</x:v>
      </x:c>
      <x:c r="E761" s="87" t="str">
        <x:v>sanofi</x:v>
      </x:c>
      <x:c r="F761" s="87" t="str">
        <x:v>167</x:v>
      </x:c>
      <x:c r="G761" s="87" t="str">
        <x:v>064-031-687-497-23X</x:v>
      </x:c>
      <x:c r="H761" s="110" t="n">
        <x:v>43201</x:v>
      </x:c>
      <x:c r="I761" s="88" t="n">
        <x:v>2018</x:v>
      </x:c>
      <x:c r="J761" s="87" t="str">
        <x:v>EP</x:v>
      </x:c>
      <x:c r="K761" s="87" t="str">
        <x:v>A1</x:v>
      </x:c>
      <x:c r="L761" s="87" t="str">
        <x:v>EP 3773796 A1</x:v>
      </x:c>
      <x:c r="M761" s="87" t="str">
        <x:v>SANOFI SA</x:v>
      </x:c>
      <x:c r="N761" s="87" t="str">
        <x:v>SANOFI (2022-12-28)</x:v>
      </x:c>
      <x:c r="O761" s="87" t="str">
        <x:v>DRUG DELIVERY DEVICE</x:v>
      </x:c>
      <x:c r="P761" s="109" t="n">
        <x:v>0</x:v>
      </x:c>
      <x:c r="Q761" s="109" t="n">
        <x:v>6</x:v>
      </x:c>
      <x:c r="R761" s="87" t="str">
        <x:v>A61M5/2033;;A61M5/14248;;A61M5/50;;A61M2005/14252;;A61M2005/14256;;A61M2005/1426;;A61M2005/2013;;A61M2005/2073;;A61M2005/208;;A61M2005/247;;A61M2005/31518;;A61M2005/3267;;A61M2005/3268;;A61M5/2033;;A61M5/286;;A61M5/3158;;A61M5/3202;;A61M2005/2013;;A61M2205/13;;A61M2205/581</x:v>
      </x:c>
      <x:c r="S761" s="87" t="str">
        <x:v>A61M5/142;;A61M5/20;;A61M5/24;;A61M5/315;;A61M5/32;;A61M5/50</x:v>
      </x:c>
      <x:c r="T761" s="87" t="str">
        <x:v>PENDING</x:v>
      </x:c>
      <x:c r="U761" s="87" t="str">
        <x:v>https://lens.org/064-031-687-497-23X</x:v>
      </x:c>
    </x:row>
    <x:row r="762">
      <x:c r="A762" s="87" t="str">
        <x:v>Sanofi_Applicant_EP_Families_2015_2021.csv(1).csv</x:v>
      </x:c>
      <x:c r="B762" s="87" t="str">
        <x:v>Sanofi</x:v>
      </x:c>
      <x:c r="C762" s="87" t="str">
        <x:v>TRT-0010</x:v>
      </x:c>
      <x:c r="D762" s="87" t="str">
        <x:v>Yes</x:v>
      </x:c>
      <x:c r="E762" s="87" t="str">
        <x:v>sanofi</x:v>
      </x:c>
      <x:c r="F762" s="87" t="str">
        <x:v>168</x:v>
      </x:c>
      <x:c r="G762" s="87" t="str">
        <x:v>027-871-464-041-913</x:v>
      </x:c>
      <x:c r="H762" s="110" t="n">
        <x:v>43187</x:v>
      </x:c>
      <x:c r="I762" s="88" t="n">
        <x:v>2018</x:v>
      </x:c>
      <x:c r="J762" s="87" t="str">
        <x:v>EP</x:v>
      </x:c>
      <x:c r="K762" s="87" t="str">
        <x:v>A1</x:v>
      </x:c>
      <x:c r="L762" s="87" t="str">
        <x:v>EP 3773801 A1</x:v>
      </x:c>
      <x:c r="M762" s="87" t="str">
        <x:v>SANOFI SA</x:v>
      </x:c>
      <x:c r="N762" s="87" t="str">
        <x:v>SANOFI (2023-11-01)</x:v>
      </x:c>
      <x:c r="O762" s="87" t="str">
        <x:v>INJECTION DEVICE</x:v>
      </x:c>
      <x:c r="P762" s="109" t="n">
        <x:v>0</x:v>
      </x:c>
      <x:c r="Q762" s="109" t="n">
        <x:v>9</x:v>
      </x:c>
      <x:c r="R762" s="87" t="str">
        <x:v>A61M5/20;;A61M5/24;;A61M5/31551;;A61M5/3157;;A61M5/31585;;A61M5/5086;;A61M2205/3306;;A61M2205/3317;;A61M2205/3375;;A61M2205/50;;A61M2205/581;;A61M2205/582;;A61M2205/583;;A61M5/2033;;A61M5/31551;;A61M5/3157;;A61M5/31585;;A61M2005/3126;;A61M2205/3306;;A61M2205/3317;;A61M2205/3375;;A61M2205/581;;A61M2205/582</x:v>
      </x:c>
      <x:c r="S762" s="87" t="str">
        <x:v>A61M5/20;;A61M5/24;;A61M5/315</x:v>
      </x:c>
      <x:c r="T762" s="87" t="str">
        <x:v>PENDING</x:v>
      </x:c>
      <x:c r="U762" s="87" t="str">
        <x:v>https://lens.org/027-871-464-041-913</x:v>
      </x:c>
    </x:row>
    <x:row r="763">
      <x:c r="A763" s="87" t="str">
        <x:v>Sanofi_Applicant_EP_Families_2015_2021.csv(1).csv</x:v>
      </x:c>
      <x:c r="B763" s="87" t="str">
        <x:v>Sanofi</x:v>
      </x:c>
      <x:c r="C763" s="87" t="str">
        <x:v>TRT-0010</x:v>
      </x:c>
      <x:c r="D763" s="87" t="str">
        <x:v>Yes</x:v>
      </x:c>
      <x:c r="E763" s="87" t="str">
        <x:v>sanofi</x:v>
      </x:c>
      <x:c r="F763" s="87" t="str">
        <x:v>169</x:v>
      </x:c>
      <x:c r="G763" s="87" t="str">
        <x:v>122-722-157-517-752</x:v>
      </x:c>
      <x:c r="H763" s="110" t="n">
        <x:v>43172</x:v>
      </x:c>
      <x:c r="I763" s="88" t="n">
        <x:v>2018</x:v>
      </x:c>
      <x:c r="J763" s="87" t="str">
        <x:v>EP</x:v>
      </x:c>
      <x:c r="K763" s="87" t="str">
        <x:v>A1</x:v>
      </x:c>
      <x:c r="L763" s="87" t="str">
        <x:v>EP 3765127 A1</x:v>
      </x:c>
      <x:c r="M763" s="87" t="str">
        <x:v>SANOFI SA</x:v>
      </x:c>
      <x:c r="N763" s="87" t="str">
        <x:v>SANOFI (2023-11-01)</x:v>
      </x:c>
      <x:c r="O763" s="87" t="str">
        <x:v>DRIVE TRAIN FOR DIAL OF A TORSION-SPRING ASSISTED WIND-UP INJECTION DEVICE</x:v>
      </x:c>
      <x:c r="P763" s="109" t="n">
        <x:v>0</x:v>
      </x:c>
      <x:c r="Q763" s="109" t="n">
        <x:v>6</x:v>
      </x:c>
      <x:c r="R763" s="87" t="str">
        <x:v>A61M5/20;;A61M5/31;;A61M5/3155;;A61M2005/2418;;A61M2005/3143;;A61M5/31551;;A61M5/2033;;A61M5/31536;;A61M5/31541;;A61M5/31586;;A61M2205/42;;A61M2205/581;;A61M2205/582</x:v>
      </x:c>
      <x:c r="S763" s="87" t="str">
        <x:v>A61M5/20;;A61M5/24;;A61M5/31;;A61M5/315</x:v>
      </x:c>
      <x:c r="T763" s="87" t="str">
        <x:v>PENDING</x:v>
      </x:c>
      <x:c r="U763" s="87" t="str">
        <x:v>https://lens.org/122-722-157-517-752</x:v>
      </x:c>
    </x:row>
    <x:row r="764">
      <x:c r="A764" s="87" t="str">
        <x:v>Sanofi_Applicant_EP_Families_2015_2021.csv(1).csv</x:v>
      </x:c>
      <x:c r="B764" s="87" t="str">
        <x:v>Sanofi</x:v>
      </x:c>
      <x:c r="C764" s="87" t="str">
        <x:v>TRT-0010</x:v>
      </x:c>
      <x:c r="D764" s="87" t="str">
        <x:v>Yes</x:v>
      </x:c>
      <x:c r="E764" s="87" t="str">
        <x:v>sanofi</x:v>
      </x:c>
      <x:c r="F764" s="87" t="str">
        <x:v>170</x:v>
      </x:c>
      <x:c r="G764" s="87" t="str">
        <x:v>056-409-844-383-730</x:v>
      </x:c>
      <x:c r="H764" s="110" t="n">
        <x:v>41590</x:v>
      </x:c>
      <x:c r="I764" s="88" t="n">
        <x:v>2013</x:v>
      </x:c>
      <x:c r="J764" s="87" t="str">
        <x:v>EP</x:v>
      </x:c>
      <x:c r="K764" s="87" t="str">
        <x:v>B1</x:v>
      </x:c>
      <x:c r="L764" s="87" t="str">
        <x:v>EP 3068803 B1</x:v>
      </x:c>
      <x:c r="M764" s="87" t="str">
        <x:v>SANOFI BIOTECHNOLOGY;;REGENERON PHARMA</x:v>
      </x:c>
      <x:c r="N764" s="87" t="str">
        <x:v>REGENERON PHARMACEUTICALS, INC. (2020-04-15);;SANOFI BIOTECHNOLOGY (2020-04-15)</x:v>
      </x:c>
      <x:c r="O764" s="87" t="str">
        <x:v>DOSING REGIMENS FOR USE WITH PCSK9 INHIBITORS</x:v>
      </x:c>
      <x:c r="P764" s="109" t="n">
        <x:v>0</x:v>
      </x:c>
      <x:c r="Q764" s="109" t="n">
        <x:v>26</x:v>
      </x:c>
      <x:c r="R764" s="87" t="str">
        <x:v>C07K2317/21;;A61K2039/545;;C07K16/40;;C07K2317/76;;A61K2039/505;;A61P3/06;;A61P43/00;;A61K2039/545;;A61K39/395;;A61K39/3955;;C07K16/40;;C07K2317/21;;C07K2317/56;;C07K2317/565;;C07K2317/76;;A61K39/395;;A61K39/3955;;C07K16/40;;A61K2039/505;;A61K2039/545;;C07K2317/76;;C07K2317/21;;C07K2317/565;;C07K16/40;;C07K2317/565;;C07K2317/76;;A61K2039/505;;A61K2039/545;;C07K2317/21;;C07K2317/56</x:v>
      </x:c>
      <x:c r="S764" s="87" t="str">
        <x:v>C07K16/40;;A61K39/395;;A61P3/06</x:v>
      </x:c>
      <x:c r="T764" s="87" t="str">
        <x:v>ACTIVE</x:v>
      </x:c>
      <x:c r="U764" s="87" t="str">
        <x:v>https://lens.org/056-409-844-383-730</x:v>
      </x:c>
    </x:row>
    <x:row r="765">
      <x:c r="A765" s="87" t="str">
        <x:v>Sanofi_Applicant_EP_Families_2015_2021.csv(1).csv</x:v>
      </x:c>
      <x:c r="B765" s="87" t="str">
        <x:v>Sanofi</x:v>
      </x:c>
      <x:c r="C765" s="87" t="str">
        <x:v>TRT-0010</x:v>
      </x:c>
      <x:c r="D765" s="87" t="str">
        <x:v>Yes</x:v>
      </x:c>
      <x:c r="E765" s="87" t="str">
        <x:v>sanofi</x:v>
      </x:c>
      <x:c r="F765" s="87" t="str">
        <x:v>171</x:v>
      </x:c>
      <x:c r="G765" s="87" t="str">
        <x:v>179-882-357-827-721</x:v>
      </x:c>
      <x:c r="H765" s="110" t="n">
        <x:v>43166</x:v>
      </x:c>
      <x:c r="I765" s="88" t="n">
        <x:v>2018</x:v>
      </x:c>
      <x:c r="J765" s="87" t="str">
        <x:v>EP</x:v>
      </x:c>
      <x:c r="K765" s="87" t="str">
        <x:v>A1</x:v>
      </x:c>
      <x:c r="L765" s="87" t="str">
        <x:v>EP 3762395 A1</x:v>
      </x:c>
      <x:c r="M765" s="87" t="str">
        <x:v>SANOFI SA</x:v>
      </x:c>
      <x:c r="N765" s="87" t="str">
        <x:v>SANOFI (2023-01-11)</x:v>
      </x:c>
      <x:c r="O765" s="87" t="str">
        <x:v>NUCLEOTIDE PRECURSORS, NUCLEOTIDE ANALOGS AND OLIGOMERIC COMPOUNDS CONTAINING THE SAME</x:v>
      </x:c>
      <x:c r="P765" s="109" t="n">
        <x:v>0</x:v>
      </x:c>
      <x:c r="Q765" s="109" t="n">
        <x:v>10</x:v>
      </x:c>
      <x:c r="R765" s="87" t="str">
        <x:v>C07D405/04;;C07F9/6533;;C07F9/6552;;C07F9/65583;;C07F9/65586;;C07F9/65616;;C07H15/26;;C07H21/00;;C07H21/02;;A61P35/00;;C07D413/04;;Y02P20/55;;C07F9/65583;;C07F9/65616;;C07H15/26</x:v>
      </x:c>
      <x:c r="S765" s="87" t="str">
        <x:v>C07H15/26;;A61P35/00;;C07D405/04;;C07D413/04;;C07D473/18;;C07D473/34;;C07F7/18;;C07F9/6533;;C07F9/655;;C07F9/6558;;C07F9/6561;;C07H21/00;;C07H21/02</x:v>
      </x:c>
      <x:c r="T765" s="87" t="str">
        <x:v>PENDING</x:v>
      </x:c>
      <x:c r="U765" s="87" t="str">
        <x:v>https://lens.org/179-882-357-827-721</x:v>
      </x:c>
    </x:row>
    <x:row r="766">
      <x:c r="A766" s="87" t="str">
        <x:v>Sanofi_Applicant_EP_Families_2015_2021.csv(1).csv</x:v>
      </x:c>
      <x:c r="B766" s="87" t="str">
        <x:v>Sanofi</x:v>
      </x:c>
      <x:c r="C766" s="87" t="str">
        <x:v>TRT-0010</x:v>
      </x:c>
      <x:c r="D766" s="87" t="str">
        <x:v>Yes</x:v>
      </x:c>
      <x:c r="E766" s="87" t="str">
        <x:v>sanofi</x:v>
      </x:c>
      <x:c r="F766" s="87" t="str">
        <x:v>172</x:v>
      </x:c>
      <x:c r="G766" s="87" t="str">
        <x:v>012-677-447-320-79X</x:v>
      </x:c>
      <x:c r="H766" s="110" t="n">
        <x:v>40952</x:v>
      </x:c>
      <x:c r="I766" s="88" t="n">
        <x:v>2012</x:v>
      </x:c>
      <x:c r="J766" s="87" t="str">
        <x:v>EP</x:v>
      </x:c>
      <x:c r="K766" s="87" t="str">
        <x:v>A1</x:v>
      </x:c>
      <x:c r="L766" s="87" t="str">
        <x:v>EP 3756707 A1</x:v>
      </x:c>
      <x:c r="M766" s="87" t="str">
        <x:v>SANOFI AVENTIS DEUTSCHLAND</x:v>
      </x:c>
      <x:c r="N766" s="87" t="str">
        <x:v>SANOFI-AVENTIS DEUTSCHLAND GMBH (2026-04-01)</x:v>
      </x:c>
      <x:c r="O766" s="87" t="str">
        <x:v>PEN-TYPE INJECTION DEVICE AND ELECTRONIC CLIP-ON MODULE THEREFOR</x:v>
      </x:c>
      <x:c r="P766" s="109" t="n">
        <x:v>0</x:v>
      </x:c>
      <x:c r="Q766" s="109" t="n">
        <x:v>32</x:v>
      </x:c>
      <x:c r="R766" s="87" t="str">
        <x:v>A61M5/24;;A61B5/14532;;A61B5/4839;;A61M5/3155;;A61M2005/3125;;A61M2005/3126;;A61M2005/3154;;A61M2205/14;;A61M2205/18;;A61M2205/3306;;A61M2205/3375;;A61M2205/3592;;A61M2205/50;;A61M2205/502;;A61M2205/52;;A61M2205/581;;A61M2205/582;;A61M2205/6045;;A61M2205/6072;;A61M2205/6081;;A61M2209/04;;F16B21/088;;A61M5/24;;A61B5/14532;;A61B5/4839;;A61M2205/3306;;A61M2205/3375;;A61M2205/3592;;A61M2205/52;;A61M2205/582;;A61M2205/6045;;A61M2205/6081;;G16H20/17;;Y10T29/49826;;Y10T403/59;;A61M5/24;;A61M5/24;;A61B5/14532;;A61B5/4839;;A61M2005/3125;;A61M2005/3126;;A61M2205/14;;A61M2205/18;;A61M2205/3306;;A61M2205/3375;;A61M2205/3592;;A61M2205/50;;A61M2205/502;;A61M2205/52;;A61M2205/581;;A61M2205/582;;A61M2205/6045;;A61M2205/6072;;A61M2205/6081;;A61M2209/04;;F16B21/088;;G16H20/17;;Y10T29/49826;;Y10T403/59</x:v>
      </x:c>
      <x:c r="S766" s="87" t="str">
        <x:v>A61M5/24;;A61B5/145;;A61M5/31;;F16B1/00;;F16B2/02;;F16B2/20;;F16B7/04;;F16B17/00;;F16B21/02;;F16B21/06;;G16H20/17</x:v>
      </x:c>
      <x:c r="T766" s="87" t="str">
        <x:v>ACTIVE</x:v>
      </x:c>
      <x:c r="U766" s="87" t="str">
        <x:v>https://lens.org/012-677-447-320-79X</x:v>
      </x:c>
    </x:row>
    <x:row r="767">
      <x:c r="A767" s="87" t="str">
        <x:v>Sanofi_Applicant_EP_Families_2015_2021.csv(1).csv</x:v>
      </x:c>
      <x:c r="B767" s="87" t="str">
        <x:v>Sanofi</x:v>
      </x:c>
      <x:c r="C767" s="87" t="str">
        <x:v>TRT-0010</x:v>
      </x:c>
      <x:c r="D767" s="87" t="str">
        <x:v>Yes</x:v>
      </x:c>
      <x:c r="E767" s="87" t="str">
        <x:v>sanofi</x:v>
      </x:c>
      <x:c r="F767" s="87" t="str">
        <x:v>173</x:v>
      </x:c>
      <x:c r="G767" s="87" t="str">
        <x:v>160-733-184-135-567</x:v>
      </x:c>
      <x:c r="H767" s="110" t="n">
        <x:v>40093</x:v>
      </x:c>
      <x:c r="I767" s="88" t="n">
        <x:v>2009</x:v>
      </x:c>
      <x:c r="J767" s="87" t="str">
        <x:v>EP</x:v>
      </x:c>
      <x:c r="K767" s="87" t="str">
        <x:v>B1</x:v>
      </x:c>
      <x:c r="L767" s="87" t="str">
        <x:v>EP 2485766 B1</x:v>
      </x:c>
      <x:c r="M767" s="87" t="str">
        <x:v>SANOFI PASTEUR</x:v>
      </x:c>
      <x:c r="N767" s="87" t="str">
        <x:v>SANOFI PASTEUR (2018-01-17)</x:v>
      </x:c>
      <x:c r="O767" s="87" t="str">
        <x:v>STABILISING EXCIPIENT FOR INACTIVATED WHOLE-VIRUS VACCINES</x:v>
      </x:c>
      <x:c r="P767" s="109" t="n">
        <x:v>0</x:v>
      </x:c>
      <x:c r="Q767" s="109" t="n">
        <x:v>27</x:v>
      </x:c>
      <x:c r="R767" s="87" t="str">
        <x:v>A61K39/12;;A61K9/0019;;A61K39/205;;A61K47/18;;A61K47/183;;A61K47/26;;A61K2039/5252;;A61P31/12;;A61P31/14;;C12N2760/20134;;Y02A50/30;;A61K39/205;;A61K39/12;;A61K47/02;;A61K47/10;;A61K47/18;;A61K47/183;;A61K47/26;;A61K2039/5252;;C12N2760/20134</x:v>
      </x:c>
      <x:c r="S767" s="87" t="str">
        <x:v>A61K47/00;;A61K39/00;;A61K39/12;;A61K39/205</x:v>
      </x:c>
      <x:c r="T767" s="87" t="str">
        <x:v>ACTIVE</x:v>
      </x:c>
      <x:c r="U767" s="87" t="str">
        <x:v>https://lens.org/160-733-184-135-567</x:v>
      </x:c>
    </x:row>
    <x:row r="768">
      <x:c r="A768" s="87" t="str">
        <x:v>Sanofi_Applicant_EP_Families_2015_2021.csv(1).csv</x:v>
      </x:c>
      <x:c r="B768" s="87" t="str">
        <x:v>Sanofi</x:v>
      </x:c>
      <x:c r="C768" s="87" t="str">
        <x:v>TRT-0010</x:v>
      </x:c>
      <x:c r="D768" s="87" t="str">
        <x:v>Yes</x:v>
      </x:c>
      <x:c r="E768" s="87" t="str">
        <x:v>sanofi</x:v>
      </x:c>
      <x:c r="F768" s="87" t="str">
        <x:v>174</x:v>
      </x:c>
      <x:c r="G768" s="87" t="str">
        <x:v>178-627-077-101-518</x:v>
      </x:c>
      <x:c r="H768" s="110" t="n">
        <x:v>41309</x:v>
      </x:c>
      <x:c r="I768" s="88" t="n">
        <x:v>2013</x:v>
      </x:c>
      <x:c r="J768" s="87" t="str">
        <x:v>EP</x:v>
      </x:c>
      <x:c r="K768" s="87" t="str">
        <x:v>A1</x:v>
      </x:c>
      <x:c r="L768" s="87" t="str">
        <x:v>EP 3747426 A1</x:v>
      </x:c>
      <x:c r="M768" s="87" t="str">
        <x:v>SANOFI SA</x:v>
      </x:c>
      <x:c r="N768" s="87" t="str">
        <x:v>SANOFI (2022-12-28)</x:v>
      </x:c>
      <x:c r="O768" s="87" t="str">
        <x:v>STABILIZED PHARMACEUTICAL FORMULATIONS OF INSULIN ANALOGUES AND/OR INSULIN DERIVATIVES</x:v>
      </x:c>
      <x:c r="P768" s="109" t="n">
        <x:v>0</x:v>
      </x:c>
      <x:c r="Q768" s="109" t="n">
        <x:v>47</x:v>
      </x:c>
      <x:c r="R768" s="87" t="str">
        <x:v>A61K9/0019;;A61K47/18;;A61K9/02;;A61K38/1825;;A61K38/26;;A61K45/06;;A61K38/28;;A61P43/00;;A61P5/50;;A61P3/10;;A61K9/0019;;A61K9/02;;A61K38/1825;;A61K38/26;;A61K38/28;;A61K47/18;;A61K9/08;;A61K9/10;;A61K38/28;;A61K47/02;;A61K47/08;;A61K47/10;;A61K47/42;;A61K38/28;;A61K9/0019;;A61K47/18;;A61K9/02;;A61K38/1825;;A61K38/26;;A61K45/06</x:v>
      </x:c>
      <x:c r="S768" s="87" t="str">
        <x:v>A61K9/00;;A61K9/02;;A61K38/28;;A61K47/18;;A61P3/10</x:v>
      </x:c>
      <x:c r="T768" s="87" t="str">
        <x:v>PENDING</x:v>
      </x:c>
      <x:c r="U768" s="87" t="str">
        <x:v>https://lens.org/178-627-077-101-518</x:v>
      </x:c>
    </x:row>
    <x:row r="769">
      <x:c r="A769" s="87" t="str">
        <x:v>Sanofi_Applicant_EP_Families_2015_2021.csv(1).csv</x:v>
      </x:c>
      <x:c r="B769" s="87" t="str">
        <x:v>Sanofi</x:v>
      </x:c>
      <x:c r="C769" s="87" t="str">
        <x:v>TRT-0010</x:v>
      </x:c>
      <x:c r="D769" s="87" t="str">
        <x:v>Yes</x:v>
      </x:c>
      <x:c r="E769" s="87" t="str">
        <x:v>sanofi</x:v>
      </x:c>
      <x:c r="F769" s="87" t="str">
        <x:v>175</x:v>
      </x:c>
      <x:c r="G769" s="87" t="str">
        <x:v>079-498-771-333-864</x:v>
      </x:c>
      <x:c r="H769" s="110" t="n">
        <x:v>43131</x:v>
      </x:c>
      <x:c r="I769" s="88" t="n">
        <x:v>2018</x:v>
      </x:c>
      <x:c r="J769" s="87" t="str">
        <x:v>EP</x:v>
      </x:c>
      <x:c r="K769" s="87" t="str">
        <x:v>A1</x:v>
      </x:c>
      <x:c r="L769" s="87" t="str">
        <x:v>EP 3746467 A1</x:v>
      </x:c>
      <x:c r="M769" s="87" t="str">
        <x:v>SANOFI SA</x:v>
      </x:c>
      <x:c r="N769" s="87" t="str">
        <x:v>SANOFI (2023-01-11)</x:v>
      </x:c>
      <x:c r="O769" s="87" t="str">
        <x:v>MODIFIED LIPIDATED RELAXIN B CHAIN PEPTIDES AND THEIR THERAPEUTIC USE</x:v>
      </x:c>
      <x:c r="P769" s="109" t="n">
        <x:v>0</x:v>
      </x:c>
      <x:c r="Q769" s="109" t="n">
        <x:v>43</x:v>
      </x:c>
      <x:c r="R769" s="87" t="str">
        <x:v>C07K14/64;;A61P3/10;;A61K38/00;;A61P9/14;;A61P13/12;;A61P9/10;;C07K14/64;;A61P3/10;;A61P9/14;;A61P13/12;;A61P9/10;;A61K38/00;;A61K38/2221;;C07K14/64;;A61K38/2221;;A61P13/12;;A61P9/14;;C07K14/64;;A61P3/10;;A61K38/00;;A61P9/14;;A61P13/12;;A61P9/10</x:v>
      </x:c>
      <x:c r="S769" s="87" t="str">
        <x:v>C07K14/64;;A61K38/00</x:v>
      </x:c>
      <x:c r="T769" s="87" t="str">
        <x:v>ACTIVE</x:v>
      </x:c>
      <x:c r="U769" s="87" t="str">
        <x:v>https://lens.org/079-498-771-333-864</x:v>
      </x:c>
    </x:row>
    <x:row r="770">
      <x:c r="A770" s="87" t="str">
        <x:v>Sanofi_Applicant_EP_Families_2015_2021.csv(1).csv</x:v>
      </x:c>
      <x:c r="B770" s="87" t="str">
        <x:v>Sanofi</x:v>
      </x:c>
      <x:c r="C770" s="87" t="str">
        <x:v>TRT-0010</x:v>
      </x:c>
      <x:c r="D770" s="87" t="str">
        <x:v>Yes</x:v>
      </x:c>
      <x:c r="E770" s="87" t="str">
        <x:v>sanofi</x:v>
      </x:c>
      <x:c r="F770" s="87" t="str">
        <x:v>176</x:v>
      </x:c>
      <x:c r="G770" s="87" t="str">
        <x:v>132-826-461-047-117</x:v>
      </x:c>
      <x:c r="H770" s="110" t="n">
        <x:v>40592</x:v>
      </x:c>
      <x:c r="I770" s="88" t="n">
        <x:v>2011</x:v>
      </x:c>
      <x:c r="J770" s="87" t="str">
        <x:v>EP</x:v>
      </x:c>
      <x:c r="K770" s="87" t="str">
        <x:v>A1</x:v>
      </x:c>
      <x:c r="L770" s="87" t="str">
        <x:v>EP 3744373 A1</x:v>
      </x:c>
      <x:c r="M770" s="87" t="str">
        <x:v>SANOFI SA</x:v>
      </x:c>
      <x:c r="N770" s="87" t="str">
        <x:v>SANOFI (2022-12-28)</x:v>
      </x:c>
      <x:c r="O770" s="87" t="str">
        <x:v>DETENT MECHANISM</x:v>
      </x:c>
      <x:c r="P770" s="109" t="n">
        <x:v>0</x:v>
      </x:c>
      <x:c r="Q770" s="109" t="n">
        <x:v>14</x:v>
      </x:c>
      <x:c r="R770" s="87" t="str">
        <x:v>A61M5/3157;;A61M5/3204;;A61M2005/206;;A61M2005/208;;A61M2205/581;;A61M5/31501;;A61M5/3202;;A61M5/3257;;A61M5/326;;A61M5/46;;A61M5/5086;;A61M2005/2013;;A61M2005/3247;;A61M2205/582;;F04C2270/0421;;A61M5/2033;;Y10T403/32475;;Y10T403/32501;;A61M5/2033;;F16B7/10;;Y10T403/32475;;A61M5/3157;;A61M5/3204;;A61M2005/206;;A61M2005/208;;A61M2205/581;;A61M5/31501;;A61M5/3202;;A61M5/3257;;A61M5/326;;A61M5/46;;A61M5/5086;;A61M2005/2013;;A61M2005/3247;;A61M2205/582;;F04C2270/0421;;Y10T403/32501;;A61M5/31511;;A61M5/3158</x:v>
      </x:c>
      <x:c r="S770" s="87" t="str">
        <x:v>A61M5/32;;A61M5/00;;A61M5/20;;A61M5/315;;A61M5/46;;A61M5/50</x:v>
      </x:c>
      <x:c r="T770" s="87" t="str">
        <x:v>ACTIVE</x:v>
      </x:c>
      <x:c r="U770" s="87" t="str">
        <x:v>https://lens.org/132-826-461-047-117</x:v>
      </x:c>
    </x:row>
    <x:row r="771">
      <x:c r="A771" s="87" t="str">
        <x:v>Sanofi_Applicant_EP_Families_2015_2021.csv(1).csv</x:v>
      </x:c>
      <x:c r="B771" s="87" t="str">
        <x:v>Sanofi</x:v>
      </x:c>
      <x:c r="C771" s="87" t="str">
        <x:v>TRT-0010</x:v>
      </x:c>
      <x:c r="D771" s="87" t="str">
        <x:v>Yes</x:v>
      </x:c>
      <x:c r="E771" s="87" t="str">
        <x:v>sanofi</x:v>
      </x:c>
      <x:c r="F771" s="87" t="str">
        <x:v>177</x:v>
      </x:c>
      <x:c r="G771" s="87" t="str">
        <x:v>112-369-977-330-195</x:v>
      </x:c>
      <x:c r="H771" s="110" t="n">
        <x:v>40210</x:v>
      </x:c>
      <x:c r="I771" s="88" t="n">
        <x:v>2010</x:v>
      </x:c>
      <x:c r="J771" s="87" t="str">
        <x:v>EP</x:v>
      </x:c>
      <x:c r="K771" s="87" t="str">
        <x:v>B1</x:v>
      </x:c>
      <x:c r="L771" s="87" t="str">
        <x:v>EP 3427779 B1</x:v>
      </x:c>
      <x:c r="M771" s="87" t="str">
        <x:v>SANOFI AVENTIS DEUTSCHLAND</x:v>
      </x:c>
      <x:c r="N771" s="87" t="str">
        <x:v>SANOFI-AVENTIS DEUTSCHLAND GMBH (2020-08-26)</x:v>
      </x:c>
      <x:c r="O771" s="87" t="str">
        <x:v>CARTRIDGE HOLDER, DRUG DELIVERY DEVICE AND METHOD FOR SECURING A CARTRIDGE IN A CARTRIDGE HOLDER</x:v>
      </x:c>
      <x:c r="P771" s="109" t="n">
        <x:v>3</x:v>
      </x:c>
      <x:c r="Q771" s="109" t="n">
        <x:v>35</x:v>
      </x:c>
      <x:c r="R771" s="87" t="str">
        <x:v>A61M5/24;;A61M5/347;;A61M5/3134;;A61M2005/2488;;A61M2005/2437;;A61M5/3134;;A61M2005/2437;;A61M2005/2488;;A61M5/347;;A61M5/24;;A61M5/24;;A61M5/3134;;A61M5/347;;A61M2005/2488;;A61M2005/2437;;A61M5/3134;;A61M2005/2437;;A61M2005/2488;;A61M5/347;;A61M5/24</x:v>
      </x:c>
      <x:c r="S771" s="87" t="str">
        <x:v>A61M5/24;;A61M5/31;;A61M5/34</x:v>
      </x:c>
      <x:c r="T771" s="87" t="str">
        <x:v>ACTIVE</x:v>
      </x:c>
      <x:c r="U771" s="87" t="str">
        <x:v>https://lens.org/112-369-977-330-195</x:v>
      </x:c>
    </x:row>
    <x:row r="772">
      <x:c r="A772" s="87" t="str">
        <x:v>Sanofi_Applicant_EP_Families_2015_2021.csv(1).csv</x:v>
      </x:c>
      <x:c r="B772" s="87" t="str">
        <x:v>Sanofi</x:v>
      </x:c>
      <x:c r="C772" s="87" t="str">
        <x:v>TRT-0010</x:v>
      </x:c>
      <x:c r="D772" s="87" t="str">
        <x:v>Yes</x:v>
      </x:c>
      <x:c r="E772" s="87" t="str">
        <x:v>sanofi</x:v>
      </x:c>
      <x:c r="F772" s="87" t="str">
        <x:v>178</x:v>
      </x:c>
      <x:c r="G772" s="87" t="str">
        <x:v>009-527-880-092-167</x:v>
      </x:c>
      <x:c r="H772" s="110" t="n">
        <x:v>42375</x:v>
      </x:c>
      <x:c r="I772" s="88" t="n">
        <x:v>2016</x:v>
      </x:c>
      <x:c r="J772" s="87" t="str">
        <x:v>DE</x:v>
      </x:c>
      <x:c r="K772" s="87" t="str">
        <x:v>U1</x:v>
      </x:c>
      <x:c r="L772" s="87" t="str">
        <x:v>DE 202017007347 U1</x:v>
      </x:c>
      <x:c r="M772" s="87" t="str">
        <x:v>SANOFI AVENTIS DEUTSCHLAND</x:v>
      </x:c>
      <x:c r="N772" s="87" t="str">
        <x:v>SANOFI, FR (2023-10-20);;KOCHER-PLASTIK MASCHINENBAU GMBH, DE (2023-11-09);;ROMMELAG ENGINEERING GMBH, DE (2025-07-09)</x:v>
      </x:c>
      <x:c r="O772" s="87" t="str">
        <x:v>Arzneimittelbehälter</x:v>
      </x:c>
      <x:c r="P772" s="109" t="n">
        <x:v>0</x:v>
      </x:c>
      <x:c r="Q772" s="109" t="n">
        <x:v>14</x:v>
      </x:c>
      <x:c r="R772" s="87" t="str">
        <x:v>B65B3/003;;A61J1/05;;B65B3/022;;B65D1/023;;B67C2003/227;;B65B3/003;;A61J1/05;;B65B3/022;;B65D1/023;;B67C2003/227</x:v>
      </x:c>
      <x:c r="S772" s="87" t="str">
        <x:v>A61J1/05;;B65B3/04;;B65D1/02</x:v>
      </x:c>
      <x:c r="T772" s="87" t="str">
        <x:v>ACTIVE</x:v>
      </x:c>
      <x:c r="U772" s="87" t="str">
        <x:v>https://lens.org/009-527-880-092-167</x:v>
      </x:c>
    </x:row>
    <x:row r="773">
      <x:c r="A773" s="87" t="str">
        <x:v>Sanofi_Applicant_EP_Families_2015_2021.csv(1).csv</x:v>
      </x:c>
      <x:c r="B773" s="87" t="str">
        <x:v>Sanofi</x:v>
      </x:c>
      <x:c r="C773" s="87" t="str">
        <x:v>TRT-0010</x:v>
      </x:c>
      <x:c r="D773" s="87" t="str">
        <x:v>Yes</x:v>
      </x:c>
      <x:c r="E773" s="87" t="str">
        <x:v>sanofi</x:v>
      </x:c>
      <x:c r="F773" s="87" t="str">
        <x:v>179</x:v>
      </x:c>
      <x:c r="G773" s="87" t="str">
        <x:v>122-152-941-954-639</x:v>
      </x:c>
      <x:c r="H773" s="110" t="n">
        <x:v>40592</x:v>
      </x:c>
      <x:c r="I773" s="88" t="n">
        <x:v>2011</x:v>
      </x:c>
      <x:c r="J773" s="87" t="str">
        <x:v>EP</x:v>
      </x:c>
      <x:c r="K773" s="87" t="str">
        <x:v>A1</x:v>
      </x:c>
      <x:c r="L773" s="87" t="str">
        <x:v>EP 3738630 A1</x:v>
      </x:c>
      <x:c r="M773" s="87" t="str">
        <x:v>SANOFI SA</x:v>
      </x:c>
      <x:c r="N773" s="87" t="str">
        <x:v>SANOFI (2022-12-28)</x:v>
      </x:c>
      <x:c r="O773" s="87" t="str">
        <x:v>AUTOINJECTOR WITH A CAP COMPRISING AN INNER SLEEVE WITH A BARB</x:v>
      </x:c>
      <x:c r="P773" s="109" t="n">
        <x:v>0</x:v>
      </x:c>
      <x:c r="Q773" s="109" t="n">
        <x:v>28</x:v>
      </x:c>
      <x:c r="R773" s="87" t="str">
        <x:v>A61M2005/206;;A61M5/46;;A61M5/31501;;A61M5/3157;;A61M5/3202;;A61M5/3204;;A61M5/3257;;A61M5/326;;A61M2205/582;;A61M5/5086;;A61M2005/2013;;A61M2005/208;;A61M2005/3247;;A61M2205/581;;A61M5/2033;;Y10T403/32501;;F04C2270/0421;;A61M5/3158;;A61M2005/206;;A61M5/46;;A61M5/31501;;A61M5/3157;;A61M5/3202;;A61M5/3204;;A61M5/3257;;A61M5/326;;A61M2205/582;;A61M5/5086;;A61M2005/2013;;A61M2005/208;;A61M2005/3247;;A61M2205/581;;A61M5/2033;;Y10T403/32501;;F04C2270/0421;;A61M5/3158;;A61M5/3245;;A61M5/31511</x:v>
      </x:c>
      <x:c r="S773" s="87" t="str">
        <x:v>A61M5/32;;A61M5/00;;A61M5/20;;A61M5/315;;A61M5/46;;A61M5/50</x:v>
      </x:c>
      <x:c r="T773" s="87" t="str">
        <x:v>ACTIVE</x:v>
      </x:c>
      <x:c r="U773" s="87" t="str">
        <x:v>https://lens.org/122-152-941-954-639</x:v>
      </x:c>
    </x:row>
    <x:row r="774">
      <x:c r="A774" s="87" t="str">
        <x:v>Sanofi_Applicant_EP_Families_2015_2021.csv(1).csv</x:v>
      </x:c>
      <x:c r="B774" s="87" t="str">
        <x:v>Sanofi</x:v>
      </x:c>
      <x:c r="C774" s="87" t="str">
        <x:v>TRT-0010</x:v>
      </x:c>
      <x:c r="D774" s="87" t="str">
        <x:v>Yes</x:v>
      </x:c>
      <x:c r="E774" s="87" t="str">
        <x:v>sanofi</x:v>
      </x:c>
      <x:c r="F774" s="87" t="str">
        <x:v>180</x:v>
      </x:c>
      <x:c r="G774" s="87" t="str">
        <x:v>094-891-146-830-827</x:v>
      </x:c>
      <x:c r="H774" s="110" t="n">
        <x:v>41472</x:v>
      </x:c>
      <x:c r="I774" s="88" t="n">
        <x:v>2013</x:v>
      </x:c>
      <x:c r="J774" s="87" t="str">
        <x:v>EP</x:v>
      </x:c>
      <x:c r="K774" s="87" t="str">
        <x:v>B1</x:v>
      </x:c>
      <x:c r="L774" s="87" t="str">
        <x:v>EP 3021914 B1</x:v>
      </x:c>
      <x:c r="M774" s="87" t="str">
        <x:v>SANOFI SA</x:v>
      </x:c>
      <x:c r="N774" s="87" t="str">
        <x:v>SANOFI (2020-06-24)</x:v>
      </x:c>
      <x:c r="O774" s="87" t="str">
        <x:v>DRUG DELIVERY DEVICE</x:v>
      </x:c>
      <x:c r="P774" s="109" t="n">
        <x:v>0</x:v>
      </x:c>
      <x:c r="Q774" s="109" t="n">
        <x:v>8</x:v>
      </x:c>
      <x:c r="R774" s="87" t="str">
        <x:v>A61M5/31548;;A61M2005/3125;;A61M2205/581;;A61M5/31528;;A61M5/31548;;A61M2005/3125;;A61M2205/33;;A61M2205/581</x:v>
      </x:c>
      <x:c r="S774" s="87" t="str">
        <x:v>A61M5/315;;A61M5/31</x:v>
      </x:c>
      <x:c r="T774" s="87" t="str">
        <x:v>ACTIVE</x:v>
      </x:c>
      <x:c r="U774" s="87" t="str">
        <x:v>https://lens.org/094-891-146-830-827</x:v>
      </x:c>
    </x:row>
    <x:row r="775">
      <x:c r="A775" s="87" t="str">
        <x:v>Sanofi_Applicant_EP_Families_2015_2021.csv(1).csv</x:v>
      </x:c>
      <x:c r="B775" s="87" t="str">
        <x:v>Sanofi</x:v>
      </x:c>
      <x:c r="C775" s="87" t="str">
        <x:v>TRT-0010</x:v>
      </x:c>
      <x:c r="D775" s="87" t="str">
        <x:v>Yes</x:v>
      </x:c>
      <x:c r="E775" s="87" t="str">
        <x:v>sanofi</x:v>
      </x:c>
      <x:c r="F775" s="87" t="str">
        <x:v>181</x:v>
      </x:c>
      <x:c r="G775" s="87" t="str">
        <x:v>110-706-623-280-727</x:v>
      </x:c>
      <x:c r="H775" s="110" t="n">
        <x:v>41891</x:v>
      </x:c>
      <x:c r="I775" s="88" t="n">
        <x:v>2014</x:v>
      </x:c>
      <x:c r="J775" s="87" t="str">
        <x:v>EP</x:v>
      </x:c>
      <x:c r="K775" s="87" t="str">
        <x:v>B1</x:v>
      </x:c>
      <x:c r="L775" s="87" t="str">
        <x:v>EP 3191508 B1</x:v>
      </x:c>
      <x:c r="M775" s="87" t="str">
        <x:v>BOEHRINGER INGELHEIM ANIMAL HEALTH USA INC;;SANOFI SA</x:v>
      </x:c>
      <x:c r="N775" s="87" t="str">
        <x:v>BOEHRINGER INGELHEIM ANIMAL HEALTH USA INC. (2019-09-11);;SANOFI (2019-09-11)</x:v>
      </x:c>
      <x:c r="O775" s="87" t="str">
        <x:v>MAMMALIAN CELL LINES EXPRESSING FUNCTIONAL NEMATODE ACETYLCHOLINE RECEPTORS AND USE THEREOF FOR HIGH-THROUGHPUT SCREENING ASSAYS</x:v>
      </x:c>
      <x:c r="P775" s="109" t="n">
        <x:v>0</x:v>
      </x:c>
      <x:c r="Q775" s="109" t="n">
        <x:v>8</x:v>
      </x:c>
      <x:c r="R775" s="87" t="str">
        <x:v>C07K14/70571;;C07K14/4354;;C12N5/0602;;C12N2503/02;;C12N2510/00;;G01N33/6872;;G01N2500/10;;G01N33/502;;C07K14/4354;;C07K14/4705;;C07K14/70571;;C12N5/0602;;C12N2503/02;;C12N2510/00;;G01N33/6872;;G01N2333/4353;;G01N2333/4706;;G01N2500/10</x:v>
      </x:c>
      <x:c r="S775" s="87" t="str">
        <x:v>C07K14/705;;C07K14/435;;C12N5/071;;G01N33/68</x:v>
      </x:c>
      <x:c r="T775" s="87" t="str">
        <x:v>ACTIVE</x:v>
      </x:c>
      <x:c r="U775" s="87" t="str">
        <x:v>https://lens.org/110-706-623-280-727</x:v>
      </x:c>
    </x:row>
    <x:row r="776">
      <x:c r="A776" s="87" t="str">
        <x:v>Sanofi_Applicant_EP_Families_2015_2021.csv(1).csv</x:v>
      </x:c>
      <x:c r="B776" s="87" t="str">
        <x:v>Sanofi</x:v>
      </x:c>
      <x:c r="C776" s="87" t="str">
        <x:v>TRT-0010</x:v>
      </x:c>
      <x:c r="D776" s="87" t="str">
        <x:v>Yes</x:v>
      </x:c>
      <x:c r="E776" s="87" t="str">
        <x:v>sanofi</x:v>
      </x:c>
      <x:c r="F776" s="87" t="str">
        <x:v>182</x:v>
      </x:c>
      <x:c r="G776" s="87" t="str">
        <x:v>166-090-687-714-896</x:v>
      </x:c>
      <x:c r="H776" s="110" t="n">
        <x:v>43097</x:v>
      </x:c>
      <x:c r="I776" s="88" t="n">
        <x:v>2017</x:v>
      </x:c>
      <x:c r="J776" s="87" t="str">
        <x:v>EP</x:v>
      </x:c>
      <x:c r="K776" s="87" t="str">
        <x:v>A1</x:v>
      </x:c>
      <x:c r="L776" s="87" t="str">
        <x:v>EP 3731904 A1</x:v>
      </x:c>
      <x:c r="M776" s="87" t="str">
        <x:v>SANOFI SA</x:v>
      </x:c>
      <x:c r="N776" s="87" t="str">
        <x:v>SANOFI (2025-07-30)</x:v>
      </x:c>
      <x:c r="O776" s="87" t="str">
        <x:v>A SENSOR DEVICE FOR ATTACHMENT TO AN INJECTION DEVICE</x:v>
      </x:c>
      <x:c r="P776" s="109" t="n">
        <x:v>0</x:v>
      </x:c>
      <x:c r="Q776" s="109" t="n">
        <x:v>10</x:v>
      </x:c>
      <x:c r="R776" s="87" t="str">
        <x:v>A61M5/3157;;A61M5/2033;;A61M2005/3126;;A61M2205/18;;A61M2205/3317;;A61M2205/3569;;A61M2205/52;;A61M2205/581;;A61M2205/584;;A61M2205/6063;;A61M5/3157;;A61M2005/3126;;A61M2205/0272;;A61M2205/18;;A61M2205/3317;;A61M2205/3584;;A61M2205/52;;A61M2205/581;;A61M2205/583;;A61M2205/587;;G01D5/145;;G01D5/16;;G01D5/2013;;G01H11/08</x:v>
      </x:c>
      <x:c r="S776" s="87" t="str">
        <x:v>A61M5/315;;A61M5/31</x:v>
      </x:c>
      <x:c r="T776" s="87" t="str">
        <x:v>ACTIVE</x:v>
      </x:c>
      <x:c r="U776" s="87" t="str">
        <x:v>https://lens.org/166-090-687-714-896</x:v>
      </x:c>
    </x:row>
    <x:row r="777">
      <x:c r="A777" s="87" t="str">
        <x:v>Sanofi_Applicant_EP_Families_2015_2021.csv(1).csv</x:v>
      </x:c>
      <x:c r="B777" s="87" t="str">
        <x:v>Sanofi</x:v>
      </x:c>
      <x:c r="C777" s="87" t="str">
        <x:v>TRT-0010</x:v>
      </x:c>
      <x:c r="D777" s="87" t="str">
        <x:v>Yes</x:v>
      </x:c>
      <x:c r="E777" s="87" t="str">
        <x:v>sanofi</x:v>
      </x:c>
      <x:c r="F777" s="87" t="str">
        <x:v>183</x:v>
      </x:c>
      <x:c r="G777" s="87" t="str">
        <x:v>025-028-730-101-084</x:v>
      </x:c>
      <x:c r="H777" s="110" t="n">
        <x:v>43090</x:v>
      </x:c>
      <x:c r="I777" s="88" t="n">
        <x:v>2017</x:v>
      </x:c>
      <x:c r="J777" s="87" t="str">
        <x:v>EP</x:v>
      </x:c>
      <x:c r="K777" s="87" t="str">
        <x:v>A1</x:v>
      </x:c>
      <x:c r="L777" s="87" t="str">
        <x:v>EP 3727523 A1</x:v>
      </x:c>
      <x:c r="M777" s="87" t="str">
        <x:v>SANOFI SA</x:v>
      </x:c>
      <x:c r="N777" s="87" t="str">
        <x:v>SANOFI (2025-03-26)</x:v>
      </x:c>
      <x:c r="O777" s="87" t="str">
        <x:v>RFID DOSE TRACKING MECHANISM FOR INJECTION DEVICES</x:v>
      </x:c>
      <x:c r="P777" s="109" t="n">
        <x:v>0</x:v>
      </x:c>
      <x:c r="Q777" s="109" t="n">
        <x:v>12</x:v>
      </x:c>
      <x:c r="R777" s="87" t="str">
        <x:v>A61M5/31568;;A61M5/31553;;A61M5/31585;;A61M5/31593;;A61M2205/3569;;A61M2205/581;;A61M5/3155;;A61M5/31568;;A61M2205/3553;;A61M2205/581;;A61M2205/582</x:v>
      </x:c>
      <x:c r="S777" s="87" t="str">
        <x:v>A61M5/315</x:v>
      </x:c>
      <x:c r="T777" s="87" t="str">
        <x:v>ACTIVE</x:v>
      </x:c>
      <x:c r="U777" s="87" t="str">
        <x:v>https://lens.org/025-028-730-101-084</x:v>
      </x:c>
    </x:row>
    <x:row r="778">
      <x:c r="A778" s="87" t="str">
        <x:v>Sanofi_Applicant_EP_Families_2015_2021.csv(1).csv</x:v>
      </x:c>
      <x:c r="B778" s="87" t="str">
        <x:v>Sanofi</x:v>
      </x:c>
      <x:c r="C778" s="87" t="str">
        <x:v>TRT-0010</x:v>
      </x:c>
      <x:c r="D778" s="87" t="str">
        <x:v>Yes</x:v>
      </x:c>
      <x:c r="E778" s="87" t="str">
        <x:v>sanofi</x:v>
      </x:c>
      <x:c r="F778" s="87" t="str">
        <x:v>184</x:v>
      </x:c>
      <x:c r="G778" s="87" t="str">
        <x:v>039-470-984-368-221</x:v>
      </x:c>
      <x:c r="H778" s="110" t="n">
        <x:v>43089</x:v>
      </x:c>
      <x:c r="I778" s="88" t="n">
        <x:v>2017</x:v>
      </x:c>
      <x:c r="J778" s="87" t="str">
        <x:v>EP</x:v>
      </x:c>
      <x:c r="K778" s="87" t="str">
        <x:v>A1</x:v>
      </x:c>
      <x:c r="L778" s="87" t="str">
        <x:v>EP 3727507 A1</x:v>
      </x:c>
      <x:c r="M778" s="87" t="str">
        <x:v>SANOFI SA</x:v>
      </x:c>
      <x:c r="N778" s="87" t="str">
        <x:v>SANOFI (2026-01-21)</x:v>
      </x:c>
      <x:c r="O778" s="87" t="str">
        <x:v>PRESSURE SENSOR FOR INJECTION DEVICES</x:v>
      </x:c>
      <x:c r="P778" s="109" t="n">
        <x:v>0</x:v>
      </x:c>
      <x:c r="Q778" s="109" t="n">
        <x:v>6</x:v>
      </x:c>
      <x:c r="R778" s="87" t="str">
        <x:v>A61M5/178;;A61M5/20;;A61M5/3129;;A61M5/486;;A61M2205/3331;;A61M2005/3128;;A61M5/20;;A61M5/315;;A61M2005/3128;;A61M2005/3131;;A61M2205/3331</x:v>
      </x:c>
      <x:c r="S778" s="87" t="str">
        <x:v>A61M5/20;;A61M5/48</x:v>
      </x:c>
      <x:c r="T778" s="87" t="str">
        <x:v>ACTIVE</x:v>
      </x:c>
      <x:c r="U778" s="87" t="str">
        <x:v>https://lens.org/039-470-984-368-221</x:v>
      </x:c>
    </x:row>
    <x:row r="779">
      <x:c r="A779" s="87" t="str">
        <x:v>Sanofi_Applicant_EP_Families_2015_2021.csv(1).csv</x:v>
      </x:c>
      <x:c r="B779" s="87" t="str">
        <x:v>Sanofi</x:v>
      </x:c>
      <x:c r="C779" s="87" t="str">
        <x:v>TRT-0010</x:v>
      </x:c>
      <x:c r="D779" s="87" t="str">
        <x:v>Yes</x:v>
      </x:c>
      <x:c r="E779" s="87" t="str">
        <x:v>sanofi</x:v>
      </x:c>
      <x:c r="F779" s="87" t="str">
        <x:v>185</x:v>
      </x:c>
      <x:c r="G779" s="87" t="str">
        <x:v>048-465-659-290-424</x:v>
      </x:c>
      <x:c r="H779" s="110" t="n">
        <x:v>43090</x:v>
      </x:c>
      <x:c r="I779" s="88" t="n">
        <x:v>2017</x:v>
      </x:c>
      <x:c r="J779" s="87" t="str">
        <x:v>EP</x:v>
      </x:c>
      <x:c r="K779" s="87" t="str">
        <x:v>A1</x:v>
      </x:c>
      <x:c r="L779" s="87" t="str">
        <x:v>EP 3727332 A1</x:v>
      </x:c>
      <x:c r="M779" s="87" t="str">
        <x:v>SANOFI SA</x:v>
      </x:c>
      <x:c r="N779" s="87" t="str">
        <x:v>SANOFI (2025-03-05)</x:v>
      </x:c>
      <x:c r="O779" s="87" t="str">
        <x:v>LIQUID PHARMACEUTICAL COMPOSITION</x:v>
      </x:c>
      <x:c r="P779" s="109" t="n">
        <x:v>0</x:v>
      </x:c>
      <x:c r="Q779" s="109" t="n">
        <x:v>7</x:v>
      </x:c>
      <x:c r="R779" s="87" t="str">
        <x:v>A61K9/0019;;A61K38/26;;A61K47/02;;A61P3/04;;A61P3/10;;A61K38/26;;A61K47/02;;A61K47/10</x:v>
      </x:c>
      <x:c r="S779" s="87" t="str">
        <x:v>A61K9/00;;A61K38/26;;A61K47/02;;A61P3/04;;A61P3/10</x:v>
      </x:c>
      <x:c r="T779" s="87" t="str">
        <x:v>ACTIVE</x:v>
      </x:c>
      <x:c r="U779" s="87" t="str">
        <x:v>https://lens.org/048-465-659-290-424</x:v>
      </x:c>
    </x:row>
    <x:row r="780">
      <x:c r="A780" s="87" t="str">
        <x:v>Sanofi_Applicant_EP_Families_2015_2021.csv(1).csv</x:v>
      </x:c>
      <x:c r="B780" s="87" t="str">
        <x:v>Sanofi</x:v>
      </x:c>
      <x:c r="C780" s="87" t="str">
        <x:v>TRT-0010</x:v>
      </x:c>
      <x:c r="D780" s="87" t="str">
        <x:v>Yes</x:v>
      </x:c>
      <x:c r="E780" s="87" t="str">
        <x:v>sanofi</x:v>
      </x:c>
      <x:c r="F780" s="87" t="str">
        <x:v>186</x:v>
      </x:c>
      <x:c r="G780" s="87" t="str">
        <x:v>197-826-293-270-51X</x:v>
      </x:c>
      <x:c r="H780" s="110" t="n">
        <x:v>43089</x:v>
      </x:c>
      <x:c r="I780" s="88" t="n">
        <x:v>2017</x:v>
      </x:c>
      <x:c r="J780" s="87" t="str">
        <x:v>EP</x:v>
      </x:c>
      <x:c r="K780" s="87" t="str">
        <x:v>A1</x:v>
      </x:c>
      <x:c r="L780" s="87" t="str">
        <x:v>EP 3727518 A1</x:v>
      </x:c>
      <x:c r="M780" s="87" t="str">
        <x:v>SANOFI SA</x:v>
      </x:c>
      <x:c r="N780" s="87" t="str">
        <x:v>SANOFI (2026-04-15)</x:v>
      </x:c>
      <x:c r="O780" s="87" t="str">
        <x:v>A DEVICE FOR ATTACHMENT TO AN INJECTION DEVICE</x:v>
      </x:c>
      <x:c r="P780" s="109" t="n">
        <x:v>0</x:v>
      </x:c>
      <x:c r="Q780" s="109" t="n">
        <x:v>10</x:v>
      </x:c>
      <x:c r="R780" s="87" t="str">
        <x:v>A61M5/31528;;A61M5/3155;;A61M5/3156;;A61M2205/332;;A61M2205/3327;;A61M2205/50;;A61M2205/3561;;A61M2205/3584;;A61M2205/3592;;A61M2205/8206;;A61M2205/52;;A61M2205/6063;;A61M5/2033;;A61M5/2033;;A61M5/3155;;A61M2005/3126;;A61M2205/332;;A61M2205/3327;;A61M2205/3584;;A61M2205/52;;A61M2205/8206</x:v>
      </x:c>
      <x:c r="S780" s="87" t="str">
        <x:v>A61M5/315</x:v>
      </x:c>
      <x:c r="T780" s="87" t="str">
        <x:v>ACTIVE</x:v>
      </x:c>
      <x:c r="U780" s="87" t="str">
        <x:v>https://lens.org/197-826-293-270-51X</x:v>
      </x:c>
    </x:row>
    <x:row r="781">
      <x:c r="A781" s="87" t="str">
        <x:v>Sanofi_Applicant_EP_Families_2015_2021.csv(1).csv</x:v>
      </x:c>
      <x:c r="B781" s="87" t="str">
        <x:v>Sanofi</x:v>
      </x:c>
      <x:c r="C781" s="87" t="str">
        <x:v>TRT-0010</x:v>
      </x:c>
      <x:c r="D781" s="87" t="str">
        <x:v>Yes</x:v>
      </x:c>
      <x:c r="E781" s="87" t="str">
        <x:v>sanofi</x:v>
      </x:c>
      <x:c r="F781" s="87" t="str">
        <x:v>187</x:v>
      </x:c>
      <x:c r="G781" s="87" t="str">
        <x:v>094-439-722-467-958</x:v>
      </x:c>
      <x:c r="H781" s="110" t="n">
        <x:v>43090</x:v>
      </x:c>
      <x:c r="I781" s="88" t="n">
        <x:v>2017</x:v>
      </x:c>
      <x:c r="J781" s="87" t="str">
        <x:v>EP</x:v>
      </x:c>
      <x:c r="K781" s="87" t="str">
        <x:v>A1</x:v>
      </x:c>
      <x:c r="L781" s="87" t="str">
        <x:v>EP 3727509 A1</x:v>
      </x:c>
      <x:c r="M781" s="87" t="str">
        <x:v>SANOFI SA</x:v>
      </x:c>
      <x:c r="N781" s="87" t="str">
        <x:v>SANOFI (2023-11-01)</x:v>
      </x:c>
      <x:c r="O781" s="87" t="str">
        <x:v>DRIVE MECHANISM WITH NOISE REDUCTION</x:v>
      </x:c>
      <x:c r="P781" s="109" t="n">
        <x:v>0</x:v>
      </x:c>
      <x:c r="Q781" s="109" t="n">
        <x:v>8</x:v>
      </x:c>
      <x:c r="R781" s="87" t="str">
        <x:v>A61M5/20;;A61M5/31535;;A61M5/31541;;A61M5/31553;;A61M5/31583;;A61M2205/0216;;A61M2205/0222;;A61M5/31583;;A61M5/31553;;A61M2005/3143;;A61M2005/3152;;A61M2205/0216;;A61M2205/0222;;A61M2205/42</x:v>
      </x:c>
      <x:c r="S781" s="87" t="str">
        <x:v>A61M5/20;;A61M5/315</x:v>
      </x:c>
      <x:c r="T781" s="87" t="str">
        <x:v>PENDING</x:v>
      </x:c>
      <x:c r="U781" s="87" t="str">
        <x:v>https://lens.org/094-439-722-467-958</x:v>
      </x:c>
    </x:row>
    <x:row r="782">
      <x:c r="A782" s="87" t="str">
        <x:v>Sanofi_Applicant_EP_Families_2015_2021.csv(1).csv</x:v>
      </x:c>
      <x:c r="B782" s="87" t="str">
        <x:v>Sanofi</x:v>
      </x:c>
      <x:c r="C782" s="87" t="str">
        <x:v>TRT-0010</x:v>
      </x:c>
      <x:c r="D782" s="87" t="str">
        <x:v>Yes</x:v>
      </x:c>
      <x:c r="E782" s="87" t="str">
        <x:v>sanofi</x:v>
      </x:c>
      <x:c r="F782" s="87" t="str">
        <x:v>188</x:v>
      </x:c>
      <x:c r="G782" s="87" t="str">
        <x:v>139-124-859-674-581</x:v>
      </x:c>
      <x:c r="H782" s="110" t="n">
        <x:v>43087</x:v>
      </x:c>
      <x:c r="I782" s="88" t="n">
        <x:v>2017</x:v>
      </x:c>
      <x:c r="J782" s="87" t="str">
        <x:v>EP</x:v>
      </x:c>
      <x:c r="K782" s="87" t="str">
        <x:v>A1</x:v>
      </x:c>
      <x:c r="L782" s="87" t="str">
        <x:v>EP 3727505 A1</x:v>
      </x:c>
      <x:c r="M782" s="87" t="str">
        <x:v>SANOFI SA</x:v>
      </x:c>
      <x:c r="N782" s="87" t="str">
        <x:v>SANOFI (2023-02-22)</x:v>
      </x:c>
      <x:c r="O782" s="87" t="str">
        <x:v>DOSE RECORDING DEVICE</x:v>
      </x:c>
      <x:c r="P782" s="109" t="n">
        <x:v>0</x:v>
      </x:c>
      <x:c r="Q782" s="109" t="n">
        <x:v>10</x:v>
      </x:c>
      <x:c r="R782" s="87" t="str">
        <x:v>A61M5/20;;A61M5/31551;;A61M5/31568;;A61M5/31585;;A61M2205/52;;A61M5/31568;;A61M5/31551;;A61M2205/3306;;A61M2205/332;;A61M2205/3576;;A61M2205/8206</x:v>
      </x:c>
      <x:c r="S782" s="87" t="str">
        <x:v>A61M5/20;;A61M5/315</x:v>
      </x:c>
      <x:c r="T782" s="87" t="str">
        <x:v>PENDING</x:v>
      </x:c>
      <x:c r="U782" s="87" t="str">
        <x:v>https://lens.org/139-124-859-674-581</x:v>
      </x:c>
    </x:row>
    <x:row r="783">
      <x:c r="A783" s="87" t="str">
        <x:v>Sanofi_Applicant_EP_Families_2015_2021.csv(1).csv</x:v>
      </x:c>
      <x:c r="B783" s="87" t="str">
        <x:v>Sanofi</x:v>
      </x:c>
      <x:c r="C783" s="87" t="str">
        <x:v>TRT-0010</x:v>
      </x:c>
      <x:c r="D783" s="87" t="str">
        <x:v>Yes</x:v>
      </x:c>
      <x:c r="E783" s="87" t="str">
        <x:v>sanofi</x:v>
      </x:c>
      <x:c r="F783" s="87" t="str">
        <x:v>189</x:v>
      </x:c>
      <x:c r="G783" s="87" t="str">
        <x:v>186-655-236-392-85X</x:v>
      </x:c>
      <x:c r="H783" s="110" t="n">
        <x:v>43087</x:v>
      </x:c>
      <x:c r="I783" s="88" t="n">
        <x:v>2017</x:v>
      </x:c>
      <x:c r="J783" s="87" t="str">
        <x:v>EP</x:v>
      </x:c>
      <x:c r="K783" s="87" t="str">
        <x:v>A1</x:v>
      </x:c>
      <x:c r="L783" s="87" t="str">
        <x:v>EP 3727529 A1</x:v>
      </x:c>
      <x:c r="M783" s="87" t="str">
        <x:v>SANOFI SA</x:v>
      </x:c>
      <x:c r="N783" s="87" t="str">
        <x:v>SANOFI (2026-01-14)</x:v>
      </x:c>
      <x:c r="O783" s="87" t="str">
        <x:v>DRUG DELIVERY DEVICE AND CHARGING DEVICE</x:v>
      </x:c>
      <x:c r="P783" s="109" t="n">
        <x:v>0</x:v>
      </x:c>
      <x:c r="Q783" s="109" t="n">
        <x:v>11</x:v>
      </x:c>
      <x:c r="R783" s="87" t="str">
        <x:v>A61M5/445;;A61M2205/8206;;A61M2205/8243;;A61M2205/368;;A61M2205/3368;;A61M5/445;;A61M2205/3368;;A61M2205/3553;;A61M2205/368;;A61M2205/581;;A61M2205/582;;A61M2205/583;;A61M2205/8243</x:v>
      </x:c>
      <x:c r="S783" s="87" t="str">
        <x:v>A61M5/44</x:v>
      </x:c>
      <x:c r="T783" s="87" t="str">
        <x:v>ACTIVE</x:v>
      </x:c>
      <x:c r="U783" s="87" t="str">
        <x:v>https://lens.org/186-655-236-392-85X</x:v>
      </x:c>
    </x:row>
    <x:row r="784">
      <x:c r="A784" s="87" t="str">
        <x:v>Sanofi_Applicant_EP_Families_2015_2021.csv(1).csv</x:v>
      </x:c>
      <x:c r="B784" s="87" t="str">
        <x:v>Sanofi</x:v>
      </x:c>
      <x:c r="C784" s="87" t="str">
        <x:v>TRT-0010</x:v>
      </x:c>
      <x:c r="D784" s="87" t="str">
        <x:v>Yes</x:v>
      </x:c>
      <x:c r="E784" s="87" t="str">
        <x:v>sanofi</x:v>
      </x:c>
      <x:c r="F784" s="87" t="str">
        <x:v>190</x:v>
      </x:c>
      <x:c r="G784" s="87" t="str">
        <x:v>151-777-344-662-242</x:v>
      </x:c>
      <x:c r="H784" s="110" t="n">
        <x:v>43082</x:v>
      </x:c>
      <x:c r="I784" s="88" t="n">
        <x:v>2017</x:v>
      </x:c>
      <x:c r="J784" s="87" t="str">
        <x:v>EP</x:v>
      </x:c>
      <x:c r="K784" s="87" t="str">
        <x:v>A1</x:v>
      </x:c>
      <x:c r="L784" s="87" t="str">
        <x:v>EP 3723796 A1</x:v>
      </x:c>
      <x:c r="M784" s="87" t="str">
        <x:v>CUREVAC AG;;SANOFI PASTEUR</x:v>
      </x:c>
      <x:c r="N784" s="87" t="str">
        <x:v>CUREVAC SE (2023-01-04);;CUREVAC AG (2021-03-10);;SANOFI PASTEUR (2023-01-04)</x:v>
      </x:c>
      <x:c r="O784" s="87" t="str">
        <x:v>FLAVIVIRUS VACCINE</x:v>
      </x:c>
      <x:c r="P784" s="109" t="n">
        <x:v>0</x:v>
      </x:c>
      <x:c r="Q784" s="109" t="n">
        <x:v>7</x:v>
      </x:c>
      <x:c r="R784" s="87" t="str">
        <x:v>A61K39/12;;A61K2039/53;;C12N2770/24111;;A61P31/14;;Y02A50/30;;A61P31/14;;A61K39/12;;A61K2039/53;;A61K2039/575;;A61K2039/6031;;C12N2770/24134</x:v>
      </x:c>
      <x:c r="S784" s="87" t="str">
        <x:v>A61K39/12;;A61P31/14;;C12N15/63</x:v>
      </x:c>
      <x:c r="T784" s="87" t="str">
        <x:v>PENDING</x:v>
      </x:c>
      <x:c r="U784" s="87" t="str">
        <x:v>https://lens.org/151-777-344-662-242</x:v>
      </x:c>
    </x:row>
    <x:row r="785">
      <x:c r="A785" s="87" t="str">
        <x:v>Sanofi_Applicant_EP_Families_2015_2021.csv(1).csv</x:v>
      </x:c>
      <x:c r="B785" s="87" t="str">
        <x:v>Sanofi</x:v>
      </x:c>
      <x:c r="C785" s="87" t="str">
        <x:v>TRT-0010</x:v>
      </x:c>
      <x:c r="D785" s="87" t="str">
        <x:v>Yes</x:v>
      </x:c>
      <x:c r="E785" s="87" t="str">
        <x:v>sanofi</x:v>
      </x:c>
      <x:c r="F785" s="87" t="str">
        <x:v>191</x:v>
      </x:c>
      <x:c r="G785" s="87" t="str">
        <x:v>183-104-506-646-347</x:v>
      </x:c>
      <x:c r="H785" s="110" t="n">
        <x:v>41374</x:v>
      </x:c>
      <x:c r="I785" s="88" t="n">
        <x:v>2013</x:v>
      </x:c>
      <x:c r="J785" s="87" t="str">
        <x:v>EP</x:v>
      </x:c>
      <x:c r="K785" s="87" t="str">
        <x:v>B1</x:v>
      </x:c>
      <x:c r="L785" s="87" t="str">
        <x:v>EP 2983758 B1</x:v>
      </x:c>
      <x:c r="M785" s="87" t="str">
        <x:v>SANOFI SA</x:v>
      </x:c>
      <x:c r="N785" s="87" t="str">
        <x:v>SANOFI (2020-06-03)</x:v>
      </x:c>
      <x:c r="O785" s="87" t="str">
        <x:v>DRIVE MECHANISM FOR A DRUG DELIVERY DEVICE</x:v>
      </x:c>
      <x:c r="P785" s="109" t="n">
        <x:v>0</x:v>
      </x:c>
      <x:c r="Q785" s="109" t="n">
        <x:v>10</x:v>
      </x:c>
      <x:c r="R785" s="87" t="str">
        <x:v>A61M5/20;;A61M5/31541;;A61M5/31553;;A61M5/31583;;A61M2005/3126;;A61M2205/581;;A61M2205/582;;A61M5/315;;A61M5/20;;A61M5/31511;;A61M5/31541;;A61M5/31543;;A61M5/31553;;A61M5/31583;;A61M2005/3126;;A61M2205/581;;A61M2205/582</x:v>
      </x:c>
      <x:c r="S785" s="87" t="str">
        <x:v>A61M5/20;;A61M5/31;;A61M5/315</x:v>
      </x:c>
      <x:c r="T785" s="87" t="str">
        <x:v>ACTIVE</x:v>
      </x:c>
      <x:c r="U785" s="87" t="str">
        <x:v>https://lens.org/183-104-506-646-347</x:v>
      </x:c>
    </x:row>
    <x:row r="786">
      <x:c r="A786" s="87" t="str">
        <x:v>Sanofi_Applicant_EP_Families_2015_2021.csv(1).csv</x:v>
      </x:c>
      <x:c r="B786" s="87" t="str">
        <x:v>Sanofi</x:v>
      </x:c>
      <x:c r="C786" s="87" t="str">
        <x:v>TRT-0010</x:v>
      </x:c>
      <x:c r="D786" s="87" t="str">
        <x:v>Yes</x:v>
      </x:c>
      <x:c r="E786" s="87" t="str">
        <x:v>sanofi</x:v>
      </x:c>
      <x:c r="F786" s="87" t="str">
        <x:v>192</x:v>
      </x:c>
      <x:c r="G786" s="87" t="str">
        <x:v>035-106-624-239-657</x:v>
      </x:c>
      <x:c r="H786" s="110" t="n">
        <x:v>37683</x:v>
      </x:c>
      <x:c r="I786" s="88" t="n">
        <x:v>2003</x:v>
      </x:c>
      <x:c r="J786" s="87" t="str">
        <x:v>EP</x:v>
      </x:c>
      <x:c r="K786" s="87" t="str">
        <x:v>B2</x:v>
      </x:c>
      <x:c r="L786" s="87" t="str">
        <x:v>EP 1601396 B2</x:v>
      </x:c>
      <x:c r="M786" s="87" t="str">
        <x:v>SANOFI AVENTIS DEUTSCHLAND</x:v>
      </x:c>
      <x:c r="N786" s="87" t="str">
        <x:v>SANOFI-AVENTIS DEUTSCHLAND GMBH, DE (2016-04-28);;SANOFI-AVENTIS DEUTSCHLAND GMBH (2014-10-29);;SANOFI-AVENTIS DEUTSCHLAND GMBH; DE (2014-12-10)</x:v>
      </x:c>
      <x:c r="O786" s="87" t="str">
        <x:v>IMPROVEMENTS IN AND RELATING TO DRIVE MECHANISMS SUITABLE FOR USE IN DRUG DELIVERY DEVICES</x:v>
      </x:c>
      <x:c r="P786" s="109" t="n">
        <x:v>0</x:v>
      </x:c>
      <x:c r="Q786" s="109" t="n">
        <x:v>42</x:v>
      </x:c>
      <x:c r="R786" s="87" t="str">
        <x:v>A61M5/31585;;A61M5/31535;;A61M5/31541;;A61M5/31551;;A61M5/3156;;A61M5/3158;;A61M2205/581;;A61M2205/582;;A61M5/315;;A61M5/178;;A61M5/31585;;A61M5/31535;;A61M5/31541;;A61M5/31551;;A61M5/3156;;A61M5/3158;;A61M2205/581;;A61M2205/582</x:v>
      </x:c>
      <x:c r="S786" s="87" t="str">
        <x:v>A61M5/315</x:v>
      </x:c>
      <x:c r="T786" s="87" t="str">
        <x:v>EXPIRED</x:v>
      </x:c>
      <x:c r="U786" s="87" t="str">
        <x:v>https://lens.org/035-106-624-239-657</x:v>
      </x:c>
    </x:row>
    <x:row r="787">
      <x:c r="A787" s="87" t="str">
        <x:v>Sanofi_Applicant_EP_Families_2015_2021.csv(1).csv</x:v>
      </x:c>
      <x:c r="B787" s="87" t="str">
        <x:v>Sanofi</x:v>
      </x:c>
      <x:c r="C787" s="87" t="str">
        <x:v>TRT-0010</x:v>
      </x:c>
      <x:c r="D787" s="87" t="str">
        <x:v>Yes</x:v>
      </x:c>
      <x:c r="E787" s="87" t="str">
        <x:v>sanofi</x:v>
      </x:c>
      <x:c r="F787" s="87" t="str">
        <x:v>193</x:v>
      </x:c>
      <x:c r="G787" s="87" t="str">
        <x:v>167-948-284-861-622</x:v>
      </x:c>
      <x:c r="H787" s="110" t="n">
        <x:v>43066</x:v>
      </x:c>
      <x:c r="I787" s="88" t="n">
        <x:v>2017</x:v>
      </x:c>
      <x:c r="J787" s="87" t="str">
        <x:v>EP</x:v>
      </x:c>
      <x:c r="K787" s="87" t="str">
        <x:v>A1</x:v>
      </x:c>
      <x:c r="L787" s="87" t="str">
        <x:v>EP 3717045 A1</x:v>
      </x:c>
      <x:c r="M787" s="87" t="str">
        <x:v>SANOFI SA</x:v>
      </x:c>
      <x:c r="N787" s="87" t="str">
        <x:v>SANOFI (2022-12-28)</x:v>
      </x:c>
      <x:c r="O787" s="87" t="str">
        <x:v>RATCHET SYSTEMS FOR DRUG DELIVERY DEVICES</x:v>
      </x:c>
      <x:c r="P787" s="109" t="n">
        <x:v>0</x:v>
      </x:c>
      <x:c r="Q787" s="109" t="n">
        <x:v>6</x:v>
      </x:c>
      <x:c r="R787" s="87" t="str">
        <x:v>A61M5/24;;A61M5/20;;A61M5/31553;;A61M5/31583;;A61M2005/202;;A61M2205/43;;A61M5/31526;;A61M5/31553;;A61M5/31583</x:v>
      </x:c>
      <x:c r="S787" s="87" t="str">
        <x:v>A61M5/24;;A61M5/20;;A61M5/315</x:v>
      </x:c>
      <x:c r="T787" s="87" t="str">
        <x:v>PENDING</x:v>
      </x:c>
      <x:c r="U787" s="87" t="str">
        <x:v>https://lens.org/167-948-284-861-622</x:v>
      </x:c>
    </x:row>
    <x:row r="788">
      <x:c r="A788" s="87" t="str">
        <x:v>Sanofi_Applicant_EP_Families_2015_2021.csv(1).csv</x:v>
      </x:c>
      <x:c r="B788" s="87" t="str">
        <x:v>Sanofi</x:v>
      </x:c>
      <x:c r="C788" s="87" t="str">
        <x:v>TRT-0010</x:v>
      </x:c>
      <x:c r="D788" s="87" t="str">
        <x:v>Yes</x:v>
      </x:c>
      <x:c r="E788" s="87" t="str">
        <x:v>sanofi</x:v>
      </x:c>
      <x:c r="F788" s="87" t="str">
        <x:v>194</x:v>
      </x:c>
      <x:c r="G788" s="87" t="str">
        <x:v>063-689-164-091-26X</x:v>
      </x:c>
      <x:c r="H788" s="110" t="n">
        <x:v>42681</x:v>
      </x:c>
      <x:c r="I788" s="88" t="n">
        <x:v>2016</x:v>
      </x:c>
      <x:c r="J788" s="87" t="str">
        <x:v>EP</x:v>
      </x:c>
      <x:c r="K788" s="87" t="str">
        <x:v>B1</x:v>
      </x:c>
      <x:c r="L788" s="87" t="str">
        <x:v>EP 3535263 B1</x:v>
      </x:c>
      <x:c r="M788" s="87" t="str">
        <x:v>SANOFI SA</x:v>
      </x:c>
      <x:c r="N788" s="87" t="str">
        <x:v>SANOFI, FR (2025-09-28);;SANOFI; FR (2025-04-11);;SANOFI, PARIS, FR (2025-01-13)</x:v>
      </x:c>
      <x:c r="O788" s="87" t="str">
        <x:v>SUBSTITUTED PYRIDO[3,4-B]INDOLES FOR THE TREATMENT OF CARTILAGE DISORDERS</x:v>
      </x:c>
      <x:c r="P788" s="109" t="n">
        <x:v>0</x:v>
      </x:c>
      <x:c r="Q788" s="109" t="n">
        <x:v>58</x:v>
      </x:c>
      <x:c r="R788" s="87" t="str">
        <x:v>C07D471/04;;C07D519/00;;A61P19/02;;A61P19/04;;A61P19/08;;A61P19/10;;A61P29/00;;A61P29/02;;A61P43/00;;C07D471/04;;C07D519/00;;A61P19/02;;A61K31/437;;C07D471/04;;C07D519/00;;A61P19/02;;C07D471/04;;A61K31/437</x:v>
      </x:c>
      <x:c r="S788" s="87" t="str">
        <x:v>C07D471/04;;A61K31/437;;A61P19/02;;C07D519/00</x:v>
      </x:c>
      <x:c r="T788" s="87" t="str">
        <x:v>ACTIVE</x:v>
      </x:c>
      <x:c r="U788" s="87" t="str">
        <x:v>https://lens.org/063-689-164-091-26X</x:v>
      </x:c>
    </x:row>
    <x:row r="789">
      <x:c r="A789" s="87" t="str">
        <x:v>Sanofi_Applicant_EP_Families_2015_2021.csv(1).csv</x:v>
      </x:c>
      <x:c r="B789" s="87" t="str">
        <x:v>Sanofi</x:v>
      </x:c>
      <x:c r="C789" s="87" t="str">
        <x:v>TRT-0010</x:v>
      </x:c>
      <x:c r="D789" s="87" t="str">
        <x:v>Yes</x:v>
      </x:c>
      <x:c r="E789" s="87" t="str">
        <x:v>sanofi</x:v>
      </x:c>
      <x:c r="F789" s="87" t="str">
        <x:v>195</x:v>
      </x:c>
      <x:c r="G789" s="87" t="str">
        <x:v>073-331-574-118-492</x:v>
      </x:c>
      <x:c r="H789" s="110" t="n">
        <x:v>43060</x:v>
      </x:c>
      <x:c r="I789" s="88" t="n">
        <x:v>2017</x:v>
      </x:c>
      <x:c r="J789" s="87" t="str">
        <x:v>EP</x:v>
      </x:c>
      <x:c r="K789" s="87" t="str">
        <x:v>A1</x:v>
      </x:c>
      <x:c r="L789" s="87" t="str">
        <x:v>EP 3713622 A1</x:v>
      </x:c>
      <x:c r="M789" s="87" t="str">
        <x:v>SANOFI SA</x:v>
      </x:c>
      <x:c r="N789" s="87" t="str">
        <x:v>SANOFI (2022-12-28)</x:v>
      </x:c>
      <x:c r="O789" s="87" t="str">
        <x:v>DRIVE SUBASSEMBLY FOR A DRUG DELIVERY DEVICE</x:v>
      </x:c>
      <x:c r="P789" s="109" t="n">
        <x:v>0</x:v>
      </x:c>
      <x:c r="Q789" s="109" t="n">
        <x:v>8</x:v>
      </x:c>
      <x:c r="R789" s="87" t="str">
        <x:v>A61M5/20;;A61M5/3135;;A61M5/31501;;A61M5/31511;;A61M2005/2006;;A61M2005/31508;;A61M2205/8281;;A61M2207/00;;A61M5/31576;;A61M5/3135;;A61M5/31501;;A61M5/31511;;A61M2005/3142;;A61M2005/31508;;A61M2205/8281</x:v>
      </x:c>
      <x:c r="S789" s="87" t="str">
        <x:v>A61M5/20;;A61M5/31;;A61M5/315</x:v>
      </x:c>
      <x:c r="T789" s="87" t="str">
        <x:v>PENDING</x:v>
      </x:c>
      <x:c r="U789" s="87" t="str">
        <x:v>https://lens.org/073-331-574-118-492</x:v>
      </x:c>
    </x:row>
    <x:row r="790">
      <x:c r="A790" s="87" t="str">
        <x:v>Sanofi_Applicant_EP_Families_2015_2021.csv(1).csv</x:v>
      </x:c>
      <x:c r="B790" s="87" t="str">
        <x:v>Sanofi</x:v>
      </x:c>
      <x:c r="C790" s="87" t="str">
        <x:v>TRT-0010</x:v>
      </x:c>
      <x:c r="D790" s="87" t="str">
        <x:v>Yes</x:v>
      </x:c>
      <x:c r="E790" s="87" t="str">
        <x:v>sanofi</x:v>
      </x:c>
      <x:c r="F790" s="87" t="str">
        <x:v>196</x:v>
      </x:c>
      <x:c r="G790" s="87" t="str">
        <x:v>120-210-485-539-860</x:v>
      </x:c>
      <x:c r="H790" s="110" t="n">
        <x:v>43060</x:v>
      </x:c>
      <x:c r="I790" s="88" t="n">
        <x:v>2017</x:v>
      </x:c>
      <x:c r="J790" s="87" t="str">
        <x:v>EP</x:v>
      </x:c>
      <x:c r="K790" s="87" t="str">
        <x:v>A1</x:v>
      </x:c>
      <x:c r="L790" s="87" t="str">
        <x:v>EP 3713473 A1</x:v>
      </x:c>
      <x:c r="M790" s="87" t="str">
        <x:v>SANOFI SA</x:v>
      </x:c>
      <x:c r="N790" s="87" t="str">
        <x:v>SANOFI (2024-10-16)</x:v>
      </x:c>
      <x:c r="O790" s="87" t="str">
        <x:v>IMPLANTABLE GLUCOSE MONITOR</x:v>
      </x:c>
      <x:c r="P790" s="109" t="n">
        <x:v>0</x:v>
      </x:c>
      <x:c r="Q790" s="109" t="n">
        <x:v>11</x:v>
      </x:c>
      <x:c r="R790" s="87" t="str">
        <x:v>A61B5/1459;;A61B5/076;;A61B5/14532;;A61B5/14558;;A61B5/6861;;A61B2560/0219;;A61B5/14532;;A61B5/076;;A61B5/14558;;A61B5/1459;;A61B5/6876;;A61B2560/0219;;A61B2560/0252</x:v>
      </x:c>
      <x:c r="S790" s="87" t="str">
        <x:v>A61B5/00;;A61B5/07;;A61B5/145;;A61B5/1455;;A61B5/1459</x:v>
      </x:c>
      <x:c r="T790" s="87" t="str">
        <x:v>ACTIVE</x:v>
      </x:c>
      <x:c r="U790" s="87" t="str">
        <x:v>https://lens.org/120-210-485-539-860</x:v>
      </x:c>
    </x:row>
    <x:row r="791">
      <x:c r="A791" s="87" t="str">
        <x:v>Sanofi_Applicant_EP_Families_2015_2021.csv(1).csv</x:v>
      </x:c>
      <x:c r="B791" s="87" t="str">
        <x:v>Sanofi</x:v>
      </x:c>
      <x:c r="C791" s="87" t="str">
        <x:v>TRT-0010</x:v>
      </x:c>
      <x:c r="D791" s="87" t="str">
        <x:v>Yes</x:v>
      </x:c>
      <x:c r="E791" s="87" t="str">
        <x:v>sanofi</x:v>
      </x:c>
      <x:c r="F791" s="87" t="str">
        <x:v>197</x:v>
      </x:c>
      <x:c r="G791" s="87" t="str">
        <x:v>103-705-052-078-884</x:v>
      </x:c>
      <x:c r="H791" s="110" t="n">
        <x:v>43060</x:v>
      </x:c>
      <x:c r="I791" s="88" t="n">
        <x:v>2017</x:v>
      </x:c>
      <x:c r="J791" s="87" t="str">
        <x:v>EP</x:v>
      </x:c>
      <x:c r="K791" s="87" t="str">
        <x:v>A1</x:v>
      </x:c>
      <x:c r="L791" s="87" t="str">
        <x:v>EP 3713488 A1</x:v>
      </x:c>
      <x:c r="M791" s="87" t="str">
        <x:v>SANOFI SA</x:v>
      </x:c>
      <x:c r="N791" s="87" t="str">
        <x:v>SANOFI (2024-12-04)</x:v>
      </x:c>
      <x:c r="O791" s="87" t="str">
        <x:v>IMPLANTABLE GLUCOSE MONITOR</x:v>
      </x:c>
      <x:c r="P791" s="109" t="n">
        <x:v>0</x:v>
      </x:c>
      <x:c r="Q791" s="109" t="n">
        <x:v>13</x:v>
      </x:c>
      <x:c r="R791" s="87" t="str">
        <x:v>A61B5/1459;;A61B5/076;;A61B5/14532;;A61B5/14558;;A61B5/6861;;A61B2560/0219;;A61B5/14532;;A61B5/076;;A61B5/14558;;A61B5/1459;;A61B5/6861;;A61B2560/0219;;A61B2560/0252;;G01N33/49</x:v>
      </x:c>
      <x:c r="S791" s="87" t="str">
        <x:v>A61B5/1459;;A61B5/00;;A61B5/07;;A61B5/145;;A61B5/1455</x:v>
      </x:c>
      <x:c r="T791" s="87" t="str">
        <x:v>ACTIVE</x:v>
      </x:c>
      <x:c r="U791" s="87" t="str">
        <x:v>https://lens.org/103-705-052-078-884</x:v>
      </x:c>
    </x:row>
    <x:row r="792">
      <x:c r="A792" s="87" t="str">
        <x:v>Sanofi_Applicant_EP_Families_2015_2021.csv(1).csv</x:v>
      </x:c>
      <x:c r="B792" s="87" t="str">
        <x:v>Sanofi</x:v>
      </x:c>
      <x:c r="C792" s="87" t="str">
        <x:v>TRT-0010</x:v>
      </x:c>
      <x:c r="D792" s="87" t="str">
        <x:v>Yes</x:v>
      </x:c>
      <x:c r="E792" s="87" t="str">
        <x:v>sanofi</x:v>
      </x:c>
      <x:c r="F792" s="87" t="str">
        <x:v>198</x:v>
      </x:c>
      <x:c r="G792" s="87" t="str">
        <x:v>082-227-341-300-644</x:v>
      </x:c>
      <x:c r="H792" s="110" t="n">
        <x:v>43056</x:v>
      </x:c>
      <x:c r="I792" s="88" t="n">
        <x:v>2017</x:v>
      </x:c>
      <x:c r="J792" s="87" t="str">
        <x:v>EP</x:v>
      </x:c>
      <x:c r="K792" s="87" t="str">
        <x:v>A1</x:v>
      </x:c>
      <x:c r="L792" s="87" t="str">
        <x:v>EP 3710085 A1</x:v>
      </x:c>
      <x:c r="M792" s="87" t="str">
        <x:v>SANOFI SA</x:v>
      </x:c>
      <x:c r="N792" s="87" t="str">
        <x:v>SANOFI (2023-11-01)</x:v>
      </x:c>
      <x:c r="O792" s="87" t="str">
        <x:v>MIXING AND/OR RECONSTITUTION SYSTEM AND RESPECTIVE METHOD</x:v>
      </x:c>
      <x:c r="P792" s="109" t="n">
        <x:v>0</x:v>
      </x:c>
      <x:c r="Q792" s="109" t="n">
        <x:v>8</x:v>
      </x:c>
      <x:c r="R792" s="87" t="str">
        <x:v>A61M5/31596;;A61J1/2096;;A61M5/1782;;A61M5/19;;A61M5/20;;A61M5/2053;;A61M5/2066;;A61M5/2448;;A61M5/445;;A61M2005/2013;;A61M2005/2474;;A61M2005/3128;;A61M2005/31598;;A61M2005/3267;;A61M2205/0272;;A61M2209/04;;A61M5/19;;A61J1/2086;;A61J1/2096;;A61M5/31596;;A61M2205/0272</x:v>
      </x:c>
      <x:c r="S792" s="87" t="str">
        <x:v>A61M5/19;;A61M5/315</x:v>
      </x:c>
      <x:c r="T792" s="87" t="str">
        <x:v>PENDING</x:v>
      </x:c>
      <x:c r="U792" s="87" t="str">
        <x:v>https://lens.org/082-227-341-300-644</x:v>
      </x:c>
    </x:row>
    <x:row r="793">
      <x:c r="A793" s="87" t="str">
        <x:v>Sanofi_Applicant_EP_Families_2015_2021.csv(1).csv</x:v>
      </x:c>
      <x:c r="B793" s="87" t="str">
        <x:v>Sanofi</x:v>
      </x:c>
      <x:c r="C793" s="87" t="str">
        <x:v>TRT-0010</x:v>
      </x:c>
      <x:c r="D793" s="87" t="str">
        <x:v>Yes</x:v>
      </x:c>
      <x:c r="E793" s="87" t="str">
        <x:v>sanofi</x:v>
      </x:c>
      <x:c r="F793" s="87" t="str">
        <x:v>199</x:v>
      </x:c>
      <x:c r="G793" s="87" t="str">
        <x:v>014-365-914-810-086</x:v>
      </x:c>
      <x:c r="H793" s="110" t="n">
        <x:v>43042</x:v>
      </x:c>
      <x:c r="I793" s="88" t="n">
        <x:v>2017</x:v>
      </x:c>
      <x:c r="J793" s="87" t="str">
        <x:v>EP</x:v>
      </x:c>
      <x:c r="K793" s="87" t="str">
        <x:v>A1</x:v>
      </x:c>
      <x:c r="L793" s="87" t="str">
        <x:v>EP 3703786 A1</x:v>
      </x:c>
      <x:c r="M793" s="87" t="str">
        <x:v>SANOFI SA</x:v>
      </x:c>
      <x:c r="N793" s="87" t="str">
        <x:v>SANOFI (2022-12-28)</x:v>
      </x:c>
      <x:c r="O793" s="87" t="str">
        <x:v>DRUG DELIVERY DEVICE WITH DRIVE SUB-ASSEMBLY</x:v>
      </x:c>
      <x:c r="P793" s="109" t="n">
        <x:v>0</x:v>
      </x:c>
      <x:c r="Q793" s="109" t="n">
        <x:v>7</x:v>
      </x:c>
      <x:c r="R793" s="87" t="str">
        <x:v>A61M5/2033;;A61M5/3157;;A61M5/31571;;A61M5/3202;;A61M2005/208;;A61M2205/581;;A61M2205/582;;A61M5/3157;;A61M5/2033;;A61M5/3146;;A61M5/31511;;A61M5/31583;;A61M5/3202;;A61M2205/581;;A61M2205/582</x:v>
      </x:c>
      <x:c r="S793" s="87" t="str">
        <x:v>A61M5/20;;A61M5/315;;A61M5/32</x:v>
      </x:c>
      <x:c r="T793" s="87" t="str">
        <x:v>PENDING</x:v>
      </x:c>
      <x:c r="U793" s="87" t="str">
        <x:v>https://lens.org/014-365-914-810-086</x:v>
      </x:c>
    </x:row>
    <x:row r="794">
      <x:c r="A794" s="87" t="str">
        <x:v>Sanofi_Applicant_EP_Families_2015_2021.csv(1).csv</x:v>
      </x:c>
      <x:c r="B794" s="87" t="str">
        <x:v>Sanofi</x:v>
      </x:c>
      <x:c r="C794" s="87" t="str">
        <x:v>TRT-0010</x:v>
      </x:c>
      <x:c r="D794" s="87" t="str">
        <x:v>Yes</x:v>
      </x:c>
      <x:c r="E794" s="87" t="str">
        <x:v>sanofi</x:v>
      </x:c>
      <x:c r="F794" s="87" t="str">
        <x:v>200</x:v>
      </x:c>
      <x:c r="G794" s="87" t="str">
        <x:v>105-695-902-755-105</x:v>
      </x:c>
      <x:c r="H794" s="110" t="n">
        <x:v>43042</x:v>
      </x:c>
      <x:c r="I794" s="88" t="n">
        <x:v>2017</x:v>
      </x:c>
      <x:c r="J794" s="87" t="str">
        <x:v>EP</x:v>
      </x:c>
      <x:c r="K794" s="87" t="str">
        <x:v>A1</x:v>
      </x:c>
      <x:c r="L794" s="87" t="str">
        <x:v>EP 3703785 A1</x:v>
      </x:c>
      <x:c r="M794" s="87" t="str">
        <x:v>SANOFI SA</x:v>
      </x:c>
      <x:c r="N794" s="87" t="str">
        <x:v>SANOFI (2022-12-28)</x:v>
      </x:c>
      <x:c r="O794" s="87" t="str">
        <x:v>DRUG DELIVERY DEVICE</x:v>
      </x:c>
      <x:c r="P794" s="109" t="n">
        <x:v>0</x:v>
      </x:c>
      <x:c r="Q794" s="109" t="n">
        <x:v>14</x:v>
      </x:c>
      <x:c r="R794" s="87" t="str">
        <x:v>A61M5/2033;;A61M5/31586;;A61M2005/206;;A61M2005/3247;;A61M2005/3267;;A61M2205/581;;A61M5/2033;;A61M5/31501;;A61M5/31585;;A61M2005/206;;A61M2205/581</x:v>
      </x:c>
      <x:c r="S794" s="87" t="str">
        <x:v>A61M5/20;;A61M5/315</x:v>
      </x:c>
      <x:c r="T794" s="87" t="str">
        <x:v>ACTIVE</x:v>
      </x:c>
      <x:c r="U794" s="87" t="str">
        <x:v>https://lens.org/105-695-902-755-105</x:v>
      </x:c>
    </x:row>
    <x:row r="795">
      <x:c r="A795" s="87" t="str">
        <x:v>Sanofi_Applicant_EP_Families_2015_2021.csv(1).csv</x:v>
      </x:c>
      <x:c r="B795" s="87" t="str">
        <x:v>Sanofi</x:v>
      </x:c>
      <x:c r="C795" s="87" t="str">
        <x:v>TRT-0010</x:v>
      </x:c>
      <x:c r="D795" s="87" t="str">
        <x:v>Yes</x:v>
      </x:c>
      <x:c r="E795" s="87" t="str">
        <x:v>sanofi</x:v>
      </x:c>
      <x:c r="F795" s="87" t="str">
        <x:v>201</x:v>
      </x:c>
      <x:c r="G795" s="87" t="str">
        <x:v>129-151-969-261-754</x:v>
      </x:c>
      <x:c r="H795" s="110" t="n">
        <x:v>43042</x:v>
      </x:c>
      <x:c r="I795" s="88" t="n">
        <x:v>2017</x:v>
      </x:c>
      <x:c r="J795" s="87" t="str">
        <x:v>EP</x:v>
      </x:c>
      <x:c r="K795" s="87" t="str">
        <x:v>A1</x:v>
      </x:c>
      <x:c r="L795" s="87" t="str">
        <x:v>EP 3703798 A1</x:v>
      </x:c>
      <x:c r="M795" s="87" t="str">
        <x:v>SANOFI SA</x:v>
      </x:c>
      <x:c r="N795" s="87" t="str">
        <x:v>SANOFI (2022-12-28)</x:v>
      </x:c>
      <x:c r="O795" s="87" t="str">
        <x:v>NEEDLE SHROUD ASSEMBLY AND DRUG DELIVERY DEVICE</x:v>
      </x:c>
      <x:c r="P795" s="109" t="n">
        <x:v>0</x:v>
      </x:c>
      <x:c r="Q795" s="109" t="n">
        <x:v>8</x:v>
      </x:c>
      <x:c r="R795" s="87" t="str">
        <x:v>A61M5/3213;;A61M5/3245;;A61M2005/3254;;A61M2005/3268;;A61M5/3202;;A61M5/3245;;A61M2005/3268</x:v>
      </x:c>
      <x:c r="S795" s="87" t="str">
        <x:v>A61M5/32</x:v>
      </x:c>
      <x:c r="T795" s="87" t="str">
        <x:v>PENDING</x:v>
      </x:c>
      <x:c r="U795" s="87" t="str">
        <x:v>https://lens.org/129-151-969-261-754</x:v>
      </x:c>
    </x:row>
    <x:row r="796">
      <x:c r="A796" s="87" t="str">
        <x:v>Sanofi_Applicant_EP_Families_2015_2021.csv(1).csv</x:v>
      </x:c>
      <x:c r="B796" s="87" t="str">
        <x:v>Sanofi</x:v>
      </x:c>
      <x:c r="C796" s="87" t="str">
        <x:v>TRT-0010</x:v>
      </x:c>
      <x:c r="D796" s="87" t="str">
        <x:v>Yes</x:v>
      </x:c>
      <x:c r="E796" s="87" t="str">
        <x:v>sanofi</x:v>
      </x:c>
      <x:c r="F796" s="87" t="str">
        <x:v>202</x:v>
      </x:c>
      <x:c r="G796" s="87" t="str">
        <x:v>134-291-217-380-553</x:v>
      </x:c>
      <x:c r="H796" s="110" t="n">
        <x:v>43042</x:v>
      </x:c>
      <x:c r="I796" s="88" t="n">
        <x:v>2017</x:v>
      </x:c>
      <x:c r="J796" s="87" t="str">
        <x:v>EP</x:v>
      </x:c>
      <x:c r="K796" s="87" t="str">
        <x:v>A1</x:v>
      </x:c>
      <x:c r="L796" s="87" t="str">
        <x:v>EP 3703784 A1</x:v>
      </x:c>
      <x:c r="M796" s="87" t="str">
        <x:v>SANOFI SA</x:v>
      </x:c>
      <x:c r="N796" s="87" t="str">
        <x:v>SANOFI (2022-12-28)</x:v>
      </x:c>
      <x:c r="O796" s="87" t="str">
        <x:v>DRUG DELIVERY DEVICE</x:v>
      </x:c>
      <x:c r="P796" s="109" t="n">
        <x:v>0</x:v>
      </x:c>
      <x:c r="Q796" s="109" t="n">
        <x:v>13</x:v>
      </x:c>
      <x:c r="R796" s="87" t="str">
        <x:v>A61M5/3157;;A61M5/20;;A61M2205/581;;A61M2205/582;;A61M5/3157;;A61M5/3146;;A61M2205/581;;A61M2205/582</x:v>
      </x:c>
      <x:c r="S796" s="87" t="str">
        <x:v>A61M5/20;;A61M5/315</x:v>
      </x:c>
      <x:c r="T796" s="87" t="str">
        <x:v>ACTIVE</x:v>
      </x:c>
      <x:c r="U796" s="87" t="str">
        <x:v>https://lens.org/134-291-217-380-553</x:v>
      </x:c>
    </x:row>
    <x:row r="797">
      <x:c r="A797" s="87" t="str">
        <x:v>Sanofi_Applicant_EP_Families_2015_2021.csv(1).csv</x:v>
      </x:c>
      <x:c r="B797" s="87" t="str">
        <x:v>Sanofi</x:v>
      </x:c>
      <x:c r="C797" s="87" t="str">
        <x:v>TRT-0010</x:v>
      </x:c>
      <x:c r="D797" s="87" t="str">
        <x:v>Yes</x:v>
      </x:c>
      <x:c r="E797" s="87" t="str">
        <x:v>sanofi</x:v>
      </x:c>
      <x:c r="F797" s="87" t="str">
        <x:v>203</x:v>
      </x:c>
      <x:c r="G797" s="87" t="str">
        <x:v>198-036-056-258-728</x:v>
      </x:c>
      <x:c r="H797" s="110" t="n">
        <x:v>43042</x:v>
      </x:c>
      <x:c r="I797" s="88" t="n">
        <x:v>2017</x:v>
      </x:c>
      <x:c r="J797" s="87" t="str">
        <x:v>EP</x:v>
      </x:c>
      <x:c r="K797" s="87" t="str">
        <x:v>A1</x:v>
      </x:c>
      <x:c r="L797" s="87" t="str">
        <x:v>EP 3703799 A1</x:v>
      </x:c>
      <x:c r="M797" s="87" t="str">
        <x:v>SANOFI SA</x:v>
      </x:c>
      <x:c r="N797" s="87" t="str">
        <x:v>SANOFI (2022-12-28)</x:v>
      </x:c>
      <x:c r="O797" s="87" t="str">
        <x:v>DRUG DELIVERY DEVICE</x:v>
      </x:c>
      <x:c r="P797" s="109" t="n">
        <x:v>0</x:v>
      </x:c>
      <x:c r="Q797" s="109" t="n">
        <x:v>10</x:v>
      </x:c>
      <x:c r="R797" s="87" t="str">
        <x:v>A61M5/3213;;A61M5/3202;;A61M5/50;;A61M2005/3247;;A61M2205/273;;A61M5/3213;;A61M5/3204</x:v>
      </x:c>
      <x:c r="S797" s="87" t="str">
        <x:v>A61M5/32;;A61M5/50</x:v>
      </x:c>
      <x:c r="T797" s="87" t="str">
        <x:v>PENDING</x:v>
      </x:c>
      <x:c r="U797" s="87" t="str">
        <x:v>https://lens.org/198-036-056-258-728</x:v>
      </x:c>
    </x:row>
    <x:row r="798">
      <x:c r="A798" s="87" t="str">
        <x:v>Sanofi_Applicant_EP_Families_2015_2021.csv(1).csv</x:v>
      </x:c>
      <x:c r="B798" s="87" t="str">
        <x:v>Sanofi</x:v>
      </x:c>
      <x:c r="C798" s="87" t="str">
        <x:v>TRT-0010</x:v>
      </x:c>
      <x:c r="D798" s="87" t="str">
        <x:v>Yes</x:v>
      </x:c>
      <x:c r="E798" s="87" t="str">
        <x:v>sanofi</x:v>
      </x:c>
      <x:c r="F798" s="87" t="str">
        <x:v>204</x:v>
      </x:c>
      <x:c r="G798" s="87" t="str">
        <x:v>155-783-113-977-067</x:v>
      </x:c>
      <x:c r="H798" s="110" t="n">
        <x:v>43042</x:v>
      </x:c>
      <x:c r="I798" s="88" t="n">
        <x:v>2017</x:v>
      </x:c>
      <x:c r="J798" s="87" t="str">
        <x:v>EP</x:v>
      </x:c>
      <x:c r="K798" s="87" t="str">
        <x:v>A1</x:v>
      </x:c>
      <x:c r="L798" s="87" t="str">
        <x:v>EP 3703796 A1</x:v>
      </x:c>
      <x:c r="M798" s="87" t="str">
        <x:v>SANOFI SA</x:v>
      </x:c>
      <x:c r="N798" s="87" t="str">
        <x:v>SANOFI (2022-12-28)</x:v>
      </x:c>
      <x:c r="O798" s="87" t="str">
        <x:v>PLUNGER AND DRUG DELIVERY DEVICE</x:v>
      </x:c>
      <x:c r="P798" s="109" t="n">
        <x:v>0</x:v>
      </x:c>
      <x:c r="Q798" s="109" t="n">
        <x:v>9</x:v>
      </x:c>
      <x:c r="R798" s="87" t="str">
        <x:v>A61M5/2033;;A61M5/31511;;A61M5/2033;;A61M5/31511;;A61M5/3204</x:v>
      </x:c>
      <x:c r="S798" s="87" t="str">
        <x:v>A61M5/315</x:v>
      </x:c>
      <x:c r="T798" s="87" t="str">
        <x:v>PENDING</x:v>
      </x:c>
      <x:c r="U798" s="87" t="str">
        <x:v>https://lens.org/155-783-113-977-067</x:v>
      </x:c>
    </x:row>
    <x:row r="799">
      <x:c r="A799" s="87" t="str">
        <x:v>Sanofi_Applicant_EP_Families_2015_2021.csv(1).csv</x:v>
      </x:c>
      <x:c r="B799" s="87" t="str">
        <x:v>Sanofi</x:v>
      </x:c>
      <x:c r="C799" s="87" t="str">
        <x:v>TRT-0010</x:v>
      </x:c>
      <x:c r="D799" s="87" t="str">
        <x:v>Yes</x:v>
      </x:c>
      <x:c r="E799" s="87" t="str">
        <x:v>sanofi</x:v>
      </x:c>
      <x:c r="F799" s="87" t="str">
        <x:v>205</x:v>
      </x:c>
      <x:c r="G799" s="87" t="str">
        <x:v>029-017-638-390-823</x:v>
      </x:c>
      <x:c r="H799" s="110" t="n">
        <x:v>43042</x:v>
      </x:c>
      <x:c r="I799" s="88" t="n">
        <x:v>2017</x:v>
      </x:c>
      <x:c r="J799" s="87" t="str">
        <x:v>EP</x:v>
      </x:c>
      <x:c r="K799" s="87" t="str">
        <x:v>A1</x:v>
      </x:c>
      <x:c r="L799" s="87" t="str">
        <x:v>EP 3703783 A1</x:v>
      </x:c>
      <x:c r="M799" s="87" t="str">
        <x:v>SANOFI SA</x:v>
      </x:c>
      <x:c r="N799" s="87" t="str">
        <x:v>SANOFI (2022-12-28)</x:v>
      </x:c>
      <x:c r="O799" s="87" t="str">
        <x:v>DRUG DELIVERY DEVICE</x:v>
      </x:c>
      <x:c r="P799" s="109" t="n">
        <x:v>0</x:v>
      </x:c>
      <x:c r="Q799" s="109" t="n">
        <x:v>14</x:v>
      </x:c>
      <x:c r="R799" s="87" t="str">
        <x:v>A61M5/3157;;A61M5/20;;A61M5/3243;;A61M2205/581;;A61M2205/582;;A61M5/3157;;A61M5/2033;;A61M5/3243;;A61M2005/2013;;A61M2205/581;;A61M2205/582</x:v>
      </x:c>
      <x:c r="S799" s="87" t="str">
        <x:v>A61M5/20;;A61M5/315;;A61M5/32</x:v>
      </x:c>
      <x:c r="T799" s="87" t="str">
        <x:v>ACTIVE</x:v>
      </x:c>
      <x:c r="U799" s="87" t="str">
        <x:v>https://lens.org/029-017-638-390-823</x:v>
      </x:c>
    </x:row>
    <x:row r="800">
      <x:c r="A800" s="87" t="str">
        <x:v>Sanofi_Applicant_EP_Families_2015_2021.csv(1).csv</x:v>
      </x:c>
      <x:c r="B800" s="87" t="str">
        <x:v>Sanofi</x:v>
      </x:c>
      <x:c r="C800" s="87" t="str">
        <x:v>TRT-0010</x:v>
      </x:c>
      <x:c r="D800" s="87" t="str">
        <x:v>Yes</x:v>
      </x:c>
      <x:c r="E800" s="87" t="str">
        <x:v>sanofi</x:v>
      </x:c>
      <x:c r="F800" s="87" t="str">
        <x:v>206</x:v>
      </x:c>
      <x:c r="G800" s="87" t="str">
        <x:v>094-011-183-770-300</x:v>
      </x:c>
      <x:c r="H800" s="110" t="n">
        <x:v>42709</x:v>
      </x:c>
      <x:c r="I800" s="88" t="n">
        <x:v>2016</x:v>
      </x:c>
      <x:c r="J800" s="87" t="str">
        <x:v>EP</x:v>
      </x:c>
      <x:c r="K800" s="87" t="str">
        <x:v>B1</x:v>
      </x:c>
      <x:c r="L800" s="87" t="str">
        <x:v>EP 3548016 B1</x:v>
      </x:c>
      <x:c r="M800" s="87" t="str">
        <x:v>LEAD PHARMA B V;;SANOFI SA</x:v>
      </x:c>
      <x:c r="N800" s="87" t="str">
        <x:v>LEAD PHARMA B.V., NL (2025-09-28);;SANOFI, FR (2025-09-28);;LEAD PHARMA B.V.; NL (2025-04-11);;SANOFI; FR (2024-06-25);;SANOFI (2019-12-25);;LEAD PHARMA B.V. (2019-12-25)</x:v>
      </x:c>
      <x:c r="O800" s="87" t="str">
        <x:v>ROR-GAMMA (RORY)-MODULATORS</x:v>
      </x:c>
      <x:c r="P800" s="109" t="n">
        <x:v>0</x:v>
      </x:c>
      <x:c r="Q800" s="109" t="n">
        <x:v>47</x:v>
      </x:c>
      <x:c r="R800" s="87" t="str">
        <x:v>A61K31/10;;A61K31/167;;A61P1/00;;A61P17/00;;A61P19/02;;A61P25/00;;C07C315/04;;C07C317/32;;C07C317/44;;C07C317/46;;C07C2601/02;;A61P17/00;;A61K31/10;;A61K31/167;;A61P1/00;;A61P19/02;;A61P25/00;;C07C317/32;;C07C317/44;;C07C317/46;;C07C2601/02;;Y02A50/30;;C07C317/32;;A61K31/10;;A61K31/167;;A61K45/00;;A61P1/00;;A61P17/00;;A61P19/02;;A61P25/00;;C07C315/04;;C07C317/44;;C07C317/46;;C07C2601/02;;C07C317/50;;A61K31/167;;A61K45/06;;A61P1/00;;A61P17/06;;A61P19/02;;A61P25/00;;A61P29/00;;C07C317/32;;A61K31/10;;A61K31/167;;A61P1/00;;A61P17/00;;A61P19/02;;A61P25/00;;C07C315/04;;C07C317/44;;C07C317/46;;C07C2601/02</x:v>
      </x:c>
      <x:c r="S800" s="87" t="str">
        <x:v>C07C317/44;;A61K31/10;;A61K31/167;;A61P1/00;;A61P17/00;;A61P19/02;;A61P25/00;;C07C317/32;;C07C317/46</x:v>
      </x:c>
      <x:c r="T800" s="87" t="str">
        <x:v>ACTIVE</x:v>
      </x:c>
      <x:c r="U800" s="87" t="str">
        <x:v>https://lens.org/094-011-183-770-300</x:v>
      </x:c>
    </x:row>
    <x:row r="801">
      <x:c r="A801" s="87" t="str">
        <x:v>Sanofi_Applicant_EP_Families_2015_2021.csv(1).csv</x:v>
      </x:c>
      <x:c r="B801" s="87" t="str">
        <x:v>Sanofi</x:v>
      </x:c>
      <x:c r="C801" s="87" t="str">
        <x:v>TRT-0010</x:v>
      </x:c>
      <x:c r="D801" s="87" t="str">
        <x:v>Yes</x:v>
      </x:c>
      <x:c r="E801" s="87" t="str">
        <x:v>sanofi</x:v>
      </x:c>
      <x:c r="F801" s="87" t="str">
        <x:v>207</x:v>
      </x:c>
      <x:c r="G801" s="87" t="str">
        <x:v>044-526-928-632-201</x:v>
      </x:c>
      <x:c r="H801" s="110" t="n">
        <x:v>43027</x:v>
      </x:c>
      <x:c r="I801" s="88" t="n">
        <x:v>2017</x:v>
      </x:c>
      <x:c r="J801" s="87" t="str">
        <x:v>EP</x:v>
      </x:c>
      <x:c r="K801" s="87" t="str">
        <x:v>A1</x:v>
      </x:c>
      <x:c r="L801" s="87" t="str">
        <x:v>EP 3697474 A1</x:v>
      </x:c>
      <x:c r="M801" s="87" t="str">
        <x:v>SANOFI SA</x:v>
      </x:c>
      <x:c r="N801" s="87" t="str">
        <x:v>SANOFI (2022-12-28)</x:v>
      </x:c>
      <x:c r="O801" s="87" t="str">
        <x:v>MEDICAMENT CONTAINER AND DRUG DELIVERY DEVICE</x:v>
      </x:c>
      <x:c r="P801" s="109" t="n">
        <x:v>0</x:v>
      </x:c>
      <x:c r="Q801" s="109" t="n">
        <x:v>10</x:v>
      </x:c>
      <x:c r="R801" s="87" t="str">
        <x:v>A61M5/2425;;A61M5/2466;;A61M2005/2411;;A61M2005/247;;A61M5/3243;;A61M2005/3247;;A61M5/20;;A61M2005/206;;A61J1/2013;;A61J1/10;;A61J1/1406;;A61M2005/206</x:v>
      </x:c>
      <x:c r="S801" s="87" t="str">
        <x:v>A61M5/24</x:v>
      </x:c>
      <x:c r="T801" s="87" t="str">
        <x:v>ACTIVE</x:v>
      </x:c>
      <x:c r="U801" s="87" t="str">
        <x:v>https://lens.org/044-526-928-632-201</x:v>
      </x:c>
    </x:row>
    <x:row r="802">
      <x:c r="A802" s="87" t="str">
        <x:v>Sanofi_Applicant_EP_Families_2015_2021.csv(1).csv</x:v>
      </x:c>
      <x:c r="B802" s="87" t="str">
        <x:v>Sanofi</x:v>
      </x:c>
      <x:c r="C802" s="87" t="str">
        <x:v>TRT-0010</x:v>
      </x:c>
      <x:c r="D802" s="87" t="str">
        <x:v>Yes</x:v>
      </x:c>
      <x:c r="E802" s="87" t="str">
        <x:v>sanofi</x:v>
      </x:c>
      <x:c r="F802" s="87" t="str">
        <x:v>208</x:v>
      </x:c>
      <x:c r="G802" s="87" t="str">
        <x:v>169-850-189-194-822</x:v>
      </x:c>
      <x:c r="H802" s="110" t="n">
        <x:v>42340</x:v>
      </x:c>
      <x:c r="I802" s="88" t="n">
        <x:v>2015</x:v>
      </x:c>
      <x:c r="J802" s="87" t="str">
        <x:v>EP</x:v>
      </x:c>
      <x:c r="K802" s="87" t="str">
        <x:v>A1</x:v>
      </x:c>
      <x:c r="L802" s="87" t="str">
        <x:v>EP 3693382 A1</x:v>
      </x:c>
      <x:c r="M802" s="87" t="str">
        <x:v>SANOFI SA</x:v>
      </x:c>
      <x:c r="N802" s="87" t="str">
        <x:v>SANOFI (2022-12-28)</x:v>
      </x:c>
      <x:c r="O802" s="87" t="str">
        <x:v>FGF21 VARIANTS</x:v>
      </x:c>
      <x:c r="P802" s="109" t="n">
        <x:v>0</x:v>
      </x:c>
      <x:c r="Q802" s="109" t="n">
        <x:v>21</x:v>
      </x:c>
      <x:c r="R802" s="87" t="str">
        <x:v>C07K14/50;;A61K38/00;;A61K38/1825;;A61P1/16;;A61P3/00;;A61P3/04;;A61P3/06;;A61P3/10;;A61P9/10;;C07K14/50;;A61K38/00;;A61K45/06;;A61P3/10;;C07K2319/20;;C07K2319/31;;C07K14/50;;A61K38/00;;A61K38/1825;;A61K45/06;;A61K47/60;;A61K47/61;;C07K14/765;;C07K14/78;;C07K2319/20;;C07K2319/21;;C07K2319/30;;C07K2319/31</x:v>
      </x:c>
      <x:c r="S802" s="87" t="str">
        <x:v>C07K14/50;;A61K38/18;;A61K38/26;;A61K38/28</x:v>
      </x:c>
      <x:c r="T802" s="87" t="str">
        <x:v>PENDING</x:v>
      </x:c>
      <x:c r="U802" s="87" t="str">
        <x:v>https://lens.org/169-850-189-194-822</x:v>
      </x:c>
    </x:row>
    <x:row r="803">
      <x:c r="A803" s="87" t="str">
        <x:v>Sanofi_Applicant_EP_Families_2015_2021.csv(1).csv</x:v>
      </x:c>
      <x:c r="B803" s="87" t="str">
        <x:v>Sanofi</x:v>
      </x:c>
      <x:c r="C803" s="87" t="str">
        <x:v>TRT-0010</x:v>
      </x:c>
      <x:c r="D803" s="87" t="str">
        <x:v>Yes</x:v>
      </x:c>
      <x:c r="E803" s="87" t="str">
        <x:v>sanofi</x:v>
      </x:c>
      <x:c r="F803" s="87" t="str">
        <x:v>209</x:v>
      </x:c>
      <x:c r="G803" s="87" t="str">
        <x:v>083-361-101-496-426</x:v>
      </x:c>
      <x:c r="H803" s="110" t="n">
        <x:v>39370</x:v>
      </x:c>
      <x:c r="I803" s="88" t="n">
        <x:v>2007</x:v>
      </x:c>
      <x:c r="J803" s="87" t="str">
        <x:v>EP</x:v>
      </x:c>
      <x:c r="K803" s="87" t="str">
        <x:v>A1</x:v>
      </x:c>
      <x:c r="L803" s="87" t="str">
        <x:v>EP 3686220 A1</x:v>
      </x:c>
      <x:c r="M803" s="87" t="str">
        <x:v>SANOFI SA</x:v>
      </x:c>
      <x:c r="N803" s="87" t="str">
        <x:v>SANOFI (2022-12-28)</x:v>
      </x:c>
      <x:c r="O803" s="87" t="str">
        <x:v>ANTIBODIES THAT BIND IL-4 AND/OR IL-13 AND THEIR USES</x:v>
      </x:c>
      <x:c r="P803" s="109" t="n">
        <x:v>0</x:v>
      </x:c>
      <x:c r="Q803" s="109" t="n">
        <x:v>214</x:v>
      </x:c>
      <x:c r="R803" s="87" t="str">
        <x:v>C07K16/244;;C07K16/247;;C07K16/468;;C07K2317/31;;C07K2317/76;;C07K2317/64;;A61K39/00;;C07K2317/31;;C07K2317/64;;C07K2317/76;;C07K16/244;;C07K16/247;;C07K16/468;;A61P11/00;;A61P11/06;;A61P29/00;;A61P35/00;;A61P37/00;;A61P37/02;;A61P37/08;;A61P43/00;;Y02A50/30;;A61K39/00;;A61K47/6845;;C07K16/244;;C07K16/247;;C07K16/468;;C07K2317/31;;C07K2317/76;;C07K2317/64;;A61K39/00;;C07K16/247;;C07K16/468;;A61K39/39533;;A61P35/00;;A61P37/00;;C12N15/63;;A61K39/00;;C07K2317/76;;C07K2317/31;;C07K2317/64;;A61K39/00;;C07K16/244;;C07K16/247;;C07K16/468</x:v>
      </x:c>
      <x:c r="S803" s="87" t="str">
        <x:v>C07K16/46;;A61K39/395;;A61P11/06;;A61P35/00;;A61P37/08;;C07K16/24</x:v>
      </x:c>
      <x:c r="T803" s="87" t="str">
        <x:v>PENDING</x:v>
      </x:c>
      <x:c r="U803" s="87" t="str">
        <x:v>https://lens.org/083-361-101-496-426</x:v>
      </x:c>
    </x:row>
    <x:row r="804">
      <x:c r="A804" s="87" t="str">
        <x:v>Sanofi_Applicant_EP_Families_2015_2021.csv(1).csv</x:v>
      </x:c>
      <x:c r="B804" s="87" t="str">
        <x:v>Sanofi</x:v>
      </x:c>
      <x:c r="C804" s="87" t="str">
        <x:v>TRT-0010</x:v>
      </x:c>
      <x:c r="D804" s="87" t="str">
        <x:v>Yes</x:v>
      </x:c>
      <x:c r="E804" s="87" t="str">
        <x:v>sanofi</x:v>
      </x:c>
      <x:c r="F804" s="87" t="str">
        <x:v>210</x:v>
      </x:c>
      <x:c r="G804" s="87" t="str">
        <x:v>063-276-055-165-287</x:v>
      </x:c>
      <x:c r="H804" s="110" t="n">
        <x:v>42027</x:v>
      </x:c>
      <x:c r="I804" s="88" t="n">
        <x:v>2015</x:v>
      </x:c>
      <x:c r="J804" s="87" t="str">
        <x:v>EP</x:v>
      </x:c>
      <x:c r="K804" s="87" t="str">
        <x:v>B1</x:v>
      </x:c>
      <x:c r="L804" s="87" t="str">
        <x:v>EP 3247725 B1</x:v>
      </x:c>
      <x:c r="M804" s="87" t="str">
        <x:v>SANOFI SA</x:v>
      </x:c>
      <x:c r="N804" s="87" t="str">
        <x:v>SANOFI (2020-05-27)</x:v>
      </x:c>
      <x:c r="O804" s="87" t="str">
        <x:v>ANTI-CD3 ANTIBODIES, ANTI-CD123 ANTIBODIES AND BISPECIFIC ANTIBODIES SPECIFICALLY BINDING TO CD3 AND/OR CD123</x:v>
      </x:c>
      <x:c r="P804" s="109" t="n">
        <x:v>0</x:v>
      </x:c>
      <x:c r="Q804" s="109" t="n">
        <x:v>80</x:v>
      </x:c>
      <x:c r="R804" s="87" t="str">
        <x:v>C07K16/2866;;C07K2317/31;;C07K2317/33;;A61K2039/505;;A61P35/00;;A61P35/02;;C07K16/2809;;C07K16/2809;;A61K2039/505;;C07K2317/31;;C07K2317/33;;C07K16/2866;;A61P35/00;;A61P35/02;;C07K16/2809;;A61P35/00;;C07K2317/21;;C07K2317/52;;C07K2317/92;;A61K2039/505;;C07K16/30;;C07K2317/33;;C07K2317/565;;C07K16/2866;;C07K2317/31;;C07K2317/56;;G01N2333/7155;;A61P35/02;;C07K2317/24;;C07K2317/55;;C07K2318/00;;G01N33/5759;;C07K16/2809;;C07K16/2866;;C07K2317/31;;C07K2317/33;;A61K2039/505;;G01N2333/70596;;G01N33/575;;A61P35/00;;A61K2039/505;;C07K2317/31;;G01N33/5759;;C07K16/2809;;A61K2039/505;;C07K2317/31;;C07K2317/33;;G01N33/5759;;C07K16/2866;;C07K16/30;;C07K2317/21;;C07K2317/24;;C07K2317/52;;C07K2317/55;;C07K2317/56;;C07K2317/565;;C07K2317/92;;C07K2318/00;;G01N2333/7155</x:v>
      </x:c>
      <x:c r="S804" s="87" t="str">
        <x:v>C07K16/28;;A61K39/00;;A61P35/00;;A61P35/02</x:v>
      </x:c>
      <x:c r="T804" s="87" t="str">
        <x:v>ACTIVE</x:v>
      </x:c>
      <x:c r="U804" s="87" t="str">
        <x:v>https://lens.org/063-276-055-165-287</x:v>
      </x:c>
    </x:row>
    <x:row r="805">
      <x:c r="A805" s="87" t="str">
        <x:v>Sanofi_Applicant_EP_Families_2015_2021.csv(1).csv</x:v>
      </x:c>
      <x:c r="B805" s="87" t="str">
        <x:v>Sanofi</x:v>
      </x:c>
      <x:c r="C805" s="87" t="str">
        <x:v>TRT-0010</x:v>
      </x:c>
      <x:c r="D805" s="87" t="str">
        <x:v>Yes</x:v>
      </x:c>
      <x:c r="E805" s="87" t="str">
        <x:v>sanofi</x:v>
      </x:c>
      <x:c r="F805" s="87" t="str">
        <x:v>211</x:v>
      </x:c>
      <x:c r="G805" s="87" t="str">
        <x:v>145-084-363-254-528</x:v>
      </x:c>
      <x:c r="H805" s="110" t="n">
        <x:v>42895</x:v>
      </x:c>
      <x:c r="I805" s="88" t="n">
        <x:v>2017</x:v>
      </x:c>
      <x:c r="J805" s="87" t="str">
        <x:v>EP</x:v>
      </x:c>
      <x:c r="K805" s="87" t="str">
        <x:v>A1</x:v>
      </x:c>
      <x:c r="L805" s="87" t="str">
        <x:v>EP 3634545 A1</x:v>
      </x:c>
      <x:c r="M805" s="87" t="str">
        <x:v>SANOFI SA</x:v>
      </x:c>
      <x:c r="N805" s="87" t="str">
        <x:v>SANOFI (2025-04-09)</x:v>
      </x:c>
      <x:c r="O805" s="87" t="str">
        <x:v>ELECTRONICS FOR DOSAGE SENSING</x:v>
      </x:c>
      <x:c r="P805" s="109" t="n">
        <x:v>0</x:v>
      </x:c>
      <x:c r="Q805" s="109" t="n">
        <x:v>21</x:v>
      </x:c>
      <x:c r="R805" s="87" t="str">
        <x:v>A61M5/3134;;A61M5/31511;;A61M5/31525;;A61M5/31546;;G01F11/02;;G01F22/00;;G01F22/00;;A61M5/16886;;A61M5/20;;A61M5/24;;A61M5/3129;;A61M5/31568;;A61M2005/2485;;A61M2205/3389;;A61M2205/3553;;A61M2205/50;;G01F11/021;;A61M5/31568;;A61M5/24;;A61M5/3293;;A61M2205/3306;;A61M2205/3375;;A61M2205/3389;;A61M2205/52;;A61M2205/8206;;G01F11/021;;G01F22/00</x:v>
      </x:c>
      <x:c r="S805" s="87" t="str">
        <x:v>A61M5/31;;A61M5/315;;G01F11/02;;G01F22/00</x:v>
      </x:c>
      <x:c r="T805" s="87" t="str">
        <x:v>ACTIVE</x:v>
      </x:c>
      <x:c r="U805" s="87" t="str">
        <x:v>https://lens.org/145-084-363-254-528</x:v>
      </x:c>
    </x:row>
    <x:row r="806">
      <x:c r="A806" s="87" t="str">
        <x:v>Sanofi_Applicant_EP_Families_2015_2021.csv(1).csv</x:v>
      </x:c>
      <x:c r="B806" s="87" t="str">
        <x:v>Sanofi</x:v>
      </x:c>
      <x:c r="C806" s="87" t="str">
        <x:v>TRT-0010</x:v>
      </x:c>
      <x:c r="D806" s="87" t="str">
        <x:v>Yes</x:v>
      </x:c>
      <x:c r="E806" s="87" t="str">
        <x:v>sanofi</x:v>
      </x:c>
      <x:c r="F806" s="87" t="str">
        <x:v>212</x:v>
      </x:c>
      <x:c r="G806" s="87" t="str">
        <x:v>029-691-039-031-874</x:v>
      </x:c>
      <x:c r="H806" s="110" t="n">
        <x:v>39780</x:v>
      </x:c>
      <x:c r="I806" s="88" t="n">
        <x:v>2008</x:v>
      </x:c>
      <x:c r="J806" s="87" t="str">
        <x:v>EP</x:v>
      </x:c>
      <x:c r="K806" s="87" t="str">
        <x:v>B1</x:v>
      </x:c>
      <x:c r="L806" s="87" t="str">
        <x:v>EP 2370095 B1</x:v>
      </x:c>
      <x:c r="M806" s="87" t="str">
        <x:v>SANOFI SA</x:v>
      </x:c>
      <x:c r="N806" s="87" t="str">
        <x:v>SANOFI (2012-05-02)</x:v>
      </x:c>
      <x:c r="O806" s="87" t="str">
        <x:v>ANTITUMOR COMBINATIONS CONTAINING 38SB19 ANTIBODY AND VINCRISTINE</x:v>
      </x:c>
      <x:c r="P806" s="109" t="n">
        <x:v>0</x:v>
      </x:c>
      <x:c r="Q806" s="109" t="n">
        <x:v>44</x:v>
      </x:c>
      <x:c r="R806" s="87" t="str">
        <x:v>A61K31/475;;A61K31/00;;A61K39/395;;A61P1/04;;A61P1/16;;A61P1/18;;A61P5/00;;A61P11/00;;A61P13/08;;A61P13/10;;A61P13/12;;A61P15/00;;A61P17/00;;A61P19/00;;A61P21/00;;A61P25/00;;A61P35/00;;A61P35/02;;A61P43/00;;A61K31/475;;A61K31/00;;A61K39/395</x:v>
      </x:c>
      <x:c r="S806" s="87" t="str">
        <x:v>A61K39/395;;A61K31/475;;A61P35/00</x:v>
      </x:c>
      <x:c r="T806" s="87" t="str">
        <x:v>ACTIVE</x:v>
      </x:c>
      <x:c r="U806" s="87" t="str">
        <x:v>https://lens.org/029-691-039-031-874</x:v>
      </x:c>
    </x:row>
    <x:row r="807">
      <x:c r="A807" s="87" t="str">
        <x:v>Sanofi_Applicant_EP_Families_2015_2021.csv(1).csv</x:v>
      </x:c>
      <x:c r="B807" s="87" t="str">
        <x:v>Sanofi</x:v>
      </x:c>
      <x:c r="C807" s="87" t="str">
        <x:v>TRT-0010</x:v>
      </x:c>
      <x:c r="D807" s="87" t="str">
        <x:v>Yes</x:v>
      </x:c>
      <x:c r="E807" s="87" t="str">
        <x:v>sanofi</x:v>
      </x:c>
      <x:c r="F807" s="87" t="str">
        <x:v>213</x:v>
      </x:c>
      <x:c r="G807" s="87" t="str">
        <x:v>101-137-331-094-611</x:v>
      </x:c>
      <x:c r="H807" s="110" t="n">
        <x:v>42865</x:v>
      </x:c>
      <x:c r="I807" s="88" t="n">
        <x:v>2017</x:v>
      </x:c>
      <x:c r="J807" s="87" t="str">
        <x:v>EP</x:v>
      </x:c>
      <x:c r="K807" s="87" t="str">
        <x:v>A1</x:v>
      </x:c>
      <x:c r="L807" s="87" t="str">
        <x:v>EP 3621658 A1</x:v>
      </x:c>
      <x:c r="M807" s="87" t="str">
        <x:v>SANOFI SA</x:v>
      </x:c>
      <x:c r="N807" s="87" t="str">
        <x:v>SANOFI (2023-01-11)</x:v>
      </x:c>
      <x:c r="O807" s="87" t="str">
        <x:v>PEPTIDIC LINKERS AND CRYPTOPHYCIN CONJUGATES, USEFUL IN THERAPY, AND THEIR PREPARATION</x:v>
      </x:c>
      <x:c r="P807" s="109" t="n">
        <x:v>0</x:v>
      </x:c>
      <x:c r="Q807" s="109" t="n">
        <x:v>38</x:v>
      </x:c>
      <x:c r="R807" s="87" t="str">
        <x:v>A61K38/15;;A61K47/10;;A61K47/22;;A61K47/64;;A61K47/65;;A61K47/6829;;A61K47/6889;;A61P35/00;;C07D405/06;;C07D405/14;;A61K47/65;;A61K38/15;;A61K47/6829;;A61K47/6889;;A61P35/00;;C07D405/06;;C07D405/14;;A61K47/65;;A61K38/15;;A61K47/10;;A61K47/22;;A61K47/64;;A61K47/6829;;A61K47/6889;;C07D405/06;;C07D405/14;;C07D405/06;;A61K38/15;;A61K47/64;;A61K47/65;;A61K47/6829;;A61K47/6889;;A61P35/00;;C07D405/14;;C07K5/06052;;A61K47/65;;A61K38/15;;A61K47/10;;A61K47/22;;A61K47/64;;A61K47/6829;;A61K47/6889;;A61P35/00;;C07D405/06;;C07D405/14;;C07K11/00</x:v>
      </x:c>
      <x:c r="S807" s="87" t="str">
        <x:v>A61K47/65;;A61K47/68;;A61P35/00;;C07D273/08</x:v>
      </x:c>
      <x:c r="T807" s="87" t="str">
        <x:v>PENDING</x:v>
      </x:c>
      <x:c r="U807" s="87" t="str">
        <x:v>https://lens.org/101-137-331-094-611</x:v>
      </x:c>
    </x:row>
    <x:row r="808">
      <x:c r="A808" s="87" t="str">
        <x:v>Sanofi_Applicant_EP_Families_2015_2021.csv(1).csv</x:v>
      </x:c>
      <x:c r="B808" s="87" t="str">
        <x:v>Sanofi</x:v>
      </x:c>
      <x:c r="C808" s="87" t="str">
        <x:v>TRT-0010</x:v>
      </x:c>
      <x:c r="D808" s="87" t="str">
        <x:v>Yes</x:v>
      </x:c>
      <x:c r="E808" s="87" t="str">
        <x:v>sanofi</x:v>
      </x:c>
      <x:c r="F808" s="87" t="str">
        <x:v>214</x:v>
      </x:c>
      <x:c r="G808" s="87" t="str">
        <x:v>091-334-568-622-277</x:v>
      </x:c>
      <x:c r="H808" s="110" t="n">
        <x:v>42160</x:v>
      </x:c>
      <x:c r="I808" s="88" t="n">
        <x:v>2015</x:v>
      </x:c>
      <x:c r="J808" s="87" t="str">
        <x:v>EP</x:v>
      </x:c>
      <x:c r="K808" s="87" t="str">
        <x:v>B1</x:v>
      </x:c>
      <x:c r="L808" s="87" t="str">
        <x:v>EP 3303292 B1</x:v>
      </x:c>
      <x:c r="M808" s="87" t="str">
        <x:v>LEAD PHARMA B V;;SANOFI SA</x:v>
      </x:c>
      <x:c r="N808" s="87" t="str">
        <x:v>LEAD PHARMA B.V. (2019-12-25);;SANOFI (2019-12-25)</x:v>
      </x:c>
      <x:c r="O808" s="87" t="str">
        <x:v>ROR GAMMA (RORY) MODULATORS</x:v>
      </x:c>
      <x:c r="P808" s="109" t="n">
        <x:v>0</x:v>
      </x:c>
      <x:c r="Q808" s="109" t="n">
        <x:v>25</x:v>
      </x:c>
      <x:c r="R808" s="87" t="str">
        <x:v>C07D213/75;;A61K31/167;;A61K31/381;;A61K31/415;;A61K31/4164;;A61K31/4196;;A61K31/421;;A61K31/4245;;A61K31/426;;A61K31/4402;;A61K31/4436;;A61K31/4439;;A61P1/00;;A61P29/00;;A61P37/00;;A61P37/02;;A61P43/00;;C07C311/20;;C07C317/44;;C07C2601/02;;C07D213/72;;C07D231/12;;C07D233/61;;C07D249/08;;C07D263/32;;C07D271/06;;C07D277/46;;C07D277/54;;C07D333/36;;C07D409/04;;C07D417/12;;Y02A50/30;;C07D233/61;;C07C311/20;;C07C317/44;;C07C2601/02;;C07D213/75;;C07D231/12;;C07D249/08;;C07D263/32;;C07D271/06;;C07D277/46;;C07D333/36;;C07D409/04;;C07C317/44;;A61K31/10;;A61K31/4164;;A61K45/06;;A61P29/00;;A61P37/00;;C07D233/61;;C07D249/08;;A61K31/10;;A61K31/18;;A61P29/00;;A61P37/00;;C07C311/20;;C07C317/32;;C07D213/75;;C07D231/12;;C07D233/61;;C07D249/08;;C07D263/32;;C07D271/06;;C07D277/46;;C07D333/36;;C07D409/04;;C07C317/32;;A61K31/167;;A61K31/381;;A61K31/415;;A61K31/4164;;A61K31/4196;;A61K31/421;;A61K31/4245;;A61K31/426;;A61K31/4402;;A61K31/4436;;A61K31/4439;;C07C311/20;;C07C317/44;;C07C2601/02;;C07D213/72;;C07D213/75;;C07D231/12;;C07D233/61;;C07D249/08;;C07D263/32;;C07D271/06;;C07D277/46;;C07D277/54;;C07D333/36;;C07D409/04;;C07D417/12;;Y02A50/30</x:v>
      </x:c>
      <x:c r="S808" s="87" t="str">
        <x:v>C07D213/75;;A61K31/10;;A61K31/18;;A61P29/00;;A61P37/00;;C07C311/20;;C07C317/32;;C07D231/12;;C07D233/61;;C07D249/08;;C07D263/32;;C07D271/06;;C07D277/46;;C07D333/36;;C07D409/04</x:v>
      </x:c>
      <x:c r="T808" s="87" t="str">
        <x:v>ACTIVE</x:v>
      </x:c>
      <x:c r="U808" s="87" t="str">
        <x:v>https://lens.org/091-334-568-622-277</x:v>
      </x:c>
    </x:row>
    <x:row r="809">
      <x:c r="A809" s="87" t="str">
        <x:v>Sanofi_Applicant_EP_Families_2015_2021.csv(1).csv</x:v>
      </x:c>
      <x:c r="B809" s="87" t="str">
        <x:v>Sanofi</x:v>
      </x:c>
      <x:c r="C809" s="87" t="str">
        <x:v>TRT-0010</x:v>
      </x:c>
      <x:c r="D809" s="87" t="str">
        <x:v>Yes</x:v>
      </x:c>
      <x:c r="E809" s="87" t="str">
        <x:v>sanofi</x:v>
      </x:c>
      <x:c r="F809" s="87" t="str">
        <x:v>215</x:v>
      </x:c>
      <x:c r="G809" s="87" t="str">
        <x:v>083-585-158-887-834</x:v>
      </x:c>
      <x:c r="H809" s="110" t="n">
        <x:v>42160</x:v>
      </x:c>
      <x:c r="I809" s="88" t="n">
        <x:v>2015</x:v>
      </x:c>
      <x:c r="J809" s="87" t="str">
        <x:v>EP</x:v>
      </x:c>
      <x:c r="K809" s="87" t="str">
        <x:v>B1</x:v>
      </x:c>
      <x:c r="L809" s="87" t="str">
        <x:v>EP 3303291 B1</x:v>
      </x:c>
      <x:c r="M809" s="87" t="str">
        <x:v>LEAD PHARMA B V;;SANOFI SA</x:v>
      </x:c>
      <x:c r="N809" s="87" t="str">
        <x:v>LEAD PHARMA B.V. (2019-12-25);;SANOFI (2019-12-25)</x:v>
      </x:c>
      <x:c r="O809" s="87" t="str">
        <x:v>ROR-GAMMA MODULATORS</x:v>
      </x:c>
      <x:c r="P809" s="109" t="n">
        <x:v>0</x:v>
      </x:c>
      <x:c r="Q809" s="109" t="n">
        <x:v>30</x:v>
      </x:c>
      <x:c r="R809" s="87" t="str">
        <x:v>C07D213/75;;A61P1/04;;A61P5/14;;A61P11/00;;A61P11/06;;A61P17/00;;A61P17/06;;A61P19/02;;A61P25/00;;A61P29/00;;A61P33/02;;A61P37/00;;A61P37/06;;A61P43/00;;C07C311/20;;C07C317/44;;C07C2601/02;;C07C2601/04;;C07D207/06;;C07D209/08;;C07D211/16;;C07D211/26;;C07D211/60;;C07D213/82;;C07D215/08;;C07D217/02;;C07D223/16;;C07D231/40;;C07D241/04;;C07D261/08;;C07D277/46;;C07D285/135;;C07D295/13;;C07D295/192;;C07D307/52;;C07D333/36;;C07D417/04;;C07D495/04;;C07D213/75;;C07C311/20;;C07C317/44;;C07C2601/02;;C07C2601/04;;C07D207/06;;C07D209/08;;C07D211/16;;C07D211/26;;C07D211/60;;C07D213/82;;C07D215/08;;C07D217/02;;C07D223/16;;C07D231/40;;C07D241/04;;C07D261/08;;C07D277/46;;C07D285/135;;C07D295/13;;C07D295/192;;C07D307/52;;C07D333/36;;C07D417/04;;C07D495/04;;C07C317/50;;A61K31/166;;A61K31/167;;A61K45/06;;A61P29/00;;A61P37/00;;A61K31/10;;A61K31/18;;A61P29/00;;A61P37/00;;C07C311/20;;C07C317/32;;C07D213/75;;C07D213/82;;C07D215/08;;C07D217/02;;C07D223/16;;C07D231/40;;C07D241/04;;C07D333/36;;C07D417/04;;C07D213/75;;C07C311/20;;C07C317/44;;C07C317/50;;C07C2601/02;;C07C2601/04;;C07D207/06;;C07D209/08;;C07D211/16;;C07D211/26;;C07D211/60;;C07D213/82;;C07D215/08;;C07D217/02;;C07D223/16;;C07D231/40;;C07D241/04;;C07D261/08;;C07D277/46;;C07D285/135;;C07D295/13;;C07D295/192;;C07D307/52;;C07D333/36;;C07D417/04;;C07D495/04</x:v>
      </x:c>
      <x:c r="S809" s="87" t="str">
        <x:v>C07D213/75;;A61K31/10;;A61K31/18;;A61P29/00;;A61P37/00;;C07C311/20;;C07C317/32;;C07D207/06;;C07D209/08;;C07D213/82;;C07D215/08;;C07D217/02;;C07D223/16;;C07D231/40;;C07D241/04;;C07D261/08;;C07D333/36;;C07D417/04;;C07D495/04</x:v>
      </x:c>
      <x:c r="T809" s="87" t="str">
        <x:v>ACTIVE</x:v>
      </x:c>
      <x:c r="U809" s="87" t="str">
        <x:v>https://lens.org/083-585-158-887-834</x:v>
      </x:c>
    </x:row>
    <x:row r="810">
      <x:c r="A810" s="87" t="str">
        <x:v>Sanofi_Applicant_EP_Families_2015_2021.csv(1).csv</x:v>
      </x:c>
      <x:c r="B810" s="87" t="str">
        <x:v>Sanofi</x:v>
      </x:c>
      <x:c r="C810" s="87" t="str">
        <x:v>TRT-0010</x:v>
      </x:c>
      <x:c r="D810" s="87" t="str">
        <x:v>Yes</x:v>
      </x:c>
      <x:c r="E810" s="87" t="str">
        <x:v>sanofi</x:v>
      </x:c>
      <x:c r="F810" s="87" t="str">
        <x:v>216</x:v>
      </x:c>
      <x:c r="G810" s="87" t="str">
        <x:v>111-706-354-401-813</x:v>
      </x:c>
      <x:c r="H810" s="110" t="n">
        <x:v>42160</x:v>
      </x:c>
      <x:c r="I810" s="88" t="n">
        <x:v>2015</x:v>
      </x:c>
      <x:c r="J810" s="87" t="str">
        <x:v>EP</x:v>
      </x:c>
      <x:c r="K810" s="87" t="str">
        <x:v>B1</x:v>
      </x:c>
      <x:c r="L810" s="87" t="str">
        <x:v>EP 3319942 B1</x:v>
      </x:c>
      <x:c r="M810" s="87" t="str">
        <x:v>LEAD PHARMA B V;;SANOFI SA</x:v>
      </x:c>
      <x:c r="N810" s="87" t="str">
        <x:v>SANOFI (2019-12-25);;LEAD PHARMA B.V. (2019-12-25)</x:v>
      </x:c>
      <x:c r="O810" s="87" t="str">
        <x:v>ROR-GAMMA MODULATORS</x:v>
      </x:c>
      <x:c r="P810" s="109" t="n">
        <x:v>0</x:v>
      </x:c>
      <x:c r="Q810" s="109" t="n">
        <x:v>30</x:v>
      </x:c>
      <x:c r="R810" s="87" t="str">
        <x:v>C07D213/71;;A61K31/44;;A61K31/4427;;A61K31/444;;A61K31/4965;;A61K31/50;;A61K31/505;;A61P1/04;;A61P5/14;;A61P9/00;;A61P11/06;;A61P11/14;;A61P17/06;;A61P19/02;;A61P25/00;;A61P29/00;;A61P33/02;;A61P35/00;;A61P37/00;;A61P37/06;;A61P43/00;;C07D213/75;;C07D237/18;;C07D239/38;;C07D241/18;;C07D405/12;;Y02A50/30;;C07D213/71;;C07D213/75;;C07D241/18;;C07D213/71;;A61K31/44;;A61K31/444;;A61K45/06;;A61P29/00;;A61P37/00;;C07D213/75;;C07D241/18;;C07D401/12;;A61K31/44;;A61K31/4965;;A61P29/00;;A61P37/00;;C07D213/71;;C07D213/75;;C07D241/18;;C07D213/71;;A61K31/44;;A61K31/4427;;A61K31/444;;A61K31/4965;;A61K31/50;;A61K31/505;;C07D213/75;;C07D237/18;;C07D239/38;;C07D241/18;;C07D405/12;;Y02A50/30</x:v>
      </x:c>
      <x:c r="S810" s="87" t="str">
        <x:v>C07D213/71;;A61K31/44;;A61K31/4965;;A61P29/00;;A61P37/00;;C07D213/75;;C07D241/18</x:v>
      </x:c>
      <x:c r="T810" s="87" t="str">
        <x:v>ACTIVE</x:v>
      </x:c>
      <x:c r="U810" s="87" t="str">
        <x:v>https://lens.org/111-706-354-401-813</x:v>
      </x:c>
    </x:row>
    <x:row r="811">
      <x:c r="A811" s="87" t="str">
        <x:v>Sanofi_Applicant_EP_Families_2015_2021.csv(1).csv</x:v>
      </x:c>
      <x:c r="B811" s="87" t="str">
        <x:v>Sanofi</x:v>
      </x:c>
      <x:c r="C811" s="87" t="str">
        <x:v>TRT-0010</x:v>
      </x:c>
      <x:c r="D811" s="87" t="str">
        <x:v>Yes</x:v>
      </x:c>
      <x:c r="E811" s="87" t="str">
        <x:v>sanofi</x:v>
      </x:c>
      <x:c r="F811" s="87" t="str">
        <x:v>217</x:v>
      </x:c>
      <x:c r="G811" s="87" t="str">
        <x:v>064-216-424-734-548</x:v>
      </x:c>
      <x:c r="H811" s="110" t="n">
        <x:v>41499</x:v>
      </x:c>
      <x:c r="I811" s="88" t="n">
        <x:v>2013</x:v>
      </x:c>
      <x:c r="J811" s="87" t="str">
        <x:v>EP</x:v>
      </x:c>
      <x:c r="K811" s="87" t="str">
        <x:v>A1</x:v>
      </x:c>
      <x:c r="L811" s="87" t="str">
        <x:v>EP 3620472 A1</x:v>
      </x:c>
      <x:c r="M811" s="87" t="str">
        <x:v>SANOFI SA</x:v>
      </x:c>
      <x:c r="N811" s="87" t="str">
        <x:v>SANOFI (2023-05-31)</x:v>
      </x:c>
      <x:c r="O811" s="87" t="str">
        <x:v>ANTIBODIES TO PLASMINOGEN ACTIVATOR INHIBITOR-1 (PAI-1) AND USES THEREOF</x:v>
      </x:c>
      <x:c r="P811" s="109" t="n">
        <x:v>1</x:v>
      </x:c>
      <x:c r="Q811" s="109" t="n">
        <x:v>19</x:v>
      </x:c>
      <x:c r="R811" s="87" t="str">
        <x:v>A61K39/39533;;A61P1/16;;A61P7/02;;A61P9/10;;A61P11/00;;A61P13/12;;C07K16/38;;C07K16/38;;A61K2039/505;;C07K2317/24;;C07K2317/32;;C07K2317/34;;C07K2317/56;;C07K2317/565;;C07K2317/76;;C07K2317/92;;C07K2317/94;;A61P1/16;;A61P11/00;;A61P13/12;;A61P7/02;;A61P9/10</x:v>
      </x:c>
      <x:c r="S811" s="87" t="str">
        <x:v>C07K16/38</x:v>
      </x:c>
      <x:c r="T811" s="87" t="str">
        <x:v>ACTIVE</x:v>
      </x:c>
      <x:c r="U811" s="87" t="str">
        <x:v>https://lens.org/064-216-424-734-548</x:v>
      </x:c>
    </x:row>
    <x:row r="812">
      <x:c r="A812" s="87" t="str">
        <x:v>Sanofi_Applicant_EP_Families_2015_2021.csv(1).csv</x:v>
      </x:c>
      <x:c r="B812" s="87" t="str">
        <x:v>Sanofi</x:v>
      </x:c>
      <x:c r="C812" s="87" t="str">
        <x:v>TRT-0010</x:v>
      </x:c>
      <x:c r="D812" s="87" t="str">
        <x:v>Yes</x:v>
      </x:c>
      <x:c r="E812" s="87" t="str">
        <x:v>sanofi</x:v>
      </x:c>
      <x:c r="F812" s="87" t="str">
        <x:v>218</x:v>
      </x:c>
      <x:c r="G812" s="87" t="str">
        <x:v>061-842-954-338-461</x:v>
      </x:c>
      <x:c r="H812" s="110" t="n">
        <x:v>42160</x:v>
      </x:c>
      <x:c r="I812" s="88" t="n">
        <x:v>2015</x:v>
      </x:c>
      <x:c r="J812" s="87" t="str">
        <x:v>EP</x:v>
      </x:c>
      <x:c r="K812" s="87" t="str">
        <x:v>B1</x:v>
      </x:c>
      <x:c r="L812" s="87" t="str">
        <x:v>EP 3303290 B1</x:v>
      </x:c>
      <x:c r="M812" s="87" t="str">
        <x:v>LEAD PHARMA B V;;SANOFI SA</x:v>
      </x:c>
      <x:c r="N812" s="87" t="str">
        <x:v>LEAD PHARMA B.V. (2019-12-25);;SANOFI (2019-12-25)</x:v>
      </x:c>
      <x:c r="O812" s="87" t="str">
        <x:v>ROR-GAMMA MODULATORS</x:v>
      </x:c>
      <x:c r="P812" s="109" t="n">
        <x:v>0</x:v>
      </x:c>
      <x:c r="Q812" s="109" t="n">
        <x:v>31</x:v>
      </x:c>
      <x:c r="R812" s="87" t="str">
        <x:v>C07C317/44;;A61K31/167;;A61K31/341;;A61K31/40;;A61K31/415;;A61K31/42;;A61K31/433;;A61K31/44;;A61K31/4402;;A61K31/4406;;A61K31/451;;A61K31/47;;A61P1/04;;A61P5/14;;A61P9/00;;A61P11/06;;A61P17/06;;A61P19/02;;A61P25/00;;A61P29/00;;A61P33/02;;A61P35/00;;A61P37/00;;A61P37/06;;C07C2601/02;;C07C2601/04;;C07D207/06;;C07D207/325;;C07D211/16;;C07D213/71;;C07D213/75;;C07D215/08;;C07D231/40;;C07D261/08;;C07D261/14;;C07D277/46;;C07D285/135;;C07D307/14;;C07D307/22;;C07D307/52;;Y02A50/30;;C07D261/14;;C07C317/44;;C07C2601/02;;C07C2601/04;;C07D207/325;;C07D211/16;;C07D213/75;;C07D215/08;;C07D231/40;;C07D261/08;;C07D277/46;;C07D285/135;;C07D307/52;;C07D261/14;;A61K31/415;;A61K31/42;;A61K31/433;;A61K45/06;;A61P29/00;;A61P37/00;;C07D231/40;;C07D285/135;;C07D307/52;;A61K31/10;;A61P29/00;;A61P37/00;;C07D213/75;;C07D215/08;;C07D231/40;;C07D261/08;;C07D261/14;;C07D277/46;;C07D285/135;;C07D307/52;;C07C317/44;;A61K31/167;;A61K31/341;;A61K31/40;;A61K31/415;;A61K31/42;;A61K31/433;;A61K31/44;;A61K31/4402;;A61K31/4406;;A61K31/451;;A61K31/47;;C07C2601/02;;C07C2601/04;;C07D207/06;;C07D207/325;;C07D211/16;;C07D213/71;;C07D213/75;;C07D215/08;;C07D231/40;;C07D261/08;;C07D261/14;;C07D277/46;;C07D285/135;;C07D307/14;;C07D307/22;;C07D307/52;;Y02A50/30</x:v>
      </x:c>
      <x:c r="S812" s="87" t="str">
        <x:v>C07D213/75;;A61K31/10;;A61P29/00;;A61P37/00;;C07C317/32;;C07D207/325;;C07D211/16;;C07D215/08;;C07D231/40;;C07D261/08;;C07D261/14;;C07D277/46;;C07D285/135;;C07D307/52</x:v>
      </x:c>
      <x:c r="T812" s="87" t="str">
        <x:v>ACTIVE</x:v>
      </x:c>
      <x:c r="U812" s="87" t="str">
        <x:v>https://lens.org/061-842-954-338-461</x:v>
      </x:c>
    </x:row>
    <x:row r="813">
      <x:c r="A813" s="87" t="str">
        <x:v>Sanofi_Applicant_EP_Families_2015_2021.csv(1).csv</x:v>
      </x:c>
      <x:c r="B813" s="87" t="str">
        <x:v>Sanofi</x:v>
      </x:c>
      <x:c r="C813" s="87" t="str">
        <x:v>TRT-0010</x:v>
      </x:c>
      <x:c r="D813" s="87" t="str">
        <x:v>Yes</x:v>
      </x:c>
      <x:c r="E813" s="87" t="str">
        <x:v>sanofi</x:v>
      </x:c>
      <x:c r="F813" s="87" t="str">
        <x:v>219</x:v>
      </x:c>
      <x:c r="G813" s="87" t="str">
        <x:v>166-171-852-445-349</x:v>
      </x:c>
      <x:c r="H813" s="110" t="n">
        <x:v>42160</x:v>
      </x:c>
      <x:c r="I813" s="88" t="n">
        <x:v>2015</x:v>
      </x:c>
      <x:c r="J813" s="87" t="str">
        <x:v>EP</x:v>
      </x:c>
      <x:c r="K813" s="87" t="str">
        <x:v>B1</x:v>
      </x:c>
      <x:c r="L813" s="87" t="str">
        <x:v>EP 3303293 B1</x:v>
      </x:c>
      <x:c r="M813" s="87" t="str">
        <x:v>LEAD PHARMA B V;;SANOFI SA</x:v>
      </x:c>
      <x:c r="N813" s="87" t="str">
        <x:v>SANOFI (2019-12-25);;LEAD PHARMA B.V. (2019-12-25)</x:v>
      </x:c>
      <x:c r="O813" s="87" t="str">
        <x:v>ROR-GAMMA MODULATORS</x:v>
      </x:c>
      <x:c r="P813" s="109" t="n">
        <x:v>0</x:v>
      </x:c>
      <x:c r="Q813" s="109" t="n">
        <x:v>28</x:v>
      </x:c>
      <x:c r="R813" s="87" t="str">
        <x:v>C07D213/81;;A61P29/00;;A61P37/00;;C07C311/46;;C07C317/32;;C07C2601/02;;C07D213/81;;C07C311/46;;C07C317/32;;C07C2601/02;;C07C317/32;;A61K31/10;;A61K31/166;;A61K45/06;;A61K31/10;;A61K31/166;;A61K31/18;;A61K31/42;;A61K31/44;;A61P19/02;;A61P29/00;;A61P37/00;;C07C311/27;;C07C317/32;;C07D213/81;;C07D261/08;;C07D213/81;;A61P29/00;;A61P37/00;;C07C311/46;;C07C317/32;;C07C2601/02</x:v>
      </x:c>
      <x:c r="S813" s="87" t="str">
        <x:v>C07D213/81;;A61K31/10;;A61P29/00;;A61P37/00;;C07C317/32</x:v>
      </x:c>
      <x:c r="T813" s="87" t="str">
        <x:v>ACTIVE</x:v>
      </x:c>
      <x:c r="U813" s="87" t="str">
        <x:v>https://lens.org/166-171-852-445-349</x:v>
      </x:c>
    </x:row>
    <x:row r="814">
      <x:c r="A814" s="87" t="str">
        <x:v>Sanofi_Applicant_EP_Families_2015_2021.csv(1).csv</x:v>
      </x:c>
      <x:c r="B814" s="87" t="str">
        <x:v>Sanofi</x:v>
      </x:c>
      <x:c r="C814" s="87" t="str">
        <x:v>TRT-0010</x:v>
      </x:c>
      <x:c r="D814" s="87" t="str">
        <x:v>Yes</x:v>
      </x:c>
      <x:c r="E814" s="87" t="str">
        <x:v>sanofi</x:v>
      </x:c>
      <x:c r="F814" s="87" t="str">
        <x:v>220</x:v>
      </x:c>
      <x:c r="G814" s="87" t="str">
        <x:v>166-598-610-961-36X</x:v>
      </x:c>
      <x:c r="H814" s="110" t="n">
        <x:v>42816</x:v>
      </x:c>
      <x:c r="I814" s="88" t="n">
        <x:v>2017</x:v>
      </x:c>
      <x:c r="J814" s="87" t="str">
        <x:v>EP</x:v>
      </x:c>
      <x:c r="K814" s="87" t="str">
        <x:v>A1</x:v>
      </x:c>
      <x:c r="L814" s="87" t="str">
        <x:v>EP 3601344 A1</x:v>
      </x:c>
      <x:c r="M814" s="87" t="str">
        <x:v>SANOFI SA</x:v>
      </x:c>
      <x:c r="N814" s="87" t="str">
        <x:v>SANOFI (2022-12-28)</x:v>
      </x:c>
      <x:c r="O814" s="87" t="str">
        <x:v>TREATMENT OF LUPUS USING HUMANIZED ANTI-CXCR5 ANTIBODIES</x:v>
      </x:c>
      <x:c r="P814" s="109" t="n">
        <x:v>0</x:v>
      </x:c>
      <x:c r="Q814" s="109" t="n">
        <x:v>12</x:v>
      </x:c>
      <x:c r="R814" s="87" t="str">
        <x:v>C07K16/2866;;A61K2039/505;;A61K2039/54;;A61K2039/545;;A61K2039/55;;C07K2317/24;;C07K2317/76;;A61K39/395;;A61K39/0008;;A61K2039/505;;A61K2039/54;;A61K2039/545;;A61K2039/55;;A61P37/02;;C07K16/2866;;C07K2317/24;;C07K2317/76;;C07K16/2866;;A61K2039/505;;A61K2039/54;;A61K2039/545;;A61P37/02;;C07K2317/24;;C07K2317/76;;A61K39/395;;A61K39/0008;;A61K2039/505;;A61K2039/54;;A61K2039/545;;A61K2039/55;;A61P37/02;;C07K16/2866;;C07K2317/24;;C07K2317/76</x:v>
      </x:c>
      <x:c r="S814" s="87" t="str">
        <x:v>C07K16/28;;A61K39/00</x:v>
      </x:c>
      <x:c r="T814" s="87" t="str">
        <x:v>PENDING</x:v>
      </x:c>
      <x:c r="U814" s="87" t="str">
        <x:v>https://lens.org/166-598-610-961-36X</x:v>
      </x:c>
    </x:row>
    <x:row r="815">
      <x:c r="A815" s="87" t="str">
        <x:v>Sanofi_Applicant_EP_Families_2015_2021.csv(1).csv</x:v>
      </x:c>
      <x:c r="B815" s="87" t="str">
        <x:v>Sanofi</x:v>
      </x:c>
      <x:c r="C815" s="87" t="str">
        <x:v>TRT-0010</x:v>
      </x:c>
      <x:c r="D815" s="87" t="str">
        <x:v>Yes</x:v>
      </x:c>
      <x:c r="E815" s="87" t="str">
        <x:v>sanofi</x:v>
      </x:c>
      <x:c r="F815" s="87" t="str">
        <x:v>221</x:v>
      </x:c>
      <x:c r="G815" s="87" t="str">
        <x:v>018-117-107-883-791</x:v>
      </x:c>
      <x:c r="H815" s="110" t="n">
        <x:v>41233</x:v>
      </x:c>
      <x:c r="I815" s="88" t="n">
        <x:v>2012</x:v>
      </x:c>
      <x:c r="J815" s="87" t="str">
        <x:v>EP</x:v>
      </x:c>
      <x:c r="K815" s="87" t="str">
        <x:v>A1</x:v>
      </x:c>
      <x:c r="L815" s="87" t="str">
        <x:v>EP 3594243 A1</x:v>
      </x:c>
      <x:c r="M815" s="87" t="str">
        <x:v>SANOFI SA</x:v>
      </x:c>
      <x:c r="N815" s="87" t="str">
        <x:v>SANOFI (2023-01-11)</x:v>
      </x:c>
      <x:c r="O815" s="87" t="str">
        <x:v>ANTI-CEACAM5 ANTIBODIES AND USES THEREOF</x:v>
      </x:c>
      <x:c r="P815" s="109" t="n">
        <x:v>3</x:v>
      </x:c>
      <x:c r="Q815" s="109" t="n">
        <x:v>81</x:v>
      </x:c>
      <x:c r="R815" s="87" t="str">
        <x:v>C07K2317/24;;C07K2317/33;;C07K2317/34;;C07K2317/73;;C07K2317/77;;C07K2317/92;;A61K47/6849;;A61K47/6853;;C07K16/3007;;A61K31/537;;A61P35/00;;A61K47/68033;;C07K16/3007;;A61K47/6853;;C07K2317/92;;C07K2317/24;;A61K47/68031;;A61K47/68033;;A61K47/68035;;G01N33/58;;G01N33/575;;A61P35/02;;A61P35/04;;C07K2317/33;;C07K2317/34;;C07K2317/73;;C07K2317/77;;A61K2121/00;;A61K2300/00;;A61K47/6849;;A61K47/6853;;C07K2317/24;;C07K2317/33;;C07K2317/34;;C07K2317/73;;C07K2317/77;;C07K2317/92;;A61K47/68033;;G01N33/57565;;C07K16/3007;;A61K31/537;;C07K16/2896;;C07K16/464;;C07K2317/565;;G01N2333/70503</x:v>
      </x:c>
      <x:c r="S815" s="87" t="str">
        <x:v>C07K16/30;;A61K39/395;;A61P35/00</x:v>
      </x:c>
      <x:c r="T815" s="87" t="str">
        <x:v>PENDING</x:v>
      </x:c>
      <x:c r="U815" s="87" t="str">
        <x:v>https://lens.org/018-117-107-883-791</x:v>
      </x:c>
    </x:row>
    <x:row r="816">
      <x:c r="A816" s="87" t="str">
        <x:v>Sanofi_Applicant_EP_Families_2015_2021.csv(1).csv</x:v>
      </x:c>
      <x:c r="B816" s="87" t="str">
        <x:v>Sanofi</x:v>
      </x:c>
      <x:c r="C816" s="87" t="str">
        <x:v>TRT-0010</x:v>
      </x:c>
      <x:c r="D816" s="87" t="str">
        <x:v>Yes</x:v>
      </x:c>
      <x:c r="E816" s="87" t="str">
        <x:v>sanofi</x:v>
      </x:c>
      <x:c r="F816" s="87" t="str">
        <x:v>222</x:v>
      </x:c>
      <x:c r="G816" s="87" t="str">
        <x:v>132-843-905-582-757</x:v>
      </x:c>
      <x:c r="H816" s="110" t="n">
        <x:v>40232</x:v>
      </x:c>
      <x:c r="I816" s="88" t="n">
        <x:v>2010</x:v>
      </x:c>
      <x:c r="J816" s="87" t="str">
        <x:v>EP</x:v>
      </x:c>
      <x:c r="K816" s="87" t="str">
        <x:v>A1</x:v>
      </x:c>
      <x:c r="L816" s="87" t="str">
        <x:v>EP 3590966 A1</x:v>
      </x:c>
      <x:c r="M816" s="87" t="str">
        <x:v>SANOFI SA</x:v>
      </x:c>
      <x:c r="N816" s="87" t="str">
        <x:v>SANOFI (2022-12-28)</x:v>
      </x:c>
      <x:c r="O816" s="87" t="str">
        <x:v>ANTI-ALPHA2 INTEGRIN ANTIBODIES AND THEIR USES</x:v>
      </x:c>
      <x:c r="P816" s="109" t="n">
        <x:v>0</x:v>
      </x:c>
      <x:c r="Q816" s="109" t="n">
        <x:v>43</x:v>
      </x:c>
      <x:c r="R816" s="87" t="str">
        <x:v>A61P1/00;;A61P1/04;;A61P1/18;;A61P3/10;;A61P9/00;;A61P9/10;;A61P11/00;;A61P13/08;;A61P15/00;;A61P17/00;;A61P17/06;;A61P19/02;;A61P25/00;;A61P27/02;;A61P29/00;;A61P31/00;;A61P35/00;;A61P35/02;;A61P35/04;;A61P37/02;;A61P37/06;;A61P43/00;;C07K16/2842;;C07K2317/24;;C07K2317/52;;C07K2317/524;;C07K2317/72;;C07K2317/732;;C07K2317/734;;C07K16/28;;A61K39/395;;C12N15/11;;C07K16/2839;;C07K16/2842;;C07K2317/24;;C07K2317/52;;C07K2317/524;;C07K2317/72;;C07K2317/732;;C07K2317/734;;C07K2317/76</x:v>
      </x:c>
      <x:c r="S816" s="87" t="str">
        <x:v>C07K16/28</x:v>
      </x:c>
      <x:c r="T816" s="87" t="str">
        <x:v>ACTIVE</x:v>
      </x:c>
      <x:c r="U816" s="87" t="str">
        <x:v>https://lens.org/132-843-905-582-757</x:v>
      </x:c>
    </x:row>
    <x:row r="817">
      <x:c r="A817" s="87" t="str">
        <x:v>Sanofi_Applicant_EP_Families_2015_2021.csv(1).csv</x:v>
      </x:c>
      <x:c r="B817" s="87" t="str">
        <x:v>Sanofi</x:v>
      </x:c>
      <x:c r="C817" s="87" t="str">
        <x:v>TRT-0010</x:v>
      </x:c>
      <x:c r="D817" s="87" t="str">
        <x:v>Yes</x:v>
      </x:c>
      <x:c r="E817" s="87" t="str">
        <x:v>sanofi</x:v>
      </x:c>
      <x:c r="F817" s="87" t="str">
        <x:v>223</x:v>
      </x:c>
      <x:c r="G817" s="87" t="str">
        <x:v>088-778-296-664-471</x:v>
      </x:c>
      <x:c r="H817" s="110" t="n">
        <x:v>42783</x:v>
      </x:c>
      <x:c r="I817" s="88" t="n">
        <x:v>2017</x:v>
      </x:c>
      <x:c r="J817" s="87" t="str">
        <x:v>EP</x:v>
      </x:c>
      <x:c r="K817" s="87" t="str">
        <x:v>A1</x:v>
      </x:c>
      <x:c r="L817" s="87" t="str">
        <x:v>EP 3583126 A1</x:v>
      </x:c>
      <x:c r="M817" s="87" t="str">
        <x:v>SANOFI SA</x:v>
      </x:c>
      <x:c r="N817" s="87" t="str">
        <x:v>SANOFI (2025-08-13)</x:v>
      </x:c>
      <x:c r="O817" s="87" t="str">
        <x:v>MULTISPECIFIC BINDING MOLECULES HAVING SPECIFICITY TO DYSTROGLYCAN AND LAMININ-2</x:v>
      </x:c>
      <x:c r="P817" s="109" t="n">
        <x:v>0</x:v>
      </x:c>
      <x:c r="Q817" s="109" t="n">
        <x:v>10</x:v>
      </x:c>
      <x:c r="R817" s="87" t="str">
        <x:v>C07K16/18;;C07K16/28;;A61K39/395;;A61P21/00;;A61K2039/505;;A61P21/00;;C07K16/18;;C07K16/28;;C07K2317/31;;C07K2317/92</x:v>
      </x:c>
      <x:c r="S817" s="87" t="str">
        <x:v>C07K16/18;;A61K39/395;;A61P21/00;;C07K16/28</x:v>
      </x:c>
      <x:c r="T817" s="87" t="str">
        <x:v>ACTIVE</x:v>
      </x:c>
      <x:c r="U817" s="87" t="str">
        <x:v>https://lens.org/088-778-296-664-471</x:v>
      </x:c>
    </x:row>
    <x:row r="818">
      <x:c r="A818" s="87" t="str">
        <x:v>Sanofi_Applicant_EP_Families_2015_2021.csv(1).csv</x:v>
      </x:c>
      <x:c r="B818" s="87" t="str">
        <x:v>Sanofi</x:v>
      </x:c>
      <x:c r="C818" s="87" t="str">
        <x:v>TRT-0010</x:v>
      </x:c>
      <x:c r="D818" s="87" t="str">
        <x:v>Yes</x:v>
      </x:c>
      <x:c r="E818" s="87" t="str">
        <x:v>sanofi</x:v>
      </x:c>
      <x:c r="F818" s="87" t="str">
        <x:v>224</x:v>
      </x:c>
      <x:c r="G818" s="87" t="str">
        <x:v>063-293-441-533-265</x:v>
      </x:c>
      <x:c r="H818" s="110" t="n">
        <x:v>41724</x:v>
      </x:c>
      <x:c r="I818" s="88" t="n">
        <x:v>2014</x:v>
      </x:c>
      <x:c r="J818" s="87" t="str">
        <x:v>EP</x:v>
      </x:c>
      <x:c r="K818" s="87" t="str">
        <x:v>B1</x:v>
      </x:c>
      <x:c r="L818" s="87" t="str">
        <x:v>EP 3145563 B1</x:v>
      </x:c>
      <x:c r="M818" s="87" t="str">
        <x:v>SANOFI SA</x:v>
      </x:c>
      <x:c r="N818" s="87" t="str">
        <x:v>SANOFI (2017-08-23)</x:v>
      </x:c>
      <x:c r="O818" s="87" t="str">
        <x:v>ASSEMBLY FOR A DRUG DELIVERY DEVICE</x:v>
      </x:c>
      <x:c r="P818" s="109" t="n">
        <x:v>0</x:v>
      </x:c>
      <x:c r="Q818" s="109" t="n">
        <x:v>9</x:v>
      </x:c>
      <x:c r="R818" s="87" t="str">
        <x:v>A61M5/34;;A61M5/20;;A61M5/3202;;A61M2205/14;;A61M5/20;;A61M5/3202;;A61M5/34;;A61M2205/14;;A61M5/20;;A61M5/3202;;A61M5/34;;A61M2205/14</x:v>
      </x:c>
      <x:c r="S818" s="87" t="str">
        <x:v>A61M5/20;;A61M5/32;;A61M5/34</x:v>
      </x:c>
      <x:c r="T818" s="87" t="str">
        <x:v>ACTIVE</x:v>
      </x:c>
      <x:c r="U818" s="87" t="str">
        <x:v>https://lens.org/063-293-441-533-265</x:v>
      </x:c>
    </x:row>
    <x:row r="819">
      <x:c r="A819" s="87" t="str">
        <x:v>Sanofi_Applicant_EP_Families_2015_2021.csv(1).csv</x:v>
      </x:c>
      <x:c r="B819" s="87" t="str">
        <x:v>Sanofi</x:v>
      </x:c>
      <x:c r="C819" s="87" t="str">
        <x:v>TRT-0010</x:v>
      </x:c>
      <x:c r="D819" s="87" t="str">
        <x:v>Yes</x:v>
      </x:c>
      <x:c r="E819" s="87" t="str">
        <x:v>sanofi</x:v>
      </x:c>
      <x:c r="F819" s="87" t="str">
        <x:v>225</x:v>
      </x:c>
      <x:c r="G819" s="87" t="str">
        <x:v>050-999-517-562-576</x:v>
      </x:c>
      <x:c r="H819" s="110" t="n">
        <x:v>42758</x:v>
      </x:c>
      <x:c r="I819" s="88" t="n">
        <x:v>2017</x:v>
      </x:c>
      <x:c r="J819" s="87" t="str">
        <x:v>EP</x:v>
      </x:c>
      <x:c r="K819" s="87" t="str">
        <x:v>A1</x:v>
      </x:c>
      <x:c r="L819" s="87" t="str">
        <x:v>EP 3570914 A1</x:v>
      </x:c>
      <x:c r="M819" s="87" t="str">
        <x:v>SANOFI SA</x:v>
      </x:c>
      <x:c r="N819" s="87" t="str">
        <x:v>SANOFI (2022-12-28)</x:v>
      </x:c>
      <x:c r="O819" s="87" t="str">
        <x:v>DRIVE TRAIN FOR DIAL OF A TORSION-SPRING ASSISTED WIND-UP INJECTION DEVICE</x:v>
      </x:c>
      <x:c r="P819" s="109" t="n">
        <x:v>0</x:v>
      </x:c>
      <x:c r="Q819" s="109" t="n">
        <x:v>12</x:v>
      </x:c>
      <x:c r="R819" s="87" t="str">
        <x:v>A61M5/24;;A61M5/31553;;A61M5/31585;;A61M2205/0216;;A61M5/31526;;A61M5/31553;;A61M5/31585;;A61M2005/3143;;A61M2205/0216</x:v>
      </x:c>
      <x:c r="S819" s="87" t="str">
        <x:v>A61M5/315;;A61M5/24</x:v>
      </x:c>
      <x:c r="T819" s="87" t="str">
        <x:v>ACTIVE</x:v>
      </x:c>
      <x:c r="U819" s="87" t="str">
        <x:v>https://lens.org/050-999-517-562-576</x:v>
      </x:c>
    </x:row>
    <x:row r="820">
      <x:c r="A820" s="87" t="str">
        <x:v>Sanofi_Applicant_EP_Families_2015_2021.csv(1).csv</x:v>
      </x:c>
      <x:c r="B820" s="87" t="str">
        <x:v>Sanofi</x:v>
      </x:c>
      <x:c r="C820" s="87" t="str">
        <x:v>TRT-0010</x:v>
      </x:c>
      <x:c r="D820" s="87" t="str">
        <x:v>Yes</x:v>
      </x:c>
      <x:c r="E820" s="87" t="str">
        <x:v>sanofi</x:v>
      </x:c>
      <x:c r="F820" s="87" t="str">
        <x:v>226</x:v>
      </x:c>
      <x:c r="G820" s="87" t="str">
        <x:v>159-038-057-421-691</x:v>
      </x:c>
      <x:c r="H820" s="110" t="n">
        <x:v>42726</x:v>
      </x:c>
      <x:c r="I820" s="88" t="n">
        <x:v>2016</x:v>
      </x:c>
      <x:c r="J820" s="87" t="str">
        <x:v>EP</x:v>
      </x:c>
      <x:c r="K820" s="87" t="str">
        <x:v>A1</x:v>
      </x:c>
      <x:c r="L820" s="87" t="str">
        <x:v>EP 3558341 A1</x:v>
      </x:c>
      <x:c r="M820" s="87" t="str">
        <x:v>SANOFI SA</x:v>
      </x:c>
      <x:c r="N820" s="87" t="str">
        <x:v>SANOFI (2022-12-28)</x:v>
      </x:c>
      <x:c r="O820" s="87" t="str">
        <x:v>FGF21 COMPOUND / GLP-1R AGONIST COMBINATIONS WITH OPTIMIZED ACTIVITY RATIO</x:v>
      </x:c>
      <x:c r="P820" s="109" t="n">
        <x:v>1</x:v>
      </x:c>
      <x:c r="Q820" s="109" t="n">
        <x:v>20</x:v>
      </x:c>
      <x:c r="R820" s="87" t="str">
        <x:v>A61K38/26;;A61K38/18;;A61K38/1825;;A61K38/39;;A61P3/10;;C07K14/50;;C07K14/605;;C07K2319/00;;A61K38/16;;A61K38/1825;;A61P3/10;;C07K14/50;;C07K14/605;;C07K2319/00;;A61K38/26;;A61K38/18;;A61K38/1825;;A61K38/39;;A61K47/60;;A61P3/10;;C07K14/50;;C07K14/605;;C07K19/00;;C07K2319/00</x:v>
      </x:c>
      <x:c r="S820" s="87" t="str">
        <x:v>A61K38/18;;A61K38/26;;A61P3/00;;A61P3/04;;A61P3/06;;A61P3/08;;A61P3/10;;C07K14/50;;C07K14/605</x:v>
      </x:c>
      <x:c r="T820" s="87" t="str">
        <x:v>PENDING</x:v>
      </x:c>
      <x:c r="U820" s="87" t="str">
        <x:v>https://lens.org/159-038-057-421-691</x:v>
      </x:c>
    </x:row>
    <x:row r="821">
      <x:c r="A821" s="87" t="str">
        <x:v>Sanofi_Applicant_EP_Families_2015_2021.csv(1).csv</x:v>
      </x:c>
      <x:c r="B821" s="87" t="str">
        <x:v>Sanofi</x:v>
      </x:c>
      <x:c r="C821" s="87" t="str">
        <x:v>TRT-0010</x:v>
      </x:c>
      <x:c r="D821" s="87" t="str">
        <x:v>Yes</x:v>
      </x:c>
      <x:c r="E821" s="87" t="str">
        <x:v>sanofi</x:v>
      </x:c>
      <x:c r="F821" s="87" t="str">
        <x:v>227</x:v>
      </x:c>
      <x:c r="G821" s="87" t="str">
        <x:v>157-856-397-516-728</x:v>
      </x:c>
      <x:c r="H821" s="110" t="n">
        <x:v>42725</x:v>
      </x:c>
      <x:c r="I821" s="88" t="n">
        <x:v>2016</x:v>
      </x:c>
      <x:c r="J821" s="87" t="str">
        <x:v>EP</x:v>
      </x:c>
      <x:c r="K821" s="87" t="str">
        <x:v>A1</x:v>
      </x:c>
      <x:c r="L821" s="87" t="str">
        <x:v>EP 3559031 A1</x:v>
      </x:c>
      <x:c r="M821" s="87" t="str">
        <x:v>UCB BIOPHARMA SPRL;;SANOFI SA</x:v>
      </x:c>
      <x:c r="N821" s="87" t="str">
        <x:v>SANOFI (2020-01-08);;UCB BIOPHARMA SRL (2020-01-08)</x:v>
      </x:c>
      <x:c r="O821" s="87" t="str">
        <x:v>ANTIBODY EPITOPE</x:v>
      </x:c>
      <x:c r="P821" s="109" t="n">
        <x:v>0</x:v>
      </x:c>
      <x:c r="Q821" s="109" t="n">
        <x:v>12</x:v>
      </x:c>
      <x:c r="R821" s="87" t="str">
        <x:v>C07K16/241;;A61P1/04;;A61P1/16;;A61P3/00;;A61P3/06;;A61P3/10;;A61P7/00;;A61P7/02;;A61P7/06;;A61P7/10;;A61P9/00;;A61P9/04;;A61P9/10;;A61P9/12;;A61P11/00;;A61P11/02;;A61P11/06;;A61P11/08;;A61P11/14;;A61P13/02;;A61P13/12;;A61P15/08;;A61P15/10;;A61P17/00;;A61P17/06;;A61P19/02;;A61P19/10;;A61P21/02;;A61P21/04;;A61P25/00;;A61P25/04;;A61P25/08;;A61P25/14;;A61P25/16;;A61P25/20;;A61P25/28;;A61P27/02;;A61P29/00;;A61P29/02;;A61P35/00;;A61P37/02;;A61P37/06;;A61P37/08;;A61P43/00;;C07K2317/32;;C07K2317/34;;C07K2317/55;;C07K2317/92;;C07K16/241;;C07K2317/32;;C07K2317/34;;C07K2317/55;;C07K2317/92</x:v>
      </x:c>
      <x:c r="S821" s="87" t="str">
        <x:v>C07K16/24</x:v>
      </x:c>
      <x:c r="T821" s="87" t="str">
        <x:v>PENDING</x:v>
      </x:c>
      <x:c r="U821" s="87" t="str">
        <x:v>https://lens.org/157-856-397-516-728</x:v>
      </x:c>
    </x:row>
    <x:row r="822">
      <x:c r="A822" s="87" t="str">
        <x:v>Sanofi_Applicant_EP_Families_2015_2021.csv(1).csv</x:v>
      </x:c>
      <x:c r="B822" s="87" t="str">
        <x:v>Sanofi</x:v>
      </x:c>
      <x:c r="C822" s="87" t="str">
        <x:v>TRT-0010</x:v>
      </x:c>
      <x:c r="D822" s="87" t="str">
        <x:v>Yes</x:v>
      </x:c>
      <x:c r="E822" s="87" t="str">
        <x:v>sanofi</x:v>
      </x:c>
      <x:c r="F822" s="87" t="str">
        <x:v>228</x:v>
      </x:c>
      <x:c r="G822" s="87" t="str">
        <x:v>094-599-066-080-298</x:v>
      </x:c>
      <x:c r="H822" s="110" t="n">
        <x:v>41800</x:v>
      </x:c>
      <x:c r="I822" s="88" t="n">
        <x:v>2014</x:v>
      </x:c>
      <x:c r="J822" s="87" t="str">
        <x:v>EP</x:v>
      </x:c>
      <x:c r="K822" s="87" t="str">
        <x:v>A1</x:v>
      </x:c>
      <x:c r="L822" s="87" t="str">
        <x:v>EP 3546894 A1</x:v>
      </x:c>
      <x:c r="M822" s="87" t="str">
        <x:v>SANOFI AVENTIS DEUTSCHLAND</x:v>
      </x:c>
      <x:c r="N822" s="87" t="str">
        <x:v>SANOFI-AVENTIS DEUTSCHLAND GMBH (2020-05-13)</x:v>
      </x:c>
      <x:c r="O822" s="87" t="str">
        <x:v>SENSOR DEVICE REMOVABLY ATTACHABLE TO A DRUG DELIVERY DEVICE</x:v>
      </x:c>
      <x:c r="P822" s="109" t="n">
        <x:v>0</x:v>
      </x:c>
      <x:c r="Q822" s="109" t="n">
        <x:v>25</x:v>
      </x:c>
      <x:c r="R822" s="87" t="str">
        <x:v>G01D5/30;;A61M2205/3379;;A61M2205/3389;;A61M2205/3306;;A61M2205/6063;;A61M5/31525;;A61M5/1685;;G01D5/342;;A61M5/1685;;A61M5/31525;;G01D5/30;;G01D5/342;;A61M2205/3306;;A61M2205/3379;;A61M2205/6063;;A61M2205/3389;;A61M5/31553;;A61M2005/3126;;A61M2205/52;;A61M5/1685;;A61M5/31525;;G01D5/30;;G01D5/342;;A61M2205/3306;;A61M2205/3379;;A61M2205/6063;;A61M2205/3389;;A61M5/31553;;A61M2005/3126;;A61M2205/52;;A61M2205/6072;;G01D5/34</x:v>
      </x:c>
      <x:c r="S822" s="87" t="str">
        <x:v>G01D5/26;;A61M5/168;;A61M5/31;;A61M5/315;;G01D5/30;;G01D5/34</x:v>
      </x:c>
      <x:c r="T822" s="87" t="str">
        <x:v>ACTIVE</x:v>
      </x:c>
      <x:c r="U822" s="87" t="str">
        <x:v>https://lens.org/094-599-066-080-298</x:v>
      </x:c>
    </x:row>
    <x:row r="823">
      <x:c r="A823" s="87" t="str">
        <x:v>Sanofi_Applicant_EP_Families_2015_2021.csv(1).csv</x:v>
      </x:c>
      <x:c r="B823" s="87" t="str">
        <x:v>Sanofi</x:v>
      </x:c>
      <x:c r="C823" s="87" t="str">
        <x:v>TRT-0010</x:v>
      </x:c>
      <x:c r="D823" s="87" t="str">
        <x:v>Yes</x:v>
      </x:c>
      <x:c r="E823" s="87" t="str">
        <x:v>sanofi</x:v>
      </x:c>
      <x:c r="F823" s="87" t="str">
        <x:v>229</x:v>
      </x:c>
      <x:c r="G823" s="87" t="str">
        <x:v>167-989-674-917-979</x:v>
      </x:c>
      <x:c r="H823" s="110" t="n">
        <x:v>39325</x:v>
      </x:c>
      <x:c r="I823" s="88" t="n">
        <x:v>2007</x:v>
      </x:c>
      <x:c r="J823" s="87" t="str">
        <x:v>EP</x:v>
      </x:c>
      <x:c r="K823" s="87" t="str">
        <x:v>B1</x:v>
      </x:c>
      <x:c r="L823" s="87" t="str">
        <x:v>EP 2195000 B1</x:v>
      </x:c>
      <x:c r="M823" s="87" t="str">
        <x:v>SANOFI AVENTIS DEUTSCHLAND</x:v>
      </x:c>
      <x:c r="N823" s="87" t="str">
        <x:v>STADA ARZNEIMITTEL AKTIENGESELLSCHAFT, DE (2024-06-11);;SANOFI-AVENTIS DEUTSCHLAND GMBH (2018-10-03);;A. NATTERMANN &amp; CIE. GESELLSCHAFT MIT BESCHRAE, DE (2023-11-06)</x:v>
      </x:c>
      <x:c r="O823" s="87" t="str">
        <x:v>SPRAYABLE COMPOSITION CONTAINING RED VINE LEAF EXTRACT</x:v>
      </x:c>
      <x:c r="P823" s="109" t="n">
        <x:v>0</x:v>
      </x:c>
      <x:c r="Q823" s="109" t="n">
        <x:v>17</x:v>
      </x:c>
      <x:c r="R823" s="87" t="str">
        <x:v>A61K36/87;;A61P9/00;;A61P9/14;;A61P17/00;;A61P29/00;;A61K36/87</x:v>
      </x:c>
      <x:c r="S823" s="87" t="str">
        <x:v>A61K36/87;;A61P17/00</x:v>
      </x:c>
      <x:c r="T823" s="87" t="str">
        <x:v>ACTIVE</x:v>
      </x:c>
      <x:c r="U823" s="87" t="str">
        <x:v>https://lens.org/167-989-674-917-979</x:v>
      </x:c>
    </x:row>
    <x:row r="824">
      <x:c r="A824" s="87" t="str">
        <x:v>Sanofi_Applicant_EP_Families_2015_2021.csv(1).csv</x:v>
      </x:c>
      <x:c r="B824" s="87" t="str">
        <x:v>Sanofi</x:v>
      </x:c>
      <x:c r="C824" s="87" t="str">
        <x:v>TRT-0010</x:v>
      </x:c>
      <x:c r="D824" s="87" t="str">
        <x:v>Yes</x:v>
      </x:c>
      <x:c r="E824" s="87" t="str">
        <x:v>sanofi</x:v>
      </x:c>
      <x:c r="F824" s="87" t="str">
        <x:v>230</x:v>
      </x:c>
      <x:c r="G824" s="87" t="str">
        <x:v>138-984-693-956-098</x:v>
      </x:c>
      <x:c r="H824" s="110" t="n">
        <x:v>42691</x:v>
      </x:c>
      <x:c r="I824" s="88" t="n">
        <x:v>2016</x:v>
      </x:c>
      <x:c r="J824" s="87" t="str">
        <x:v>EP</x:v>
      </x:c>
      <x:c r="K824" s="87" t="str">
        <x:v>A1</x:v>
      </x:c>
      <x:c r="L824" s="87" t="str">
        <x:v>EP 3541809 A1</x:v>
      </x:c>
      <x:c r="M824" s="87" t="str">
        <x:v>SANOFI SA</x:v>
      </x:c>
      <x:c r="N824" s="87" t="str">
        <x:v>SANOFI (2023-01-11)</x:v>
      </x:c>
      <x:c r="O824" s="87" t="str">
        <x:v>NOVEL SUBSTITUTED N-(3-FLUOROPROPYL)-PYRROLIDINE COMPOUNDS, PROCESSES FOR THEIR PREPARATION AND THERAPEUTIC USES THEREOF</x:v>
      </x:c>
      <x:c r="P824" s="109" t="n">
        <x:v>1</x:v>
      </x:c>
      <x:c r="Q824" s="109" t="n">
        <x:v>27</x:v>
      </x:c>
      <x:c r="R824" s="87" t="str">
        <x:v>C07D403/12;;A61P5/32;;A61P15/00;;A61P19/10;;A61P29/00;;A61P35/00;;A61P37/00;;A61P43/00;;C07D207/12;;C07D401/12;;C07D401/14;;C07D405/12;;C07D405/14;;C07D409/12;;C07D409/14;;C07D411/12;;C07D413/14;;C07D471/04;;C07D403/12;;C07D207/12;;C07D401/12;;C07D401/14;;C07D405/12;;C07D405/14;;C07D409/12;;C07D409/14;;C07D411/12;;C07D413/14;;C07D471/04;;C07D401/12;;A61K31/4025;;A61K31/403;;A61K31/404;;A61K31/437;;A61K31/4439;;A61K31/444;;A61K31/506;;A61K31/538;;A61P35/00;;C07D207/12;;C07D401/14;;C07D403/12;;C07D405/12;;C07D405/14;;C07D409/12;;C07D409/14;;C07D411/12;;C07D413/14;;C07D471/04;;A61K31/4025;;A61P5/32;;A61P19/10;;A61P35/00;;A61P37/00;;C07D207/12;;C07D401/12;;C07D401/14;;C07D403/12;;C07D405/12;;C07D405/14;;C07D409/12;;C07D409/14;;C07D411/12;;C07D413/14;;C07D471/04;;C07D409/12;;A61P15/00;;A61P19/10;;A61P35/00;;C07D207/12;;C07D405/12</x:v>
      </x:c>
      <x:c r="S824" s="87" t="str">
        <x:v>C07D403/12;;A61K31/4025;;A61P5/32;;A61P19/10;;A61P35/00;;A61P37/00;;C07D207/12;;C07D401/12;;C07D401/14;;C07D405/12;;C07D405/14;;C07D409/12;;C07D409/14;;C07D411/12;;C07D413/14;;C07D471/04</x:v>
      </x:c>
      <x:c r="T824" s="87" t="str">
        <x:v>ACTIVE</x:v>
      </x:c>
      <x:c r="U824" s="87" t="str">
        <x:v>https://lens.org/138-984-693-956-098</x:v>
      </x:c>
    </x:row>
    <x:row r="825">
      <x:c r="A825" s="87" t="str">
        <x:v>Sanofi_Applicant_EP_Families_2015_2021.csv(1).csv</x:v>
      </x:c>
      <x:c r="B825" s="87" t="str">
        <x:v>Sanofi</x:v>
      </x:c>
      <x:c r="C825" s="87" t="str">
        <x:v>TRT-0010</x:v>
      </x:c>
      <x:c r="D825" s="87" t="str">
        <x:v>Yes</x:v>
      </x:c>
      <x:c r="E825" s="87" t="str">
        <x:v>sanofi</x:v>
      </x:c>
      <x:c r="F825" s="87" t="str">
        <x:v>231</x:v>
      </x:c>
      <x:c r="G825" s="87" t="str">
        <x:v>138-062-002-391-77X</x:v>
      </x:c>
      <x:c r="H825" s="110" t="n">
        <x:v>42683</x:v>
      </x:c>
      <x:c r="I825" s="88" t="n">
        <x:v>2016</x:v>
      </x:c>
      <x:c r="J825" s="87" t="str">
        <x:v>EP</x:v>
      </x:c>
      <x:c r="K825" s="87" t="str">
        <x:v>A1</x:v>
      </x:c>
      <x:c r="L825" s="87" t="str">
        <x:v>EP 3538184 A1</x:v>
      </x:c>
      <x:c r="M825" s="87" t="str">
        <x:v>SANOFI AVENTIS DEUTSCHLAND</x:v>
      </x:c>
      <x:c r="N825" s="87" t="str">
        <x:v>SANOFI-AVENTIS DEUTSCHLAND GMBH (2025-10-29);;SANOFI-AVENTIS DEUTSCHLAND GMBH; DE (2025-10-29)</x:v>
      </x:c>
      <x:c r="O825" s="87" t="str">
        <x:v>INJECTOR DEVICE</x:v>
      </x:c>
      <x:c r="P825" s="109" t="n">
        <x:v>0</x:v>
      </x:c>
      <x:c r="Q825" s="109" t="n">
        <x:v>12</x:v>
      </x:c>
      <x:c r="R825" s="87" t="str">
        <x:v>A61M5/2033;;A61M5/31501;;A61M5/31511;;A61M5/31568;;A61M5/3157;;A61M5/31578;;A61M2005/2073;;A61M2005/31508;;A61M2205/3368;;A61M5/2033;;A61M5/31501;;A61M5/3157;;A61M2005/31508;;A61M2207/00;;A61M5/31578;;A61M5/31511;;A61M2005/2073;;A61M5/31568</x:v>
      </x:c>
      <x:c r="S825" s="87" t="str">
        <x:v>A61M5/315;;A61M5/20</x:v>
      </x:c>
      <x:c r="T825" s="87" t="str">
        <x:v>ACTIVE</x:v>
      </x:c>
      <x:c r="U825" s="87" t="str">
        <x:v>https://lens.org/138-062-002-391-77X</x:v>
      </x:c>
    </x:row>
    <x:row r="826">
      <x:c r="A826" s="87" t="str">
        <x:v>Sanofi_Applicant_EP_Families_2015_2021.csv(1).csv</x:v>
      </x:c>
      <x:c r="B826" s="87" t="str">
        <x:v>Sanofi</x:v>
      </x:c>
      <x:c r="C826" s="87" t="str">
        <x:v>TRT-0010</x:v>
      </x:c>
      <x:c r="D826" s="87" t="str">
        <x:v>Yes</x:v>
      </x:c>
      <x:c r="E826" s="87" t="str">
        <x:v>sanofi</x:v>
      </x:c>
      <x:c r="F826" s="87" t="str">
        <x:v>232</x:v>
      </x:c>
      <x:c r="G826" s="87" t="str">
        <x:v>090-435-393-407-909</x:v>
      </x:c>
      <x:c r="H826" s="110" t="n">
        <x:v>42663</x:v>
      </x:c>
      <x:c r="I826" s="88" t="n">
        <x:v>2016</x:v>
      </x:c>
      <x:c r="J826" s="87" t="str">
        <x:v>EP</x:v>
      </x:c>
      <x:c r="K826" s="87" t="str">
        <x:v>A1</x:v>
      </x:c>
      <x:c r="L826" s="87" t="str">
        <x:v>EP 3529271 A1</x:v>
      </x:c>
      <x:c r="M826" s="87" t="str">
        <x:v>SANOFI SA</x:v>
      </x:c>
      <x:c r="N826" s="87" t="str">
        <x:v>SANOFI (2025-07-09)</x:v>
      </x:c>
      <x:c r="O826" s="87" t="str">
        <x:v>ANTI-CHIKV ANTIBODIES AND USES THEREOF</x:v>
      </x:c>
      <x:c r="P826" s="109" t="n">
        <x:v>1</x:v>
      </x:c>
      <x:c r="Q826" s="109" t="n">
        <x:v>28</x:v>
      </x:c>
      <x:c r="R826" s="87" t="str">
        <x:v>C07K16/116;;A61P31/14;;C07K2317/21;;C07K2317/524;;C07K2317/526;;C07K2317/565;;C07K2317/72;;C07K2317/76;;C07K2317/92;;C07K2317/94;;Y02A50/30;;C07K16/116;;A61K2039/505;;A61P31/14;;C07K2317/21;;C07K2317/52;;C07K2317/524;;C07K2317/526;;C07K2317/565;;C07K2317/72;;C07K2317/732;;C07K2317/76;;C07K2317/92;;C07K2317/94;;C07K16/116;;A61K2039/505;;A61P31/14;;C07K2317/21;;C07K2317/52;;C07K2317/524;;C07K2317/526;;C07K2317/565;;C07K2317/72;;C07K2317/732;;C07K2317/76;;C07K2317/92;;C07K2317/94;;Y02A50/30</x:v>
      </x:c>
      <x:c r="S826" s="87" t="str">
        <x:v>C07K16/10</x:v>
      </x:c>
      <x:c r="T826" s="87" t="str">
        <x:v>PENDING</x:v>
      </x:c>
      <x:c r="U826" s="87" t="str">
        <x:v>https://lens.org/090-435-393-407-909</x:v>
      </x:c>
    </x:row>
    <x:row r="827">
      <x:c r="A827" s="87" t="str">
        <x:v>Sanofi_Applicant_EP_Families_2015_2021.csv(1).csv</x:v>
      </x:c>
      <x:c r="B827" s="87" t="str">
        <x:v>Sanofi</x:v>
      </x:c>
      <x:c r="C827" s="87" t="str">
        <x:v>TRT-0010</x:v>
      </x:c>
      <x:c r="D827" s="87" t="str">
        <x:v>Yes</x:v>
      </x:c>
      <x:c r="E827" s="87" t="str">
        <x:v>sanofi</x:v>
      </x:c>
      <x:c r="F827" s="87" t="str">
        <x:v>233</x:v>
      </x:c>
      <x:c r="G827" s="87" t="str">
        <x:v>079-110-247-956-236</x:v>
      </x:c>
      <x:c r="H827" s="110" t="n">
        <x:v>41191</x:v>
      </x:c>
      <x:c r="I827" s="88" t="n">
        <x:v>2012</x:v>
      </x:c>
      <x:c r="J827" s="87" t="str">
        <x:v>EP</x:v>
      </x:c>
      <x:c r="K827" s="87" t="str">
        <x:v>B1</x:v>
      </x:c>
      <x:c r="L827" s="87" t="str">
        <x:v>EP 2906698 B1</x:v>
      </x:c>
      <x:c r="M827" s="87" t="str">
        <x:v>SANOFI SA</x:v>
      </x:c>
      <x:c r="N827" s="87" t="str">
        <x:v>SANOFI (2019-07-31);;REGULUS THERAPEUTICS INC. (2016-07-20)</x:v>
      </x:c>
      <x:c r="O827" s="87" t="str">
        <x:v>METHODS FOR TREATMENT OF ALPORT SYNDROME</x:v>
      </x:c>
      <x:c r="P827" s="109" t="n">
        <x:v>0</x:v>
      </x:c>
      <x:c r="Q827" s="109" t="n">
        <x:v>68</x:v>
      </x:c>
      <x:c r="R827" s="87" t="str">
        <x:v>C12N15/113;;A61K31/7088;;A61P3/00;;A61P13/00;;A61P13/12;;C12N2310/113;;C12N2310/315;;C12N2310/321;;C12N2310/3233;;A61K48/00;;A61K31/7088;;A61P13/12;;C12N15/113;;C12N2310/113;;C12N2310/141;;C12N15/113;;A61K31/4015;;A61K31/593;;A61K31/7088;;A61K45/06;;C12N2310/113;;C12N2310/313;;C12N2310/315;;C12N2310/321;;C12N2310/3233</x:v>
      </x:c>
      <x:c r="S827" s="87" t="str">
        <x:v>C12N15/113;;A61K31/7125;;A61P13/12</x:v>
      </x:c>
      <x:c r="T827" s="87" t="str">
        <x:v>ACTIVE</x:v>
      </x:c>
      <x:c r="U827" s="87" t="str">
        <x:v>https://lens.org/079-110-247-956-236</x:v>
      </x:c>
    </x:row>
    <x:row r="828">
      <x:c r="A828" s="87" t="str">
        <x:v>Sanofi_Applicant_EP_Families_2015_2021.csv(1).csv</x:v>
      </x:c>
      <x:c r="B828" s="87" t="str">
        <x:v>Sanofi</x:v>
      </x:c>
      <x:c r="C828" s="87" t="str">
        <x:v>TRT-0010</x:v>
      </x:c>
      <x:c r="D828" s="87" t="str">
        <x:v>Yes</x:v>
      </x:c>
      <x:c r="E828" s="87" t="str">
        <x:v>sanofi</x:v>
      </x:c>
      <x:c r="F828" s="87" t="str">
        <x:v>234</x:v>
      </x:c>
      <x:c r="G828" s="87" t="str">
        <x:v>099-873-200-779-640</x:v>
      </x:c>
      <x:c r="H828" s="110" t="n">
        <x:v>42612</x:v>
      </x:c>
      <x:c r="I828" s="88" t="n">
        <x:v>2016</x:v>
      </x:c>
      <x:c r="J828" s="87" t="str">
        <x:v>EP</x:v>
      </x:c>
      <x:c r="K828" s="87" t="str">
        <x:v>A1</x:v>
      </x:c>
      <x:c r="L828" s="87" t="str">
        <x:v>EP 3506965 A1</x:v>
      </x:c>
      <x:c r="M828" s="87" t="str">
        <x:v>SANOFI AVENTIS DEUTSCHLAND</x:v>
      </x:c>
      <x:c r="N828" s="87" t="str">
        <x:v>SANOFI-AVENTIS DEUTSCHLAND GMBH (2019-12-04)</x:v>
      </x:c>
      <x:c r="O828" s="87" t="str">
        <x:v>INJECTION DEVICE</x:v>
      </x:c>
      <x:c r="P828" s="109" t="n">
        <x:v>0</x:v>
      </x:c>
      <x:c r="Q828" s="109" t="n">
        <x:v>10</x:v>
      </x:c>
      <x:c r="R828" s="87" t="str">
        <x:v>A61M5/2033;;A61M5/3232;;A61M5/3287;;A61M5/2033;;A61M5/3232;;A61M5/3287;;A61M2005/2006;;A61M2005/206;;A61M2005/208</x:v>
      </x:c>
      <x:c r="S828" s="87" t="str">
        <x:v>A61M5/20;;A61M5/32</x:v>
      </x:c>
      <x:c r="T828" s="87" t="str">
        <x:v>ACTIVE</x:v>
      </x:c>
      <x:c r="U828" s="87" t="str">
        <x:v>https://lens.org/099-873-200-779-640</x:v>
      </x:c>
    </x:row>
    <x:row r="829">
      <x:c r="A829" s="87" t="str">
        <x:v>Sanofi_Applicant_EP_Families_2015_2021.csv(1).csv</x:v>
      </x:c>
      <x:c r="B829" s="87" t="str">
        <x:v>Sanofi</x:v>
      </x:c>
      <x:c r="C829" s="87" t="str">
        <x:v>TRT-0010</x:v>
      </x:c>
      <x:c r="D829" s="87" t="str">
        <x:v>Yes</x:v>
      </x:c>
      <x:c r="E829" s="87" t="str">
        <x:v>sanofi</x:v>
      </x:c>
      <x:c r="F829" s="87" t="str">
        <x:v>235</x:v>
      </x:c>
      <x:c r="G829" s="87" t="str">
        <x:v>131-185-072-369-207</x:v>
      </x:c>
      <x:c r="H829" s="110" t="n">
        <x:v>42618</x:v>
      </x:c>
      <x:c r="I829" s="88" t="n">
        <x:v>2016</x:v>
      </x:c>
      <x:c r="J829" s="87" t="str">
        <x:v>EP</x:v>
      </x:c>
      <x:c r="K829" s="87" t="str">
        <x:v>A1</x:v>
      </x:c>
      <x:c r="L829" s="87" t="str">
        <x:v>EP 3506888 A1</x:v>
      </x:c>
      <x:c r="M829" s="87" t="str">
        <x:v>SANOFI SA</x:v>
      </x:c>
      <x:c r="N829" s="87" t="str">
        <x:v>SANOFI (2023-01-11)</x:v>
      </x:c>
      <x:c r="O829" s="87" t="str">
        <x:v>A PHARMACEUTICAL COMPOSITION COMPRISING ROSUVASTATIN AND EZETIMIBE AND A PREPARATION METHOD THEREOF</x:v>
      </x:c>
      <x:c r="P829" s="109" t="n">
        <x:v>0</x:v>
      </x:c>
      <x:c r="Q829" s="109" t="n">
        <x:v>20</x:v>
      </x:c>
      <x:c r="R829" s="87" t="str">
        <x:v>A61K9/2018;;A61K9/209;;A61K31/397;;A61K31/505;;A61P3/06;;A61P43/00;;A61K9/209;;A61K31/505;;A61K31/397;;A61K9/2013;;A61K9/2018;;A61K9/2813;;A61K9/2054;;A61P43/00;;A61P3/06;;A61K9/209;;A61K9/2013;;A61K9/2054;;A61K9/2018;;A61K31/397;;A61K31/505;;A61K9/2018;;A61K9/209;;A61K9/2813;;A61K31/397;;A61K31/505</x:v>
      </x:c>
      <x:c r="S829" s="87" t="str">
        <x:v>A61K9/20;;A61K9/24;;A61K31/397;;A61K31/505;;A61K45/06</x:v>
      </x:c>
      <x:c r="T829" s="87" t="str">
        <x:v>PENDING</x:v>
      </x:c>
      <x:c r="U829" s="87" t="str">
        <x:v>https://lens.org/131-185-072-369-207</x:v>
      </x:c>
    </x:row>
    <x:row r="830">
      <x:c r="A830" s="87" t="str">
        <x:v>Sanofi_Applicant_EP_Families_2015_2021.csv(1).csv</x:v>
      </x:c>
      <x:c r="B830" s="87" t="str">
        <x:v>Sanofi</x:v>
      </x:c>
      <x:c r="C830" s="87" t="str">
        <x:v>TRT-0010</x:v>
      </x:c>
      <x:c r="D830" s="87" t="str">
        <x:v>Yes</x:v>
      </x:c>
      <x:c r="E830" s="87" t="str">
        <x:v>sanofi</x:v>
      </x:c>
      <x:c r="F830" s="87" t="str">
        <x:v>236</x:v>
      </x:c>
      <x:c r="G830" s="87" t="str">
        <x:v>075-007-123-589-701</x:v>
      </x:c>
      <x:c r="H830" s="110" t="n">
        <x:v>41992</x:v>
      </x:c>
      <x:c r="I830" s="88" t="n">
        <x:v>2014</x:v>
      </x:c>
      <x:c r="J830" s="87" t="str">
        <x:v>EP</x:v>
      </x:c>
      <x:c r="K830" s="87" t="str">
        <x:v>B1</x:v>
      </x:c>
      <x:c r="L830" s="87" t="str">
        <x:v>EP 3233924 B1</x:v>
      </x:c>
      <x:c r="M830" s="87" t="str">
        <x:v>SANOFI PASTEUR</x:v>
      </x:c>
      <x:c r="N830" s="87" t="str">
        <x:v>SANOFI PASTEUR (2018-08-08)</x:v>
      </x:c>
      <x:c r="O830" s="87" t="str">
        <x:v>MULTIMERIZATION OF RECOMBINANT PROTEIN BY FUSION TO A SEQUENCE FROM LAMPREY</x:v>
      </x:c>
      <x:c r="P830" s="109" t="n">
        <x:v>0</x:v>
      </x:c>
      <x:c r="Q830" s="109" t="n">
        <x:v>15</x:v>
      </x:c>
      <x:c r="R830" s="87" t="str">
        <x:v>C07K14/005;;A61K39/00;;C07K2319/35;;C12N2760/16122;;C12N2760/16134;;C07K14/005;;A61P31/16;;A61P37/04;;C07K14/461;;C07K2319/00;;C07K2319/21;;C12N2760/16122;;C12N2760/16134;;C12N2800/22;;Y02A50/30;;C07K14/005;;C07K14/461;;C07K19/00;;C07K2319/00;;C07K2319/21;;C12N15/62;;C12N2760/16122;;C12N2760/16134;;C12N2800/22</x:v>
      </x:c>
      <x:c r="S830" s="87" t="str">
        <x:v>C07K14/005;;C07K14/46;;C07K19/00;;C12N15/62</x:v>
      </x:c>
      <x:c r="T830" s="87" t="str">
        <x:v>ACTIVE</x:v>
      </x:c>
      <x:c r="U830" s="87" t="str">
        <x:v>https://lens.org/075-007-123-589-701</x:v>
      </x:c>
    </x:row>
    <x:row r="831">
      <x:c r="A831" s="87" t="str">
        <x:v>Sanofi_Applicant_EP_Families_2015_2021.csv(1).csv</x:v>
      </x:c>
      <x:c r="B831" s="87" t="str">
        <x:v>Sanofi</x:v>
      </x:c>
      <x:c r="C831" s="87" t="str">
        <x:v>TRT-0010</x:v>
      </x:c>
      <x:c r="D831" s="87" t="str">
        <x:v>Yes</x:v>
      </x:c>
      <x:c r="E831" s="87" t="str">
        <x:v>sanofi</x:v>
      </x:c>
      <x:c r="F831" s="87" t="str">
        <x:v>237</x:v>
      </x:c>
      <x:c r="G831" s="87" t="str">
        <x:v>031-732-345-887-62X</x:v>
      </x:c>
      <x:c r="H831" s="110" t="n">
        <x:v>42556</x:v>
      </x:c>
      <x:c r="I831" s="88" t="n">
        <x:v>2016</x:v>
      </x:c>
      <x:c r="J831" s="87" t="str">
        <x:v>EP</x:v>
      </x:c>
      <x:c r="K831" s="87" t="str">
        <x:v>A1</x:v>
      </x:c>
      <x:c r="L831" s="87" t="str">
        <x:v>EP 3481420 A1</x:v>
      </x:c>
      <x:c r="M831" s="87" t="str">
        <x:v>SANOFI SA</x:v>
      </x:c>
      <x:c r="N831" s="87" t="str">
        <x:v>SANOFI (2025-08-13)</x:v>
      </x:c>
      <x:c r="O831" s="87" t="str">
        <x:v>ANTIBODY FORMULATIONS</x:v>
      </x:c>
      <x:c r="P831" s="109" t="n">
        <x:v>0</x:v>
      </x:c>
      <x:c r="Q831" s="109" t="n">
        <x:v>30</x:v>
      </x:c>
      <x:c r="R831" s="87" t="str">
        <x:v>A61K39/39591;;C07K16/2866;;C07K2317/24;;C07K2317/94;;A61K9/0019;;A61K47/26;;A61K47/183;;A61K9/19;;A61P19/02;;A61P29/00;;A61P37/02;;A61P19/02;;A61P29/00;;A61K39/39591;;A61K47/183;;A61K47/26;;C07K16/2866;;C07K2317/94;;C07K2317/24;;A61K47/12;;A61K9/0019;;A61K2039/505;;A61K39/395;;A61P19/02;;C07K16/28;;A61K9/0019;;A61K9/19;;A61K39/3955;;A61K39/39591;;A61K47/12;;A61K47/183;;A61K47/20;;A61K47/26;;C07K2317/94;;C07K2317/24;;C07K16/2866</x:v>
      </x:c>
      <x:c r="S831" s="87" t="str">
        <x:v>A61K39/395;;C07K16/28</x:v>
      </x:c>
      <x:c r="T831" s="87" t="str">
        <x:v>ACTIVE</x:v>
      </x:c>
      <x:c r="U831" s="87" t="str">
        <x:v>https://lens.org/031-732-345-887-62X</x:v>
      </x:c>
    </x:row>
    <x:row r="832">
      <x:c r="A832" s="87" t="str">
        <x:v>Sanofi_Applicant_EP_Families_2015_2021.csv(1).csv</x:v>
      </x:c>
      <x:c r="B832" s="87" t="str">
        <x:v>Sanofi</x:v>
      </x:c>
      <x:c r="C832" s="87" t="str">
        <x:v>TRT-0010</x:v>
      </x:c>
      <x:c r="D832" s="87" t="str">
        <x:v>Yes</x:v>
      </x:c>
      <x:c r="E832" s="87" t="str">
        <x:v>sanofi</x:v>
      </x:c>
      <x:c r="F832" s="87" t="str">
        <x:v>238</x:v>
      </x:c>
      <x:c r="G832" s="87" t="str">
        <x:v>127-422-665-856-627</x:v>
      </x:c>
      <x:c r="H832" s="110" t="n">
        <x:v>42523</x:v>
      </x:c>
      <x:c r="I832" s="88" t="n">
        <x:v>2016</x:v>
      </x:c>
      <x:c r="J832" s="87" t="str">
        <x:v>EP</x:v>
      </x:c>
      <x:c r="K832" s="87" t="str">
        <x:v>A1</x:v>
      </x:c>
      <x:c r="L832" s="87" t="str">
        <x:v>EP 3464328 A1</x:v>
      </x:c>
      <x:c r="M832" s="87" t="str">
        <x:v>SANOFI PASTEUR INC</x:v>
      </x:c>
      <x:c r="N832" s="87" t="str">
        <x:v>SANOFI VACCINES US INC. (2026-05-27)</x:v>
      </x:c>
      <x:c r="O832" s="87" t="str">
        <x:v>ENGINEERED INFLUENZA ANTIGENIC POLYPEPTIDES AND IMMUNOGENIC COMPOSITIONS THEREOF</x:v>
      </x:c>
      <x:c r="P832" s="109" t="n">
        <x:v>0</x:v>
      </x:c>
      <x:c r="Q832" s="109" t="n">
        <x:v>12</x:v>
      </x:c>
      <x:c r="R832" s="87" t="str">
        <x:v>C07K14/005;;A61P31/16;;C12N2760/16022;;C12N2760/16034;;C12N2760/16062;;C07K14/11;;A61K39/145;;A61P31/16;;C07K14/005;;C12N2760/16022;;C12N2760/16034;;C12N2760/16062;;G16B15/20;;G16B15/30</x:v>
      </x:c>
      <x:c r="S832" s="87" t="str">
        <x:v>C07K14/005;;A61K39/145;;C07K14/11</x:v>
      </x:c>
      <x:c r="T832" s="87" t="str">
        <x:v>PENDING</x:v>
      </x:c>
      <x:c r="U832" s="87" t="str">
        <x:v>https://lens.org/127-422-665-856-627</x:v>
      </x:c>
    </x:row>
    <x:row r="833">
      <x:c r="A833" s="87" t="str">
        <x:v>Sanofi_Applicant_EP_Families_2015_2021.csv(1).csv</x:v>
      </x:c>
      <x:c r="B833" s="87" t="str">
        <x:v>Sanofi</x:v>
      </x:c>
      <x:c r="C833" s="87" t="str">
        <x:v>TRT-0010</x:v>
      </x:c>
      <x:c r="D833" s="87" t="str">
        <x:v>Yes</x:v>
      </x:c>
      <x:c r="E833" s="87" t="str">
        <x:v>sanofi</x:v>
      </x:c>
      <x:c r="F833" s="87" t="str">
        <x:v>239</x:v>
      </x:c>
      <x:c r="G833" s="87" t="str">
        <x:v>189-186-435-369-927</x:v>
      </x:c>
      <x:c r="H833" s="110" t="n">
        <x:v>42524</x:v>
      </x:c>
      <x:c r="I833" s="88" t="n">
        <x:v>2016</x:v>
      </x:c>
      <x:c r="J833" s="87" t="str">
        <x:v>EP</x:v>
      </x:c>
      <x:c r="K833" s="87" t="str">
        <x:v>A1</x:v>
      </x:c>
      <x:c r="L833" s="87" t="str">
        <x:v>EP 3464327 A1</x:v>
      </x:c>
      <x:c r="M833" s="87" t="str">
        <x:v>SANOFI PASTEUR INC</x:v>
      </x:c>
      <x:c r="N833" s="87" t="str">
        <x:v>SANOFI VACCINES US INC. (2026-05-27)</x:v>
      </x:c>
      <x:c r="O833" s="87" t="str">
        <x:v>MODIFICATION OF ENGINEERED INFLUENZA HEMAGGLUTININ POLYPEPTIDES</x:v>
      </x:c>
      <x:c r="P833" s="109" t="n">
        <x:v>0</x:v>
      </x:c>
      <x:c r="Q833" s="109" t="n">
        <x:v>34</x:v>
      </x:c>
      <x:c r="R833" s="87" t="str">
        <x:v>C07K14/005;;C12N2760/16122;;C12N2760/16134;;C07K14/005;;A61P31/16;;A61P37/04;;C12N2760/16122;;C12N2760/16134;;C07K14/005;;A61K39/145;;A61K2039/5258;;A61P31/16;;A61P37/04;;C12N7/00;;C12N2760/16122;;C12N2760/16123;;C12N2760/16134;;C07K14/005;;A61K39/145;;A61K2039/5258;;A61P31/16;;C12N2760/16122;;C12N2760/16123;;C12N2760/16134;;A61K39/145;;A61K2039/5258;;A61P31/16;;C07K14/005;;C12N7/00;;C12N2760/16122;;C12N2760/16123;;C12N2760/16134</x:v>
      </x:c>
      <x:c r="S833" s="87" t="str">
        <x:v>C07K14/005</x:v>
      </x:c>
      <x:c r="T833" s="87" t="str">
        <x:v>PENDING</x:v>
      </x:c>
      <x:c r="U833" s="87" t="str">
        <x:v>https://lens.org/189-186-435-369-927</x:v>
      </x:c>
    </x:row>
    <x:row r="834">
      <x:c r="A834" s="87" t="str">
        <x:v>Sanofi_Applicant_EP_Families_2015_2021.csv(1).csv</x:v>
      </x:c>
      <x:c r="B834" s="87" t="str">
        <x:v>Sanofi</x:v>
      </x:c>
      <x:c r="C834" s="87" t="str">
        <x:v>TRT-0010</x:v>
      </x:c>
      <x:c r="D834" s="87" t="str">
        <x:v>Yes</x:v>
      </x:c>
      <x:c r="E834" s="87" t="str">
        <x:v>sanofi</x:v>
      </x:c>
      <x:c r="F834" s="87" t="str">
        <x:v>240</x:v>
      </x:c>
      <x:c r="G834" s="87" t="str">
        <x:v>097-667-667-181-220</x:v>
      </x:c>
      <x:c r="H834" s="110" t="n">
        <x:v>41250</x:v>
      </x:c>
      <x:c r="I834" s="88" t="n">
        <x:v>2012</x:v>
      </x:c>
      <x:c r="J834" s="87" t="str">
        <x:v>EP</x:v>
      </x:c>
      <x:c r="K834" s="87" t="str">
        <x:v>B1</x:v>
      </x:c>
      <x:c r="L834" s="87" t="str">
        <x:v>EP 2928495 B1</x:v>
      </x:c>
      <x:c r="M834" s="87" t="str">
        <x:v>SANOFI SA;;UNIV CALIFORNIA</x:v>
      </x:c>
      <x:c r="N834" s="87" t="str">
        <x:v>SANOFI-AVENTIS U.S. LLC; US (2025-06-04);;THE REGENTS OF THE UNIVERSITY OF CALIFORNIA; US (2025-07-02);;SANOFI, FR (2025-09-28);;SANOFI-AVENTIS U.S. LLC., 07960-4563 MORRISTOWN, NJ, USTHE REGENTS OF THE UNIVERSITY OF CALIFORNIA, 94607 OAKLAND, CA, US (2025-06-30);;SANOFI-AVENTIS U.S. LLC, BRIDGEWATER, US (2025-03-18);;THE REGENTS OF THE UNIVERSITY OF CALIFORNIA, US (2025-09-28);;SANOFI, PARIS, FR (2025-01-13);;THE REGENTS OF THE UNIVERSITY OF CALIFORNIA, O, US (2025-03-18)</x:v>
      </x:c>
      <x:c r="O834" s="87" t="str">
        <x:v>COMPOSITIONS COMPRISING ANTI-CD38 ANTIBODIES AND LENALIDOMIDE</x:v>
      </x:c>
      <x:c r="P834" s="109" t="n">
        <x:v>0</x:v>
      </x:c>
      <x:c r="Q834" s="109" t="n">
        <x:v>58</x:v>
      </x:c>
      <x:c r="R834" s="87" t="str">
        <x:v>C07K16/2896;;A61K31/37;;A61K31/454;;A61K31/573;;A61K31/616;;A61K31/727;;A61K45/06;;A61K2039/505;;A61P7/00;;A61P25/00;;A61P35/00;;A61P35/02;;A61P43/00;;C07K2317/32;;C07K2317/34;;C07K16/2896;;A61K31/37;;A61K31/4439;;A61K31/454;;A61K31/573;;A61K31/616;;A61K31/727;;A61K39/395;;A61K45/06;;A61K2039/505;;A61P7/00;;A61P25/00;;A61P35/00;;A61P35/02;;A61P43/00;;C07K2317/32;;C07K2317/34;;A61K39/395;;A61K31/454;;A61K31/573;;A61K31/616;;A61K31/727;;A61K2039/505;;C07K16/2896;;C07K2317/32;;C07K2317/34;;A61K31/4439;;A61K39/395;;A61P35/00</x:v>
      </x:c>
      <x:c r="S834" s="87" t="str">
        <x:v>A61K31/4439;;A61K31/37;;A61K31/454;;A61K31/573;;A61K31/616;;A61K31/727;;A61K39/00;;A61K45/06;;A61P35/00;;C07K16/28</x:v>
      </x:c>
      <x:c r="T834" s="87" t="str">
        <x:v>ACTIVE</x:v>
      </x:c>
      <x:c r="U834" s="87" t="str">
        <x:v>https://lens.org/097-667-667-181-220</x:v>
      </x:c>
    </x:row>
    <x:row r="835">
      <x:c r="A835" s="87" t="str">
        <x:v>Sanofi_Applicant_EP_Families_2015_2021.csv(1).csv</x:v>
      </x:c>
      <x:c r="B835" s="87" t="str">
        <x:v>Sanofi</x:v>
      </x:c>
      <x:c r="C835" s="87" t="str">
        <x:v>TRT-0010</x:v>
      </x:c>
      <x:c r="D835" s="87" t="str">
        <x:v>Yes</x:v>
      </x:c>
      <x:c r="E835" s="87" t="str">
        <x:v>sanofi</x:v>
      </x:c>
      <x:c r="F835" s="87" t="str">
        <x:v>241</x:v>
      </x:c>
      <x:c r="G835" s="87" t="str">
        <x:v>097-525-171-004-315</x:v>
      </x:c>
      <x:c r="H835" s="110" t="n">
        <x:v>41736</x:v>
      </x:c>
      <x:c r="I835" s="88" t="n">
        <x:v>2014</x:v>
      </x:c>
      <x:c r="J835" s="87" t="str">
        <x:v>EP</x:v>
      </x:c>
      <x:c r="K835" s="87" t="str">
        <x:v>B1</x:v>
      </x:c>
      <x:c r="L835" s="87" t="str">
        <x:v>EP 3129396 B1</x:v>
      </x:c>
      <x:c r="M835" s="87" t="str">
        <x:v>SANOFI SA</x:v>
      </x:c>
      <x:c r="N835" s="87" t="str">
        <x:v>SANOFI (2017-08-23)</x:v>
      </x:c>
      <x:c r="O835" s="87" t="str">
        <x:v>DUAL GLP-1 / GLUCAGON RECEPTOR AGONISTS DERIVED FROM EXENDIN-4</x:v>
      </x:c>
      <x:c r="P835" s="109" t="n">
        <x:v>0</x:v>
      </x:c>
      <x:c r="Q835" s="109" t="n">
        <x:v>22</x:v>
      </x:c>
      <x:c r="R835" s="87" t="str">
        <x:v>C07K14/605;;A61K38/00;;A61K45/06;;C07K14/605;;A61K38/2271;;A61K38/26;;A61K38/28;;A61K45/06;;A61P1/14;;A61P3/00;;A61P3/04;;A61P3/06;;A61P3/10;;A61P5/48;;A61P5/50;;A61P9/00;;A61P9/10;;A61P9/12;;A61P43/00;;C07K14/605;;A61K38/2271;;A61K38/26;;A61K38/28;;A61K45/06;;A61K2300/00;;C07K14/605;;A61K38/2271;;A61K38/26;;A61K38/28;;A61K45/06</x:v>
      </x:c>
      <x:c r="S835" s="87" t="str">
        <x:v>C07K14/435</x:v>
      </x:c>
      <x:c r="T835" s="87" t="str">
        <x:v>ACTIVE</x:v>
      </x:c>
      <x:c r="U835" s="87" t="str">
        <x:v>https://lens.org/097-525-171-004-315</x:v>
      </x:c>
    </x:row>
    <x:row r="836">
      <x:c r="A836" s="87" t="str">
        <x:v>Sanofi_Applicant_EP_Families_2015_2021.csv(1).csv</x:v>
      </x:c>
      <x:c r="B836" s="87" t="str">
        <x:v>Sanofi</x:v>
      </x:c>
      <x:c r="C836" s="87" t="str">
        <x:v>TRT-0010</x:v>
      </x:c>
      <x:c r="D836" s="87" t="str">
        <x:v>Yes</x:v>
      </x:c>
      <x:c r="E836" s="87" t="str">
        <x:v>sanofi</x:v>
      </x:c>
      <x:c r="F836" s="87" t="str">
        <x:v>242</x:v>
      </x:c>
      <x:c r="G836" s="87" t="str">
        <x:v>148-840-854-991-32X</x:v>
      </x:c>
      <x:c r="H836" s="110" t="n">
        <x:v>39896</x:v>
      </x:c>
      <x:c r="I836" s="88" t="n">
        <x:v>2009</x:v>
      </x:c>
      <x:c r="J836" s="87" t="str">
        <x:v>EP</x:v>
      </x:c>
      <x:c r="K836" s="87" t="str">
        <x:v>B1</x:v>
      </x:c>
      <x:c r="L836" s="87" t="str">
        <x:v>EP 2411072 B1</x:v>
      </x:c>
      <x:c r="M836" s="87" t="str">
        <x:v>SANOFI AVENTIS DEUTSCHLAND</x:v>
      </x:c>
      <x:c r="N836" s="87" t="str">
        <x:v>SANOFI-AVENTIS DEUTSCHLAND GMBH (2012-04-25)</x:v>
      </x:c>
      <x:c r="O836" s="87" t="str">
        <x:v>DEVICE FOR DELIVERING LIQUID MEDICAMENT</x:v>
      </x:c>
      <x:c r="P836" s="109" t="n">
        <x:v>0</x:v>
      </x:c>
      <x:c r="Q836" s="109" t="n">
        <x:v>18</x:v>
      </x:c>
      <x:c r="R836" s="87" t="str">
        <x:v>A61M11/08;;A61M5/20;;A61M5/30;;A61M5/31553;;A61M5/31561;;A61M5/31575;;A61M5/31583;;A61M11/007;;A61M2005/202;;A61M2005/3152;;A61M5/20;;A61M5/30;;A61M5/31528;;A61M5/48;;A61M2005/3152;;A61M11/08;;A61M5/20;;A61M5/30;;A61M5/31553;;A61M5/31561;;A61M5/31575;;A61M5/31583;;A61M11/007;;A61M2005/202;;A61M2005/3152</x:v>
      </x:c>
      <x:c r="S836" s="87" t="str">
        <x:v>A61M5/315;;A61M5/20;;A61M5/30;;A61M5/48</x:v>
      </x:c>
      <x:c r="T836" s="87" t="str">
        <x:v>ACTIVE</x:v>
      </x:c>
      <x:c r="U836" s="87" t="str">
        <x:v>https://lens.org/148-840-854-991-32X</x:v>
      </x:c>
    </x:row>
    <x:row r="837">
      <x:c r="A837" s="87" t="str">
        <x:v>Sanofi_Applicant_EP_Families_2015_2021.csv(1).csv</x:v>
      </x:c>
      <x:c r="B837" s="87" t="str">
        <x:v>Sanofi</x:v>
      </x:c>
      <x:c r="C837" s="87" t="str">
        <x:v>TRT-0010</x:v>
      </x:c>
      <x:c r="D837" s="87" t="str">
        <x:v>Yes</x:v>
      </x:c>
      <x:c r="E837" s="87" t="str">
        <x:v>sanofi</x:v>
      </x:c>
      <x:c r="F837" s="87" t="str">
        <x:v>243</x:v>
      </x:c>
      <x:c r="G837" s="87" t="str">
        <x:v>179-843-460-769-230</x:v>
      </x:c>
      <x:c r="H837" s="110" t="n">
        <x:v>41627</x:v>
      </x:c>
      <x:c r="I837" s="88" t="n">
        <x:v>2013</x:v>
      </x:c>
      <x:c r="J837" s="87" t="str">
        <x:v>EP</x:v>
      </x:c>
      <x:c r="K837" s="87" t="str">
        <x:v>B1</x:v>
      </x:c>
      <x:c r="L837" s="87" t="str">
        <x:v>EP 3083611 B1</x:v>
      </x:c>
      <x:c r="M837" s="87" t="str">
        <x:v>SANOFI SA</x:v>
      </x:c>
      <x:c r="N837" s="87" t="str">
        <x:v>SANOFI (2017-08-23)</x:v>
      </x:c>
      <x:c r="O837" s="87" t="str">
        <x:v>OXINDOLE DERIVATIVES, PREPARATION THEREOF AND THERAPEUTIC USE IN THE TREATMENT OF AMPK-RELATED DISEASES</x:v>
      </x:c>
      <x:c r="P837" s="109" t="n">
        <x:v>0</x:v>
      </x:c>
      <x:c r="Q837" s="109" t="n">
        <x:v>19</x:v>
      </x:c>
      <x:c r="R837" s="87" t="str">
        <x:v>C07D209/34;;A61P3/00;;A61P3/04;;A61P3/10;;A61P13/12;;A61P43/00;;C07D401/06;;C07D403/06;;C07D403/10;;C07D413/06;;C07D413/14;;C07D417/06;;C07D417/14;;C07D491/048;;C07D491/107;;C07D209/34;;A61K31/404;;A61K31/42;;A61K31/4245;;A61K31/4406;;C07D401/06;;C07D403/06;;C07D413/06;;C07D413/14;;C07D417/06;;C07D417/14;;C07D209/34;;C07D401/06;;C07D403/06;;C07D403/10;;C07D413/06;;C07D413/14;;C07D417/06;;C07D417/14;;C07D491/048;;C07D491/107</x:v>
      </x:c>
      <x:c r="S837" s="87" t="str">
        <x:v>C07D413/14;;A61K31/404;;A61K31/42;;A61K31/4245;;A61K31/425;;A61K31/4406;;A61K31/4409;;A61K31/496;;A61K31/5355;;C07D209/34;;C07D401/06;;C07D403/06;;C07D413/06;;C07D417/06;;C07D417/14</x:v>
      </x:c>
      <x:c r="T837" s="87" t="str">
        <x:v>ACTIVE</x:v>
      </x:c>
      <x:c r="U837" s="87" t="str">
        <x:v>https://lens.org/179-843-460-769-230</x:v>
      </x:c>
    </x:row>
    <x:row r="838">
      <x:c r="A838" s="87" t="str">
        <x:v>Sanofi_Applicant_EP_Families_2015_2021.csv(1).csv</x:v>
      </x:c>
      <x:c r="B838" s="87" t="str">
        <x:v>Sanofi</x:v>
      </x:c>
      <x:c r="C838" s="87" t="str">
        <x:v>TRT-0010</x:v>
      </x:c>
      <x:c r="D838" s="87" t="str">
        <x:v>Yes</x:v>
      </x:c>
      <x:c r="E838" s="87" t="str">
        <x:v>sanofi</x:v>
      </x:c>
      <x:c r="F838" s="87" t="str">
        <x:v>244</x:v>
      </x:c>
      <x:c r="G838" s="87" t="str">
        <x:v>028-310-095-906-999</x:v>
      </x:c>
      <x:c r="H838" s="110" t="n">
        <x:v>40994</x:v>
      </x:c>
      <x:c r="I838" s="88" t="n">
        <x:v>2012</x:v>
      </x:c>
      <x:c r="J838" s="87" t="str">
        <x:v>EP</x:v>
      </x:c>
      <x:c r="K838" s="87" t="str">
        <x:v>A1</x:v>
      </x:c>
      <x:c r="L838" s="87" t="str">
        <x:v>EP 3431104 A1</x:v>
      </x:c>
      <x:c r="M838" s="87" t="str">
        <x:v>SANOFI SA</x:v>
      </x:c>
      <x:c r="N838" s="87" t="str">
        <x:v>SANOFI (2025-01-22)</x:v>
      </x:c>
      <x:c r="O838" s="87" t="str">
        <x:v>STABLE IGG4 BINDING AGENT FORMULATIONS</x:v>
      </x:c>
      <x:c r="P838" s="109" t="n">
        <x:v>3</x:v>
      </x:c>
      <x:c r="Q838" s="109" t="n">
        <x:v>21</x:v>
      </x:c>
      <x:c r="R838" s="87" t="str">
        <x:v>A61K39/39591;;C07K16/2866;;C07K2317/94;;C07K16/2875;;C07K2317/21;;C07K2317/52;;A61P1/04;;A61P19/02;;A61P29/00;;A61P37/06;;A61K39/39591;;C07K16/2866;;C07K16/2875;;C07K2317/21;;C07K2317/94</x:v>
      </x:c>
      <x:c r="S838" s="87" t="str">
        <x:v>A61K39/395;;C07K16/28</x:v>
      </x:c>
      <x:c r="T838" s="87" t="str">
        <x:v>ACTIVE</x:v>
      </x:c>
      <x:c r="U838" s="87" t="str">
        <x:v>https://lens.org/028-310-095-906-999</x:v>
      </x:c>
    </x:row>
    <x:row r="839">
      <x:c r="A839" s="87" t="str">
        <x:v>Sanofi_Applicant_EP_Families_2015_2021.csv(1).csv</x:v>
      </x:c>
      <x:c r="B839" s="87" t="str">
        <x:v>Sanofi</x:v>
      </x:c>
      <x:c r="C839" s="87" t="str">
        <x:v>TRT-0010</x:v>
      </x:c>
      <x:c r="D839" s="87" t="str">
        <x:v>Yes</x:v>
      </x:c>
      <x:c r="E839" s="87" t="str">
        <x:v>sanofi</x:v>
      </x:c>
      <x:c r="F839" s="87" t="str">
        <x:v>245</x:v>
      </x:c>
      <x:c r="G839" s="87" t="str">
        <x:v>005-770-013-410-555</x:v>
      </x:c>
      <x:c r="H839" s="110" t="n">
        <x:v>42444</x:v>
      </x:c>
      <x:c r="I839" s="88" t="n">
        <x:v>2016</x:v>
      </x:c>
      <x:c r="J839" s="87" t="str">
        <x:v>EP</x:v>
      </x:c>
      <x:c r="K839" s="87" t="str">
        <x:v>A1</x:v>
      </x:c>
      <x:c r="L839" s="87" t="str">
        <x:v>EP 3429665 A1</x:v>
      </x:c>
      <x:c r="M839" s="87" t="str">
        <x:v>SANOFI SA</x:v>
      </x:c>
      <x:c r="N839" s="87" t="str">
        <x:v>SANOFI (2022-12-28)</x:v>
      </x:c>
      <x:c r="O839" s="87" t="str">
        <x:v>DOSING MECHANISM FOR MULTI-SHOT INJECTION DEVICE COMPRISING FLEXIBLE RATCHET ELEMENT</x:v>
      </x:c>
      <x:c r="P839" s="109" t="n">
        <x:v>0</x:v>
      </x:c>
      <x:c r="Q839" s="109" t="n">
        <x:v>4</x:v>
      </x:c>
      <x:c r="R839" s="87" t="str">
        <x:v>A61M5/3155;;A61M5/20;;A61M5/31535;;A61M5/31583;;A61M5/31593;;A61M5/20;;A61M5/2033;;A61M5/31535;;A61M5/3155;;A61M5/31583;;A61M5/31585</x:v>
      </x:c>
      <x:c r="S839" s="87" t="str">
        <x:v>A61M5/315</x:v>
      </x:c>
      <x:c r="T839" s="87" t="str">
        <x:v>DISCONTINUED</x:v>
      </x:c>
      <x:c r="U839" s="87" t="str">
        <x:v>https://lens.org/005-770-013-410-555</x:v>
      </x:c>
    </x:row>
    <x:row r="840">
      <x:c r="A840" s="87" t="str">
        <x:v>Sanofi_Applicant_EP_Families_2015_2021.csv(1).csv</x:v>
      </x:c>
      <x:c r="B840" s="87" t="str">
        <x:v>Sanofi</x:v>
      </x:c>
      <x:c r="C840" s="87" t="str">
        <x:v>TRT-0010</x:v>
      </x:c>
      <x:c r="D840" s="87" t="str">
        <x:v>Yes</x:v>
      </x:c>
      <x:c r="E840" s="87" t="str">
        <x:v>sanofi</x:v>
      </x:c>
      <x:c r="F840" s="87" t="str">
        <x:v>246</x:v>
      </x:c>
      <x:c r="G840" s="87" t="str">
        <x:v>098-631-575-017-441</x:v>
      </x:c>
      <x:c r="H840" s="110" t="n">
        <x:v>42164</x:v>
      </x:c>
      <x:c r="I840" s="88" t="n">
        <x:v>2015</x:v>
      </x:c>
      <x:c r="J840" s="87" t="str">
        <x:v>EP</x:v>
      </x:c>
      <x:c r="K840" s="87" t="str">
        <x:v>A4</x:v>
      </x:c>
      <x:c r="L840" s="87" t="str">
        <x:v>EP 3307761 A4</x:v>
      </x:c>
      <x:c r="M840" s="87" t="str">
        <x:v>SANOFI PASTEUR INC</x:v>
      </x:c>
      <x:c r="N840" s="87" t="str">
        <x:v>SANOFI VACCINES US INC. (2026-05-27)</x:v>
      </x:c>
      <x:c r="O840" s="87" t="str">
        <x:v>METHODS OF OPTIMIZING NUCLEOTIDE SEQUENCES ENCODING ENGINEERED INFLUENZA PROTEINS</x:v>
      </x:c>
      <x:c r="P840" s="109" t="n">
        <x:v>0</x:v>
      </x:c>
      <x:c r="Q840" s="109" t="n">
        <x:v>13</x:v>
      </x:c>
      <x:c r="R840" s="87" t="str">
        <x:v>C07K14/005;;C12N2760/16122;;C12N2760/16134;;C12N2760/16222;;C12N2760/16234;;C12N2800/22;;C07K14/005;;C07K14/11;;C12N2760/16122;;C12N2760/16134;;C12N2760/16222;;C12N2760/16234;;C12N2800/22;;G01N33/569</x:v>
      </x:c>
      <x:c r="S840" s="87" t="str">
        <x:v>C07K14/11;;C07K16/10;;G01N33/569</x:v>
      </x:c>
      <x:c r="T840" s="87" t="str">
        <x:v>PENDING</x:v>
      </x:c>
      <x:c r="U840" s="87" t="str">
        <x:v>https://lens.org/098-631-575-017-441</x:v>
      </x:c>
    </x:row>
    <x:row r="841">
      <x:c r="A841" s="87" t="str">
        <x:v>Sanofi_Applicant_EP_Families_2015_2021.csv(1).csv</x:v>
      </x:c>
      <x:c r="B841" s="87" t="str">
        <x:v>Sanofi</x:v>
      </x:c>
      <x:c r="C841" s="87" t="str">
        <x:v>TRT-0010</x:v>
      </x:c>
      <x:c r="D841" s="87" t="str">
        <x:v>Yes</x:v>
      </x:c>
      <x:c r="E841" s="87" t="str">
        <x:v>sanofi</x:v>
      </x:c>
      <x:c r="F841" s="87" t="str">
        <x:v>247</x:v>
      </x:c>
      <x:c r="G841" s="87" t="str">
        <x:v>005-844-131-172-809</x:v>
      </x:c>
      <x:c r="H841" s="110" t="n">
        <x:v>39780</x:v>
      </x:c>
      <x:c r="I841" s="88" t="n">
        <x:v>2008</x:v>
      </x:c>
      <x:c r="J841" s="87" t="str">
        <x:v>EP</x:v>
      </x:c>
      <x:c r="K841" s="87" t="str">
        <x:v>B1</x:v>
      </x:c>
      <x:c r="L841" s="87" t="str">
        <x:v>EP 2370097 B1</x:v>
      </x:c>
      <x:c r="M841" s="87" t="str">
        <x:v>SANOFI SA</x:v>
      </x:c>
      <x:c r="N841" s="87" t="str">
        <x:v>SANOFI (2012-05-02)</x:v>
      </x:c>
      <x:c r="O841" s="87" t="str">
        <x:v>ANTITUMOR COMBINATIONS CONTAINING CYCLOSPHOSPHAMIDE AND ANTIBODIES RECOGNIZING SPECIFICALLY CD38</x:v>
      </x:c>
      <x:c r="P841" s="109" t="n">
        <x:v>0</x:v>
      </x:c>
      <x:c r="Q841" s="109" t="n">
        <x:v>47</x:v>
      </x:c>
      <x:c r="R841" s="87" t="str">
        <x:v>A61K31/00;;A61K31/675;;A61K39/395;;A61P35/00;;A61P37/04;;A61P43/00;;A61K39/3955;;A61K31/00;;A61K31/664;;A61K31/675;;A61K39/395;;A61K2039/505</x:v>
      </x:c>
      <x:c r="S841" s="87" t="str">
        <x:v>A61K39/395;;A61K31/675;;A61P35/00</x:v>
      </x:c>
      <x:c r="T841" s="87" t="str">
        <x:v>ACTIVE</x:v>
      </x:c>
      <x:c r="U841" s="87" t="str">
        <x:v>https://lens.org/005-844-131-172-809</x:v>
      </x:c>
    </x:row>
    <x:row r="842">
      <x:c r="A842" s="87" t="str">
        <x:v>Sanofi_Applicant_EP_Families_2015_2021.csv(1).csv</x:v>
      </x:c>
      <x:c r="B842" s="87" t="str">
        <x:v>Sanofi</x:v>
      </x:c>
      <x:c r="C842" s="87" t="str">
        <x:v>TRT-0010</x:v>
      </x:c>
      <x:c r="D842" s="87" t="str">
        <x:v>Yes</x:v>
      </x:c>
      <x:c r="E842" s="87" t="str">
        <x:v>sanofi</x:v>
      </x:c>
      <x:c r="F842" s="87" t="str">
        <x:v>248</x:v>
      </x:c>
      <x:c r="G842" s="87" t="str">
        <x:v>129-703-410-032-611</x:v>
      </x:c>
      <x:c r="H842" s="110" t="n">
        <x:v>41736</x:v>
      </x:c>
      <x:c r="I842" s="88" t="n">
        <x:v>2014</x:v>
      </x:c>
      <x:c r="J842" s="87" t="str">
        <x:v>EP</x:v>
      </x:c>
      <x:c r="K842" s="87" t="str">
        <x:v>B1</x:v>
      </x:c>
      <x:c r="L842" s="87" t="str">
        <x:v>EP 3129397 B1</x:v>
      </x:c>
      <x:c r="M842" s="87" t="str">
        <x:v>SANOFI SA</x:v>
      </x:c>
      <x:c r="N842" s="87" t="str">
        <x:v>SANOFI (2017-08-23)</x:v>
      </x:c>
      <x:c r="O842" s="87" t="str">
        <x:v>PEPTIDIC DUAL GLP-1 / GLUCAGON RECEPTOR AGONISTS DERIVED FROM EXENDIN-4</x:v>
      </x:c>
      <x:c r="P842" s="109" t="n">
        <x:v>0</x:v>
      </x:c>
      <x:c r="Q842" s="109" t="n">
        <x:v>21</x:v>
      </x:c>
      <x:c r="R842" s="87" t="str">
        <x:v>C07K14/57563;;A61K38/00;;A61K45/06;;C07K14/605;;C07K14/57563;;A61K38/26;;A61P3/04;;A61P3/06;;A61P3/10;;A61P5/50;;A61P9/00;;A61P9/10;;A61P9/12;;C07K14/605;;C07K14/605;;A61K38/2271;;A61K38/26;;A61K38/28;;A61K45/06;;A61K2300/00;;C07K14/57563;;A61K38/26;;A61K45/06;;C07K14/605</x:v>
      </x:c>
      <x:c r="S842" s="87" t="str">
        <x:v>C07K14/435</x:v>
      </x:c>
      <x:c r="T842" s="87" t="str">
        <x:v>ACTIVE</x:v>
      </x:c>
      <x:c r="U842" s="87" t="str">
        <x:v>https://lens.org/129-703-410-032-611</x:v>
      </x:c>
    </x:row>
    <x:row r="843">
      <x:c r="A843" s="87" t="str">
        <x:v>Sanofi_Applicant_EP_Families_2015_2021.csv(1).csv</x:v>
      </x:c>
      <x:c r="B843" s="87" t="str">
        <x:v>Sanofi</x:v>
      </x:c>
      <x:c r="C843" s="87" t="str">
        <x:v>TRT-0010</x:v>
      </x:c>
      <x:c r="D843" s="87" t="str">
        <x:v>Yes</x:v>
      </x:c>
      <x:c r="E843" s="87" t="str">
        <x:v>sanofi</x:v>
      </x:c>
      <x:c r="F843" s="87" t="str">
        <x:v>249</x:v>
      </x:c>
      <x:c r="G843" s="87" t="str">
        <x:v>112-828-780-392-683</x:v>
      </x:c>
      <x:c r="H843" s="110" t="n">
        <x:v>41366</x:v>
      </x:c>
      <x:c r="I843" s="88" t="n">
        <x:v>2013</x:v>
      </x:c>
      <x:c r="J843" s="87" t="str">
        <x:v>EP</x:v>
      </x:c>
      <x:c r="K843" s="87" t="str">
        <x:v>B1</x:v>
      </x:c>
      <x:c r="L843" s="87" t="str">
        <x:v>EP 2981275 B1</x:v>
      </x:c>
      <x:c r="M843" s="87" t="str">
        <x:v>SANOFI AVENTIS DEUTSCHLAND</x:v>
      </x:c>
      <x:c r="N843" s="87" t="str">
        <x:v>SANOFI-AVENTIS DEUTSCHLAND GMBH (2018-10-03);;A. NATTERMANN &amp; CIE. GESELLSCHAFT MIT BESCHRAE, DE (2024-01-18)</x:v>
      </x:c>
      <x:c r="O843" s="87" t="str">
        <x:v>LOZENGE FOR THE TREATMENT OF THROAT PAIN, HOARSENESS AND ASSOCIATED DRY COUGH, AS WELL AS INFLAMMATORY DISEASES OF THE MOUTH AND PHARYNX</x:v>
      </x:c>
      <x:c r="P843" s="109" t="n">
        <x:v>0</x:v>
      </x:c>
      <x:c r="Q843" s="109" t="n">
        <x:v>23</x:v>
      </x:c>
      <x:c r="R843" s="87" t="str">
        <x:v>A61K36/577;;A61K31/351;;A61K31/7034;;A61K33/06;;A61K36/10;;A61K36/28;;A61K36/68;;A61P1/00;;A61P1/04;;A61P11/04;;A61P11/14;;A61P29/00;;A61K36/577;;A61K9/0056;;A61K31/351;;A61K31/7034;;A61K33/06;;A61K36/062;;A61K36/10;;A61K36/28;;A61K36/68;;A61K45/06</x:v>
      </x:c>
      <x:c r="S843" s="87" t="str">
        <x:v>A61K36/09;;A61P1/04</x:v>
      </x:c>
      <x:c r="T843" s="87" t="str">
        <x:v>ACTIVE</x:v>
      </x:c>
      <x:c r="U843" s="87" t="str">
        <x:v>https://lens.org/112-828-780-392-683</x:v>
      </x:c>
    </x:row>
    <x:row r="844">
      <x:c r="A844" s="87" t="str">
        <x:v>Sanofi_Applicant_EP_Families_2015_2021.csv(1).csv</x:v>
      </x:c>
      <x:c r="B844" s="87" t="str">
        <x:v>Sanofi</x:v>
      </x:c>
      <x:c r="C844" s="87" t="str">
        <x:v>TRT-0010</x:v>
      </x:c>
      <x:c r="D844" s="87" t="str">
        <x:v>Yes</x:v>
      </x:c>
      <x:c r="E844" s="87" t="str">
        <x:v>sanofi</x:v>
      </x:c>
      <x:c r="F844" s="87" t="str">
        <x:v>250</x:v>
      </x:c>
      <x:c r="G844" s="87" t="str">
        <x:v>073-011-655-466-162</x:v>
      </x:c>
      <x:c r="H844" s="110" t="n">
        <x:v>41736</x:v>
      </x:c>
      <x:c r="I844" s="88" t="n">
        <x:v>2014</x:v>
      </x:c>
      <x:c r="J844" s="87" t="str">
        <x:v>EP</x:v>
      </x:c>
      <x:c r="K844" s="87" t="str">
        <x:v>B1</x:v>
      </x:c>
      <x:c r="L844" s="87" t="str">
        <x:v>EP 3129395 B1</x:v>
      </x:c>
      <x:c r="M844" s="87" t="str">
        <x:v>SANOFI SA</x:v>
      </x:c>
      <x:c r="N844" s="87" t="str">
        <x:v>SANOFI (2017-08-23)</x:v>
      </x:c>
      <x:c r="O844" s="87" t="str">
        <x:v>EXENDIN-4 DERIVATIVES AS PEPTIDIC DUAL GLP-1 / GLUCAGON RECEPTOR AGONISTS</x:v>
      </x:c>
      <x:c r="P844" s="109" t="n">
        <x:v>0</x:v>
      </x:c>
      <x:c r="Q844" s="109" t="n">
        <x:v>23</x:v>
      </x:c>
      <x:c r="R844" s="87" t="str">
        <x:v>C07K14/46;;A61K38/00;;A61K45/06;;A61K38/2278;;A61P1/14;;A61P3/04;;A61P3/06;;A61P3/08;;A61P3/10;;A61P5/48;;A61P5/50;;A61P9/00;;A61P9/10;;A61P9/12;;A61P25/00;;A61P43/00;;C07K14/46;;C07K14/46;;A61K38/2278;;A61K45/06;;C07K14/575;;A61K45/06;;A61K38/2278;;C07K14/46</x:v>
      </x:c>
      <x:c r="S844" s="87" t="str">
        <x:v>C07K14/435</x:v>
      </x:c>
      <x:c r="T844" s="87" t="str">
        <x:v>ACTIVE</x:v>
      </x:c>
      <x:c r="U844" s="87" t="str">
        <x:v>https://lens.org/073-011-655-466-162</x:v>
      </x:c>
    </x:row>
    <x:row r="845">
      <x:c r="A845" s="87" t="str">
        <x:v>Sanofi_Applicant_EP_Families_2015_2021.csv(1).csv</x:v>
      </x:c>
      <x:c r="B845" s="87" t="str">
        <x:v>Sanofi</x:v>
      </x:c>
      <x:c r="C845" s="87" t="str">
        <x:v>TRT-0010</x:v>
      </x:c>
      <x:c r="D845" s="87" t="str">
        <x:v>Yes</x:v>
      </x:c>
      <x:c r="E845" s="87" t="str">
        <x:v>sanofi</x:v>
      </x:c>
      <x:c r="F845" s="87" t="str">
        <x:v>251</x:v>
      </x:c>
      <x:c r="G845" s="87" t="str">
        <x:v>046-503-870-480-25X</x:v>
      </x:c>
      <x:c r="H845" s="110" t="n">
        <x:v>40616</x:v>
      </x:c>
      <x:c r="I845" s="88" t="n">
        <x:v>2011</x:v>
      </x:c>
      <x:c r="J845" s="87" t="str">
        <x:v>EP</x:v>
      </x:c>
      <x:c r="K845" s="87" t="str">
        <x:v>B1</x:v>
      </x:c>
      <x:c r="L845" s="87" t="str">
        <x:v>EP 2685960 B1</x:v>
      </x:c>
      <x:c r="M845" s="87" t="str">
        <x:v>SANOFI AVENTIS DEUTSCHLAND</x:v>
      </x:c>
      <x:c r="N845" s="87" t="str">
        <x:v>SANOFI-AVENTIS DEUTSCHLAND GMBH (2018-04-18);;A. NATTERMANN &amp; CIE. GMBH; DE (2024-11-22)</x:v>
      </x:c>
      <x:c r="O845" s="87" t="str">
        <x:v>USE OF A SPRAYABLE COMPOSITION COMPRISING AMBROXOL</x:v>
      </x:c>
      <x:c r="P845" s="109" t="n">
        <x:v>0</x:v>
      </x:c>
      <x:c r="Q845" s="109" t="n">
        <x:v>17</x:v>
      </x:c>
      <x:c r="R845" s="87" t="str">
        <x:v>A61K31/137;;A61K9/006;;A61K9/0073;;A61P1/02;;A61P11/00;;A61P11/04;;A61P29/00;;A61K31/137;;A61K9/006;;A61K9/0073</x:v>
      </x:c>
      <x:c r="S845" s="87" t="str">
        <x:v>A61K9/00;;A61K31/137</x:v>
      </x:c>
      <x:c r="T845" s="87" t="str">
        <x:v>ACTIVE</x:v>
      </x:c>
      <x:c r="U845" s="87" t="str">
        <x:v>https://lens.org/046-503-870-480-25X</x:v>
      </x:c>
    </x:row>
    <x:row r="846">
      <x:c r="A846" s="87" t="str">
        <x:v>Sanofi_Applicant_EP_Families_2015_2021.csv(1).csv</x:v>
      </x:c>
      <x:c r="B846" s="87" t="str">
        <x:v>Sanofi</x:v>
      </x:c>
      <x:c r="C846" s="87" t="str">
        <x:v>TRT-0010</x:v>
      </x:c>
      <x:c r="D846" s="87" t="str">
        <x:v>Yes</x:v>
      </x:c>
      <x:c r="E846" s="87" t="str">
        <x:v>sanofi</x:v>
      </x:c>
      <x:c r="F846" s="87" t="str">
        <x:v>252</x:v>
      </x:c>
      <x:c r="G846" s="87" t="str">
        <x:v>173-299-065-585-832</x:v>
      </x:c>
      <x:c r="H846" s="110" t="n">
        <x:v>41733</x:v>
      </x:c>
      <x:c r="I846" s="88" t="n">
        <x:v>2014</x:v>
      </x:c>
      <x:c r="J846" s="87" t="str">
        <x:v>EP</x:v>
      </x:c>
      <x:c r="K846" s="87" t="str">
        <x:v>B1</x:v>
      </x:c>
      <x:c r="L846" s="87" t="str">
        <x:v>EP 3126336 B1</x:v>
      </x:c>
      <x:c r="M846" s="87" t="str">
        <x:v>SANOFI SA</x:v>
      </x:c>
      <x:c r="N846" s="87" t="str">
        <x:v>SANOFI (2017-08-23)</x:v>
      </x:c>
      <x:c r="O846" s="87" t="str">
        <x:v>SUBSTITUTED FUSED HETEROCYCLES AS GPR119 MODULATORS FOR THE TREATMENT OF DIABETES, OBESITY, DYSLIPIDEMIA AND RELATED DISORDERS</x:v>
      </x:c>
      <x:c r="P846" s="109" t="n">
        <x:v>0</x:v>
      </x:c>
      <x:c r="Q846" s="109" t="n">
        <x:v>25</x:v>
      </x:c>
      <x:c r="R846" s="87" t="str">
        <x:v>C07D471/04;;C07D401/14;;C07D471/04;;A61K31/4439;;A61K45/06;;A61P3/00;;A61P3/04;;A61P3/06;;A61P3/10;;A61P9/12;;A61P43/00;;C07D231/56;;C07D249/18;;C07D401/14;;C07D471/04;;A61K31/155;;A61K31/437;;A61K31/4439;;A61K45/06;;A61K2300/00;;C07D231/56;;C07D249/18;;C07D471/04;;A61K31/155;;A61K31/397;;A61K31/40;;A61K31/4439;;A61K31/444;;A61K31/702;;A61K45/06;;C07D231/56;;C07D249/18;;C07D401/14</x:v>
      </x:c>
      <x:c r="S846" s="87" t="str">
        <x:v>C07D231/56;;A61K31/416;;A61K31/4192;;A61K31/4745;;A61P3/00;;C07D249/18;;C07D471/04</x:v>
      </x:c>
      <x:c r="T846" s="87" t="str">
        <x:v>ACTIVE</x:v>
      </x:c>
      <x:c r="U846" s="87" t="str">
        <x:v>https://lens.org/173-299-065-585-832</x:v>
      </x:c>
    </x:row>
    <x:row r="847">
      <x:c r="A847" s="87" t="str">
        <x:v>Sanofi_Applicant_EP_Families_2015_2021.csv(1).csv</x:v>
      </x:c>
      <x:c r="B847" s="87" t="str">
        <x:v>Sanofi</x:v>
      </x:c>
      <x:c r="C847" s="87" t="str">
        <x:v>TRT-0010</x:v>
      </x:c>
      <x:c r="D847" s="87" t="str">
        <x:v>Yes</x:v>
      </x:c>
      <x:c r="E847" s="87" t="str">
        <x:v>sanofi</x:v>
      </x:c>
      <x:c r="F847" s="87" t="str">
        <x:v>253</x:v>
      </x:c>
      <x:c r="G847" s="87" t="str">
        <x:v>014-464-530-621-853</x:v>
      </x:c>
      <x:c r="H847" s="110" t="n">
        <x:v>38232</x:v>
      </x:c>
      <x:c r="I847" s="88" t="n">
        <x:v>2004</x:v>
      </x:c>
      <x:c r="J847" s="87" t="str">
        <x:v>EP</x:v>
      </x:c>
      <x:c r="K847" s="87" t="str">
        <x:v>B1</x:v>
      </x:c>
      <x:c r="L847" s="87" t="str">
        <x:v>EP 1838367 B1</x:v>
      </x:c>
      <x:c r="M847" s="87" t="str">
        <x:v>SANOFI AVENTIS DEUTSCHLAND</x:v>
      </x:c>
      <x:c r="N847" s="87" t="str">
        <x:v>SANOFI-AVENTIS DEUTSCHLAND GMBH, DE (2018-10-24)</x:v>
      </x:c>
      <x:c r="O847" s="87" t="str">
        <x:v>METHOD OF ASSEMBLY OF DRUG DELIVERY DEVICES</x:v>
      </x:c>
      <x:c r="P847" s="109" t="n">
        <x:v>0</x:v>
      </x:c>
      <x:c r="Q847" s="109" t="n">
        <x:v>46</x:v>
      </x:c>
      <x:c r="R847" s="87" t="str">
        <x:v>A61M5/31593;;A61M5/24;;A61M5/31541;;A61M5/31551;;A61M5/31558;;A61M5/31561;;A61M5/31585;;A61M2005/2477;;A61M2005/31518;;A61M2205/581;;A61M2205/582;;A61M2207/00;;A61M5/315;;A61M5/31;;A61M5/31593;;A61M5/31593;;A61M5/24;;A61M5/31541;;A61M5/31551;;A61M5/31558;;A61M5/31561;;A61M5/31585;;A61M2005/2477;;A61M2005/31518;;A61M2202/0447;;A61M2202/0478;;A61M2205/581;;A61M2205/582;;A61M2207/00</x:v>
      </x:c>
      <x:c r="S847" s="87" t="str">
        <x:v>A61M5/315</x:v>
      </x:c>
      <x:c r="T847" s="87" t="str">
        <x:v>EXPIRED</x:v>
      </x:c>
      <x:c r="U847" s="87" t="str">
        <x:v>https://lens.org/014-464-530-621-853</x:v>
      </x:c>
    </x:row>
    <x:row r="848">
      <x:c r="A848" s="87" t="str">
        <x:v>Sanofi_Applicant_EP_Families_2015_2021.csv(1).csv</x:v>
      </x:c>
      <x:c r="B848" s="87" t="str">
        <x:v>Sanofi</x:v>
      </x:c>
      <x:c r="C848" s="87" t="str">
        <x:v>TRT-0010</x:v>
      </x:c>
      <x:c r="D848" s="87" t="str">
        <x:v>Yes</x:v>
      </x:c>
      <x:c r="E848" s="87" t="str">
        <x:v>sanofi</x:v>
      </x:c>
      <x:c r="F848" s="87" t="str">
        <x:v>254</x:v>
      </x:c>
      <x:c r="G848" s="87" t="str">
        <x:v>113-720-670-313-94X</x:v>
      </x:c>
      <x:c r="H848" s="110" t="n">
        <x:v>41367</x:v>
      </x:c>
      <x:c r="I848" s="88" t="n">
        <x:v>2013</x:v>
      </x:c>
      <x:c r="J848" s="87" t="str">
        <x:v>EP</x:v>
      </x:c>
      <x:c r="K848" s="87" t="str">
        <x:v>B1</x:v>
      </x:c>
      <x:c r="L848" s="87" t="str">
        <x:v>EP 2983697 B1</x:v>
      </x:c>
      <x:c r="M848" s="87" t="str">
        <x:v>SANOFI SA</x:v>
      </x:c>
      <x:c r="N848" s="87" t="str">
        <x:v>SANOFI (2022-12-28)</x:v>
      </x:c>
      <x:c r="O848" s="87" t="str">
        <x:v>TREATMENT OF DIABETES MELLITUS BY LONG ACTING FORMULATIONS OF INSULINS</x:v>
      </x:c>
      <x:c r="P848" s="109" t="n">
        <x:v>1</x:v>
      </x:c>
      <x:c r="Q848" s="109" t="n">
        <x:v>43</x:v>
      </x:c>
      <x:c r="R848" s="87" t="str">
        <x:v>A61K9/08;;A61K9/0019;;A61K31/155;;A61K38/26;;A61K38/28;;A61P3/10;;A61K38/28;;A61K9/0019;;A61K9/08;;A61K31/155;;A61K9/0019;;A61K9/08;;A61K38/26;;A61K38/28;;A61K47/02;;A61K47/10;;A61K9/08;;A61K9/0019;;A61K31/155;;A61K38/26;;A61K38/28;;A61K47/02;;A61K47/10;;A61K47/26;;A61P3/10</x:v>
      </x:c>
      <x:c r="S848" s="87" t="str">
        <x:v>A61P3/10;;A61K9/00;;A61K9/08;;A61K31/155;;A61K38/28;;A61K47/00</x:v>
      </x:c>
      <x:c r="T848" s="87" t="str">
        <x:v>INACTIVE</x:v>
      </x:c>
      <x:c r="U848" s="87" t="str">
        <x:v>https://lens.org/113-720-670-313-94X</x:v>
      </x:c>
    </x:row>
    <x:row r="849">
      <x:c r="A849" s="87" t="str">
        <x:v>Sanofi_Applicant_EP_Families_2015_2021.csv(1).csv</x:v>
      </x:c>
      <x:c r="B849" s="87" t="str">
        <x:v>Sanofi</x:v>
      </x:c>
      <x:c r="C849" s="87" t="str">
        <x:v>TRT-0010</x:v>
      </x:c>
      <x:c r="D849" s="87" t="str">
        <x:v>Yes</x:v>
      </x:c>
      <x:c r="E849" s="87" t="str">
        <x:v>sanofi</x:v>
      </x:c>
      <x:c r="F849" s="87" t="str">
        <x:v>255</x:v>
      </x:c>
      <x:c r="G849" s="87" t="str">
        <x:v>017-408-723-690-102</x:v>
      </x:c>
      <x:c r="H849" s="110" t="n">
        <x:v>41764</x:v>
      </x:c>
      <x:c r="I849" s="88" t="n">
        <x:v>2014</x:v>
      </x:c>
      <x:c r="J849" s="87" t="str">
        <x:v>EP</x:v>
      </x:c>
      <x:c r="K849" s="87" t="str">
        <x:v>B1</x:v>
      </x:c>
      <x:c r="L849" s="87" t="str">
        <x:v>EP 3139907 B1</x:v>
      </x:c>
      <x:c r="M849" s="87" t="str">
        <x:v>SANOFI AVENTIS DEUTSCHLAND</x:v>
      </x:c>
      <x:c r="N849" s="87" t="str">
        <x:v>SANOFI-AVENTIS DEUTSCHLAND GMBH (2017-11-08);;A. NATTERMANN &amp; CIE. GESELLSCHAFT MIT BESCHRAE, DE (2024-01-18);;A. NATTERMANN &amp; CIE. GMBH; DE (2024-11-22)</x:v>
      </x:c>
      <x:c r="O849" s="87" t="str">
        <x:v>FAST DISSOLVING GRANULATE</x:v>
      </x:c>
      <x:c r="P849" s="109" t="n">
        <x:v>0</x:v>
      </x:c>
      <x:c r="Q849" s="109" t="n">
        <x:v>25</x:v>
      </x:c>
      <x:c r="R849" s="87" t="str">
        <x:v>A61K36/84;;A61K9/1623;;A61K36/3486;;A61K36/60;;A61K36/84;;A61K9/0095;;A61K9/1623;;A61K36/3486;;A61P25/20;;A61K9/0095;;A61K9/1623;;A61K36/3486;;A61K36/60;;A61K36/84;;A61K2300/00;;A61P25/20;;A61K36/84;;A61K9/0095;;A61K9/1623;;A61K36/3486;;A61P25/20</x:v>
      </x:c>
      <x:c r="S849" s="87" t="str">
        <x:v>A61K36/84;;A61K9/46;;A61K36/185;;A61P25/20</x:v>
      </x:c>
      <x:c r="T849" s="87" t="str">
        <x:v>ACTIVE</x:v>
      </x:c>
      <x:c r="U849" s="87" t="str">
        <x:v>https://lens.org/017-408-723-690-102</x:v>
      </x:c>
    </x:row>
    <x:row r="850">
      <x:c r="A850" s="87" t="str">
        <x:v>Sanofi_Applicant_EP_Families_2015_2021.csv(1).csv</x:v>
      </x:c>
      <x:c r="B850" s="87" t="str">
        <x:v>Sanofi</x:v>
      </x:c>
      <x:c r="C850" s="87" t="str">
        <x:v>TRT-0010</x:v>
      </x:c>
      <x:c r="D850" s="87" t="str">
        <x:v>Yes</x:v>
      </x:c>
      <x:c r="E850" s="87" t="str">
        <x:v>sanofi</x:v>
      </x:c>
      <x:c r="F850" s="87" t="str">
        <x:v>256</x:v>
      </x:c>
      <x:c r="G850" s="87" t="str">
        <x:v>130-606-969-865-025</x:v>
      </x:c>
      <x:c r="H850" s="110" t="n">
        <x:v>42311</x:v>
      </x:c>
      <x:c r="I850" s="88" t="n">
        <x:v>2015</x:v>
      </x:c>
      <x:c r="J850" s="87" t="str">
        <x:v>EP</x:v>
      </x:c>
      <x:c r="K850" s="87" t="str">
        <x:v>A1</x:v>
      </x:c>
      <x:c r="L850" s="87" t="str">
        <x:v>EP 3371224 A1</x:v>
      </x:c>
      <x:c r="M850" s="87" t="str">
        <x:v>SANOFI BIOTECHNOLOGY;;REGENERON PHARMA</x:v>
      </x:c>
      <x:c r="N850" s="87" t="str">
        <x:v>REGENERON PHARMACEUTICALS, INC. (2026-04-29);;SANOFI BIOTECHNOLOGY (2026-04-29)</x:v>
      </x:c>
      <x:c r="O850" s="87" t="str">
        <x:v>COMPOSITIONS COMPRISING IL6R ANTIBODIES FOR THE TREATMENT OF UVEITIS AND MACULAR EDEMA AND METHODS OF USING SAME</x:v>
      </x:c>
      <x:c r="P850" s="109" t="n">
        <x:v>2</x:v>
      </x:c>
      <x:c r="Q850" s="109" t="n">
        <x:v>35</x:v>
      </x:c>
      <x:c r="R850" s="87" t="str">
        <x:v>A61K39/395;;A61K2039/54;;A61K2039/545;;C07K16/2866;;A61K31/519;;A61K31/573;;A61P27/02;;A61P29/00;;A61P9/10;;A61P3/10;;C07K16/2866;;C07K2317/76;;A61P29/00;;A61K2039/505;;A61K39/395;;A61K31/519;;A61K2039/54;;A61P27/02;;A61K2039/545;;C07K2317/56;;A61K31/573;;A61P3/10;;A61P9/10;;A61K39/3955;;A61P27/02;;A61K31/519;;A61K31/573;;A61K39/395;;A61K39/3955;;C07K16/2866;;A61K2039/505;;A61K2039/54;;C07K2317/76;;C07K2317/56;;A61K2039/545;;A61K39/395;;A61K2039/54;;C07K16/2866;;A61K31/519;;A61K31/573;;A61K39/3955;;A61K2039/505;;C07K2317/56;;C07K2317/76</x:v>
      </x:c>
      <x:c r="S850" s="87" t="str">
        <x:v>C07K16/28;;A61K39/00;;A61K39/395;;A61P27/02</x:v>
      </x:c>
      <x:c r="T850" s="87" t="str">
        <x:v>ACTIVE</x:v>
      </x:c>
      <x:c r="U850" s="87" t="str">
        <x:v>https://lens.org/130-606-969-865-025</x:v>
      </x:c>
    </x:row>
    <x:row r="851">
      <x:c r="A851" s="87" t="str">
        <x:v>Sanofi_Applicant_EP_Families_2015_2021.csv(1).csv</x:v>
      </x:c>
      <x:c r="B851" s="87" t="str">
        <x:v>Sanofi</x:v>
      </x:c>
      <x:c r="C851" s="87" t="str">
        <x:v>TRT-0010</x:v>
      </x:c>
      <x:c r="D851" s="87" t="str">
        <x:v>Yes</x:v>
      </x:c>
      <x:c r="E851" s="87" t="str">
        <x:v>sanofi</x:v>
      </x:c>
      <x:c r="F851" s="87" t="str">
        <x:v>257</x:v>
      </x:c>
      <x:c r="G851" s="87" t="str">
        <x:v>125-628-946-273-197</x:v>
      </x:c>
      <x:c r="H851" s="110" t="n">
        <x:v>40848</x:v>
      </x:c>
      <x:c r="I851" s="88" t="n">
        <x:v>2011</x:v>
      </x:c>
      <x:c r="J851" s="87" t="str">
        <x:v>EP</x:v>
      </x:c>
      <x:c r="K851" s="87" t="str">
        <x:v>B1</x:v>
      </x:c>
      <x:c r="L851" s="87" t="str">
        <x:v>EP 2773353 B1</x:v>
      </x:c>
      <x:c r="M851" s="87" t="str">
        <x:v>EXELIXIS INC;;SANOFI SA</x:v>
      </x:c>
      <x:c r="N851" s="87" t="str">
        <x:v>EXELIXIS, INC. (2018-09-05);;SANOFI (2018-09-05)</x:v>
      </x:c>
      <x:c r="O851" s="87" t="str">
        <x:v>N-(3-{[(3-{[2-CHLORO-5-(METHOXY)PHENYL]AMINO}QUINOXALIN-2-YL)AMINO]SULFONYL}PHENYL)-2-METHYLALANINAMIDE AS PHOSPHATIDYLINOSITOL 3-KINASE INHIBITOR FOR THE TREATMENT OF LYMPHOPROLIFERATIVE MALIGNANCIES</x:v>
      </x:c>
      <x:c r="P851" s="109" t="n">
        <x:v>0</x:v>
      </x:c>
      <x:c r="Q851" s="109" t="n">
        <x:v>28</x:v>
      </x:c>
      <x:c r="R851" s="87" t="str">
        <x:v>A61K31/498;;C07D241/44;;A61K31/47;;A61K31/498;;A61P35/00;;A61P35/02;;A61P35/04;;C07D215/233;;C07D241/44;;A61K31/47;;A61K31/498;;C07D215/233;;C07D241/44</x:v>
      </x:c>
      <x:c r="S851" s="87" t="str">
        <x:v>A61K31/498;;A61P35/02</x:v>
      </x:c>
      <x:c r="T851" s="87" t="str">
        <x:v>ACTIVE</x:v>
      </x:c>
      <x:c r="U851" s="87" t="str">
        <x:v>https://lens.org/125-628-946-273-197</x:v>
      </x:c>
    </x:row>
    <x:row r="852">
      <x:c r="A852" s="87" t="str">
        <x:v>Sanofi_Applicant_EP_Families_2015_2021.csv(1).csv</x:v>
      </x:c>
      <x:c r="B852" s="87" t="str">
        <x:v>Sanofi</x:v>
      </x:c>
      <x:c r="C852" s="87" t="str">
        <x:v>TRT-0010</x:v>
      </x:c>
      <x:c r="D852" s="87" t="str">
        <x:v>Yes</x:v>
      </x:c>
      <x:c r="E852" s="87" t="str">
        <x:v>sanofi</x:v>
      </x:c>
      <x:c r="F852" s="87" t="str">
        <x:v>258</x:v>
      </x:c>
      <x:c r="G852" s="87" t="str">
        <x:v>104-788-444-612-372</x:v>
      </x:c>
      <x:c r="H852" s="110" t="n">
        <x:v>37243</x:v>
      </x:c>
      <x:c r="I852" s="88" t="n">
        <x:v>2001</x:v>
      </x:c>
      <x:c r="J852" s="87" t="str">
        <x:v>EP</x:v>
      </x:c>
      <x:c r="K852" s="87" t="str">
        <x:v>B1</x:v>
      </x:c>
      <x:c r="L852" s="87" t="str">
        <x:v>EP 1458438 B1</x:v>
      </x:c>
      <x:c r="M852" s="87" t="str">
        <x:v>SANOFI AVENTIS DEUTSCHLAND</x:v>
      </x:c>
      <x:c r="N852" s="87" t="str">
        <x:v>SANOFI-AVENTIS DEUTSCHLAND GMBH (2017-02-22)</x:v>
      </x:c>
      <x:c r="O852" s="87" t="str">
        <x:v>MEDICAMENT INJECTION APPARATUS</x:v>
      </x:c>
      <x:c r="P852" s="109" t="n">
        <x:v>0</x:v>
      </x:c>
      <x:c r="Q852" s="109" t="n">
        <x:v>30</x:v>
      </x:c>
      <x:c r="R852" s="87" t="str">
        <x:v>A61M5/31525;;A61M5/20;;A61M5/24;;A61M5/31546;;A61M2005/3125;;A61M2005/31588;;A61M2205/50;;A61M2205/583;;A61M5/145;;A61M5/14;;A61M5/20;;A61M5/31525;;A61M5/20;;A61M5/24;;A61M5/31546;;A61M2005/3125;;A61M2005/31588;;A61M2205/50;;A61M2205/583</x:v>
      </x:c>
      <x:c r="S852" s="87" t="str">
        <x:v>A61M5/178;;A61M5/20;;A61M5/145;;A61M5/24;;A61M5/31;;A61M5/315;;H01L33/48</x:v>
      </x:c>
      <x:c r="T852" s="87" t="str">
        <x:v>EXPIRED</x:v>
      </x:c>
      <x:c r="U852" s="87" t="str">
        <x:v>https://lens.org/104-788-444-612-372</x:v>
      </x:c>
    </x:row>
    <x:row r="853">
      <x:c r="A853" s="87" t="str">
        <x:v>Sanofi_Applicant_EP_Families_2015_2021.csv(1).csv</x:v>
      </x:c>
      <x:c r="B853" s="87" t="str">
        <x:v>Sanofi</x:v>
      </x:c>
      <x:c r="C853" s="87" t="str">
        <x:v>TRT-0010</x:v>
      </x:c>
      <x:c r="D853" s="87" t="str">
        <x:v>Yes</x:v>
      </x:c>
      <x:c r="E853" s="87" t="str">
        <x:v>sanofi</x:v>
      </x:c>
      <x:c r="F853" s="87" t="str">
        <x:v>259</x:v>
      </x:c>
      <x:c r="G853" s="87" t="str">
        <x:v>048-384-012-226-128</x:v>
      </x:c>
      <x:c r="H853" s="110" t="n">
        <x:v>41823</x:v>
      </x:c>
      <x:c r="I853" s="88" t="n">
        <x:v>2014</x:v>
      </x:c>
      <x:c r="J853" s="87" t="str">
        <x:v>EP</x:v>
      </x:c>
      <x:c r="K853" s="87" t="str">
        <x:v>B1</x:v>
      </x:c>
      <x:c r="L853" s="87" t="str">
        <x:v>EP 3164131 B1</x:v>
      </x:c>
      <x:c r="M853" s="87" t="str">
        <x:v>SANOFI SA</x:v>
      </x:c>
      <x:c r="N853" s="87" t="str">
        <x:v>SANOFI (2017-08-23)</x:v>
      </x:c>
      <x:c r="O853" s="87" t="str">
        <x:v>2-(2-METHYLAMINO-PYRIMIDIN-4-YL)-1H-INDOLE-5-CARBOXYLIC ACID [(S)-1-CARBAMOYL-2-(PHENYL-PYRIMIDIN-2-YL-AMINO)-ETHYL]-AMIDE FOR USE IN THE TREATMENT OF PAIN ASSOCIATED TO OSTEOARTHRITIS</x:v>
      </x:c>
      <x:c r="P853" s="109" t="n">
        <x:v>0</x:v>
      </x:c>
      <x:c r="Q853" s="109" t="n">
        <x:v>23</x:v>
      </x:c>
      <x:c r="R853" s="87" t="str">
        <x:v>A61K31/506;;A61K31/506;;A61P19/02;;A61P19/08;;A61P25/04;;A61P29/00;;A61P43/00;;C07D403/12;;C07D403/14;;A61K31/506;;A61K9/0019;;A61K9/10;;C07D403/14;;A61K31/506;;A61P19/02;;A61P29/00;;A61K31/506;;C07D403/12;;C07D403/14</x:v>
      </x:c>
      <x:c r="S853" s="87" t="str">
        <x:v>A61K31/506;;A61P19/02</x:v>
      </x:c>
      <x:c r="T853" s="87" t="str">
        <x:v>ACTIVE</x:v>
      </x:c>
      <x:c r="U853" s="87" t="str">
        <x:v>https://lens.org/048-384-012-226-128</x:v>
      </x:c>
    </x:row>
    <x:row r="854">
      <x:c r="A854" s="87" t="str">
        <x:v>Sanofi_Applicant_EP_Families_2015_2021.csv(1).csv</x:v>
      </x:c>
      <x:c r="B854" s="87" t="str">
        <x:v>Sanofi</x:v>
      </x:c>
      <x:c r="C854" s="87" t="str">
        <x:v>TRT-0010</x:v>
      </x:c>
      <x:c r="D854" s="87" t="str">
        <x:v>Yes</x:v>
      </x:c>
      <x:c r="E854" s="87" t="str">
        <x:v>sanofi</x:v>
      </x:c>
      <x:c r="F854" s="87" t="str">
        <x:v>260</x:v>
      </x:c>
      <x:c r="G854" s="87" t="str">
        <x:v>193-848-985-321-623</x:v>
      </x:c>
      <x:c r="H854" s="110" t="n">
        <x:v>41795</x:v>
      </x:c>
      <x:c r="I854" s="88" t="n">
        <x:v>2014</x:v>
      </x:c>
      <x:c r="J854" s="87" t="str">
        <x:v>EP</x:v>
      </x:c>
      <x:c r="K854" s="87" t="str">
        <x:v>A1</x:v>
      </x:c>
      <x:c r="L854" s="87" t="str">
        <x:v>EP 3360591 A1</x:v>
      </x:c>
      <x:c r="M854" s="87" t="str">
        <x:v>SANOFI SA</x:v>
      </x:c>
      <x:c r="N854" s="87" t="str">
        <x:v>SANOFI (2022-12-28)</x:v>
      </x:c>
      <x:c r="O854" s="87" t="str">
        <x:v>ACTIVATING MECHANISM FOR A MEDICAMENT DELIVERY DEVICE AND MEDICAMENT DELIVERY DEVICE</x:v>
      </x:c>
      <x:c r="P854" s="109" t="n">
        <x:v>0</x:v>
      </x:c>
      <x:c r="Q854" s="109" t="n">
        <x:v>18</x:v>
      </x:c>
      <x:c r="R854" s="87" t="str">
        <x:v>A61M5/2466;;A61M2005/247;;A61M2005/2474;;A61M2005/247;;A61M2005/2474;;A61M5/2466;;A61M2005/247;;A61M2005/2474;;A61M5/2466;;A61M5/3204;;A61M5/326;;A61M2005/3267</x:v>
      </x:c>
      <x:c r="S854" s="87" t="str">
        <x:v>A61M5/24</x:v>
      </x:c>
      <x:c r="T854" s="87" t="str">
        <x:v>ACTIVE</x:v>
      </x:c>
      <x:c r="U854" s="87" t="str">
        <x:v>https://lens.org/193-848-985-321-623</x:v>
      </x:c>
    </x:row>
    <x:row r="855">
      <x:c r="A855" s="87" t="str">
        <x:v>Sanofi_Applicant_EP_Families_2015_2021.csv(1).csv</x:v>
      </x:c>
      <x:c r="B855" s="87" t="str">
        <x:v>Sanofi</x:v>
      </x:c>
      <x:c r="C855" s="87" t="str">
        <x:v>TRT-0010</x:v>
      </x:c>
      <x:c r="D855" s="87" t="str">
        <x:v>Yes</x:v>
      </x:c>
      <x:c r="E855" s="87" t="str">
        <x:v>sanofi</x:v>
      </x:c>
      <x:c r="F855" s="87" t="str">
        <x:v>261</x:v>
      </x:c>
      <x:c r="G855" s="87" t="str">
        <x:v>024-945-423-034-960</x:v>
      </x:c>
      <x:c r="H855" s="110" t="n">
        <x:v>40522</x:v>
      </x:c>
      <x:c r="I855" s="88" t="n">
        <x:v>2010</x:v>
      </x:c>
      <x:c r="J855" s="87" t="str">
        <x:v>EP</x:v>
      </x:c>
      <x:c r="K855" s="87" t="str">
        <x:v>B1</x:v>
      </x:c>
      <x:c r="L855" s="87" t="str">
        <x:v>EP 2648747 B1</x:v>
      </x:c>
      <x:c r="M855" s="87" t="str">
        <x:v>SANOFI SA</x:v>
      </x:c>
      <x:c r="N855" s="87" t="str">
        <x:v>SANOFI; FR (2025-04-11);;SANOFI (2017-08-23)</x:v>
      </x:c>
      <x:c r="O855" s="87" t="str">
        <x:v>ANTITUMOR COMBINATIONS CONTAINING ANTIBODIES RECOGNIZING SPECIFICALLY CD38 AND BORTEZOMIB</x:v>
      </x:c>
      <x:c r="P855" s="109" t="n">
        <x:v>0</x:v>
      </x:c>
      <x:c r="Q855" s="109" t="n">
        <x:v>59</x:v>
      </x:c>
      <x:c r="R855" s="87" t="str">
        <x:v>A61K39/39558;;A61K31/69;;A61K38/05;;A61K2039/542;;A61K2039/545;;C07K16/28;;C07K2317/24;;C07K2317/51;;C07K2317/515;;C07K2317/565;;C07K2317/73;;C07K2317/732;;C07K2317/734;;A61K39/39558;;A61K38/05;;A61K39/3955;;A61P35/00;;A61P35/02;;A61P43/00;;C07K16/2896;;C07K2317/24;;A61K39/00;;A61K31/69;;A61K38/05;;A61K39/3955;;A61K39/39558;;A61K2039/542;;A61K2039/545;;C07K16/28;;C07K16/2896;;C07K2317/24;;C07K2317/51;;C07K2317/515;;C07K2317/565;;C07K2317/73;;C07K2317/732;;C07K2317/734;;A61K39/395;;A61K45/06;;C07K16/28;;A61K39/39558;;A61K38/05;;A61K39/3955;;C07K16/2896;;C07K2317/24</x:v>
      </x:c>
      <x:c r="S855" s="87" t="str">
        <x:v>A61K39/395;;A61K45/06;;A61P35/00;;C07K16/28</x:v>
      </x:c>
      <x:c r="T855" s="87" t="str">
        <x:v>ACTIVE</x:v>
      </x:c>
      <x:c r="U855" s="87" t="str">
        <x:v>https://lens.org/024-945-423-034-960</x:v>
      </x:c>
    </x:row>
    <x:row r="856">
      <x:c r="A856" s="87" t="str">
        <x:v>Sanofi_Applicant_EP_Families_2015_2021.csv(1).csv</x:v>
      </x:c>
      <x:c r="B856" s="87" t="str">
        <x:v>Sanofi</x:v>
      </x:c>
      <x:c r="C856" s="87" t="str">
        <x:v>TRT-0010</x:v>
      </x:c>
      <x:c r="D856" s="87" t="str">
        <x:v>Yes</x:v>
      </x:c>
      <x:c r="E856" s="87" t="str">
        <x:v>sanofi</x:v>
      </x:c>
      <x:c r="F856" s="87" t="str">
        <x:v>262</x:v>
      </x:c>
      <x:c r="G856" s="87" t="str">
        <x:v>081-181-971-438-712</x:v>
      </x:c>
      <x:c r="H856" s="110" t="n">
        <x:v>41621</x:v>
      </x:c>
      <x:c r="I856" s="88" t="n">
        <x:v>2013</x:v>
      </x:c>
      <x:c r="J856" s="87" t="str">
        <x:v>EP</x:v>
      </x:c>
      <x:c r="K856" s="87" t="str">
        <x:v>B1</x:v>
      </x:c>
      <x:c r="L856" s="87" t="str">
        <x:v>EP 3080150 B1</x:v>
      </x:c>
      <x:c r="M856" s="87" t="str">
        <x:v>SANOFI SA</x:v>
      </x:c>
      <x:c r="N856" s="87" t="str">
        <x:v>SANOFI (2017-08-23)</x:v>
      </x:c>
      <x:c r="O856" s="87" t="str">
        <x:v>EXENDIN-4 PEPTIDE ANALOGUES AS DUAL GLP-1/GIP RECEPTOR AGONISTS</x:v>
      </x:c>
      <x:c r="P856" s="109" t="n">
        <x:v>0</x:v>
      </x:c>
      <x:c r="Q856" s="109" t="n">
        <x:v>7</x:v>
      </x:c>
      <x:c r="R856" s="87" t="str">
        <x:v>A61K38/26;;A61P3/00;;A61P3/04;;A61P3/10;;C07K14/57563;;C07K14/605;;A61K38/26;;A61K45/06;;C07K14/57563;;C07K14/605</x:v>
      </x:c>
      <x:c r="S856" s="87" t="str">
        <x:v>C07K14/575;;C07K14/605</x:v>
      </x:c>
      <x:c r="T856" s="87" t="str">
        <x:v>ACTIVE</x:v>
      </x:c>
      <x:c r="U856" s="87" t="str">
        <x:v>https://lens.org/081-181-971-438-712</x:v>
      </x:c>
    </x:row>
    <x:row r="857">
      <x:c r="A857" s="87" t="str">
        <x:v>Sanofi_Applicant_EP_Families_2015_2021.csv(1).csv</x:v>
      </x:c>
      <x:c r="B857" s="87" t="str">
        <x:v>Sanofi</x:v>
      </x:c>
      <x:c r="C857" s="87" t="str">
        <x:v>TRT-0010</x:v>
      </x:c>
      <x:c r="D857" s="87" t="str">
        <x:v>Yes</x:v>
      </x:c>
      <x:c r="E857" s="87" t="str">
        <x:v>sanofi</x:v>
      </x:c>
      <x:c r="F857" s="87" t="str">
        <x:v>263</x:v>
      </x:c>
      <x:c r="G857" s="87" t="str">
        <x:v>091-681-209-708-673</x:v>
      </x:c>
      <x:c r="H857" s="110" t="n">
        <x:v>41612</x:v>
      </x:c>
      <x:c r="I857" s="88" t="n">
        <x:v>2013</x:v>
      </x:c>
      <x:c r="J857" s="87" t="str">
        <x:v>EP</x:v>
      </x:c>
      <x:c r="K857" s="87" t="str">
        <x:v>B1</x:v>
      </x:c>
      <x:c r="L857" s="87" t="str">
        <x:v>EP 3077380 B1</x:v>
      </x:c>
      <x:c r="M857" s="87" t="str">
        <x:v>SANOFI SA</x:v>
      </x:c>
      <x:c r="N857" s="87" t="str">
        <x:v>SANOFI (2017-08-23)</x:v>
      </x:c>
      <x:c r="O857" s="87" t="str">
        <x:v>THIENOMETHYLPIPERAZINE DERIVATIVES AS INHIBITORS OF SOLUBLE EPOXIDE HYDROLASE</x:v>
      </x:c>
      <x:c r="P857" s="109" t="n">
        <x:v>0</x:v>
      </x:c>
      <x:c r="Q857" s="109" t="n">
        <x:v>6</x:v>
      </x:c>
      <x:c r="R857" s="87" t="str">
        <x:v>C07D409/12;;A61P3/10;;A61P9/12;;A61P29/00;;C07D277/56;;C07D333/38;;C07D333/48;;C07D409/14;;C07D413/12;;C07D417/12;;C07D417/14;;C07D471/04;;C07D487/04;;C07D409/12;;C07D277/56;;C07D333/38;;C07D333/48;;C07D409/14;;C07D413/12;;C07D417/12;;C07D417/14;;C07D471/04;;C07D487/04</x:v>
      </x:c>
      <x:c r="S857" s="87" t="str">
        <x:v>C07D277/56;;A61K31/496;;A61P3/10;;A61P9/12;;A61P29/00;;C07D333/38;;C07D333/48;;C07D409/12;;C07D409/14;;C07D413/12;;C07D417/12;;C07D417/14;;C07D471/04;;C07D487/04</x:v>
      </x:c>
      <x:c r="T857" s="87" t="str">
        <x:v>ACTIVE</x:v>
      </x:c>
      <x:c r="U857" s="87" t="str">
        <x:v>https://lens.org/091-681-209-708-673</x:v>
      </x:c>
    </x:row>
    <x:row r="858">
      <x:c r="A858" s="87" t="str">
        <x:v>Sanofi_Applicant_EP_Families_2015_2021.csv(1).csv</x:v>
      </x:c>
      <x:c r="B858" s="87" t="str">
        <x:v>Sanofi</x:v>
      </x:c>
      <x:c r="C858" s="87" t="str">
        <x:v>TRT-0010</x:v>
      </x:c>
      <x:c r="D858" s="87" t="str">
        <x:v>Yes</x:v>
      </x:c>
      <x:c r="E858" s="87" t="str">
        <x:v>sanofi</x:v>
      </x:c>
      <x:c r="F858" s="87" t="str">
        <x:v>264</x:v>
      </x:c>
      <x:c r="G858" s="87" t="str">
        <x:v>176-057-082-536-386</x:v>
      </x:c>
      <x:c r="H858" s="110" t="n">
        <x:v>41808</x:v>
      </x:c>
      <x:c r="I858" s="88" t="n">
        <x:v>2014</x:v>
      </x:c>
      <x:c r="J858" s="87" t="str">
        <x:v>EP</x:v>
      </x:c>
      <x:c r="K858" s="87" t="str">
        <x:v>B1</x:v>
      </x:c>
      <x:c r="L858" s="87" t="str">
        <x:v>EP 3157949 B1</x:v>
      </x:c>
      <x:c r="M858" s="87" t="str">
        <x:v>SANOFI SA</x:v>
      </x:c>
      <x:c r="N858" s="87" t="str">
        <x:v>SANOFI (2017-08-23)</x:v>
      </x:c>
      <x:c r="O858" s="87" t="str">
        <x:v>EXENDIN-4 DERIVATIVES AS SELECTIVE GLUCAGON RECEPTOR AGONISTS</x:v>
      </x:c>
      <x:c r="P858" s="109" t="n">
        <x:v>0</x:v>
      </x:c>
      <x:c r="Q858" s="109" t="n">
        <x:v>33</x:v>
      </x:c>
      <x:c r="R858" s="87" t="str">
        <x:v>C07K14/57563;;A61K38/00;;A61P1/00;;A61P3/00;;A61P3/08;;A61P3/10;;A61P5/48;;A61P39/02;;A61P43/00;;C07K14/57563;;A61K38/2278;;A61K45/06;;C07K14/605;;C07K14/605;;A61K38/00;;A61K45/06;;C07K14/57563</x:v>
      </x:c>
      <x:c r="S858" s="87" t="str">
        <x:v>C07K14/575;;A61K38/22;;A61P3/10</x:v>
      </x:c>
      <x:c r="T858" s="87" t="str">
        <x:v>ACTIVE</x:v>
      </x:c>
      <x:c r="U858" s="87" t="str">
        <x:v>https://lens.org/176-057-082-536-386</x:v>
      </x:c>
    </x:row>
    <x:row r="859">
      <x:c r="A859" s="87" t="str">
        <x:v>Sanofi_Applicant_EP_Families_2015_2021.csv(1).csv</x:v>
      </x:c>
      <x:c r="B859" s="87" t="str">
        <x:v>Sanofi</x:v>
      </x:c>
      <x:c r="C859" s="87" t="str">
        <x:v>TRT-0010</x:v>
      </x:c>
      <x:c r="D859" s="87" t="str">
        <x:v>Yes</x:v>
      </x:c>
      <x:c r="E859" s="87" t="str">
        <x:v>sanofi</x:v>
      </x:c>
      <x:c r="F859" s="87" t="str">
        <x:v>265</x:v>
      </x:c>
      <x:c r="G859" s="87" t="str">
        <x:v>174-681-961-761-72X</x:v>
      </x:c>
      <x:c r="H859" s="110" t="n">
        <x:v>35604</x:v>
      </x:c>
      <x:c r="I859" s="88" t="n">
        <x:v>1997</x:v>
      </x:c>
      <x:c r="J859" s="87" t="str">
        <x:v>EP</x:v>
      </x:c>
      <x:c r="K859" s="87" t="str">
        <x:v>B3</x:v>
      </x:c>
      <x:c r="L859" s="87" t="str">
        <x:v>EP 1007030 B3</x:v>
      </x:c>
      <x:c r="M859" s="87" t="str">
        <x:v>SANOFI SA</x:v>
      </x:c>
      <x:c r="N859" s="87" t="str">
        <x:v>SANOFI-AVENTIS; FR (2005-01-26);;SANOFI -AVENTIS (2005-04-01);;SANOFI-AVENTIS, PARIS, FR (2005-04-28);;SANOFI-AVENTIS, FR (2013-02-05);;SANOFI, FR (2019-04-05);;SANOFI-AVENTIS, 75013 PARIS, FR (2012-05-03);;SANOFI, 75008 PARIS, FR (2019-02-14);;SANOFI, 54 RUE LA BOETIE, FR (2019-02-14);;SANOFI (2019-01-31);;SANOFI; FR (2019-03-06)</x:v>
      </x:c>
      <x:c r="O859" s="87" t="str">
        <x:v>SOLID PHARMACEUTICAL COMPOSITION CONTAINING BENZOFURANE DERIVATIVES</x:v>
      </x:c>
      <x:c r="P859" s="109" t="n">
        <x:v>0</x:v>
      </x:c>
      <x:c r="Q859" s="109" t="n">
        <x:v>76</x:v>
      </x:c>
      <x:c r="R859" s="87" t="str">
        <x:v>A61K31/343;;A61K9/2013;;A61K9/2018;;A61K9/2031;;A61P9/00;;A61P9/06;;Y02A50/30;;A61K31/34;;A61K31/343;;A61K9/0053;;A61K9/2013;;A61K9/2018;;A61K9/2031;;A61K47/10;;Y02A50/30</x:v>
      </x:c>
      <x:c r="S859" s="87" t="str">
        <x:v>A61K31/34;;A61K9/20;;A61K9/48;;A61K31/343;;A61P9/06</x:v>
      </x:c>
      <x:c r="T859" s="87" t="str">
        <x:v>EXPIRED</x:v>
      </x:c>
      <x:c r="U859" s="87" t="str">
        <x:v>https://lens.org/174-681-961-761-72X</x:v>
      </x:c>
    </x:row>
    <x:row r="860">
      <x:c r="A860" s="87" t="str">
        <x:v>Sanofi_Applicant_EP_Families_2015_2021.csv(1).csv</x:v>
      </x:c>
      <x:c r="B860" s="87" t="str">
        <x:v>Sanofi</x:v>
      </x:c>
      <x:c r="C860" s="87" t="str">
        <x:v>TRT-0010</x:v>
      </x:c>
      <x:c r="D860" s="87" t="str">
        <x:v>Yes</x:v>
      </x:c>
      <x:c r="E860" s="87" t="str">
        <x:v>sanofi</x:v>
      </x:c>
      <x:c r="F860" s="87" t="str">
        <x:v>266</x:v>
      </x:c>
      <x:c r="G860" s="87" t="str">
        <x:v>152-586-016-347-723</x:v>
      </x:c>
      <x:c r="H860" s="110" t="n">
        <x:v>41092</x:v>
      </x:c>
      <x:c r="I860" s="88" t="n">
        <x:v>2012</x:v>
      </x:c>
      <x:c r="J860" s="87" t="str">
        <x:v>EP</x:v>
      </x:c>
      <x:c r="K860" s="87" t="str">
        <x:v>B1</x:v>
      </x:c>
      <x:c r="L860" s="87" t="str">
        <x:v>EP 2885397 B1</x:v>
      </x:c>
      <x:c r="M860" s="87" t="str">
        <x:v>SANOFI PASTEUR</x:v>
      </x:c>
      <x:c r="N860" s="87" t="str">
        <x:v>SANOFI PASTEUR (2018-01-24)</x:v>
      </x:c>
      <x:c r="O860" s="87" t="str">
        <x:v>METHOD FOR PRODUCING HAEMOPHILUS INFLUENZAE TYPE B ANTIGENS</x:v>
      </x:c>
      <x:c r="P860" s="109" t="n">
        <x:v>0</x:v>
      </x:c>
      <x:c r="Q860" s="109" t="n">
        <x:v>49</x:v>
      </x:c>
      <x:c r="R860" s="87" t="str">
        <x:v>A61K39/102;;A61K2039/6037;;C12N1/20;;C12P19/04;;C12P19/04;;A61K39/102;;A61K2039/6037;;A61P31/12;;A61P31/16;;C12N1/20;;Y02A50/30;;C12P19/04;;A61K31/715;;A61K35/74;;A61K39/102;;C12P1/04;;A61K39/102;;C12N1/20;;C12P19/04;;C12P19/04;;A61K39/102;;A61K2039/55;;A61K2039/6037;;C12N1/20;;Y02A50/30</x:v>
      </x:c>
      <x:c r="S860" s="87" t="str">
        <x:v>C12N1/20;;A61K39/00;;A61K39/102;;C12P19/04</x:v>
      </x:c>
      <x:c r="T860" s="87" t="str">
        <x:v>ACTIVE</x:v>
      </x:c>
      <x:c r="U860" s="87" t="str">
        <x:v>https://lens.org/152-586-016-347-723</x:v>
      </x:c>
    </x:row>
    <x:row r="861">
      <x:c r="A861" s="87" t="str">
        <x:v>Sanofi_Applicant_EP_Families_2015_2021.csv(1).csv</x:v>
      </x:c>
      <x:c r="B861" s="87" t="str">
        <x:v>Sanofi</x:v>
      </x:c>
      <x:c r="C861" s="87" t="str">
        <x:v>TRT-0010</x:v>
      </x:c>
      <x:c r="D861" s="87" t="str">
        <x:v>Yes</x:v>
      </x:c>
      <x:c r="E861" s="87" t="str">
        <x:v>sanofi</x:v>
      </x:c>
      <x:c r="F861" s="87" t="str">
        <x:v>267</x:v>
      </x:c>
      <x:c r="G861" s="87" t="str">
        <x:v>017-308-360-639-712</x:v>
      </x:c>
      <x:c r="H861" s="110" t="n">
        <x:v>40459</x:v>
      </x:c>
      <x:c r="I861" s="88" t="n">
        <x:v>2010</x:v>
      </x:c>
      <x:c r="J861" s="87" t="str">
        <x:v>EP</x:v>
      </x:c>
      <x:c r="K861" s="87" t="str">
        <x:v>B1</x:v>
      </x:c>
      <x:c r="L861" s="87" t="str">
        <x:v>EP 2624889 B1</x:v>
      </x:c>
      <x:c r="M861" s="87" t="str">
        <x:v>SANOFI SA</x:v>
      </x:c>
      <x:c r="N861" s="87" t="str">
        <x:v>SANOFI (2014-03-12)</x:v>
      </x:c>
      <x:c r="O861" s="87" t="str">
        <x:v>AUTO-INJECTOR</x:v>
      </x:c>
      <x:c r="P861" s="109" t="n">
        <x:v>0</x:v>
      </x:c>
      <x:c r="Q861" s="109" t="n">
        <x:v>29</x:v>
      </x:c>
      <x:c r="R861" s="87" t="str">
        <x:v>A61M5/2033;;A61M5/3202;;A61M5/326;;A61M2005/2013;;A61M2005/206;;A61M5/20;;A61M5/3232;;A61M5/2033;;A61M5/3202;;A61M5/326;;A61M2005/2013;;A61M2005/206</x:v>
      </x:c>
      <x:c r="S861" s="87" t="str">
        <x:v>A61M5/20</x:v>
      </x:c>
      <x:c r="T861" s="87" t="str">
        <x:v>ACTIVE</x:v>
      </x:c>
      <x:c r="U861" s="87" t="str">
        <x:v>https://lens.org/017-308-360-639-712</x:v>
      </x:c>
    </x:row>
    <x:row r="862">
      <x:c r="A862" s="87" t="str">
        <x:v>Sanofi_Applicant_EP_Families_2015_2021.csv(1).csv</x:v>
      </x:c>
      <x:c r="B862" s="87" t="str">
        <x:v>Sanofi</x:v>
      </x:c>
      <x:c r="C862" s="87" t="str">
        <x:v>TRT-0010</x:v>
      </x:c>
      <x:c r="D862" s="87" t="str">
        <x:v>Yes</x:v>
      </x:c>
      <x:c r="E862" s="87" t="str">
        <x:v>sanofi</x:v>
      </x:c>
      <x:c r="F862" s="87" t="str">
        <x:v>268</x:v>
      </x:c>
      <x:c r="G862" s="87" t="str">
        <x:v>041-585-980-781-790</x:v>
      </x:c>
      <x:c r="H862" s="110" t="n">
        <x:v>41159</x:v>
      </x:c>
      <x:c r="I862" s="88" t="n">
        <x:v>2012</x:v>
      </x:c>
      <x:c r="J862" s="87" t="str">
        <x:v>EP</x:v>
      </x:c>
      <x:c r="K862" s="87" t="str">
        <x:v>B1</x:v>
      </x:c>
      <x:c r="L862" s="87" t="str">
        <x:v>EP 2892927 B1</x:v>
      </x:c>
      <x:c r="M862" s="87" t="str">
        <x:v>REGENERON PHARMA;;SANOFI BIOTECHNOLOGY</x:v>
      </x:c>
      <x:c r="N862" s="87" t="str">
        <x:v>REGENERON PHARMACEUTICALS, INC. (2016-03-16);;SANOFI BIOTECHNOLOGY (2016-03-16)</x:v>
      </x:c>
      <x:c r="O862" s="87" t="str">
        <x:v>METHODS FOR TREATING ATOPIC DERMATITIS BY ADMINISTERING AN IL-4R ANTAGONIST</x:v>
      </x:c>
      <x:c r="P862" s="109" t="n">
        <x:v>3</x:v>
      </x:c>
      <x:c r="Q862" s="109" t="n">
        <x:v>85</x:v>
      </x:c>
      <x:c r="R862" s="87" t="str">
        <x:v>A61K2039/54;;C07K2317/21;;G01N2800/202;;G01N33/53;;A61K31/573;;A61K31/58;;C07K16/2866;;A61P17/00;;A61P37/00;;A61P37/08;;A61K31/573;;A61K31/58;;A61K39/3955;;A61K45/06;;A61K2039/54;;A61P17/00;;A61P17/02;;A61P17/04;;A61P35/00;;A61P37/00;;A61P37/08;;A61P43/00;;C07K16/2866;;C07K2317/21;;G01N33/53;;G01N2800/202;;A61K2039/54;;C07K16/2866;;C07K2317/21;;G01N2800/202;;A61K38/1793;;A61P17/00;;A61P17/04;;A61P29/00;;A61P37/00;;A61P37/08;;G01N33/6854;;G01N33/53;;A61K2039/505;;G01N2800/52;;A61P17/00;;A61K31/573;;A61K31/58;;A61K39/395;;C07K16/28;;G01N33/53;;A61K38/02;;A61P17/04;;G01N33/53;;A61K2039/54;;C07K2317/21;;G01N2800/202;;A61K31/573;;A61K31/58;;A61K39/3955;;A61K45/06;;C07K16/2866</x:v>
      </x:c>
      <x:c r="S862" s="87" t="str">
        <x:v>C07K16/28;;A61P17/00</x:v>
      </x:c>
      <x:c r="T862" s="87" t="str">
        <x:v>INACTIVE</x:v>
      </x:c>
      <x:c r="U862" s="87" t="str">
        <x:v>https://lens.org/041-585-980-781-790</x:v>
      </x:c>
    </x:row>
    <x:row r="863">
      <x:c r="A863" s="87" t="str">
        <x:v>Sanofi_Applicant_EP_Families_2015_2021.csv(1).csv</x:v>
      </x:c>
      <x:c r="B863" s="87" t="str">
        <x:v>Sanofi</x:v>
      </x:c>
      <x:c r="C863" s="87" t="str">
        <x:v>TRT-0010</x:v>
      </x:c>
      <x:c r="D863" s="87" t="str">
        <x:v>Yes</x:v>
      </x:c>
      <x:c r="E863" s="87" t="str">
        <x:v>sanofi</x:v>
      </x:c>
      <x:c r="F863" s="87" t="str">
        <x:v>269</x:v>
      </x:c>
      <x:c r="G863" s="87" t="str">
        <x:v>123-944-876-870-018</x:v>
      </x:c>
      <x:c r="H863" s="110" t="n">
        <x:v>42179</x:v>
      </x:c>
      <x:c r="I863" s="88" t="n">
        <x:v>2015</x:v>
      </x:c>
      <x:c r="J863" s="87" t="str">
        <x:v>EP</x:v>
      </x:c>
      <x:c r="K863" s="87" t="str">
        <x:v>A1</x:v>
      </x:c>
      <x:c r="L863" s="87" t="str">
        <x:v>EP 3313438 A1</x:v>
      </x:c>
      <x:c r="M863" s="87" t="str">
        <x:v>SANOFI PASTEUR INC</x:v>
      </x:c>
      <x:c r="N863" s="87" t="str">
        <x:v>SANOFI VACCINES US INC. (2026-05-27)</x:v>
      </x:c>
      <x:c r="O863" s="87" t="str">
        <x:v>METHODS OF USE OF INFLUENZA VACCINE FOR PREVENTION OF PNEUMONIA</x:v>
      </x:c>
      <x:c r="P863" s="109" t="n">
        <x:v>0</x:v>
      </x:c>
      <x:c r="Q863" s="109" t="n">
        <x:v>5</x:v>
      </x:c>
      <x:c r="R863" s="87" t="str">
        <x:v>A61K39/12;;A61K2039/545;;A61P29/00;;C12N2760/16134;;C12N2760/16234;;Y02A50/30;;A61K39/145;;A61K39/12;;A61K2039/545;;A61K2039/70;;A61P29/00;;C12N7/00;;C12N2760/16034;;C12N2760/16134;;C12N2760/16234;;Y02A50/30</x:v>
      </x:c>
      <x:c r="S863" s="87" t="str">
        <x:v>A61K39/12</x:v>
      </x:c>
      <x:c r="T863" s="87" t="str">
        <x:v>PENDING</x:v>
      </x:c>
      <x:c r="U863" s="87" t="str">
        <x:v>https://lens.org/123-944-876-870-018</x:v>
      </x:c>
    </x:row>
    <x:row r="864">
      <x:c r="A864" s="87" t="str">
        <x:v>Sanofi_Applicant_EP_Families_2015_2021.csv(1).csv</x:v>
      </x:c>
      <x:c r="B864" s="87" t="str">
        <x:v>Sanofi</x:v>
      </x:c>
      <x:c r="C864" s="87" t="str">
        <x:v>TRT-0010</x:v>
      </x:c>
      <x:c r="D864" s="87" t="str">
        <x:v>Yes</x:v>
      </x:c>
      <x:c r="E864" s="87" t="str">
        <x:v>sanofi</x:v>
      </x:c>
      <x:c r="F864" s="87" t="str">
        <x:v>270</x:v>
      </x:c>
      <x:c r="G864" s="87" t="str">
        <x:v>138-218-976-167-539</x:v>
      </x:c>
      <x:c r="H864" s="110" t="n">
        <x:v>42157</x:v>
      </x:c>
      <x:c r="I864" s="88" t="n">
        <x:v>2015</x:v>
      </x:c>
      <x:c r="J864" s="87" t="str">
        <x:v>EP</x:v>
      </x:c>
      <x:c r="K864" s="87" t="str">
        <x:v>A2</x:v>
      </x:c>
      <x:c r="L864" s="87" t="str">
        <x:v>EP 3303368 A2</x:v>
      </x:c>
      <x:c r="M864" s="87" t="str">
        <x:v>SANOFI PASTEUR INC</x:v>
      </x:c>
      <x:c r="N864" s="87" t="str">
        <x:v>SANOFI VACCINES US INC. (2026-05-27)</x:v>
      </x:c>
      <x:c r="O864" s="87" t="str">
        <x:v>ENGINEERED INFLUENZA ANTIGENIC POLYPEPTIDES AND IMMUNOGENIC COMPOSITIONS THEREOF</x:v>
      </x:c>
      <x:c r="P864" s="109" t="n">
        <x:v>4</x:v>
      </x:c>
      <x:c r="Q864" s="109" t="n">
        <x:v>2</x:v>
      </x:c>
      <x:c r="R864" s="87" t="str">
        <x:v>C07K14/005;;C12N2760/16022;;C12N2760/16062</x:v>
      </x:c>
      <x:c r="S864" s="87" t="str">
        <x:v>C07K14/005</x:v>
      </x:c>
      <x:c r="T864" s="87" t="str">
        <x:v>PENDING</x:v>
      </x:c>
      <x:c r="U864" s="87" t="str">
        <x:v>https://lens.org/138-218-976-167-539</x:v>
      </x:c>
    </x:row>
    <x:row r="865">
      <x:c r="A865" s="87" t="str">
        <x:v>Sanofi_Applicant_EP_Families_2015_2021.csv(1).csv</x:v>
      </x:c>
      <x:c r="B865" s="87" t="str">
        <x:v>Sanofi</x:v>
      </x:c>
      <x:c r="C865" s="87" t="str">
        <x:v>TRT-0010</x:v>
      </x:c>
      <x:c r="D865" s="87" t="str">
        <x:v>Yes</x:v>
      </x:c>
      <x:c r="E865" s="87" t="str">
        <x:v>sanofi</x:v>
      </x:c>
      <x:c r="F865" s="87" t="str">
        <x:v>271</x:v>
      </x:c>
      <x:c r="G865" s="87" t="str">
        <x:v>170-708-471-272-335</x:v>
      </x:c>
      <x:c r="H865" s="110" t="n">
        <x:v>36882</x:v>
      </x:c>
      <x:c r="I865" s="88" t="n">
        <x:v>2000</x:v>
      </x:c>
      <x:c r="J865" s="87" t="str">
        <x:v>EP</x:v>
      </x:c>
      <x:c r="K865" s="87" t="str">
        <x:v>B2</x:v>
      </x:c>
      <x:c r="L865" s="87" t="str">
        <x:v>EP 1349593 B2</x:v>
      </x:c>
      <x:c r="M865" s="87" t="str">
        <x:v>SANOFI AVENTIS DEUTSCHLAND</x:v>
      </x:c>
      <x:c r="N865" s="87" t="str">
        <x:v>SANOFI-AVENTIS DEUTSCHLAND GMBH, DE (2020-10-15);;SANOFI-AVENTIS DEUTSCHLAND GMBH (2017-06-07)</x:v>
      </x:c>
      <x:c r="O865" s="87" t="str">
        <x:v>PEN-TYPE INJECTOR HAVING AN ELECTRONIC CONTROL UNIT</x:v>
      </x:c>
      <x:c r="P865" s="109" t="n">
        <x:v>0</x:v>
      </x:c>
      <x:c r="Q865" s="109" t="n">
        <x:v>338</x:v>
      </x:c>
      <x:c r="R865" s="87" t="str">
        <x:v>A61M5/14244;;A61M5/14566;;A61M5/20;;A61M5/31525;;A61M5/31546;;A61M2005/31588;;A61M2205/215;;A61M2205/50;;A61M2205/6018;;A61M2205/8206;;G16H20/17;;Y10S128/01;;A61M5/24;;A61M5/14244;;A61M5/14566;;A61M5/20;;A61M5/31525;;A61M5/31546;;A61M2005/31588;;A61M2205/215;;A61M2205/50;;A61M2205/6018;;A61M2205/8206;;Y10S128/01</x:v>
      </x:c>
      <x:c r="S865" s="87" t="str">
        <x:v>A61M5/142;;A61M5/24;;A61M1/36;;A61M5/145;;A61M5/168;;A61M5/172;;A61M5/20;;A61M5/315</x:v>
      </x:c>
      <x:c r="T865" s="87" t="str">
        <x:v>EXPIRED</x:v>
      </x:c>
      <x:c r="U865" s="87" t="str">
        <x:v>https://lens.org/170-708-471-272-335</x:v>
      </x:c>
    </x:row>
    <x:row r="866">
      <x:c r="A866" s="87" t="str">
        <x:v>Sanofi_Applicant_EP_Families_2015_2021.csv(1).csv</x:v>
      </x:c>
      <x:c r="B866" s="87" t="str">
        <x:v>Sanofi</x:v>
      </x:c>
      <x:c r="C866" s="87" t="str">
        <x:v>TRT-0010</x:v>
      </x:c>
      <x:c r="D866" s="87" t="str">
        <x:v>Yes</x:v>
      </x:c>
      <x:c r="E866" s="87" t="str">
        <x:v>sanofi</x:v>
      </x:c>
      <x:c r="F866" s="87" t="str">
        <x:v>272</x:v>
      </x:c>
      <x:c r="G866" s="87" t="str">
        <x:v>053-188-878-640-488</x:v>
      </x:c>
      <x:c r="H866" s="110" t="n">
        <x:v>38916</x:v>
      </x:c>
      <x:c r="I866" s="88" t="n">
        <x:v>2006</x:v>
      </x:c>
      <x:c r="J866" s="87" t="str">
        <x:v>EP</x:v>
      </x:c>
      <x:c r="K866" s="87" t="str">
        <x:v>B1</x:v>
      </x:c>
      <x:c r="L866" s="87" t="str">
        <x:v>EP 2044122 B1</x:v>
      </x:c>
      <x:c r="M866" s="87" t="str">
        <x:v>SANOFI SA</x:v>
      </x:c>
      <x:c r="N866" s="87" t="str">
        <x:v>SANOFI (2012-05-02)</x:v>
      </x:c>
      <x:c r="O866" s="87" t="str">
        <x:v>ANTAGONIST ANTIBODY AGAINST EPHA2 FOR THE TREATMENT OF CANCER</x:v>
      </x:c>
      <x:c r="P866" s="109" t="n">
        <x:v>0</x:v>
      </x:c>
      <x:c r="Q866" s="109" t="n">
        <x:v>51</x:v>
      </x:c>
      <x:c r="R866" s="87" t="str">
        <x:v>A61K2039/505;;C07K16/2866;;C07K2317/24;;A61K47/6849;;C07K2317/73;;C07K2317/76;;A61P35/00;;A61P35/04;;A61P43/00;;C07K16/28;;A61K39/395;;C07K16/00;;G01N33/575;;A61K2039/505;;C07K16/2866;;C07K2317/24;;A61K47/6849;;G01N33/5759;;C07K16/30;;A61K39/3955;;A61K45/06;;C07K16/28;;C07K16/40;;C07K2317/73;;C07K2317/76;;C07K2317/92;;G01N2333/705;;G01N2333/91205</x:v>
      </x:c>
      <x:c r="S866" s="87" t="str">
        <x:v>C07K16/28;;A61K39/395;;A61P35/00;;C12N5/20;;C12N15/13;;C12N15/63;;G01N33/53</x:v>
      </x:c>
      <x:c r="T866" s="87" t="str">
        <x:v>ACTIVE</x:v>
      </x:c>
      <x:c r="U866" s="87" t="str">
        <x:v>https://lens.org/053-188-878-640-488</x:v>
      </x:c>
    </x:row>
    <x:row r="867">
      <x:c r="A867" s="87" t="str">
        <x:v>Sanofi_Applicant_EP_Families_2015_2021.csv(1).csv</x:v>
      </x:c>
      <x:c r="B867" s="87" t="str">
        <x:v>Sanofi</x:v>
      </x:c>
      <x:c r="C867" s="87" t="str">
        <x:v>TRT-0010</x:v>
      </x:c>
      <x:c r="D867" s="87" t="str">
        <x:v>Yes</x:v>
      </x:c>
      <x:c r="E867" s="87" t="str">
        <x:v>sanofi</x:v>
      </x:c>
      <x:c r="F867" s="87" t="str">
        <x:v>273</x:v>
      </x:c>
      <x:c r="G867" s="87" t="str">
        <x:v>036-558-019-769-389</x:v>
      </x:c>
      <x:c r="H867" s="110" t="n">
        <x:v>40571</x:v>
      </x:c>
      <x:c r="I867" s="88" t="n">
        <x:v>2011</x:v>
      </x:c>
      <x:c r="J867" s="87" t="str">
        <x:v>EP</x:v>
      </x:c>
      <x:c r="K867" s="87" t="str">
        <x:v>B1</x:v>
      </x:c>
      <x:c r="L867" s="87" t="str">
        <x:v>EP 2668212 B1</x:v>
      </x:c>
      <x:c r="M867" s="87" t="str">
        <x:v>SANOFI BIOTECHNOLOGY</x:v>
      </x:c>
      <x:c r="N867" s="87" t="str">
        <x:v>SANOFI BIOTECHNOLOGY (2015-12-02)</x:v>
      </x:c>
      <x:c r="O867" s="87" t="str">
        <x:v>HUMAN ANTIBODIES TO PCSK9 FOR USE IN METHODS OF TREATING PARTICULAR GROUPS OF SUBJECTS</x:v>
      </x:c>
      <x:c r="P867" s="109" t="n">
        <x:v>0</x:v>
      </x:c>
      <x:c r="Q867" s="109" t="n">
        <x:v>127</x:v>
      </x:c>
      <x:c r="R867" s="87" t="str">
        <x:v>C07K16/40;;A61K2039/505;;C07K2317/21;;C07K2317/76;;G01N33/92;;G01N2800/044;;A61K31/215;;A61K31/366;;A61K31/404;;A61K31/435;;A61K31/47;;A61K31/505;;A61K2039/505;;A61P3/00;;A61P3/06;;A61P5/00;;A61P7/00;;A61P9/00;;A61P9/10;;A61P43/00;;C07K16/40;;C07K2317/21;;C07K2317/76;;A61K39/00;;A61J1/05;;A61K31/215;;A61K31/366;;A61K31/404;;A61K31/435;;A61K31/47;;A61K31/505;;A61K39/395;;A61K39/3955;;A61K45/06;;A61K2039/505;;A61K2039/545;;A61P3/06;;A61P9/10;;C07K14/4703;;C07K16/40;;C07K2317/21;;C07K2317/76;;C07K16/40;;A61K2039/505;;A61P3/00;;C07K2317/21;;C07K2317/76;;A61K39/395;;A61P3/06;;A61K39/3955;;A61J1/05;;A61K31/215;;A61K31/366;;A61K31/404;;A61K31/435;;A61K31/47;;A61K31/505;;A61K39/395;;A61K45/06;;A61K2039/505;;A61K2039/545;;A61P3/06;;C07K14/4703;;C07K16/40;;C07K2317/21;;C07K2317/76</x:v>
      </x:c>
      <x:c r="S867" s="87" t="str">
        <x:v>C07K16/40;;A61J1/05;;A61K31/215;;A61K31/366;;A61K31/395;;A61K31/404;;A61K31/435;;A61K31/47;;A61K31/505;;A61K39/00;;A61K39/395;;A61K45/06;;C07K14/47</x:v>
      </x:c>
      <x:c r="T867" s="87" t="str">
        <x:v>ACTIVE</x:v>
      </x:c>
      <x:c r="U867" s="87" t="str">
        <x:v>https://lens.org/036-558-019-769-389</x:v>
      </x:c>
    </x:row>
    <x:row r="868">
      <x:c r="A868" s="87" t="str">
        <x:v>Sanofi_Applicant_EP_Families_2015_2021.csv(1).csv</x:v>
      </x:c>
      <x:c r="B868" s="87" t="str">
        <x:v>Sanofi</x:v>
      </x:c>
      <x:c r="C868" s="87" t="str">
        <x:v>TRT-0010</x:v>
      </x:c>
      <x:c r="D868" s="87" t="str">
        <x:v>Yes</x:v>
      </x:c>
      <x:c r="E868" s="87" t="str">
        <x:v>sanofi</x:v>
      </x:c>
      <x:c r="F868" s="87" t="str">
        <x:v>274</x:v>
      </x:c>
      <x:c r="G868" s="87" t="str">
        <x:v>161-901-199-457-75X</x:v>
      </x:c>
      <x:c r="H868" s="110" t="n">
        <x:v>37974</x:v>
      </x:c>
      <x:c r="I868" s="88" t="n">
        <x:v>2003</x:v>
      </x:c>
      <x:c r="J868" s="87" t="str">
        <x:v>EP</x:v>
      </x:c>
      <x:c r="K868" s="87" t="str">
        <x:v>B1</x:v>
      </x:c>
      <x:c r="L868" s="87" t="str">
        <x:v>EP 1750707 B1</x:v>
      </x:c>
      <x:c r="M868" s="87" t="str">
        <x:v>SANOFI PASTEUR</x:v>
      </x:c>
      <x:c r="N868" s="87" t="str">
        <x:v>SANOFI PASTEUR (2018-01-24)</x:v>
      </x:c>
      <x:c r="O868" s="87" t="str">
        <x:v>Immunostimulant composition comprising at least one agonist of the Toll-like 7 receptor or of the Toll-like 8 receptor and one Toll-like 4 receptor agonist</x:v>
      </x:c>
      <x:c r="P868" s="109" t="n">
        <x:v>0</x:v>
      </x:c>
      <x:c r="Q868" s="109" t="n">
        <x:v>19</x:v>
      </x:c>
      <x:c r="R868" s="87" t="str">
        <x:v>A61K45/06;;A61K31/4745;;A61K31/685;;A61K39/00;;A61K39/39;;A61K2039/55511;;A61P31/18;;A61P37/00;;A61P37/04;;A61P43/00;;A61K31/685;;A61K31/4738;;A61K39/00;;A61K45/06;;A61K31/4745;;A61K31/685;;A61K39/00;;A61K39/39;;A61K2039/55511;;Y02A50/30</x:v>
      </x:c>
      <x:c r="S868" s="87" t="str">
        <x:v>A61K31/4745;;A61K31/685;;A61K39/00;;A61K39/39;;A61K45/06;;A61P37/04</x:v>
      </x:c>
      <x:c r="T868" s="87" t="str">
        <x:v>EXPIRED</x:v>
      </x:c>
      <x:c r="U868" s="87" t="str">
        <x:v>https://lens.org/161-901-199-457-75X</x:v>
      </x:c>
    </x:row>
    <x:row r="869">
      <x:c r="A869" s="87" t="str">
        <x:v>Sanofi_Applicant_EP_Families_2015_2021.csv(1).csv</x:v>
      </x:c>
      <x:c r="B869" s="87" t="str">
        <x:v>Sanofi</x:v>
      </x:c>
      <x:c r="C869" s="87" t="str">
        <x:v>TRT-0010</x:v>
      </x:c>
      <x:c r="D869" s="87" t="str">
        <x:v>Yes</x:v>
      </x:c>
      <x:c r="E869" s="87" t="str">
        <x:v>sanofi</x:v>
      </x:c>
      <x:c r="F869" s="87" t="str">
        <x:v>275</x:v>
      </x:c>
      <x:c r="G869" s="87" t="str">
        <x:v>015-853-011-800-943</x:v>
      </x:c>
      <x:c r="H869" s="110" t="n">
        <x:v>40492</x:v>
      </x:c>
      <x:c r="I869" s="88" t="n">
        <x:v>2010</x:v>
      </x:c>
      <x:c r="J869" s="87" t="str">
        <x:v>EP</x:v>
      </x:c>
      <x:c r="K869" s="87" t="str">
        <x:v>B1</x:v>
      </x:c>
      <x:c r="L869" s="87" t="str">
        <x:v>EP 2637645 B1</x:v>
      </x:c>
      <x:c r="M869" s="87" t="str">
        <x:v>SANOFI SA</x:v>
      </x:c>
      <x:c r="N869" s="87" t="str">
        <x:v>SANOFI (2017-08-23)</x:v>
      </x:c>
      <x:c r="O869" s="87" t="str">
        <x:v>PHARMACEUTICAL COMPOSITION AND DOSAGE FORM COMPRISING DRONEDARONE, AND PREPARATION METHOD THEREOF</x:v>
      </x:c>
      <x:c r="P869" s="109" t="n">
        <x:v>0</x:v>
      </x:c>
      <x:c r="Q869" s="109" t="n">
        <x:v>29</x:v>
      </x:c>
      <x:c r="R869" s="87" t="str">
        <x:v>A61K31/343;;A61K9/4858;;A61K9/4866;;A61P9/06;;A61K9/48;;A61K31/343;;A61K31/343;;A61K9/4858;;A61K9/4866;;A61K47/10</x:v>
      </x:c>
      <x:c r="S869" s="87" t="str">
        <x:v>A61K9/48;;A61K9/00;;A61K31/00;;A61K31/343</x:v>
      </x:c>
      <x:c r="T869" s="87" t="str">
        <x:v>ACTIVE</x:v>
      </x:c>
      <x:c r="U869" s="87" t="str">
        <x:v>https://lens.org/015-853-011-800-943</x:v>
      </x:c>
    </x:row>
    <x:row r="870">
      <x:c r="A870" s="87" t="str">
        <x:v>Sanofi_Applicant_EP_Families_2015_2021.csv(1).csv</x:v>
      </x:c>
      <x:c r="B870" s="87" t="str">
        <x:v>Sanofi</x:v>
      </x:c>
      <x:c r="C870" s="87" t="str">
        <x:v>TRT-0010</x:v>
      </x:c>
      <x:c r="D870" s="87" t="str">
        <x:v>Yes</x:v>
      </x:c>
      <x:c r="E870" s="87" t="str">
        <x:v>sanofi</x:v>
      </x:c>
      <x:c r="F870" s="87" t="str">
        <x:v>276</x:v>
      </x:c>
      <x:c r="G870" s="87" t="str">
        <x:v>084-006-790-302-841</x:v>
      </x:c>
      <x:c r="H870" s="110" t="n">
        <x:v>38559</x:v>
      </x:c>
      <x:c r="I870" s="88" t="n">
        <x:v>2005</x:v>
      </x:c>
      <x:c r="J870" s="87" t="str">
        <x:v>NO</x:v>
      </x:c>
      <x:c r="K870" s="87" t="str">
        <x:v>B1</x:v>
      </x:c>
      <x:c r="L870" s="87" t="str">
        <x:v>NO 341888 B1</x:v>
      </x:c>
      <x:c r="M870" s="87" t="str">
        <x:v>SANOFI SA</x:v>
      </x:c>
      <x:c r="N870" s="87" t="str">
        <x:v>SANOFI, FR (2017-06-26)</x:v>
      </x:c>
      <x:c r="O870" s="87" t="str">
        <x:v>Piperidinylsubstiuerte isoquinolonderivater som Rho-kinaseinhibitorer</x:v>
      </x:c>
      <x:c r="P870" s="109" t="n">
        <x:v>0</x:v>
      </x:c>
      <x:c r="Q870" s="109" t="n">
        <x:v>47</x:v>
      </x:c>
      <x:c r="R870" s="87" t="str">
        <x:v>C07D401/12;;A61P1/16;;A61P3/00;;A61P3/10;;A61P5/00;;A61P7/02;;A61P9/00;;A61P9/08;;A61P9/10;;A61P9/12;;A61P11/00;;A61P11/06;;A61P11/08;;A61P13/00;;A61P13/08;;A61P13/12;;A61P15/00;;A61P15/06;;A61P15/10;;A61P19/00;;A61P19/08;;A61P19/10;;A61P25/00;;A61P25/04;;A61P25/28;;A61P29/00;;A61P31/00;;A61P31/04;;A61P31/18;;A61P35/00;;A61P37/02;;A61P43/00;;C07D401/14;;C07D405/14;;C07D409/14;;A61K31/472;;C07D217/24;;C07D401/12;;A61K31/4725;;C07D401/12;;C07D401/14;;C07D405/14;;C07D409/14</x:v>
      </x:c>
      <x:c r="S870" s="87" t="str">
        <x:v>C07D401/12;;A61K31/4725</x:v>
      </x:c>
      <x:c r="T870" s="87" t="str">
        <x:v>EXPIRED</x:v>
      </x:c>
      <x:c r="U870" s="87" t="str">
        <x:v>https://lens.org/084-006-790-302-841</x:v>
      </x:c>
    </x:row>
    <x:row r="871">
      <x:c r="A871" s="87" t="str">
        <x:v>Sanofi_Applicant_EP_Families_2015_2021.csv(1).csv</x:v>
      </x:c>
      <x:c r="B871" s="87" t="str">
        <x:v>Sanofi</x:v>
      </x:c>
      <x:c r="C871" s="87" t="str">
        <x:v>TRT-0010</x:v>
      </x:c>
      <x:c r="D871" s="87" t="str">
        <x:v>Yes</x:v>
      </x:c>
      <x:c r="E871" s="87" t="str">
        <x:v>sanofi</x:v>
      </x:c>
      <x:c r="F871" s="87" t="str">
        <x:v>277</x:v>
      </x:c>
      <x:c r="G871" s="87" t="str">
        <x:v>080-841-259-202-495</x:v>
      </x:c>
      <x:c r="H871" s="110" t="n">
        <x:v>41621</x:v>
      </x:c>
      <x:c r="I871" s="88" t="n">
        <x:v>2013</x:v>
      </x:c>
      <x:c r="J871" s="87" t="str">
        <x:v>EP</x:v>
      </x:c>
      <x:c r="K871" s="87" t="str">
        <x:v>B1</x:v>
      </x:c>
      <x:c r="L871" s="87" t="str">
        <x:v>EP 3080154 B1</x:v>
      </x:c>
      <x:c r="M871" s="87" t="str">
        <x:v>SANOFI SA</x:v>
      </x:c>
      <x:c r="N871" s="87" t="str">
        <x:v>SANOFI (2017-08-23)</x:v>
      </x:c>
      <x:c r="O871" s="87" t="str">
        <x:v>DUAL GLP-1/GIP RECEPTOR AGONISTS</x:v>
      </x:c>
      <x:c r="P871" s="109" t="n">
        <x:v>0</x:v>
      </x:c>
      <x:c r="Q871" s="109" t="n">
        <x:v>7</x:v>
      </x:c>
      <x:c r="R871" s="87" t="str">
        <x:v>C07K14/605;;A61K38/26;;A61P3/04;;A61P3/10;;C07K14/57563;;C07K14/605;;A61K38/26;;A61K45/06;;C07K14/57563</x:v>
      </x:c>
      <x:c r="S871" s="87" t="str">
        <x:v>C07K14/605;;C07K14/575</x:v>
      </x:c>
      <x:c r="T871" s="87" t="str">
        <x:v>ACTIVE</x:v>
      </x:c>
      <x:c r="U871" s="87" t="str">
        <x:v>https://lens.org/080-841-259-202-495</x:v>
      </x:c>
    </x:row>
    <x:row r="872">
      <x:c r="A872" s="87" t="str">
        <x:v>Sanofi_Applicant_EP_Families_2015_2021.csv(1).csv</x:v>
      </x:c>
      <x:c r="B872" s="87" t="str">
        <x:v>Sanofi</x:v>
      </x:c>
      <x:c r="C872" s="87" t="str">
        <x:v>TRT-0010</x:v>
      </x:c>
      <x:c r="D872" s="87" t="str">
        <x:v>Yes</x:v>
      </x:c>
      <x:c r="E872" s="87" t="str">
        <x:v>sanofi</x:v>
      </x:c>
      <x:c r="F872" s="87" t="str">
        <x:v>278</x:v>
      </x:c>
      <x:c r="G872" s="87" t="str">
        <x:v>157-763-817-373-581</x:v>
      </x:c>
      <x:c r="H872" s="110" t="n">
        <x:v>40967</x:v>
      </x:c>
      <x:c r="I872" s="88" t="n">
        <x:v>2012</x:v>
      </x:c>
      <x:c r="J872" s="87" t="str">
        <x:v>EP</x:v>
      </x:c>
      <x:c r="K872" s="87" t="str">
        <x:v>B1</x:v>
      </x:c>
      <x:c r="L872" s="87" t="str">
        <x:v>EP 3034498 B1</x:v>
      </x:c>
      <x:c r="M872" s="87" t="str">
        <x:v>SANOFI SA</x:v>
      </x:c>
      <x:c r="N872" s="87" t="str">
        <x:v>SANOFI (2017-06-28)</x:v>
      </x:c>
      <x:c r="O872" s="87" t="str">
        <x:v>INTERMEDIATES FOR FUNCTIONAL PLA-PEG COPOLYMERS</x:v>
      </x:c>
      <x:c r="P872" s="109" t="n">
        <x:v>0</x:v>
      </x:c>
      <x:c r="Q872" s="109" t="n">
        <x:v>30</x:v>
      </x:c>
      <x:c r="R872" s="87" t="str">
        <x:v>C08G63/664;;A61K9/51;;A61K9/5138;;A61K9/5153;;A61K31/337;;A61K47/593;;A61K47/60;;C07D249/04;;C08G63/6852;;C08G63/91;;C07D249/04;;A61K9/5138;;A61K31/337;;A61K47/593;;A61K47/60;;C07D475/04;;C08G63/664;;C08G63/6852;;A61K9/51;;A61K47/34;;C07D249/04;;C08G63/08;;C08L67/04;;A61K9/5153;;A61K9/51;;A61K9/5138;;A61K31/337;;A61K47/593;;A61K47/60;;C07D249/04;;C07D475/04;;C08G63/664;;C08G63/6852;;C08G63/91</x:v>
      </x:c>
      <x:c r="S872" s="87" t="str">
        <x:v>C07D475/04</x:v>
      </x:c>
      <x:c r="T872" s="87" t="str">
        <x:v>ACTIVE</x:v>
      </x:c>
      <x:c r="U872" s="87" t="str">
        <x:v>https://lens.org/157-763-817-373-581</x:v>
      </x:c>
    </x:row>
    <x:row r="873">
      <x:c r="A873" s="87" t="str">
        <x:v>Sanofi_Applicant_EP_Families_2015_2021.csv(1).csv</x:v>
      </x:c>
      <x:c r="B873" s="87" t="str">
        <x:v>Sanofi</x:v>
      </x:c>
      <x:c r="C873" s="87" t="str">
        <x:v>TRT-0010</x:v>
      </x:c>
      <x:c r="D873" s="87" t="str">
        <x:v>Yes</x:v>
      </x:c>
      <x:c r="E873" s="87" t="str">
        <x:v>sanofi</x:v>
      </x:c>
      <x:c r="F873" s="87" t="str">
        <x:v>279</x:v>
      </x:c>
      <x:c r="G873" s="87" t="str">
        <x:v>133-102-571-112-277</x:v>
      </x:c>
      <x:c r="H873" s="110" t="n">
        <x:v>39654</x:v>
      </x:c>
      <x:c r="I873" s="88" t="n">
        <x:v>2008</x:v>
      </x:c>
      <x:c r="J873" s="87" t="str">
        <x:v>EP</x:v>
      </x:c>
      <x:c r="K873" s="87" t="str">
        <x:v>B1</x:v>
      </x:c>
      <x:c r="L873" s="87" t="str">
        <x:v>EP 2317922 B1</x:v>
      </x:c>
      <x:c r="M873" s="87" t="str">
        <x:v>SANOFI AVENTIS DEUTSCHLAND</x:v>
      </x:c>
      <x:c r="N873" s="87" t="str">
        <x:v>SANOFI-AVENTIS DEUTSCHLAND GMBH (2014-01-08)</x:v>
      </x:c>
      <x:c r="O873" s="87" t="str">
        <x:v>BODY FLUID SAMPLING DEVICE WITH A CAPACITIVE SENSOR</x:v>
      </x:c>
      <x:c r="P873" s="109" t="n">
        <x:v>0</x:v>
      </x:c>
      <x:c r="Q873" s="109" t="n">
        <x:v>8</x:v>
      </x:c>
      <x:c r="R873" s="87" t="str">
        <x:v>A61B5/15126;;A61B5/150022;;A61B5/150061;;A61B5/150068;;A61B5/150099;;A61B5/150152;;A61B5/150167;;A61B5/150175;;A61B5/15019;;A61B5/150358;;A61B5/150427;;A61B5/150503;;A61B5/150572;;A61B5/150748;;A61B5/15113;;A61B5/15115;;A61B5/15117;;A61B5/15123;;A61B5/15146;;A61B5/15153;;A61B5/15169;;A61B5/15171;;A61B5/15174;;A61B5/15176;;A61B5/15178;;A61B5/15184;;A61B5/15186;;A61B5/157;;A61B5/15126;;A61B5/1411;;A61B5/150022;;A61B5/150061;;A61B5/150068;;A61B5/150099;;A61B5/150106;;A61B5/150152;;A61B5/150167;;A61B5/150175;;A61B5/15019;;A61B5/150358;;A61B5/150427;;A61B5/150503;;A61B5/150572;;A61B5/150748;;A61B5/15109;;A61B5/15113;;A61B5/15115;;A61B5/15117;;A61B5/15123;;A61B5/15146;;A61B5/15153;;A61B5/15169;;A61B5/15171;;A61B5/15174;;A61B5/15176;;A61B5/15178;;A61B5/15184;;A61B5/15186;;A61B5/15194;;A61B5/157;;A61B5/7485;;A61M5/42;;A61M5/427;;A61M5/46</x:v>
      </x:c>
      <x:c r="S873" s="87" t="str">
        <x:v>A61M5/42;;A61B5/15;;A61B5/151;;A61B5/157;;A61M5/46</x:v>
      </x:c>
      <x:c r="T873" s="87" t="str">
        <x:v>ACTIVE</x:v>
      </x:c>
      <x:c r="U873" s="87" t="str">
        <x:v>https://lens.org/133-102-571-112-277</x:v>
      </x:c>
    </x:row>
    <x:row r="874">
      <x:c r="A874" s="87" t="str">
        <x:v>Sanofi_Applicant_EP_Families_2015_2021.csv(1).csv</x:v>
      </x:c>
      <x:c r="B874" s="87" t="str">
        <x:v>Sanofi</x:v>
      </x:c>
      <x:c r="C874" s="87" t="str">
        <x:v>TRT-0010</x:v>
      </x:c>
      <x:c r="D874" s="87" t="str">
        <x:v>Yes</x:v>
      </x:c>
      <x:c r="E874" s="87" t="str">
        <x:v>sanofi</x:v>
      </x:c>
      <x:c r="F874" s="87" t="str">
        <x:v>280</x:v>
      </x:c>
      <x:c r="G874" s="87" t="str">
        <x:v>197-513-194-953-254</x:v>
      </x:c>
      <x:c r="H874" s="110" t="n">
        <x:v>39947</x:v>
      </x:c>
      <x:c r="I874" s="88" t="n">
        <x:v>2009</x:v>
      </x:c>
      <x:c r="J874" s="87" t="str">
        <x:v>EP</x:v>
      </x:c>
      <x:c r="K874" s="87" t="str">
        <x:v>B1</x:v>
      </x:c>
      <x:c r="L874" s="87" t="str">
        <x:v>EP 2429659 B1</x:v>
      </x:c>
      <x:c r="M874" s="87" t="str">
        <x:v>SANOFI PASTEUR</x:v>
      </x:c>
      <x:c r="N874" s="87" t="str">
        <x:v>SANOFI PASTEUR (2018-01-24)</x:v>
      </x:c>
      <x:c r="O874" s="87" t="str">
        <x:v>METHOD FOR DETOXIFICATION OF LIPOPOLYSACCHARIDE (LPS) OR OF LIPID A OF GRAM-NEGATIVE BACTERIA</x:v>
      </x:c>
      <x:c r="P874" s="109" t="n">
        <x:v>1</x:v>
      </x:c>
      <x:c r="Q874" s="109" t="n">
        <x:v>11</x:v>
      </x:c>
      <x:c r="R874" s="87" t="str">
        <x:v>A61K39/02;;A61K9/127;;A61K9/1272;;A61K2039/55555;;A61K2039/55572;;A61P31/04;;A61P37/04;;A61K39/095;;A61K9/127;;A61K9/1272;;A61K39/02;;A61K39/39;;A61K2039/55555;;A61K2039/55572;;A61K2039/55583</x:v>
      </x:c>
      <x:c r="S874" s="87" t="str">
        <x:v>A61P31/04;;A61K9/127;;A61K39/00;;A61K39/02;;A61K39/095;;A61K39/10</x:v>
      </x:c>
      <x:c r="T874" s="87" t="str">
        <x:v>ACTIVE</x:v>
      </x:c>
      <x:c r="U874" s="87" t="str">
        <x:v>https://lens.org/197-513-194-953-254</x:v>
      </x:c>
    </x:row>
    <x:row r="875">
      <x:c r="A875" s="87" t="str">
        <x:v>Sanofi_Applicant_EP_Families_2015_2021.csv(1).csv</x:v>
      </x:c>
      <x:c r="B875" s="87" t="str">
        <x:v>Sanofi</x:v>
      </x:c>
      <x:c r="C875" s="87" t="str">
        <x:v>TRT-0010</x:v>
      </x:c>
      <x:c r="D875" s="87" t="str">
        <x:v>Yes</x:v>
      </x:c>
      <x:c r="E875" s="87" t="str">
        <x:v>sanofi</x:v>
      </x:c>
      <x:c r="F875" s="87" t="str">
        <x:v>281</x:v>
      </x:c>
      <x:c r="G875" s="87" t="str">
        <x:v>022-977-401-901-529</x:v>
      </x:c>
      <x:c r="H875" s="110" t="n">
        <x:v>37702</x:v>
      </x:c>
      <x:c r="I875" s="88" t="n">
        <x:v>2003</x:v>
      </x:c>
      <x:c r="J875" s="87" t="str">
        <x:v>EP</x:v>
      </x:c>
      <x:c r="K875" s="87" t="str">
        <x:v>B1</x:v>
      </x:c>
      <x:c r="L875" s="87" t="str">
        <x:v>EP 1610847 B1</x:v>
      </x:c>
      <x:c r="M875" s="87" t="str">
        <x:v>SANOFI AVENTIS DEUTSCHLAND</x:v>
      </x:c>
      <x:c r="N875" s="87" t="str">
        <x:v>SANOFI-AVENTIS DEUTSCHLAND GMBH (2017-02-22)</x:v>
      </x:c>
      <x:c r="O875" s="87" t="str">
        <x:v>DOSE DIAL AND DRIVE MECHANISM SUITABLE FOR USE IN DRUG DELIVERY DEVICES</x:v>
      </x:c>
      <x:c r="P875" s="109" t="n">
        <x:v>1</x:v>
      </x:c>
      <x:c r="Q875" s="109" t="n">
        <x:v>29</x:v>
      </x:c>
      <x:c r="R875" s="87" t="str">
        <x:v>A61M5/3158;;A61M5/24;;A61M5/31535;;A61M5/31553;;A61M5/315;;A61M5/3158;;A61M5/24;;A61M5/31535;;A61M5/31553</x:v>
      </x:c>
      <x:c r="S875" s="87" t="str">
        <x:v>A61M5/315;;A61M5/24</x:v>
      </x:c>
      <x:c r="T875" s="87" t="str">
        <x:v>EXPIRED</x:v>
      </x:c>
      <x:c r="U875" s="87" t="str">
        <x:v>https://lens.org/022-977-401-901-529</x:v>
      </x:c>
    </x:row>
    <x:row r="876">
      <x:c r="A876" s="87" t="str">
        <x:v>Sanofi_Applicant_EP_Families_2015_2021.csv(1).csv</x:v>
      </x:c>
      <x:c r="B876" s="87" t="str">
        <x:v>Sanofi</x:v>
      </x:c>
      <x:c r="C876" s="87" t="str">
        <x:v>TRT-0010</x:v>
      </x:c>
      <x:c r="D876" s="87" t="str">
        <x:v>Yes</x:v>
      </x:c>
      <x:c r="E876" s="87" t="str">
        <x:v>sanofi</x:v>
      </x:c>
      <x:c r="F876" s="87" t="str">
        <x:v>282</x:v>
      </x:c>
      <x:c r="G876" s="87" t="str">
        <x:v>183-569-706-700-619</x:v>
      </x:c>
      <x:c r="H876" s="110" t="n">
        <x:v>40371</x:v>
      </x:c>
      <x:c r="I876" s="88" t="n">
        <x:v>2010</x:v>
      </x:c>
      <x:c r="J876" s="87" t="str">
        <x:v>EP</x:v>
      </x:c>
      <x:c r="K876" s="87" t="str">
        <x:v>B1</x:v>
      </x:c>
      <x:c r="L876" s="87" t="str">
        <x:v>EP 2593094 B1</x:v>
      </x:c>
      <x:c r="M876" s="87" t="str">
        <x:v>SANOFI AVENTIS DEUTSCHLAND</x:v>
      </x:c>
      <x:c r="N876" s="87" t="str">
        <x:v>A. NATTERMANN &amp; CIE. GMBH (2024-04-05);;A. NATTERMANN &amp; CIE GMBH, DE (2024-03-04);;A. NATTERMANN &amp; CIE. GESELLSCHAFT MIT BESCHRAEN, DE (2024-02-12);;SANOFI-AVENTIS DEUTSCHLAND GMBH (2017-11-29);;A. NATTERMANN &amp; CIE. GESELLSCHAFT MIT BESCHRAE, DE (2024-01-18);;A. NATTERMANN &amp; CIE. GMBH; DE (2024-11-22)</x:v>
      </x:c>
      <x:c r="O876" s="87" t="str">
        <x:v>AQUEOUS COMPOSITION COMPRISING BROMHEXINE</x:v>
      </x:c>
      <x:c r="P876" s="109" t="n">
        <x:v>0</x:v>
      </x:c>
      <x:c r="Q876" s="109" t="n">
        <x:v>38</x:v>
      </x:c>
      <x:c r="R876" s="87" t="str">
        <x:v>A61K31/137;;A61K9/0095;;A61K9/08;;A61P11/00;;A61P11/12;;A61P11/14;;A61K47/10;;A61K9/08;;A61K31/137;;A61K31/137;;A61K9/0095;;A61K9/08</x:v>
      </x:c>
      <x:c r="S876" s="87" t="str">
        <x:v>A61K31/137;;A61K9/00</x:v>
      </x:c>
      <x:c r="T876" s="87" t="str">
        <x:v>ACTIVE</x:v>
      </x:c>
      <x:c r="U876" s="87" t="str">
        <x:v>https://lens.org/183-569-706-700-619</x:v>
      </x:c>
    </x:row>
    <x:row r="877">
      <x:c r="A877" s="87" t="str">
        <x:v>Sanofi_Applicant_EP_Families_2015_2021.csv(1).csv</x:v>
      </x:c>
      <x:c r="B877" s="87" t="str">
        <x:v>Sanofi</x:v>
      </x:c>
      <x:c r="C877" s="87" t="str">
        <x:v>TRT-0010</x:v>
      </x:c>
      <x:c r="D877" s="87" t="str">
        <x:v>Yes</x:v>
      </x:c>
      <x:c r="E877" s="87" t="str">
        <x:v>sanofi</x:v>
      </x:c>
      <x:c r="F877" s="87" t="str">
        <x:v>283</x:v>
      </x:c>
      <x:c r="G877" s="87" t="str">
        <x:v>065-606-586-878-261</x:v>
      </x:c>
      <x:c r="H877" s="110" t="n">
        <x:v>39671</x:v>
      </x:c>
      <x:c r="I877" s="88" t="n">
        <x:v>2008</x:v>
      </x:c>
      <x:c r="J877" s="87" t="str">
        <x:v>EP</x:v>
      </x:c>
      <x:c r="K877" s="87" t="str">
        <x:v>B1</x:v>
      </x:c>
      <x:c r="L877" s="87" t="str">
        <x:v>EP 2310495 B1</x:v>
      </x:c>
      <x:c r="M877" s="87" t="str">
        <x:v>SANOFI PASTEUR BIOLOGICS LLC</x:v>
      </x:c>
      <x:c r="N877" s="87" t="str">
        <x:v>SANOFI PASTEUR BIOLOGICS, LLC (2012-08-22)</x:v>
      </x:c>
      <x:c r="O877" s="87" t="str">
        <x:v>COMPOSITIONS AND METHODS FOR THE PRODUCTION OF ALPHA-HERPESVIRUS 2</x:v>
      </x:c>
      <x:c r="P877" s="109" t="n">
        <x:v>0</x:v>
      </x:c>
      <x:c r="Q877" s="109" t="n">
        <x:v>9</x:v>
      </x:c>
      <x:c r="R877" s="87" t="str">
        <x:v>C12N7/00;;C12N5/0018;;C12N2500/34;;C12N2500/36;;C12N2500/76;;C12N2710/16051;;C12N2710/16052;;C12N7/00;;C12N5/0018;;C12N2500/34;;C12N2500/36;;C12N2500/76;;C12N2710/16051;;C12N2710/16052</x:v>
      </x:c>
      <x:c r="S877" s="87" t="str">
        <x:v>C12N7/00;;C12N5/00;;C12N7/01;;C12N7/02</x:v>
      </x:c>
      <x:c r="T877" s="87" t="str">
        <x:v>ACTIVE</x:v>
      </x:c>
      <x:c r="U877" s="87" t="str">
        <x:v>https://lens.org/065-606-586-878-261</x:v>
      </x:c>
    </x:row>
    <x:row r="878">
      <x:c r="A878" s="87" t="str">
        <x:v>Sanofi_Applicant_EP_Families_2015_2021.csv(1).csv</x:v>
      </x:c>
      <x:c r="B878" s="87" t="str">
        <x:v>Sanofi</x:v>
      </x:c>
      <x:c r="C878" s="87" t="str">
        <x:v>TRT-0010</x:v>
      </x:c>
      <x:c r="D878" s="87" t="str">
        <x:v>Yes</x:v>
      </x:c>
      <x:c r="E878" s="87" t="str">
        <x:v>sanofi</x:v>
      </x:c>
      <x:c r="F878" s="87" t="str">
        <x:v>284</x:v>
      </x:c>
      <x:c r="G878" s="87" t="str">
        <x:v>141-857-346-627-878</x:v>
      </x:c>
      <x:c r="H878" s="110" t="n">
        <x:v>40827</x:v>
      </x:c>
      <x:c r="I878" s="88" t="n">
        <x:v>2011</x:v>
      </x:c>
      <x:c r="J878" s="87" t="str">
        <x:v>EP</x:v>
      </x:c>
      <x:c r="K878" s="87" t="str">
        <x:v>B1</x:v>
      </x:c>
      <x:c r="L878" s="87" t="str">
        <x:v>EP 2766039 B1</x:v>
      </x:c>
      <x:c r="M878" s="87" t="str">
        <x:v>SANOFI BIOTECHNOLOGY;;REGENERON PHARMA</x:v>
      </x:c>
      <x:c r="N878" s="87" t="str">
        <x:v>REGENERON PHARMACEUTICALS, INC. (2016-06-08);;SANOFI BIOTECHNOLOGY (2016-06-08)</x:v>
      </x:c>
      <x:c r="O878" s="87" t="str">
        <x:v>COMPOSITIONS FOR THE TREATMENT OF RHEUMATOID ARTHRITIS AND METHODS OF USING THE SAME</x:v>
      </x:c>
      <x:c r="P878" s="109" t="n">
        <x:v>0</x:v>
      </x:c>
      <x:c r="Q878" s="109" t="n">
        <x:v>60</x:v>
      </x:c>
      <x:c r="R878" s="87" t="str">
        <x:v>A61K39/39541;;A61K31/42;;A61K31/519;;A61K31/655;;A61K45/06;;C07K16/2866;;A61P19/00;;A61P19/02;;A61P29/00;;A61P37/02;;A61P43/00;;A61K31/42;;A61K31/421;;A61K31/4402;;A61K31/4706;;A61K31/519;;A61K31/655;;A61K39/395;;A61K39/39541;;A61K39/3955;;A61K45/06;;A61K2039/545;;A61K2300/00;;A61P19/00;;A61P19/02;;A61P29/00;;A61P37/02;;A61P43/00;;B21D22/022;;B21J1/06;;C07K16/2866;;C22C19/05;;C22C19/058;;C22F1/10;;A61K31/635;;A61K2039/54;;A61P19/02;;A61P29/00;;C07K16/2866;;A61K2300/00;;A61K39/39541;;A61K45/06;;A61K31/42;;A61K31/519;;A61K31/655;;A61K39/395;;A61K39/39541;;A61K31/42;;A61K31/519;;A61K31/655;;A61K45/06;;A61K31/4706;;A61K31/635;;A61K2039/54;;A61K2039/545;;C07K16/2866;;A61K39/3955;;B21D22/022;;B21J1/06;;C22C19/05;;C22C19/058;;C22F1/10</x:v>
      </x:c>
      <x:c r="S878" s="87" t="str">
        <x:v>A61K39/395;;A61K31/42;;A61K31/519;;A61K31/655;;A61K45/06;;A61P19/02;;C07K16/28</x:v>
      </x:c>
      <x:c r="T878" s="87" t="str">
        <x:v>ACTIVE</x:v>
      </x:c>
      <x:c r="U878" s="87" t="str">
        <x:v>https://lens.org/141-857-346-627-878</x:v>
      </x:c>
    </x:row>
    <x:row r="879">
      <x:c r="A879" s="87" t="str">
        <x:v>Sanofi_Applicant_EP_Families_2015_2021.csv(1).csv</x:v>
      </x:c>
      <x:c r="B879" s="87" t="str">
        <x:v>Sanofi</x:v>
      </x:c>
      <x:c r="C879" s="87" t="str">
        <x:v>TRT-0010</x:v>
      </x:c>
      <x:c r="D879" s="87" t="str">
        <x:v>Yes</x:v>
      </x:c>
      <x:c r="E879" s="87" t="str">
        <x:v>sanofi</x:v>
      </x:c>
      <x:c r="F879" s="87" t="str">
        <x:v>285</x:v>
      </x:c>
      <x:c r="G879" s="87" t="str">
        <x:v>089-844-603-976-870</x:v>
      </x:c>
      <x:c r="H879" s="110" t="n">
        <x:v>40623</x:v>
      </x:c>
      <x:c r="I879" s="88" t="n">
        <x:v>2011</x:v>
      </x:c>
      <x:c r="J879" s="87" t="str">
        <x:v>EP</x:v>
      </x:c>
      <x:c r="K879" s="87" t="str">
        <x:v>B1</x:v>
      </x:c>
      <x:c r="L879" s="87" t="str">
        <x:v>EP 2688555 B1</x:v>
      </x:c>
      <x:c r="M879" s="87" t="str">
        <x:v>SANOFI AVENTIS DEUTSCHLAND</x:v>
      </x:c>
      <x:c r="N879" s="87" t="str">
        <x:v>SANOFI-AVENTIS DEUTSCHLAND GMBH (2017-10-11);;A. NATTERMANN &amp; CIE. GESELLSCHAFT MIT BESCHRAE, DE (2024-01-18)</x:v>
      </x:c>
      <x:c r="O879" s="87" t="str">
        <x:v>SOLID AMBROXOL-CONTAINING PREPARATION</x:v>
      </x:c>
      <x:c r="P879" s="109" t="n">
        <x:v>0</x:v>
      </x:c>
      <x:c r="Q879" s="109" t="n">
        <x:v>17</x:v>
      </x:c>
      <x:c r="R879" s="87" t="str">
        <x:v>A61K31/137;;A61K9/1617;;A61K9/1694;;A61P11/10;;A61P11/12;;A61K31/137;;A61K9/1617;;A61K9/1694</x:v>
      </x:c>
      <x:c r="S879" s="87" t="str">
        <x:v>A61K9/16;;A61K31/137</x:v>
      </x:c>
      <x:c r="T879" s="87" t="str">
        <x:v>ACTIVE</x:v>
      </x:c>
      <x:c r="U879" s="87" t="str">
        <x:v>https://lens.org/089-844-603-976-870</x:v>
      </x:c>
    </x:row>
    <x:row r="880">
      <x:c r="A880" s="87" t="str">
        <x:v>Sanofi_Applicant_EP_Families_2015_2021.csv(1).csv</x:v>
      </x:c>
      <x:c r="B880" s="87" t="str">
        <x:v>Sanofi</x:v>
      </x:c>
      <x:c r="C880" s="87" t="str">
        <x:v>TRT-0010</x:v>
      </x:c>
      <x:c r="D880" s="87" t="str">
        <x:v>Yes</x:v>
      </x:c>
      <x:c r="E880" s="87" t="str">
        <x:v>sanofi</x:v>
      </x:c>
      <x:c r="F880" s="87" t="str">
        <x:v>286</x:v>
      </x:c>
      <x:c r="G880" s="87" t="str">
        <x:v>095-841-756-978-547</x:v>
      </x:c>
      <x:c r="H880" s="110" t="n">
        <x:v>39339</x:v>
      </x:c>
      <x:c r="I880" s="88" t="n">
        <x:v>2007</x:v>
      </x:c>
      <x:c r="J880" s="87" t="str">
        <x:v>EP</x:v>
      </x:c>
      <x:c r="K880" s="87" t="str">
        <x:v>B1</x:v>
      </x:c>
      <x:c r="L880" s="87" t="str">
        <x:v>EP 2198007 B1</x:v>
      </x:c>
      <x:c r="M880" s="87" t="str">
        <x:v>SANOFI PASTEUR BIOLOGICS LLC</x:v>
      </x:c>
      <x:c r="N880" s="87" t="str">
        <x:v>SANOFI PASTEUR BIOLOGICS, LLC (2012-08-22)</x:v>
      </x:c>
      <x:c r="O880" s="87" t="str">
        <x:v>PHARMACEUTICAL COMPOSITIONS CONTAINING CLOSTRIDIUM DIFFICILE TOXOIDS A AND B</x:v>
      </x:c>
      <x:c r="P880" s="109" t="n">
        <x:v>0</x:v>
      </x:c>
      <x:c r="Q880" s="109" t="n">
        <x:v>48</x:v>
      </x:c>
      <x:c r="R880" s="87" t="str">
        <x:v>A61K39/08;;A61K9/0019;;A61K9/19;;A61K39/00;;A61K47/12;;A61K47/183;;A61K47/26;;A61K2039/55505;;A61K39/08;;A61K9/0019;;A61K9/19;;A61K39/00;;A61K47/08;;A61K47/12;;A61K47/26;;A61P1/00;;A61P1/04;;A61P1/12;;A61P31/00;;A61P31/04;;A61P37/04;;A61K39/08;;A61K9/0019;;A61K9/19;;A61K39/00;;A61K47/08;;A61K47/12;;A61K47/26;;A61K2039/55505</x:v>
      </x:c>
      <x:c r="S880" s="87" t="str">
        <x:v>A61K39/08;;A61K47/26</x:v>
      </x:c>
      <x:c r="T880" s="87" t="str">
        <x:v>ACTIVE</x:v>
      </x:c>
      <x:c r="U880" s="87" t="str">
        <x:v>https://lens.org/095-841-756-978-547</x:v>
      </x:c>
    </x:row>
    <x:row r="881">
      <x:c r="A881" s="87" t="str">
        <x:v>Sanofi_Applicant_EP_Families_2015_2021.csv(1).csv</x:v>
      </x:c>
      <x:c r="B881" s="87" t="str">
        <x:v>Sanofi</x:v>
      </x:c>
      <x:c r="C881" s="87" t="str">
        <x:v>TRT-0010</x:v>
      </x:c>
      <x:c r="D881" s="87" t="str">
        <x:v>Yes</x:v>
      </x:c>
      <x:c r="E881" s="87" t="str">
        <x:v>sanofi</x:v>
      </x:c>
      <x:c r="F881" s="87" t="str">
        <x:v>287</x:v>
      </x:c>
      <x:c r="G881" s="87" t="str">
        <x:v>018-796-148-404-686</x:v>
      </x:c>
      <x:c r="H881" s="110" t="n">
        <x:v>41982</x:v>
      </x:c>
      <x:c r="I881" s="88" t="n">
        <x:v>2014</x:v>
      </x:c>
      <x:c r="J881" s="87" t="str">
        <x:v>EP</x:v>
      </x:c>
      <x:c r="K881" s="87" t="str">
        <x:v>A1</x:v>
      </x:c>
      <x:c r="L881" s="87" t="str">
        <x:v>EP 3230444 A1</x:v>
      </x:c>
      <x:c r="M881" s="87" t="str">
        <x:v>SANOFI PASTEUR</x:v>
      </x:c>
      <x:c r="N881" s="87" t="str">
        <x:v>SANOFI PASTEUR (2018-01-10)</x:v>
      </x:c>
      <x:c r="O881" s="87" t="str">
        <x:v>NEISSERIA MENINGITIDIS TRYPSIN-LIKE SERINE PROTEASE POLYPEPTIDES AND COMPOSITIONS THEREOF</x:v>
      </x:c>
      <x:c r="P881" s="109" t="n">
        <x:v>0</x:v>
      </x:c>
      <x:c r="Q881" s="109" t="n">
        <x:v>3</x:v>
      </x:c>
      <x:c r="R881" s="87" t="str">
        <x:v>C12N9/52;;C12Y304/21072;;A61K39/095;;C07K2319/40;;C12N9/52;;C12Y304/21072</x:v>
      </x:c>
      <x:c r="S881" s="87" t="str">
        <x:v>C12N9/52;;C12N15/70</x:v>
      </x:c>
      <x:c r="T881" s="87" t="str">
        <x:v>DISCONTINUED</x:v>
      </x:c>
      <x:c r="U881" s="87" t="str">
        <x:v>https://lens.org/018-796-148-404-686</x:v>
      </x:c>
    </x:row>
    <x:row r="882">
      <x:c r="A882" s="87" t="str">
        <x:v>Sanofi_Applicant_EP_Families_2015_2021.csv(1).csv</x:v>
      </x:c>
      <x:c r="B882" s="87" t="str">
        <x:v>Sanofi</x:v>
      </x:c>
      <x:c r="C882" s="87" t="str">
        <x:v>TRT-0010</x:v>
      </x:c>
      <x:c r="D882" s="87" t="str">
        <x:v>Yes</x:v>
      </x:c>
      <x:c r="E882" s="87" t="str">
        <x:v>sanofi</x:v>
      </x:c>
      <x:c r="F882" s="87" t="str">
        <x:v>288</x:v>
      </x:c>
      <x:c r="G882" s="87" t="str">
        <x:v>009-341-003-336-283</x:v>
      </x:c>
      <x:c r="H882" s="110" t="n">
        <x:v>41982</x:v>
      </x:c>
      <x:c r="I882" s="88" t="n">
        <x:v>2014</x:v>
      </x:c>
      <x:c r="J882" s="87" t="str">
        <x:v>EP</x:v>
      </x:c>
      <x:c r="K882" s="87" t="str">
        <x:v>A2</x:v>
      </x:c>
      <x:c r="L882" s="87" t="str">
        <x:v>EP 3229834 A2</x:v>
      </x:c>
      <x:c r="M882" s="87" t="str">
        <x:v>SANOFI PASTEUR</x:v>
      </x:c>
      <x:c r="N882" s="87" t="str">
        <x:v>SANOFI PASTEUR (2018-01-10)</x:v>
      </x:c>
      <x:c r="O882" s="87" t="str">
        <x:v>MENINGITIDIS VACCINES COMPRISING SUBTILINASES</x:v>
      </x:c>
      <x:c r="P882" s="109" t="n">
        <x:v>0</x:v>
      </x:c>
      <x:c r="Q882" s="109" t="n">
        <x:v>5</x:v>
      </x:c>
      <x:c r="R882" s="87" t="str">
        <x:v>A61K39/095;;C07K14/22;;C12N9/52;;A61K39/095;;A61K2039/575;;C07K14/22;;C07K2319/10;;C07K2319/21;;C07K2319/40;;C07K2319/50;;C12N9/52</x:v>
      </x:c>
      <x:c r="S882" s="87" t="str">
        <x:v>A61K39/095;;C07K14/22</x:v>
      </x:c>
      <x:c r="T882" s="87" t="str">
        <x:v>DISCONTINUED</x:v>
      </x:c>
      <x:c r="U882" s="87" t="str">
        <x:v>https://lens.org/009-341-003-336-283</x:v>
      </x:c>
    </x:row>
    <x:row r="883">
      <x:c r="A883" s="87" t="str">
        <x:v>Sanofi_Applicant_EP_Families_2015_2021.csv(1).csv</x:v>
      </x:c>
      <x:c r="B883" s="87" t="str">
        <x:v>Sanofi</x:v>
      </x:c>
      <x:c r="C883" s="87" t="str">
        <x:v>TRT-0010</x:v>
      </x:c>
      <x:c r="D883" s="87" t="str">
        <x:v>Yes</x:v>
      </x:c>
      <x:c r="E883" s="87" t="str">
        <x:v>sanofi</x:v>
      </x:c>
      <x:c r="F883" s="87" t="str">
        <x:v>289</x:v>
      </x:c>
      <x:c r="G883" s="87" t="str">
        <x:v>105-523-200-721-479</x:v>
      </x:c>
      <x:c r="H883" s="110" t="n">
        <x:v>41982</x:v>
      </x:c>
      <x:c r="I883" s="88" t="n">
        <x:v>2014</x:v>
      </x:c>
      <x:c r="J883" s="87" t="str">
        <x:v>EP</x:v>
      </x:c>
      <x:c r="K883" s="87" t="str">
        <x:v>A1</x:v>
      </x:c>
      <x:c r="L883" s="87" t="str">
        <x:v>EP 3229835 A1</x:v>
      </x:c>
      <x:c r="M883" s="87" t="str">
        <x:v>SANOFI PASTEUR</x:v>
      </x:c>
      <x:c r="N883" s="87" t="str">
        <x:v>SANOFI PASTEUR (2018-01-17)</x:v>
      </x:c>
      <x:c r="O883" s="87" t="str">
        <x:v>COMPOSITIONS COMPRISING N. MENINGITIDIS PROTEINS</x:v>
      </x:c>
      <x:c r="P883" s="109" t="n">
        <x:v>0</x:v>
      </x:c>
      <x:c r="Q883" s="109" t="n">
        <x:v>4</x:v>
      </x:c>
      <x:c r="R883" s="87" t="str">
        <x:v>A61K39/095;;A61K2039/55555;;A61K2039/55566;;A61K2039/575;;A61K2039/70;;C07K14/22;;A61K39/095;;A61K2039/55555;;A61K2039/55566;;A61K2039/575;;A61K2039/70;;C07K14/22;;C07K2319/40;;C07K2319/50</x:v>
      </x:c>
      <x:c r="S883" s="87" t="str">
        <x:v>A61K39/095</x:v>
      </x:c>
      <x:c r="T883" s="87" t="str">
        <x:v>DISCONTINUED</x:v>
      </x:c>
      <x:c r="U883" s="87" t="str">
        <x:v>https://lens.org/105-523-200-721-479</x:v>
      </x:c>
    </x:row>
    <x:row r="884">
      <x:c r="A884" s="87" t="str">
        <x:v>Sanofi_Applicant_EP_Families_2015_2021.csv(1).csv</x:v>
      </x:c>
      <x:c r="B884" s="87" t="str">
        <x:v>Sanofi</x:v>
      </x:c>
      <x:c r="C884" s="87" t="str">
        <x:v>TRT-0010</x:v>
      </x:c>
      <x:c r="D884" s="87" t="str">
        <x:v>Yes</x:v>
      </x:c>
      <x:c r="E884" s="87" t="str">
        <x:v>sanofi</x:v>
      </x:c>
      <x:c r="F884" s="87" t="str">
        <x:v>290</x:v>
      </x:c>
      <x:c r="G884" s="87" t="str">
        <x:v>039-693-474-355-672</x:v>
      </x:c>
      <x:c r="H884" s="110" t="n">
        <x:v>39786</x:v>
      </x:c>
      <x:c r="I884" s="88" t="n">
        <x:v>2008</x:v>
      </x:c>
      <x:c r="J884" s="87" t="str">
        <x:v>EP</x:v>
      </x:c>
      <x:c r="K884" s="87" t="str">
        <x:v>B1</x:v>
      </x:c>
      <x:c r="L884" s="87" t="str">
        <x:v>EP 2373362 B1</x:v>
      </x:c>
      <x:c r="M884" s="87" t="str">
        <x:v>SANOFI AVENTIS DEUTSCHLAND</x:v>
      </x:c>
      <x:c r="N884" s="87" t="str">
        <x:v>SANOFI-AVENTIS DEUTSCHLAND GMBH, DE (2019-04-29)</x:v>
      </x:c>
      <x:c r="O884" s="87" t="str">
        <x:v>INJECTION DEVICE WITH HOLDING MEANS TO PREVENT UNINTENTIONAL MOVEMENTS OF PISTON ROD</x:v>
      </x:c>
      <x:c r="P884" s="109" t="n">
        <x:v>0</x:v>
      </x:c>
      <x:c r="Q884" s="109" t="n">
        <x:v>38</x:v>
      </x:c>
      <x:c r="R884" s="87" t="str">
        <x:v>A61M5/31551;;A61M5/24;;A61M5/31505;;A61M5/31535;;A61M5/31558;;A61M5/31585;;A61M2005/2407;;A61M2005/2488;;A61M2005/3151;;A61M2005/3152;;A61M2205/583;;A61M5/31505;;A61M5/178;;A61M5/315;;A61M5/31501;;A61M5/31535;;A61M5/31536;;A61M5/31551;;A61M5/31585;;A61M2005/2488;;A61M5/31551;;A61M5/24;;A61M5/31505;;A61M5/31535;;A61M5/31536;;A61M5/31558;;A61M5/31585;;A61M2005/2407;;A61M2005/2488;;A61M2005/3151;;A61M2005/3152;;A61M2205/583</x:v>
      </x:c>
      <x:c r="S884" s="87" t="str">
        <x:v>A61M5/315;;A61M5/24</x:v>
      </x:c>
      <x:c r="T884" s="87" t="str">
        <x:v>ACTIVE</x:v>
      </x:c>
      <x:c r="U884" s="87" t="str">
        <x:v>https://lens.org/039-693-474-355-672</x:v>
      </x:c>
    </x:row>
    <x:row r="885">
      <x:c r="A885" s="87" t="str">
        <x:v>Sanofi_Applicant_EP_Families_2015_2021.csv(1).csv</x:v>
      </x:c>
      <x:c r="B885" s="87" t="str">
        <x:v>Sanofi</x:v>
      </x:c>
      <x:c r="C885" s="87" t="str">
        <x:v>TRT-0010</x:v>
      </x:c>
      <x:c r="D885" s="87" t="str">
        <x:v>Yes</x:v>
      </x:c>
      <x:c r="E885" s="87" t="str">
        <x:v>sanofi</x:v>
      </x:c>
      <x:c r="F885" s="87" t="str">
        <x:v>291</x:v>
      </x:c>
      <x:c r="G885" s="87" t="str">
        <x:v>036-345-072-404-400</x:v>
      </x:c>
      <x:c r="H885" s="110" t="n">
        <x:v>41310</x:v>
      </x:c>
      <x:c r="I885" s="88" t="n">
        <x:v>2013</x:v>
      </x:c>
      <x:c r="J885" s="87" t="str">
        <x:v>EP</x:v>
      </x:c>
      <x:c r="K885" s="87" t="str">
        <x:v>B1</x:v>
      </x:c>
      <x:c r="L885" s="87" t="str">
        <x:v>EP 2953975 B1</x:v>
      </x:c>
      <x:c r="M885" s="87" t="str">
        <x:v>SANOFI SA;;UNIV LELAND STANFORD JUNIOR</x:v>
      </x:c>
      <x:c r="N885" s="87" t="str">
        <x:v>THE BOARD OF TRUSTEES OF THE LELAND STANFORD JUNIO (2016-12-28);;SANOFI (2016-12-28)</x:v>
      </x:c>
      <x:c r="O885" s="87" t="str">
        <x:v>IMMUNO IMAGING AGENT FOR USE WITH ANTIBODY-DRUG CONJUGATE THERAPY</x:v>
      </x:c>
      <x:c r="P885" s="109" t="n">
        <x:v>0</x:v>
      </x:c>
      <x:c r="Q885" s="109" t="n">
        <x:v>17</x:v>
      </x:c>
      <x:c r="R885" s="87" t="str">
        <x:v>A61K51/1027;;A61K2039/505;;C07K16/3092;;C07K16/44;;C07K2317/24;;C07K2317/624;;C07K2317/626</x:v>
      </x:c>
      <x:c r="S885" s="87" t="str">
        <x:v>C07K16/30;;A61K51/10;;C07K16/44</x:v>
      </x:c>
      <x:c r="T885" s="87" t="str">
        <x:v>ACTIVE</x:v>
      </x:c>
      <x:c r="U885" s="87" t="str">
        <x:v>https://lens.org/036-345-072-404-400</x:v>
      </x:c>
    </x:row>
    <x:row r="886">
      <x:c r="A886" s="87" t="str">
        <x:v>Sanofi_Applicant_EP_Families_2015_2021.csv(1).csv</x:v>
      </x:c>
      <x:c r="B886" s="87" t="str">
        <x:v>Sanofi</x:v>
      </x:c>
      <x:c r="C886" s="87" t="str">
        <x:v>TRT-0010</x:v>
      </x:c>
      <x:c r="D886" s="87" t="str">
        <x:v>Yes</x:v>
      </x:c>
      <x:c r="E886" s="87" t="str">
        <x:v>sanofi</x:v>
      </x:c>
      <x:c r="F886" s="87" t="str">
        <x:v>292</x:v>
      </x:c>
      <x:c r="G886" s="87" t="str">
        <x:v>073-086-917-219-142</x:v>
      </x:c>
      <x:c r="H886" s="110" t="n">
        <x:v>41488</x:v>
      </x:c>
      <x:c r="I886" s="88" t="n">
        <x:v>2013</x:v>
      </x:c>
      <x:c r="J886" s="87" t="str">
        <x:v>EP</x:v>
      </x:c>
      <x:c r="K886" s="87" t="str">
        <x:v>B1</x:v>
      </x:c>
      <x:c r="L886" s="87" t="str">
        <x:v>EP 3027176 B1</x:v>
      </x:c>
      <x:c r="M886" s="87" t="str">
        <x:v>SANOFI SA</x:v>
      </x:c>
      <x:c r="N886" s="87" t="str">
        <x:v>SANOFI; FR (2025-04-11)</x:v>
      </x:c>
      <x:c r="O886" s="87" t="str">
        <x:v>PHARMACEUTICAL TABLET COMPRISING ACETYLSALICYLIC ACID AND CLOPIDOGREL</x:v>
      </x:c>
      <x:c r="P886" s="109" t="n">
        <x:v>2</x:v>
      </x:c>
      <x:c r="Q886" s="109" t="n">
        <x:v>25</x:v>
      </x:c>
      <x:c r="R886" s="87" t="str">
        <x:v>A61K31/60;;A61K9/209;;A61K9/2095;;A61K9/282;;A61K9/2886;;A61K31/4365;;A61P7/02;;A61P9/10;;A61P43/00</x:v>
      </x:c>
      <x:c r="S886" s="87" t="str">
        <x:v>A61K9/24;;A61K9/20;;A61K9/28;;A61K31/4365;;A61K31/60</x:v>
      </x:c>
      <x:c r="T886" s="87" t="str">
        <x:v>ACTIVE</x:v>
      </x:c>
      <x:c r="U886" s="87" t="str">
        <x:v>https://lens.org/073-086-917-219-142</x:v>
      </x:c>
    </x:row>
    <x:row r="887">
      <x:c r="A887" s="87" t="str">
        <x:v>Sanofi_Applicant_EP_Families_2015_2021.csv(1).csv</x:v>
      </x:c>
      <x:c r="B887" s="87" t="str">
        <x:v>Sanofi</x:v>
      </x:c>
      <x:c r="C887" s="87" t="str">
        <x:v>TRT-0010</x:v>
      </x:c>
      <x:c r="D887" s="87" t="str">
        <x:v>Yes</x:v>
      </x:c>
      <x:c r="E887" s="87" t="str">
        <x:v>sanofi</x:v>
      </x:c>
      <x:c r="F887" s="87" t="str">
        <x:v>293</x:v>
      </x:c>
      <x:c r="G887" s="87" t="str">
        <x:v>078-131-488-728-37X</x:v>
      </x:c>
      <x:c r="H887" s="110" t="n">
        <x:v>39150</x:v>
      </x:c>
      <x:c r="I887" s="88" t="n">
        <x:v>2007</x:v>
      </x:c>
      <x:c r="J887" s="87" t="str">
        <x:v>EP</x:v>
      </x:c>
      <x:c r="K887" s="87" t="str">
        <x:v>B1</x:v>
      </x:c>
      <x:c r="L887" s="87" t="str">
        <x:v>EP 2137193 B1</x:v>
      </x:c>
      <x:c r="M887" s="87" t="str">
        <x:v>SANOFI SA</x:v>
      </x:c>
      <x:c r="N887" s="87" t="str">
        <x:v>SANOFI (2012-05-02)</x:v>
      </x:c>
      <x:c r="O887" s="87" t="str">
        <x:v>SUBSTITUTED DIHYDRO AND TETRAHYDRO OXAZOLOPYRIMIDINONES, PREPARATION AND USE THEREOF</x:v>
      </x:c>
      <x:c r="P887" s="109" t="n">
        <x:v>0</x:v>
      </x:c>
      <x:c r="Q887" s="109" t="n">
        <x:v>35</x:v>
      </x:c>
      <x:c r="R887" s="87" t="str">
        <x:v>C07D498/04;;C07D498/04;;A61P1/08;;A61P25/00;;A61P25/02;;A61P25/04;;A61P25/06;;A61P25/08;;A61P25/18;;A61P25/20;;A61P25/22;;A61P25/24;;A61P25/28;;A61P29/00;;C07D498/04;;C07D498/04</x:v>
      </x:c>
      <x:c r="S887" s="87" t="str">
        <x:v>C07D498/04;;A61K31/519;;A61P25/06;;A61P25/18;;A61P25/24;;A61P29/00</x:v>
      </x:c>
      <x:c r="T887" s="87" t="str">
        <x:v>ACTIVE</x:v>
      </x:c>
      <x:c r="U887" s="87" t="str">
        <x:v>https://lens.org/078-131-488-728-37X</x:v>
      </x:c>
    </x:row>
    <x:row r="888">
      <x:c r="A888" s="87" t="str">
        <x:v>Sanofi_Applicant_EP_Families_2015_2021.csv(1).csv</x:v>
      </x:c>
      <x:c r="B888" s="87" t="str">
        <x:v>Sanofi</x:v>
      </x:c>
      <x:c r="C888" s="87" t="str">
        <x:v>TRT-0010</x:v>
      </x:c>
      <x:c r="D888" s="87" t="str">
        <x:v>Yes</x:v>
      </x:c>
      <x:c r="E888" s="87" t="str">
        <x:v>sanofi</x:v>
      </x:c>
      <x:c r="F888" s="87" t="str">
        <x:v>294</x:v>
      </x:c>
      <x:c r="G888" s="87" t="str">
        <x:v>063-850-863-522-741</x:v>
      </x:c>
      <x:c r="H888" s="110" t="n">
        <x:v>38504</x:v>
      </x:c>
      <x:c r="I888" s="88" t="n">
        <x:v>2005</x:v>
      </x:c>
      <x:c r="J888" s="87" t="str">
        <x:v>EP</x:v>
      </x:c>
      <x:c r="K888" s="87" t="str">
        <x:v>B1</x:v>
      </x:c>
      <x:c r="L888" s="87" t="str">
        <x:v>EP 1891049 B1</x:v>
      </x:c>
      <x:c r="M888" s="87" t="str">
        <x:v>SANOFI SA</x:v>
      </x:c>
      <x:c r="N888" s="87" t="str">
        <x:v>SANOFI (2012-05-02)</x:v>
      </x:c>
      <x:c r="O888" s="87" t="str">
        <x:v>METHOD FOR PRODUCING 2-(2-AMINO-PYRIMIDIN-4-YL)-1H-INDOLE-5-CARBOXYLIC ACID DERIVATIVES</x:v>
      </x:c>
      <x:c r="P888" s="109" t="n">
        <x:v>0</x:v>
      </x:c>
      <x:c r="Q888" s="109" t="n">
        <x:v>14</x:v>
      </x:c>
      <x:c r="R888" s="87" t="str">
        <x:v>C07D403/04;;Y02P20/55;;C07F7/10;;C07D403/04;;C07F5/025;;Y02P20/55</x:v>
      </x:c>
      <x:c r="S888" s="87" t="str">
        <x:v>C07D403/04</x:v>
      </x:c>
      <x:c r="T888" s="87" t="str">
        <x:v>EXPIRED</x:v>
      </x:c>
      <x:c r="U888" s="87" t="str">
        <x:v>https://lens.org/063-850-863-522-741</x:v>
      </x:c>
    </x:row>
    <x:row r="889">
      <x:c r="A889" s="87" t="str">
        <x:v>Sanofi_Applicant_EP_Families_2015_2021.csv(1).csv</x:v>
      </x:c>
      <x:c r="B889" s="87" t="str">
        <x:v>Sanofi</x:v>
      </x:c>
      <x:c r="C889" s="87" t="str">
        <x:v>TRT-0010</x:v>
      </x:c>
      <x:c r="D889" s="87" t="str">
        <x:v>Yes</x:v>
      </x:c>
      <x:c r="E889" s="87" t="str">
        <x:v>sanofi</x:v>
      </x:c>
      <x:c r="F889" s="87" t="str">
        <x:v>295</x:v>
      </x:c>
      <x:c r="G889" s="87" t="str">
        <x:v>092-222-279-889-223</x:v>
      </x:c>
      <x:c r="H889" s="110" t="n">
        <x:v>41884</x:v>
      </x:c>
      <x:c r="I889" s="88" t="n">
        <x:v>2014</x:v>
      </x:c>
      <x:c r="J889" s="87" t="str">
        <x:v>EP</x:v>
      </x:c>
      <x:c r="K889" s="87" t="str">
        <x:v>A1</x:v>
      </x:c>
      <x:c r="L889" s="87" t="str">
        <x:v>EP 3188751 A1</x:v>
      </x:c>
      <x:c r="M889" s="87" t="str">
        <x:v>SANOFI PASTEUR</x:v>
      </x:c>
      <x:c r="N889" s="87" t="str">
        <x:v>SANOFI PASTEUR (2018-01-24)</x:v>
      </x:c>
      <x:c r="O889" s="87" t="str">
        <x:v>VACCINE COMPOSITIONS AGAINST DENGUE VIRUS DISEASES</x:v>
      </x:c>
      <x:c r="P889" s="109" t="n">
        <x:v>0</x:v>
      </x:c>
      <x:c r="Q889" s="109" t="n">
        <x:v>17</x:v>
      </x:c>
      <x:c r="R889" s="87" t="str">
        <x:v>A61K39/12;;A61K2039/5252;;A61K2039/5254;;A61K2039/5256;;A61K2039/5258;;A61K2039/70;;C12N2770/24134;;A61K39/12;;A61K39/295;;A61K2039/5252;;A61K2039/5254;;A61K2039/5256;;A61K2039/5258;;A61P31/14;;A61P37/04;;C12N2770/24134;;C12N2770/24144;;Y02A50/30;;A61K39/12;;A61K39/295;;A61K2039/5254;;A61K2039/5256;;A61K2039/545;;A61K2039/70;;A61P31/14;;C12N2770/24134;;C12N2770/24144;;A61K39/12;;A61K2039/5252;;A61K2039/5254;;A61K2039/5256;;A61K2039/5258;;C12N7/00;;C12N2770/24123;;C12N2770/24134;;C12N2770/24144;;Y02A50/30</x:v>
      </x:c>
      <x:c r="S889" s="87" t="str">
        <x:v>A61K39/12;;A61K39/00;;A61K39/295</x:v>
      </x:c>
      <x:c r="T889" s="87" t="str">
        <x:v>DISCONTINUED</x:v>
      </x:c>
      <x:c r="U889" s="87" t="str">
        <x:v>https://lens.org/092-222-279-889-223</x:v>
      </x:c>
    </x:row>
    <x:row r="890">
      <x:c r="A890" s="87" t="str">
        <x:v>Sanofi_Applicant_EP_Families_2015_2021.csv(1).csv</x:v>
      </x:c>
      <x:c r="B890" s="87" t="str">
        <x:v>Sanofi</x:v>
      </x:c>
      <x:c r="C890" s="87" t="str">
        <x:v>TRT-0010</x:v>
      </x:c>
      <x:c r="D890" s="87" t="str">
        <x:v>Yes</x:v>
      </x:c>
      <x:c r="E890" s="87" t="str">
        <x:v>sanofi</x:v>
      </x:c>
      <x:c r="F890" s="87" t="str">
        <x:v>296</x:v>
      </x:c>
      <x:c r="G890" s="87" t="str">
        <x:v>186-286-049-082-273</x:v>
      </x:c>
      <x:c r="H890" s="110" t="n">
        <x:v>37986</x:v>
      </x:c>
      <x:c r="I890" s="88" t="n">
        <x:v>2003</x:v>
      </x:c>
      <x:c r="J890" s="87" t="str">
        <x:v>EP</x:v>
      </x:c>
      <x:c r="K890" s="87" t="str">
        <x:v>A4</x:v>
      </x:c>
      <x:c r="L890" s="87" t="str">
        <x:v>EP 1706016 A4</x:v>
      </x:c>
      <x:c r="M890" s="87" t="str">
        <x:v>SANOFI AVENTIS DEUTSCHLAND</x:v>
      </x:c>
      <x:c r="N890" s="87" t="str">
        <x:v>SANOFI-AVENTIS DEUTSCHLAND GMBH (2014-01-08)</x:v>
      </x:c>
      <x:c r="O890" s="87" t="str">
        <x:v>IMPROVED PENETRATING MEMBER CONTROL USING AUTO-PRE-TENT</x:v>
      </x:c>
      <x:c r="P890" s="109" t="n">
        <x:v>0</x:v>
      </x:c>
      <x:c r="Q890" s="109" t="n">
        <x:v>4</x:v>
      </x:c>
      <x:c r="R890" s="87" t="str">
        <x:v>A61B5/157;;A61B5/150022;;A61B5/150152;;A61B5/150167;;A61B5/150175;;A61B5/150427;;A61B5/150503;;A61B5/15113;;A61B5/15117;;A61B5/15123;;A61B5/15151;;A61B5/15161;;A61B5/15176</x:v>
      </x:c>
      <x:c r="S890" s="87" t="str">
        <x:v>A61B5/15;;A61B5/151;;A61B5/157</x:v>
      </x:c>
      <x:c r="T890" s="87" t="str">
        <x:v>DISCONTINUED</x:v>
      </x:c>
      <x:c r="U890" s="87" t="str">
        <x:v>https://lens.org/186-286-049-082-273</x:v>
      </x:c>
    </x:row>
    <x:row r="891">
      <x:c r="A891" s="87" t="str">
        <x:v>Sanofi_Applicant_EP_Families_2015_2021.csv(1).csv</x:v>
      </x:c>
      <x:c r="B891" s="87" t="str">
        <x:v>Sanofi</x:v>
      </x:c>
      <x:c r="C891" s="87" t="str">
        <x:v>TRT-0010</x:v>
      </x:c>
      <x:c r="D891" s="87" t="str">
        <x:v>Yes</x:v>
      </x:c>
      <x:c r="E891" s="87" t="str">
        <x:v>sanofi</x:v>
      </x:c>
      <x:c r="F891" s="87" t="str">
        <x:v>297</x:v>
      </x:c>
      <x:c r="G891" s="87" t="str">
        <x:v>054-044-409-120-31X</x:v>
      </x:c>
      <x:c r="H891" s="110" t="n">
        <x:v>40802</x:v>
      </x:c>
      <x:c r="I891" s="88" t="n">
        <x:v>2011</x:v>
      </x:c>
      <x:c r="J891" s="87" t="str">
        <x:v>EP</x:v>
      </x:c>
      <x:c r="K891" s="87" t="str">
        <x:v>B1</x:v>
      </x:c>
      <x:c r="L891" s="87" t="str">
        <x:v>EP 2755944 B1</x:v>
      </x:c>
      <x:c r="M891" s="87" t="str">
        <x:v>SANOFI SA</x:v>
      </x:c>
      <x:c r="N891" s="87" t="str">
        <x:v>SANOFI (2016-08-03)</x:v>
      </x:c>
      <x:c r="O891" s="87" t="str">
        <x:v>BIARYLDERIVATIVES,THEIR PREPARATION AND THEIR THERAPEUTIC APPLICATION</x:v>
      </x:c>
      <x:c r="P891" s="109" t="n">
        <x:v>0</x:v>
      </x:c>
      <x:c r="Q891" s="109" t="n">
        <x:v>41</x:v>
      </x:c>
      <x:c r="R891" s="87" t="str">
        <x:v>C07C217/84;;A61K31/165;;A61K31/196;;A61K31/216;;A61K31/277;;A61K31/5375;;A61P27/00;;A61P27/06;;C07C65/105;;C07C65/24;;C07C215/76;;C07C233/75;;C07C235/20;;C07C235/56;;C07C237/30;;C07C255/57;;C07C255/58;;C07C255/59;;C07D295/088;;C07C217/84;;A61K9/0014;;A61K9/0048;;A61K31/165;;A61K31/196;;A61K31/216;;A61K31/277;;A61K31/5375;;A61K45/06;;C07C63/72;;C07C65/105;;C07C65/24;;C07C213/02;;C07C213/08;;C07C215/76;;C07C233/75;;C07C235/20;;C07C235/56;;C07C237/30;;C07C253/30;;C07C255/57;;C07C255/58;;C07C255/59;;C07D295/088</x:v>
      </x:c>
      <x:c r="S891" s="87" t="str">
        <x:v>C07C215/76;;A61K31/165;;A61P27/06;;C07C65/105;;C07C65/24;;C07C217/84;;C07C233/75;;C07C255/57;;C07C255/58;;C07C255/59;;C07D295/088</x:v>
      </x:c>
      <x:c r="T891" s="87" t="str">
        <x:v>ACTIVE</x:v>
      </x:c>
      <x:c r="U891" s="87" t="str">
        <x:v>https://lens.org/054-044-409-120-31X</x:v>
      </x:c>
    </x:row>
    <x:row r="892">
      <x:c r="A892" s="87" t="str">
        <x:v>Sanofi_Applicant_EP_Families_2015_2021.csv(1).csv</x:v>
      </x:c>
      <x:c r="B892" s="87" t="str">
        <x:v>Sanofi</x:v>
      </x:c>
      <x:c r="C892" s="87" t="str">
        <x:v>TRT-0010</x:v>
      </x:c>
      <x:c r="D892" s="87" t="str">
        <x:v>Yes</x:v>
      </x:c>
      <x:c r="E892" s="87" t="str">
        <x:v>sanofi</x:v>
      </x:c>
      <x:c r="F892" s="87" t="str">
        <x:v>298</x:v>
      </x:c>
      <x:c r="G892" s="87" t="str">
        <x:v>180-787-993-311-582</x:v>
      </x:c>
      <x:c r="H892" s="110" t="n">
        <x:v>38989</x:v>
      </x:c>
      <x:c r="I892" s="88" t="n">
        <x:v>2006</x:v>
      </x:c>
      <x:c r="J892" s="87" t="str">
        <x:v>EP</x:v>
      </x:c>
      <x:c r="K892" s="87" t="str">
        <x:v>B1</x:v>
      </x:c>
      <x:c r="L892" s="87" t="str">
        <x:v>EP 2066343 B1</x:v>
      </x:c>
      <x:c r="M892" s="87" t="str">
        <x:v>SANOFI PASTEUR BIOLOGICS LLC</x:v>
      </x:c>
      <x:c r="N892" s="87" t="str">
        <x:v>SANOFI PASTEUR BIOLOGICS, LLC (2012-09-19)</x:v>
      </x:c>
      <x:c r="O892" s="87" t="str">
        <x:v>NOVEL NEUTRALIZING IMMUNOGEN (NIMIV) OF RHINOVIRUS AND ITS USE FOR VACCINE APPLICATIONS</x:v>
      </x:c>
      <x:c r="P892" s="109" t="n">
        <x:v>0</x:v>
      </x:c>
      <x:c r="Q892" s="109" t="n">
        <x:v>24</x:v>
      </x:c>
      <x:c r="R892" s="87" t="str">
        <x:v>A61K39/125;;A61K39/12;;A61K2039/525;;A61K2039/55505;;A61K2039/6081;;A61P31/14;;A61P31/16;;A61P37/04;;C07K14/005;;C07K16/106;;C12N2770/32722;;C12N2770/32734;;C12N15/11;;A61K39/12;;A61K39/125;;A61K39/12;;A61K2039/525;;A61K2039/55505;;A61K2039/6081;;C07K14/005;;C07K16/106;;C12N2770/32722;;C12N2770/32734</x:v>
      </x:c>
      <x:c r="S892" s="87" t="str">
        <x:v>A61K39/12;;A61K35/76;;A61K39/00;;C12N15/00</x:v>
      </x:c>
      <x:c r="T892" s="87" t="str">
        <x:v>ACTIVE</x:v>
      </x:c>
      <x:c r="U892" s="87" t="str">
        <x:v>https://lens.org/180-787-993-311-582</x:v>
      </x:c>
    </x:row>
    <x:row r="893">
      <x:c r="A893" s="87" t="str">
        <x:v>Sanofi_Applicant_EP_Families_2015_2021.csv(1).csv</x:v>
      </x:c>
      <x:c r="B893" s="87" t="str">
        <x:v>Sanofi</x:v>
      </x:c>
      <x:c r="C893" s="87" t="str">
        <x:v>TRT-0010</x:v>
      </x:c>
      <x:c r="D893" s="87" t="str">
        <x:v>Yes</x:v>
      </x:c>
      <x:c r="E893" s="87" t="str">
        <x:v>sanofi</x:v>
      </x:c>
      <x:c r="F893" s="87" t="str">
        <x:v>299</x:v>
      </x:c>
      <x:c r="G893" s="87" t="str">
        <x:v>095-259-212-975-803</x:v>
      </x:c>
      <x:c r="H893" s="110" t="n">
        <x:v>39625</x:v>
      </x:c>
      <x:c r="I893" s="88" t="n">
        <x:v>2008</x:v>
      </x:c>
      <x:c r="J893" s="87" t="str">
        <x:v>EP</x:v>
      </x:c>
      <x:c r="K893" s="87" t="str">
        <x:v>B1</x:v>
      </x:c>
      <x:c r="L893" s="87" t="str">
        <x:v>EP 2321314 B1</x:v>
      </x:c>
      <x:c r="M893" s="87" t="str">
        <x:v>MITSUBISHI TANABE PHARMA CORP;;SANOFI SA</x:v>
      </x:c>
      <x:c r="N893" s="87" t="str">
        <x:v>SANOFI (2016-11-30);;MITSUBISHI TANABE PHARMA CORPORATION (2016-11-30)</x:v>
      </x:c>
      <x:c r="O893" s="87" t="str">
        <x:v>SUBSTITUTED PYRIMIDONE DERIVATIVES</x:v>
      </x:c>
      <x:c r="P893" s="109" t="n">
        <x:v>0</x:v>
      </x:c>
      <x:c r="Q893" s="109" t="n">
        <x:v>21</x:v>
      </x:c>
      <x:c r="R893" s="87" t="str">
        <x:v>C07D471/04;;A61K31/519;;A61P3/00;;A61P3/04;;A61P3/06;;A61P3/10;;A61P7/00;;A61P9/00;;A61P9/10;;A61P13/12;;A61P17/00;;A61P17/02;;A61P17/14;;A61P19/00;;A61P19/08;;A61P25/00;;A61P25/02;;A61P25/16;;A61P25/18;;A61P25/24;;A61P25/28;;A61P27/00;;A61P27/02;;A61P27/06;;A61P33/06;;A61P35/00;;A61P35/02;;A61P37/00;;A61P37/06;;A61P43/00;;Y02A50/30;;C07D471/04;;A61K31/519;;C07D471/04;;A61K31/519;;Y02A50/30</x:v>
      </x:c>
      <x:c r="S893" s="87" t="str">
        <x:v>C07D471/04;;A61K31/519;;A61P25/00</x:v>
      </x:c>
      <x:c r="T893" s="87" t="str">
        <x:v>ACTIVE</x:v>
      </x:c>
      <x:c r="U893" s="87" t="str">
        <x:v>https://lens.org/095-259-212-975-803</x:v>
      </x:c>
    </x:row>
    <x:row r="894">
      <x:c r="A894" s="87" t="str">
        <x:v>Sanofi_Applicant_EP_Families_2015_2021.csv(1).csv</x:v>
      </x:c>
      <x:c r="B894" s="87" t="str">
        <x:v>Sanofi</x:v>
      </x:c>
      <x:c r="C894" s="87" t="str">
        <x:v>TRT-0010</x:v>
      </x:c>
      <x:c r="D894" s="87" t="str">
        <x:v>Yes</x:v>
      </x:c>
      <x:c r="E894" s="87" t="str">
        <x:v>sanofi</x:v>
      </x:c>
      <x:c r="F894" s="87" t="str">
        <x:v>300</x:v>
      </x:c>
      <x:c r="G894" s="87" t="str">
        <x:v>194-721-715-413-577</x:v>
      </x:c>
      <x:c r="H894" s="110" t="n">
        <x:v>39780</x:v>
      </x:c>
      <x:c r="I894" s="88" t="n">
        <x:v>2008</x:v>
      </x:c>
      <x:c r="J894" s="87" t="str">
        <x:v>EP</x:v>
      </x:c>
      <x:c r="K894" s="87" t="str">
        <x:v>B1</x:v>
      </x:c>
      <x:c r="L894" s="87" t="str">
        <x:v>EP 2370096 B1</x:v>
      </x:c>
      <x:c r="M894" s="87" t="str">
        <x:v>SANOFI SA</x:v>
      </x:c>
      <x:c r="N894" s="87" t="str">
        <x:v>SANOFI; FR (2025-04-11);;SANOFI (2012-05-02)</x:v>
      </x:c>
      <x:c r="O894" s="87" t="str">
        <x:v>ANTITUMOR COMBINATIONS CONTAINING CYTARABINE AND ANTIBODIES RECOGNIZING SPECIFICALLY CD38</x:v>
      </x:c>
      <x:c r="P894" s="109" t="n">
        <x:v>0</x:v>
      </x:c>
      <x:c r="Q894" s="109" t="n">
        <x:v>56</x:v>
      </x:c>
      <x:c r="R894" s="87" t="str">
        <x:v>A61K31/7068;;A61K39/39558;;C07K16/2896;;C07K2317/565;;C07K2317/56;;C07K2317/24;;A61K31/00;;A61K31/7068;;A61K39/39558;;C07K16/2896;;C07K2317/24;;C07K2317/56;;C07K2317/565;;A61K31/475;;A61K39/395;;A61P35/00;;A61P35/02;;A61P43/00;;A61K39/395;;A61K31/7068;;A61K31/475;;A61K39/39558;;A61K38/08;;A61K38/10;;A61K38/16;;A61P35/00;;A61P35/02;;C07K16/2896;;C07K2317/24;;C07K2317/56;;C07K2317/565;;A61K31/7068;;C07K2317/24;;C07K16/2896;;A61K39/39558;;C07K2317/565;;C07K2317/56;;A61K31/00;;A61K39/395;;A61K31/475</x:v>
      </x:c>
      <x:c r="S894" s="87" t="str">
        <x:v>A61K39/395;;A61K31/7068;;A61P35/00</x:v>
      </x:c>
      <x:c r="T894" s="87" t="str">
        <x:v>ACTIVE</x:v>
      </x:c>
      <x:c r="U894" s="87" t="str">
        <x:v>https://lens.org/194-721-715-413-577</x:v>
      </x:c>
    </x:row>
    <x:row r="895">
      <x:c r="A895" s="87" t="str">
        <x:v>Sanofi_Applicant_EP_Families_2015_2021.csv(1).csv</x:v>
      </x:c>
      <x:c r="B895" s="87" t="str">
        <x:v>Sanofi</x:v>
      </x:c>
      <x:c r="C895" s="87" t="str">
        <x:v>TRT-0010</x:v>
      </x:c>
      <x:c r="D895" s="87" t="str">
        <x:v>Yes</x:v>
      </x:c>
      <x:c r="E895" s="87" t="str">
        <x:v>sanofi</x:v>
      </x:c>
      <x:c r="F895" s="87" t="str">
        <x:v>301</x:v>
      </x:c>
      <x:c r="G895" s="87" t="str">
        <x:v>116-194-935-015-975</x:v>
      </x:c>
      <x:c r="H895" s="110" t="n">
        <x:v>41841</x:v>
      </x:c>
      <x:c r="I895" s="88" t="n">
        <x:v>2014</x:v>
      </x:c>
      <x:c r="J895" s="87" t="str">
        <x:v>EP</x:v>
      </x:c>
      <x:c r="K895" s="87" t="str">
        <x:v>A1</x:v>
      </x:c>
      <x:c r="L895" s="87" t="str">
        <x:v>EP 3171954 A1</x:v>
      </x:c>
      <x:c r="M895" s="87" t="str">
        <x:v>SANOFI PASTEUR</x:v>
      </x:c>
      <x:c r="N895" s="87" t="str">
        <x:v>SANOFI PASTEUR SA (2018-04-11)</x:v>
      </x:c>
      <x:c r="O895" s="87" t="str">
        <x:v>LIQUID FEEDING DEVICE FOR THE GENERATION OF DROPLETS AND ITS USE FOR PRODUCING A VACCINE COMPOSITION</x:v>
      </x:c>
      <x:c r="P895" s="109" t="n">
        <x:v>1</x:v>
      </x:c>
      <x:c r="Q895" s="109" t="n">
        <x:v>21</x:v>
      </x:c>
      <x:c r="R895" s="87" t="str">
        <x:v>B01D1/18;;A61K39/00;;B01D1/18;;A61K39/00;;B01J2/04;;B01J2/18;;B01D1/18;;A61K39/00;;B01J2/04;;B01J2/18;;F26B5/065;;A61K9/19;;A61K39/00;;B01D1/18;;B01J2/04;;B01J2/18</x:v>
      </x:c>
      <x:c r="S895" s="87" t="str">
        <x:v>B01J2/04;;A61K9/19;;A61K39/00;;B01D1/18;;B01J2/18;;F26B5/06</x:v>
      </x:c>
      <x:c r="T895" s="87" t="str">
        <x:v>ACTIVE</x:v>
      </x:c>
      <x:c r="U895" s="87" t="str">
        <x:v>https://lens.org/116-194-935-015-975</x:v>
      </x:c>
    </x:row>
    <x:row r="896">
      <x:c r="A896" s="87" t="str">
        <x:v>Sanofi_Applicant_EP_Families_2015_2021.csv(1).csv</x:v>
      </x:c>
      <x:c r="B896" s="87" t="str">
        <x:v>Sanofi</x:v>
      </x:c>
      <x:c r="C896" s="87" t="str">
        <x:v>TRT-0010</x:v>
      </x:c>
      <x:c r="D896" s="87" t="str">
        <x:v>Yes</x:v>
      </x:c>
      <x:c r="E896" s="87" t="str">
        <x:v>sanofi</x:v>
      </x:c>
      <x:c r="F896" s="87" t="str">
        <x:v>302</x:v>
      </x:c>
      <x:c r="G896" s="87" t="str">
        <x:v>052-598-035-754-976</x:v>
      </x:c>
      <x:c r="H896" s="110" t="n">
        <x:v>40385</x:v>
      </x:c>
      <x:c r="I896" s="88" t="n">
        <x:v>2010</x:v>
      </x:c>
      <x:c r="J896" s="87" t="str">
        <x:v>EP</x:v>
      </x:c>
      <x:c r="K896" s="87" t="str">
        <x:v>B1</x:v>
      </x:c>
      <x:c r="L896" s="87" t="str">
        <x:v>EP 2598507 B1</x:v>
      </x:c>
      <x:c r="M896" s="87" t="str">
        <x:v>SANOFI SA</x:v>
      </x:c>
      <x:c r="N896" s="87" t="str">
        <x:v>SANOFI (2017-08-23)</x:v>
      </x:c>
      <x:c r="O896" s="87" t="str">
        <x:v>ANTICANCER DERIVATIVES, PREPARATION THEREOF AND THERAPEUTIC USE THEREOF</x:v>
      </x:c>
      <x:c r="P896" s="109" t="n">
        <x:v>0</x:v>
      </x:c>
      <x:c r="Q896" s="109" t="n">
        <x:v>38</x:v>
      </x:c>
      <x:c r="R896" s="87" t="str">
        <x:v>C07K16/40;;A61K31/5513;;A61K47/60;;A61P35/00;;C07D207/20;;C07D243/14;;C07D487/04;;C07D519/00;;C07K16/2866;;C07D487/04;;A61K31/5517;;C07K16/40;;A61K31/5513;;A61K47/60;;C07D207/20;;C07D243/14;;C07D487/04;;C07D519/00;;C07K16/2866</x:v>
      </x:c>
      <x:c r="S896" s="87" t="str">
        <x:v>C07D487/04;;A61K31/5513;;A61P35/00;;C07D207/20;;C07D243/14;;C07D519/00;;C07K16/40</x:v>
      </x:c>
      <x:c r="T896" s="87" t="str">
        <x:v>ACTIVE</x:v>
      </x:c>
      <x:c r="U896" s="87" t="str">
        <x:v>https://lens.org/052-598-035-754-976</x:v>
      </x:c>
    </x:row>
    <x:row r="897">
      <x:c r="A897" s="87" t="str">
        <x:v>Sanofi_Applicant_EP_Families_2015_2021.csv(1).csv</x:v>
      </x:c>
      <x:c r="B897" s="87" t="str">
        <x:v>Sanofi</x:v>
      </x:c>
      <x:c r="C897" s="87" t="str">
        <x:v>TRT-0010</x:v>
      </x:c>
      <x:c r="D897" s="87" t="str">
        <x:v>Yes</x:v>
      </x:c>
      <x:c r="E897" s="87" t="str">
        <x:v>sanofi</x:v>
      </x:c>
      <x:c r="F897" s="87" t="str">
        <x:v>303</x:v>
      </x:c>
      <x:c r="G897" s="87" t="str">
        <x:v>131-139-480-257-119</x:v>
      </x:c>
      <x:c r="H897" s="110" t="n">
        <x:v>40659</x:v>
      </x:c>
      <x:c r="I897" s="88" t="n">
        <x:v>2011</x:v>
      </x:c>
      <x:c r="J897" s="87" t="str">
        <x:v>EP</x:v>
      </x:c>
      <x:c r="K897" s="87" t="str">
        <x:v>B1</x:v>
      </x:c>
      <x:c r="L897" s="87" t="str">
        <x:v>EP 2701724 B1</x:v>
      </x:c>
      <x:c r="M897" s="87" t="str">
        <x:v>SANOFI SA</x:v>
      </x:c>
      <x:c r="N897" s="87" t="str">
        <x:v>SANOFI; FR (2025-04-11)</x:v>
      </x:c>
      <x:c r="O897" s="87" t="str">
        <x:v>COMPOSITION COMPRISING AFLIBERCEPT, FOLINIC ACID, 5-FLUOROURACIL (5-FU) AND IRINOCETAN (FOLFIRI)</x:v>
      </x:c>
      <x:c r="P897" s="109" t="n">
        <x:v>0</x:v>
      </x:c>
      <x:c r="Q897" s="109" t="n">
        <x:v>54</x:v>
      </x:c>
      <x:c r="R897" s="87" t="str">
        <x:v>A61K9/0019;;A61K31/4745;;A61K31/513;;A61K31/519;;A61K38/00;;A61K38/178;;A61P1/00;;A61P35/00;;A61P35/04;;A61P43/00;;A61K38/17;;A61K31/4745;;A61K31/513;;A61K31/519;;A61K38/178;;A61K2300/00;;A61P35/00;;A61K38/179;;A61K9/0019;;A61K31/4745;;A61K31/513;;A61K31/519;;A61K38/00;;A61K38/17</x:v>
      </x:c>
      <x:c r="S897" s="87" t="str">
        <x:v>A61K38/17;;A61K31/4745;;A61K31/505;;A61K31/519;;A61P35/00</x:v>
      </x:c>
      <x:c r="T897" s="87" t="str">
        <x:v>ACTIVE</x:v>
      </x:c>
      <x:c r="U897" s="87" t="str">
        <x:v>https://lens.org/131-139-480-257-119</x:v>
      </x:c>
    </x:row>
    <x:row r="898">
      <x:c r="A898" s="87" t="str">
        <x:v>Sanofi_Applicant_EP_Families_2015_2021.csv(1).csv</x:v>
      </x:c>
      <x:c r="B898" s="87" t="str">
        <x:v>Sanofi</x:v>
      </x:c>
      <x:c r="C898" s="87" t="str">
        <x:v>TRT-0010</x:v>
      </x:c>
      <x:c r="D898" s="87" t="str">
        <x:v>Yes</x:v>
      </x:c>
      <x:c r="E898" s="87" t="str">
        <x:v>sanofi</x:v>
      </x:c>
      <x:c r="F898" s="87" t="str">
        <x:v>304</x:v>
      </x:c>
      <x:c r="G898" s="87" t="str">
        <x:v>042-733-566-101-575</x:v>
      </x:c>
      <x:c r="H898" s="110" t="n">
        <x:v>39573</x:v>
      </x:c>
      <x:c r="I898" s="88" t="n">
        <x:v>2008</x:v>
      </x:c>
      <x:c r="J898" s="87" t="str">
        <x:v>EP</x:v>
      </x:c>
      <x:c r="K898" s="87" t="str">
        <x:v>B1</x:v>
      </x:c>
      <x:c r="L898" s="87" t="str">
        <x:v>EP 2303270 B1</x:v>
      </x:c>
      <x:c r="M898" s="87" t="str">
        <x:v>SANOFI SA</x:v>
      </x:c>
      <x:c r="N898" s="87" t="str">
        <x:v>SANOFI, FR (2025-09-28);;SANOFI; FR (2025-04-11);;SANOFI (2012-05-02);;SANOFI, PARIS, FR (2025-01-13)</x:v>
      </x:c>
      <x:c r="O898" s="87" t="str">
        <x:v>ACYLAMINO-SUBSTITUTED FUSED CYCLOPENTANECARBOXYLIC ACID DERIVATIVES AND THEIR USE AS PHARMACEUTICALS</x:v>
      </x:c>
      <x:c r="P898" s="109" t="n">
        <x:v>0</x:v>
      </x:c>
      <x:c r="Q898" s="109" t="n">
        <x:v>60</x:v>
      </x:c>
      <x:c r="R898" s="87" t="str">
        <x:v>C07C235/54;;C07C235/62;;C07C309/73;;C07C317/46;;C07C323/19;;C07C323/62;;C07C325/02;;C07D207/09;;C07D213/30;;C07D221/04;;C07D241/38;;C07D277/24;;C07D305/06;;C07D333/38;;C07D333/78;;C07C231/02;;C07C253/30;;C07C255/54;;C07C315/04;;C07C317/22;;C07C319/20;;C07D207/06;;C07D207/08;;C07D207/27;;C07D209/44;;C07D211/22;;C07D213/65;;C07D213/68;;C07D213/75;;C07D213/81;;C07D213/82;;C07D231/12;;C07D233/60;;C07D233/84;;C07D235/12;;C07D241/36;;C07D249/06;;C07D261/20;;C07D263/32;;C07D271/08;;C07D277/56;;C07D285/06;;C07D295/084;;C07D307/12;;C07D319/06;;C07D319/20;;C07D333/32;;C07D333/56;;C07D401/04;;C07D417/04;;C07D453/02;;C07C235/84;;C07C237/38;;C07C255/54;;C07C255/57;;C07C255/58;;C07C307/10;;C07C309/73;;C07C311/08;;C07C317/22;;C07C317/46;;C07C323/12;;C07C323/19;;C07C323/62;;C07D207/08;;C07D207/09;;C07D209/12;;C07D209/44;;C07D211/22;;C07D213/30;;C07D213/68;;C07D213/74;;C07D213/75;;C07D213/81;;C07D221/04;;C07D231/12;;C07D233/54;;C07D233/84;;C07D235/12;;C07D241/38;;C07D249/06;;C07D261/04;;C07D261/20;;C07D263/32;;C07D271/08;;C07D277/24;;C07D277/56;;C07D285/06;;C07D295/08;;C07D295/20;;C07D305/06;;C07D307/12;;C07D309/06;;C07D319/06;;C07D319/12;;C07D333/16;;C07D333/56;;C07D413/04;;C07D417/04;;C07D471/08;;C07C2601/02;;C07C2601/08;;C07C2601/14;;C07C2602/08;;C07C235/54;;C07D333/78;;C07D207/263;;C07D213/65;;C07D213/73;;C07D233/64;;C07D235/18;;C07D319/20;;C07D453/02;;C07D213/82;;C07D333/38;;A61K31/196;;A61K31/216;;A61K31/277;;A61K31/381;;A61K31/439;;A61K31/44;;A61K31/4409;;A61K31/445;;A61K31/495;;A61K31/4965;;A61P1/16;;A61P11/00;;A61P11/06;;A61P11/16;;A61P13/00;;A61P13/12;;A61P17/00;;A61P17/02;;A61P17/04;;A61P17/06;;A61P19/00;;A61P19/02;;A61P25/00;;A61P25/02;;A61P25/04;;A61P25/18;;A61P25/28;;A61P27/02;;A61P29/00;;A61P3/00;;A61P35/00;;A61P35/04;;A61P37/00;;A61P37/02;;A61P37/08;;A61P43/00;;A61P5/00;;A61P5/14;;A61P5/16;;A61P7/02;;A61P9/00;;A61P9/04;;A61P9/08;;A61P9/10;;A61P9/12;;A61P9/14;;C07C235/84;;C07C237/38;;C07C255/54;;C07C255/57;;C07C255/58;;C07C307/10;;C07C309/73;;C07C311/08;;C07C317/22;;C07C317/46;;C07C323/12;;C07C323/19;;C07C323/62;;C07D207/08;;C07D207/09;;C07D209/12;;C07D209/44;;C07D211/22;;C07D213/30;;C07D213/68;;C07D213/74;;C07D213/75;;C07D213/81;;C07D221/04;;C07D231/12;;C07D233/54;;C07D233/84;;C07D235/12;;C07D241/38;;C07D249/06;;C07D261/04;;C07D261/20;;C07D263/32;;C07D271/08;;C07D277/24;;C07D277/56;;C07D285/06;;C07D295/08;;C07D295/20;;C07D305/06;;C07D307/12;;C07D309/06;;C07D319/06;;C07D319/12;;C07D333/16;;C07D333/56;;C07D413/04;;C07D417/04;;C07D471/08;;C07C2601/02;;C07C2601/14;;C07C2601/08;;C07C2602/08;;C07C235/54;;C07D333/78;;A61K31/196;;A61K31/216;;A61K31/277;;A61K31/381;;A61K31/439;;A61K31/44;;A61K31/4409;;A61K31/445;;A61K31/495;;A61K31/4965;;C07C231/02;;C07C235/62;;C07C319/20;;C07C323/42;;C07D213/82;;C07D333/38;;C07C315/04;;C07C319/12;;C07C321/26;;C07D207/263;;C07D213/65;;C07D213/73;;C07D233/64;;C07D235/18;;C07D319/20;;C07D453/02</x:v>
      </x:c>
      <x:c r="S898" s="87" t="str">
        <x:v>A61K31/4402;;A61K31/16;;A61K31/38;;A61P9/00;;A61P29/00;;C07C235/54;;C07C235/84;;C07C323/19;;C07C323/62;;C07D213/64;;C07D277/56;;C07D333/32;;C07D333/80</x:v>
      </x:c>
      <x:c r="T898" s="87" t="str">
        <x:v>ACTIVE</x:v>
      </x:c>
      <x:c r="U898" s="87" t="str">
        <x:v>https://lens.org/042-733-566-101-575</x:v>
      </x:c>
    </x:row>
    <x:row r="899">
      <x:c r="A899" s="87" t="str">
        <x:v>Sanofi_Applicant_EP_Families_2015_2021.csv(1).csv</x:v>
      </x:c>
      <x:c r="B899" s="87" t="str">
        <x:v>Sanofi</x:v>
      </x:c>
      <x:c r="C899" s="87" t="str">
        <x:v>TRT-0010</x:v>
      </x:c>
      <x:c r="D899" s="87" t="str">
        <x:v>Yes</x:v>
      </x:c>
      <x:c r="E899" s="87" t="str">
        <x:v>sanofi</x:v>
      </x:c>
      <x:c r="F899" s="87" t="str">
        <x:v>305</x:v>
      </x:c>
      <x:c r="G899" s="87" t="str">
        <x:v>034-660-376-389-18X</x:v>
      </x:c>
      <x:c r="H899" s="110" t="n">
        <x:v>41107</x:v>
      </x:c>
      <x:c r="I899" s="88" t="n">
        <x:v>2012</x:v>
      </x:c>
      <x:c r="J899" s="87" t="str">
        <x:v>EP</x:v>
      </x:c>
      <x:c r="K899" s="87" t="str">
        <x:v>B1</x:v>
      </x:c>
      <x:c r="L899" s="87" t="str">
        <x:v>EP 2874625 B1</x:v>
      </x:c>
      <x:c r="M899" s="87" t="str">
        <x:v>SANOFI SA</x:v>
      </x:c>
      <x:c r="N899" s="87" t="str">
        <x:v>SANOFI, FR (2025-09-28);;SANOFI; FR (2025-04-11);;SANOFI, PARIS, FR (2025-01-14)</x:v>
      </x:c>
      <x:c r="O899" s="87" t="str">
        <x:v>USE OF VEGFR-3 INHIBITORS FOR TREATING HEPATOCELLULAR CARCINOMA</x:v>
      </x:c>
      <x:c r="P899" s="109" t="n">
        <x:v>0</x:v>
      </x:c>
      <x:c r="Q899" s="109" t="n">
        <x:v>41</x:v>
      </x:c>
      <x:c r="R899" s="87" t="str">
        <x:v>C07D471/04;;A61K31/4375;;A61P1/16;;A61P35/00;;A61K31/4375;;A61P35/00;;C07D471/04;;A61K31/4375</x:v>
      </x:c>
      <x:c r="S899" s="87" t="str">
        <x:v>A61K31/4375;;A61P35/00</x:v>
      </x:c>
      <x:c r="T899" s="87" t="str">
        <x:v>ACTIVE</x:v>
      </x:c>
      <x:c r="U899" s="87" t="str">
        <x:v>https://lens.org/034-660-376-389-18X</x:v>
      </x:c>
    </x:row>
    <x:row r="900">
      <x:c r="A900" s="87" t="str">
        <x:v>Sanofi_Applicant_EP_Families_2015_2021.csv(1).csv</x:v>
      </x:c>
      <x:c r="B900" s="87" t="str">
        <x:v>Sanofi</x:v>
      </x:c>
      <x:c r="C900" s="87" t="str">
        <x:v>TRT-0010</x:v>
      </x:c>
      <x:c r="D900" s="87" t="str">
        <x:v>Yes</x:v>
      </x:c>
      <x:c r="E900" s="87" t="str">
        <x:v>sanofi</x:v>
      </x:c>
      <x:c r="F900" s="87" t="str">
        <x:v>306</x:v>
      </x:c>
      <x:c r="G900" s="87" t="str">
        <x:v>165-965-334-798-775</x:v>
      </x:c>
      <x:c r="H900" s="110" t="n">
        <x:v>41817</x:v>
      </x:c>
      <x:c r="I900" s="88" t="n">
        <x:v>2014</x:v>
      </x:c>
      <x:c r="J900" s="87" t="str">
        <x:v>EP</x:v>
      </x:c>
      <x:c r="K900" s="87" t="str">
        <x:v>A2</x:v>
      </x:c>
      <x:c r="L900" s="87" t="str">
        <x:v>EP 3160502 A2</x:v>
      </x:c>
      <x:c r="M900" s="87" t="str">
        <x:v>SANOFI SA</x:v>
      </x:c>
      <x:c r="N900" s="87" t="str">
        <x:v>SANOFI (2026-05-20)</x:v>
      </x:c>
      <x:c r="O900" s="87" t="str">
        <x:v>ANTI-IL4-IL 13 BISPECIFIC ANTIBODIES</x:v>
      </x:c>
      <x:c r="P900" s="109" t="n">
        <x:v>0</x:v>
      </x:c>
      <x:c r="Q900" s="109" t="n">
        <x:v>32</x:v>
      </x:c>
      <x:c r="R900" s="87" t="str">
        <x:v>C07K16/244;;C07K16/247;;A61K2039/545;;A61K2039/505;;C07K2317/33;;C07K2317/31;;C07K2317/76;;C07K2317/90;;C07K16/244;;A61K2039/505;;A61K2039/545;;C07K2317/31;;C07K2317/33;;C07K2317/76;;C07K2317/90;;A61K39/02;;A61K39/395;;C07K16/247;;A61P11/00;;A61K39/02;;A61K39/395;;A61K2039/505;;A61K2039/54;;A61K2039/545;;C07K14/521;;C07K16/244;;C07K16/247;;C07K16/468;;C07K2317/31;;C07K2317/33;;C07K2317/76;;C07K2317/90;;C07K2317/92;;C07K2317/94;;G01N33/6893;;G01N2333/521;;G01N2800/52;;C07K16/244;;C07K16/247;;A61K2039/505;;A61K2039/545;;C07K2317/31;;C07K2317/33;;C07K2317/76;;C07K2317/90;;C07K16/244;;A61K2039/505;;A61K2039/545;;C07K2317/31;;C07K2317/33;;C07K2317/90;;C07K2317/76;;A61K39/02;;A61K39/395;;C07K16/247;;A61K2039/54;;C07K14/521;;C07K16/468;;C07K2317/92;;C07K2317/94;;G01N33/6893;;G01N2333/521;;G01N2800/52</x:v>
      </x:c>
      <x:c r="S900" s="87" t="str">
        <x:v>A61K39/395</x:v>
      </x:c>
      <x:c r="T900" s="87" t="str">
        <x:v>ACTIVE</x:v>
      </x:c>
      <x:c r="U900" s="87" t="str">
        <x:v>https://lens.org/165-965-334-798-775</x:v>
      </x:c>
    </x:row>
    <x:row r="901">
      <x:c r="A901" s="87" t="str">
        <x:v>Sanofi_Applicant_EP_Families_2015_2021.csv(1).csv</x:v>
      </x:c>
      <x:c r="B901" s="87" t="str">
        <x:v>Sanofi</x:v>
      </x:c>
      <x:c r="C901" s="87" t="str">
        <x:v>TRT-0010</x:v>
      </x:c>
      <x:c r="D901" s="87" t="str">
        <x:v>Yes</x:v>
      </x:c>
      <x:c r="E901" s="87" t="str">
        <x:v>sanofi</x:v>
      </x:c>
      <x:c r="F901" s="87" t="str">
        <x:v>307</x:v>
      </x:c>
      <x:c r="G901" s="87" t="str">
        <x:v>078-173-404-166-935</x:v>
      </x:c>
      <x:c r="H901" s="110" t="n">
        <x:v>39519</x:v>
      </x:c>
      <x:c r="I901" s="88" t="n">
        <x:v>2008</x:v>
      </x:c>
      <x:c r="J901" s="87" t="str">
        <x:v>EP</x:v>
      </x:c>
      <x:c r="K901" s="87" t="str">
        <x:v>B1</x:v>
      </x:c>
      <x:c r="L901" s="87" t="str">
        <x:v>EP 2260097 B1</x:v>
      </x:c>
      <x:c r="M901" s="87" t="str">
        <x:v>SANOFI PASTEUR VAXDESIGN CORP</x:v>
      </x:c>
      <x:c r="N901" s="87" t="str">
        <x:v>SANOFI PASTEUR VAXDESIGN CORPORATION (2012-03-07)</x:v>
      </x:c>
      <x:c r="O901" s="87" t="str">
        <x:v>DISEASE MODEL INCORPORATION INTO AN ARTIFICIAL IMMUNE SYSTEM (AIS)</x:v>
      </x:c>
      <x:c r="P901" s="109" t="n">
        <x:v>0</x:v>
      </x:c>
      <x:c r="Q901" s="109" t="n">
        <x:v>11</x:v>
      </x:c>
      <x:c r="R901" s="87" t="str">
        <x:v>C12N5/0697;;C12N5/0651;;C12N2502/091;;C12N2502/094;;C12N2502/1107;;C12N2502/1114;;C12N2502/1121;;C12N2502/1192;;C12N2502/30;;C12N2503/04;;G01N33/5082</x:v>
      </x:c>
      <x:c r="S901" s="87" t="str">
        <x:v>C12N5/00</x:v>
      </x:c>
      <x:c r="T901" s="87" t="str">
        <x:v>ACTIVE</x:v>
      </x:c>
      <x:c r="U901" s="87" t="str">
        <x:v>https://lens.org/078-173-404-166-935</x:v>
      </x:c>
    </x:row>
    <x:row r="902">
      <x:c r="A902" s="87" t="str">
        <x:v>Sanofi_Applicant_EP_Families_2015_2021.csv(1).csv</x:v>
      </x:c>
      <x:c r="B902" s="87" t="str">
        <x:v>Sanofi</x:v>
      </x:c>
      <x:c r="C902" s="87" t="str">
        <x:v>TRT-0010</x:v>
      </x:c>
      <x:c r="D902" s="87" t="str">
        <x:v>Yes</x:v>
      </x:c>
      <x:c r="E902" s="87" t="str">
        <x:v>sanofi</x:v>
      </x:c>
      <x:c r="F902" s="87" t="str">
        <x:v>308</x:v>
      </x:c>
      <x:c r="G902" s="87" t="str">
        <x:v>060-249-178-261-727</x:v>
      </x:c>
      <x:c r="H902" s="110" t="n">
        <x:v>40074</x:v>
      </x:c>
      <x:c r="I902" s="88" t="n">
        <x:v>2009</x:v>
      </x:c>
      <x:c r="J902" s="87" t="str">
        <x:v>EP</x:v>
      </x:c>
      <x:c r="K902" s="87" t="str">
        <x:v>B1</x:v>
      </x:c>
      <x:c r="L902" s="87" t="str">
        <x:v>EP 2477611 B1</x:v>
      </x:c>
      <x:c r="M902" s="87" t="str">
        <x:v>SANOFI SA</x:v>
      </x:c>
      <x:c r="N902" s="87" t="str">
        <x:v>SANOFI-AVENTIS DEUTSCHLAND GMBH, FRANKFURT AM , DE (2019-08-14);;SANOFI-AVENTIS DEUTSCHLAND GMBH., DE (2022-10-28);;SANOFI-AVENTIS DEUTSCHLAND GMBH (2019-08-14);;SANOFI-AVENTIS DEUTSCHLAND GMBH; DE (2019-05-17)</x:v>
      </x:c>
      <x:c r="O902" s="87" t="str">
        <x:v>(Z)-2-CYANO-3-HYDROXY-BUT-2-ENOIC ACID-(4'-TRIFLUORMETHYLPHENYL)-AMIDE TABLET FORMULATIONS WITH IMPROVED STABILITY</x:v>
      </x:c>
      <x:c r="P902" s="109" t="n">
        <x:v>2</x:v>
      </x:c>
      <x:c r="Q902" s="109" t="n">
        <x:v>74</x:v>
      </x:c>
      <x:c r="R902" s="87" t="str">
        <x:v>A61K9/2013;;A61K9/2054;;A61K9/2059;;A61K31/277;;A61P11/02;;A61P11/06;;A61P17/00;;A61P17/06;;A61P19/02;;A61P19/04;;A61P25/00;;A61P27/02;;A61P29/00;;A61P3/02;;A61P31/00;;A61P31/04;;A61P35/00;;A61P35/02;;A61P37/00;;A61P37/02;;A61P37/06;;A61P37/08;;A61P7/00;;A61K9/2013;;A61K9/2054;;A61K9/2059;;A61K31/277;;C07C255/44;;A61K9/20;;A61K31/277;;A61K9/16;;A61K9/2054;;A61K9/2059;;A61K31/277;;A61K47/36;;A61K9/2013;;A61K9/2054;;A61K9/2059;;A61K31/277;;C07C255/44</x:v>
      </x:c>
      <x:c r="S902" s="87" t="str">
        <x:v>A61K9/20;;A61K31/277</x:v>
      </x:c>
      <x:c r="T902" s="87" t="str">
        <x:v>INACTIVE</x:v>
      </x:c>
      <x:c r="U902" s="87" t="str">
        <x:v>https://lens.org/060-249-178-261-727</x:v>
      </x:c>
    </x:row>
    <x:row r="903">
      <x:c r="A903" s="87" t="str">
        <x:v>Sanofi_Applicant_EP_Families_2015_2021.csv(1).csv</x:v>
      </x:c>
      <x:c r="B903" s="87" t="str">
        <x:v>Sanofi</x:v>
      </x:c>
      <x:c r="C903" s="87" t="str">
        <x:v>TRT-0010</x:v>
      </x:c>
      <x:c r="D903" s="87" t="str">
        <x:v>Yes</x:v>
      </x:c>
      <x:c r="E903" s="87" t="str">
        <x:v>sanofi</x:v>
      </x:c>
      <x:c r="F903" s="87" t="str">
        <x:v>309</x:v>
      </x:c>
      <x:c r="G903" s="87" t="str">
        <x:v>020-122-576-822-826</x:v>
      </x:c>
      <x:c r="H903" s="110" t="n">
        <x:v>40333</x:v>
      </x:c>
      <x:c r="I903" s="88" t="n">
        <x:v>2010</x:v>
      </x:c>
      <x:c r="J903" s="87" t="str">
        <x:v>EP</x:v>
      </x:c>
      <x:c r="K903" s="87" t="str">
        <x:v>B1</x:v>
      </x:c>
      <x:c r="L903" s="87" t="str">
        <x:v>EP 2576507 B1</x:v>
      </x:c>
      <x:c r="M903" s="87" t="str">
        <x:v>SANOFI SA</x:v>
      </x:c>
      <x:c r="N903" s="87" t="str">
        <x:v>SANOFI (2013-04-17)</x:v>
      </x:c>
      <x:c r="O903" s="87" t="str">
        <x:v>HEXAFLUOROISOPROPYL CARBAMATE DERIVATIVES, THEIR PREPARATION AND THEIR THERAPEUTIC APPLICATION</x:v>
      </x:c>
      <x:c r="P903" s="109" t="n">
        <x:v>0</x:v>
      </x:c>
      <x:c r="Q903" s="109" t="n">
        <x:v>48</x:v>
      </x:c>
      <x:c r="R903" s="87" t="str">
        <x:v>C07D205/04;;A61P1/00;;A61P1/04;;A61P1/08;;A61P1/14;;A61P1/16;;A61P3/00;;A61P3/04;;A61P3/06;;A61P9/00;;A61P9/10;;A61P11/00;;A61P13/00;;A61P13/02;;A61P13/10;;A61P13/12;;A61P19/10;;A61P25/00;;A61P25/04;;A61P25/08;;A61P25/18;;A61P25/20;;A61P25/28;;A61P27/02;;A61P29/00;;A61P31/04;;A61P31/12;;A61P33/00;;A61P35/00;;A61P37/00;;A61P37/02;;A61P37/08;;A61P43/00;;C07D207/12;;C07D207/14;;C07D207/16;;C07D211/16;;C07D211/18;;C07D211/22;;C07D211/32;;C07D211/34;;C07D211/46;;C07D211/54;;C07D211/58;;C07D211/62;;C07D239/42;;C07D249/18;;C07D285/14;;C07D295/20;;C07D401/04;;C07D401/12;;C07D403/04;;C07D405/12;;C07D409/12;;C07D413/04;;C07D413/06;;C07D413/12;;C07D417/12;;C07D211/16;;A61K31/4436;;C07D211/18;;C07D211/22;;C07D211/32;;C07D211/34;;C07D211/46;;C07D211/54;;C07D211/58;;C07D211/62;;C07D401/04;;C07D205/04;;C07D207/12;;C07D207/14;;C07D207/16;;C07D211/16;;C07D211/18;;C07D211/22;;C07D211/32;;C07D211/34;;C07D211/46;;C07D211/54;;C07D211/58;;C07D211/62;;C07D239/42;;C07D249/18;;C07D285/14;;C07D295/20;;C07D401/04;;C07D401/12;;C07D403/04;;C07D405/12;;C07D409/12;;C07D413/04;;C07D413/06;;C07D413/12;;C07D417/12</x:v>
      </x:c>
      <x:c r="S903" s="87" t="str">
        <x:v>C07D205/04;;A61K31/445;;A61P25/00;;C07D207/12;;C07D207/14;;C07D207/16;;C07D211/16;;C07D211/18;;C07D211/22;;C07D211/32;;C07D211/34;;C07D211/46;;C07D211/54;;C07D211/58;;C07D211/62;;C07D239/42;;C07D249/18;;C07D285/14;;C07D295/20;;C07D401/12</x:v>
      </x:c>
      <x:c r="T903" s="87" t="str">
        <x:v>ACTIVE</x:v>
      </x:c>
      <x:c r="U903" s="87" t="str">
        <x:v>https://lens.org/020-122-576-822-826</x:v>
      </x:c>
    </x:row>
    <x:row r="904">
      <x:c r="A904" s="87" t="str">
        <x:v>Sanofi_Applicant_EP_Families_2015_2021.csv(1).csv</x:v>
      </x:c>
      <x:c r="B904" s="87" t="str">
        <x:v>Sanofi</x:v>
      </x:c>
      <x:c r="C904" s="87" t="str">
        <x:v>TRT-0010</x:v>
      </x:c>
      <x:c r="D904" s="87" t="str">
        <x:v>Yes</x:v>
      </x:c>
      <x:c r="E904" s="87" t="str">
        <x:v>sanofi</x:v>
      </x:c>
      <x:c r="F904" s="87" t="str">
        <x:v>310</x:v>
      </x:c>
      <x:c r="G904" s="87" t="str">
        <x:v>125-666-005-548-889</x:v>
      </x:c>
      <x:c r="H904" s="110" t="n">
        <x:v>39101</x:v>
      </x:c>
      <x:c r="I904" s="88" t="n">
        <x:v>2007</x:v>
      </x:c>
      <x:c r="J904" s="87" t="str">
        <x:v>EP</x:v>
      </x:c>
      <x:c r="K904" s="87" t="str">
        <x:v>B1</x:v>
      </x:c>
      <x:c r="L904" s="87" t="str">
        <x:v>EP 2125787 B1</x:v>
      </x:c>
      <x:c r="M904" s="87" t="str">
        <x:v>SANOFI SA</x:v>
      </x:c>
      <x:c r="N904" s="87" t="str">
        <x:v>SANOFI (2012-05-02)</x:v>
      </x:c>
      <x:c r="O904" s="87" t="str">
        <x:v>DERIVATIVES OF N-(HETEROARYL)-1-HETEROARYL-1H-INDOL-2-CARBOXAMIDS, PREPARATION THEREOF AND THERAPEUTIC USE THEREOF</x:v>
      </x:c>
      <x:c r="P904" s="109" t="n">
        <x:v>0</x:v>
      </x:c>
      <x:c r="Q904" s="109" t="n">
        <x:v>15</x:v>
      </x:c>
      <x:c r="R904" s="87" t="str">
        <x:v>C07D401/14;;A61P1/02;;A61P1/04;;A61P1/14;;A61P1/16;;A61P1/18;;A61P3/00;;A61P3/10;;A61P7/04;;A61P9/10;;A61P11/00;;A61P11/06;;A61P11/08;;A61P11/14;;A61P13/00;;A61P13/02;;A61P13/10;;A61P13/12;;A61P15/00;;A61P17/00;;A61P17/02;;A61P17/04;;A61P17/06;;A61P17/16;;A61P19/02;;A61P25/00;;A61P25/04;;A61P25/06;;A61P25/24;;A61P27/02;;A61P29/00;;A61P31/22;;A61P43/00;;C07D401/14</x:v>
      </x:c>
      <x:c r="S904" s="87" t="str">
        <x:v>C07D401/14;;A61K31/4439;;A61P11/00;;A61P13/00;;A61P17/00;;A61P25/00</x:v>
      </x:c>
      <x:c r="T904" s="87" t="str">
        <x:v>ACTIVE</x:v>
      </x:c>
      <x:c r="U904" s="87" t="str">
        <x:v>https://lens.org/125-666-005-548-889</x:v>
      </x:c>
    </x:row>
    <x:row r="905">
      <x:c r="A905" s="87" t="str">
        <x:v>Sanofi_Applicant_EP_Families_2015_2021.csv(1).csv</x:v>
      </x:c>
      <x:c r="B905" s="87" t="str">
        <x:v>Sanofi</x:v>
      </x:c>
      <x:c r="C905" s="87" t="str">
        <x:v>TRT-0010</x:v>
      </x:c>
      <x:c r="D905" s="87" t="str">
        <x:v>Yes</x:v>
      </x:c>
      <x:c r="E905" s="87" t="str">
        <x:v>sanofi</x:v>
      </x:c>
      <x:c r="F905" s="87" t="str">
        <x:v>311</x:v>
      </x:c>
      <x:c r="G905" s="87" t="str">
        <x:v>130-146-887-768-788</x:v>
      </x:c>
      <x:c r="H905" s="110" t="n">
        <x:v>37986</x:v>
      </x:c>
      <x:c r="I905" s="88" t="n">
        <x:v>2003</x:v>
      </x:c>
      <x:c r="J905" s="87" t="str">
        <x:v>EP</x:v>
      </x:c>
      <x:c r="K905" s="87" t="str">
        <x:v>B1</x:v>
      </x:c>
      <x:c r="L905" s="87" t="str">
        <x:v>EP 1706026 B1</x:v>
      </x:c>
      <x:c r="M905" s="87" t="str">
        <x:v>SANOFI AVENTIS DEUTSCHLAND</x:v>
      </x:c>
      <x:c r="N905" s="87" t="str">
        <x:v>SANOFI-AVENTIS DEUTSCHLAND GMBH (2014-01-08)</x:v>
      </x:c>
      <x:c r="O905" s="87" t="str">
        <x:v>METHOD AND APPARATUS FOR IMPROVING FLUIDIC FLOW AND SAMPLE CAPTURE</x:v>
      </x:c>
      <x:c r="P905" s="109" t="n">
        <x:v>0</x:v>
      </x:c>
      <x:c r="Q905" s="109" t="n">
        <x:v>9</x:v>
      </x:c>
      <x:c r="R905" s="87" t="str">
        <x:v>A61B5/15101;;A61B5/150022;;A61B5/150152;;A61B5/150167;;A61B5/150175;;A61B5/150358;;A61B5/150427;;A61B5/150503;;A61B5/150572;;A61B5/15113;;A61B5/15123;;A61B5/15151;;A61B5/15161;;A61B5/15176;;A61B5/157;;A61B5/15101;;A61B5/1411;;A61B5/150022;;A61B5/150152;;A61B5/150167;;A61B5/150175;;A61B5/150358;;A61B5/150419;;A61B5/150427;;A61B5/15045;;A61B5/150503;;A61B5/150572;;A61B5/15113;;A61B5/15123;;A61B5/15151;;A61B5/15161;;A61B5/15176;;A61B5/157;;A61B2017/3437</x:v>
      </x:c>
      <x:c r="S905" s="87" t="str">
        <x:v>A61B5/15;;A61B5/00;;A61B5/151;;A61B5/157</x:v>
      </x:c>
      <x:c r="T905" s="87" t="str">
        <x:v>EXPIRED</x:v>
      </x:c>
      <x:c r="U905" s="87" t="str">
        <x:v>https://lens.org/130-146-887-768-788</x:v>
      </x:c>
    </x:row>
    <x:row r="906">
      <x:c r="A906" s="87" t="str">
        <x:v>Sanofi_Applicant_EP_Families_2015_2021.csv(1).csv</x:v>
      </x:c>
      <x:c r="B906" s="87" t="str">
        <x:v>Sanofi</x:v>
      </x:c>
      <x:c r="C906" s="87" t="str">
        <x:v>TRT-0010</x:v>
      </x:c>
      <x:c r="D906" s="87" t="str">
        <x:v>Yes</x:v>
      </x:c>
      <x:c r="E906" s="87" t="str">
        <x:v>sanofi</x:v>
      </x:c>
      <x:c r="F906" s="87" t="str">
        <x:v>312</x:v>
      </x:c>
      <x:c r="G906" s="87" t="str">
        <x:v>065-382-035-103-910</x:v>
      </x:c>
      <x:c r="H906" s="110" t="n">
        <x:v>39078</x:v>
      </x:c>
      <x:c r="I906" s="88" t="n">
        <x:v>2006</x:v>
      </x:c>
      <x:c r="J906" s="87" t="str">
        <x:v>EP</x:v>
      </x:c>
      <x:c r="K906" s="87" t="str">
        <x:v>B1</x:v>
      </x:c>
      <x:c r="L906" s="87" t="str">
        <x:v>EP 2125745 B1</x:v>
      </x:c>
      <x:c r="M906" s="87" t="str">
        <x:v>SANOFI SA</x:v>
      </x:c>
      <x:c r="N906" s="87" t="str">
        <x:v>SANOFI (2012-05-02)</x:v>
      </x:c>
      <x:c r="O906" s="87" t="str">
        <x:v>CYCLOALKYLAMINE SUBSTITUTED ISOQUINOLONE DERIVATIVES</x:v>
      </x:c>
      <x:c r="P906" s="109" t="n">
        <x:v>0</x:v>
      </x:c>
      <x:c r="Q906" s="109" t="n">
        <x:v>40</x:v>
      </x:c>
      <x:c r="R906" s="87" t="str">
        <x:v>C07D217/24;;A61P1/16;;A61P3/00;;A61P3/04;;A61P3/06;;A61P3/10;;A61P5/00;;A61P7/02;;A61P9/00;;A61P9/04;;A61P9/10;;A61P9/12;;A61P11/00;;A61P11/06;;A61P13/08;;A61P13/12;;A61P15/06;;A61P15/08;;A61P15/10;;A61P19/00;;A61P19/08;;A61P19/10;;A61P25/00;;A61P25/02;;A61P25/04;;A61P25/08;;A61P25/28;;A61P27/02;;A61P27/06;;A61P29/00;;A61P31/04;;A61P31/18;;A61P35/00;;A61P37/00;;A61P37/02;;A61P37/06;;A61P43/00;;C07D401/12;;C07D401/12;;A61K31/472;;A61K31/5377;;C07D217/24;;C07D217/24;;C07D401/12</x:v>
      </x:c>
      <x:c r="S906" s="87" t="str">
        <x:v>C07D217/24;;A61K31/472;;A61K31/4725;;A61K31/5377;;C07D401/12</x:v>
      </x:c>
      <x:c r="T906" s="87" t="str">
        <x:v>ACTIVE</x:v>
      </x:c>
      <x:c r="U906" s="87" t="str">
        <x:v>https://lens.org/065-382-035-103-910</x:v>
      </x:c>
    </x:row>
    <x:row r="907">
      <x:c r="A907" s="87" t="str">
        <x:v>Sanofi_Applicant_EP_Families_2015_2021.csv(1).csv</x:v>
      </x:c>
      <x:c r="B907" s="87" t="str">
        <x:v>Sanofi</x:v>
      </x:c>
      <x:c r="C907" s="87" t="str">
        <x:v>TRT-0010</x:v>
      </x:c>
      <x:c r="D907" s="87" t="str">
        <x:v>Yes</x:v>
      </x:c>
      <x:c r="E907" s="87" t="str">
        <x:v>sanofi</x:v>
      </x:c>
      <x:c r="F907" s="87" t="str">
        <x:v>313</x:v>
      </x:c>
      <x:c r="G907" s="87" t="str">
        <x:v>146-604-443-866-80X</x:v>
      </x:c>
      <x:c r="H907" s="110" t="n">
        <x:v>41648</x:v>
      </x:c>
      <x:c r="I907" s="88" t="n">
        <x:v>2014</x:v>
      </x:c>
      <x:c r="J907" s="87" t="str">
        <x:v>EP</x:v>
      </x:c>
      <x:c r="K907" s="87" t="str">
        <x:v>A1</x:v>
      </x:c>
      <x:c r="L907" s="87" t="str">
        <x:v>EP 3129005 A1</x:v>
      </x:c>
      <x:c r="M907" s="87" t="str">
        <x:v>SANOFI SA;;ZENTIVA KS</x:v>
      </x:c>
      <x:c r="N907" s="87" t="str">
        <x:v>ZENTIVA K.S. (2017-08-23);;SANOFI (2017-08-23)</x:v>
      </x:c>
      <x:c r="O907" s="87" t="str">
        <x:v>FORMULATION OF APREPITANT WITH ENHANCED SOLUBILITY</x:v>
      </x:c>
      <x:c r="P907" s="109" t="n">
        <x:v>0</x:v>
      </x:c>
      <x:c r="Q907" s="109" t="n">
        <x:v>4</x:v>
      </x:c>
      <x:c r="R907" s="87" t="str">
        <x:v>A61K9/146;;A61K31/5377</x:v>
      </x:c>
      <x:c r="S907" s="87" t="str">
        <x:v>A61K9/14;;A61K31/5377</x:v>
      </x:c>
      <x:c r="T907" s="87" t="str">
        <x:v>DISCONTINUED</x:v>
      </x:c>
      <x:c r="U907" s="87" t="str">
        <x:v>https://lens.org/146-604-443-866-80X</x:v>
      </x:c>
    </x:row>
    <x:row r="908">
      <x:c r="A908" s="87" t="str">
        <x:v>Sanofi_Applicant_EP_Families_2015_2021.csv(1).csv</x:v>
      </x:c>
      <x:c r="B908" s="87" t="str">
        <x:v>Sanofi</x:v>
      </x:c>
      <x:c r="C908" s="87" t="str">
        <x:v>TRT-0010</x:v>
      </x:c>
      <x:c r="D908" s="87" t="str">
        <x:v>Yes</x:v>
      </x:c>
      <x:c r="E908" s="87" t="str">
        <x:v>sanofi</x:v>
      </x:c>
      <x:c r="F908" s="87" t="str">
        <x:v>314</x:v>
      </x:c>
      <x:c r="G908" s="87" t="str">
        <x:v>160-021-543-658-891</x:v>
      </x:c>
      <x:c r="H908" s="110" t="n">
        <x:v>40942</x:v>
      </x:c>
      <x:c r="I908" s="88" t="n">
        <x:v>2012</x:v>
      </x:c>
      <x:c r="J908" s="87" t="str">
        <x:v>EP</x:v>
      </x:c>
      <x:c r="K908" s="87" t="str">
        <x:v>B1</x:v>
      </x:c>
      <x:c r="L908" s="87" t="str">
        <x:v>EP 2809669 B1</x:v>
      </x:c>
      <x:c r="M908" s="87" t="str">
        <x:v>SANOFI SA</x:v>
      </x:c>
      <x:c r="N908" s="87" t="str">
        <x:v>SANOFI, FR (2025-09-28);;SANOFI; FR (2025-04-11);;SANOFI, PARIS, FR (2025-01-14)</x:v>
      </x:c>
      <x:c r="O908" s="87" t="str">
        <x:v>FUSED PYRROLEDICARBOXAMIDES AND THEIR USE AS PHARMACEUTICALS</x:v>
      </x:c>
      <x:c r="P908" s="109" t="n">
        <x:v>0</x:v>
      </x:c>
      <x:c r="Q908" s="109" t="n">
        <x:v>36</x:v>
      </x:c>
      <x:c r="R908" s="87" t="str">
        <x:v>C07D471/04;;C07D498/04;;C07D513/04;;C07D471/04;;A61P3/04;;A61P9/00;;A61P9/06;;A61P9/10;;A61P11/00;;A61P21/02;;A61P25/00;;A61P25/02;;A61P25/16;;A61P25/28;;A61P29/00;;A61P37/00;;A61P37/02;;A61P43/00;;C07D498/04;;C07D513/04;;A61K31/437;;A61K31/5365;;A61K31/5383;;C07D471/04;;C07D498/04;;C07D513/04;;C07D471/04;;C07D498/04;;C07D513/04</x:v>
      </x:c>
      <x:c r="S908" s="87" t="str">
        <x:v>C07D471/04;;A61K31/429;;A61K31/437;;A61K31/5365;;A61K31/5383;;A61K31/542;;A61P9/06;;A61P11/00;;C07D498/04;;C07D513/04</x:v>
      </x:c>
      <x:c r="T908" s="87" t="str">
        <x:v>ACTIVE</x:v>
      </x:c>
      <x:c r="U908" s="87" t="str">
        <x:v>https://lens.org/160-021-543-658-891</x:v>
      </x:c>
    </x:row>
    <x:row r="909">
      <x:c r="A909" s="87" t="str">
        <x:v>Sanofi_Applicant_EP_Families_2015_2021.csv(1).csv</x:v>
      </x:c>
      <x:c r="B909" s="87" t="str">
        <x:v>Sanofi</x:v>
      </x:c>
      <x:c r="C909" s="87" t="str">
        <x:v>TRT-0010</x:v>
      </x:c>
      <x:c r="D909" s="87" t="str">
        <x:v>Yes</x:v>
      </x:c>
      <x:c r="E909" s="87" t="str">
        <x:v>sanofi</x:v>
      </x:c>
      <x:c r="F909" s="87" t="str">
        <x:v>315</x:v>
      </x:c>
      <x:c r="G909" s="87" t="str">
        <x:v>104-953-072-293-054</x:v>
      </x:c>
      <x:c r="H909" s="110" t="n">
        <x:v>38141</x:v>
      </x:c>
      <x:c r="I909" s="88" t="n">
        <x:v>2004</x:v>
      </x:c>
      <x:c r="J909" s="87" t="str">
        <x:v>EP</x:v>
      </x:c>
      <x:c r="K909" s="87" t="str">
        <x:v>B1</x:v>
      </x:c>
      <x:c r="L909" s="87" t="str">
        <x:v>EP 1765152 B1</x:v>
      </x:c>
      <x:c r="M909" s="87" t="str">
        <x:v>SANOFI AVENTIS DEUTSCHLAND</x:v>
      </x:c>
      <x:c r="N909" s="87" t="str">
        <x:v>SANOFI-AVENTIS DEUTSCHLAND GMBH (2014-01-08)</x:v>
      </x:c>
      <x:c r="O909" s="87" t="str">
        <x:v>APPARATUS FOR AN INTEGRATED SAMPLE CAPTURE AND ANALYSIS DISPOSABLE</x:v>
      </x:c>
      <x:c r="P909" s="109" t="n">
        <x:v>0</x:v>
      </x:c>
      <x:c r="Q909" s="109" t="n">
        <x:v>5</x:v>
      </x:c>
      <x:c r="R909" s="87" t="str">
        <x:v>A61B5/15176;;A61B5/14532;;A61B5/1455;;A61B5/150022;;A61B5/150152;;A61B5/150167;;A61B5/150175;;A61B5/150213;;A61B5/150221;;A61B5/150358;;A61B5/150427;;A61B5/150503;;A61B5/150572;;A61B5/15117;;A61B5/15123;;A61B5/15146;;A61B5/15151;;A61B5/15161;;A61B5/157</x:v>
      </x:c>
      <x:c r="S909" s="87" t="str">
        <x:v>A61B5/00;;A61B5/15;;A61B5/155;;A61B17/14;;A61B17/32;;B65D81/00</x:v>
      </x:c>
      <x:c r="T909" s="87" t="str">
        <x:v>EXPIRED</x:v>
      </x:c>
      <x:c r="U909" s="87" t="str">
        <x:v>https://lens.org/104-953-072-293-054</x:v>
      </x:c>
    </x:row>
    <x:row r="910">
      <x:c r="A910" s="87" t="str">
        <x:v>Sanofi_Applicant_EP_Families_2015_2021.csv(1).csv</x:v>
      </x:c>
      <x:c r="B910" s="87" t="str">
        <x:v>Sanofi</x:v>
      </x:c>
      <x:c r="C910" s="87" t="str">
        <x:v>TRT-0010</x:v>
      </x:c>
      <x:c r="D910" s="87" t="str">
        <x:v>Yes</x:v>
      </x:c>
      <x:c r="E910" s="87" t="str">
        <x:v>sanofi</x:v>
      </x:c>
      <x:c r="F910" s="87" t="str">
        <x:v>316</x:v>
      </x:c>
      <x:c r="G910" s="87" t="str">
        <x:v>049-252-294-504-537</x:v>
      </x:c>
      <x:c r="H910" s="110" t="n">
        <x:v>41235</x:v>
      </x:c>
      <x:c r="I910" s="88" t="n">
        <x:v>2012</x:v>
      </x:c>
      <x:c r="J910" s="87" t="str">
        <x:v>EP</x:v>
      </x:c>
      <x:c r="K910" s="87" t="str">
        <x:v>B1</x:v>
      </x:c>
      <x:c r="L910" s="87" t="str">
        <x:v>EP 2922822 B1</x:v>
      </x:c>
      <x:c r="M910" s="87" t="str">
        <x:v>SANOFI SA</x:v>
      </x:c>
      <x:c r="N910" s="87" t="str">
        <x:v>SANOFI, FR (2025-09-28);;SANOFI (2017-08-23)</x:v>
      </x:c>
      <x:c r="O910" s="87" t="str">
        <x:v>METHOD FOR PREPARING PHENYLOXYMETHYL-NITRO-IMIDAZOLE DERIVATIVES AND USE OF SAME</x:v>
      </x:c>
      <x:c r="P910" s="109" t="n">
        <x:v>0</x:v>
      </x:c>
      <x:c r="Q910" s="109" t="n">
        <x:v>26</x:v>
      </x:c>
      <x:c r="R910" s="87" t="str">
        <x:v>C07D233/94;;C07D233/94;;C07D233/94</x:v>
      </x:c>
      <x:c r="S910" s="87" t="str">
        <x:v>C07D233/94</x:v>
      </x:c>
      <x:c r="T910" s="87" t="str">
        <x:v>ACTIVE</x:v>
      </x:c>
      <x:c r="U910" s="87" t="str">
        <x:v>https://lens.org/049-252-294-504-537</x:v>
      </x:c>
    </x:row>
    <x:row r="911">
      <x:c r="A911" s="87" t="str">
        <x:v>Sanofi_Applicant_EP_Families_2015_2021.csv(1).csv</x:v>
      </x:c>
      <x:c r="B911" s="87" t="str">
        <x:v>Sanofi</x:v>
      </x:c>
      <x:c r="C911" s="87" t="str">
        <x:v>TRT-0010</x:v>
      </x:c>
      <x:c r="D911" s="87" t="str">
        <x:v>Yes</x:v>
      </x:c>
      <x:c r="E911" s="87" t="str">
        <x:v>sanofi</x:v>
      </x:c>
      <x:c r="F911" s="87" t="str">
        <x:v>317</x:v>
      </x:c>
      <x:c r="G911" s="87" t="str">
        <x:v>006-377-843-780-163</x:v>
      </x:c>
      <x:c r="H911" s="110" t="n">
        <x:v>40368</x:v>
      </x:c>
      <x:c r="I911" s="88" t="n">
        <x:v>2010</x:v>
      </x:c>
      <x:c r="J911" s="87" t="str">
        <x:v>EP</x:v>
      </x:c>
      <x:c r="K911" s="87" t="str">
        <x:v>B1</x:v>
      </x:c>
      <x:c r="L911" s="87" t="str">
        <x:v>EP 2590654 B1</x:v>
      </x:c>
      <x:c r="M911" s="87" t="str">
        <x:v>EXELIXIS INC;;SANOFI SA;;UNIV VANDERBILT</x:v>
      </x:c>
      <x:c r="N911" s="87" t="str">
        <x:v>EXELIXIS, INC. (2013-10-23);;EXELIXIS, INC., ALAMEDA, US (2020-04-02);;VANDERBILT UNIVERSITY, NASHVILLE, US (2020-04-02);;SANOFI (2013-10-23);;VANDERBILT UNIVERSITY (2013-10-23)</x:v>
      </x:c>
      <x:c r="O911" s="87" t="str">
        <x:v>COMBINATIONS OF KINASE INHIBITORS FOR THE TREATMENT OF CANCER</x:v>
      </x:c>
      <x:c r="P911" s="109" t="n">
        <x:v>0</x:v>
      </x:c>
      <x:c r="Q911" s="109" t="n">
        <x:v>18</x:v>
      </x:c>
      <x:c r="R911" s="87" t="str">
        <x:v>A61K31/498;;A61K31/517;;A61K31/63;;A61K31/7088;;A61K39/39558;;A61K45/06;;A61P35/00;;A61P35/02;;A61P43/00;;C07K16/32;;C07K2317/24;;C07K2317/34;;C07K2317/73;;C07K2317/76;;A61K31/498;;A61K31/517;;A61K31/63;;A61K39/395;;A61K39/3955;;A61K31/498;;A61K31/517;;A61K31/63;;A61K31/7088;;A61K39/39558;;A61K45/06;;A61K2039/505;;C07K16/32;;C07K2317/24;;C07K2317/34;;C07K2317/73;;C07K2317/76</x:v>
      </x:c>
      <x:c r="S911" s="87" t="str">
        <x:v>A61K31/498;;A61K31/517;;A61K31/63;;A61K31/7088;;A61K39/395;;A61K45/06;;A61P35/00</x:v>
      </x:c>
      <x:c r="T911" s="87" t="str">
        <x:v>ACTIVE</x:v>
      </x:c>
      <x:c r="U911" s="87" t="str">
        <x:v>https://lens.org/006-377-843-780-163</x:v>
      </x:c>
    </x:row>
    <x:row r="912">
      <x:c r="A912" s="87" t="str">
        <x:v>Sanofi_Applicant_EP_Families_2015_2021.csv(1).csv</x:v>
      </x:c>
      <x:c r="B912" s="87" t="str">
        <x:v>Sanofi</x:v>
      </x:c>
      <x:c r="C912" s="87" t="str">
        <x:v>TRT-0010</x:v>
      </x:c>
      <x:c r="D912" s="87" t="str">
        <x:v>Yes</x:v>
      </x:c>
      <x:c r="E912" s="87" t="str">
        <x:v>sanofi</x:v>
      </x:c>
      <x:c r="F912" s="87" t="str">
        <x:v>318</x:v>
      </x:c>
      <x:c r="G912" s="87" t="str">
        <x:v>133-635-911-118-598</x:v>
      </x:c>
      <x:c r="H912" s="110" t="n">
        <x:v>39279</x:v>
      </x:c>
      <x:c r="I912" s="88" t="n">
        <x:v>2007</x:v>
      </x:c>
      <x:c r="J912" s="87" t="str">
        <x:v>EP</x:v>
      </x:c>
      <x:c r="K912" s="87" t="str">
        <x:v>B1</x:v>
      </x:c>
      <x:c r="L912" s="87" t="str">
        <x:v>EP 2185525 B1</x:v>
      </x:c>
      <x:c r="M912" s="87" t="str">
        <x:v>SANOFI SA</x:v>
      </x:c>
      <x:c r="N912" s="87" t="str">
        <x:v>SANOFI (2012-05-02)</x:v>
      </x:c>
      <x:c r="O912" s="87" t="str">
        <x:v>PYRAZOLE 3,5 CARBOXYLATE DERIVATIVES PREPARATION AND THERAPEUTIC APPLICATION THEREOF</x:v>
      </x:c>
      <x:c r="P912" s="109" t="n">
        <x:v>0</x:v>
      </x:c>
      <x:c r="Q912" s="109" t="n">
        <x:v>11</x:v>
      </x:c>
      <x:c r="R912" s="87" t="str">
        <x:v>C07D231/14;;A61P9/10;;A61P25/00;;A61P25/16;;A61P25/18;;A61P25/28;;C07D401/06;;C07D401/14;;C07D403/06;;C07D231/14;;C07D401/06;;C07D401/14;;C07D403/06</x:v>
      </x:c>
      <x:c r="S912" s="87" t="str">
        <x:v>A61K31/415;;A61K31/4439;;A61P25/00</x:v>
      </x:c>
      <x:c r="T912" s="87" t="str">
        <x:v>ACTIVE</x:v>
      </x:c>
      <x:c r="U912" s="87" t="str">
        <x:v>https://lens.org/133-635-911-118-598</x:v>
      </x:c>
    </x:row>
    <x:row r="913">
      <x:c r="A913" s="87" t="str">
        <x:v>Sanofi_Applicant_EP_Families_2015_2021.csv(1).csv</x:v>
      </x:c>
      <x:c r="B913" s="87" t="str">
        <x:v>Sanofi</x:v>
      </x:c>
      <x:c r="C913" s="87" t="str">
        <x:v>TRT-0010</x:v>
      </x:c>
      <x:c r="D913" s="87" t="str">
        <x:v>Yes</x:v>
      </x:c>
      <x:c r="E913" s="87" t="str">
        <x:v>sanofi</x:v>
      </x:c>
      <x:c r="F913" s="87" t="str">
        <x:v>319</x:v>
      </x:c>
      <x:c r="G913" s="87" t="str">
        <x:v>000-813-251-012-304</x:v>
      </x:c>
      <x:c r="H913" s="110" t="n">
        <x:v>37504</x:v>
      </x:c>
      <x:c r="I913" s="88" t="n">
        <x:v>2002</x:v>
      </x:c>
      <x:c r="J913" s="87" t="str">
        <x:v>EP</x:v>
      </x:c>
      <x:c r="K913" s="87" t="str">
        <x:v>B1</x:v>
      </x:c>
      <x:c r="L913" s="87" t="str">
        <x:v>EP 1585558 B1</x:v>
      </x:c>
      <x:c r="M913" s="87" t="str">
        <x:v>SANOFI AVENTIS DEUTSCHLAND</x:v>
      </x:c>
      <x:c r="N913" s="87" t="str">
        <x:v>SANOFI-AVENTIS DEUTSCHLAND GMBH (2014-01-08)</x:v>
      </x:c>
      <x:c r="O913" s="87" t="str">
        <x:v>APPARATUS FOR LANCET ACTUATION</x:v>
      </x:c>
      <x:c r="P913" s="109" t="n">
        <x:v>0</x:v>
      </x:c>
      <x:c r="Q913" s="109" t="n">
        <x:v>22</x:v>
      </x:c>
      <x:c r="R913" s="87" t="str">
        <x:v>G01N33/557;;A61B5/14532;;A61B5/14546;;A61B5/150022;;A61B5/150068;;A61B5/150083;;A61B5/150099;;A61B5/150152;;A61B5/150167;;A61B5/15019;;A61B5/150213;;A61B5/150221;;A61B5/150229;;A61B5/150358;;A61B5/150412;;A61B5/150435;;A61B5/150503;;A61B5/150572;;A61B5/150809;;A61B5/150824;;A61B5/150832;;A61B5/15087;;A61B5/150916;;A61B5/150954;;A61B5/151;;A61B5/15111;;A61B5/15113;;A61B5/15117;;A61B5/15123;;A61B5/15146;;A61B5/15151;;A61B5/15163;;A61B5/15169;;A61B5/15171;;A61B5/15174;;A61B5/15176;;A61B5/15184;;A61B5/15186;;A61B5/1519;;A61B5/15194;;A61B17/32093;;B01L3/5027;;B01L2200/10;;B01L2300/0663;;B01L2300/18;;G01N33/4905;;G01N33/557;;A61B5/14532;;A61B5/14546;;A61B5/150022;;A61B5/150068;;A61B5/150083;;A61B5/150099;;A61B5/150152;;A61B5/150167;;A61B5/15019;;A61B5/150213;;A61B5/150221;;A61B5/150229;;A61B5/150358;;A61B5/150412;;A61B5/150435;;A61B5/150503;;A61B5/150572;;A61B5/150809;;A61B5/150824;;A61B5/150832;;A61B5/15087;;A61B5/150916;;A61B5/150954;;A61B5/151;;A61B5/15111;;A61B5/15113;;A61B5/15117;;A61B5/15123;;A61B5/15146;;A61B5/15151;;A61B5/15163;;A61B5/15169;;A61B5/15171;;A61B5/15174;;A61B5/15176;;A61B5/15184;;A61B5/15186;;A61B5/1519;;A61B5/15194;;A61B17/32093;;B01L3/5027;;B01L2200/10;;B01L2300/0663;;B01L2300/18;;G01N33/4905</x:v>
      </x:c>
      <x:c r="S913" s="87" t="str">
        <x:v>A61B5/145;;A61B5/00;;A61B5/15;;A61B5/151;;A61B5/155;;A61B17/14;;A61B17/32;;A61B17/3209;;B01L3/00;;G01N33/49;;G01N33/557</x:v>
      </x:c>
      <x:c r="T913" s="87" t="str">
        <x:v>EXPIRED</x:v>
      </x:c>
      <x:c r="U913" s="87" t="str">
        <x:v>https://lens.org/000-813-251-012-304</x:v>
      </x:c>
    </x:row>
    <x:row r="914">
      <x:c r="A914" s="87" t="str">
        <x:v>Sanofi_Applicant_EP_Families_2015_2021.csv(1).csv</x:v>
      </x:c>
      <x:c r="B914" s="87" t="str">
        <x:v>Sanofi</x:v>
      </x:c>
      <x:c r="C914" s="87" t="str">
        <x:v>TRT-0010</x:v>
      </x:c>
      <x:c r="D914" s="87" t="str">
        <x:v>Yes</x:v>
      </x:c>
      <x:c r="E914" s="87" t="str">
        <x:v>sanofi</x:v>
      </x:c>
      <x:c r="F914" s="87" t="str">
        <x:v>320</x:v>
      </x:c>
      <x:c r="G914" s="87" t="str">
        <x:v>186-555-342-209-424</x:v>
      </x:c>
      <x:c r="H914" s="110" t="n">
        <x:v>39273</x:v>
      </x:c>
      <x:c r="I914" s="88" t="n">
        <x:v>2007</x:v>
      </x:c>
      <x:c r="J914" s="87" t="str">
        <x:v>EP</x:v>
      </x:c>
      <x:c r="K914" s="87" t="str">
        <x:v>B1</x:v>
      </x:c>
      <x:c r="L914" s="87" t="str">
        <x:v>EP 2173865 B1</x:v>
      </x:c>
      <x:c r="M914" s="87" t="str">
        <x:v>SANOFI PASTEUR INC</x:v>
      </x:c>
      <x:c r="N914" s="87" t="str">
        <x:v>SANOFI PASTEUR, INC. (2016-10-12)</x:v>
      </x:c>
      <x:c r="O914" s="87" t="str">
        <x:v>APPARATUS AND METHOD FOR HARVESTING BIOLOGICS FROM EGGS</x:v>
      </x:c>
      <x:c r="P914" s="109" t="n">
        <x:v>0</x:v>
      </x:c>
      <x:c r="Q914" s="109" t="n">
        <x:v>13</x:v>
      </x:c>
      <x:c r="R914" s="87" t="str">
        <x:v>A61K39/145;;A47J43/145;;A61K39/12;;C12N7/00;;C12N2760/16134;;C12N2760/16151;;A61K39/145;;A47J43/145;;A61K39/12;;C12N7/00;;C12N2760/16134;;C12N2760/16151</x:v>
      </x:c>
      <x:c r="S914" s="87" t="str">
        <x:v>C12N7/00;;A47J43/14;;A61K39/12</x:v>
      </x:c>
      <x:c r="T914" s="87" t="str">
        <x:v>ACTIVE</x:v>
      </x:c>
      <x:c r="U914" s="87" t="str">
        <x:v>https://lens.org/186-555-342-209-424</x:v>
      </x:c>
    </x:row>
    <x:row r="915">
      <x:c r="A915" s="87" t="str">
        <x:v>Sanofi_Applicant_EP_Families_2015_2021.csv(1).csv</x:v>
      </x:c>
      <x:c r="B915" s="87" t="str">
        <x:v>Sanofi</x:v>
      </x:c>
      <x:c r="C915" s="87" t="str">
        <x:v>TRT-0010</x:v>
      </x:c>
      <x:c r="D915" s="87" t="str">
        <x:v>Yes</x:v>
      </x:c>
      <x:c r="E915" s="87" t="str">
        <x:v>sanofi</x:v>
      </x:c>
      <x:c r="F915" s="87" t="str">
        <x:v>321</x:v>
      </x:c>
      <x:c r="G915" s="87" t="str">
        <x:v>061-877-774-591-507</x:v>
      </x:c>
      <x:c r="H915" s="110" t="n">
        <x:v>41648</x:v>
      </x:c>
      <x:c r="I915" s="88" t="n">
        <x:v>2014</x:v>
      </x:c>
      <x:c r="J915" s="87" t="str">
        <x:v>EP</x:v>
      </x:c>
      <x:c r="K915" s="87" t="str">
        <x:v>A1</x:v>
      </x:c>
      <x:c r="L915" s="87" t="str">
        <x:v>EP 3091965 A1</x:v>
      </x:c>
      <x:c r="M915" s="87" t="str">
        <x:v>SANOFI SA</x:v>
      </x:c>
      <x:c r="N915" s="87" t="str">
        <x:v>SANOFI (2022-12-28)</x:v>
      </x:c>
      <x:c r="O915" s="87" t="str">
        <x:v>STABILIZED GLYCEROL FREE PHARMACEUTICAL FORMULATIONS OF INSULIN ANALOGUES AND/OR INSULIN DERIVATIVES</x:v>
      </x:c>
      <x:c r="P915" s="109" t="n">
        <x:v>0</x:v>
      </x:c>
      <x:c r="Q915" s="109" t="n">
        <x:v>19</x:v>
      </x:c>
      <x:c r="R915" s="87" t="str">
        <x:v>A61K38/28;;A61K9/0019;;A61K9/08;;A61K33/30;;A61K38/1825;;A61K38/26;;A61K45/06;;A61K47/02;;A61P3/10;;A61P43/00;;A61K9/08;;A61K9/0019;;A61K33/30;;A61K38/1825;;A61K38/28;;A61K45/06;;A61K47/02;;A61K47/10;;A61K47/42;;A61K2300/00;;A61K38/28;;A61K9/0019;;A61K9/08;;A61K33/30;;A61K38/1825;;A61K38/26;;A61K45/06;;A61K47/02;;A61K47/10;;A61K47/42</x:v>
      </x:c>
      <x:c r="S915" s="87" t="str">
        <x:v>A61K9/00;;A61K9/08;;A61K38/28;;A61K47/02;;A61K47/10;;A61P3/10</x:v>
      </x:c>
      <x:c r="T915" s="87" t="str">
        <x:v>DISCONTINUED</x:v>
      </x:c>
      <x:c r="U915" s="87" t="str">
        <x:v>https://lens.org/061-877-774-591-507</x:v>
      </x:c>
    </x:row>
    <x:row r="916">
      <x:c r="A916" s="87" t="str">
        <x:v>Sanofi_Applicant_EP_Families_2015_2021.csv(1).csv</x:v>
      </x:c>
      <x:c r="B916" s="87" t="str">
        <x:v>Sanofi</x:v>
      </x:c>
      <x:c r="C916" s="87" t="str">
        <x:v>TRT-0010</x:v>
      </x:c>
      <x:c r="D916" s="87" t="str">
        <x:v>Yes</x:v>
      </x:c>
      <x:c r="E916" s="87" t="str">
        <x:v>sanofi</x:v>
      </x:c>
      <x:c r="F916" s="87" t="str">
        <x:v>322</x:v>
      </x:c>
      <x:c r="G916" s="87" t="str">
        <x:v>121-316-194-777-57X</x:v>
      </x:c>
      <x:c r="H916" s="110" t="n">
        <x:v>41648</x:v>
      </x:c>
      <x:c r="I916" s="88" t="n">
        <x:v>2014</x:v>
      </x:c>
      <x:c r="J916" s="87" t="str">
        <x:v>EP</x:v>
      </x:c>
      <x:c r="K916" s="87" t="str">
        <x:v>A1</x:v>
      </x:c>
      <x:c r="L916" s="87" t="str">
        <x:v>EP 3091964 A1</x:v>
      </x:c>
      <x:c r="M916" s="87" t="str">
        <x:v>SANOFI SA</x:v>
      </x:c>
      <x:c r="N916" s="87" t="str">
        <x:v>SANOFI (2022-12-28)</x:v>
      </x:c>
      <x:c r="O916" s="87" t="str">
        <x:v>STABILIZED PHARMACEUTICAL FORMULATIONS OF INSULIN ASPART</x:v>
      </x:c>
      <x:c r="P916" s="109" t="n">
        <x:v>0</x:v>
      </x:c>
      <x:c r="Q916" s="109" t="n">
        <x:v>20</x:v>
      </x:c>
      <x:c r="R916" s="87" t="str">
        <x:v>A61K38/28;;A61K9/0019;;A61K9/08;;A61K33/30;;A61K38/1825;;A61K38/26;;A61K45/06;;A61K47/02;;A61K47/10;;A61P3/10;;A61K38/28;;A61K9/0019;;A61K9/08;;A61K33/30;;A61K38/1825;;A61K38/26;;A61K45/06;;A61K47/02;;A61K47/10;;A61K2300/00;;A61K38/28;;A61K9/0019;;A61K9/08;;A61K33/30;;A61K38/1825;;A61K38/26;;A61K45/06;;A61K47/02;;A61K47/10;;A61K47/42</x:v>
      </x:c>
      <x:c r="S916" s="87" t="str">
        <x:v>A61K9/00;;A61K9/08;;A61K38/28;;A61K47/02;;A61K47/10;;A61P3/10</x:v>
      </x:c>
      <x:c r="T916" s="87" t="str">
        <x:v>DISCONTINUED</x:v>
      </x:c>
      <x:c r="U916" s="87" t="str">
        <x:v>https://lens.org/121-316-194-777-57X</x:v>
      </x:c>
    </x:row>
    <x:row r="917">
      <x:c r="A917" s="87" t="str">
        <x:v>Sanofi_Applicant_EP_Families_2015_2021.csv(1).csv</x:v>
      </x:c>
      <x:c r="B917" s="87" t="str">
        <x:v>Sanofi</x:v>
      </x:c>
      <x:c r="C917" s="87" t="str">
        <x:v>TRT-0010</x:v>
      </x:c>
      <x:c r="D917" s="87" t="str">
        <x:v>Yes</x:v>
      </x:c>
      <x:c r="E917" s="87" t="str">
        <x:v>sanofi</x:v>
      </x:c>
      <x:c r="F917" s="87" t="str">
        <x:v>323</x:v>
      </x:c>
      <x:c r="G917" s="87" t="str">
        <x:v>141-824-103-163-473</x:v>
      </x:c>
      <x:c r="H917" s="110" t="n">
        <x:v>40883</x:v>
      </x:c>
      <x:c r="I917" s="88" t="n">
        <x:v>2011</x:v>
      </x:c>
      <x:c r="J917" s="87" t="str">
        <x:v>EP</x:v>
      </x:c>
      <x:c r="K917" s="87" t="str">
        <x:v>B1</x:v>
      </x:c>
      <x:c r="L917" s="87" t="str">
        <x:v>EP 2787998 B1</x:v>
      </x:c>
      <x:c r="M917" s="87" t="str">
        <x:v>SANOFI SA</x:v>
      </x:c>
      <x:c r="N917" s="87" t="str">
        <x:v>SANOFI; FR (2025-04-11)</x:v>
      </x:c>
      <x:c r="O917" s="87" t="str">
        <x:v>CRYSTALLINE FORMS OF 2-(2-METHYLAMINO-PYRIMIDIN-4-YL)-1H-INDOLE-5-CARBOXYLIC ACID [(S)-1-CARBAMOYL-2-(PHENYL-PYRIMIDIN-2-YL-AMINO)-ETHYL]-AMIDE</x:v>
      </x:c>
      <x:c r="P917" s="109" t="n">
        <x:v>0</x:v>
      </x:c>
      <x:c r="Q917" s="109" t="n">
        <x:v>34</x:v>
      </x:c>
      <x:c r="R917" s="87" t="str">
        <x:v>C07D403/12;;A61K31/506;;A61P19/02;;A61P25/04;;A61P29/00;;A61P35/00;;A61P43/00;;C07D403/14;;A61K31/506;;C07B2200/13;;C07D403/14;;C07D403/12;;A61K31/506;;C07D403/14</x:v>
      </x:c>
      <x:c r="S917" s="87" t="str">
        <x:v>A61K31/506;;A61P29/00;;C07D403/14</x:v>
      </x:c>
      <x:c r="T917" s="87" t="str">
        <x:v>ACTIVE</x:v>
      </x:c>
      <x:c r="U917" s="87" t="str">
        <x:v>https://lens.org/141-824-103-163-473</x:v>
      </x:c>
    </x:row>
    <x:row r="918">
      <x:c r="A918" s="87" t="str">
        <x:v>Sanofi_Applicant_EP_Families_2015_2021.csv(1).csv</x:v>
      </x:c>
      <x:c r="B918" s="87" t="str">
        <x:v>Sanofi</x:v>
      </x:c>
      <x:c r="C918" s="87" t="str">
        <x:v>TRT-0010</x:v>
      </x:c>
      <x:c r="D918" s="87" t="str">
        <x:v>Yes</x:v>
      </x:c>
      <x:c r="E918" s="87" t="str">
        <x:v>sanofi</x:v>
      </x:c>
      <x:c r="F918" s="87" t="str">
        <x:v>324</x:v>
      </x:c>
      <x:c r="G918" s="87" t="str">
        <x:v>103-935-957-271-658</x:v>
      </x:c>
      <x:c r="H918" s="110" t="n">
        <x:v>39862</x:v>
      </x:c>
      <x:c r="I918" s="88" t="n">
        <x:v>2009</x:v>
      </x:c>
      <x:c r="J918" s="87" t="str">
        <x:v>EP</x:v>
      </x:c>
      <x:c r="K918" s="87" t="str">
        <x:v>B1</x:v>
      </x:c>
      <x:c r="L918" s="87" t="str">
        <x:v>EP 2398464 B1</x:v>
      </x:c>
      <x:c r="M918" s="87" t="str">
        <x:v>SANOFI SA</x:v>
      </x:c>
      <x:c r="N918" s="87" t="str">
        <x:v>SANOFI SA (2016-06-08)</x:v>
      </x:c>
      <x:c r="O918" s="87" t="str">
        <x:v>Pharmaceutical composition for inhalation</x:v>
      </x:c>
      <x:c r="P918" s="109" t="n">
        <x:v>0</x:v>
      </x:c>
      <x:c r="Q918" s="109" t="n">
        <x:v>41</x:v>
      </x:c>
      <x:c r="R918" s="87" t="str">
        <x:v>A61K9/0075;;A61K45/06;;A61P9/00;;A61P11/00;;A61P11/06;;A61P31/00;;A61P37/00;;A61P37/08;;Y10T428/2982;;A61K9/00;;A61K9/14;;A61K9/0075;;A61K45/06;;Y10T428/2982</x:v>
      </x:c>
      <x:c r="S918" s="87" t="str">
        <x:v>A61K9/14;;A61K9/72</x:v>
      </x:c>
      <x:c r="T918" s="87" t="str">
        <x:v>ACTIVE</x:v>
      </x:c>
      <x:c r="U918" s="87" t="str">
        <x:v>https://lens.org/103-935-957-271-658</x:v>
      </x:c>
    </x:row>
    <x:row r="919">
      <x:c r="A919" s="87" t="str">
        <x:v>Sanofi_Applicant_EP_Families_2015_2021.csv(1).csv</x:v>
      </x:c>
      <x:c r="B919" s="87" t="str">
        <x:v>Sanofi</x:v>
      </x:c>
      <x:c r="C919" s="87" t="str">
        <x:v>TRT-0010</x:v>
      </x:c>
      <x:c r="D919" s="87" t="str">
        <x:v>Yes</x:v>
      </x:c>
      <x:c r="E919" s="87" t="str">
        <x:v>sanofi</x:v>
      </x:c>
      <x:c r="F919" s="87" t="str">
        <x:v>325</x:v>
      </x:c>
      <x:c r="G919" s="87" t="str">
        <x:v>143-863-142-922-115</x:v>
      </x:c>
      <x:c r="H919" s="110" t="n">
        <x:v>39346</x:v>
      </x:c>
      <x:c r="I919" s="88" t="n">
        <x:v>2007</x:v>
      </x:c>
      <x:c r="J919" s="87" t="str">
        <x:v>EP</x:v>
      </x:c>
      <x:c r="K919" s="87" t="str">
        <x:v>B1</x:v>
      </x:c>
      <x:c r="L919" s="87" t="str">
        <x:v>EP 2203416 B1</x:v>
      </x:c>
      <x:c r="M919" s="87" t="str">
        <x:v>SANOFI SA</x:v>
      </x:c>
      <x:c r="N919" s="87" t="str">
        <x:v>SANOFI (2012-05-02)</x:v>
      </x:c>
      <x:c r="O919" s="87" t="str">
        <x:v>(CARBOXY ALKYLENE-PHENYL)-PHENYL-OXALAMIDES, METHOD FOR THEIR MANUFACTURE AND THEIR APPLICATION AS MEDICINES</x:v>
      </x:c>
      <x:c r="P919" s="109" t="n">
        <x:v>0</x:v>
      </x:c>
      <x:c r="Q919" s="109" t="n">
        <x:v>28</x:v>
      </x:c>
      <x:c r="R919" s="87" t="str">
        <x:v>C07C235/80;;A61P3/10;;A61P5/50;;A61P25/00;;A61P25/18;;A61P25/28;;A61P43/00;;C07C237/04;;C07C235/80</x:v>
      </x:c>
      <x:c r="S919" s="87" t="str">
        <x:v>C07C233/56;;A61K31/165;;A61P5/50;;A61P25/18;;A61P25/28;;C07C233/88;;C07C235/80;;C07C237/04</x:v>
      </x:c>
      <x:c r="T919" s="87" t="str">
        <x:v>ACTIVE</x:v>
      </x:c>
      <x:c r="U919" s="87" t="str">
        <x:v>https://lens.org/143-863-142-922-115</x:v>
      </x:c>
    </x:row>
    <x:row r="920">
      <x:c r="A920" s="87" t="str">
        <x:v>Sanofi_Applicant_EP_Families_2015_2021.csv(1).csv</x:v>
      </x:c>
      <x:c r="B920" s="87" t="str">
        <x:v>Sanofi</x:v>
      </x:c>
      <x:c r="C920" s="87" t="str">
        <x:v>TRT-0010</x:v>
      </x:c>
      <x:c r="D920" s="87" t="str">
        <x:v>Yes</x:v>
      </x:c>
      <x:c r="E920" s="87" t="str">
        <x:v>sanofi</x:v>
      </x:c>
      <x:c r="F920" s="87" t="str">
        <x:v>326</x:v>
      </x:c>
      <x:c r="G920" s="87" t="str">
        <x:v>166-791-627-276-945</x:v>
      </x:c>
      <x:c r="H920" s="110" t="n">
        <x:v>39346</x:v>
      </x:c>
      <x:c r="I920" s="88" t="n">
        <x:v>2007</x:v>
      </x:c>
      <x:c r="J920" s="87" t="str">
        <x:v>EP</x:v>
      </x:c>
      <x:c r="K920" s="87" t="str">
        <x:v>B1</x:v>
      </x:c>
      <x:c r="L920" s="87" t="str">
        <x:v>EP 2203415 B1</x:v>
      </x:c>
      <x:c r="M920" s="87" t="str">
        <x:v>SANOFI SA</x:v>
      </x:c>
      <x:c r="N920" s="87" t="str">
        <x:v>SANOFI (2012-05-02)</x:v>
      </x:c>
      <x:c r="O920" s="87" t="str">
        <x:v>(CYCLOPROPYL-PHENYL)-PHENYL-OXALAMIDES, METHOD FOR THEIR MANUFACTURE AND THEIR APPLICATION AS MEDICINES</x:v>
      </x:c>
      <x:c r="P920" s="109" t="n">
        <x:v>0</x:v>
      </x:c>
      <x:c r="Q920" s="109" t="n">
        <x:v>24</x:v>
      </x:c>
      <x:c r="R920" s="87" t="str">
        <x:v>C07C233/56;;A61P3/10;;A61P5/50;;A61P25/00;;A61P25/18;;A61P25/28;;C07C233/88;;C07C233/56;;C07C233/88</x:v>
      </x:c>
      <x:c r="S920" s="87" t="str">
        <x:v>C07C233/56;;A61K31/165;;A61P5/50;;A61P25/18;;A61P25/28;;C07C233/88</x:v>
      </x:c>
      <x:c r="T920" s="87" t="str">
        <x:v>ACTIVE</x:v>
      </x:c>
      <x:c r="U920" s="87" t="str">
        <x:v>https://lens.org/166-791-627-276-945</x:v>
      </x:c>
    </x:row>
    <x:row r="921">
      <x:c r="A921" s="87" t="str">
        <x:v>Sanofi_Applicant_EP_Families_2015_2021.csv(1).csv</x:v>
      </x:c>
      <x:c r="B921" s="87" t="str">
        <x:v>Sanofi</x:v>
      </x:c>
      <x:c r="C921" s="87" t="str">
        <x:v>TRT-0010</x:v>
      </x:c>
      <x:c r="D921" s="87" t="str">
        <x:v>Yes</x:v>
      </x:c>
      <x:c r="E921" s="87" t="str">
        <x:v>sanofi</x:v>
      </x:c>
      <x:c r="F921" s="87" t="str">
        <x:v>327</x:v>
      </x:c>
      <x:c r="G921" s="87" t="str">
        <x:v>099-118-570-214-410</x:v>
      </x:c>
      <x:c r="H921" s="110" t="n">
        <x:v>41621</x:v>
      </x:c>
      <x:c r="I921" s="88" t="n">
        <x:v>2013</x:v>
      </x:c>
      <x:c r="J921" s="87" t="str">
        <x:v>EP</x:v>
      </x:c>
      <x:c r="K921" s="87" t="str">
        <x:v>A1</x:v>
      </x:c>
      <x:c r="L921" s="87" t="str">
        <x:v>EP 3080151 A1</x:v>
      </x:c>
      <x:c r="M921" s="87" t="str">
        <x:v>SANOFI SA</x:v>
      </x:c>
      <x:c r="N921" s="87" t="str">
        <x:v>SANOFI (2017-08-23)</x:v>
      </x:c>
      <x:c r="O921" s="87" t="str">
        <x:v>EXENDIN-4 PEPTIDE ANALOGUES</x:v>
      </x:c>
      <x:c r="P921" s="109" t="n">
        <x:v>0</x:v>
      </x:c>
      <x:c r="Q921" s="109" t="n">
        <x:v>5</x:v>
      </x:c>
      <x:c r="R921" s="87" t="str">
        <x:v>C07K14/57563;;A61K38/00;;A61P3/00;;A61P3/04;;A61P3/10;;C07K14/575;;A61K38/00;;A61K38/22;;A61K49/04;;A61K49/06;;C07K14/57563</x:v>
      </x:c>
      <x:c r="S921" s="87" t="str">
        <x:v>C07K14/575;;C07K14/605</x:v>
      </x:c>
      <x:c r="T921" s="87" t="str">
        <x:v>DISCONTINUED</x:v>
      </x:c>
      <x:c r="U921" s="87" t="str">
        <x:v>https://lens.org/099-118-570-214-410</x:v>
      </x:c>
    </x:row>
    <x:row r="922">
      <x:c r="A922" s="87" t="str">
        <x:v>Sanofi_Applicant_EP_Families_2015_2021.csv(1).csv</x:v>
      </x:c>
      <x:c r="B922" s="87" t="str">
        <x:v>Sanofi</x:v>
      </x:c>
      <x:c r="C922" s="87" t="str">
        <x:v>TRT-0010</x:v>
      </x:c>
      <x:c r="D922" s="87" t="str">
        <x:v>Yes</x:v>
      </x:c>
      <x:c r="E922" s="87" t="str">
        <x:v>sanofi</x:v>
      </x:c>
      <x:c r="F922" s="87" t="str">
        <x:v>328</x:v>
      </x:c>
      <x:c r="G922" s="87" t="str">
        <x:v>131-739-590-064-00X</x:v>
      </x:c>
      <x:c r="H922" s="110" t="n">
        <x:v>41621</x:v>
      </x:c>
      <x:c r="I922" s="88" t="n">
        <x:v>2013</x:v>
      </x:c>
      <x:c r="J922" s="87" t="str">
        <x:v>EP</x:v>
      </x:c>
      <x:c r="K922" s="87" t="str">
        <x:v>A1</x:v>
      </x:c>
      <x:c r="L922" s="87" t="str">
        <x:v>EP 3080155 A1</x:v>
      </x:c>
      <x:c r="M922" s="87" t="str">
        <x:v>SANOFI SA</x:v>
      </x:c>
      <x:c r="N922" s="87" t="str">
        <x:v>SANOFI (2017-08-23)</x:v>
      </x:c>
      <x:c r="O922" s="87" t="str">
        <x:v>EXENDIN-4 PEPTIDE ANALOGUES AS DUAL GLP-1/GLUCAGON RECEPTOR AGONISTS</x:v>
      </x:c>
      <x:c r="P922" s="109" t="n">
        <x:v>3</x:v>
      </x:c>
      <x:c r="Q922" s="109" t="n">
        <x:v>6</x:v>
      </x:c>
      <x:c r="R922" s="87" t="str">
        <x:v>C07K14/605;;A61K38/00;;A61K38/26;;A61K45/06;;A61P3/00;;A61P3/04;;A61P3/10;;C07K14/605;;A61K38/00;;A61K38/26;;A61K45/06;;A61K49/04;;A61K49/14</x:v>
      </x:c>
      <x:c r="S922" s="87" t="str">
        <x:v>C07K14/605;;C07K14/575</x:v>
      </x:c>
      <x:c r="T922" s="87" t="str">
        <x:v>DISCONTINUED</x:v>
      </x:c>
      <x:c r="U922" s="87" t="str">
        <x:v>https://lens.org/131-739-590-064-00X</x:v>
      </x:c>
    </x:row>
    <x:row r="923">
      <x:c r="A923" s="87" t="str">
        <x:v>Sanofi_Applicant_EP_Families_2015_2021.csv(1).csv</x:v>
      </x:c>
      <x:c r="B923" s="87" t="str">
        <x:v>Sanofi</x:v>
      </x:c>
      <x:c r="C923" s="87" t="str">
        <x:v>TRT-0010</x:v>
      </x:c>
      <x:c r="D923" s="87" t="str">
        <x:v>Yes</x:v>
      </x:c>
      <x:c r="E923" s="87" t="str">
        <x:v>sanofi</x:v>
      </x:c>
      <x:c r="F923" s="87" t="str">
        <x:v>329</x:v>
      </x:c>
      <x:c r="G923" s="87" t="str">
        <x:v>045-925-244-850-720</x:v>
      </x:c>
      <x:c r="H923" s="110" t="n">
        <x:v>41603</x:v>
      </x:c>
      <x:c r="I923" s="88" t="n">
        <x:v>2013</x:v>
      </x:c>
      <x:c r="J923" s="87" t="str">
        <x:v>EP</x:v>
      </x:c>
      <x:c r="K923" s="87" t="str">
        <x:v>A1</x:v>
      </x:c>
      <x:c r="L923" s="87" t="str">
        <x:v>EP 3074388 A1</x:v>
      </x:c>
      <x:c r="M923" s="87" t="str">
        <x:v>SANOFI SA;;EUROPEAN MOLECULAR BIOLOGY LAB EMBL</x:v>
      </x:c>
      <x:c r="N923" s="87" t="str">
        <x:v>SANOFI (2017-08-23);;EUROPEAN MOLECULAR BIOLOGY LABORATORY (2017-08-23)</x:v>
      </x:c>
      <x:c r="O923" s="87" t="str">
        <x:v>DOTAM DERIVATIVES FOR THERAPEUTIC USE</x:v>
      </x:c>
      <x:c r="P923" s="109" t="n">
        <x:v>0</x:v>
      </x:c>
      <x:c r="Q923" s="109" t="n">
        <x:v>4</x:v>
      </x:c>
      <x:c r="R923" s="87" t="str">
        <x:v>C07F5/003;;A61K38/00;;C07D403/14;;C07K7/06;;C07F5/003;;A61K38/00;;A61K49/04;;A61K49/14;;C07D403/14;;C07K7/06</x:v>
      </x:c>
      <x:c r="S923" s="87" t="str">
        <x:v>C07D403/14;;A61K38/08;;C07F5/00;;C07K7/04</x:v>
      </x:c>
      <x:c r="T923" s="87" t="str">
        <x:v>DISCONTINUED</x:v>
      </x:c>
      <x:c r="U923" s="87" t="str">
        <x:v>https://lens.org/045-925-244-850-720</x:v>
      </x:c>
    </x:row>
    <x:row r="924">
      <x:c r="A924" s="87" t="str">
        <x:v>Sanofi_Applicant_EP_Families_2015_2021.csv(1).csv</x:v>
      </x:c>
      <x:c r="B924" s="87" t="str">
        <x:v>Sanofi</x:v>
      </x:c>
      <x:c r="C924" s="87" t="str">
        <x:v>TRT-0010</x:v>
      </x:c>
      <x:c r="D924" s="87" t="str">
        <x:v>Yes</x:v>
      </x:c>
      <x:c r="E924" s="87" t="str">
        <x:v>sanofi</x:v>
      </x:c>
      <x:c r="F924" s="87" t="str">
        <x:v>330</x:v>
      </x:c>
      <x:c r="G924" s="87" t="str">
        <x:v>158-701-233-950-675</x:v>
      </x:c>
      <x:c r="H924" s="110" t="n">
        <x:v>39693</x:v>
      </x:c>
      <x:c r="I924" s="88" t="n">
        <x:v>2008</x:v>
      </x:c>
      <x:c r="J924" s="87" t="str">
        <x:v>EP</x:v>
      </x:c>
      <x:c r="K924" s="87" t="str">
        <x:v>B1</x:v>
      </x:c>
      <x:c r="L924" s="87" t="str">
        <x:v>EP 2342178 B1</x:v>
      </x:c>
      <x:c r="M924" s="87" t="str">
        <x:v>SANOFI SA</x:v>
      </x:c>
      <x:c r="N924" s="87" t="str">
        <x:v>SANOFI (2012-05-02)</x:v>
      </x:c>
      <x:c r="O924" s="87" t="str">
        <x:v>SUBSTITUTED AMINOINDANES AND ANALOGS THEREOF, AND THE PHARMACEUTICAL USE THEREOF</x:v>
      </x:c>
      <x:c r="P924" s="109" t="n">
        <x:v>0</x:v>
      </x:c>
      <x:c r="Q924" s="109" t="n">
        <x:v>25</x:v>
      </x:c>
      <x:c r="R924" s="87" t="str">
        <x:v>C07D487/10;;A61P1/00;;A61P1/10;;A61P1/14;;A61P1/16;;A61P3/00;;A61P3/06;;A61P3/10;;A61P9/00;;A61P9/12;;A61P11/00;;A61P11/12;;A61P11/16;;A61P13/12;;A61P25/00;;A61P43/00;;C07D205/04;;C07D207/08;;C07D211/56;;C07D243/08;;C07D401/12;;C07D403/04;;C07D403/12;;C07D405/12;;C07D411/12;;C07D413/12;;C07D417/12;;C07D487/04;;C07D487/08;;C07D401/12;;A61K31/454;;C07D401/10;;C07D487/10;;C07D205/04;;C07D207/08;;C07D211/56;;C07D243/08;;C07D401/12;;C07D403/04;;C07D403/12;;C07D405/12;;C07D411/12;;C07D413/12;;C07D417/12;;C07D487/04;;C07D487/08</x:v>
      </x:c>
      <x:c r="S924" s="87" t="str">
        <x:v>C07D207/08;;A61K31/4523;;A61P1/00;;A61P3/00;;A61P9/00;;C07D401/12;;C07D403/12;;C07D413/12;;C07D417/12</x:v>
      </x:c>
      <x:c r="T924" s="87" t="str">
        <x:v>ACTIVE</x:v>
      </x:c>
      <x:c r="U924" s="87" t="str">
        <x:v>https://lens.org/158-701-233-950-675</x:v>
      </x:c>
    </x:row>
    <x:row r="925">
      <x:c r="A925" s="87" t="str">
        <x:v>Sanofi_Applicant_EP_Families_2015_2021.csv(1).csv</x:v>
      </x:c>
      <x:c r="B925" s="87" t="str">
        <x:v>Sanofi</x:v>
      </x:c>
      <x:c r="C925" s="87" t="str">
        <x:v>TRT-0010</x:v>
      </x:c>
      <x:c r="D925" s="87" t="str">
        <x:v>Yes</x:v>
      </x:c>
      <x:c r="E925" s="87" t="str">
        <x:v>sanofi</x:v>
      </x:c>
      <x:c r="F925" s="87" t="str">
        <x:v>331</x:v>
      </x:c>
      <x:c r="G925" s="87" t="str">
        <x:v>020-331-268-138-759</x:v>
      </x:c>
      <x:c r="H925" s="110" t="n">
        <x:v>39469</x:v>
      </x:c>
      <x:c r="I925" s="88" t="n">
        <x:v>2008</x:v>
      </x:c>
      <x:c r="J925" s="87" t="str">
        <x:v>EP</x:v>
      </x:c>
      <x:c r="K925" s="87" t="str">
        <x:v>B1</x:v>
      </x:c>
      <x:c r="L925" s="87" t="str">
        <x:v>EP 2235015 B1</x:v>
      </x:c>
      <x:c r="M925" s="87" t="str">
        <x:v>SANOFI SA</x:v>
      </x:c>
      <x:c r="N925" s="87" t="str">
        <x:v>SANOFI (2012-05-02)</x:v>
      </x:c>
      <x:c r="O925" s="87" t="str">
        <x:v>AZABICYCLIC CARBOXAMIDE DERIVATIVES, PREPARATION THEREOF AND THERAPEUTIC USE THEREOF</x:v>
      </x:c>
      <x:c r="P925" s="109" t="n">
        <x:v>0</x:v>
      </x:c>
      <x:c r="Q925" s="109" t="n">
        <x:v>39</x:v>
      </x:c>
      <x:c r="R925" s="87" t="str">
        <x:v>C07D471/04;;A61P1/00;;A61P1/04;;A61P3/00;;A61P11/00;;A61P13/00;;A61P15/00;;A61P17/00;;A61P17/04;;A61P17/06;;A61P25/00;;A61P25/24;;A61P25/28;;A61P27/02;;A61P27/14;;A61P29/00;;A61P31/00;;A61P31/22;;A61P35/00;;A61P43/00;;C07D471/04</x:v>
      </x:c>
      <x:c r="S925" s="87" t="str">
        <x:v>C07D471/04;;A61K31/437;;A61P11/00;;A61P29/00;;A61P31/00</x:v>
      </x:c>
      <x:c r="T925" s="87" t="str">
        <x:v>ACTIVE</x:v>
      </x:c>
      <x:c r="U925" s="87" t="str">
        <x:v>https://lens.org/020-331-268-138-759</x:v>
      </x:c>
    </x:row>
    <x:row r="926">
      <x:c r="A926" s="87" t="str">
        <x:v>Sanofi_Applicant_EP_Families_2015_2021.csv(1).csv</x:v>
      </x:c>
      <x:c r="B926" s="87" t="str">
        <x:v>Sanofi</x:v>
      </x:c>
      <x:c r="C926" s="87" t="str">
        <x:v>TRT-0010</x:v>
      </x:c>
      <x:c r="D926" s="87" t="str">
        <x:v>Yes</x:v>
      </x:c>
      <x:c r="E926" s="87" t="str">
        <x:v>sanofi</x:v>
      </x:c>
      <x:c r="F926" s="87" t="str">
        <x:v>332</x:v>
      </x:c>
      <x:c r="G926" s="87" t="str">
        <x:v>069-532-600-060-703</x:v>
      </x:c>
      <x:c r="H926" s="110" t="n">
        <x:v>39483</x:v>
      </x:c>
      <x:c r="I926" s="88" t="n">
        <x:v>2008</x:v>
      </x:c>
      <x:c r="J926" s="87" t="str">
        <x:v>EP</x:v>
      </x:c>
      <x:c r="K926" s="87" t="str">
        <x:v>B1</x:v>
      </x:c>
      <x:c r="L926" s="87" t="str">
        <x:v>EP 2240179 B1</x:v>
      </x:c>
      <x:c r="M926" s="87" t="str">
        <x:v>SANOFI SA</x:v>
      </x:c>
      <x:c r="N926" s="87" t="str">
        <x:v>SANOFI (2012-05-02)</x:v>
      </x:c>
      <x:c r="O926" s="87" t="str">
        <x:v>IMIDAZOPYRIDAZINE AS PAR1 INHIBITORS, THEIR MANUFACTURE AND THEIR APPLICATION AS MEDICINE</x:v>
      </x:c>
      <x:c r="P926" s="109" t="n">
        <x:v>0</x:v>
      </x:c>
      <x:c r="Q926" s="109" t="n">
        <x:v>22</x:v>
      </x:c>
      <x:c r="R926" s="87" t="str">
        <x:v>C07D487/04;;A61P3/00;;A61P3/10;;A61P7/02;;A61P9/00;;A61P9/02;;A61P9/06;;A61P9/10;;A61P9/12;;A61P11/00;;A61P11/06;;A61P13/12;;A61P19/02;;A61P19/10;;A61P27/02;;A61P29/00;;A61P31/04;;A61P35/00;;A61P35/04;;A61P43/00;;C07D487/04</x:v>
      </x:c>
      <x:c r="S926" s="87" t="str">
        <x:v>A61K31/5025;;A61P7/02;;C07D487/04</x:v>
      </x:c>
      <x:c r="T926" s="87" t="str">
        <x:v>ACTIVE</x:v>
      </x:c>
      <x:c r="U926" s="87" t="str">
        <x:v>https://lens.org/069-532-600-060-703</x:v>
      </x:c>
    </x:row>
    <x:row r="927">
      <x:c r="A927" s="87" t="str">
        <x:v>Sanofi_Applicant_EP_Families_2015_2021.csv(1).csv</x:v>
      </x:c>
      <x:c r="B927" s="87" t="str">
        <x:v>Sanofi</x:v>
      </x:c>
      <x:c r="C927" s="87" t="str">
        <x:v>TRT-0010</x:v>
      </x:c>
      <x:c r="D927" s="87" t="str">
        <x:v>Yes</x:v>
      </x:c>
      <x:c r="E927" s="87" t="str">
        <x:v>sanofi</x:v>
      </x:c>
      <x:c r="F927" s="87" t="str">
        <x:v>333</x:v>
      </x:c>
      <x:c r="G927" s="87" t="str">
        <x:v>105-190-675-891-532</x:v>
      </x:c>
      <x:c r="H927" s="110" t="n">
        <x:v>39261</x:v>
      </x:c>
      <x:c r="I927" s="88" t="n">
        <x:v>2007</x:v>
      </x:c>
      <x:c r="J927" s="87" t="str">
        <x:v>EP</x:v>
      </x:c>
      <x:c r="K927" s="87" t="str">
        <x:v>B1</x:v>
      </x:c>
      <x:c r="L927" s="87" t="str">
        <x:v>EP 2170889 B1</x:v>
      </x:c>
      <x:c r="M927" s="87" t="str">
        <x:v>SANOFI SA</x:v>
      </x:c>
      <x:c r="N927" s="87" t="str">
        <x:v>SANOFI (2012-05-02)</x:v>
      </x:c>
      <x:c r="O927" s="87" t="str">
        <x:v>6-CYCLOAMINO-3-(PYRIDIN-4-YL)IMIDAZO[1,2-B]PYRIDAZINE DERIVATIVES, PREPARATION THEREOF AND THERAPEUTIC USE THEREOF</x:v>
      </x:c>
      <x:c r="P927" s="109" t="n">
        <x:v>0</x:v>
      </x:c>
      <x:c r="Q927" s="109" t="n">
        <x:v>29</x:v>
      </x:c>
      <x:c r="R927" s="87" t="str">
        <x:v>C07D487/04;;A61P25/00;;A61P25/20;;A61P25/28;;A61P25/30;;A61P35/00;;A61P35/02;;A61P43/00;;C07D487/04</x:v>
      </x:c>
      <x:c r="S927" s="87" t="str">
        <x:v>C07D487/04;;A61K31/5025;;A61K31/5386;;A61K31/551;;C07D519/00</x:v>
      </x:c>
      <x:c r="T927" s="87" t="str">
        <x:v>ACTIVE</x:v>
      </x:c>
      <x:c r="U927" s="87" t="str">
        <x:v>https://lens.org/105-190-675-891-532</x:v>
      </x:c>
    </x:row>
    <x:row r="928">
      <x:c r="A928" s="87" t="str">
        <x:v>Sanofi_Applicant_EP_Families_2015_2021.csv(1).csv</x:v>
      </x:c>
      <x:c r="B928" s="87" t="str">
        <x:v>Sanofi</x:v>
      </x:c>
      <x:c r="C928" s="87" t="str">
        <x:v>TRT-0010</x:v>
      </x:c>
      <x:c r="D928" s="87" t="str">
        <x:v>Yes</x:v>
      </x:c>
      <x:c r="E928" s="87" t="str">
        <x:v>sanofi</x:v>
      </x:c>
      <x:c r="F928" s="87" t="str">
        <x:v>334</x:v>
      </x:c>
      <x:c r="G928" s="87" t="str">
        <x:v>110-874-850-441-554</x:v>
      </x:c>
      <x:c r="H928" s="110" t="n">
        <x:v>38883</x:v>
      </x:c>
      <x:c r="I928" s="88" t="n">
        <x:v>2006</x:v>
      </x:c>
      <x:c r="J928" s="87" t="str">
        <x:v>EP</x:v>
      </x:c>
      <x:c r="K928" s="87" t="str">
        <x:v>B1</x:v>
      </x:c>
      <x:c r="L928" s="87" t="str">
        <x:v>EP 2035550 B1</x:v>
      </x:c>
      <x:c r="M928" s="87" t="str">
        <x:v>SANOFI PASTEUR VAXDESIGN CORP</x:v>
      </x:c>
      <x:c r="N928" s="87" t="str">
        <x:v>SANOFI PASTEUR VAXDESIGN CORPORATION (2012-03-07)</x:v>
      </x:c>
      <x:c r="O928" s="87" t="str">
        <x:v>DISEASE MODEL INCORPORATION INTO AN ARTIFICIAL IMMUNE SYSTEM (AIS)</x:v>
      </x:c>
      <x:c r="P928" s="109" t="n">
        <x:v>0</x:v>
      </x:c>
      <x:c r="Q928" s="109" t="n">
        <x:v>16</x:v>
      </x:c>
      <x:c r="R928" s="87" t="str">
        <x:v>C12M21/08;;C12M25/14;;C12M35/08;;C12N5/0697;;C12N2501/21;;C12N2502/091;;C12N2502/094;;C12N2502/11;;C12N2502/28;;C12N2502/30;;C12N2503/04;;C12N2531/00;;C12N2533/50;;C12N2533/54;;C12N2535/10;;G01N33/5044;;G01N33/5064;;G01N33/5082;;G01N33/5088;;G01N2800/24;;C12M21/08;;C12M25/14;;C12M35/08;;C12N5/0697;;C12N2501/21;;C12N2502/091;;C12N2502/094;;C12N2502/11;;C12N2502/28;;C12N2502/30;;C12N2503/04;;C12N2531/00;;C12N2533/50;;C12N2533/54;;C12N2535/10;;G01N33/5044;;G01N33/5064;;G01N33/5082;;G01N33/5088;;G01N2800/24</x:v>
      </x:c>
      <x:c r="S928" s="87" t="str">
        <x:v>C12M3/00;;C12M1/12;;C12M1/42;;C12N5/071;;C12N5/077;;C12N5/078;;C12Q1/00;;G01N33/50</x:v>
      </x:c>
      <x:c r="T928" s="87" t="str">
        <x:v>ACTIVE</x:v>
      </x:c>
      <x:c r="U928" s="87" t="str">
        <x:v>https://lens.org/110-874-850-441-554</x:v>
      </x:c>
    </x:row>
    <x:row r="929">
      <x:c r="A929" s="87" t="str">
        <x:v>Sanofi_Applicant_EP_Families_2015_2021.csv(1).csv</x:v>
      </x:c>
      <x:c r="B929" s="87" t="str">
        <x:v>Sanofi</x:v>
      </x:c>
      <x:c r="C929" s="87" t="str">
        <x:v>TRT-0010</x:v>
      </x:c>
      <x:c r="D929" s="87" t="str">
        <x:v>Yes</x:v>
      </x:c>
      <x:c r="E929" s="87" t="str">
        <x:v>sanofi</x:v>
      </x:c>
      <x:c r="F929" s="87" t="str">
        <x:v>335</x:v>
      </x:c>
      <x:c r="G929" s="87" t="str">
        <x:v>014-498-062-859-873</x:v>
      </x:c>
      <x:c r="H929" s="110" t="n">
        <x:v>38898</x:v>
      </x:c>
      <x:c r="I929" s="88" t="n">
        <x:v>2006</x:v>
      </x:c>
      <x:c r="J929" s="87" t="str">
        <x:v>EP</x:v>
      </x:c>
      <x:c r="K929" s="87" t="str">
        <x:v>B1</x:v>
      </x:c>
      <x:c r="L929" s="87" t="str">
        <x:v>EP 2041073 B1</x:v>
      </x:c>
      <x:c r="M929" s="87" t="str">
        <x:v>SANOFI SA</x:v>
      </x:c>
      <x:c r="N929" s="87" t="str">
        <x:v>SANOFI (2012-05-02)</x:v>
      </x:c>
      <x:c r="O929" s="87" t="str">
        <x:v>CXCR2 INHIBITORS</x:v>
      </x:c>
      <x:c r="P929" s="109" t="n">
        <x:v>0</x:v>
      </x:c>
      <x:c r="Q929" s="109" t="n">
        <x:v>7</x:v>
      </x:c>
      <x:c r="R929" s="87" t="str">
        <x:v>C07D333/16;;A61P1/00;;A61P1/02;;A61P1/04;;A61P1/16;;A61P7/02;;A61P9/00;;A61P9/08;;A61P9/10;;A61P9/12;;A61P11/00;;A61P11/02;;A61P11/06;;A61P11/08;;A61P11/14;;A61P13/12;;A61P17/00;;A61P17/02;;A61P17/04;;A61P17/06;;A61P19/02;;A61P19/06;;A61P19/10;;A61P21/00;;A61P25/00;;A61P25/28;;A61P27/02;;A61P29/00;;A61P31/04;;A61P31/12;;A61P33/06;;A61P35/00;;A61P35/04;;A61P37/06;;A61P37/08;;A61P43/00;;C07C235/66;;C07C2601/14;;C07C2602/10;;C07D333/54;;C07D333/16;;C07C235/66;;C07C2601/14;;C07C2602/10;;C07D333/54</x:v>
      </x:c>
      <x:c r="S929" s="87" t="str">
        <x:v>C07C235/66;;A61K31/166;;A61P29/00;;C07D333/32</x:v>
      </x:c>
      <x:c r="T929" s="87" t="str">
        <x:v>ACTIVE</x:v>
      </x:c>
      <x:c r="U929" s="87" t="str">
        <x:v>https://lens.org/014-498-062-859-873</x:v>
      </x:c>
    </x:row>
    <x:row r="930">
      <x:c r="A930" s="87" t="str">
        <x:v>Sanofi_Applicant_EP_Families_2015_2021.csv(1).csv</x:v>
      </x:c>
      <x:c r="B930" s="87" t="str">
        <x:v>Sanofi</x:v>
      </x:c>
      <x:c r="C930" s="87" t="str">
        <x:v>TRT-0010</x:v>
      </x:c>
      <x:c r="D930" s="87" t="str">
        <x:v>Yes</x:v>
      </x:c>
      <x:c r="E930" s="87" t="str">
        <x:v>sanofi</x:v>
      </x:c>
      <x:c r="F930" s="87" t="str">
        <x:v>336</x:v>
      </x:c>
      <x:c r="G930" s="87" t="str">
        <x:v>096-255-152-586-571</x:v>
      </x:c>
      <x:c r="H930" s="110" t="n">
        <x:v>39177</x:v>
      </x:c>
      <x:c r="I930" s="88" t="n">
        <x:v>2007</x:v>
      </x:c>
      <x:c r="J930" s="87" t="str">
        <x:v>EP</x:v>
      </x:c>
      <x:c r="K930" s="87" t="str">
        <x:v>B1</x:v>
      </x:c>
      <x:c r="L930" s="87" t="str">
        <x:v>EP 2144885 B1</x:v>
      </x:c>
      <x:c r="M930" s="87" t="str">
        <x:v>SANOFI SA</x:v>
      </x:c>
      <x:c r="N930" s="87" t="str">
        <x:v>SANOFI (2012-05-02)</x:v>
      </x:c>
      <x:c r="O930" s="87" t="str">
        <x:v>IMIDAZOLIDINE CARBOXAMIDE DERIVATIVES AS LIPASE AND PHOSPHOLIPASE INHIBITORS</x:v>
      </x:c>
      <x:c r="P930" s="109" t="n">
        <x:v>0</x:v>
      </x:c>
      <x:c r="Q930" s="109" t="n">
        <x:v>22</x:v>
      </x:c>
      <x:c r="R930" s="87" t="str">
        <x:v>C07D233/78;;A61P1/04;;A61P1/18;;A61P3/00;;A61P3/04;;A61P3/06;;A61P3/08;;A61P3/10;;A61P7/02;;A61P9/00;;A61P9/10;;A61P9/12;;A61P11/00;;A61P11/06;;A61P15/00;;A61P17/00;;A61P17/02;;A61P17/04;;A61P17/06;;A61P19/02;;A61P19/06;;A61P25/00;;A61P25/16;;A61P25/28;;A61P27/02;;A61P29/00;;A61P35/00;;A61P43/00;;C07D405/12;;C07D409/12;;C07D471/04;;C07D471/04;;A61K31/41;;C07D409/12;;C07D233/78;;C07D405/12;;C07D409/12;;C07D471/04</x:v>
      </x:c>
      <x:c r="S930" s="87" t="str">
        <x:v>C07D233/78;;A61K31/41;;A61K31/435;;A61P3/00;;C07D405/12;;C07D409/12;;C07D471/04</x:v>
      </x:c>
      <x:c r="T930" s="87" t="str">
        <x:v>ACTIVE</x:v>
      </x:c>
      <x:c r="U930" s="87" t="str">
        <x:v>https://lens.org/096-255-152-586-571</x:v>
      </x:c>
    </x:row>
    <x:row r="931">
      <x:c r="A931" s="87" t="str">
        <x:v>Sanofi_Applicant_EP_Families_2015_2021.csv(1).csv</x:v>
      </x:c>
      <x:c r="B931" s="87" t="str">
        <x:v>Sanofi</x:v>
      </x:c>
      <x:c r="C931" s="87" t="str">
        <x:v>TRT-0010</x:v>
      </x:c>
      <x:c r="D931" s="87" t="str">
        <x:v>Yes</x:v>
      </x:c>
      <x:c r="E931" s="87" t="str">
        <x:v>sanofi</x:v>
      </x:c>
      <x:c r="F931" s="87" t="str">
        <x:v>337</x:v>
      </x:c>
      <x:c r="G931" s="87" t="str">
        <x:v>055-610-498-874-26X</x:v>
      </x:c>
      <x:c r="H931" s="110" t="n">
        <x:v>37771</x:v>
      </x:c>
      <x:c r="I931" s="88" t="n">
        <x:v>2003</x:v>
      </x:c>
      <x:c r="J931" s="87" t="str">
        <x:v>EP</x:v>
      </x:c>
      <x:c r="K931" s="87" t="str">
        <x:v>B1</x:v>
      </x:c>
      <x:c r="L931" s="87" t="str">
        <x:v>EP 1638454 B1</x:v>
      </x:c>
      <x:c r="M931" s="87" t="str">
        <x:v>SANOFI AVENTIS DEUTSCHLAND</x:v>
      </x:c>
      <x:c r="N931" s="87" t="str">
        <x:v>SANOFI-AVENTIS DEUTSCHLAND GMBH (2014-01-08)</x:v>
      </x:c>
      <x:c r="O931" s="87" t="str">
        <x:v>APPARATUS FOR BODY FLUID SAMPLING AND ANALYTE SENSING</x:v>
      </x:c>
      <x:c r="P931" s="109" t="n">
        <x:v>0</x:v>
      </x:c>
      <x:c r="Q931" s="109" t="n">
        <x:v>5</x:v>
      </x:c>
      <x:c r="R931" s="87" t="str">
        <x:v>A61B5/157;;A61B5/14532;;A61B5/150022;;A61B5/150152;;A61B5/150167;;A61B5/150175;;A61B5/150183;;A61B5/150358;;A61B5/150427;;A61B5/150503;;A61B5/150572;;A61B5/15113;;A61B5/15117;;A61B5/15123;;A61B5/1513;;A61B5/15146;;A61B5/15151;;A61B5/15161;;A61B5/15176</x:v>
      </x:c>
      <x:c r="S931" s="87" t="str">
        <x:v>A61B5/145;;A61B5/00;;A61B5/15;;A61B5/151;;A61B5/155</x:v>
      </x:c>
      <x:c r="T931" s="87" t="str">
        <x:v>EXPIRED</x:v>
      </x:c>
      <x:c r="U931" s="87" t="str">
        <x:v>https://lens.org/055-610-498-874-26X</x:v>
      </x:c>
    </x:row>
    <x:row r="932">
      <x:c r="A932" s="87" t="str">
        <x:v>Sanofi_Applicant_EP_Families_2015_2021.csv(1).csv</x:v>
      </x:c>
      <x:c r="B932" s="87" t="str">
        <x:v>Sanofi</x:v>
      </x:c>
      <x:c r="C932" s="87" t="str">
        <x:v>TRT-0010</x:v>
      </x:c>
      <x:c r="D932" s="87" t="str">
        <x:v>Yes</x:v>
      </x:c>
      <x:c r="E932" s="87" t="str">
        <x:v>sanofi</x:v>
      </x:c>
      <x:c r="F932" s="87" t="str">
        <x:v>338</x:v>
      </x:c>
      <x:c r="G932" s="87" t="str">
        <x:v>043-736-575-288-861</x:v>
      </x:c>
      <x:c r="H932" s="110" t="n">
        <x:v>39177</x:v>
      </x:c>
      <x:c r="I932" s="88" t="n">
        <x:v>2007</x:v>
      </x:c>
      <x:c r="J932" s="87" t="str">
        <x:v>EP</x:v>
      </x:c>
      <x:c r="K932" s="87" t="str">
        <x:v>B1</x:v>
      </x:c>
      <x:c r="L932" s="87" t="str">
        <x:v>EP 2144891 B1</x:v>
      </x:c>
      <x:c r="M932" s="87" t="str">
        <x:v>SANOFI SA</x:v>
      </x:c>
      <x:c r="N932" s="87" t="str">
        <x:v>SANOFI (2012-05-02)</x:v>
      </x:c>
      <x:c r="O932" s="87" t="str">
        <x:v>5-OXO-ISOXAZOLES AS INHIBITORS OF LIPASES AND PHOSPHOLIPASES</x:v>
      </x:c>
      <x:c r="P932" s="109" t="n">
        <x:v>0</x:v>
      </x:c>
      <x:c r="Q932" s="109" t="n">
        <x:v>21</x:v>
      </x:c>
      <x:c r="R932" s="87" t="str">
        <x:v>C07D261/12;;A61P1/04;;A61P1/18;;A61P3/00;;A61P3/04;;A61P3/06;;A61P3/08;;A61P3/10;;A61P7/02;;A61P9/04;;A61P9/10;;A61P9/12;;A61P9/14;;A61P11/06;;A61P11/16;;A61P17/02;;A61P17/06;;A61P17/08;;A61P17/12;;A61P17/16;;A61P19/02;;A61P19/06;;A61P25/00;;A61P25/16;;A61P25/28;;A61P27/02;;A61P29/00;;A61P31/12;;A61P35/00;;A61P43/00;;C07D261/20;;C07D413/04;;C07D413/12;;C07D413/14;;C07D413/14;;A61K31/42;;C07D261/20;;C07D261/12;;C07D261/20;;C07D413/04;;C07D413/12;;C07D413/14</x:v>
      </x:c>
      <x:c r="S932" s="87" t="str">
        <x:v>C07D261/12;;A61K31/42;;A61K31/422;;A61K31/423;;C07D261/20;;C07D413/04;;C07D413/12;;C07D413/14</x:v>
      </x:c>
      <x:c r="T932" s="87" t="str">
        <x:v>ACTIVE</x:v>
      </x:c>
      <x:c r="U932" s="87" t="str">
        <x:v>https://lens.org/043-736-575-288-861</x:v>
      </x:c>
    </x:row>
    <x:row r="933">
      <x:c r="A933" s="87" t="str">
        <x:v>Sanofi_Applicant_EP_Families_2015_2021.csv(1).csv</x:v>
      </x:c>
      <x:c r="B933" s="87" t="str">
        <x:v>Sanofi</x:v>
      </x:c>
      <x:c r="C933" s="87" t="str">
        <x:v>TRT-0010</x:v>
      </x:c>
      <x:c r="D933" s="87" t="str">
        <x:v>Yes</x:v>
      </x:c>
      <x:c r="E933" s="87" t="str">
        <x:v>sanofi</x:v>
      </x:c>
      <x:c r="F933" s="87" t="str">
        <x:v>339</x:v>
      </x:c>
      <x:c r="G933" s="87" t="str">
        <x:v>074-024-786-949-518</x:v>
      </x:c>
      <x:c r="H933" s="110" t="n">
        <x:v>37365</x:v>
      </x:c>
      <x:c r="I933" s="88" t="n">
        <x:v>2002</x:v>
      </x:c>
      <x:c r="J933" s="87" t="str">
        <x:v>EP</x:v>
      </x:c>
      <x:c r="K933" s="87" t="str">
        <x:v>B1</x:v>
      </x:c>
      <x:c r="L933" s="87" t="str">
        <x:v>EP 1501410 B1</x:v>
      </x:c>
      <x:c r="M933" s="87" t="str">
        <x:v>SANOFI AVENTIS DEUTSCHLAND</x:v>
      </x:c>
      <x:c r="N933" s="87" t="str">
        <x:v>SANOFI-AVENTIS DEUTSCHLAND GMBH (2014-01-08)</x:v>
      </x:c>
      <x:c r="O933" s="87" t="str">
        <x:v>APPARATUS FOR PENETRATING TISSUE</x:v>
      </x:c>
      <x:c r="P933" s="109" t="n">
        <x:v>0</x:v>
      </x:c>
      <x:c r="Q933" s="109" t="n">
        <x:v>6</x:v>
      </x:c>
      <x:c r="R933" s="87" t="str">
        <x:v>A61B5/15178;;A61B5/14532;;A61B5/150022;;A61B5/150068;;A61B5/150099;;A61B5/150152;;A61B5/150167;;A61B5/150175;;A61B5/150213;;A61B5/150251;;A61B5/150358;;A61B5/150435;;A61B5/150503;;A61B5/150572;;A61B5/150809;;A61B5/150816;;A61B5/150824;;A61B5/15087;;A61B5/15107;;A61B5/15123;;A61B5/15151;;A61B5/15153;;A61B5/15163;;A61B5/15169;;A61B5/15171;;A61B5/157</x:v>
      </x:c>
      <x:c r="S933" s="87" t="str">
        <x:v>A61B5/15;;A61B5/00;;A61B5/145;;A61B5/151;;A61B5/155</x:v>
      </x:c>
      <x:c r="T933" s="87" t="str">
        <x:v>EXPIRED</x:v>
      </x:c>
      <x:c r="U933" s="87" t="str">
        <x:v>https://lens.org/074-024-786-949-518</x:v>
      </x:c>
    </x:row>
    <x:row r="934">
      <x:c r="A934" s="87" t="str">
        <x:v>Sanofi_Applicant_EP_Families_2015_2021.csv(1).csv</x:v>
      </x:c>
      <x:c r="B934" s="87" t="str">
        <x:v>Sanofi</x:v>
      </x:c>
      <x:c r="C934" s="87" t="str">
        <x:v>TRT-0010</x:v>
      </x:c>
      <x:c r="D934" s="87" t="str">
        <x:v>Yes</x:v>
      </x:c>
      <x:c r="E934" s="87" t="str">
        <x:v>sanofi</x:v>
      </x:c>
      <x:c r="F934" s="87" t="str">
        <x:v>340</x:v>
      </x:c>
      <x:c r="G934" s="87" t="str">
        <x:v>171-722-847-414-264</x:v>
      </x:c>
      <x:c r="H934" s="110" t="n">
        <x:v>39715</x:v>
      </x:c>
      <x:c r="I934" s="88" t="n">
        <x:v>2008</x:v>
      </x:c>
      <x:c r="J934" s="87" t="str">
        <x:v>EP</x:v>
      </x:c>
      <x:c r="K934" s="87" t="str">
        <x:v>B1</x:v>
      </x:c>
      <x:c r="L934" s="87" t="str">
        <x:v>EP 2329029 B1</x:v>
      </x:c>
      <x:c r="M934" s="87" t="str">
        <x:v>SANOFI PASTEUR BIOLOGICS LLC</x:v>
      </x:c>
      <x:c r="N934" s="87" t="str">
        <x:v>SANOFI PASTEUR BIOLOGICS, LLC (2012-09-19)</x:v>
      </x:c>
      <x:c r="O934" s="87" t="str">
        <x:v>METHODS AND COMPOSITIONS FOR INCREASING TOXIN PRODUCTION</x:v>
      </x:c>
      <x:c r="P934" s="109" t="n">
        <x:v>0</x:v>
      </x:c>
      <x:c r="Q934" s="109" t="n">
        <x:v>10</x:v>
      </x:c>
      <x:c r="R934" s="87" t="str">
        <x:v>C12N1/20;;C12P21/02;;C12N1/20;;C12N1/205;;C12P21/02;;C12R2001/145</x:v>
      </x:c>
      <x:c r="S934" s="87" t="str">
        <x:v>C12P1/04;;C12N1/20</x:v>
      </x:c>
      <x:c r="T934" s="87" t="str">
        <x:v>ACTIVE</x:v>
      </x:c>
      <x:c r="U934" s="87" t="str">
        <x:v>https://lens.org/171-722-847-414-264</x:v>
      </x:c>
    </x:row>
    <x:row r="935">
      <x:c r="A935" s="87" t="str">
        <x:v>Sanofi_Applicant_EP_Families_2015_2021.csv(1).csv</x:v>
      </x:c>
      <x:c r="B935" s="87" t="str">
        <x:v>Sanofi</x:v>
      </x:c>
      <x:c r="C935" s="87" t="str">
        <x:v>TRT-0010</x:v>
      </x:c>
      <x:c r="D935" s="87" t="str">
        <x:v>Yes</x:v>
      </x:c>
      <x:c r="E935" s="87" t="str">
        <x:v>sanofi</x:v>
      </x:c>
      <x:c r="F935" s="87" t="str">
        <x:v>341</x:v>
      </x:c>
      <x:c r="G935" s="87" t="str">
        <x:v>198-573-154-385-900</x:v>
      </x:c>
      <x:c r="H935" s="110" t="n">
        <x:v>37365</x:v>
      </x:c>
      <x:c r="I935" s="88" t="n">
        <x:v>2002</x:v>
      </x:c>
      <x:c r="J935" s="87" t="str">
        <x:v>EP</x:v>
      </x:c>
      <x:c r="K935" s="87" t="str">
        <x:v>B1</x:v>
      </x:c>
      <x:c r="L935" s="87" t="str">
        <x:v>EP 1499247 B1</x:v>
      </x:c>
      <x:c r="M935" s="87" t="str">
        <x:v>SANOFI AVENTIS DEUTSCHLAND;;FREEMAN RAY;;GOGUE GOERGE</x:v>
      </x:c>
      <x:c r="N935" s="87" t="str">
        <x:v>FREEMAN, RAY (2014-01-08);;GOGUE, GOERGE (2014-01-08);;SANOFI-AVENTIS DEUTSCHLAND GMBH (2014-01-08)</x:v>
      </x:c>
      <x:c r="O935" s="87" t="str">
        <x:v>TISSUE PENETRATION DEVICE</x:v>
      </x:c>
      <x:c r="P935" s="109" t="n">
        <x:v>1</x:v>
      </x:c>
      <x:c r="Q935" s="109" t="n">
        <x:v>4</x:v>
      </x:c>
      <x:c r="R935" s="87" t="str">
        <x:v>G01N33/557;;A61B5/14532;;A61B5/14546;;A61B5/151;;A61B5/15146;;A61B5/15186;;A61B17/32093;;B01L3/5027;;B01L2200/10;;B01L2300/0663;;B01L2300/18;;G01N33/4905</x:v>
      </x:c>
      <x:c r="S935" s="87" t="str">
        <x:v>A61B5/145;;A61B5/00;;A61B5/15;;A61B5/151;;A61B5/155;;A61B17/14;;A61B17/32;;A61B17/3209;;B01L3/00;;G01N33/49;;G01N33/557</x:v>
      </x:c>
      <x:c r="T935" s="87" t="str">
        <x:v>EXPIRED</x:v>
      </x:c>
      <x:c r="U935" s="87" t="str">
        <x:v>https://lens.org/198-573-154-385-900</x:v>
      </x:c>
    </x:row>
    <x:row r="936">
      <x:c r="A936" s="87" t="str">
        <x:v>Sanofi_Applicant_EP_Families_2015_2021.csv(1).csv</x:v>
      </x:c>
      <x:c r="B936" s="87" t="str">
        <x:v>Sanofi</x:v>
      </x:c>
      <x:c r="C936" s="87" t="str">
        <x:v>TRT-0010</x:v>
      </x:c>
      <x:c r="D936" s="87" t="str">
        <x:v>Yes</x:v>
      </x:c>
      <x:c r="E936" s="87" t="str">
        <x:v>sanofi</x:v>
      </x:c>
      <x:c r="F936" s="87" t="str">
        <x:v>342</x:v>
      </x:c>
      <x:c r="G936" s="87" t="str">
        <x:v>090-662-056-569-026</x:v>
      </x:c>
      <x:c r="H936" s="110" t="n">
        <x:v>38786</x:v>
      </x:c>
      <x:c r="I936" s="88" t="n">
        <x:v>2006</x:v>
      </x:c>
      <x:c r="J936" s="87" t="str">
        <x:v>EP</x:v>
      </x:c>
      <x:c r="K936" s="87" t="str">
        <x:v>B1</x:v>
      </x:c>
      <x:c r="L936" s="87" t="str">
        <x:v>EP 1996914 B1</x:v>
      </x:c>
      <x:c r="M936" s="87" t="str">
        <x:v>SANOFI AVENTIS DEUTSCHLAND</x:v>
      </x:c>
      <x:c r="N936" s="87" t="str">
        <x:v>SANOFI-AVENTIS DEUTSCHLAND GMBH (2014-01-08)</x:v>
      </x:c>
      <x:c r="O936" s="87" t="str">
        <x:v>METHOD FOR LOADING PENETRATING MEMBERS IN A COLLECTION DEVICE DURING MANUFACTURE</x:v>
      </x:c>
      <x:c r="P936" s="109" t="n">
        <x:v>0</x:v>
      </x:c>
      <x:c r="Q936" s="109" t="n">
        <x:v>5</x:v>
      </x:c>
      <x:c r="R936" s="87" t="str">
        <x:v>A61B5/15178;;A61B5/150022;;A61B5/150061;;A61B5/150068;;A61B5/150099;;A61B5/150152;;A61B5/150167;;A61B5/150175;;A61B5/150221;;A61B5/150358;;A61B5/150427;;A61B5/150503;;A61B5/150572;;A61B5/15113;;A61B5/15117;;A61B5/15123;;A61B5/15146;;A61B5/15151;;A61B5/15153;;A61B5/15163;;A61B5/15169;;A61B5/15171;;A61B5/15174;;A61B5/15176;;A61B5/15184;;A61B5/15186;;A61B5/157</x:v>
      </x:c>
      <x:c r="S936" s="87" t="str">
        <x:v>G01N1/00</x:v>
      </x:c>
      <x:c r="T936" s="87" t="str">
        <x:v>ACTIVE</x:v>
      </x:c>
      <x:c r="U936" s="87" t="str">
        <x:v>https://lens.org/090-662-056-569-026</x:v>
      </x:c>
    </x:row>
    <x:row r="937">
      <x:c r="A937" s="87" t="str">
        <x:v>Sanofi_Applicant_EP_Families_2015_2021.csv(1).csv</x:v>
      </x:c>
      <x:c r="B937" s="87" t="str">
        <x:v>Sanofi</x:v>
      </x:c>
      <x:c r="C937" s="87" t="str">
        <x:v>TRT-0010</x:v>
      </x:c>
      <x:c r="D937" s="87" t="str">
        <x:v>Yes</x:v>
      </x:c>
      <x:c r="E937" s="87" t="str">
        <x:v>sanofi</x:v>
      </x:c>
      <x:c r="F937" s="87" t="str">
        <x:v>343</x:v>
      </x:c>
      <x:c r="G937" s="87" t="str">
        <x:v>081-466-937-882-86X</x:v>
      </x:c>
      <x:c r="H937" s="110" t="n">
        <x:v>37683</x:v>
      </x:c>
      <x:c r="I937" s="88" t="n">
        <x:v>2003</x:v>
      </x:c>
      <x:c r="J937" s="87" t="str">
        <x:v>HR</x:v>
      </x:c>
      <x:c r="K937" s="87" t="str">
        <x:v>B1</x:v>
      </x:c>
      <x:c r="L937" s="87" t="str">
        <x:v>HR P20050766 B1</x:v>
      </x:c>
      <x:c r="M937" s="87" t="str">
        <x:v>SANOFI AVENTIS DEUTSCHLAND</x:v>
      </x:c>
      <x:c r="N937" s="87" t="str">
        <x:v>SANOFI-AVENTIS DEUTSCHLAND GMBH, DE (2008-05-21)</x:v>
      </x:c>
      <x:c r="O937" s="87" t="str">
        <x:v>IMPROVEMENTS IN AND RELATING TO DRIVE MECHANISMS SUITABLE FOR USE IN DRUG DELIVERY DEVICES</x:v>
      </x:c>
      <x:c r="P937" s="109" t="n">
        <x:v>0</x:v>
      </x:c>
      <x:c r="Q937" s="109" t="n">
        <x:v>204</x:v>
      </x:c>
      <x:c r="R937" s="87" t="str">
        <x:v>A61M5/24;;A61M5/31535;;A61M5/31541;;A61M5/31551;;A61M5/3156;;A61M5/31575;;A61M5/31585;;A61M2005/2407;;A61M2205/581;;A61M2205/582;;A61M5/315;;A61M5/24;;A61M5/31528;;A61M5/31533;;A61M5/31535;;A61M5/31536;;A61M5/31541;;A61M5/31546;;A61M5/31551;;A61M5/3156;;A61M5/31563;;A61M5/31565;;A61M5/31568;;A61M5/3157;;A61M5/31575;;A61M5/31578;;A61M5/31585;;A61M5/31593;;A61M5/32;;A61M2005/2407;;A61M2005/3126;;A61M2205/581;;A61M2205/582</x:v>
      </x:c>
      <x:c r="S937" s="87" t="str">
        <x:v>A61M5/315;;A61M5/24</x:v>
      </x:c>
      <x:c r="T937" s="87" t="str">
        <x:v>EXPIRED</x:v>
      </x:c>
      <x:c r="U937" s="87" t="str">
        <x:v>https://lens.org/081-466-937-882-86X</x:v>
      </x:c>
    </x:row>
    <x:row r="938">
      <x:c r="A938" s="87" t="str">
        <x:v>Sanofi_Applicant_EP_Families_2015_2021.csv(1).csv</x:v>
      </x:c>
      <x:c r="B938" s="87" t="str">
        <x:v>Sanofi</x:v>
      </x:c>
      <x:c r="C938" s="87" t="str">
        <x:v>TRT-0010</x:v>
      </x:c>
      <x:c r="D938" s="87" t="str">
        <x:v>Yes</x:v>
      </x:c>
      <x:c r="E938" s="87" t="str">
        <x:v>sanofi</x:v>
      </x:c>
      <x:c r="F938" s="87" t="str">
        <x:v>344</x:v>
      </x:c>
      <x:c r="G938" s="87" t="str">
        <x:v>184-104-736-364-210</x:v>
      </x:c>
      <x:c r="H938" s="110" t="n">
        <x:v>37365</x:v>
      </x:c>
      <x:c r="I938" s="88" t="n">
        <x:v>2002</x:v>
      </x:c>
      <x:c r="J938" s="87" t="str">
        <x:v>EP</x:v>
      </x:c>
      <x:c r="K938" s="87" t="str">
        <x:v>B1</x:v>
      </x:c>
      <x:c r="L938" s="87" t="str">
        <x:v>EP 1501409 B1</x:v>
      </x:c>
      <x:c r="M938" s="87" t="str">
        <x:v>SANOFI AVENTIS DEUTSCHLAND</x:v>
      </x:c>
      <x:c r="N938" s="87" t="str">
        <x:v>SANOFI-AVENTIS DEUTSCHLAND GMBH (2014-01-08)</x:v>
      </x:c>
      <x:c r="O938" s="87" t="str">
        <x:v>APPARATUS FOR A MULTI-USE BODY FLUID SAMPLING DEVICE</x:v>
      </x:c>
      <x:c r="P938" s="109" t="n">
        <x:v>0</x:v>
      </x:c>
      <x:c r="Q938" s="109" t="n">
        <x:v>42</x:v>
      </x:c>
      <x:c r="R938" s="87" t="str">
        <x:v>A61B5/14532;;A61B5/14546;;A61B5/1455;;A61B5/1486;;A61B5/150022;;A61B5/150152;;A61B5/150167;;A61B5/150175;;A61B5/150221;;A61B5/150358;;A61B5/150412;;A61B5/150427;;A61B5/150503;;A61B5/150519;;A61B5/150572;;A61B5/150664;;A61B5/150824;;A61B5/15087;;A61B5/150916;;A61B5/151;;A61B5/15113;;A61B5/15117;;A61B5/15123;;A61B5/1513;;A61B5/15146;;A61B5/15151;;A61B5/15153;;A61B5/15161;;A61B5/15163;;A61B5/15169;;A61B5/15171;;A61B5/15178;;A61B5/15182;;A61B5/15184;;A61B5/15186;;A61B5/157;;A61B5/1411;;A61B5/1427;;A61B5/14532;;A61B5/14546;;A61B5/1455;;A61B5/1486;;A61B5/150022;;A61B5/150152;;A61B5/150167;;A61B5/150175;;A61B5/150221;;A61B5/150358;;A61B5/150412;;A61B5/150427;;A61B5/150503;;A61B5/150519;;A61B5/150572;;A61B5/150664;;A61B5/150824;;A61B5/15087;;A61B5/150916;;A61B5/151;;A61B5/15113;;A61B5/15117;;A61B5/15123;;A61B5/1513;;A61B5/15146;;A61B5/15151;;A61B5/15153;;A61B5/15161;;A61B5/15163;;A61B5/15169;;A61B5/15171;;A61B5/15178;;A61B5/15182;;A61B5/15184;;A61B5/15186;;A61B5/157;;A61M37/0015</x:v>
      </x:c>
      <x:c r="S938" s="87" t="str">
        <x:v>A61B5/145;;G01N33/483;;A61B5/00;;A61B5/1455;;A61B5/1459;;A61B5/1486;;A61B5/15;;A61B5/151;;A61B5/155;;A61B5/157;;G01N37/00</x:v>
      </x:c>
      <x:c r="T938" s="87" t="str">
        <x:v>EXPIRED</x:v>
      </x:c>
      <x:c r="U938" s="87" t="str">
        <x:v>https://lens.org/184-104-736-364-210</x:v>
      </x:c>
    </x:row>
    <x:row r="939">
      <x:c r="A939" s="87" t="str">
        <x:v>Sanofi_Applicant_EP_Families_2015_2021.csv(1).csv</x:v>
      </x:c>
      <x:c r="B939" s="87" t="str">
        <x:v>Sanofi</x:v>
      </x:c>
      <x:c r="C939" s="87" t="str">
        <x:v>TRT-0010</x:v>
      </x:c>
      <x:c r="D939" s="87" t="str">
        <x:v>Yes</x:v>
      </x:c>
      <x:c r="E939" s="87" t="str">
        <x:v>sanofi</x:v>
      </x:c>
      <x:c r="F939" s="87" t="str">
        <x:v>345</x:v>
      </x:c>
      <x:c r="G939" s="87" t="str">
        <x:v>181-664-338-252-850</x:v>
      </x:c>
      <x:c r="H939" s="110" t="n">
        <x:v>40592</x:v>
      </x:c>
      <x:c r="I939" s="88" t="n">
        <x:v>2011</x:v>
      </x:c>
      <x:c r="J939" s="87" t="str">
        <x:v>EP</x:v>
      </x:c>
      <x:c r="K939" s="87" t="str">
        <x:v>B1</x:v>
      </x:c>
      <x:c r="L939" s="87" t="str">
        <x:v>EP 2675507 B1</x:v>
      </x:c>
      <x:c r="M939" s="87" t="str">
        <x:v>SANOFI SA</x:v>
      </x:c>
      <x:c r="N939" s="87" t="str">
        <x:v>SANOFI (2014-03-12)</x:v>
      </x:c>
      <x:c r="O939" s="87" t="str">
        <x:v>AUTO-INJECTOR</x:v>
      </x:c>
      <x:c r="P939" s="109" t="n">
        <x:v>0</x:v>
      </x:c>
      <x:c r="Q939" s="109" t="n">
        <x:v>36</x:v>
      </x:c>
      <x:c r="R939" s="87" t="str">
        <x:v>A61M5/31501;;A61M5/2033;;A61M5/3157;;A61M5/3202;;A61M5/3204;;A61M5/3257;;A61M5/326;;A61M5/46;;A61M5/5086;;A61M2005/2013;;A61M2005/206;;A61M2005/208;;A61M2005/3247;;A61M2205/581;;A61M2205/582;;F04C2270/0421;;Y10T403/32501;;A61M5/20;;A61M5/315;;A61M5/32;;A61M5/50;;A61M5/2033;;A61M5/31501;;A61M5/31511;;A61M5/3157;;A61M5/3158;;A61M5/3202;;A61M5/3204;;A61M5/3257;;A61M5/326;;A61M5/31501;;A61M5/2033;;A61M5/31511;;A61M5/3157;;A61M5/3158;;A61M5/3202;;A61M5/3204;;A61M5/3245;;A61M5/3257;;A61M5/326;;A61M5/46;;A61M5/5086;;A61M2005/2013;;A61M2005/206;;A61M2005/208;;A61M2005/3247;;A61M2205/581;;A61M2205/582;;F04C2270/0421;;Y10T403/32501</x:v>
      </x:c>
      <x:c r="S939" s="87" t="str">
        <x:v>A61M5/20;;A61M5/315;;A61M5/32;;A61M5/46;;A61M5/50</x:v>
      </x:c>
      <x:c r="T939" s="87" t="str">
        <x:v>ACTIVE</x:v>
      </x:c>
      <x:c r="U939" s="87" t="str">
        <x:v>https://lens.org/181-664-338-252-850</x:v>
      </x:c>
    </x:row>
    <x:row r="940">
      <x:c r="A940" s="87" t="str">
        <x:v>Sanofi_Applicant_EP_Families_2015_2021.csv(1).csv</x:v>
      </x:c>
      <x:c r="B940" s="87" t="str">
        <x:v>Sanofi</x:v>
      </x:c>
      <x:c r="C940" s="87" t="str">
        <x:v>TRT-0010</x:v>
      </x:c>
      <x:c r="D940" s="87" t="str">
        <x:v>Yes</x:v>
      </x:c>
      <x:c r="E940" s="87" t="str">
        <x:v>sanofi</x:v>
      </x:c>
      <x:c r="F940" s="87" t="str">
        <x:v>346</x:v>
      </x:c>
      <x:c r="G940" s="87" t="str">
        <x:v>020-705-960-398-016</x:v>
      </x:c>
      <x:c r="H940" s="110" t="n">
        <x:v>38245</x:v>
      </x:c>
      <x:c r="I940" s="88" t="n">
        <x:v>2004</x:v>
      </x:c>
      <x:c r="J940" s="87" t="str">
        <x:v>EP</x:v>
      </x:c>
      <x:c r="K940" s="87" t="str">
        <x:v>B1</x:v>
      </x:c>
      <x:c r="L940" s="87" t="str">
        <x:v>EP 1804651 B1</x:v>
      </x:c>
      <x:c r="M940" s="87" t="str">
        <x:v>SANOFI AVENTIS DEUTSCHLAND</x:v>
      </x:c>
      <x:c r="N940" s="87" t="str">
        <x:v>SANOFI-AVENTIS DEUTSCHLAND GMBH (2014-01-08)</x:v>
      </x:c>
      <x:c r="O940" s="87" t="str">
        <x:v>APPARATUS FOR AN IMPROVED SAMPLE CAPTURE</x:v>
      </x:c>
      <x:c r="P940" s="109" t="n">
        <x:v>0</x:v>
      </x:c>
      <x:c r="Q940" s="109" t="n">
        <x:v>5</x:v>
      </x:c>
      <x:c r="R940" s="87" t="str">
        <x:v>A61B5/157;;A61B5/14532;;A61B5/150022;;A61B5/150167;;A61B5/150175;;A61B5/150213;;A61B5/150358;;A61B5/150427;;A61B5/150503;;A61B5/15123;;A61B5/15146;;A61B5/15151;;A61B5/15161;;A61B5/15176</x:v>
      </x:c>
      <x:c r="S940" s="87" t="str">
        <x:v>A61B5/00;;B65D81/00</x:v>
      </x:c>
      <x:c r="T940" s="87" t="str">
        <x:v>EXPIRED</x:v>
      </x:c>
      <x:c r="U940" s="87" t="str">
        <x:v>https://lens.org/020-705-960-398-016</x:v>
      </x:c>
    </x:row>
    <x:row r="941">
      <x:c r="A941" s="87" t="str">
        <x:v>Sanofi_Applicant_EP_Families_2015_2021.csv(1).csv</x:v>
      </x:c>
      <x:c r="B941" s="87" t="str">
        <x:v>Sanofi</x:v>
      </x:c>
      <x:c r="C941" s="87" t="str">
        <x:v>TRT-0010</x:v>
      </x:c>
      <x:c r="D941" s="87" t="str">
        <x:v>Yes</x:v>
      </x:c>
      <x:c r="E941" s="87" t="str">
        <x:v>sanofi</x:v>
      </x:c>
      <x:c r="F941" s="87" t="str">
        <x:v>347</x:v>
      </x:c>
      <x:c r="G941" s="87" t="str">
        <x:v>016-513-848-756-038</x:v>
      </x:c>
      <x:c r="H941" s="110" t="n">
        <x:v>39478</x:v>
      </x:c>
      <x:c r="I941" s="88" t="n">
        <x:v>2008</x:v>
      </x:c>
      <x:c r="J941" s="87" t="str">
        <x:v>EP</x:v>
      </x:c>
      <x:c r="K941" s="87" t="str">
        <x:v>B1</x:v>
      </x:c>
      <x:c r="L941" s="87" t="str">
        <x:v>EP 2247575 B1</x:v>
      </x:c>
      <x:c r="M941" s="87" t="str">
        <x:v>SANOFI SA</x:v>
      </x:c>
      <x:c r="N941" s="87" t="str">
        <x:v>SANOFI (2012-05-02)</x:v>
      </x:c>
      <x:c r="O941" s="87" t="str">
        <x:v>CYCLIC INDOLE-3-CARBOXAMIDES, THEIR PREPARATION AND THEIR USE AS PHARMACEUTICALS</x:v>
      </x:c>
      <x:c r="P941" s="109" t="n">
        <x:v>0</x:v>
      </x:c>
      <x:c r="Q941" s="109" t="n">
        <x:v>26</x:v>
      </x:c>
      <x:c r="R941" s="87" t="str">
        <x:v>C07D209/42;;A61P3/00;;A61P7/00;;A61P9/00;;A61P9/04;;A61P9/10;;A61P9/12;;A61P9/14;;A61P13/00;;A61P13/12;;A61P27/02;;A61P27/06;;C07D401/04;;C07D403/06;;C07D405/04;;C07D409/04;;C07D209/42;;C07D401/04;;C07D403/06;;C07D405/04;;C07D409/04</x:v>
      </x:c>
      <x:c r="S941" s="87" t="str">
        <x:v>C07D209/42;;A61K31/496;;A61P7/00;;A61P9/00;;A61P13/00;;C07D401/04;;C07D403/12;;C07D405/04;;C07D409/04</x:v>
      </x:c>
      <x:c r="T941" s="87" t="str">
        <x:v>ACTIVE</x:v>
      </x:c>
      <x:c r="U941" s="87" t="str">
        <x:v>https://lens.org/016-513-848-756-038</x:v>
      </x:c>
    </x:row>
    <x:row r="942">
      <x:c r="A942" s="87" t="str">
        <x:v>Sanofi_Applicant_EP_Families_2015_2021.csv(1).csv</x:v>
      </x:c>
      <x:c r="B942" s="87" t="str">
        <x:v>Sanofi</x:v>
      </x:c>
      <x:c r="C942" s="87" t="str">
        <x:v>TRT-0010</x:v>
      </x:c>
      <x:c r="D942" s="87" t="str">
        <x:v>Yes</x:v>
      </x:c>
      <x:c r="E942" s="87" t="str">
        <x:v>sanofi</x:v>
      </x:c>
      <x:c r="F942" s="87" t="str">
        <x:v>348</x:v>
      </x:c>
      <x:c r="G942" s="87" t="str">
        <x:v>138-502-195-736-768</x:v>
      </x:c>
      <x:c r="H942" s="110" t="n">
        <x:v>35723</x:v>
      </x:c>
      <x:c r="I942" s="88" t="n">
        <x:v>1997</x:v>
      </x:c>
      <x:c r="J942" s="87" t="str">
        <x:v>EP</x:v>
      </x:c>
      <x:c r="K942" s="87" t="str">
        <x:v>B1</x:v>
      </x:c>
      <x:c r="L942" s="87" t="str">
        <x:v>EP 1568378 B1</x:v>
      </x:c>
      <x:c r="M942" s="87" t="str">
        <x:v>SANOFI PASTEUR BIOLOGICS LLC</x:v>
      </x:c>
      <x:c r="N942" s="87" t="str">
        <x:v>SANOFI PASTEUR BIOLOGICS CO. (2010-10-13);;SANOFI PASTEUR BIOLOGICS, LLC (2014-03-26)</x:v>
      </x:c>
      <x:c r="O942" s="87" t="str">
        <x:v>Immunization against Clostridium difficile disease</x:v>
      </x:c>
      <x:c r="P942" s="109" t="n">
        <x:v>0</x:v>
      </x:c>
      <x:c r="Q942" s="109" t="n">
        <x:v>2</x:v>
      </x:c>
      <x:c r="R942" s="87" t="str">
        <x:v>C07K16/1282;;A61K39/00;;A61K39/08;;A61K2039/505;;A61K2039/54;;C07K14/33;;A61K39/00</x:v>
      </x:c>
      <x:c r="S942" s="87" t="str">
        <x:v>A61K39/02;;A61K39/00;;A61K39/08;;A61K39/40;;C07K1/00;;C07K14/33;;C07K16/00;;C07K16/12</x:v>
      </x:c>
      <x:c r="T942" s="87" t="str">
        <x:v>EXPIRED</x:v>
      </x:c>
      <x:c r="U942" s="87" t="str">
        <x:v>https://lens.org/138-502-195-736-768</x:v>
      </x:c>
    </x:row>
    <x:row r="943">
      <x:c r="A943" s="87" t="str">
        <x:v>Sanofi_Applicant_EP_Families_2015_2021.csv(1).csv</x:v>
      </x:c>
      <x:c r="B943" s="87" t="str">
        <x:v>Sanofi</x:v>
      </x:c>
      <x:c r="C943" s="87" t="str">
        <x:v>TRT-0010</x:v>
      </x:c>
      <x:c r="D943" s="87" t="str">
        <x:v>Yes</x:v>
      </x:c>
      <x:c r="E943" s="87" t="str">
        <x:v>sanofi</x:v>
      </x:c>
      <x:c r="F943" s="87" t="str">
        <x:v>349</x:v>
      </x:c>
      <x:c r="G943" s="87" t="str">
        <x:v>057-056-341-763-913</x:v>
      </x:c>
      <x:c r="H943" s="110" t="n">
        <x:v>41002</x:v>
      </x:c>
      <x:c r="I943" s="88" t="n">
        <x:v>2012</x:v>
      </x:c>
      <x:c r="J943" s="87" t="str">
        <x:v>EP</x:v>
      </x:c>
      <x:c r="K943" s="87" t="str">
        <x:v>B1</x:v>
      </x:c>
      <x:c r="L943" s="87" t="str">
        <x:v>EP 2834248 B1</x:v>
      </x:c>
      <x:c r="M943" s="87" t="str">
        <x:v>SANOFI SA</x:v>
      </x:c>
      <x:c r="N943" s="87" t="str">
        <x:v>SANOFI; FR (2025-04-11)</x:v>
      </x:c>
      <x:c r="O943" s="87" t="str">
        <x:v>NOVEL THIENOPYRIMIDINE DERIVATIVES, PROCESSES FOR THE PREPARATION THEREOF AND THERAPEUTIC USES THEREOF</x:v>
      </x:c>
      <x:c r="P943" s="109" t="n">
        <x:v>0</x:v>
      </x:c>
      <x:c r="Q943" s="109" t="n">
        <x:v>64</x:v>
      </x:c>
      <x:c r="R943" s="87" t="str">
        <x:v>C07D495/04;;C07D519/00;;A61K31/553;;A61K31/519;;A61K31/55;;A61K31/551;;A61P35/00;;A61P43/00;;C07D495/04;;A61K31/553;;A61K31/519;;A61K31/55;;A61K31/551;;C07D495/04</x:v>
      </x:c>
      <x:c r="S943" s="87" t="str">
        <x:v>C07D495/04;;A61K31/505;;A61P35/00</x:v>
      </x:c>
      <x:c r="T943" s="87" t="str">
        <x:v>ACTIVE</x:v>
      </x:c>
      <x:c r="U943" s="87" t="str">
        <x:v>https://lens.org/057-056-341-763-913</x:v>
      </x:c>
    </x:row>
    <x:row r="944">
      <x:c r="A944" s="87" t="str">
        <x:v>Sanofi_Applicant_EP_Families_2015_2021.csv(1).csv</x:v>
      </x:c>
      <x:c r="B944" s="87" t="str">
        <x:v>Sanofi</x:v>
      </x:c>
      <x:c r="C944" s="87" t="str">
        <x:v>TRT-0010</x:v>
      </x:c>
      <x:c r="D944" s="87" t="str">
        <x:v>Yes</x:v>
      </x:c>
      <x:c r="E944" s="87" t="str">
        <x:v>sanofi</x:v>
      </x:c>
      <x:c r="F944" s="87" t="str">
        <x:v>350</x:v>
      </x:c>
      <x:c r="G944" s="87" t="str">
        <x:v>086-718-305-412-00X</x:v>
      </x:c>
      <x:c r="H944" s="110" t="n">
        <x:v>37785</x:v>
      </x:c>
      <x:c r="I944" s="88" t="n">
        <x:v>2003</x:v>
      </x:c>
      <x:c r="J944" s="87" t="str">
        <x:v>EP</x:v>
      </x:c>
      <x:c r="K944" s="87" t="str">
        <x:v>B1</x:v>
      </x:c>
      <x:c r="L944" s="87" t="str">
        <x:v>EP 1635700 B1</x:v>
      </x:c>
      <x:c r="M944" s="87" t="str">
        <x:v>SANOFI AVENTIS DEUTSCHLAND</x:v>
      </x:c>
      <x:c r="N944" s="87" t="str">
        <x:v>SANOFI-AVENTIS DEUTSCHLAND GMBH (2014-01-08)</x:v>
      </x:c>
      <x:c r="O944" s="87" t="str">
        <x:v>APPARATUS FOR A POINT OF CARE DEVICE</x:v>
      </x:c>
      <x:c r="P944" s="109" t="n">
        <x:v>0</x:v>
      </x:c>
      <x:c r="Q944" s="109" t="n">
        <x:v>6</x:v>
      </x:c>
      <x:c r="R944" s="87" t="str">
        <x:v>A61B5/14532;;A61B5/1486;;A61B5/150022;;A61B5/150152;;A61B5/150167;;A61B5/150175;;A61B5/150213;;A61B5/150358;;A61B5/150412;;A61B5/150755;;A61B5/15123;;A61B5/15146;;A61B5/15151;;A61B5/15161;;A61B5/14532;;A61B5/1486;;A61B5/150022;;A61B5/150152;;A61B5/150167;;A61B5/150175;;A61B5/150213;;A61B5/150358;;A61B5/150412;;A61B5/150755;;A61B5/15123;;A61B5/15146;;A61B5/15151;;A61B5/15161</x:v>
      </x:c>
      <x:c r="S944" s="87" t="str">
        <x:v>A61B5/00;;A61B5/15</x:v>
      </x:c>
      <x:c r="T944" s="87" t="str">
        <x:v>EXPIRED</x:v>
      </x:c>
      <x:c r="U944" s="87" t="str">
        <x:v>https://lens.org/086-718-305-412-00X</x:v>
      </x:c>
    </x:row>
    <x:row r="945">
      <x:c r="A945" s="87" t="str">
        <x:v>Sanofi_Applicant_EP_Families_2015_2021.csv(1).csv</x:v>
      </x:c>
      <x:c r="B945" s="87" t="str">
        <x:v>Sanofi</x:v>
      </x:c>
      <x:c r="C945" s="87" t="str">
        <x:v>TRT-0010</x:v>
      </x:c>
      <x:c r="D945" s="87" t="str">
        <x:v>Yes</x:v>
      </x:c>
      <x:c r="E945" s="87" t="str">
        <x:v>sanofi</x:v>
      </x:c>
      <x:c r="F945" s="87" t="str">
        <x:v>351</x:v>
      </x:c>
      <x:c r="G945" s="87" t="str">
        <x:v>066-696-948-177-875</x:v>
      </x:c>
      <x:c r="H945" s="110" t="n">
        <x:v>39812</x:v>
      </x:c>
      <x:c r="I945" s="88" t="n">
        <x:v>2008</x:v>
      </x:c>
      <x:c r="J945" s="87" t="str">
        <x:v>EP</x:v>
      </x:c>
      <x:c r="K945" s="87" t="str">
        <x:v>B1</x:v>
      </x:c>
      <x:c r="L945" s="87" t="str">
        <x:v>EP 2385852 B1</x:v>
      </x:c>
      <x:c r="M945" s="87" t="str">
        <x:v>SANOFI SA</x:v>
      </x:c>
      <x:c r="N945" s="87" t="str">
        <x:v>SANOFI SA (2012-10-24)</x:v>
      </x:c>
      <x:c r="O945" s="87" t="str">
        <x:v>DOSING DEVICE</x:v>
      </x:c>
      <x:c r="P945" s="109" t="n">
        <x:v>0</x:v>
      </x:c>
      <x:c r="Q945" s="109" t="n">
        <x:v>29</x:v>
      </x:c>
      <x:c r="R945" s="87" t="str">
        <x:v>A61M15/0065;;A61M15/0078;;A61M2202/064;;A61M15/00;;A61J1/05;;B65D83/06;;A61M15/0065;;A61M15/0078;;A61M2202/064</x:v>
      </x:c>
      <x:c r="S945" s="87" t="str">
        <x:v>A61M15/00;;G01F11/24</x:v>
      </x:c>
      <x:c r="T945" s="87" t="str">
        <x:v>ACTIVE</x:v>
      </x:c>
      <x:c r="U945" s="87" t="str">
        <x:v>https://lens.org/066-696-948-177-875</x:v>
      </x:c>
    </x:row>
    <x:row r="946">
      <x:c r="A946" s="87" t="str">
        <x:v>Sanofi_Applicant_EP_Families_2015_2021.csv(1).csv</x:v>
      </x:c>
      <x:c r="B946" s="87" t="str">
        <x:v>Sanofi</x:v>
      </x:c>
      <x:c r="C946" s="87" t="str">
        <x:v>TRT-0010</x:v>
      </x:c>
      <x:c r="D946" s="87" t="str">
        <x:v>Yes</x:v>
      </x:c>
      <x:c r="E946" s="87" t="str">
        <x:v>sanofi</x:v>
      </x:c>
      <x:c r="F946" s="87" t="str">
        <x:v>352</x:v>
      </x:c>
      <x:c r="G946" s="87" t="str">
        <x:v>036-359-236-765-489</x:v>
      </x:c>
      <x:c r="H946" s="110" t="n">
        <x:v>38226</x:v>
      </x:c>
      <x:c r="I946" s="88" t="n">
        <x:v>2004</x:v>
      </x:c>
      <x:c r="J946" s="87" t="str">
        <x:v>EP</x:v>
      </x:c>
      <x:c r="K946" s="87" t="str">
        <x:v>B1</x:v>
      </x:c>
      <x:c r="L946" s="87" t="str">
        <x:v>EP 1791584 B1</x:v>
      </x:c>
      <x:c r="M946" s="87" t="str">
        <x:v>SANOFI SA</x:v>
      </x:c>
      <x:c r="N946" s="87" t="str">
        <x:v>SANOFI SA (2012-10-24);;SIEGFRIED PHARMA INTERNATIONAL AG (2011-12-14);;SIEGFRIED GENERICS INTERNATIONAL AG (2009-04-15)</x:v>
      </x:c>
      <x:c r="O946" s="87" t="str">
        <x:v>INHALER FOR POWDERED, PARTICULARLY MEDICAL SUBSTANCES</x:v>
      </x:c>
      <x:c r="P946" s="109" t="n">
        <x:v>0</x:v>
      </x:c>
      <x:c r="Q946" s="109" t="n">
        <x:v>52</x:v>
      </x:c>
      <x:c r="R946" s="87" t="str">
        <x:v>A61M15/0006;;A61M15/0065;;A61M2202/062;;A61M2202/064;;A61M15/00;;A61M15/0006;;A61M15/0065;;A61M15/0086;;A61M2202/062;;A61M2202/064;;A61M15/0001;;A61M15/0005;;A61M15/0006;;A61M15/002;;A61M15/0021;;A61M15/0025;;A61M15/0065;;A61M15/0086;;A61M15/0091;;A61M2202/062;;A61M2202/064</x:v>
      </x:c>
      <x:c r="S946" s="87" t="str">
        <x:v>A61M15/00</x:v>
      </x:c>
      <x:c r="T946" s="87" t="str">
        <x:v>EXPIRED</x:v>
      </x:c>
      <x:c r="U946" s="87" t="str">
        <x:v>https://lens.org/036-359-236-765-489</x:v>
      </x:c>
    </x:row>
    <x:row r="947">
      <x:c r="A947" s="87" t="str">
        <x:v>Sanofi_Applicant_EP_Families_2015_2021.csv(1).csv</x:v>
      </x:c>
      <x:c r="B947" s="87" t="str">
        <x:v>Sanofi</x:v>
      </x:c>
      <x:c r="C947" s="87" t="str">
        <x:v>TRT-0010</x:v>
      </x:c>
      <x:c r="D947" s="87" t="str">
        <x:v>Yes</x:v>
      </x:c>
      <x:c r="E947" s="87" t="str">
        <x:v>sanofi</x:v>
      </x:c>
      <x:c r="F947" s="87" t="str">
        <x:v>353</x:v>
      </x:c>
      <x:c r="G947" s="87" t="str">
        <x:v>191-464-952-740-922</x:v>
      </x:c>
      <x:c r="H947" s="110" t="n">
        <x:v>39358</x:v>
      </x:c>
      <x:c r="I947" s="88" t="n">
        <x:v>2007</x:v>
      </x:c>
      <x:c r="J947" s="87" t="str">
        <x:v>EP</x:v>
      </x:c>
      <x:c r="K947" s="87" t="str">
        <x:v>B1</x:v>
      </x:c>
      <x:c r="L947" s="87" t="str">
        <x:v>EP 2205593 B1</x:v>
      </x:c>
      <x:c r="M947" s="87" t="str">
        <x:v>SANOFI SA</x:v>
      </x:c>
      <x:c r="N947" s="87" t="str">
        <x:v>SANOFI (2012-05-02)</x:v>
      </x:c>
      <x:c r="O947" s="87" t="str">
        <x:v>QUINAZOLINEDIONE DERIVATIVES, PREPARATION THEREOF AND THERAPEUTIC USES THEREOF</x:v>
      </x:c>
      <x:c r="P947" s="109" t="n">
        <x:v>0</x:v>
      </x:c>
      <x:c r="Q947" s="109" t="n">
        <x:v>49</x:v>
      </x:c>
      <x:c r="R947" s="87" t="str">
        <x:v>C07D401/04;;A61P1/00;;A61P1/04;;A61P3/10;;A61P3/14;;A61P11/00;;A61P11/02;;A61P11/06;;A61P17/00;;A61P17/06;;A61P19/00;;A61P19/02;;A61P19/08;;A61P19/10;;A61P21/00;;A61P21/04;;A61P25/00;;A61P25/02;;A61P25/04;;A61P29/00;;A61P35/00;;A61P37/00;;A61P37/06;;C07D403/04;;C07D471/08;;C07D401/04;;C07D403/04;;C07D471/08</x:v>
      </x:c>
      <x:c r="S947" s="87" t="str">
        <x:v>C07D403/04;;A61K31/517</x:v>
      </x:c>
      <x:c r="T947" s="87" t="str">
        <x:v>ACTIVE</x:v>
      </x:c>
      <x:c r="U947" s="87" t="str">
        <x:v>https://lens.org/191-464-952-740-922</x:v>
      </x:c>
    </x:row>
    <x:row r="948">
      <x:c r="A948" s="87" t="str">
        <x:v>Sanofi_Applicant_EP_Families_2015_2021.csv(1).csv</x:v>
      </x:c>
      <x:c r="B948" s="87" t="str">
        <x:v>Sanofi</x:v>
      </x:c>
      <x:c r="C948" s="87" t="str">
        <x:v>TRT-0010</x:v>
      </x:c>
      <x:c r="D948" s="87" t="str">
        <x:v>Yes</x:v>
      </x:c>
      <x:c r="E948" s="87" t="str">
        <x:v>sanofi</x:v>
      </x:c>
      <x:c r="F948" s="87" t="str">
        <x:v>354</x:v>
      </x:c>
      <x:c r="G948" s="87" t="str">
        <x:v>042-979-600-914-095</x:v>
      </x:c>
      <x:c r="H948" s="110" t="n">
        <x:v>38765</x:v>
      </x:c>
      <x:c r="I948" s="88" t="n">
        <x:v>2006</x:v>
      </x:c>
      <x:c r="J948" s="87" t="str">
        <x:v>EP</x:v>
      </x:c>
      <x:c r="K948" s="87" t="str">
        <x:v>B1</x:v>
      </x:c>
      <x:c r="L948" s="87" t="str">
        <x:v>EP 1962934 B1</x:v>
      </x:c>
      <x:c r="M948" s="87" t="str">
        <x:v>SANOFI SA</x:v>
      </x:c>
      <x:c r="N948" s="87" t="str">
        <x:v>SANOFI SA (2012-10-24);;SIEGFRIED PHARMA INTERNATIONAL AG (2011-12-14)</x:v>
      </x:c>
      <x:c r="O948" s="87" t="str">
        <x:v>DISPERSING UNIT</x:v>
      </x:c>
      <x:c r="P948" s="109" t="n">
        <x:v>0</x:v>
      </x:c>
      <x:c r="Q948" s="109" t="n">
        <x:v>39</x:v>
      </x:c>
      <x:c r="R948" s="87" t="str">
        <x:v>A61M15/0086;;A61M11/002;;A61M15/0021;;A61M2206/16;;A61M15/00;;A61M15/0086;;A61M11/002;;A61M15/0021;;A61M2206/16</x:v>
      </x:c>
      <x:c r="S948" s="87" t="str">
        <x:v>A61M15/00;;B01F23/30</x:v>
      </x:c>
      <x:c r="T948" s="87" t="str">
        <x:v>ACTIVE</x:v>
      </x:c>
      <x:c r="U948" s="87" t="str">
        <x:v>https://lens.org/042-979-600-914-095</x:v>
      </x:c>
    </x:row>
    <x:row r="949">
      <x:c r="A949" s="87" t="str">
        <x:v>Sanofi_Applicant_EP_Families_2015_2021.csv(1).csv</x:v>
      </x:c>
      <x:c r="B949" s="87" t="str">
        <x:v>Sanofi</x:v>
      </x:c>
      <x:c r="C949" s="87" t="str">
        <x:v>TRT-0010</x:v>
      </x:c>
      <x:c r="D949" s="87" t="str">
        <x:v>Yes</x:v>
      </x:c>
      <x:c r="E949" s="87" t="str">
        <x:v>sanofi</x:v>
      </x:c>
      <x:c r="F949" s="87" t="str">
        <x:v>355</x:v>
      </x:c>
      <x:c r="G949" s="87" t="str">
        <x:v>017-930-337-362-954</x:v>
      </x:c>
      <x:c r="H949" s="110" t="n">
        <x:v>37515</x:v>
      </x:c>
      <x:c r="I949" s="88" t="n">
        <x:v>2002</x:v>
      </x:c>
      <x:c r="J949" s="87" t="str">
        <x:v>EP</x:v>
      </x:c>
      <x:c r="K949" s="87" t="str">
        <x:v>B8</x:v>
      </x:c>
      <x:c r="L949" s="87" t="str">
        <x:v>EP 2497514 B8</x:v>
      </x:c>
      <x:c r="M949" s="87" t="str">
        <x:v>SANOFI SA</x:v>
      </x:c>
      <x:c r="N949" s="87" t="str">
        <x:v>SANOFI SA (2012-10-24)</x:v>
      </x:c>
      <x:c r="O949" s="87" t="str">
        <x:v>Inhalator for powdery, in particular medical, substances</x:v>
      </x:c>
      <x:c r="P949" s="109" t="n">
        <x:v>0</x:v>
      </x:c>
      <x:c r="Q949" s="109" t="n">
        <x:v>22</x:v>
      </x:c>
      <x:c r="R949" s="87" t="str">
        <x:v>A61M15/0065;;A61M15/0006;;A61M2202/064;;A61M15/0065;;A61M15/0006;;A61M2202/064</x:v>
      </x:c>
      <x:c r="S949" s="87" t="str">
        <x:v>A61J1/03;;A61M15/00</x:v>
      </x:c>
      <x:c r="T949" s="87" t="str">
        <x:v>EXPIRED</x:v>
      </x:c>
      <x:c r="U949" s="87" t="str">
        <x:v>https://lens.org/017-930-337-362-954</x:v>
      </x:c>
    </x:row>
    <x:row r="950">
      <x:c r="A950" s="87" t="str">
        <x:v>Sanofi_Applicant_EP_Families_2015_2021.csv(1).csv</x:v>
      </x:c>
      <x:c r="B950" s="87" t="str">
        <x:v>Sanofi</x:v>
      </x:c>
      <x:c r="C950" s="87" t="str">
        <x:v>TRT-0010</x:v>
      </x:c>
      <x:c r="D950" s="87" t="str">
        <x:v>Yes</x:v>
      </x:c>
      <x:c r="E950" s="87" t="str">
        <x:v>sanofi</x:v>
      </x:c>
      <x:c r="F950" s="87" t="str">
        <x:v>356</x:v>
      </x:c>
      <x:c r="G950" s="87" t="str">
        <x:v>106-698-305-794-819</x:v>
      </x:c>
      <x:c r="H950" s="110" t="n">
        <x:v>39783</x:v>
      </x:c>
      <x:c r="I950" s="88" t="n">
        <x:v>2008</x:v>
      </x:c>
      <x:c r="J950" s="87" t="str">
        <x:v>EP</x:v>
      </x:c>
      <x:c r="K950" s="87" t="str">
        <x:v>B1</x:v>
      </x:c>
      <x:c r="L950" s="87" t="str">
        <x:v>EP 2370446 B1</x:v>
      </x:c>
      <x:c r="M950" s="87" t="str">
        <x:v>SANOFI SA</x:v>
      </x:c>
      <x:c r="N950" s="87" t="str">
        <x:v>SANOFI (2012-05-02)</x:v>
      </x:c>
      <x:c r="O950" s="87" t="str">
        <x:v>6-CYCLOAMINO-3-(1H-PYRROLO[2,3-B]PYRIDIN-4-YL)IMIDAZO[1,2-B]PYRIDAZINE DERIVATIVES,PREPARATION THEREOF AND THERAPEUTIC USE THEREOF</x:v>
      </x:c>
      <x:c r="P950" s="109" t="n">
        <x:v>0</x:v>
      </x:c>
      <x:c r="Q950" s="109" t="n">
        <x:v>30</x:v>
      </x:c>
      <x:c r="R950" s="87" t="str">
        <x:v>C07D519/00;;A61P9/06;;A61P9/10;;A61P19/02;;A61P25/00;;A61P25/20;;A61P25/22;;A61P25/24;;A61P25/28;;A61P25/30;;A61P25/32;;A61P25/34;;A61P25/36;;A61P29/00;;A61P35/00;;A61P35/02;;A61P43/00;;C07D401/12;;C07D487/04;;A61K31/5025;;C07D519/00;;C07D519/00;;C07D401/12</x:v>
      </x:c>
      <x:c r="S950" s="87" t="str">
        <x:v>C07D519/00</x:v>
      </x:c>
      <x:c r="T950" s="87" t="str">
        <x:v>ACTIVE</x:v>
      </x:c>
      <x:c r="U950" s="87" t="str">
        <x:v>https://lens.org/106-698-305-794-819</x:v>
      </x:c>
    </x:row>
    <x:row r="951">
      <x:c r="A951" s="87" t="str">
        <x:v>Sanofi_Applicant_EP_Families_2015_2021.csv(1).csv</x:v>
      </x:c>
      <x:c r="B951" s="87" t="str">
        <x:v>Sanofi</x:v>
      </x:c>
      <x:c r="C951" s="87" t="str">
        <x:v>TRT-0010</x:v>
      </x:c>
      <x:c r="D951" s="87" t="str">
        <x:v>Yes</x:v>
      </x:c>
      <x:c r="E951" s="87" t="str">
        <x:v>sanofi</x:v>
      </x:c>
      <x:c r="F951" s="87" t="str">
        <x:v>357</x:v>
      </x:c>
      <x:c r="G951" s="87" t="str">
        <x:v>189-699-684-879-948</x:v>
      </x:c>
      <x:c r="H951" s="110" t="n">
        <x:v>39561</x:v>
      </x:c>
      <x:c r="I951" s="88" t="n">
        <x:v>2008</x:v>
      </x:c>
      <x:c r="J951" s="87" t="str">
        <x:v>EP</x:v>
      </x:c>
      <x:c r="K951" s="87" t="str">
        <x:v>B1</x:v>
      </x:c>
      <x:c r="L951" s="87" t="str">
        <x:v>EP 2278919 B1</x:v>
      </x:c>
      <x:c r="M951" s="87" t="str">
        <x:v>SANOFI AVENTIS DEUTSCHLAND</x:v>
      </x:c>
      <x:c r="N951" s="87" t="str">
        <x:v>SANOFI-AVENTIS DEUTSCHLAND GMBH (2014-01-08)</x:v>
      </x:c>
      <x:c r="O951" s="87" t="str">
        <x:v>Blood testing apparatus having a laser source</x:v>
      </x:c>
      <x:c r="P951" s="109" t="n">
        <x:v>0</x:v>
      </x:c>
      <x:c r="Q951" s="109" t="n">
        <x:v>10</x:v>
      </x:c>
      <x:c r="R951" s="87" t="str">
        <x:v>A61B5/14532;;A61B5/1455;;A61B5/150022;;A61B5/150259;;A61B5/150412;;A61B5/150503;;A61B5/150572;;A61B5/15113;;A61B5/15117;;A61B5/1513;;A61B5/15146;;A61B5/15151;;A61B5/15161;;A61B5/15176;;A61B5/157;;A61B5/681;;G01N33/96;;A61B5/14532;;A61B5/1455;;A61B5/150022;;A61B5/150259;;A61B5/150412;;A61B5/150503;;A61B5/150572;;A61B5/15113;;A61B5/15117;;A61B5/1513;;A61B5/15146;;A61B5/15151;;A61B5/15161;;A61B5/15176;;A61B5/157;;A61B5/681;;G01N33/96</x:v>
      </x:c>
      <x:c r="S951" s="87" t="str">
        <x:v>A61B5/157;;A61B5/00;;A61B5/145;;A61B5/1455;;A61B5/15;;A61B5/151;;G01N33/96</x:v>
      </x:c>
      <x:c r="T951" s="87" t="str">
        <x:v>ACTIVE</x:v>
      </x:c>
      <x:c r="U951" s="87" t="str">
        <x:v>https://lens.org/189-699-684-879-948</x:v>
      </x:c>
    </x:row>
    <x:row r="952">
      <x:c r="A952" s="87" t="str">
        <x:v>Sanofi_Applicant_EP_Families_2015_2021.csv(1).csv</x:v>
      </x:c>
      <x:c r="B952" s="87" t="str">
        <x:v>Sanofi</x:v>
      </x:c>
      <x:c r="C952" s="87" t="str">
        <x:v>TRT-0010</x:v>
      </x:c>
      <x:c r="D952" s="87" t="str">
        <x:v>Yes</x:v>
      </x:c>
      <x:c r="E952" s="87" t="str">
        <x:v>sanofi</x:v>
      </x:c>
      <x:c r="F952" s="87" t="str">
        <x:v>358</x:v>
      </x:c>
      <x:c r="G952" s="87" t="str">
        <x:v>132-310-380-552-640</x:v>
      </x:c>
      <x:c r="H952" s="110" t="n">
        <x:v>38707</x:v>
      </x:c>
      <x:c r="I952" s="88" t="n">
        <x:v>2005</x:v>
      </x:c>
      <x:c r="J952" s="87" t="str">
        <x:v>EP</x:v>
      </x:c>
      <x:c r="K952" s="87" t="str">
        <x:v>B1</x:v>
      </x:c>
      <x:c r="L952" s="87" t="str">
        <x:v>EP 1969366 B1</x:v>
      </x:c>
      <x:c r="M952" s="87" t="str">
        <x:v>SANOFI PASTEUR VAXDESIGN CORP;;UNIV VIRGINIA COMMONWEALTH</x:v>
      </x:c>
      <x:c r="N952" s="87" t="str">
        <x:v>SANOFI PASTEUR VAXDESIGN CORPORATION (2011-12-28);;VIRGINIA COMMONWEALTH UNIVERSITY (2011-12-28)</x:v>
      </x:c>
      <x:c r="O952" s="87" t="str">
        <x:v>IN VITRO GERMINAL CENTERS</x:v>
      </x:c>
      <x:c r="P952" s="109" t="n">
        <x:v>0</x:v>
      </x:c>
      <x:c r="Q952" s="109" t="n">
        <x:v>18</x:v>
      </x:c>
      <x:c r="R952" s="87" t="str">
        <x:v>C07K16/44;;C12N5/0639;;C12N5/0651;;C12N5/0697;;C12N2501/052;;C12N2501/21;;C12N2501/2304;;C12N2502/11;;C12N2502/1107;;C12N2502/1114;;C12N2502/1121;;C12N2502/1192;;C12N2502/28;;C12N2503/04;;C12N2533/50;;C12N2533/54;;C12N2533/92;;C12N2535/10;;G01N33/5047;;G01N33/5076;;G01N33/5088;;C07K16/44;;C12N5/0639;;C12N5/0651;;C12N5/0697;;C12N2501/052;;C12N2501/21;;C12N2501/2304;;C12N2502/11;;C12N2502/1107;;C12N2502/1114;;C12N2502/1121;;C12N2502/1192;;C12N2502/28;;C12N2503/04;;C12N2533/50;;C12N2533/54;;C12N2533/92;;C12N2535/10;;G01N33/5047;;G01N33/5076;;G01N33/5088</x:v>
      </x:c>
      <x:c r="S952" s="87" t="str">
        <x:v>C12N5/078;;C07K16/00;;C12N5/071;;C12N5/0784;;C12Q1/02</x:v>
      </x:c>
      <x:c r="T952" s="87" t="str">
        <x:v>ACTIVE</x:v>
      </x:c>
      <x:c r="U952" s="87" t="str">
        <x:v>https://lens.org/132-310-380-552-640</x:v>
      </x:c>
    </x:row>
    <x:row r="953">
      <x:c r="A953" s="87" t="str">
        <x:v>Sanofi_Applicant_EP_Families_2015_2021.csv(1).csv</x:v>
      </x:c>
      <x:c r="B953" s="87" t="str">
        <x:v>Sanofi</x:v>
      </x:c>
      <x:c r="C953" s="87" t="str">
        <x:v>TRT-0010</x:v>
      </x:c>
      <x:c r="D953" s="87" t="str">
        <x:v>Yes</x:v>
      </x:c>
      <x:c r="E953" s="87" t="str">
        <x:v>sanofi</x:v>
      </x:c>
      <x:c r="F953" s="87" t="str">
        <x:v>359</x:v>
      </x:c>
      <x:c r="G953" s="87" t="str">
        <x:v>125-280-504-855-881</x:v>
      </x:c>
      <x:c r="H953" s="110" t="n">
        <x:v>38640</x:v>
      </x:c>
      <x:c r="I953" s="88" t="n">
        <x:v>2005</x:v>
      </x:c>
      <x:c r="J953" s="87" t="str">
        <x:v>EP</x:v>
      </x:c>
      <x:c r="K953" s="87" t="str">
        <x:v>B1</x:v>
      </x:c>
      <x:c r="L953" s="87" t="str">
        <x:v>EP 1937673 B1</x:v>
      </x:c>
      <x:c r="M953" s="87" t="str">
        <x:v>SANOFI SA</x:v>
      </x:c>
      <x:c r="N953" s="87" t="str">
        <x:v>SANOFI (2012-05-02)</x:v>
      </x:c>
      <x:c r="O953" s="87" t="str">
        <x:v>IMIDAZOLE DERIVATIVES AS INHIBITORS OF TAFIA</x:v>
      </x:c>
      <x:c r="P953" s="109" t="n">
        <x:v>0</x:v>
      </x:c>
      <x:c r="Q953" s="109" t="n">
        <x:v>15</x:v>
      </x:c>
      <x:c r="R953" s="87" t="str">
        <x:v>C07D413/14;;A61P3/00;;A61P7/00;;A61P7/02;;A61P9/00;;A61P9/08;;A61P9/10;;A61P11/00;;A61P11/16;;A61P19/02;;A61P29/00;;A61P35/00;;A61P35/04;;A61P43/00;;C07D417/14;;C07D495/04;;C07D413/14;;C07D417/14;;C07D495/04</x:v>
      </x:c>
      <x:c r="S953" s="87" t="str">
        <x:v>C07D417/14;;C07D413/14</x:v>
      </x:c>
      <x:c r="T953" s="87" t="str">
        <x:v>ACTIVE</x:v>
      </x:c>
      <x:c r="U953" s="87" t="str">
        <x:v>https://lens.org/125-280-504-855-881</x:v>
      </x:c>
    </x:row>
    <x:row r="954">
      <x:c r="A954" s="87" t="str">
        <x:v>Sanofi_Applicant_EP_Families_2015_2021.csv(1).csv</x:v>
      </x:c>
      <x:c r="B954" s="87" t="str">
        <x:v>Sanofi</x:v>
      </x:c>
      <x:c r="C954" s="87" t="str">
        <x:v>TRT-0010</x:v>
      </x:c>
      <x:c r="D954" s="87" t="str">
        <x:v>Yes</x:v>
      </x:c>
      <x:c r="E954" s="87" t="str">
        <x:v>sanofi</x:v>
      </x:c>
      <x:c r="F954" s="87" t="str">
        <x:v>360</x:v>
      </x:c>
      <x:c r="G954" s="87" t="str">
        <x:v>076-979-811-339-661</x:v>
      </x:c>
      <x:c r="H954" s="110" t="n">
        <x:v>38912</x:v>
      </x:c>
      <x:c r="I954" s="88" t="n">
        <x:v>2006</x:v>
      </x:c>
      <x:c r="J954" s="87" t="str">
        <x:v>EP</x:v>
      </x:c>
      <x:c r="K954" s="87" t="str">
        <x:v>B1</x:v>
      </x:c>
      <x:c r="L954" s="87" t="str">
        <x:v>EP 2043681 B1</x:v>
      </x:c>
      <x:c r="M954" s="87" t="str">
        <x:v>SANOFI PASTEUR BIOLOGICS LLC</x:v>
      </x:c>
      <x:c r="N954" s="87" t="str">
        <x:v>SANOFI PASTEUR BIOLOGICS, LLC (2015-07-22)</x:v>
      </x:c>
      <x:c r="O954" s="87" t="str">
        <x:v>CONSTRUCTION OF RECOMBINANT VIRUS VACCINES BY DIRECT TRANSPOSON-MEDIATED INSERTION OF FOREIGN IMMUNOLOGIC DETERMINANTS INTO VECTOR VIRUS PROTEINS</x:v>
      </x:c>
      <x:c r="P954" s="109" t="n">
        <x:v>0</x:v>
      </x:c>
      <x:c r="Q954" s="109" t="n">
        <x:v>13</x:v>
      </x:c>
      <x:c r="R954" s="87" t="str">
        <x:v>C12N7/00;;A61K2039/5256;;A61P31/00;;A61P31/12;;A61P35/00;;A61P37/04;;C12N15/86;;C12N2770/24143;;C12N2770/24151;;C12N2800/50;;Y02A50/30;;C12N7/00;;A61K2039/5256;;C12N15/86;;C12N2770/24143;;C12N2770/24151;;C12N2800/50;;Y02A50/30</x:v>
      </x:c>
      <x:c r="S954" s="87" t="str">
        <x:v>A61K39/12;;A61K39/00;;C12N7/02</x:v>
      </x:c>
      <x:c r="T954" s="87" t="str">
        <x:v>ACTIVE</x:v>
      </x:c>
      <x:c r="U954" s="87" t="str">
        <x:v>https://lens.org/076-979-811-339-661</x:v>
      </x:c>
    </x:row>
    <x:row r="955">
      <x:c r="A955" s="87" t="str">
        <x:v>Sanofi_Applicant_EP_Families_2015_2021.csv(1).csv</x:v>
      </x:c>
      <x:c r="B955" s="87" t="str">
        <x:v>Sanofi</x:v>
      </x:c>
      <x:c r="C955" s="87" t="str">
        <x:v>TRT-0010</x:v>
      </x:c>
      <x:c r="D955" s="87" t="str">
        <x:v>Yes</x:v>
      </x:c>
      <x:c r="E955" s="87" t="str">
        <x:v>sanofi</x:v>
      </x:c>
      <x:c r="F955" s="87" t="str">
        <x:v>361</x:v>
      </x:c>
      <x:c r="G955" s="87" t="str">
        <x:v>019-194-400-493-595</x:v>
      </x:c>
      <x:c r="H955" s="110" t="n">
        <x:v>39682</x:v>
      </x:c>
      <x:c r="I955" s="88" t="n">
        <x:v>2008</x:v>
      </x:c>
      <x:c r="J955" s="87" t="str">
        <x:v>EP</x:v>
      </x:c>
      <x:c r="K955" s="87" t="str">
        <x:v>B1</x:v>
      </x:c>
      <x:c r="L955" s="87" t="str">
        <x:v>EP 2367812 B1</x:v>
      </x:c>
      <x:c r="M955" s="87" t="str">
        <x:v>SANOFI SA</x:v>
      </x:c>
      <x:c r="N955" s="87" t="str">
        <x:v>SANOFI (2012-05-02)</x:v>
      </x:c>
      <x:c r="O955" s="87" t="str">
        <x:v>[4-(5-AMINOMETHYL-2-FLUORO-PHENYL)-PIPERIDIN-1-YL]-[7-FLUORO-1-(2-METHOXY-ETHYL)-4TRIFLUOROMETHOXY-1H-INDOL-3-YL]METHANONE AS AN INHIBITOR OF MAST CELL TRYPTASE</x:v>
      </x:c>
      <x:c r="P955" s="109" t="n">
        <x:v>0</x:v>
      </x:c>
      <x:c r="Q955" s="109" t="n">
        <x:v>53</x:v>
      </x:c>
      <x:c r="R955" s="87" t="str">
        <x:v>C07D211/26;;C07C271/28;;C07D209/08;;C07D209/12;;C07D209/42;;C07D213/38;;C07D213/40;;C07F7/10;;C07D401/06;;A61P1/00;;A61P1/02;;A61P1/04;;A61P1/16;;A61P9/00;;A61P11/00;;A61P11/02;;A61P11/06;;A61P11/08;;A61P17/00;;A61P17/02;;A61P19/00;;A61P19/02;;A61P19/08;;A61P25/28;;A61P27/02;;A61P27/14;;A61P29/00;;A61P31/12;;A61P35/00;;A61P37/00;;A61P43/00;;C07D401/06;;A61K31/454;;C07D401/06</x:v>
      </x:c>
      <x:c r="S955" s="87" t="str">
        <x:v>C07D401/06;;A61K31/404;;A61P29/00</x:v>
      </x:c>
      <x:c r="T955" s="87" t="str">
        <x:v>ACTIVE</x:v>
      </x:c>
      <x:c r="U955" s="87" t="str">
        <x:v>https://lens.org/019-194-400-493-595</x:v>
      </x:c>
    </x:row>
    <x:row r="956">
      <x:c r="A956" s="87" t="str">
        <x:v>Sanofi_Applicant_EP_Families_2015_2021.csv(1).csv</x:v>
      </x:c>
      <x:c r="B956" s="87" t="str">
        <x:v>Sanofi</x:v>
      </x:c>
      <x:c r="C956" s="87" t="str">
        <x:v>TRT-0010</x:v>
      </x:c>
      <x:c r="D956" s="87" t="str">
        <x:v>Yes</x:v>
      </x:c>
      <x:c r="E956" s="87" t="str">
        <x:v>sanofi</x:v>
      </x:c>
      <x:c r="F956" s="87" t="str">
        <x:v>362</x:v>
      </x:c>
      <x:c r="G956" s="87" t="str">
        <x:v>106-419-426-360-131</x:v>
      </x:c>
      <x:c r="H956" s="110" t="n">
        <x:v>39805</x:v>
      </x:c>
      <x:c r="I956" s="88" t="n">
        <x:v>2008</x:v>
      </x:c>
      <x:c r="J956" s="87" t="str">
        <x:v>EP</x:v>
      </x:c>
      <x:c r="K956" s="87" t="str">
        <x:v>B1</x:v>
      </x:c>
      <x:c r="L956" s="87" t="str">
        <x:v>EP 2379142 B1</x:v>
      </x:c>
      <x:c r="M956" s="87" t="str">
        <x:v>SANOFI SA</x:v>
      </x:c>
      <x:c r="N956" s="87" t="str">
        <x:v>SANOFI SA (2012-10-24)</x:v>
      </x:c>
      <x:c r="O956" s="87" t="str">
        <x:v>DOSING DEVICE FOR GENERATING A GAS FLOW WITH AN ACTIVE SUBSTANCE FINELY DISPERSED IN THE LATTER</x:v>
      </x:c>
      <x:c r="P956" s="109" t="n">
        <x:v>0</x:v>
      </x:c>
      <x:c r="Q956" s="109" t="n">
        <x:v>33</x:v>
      </x:c>
      <x:c r="R956" s="87" t="str">
        <x:v>A61M15/0065;;A61M15/0025;;A61M2202/064;;A61M15/02;;A61M15/00;;A61M15/0065;;A61M15/0025;;A61M2202/064</x:v>
      </x:c>
      <x:c r="S956" s="87" t="str">
        <x:v>A61M15/00</x:v>
      </x:c>
      <x:c r="T956" s="87" t="str">
        <x:v>ACTIVE</x:v>
      </x:c>
      <x:c r="U956" s="87" t="str">
        <x:v>https://lens.org/106-419-426-360-131</x:v>
      </x:c>
    </x:row>
    <x:row r="957">
      <x:c r="A957" s="87" t="str">
        <x:v>Sanofi_Applicant_EP_Families_2015_2021.csv(1).csv</x:v>
      </x:c>
      <x:c r="B957" s="87" t="str">
        <x:v>Sanofi</x:v>
      </x:c>
      <x:c r="C957" s="87" t="str">
        <x:v>TRT-0010</x:v>
      </x:c>
      <x:c r="D957" s="87" t="str">
        <x:v>Yes</x:v>
      </x:c>
      <x:c r="E957" s="87" t="str">
        <x:v>sanofi</x:v>
      </x:c>
      <x:c r="F957" s="87" t="str">
        <x:v>363</x:v>
      </x:c>
      <x:c r="G957" s="87" t="str">
        <x:v>024-750-473-571-49X</x:v>
      </x:c>
      <x:c r="H957" s="110" t="n">
        <x:v>39483</x:v>
      </x:c>
      <x:c r="I957" s="88" t="n">
        <x:v>2008</x:v>
      </x:c>
      <x:c r="J957" s="87" t="str">
        <x:v>EP</x:v>
      </x:c>
      <x:c r="K957" s="87" t="str">
        <x:v>B1</x:v>
      </x:c>
      <x:c r="L957" s="87" t="str">
        <x:v>EP 2240486 B1</x:v>
      </x:c>
      <x:c r="M957" s="87" t="str">
        <x:v>SANOFI SA</x:v>
      </x:c>
      <x:c r="N957" s="87" t="str">
        <x:v>SANOFI (2012-05-02)</x:v>
      </x:c>
      <x:c r="O957" s="87" t="str">
        <x:v>TRIAZOLIUM SALTS AS PAR1 INHIBITORS, THEIR MANUFACTURE AND THEIR APPLICATION AS MEDICINE</x:v>
      </x:c>
      <x:c r="P957" s="109" t="n">
        <x:v>0</x:v>
      </x:c>
      <x:c r="Q957" s="109" t="n">
        <x:v>29</x:v>
      </x:c>
      <x:c r="R957" s="87" t="str">
        <x:v>C07D487/04;;A61P3/00;;A61P3/10;;A61P3/14;;A61P7/00;;A61P7/02;;A61P7/04;;A61P9/00;;A61P9/06;;A61P9/10;;A61P11/00;;A61P17/00;;A61P17/02;;A61P19/02;;A61P25/00;;A61P27/02;;A61P29/00;;A61P31/00;;A61P35/00;;A61P35/04;;A61P37/00;;A61P37/08;;C07D471/04;;C07D487/04;;C07D471/04</x:v>
      </x:c>
      <x:c r="S957" s="87" t="str">
        <x:v>C07D487/04;;A61K31/5025;;A61P7/02</x:v>
      </x:c>
      <x:c r="T957" s="87" t="str">
        <x:v>ACTIVE</x:v>
      </x:c>
      <x:c r="U957" s="87" t="str">
        <x:v>https://lens.org/024-750-473-571-49X</x:v>
      </x:c>
    </x:row>
    <x:row r="958">
      <x:c r="A958" s="87" t="str">
        <x:v>Sanofi_Applicant_EP_Families_2015_2021.csv(1).csv</x:v>
      </x:c>
      <x:c r="B958" s="87" t="str">
        <x:v>Sanofi</x:v>
      </x:c>
      <x:c r="C958" s="87" t="str">
        <x:v>TRT-0010</x:v>
      </x:c>
      <x:c r="D958" s="87" t="str">
        <x:v>Yes</x:v>
      </x:c>
      <x:c r="E958" s="87" t="str">
        <x:v>sanofi</x:v>
      </x:c>
      <x:c r="F958" s="87" t="str">
        <x:v>364</x:v>
      </x:c>
      <x:c r="G958" s="87" t="str">
        <x:v>037-268-574-974-622</x:v>
      </x:c>
      <x:c r="H958" s="110" t="n">
        <x:v>39625</x:v>
      </x:c>
      <x:c r="I958" s="88" t="n">
        <x:v>2008</x:v>
      </x:c>
      <x:c r="J958" s="87" t="str">
        <x:v>EP</x:v>
      </x:c>
      <x:c r="K958" s="87" t="str">
        <x:v>B1</x:v>
      </x:c>
      <x:c r="L958" s="87" t="str">
        <x:v>EP 2321313 B1</x:v>
      </x:c>
      <x:c r="M958" s="87" t="str">
        <x:v>MITSUBISHI TANABE PHARMA CORP;;SANOFI SA</x:v>
      </x:c>
      <x:c r="N958" s="87" t="str">
        <x:v>SANOFI (2012-05-02);;MITSUBISHI TANABE PHARMA CORPORATION (2012-05-02)</x:v>
      </x:c>
      <x:c r="O958" s="87" t="str">
        <x:v>SUBSTITUTED PYRIMIDO[2,1-A]ISOQUINOLIN-4-ONE DERIVATIVES AS GSK3 INHIBITORS</x:v>
      </x:c>
      <x:c r="P958" s="109" t="n">
        <x:v>0</x:v>
      </x:c>
      <x:c r="Q958" s="109" t="n">
        <x:v>20</x:v>
      </x:c>
      <x:c r="R958" s="87" t="str">
        <x:v>A61P3/04;;A61P3/10;;A61P5/00;;A61P7/00;;A61P9/00;;A61P11/00;;A61P13/12;;A61P17/00;;A61P17/02;;A61P17/14;;A61P19/00;;A61P19/08;;A61P21/00;;A61P25/00;;A61P25/02;;A61P25/16;;A61P25/18;;A61P25/24;;A61P25/28;;A61P27/02;;A61P27/06;;A61P31/10;;A61P33/06;;A61P35/00;;A61P35/02;;A61P43/00;;C07D471/04;;Y02A50/30;;C07D471/04;;A61K31/519;;C07D401/04;;A01N43/54;;C07D471/04</x:v>
      </x:c>
      <x:c r="S958" s="87" t="str">
        <x:v>C07D471/04;;A61K31/519;;A61P17/14;;A61P25/00;;A61P31/10</x:v>
      </x:c>
      <x:c r="T958" s="87" t="str">
        <x:v>ACTIVE</x:v>
      </x:c>
      <x:c r="U958" s="87" t="str">
        <x:v>https://lens.org/037-268-574-974-622</x:v>
      </x:c>
    </x:row>
    <x:row r="959">
      <x:c r="A959" s="87" t="str">
        <x:v>Sanofi_Applicant_EP_Families_2015_2021.csv(1).csv</x:v>
      </x:c>
      <x:c r="B959" s="87" t="str">
        <x:v>Sanofi</x:v>
      </x:c>
      <x:c r="C959" s="87" t="str">
        <x:v>TRT-0010</x:v>
      </x:c>
      <x:c r="D959" s="87" t="str">
        <x:v>Yes</x:v>
      </x:c>
      <x:c r="E959" s="87" t="str">
        <x:v>sanofi</x:v>
      </x:c>
      <x:c r="F959" s="87" t="str">
        <x:v>365</x:v>
      </x:c>
      <x:c r="G959" s="87" t="str">
        <x:v>144-970-628-077-409</x:v>
      </x:c>
      <x:c r="H959" s="110" t="n">
        <x:v>37004</x:v>
      </x:c>
      <x:c r="I959" s="88" t="n">
        <x:v>2001</x:v>
      </x:c>
      <x:c r="J959" s="87" t="str">
        <x:v>EP</x:v>
      </x:c>
      <x:c r="K959" s="87" t="str">
        <x:v>B1</x:v>
      </x:c>
      <x:c r="L959" s="87" t="str">
        <x:v>EP 1381389 B1</x:v>
      </x:c>
      <x:c r="M959" s="87" t="str">
        <x:v>SANOFI PASTEUR BIOLOGICS LLC</x:v>
      </x:c>
      <x:c r="N959" s="87" t="str">
        <x:v>SANOFI PASTEUR BIOLOGICS CO. (2010-08-18);;EMERGENT PRODUCT DEVELOPMENT GAITHERSBURG INC., US (2019-02-20);;SANOFI PASTEUR BIOLOGICS, LLC (2012-08-22);;EMERGENT PRODUCT DEVELOPMENT GAITHERSBURG INC (2018-11-19)</x:v>
      </x:c>
      <x:c r="O959" s="87" t="str">
        <x:v>SMALLPOX VACCINE</x:v>
      </x:c>
      <x:c r="P959" s="109" t="n">
        <x:v>0</x:v>
      </x:c>
      <x:c r="Q959" s="109" t="n">
        <x:v>32</x:v>
      </x:c>
      <x:c r="R959" s="87" t="str">
        <x:v>C12N7/00;;A61K2039/5254;;A61P31/12;;A61P31/20;;C12N2710/24161;;A61K39/285;;C12N7/00;;A61K2039/5254;;C12N2710/24161</x:v>
      </x:c>
      <x:c r="S959" s="87" t="str">
        <x:v>A61K39/285;;C12N7/00;;A61P31/20;;C12N7/04</x:v>
      </x:c>
      <x:c r="T959" s="87" t="str">
        <x:v>EXPIRED</x:v>
      </x:c>
      <x:c r="U959" s="87" t="str">
        <x:v>https://lens.org/144-970-628-077-409</x:v>
      </x:c>
    </x:row>
    <x:row r="960">
      <x:c r="A960" s="87" t="str">
        <x:v>Sanofi_Applicant_EP_Families_2015_2021.csv(1).csv</x:v>
      </x:c>
      <x:c r="B960" s="87" t="str">
        <x:v>Sanofi</x:v>
      </x:c>
      <x:c r="C960" s="87" t="str">
        <x:v>TRT-0010</x:v>
      </x:c>
      <x:c r="D960" s="87" t="str">
        <x:v>Yes</x:v>
      </x:c>
      <x:c r="E960" s="87" t="str">
        <x:v>sanofi</x:v>
      </x:c>
      <x:c r="F960" s="87" t="str">
        <x:v>366</x:v>
      </x:c>
      <x:c r="G960" s="87" t="str">
        <x:v>103-375-036-010-119</x:v>
      </x:c>
      <x:c r="H960" s="110" t="n">
        <x:v>38615</x:v>
      </x:c>
      <x:c r="I960" s="88" t="n">
        <x:v>2005</x:v>
      </x:c>
      <x:c r="J960" s="87" t="str">
        <x:v>EP</x:v>
      </x:c>
      <x:c r="K960" s="87" t="str">
        <x:v>B1</x:v>
      </x:c>
      <x:c r="L960" s="87" t="str">
        <x:v>EP 1928836 B1</x:v>
      </x:c>
      <x:c r="M960" s="87" t="str">
        <x:v>SANOFI SA</x:v>
      </x:c>
      <x:c r="N960" s="87" t="str">
        <x:v>SANOFI (2012-05-02)</x:v>
      </x:c>
      <x:c r="O960" s="87" t="str">
        <x:v>SUBSTITUTED 4-PHENYLTETRAHYDROISOQUINOLINES, METHOD OF PRODUCING THEM, THEIR USE AS MEDICAMENT, AND ALSO MEDICAMENT CONTAINING THEM</x:v>
      </x:c>
      <x:c r="P960" s="109" t="n">
        <x:v>0</x:v>
      </x:c>
      <x:c r="Q960" s="109" t="n">
        <x:v>27</x:v>
      </x:c>
      <x:c r="R960" s="87" t="str">
        <x:v>C07D217/14;;A61P1/00;;A61P3/10;;A61P7/02;;A61P9/00;;A61P9/10;;A61P9/12;;A61P11/00;;A61P13/00;;A61P13/12;;A61P17/00;;A61P21/02;;A61P25/00;;A61P25/08;;A61P25/18;;A61P25/22;;A61P25/24;;A61P25/26;;A61P33/02;;A61P33/06;;A61P33/14;;A61P37/08;;C07D217/14;;A61K31/47;;A61K31/472;;C07D217/14</x:v>
      </x:c>
      <x:c r="S960" s="87" t="str">
        <x:v>C07D217/14;;A61K31/47;;A61P9/12</x:v>
      </x:c>
      <x:c r="T960" s="87" t="str">
        <x:v>ACTIVE</x:v>
      </x:c>
      <x:c r="U960" s="87" t="str">
        <x:v>https://lens.org/103-375-036-010-119</x:v>
      </x:c>
    </x:row>
    <x:row r="961">
      <x:c r="A961" s="87" t="str">
        <x:v>Sanofi_Applicant_EP_Families_2015_2021.csv(1).csv</x:v>
      </x:c>
      <x:c r="B961" s="87" t="str">
        <x:v>Sanofi</x:v>
      </x:c>
      <x:c r="C961" s="87" t="str">
        <x:v>TRT-0010</x:v>
      </x:c>
      <x:c r="D961" s="87" t="str">
        <x:v>Yes</x:v>
      </x:c>
      <x:c r="E961" s="87" t="str">
        <x:v>sanofi</x:v>
      </x:c>
      <x:c r="F961" s="87" t="str">
        <x:v>367</x:v>
      </x:c>
      <x:c r="G961" s="87" t="str">
        <x:v>168-691-440-390-558</x:v>
      </x:c>
      <x:c r="H961" s="110" t="n">
        <x:v>36914</x:v>
      </x:c>
      <x:c r="I961" s="88" t="n">
        <x:v>2001</x:v>
      </x:c>
      <x:c r="J961" s="87" t="str">
        <x:v>EP</x:v>
      </x:c>
      <x:c r="K961" s="87" t="str">
        <x:v>B1</x:v>
      </x:c>
      <x:c r="L961" s="87" t="str">
        <x:v>EP 2332581 B1</x:v>
      </x:c>
      <x:c r="M961" s="87" t="str">
        <x:v>SANOFI PASTEUR INC</x:v>
      </x:c>
      <x:c r="N961" s="87" t="str">
        <x:v>SANOFI PASTEUR INC. (2012-04-18);;SANOFI PASTEUR INC., SWIFTWATER, PA., US (2016-01-21)</x:v>
      </x:c>
      <x:c r="O961" s="87" t="str">
        <x:v>Tri- or tetravalent meningococcal polysaccharide-CRM197 conjugate vaccine</x:v>
      </x:c>
      <x:c r="P961" s="109" t="n">
        <x:v>0</x:v>
      </x:c>
      <x:c r="Q961" s="109" t="n">
        <x:v>103</x:v>
      </x:c>
      <x:c r="R961" s="87" t="str">
        <x:v>A61K47/6415;;A61K39/095;;A61K39/116;;A61K39/39;;A61K47/02;;A61K47/08;;A61K47/24;;A61K47/61;;A61K47/646;;A61K2039/55505;;A61K2039/6037;;A61K2039/70;;A61K39/095;;A61K39/116;;A61K39/39;;A61K47/24;;A61K47/61;;A61K47/6415;;A61K47/646;;A61K2039/55505;;A61K2039/6037;;A61P31/04;;A61P37/00;;A61P37/02;;A61P37/04;;A61P43/00;;A61K47/50;;A61K47/64;;A61K39/095;;A61K39/116;;A61K39/39;;A61K47/02;;A61K47/08;;A61K47/24;;A61K47/61;;A61K47/6415;;A61K47/646;;A61K2039/55505;;A61K2039/6037;;A61K2039/70</x:v>
      </x:c>
      <x:c r="S961" s="87" t="str">
        <x:v>A61K39/05;;A61K47/48;;A61K39/095;;A61P31/04;;A61P37/00;;A61P43/00</x:v>
      </x:c>
      <x:c r="T961" s="87" t="str">
        <x:v>EXPIRED</x:v>
      </x:c>
      <x:c r="U961" s="87" t="str">
        <x:v>https://lens.org/168-691-440-390-558</x:v>
      </x:c>
    </x:row>
    <x:row r="962">
      <x:c r="A962" s="87" t="str">
        <x:v>Sanofi_Applicant_EP_Families_2015_2021.csv(1).csv</x:v>
      </x:c>
      <x:c r="B962" s="87" t="str">
        <x:v>Sanofi</x:v>
      </x:c>
      <x:c r="C962" s="87" t="str">
        <x:v>TRT-0010</x:v>
      </x:c>
      <x:c r="D962" s="87" t="str">
        <x:v>Yes</x:v>
      </x:c>
      <x:c r="E962" s="87" t="str">
        <x:v>sanofi</x:v>
      </x:c>
      <x:c r="F962" s="87" t="str">
        <x:v>368</x:v>
      </x:c>
      <x:c r="G962" s="87" t="str">
        <x:v>093-452-121-293-673</x:v>
      </x:c>
      <x:c r="H962" s="110" t="n">
        <x:v>40683</x:v>
      </x:c>
      <x:c r="I962" s="88" t="n">
        <x:v>2011</x:v>
      </x:c>
      <x:c r="J962" s="87" t="str">
        <x:v>EP</x:v>
      </x:c>
      <x:c r="K962" s="87" t="str">
        <x:v>B1</x:v>
      </x:c>
      <x:c r="L962" s="87" t="str">
        <x:v>EP 2709996 B1</x:v>
      </x:c>
      <x:c r="M962" s="87" t="str">
        <x:v>SANOFI SA</x:v>
      </x:c>
      <x:c r="N962" s="87" t="str">
        <x:v>SANOFI, FR (2025-09-28);;SANOFI; FR (2025-04-11);;SANOFI, PARIS, FR (2025-01-13)</x:v>
      </x:c>
      <x:c r="O962" s="87" t="str">
        <x:v>2-AMINO-3-(IMIDAZOL-2-YL)-PYRIDIN-4-ONE DERIVATIVES AND THEIR USE AS VEGF RECEPTOR KINASE INHIBITORS</x:v>
      </x:c>
      <x:c r="P962" s="109" t="n">
        <x:v>0</x:v>
      </x:c>
      <x:c r="Q962" s="109" t="n">
        <x:v>51</x:v>
      </x:c>
      <x:c r="R962" s="87" t="str">
        <x:v>C07D401/04;;C07D471/04;;A61K31/4709;;A61K31/4375;;A61P1/16;;A61P7/02;;A61P9/00;;A61P9/10;;A61P13/12;;A61P17/06;;A61P19/02;;A61P27/02;;A61P27/06;;A61P29/00;;A61P31/00;;A61P35/00;;A61P35/02;;A61P35/04;;A61P37/00;;A61P37/06;;A61P43/00;;C07D401/04;;C07D471/04;;C07D471/04;;A61K31/4375;;A61K31/4709;;C07D401/04;;A61K31/4709;;A61K31/4375;;A61K45/06;;C07D401/04;;C07D471/04</x:v>
      </x:c>
      <x:c r="S962" s="87" t="str">
        <x:v>C07D401/04;;A61K31/4375;;A61K31/4709;;A61P35/00;;C07D471/04</x:v>
      </x:c>
      <x:c r="T962" s="87" t="str">
        <x:v>ACTIVE</x:v>
      </x:c>
      <x:c r="U962" s="87" t="str">
        <x:v>https://lens.org/093-452-121-293-673</x:v>
      </x:c>
    </x:row>
    <x:row r="963">
      <x:c r="A963" s="87" t="str">
        <x:v>Sanofi_Applicant_EP_Families_2015_2021.csv(1).csv</x:v>
      </x:c>
      <x:c r="B963" s="87" t="str">
        <x:v>Sanofi</x:v>
      </x:c>
      <x:c r="C963" s="87" t="str">
        <x:v>TRT-0010</x:v>
      </x:c>
      <x:c r="D963" s="87" t="str">
        <x:v>Yes</x:v>
      </x:c>
      <x:c r="E963" s="87" t="str">
        <x:v>sanofi</x:v>
      </x:c>
      <x:c r="F963" s="87" t="str">
        <x:v>369</x:v>
      </x:c>
      <x:c r="G963" s="87" t="str">
        <x:v>122-293-469-957-033</x:v>
      </x:c>
      <x:c r="H963" s="110" t="n">
        <x:v>40592</x:v>
      </x:c>
      <x:c r="I963" s="88" t="n">
        <x:v>2011</x:v>
      </x:c>
      <x:c r="J963" s="87" t="str">
        <x:v>EP</x:v>
      </x:c>
      <x:c r="K963" s="87" t="str">
        <x:v>B1</x:v>
      </x:c>
      <x:c r="L963" s="87" t="str">
        <x:v>EP 2675506 B1</x:v>
      </x:c>
      <x:c r="M963" s="87" t="str">
        <x:v>SANOFI SA</x:v>
      </x:c>
      <x:c r="N963" s="87" t="str">
        <x:v>SANOFI (2014-03-12)</x:v>
      </x:c>
      <x:c r="O963" s="87" t="str">
        <x:v>AUTO-INJECTOR</x:v>
      </x:c>
      <x:c r="P963" s="109" t="n">
        <x:v>0</x:v>
      </x:c>
      <x:c r="Q963" s="109" t="n">
        <x:v>33</x:v>
      </x:c>
      <x:c r="R963" s="87" t="str">
        <x:v>A61M5/31501;;A61M5/2033;;A61M5/3157;;A61M5/3202;;A61M5/3204;;A61M5/3257;;A61M5/326;;A61M5/46;;A61M5/5086;;A61M2005/2013;;A61M2005/206;;A61M2005/208;;A61M2005/3247;;A61M2205/581;;A61M2205/582;;F04C2270/0421;;Y10T403/32501;;A61M5/32;;A61M5/20;;A61M2005/2013;;A61M2005/206;;A61M2005/208;;A61M5/31501;;A61M5/2033;;A61M5/31511;;A61M5/3157;;A61M5/3158;;A61M5/3202;;A61M5/3204;;A61M5/3245;;A61M5/3257;;A61M5/326;;A61M5/46;;A61M5/5086;;A61M2005/2013;;A61M2005/206;;A61M2005/208;;A61M2005/3247;;A61M2205/581;;A61M2205/582;;F04C2270/0421;;Y10T403/32501</x:v>
      </x:c>
      <x:c r="S963" s="87" t="str">
        <x:v>A61M5/20;;A61M5/32</x:v>
      </x:c>
      <x:c r="T963" s="87" t="str">
        <x:v>ACTIVE</x:v>
      </x:c>
      <x:c r="U963" s="87" t="str">
        <x:v>https://lens.org/122-293-469-957-033</x:v>
      </x:c>
    </x:row>
    <x:row r="964">
      <x:c r="A964" s="87" t="str">
        <x:v>Sanofi_Applicant_EP_Families_2015_2021.csv(1).csv</x:v>
      </x:c>
      <x:c r="B964" s="87" t="str">
        <x:v>Sanofi</x:v>
      </x:c>
      <x:c r="C964" s="87" t="str">
        <x:v>TRT-0010</x:v>
      </x:c>
      <x:c r="D964" s="87" t="str">
        <x:v>Yes</x:v>
      </x:c>
      <x:c r="E964" s="87" t="str">
        <x:v>sanofi</x:v>
      </x:c>
      <x:c r="F964" s="87" t="str">
        <x:v>370</x:v>
      </x:c>
      <x:c r="G964" s="87" t="str">
        <x:v>181-342-368-119-573</x:v>
      </x:c>
      <x:c r="H964" s="110" t="n">
        <x:v>40592</x:v>
      </x:c>
      <x:c r="I964" s="88" t="n">
        <x:v>2011</x:v>
      </x:c>
      <x:c r="J964" s="87" t="str">
        <x:v>EP</x:v>
      </x:c>
      <x:c r="K964" s="87" t="str">
        <x:v>B1</x:v>
      </x:c>
      <x:c r="L964" s="87" t="str">
        <x:v>EP 2675504 B1</x:v>
      </x:c>
      <x:c r="M964" s="87" t="str">
        <x:v>SANOFI SA</x:v>
      </x:c>
      <x:c r="N964" s="87" t="str">
        <x:v>SANOFI (2014-03-12)</x:v>
      </x:c>
      <x:c r="O964" s="87" t="str">
        <x:v>AUTO-INJECTOR</x:v>
      </x:c>
      <x:c r="P964" s="109" t="n">
        <x:v>0</x:v>
      </x:c>
      <x:c r="Q964" s="109" t="n">
        <x:v>22</x:v>
      </x:c>
      <x:c r="R964" s="87" t="str">
        <x:v>A61M5/3157;;A61M5/2033;;A61M5/31501;;A61M5/3202;;A61M5/3204;;A61M5/3257;;A61M5/326;;A61M5/46;;A61M5/5086;;A61M2005/2013;;A61M2005/206;;A61M2005/2073;;A61M2005/208;;A61M2005/3247;;A61M2205/581;;A61M2205/582;;F04C2270/0421;;Y10T403/32501;;A61M5/3157;;A61M5/20;;A61M5/2033;;A61M5/2429;;A61M5/31501;;A61M5/31511;;A61M5/3158;;A61M5/3202;;A61M5/3204;;A61M5/3257;;A61M5/326;;A61M5/46;;A61M5/5086;;A61M2005/2013;;A61M2005/206;;A61M2005/2073;;A61M2005/208;;A61M2005/3247;;A61M2205/581;;A61M2205/582;;A61M2205/583;;F04C2270/0421;;Y10T403/32501</x:v>
      </x:c>
      <x:c r="S964" s="87" t="str">
        <x:v>A61M5/20;;A61M5/32</x:v>
      </x:c>
      <x:c r="T964" s="87" t="str">
        <x:v>ACTIVE</x:v>
      </x:c>
      <x:c r="U964" s="87" t="str">
        <x:v>https://lens.org/181-342-368-119-573</x:v>
      </x:c>
    </x:row>
    <x:row r="965">
      <x:c r="A965" s="87" t="str">
        <x:v>Sanofi_Applicant_EP_Families_2015_2021.csv(1).csv</x:v>
      </x:c>
      <x:c r="B965" s="87" t="str">
        <x:v>Sanofi</x:v>
      </x:c>
      <x:c r="C965" s="87" t="str">
        <x:v>TRT-0010</x:v>
      </x:c>
      <x:c r="D965" s="87" t="str">
        <x:v>Yes</x:v>
      </x:c>
      <x:c r="E965" s="87" t="str">
        <x:v>sanofi</x:v>
      </x:c>
      <x:c r="F965" s="87" t="str">
        <x:v>371</x:v>
      </x:c>
      <x:c r="G965" s="87" t="str">
        <x:v>179-188-850-368-645</x:v>
      </x:c>
      <x:c r="H965" s="110" t="n">
        <x:v>39227</x:v>
      </x:c>
      <x:c r="I965" s="88" t="n">
        <x:v>2007</x:v>
      </x:c>
      <x:c r="J965" s="87" t="str">
        <x:v>EP</x:v>
      </x:c>
      <x:c r="K965" s="87" t="str">
        <x:v>B1</x:v>
      </x:c>
      <x:c r="L965" s="87" t="str">
        <x:v>EP 2152680 B1</x:v>
      </x:c>
      <x:c r="M965" s="87" t="str">
        <x:v>SANOFI SA</x:v>
      </x:c>
      <x:c r="N965" s="87" t="str">
        <x:v>IMMUNOGEN, INC., US (2017-09-27);;IMMUNOGEN, INC., WALTHAM, US (2016-07-12);;SANOFI (2012-05-02);;INMUNOGEN, INC. (2017-10-04)</x:v>
      </x:c>
      <x:c r="O965" s="87" t="str">
        <x:v>METHOD FOR PREPARING ENANTIOMERICALLY ENRICHED N-CARBOXYANHYDRIDE</x:v>
      </x:c>
      <x:c r="P965" s="109" t="n">
        <x:v>0</x:v>
      </x:c>
      <x:c r="Q965" s="109" t="n">
        <x:v>19</x:v>
      </x:c>
      <x:c r="R965" s="87" t="str">
        <x:v>C07D263/44;;C07D263/44</x:v>
      </x:c>
      <x:c r="S965" s="87" t="str">
        <x:v>C07D269/02;;C07C235/12;;C07D269/00</x:v>
      </x:c>
      <x:c r="T965" s="87" t="str">
        <x:v>ACTIVE</x:v>
      </x:c>
      <x:c r="U965" s="87" t="str">
        <x:v>https://lens.org/179-188-850-368-645</x:v>
      </x:c>
    </x:row>
    <x:row r="966">
      <x:c r="A966" s="87" t="str">
        <x:v>Sanofi_Applicant_EP_Families_2015_2021.csv(1).csv</x:v>
      </x:c>
      <x:c r="B966" s="87" t="str">
        <x:v>Sanofi</x:v>
      </x:c>
      <x:c r="C966" s="87" t="str">
        <x:v>TRT-0010</x:v>
      </x:c>
      <x:c r="D966" s="87" t="str">
        <x:v>Yes</x:v>
      </x:c>
      <x:c r="E966" s="87" t="str">
        <x:v>sanofi</x:v>
      </x:c>
      <x:c r="F966" s="87" t="str">
        <x:v>372</x:v>
      </x:c>
      <x:c r="G966" s="87" t="str">
        <x:v>100-529-662-306-750</x:v>
      </x:c>
      <x:c r="H966" s="110" t="n">
        <x:v>37971</x:v>
      </x:c>
      <x:c r="I966" s="88" t="n">
        <x:v>2003</x:v>
      </x:c>
      <x:c r="J966" s="87" t="str">
        <x:v>EP</x:v>
      </x:c>
      <x:c r="K966" s="87" t="str">
        <x:v>B1</x:v>
      </x:c>
      <x:c r="L966" s="87" t="str">
        <x:v>EP 1708743 B1</x:v>
      </x:c>
      <x:c r="M966" s="87" t="str">
        <x:v>SANOFI PASTEUR BIOLOGICS LLC</x:v>
      </x:c>
      <x:c r="N966" s="87" t="str">
        <x:v>SANOFI PASTEUR BIOLOGICS CO. (2010-10-13);;SANOFI PASTEUR BIOLOGICS, LLC (2014-03-26)</x:v>
      </x:c>
      <x:c r="O966" s="87" t="str">
        <x:v>PASSIVE IMMUNIZATION AGAINST CLOSTRIDIUM DIFFICILE DISEASE</x:v>
      </x:c>
      <x:c r="P966" s="109" t="n">
        <x:v>0</x:v>
      </x:c>
      <x:c r="Q966" s="109" t="n">
        <x:v>29</x:v>
      </x:c>
      <x:c r="R966" s="87" t="str">
        <x:v>A61K39/08;;A61K39/00;;A61K2039/505;;A61K2039/521;;A61K2039/54;;A61K2039/55505;;A61P1/04;;A61P1/12;;A61P31/04;;C07K14/33;;C07K16/1282;;C12N9/1051;;A61K39/08;;A61K39/00;;A61K39/39;;A61K2039/505;;A61K2039/521;;A61K2039/54;;A61K2039/55505;;A61K2039/55511;;C07K14/33;;C07K16/1282;;C07K2317/76;;C12N9/1051;;G01N33/56911;;G01N2333/33;;G01N2469/20</x:v>
      </x:c>
      <x:c r="S966" s="87" t="str">
        <x:v>A61K39/00;;A61K39/02;;A61K39/08;;C07K14/33;;C07K16/12</x:v>
      </x:c>
      <x:c r="T966" s="87" t="str">
        <x:v>EXPIRED</x:v>
      </x:c>
      <x:c r="U966" s="87" t="str">
        <x:v>https://lens.org/100-529-662-306-750</x:v>
      </x:c>
    </x:row>
    <x:row r="967">
      <x:c r="A967" s="87" t="str">
        <x:v>Sanofi_Applicant_EP_Families_2015_2021.csv(1).csv</x:v>
      </x:c>
      <x:c r="B967" s="87" t="str">
        <x:v>Sanofi</x:v>
      </x:c>
      <x:c r="C967" s="87" t="str">
        <x:v>TRT-0010</x:v>
      </x:c>
      <x:c r="D967" s="87" t="str">
        <x:v>Yes</x:v>
      </x:c>
      <x:c r="E967" s="87" t="str">
        <x:v>sanofi</x:v>
      </x:c>
      <x:c r="F967" s="87" t="str">
        <x:v>373</x:v>
      </x:c>
      <x:c r="G967" s="87" t="str">
        <x:v>112-950-304-863-64X</x:v>
      </x:c>
      <x:c r="H967" s="110" t="n">
        <x:v>38644</x:v>
      </x:c>
      <x:c r="I967" s="88" t="n">
        <x:v>2005</x:v>
      </x:c>
      <x:c r="J967" s="87" t="str">
        <x:v>EP</x:v>
      </x:c>
      <x:c r="K967" s="87" t="str">
        <x:v>B1</x:v>
      </x:c>
      <x:c r="L967" s="87" t="str">
        <x:v>EP 1940807 B1</x:v>
      </x:c>
      <x:c r="M967" s="87" t="str">
        <x:v>SANOFI SA</x:v>
      </x:c>
      <x:c r="N967" s="87" t="str">
        <x:v>SANOFI (2012-05-02)</x:v>
      </x:c>
      <x:c r="O967" s="87" t="str">
        <x:v>CARBAMOYLBENZOTRIAZOLE DERIVATIVES AS INHIBITORS OF LIPASES AND PHOSPHOLIPASES</x:v>
      </x:c>
      <x:c r="P967" s="109" t="n">
        <x:v>0</x:v>
      </x:c>
      <x:c r="Q967" s="109" t="n">
        <x:v>30</x:v>
      </x:c>
      <x:c r="R967" s="87" t="str">
        <x:v>C07D249/18;;A61P3/00;;A61P3/06;;A61P3/08;;A61P3/10;;A61P9/10;;A61P43/00;;C07D403/12;;C07D405/12;;C07D409/12;;C07D409/14;;C07D249/18;;A61K31/4192;;C07D403/12;;C07D409/12;;C07D249/18;;C07D403/12;;C07D405/12;;C07D409/12;;C07D409/14</x:v>
      </x:c>
      <x:c r="S967" s="87" t="str">
        <x:v>C07D249/18;;A61K31/4192;;A61P3/00;;C07D403/12;;C07D405/12;;C07D409/12;;C07D409/14</x:v>
      </x:c>
      <x:c r="T967" s="87" t="str">
        <x:v>ACTIVE</x:v>
      </x:c>
      <x:c r="U967" s="87" t="str">
        <x:v>https://lens.org/112-950-304-863-64X</x:v>
      </x:c>
    </x:row>
    <x:row r="968">
      <x:c r="A968" s="87" t="str">
        <x:v>Sanofi_Applicant_EP_Families_2015_2021.csv(1).csv</x:v>
      </x:c>
      <x:c r="B968" s="87" t="str">
        <x:v>Sanofi</x:v>
      </x:c>
      <x:c r="C968" s="87" t="str">
        <x:v>TRT-0010</x:v>
      </x:c>
      <x:c r="D968" s="87" t="str">
        <x:v>Yes</x:v>
      </x:c>
      <x:c r="E968" s="87" t="str">
        <x:v>sanofi</x:v>
      </x:c>
      <x:c r="F968" s="87" t="str">
        <x:v>374</x:v>
      </x:c>
      <x:c r="G968" s="87" t="str">
        <x:v>195-297-506-909-572</x:v>
      </x:c>
      <x:c r="H968" s="110" t="n">
        <x:v>38105</x:v>
      </x:c>
      <x:c r="I968" s="88" t="n">
        <x:v>2004</x:v>
      </x:c>
      <x:c r="J968" s="87" t="str">
        <x:v>EP</x:v>
      </x:c>
      <x:c r="K968" s="87" t="str">
        <x:v>B1</x:v>
      </x:c>
      <x:c r="L968" s="87" t="str">
        <x:v>EP 1758985 B1</x:v>
      </x:c>
      <x:c r="M968" s="87" t="str">
        <x:v>SANOFI PASTEUR VAXDESIGN CORP;;WHITEHEAD BIOMEDICAL INST;;SINAI SCHOOL MEDICINE;;SCRIPPS RESEARCH INST;;MASSACHUSETTS INST TECHNOLOGY</x:v>
      </x:c>
      <x:c r="N968" s="87" t="str">
        <x:v>MASSACHUSETTS INSTITUTE OF TECHNOLOGY (2011-12-07);;MOUNT SINAI SCHOOL OF MEDICINE OF NEW YORK UNIVERS (2011-12-07);;THE SCRIPPS RESEARCH INSTITUTE (2011-12-07);;SANOFI PASTEUR VAXDESIGN CORPORATION (2011-12-07);;THE WHITEHEAD INSTITUTE FOR BIOMEDICAL RESEARCH (2011-12-07);;VAXDESIGN CORPORATION (2010-06-02)</x:v>
      </x:c>
      <x:c r="O968" s="87" t="str">
        <x:v>ARTIFICIAL IMMUNE SYSTEM: METHODS FOR MAKING AND USE</x:v>
      </x:c>
      <x:c r="P968" s="109" t="n">
        <x:v>0</x:v>
      </x:c>
      <x:c r="Q968" s="109" t="n">
        <x:v>15</x:v>
      </x:c>
      <x:c r="R968" s="87" t="str">
        <x:v>C12N5/0697;;C12N2501/21;;C12N2502/11;;C12N2502/28;;C12N2503/04;;C12N2533/50;;C12N2533/54;;C12N2535/10;;G01N33/5047;;G01N33/5064;;G01N33/5088</x:v>
      </x:c>
      <x:c r="S968" s="87" t="str">
        <x:v>C12N5/071;;G01N33/50</x:v>
      </x:c>
      <x:c r="T968" s="87" t="str">
        <x:v>EXPIRED</x:v>
      </x:c>
      <x:c r="U968" s="87" t="str">
        <x:v>https://lens.org/195-297-506-909-572</x:v>
      </x:c>
    </x:row>
    <x:row r="969">
      <x:c r="A969" s="87" t="str">
        <x:v>Sanofi_Applicant_EP_Families_2015_2021.csv(1).csv</x:v>
      </x:c>
      <x:c r="B969" s="87" t="str">
        <x:v>Sanofi</x:v>
      </x:c>
      <x:c r="C969" s="87" t="str">
        <x:v>TRT-0010</x:v>
      </x:c>
      <x:c r="D969" s="87" t="str">
        <x:v>Yes</x:v>
      </x:c>
      <x:c r="E969" s="87" t="str">
        <x:v>sanofi</x:v>
      </x:c>
      <x:c r="F969" s="87" t="str">
        <x:v>375</x:v>
      </x:c>
      <x:c r="G969" s="87" t="str">
        <x:v>166-645-679-704-360</x:v>
      </x:c>
      <x:c r="H969" s="110" t="n">
        <x:v>39442</x:v>
      </x:c>
      <x:c r="I969" s="88" t="n">
        <x:v>2007</x:v>
      </x:c>
      <x:c r="J969" s="87" t="str">
        <x:v>EP</x:v>
      </x:c>
      <x:c r="K969" s="87" t="str">
        <x:v>B1</x:v>
      </x:c>
      <x:c r="L969" s="87" t="str">
        <x:v>EP 2240441 B1</x:v>
      </x:c>
      <x:c r="M969" s="87" t="str">
        <x:v>SANOFI SA</x:v>
      </x:c>
      <x:c r="N969" s="87" t="str">
        <x:v>SANOFI (2012-05-02)</x:v>
      </x:c>
      <x:c r="O969" s="87" t="str">
        <x:v>PROCESS FOR THE PREPARATION OF 6-SUBSTITUTED-1-(2H)-ISOQUINOLINONES</x:v>
      </x:c>
      <x:c r="P969" s="109" t="n">
        <x:v>0</x:v>
      </x:c>
      <x:c r="Q969" s="109" t="n">
        <x:v>21</x:v>
      </x:c>
      <x:c r="R969" s="87" t="str">
        <x:v>C07D401/12;;C07D205/04;;C07D207/12;;C07D211/42;;C07D211/46;;C07D401/12;;C07D205/04;;C07D207/12;;C07D211/42;;C07D211/46</x:v>
      </x:c>
      <x:c r="S969" s="87" t="str">
        <x:v>C07D205/04;;C07D207/12;;C07D211/42;;C07D211/46;;C07D401/12</x:v>
      </x:c>
      <x:c r="T969" s="87" t="str">
        <x:v>ACTIVE</x:v>
      </x:c>
      <x:c r="U969" s="87" t="str">
        <x:v>https://lens.org/166-645-679-704-360</x:v>
      </x:c>
    </x:row>
    <x:row r="970">
      <x:c r="A970" s="87" t="str">
        <x:v>Sanofi_Applicant_EP_Families_2015_2021.csv(1).csv</x:v>
      </x:c>
      <x:c r="B970" s="87" t="str">
        <x:v>Sanofi</x:v>
      </x:c>
      <x:c r="C970" s="87" t="str">
        <x:v>TRT-0010</x:v>
      </x:c>
      <x:c r="D970" s="87" t="str">
        <x:v>Yes</x:v>
      </x:c>
      <x:c r="E970" s="87" t="str">
        <x:v>sanofi</x:v>
      </x:c>
      <x:c r="F970" s="87" t="str">
        <x:v>376</x:v>
      </x:c>
      <x:c r="G970" s="87" t="str">
        <x:v>019-613-191-098-188</x:v>
      </x:c>
      <x:c r="H970" s="110" t="n">
        <x:v>41114</x:v>
      </x:c>
      <x:c r="I970" s="88" t="n">
        <x:v>2012</x:v>
      </x:c>
      <x:c r="J970" s="87" t="str">
        <x:v>EP</x:v>
      </x:c>
      <x:c r="K970" s="87" t="str">
        <x:v>A1</x:v>
      </x:c>
      <x:c r="L970" s="87" t="str">
        <x:v>EP 2877207 A1</x:v>
      </x:c>
      <x:c r="M970" s="87" t="str">
        <x:v>SANOFI PASTEUR</x:v>
      </x:c>
      <x:c r="N970" s="87" t="str">
        <x:v>SANOFI PASTEUR (2018-01-24)</x:v>
      </x:c>
      <x:c r="O970" s="87" t="str">
        <x:v>VACCINE COMPOSITIONS FOR PREVENTION AGAINST DENGUE VIRUS INFECTION</x:v>
      </x:c>
      <x:c r="P970" s="109" t="n">
        <x:v>0</x:v>
      </x:c>
      <x:c r="Q970" s="109" t="n">
        <x:v>15</x:v>
      </x:c>
      <x:c r="R970" s="87" t="str">
        <x:v>A61K39/12;;A61K2039/5252;;A61K2039/5254;;A61K2039/5258;;A61K2039/53;;A61K2039/70;;A61P31/14;;C12N2770/24134;;Y02A50/30;;A61K39/12;;A61K39/295;;A61K2039/5252;;A61K2039/5254;;A61P31/12;;C12N2770/24134;;A61K39/12;;A61K2039/5252;;A61K2039/5254;;A61K2039/5258;;A61K2039/53;;A61K2039/70;;C12N7/00;;C12N2770/24134;;Y02A50/30</x:v>
      </x:c>
      <x:c r="S970" s="87" t="str">
        <x:v>A61K39/12;;A61K39/295</x:v>
      </x:c>
      <x:c r="T970" s="87" t="str">
        <x:v>DISCONTINUED</x:v>
      </x:c>
      <x:c r="U970" s="87" t="str">
        <x:v>https://lens.org/019-613-191-098-188</x:v>
      </x:c>
    </x:row>
    <x:row r="971">
      <x:c r="A971" s="87" t="str">
        <x:v>Sanofi_Applicant_EP_Families_2015_2021.csv(1).csv</x:v>
      </x:c>
      <x:c r="B971" s="87" t="str">
        <x:v>Sanofi</x:v>
      </x:c>
      <x:c r="C971" s="87" t="str">
        <x:v>TRT-0010</x:v>
      </x:c>
      <x:c r="D971" s="87" t="str">
        <x:v>Yes</x:v>
      </x:c>
      <x:c r="E971" s="87" t="str">
        <x:v>sanofi</x:v>
      </x:c>
      <x:c r="F971" s="87" t="str">
        <x:v>377</x:v>
      </x:c>
      <x:c r="G971" s="87" t="str">
        <x:v>105-992-908-569-865</x:v>
      </x:c>
      <x:c r="H971" s="110" t="n">
        <x:v>39625</x:v>
      </x:c>
      <x:c r="I971" s="88" t="n">
        <x:v>2008</x:v>
      </x:c>
      <x:c r="J971" s="87" t="str">
        <x:v>EP</x:v>
      </x:c>
      <x:c r="K971" s="87" t="str">
        <x:v>B1</x:v>
      </x:c>
      <x:c r="L971" s="87" t="str">
        <x:v>EP 2321315 B1</x:v>
      </x:c>
      <x:c r="M971" s="87" t="str">
        <x:v>MITSUBISHI TANABE PHARMA CORP;;SANOFI SA</x:v>
      </x:c>
      <x:c r="N971" s="87" t="str">
        <x:v>SANOFI (2012-05-02);;MITSUBISHI TANABE PHARMA CORPORATION (2012-05-02)</x:v>
      </x:c>
      <x:c r="O971" s="87" t="str">
        <x:v>SUBSTITUTED ALKYL PYRIMIDIN-4-ONE DERIVATIVES</x:v>
      </x:c>
      <x:c r="P971" s="109" t="n">
        <x:v>0</x:v>
      </x:c>
      <x:c r="Q971" s="109" t="n">
        <x:v>21</x:v>
      </x:c>
      <x:c r="R971" s="87" t="str">
        <x:v>C07D471/04;;A61K31/517;;A61K31/519;;A61P3/04;;A61P3/10;;A61P9/00;;A61P9/10;;A61P13/12;;A61P17/00;;A61P17/02;;A61P17/14;;A61P19/08;;A61P21/02;;A61P25/00;;A61P25/02;;A61P25/16;;A61P25/18;;A61P25/24;;A61P25/28;;A61P27/02;;A61P27/06;;A61P33/06;;A61P35/00;;A61P35/02;;A61P43/00;;C07D487/04;;Y02A50/30;;C07D471/04;;A61K31/519;;C07D401/04;;C07D471/04;;A61K31/517;;A61K31/519;;C07D487/04;;Y02A50/30</x:v>
      </x:c>
      <x:c r="S971" s="87" t="str">
        <x:v>C07D471/04;;A61K31/519;;A61P25/00</x:v>
      </x:c>
      <x:c r="T971" s="87" t="str">
        <x:v>ACTIVE</x:v>
      </x:c>
      <x:c r="U971" s="87" t="str">
        <x:v>https://lens.org/105-992-908-569-865</x:v>
      </x:c>
    </x:row>
    <x:row r="972">
      <x:c r="A972" s="87" t="str">
        <x:v>Sanofi_Applicant_EP_Families_2015_2021.csv(1).csv</x:v>
      </x:c>
      <x:c r="B972" s="87" t="str">
        <x:v>Sanofi</x:v>
      </x:c>
      <x:c r="C972" s="87" t="str">
        <x:v>TRT-0010</x:v>
      </x:c>
      <x:c r="D972" s="87" t="str">
        <x:v>Yes</x:v>
      </x:c>
      <x:c r="E972" s="87" t="str">
        <x:v>sanofi</x:v>
      </x:c>
      <x:c r="F972" s="87" t="str">
        <x:v>378</x:v>
      </x:c>
      <x:c r="G972" s="87" t="str">
        <x:v>153-281-582-088-382</x:v>
      </x:c>
      <x:c r="H972" s="110" t="n">
        <x:v>40528</x:v>
      </x:c>
      <x:c r="I972" s="88" t="n">
        <x:v>2010</x:v>
      </x:c>
      <x:c r="J972" s="87" t="str">
        <x:v>EP</x:v>
      </x:c>
      <x:c r="K972" s="87" t="str">
        <x:v>B1</x:v>
      </x:c>
      <x:c r="L972" s="87" t="str">
        <x:v>EP 2651390 B1</x:v>
      </x:c>
      <x:c r="M972" s="87" t="str">
        <x:v>SANOFI SA</x:v>
      </x:c>
      <x:c r="N972" s="87" t="str">
        <x:v>SANOFI (2015-10-14)</x:v>
      </x:c>
      <x:c r="O972" s="87" t="str">
        <x:v>ZOLPIDEM-BASED ORODISPERSIBLE PHARMACEUTICAL TABLET</x:v>
      </x:c>
      <x:c r="P972" s="109" t="n">
        <x:v>0</x:v>
      </x:c>
      <x:c r="Q972" s="109" t="n">
        <x:v>13</x:v>
      </x:c>
      <x:c r="R972" s="87" t="str">
        <x:v>A61K9/0007;;A61K9/0056;;A61K9/2009;;A61K9/2081;;A61K9/5026;;A61K31/437;;A61K33/10;;A61P25/00;;A61P25/20;;A61K47/02;;A61K9/0007;;A61K9/0056;;A61K9/2009;;A61K9/2081;;A61K9/5026;;A61K31/437;;A61K33/10</x:v>
      </x:c>
      <x:c r="S972" s="87" t="str">
        <x:v>A61K9/46;;A61K9/00;;A61K9/20;;A61K9/50;;A61K31/437;;A61K33/10;;A61K47/02</x:v>
      </x:c>
      <x:c r="T972" s="87" t="str">
        <x:v>ACTIVE</x:v>
      </x:c>
      <x:c r="U972" s="87" t="str">
        <x:v>https://lens.org/153-281-582-088-382</x:v>
      </x:c>
    </x:row>
    <x:row r="973">
      <x:c r="A973" s="87" t="str">
        <x:v>Sanofi_Applicant_EP_Families_2015_2021.csv(1).csv</x:v>
      </x:c>
      <x:c r="B973" s="87" t="str">
        <x:v>Sanofi</x:v>
      </x:c>
      <x:c r="C973" s="87" t="str">
        <x:v>TRT-0010</x:v>
      </x:c>
      <x:c r="D973" s="87" t="str">
        <x:v>Yes</x:v>
      </x:c>
      <x:c r="E973" s="87" t="str">
        <x:v>sanofi</x:v>
      </x:c>
      <x:c r="F973" s="87" t="str">
        <x:v>379</x:v>
      </x:c>
      <x:c r="G973" s="87" t="str">
        <x:v>088-537-388-695-294</x:v>
      </x:c>
      <x:c r="H973" s="110" t="n">
        <x:v>38371</x:v>
      </x:c>
      <x:c r="I973" s="88" t="n">
        <x:v>2005</x:v>
      </x:c>
      <x:c r="J973" s="87" t="str">
        <x:v>EP</x:v>
      </x:c>
      <x:c r="K973" s="87" t="str">
        <x:v>B1</x:v>
      </x:c>
      <x:c r="L973" s="87" t="str">
        <x:v>EP 1841772 B1</x:v>
      </x:c>
      <x:c r="M973" s="87" t="str">
        <x:v>SANOFI SA</x:v>
      </x:c>
      <x:c r="N973" s="87" t="str">
        <x:v>SANOFI (2012-05-02)</x:v>
      </x:c>
      <x:c r="O973" s="87" t="str">
        <x:v>TETRAHYDROFURANE DERIVATIVES FOR USE AS INHIBITORS OF MATRIX METALLOPROTEINASES</x:v>
      </x:c>
      <x:c r="P973" s="109" t="n">
        <x:v>0</x:v>
      </x:c>
      <x:c r="Q973" s="109" t="n">
        <x:v>21</x:v>
      </x:c>
      <x:c r="R973" s="87" t="str">
        <x:v>C07D491/04;;A61P1/02;;A61P9/00;;A61P9/04;;A61P9/10;;A61P17/02;;A61P19/00;;A61P19/02;;A61P19/04;;A61P29/00;;A61P31/04;;A61P35/00;;A61P43/00;;C07D491/048;;A61K31/4355;;A61K31/55;;C07D491/04</x:v>
      </x:c>
      <x:c r="S973" s="87" t="str">
        <x:v>C07D491/044;;A61K31/4355;;A61K31/436;;A61P19/00</x:v>
      </x:c>
      <x:c r="T973" s="87" t="str">
        <x:v>EXPIRED</x:v>
      </x:c>
      <x:c r="U973" s="87" t="str">
        <x:v>https://lens.org/088-537-388-695-294</x:v>
      </x:c>
    </x:row>
    <x:row r="974">
      <x:c r="A974" s="87" t="str">
        <x:v>Sanofi_Applicant_EP_Families_2015_2021.csv(1).csv</x:v>
      </x:c>
      <x:c r="B974" s="87" t="str">
        <x:v>Sanofi</x:v>
      </x:c>
      <x:c r="C974" s="87" t="str">
        <x:v>TRT-0010</x:v>
      </x:c>
      <x:c r="D974" s="87" t="str">
        <x:v>Yes</x:v>
      </x:c>
      <x:c r="E974" s="87" t="str">
        <x:v>sanofi</x:v>
      </x:c>
      <x:c r="F974" s="87" t="str">
        <x:v>380</x:v>
      </x:c>
      <x:c r="G974" s="87" t="str">
        <x:v>061-733-817-334-63X</x:v>
      </x:c>
      <x:c r="H974" s="110" t="n">
        <x:v>39637</x:v>
      </x:c>
      <x:c r="I974" s="88" t="n">
        <x:v>2008</x:v>
      </x:c>
      <x:c r="J974" s="87" t="str">
        <x:v>EP</x:v>
      </x:c>
      <x:c r="K974" s="87" t="str">
        <x:v>B1</x:v>
      </x:c>
      <x:c r="L974" s="87" t="str">
        <x:v>EP 2315781 B1</x:v>
      </x:c>
      <x:c r="M974" s="87" t="str">
        <x:v>SANOFI SA</x:v>
      </x:c>
      <x:c r="N974" s="87" t="str">
        <x:v>SANOFI (2012-05-02)</x:v>
      </x:c>
      <x:c r="O974" s="87" t="str">
        <x:v>FGF-R4 RECEPTOR-SPECIFIC ANTAGONISTS</x:v>
      </x:c>
      <x:c r="P974" s="109" t="n">
        <x:v>0</x:v>
      </x:c>
      <x:c r="Q974" s="109" t="n">
        <x:v>49</x:v>
      </x:c>
      <x:c r="R974" s="87" t="str">
        <x:v>A61K2039/505;;C07K16/2863;;C07K16/303;;C07K2317/92;;C07K2319/30;;C07K2317/73;;C07K2317/76;;A61P1/18;;A61P35/00;;A61P43/00;;A61P7/00;;A61P9/00;;C07K16/28;;C12N15/11;;A61K39/395;;C07K16/2863;;C07K2317/92;;C07K2317/76;;C07K16/303;;A61K2039/505;;C07K2317/73;;C07K2319/30</x:v>
      </x:c>
      <x:c r="S974" s="87" t="str">
        <x:v>C07K16/28;;A61K39/00;;A61K39/395;;A61P35/00;;C07K16/30;;C12N5/18;;C12N15/13</x:v>
      </x:c>
      <x:c r="T974" s="87" t="str">
        <x:v>ACTIVE</x:v>
      </x:c>
      <x:c r="U974" s="87" t="str">
        <x:v>https://lens.org/061-733-817-334-63X</x:v>
      </x:c>
    </x:row>
    <x:row r="975">
      <x:c r="A975" s="87" t="str">
        <x:v>Sanofi_Applicant_EP_Families_2015_2021.csv(1).csv</x:v>
      </x:c>
      <x:c r="B975" s="87" t="str">
        <x:v>Sanofi</x:v>
      </x:c>
      <x:c r="C975" s="87" t="str">
        <x:v>TRT-0010</x:v>
      </x:c>
      <x:c r="D975" s="87" t="str">
        <x:v>Yes</x:v>
      </x:c>
      <x:c r="E975" s="87" t="str">
        <x:v>sanofi</x:v>
      </x:c>
      <x:c r="F975" s="87" t="str">
        <x:v>381</x:v>
      </x:c>
      <x:c r="G975" s="87" t="str">
        <x:v>015-788-037-211-153</x:v>
      </x:c>
      <x:c r="H975" s="110" t="n">
        <x:v>39623</x:v>
      </x:c>
      <x:c r="I975" s="88" t="n">
        <x:v>2008</x:v>
      </x:c>
      <x:c r="J975" s="87" t="str">
        <x:v>EP</x:v>
      </x:c>
      <x:c r="K975" s="87" t="str">
        <x:v>B1</x:v>
      </x:c>
      <x:c r="L975" s="87" t="str">
        <x:v>EP 2303846 B1</x:v>
      </x:c>
      <x:c r="M975" s="87" t="str">
        <x:v>SANOFI SA</x:v>
      </x:c>
      <x:c r="N975" s="87" t="str">
        <x:v>SANOFI (2012-05-02)</x:v>
      </x:c>
      <x:c r="O975" s="87" t="str">
        <x:v>SUBSTITUTED ISOQUINOLINES AND ISOQUINOLINONES AS RHO KINASE INHIBITORS</x:v>
      </x:c>
      <x:c r="P975" s="109" t="n">
        <x:v>0</x:v>
      </x:c>
      <x:c r="Q975" s="109" t="n">
        <x:v>43</x:v>
      </x:c>
      <x:c r="R975" s="87" t="str">
        <x:v>C07D217/24;;A61P1/16;;A61P3/00;;A61P3/06;;A61P3/10;;A61P5/00;;A61P7/00;;A61P7/02;;A61P9/00;;A61P9/04;;A61P9/10;;A61P9/12;;A61P11/00;;A61P11/06;;A61P13/00;;A61P13/08;;A61P13/12;;A61P15/00;;A61P15/10;;A61P19/00;;A61P25/00;;A61P25/04;;A61P25/08;;A61P25/28;;A61P27/00;;A61P27/02;;A61P27/06;;A61P29/00;;A61P31/04;;A61P31/18;;A61P35/00;;A61P37/00;;C07D217/24</x:v>
      </x:c>
      <x:c r="S975" s="87" t="str">
        <x:v>C07D217/24;;A61K31/472;;A61P9/00;;A61P25/00;;A61P27/00;;A61P37/00</x:v>
      </x:c>
      <x:c r="T975" s="87" t="str">
        <x:v>ACTIVE</x:v>
      </x:c>
      <x:c r="U975" s="87" t="str">
        <x:v>https://lens.org/015-788-037-211-153</x:v>
      </x:c>
    </x:row>
    <x:row r="976">
      <x:c r="A976" s="87" t="str">
        <x:v>Sanofi_Applicant_EP_Families_2015_2021.csv(1).csv</x:v>
      </x:c>
      <x:c r="B976" s="87" t="str">
        <x:v>Sanofi</x:v>
      </x:c>
      <x:c r="C976" s="87" t="str">
        <x:v>TRT-0010</x:v>
      </x:c>
      <x:c r="D976" s="87" t="str">
        <x:v>Yes</x:v>
      </x:c>
      <x:c r="E976" s="87" t="str">
        <x:v>sanofi</x:v>
      </x:c>
      <x:c r="F976" s="87" t="str">
        <x:v>382</x:v>
      </x:c>
      <x:c r="G976" s="87" t="str">
        <x:v>003-617-274-532-880</x:v>
      </x:c>
      <x:c r="H976" s="110" t="n">
        <x:v>38794</x:v>
      </x:c>
      <x:c r="I976" s="88" t="n">
        <x:v>2006</x:v>
      </x:c>
      <x:c r="J976" s="87" t="str">
        <x:v>EP</x:v>
      </x:c>
      <x:c r="K976" s="87" t="str">
        <x:v>B1</x:v>
      </x:c>
      <x:c r="L976" s="87" t="str">
        <x:v>EP 1999112 B1</x:v>
      </x:c>
      <x:c r="M976" s="87" t="str">
        <x:v>SANOFI SA</x:v>
      </x:c>
      <x:c r="N976" s="87" t="str">
        <x:v>SANOFI (2012-05-02)</x:v>
      </x:c>
      <x:c r="O976" s="87" t="str">
        <x:v>SUBSTITUTED 2-AMINO-4-PHENYL-DIHYDROQUINOLINES, METHOD FOR THE PRODUCTION THEREOF, USE THEREOF AS MEDICAMENTS, AND MEDICAMENTS CONTAINING THEM</x:v>
      </x:c>
      <x:c r="P976" s="109" t="n">
        <x:v>0</x:v>
      </x:c>
      <x:c r="Q976" s="109" t="n">
        <x:v>20</x:v>
      </x:c>
      <x:c r="R976" s="87" t="str">
        <x:v>C07D215/38;;A61P1/00;;A61P1/04;;A61P1/16;;A61P3/06;;A61P3/10;;A61P7/02;;A61P9/00;;A61P9/10;;A61P9/12;;A61P11/00;;A61P13/12;;A61P25/00;;A61P25/08;;A61P25/18;;A61P25/20;;A61P25/22;;A61P25/24;;A61P25/28;;A61P31/00;;A61P33/02;;A61P33/06;;A61P37/06;;A61P41/00;;C07D215/38;;A61K31/47;;C07D215/38</x:v>
      </x:c>
      <x:c r="S976" s="87" t="str">
        <x:v>C07D215/38;;A61K31/47;;A61P1/16;;A61P13/12</x:v>
      </x:c>
      <x:c r="T976" s="87" t="str">
        <x:v>ACTIVE</x:v>
      </x:c>
      <x:c r="U976" s="87" t="str">
        <x:v>https://lens.org/003-617-274-532-880</x:v>
      </x:c>
    </x:row>
    <x:row r="977">
      <x:c r="A977" s="87" t="str">
        <x:v>Sanofi_Applicant_EP_Families_2015_2021.csv(1).csv</x:v>
      </x:c>
      <x:c r="B977" s="87" t="str">
        <x:v>Sanofi</x:v>
      </x:c>
      <x:c r="C977" s="87" t="str">
        <x:v>TRT-0010</x:v>
      </x:c>
      <x:c r="D977" s="87" t="str">
        <x:v>Yes</x:v>
      </x:c>
      <x:c r="E977" s="87" t="str">
        <x:v>sanofi</x:v>
      </x:c>
      <x:c r="F977" s="87" t="str">
        <x:v>383</x:v>
      </x:c>
      <x:c r="G977" s="87" t="str">
        <x:v>078-105-407-894-36X</x:v>
      </x:c>
      <x:c r="H977" s="110" t="n">
        <x:v>40592</x:v>
      </x:c>
      <x:c r="I977" s="88" t="n">
        <x:v>2011</x:v>
      </x:c>
      <x:c r="J977" s="87" t="str">
        <x:v>EP</x:v>
      </x:c>
      <x:c r="K977" s="87" t="str">
        <x:v>B1</x:v>
      </x:c>
      <x:c r="L977" s="87" t="str">
        <x:v>EP 2675503 B1</x:v>
      </x:c>
      <x:c r="M977" s="87" t="str">
        <x:v>SANOFI SA</x:v>
      </x:c>
      <x:c r="N977" s="87" t="str">
        <x:v>SANOFI (2014-03-12)</x:v>
      </x:c>
      <x:c r="O977" s="87" t="str">
        <x:v>AUTO-INJECTOR</x:v>
      </x:c>
      <x:c r="P977" s="109" t="n">
        <x:v>0</x:v>
      </x:c>
      <x:c r="Q977" s="109" t="n">
        <x:v>30</x:v>
      </x:c>
      <x:c r="R977" s="87" t="str">
        <x:v>A61M5/2033;;A61M5/31501;;A61M5/3157;;A61M5/3202;;A61M5/3204;;A61M5/3257;;A61M5/326;;A61M5/46;;A61M5/5086;;A61M2005/2013;;A61M2005/206;;A61M2005/2073;;A61M2005/208;;A61M2005/3247;;A61M2205/581;;A61M2205/582;;F04C2270/0421;;Y10T403/32501;;A61M5/32;;A61M5/20;;A61M5/2033;;A61M5/31501;;A61M5/2033;;A61M5/20;;A61M5/2429;;A61M5/31501;;A61M5/31511;;A61M5/3157;;A61M5/3158;;A61M5/3202;;A61M5/3204;;A61M5/3257;;A61M5/326;;A61M5/46;;A61M5/5086;;A61M2005/2013;;A61M2005/206;;A61M2005/2073;;A61M2005/208;;A61M2005/3247;;A61M2205/581;;A61M2205/582;;A61M2205/583;;F04C2270/0421;;Y10T403/32501</x:v>
      </x:c>
      <x:c r="S977" s="87" t="str">
        <x:v>A61M5/20;;A61M5/32</x:v>
      </x:c>
      <x:c r="T977" s="87" t="str">
        <x:v>ACTIVE</x:v>
      </x:c>
      <x:c r="U977" s="87" t="str">
        <x:v>https://lens.org/078-105-407-894-36X</x:v>
      </x:c>
    </x:row>
    <x:row r="978">
      <x:c r="A978" s="87" t="str">
        <x:v>Sanofi_Applicant_EP_Families_2015_2021.csv(1).csv</x:v>
      </x:c>
      <x:c r="B978" s="87" t="str">
        <x:v>Sanofi</x:v>
      </x:c>
      <x:c r="C978" s="87" t="str">
        <x:v>TRT-0010</x:v>
      </x:c>
      <x:c r="D978" s="87" t="str">
        <x:v>Yes</x:v>
      </x:c>
      <x:c r="E978" s="87" t="str">
        <x:v>sanofi</x:v>
      </x:c>
      <x:c r="F978" s="87" t="str">
        <x:v>384</x:v>
      </x:c>
      <x:c r="G978" s="87" t="str">
        <x:v>030-628-518-339-191</x:v>
      </x:c>
      <x:c r="H978" s="110" t="n">
        <x:v>39945</x:v>
      </x:c>
      <x:c r="I978" s="88" t="n">
        <x:v>2009</x:v>
      </x:c>
      <x:c r="J978" s="87" t="str">
        <x:v>EP</x:v>
      </x:c>
      <x:c r="K978" s="87" t="str">
        <x:v>B1</x:v>
      </x:c>
      <x:c r="L978" s="87" t="str">
        <x:v>EP 2430049 B1</x:v>
      </x:c>
      <x:c r="M978" s="87" t="str">
        <x:v>SANOFI SA</x:v>
      </x:c>
      <x:c r="N978" s="87" t="str">
        <x:v>SANOFI (2012-05-02)</x:v>
      </x:c>
      <x:c r="O978" s="87" t="str">
        <x:v>HUMANIZED ANTIBODIES SPECIFIC TO THE PROTOFIBRILLAR FORM OF THE BETA-AMYLOID PEPTIDE</x:v>
      </x:c>
      <x:c r="P978" s="109" t="n">
        <x:v>0</x:v>
      </x:c>
      <x:c r="Q978" s="109" t="n">
        <x:v>74</x:v>
      </x:c>
      <x:c r="R978" s="87" t="str">
        <x:v>C07K2317/24;;C07K2317/33;;C07K2317/52;;C07K16/18;;C07H21/04;;A61P25/00;;A61P25/28;;A61K39/3955;;C07K2317/56;;C07K2317/565;;C12N15/63;;C07H21/04;;C12N2015/8518;;C07K2317/24;;C07K2317/33;;C07K2317/52;;C07K16/18;;C07K2317/71;;C07K2317/92</x:v>
      </x:c>
      <x:c r="S978" s="87" t="str">
        <x:v>C07K16/18;;A61K39/395;;A61P25/28;;G01N33/68</x:v>
      </x:c>
      <x:c r="T978" s="87" t="str">
        <x:v>ACTIVE</x:v>
      </x:c>
      <x:c r="U978" s="87" t="str">
        <x:v>https://lens.org/030-628-518-339-191</x:v>
      </x:c>
    </x:row>
    <x:row r="979">
      <x:c r="A979" s="87" t="str">
        <x:v>Sanofi_Applicant_EP_Families_2015_2021.csv(1).csv</x:v>
      </x:c>
      <x:c r="B979" s="87" t="str">
        <x:v>Sanofi</x:v>
      </x:c>
      <x:c r="C979" s="87" t="str">
        <x:v>TRT-0010</x:v>
      </x:c>
      <x:c r="D979" s="87" t="str">
        <x:v>Yes</x:v>
      </x:c>
      <x:c r="E979" s="87" t="str">
        <x:v>sanofi</x:v>
      </x:c>
      <x:c r="F979" s="87" t="str">
        <x:v>385</x:v>
      </x:c>
      <x:c r="G979" s="87" t="str">
        <x:v>133-084-816-177-268</x:v>
      </x:c>
      <x:c r="H979" s="110" t="n">
        <x:v>40592</x:v>
      </x:c>
      <x:c r="I979" s="88" t="n">
        <x:v>2011</x:v>
      </x:c>
      <x:c r="J979" s="87" t="str">
        <x:v>EP</x:v>
      </x:c>
      <x:c r="K979" s="87" t="str">
        <x:v>B1</x:v>
      </x:c>
      <x:c r="L979" s="87" t="str">
        <x:v>EP 2675502 B1</x:v>
      </x:c>
      <x:c r="M979" s="87" t="str">
        <x:v>SANOFI SA</x:v>
      </x:c>
      <x:c r="N979" s="87" t="str">
        <x:v>SANOFI (2014-03-12)</x:v>
      </x:c>
      <x:c r="O979" s="87" t="str">
        <x:v>AUTO-INJECTOR</x:v>
      </x:c>
      <x:c r="P979" s="109" t="n">
        <x:v>11</x:v>
      </x:c>
      <x:c r="Q979" s="109" t="n">
        <x:v>32</x:v>
      </x:c>
      <x:c r="R979" s="87" t="str">
        <x:v>A61M5/2033;;A61M5/31501;;A61M5/3157;;A61M5/3202;;A61M5/3204;;A61M5/3257;;A61M5/326;;A61M5/46;;A61M5/5086;;A61M2005/2013;;A61M2005/206;;A61M2005/2073;;A61M2005/208;;A61M2005/3247;;A61M2205/581;;A61M2205/582;;F04C2270/0421;;Y10T403/32501;;A61M5/32;;A61M5/20;;A61M5/2033;;A61M5/3129;;A61M5/2033;;A61M5/31501;;A61M5/31511;;A61M5/3157;;A61M5/3158;;A61M5/3202;;A61M5/3204;;A61M5/3257;;A61M5/326;;A61M5/46;;A61M5/5086;;A61M2005/2013;;A61M2005/2026;;A61M2005/206;;A61M2005/2073;;A61M2005/208;;A61M2005/3247;;A61M2205/581;;A61M2205/582;;F04C2270/0421;;Y10T403/32501</x:v>
      </x:c>
      <x:c r="S979" s="87" t="str">
        <x:v>A61M5/20;;A61M5/32</x:v>
      </x:c>
      <x:c r="T979" s="87" t="str">
        <x:v>ACTIVE</x:v>
      </x:c>
      <x:c r="U979" s="87" t="str">
        <x:v>https://lens.org/133-084-816-177-268</x:v>
      </x:c>
    </x:row>
    <x:row r="980">
      <x:c r="A980" s="87" t="str">
        <x:v>Sanofi_Applicant_EP_Families_2015_2021.csv(1).csv</x:v>
      </x:c>
      <x:c r="B980" s="87" t="str">
        <x:v>Sanofi</x:v>
      </x:c>
      <x:c r="C980" s="87" t="str">
        <x:v>TRT-0010</x:v>
      </x:c>
      <x:c r="D980" s="87" t="str">
        <x:v>Yes</x:v>
      </x:c>
      <x:c r="E980" s="87" t="str">
        <x:v>sanofi</x:v>
      </x:c>
      <x:c r="F980" s="87" t="str">
        <x:v>386</x:v>
      </x:c>
      <x:c r="G980" s="87" t="str">
        <x:v>075-346-122-891-323</x:v>
      </x:c>
      <x:c r="H980" s="110" t="n">
        <x:v>40592</x:v>
      </x:c>
      <x:c r="I980" s="88" t="n">
        <x:v>2011</x:v>
      </x:c>
      <x:c r="J980" s="87" t="str">
        <x:v>EP</x:v>
      </x:c>
      <x:c r="K980" s="87" t="str">
        <x:v>B1</x:v>
      </x:c>
      <x:c r="L980" s="87" t="str">
        <x:v>EP 2675508 B1</x:v>
      </x:c>
      <x:c r="M980" s="87" t="str">
        <x:v>SANOFI SA</x:v>
      </x:c>
      <x:c r="N980" s="87" t="str">
        <x:v>SANOFI (2014-03-12)</x:v>
      </x:c>
      <x:c r="O980" s="87" t="str">
        <x:v>AUTO-INJECTOR</x:v>
      </x:c>
      <x:c r="P980" s="109" t="n">
        <x:v>0</x:v>
      </x:c>
      <x:c r="Q980" s="109" t="n">
        <x:v>28</x:v>
      </x:c>
      <x:c r="R980" s="87" t="str">
        <x:v>A61M5/2033;;A61M5/326;;A61M2205/581;;A61M2205/582;;A61M5/32;;A61M5/20;;A61M5/2033;;A61M2205/581;;A61M2205/582;;A61M5/2033;;A61M5/326;;A61M2205/581;;A61M2205/582</x:v>
      </x:c>
      <x:c r="S980" s="87" t="str">
        <x:v>A61M5/20;;A61M5/32</x:v>
      </x:c>
      <x:c r="T980" s="87" t="str">
        <x:v>ACTIVE</x:v>
      </x:c>
      <x:c r="U980" s="87" t="str">
        <x:v>https://lens.org/075-346-122-891-323</x:v>
      </x:c>
    </x:row>
    <x:row r="981">
      <x:c r="A981" s="87" t="str">
        <x:v>Sanofi_Applicant_EP_Families_2015_2021.csv(1).csv</x:v>
      </x:c>
      <x:c r="B981" s="87" t="str">
        <x:v>Sanofi</x:v>
      </x:c>
      <x:c r="C981" s="87" t="str">
        <x:v>TRT-0010</x:v>
      </x:c>
      <x:c r="D981" s="87" t="str">
        <x:v>Yes</x:v>
      </x:c>
      <x:c r="E981" s="87" t="str">
        <x:v>sanofi</x:v>
      </x:c>
      <x:c r="F981" s="87" t="str">
        <x:v>387</x:v>
      </x:c>
      <x:c r="G981" s="87" t="str">
        <x:v>128-046-833-278-150</x:v>
      </x:c>
      <x:c r="H981" s="110" t="n">
        <x:v>40592</x:v>
      </x:c>
      <x:c r="I981" s="88" t="n">
        <x:v>2011</x:v>
      </x:c>
      <x:c r="J981" s="87" t="str">
        <x:v>EP</x:v>
      </x:c>
      <x:c r="K981" s="87" t="str">
        <x:v>B1</x:v>
      </x:c>
      <x:c r="L981" s="87" t="str">
        <x:v>EP 2675509 B1</x:v>
      </x:c>
      <x:c r="M981" s="87" t="str">
        <x:v>SANOFI SA</x:v>
      </x:c>
      <x:c r="N981" s="87" t="str">
        <x:v>SANOFI (2014-03-12)</x:v>
      </x:c>
      <x:c r="O981" s="87" t="str">
        <x:v>INJECTION DEVICE</x:v>
      </x:c>
      <x:c r="P981" s="109" t="n">
        <x:v>13</x:v>
      </x:c>
      <x:c r="Q981" s="109" t="n">
        <x:v>23</x:v>
      </x:c>
      <x:c r="R981" s="87" t="str">
        <x:v>A61M5/3157;;A61M5/2033;;A61M5/31501;;A61M5/31536;;A61M5/3158;;A61M5/3202;;A61M5/3204;;A61M5/3257;;A61M5/326;;A61M5/46;;A61M5/5086;;A61M2005/2013;;A61M2005/206;;A61M2005/208;;A61M2005/3247;;A61M2205/581;;A61M2205/582;;F04C2270/0421;;Y10T403/32501;;A61M5/3157;;A61M5/2033;;A61M5/31501;;A61M5/31511;;A61M5/31536;;A61M5/3158;;A61M5/3202;;A61M5/3204;;A61M5/3257;;A61M5/326;;A61M5/46;;A61M5/5086;;A61M2005/2013;;A61M2005/206;;A61M2005/208;;A61M2005/3247;;A61M2205/581;;A61M2205/582;;F04C2270/0421;;Y10T403/32501</x:v>
      </x:c>
      <x:c r="S981" s="87" t="str">
        <x:v>A61M5/20;;A61M5/32</x:v>
      </x:c>
      <x:c r="T981" s="87" t="str">
        <x:v>ACTIVE</x:v>
      </x:c>
      <x:c r="U981" s="87" t="str">
        <x:v>https://lens.org/128-046-833-278-150</x:v>
      </x:c>
    </x:row>
    <x:row r="982">
      <x:c r="A982" s="87" t="str">
        <x:v>Sanofi_Applicant_EP_Families_2015_2021.csv(1).csv</x:v>
      </x:c>
      <x:c r="B982" s="87" t="str">
        <x:v>Sanofi</x:v>
      </x:c>
      <x:c r="C982" s="87" t="str">
        <x:v>TRT-0010</x:v>
      </x:c>
      <x:c r="D982" s="87" t="str">
        <x:v>Yes</x:v>
      </x:c>
      <x:c r="E982" s="87" t="str">
        <x:v>sanofi</x:v>
      </x:c>
      <x:c r="F982" s="87" t="str">
        <x:v>388</x:v>
      </x:c>
      <x:c r="G982" s="87" t="str">
        <x:v>084-911-374-833-766</x:v>
      </x:c>
      <x:c r="H982" s="110" t="n">
        <x:v>39078</x:v>
      </x:c>
      <x:c r="I982" s="88" t="n">
        <x:v>2006</x:v>
      </x:c>
      <x:c r="J982" s="87" t="str">
        <x:v>EP</x:v>
      </x:c>
      <x:c r="K982" s="87" t="str">
        <x:v>B1</x:v>
      </x:c>
      <x:c r="L982" s="87" t="str">
        <x:v>EP 2102187 B1</x:v>
      </x:c>
      <x:c r="M982" s="87" t="str">
        <x:v>SANOFI SA</x:v>
      </x:c>
      <x:c r="N982" s="87" t="str">
        <x:v>SANOFI (2012-05-02)</x:v>
      </x:c>
      <x:c r="O982" s="87" t="str">
        <x:v>SUBSTITUTED ISOQUINOLINE AND ISOQUINOLINONE DERIVATIVES AS INHIBITORS OF RHO-KINASE</x:v>
      </x:c>
      <x:c r="P982" s="109" t="n">
        <x:v>0</x:v>
      </x:c>
      <x:c r="Q982" s="109" t="n">
        <x:v>39</x:v>
      </x:c>
      <x:c r="R982" s="87" t="str">
        <x:v>C07D401/12;;A61P1/04;;A61P1/16;;A61P3/00;;A61P3/10;;A61P5/00;;A61P7/02;;A61P9/00;;A61P9/02;;A61P9/04;;A61P9/10;;A61P9/12;;A61P11/00;;A61P11/06;;A61P13/08;;A61P13/12;;A61P15/00;;A61P15/06;;A61P15/10;;A61P19/08;;A61P25/00;;A61P25/04;;A61P25/28;;A61P27/02;;A61P27/06;;A61P29/00;;A61P31/00;;A61P31/04;;A61P31/18;;A61P35/00;;A61P37/00;;A61P37/06;;A61P43/00;;C07D401/14;;C07D401/14;;A61K31/4725;;C07D217/12;;C07D401/12;;C07D401/14</x:v>
      </x:c>
      <x:c r="S982" s="87" t="str">
        <x:v>C07D401/12;;A61K31/4725;;A61P9/12;;A61P11/00;;C07D401/14</x:v>
      </x:c>
      <x:c r="T982" s="87" t="str">
        <x:v>ACTIVE</x:v>
      </x:c>
      <x:c r="U982" s="87" t="str">
        <x:v>https://lens.org/084-911-374-833-766</x:v>
      </x:c>
    </x:row>
    <x:row r="983">
      <x:c r="A983" s="87" t="str">
        <x:v>Sanofi_Applicant_EP_Families_2015_2021.csv(1).csv</x:v>
      </x:c>
      <x:c r="B983" s="87" t="str">
        <x:v>Sanofi</x:v>
      </x:c>
      <x:c r="C983" s="87" t="str">
        <x:v>TRT-0010</x:v>
      </x:c>
      <x:c r="D983" s="87" t="str">
        <x:v>Yes</x:v>
      </x:c>
      <x:c r="E983" s="87" t="str">
        <x:v>sanofi</x:v>
      </x:c>
      <x:c r="F983" s="87" t="str">
        <x:v>389</x:v>
      </x:c>
      <x:c r="G983" s="87" t="str">
        <x:v>074-546-004-098-922</x:v>
      </x:c>
      <x:c r="H983" s="110" t="n">
        <x:v>40592</x:v>
      </x:c>
      <x:c r="I983" s="88" t="n">
        <x:v>2011</x:v>
      </x:c>
      <x:c r="J983" s="87" t="str">
        <x:v>EP</x:v>
      </x:c>
      <x:c r="K983" s="87" t="str">
        <x:v>B1</x:v>
      </x:c>
      <x:c r="L983" s="87" t="str">
        <x:v>EP 2675501 B1</x:v>
      </x:c>
      <x:c r="M983" s="87" t="str">
        <x:v>SANOFI SA</x:v>
      </x:c>
      <x:c r="N983" s="87" t="str">
        <x:v>SANOFI, FR (2025-09-28);;SANOFI; FR (2025-04-11);;SANOFI (2014-03-12)</x:v>
      </x:c>
      <x:c r="O983" s="87" t="str">
        <x:v>AUTO-INJECTOR</x:v>
      </x:c>
      <x:c r="P983" s="109" t="n">
        <x:v>2</x:v>
      </x:c>
      <x:c r="Q983" s="109" t="n">
        <x:v>18</x:v>
      </x:c>
      <x:c r="R983" s="87" t="str">
        <x:v>A61M5/3158;;A61M5/2033;;A61M5/31501;;A61M5/31511;;A61M5/3157;;A61M5/3202;;A61M5/3204;;A61M5/3257;;A61M5/326;;A61M5/46;;A61M5/5086;;A61M2005/2013;;A61M2005/206;;A61M2005/208;;A61M2005/3247;;A61M2205/581;;A61M2205/582;;F04C2270/0421;;Y10T403/32501;;A61M5/3158;;A61M5/2033;;A61M5/31501;;A61M5/31511;;A61M5/3157;;A61M5/3202;;A61M5/3204;;A61M5/3257;;A61M5/326;;A61M5/46;;A61M5/5086;;A61M2005/2013;;A61M2005/206;;A61M2005/208;;A61M2005/3247;;A61M2205/581;;A61M2205/582;;F04C2270/0421;;Y10T403/32501</x:v>
      </x:c>
      <x:c r="S983" s="87" t="str">
        <x:v>A61M5/20;;A61M5/32</x:v>
      </x:c>
      <x:c r="T983" s="87" t="str">
        <x:v>ACTIVE</x:v>
      </x:c>
      <x:c r="U983" s="87" t="str">
        <x:v>https://lens.org/074-546-004-098-922</x:v>
      </x:c>
    </x:row>
    <x:row r="984">
      <x:c r="A984" s="87" t="str">
        <x:v>Sanofi_Applicant_EP_Families_2015_2021.csv(1).csv</x:v>
      </x:c>
      <x:c r="B984" s="87" t="str">
        <x:v>Sanofi</x:v>
      </x:c>
      <x:c r="C984" s="87" t="str">
        <x:v>TRT-0010</x:v>
      </x:c>
      <x:c r="D984" s="87" t="str">
        <x:v>Yes</x:v>
      </x:c>
      <x:c r="E984" s="87" t="str">
        <x:v>sanofi</x:v>
      </x:c>
      <x:c r="F984" s="87" t="str">
        <x:v>390</x:v>
      </x:c>
      <x:c r="G984" s="87" t="str">
        <x:v>011-201-205-593-031</x:v>
      </x:c>
      <x:c r="H984" s="110" t="n">
        <x:v>40592</x:v>
      </x:c>
      <x:c r="I984" s="88" t="n">
        <x:v>2011</x:v>
      </x:c>
      <x:c r="J984" s="87" t="str">
        <x:v>EP</x:v>
      </x:c>
      <x:c r="K984" s="87" t="str">
        <x:v>B1</x:v>
      </x:c>
      <x:c r="L984" s="87" t="str">
        <x:v>EP 2675505 B1</x:v>
      </x:c>
      <x:c r="M984" s="87" t="str">
        <x:v>SANOFI SA</x:v>
      </x:c>
      <x:c r="N984" s="87" t="str">
        <x:v>SANOFI (2014-03-12)</x:v>
      </x:c>
      <x:c r="O984" s="87" t="str">
        <x:v>AUTO-INJECTOR</x:v>
      </x:c>
      <x:c r="P984" s="109" t="n">
        <x:v>0</x:v>
      </x:c>
      <x:c r="Q984" s="109" t="n">
        <x:v>73</x:v>
      </x:c>
      <x:c r="R984" s="87" t="str">
        <x:v>A61M5/46;;A61M5/2033;;A61M5/3157;;A61M5/326;;A61M2205/581;;A61M2205/582;;A61M5/32;;A61M5/20;;A61M5/2033;;A61M5/3157;;A61M5/326;;A61M5/31501;;A61M5/20;;A61M5/2033;;A61M5/3157;;A61M5/3158;;A61M5/322;;A61M5/326;;A61M5/46;;A61M2005/206;;A61M2005/208;;A61M2205/581;;A61M2205/582;;A61M2205/583</x:v>
      </x:c>
      <x:c r="S984" s="87" t="str">
        <x:v>A61M5/20;;A61M5/32</x:v>
      </x:c>
      <x:c r="T984" s="87" t="str">
        <x:v>ACTIVE</x:v>
      </x:c>
      <x:c r="U984" s="87" t="str">
        <x:v>https://lens.org/011-201-205-593-031</x:v>
      </x:c>
    </x:row>
    <x:row r="985">
      <x:c r="A985" s="87" t="str">
        <x:v>Sanofi_Applicant_EP_Families_2015_2021.csv(1).csv</x:v>
      </x:c>
      <x:c r="B985" s="87" t="str">
        <x:v>Sanofi</x:v>
      </x:c>
      <x:c r="C985" s="87" t="str">
        <x:v>TRT-0010</x:v>
      </x:c>
      <x:c r="D985" s="87" t="str">
        <x:v>Yes</x:v>
      </x:c>
      <x:c r="E985" s="87" t="str">
        <x:v>sanofi</x:v>
      </x:c>
      <x:c r="F985" s="87" t="str">
        <x:v>391</x:v>
      </x:c>
      <x:c r="G985" s="87" t="str">
        <x:v>188-916-989-264-858</x:v>
      </x:c>
      <x:c r="H985" s="110" t="n">
        <x:v>38141</x:v>
      </x:c>
      <x:c r="I985" s="88" t="n">
        <x:v>2004</x:v>
      </x:c>
      <x:c r="J985" s="87" t="str">
        <x:v>EP</x:v>
      </x:c>
      <x:c r="K985" s="87" t="str">
        <x:v>B1</x:v>
      </x:c>
      <x:c r="L985" s="87" t="str">
        <x:v>EP 2298171 B1</x:v>
      </x:c>
      <x:c r="M985" s="87" t="str">
        <x:v>SANOFI AVENTIS DEUTSCHLAND</x:v>
      </x:c>
      <x:c r="N985" s="87" t="str">
        <x:v>SANOFI-AVENTIS DEUTSCHLAND GMBH (2014-01-08)</x:v>
      </x:c>
      <x:c r="O985" s="87" t="str">
        <x:v>Tissue interface on a fluid sampling device</x:v>
      </x:c>
      <x:c r="P985" s="109" t="n">
        <x:v>0</x:v>
      </x:c>
      <x:c r="Q985" s="109" t="n">
        <x:v>10</x:v>
      </x:c>
      <x:c r="R985" s="87" t="str">
        <x:v>A61B5/150832;;A61B5/150022;;A61B5/150152;;A61B5/150167;;A61B5/150175;;A61B5/150427;;A61B5/150503;;A61B5/150748;;A61B5/15117;;A61B5/15123;;A61B5/15146;;A61B5/15151;;A61B5/15161;;A61B5/157</x:v>
      </x:c>
      <x:c r="S985" s="87" t="str">
        <x:v>A61B5/151;;A61B5/15</x:v>
      </x:c>
      <x:c r="T985" s="87" t="str">
        <x:v>EXPIRED</x:v>
      </x:c>
      <x:c r="U985" s="87" t="str">
        <x:v>https://lens.org/188-916-989-264-858</x:v>
      </x:c>
    </x:row>
    <x:row r="986">
      <x:c r="A986" s="87" t="str">
        <x:v>Sanofi_Applicant_EP_Families_2015_2021.csv(1).csv</x:v>
      </x:c>
      <x:c r="B986" s="87" t="str">
        <x:v>Sanofi</x:v>
      </x:c>
      <x:c r="C986" s="87" t="str">
        <x:v>TRT-0010</x:v>
      </x:c>
      <x:c r="D986" s="87" t="str">
        <x:v>Yes</x:v>
      </x:c>
      <x:c r="E986" s="87" t="str">
        <x:v>sanofi</x:v>
      </x:c>
      <x:c r="F986" s="87" t="str">
        <x:v>392</x:v>
      </x:c>
      <x:c r="G986" s="87" t="str">
        <x:v>141-860-839-428-671</x:v>
      </x:c>
      <x:c r="H986" s="110" t="n">
        <x:v>39014</x:v>
      </x:c>
      <x:c r="I986" s="88" t="n">
        <x:v>2006</x:v>
      </x:c>
      <x:c r="J986" s="87" t="str">
        <x:v>EP</x:v>
      </x:c>
      <x:c r="K986" s="87" t="str">
        <x:v>B1</x:v>
      </x:c>
      <x:c r="L986" s="87" t="str">
        <x:v>EP 2078009 B1</x:v>
      </x:c>
      <x:c r="M986" s="87" t="str">
        <x:v>SANOFI SA</x:v>
      </x:c>
      <x:c r="N986" s="87" t="str">
        <x:v>SANOFI (2012-05-02)</x:v>
      </x:c>
      <x:c r="O986" s="87" t="str">
        <x:v>NEW FLUORENE DERIVATIVES, COMPOSITIONS CONTAINING THE SAME AND USE THEREOF AS INHIBITORS OF THE PROTEIN CHAPERONE HSP 90</x:v>
      </x:c>
      <x:c r="P986" s="109" t="n">
        <x:v>0</x:v>
      </x:c>
      <x:c r="Q986" s="109" t="n">
        <x:v>27</x:v>
      </x:c>
      <x:c r="R986" s="87" t="str">
        <x:v>C07D403/12;;A61P7/02;;A61P9/00;;A61P9/10;;A61P17/06;;A61P21/02;;A61P25/00;;A61P25/14;;A61P25/16;;A61P25/18;;A61P25/28;;A61P27/02;;A61P31/00;;A61P31/10;;A61P31/12;;A61P31/14;;A61P31/22;;A61P33/02;;A61P33/06;;A61P35/00;;A61P43/00;;C07D401/12;;C07D471/04;;C07D487/04;;C07D401/12;;A61K31/437;;C07D487/04;;C07D403/12;;C07D401/12;;C07D471/04;;C07D487/04</x:v>
      </x:c>
      <x:c r="S986" s="87" t="str">
        <x:v>C07D401/12;;A61K31/437;;A61K31/506;;A61P25/16;;A61P25/28;;A61P35/00;;C07D403/12;;C07D471/04;;C07D487/04;;C07D519/00</x:v>
      </x:c>
      <x:c r="T986" s="87" t="str">
        <x:v>ACTIVE</x:v>
      </x:c>
      <x:c r="U986" s="87" t="str">
        <x:v>https://lens.org/141-860-839-428-671</x:v>
      </x:c>
    </x:row>
    <x:row r="987">
      <x:c r="A987" s="87" t="str">
        <x:v>Sanofi_Applicant_EP_Families_2015_2021.csv(1).csv</x:v>
      </x:c>
      <x:c r="B987" s="87" t="str">
        <x:v>Sanofi</x:v>
      </x:c>
      <x:c r="C987" s="87" t="str">
        <x:v>TRT-0010</x:v>
      </x:c>
      <x:c r="D987" s="87" t="str">
        <x:v>Yes</x:v>
      </x:c>
      <x:c r="E987" s="87" t="str">
        <x:v>sanofi</x:v>
      </x:c>
      <x:c r="F987" s="87" t="str">
        <x:v>393</x:v>
      </x:c>
      <x:c r="G987" s="87" t="str">
        <x:v>189-486-776-529-022</x:v>
      </x:c>
      <x:c r="H987" s="110" t="n">
        <x:v>39763</x:v>
      </x:c>
      <x:c r="I987" s="88" t="n">
        <x:v>2008</x:v>
      </x:c>
      <x:c r="J987" s="87" t="str">
        <x:v>EP</x:v>
      </x:c>
      <x:c r="K987" s="87" t="str">
        <x:v>B1</x:v>
      </x:c>
      <x:c r="L987" s="87" t="str">
        <x:v>EP 2356455 B1</x:v>
      </x:c>
      <x:c r="M987" s="87" t="str">
        <x:v>SANOFI PASTEUR VAXDESIGN CORP</x:v>
      </x:c>
      <x:c r="N987" s="87" t="str">
        <x:v>SANOFI PASTEUR VAXDESIGN CORPORATION (2012-03-07)</x:v>
      </x:c>
      <x:c r="O987" s="87" t="str">
        <x:v>FLUORESCENT NEUTRALIZATION AND ADHERENCE INHIBITION ASSAYS</x:v>
      </x:c>
      <x:c r="P987" s="109" t="n">
        <x:v>1</x:v>
      </x:c>
      <x:c r="Q987" s="109" t="n">
        <x:v>11</x:v>
      </x:c>
      <x:c r="R987" s="87" t="str">
        <x:v>C12Q1/18;;G01N33/56983;;G01N33/6854;;G01N33/502;;A61K49/085;;C07K14/005;;C12Q1/18;;G01N33/56983;;G01N33/6854;;G01N2333/11;;G01N2500/02;;G01N2500/10</x:v>
      </x:c>
      <x:c r="S987" s="87" t="str">
        <x:v>G01N33/533;;G01N33/569;;G01N33/68</x:v>
      </x:c>
      <x:c r="T987" s="87" t="str">
        <x:v>ACTIVE</x:v>
      </x:c>
      <x:c r="U987" s="87" t="str">
        <x:v>https://lens.org/189-486-776-529-022</x:v>
      </x:c>
    </x:row>
    <x:row r="988">
      <x:c r="A988" s="87" t="str">
        <x:v>Sanofi_Applicant_EP_Families_2015_2021.csv(1).csv</x:v>
      </x:c>
      <x:c r="B988" s="87" t="str">
        <x:v>Sanofi</x:v>
      </x:c>
      <x:c r="C988" s="87" t="str">
        <x:v>TRT-0010</x:v>
      </x:c>
      <x:c r="D988" s="87" t="str">
        <x:v>Yes</x:v>
      </x:c>
      <x:c r="E988" s="87" t="str">
        <x:v>sanofi</x:v>
      </x:c>
      <x:c r="F988" s="87" t="str">
        <x:v>394</x:v>
      </x:c>
      <x:c r="G988" s="87" t="str">
        <x:v>144-055-608-093-445</x:v>
      </x:c>
      <x:c r="H988" s="110" t="n">
        <x:v>39057</x:v>
      </x:c>
      <x:c r="I988" s="88" t="n">
        <x:v>2006</x:v>
      </x:c>
      <x:c r="J988" s="87" t="str">
        <x:v>EP</x:v>
      </x:c>
      <x:c r="K988" s="87" t="str">
        <x:v>B1</x:v>
      </x:c>
      <x:c r="L988" s="87" t="str">
        <x:v>EP 2104497 B1</x:v>
      </x:c>
      <x:c r="M988" s="87" t="str">
        <x:v>SANOFI SA</x:v>
      </x:c>
      <x:c r="N988" s="87" t="str">
        <x:v>SANOFI (2012-05-02)</x:v>
      </x:c>
      <x:c r="O988" s="87" t="str">
        <x:v>SULFAMIDE DERIVATIVES AS TAFIA INHIBITORS</x:v>
      </x:c>
      <x:c r="P988" s="109" t="n">
        <x:v>0</x:v>
      </x:c>
      <x:c r="Q988" s="109" t="n">
        <x:v>37</x:v>
      </x:c>
      <x:c r="R988" s="87" t="str">
        <x:v>A61K31/4164;;A61K31/17;;A61K31/18;;A61K31/198;;A61K31/223;;A61K31/36;;A61K31/381;;A61K31/40;;A61K31/4184;;A61K31/44;;A61K31/4402;;A61K31/4406;;A61K31/4409;;A61K31/4453;;A61K31/4465;;A61K45/06;;A61P3/04;;A61P3/10;;A61P7/00;;A61P7/02;;A61P9/00;;A61P9/10;;A61P11/00;;A61P19/02;;A61P27/02;;A61P29/00;;A61P35/00;;C07C307/06;;C07D207/06;;C07D209/20;;C07D211/34;;C07D211/58;;C07D213/40;;C07D213/55;;C07D213/73;;C07D235/14;;C07D261/08;;C07D295/185;;C07D317/58;;C07D333/20;;C07D487/08;;A61K31/17;;A61K31/36;;A61K31/4164;;A61K31/4164;;A61K31/17;;A61K31/18;;A61K31/198;;A61K31/223;;A61K31/36;;A61K31/381;;A61K31/40;;A61K31/4184;;A61K31/44;;A61K31/4402;;A61K31/4406;;A61K31/4409;;A61K31/4453;;A61K31/4465;;A61K45/06;;C07C307/06;;C07D207/06;;C07D209/20;;C07D211/34;;C07D211/58;;C07D213/40;;C07D213/55;;C07D213/73;;C07D235/14;;C07D261/08;;C07D295/185;;C07D317/58;;C07D333/20;;C07D487/08</x:v>
      </x:c>
      <x:c r="S988" s="87" t="str">
        <x:v>A61K31/17;;A61K31/18;;A61K31/198;;A61K31/223;;A61K31/381;;A61K31/40;;A61K31/4164;;A61K31/4184;;A61K31/4402;;A61K31/4406;;A61K31/4409;;A61K31/4453;;A61K31/4465;;A61P7/02;;A61P9/10;;C07C307/06;;C07D211/34;;C07D213/55;;C07D213/74;;C07D295/185</x:v>
      </x:c>
      <x:c r="T988" s="87" t="str">
        <x:v>ACTIVE</x:v>
      </x:c>
      <x:c r="U988" s="87" t="str">
        <x:v>https://lens.org/144-055-608-093-445</x:v>
      </x:c>
    </x:row>
    <x:row r="989">
      <x:c r="A989" s="87" t="str">
        <x:v>Sanofi_Applicant_EP_Families_2015_2021.csv(1).csv</x:v>
      </x:c>
      <x:c r="B989" s="87" t="str">
        <x:v>Sanofi</x:v>
      </x:c>
      <x:c r="C989" s="87" t="str">
        <x:v>TRT-0010</x:v>
      </x:c>
      <x:c r="D989" s="87" t="str">
        <x:v>Yes</x:v>
      </x:c>
      <x:c r="E989" s="87" t="str">
        <x:v>sanofi</x:v>
      </x:c>
      <x:c r="F989" s="87" t="str">
        <x:v>395</x:v>
      </x:c>
      <x:c r="G989" s="87" t="str">
        <x:v>098-280-534-875-499</x:v>
      </x:c>
      <x:c r="H989" s="110" t="n">
        <x:v>39065</x:v>
      </x:c>
      <x:c r="I989" s="88" t="n">
        <x:v>2006</x:v>
      </x:c>
      <x:c r="J989" s="87" t="str">
        <x:v>EP</x:v>
      </x:c>
      <x:c r="K989" s="87" t="str">
        <x:v>B1</x:v>
      </x:c>
      <x:c r="L989" s="87" t="str">
        <x:v>EP 2102198 B1</x:v>
      </x:c>
      <x:c r="M989" s="87" t="str">
        <x:v>SANOFI SA</x:v>
      </x:c>
      <x:c r="N989" s="87" t="str">
        <x:v>SANOFI (2012-05-02)</x:v>
      </x:c>
      <x:c r="O989" s="87" t="str">
        <x:v>SULFONYL-PHENYL-2H-[1,2,4]OXODIAZOL-5-ONE DERIVATIVES, PROCESSES FOR THEIR PREPARATION AND THEIR USE AS PHARMACEUTICALS</x:v>
      </x:c>
      <x:c r="P989" s="109" t="n">
        <x:v>0</x:v>
      </x:c>
      <x:c r="Q989" s="109" t="n">
        <x:v>27</x:v>
      </x:c>
      <x:c r="R989" s="87" t="str">
        <x:v>C07D413/12;;A61P1/04;;A61P1/18;;A61P3/00;;A61P3/04;;A61P3/06;;A61P3/10;;A61P5/50;;A61P9/04;;A61P9/10;;A61P9/12;;A61P9/14;;A61P11/06;;A61P11/16;;A61P15/00;;A61P17/02;;A61P17/04;;A61P17/06;;A61P17/08;;A61P17/16;;A61P19/02;;A61P19/06;;A61P25/00;;A61P25/02;;A61P25/08;;A61P25/16;;A61P25/28;;A61P27/02;;A61P29/00;;A61P31/12;;A61P35/00;;A61P35/02;;A61P37/00;;A61P43/00;;C07D413/12;;A61K31/4245;;A61K31/4725;;C07D413/12</x:v>
      </x:c>
      <x:c r="S989" s="87" t="str">
        <x:v>C07D413/12;;A61K31/4245;;A61K31/4725;;A61P3/06</x:v>
      </x:c>
      <x:c r="T989" s="87" t="str">
        <x:v>ACTIVE</x:v>
      </x:c>
      <x:c r="U989" s="87" t="str">
        <x:v>https://lens.org/098-280-534-875-499</x:v>
      </x:c>
    </x:row>
    <x:row r="990">
      <x:c r="A990" s="87" t="str">
        <x:v>Sanofi_Applicant_EP_Families_2015_2021.csv(1).csv</x:v>
      </x:c>
      <x:c r="B990" s="87" t="str">
        <x:v>Sanofi</x:v>
      </x:c>
      <x:c r="C990" s="87" t="str">
        <x:v>TRT-0010</x:v>
      </x:c>
      <x:c r="D990" s="87" t="str">
        <x:v>Yes</x:v>
      </x:c>
      <x:c r="E990" s="87" t="str">
        <x:v>sanofi</x:v>
      </x:c>
      <x:c r="F990" s="87" t="str">
        <x:v>396</x:v>
      </x:c>
      <x:c r="G990" s="87" t="str">
        <x:v>177-021-010-563-205</x:v>
      </x:c>
      <x:c r="H990" s="110" t="n">
        <x:v>39251</x:v>
      </x:c>
      <x:c r="I990" s="88" t="n">
        <x:v>2007</x:v>
      </x:c>
      <x:c r="J990" s="87" t="str">
        <x:v>EP</x:v>
      </x:c>
      <x:c r="K990" s="87" t="str">
        <x:v>B1</x:v>
      </x:c>
      <x:c r="L990" s="87" t="str">
        <x:v>EP 2167487 B1</x:v>
      </x:c>
      <x:c r="M990" s="87" t="str">
        <x:v>SANOFI SA</x:v>
      </x:c>
      <x:c r="N990" s="87" t="str">
        <x:v>SANOFI (2012-05-02)</x:v>
      </x:c>
      <x:c r="O990" s="87" t="str">
        <x:v>PYRROLE DERIVATIVES AS P2Y12 ANTAGONISTS</x:v>
      </x:c>
      <x:c r="P990" s="109" t="n">
        <x:v>0</x:v>
      </x:c>
      <x:c r="Q990" s="109" t="n">
        <x:v>19</x:v>
      </x:c>
      <x:c r="R990" s="87" t="str">
        <x:v>C07D401/06;;A61P7/02;;A61P9/00;;A61P9/10;;A61P31/04;;A61P43/00;;C07D403/06;;C07D403/14;;C07D405/14;;C07D405/14;;C07D401/06;;C07D403/06;;C07D403/14;;C07D401/06;;C07D403/06;;C07D403/14;;C07D405/14</x:v>
      </x:c>
      <x:c r="S990" s="87" t="str">
        <x:v>C07D401/06;;C07D403/06;;C07D403/14;;C07D405/14</x:v>
      </x:c>
      <x:c r="T990" s="87" t="str">
        <x:v>ACTIVE</x:v>
      </x:c>
      <x:c r="U990" s="87" t="str">
        <x:v>https://lens.org/177-021-010-563-205</x:v>
      </x:c>
    </x:row>
    <x:row r="991">
      <x:c r="A991" s="87" t="str">
        <x:v>Sanofi_Applicant_EP_Families_2015_2021.csv(1).csv</x:v>
      </x:c>
      <x:c r="B991" s="87" t="str">
        <x:v>Sanofi</x:v>
      </x:c>
      <x:c r="C991" s="87" t="str">
        <x:v>TRT-0010</x:v>
      </x:c>
      <x:c r="D991" s="87" t="str">
        <x:v>Yes</x:v>
      </x:c>
      <x:c r="E991" s="87" t="str">
        <x:v>sanofi</x:v>
      </x:c>
      <x:c r="F991" s="87" t="str">
        <x:v>397</x:v>
      </x:c>
      <x:c r="G991" s="87" t="str">
        <x:v>198-553-637-993-881</x:v>
      </x:c>
      <x:c r="H991" s="110" t="n">
        <x:v>40996</x:v>
      </x:c>
      <x:c r="I991" s="88" t="n">
        <x:v>2012</x:v>
      </x:c>
      <x:c r="J991" s="87" t="str">
        <x:v>EP</x:v>
      </x:c>
      <x:c r="K991" s="87" t="str">
        <x:v>A1</x:v>
      </x:c>
      <x:c r="L991" s="87" t="str">
        <x:v>EP 2830650 A1</x:v>
      </x:c>
      <x:c r="M991" s="87" t="str">
        <x:v>SANOFI SA</x:v>
      </x:c>
      <x:c r="N991" s="87" t="str">
        <x:v>SANOFI-AVENTIS DEUTSCHLAND GMBH (2016-07-13)</x:v>
      </x:c>
      <x:c r="O991" s="87" t="str">
        <x:v>BASAL INSULIN THERAPY</x:v>
      </x:c>
      <x:c r="P991" s="109" t="n">
        <x:v>0</x:v>
      </x:c>
      <x:c r="Q991" s="109" t="n">
        <x:v>14</x:v>
      </x:c>
      <x:c r="R991" s="87" t="str">
        <x:v>A61K38/28;;A61P3/06;;A61P3/10;;A61P9/00;;A61P9/10;;A61P13/12;;A61P25/00;;A61P27/02;;A61K38/28;;A61J1/14</x:v>
      </x:c>
      <x:c r="S991" s="87" t="str">
        <x:v>A61K38/28;;A61P3/10;;A61P9/10</x:v>
      </x:c>
      <x:c r="T991" s="87" t="str">
        <x:v>DISCONTINUED</x:v>
      </x:c>
      <x:c r="U991" s="87" t="str">
        <x:v>https://lens.org/198-553-637-993-881</x:v>
      </x:c>
    </x:row>
    <x:row r="992">
      <x:c r="A992" s="87" t="str">
        <x:v>Sanofi_Applicant_EP_Families_2015_2021.csv(1).csv</x:v>
      </x:c>
      <x:c r="B992" s="87" t="str">
        <x:v>Sanofi</x:v>
      </x:c>
      <x:c r="C992" s="87" t="str">
        <x:v>TRT-0010</x:v>
      </x:c>
      <x:c r="D992" s="87" t="str">
        <x:v>Yes</x:v>
      </x:c>
      <x:c r="E992" s="87" t="str">
        <x:v>sanofi</x:v>
      </x:c>
      <x:c r="F992" s="87" t="str">
        <x:v>398</x:v>
      </x:c>
      <x:c r="G992" s="87" t="str">
        <x:v>135-542-262-425-298</x:v>
      </x:c>
      <x:c r="H992" s="110" t="n">
        <x:v>39549</x:v>
      </x:c>
      <x:c r="I992" s="88" t="n">
        <x:v>2008</x:v>
      </x:c>
      <x:c r="J992" s="87" t="str">
        <x:v>EP</x:v>
      </x:c>
      <x:c r="K992" s="87" t="str">
        <x:v>B1</x:v>
      </x:c>
      <x:c r="L992" s="87" t="str">
        <x:v>EP 2265324 B1</x:v>
      </x:c>
      <x:c r="M992" s="87" t="str">
        <x:v>SANOFI AVENTIS DEUTSCHLAND</x:v>
      </x:c>
      <x:c r="N992" s="87" t="str">
        <x:v>SANOFI-AVENTIS DEUTSCHLAND GMBH (2014-01-08)</x:v>
      </x:c>
      <x:c r="O992" s="87" t="str">
        <x:v>Integrated analyte measurement system</x:v>
      </x:c>
      <x:c r="P992" s="109" t="n">
        <x:v>0</x:v>
      </x:c>
      <x:c r="Q992" s="109" t="n">
        <x:v>6</x:v>
      </x:c>
      <x:c r="R992" s="87" t="str">
        <x:v>A61B5/14532;;A61B5/1486;;A61B5/150022;;A61B5/150152;;A61B5/150167;;A61B5/150175;;A61B5/150259;;A61B5/150419;;A61B5/150503;;A61B5/150572;;A61B5/150702;;A61B5/150946;;A61B5/15113;;A61B5/15123;;A61B5/15151;;A61B5/15161;;A61B5/15176;;A61B5/15182;;A61B5/157;;A61B2562/0295;;A61B5/1411;;A61B5/14532;;A61B5/1486;;A61B5/150022;;A61B5/150152;;A61B5/150167;;A61B5/150175;;A61B5/150259;;A61B5/150419;;A61B5/150503;;A61B5/150572;;A61B5/150702;;A61B5/150946;;A61B5/15113;;A61B5/15123;;A61B5/15146;;A61B5/15151;;A61B5/15161;;A61B5/15176;;A61B5/15182;;A61B5/157;;A61B2562/0295</x:v>
      </x:c>
      <x:c r="S992" s="87" t="str">
        <x:v>A61N1/30;;A61B5/145;;A61B5/1486;;A61B5/15;;A61B5/151;;A61B5/157</x:v>
      </x:c>
      <x:c r="T992" s="87" t="str">
        <x:v>ACTIVE</x:v>
      </x:c>
      <x:c r="U992" s="87" t="str">
        <x:v>https://lens.org/135-542-262-425-298</x:v>
      </x:c>
    </x:row>
    <x:row r="993">
      <x:c r="A993" s="87" t="str">
        <x:v>Sanofi_Applicant_EP_Families_2015_2021.csv(1).csv</x:v>
      </x:c>
      <x:c r="B993" s="87" t="str">
        <x:v>Sanofi</x:v>
      </x:c>
      <x:c r="C993" s="87" t="str">
        <x:v>TRT-0010</x:v>
      </x:c>
      <x:c r="D993" s="87" t="str">
        <x:v>Yes</x:v>
      </x:c>
      <x:c r="E993" s="87" t="str">
        <x:v>sanofi</x:v>
      </x:c>
      <x:c r="F993" s="87" t="str">
        <x:v>399</x:v>
      </x:c>
      <x:c r="G993" s="87" t="str">
        <x:v>073-590-678-944-023</x:v>
      </x:c>
      <x:c r="H993" s="110" t="n">
        <x:v>38763</x:v>
      </x:c>
      <x:c r="I993" s="88" t="n">
        <x:v>2006</x:v>
      </x:c>
      <x:c r="J993" s="87" t="str">
        <x:v>EP</x:v>
      </x:c>
      <x:c r="K993" s="87" t="str">
        <x:v>B1</x:v>
      </x:c>
      <x:c r="L993" s="87" t="str">
        <x:v>EP 1987042 B1</x:v>
      </x:c>
      <x:c r="M993" s="87" t="str">
        <x:v>SANOFI SA</x:v>
      </x:c>
      <x:c r="N993" s="87" t="str">
        <x:v>SANOFI (2012-05-02)</x:v>
      </x:c>
      <x:c r="O993" s="87" t="str">
        <x:v>NOVEL AMINO ALCOHOL-SUBSTITUTED ARYLTHIENOPYRIMIDINONES, PROCESS FOR THEIR PREPARATION AND THEIR USE AS MEDICAMENTS</x:v>
      </x:c>
      <x:c r="P993" s="109" t="n">
        <x:v>0</x:v>
      </x:c>
      <x:c r="Q993" s="109" t="n">
        <x:v>16</x:v>
      </x:c>
      <x:c r="R993" s="87" t="str">
        <x:v>C07D495/04;;A61P3/00;;A61P3/04;;A61P3/06;;A61P3/08;;A61P3/10;;C07D519/00;;C07D519/00;;C07D495/04;;C07D519/00</x:v>
      </x:c>
      <x:c r="S993" s="87" t="str">
        <x:v>C07D519/00</x:v>
      </x:c>
      <x:c r="T993" s="87" t="str">
        <x:v>ACTIVE</x:v>
      </x:c>
      <x:c r="U993" s="87" t="str">
        <x:v>https://lens.org/073-590-678-944-023</x:v>
      </x:c>
    </x:row>
    <x:row r="994">
      <x:c r="A994" s="87" t="str">
        <x:v>Sanofi_Applicant_EP_Families_2015_2021.csv(1).csv</x:v>
      </x:c>
      <x:c r="B994" s="87" t="str">
        <x:v>Sanofi</x:v>
      </x:c>
      <x:c r="C994" s="87" t="str">
        <x:v>TRT-0010</x:v>
      </x:c>
      <x:c r="D994" s="87" t="str">
        <x:v>Yes</x:v>
      </x:c>
      <x:c r="E994" s="87" t="str">
        <x:v>sanofi</x:v>
      </x:c>
      <x:c r="F994" s="87" t="str">
        <x:v>400</x:v>
      </x:c>
      <x:c r="G994" s="87" t="str">
        <x:v>148-171-520-031-585</x:v>
      </x:c>
      <x:c r="H994" s="110" t="n">
        <x:v>39533</x:v>
      </x:c>
      <x:c r="I994" s="88" t="n">
        <x:v>2008</x:v>
      </x:c>
      <x:c r="J994" s="87" t="str">
        <x:v>EP</x:v>
      </x:c>
      <x:c r="K994" s="87" t="str">
        <x:v>A4</x:v>
      </x:c>
      <x:c r="L994" s="87" t="str">
        <x:v>EP 2257219 A4</x:v>
      </x:c>
      <x:c r="M994" s="87" t="str">
        <x:v>SANOFI AVENTIS DEUTSCHLAND</x:v>
      </x:c>
      <x:c r="N994" s="87" t="str">
        <x:v>SANOFI-AVENTIS DEUTSCHLAND GMBH (2014-01-08)</x:v>
      </x:c>
      <x:c r="O994" s="87" t="str">
        <x:v>METHOD AND APPARATUS FOR ANALYTE MEASUREMENT TEST TIME</x:v>
      </x:c>
      <x:c r="P994" s="109" t="n">
        <x:v>0</x:v>
      </x:c>
      <x:c r="Q994" s="109" t="n">
        <x:v>6</x:v>
      </x:c>
      <x:c r="R994" s="87" t="str">
        <x:v>C12Q1/006;;A61B5/1486;;G01N27/3273;;A61B5/14532;;A61B5/1468;;A61B5/1486;;A61B5/151;;A61B5/157;;C12Q1/006;;G01N27/3273;;Y10T436/110833</x:v>
      </x:c>
      <x:c r="S994" s="87" t="str">
        <x:v>A61B5/05;;A61B5/145;;G01N27/32</x:v>
      </x:c>
      <x:c r="T994" s="87" t="str">
        <x:v>DISCONTINUED</x:v>
      </x:c>
      <x:c r="U994" s="87" t="str">
        <x:v>https://lens.org/148-171-520-031-585</x:v>
      </x:c>
    </x:row>
    <x:row r="995">
      <x:c r="A995" s="87" t="str">
        <x:v>Sanofi_Applicant_EP_Families_2015_2021.csv(1).csv</x:v>
      </x:c>
      <x:c r="B995" s="87" t="str">
        <x:v>Sanofi</x:v>
      </x:c>
      <x:c r="C995" s="87" t="str">
        <x:v>TRT-0010</x:v>
      </x:c>
      <x:c r="D995" s="87" t="str">
        <x:v>Yes</x:v>
      </x:c>
      <x:c r="E995" s="87" t="str">
        <x:v>sanofi</x:v>
      </x:c>
      <x:c r="F995" s="87" t="str">
        <x:v>401</x:v>
      </x:c>
      <x:c r="G995" s="87" t="str">
        <x:v>183-397-630-776-538</x:v>
      </x:c>
      <x:c r="H995" s="110" t="n">
        <x:v>36287</x:v>
      </x:c>
      <x:c r="I995" s="88" t="n">
        <x:v>1999</x:v>
      </x:c>
      <x:c r="J995" s="87" t="str">
        <x:v>EP</x:v>
      </x:c>
      <x:c r="K995" s="87" t="str">
        <x:v>B1</x:v>
      </x:c>
      <x:c r="L995" s="87" t="str">
        <x:v>EP 2341141 B1</x:v>
      </x:c>
      <x:c r="M995" s="87" t="str">
        <x:v>SANOFI AVENTIS DEUTSCHLAND</x:v>
      </x:c>
      <x:c r="N995" s="87" t="str">
        <x:v>SANOFI-AVENTIS DEUTSCHLAND GMBH (2015-07-15)</x:v>
      </x:c>
      <x:c r="O995" s="87" t="str">
        <x:v>Antibodies against recombinant platelet collagen receptor glycoprotein VI</x:v>
      </x:c>
      <x:c r="P995" s="109" t="n">
        <x:v>0</x:v>
      </x:c>
      <x:c r="Q995" s="109" t="n">
        <x:v>57</x:v>
      </x:c>
      <x:c r="R995" s="87" t="str">
        <x:v>A61P7/02;;A61K38/00;;A61P9/08;;A61P9/10;;C07K14/70503;;C07K14/755;;C07K16/2803;;C07K2317/54;;C07K2317/55;;G01N33/86;;G01N2015/018;;G01N2333/4728;;G01N2333/78;;G01N2500/02;;G01N2800/222;;C12N15/11;;C07K14/745;;A61K38/00;;C07K14/70503;;C07K14/755;;C07K16/28;;C07K16/2803;;C07K2317/20;;C07K2317/54;;C07K2317/55;;C07K2317/76;;G01N33/86;;G01N2015/018;;G01N2333/4728;;G01N2333/78;;G01N2500/02;;G01N2800/222</x:v>
      </x:c>
      <x:c r="S995" s="87" t="str">
        <x:v>A61K38/00;;G01N33/50;;A61K38/17;;A61P7/02;;A61P9/10;;C07K14/705;;C07K14/755;;C07K16/28;;C12N15/09;;C12N15/12;;G01N15/00;;G01N33/15;;G01N33/53;;G01N33/68;;G01N33/86</x:v>
      </x:c>
      <x:c r="T995" s="87" t="str">
        <x:v>EXPIRED</x:v>
      </x:c>
      <x:c r="U995" s="87" t="str">
        <x:v>https://lens.org/183-397-630-776-538</x:v>
      </x:c>
    </x:row>
    <x:row r="996">
      <x:c r="A996" s="87" t="str">
        <x:v>Sanofi_Applicant_EP_Families_2015_2021.csv(1).csv</x:v>
      </x:c>
      <x:c r="B996" s="87" t="str">
        <x:v>Sanofi</x:v>
      </x:c>
      <x:c r="C996" s="87" t="str">
        <x:v>TRT-0010</x:v>
      </x:c>
      <x:c r="D996" s="87" t="str">
        <x:v>Yes</x:v>
      </x:c>
      <x:c r="E996" s="87" t="str">
        <x:v>sanofi</x:v>
      </x:c>
      <x:c r="F996" s="87" t="str">
        <x:v>402</x:v>
      </x:c>
      <x:c r="G996" s="87" t="str">
        <x:v>122-657-787-295-965</x:v>
      </x:c>
      <x:c r="H996" s="110" t="n">
        <x:v>39476</x:v>
      </x:c>
      <x:c r="I996" s="88" t="n">
        <x:v>2008</x:v>
      </x:c>
      <x:c r="J996" s="87" t="str">
        <x:v>EP</x:v>
      </x:c>
      <x:c r="K996" s="87" t="str">
        <x:v>B1</x:v>
      </x:c>
      <x:c r="L996" s="87" t="str">
        <x:v>EP 2238141 B1</x:v>
      </x:c>
      <x:c r="M996" s="87" t="str">
        <x:v>SANOFI SA;;MITSUBISHI TANABE PHARMA CORP</x:v>
      </x:c>
      <x:c r="N996" s="87" t="str">
        <x:v>SANOFI (2014-09-03);;MITSUBISHI TANABE PHARMA CORPORATION (2014-09-03)</x:v>
      </x:c>
      <x:c r="O996" s="87" t="str">
        <x:v>SUBSTITUTED ARYLAMIDE DIAZEPINOPYRIMIDONE DERIVATIVES FOR THE TREATMENT OF NEURODEGENERATIVE DISEASES CAUSED BY ABNORMAL ACTIVITY OF GSK3-BETA</x:v>
      </x:c>
      <x:c r="P996" s="109" t="n">
        <x:v>0</x:v>
      </x:c>
      <x:c r="Q996" s="109" t="n">
        <x:v>20</x:v>
      </x:c>
      <x:c r="R996" s="87" t="str">
        <x:v>C07D487/04;;A61P3/04;;A61P3/10;;A61P9/10;;A61P13/12;;A61P17/14;;A61P19/00;;A61P19/08;;A61P21/02;;A61P25/00;;A61P25/02;;A61P25/16;;A61P25/18;;A61P25/24;;A61P25/28;;A61P27/06;;A61P33/06;;A61P35/00;;A61P35/02;;A61P43/00;;C07D243/08;;C07D403/12;;Y02A50/30;;C07D487/04;;C07D243/08;;C07D403/12</x:v>
      </x:c>
      <x:c r="S996" s="87" t="str">
        <x:v>C07D487/04;;A61K31/519;;A61P25/00</x:v>
      </x:c>
      <x:c r="T996" s="87" t="str">
        <x:v>ACTIVE</x:v>
      </x:c>
      <x:c r="U996" s="87" t="str">
        <x:v>https://lens.org/122-657-787-295-965</x:v>
      </x:c>
    </x:row>
    <x:row r="997">
      <x:c r="A997" s="87" t="str">
        <x:v>Sanofi_Applicant_EP_Families_2015_2021.csv(1).csv</x:v>
      </x:c>
      <x:c r="B997" s="87" t="str">
        <x:v>Sanofi</x:v>
      </x:c>
      <x:c r="C997" s="87" t="str">
        <x:v>TRT-0010</x:v>
      </x:c>
      <x:c r="D997" s="87" t="str">
        <x:v>Yes</x:v>
      </x:c>
      <x:c r="E997" s="87" t="str">
        <x:v>sanofi</x:v>
      </x:c>
      <x:c r="F997" s="87" t="str">
        <x:v>403</x:v>
      </x:c>
      <x:c r="G997" s="87" t="str">
        <x:v>076-950-390-951-596</x:v>
      </x:c>
      <x:c r="H997" s="110" t="n">
        <x:v>39700</x:v>
      </x:c>
      <x:c r="I997" s="88" t="n">
        <x:v>2008</x:v>
      </x:c>
      <x:c r="J997" s="87" t="str">
        <x:v>EP</x:v>
      </x:c>
      <x:c r="K997" s="87" t="str">
        <x:v>B1</x:v>
      </x:c>
      <x:c r="L997" s="87" t="str">
        <x:v>EP 2328898 B1</x:v>
      </x:c>
      <x:c r="M997" s="87" t="str">
        <x:v>SANOFI SA</x:v>
      </x:c>
      <x:c r="N997" s="87" t="str">
        <x:v>SANOFI (2012-05-02)</x:v>
      </x:c>
      <x:c r="O997" s="87" t="str">
        <x:v>2-HETEROARYL-PYRROLO[3,4-C]PYRROLE DERIVATIVES AND THEIR USE AS SCD INHIBITORS</x:v>
      </x:c>
      <x:c r="P997" s="109" t="n">
        <x:v>0</x:v>
      </x:c>
      <x:c r="Q997" s="109" t="n">
        <x:v>9</x:v>
      </x:c>
      <x:c r="R997" s="87" t="str">
        <x:v>C07D487/04;;A61P1/04;;A61P3/00;;A61P3/04;;A61P3/06;;A61P3/10;;A61P9/00;;A61P9/10;;A61P11/06;;A61P17/00;;A61P17/10;;A61P19/02;;A61P19/06;;A61P21/00;;A61P25/00;;A61P25/16;;A61P25/18;;A61P25/28;;A61P29/00;;A61P31/12;;A61P31/20;;A61P35/00;;C07D487/04</x:v>
      </x:c>
      <x:c r="S997" s="87" t="str">
        <x:v>C07D487/04;;A61K31/407</x:v>
      </x:c>
      <x:c r="T997" s="87" t="str">
        <x:v>ACTIVE</x:v>
      </x:c>
      <x:c r="U997" s="87" t="str">
        <x:v>https://lens.org/076-950-390-951-596</x:v>
      </x:c>
    </x:row>
    <x:row r="998">
      <x:c r="A998" s="87" t="str">
        <x:v>Sanofi_Applicant_EP_Families_2015_2021.csv(1).csv</x:v>
      </x:c>
      <x:c r="B998" s="87" t="str">
        <x:v>Sanofi</x:v>
      </x:c>
      <x:c r="C998" s="87" t="str">
        <x:v>TRT-0010</x:v>
      </x:c>
      <x:c r="D998" s="87" t="str">
        <x:v>Yes</x:v>
      </x:c>
      <x:c r="E998" s="87" t="str">
        <x:v>sanofi</x:v>
      </x:c>
      <x:c r="F998" s="87" t="str">
        <x:v>404</x:v>
      </x:c>
      <x:c r="G998" s="87" t="str">
        <x:v>050-042-705-314-878</x:v>
      </x:c>
      <x:c r="H998" s="110" t="n">
        <x:v>39640</x:v>
      </x:c>
      <x:c r="I998" s="88" t="n">
        <x:v>2008</x:v>
      </x:c>
      <x:c r="J998" s="87" t="str">
        <x:v>EP</x:v>
      </x:c>
      <x:c r="K998" s="87" t="str">
        <x:v>B1</x:v>
      </x:c>
      <x:c r="L998" s="87" t="str">
        <x:v>EP 2313376 B1</x:v>
      </x:c>
      <x:c r="M998" s="87" t="str">
        <x:v>SANOFI SA</x:v>
      </x:c>
      <x:c r="N998" s="87" t="str">
        <x:v>SANOFI (2012-05-02)</x:v>
      </x:c>
      <x:c r="O998" s="87" t="str">
        <x:v>SUBSTITUTED 1-BENZYL-CINNOLIN-4(1H)-ONE DERIVATIVES, PREPARATION THEREOF, AND THERAPEUTIC USE THEREOF</x:v>
      </x:c>
      <x:c r="P998" s="109" t="n">
        <x:v>0</x:v>
      </x:c>
      <x:c r="Q998" s="109" t="n">
        <x:v>26</x:v>
      </x:c>
      <x:c r="R998" s="87" t="str">
        <x:v>C07D237/28;;A61P1/00;;A61P1/04;;A61P1/08;;A61P1/12;;A61P1/16;;A61P3/04;;A61P3/10;;A61P7/06;;A61P9/00;;A61P9/08;;A61P9/10;;A61P9/12;;A61P11/00;;A61P11/02;;A61P11/06;;A61P13/10;;A61P13/12;;A61P15/08;;A61P17/00;;A61P17/06;;A61P19/02;;A61P19/06;;A61P19/08;;A61P19/10;;A61P21/00;;A61P25/00;;A61P25/02;;A61P25/06;;A61P25/08;;A61P25/14;;A61P25/16;;A61P25/18;;A61P25/22;;A61P25/24;;A61P25/28;;A61P27/02;;A61P27/06;;A61P27/14;;A61P29/00;;A61P31/00;;A61P31/04;;A61P31/12;;A61P31/18;;A61P33/00;;A61P35/00;;A61P37/00;;A61P37/02;;A61P37/06;;A61P37/08;;A61P43/00;;C07D405/04;;C07D409/04;;C07D237/28;;A61K31/502;;C07D409/06;;C07D237/28;;C07D405/04;;C07D409/04</x:v>
      </x:c>
      <x:c r="S998" s="87" t="str">
        <x:v>C07D237/28;;A61K31/502;;A61P25/00;;A61P35/00;;C07D237/36;;C07D405/04;;C07D409/04</x:v>
      </x:c>
      <x:c r="T998" s="87" t="str">
        <x:v>ACTIVE</x:v>
      </x:c>
      <x:c r="U998" s="87" t="str">
        <x:v>https://lens.org/050-042-705-314-878</x:v>
      </x:c>
    </x:row>
    <x:row r="999">
      <x:c r="A999" s="87" t="str">
        <x:v>Sanofi_Applicant_EP_Families_2015_2021.csv(1).csv</x:v>
      </x:c>
      <x:c r="B999" s="87" t="str">
        <x:v>Sanofi</x:v>
      </x:c>
      <x:c r="C999" s="87" t="str">
        <x:v>TRT-0010</x:v>
      </x:c>
      <x:c r="D999" s="87" t="str">
        <x:v>Yes</x:v>
      </x:c>
      <x:c r="E999" s="87" t="str">
        <x:v>sanofi</x:v>
      </x:c>
      <x:c r="F999" s="87" t="str">
        <x:v>405</x:v>
      </x:c>
      <x:c r="G999" s="87" t="str">
        <x:v>196-947-779-714-461</x:v>
      </x:c>
      <x:c r="H999" s="110" t="n">
        <x:v>38937</x:v>
      </x:c>
      <x:c r="I999" s="88" t="n">
        <x:v>2006</x:v>
      </x:c>
      <x:c r="J999" s="87" t="str">
        <x:v>EP</x:v>
      </x:c>
      <x:c r="K999" s="87" t="str">
        <x:v>B1</x:v>
      </x:c>
      <x:c r="L999" s="87" t="str">
        <x:v>EP 2061767 B1</x:v>
      </x:c>
      <x:c r="M999" s="87" t="str">
        <x:v>SANOFI SA</x:v>
      </x:c>
      <x:c r="N999" s="87" t="str">
        <x:v>SANOFI (2012-05-02)</x:v>
      </x:c>
      <x:c r="O999" s="87" t="str">
        <x:v>Arylaminoaryl-alkyl-substituted imidazolidine-2,4-diones, processes for preparing them, medicaments comprising these compounds, and their use</x:v>
      </x:c>
      <x:c r="P999" s="109" t="n">
        <x:v>0</x:v>
      </x:c>
      <x:c r="Q999" s="109" t="n">
        <x:v>22</x:v>
      </x:c>
      <x:c r="R999" s="87" t="str">
        <x:v>C07D233/72;;A61P3/00;;A61P3/04;;A61P3/06;;A61P3/10;;A61P15/08;;A61P25/18;;A61P25/28;;A61P25/30;;A61P25/32;;A61P25/34;;C07D233/72;;A61K31/4166;;A61K31/4178;;C07D233/72</x:v>
      </x:c>
      <x:c r="S999" s="87" t="str">
        <x:v>C07D233/72;;A61K31/4166;;A61K31/4178</x:v>
      </x:c>
      <x:c r="T999" s="87" t="str">
        <x:v>ACTIVE</x:v>
      </x:c>
      <x:c r="U999" s="87" t="str">
        <x:v>https://lens.org/196-947-779-714-461</x:v>
      </x:c>
    </x:row>
    <x:row r="1000">
      <x:c r="A1000" s="87" t="str">
        <x:v>Sanofi_Applicant_EP_Families_2015_2021.csv(1).csv</x:v>
      </x:c>
      <x:c r="B1000" s="87" t="str">
        <x:v>Sanofi</x:v>
      </x:c>
      <x:c r="C1000" s="87" t="str">
        <x:v>TRT-0010</x:v>
      </x:c>
      <x:c r="D1000" s="87" t="str">
        <x:v>Yes</x:v>
      </x:c>
      <x:c r="E1000" s="87" t="str">
        <x:v>sanofi</x:v>
      </x:c>
      <x:c r="F1000" s="87" t="str">
        <x:v>406</x:v>
      </x:c>
      <x:c r="G1000" s="87" t="str">
        <x:v>165-953-348-993-514</x:v>
      </x:c>
      <x:c r="H1000" s="110" t="n">
        <x:v>39528</x:v>
      </x:c>
      <x:c r="I1000" s="88" t="n">
        <x:v>2008</x:v>
      </x:c>
      <x:c r="J1000" s="87" t="str">
        <x:v>EP</x:v>
      </x:c>
      <x:c r="K1000" s="87" t="str">
        <x:v>B1</x:v>
      </x:c>
      <x:c r="L1000" s="87" t="str">
        <x:v>EP 2262804 B1</x:v>
      </x:c>
      <x:c r="M1000" s="87" t="str">
        <x:v>SANOFI SA</x:v>
      </x:c>
      <x:c r="N1000" s="87" t="str">
        <x:v>SANOFI (2012-05-02)</x:v>
      </x:c>
      <x:c r="O1000" s="87" t="str">
        <x:v>POLYSUBSTITUTED DERIVATIVES OF 6-HETEROARYL-IMIDAZO[L,2- A] PYRIDINES, AND PREPARATION AND THERAPEUTIC USE THEREOF</x:v>
      </x:c>
      <x:c r="P1000" s="109" t="n">
        <x:v>0</x:v>
      </x:c>
      <x:c r="Q1000" s="109" t="n">
        <x:v>35</x:v>
      </x:c>
      <x:c r="R1000" s="87" t="str">
        <x:v>C07D471/04;;A61P19/00;;A61P19/10;;A61P25/00;;A61P25/02;;A61P25/08;;A61P25/16;;A61P25/18;;A61P25/24;;A61P25/28;;A61P25/30;;A61P29/00;;A61P35/00;;C07F5/025;;C07F7/1804;;C07D471/04;;C07F5/025;;C07F7/1804</x:v>
      </x:c>
      <x:c r="S1000" s="87" t="str">
        <x:v>C07D471/04;;A61K31/437;;A61P19/00;;A61P25/00;;A61P35/00;;C07D213/28;;C07D233/56</x:v>
      </x:c>
      <x:c r="T1000" s="87" t="str">
        <x:v>ACTIVE</x:v>
      </x:c>
      <x:c r="U1000" s="87" t="str">
        <x:v>https://lens.org/165-953-348-993-514</x:v>
      </x:c>
    </x:row>
    <x:row r="1001">
      <x:c r="A1001" s="87" t="str">
        <x:v>Sanofi_Applicant_EP_Families_2015_2021.csv(1).csv</x:v>
      </x:c>
      <x:c r="B1001" s="87" t="str">
        <x:v>Sanofi</x:v>
      </x:c>
      <x:c r="C1001" s="87" t="str">
        <x:v>TRT-0010</x:v>
      </x:c>
      <x:c r="D1001" s="87" t="str">
        <x:v>Yes</x:v>
      </x:c>
      <x:c r="E1001" s="87" t="str">
        <x:v>sanofi</x:v>
      </x:c>
      <x:c r="F1001" s="87" t="str">
        <x:v>407</x:v>
      </x:c>
      <x:c r="G1001" s="87" t="str">
        <x:v>166-857-001-481-209</x:v>
      </x:c>
      <x:c r="H1001" s="110" t="n">
        <x:v>39945</x:v>
      </x:c>
      <x:c r="I1001" s="88" t="n">
        <x:v>2009</x:v>
      </x:c>
      <x:c r="J1001" s="87" t="str">
        <x:v>EP</x:v>
      </x:c>
      <x:c r="K1001" s="87" t="str">
        <x:v>B1</x:v>
      </x:c>
      <x:c r="L1001" s="87" t="str">
        <x:v>EP 2430006 B1</x:v>
      </x:c>
      <x:c r="M1001" s="87" t="str">
        <x:v>SANOFI SA</x:v>
      </x:c>
      <x:c r="N1001" s="87" t="str">
        <x:v>SANOFI (2012-05-02)</x:v>
      </x:c>
      <x:c r="O1001" s="87" t="str">
        <x:v>CYCLOPENTA[C]PYRROLE-2-CARBOXYLATE DERIVATIVES, PREPARATION THEREOF, AND THERAPEUTIC USE THEREOF</x:v>
      </x:c>
      <x:c r="P1001" s="109" t="n">
        <x:v>0</x:v>
      </x:c>
      <x:c r="Q1001" s="109" t="n">
        <x:v>27</x:v>
      </x:c>
      <x:c r="R1001" s="87" t="str">
        <x:v>C07D417/14;;A61P1/00;;A61P1/04;;A61P1/08;;A61P3/04;;A61P9/00;;A61P9/10;;A61P11/00;;A61P13/00;;A61P13/10;;A61P13/12;;A61P19/10;;A61P25/00;;A61P25/04;;A61P25/08;;A61P25/20;;A61P25/28;;A61P27/02;;A61P29/00;;A61P31/04;;A61P31/12;;A61P33/00;;A61P35/00;;A61P37/00;;A61P37/08;;A61P43/00;;C07D277/64;;C07D285/06;;C07D403/12;;C07D413/14;;C07D417/12;;C07D417/14;;A61K31/425;;C07D277/64;;C07D417/14;;C07D277/64;;C07D285/06;;C07D403/12;;C07D413/14;;C07D417/12</x:v>
      </x:c>
      <x:c r="S1001" s="87" t="str">
        <x:v>C07D277/64;;A61K31/403;;A61P29/00;;C07D285/06;;C07D403/12;;C07D413/14;;C07D417/12;;C07D417/14</x:v>
      </x:c>
      <x:c r="T1001" s="87" t="str">
        <x:v>ACTIVE</x:v>
      </x:c>
      <x:c r="U1001" s="87" t="str">
        <x:v>https://lens.org/166-857-001-481-209</x:v>
      </x:c>
    </x:row>
    <x:row r="1002">
      <x:c r="A1002" s="87" t="str">
        <x:v>Sanofi_Applicant_EP_Families_2015_2021.csv(1).csv</x:v>
      </x:c>
      <x:c r="B1002" s="87" t="str">
        <x:v>Sanofi</x:v>
      </x:c>
      <x:c r="C1002" s="87" t="str">
        <x:v>TRT-0010</x:v>
      </x:c>
      <x:c r="D1002" s="87" t="str">
        <x:v>Yes</x:v>
      </x:c>
      <x:c r="E1002" s="87" t="str">
        <x:v>sanofi</x:v>
      </x:c>
      <x:c r="F1002" s="87" t="str">
        <x:v>408</x:v>
      </x:c>
      <x:c r="G1002" s="87" t="str">
        <x:v>141-374-526-060-112</x:v>
      </x:c>
      <x:c r="H1002" s="110" t="n">
        <x:v>38637</x:v>
      </x:c>
      <x:c r="I1002" s="88" t="n">
        <x:v>2005</x:v>
      </x:c>
      <x:c r="J1002" s="87" t="str">
        <x:v>EP</x:v>
      </x:c>
      <x:c r="K1002" s="87" t="str">
        <x:v>B1</x:v>
      </x:c>
      <x:c r="L1002" s="87" t="str">
        <x:v>EP 1937648 B1</x:v>
      </x:c>
      <x:c r="M1002" s="87" t="str">
        <x:v>SANOFI SA</x:v>
      </x:c>
      <x:c r="N1002" s="87" t="str">
        <x:v>SANOFI (2012-05-02)</x:v>
      </x:c>
      <x:c r="O1002" s="87" t="str">
        <x:v>DIACYL INDAZOL DERIVATIVES AS LIPASE AND PHOSPHOLIPASE INHIBITORS</x:v>
      </x:c>
      <x:c r="P1002" s="109" t="n">
        <x:v>0</x:v>
      </x:c>
      <x:c r="Q1002" s="109" t="n">
        <x:v>22</x:v>
      </x:c>
      <x:c r="R1002" s="87" t="str">
        <x:v>C07D231/56;;A61P1/00;;A61P1/18;;A61P3/00;;A61P3/06;;A61P3/08;;A61P3/10;;A61P5/50;;A61P7/02;;A61P9/00;;A61P9/04;;A61P9/08;;A61P9/10;;A61P9/12;;A61P11/00;;A61P11/06;;A61P11/16;;A61P17/00;;A61P17/02;;A61P17/04;;A61P17/06;;A61P17/12;;A61P19/02;;A61P19/06;;A61P25/00;;A61P25/16;;A61P25/28;;A61P27/02;;A61P29/00;;A61P35/00;;A61P43/00;;C07D401/14;;C07D471/04;;C07D495/04;;C07D231/56;;A61K31/416;;C07D231/56;;C07D401/14;;C07D471/04;;C07D495/04</x:v>
      </x:c>
      <x:c r="S1002" s="87" t="str">
        <x:v>C07D231/56;;A61K31/416;;A61P3/10</x:v>
      </x:c>
      <x:c r="T1002" s="87" t="str">
        <x:v>ACTIVE</x:v>
      </x:c>
      <x:c r="U1002" s="87" t="str">
        <x:v>https://lens.org/141-374-526-060-112</x:v>
      </x:c>
    </x:row>
    <x:row r="1003">
      <x:c r="A1003" s="87" t="str">
        <x:v>Sanofi_Applicant_EP_Families_2015_2021.csv(1).csv</x:v>
      </x:c>
      <x:c r="B1003" s="87" t="str">
        <x:v>Sanofi</x:v>
      </x:c>
      <x:c r="C1003" s="87" t="str">
        <x:v>TRT-0010</x:v>
      </x:c>
      <x:c r="D1003" s="87" t="str">
        <x:v>Yes</x:v>
      </x:c>
      <x:c r="E1003" s="87" t="str">
        <x:v>sanofi</x:v>
      </x:c>
      <x:c r="F1003" s="87" t="str">
        <x:v>409</x:v>
      </x:c>
      <x:c r="G1003" s="87" t="str">
        <x:v>177-014-002-904-211</x:v>
      </x:c>
      <x:c r="H1003" s="110" t="n">
        <x:v>38247</x:v>
      </x:c>
      <x:c r="I1003" s="88" t="n">
        <x:v>2004</x:v>
      </x:c>
      <x:c r="J1003" s="87" t="str">
        <x:v>EP</x:v>
      </x:c>
      <x:c r="K1003" s="87" t="str">
        <x:v>B1</x:v>
      </x:c>
      <x:c r="L1003" s="87" t="str">
        <x:v>EP 1791524 B1</x:v>
      </x:c>
      <x:c r="M1003" s="87" t="str">
        <x:v>SANOFI SA</x:v>
      </x:c>
      <x:c r="N1003" s="87" t="str">
        <x:v>SANOFI, FR (2017-09-25);;SANOFI (2012-05-02)</x:v>
      </x:c>
      <x:c r="O1003" s="87" t="str">
        <x:v>PHARMACEUTICAL COMPOSITION COMPRISING A SOLID DISPERSION WITH A POLYMER MATRIX CONTAINING A CONTINUOUS POLYDEXTROSE PHASE AND A CONTINUOUS PHASE OF A POLYMER OTHER THAN POLYDEXTROSE</x:v>
      </x:c>
      <x:c r="P1003" s="109" t="n">
        <x:v>0</x:v>
      </x:c>
      <x:c r="Q1003" s="109" t="n">
        <x:v>29</x:v>
      </x:c>
      <x:c r="R1003" s="87" t="str">
        <x:v>A61K9/205;;A61K9/2027;;A61K9/2095;;A61K47/36;;A61K9/20;;A61K9/205;;A61K9/2027;;A61K9/2095</x:v>
      </x:c>
      <x:c r="S1003" s="87" t="str">
        <x:v>A61K9/10;;A61K9/20;;A61K47/36</x:v>
      </x:c>
      <x:c r="T1003" s="87" t="str">
        <x:v>EXPIRED</x:v>
      </x:c>
      <x:c r="U1003" s="87" t="str">
        <x:v>https://lens.org/177-014-002-904-211</x:v>
      </x:c>
    </x:row>
    <x:row r="1004">
      <x:c r="A1004" s="87" t="str">
        <x:v>Sanofi_Applicant_EP_Families_2015_2021.csv(1).csv</x:v>
      </x:c>
      <x:c r="B1004" s="87" t="str">
        <x:v>Sanofi</x:v>
      </x:c>
      <x:c r="C1004" s="87" t="str">
        <x:v>TRT-0010</x:v>
      </x:c>
      <x:c r="D1004" s="87" t="str">
        <x:v>Yes</x:v>
      </x:c>
      <x:c r="E1004" s="87" t="str">
        <x:v>sanofi</x:v>
      </x:c>
      <x:c r="F1004" s="87" t="str">
        <x:v>410</x:v>
      </x:c>
      <x:c r="G1004" s="87" t="str">
        <x:v>018-885-454-145-533</x:v>
      </x:c>
      <x:c r="H1004" s="110" t="n">
        <x:v>39513</x:v>
      </x:c>
      <x:c r="I1004" s="88" t="n">
        <x:v>2008</x:v>
      </x:c>
      <x:c r="J1004" s="87" t="str">
        <x:v>EP</x:v>
      </x:c>
      <x:c r="K1004" s="87" t="str">
        <x:v>B1</x:v>
      </x:c>
      <x:c r="L1004" s="87" t="str">
        <x:v>EP 2268645 B1</x:v>
      </x:c>
      <x:c r="M1004" s="87" t="str">
        <x:v>SANOFI SA</x:v>
      </x:c>
      <x:c r="N1004" s="87" t="str">
        <x:v>SANOFI (2012-05-02)</x:v>
      </x:c>
      <x:c r="O1004" s="87" t="str">
        <x:v>SUBSTITUTED DIHYDRO, TRIHYDRO AND TETRAHYDRO CYCLOALKYLOXAZOLOPYRIMIDINONES, PREPARATION AND USE THEREOF AS ALLOSTERIC MODULATORS OF MGLUR</x:v>
      </x:c>
      <x:c r="P1004" s="109" t="n">
        <x:v>0</x:v>
      </x:c>
      <x:c r="Q1004" s="109" t="n">
        <x:v>5</x:v>
      </x:c>
      <x:c r="R1004" s="87" t="str">
        <x:v>C07D498/04;;A61P25/00;;A61P25/04;;A61P25/06;;A61P25/08;;A61P25/18;;A61P25/22;;A61P43/00</x:v>
      </x:c>
      <x:c r="S1004" s="87" t="str">
        <x:v>C07D498/04;;A61K31/519;;A61P25/00</x:v>
      </x:c>
      <x:c r="T1004" s="87" t="str">
        <x:v>ACTIVE</x:v>
      </x:c>
      <x:c r="U1004" s="87" t="str">
        <x:v>https://lens.org/018-885-454-145-533</x:v>
      </x:c>
    </x:row>
    <x:row r="1005">
      <x:c r="A1005" s="87" t="str">
        <x:v>Sanofi_Applicant_EP_Families_2015_2021.csv(1).csv</x:v>
      </x:c>
      <x:c r="B1005" s="87" t="str">
        <x:v>Sanofi</x:v>
      </x:c>
      <x:c r="C1005" s="87" t="str">
        <x:v>TRT-0010</x:v>
      </x:c>
      <x:c r="D1005" s="87" t="str">
        <x:v>Yes</x:v>
      </x:c>
      <x:c r="E1005" s="87" t="str">
        <x:v>sanofi</x:v>
      </x:c>
      <x:c r="F1005" s="87" t="str">
        <x:v>411</x:v>
      </x:c>
      <x:c r="G1005" s="87" t="str">
        <x:v>194-764-054-632-755</x:v>
      </x:c>
      <x:c r="H1005" s="110" t="n">
        <x:v>39912</x:v>
      </x:c>
      <x:c r="I1005" s="88" t="n">
        <x:v>2009</x:v>
      </x:c>
      <x:c r="J1005" s="87" t="str">
        <x:v>EP</x:v>
      </x:c>
      <x:c r="K1005" s="87" t="str">
        <x:v>B1</x:v>
      </x:c>
      <x:c r="L1005" s="87" t="str">
        <x:v>EP 2416777 B1</x:v>
      </x:c>
      <x:c r="M1005" s="87" t="str">
        <x:v>SANOFI SA</x:v>
      </x:c>
      <x:c r="N1005" s="87" t="str">
        <x:v>SANOFI (2012-05-02)</x:v>
      </x:c>
      <x:c r="O1005" s="87" t="str">
        <x:v>THERAPEUTIC APPLICATIONS IN THE CARDIOVASCULAR FIELD OF QUINAZOLINEDIONE DERIVATIVES</x:v>
      </x:c>
      <x:c r="P1005" s="109" t="n">
        <x:v>0</x:v>
      </x:c>
      <x:c r="Q1005" s="109" t="n">
        <x:v>46</x:v>
      </x:c>
      <x:c r="R1005" s="87" t="str">
        <x:v>A61K31/517;;A61P9/00;;A61P9/06;;A61P9/10;;A61P9/12;;A61P43/00;;A61K31/517;;A61K9/20;;A61K47/36;;A61K31/517</x:v>
      </x:c>
      <x:c r="S1005" s="87" t="str">
        <x:v>A61K31/517;;A61K9/00;;A61P9/00</x:v>
      </x:c>
      <x:c r="T1005" s="87" t="str">
        <x:v>ACTIVE</x:v>
      </x:c>
      <x:c r="U1005" s="87" t="str">
        <x:v>https://lens.org/194-764-054-632-755</x:v>
      </x:c>
    </x:row>
    <x:row r="1006">
      <x:c r="A1006" s="87" t="str">
        <x:v>Sanofi_Applicant_EP_Families_2015_2021.csv(1).csv</x:v>
      </x:c>
      <x:c r="B1006" s="87" t="str">
        <x:v>Sanofi</x:v>
      </x:c>
      <x:c r="C1006" s="87" t="str">
        <x:v>TRT-0010</x:v>
      </x:c>
      <x:c r="D1006" s="87" t="str">
        <x:v>Yes</x:v>
      </x:c>
      <x:c r="E1006" s="87" t="str">
        <x:v>sanofi</x:v>
      </x:c>
      <x:c r="F1006" s="87" t="str">
        <x:v>412</x:v>
      </x:c>
      <x:c r="G1006" s="87" t="str">
        <x:v>025-673-957-268-120</x:v>
      </x:c>
      <x:c r="H1006" s="110" t="n">
        <x:v>39528</x:v>
      </x:c>
      <x:c r="I1006" s="88" t="n">
        <x:v>2008</x:v>
      </x:c>
      <x:c r="J1006" s="87" t="str">
        <x:v>EP</x:v>
      </x:c>
      <x:c r="K1006" s="87" t="str">
        <x:v>B1</x:v>
      </x:c>
      <x:c r="L1006" s="87" t="str">
        <x:v>EP 2262769 B1</x:v>
      </x:c>
      <x:c r="M1006" s="87" t="str">
        <x:v>SANOFI SA</x:v>
      </x:c>
      <x:c r="N1006" s="87" t="str">
        <x:v>SANOFI (2012-05-02)</x:v>
      </x:c>
      <x:c r="O1006" s="87" t="str">
        <x:v>POLYSUBSTITUTED 2-ARYL-6-PHENYL-IMIDAZO[1,2-A]PYRIDINE DERIVATIVES, AND PREPARATION AND THERAPEUTIC USE THEREOF</x:v>
      </x:c>
      <x:c r="P1006" s="109" t="n">
        <x:v>0</x:v>
      </x:c>
      <x:c r="Q1006" s="109" t="n">
        <x:v>32</x:v>
      </x:c>
      <x:c r="R1006" s="87" t="str">
        <x:v>C07D471/04;;A61P1/04;;A61P3/10;;A61P9/00;;A61P9/10;;A61P11/06;;A61P17/00;;A61P19/00;;A61P19/02;;A61P19/10;;A61P25/00;;A61P25/02;;A61P25/08;;A61P25/14;;A61P25/16;;A61P25/18;;A61P25/24;;A61P25/28;;A61P25/30;;A61P29/00;;A61P35/00;;A61P37/00;;A61P37/08;;C07D213/73;;C07F7/1804;;C07D471/04;;C07D213/73;;C07F7/1804</x:v>
      </x:c>
      <x:c r="S1006" s="87" t="str">
        <x:v>C07D213/28;;A61K31/437;;A61P19/00;;A61P25/00;;A61P35/00;;C07D233/56;;C07D471/04</x:v>
      </x:c>
      <x:c r="T1006" s="87" t="str">
        <x:v>ACTIVE</x:v>
      </x:c>
      <x:c r="U1006" s="87" t="str">
        <x:v>https://lens.org/025-673-957-268-120</x:v>
      </x:c>
    </x:row>
    <x:row r="1007">
      <x:c r="A1007" s="87" t="str">
        <x:v>Sanofi_Applicant_EP_Families_2015_2021.csv(1).csv</x:v>
      </x:c>
      <x:c r="B1007" s="87" t="str">
        <x:v>Sanofi</x:v>
      </x:c>
      <x:c r="C1007" s="87" t="str">
        <x:v>TRT-0010</x:v>
      </x:c>
      <x:c r="D1007" s="87" t="str">
        <x:v>Yes</x:v>
      </x:c>
      <x:c r="E1007" s="87" t="str">
        <x:v>sanofi</x:v>
      </x:c>
      <x:c r="F1007" s="87" t="str">
        <x:v>413</x:v>
      </x:c>
      <x:c r="G1007" s="87" t="str">
        <x:v>147-266-015-452-130</x:v>
      </x:c>
      <x:c r="H1007" s="110" t="n">
        <x:v>39475</x:v>
      </x:c>
      <x:c r="I1007" s="88" t="n">
        <x:v>2008</x:v>
      </x:c>
      <x:c r="J1007" s="87" t="str">
        <x:v>EP</x:v>
      </x:c>
      <x:c r="K1007" s="87" t="str">
        <x:v>B1</x:v>
      </x:c>
      <x:c r="L1007" s="87" t="str">
        <x:v>EP 2238126 B1</x:v>
      </x:c>
      <x:c r="M1007" s="87" t="str">
        <x:v>SANOFI SA</x:v>
      </x:c>
      <x:c r="N1007" s="87" t="str">
        <x:v>SANOFI (2012-05-02)</x:v>
      </x:c>
      <x:c r="O1007" s="87" t="str">
        <x:v>DERIVATIVES OF TETRAHYDROQUINOXALINE UREA, PREPARATION THEREOF AND THERAPEUTIC APPLICATION THEREOF</x:v>
      </x:c>
      <x:c r="P1007" s="109" t="n">
        <x:v>0</x:v>
      </x:c>
      <x:c r="Q1007" s="109" t="n">
        <x:v>31</x:v>
      </x:c>
      <x:c r="R1007" s="87" t="str">
        <x:v>C07D239/26;;A61P1/16;;A61P3/00;;A61P3/04;;A61P3/06;;A61P3/08;;A61P3/10;;A61P5/50;;A61P9/00;;A61P9/04;;A61P9/10;;A61P9/12;;A61P17/02;;A61P19/10;;A61P25/28;;A61P27/06;;A61P31/00;;A61P37/00;;C07D241/44;;C07D401/10;;C07D401/12;;C07D239/26;;C07D241/44;;C07D401/10;;C07D401/12</x:v>
      </x:c>
      <x:c r="S1007" s="87" t="str">
        <x:v>C07D401/12;;A61K31/495;;A61K31/506;;A61P3/00;;A61P9/12;;A61P25/28;;A61P27/06;;C07D401/10;;C07D417/04</x:v>
      </x:c>
      <x:c r="T1007" s="87" t="str">
        <x:v>ACTIVE</x:v>
      </x:c>
      <x:c r="U1007" s="87" t="str">
        <x:v>https://lens.org/147-266-015-452-130</x:v>
      </x:c>
    </x:row>
    <x:row r="1008">
      <x:c r="A1008" s="87" t="str">
        <x:v>Sanofi_Applicant_EP_Families_2015_2021.csv(1).csv</x:v>
      </x:c>
      <x:c r="B1008" s="87" t="str">
        <x:v>Sanofi</x:v>
      </x:c>
      <x:c r="C1008" s="87" t="str">
        <x:v>TRT-0010</x:v>
      </x:c>
      <x:c r="D1008" s="87" t="str">
        <x:v>Yes</x:v>
      </x:c>
      <x:c r="E1008" s="87" t="str">
        <x:v>sanofi</x:v>
      </x:c>
      <x:c r="F1008" s="87" t="str">
        <x:v>414</x:v>
      </x:c>
      <x:c r="G1008" s="87" t="str">
        <x:v>089-534-560-921-621</x:v>
      </x:c>
      <x:c r="H1008" s="110" t="n">
        <x:v>39945</x:v>
      </x:c>
      <x:c r="I1008" s="88" t="n">
        <x:v>2009</x:v>
      </x:c>
      <x:c r="J1008" s="87" t="str">
        <x:v>EP</x:v>
      </x:c>
      <x:c r="K1008" s="87" t="str">
        <x:v>B1</x:v>
      </x:c>
      <x:c r="L1008" s="87" t="str">
        <x:v>EP 2430012 B1</x:v>
      </x:c>
      <x:c r="M1008" s="87" t="str">
        <x:v>SANOFI SA</x:v>
      </x:c>
      <x:c r="N1008" s="87" t="str">
        <x:v>SANOFI (2012-05-02)</x:v>
      </x:c>
      <x:c r="O1008" s="87" t="str">
        <x:v>7-AZA-SPIRO[3.5]NONANE-7-CARBOXYLATE DERIVATIVES, PREPARATION THEREOF, AND THERAPEUTIC USE THEREOF</x:v>
      </x:c>
      <x:c r="P1008" s="109" t="n">
        <x:v>0</x:v>
      </x:c>
      <x:c r="Q1008" s="109" t="n">
        <x:v>28</x:v>
      </x:c>
      <x:c r="R1008" s="87" t="str">
        <x:v>C07D263/32;;A61P1/00;;A61P1/04;;A61P1/08;;A61P9/00;;A61P9/10;;A61P13/02;;A61P13/12;;A61P19/08;;A61P19/10;;A61P25/00;;A61P25/02;;A61P25/04;;A61P25/08;;A61P25/20;;A61P25/28;;A61P27/02;;A61P29/00;;A61P31/00;;A61P31/04;;A61P31/12;;A61P33/00;;A61P35/00;;A61P37/00;;A61P37/02;;A61P37/08;;A61P43/00;;C07D209/54;;C07D401/12;;C07D403/12;;C07D413/12;;C07D417/12;;C07D417/12;;A61K31/4523;;C07D401/12;;C07D263/32;;C07D209/54;;C07D401/12;;C07D403/12;;C07D413/12;;C07D417/12</x:v>
      </x:c>
      <x:c r="S1008" s="87" t="str">
        <x:v>C07D401/12;;A61K31/4523;;A61P25/00;;A61P29/00;;C07D413/12;;C07D417/12</x:v>
      </x:c>
      <x:c r="T1008" s="87" t="str">
        <x:v>ACTIVE</x:v>
      </x:c>
      <x:c r="U1008" s="87" t="str">
        <x:v>https://lens.org/089-534-560-921-621</x:v>
      </x:c>
    </x:row>
    <x:row r="1009">
      <x:c r="A1009" s="87" t="str">
        <x:v>Sanofi_Applicant_EP_Families_2015_2021.csv(1).csv</x:v>
      </x:c>
      <x:c r="B1009" s="87" t="str">
        <x:v>Sanofi</x:v>
      </x:c>
      <x:c r="C1009" s="87" t="str">
        <x:v>TRT-0010</x:v>
      </x:c>
      <x:c r="D1009" s="87" t="str">
        <x:v>Yes</x:v>
      </x:c>
      <x:c r="E1009" s="87" t="str">
        <x:v>sanofi</x:v>
      </x:c>
      <x:c r="F1009" s="87" t="str">
        <x:v>415</x:v>
      </x:c>
      <x:c r="G1009" s="87" t="str">
        <x:v>026-810-293-919-318</x:v>
      </x:c>
      <x:c r="H1009" s="110" t="n">
        <x:v>39899</x:v>
      </x:c>
      <x:c r="I1009" s="88" t="n">
        <x:v>2009</x:v>
      </x:c>
      <x:c r="J1009" s="87" t="str">
        <x:v>EP</x:v>
      </x:c>
      <x:c r="K1009" s="87" t="str">
        <x:v>B1</x:v>
      </x:c>
      <x:c r="L1009" s="87" t="str">
        <x:v>EP 2411383 B1</x:v>
      </x:c>
      <x:c r="M1009" s="87" t="str">
        <x:v>SANOFI SA</x:v>
      </x:c>
      <x:c r="N1009" s="87" t="str">
        <x:v>SANOFI (2012-05-02)</x:v>
      </x:c>
      <x:c r="O1009" s="87" t="str">
        <x:v>DERIVATIVES OF 3-ALKOXY-4,5-DIARYLTHIOPHENE-2-CARBOXAMIDE, PREPARATION THEREOF, AND THERAPEUTIC USE THEREOF</x:v>
      </x:c>
      <x:c r="P1009" s="109" t="n">
        <x:v>0</x:v>
      </x:c>
      <x:c r="Q1009" s="109" t="n">
        <x:v>9</x:v>
      </x:c>
      <x:c r="R1009" s="87" t="str">
        <x:v>C07D409/06;;A61P1/00;;A61P1/04;;A61P1/08;;A61P1/12;;A61P1/16;;A61P3/00;;A61P3/04;;A61P3/06;;A61P3/10;;A61P19/00;;A61P19/02;;A61P19/08;;A61P19/10;;A61P25/00;;A61P25/04;;A61P25/14;;A61P25/16;;A61P25/28;;A61P25/30;;A61P29/00;;A61P35/00;;A61P37/00;;A61P37/02;;C07D409/12;;C07D409/06;;C07D409/12</x:v>
      </x:c>
      <x:c r="S1009" s="87" t="str">
        <x:v>C07D409/06;;A61K31/4535;;A61P25/00;;C07D409/12</x:v>
      </x:c>
      <x:c r="T1009" s="87" t="str">
        <x:v>ACTIVE</x:v>
      </x:c>
      <x:c r="U1009" s="87" t="str">
        <x:v>https://lens.org/026-810-293-919-318</x:v>
      </x:c>
    </x:row>
    <x:row r="1010">
      <x:c r="A1010" s="87" t="str">
        <x:v>Sanofi_Applicant_EP_Families_2015_2021.csv(1).csv</x:v>
      </x:c>
      <x:c r="B1010" s="87" t="str">
        <x:v>Sanofi</x:v>
      </x:c>
      <x:c r="C1010" s="87" t="str">
        <x:v>TRT-0010</x:v>
      </x:c>
      <x:c r="D1010" s="87" t="str">
        <x:v>Yes</x:v>
      </x:c>
      <x:c r="E1010" s="87" t="str">
        <x:v>sanofi</x:v>
      </x:c>
      <x:c r="F1010" s="87" t="str">
        <x:v>416</x:v>
      </x:c>
      <x:c r="G1010" s="87" t="str">
        <x:v>158-043-271-440-682</x:v>
      </x:c>
      <x:c r="H1010" s="110" t="n">
        <x:v>39528</x:v>
      </x:c>
      <x:c r="I1010" s="88" t="n">
        <x:v>2008</x:v>
      </x:c>
      <x:c r="J1010" s="87" t="str">
        <x:v>EP</x:v>
      </x:c>
      <x:c r="K1010" s="87" t="str">
        <x:v>B1</x:v>
      </x:c>
      <x:c r="L1010" s="87" t="str">
        <x:v>EP 2262805 B1</x:v>
      </x:c>
      <x:c r="M1010" s="87" t="str">
        <x:v>SANOFI SA</x:v>
      </x:c>
      <x:c r="N1010" s="87" t="str">
        <x:v>SANOFI (2012-05-02)</x:v>
      </x:c>
      <x:c r="O1010" s="87" t="str">
        <x:v>POLYSUBSTITUTED DERIVATIVES OF 2-HETEROARYL-6-PHENYL-IMIDAZO[L,2-A] PYRIDINES, AND PREPARATION AND THERAPEUTIC USE THEREOF</x:v>
      </x:c>
      <x:c r="P1010" s="109" t="n">
        <x:v>0</x:v>
      </x:c>
      <x:c r="Q1010" s="109" t="n">
        <x:v>35</x:v>
      </x:c>
      <x:c r="R1010" s="87" t="str">
        <x:v>C07D471/04;;A61P1/04;;A61P3/10;;A61P9/00;;A61P9/10;;A61P11/06;;A61P17/00;;A61P19/00;;A61P19/02;;A61P19/10;;A61P25/00;;A61P25/02;;A61P25/08;;A61P25/14;;A61P25/16;;A61P25/18;;A61P25/24;;A61P25/28;;A61P25/30;;A61P29/00;;A61P35/00;;A61P37/00;;A61P37/08;;C07D213/73;;C07F7/1804;;C07D471/04;;C07D213/73;;C07F7/1804</x:v>
      </x:c>
      <x:c r="S1010" s="87" t="str">
        <x:v>C07D471/04;;A61K31/437;;A61P19/00;;A61P25/00;;A61P35/00;;C07D213/28;;C07D233/56</x:v>
      </x:c>
      <x:c r="T1010" s="87" t="str">
        <x:v>ACTIVE</x:v>
      </x:c>
      <x:c r="U1010" s="87" t="str">
        <x:v>https://lens.org/158-043-271-440-682</x:v>
      </x:c>
    </x:row>
    <x:row r="1011">
      <x:c r="A1011" s="87" t="str">
        <x:v>Sanofi_Applicant_EP_Families_2015_2021.csv(1).csv</x:v>
      </x:c>
      <x:c r="B1011" s="87" t="str">
        <x:v>Sanofi</x:v>
      </x:c>
      <x:c r="C1011" s="87" t="str">
        <x:v>TRT-0010</x:v>
      </x:c>
      <x:c r="D1011" s="87" t="str">
        <x:v>Yes</x:v>
      </x:c>
      <x:c r="E1011" s="87" t="str">
        <x:v>sanofi</x:v>
      </x:c>
      <x:c r="F1011" s="87" t="str">
        <x:v>417</x:v>
      </x:c>
      <x:c r="G1011" s="87" t="str">
        <x:v>151-826-703-263-031</x:v>
      </x:c>
      <x:c r="H1011" s="110" t="n">
        <x:v>39309</x:v>
      </x:c>
      <x:c r="I1011" s="88" t="n">
        <x:v>2007</x:v>
      </x:c>
      <x:c r="J1011" s="87" t="str">
        <x:v>EP</x:v>
      </x:c>
      <x:c r="K1011" s="87" t="str">
        <x:v>B1</x:v>
      </x:c>
      <x:c r="L1011" s="87" t="str">
        <x:v>EP 2188273 B1</x:v>
      </x:c>
      <x:c r="M1011" s="87" t="str">
        <x:v>SANOFI SA</x:v>
      </x:c>
      <x:c r="N1011" s="87" t="str">
        <x:v>SANOFI (2012-05-02)</x:v>
      </x:c>
      <x:c r="O1011" s="87" t="str">
        <x:v>SUBSTITUTED TETRA HYDRO NAPHTHALINES, METHOD FOR THEIR MANUFACTURE AND THEIR USE AS DRUGS</x:v>
      </x:c>
      <x:c r="P1011" s="109" t="n">
        <x:v>0</x:v>
      </x:c>
      <x:c r="Q1011" s="109" t="n">
        <x:v>31</x:v>
      </x:c>
      <x:c r="R1011" s="87" t="str">
        <x:v>C07D307/12;;A61P3/00;;A61P3/04;;A61P3/06;;A61P3/08;;A61P3/10;;A61P43/00;;C07D405/12;;A61K31/397;;A61K31/4025;;A61K31/4525;;A61K31/4709;;A61K31/496;;A61K31/5377;;A61K31/541;;A61K31/55;;A61K31/553;;A61K45/06;;C07D307/12</x:v>
      </x:c>
      <x:c r="S1011" s="87" t="str">
        <x:v>C07D307/12;;A61P3/00</x:v>
      </x:c>
      <x:c r="T1011" s="87" t="str">
        <x:v>ACTIVE</x:v>
      </x:c>
      <x:c r="U1011" s="87" t="str">
        <x:v>https://lens.org/151-826-703-263-031</x:v>
      </x:c>
    </x:row>
    <x:row r="1012">
      <x:c r="A1012" s="87" t="str">
        <x:v>Sanofi_Applicant_EP_Families_2015_2021.csv(1).csv</x:v>
      </x:c>
      <x:c r="B1012" s="87" t="str">
        <x:v>Sanofi</x:v>
      </x:c>
      <x:c r="C1012" s="87" t="str">
        <x:v>TRT-0010</x:v>
      </x:c>
      <x:c r="D1012" s="87" t="str">
        <x:v>Yes</x:v>
      </x:c>
      <x:c r="E1012" s="87" t="str">
        <x:v>sanofi</x:v>
      </x:c>
      <x:c r="F1012" s="87" t="str">
        <x:v>418</x:v>
      </x:c>
      <x:c r="G1012" s="87" t="str">
        <x:v>058-222-073-254-799</x:v>
      </x:c>
      <x:c r="H1012" s="110" t="n">
        <x:v>39707</x:v>
      </x:c>
      <x:c r="I1012" s="88" t="n">
        <x:v>2008</x:v>
      </x:c>
      <x:c r="J1012" s="87" t="str">
        <x:v>EP</x:v>
      </x:c>
      <x:c r="K1012" s="87" t="str">
        <x:v>B1</x:v>
      </x:c>
      <x:c r="L1012" s="87" t="str">
        <x:v>EP 2331549 B1</x:v>
      </x:c>
      <x:c r="M1012" s="87" t="str">
        <x:v>SANOFI SA</x:v>
      </x:c>
      <x:c r="N1012" s="87" t="str">
        <x:v>SANOFI (2012-05-02)</x:v>
      </x:c>
      <x:c r="O1012" s="87" t="str">
        <x:v>METHOD FOR PREPARING 1,6:2,3-DIANHYDRO-BETA-D-MANNOPYRANOSE</x:v>
      </x:c>
      <x:c r="P1012" s="109" t="n">
        <x:v>0</x:v>
      </x:c>
      <x:c r="Q1012" s="109" t="n">
        <x:v>27</x:v>
      </x:c>
      <x:c r="R1012" s="87" t="str">
        <x:v>C07D493/18;;C07D493/18;;C07H19/01;;C07H3/02;;C07D493/18</x:v>
      </x:c>
      <x:c r="S1012" s="87" t="str">
        <x:v>C07D493/18;;C07H19/01</x:v>
      </x:c>
      <x:c r="T1012" s="87" t="str">
        <x:v>ACTIVE</x:v>
      </x:c>
      <x:c r="U1012" s="87" t="str">
        <x:v>https://lens.org/058-222-073-254-799</x:v>
      </x:c>
    </x:row>
    <x:row r="1013">
      <x:c r="A1013" s="87" t="str">
        <x:v>Sanofi_Applicant_EP_Families_2015_2021.csv(1).csv</x:v>
      </x:c>
      <x:c r="B1013" s="87" t="str">
        <x:v>Sanofi</x:v>
      </x:c>
      <x:c r="C1013" s="87" t="str">
        <x:v>TRT-0010</x:v>
      </x:c>
      <x:c r="D1013" s="87" t="str">
        <x:v>Yes</x:v>
      </x:c>
      <x:c r="E1013" s="87" t="str">
        <x:v>sanofi</x:v>
      </x:c>
      <x:c r="F1013" s="87" t="str">
        <x:v>419</x:v>
      </x:c>
      <x:c r="G1013" s="87" t="str">
        <x:v>186-560-895-718-305</x:v>
      </x:c>
      <x:c r="H1013" s="110" t="n">
        <x:v>39031</x:v>
      </x:c>
      <x:c r="I1013" s="88" t="n">
        <x:v>2006</x:v>
      </x:c>
      <x:c r="J1013" s="87" t="str">
        <x:v>EP</x:v>
      </x:c>
      <x:c r="K1013" s="87" t="str">
        <x:v>B1</x:v>
      </x:c>
      <x:c r="L1013" s="87" t="str">
        <x:v>EP 2091920 B1</x:v>
      </x:c>
      <x:c r="M1013" s="87" t="str">
        <x:v>SANOFI SA</x:v>
      </x:c>
      <x:c r="N1013" s="87" t="str">
        <x:v>SANOFI (2012-05-02)</x:v>
      </x:c>
      <x:c r="O1013" s="87" t="str">
        <x:v>SUBSTITUTED PYRAZOLES, COMPOSITIONS CONTAINING THESE, METHOD OF PRODUCTION AND USE</x:v>
      </x:c>
      <x:c r="P1013" s="109" t="n">
        <x:v>0</x:v>
      </x:c>
      <x:c r="Q1013" s="109" t="n">
        <x:v>53</x:v>
      </x:c>
      <x:c r="R1013" s="87" t="str">
        <x:v>C07C273/18;;A61P35/00;;A61P43/00;;C07D231/38;;C07D231/38;;A61K31/415;;C07C273/18;;C07C273/18;;C07D231/38</x:v>
      </x:c>
      <x:c r="S1013" s="87" t="str">
        <x:v>C07D231/38;;A61K31/415;;A61P35/00</x:v>
      </x:c>
      <x:c r="T1013" s="87" t="str">
        <x:v>ACTIVE</x:v>
      </x:c>
      <x:c r="U1013" s="87" t="str">
        <x:v>https://lens.org/186-560-895-718-305</x:v>
      </x:c>
    </x:row>
    <x:row r="1014">
      <x:c r="A1014" s="87" t="str">
        <x:v>Sanofi_Applicant_EP_Families_2015_2021.csv(1).csv</x:v>
      </x:c>
      <x:c r="B1014" s="87" t="str">
        <x:v>Sanofi</x:v>
      </x:c>
      <x:c r="C1014" s="87" t="str">
        <x:v>TRT-0010</x:v>
      </x:c>
      <x:c r="D1014" s="87" t="str">
        <x:v>Yes</x:v>
      </x:c>
      <x:c r="E1014" s="87" t="str">
        <x:v>sanofi</x:v>
      </x:c>
      <x:c r="F1014" s="87" t="str">
        <x:v>420</x:v>
      </x:c>
      <x:c r="G1014" s="87" t="str">
        <x:v>156-530-182-703-562</x:v>
      </x:c>
      <x:c r="H1014" s="110" t="n">
        <x:v>39766</x:v>
      </x:c>
      <x:c r="I1014" s="88" t="n">
        <x:v>2008</x:v>
      </x:c>
      <x:c r="J1014" s="87" t="str">
        <x:v>EP</x:v>
      </x:c>
      <x:c r="K1014" s="87" t="str">
        <x:v>B1</x:v>
      </x:c>
      <x:c r="L1014" s="87" t="str">
        <x:v>EP 2356108 B1</x:v>
      </x:c>
      <x:c r="M1014" s="87" t="str">
        <x:v>SANOFI SA</x:v>
      </x:c>
      <x:c r="N1014" s="87" t="str">
        <x:v>SANOFI (2012-05-02)</x:v>
      </x:c>
      <x:c r="O1014" s="87" t="str">
        <x:v>CARBAMATE DERIVATIVES OF ALKYL-HETEROCYCLES, PREPARATION THEREOF AND THERAPEUTIC USE THEREOF</x:v>
      </x:c>
      <x:c r="P1014" s="109" t="n">
        <x:v>0</x:v>
      </x:c>
      <x:c r="Q1014" s="109" t="n">
        <x:v>37</x:v>
      </x:c>
      <x:c r="R1014" s="87" t="str">
        <x:v>C07D417/14;;A61P1/00;;A61P1/08;;A61P3/00;;A61P9/00;;A61P9/10;;A61P11/00;;A61P13/00;;A61P13/02;;A61P13/12;;A61P19/10;;A61P25/00;;A61P25/04;;A61P25/08;;A61P25/20;;A61P27/02;;A61P27/16;;A61P29/00;;A61P31/00;;A61P31/04;;A61P31/12;;A61P33/00;;A61P35/00;;A61P37/00;;A61P37/08;;C07D401/14;;C07D403/14;;C07D407/14;;C07D413/12;;C07D413/14;;C07D413/14;;A61K31/4709;;C07D401/14;;C07D417/14;;C07D417/14;;C07D401/14;;C07D403/14;;C07D407/14;;C07D413/12;;C07D413/14</x:v>
      </x:c>
      <x:c r="S1014" s="87" t="str">
        <x:v>C07D401/14;;A61K31/445;;A61K31/4709;;A61K31/497;;A61K31/498;;A61K31/501;;A61K31/502;;A61K31/506;;A61P25/00;;A61P29/00;;C07D403/14;;C07D407/14;;C07D413/12;;C07D413/14;;C07D417/14</x:v>
      </x:c>
      <x:c r="T1014" s="87" t="str">
        <x:v>ACTIVE</x:v>
      </x:c>
      <x:c r="U1014" s="87" t="str">
        <x:v>https://lens.org/156-530-182-703-562</x:v>
      </x:c>
    </x:row>
    <x:row r="1015">
      <x:c r="A1015" s="87" t="str">
        <x:v>Sanofi_Applicant_EP_Families_2015_2021.csv(1).csv</x:v>
      </x:c>
      <x:c r="B1015" s="87" t="str">
        <x:v>Sanofi</x:v>
      </x:c>
      <x:c r="C1015" s="87" t="str">
        <x:v>TRT-0010</x:v>
      </x:c>
      <x:c r="D1015" s="87" t="str">
        <x:v>Yes</x:v>
      </x:c>
      <x:c r="E1015" s="87" t="str">
        <x:v>sanofi</x:v>
      </x:c>
      <x:c r="F1015" s="87" t="str">
        <x:v>421</x:v>
      </x:c>
      <x:c r="G1015" s="87" t="str">
        <x:v>029-266-805-654-097</x:v>
      </x:c>
      <x:c r="H1015" s="110" t="n">
        <x:v>39071</x:v>
      </x:c>
      <x:c r="I1015" s="88" t="n">
        <x:v>2006</x:v>
      </x:c>
      <x:c r="J1015" s="87" t="str">
        <x:v>EP</x:v>
      </x:c>
      <x:c r="K1015" s="87" t="str">
        <x:v>B1</x:v>
      </x:c>
      <x:c r="L1015" s="87" t="str">
        <x:v>EP 2121612 B1</x:v>
      </x:c>
      <x:c r="M1015" s="87" t="str">
        <x:v>SANOFI SA</x:v>
      </x:c>
      <x:c r="N1015" s="87" t="str">
        <x:v>SANOFI (2012-05-02)</x:v>
      </x:c>
      <x:c r="O1015" s="87" t="str">
        <x:v>HETEROARYLCYCLOPROPANECARBOXAMIDES AND THEIR USE AS PHARMACEUTICALS</x:v>
      </x:c>
      <x:c r="P1015" s="109" t="n">
        <x:v>0</x:v>
      </x:c>
      <x:c r="Q1015" s="109" t="n">
        <x:v>8</x:v>
      </x:c>
      <x:c r="R1015" s="87" t="str">
        <x:v>C07D213/56;;A61P1/16;;A61P3/00;;A61P3/10;;A61P9/00;;A61P9/04;;A61P9/06;;A61P9/08;;A61P9/10;;A61P9/12;;A61P11/06;;A61P13/12;;A61P15/10;;A61P19/00;;A61P19/10;;A61P25/00;;A61P27/02;;A61P43/00;;C07D271/113;;C07D333/24;;C07D401/12;;C07D413/12;;C07D417/12;;C07D487/08;;C07D213/56;;C07D271/113;;C07D333/24;;C07D401/12;;C07D413/12;;C07D417/12;;C07D487/08</x:v>
      </x:c>
      <x:c r="S1015" s="87" t="str">
        <x:v>C07D213/56;;A61K31/444;;A61P9/08;;C07D271/10;;C07D333/24;;C07D401/12;;C07D413/12;;C07D417/12;;C07D487/08</x:v>
      </x:c>
      <x:c r="T1015" s="87" t="str">
        <x:v>ACTIVE</x:v>
      </x:c>
      <x:c r="U1015" s="87" t="str">
        <x:v>https://lens.org/029-266-805-654-097</x:v>
      </x:c>
    </x:row>
    <x:row r="1016">
      <x:c r="A1016" s="87" t="str">
        <x:v>Sanofi_Applicant_EP_Families_2015_2021.csv(1).csv</x:v>
      </x:c>
      <x:c r="B1016" s="87" t="str">
        <x:v>Sanofi</x:v>
      </x:c>
      <x:c r="C1016" s="87" t="str">
        <x:v>TRT-0010</x:v>
      </x:c>
      <x:c r="D1016" s="87" t="str">
        <x:v>Yes</x:v>
      </x:c>
      <x:c r="E1016" s="87" t="str">
        <x:v>sanofi</x:v>
      </x:c>
      <x:c r="F1016" s="87" t="str">
        <x:v>422</x:v>
      </x:c>
      <x:c r="G1016" s="87" t="str">
        <x:v>068-481-169-967-792</x:v>
      </x:c>
      <x:c r="H1016" s="110" t="n">
        <x:v>38183</x:v>
      </x:c>
      <x:c r="I1016" s="88" t="n">
        <x:v>2004</x:v>
      </x:c>
      <x:c r="J1016" s="87" t="str">
        <x:v>EP</x:v>
      </x:c>
      <x:c r="K1016" s="87" t="str">
        <x:v>B1</x:v>
      </x:c>
      <x:c r="L1016" s="87" t="str">
        <x:v>EP 1773835 B1</x:v>
      </x:c>
      <x:c r="M1016" s="87" t="str">
        <x:v>SANOFI SA</x:v>
      </x:c>
      <x:c r="N1016" s="87" t="str">
        <x:v>SANOFI (2012-05-02)</x:v>
      </x:c>
      <x:c r="O1016" s="87" t="str">
        <x:v>PYRIDO-PYRIDO-PYRIMIDINE DERIVATIVES, PREPARATION THEREOF, THERAPEUTIC USE THEREOF FOR TREATING CANCER</x:v>
      </x:c>
      <x:c r="P1016" s="109" t="n">
        <x:v>0</x:v>
      </x:c>
      <x:c r="Q1016" s="109" t="n">
        <x:v>40</x:v>
      </x:c>
      <x:c r="R1016" s="87" t="str">
        <x:v>C07D471/04;;A61P35/00;;A61P35/02;;C07D471/04;;A61K31/519;;C07D471/04</x:v>
      </x:c>
      <x:c r="S1016" s="87" t="str">
        <x:v>C07D471/04;;A61K31/519;;C07D417/04</x:v>
      </x:c>
      <x:c r="T1016" s="87" t="str">
        <x:v>EXPIRED</x:v>
      </x:c>
      <x:c r="U1016" s="87" t="str">
        <x:v>https://lens.org/068-481-169-967-792</x:v>
      </x:c>
    </x:row>
    <x:row r="1017">
      <x:c r="A1017" s="87" t="str">
        <x:v>Sanofi_Applicant_EP_Families_2015_2021.csv(1).csv</x:v>
      </x:c>
      <x:c r="B1017" s="87" t="str">
        <x:v>Sanofi</x:v>
      </x:c>
      <x:c r="C1017" s="87" t="str">
        <x:v>TRT-0010</x:v>
      </x:c>
      <x:c r="D1017" s="87" t="str">
        <x:v>Yes</x:v>
      </x:c>
      <x:c r="E1017" s="87" t="str">
        <x:v>sanofi</x:v>
      </x:c>
      <x:c r="F1017" s="87" t="str">
        <x:v>423</x:v>
      </x:c>
      <x:c r="G1017" s="87" t="str">
        <x:v>032-368-801-685-430</x:v>
      </x:c>
      <x:c r="H1017" s="110" t="n">
        <x:v>39608</x:v>
      </x:c>
      <x:c r="I1017" s="88" t="n">
        <x:v>2008</x:v>
      </x:c>
      <x:c r="J1017" s="87" t="str">
        <x:v>EP</x:v>
      </x:c>
      <x:c r="K1017" s="87" t="str">
        <x:v>B1</x:v>
      </x:c>
      <x:c r="L1017" s="87" t="str">
        <x:v>EP 2288607 B1</x:v>
      </x:c>
      <x:c r="M1017" s="87" t="str">
        <x:v>SANOFI SA</x:v>
      </x:c>
      <x:c r="N1017" s="87" t="str">
        <x:v>SANOFI (2012-05-02)</x:v>
      </x:c>
      <x:c r="O1017" s="87" t="str">
        <x:v>SULFONAMIDES WITH HETEROCYCLE AND OXADIAZOLONE HEADGROUP, PROCESSES FOR THEIR PREPARATION AND THEIR USE AS PHARMACEUTICALS</x:v>
      </x:c>
      <x:c r="P1017" s="109" t="n">
        <x:v>0</x:v>
      </x:c>
      <x:c r="Q1017" s="109" t="n">
        <x:v>9</x:v>
      </x:c>
      <x:c r="R1017" s="87" t="str">
        <x:v>C07D413/14;;A61P3/00;;A61P3/06;;A61P3/08;;A61P3/10;;A61P25/00;;A61P25/28;;C07D413/14</x:v>
      </x:c>
      <x:c r="S1017" s="87" t="str">
        <x:v>C07D413/14;;A61K31/404;;A61K31/4439;;A61P3/00;;A61P25/00</x:v>
      </x:c>
      <x:c r="T1017" s="87" t="str">
        <x:v>ACTIVE</x:v>
      </x:c>
      <x:c r="U1017" s="87" t="str">
        <x:v>https://lens.org/032-368-801-685-430</x:v>
      </x:c>
    </x:row>
    <x:row r="1018">
      <x:c r="A1018" s="87" t="str">
        <x:v>Sanofi_Applicant_EP_Families_2015_2021.csv(1).csv</x:v>
      </x:c>
      <x:c r="B1018" s="87" t="str">
        <x:v>Sanofi</x:v>
      </x:c>
      <x:c r="C1018" s="87" t="str">
        <x:v>TRT-0010</x:v>
      </x:c>
      <x:c r="D1018" s="87" t="str">
        <x:v>Yes</x:v>
      </x:c>
      <x:c r="E1018" s="87" t="str">
        <x:v>sanofi</x:v>
      </x:c>
      <x:c r="F1018" s="87" t="str">
        <x:v>424</x:v>
      </x:c>
      <x:c r="G1018" s="87" t="str">
        <x:v>014-397-799-467-804</x:v>
      </x:c>
      <x:c r="H1018" s="110" t="n">
        <x:v>36399</x:v>
      </x:c>
      <x:c r="I1018" s="88" t="n">
        <x:v>1999</x:v>
      </x:c>
      <x:c r="J1018" s="87" t="str">
        <x:v>DE</x:v>
      </x:c>
      <x:c r="K1018" s="87" t="str">
        <x:v>T3</x:v>
      </x:c>
      <x:c r="L1018" s="87" t="str">
        <x:v>DE 60023518 T3</x:v>
      </x:c>
      <x:c r="M1018" s="87" t="str">
        <x:v>SANOFI AVENTIS DEUTSCHLAND</x:v>
      </x:c>
      <x:c r="N1018" s="87" t="str">
        <x:v>SANOFI-AVENTIS DEUTSCHLAND GMBH, 65929 FRANKFURT, (2006-01-05)</x:v>
      </x:c>
      <x:c r="O1018" s="87" t="str">
        <x:v>VERWENDUNG VON RAMIPRIL ZUR PROPHYLAXE VON KONGESTIVEM HERZVERSAGEN</x:v>
      </x:c>
      <x:c r="P1018" s="109" t="n">
        <x:v>0</x:v>
      </x:c>
      <x:c r="Q1018" s="109" t="n">
        <x:v>94</x:v>
      </x:c>
      <x:c r="R1018" s="87" t="str">
        <x:v>A61K31/403;;A61P3/00;;A61P3/10;;A61P7/12;;A61P9/00;;A61P9/02;;A61P9/04;;A61P9/08;;A61P9/10;;A61P9/12;;A61P9/14;;A61P25/28;;A61P43/00;;A61K31/40;;A61K31/519;;A61K31/403;;A61K31/41;;A61K31/4178;;A61K31/4184</x:v>
      </x:c>
      <x:c r="S1018" s="87" t="str">
        <x:v>A61K38/55;;A61K45/00;;A61K31/00;;A61K31/357;;A61K31/401;;A61K31/4025;;A61K31/403;;A61K31/404;;A61K31/41;;A61K31/4166;;A61K31/4178;;A61K31/4184;;A61K31/435;;A61K31/497;;A61K31/519;;A61K31/55;;A61K31/551;;A61K31/554;;A61P3/10;;A61P9/02;;A61P9/04;;A61P9/10;;A61P43/00;;C07D209/52</x:v>
      </x:c>
      <x:c r="T1018" s="87" t="str">
        <x:v>EXPIRED</x:v>
      </x:c>
      <x:c r="U1018" s="87" t="str">
        <x:v>https://lens.org/014-397-799-467-804</x:v>
      </x:c>
    </x:row>
    <x:row r="1019">
      <x:c r="A1019" s="87" t="str">
        <x:v>Sanofi_Applicant_EP_Families_2015_2021.csv(1).csv</x:v>
      </x:c>
      <x:c r="B1019" s="87" t="str">
        <x:v>Sanofi</x:v>
      </x:c>
      <x:c r="C1019" s="87" t="str">
        <x:v>TRT-0010</x:v>
      </x:c>
      <x:c r="D1019" s="87" t="str">
        <x:v>Yes</x:v>
      </x:c>
      <x:c r="E1019" s="87" t="str">
        <x:v>sanofi</x:v>
      </x:c>
      <x:c r="F1019" s="87" t="str">
        <x:v>425</x:v>
      </x:c>
      <x:c r="G1019" s="87" t="str">
        <x:v>043-305-869-863-564</x:v>
      </x:c>
      <x:c r="H1019" s="110" t="n">
        <x:v>38430</x:v>
      </x:c>
      <x:c r="I1019" s="88" t="n">
        <x:v>2005</x:v>
      </x:c>
      <x:c r="J1019" s="87" t="str">
        <x:v>EP</x:v>
      </x:c>
      <x:c r="K1019" s="87" t="str">
        <x:v>B1</x:v>
      </x:c>
      <x:c r="L1019" s="87" t="str">
        <x:v>EP 1863789 B1</x:v>
      </x:c>
      <x:c r="M1019" s="87" t="str">
        <x:v>SANOFI SA</x:v>
      </x:c>
      <x:c r="N1019" s="87" t="str">
        <x:v>SANOFI (2012-05-02)</x:v>
      </x:c>
      <x:c r="O1019" s="87" t="str">
        <x:v>AMINOCARBONYL-SUBSTITUTED 8-N-BENZIMIDAZOLES, METHOD FOR THEIR PRODUCTION AND THEIR USE AS MEDICAMENTS</x:v>
      </x:c>
      <x:c r="P1019" s="109" t="n">
        <x:v>0</x:v>
      </x:c>
      <x:c r="Q1019" s="109" t="n">
        <x:v>14</x:v>
      </x:c>
      <x:c r="R1019" s="87" t="str">
        <x:v>C07D401/04;;A61P3/04;;A61P3/06;;A61P3/10;;A61P5/24;;A61P9/10;;A61P11/00;;A61P15/10;;A61P17/00;;A61P17/02;;A61P17/06;;A61P19/02;;A61P19/10;;A61P25/00;;A61P25/18;;A61P25/20;;A61P25/22;;A61P25/24;;A61P25/28;;A61P29/00;;A61P31/10;;A61P35/00;;A61P37/02;;A61P43/00;;C07D401/04</x:v>
      </x:c>
      <x:c r="S1019" s="87" t="str">
        <x:v>C07D401/04;;A61K31/4184;;A61P3/10</x:v>
      </x:c>
      <x:c r="T1019" s="87" t="str">
        <x:v>EXPIRED</x:v>
      </x:c>
      <x:c r="U1019" s="87" t="str">
        <x:v>https://lens.org/043-305-869-863-564</x:v>
      </x:c>
    </x:row>
    <x:row r="1020">
      <x:c r="A1020" s="87" t="str">
        <x:v>Sanofi_Applicant_EP_Families_2015_2021.csv(1).csv</x:v>
      </x:c>
      <x:c r="B1020" s="87" t="str">
        <x:v>Sanofi</x:v>
      </x:c>
      <x:c r="C1020" s="87" t="str">
        <x:v>TRT-0010</x:v>
      </x:c>
      <x:c r="D1020" s="87" t="str">
        <x:v>Yes</x:v>
      </x:c>
      <x:c r="E1020" s="87" t="str">
        <x:v>sanofi</x:v>
      </x:c>
      <x:c r="F1020" s="87" t="str">
        <x:v>426</x:v>
      </x:c>
      <x:c r="G1020" s="87" t="str">
        <x:v>018-525-334-404-802</x:v>
      </x:c>
      <x:c r="H1020" s="110" t="n">
        <x:v>39028</x:v>
      </x:c>
      <x:c r="I1020" s="88" t="n">
        <x:v>2006</x:v>
      </x:c>
      <x:c r="J1020" s="87" t="str">
        <x:v>EP</x:v>
      </x:c>
      <x:c r="K1020" s="87" t="str">
        <x:v>B1</x:v>
      </x:c>
      <x:c r="L1020" s="87" t="str">
        <x:v>EP 2086581 B1</x:v>
      </x:c>
      <x:c r="M1020" s="87" t="str">
        <x:v>SANOFI PASTEUR BIOLOGICS LLC</x:v>
      </x:c>
      <x:c r="N1020" s="87" t="str">
        <x:v>SANOFI PASTEUR BIOLOGICS, LLC (2012-08-22)</x:v>
      </x:c>
      <x:c r="O1020" s="87" t="str">
        <x:v>STABILIZATION OF VACCINES BY LYOPHILIZATION</x:v>
      </x:c>
      <x:c r="P1020" s="109" t="n">
        <x:v>0</x:v>
      </x:c>
      <x:c r="Q1020" s="109" t="n">
        <x:v>31</x:v>
      </x:c>
      <x:c r="R1020" s="87" t="str">
        <x:v>A61K9/19;;A61K39/12;;A61K47/183;;A61K47/26;;A61K47/42;;A61K2039/5254;;A61K2039/70;;C12N2770/24134;;A61K39/12;;A61K9/19;;A61K2039/5254;;A61P1/16;;A61P31/12;;A61P31/14;;A61P31/16;;A61P31/20;;A61P37/04;;C07K14/005;;C12N2770/24122;;C12N2770/24134;;Y02A50/30;;A61K39/12;;A61K9/19;;A61K2039/5254;;C07K14/005;;C12N2770/24122;;C12N2770/24134;;Y02A50/30</x:v>
      </x:c>
      <x:c r="S1020" s="87" t="str">
        <x:v>A61K9/19;;A61K39/12;;C07K14/005</x:v>
      </x:c>
      <x:c r="T1020" s="87" t="str">
        <x:v>ACTIVE</x:v>
      </x:c>
      <x:c r="U1020" s="87" t="str">
        <x:v>https://lens.org/018-525-334-404-802</x:v>
      </x:c>
    </x:row>
    <x:row r="1021">
      <x:c r="A1021" s="87" t="str">
        <x:v>Sanofi_Applicant_EP_Families_2015_2021.csv(1).csv</x:v>
      </x:c>
      <x:c r="B1021" s="87" t="str">
        <x:v>Sanofi</x:v>
      </x:c>
      <x:c r="C1021" s="87" t="str">
        <x:v>TRT-0010</x:v>
      </x:c>
      <x:c r="D1021" s="87" t="str">
        <x:v>Yes</x:v>
      </x:c>
      <x:c r="E1021" s="87" t="str">
        <x:v>sanofi</x:v>
      </x:c>
      <x:c r="F1021" s="87" t="str">
        <x:v>427</x:v>
      </x:c>
      <x:c r="G1021" s="87" t="str">
        <x:v>043-685-885-842-111</x:v>
      </x:c>
      <x:c r="H1021" s="110" t="n">
        <x:v>38729</x:v>
      </x:c>
      <x:c r="I1021" s="88" t="n">
        <x:v>2006</x:v>
      </x:c>
      <x:c r="J1021" s="87" t="str">
        <x:v>EP</x:v>
      </x:c>
      <x:c r="K1021" s="87" t="str">
        <x:v>B1</x:v>
      </x:c>
      <x:c r="L1021" s="87" t="str">
        <x:v>EP 1978865 B1</x:v>
      </x:c>
      <x:c r="M1021" s="87" t="str">
        <x:v>SANOFI AVENTIS DEUTSCHLAND</x:v>
      </x:c>
      <x:c r="N1021" s="87" t="str">
        <x:v>SANOFI-AVENTIS DEUTSCHLAND GMBH (2014-01-08)</x:v>
      </x:c>
      <x:c r="O1021" s="87" t="str">
        <x:v>TISSUE PENETRATION DEVICE</x:v>
      </x:c>
      <x:c r="P1021" s="109" t="n">
        <x:v>0</x:v>
      </x:c>
      <x:c r="Q1021" s="109" t="n">
        <x:v>8</x:v>
      </x:c>
      <x:c r="R1021" s="87" t="str">
        <x:v>A61B5/15146;;A61B5/150022;;A61B5/150061;;A61B5/150068;;A61B5/150099;;A61B5/150152;;A61B5/150167;;A61B5/150175;;A61B5/150221;;A61B5/150358;;A61B5/150427;;A61B5/150503;;A61B5/150572;;A61B5/15113;;A61B5/15117;;A61B5/15123;;A61B5/15151;;A61B5/15153;;A61B5/15163;;A61B5/15169;;A61B5/15171;;A61B5/15174;;A61B5/15176;;A61B5/15178;;A61B5/15184;;A61B5/15186;;A61B5/157;;A61M2005/005;;A61B5/1411;;A61B5/1427;;A61B5/150022;;A61B5/150061;;A61B5/150068;;A61B5/150099;;A61B5/150152;;A61B5/150167;;A61B5/150175;;A61B5/150221;;A61B5/150358;;A61B5/150427;;A61B5/150503;;A61B5/150572;;A61B5/15113;;A61B5/15117;;A61B5/15123;;A61B5/15146;;A61B5/15151;;A61B5/15153;;A61B5/15163;;A61B5/15169;;A61B5/15171;;A61B5/15174;;A61B5/15176;;A61B5/15178;;A61B5/15184;;A61B5/15186;;A61B5/157;;A61M2005/005</x:v>
      </x:c>
      <x:c r="S1021" s="87" t="str">
        <x:v>A61B5/00</x:v>
      </x:c>
      <x:c r="T1021" s="87" t="str">
        <x:v>ACTIVE</x:v>
      </x:c>
      <x:c r="U1021" s="87" t="str">
        <x:v>https://lens.org/043-685-885-842-111</x:v>
      </x:c>
    </x:row>
    <x:row r="1022">
      <x:c r="A1022" s="87" t="str">
        <x:v>Sanofi_Applicant_EP_Families_2015_2021.csv(1).csv</x:v>
      </x:c>
      <x:c r="B1022" s="87" t="str">
        <x:v>Sanofi</x:v>
      </x:c>
      <x:c r="C1022" s="87" t="str">
        <x:v>TRT-0010</x:v>
      </x:c>
      <x:c r="D1022" s="87" t="str">
        <x:v>Yes</x:v>
      </x:c>
      <x:c r="E1022" s="87" t="str">
        <x:v>sanofi</x:v>
      </x:c>
      <x:c r="F1022" s="87" t="str">
        <x:v>428</x:v>
      </x:c>
      <x:c r="G1022" s="87" t="str">
        <x:v>022-772-741-439-634</x:v>
      </x:c>
      <x:c r="H1022" s="110" t="n">
        <x:v>39927</x:v>
      </x:c>
      <x:c r="I1022" s="88" t="n">
        <x:v>2009</x:v>
      </x:c>
      <x:c r="J1022" s="87" t="str">
        <x:v>EP</x:v>
      </x:c>
      <x:c r="K1022" s="87" t="str">
        <x:v>B1</x:v>
      </x:c>
      <x:c r="L1022" s="87" t="str">
        <x:v>EP 2421864 B1</x:v>
      </x:c>
      <x:c r="M1022" s="87" t="str">
        <x:v>SANOFI SA</x:v>
      </x:c>
      <x:c r="N1022" s="87" t="str">
        <x:v>SANOFI (2012-05-02)</x:v>
      </x:c>
      <x:c r="O1022" s="87" t="str">
        <x:v>1-PYRAZOLO[4,3-C]ISOQUINOLINE DERIVATIVES, PREPARATION THEREOF AND THERAPEUTIC USE THEREOF</x:v>
      </x:c>
      <x:c r="P1022" s="109" t="n">
        <x:v>0</x:v>
      </x:c>
      <x:c r="Q1022" s="109" t="n">
        <x:v>37</x:v>
      </x:c>
      <x:c r="R1022" s="87" t="str">
        <x:v>C07D471/04;;A61P35/00;;C07D471/04;;A61K31/4745;;A61K31/497;;C07D471/04</x:v>
      </x:c>
      <x:c r="S1022" s="87" t="str">
        <x:v>C07D471/04;;A61K31/4745;;A61P35/00</x:v>
      </x:c>
      <x:c r="T1022" s="87" t="str">
        <x:v>ACTIVE</x:v>
      </x:c>
      <x:c r="U1022" s="87" t="str">
        <x:v>https://lens.org/022-772-741-439-634</x:v>
      </x:c>
    </x:row>
    <x:row r="1023">
      <x:c r="A1023" s="87" t="str">
        <x:v>Sanofi_Applicant_EP_Families_2015_2021.csv(1).csv</x:v>
      </x:c>
      <x:c r="B1023" s="87" t="str">
        <x:v>Sanofi</x:v>
      </x:c>
      <x:c r="C1023" s="87" t="str">
        <x:v>TRT-0010</x:v>
      </x:c>
      <x:c r="D1023" s="87" t="str">
        <x:v>Yes</x:v>
      </x:c>
      <x:c r="E1023" s="87" t="str">
        <x:v>sanofi</x:v>
      </x:c>
      <x:c r="F1023" s="87" t="str">
        <x:v>429</x:v>
      </x:c>
      <x:c r="G1023" s="87" t="str">
        <x:v>170-153-900-870-899</x:v>
      </x:c>
      <x:c r="H1023" s="110" t="n">
        <x:v>38896</x:v>
      </x:c>
      <x:c r="I1023" s="88" t="n">
        <x:v>2006</x:v>
      </x:c>
      <x:c r="J1023" s="87" t="str">
        <x:v>EP</x:v>
      </x:c>
      <x:c r="K1023" s="87" t="str">
        <x:v>B1</x:v>
      </x:c>
      <x:c r="L1023" s="87" t="str">
        <x:v>EP 2040690 B1</x:v>
      </x:c>
      <x:c r="M1023" s="87" t="str">
        <x:v>SANOFI SA</x:v>
      </x:c>
      <x:c r="N1023" s="87" t="str">
        <x:v>SANOFI (2012-05-02)</x:v>
      </x:c>
      <x:c r="O1023" s="87" t="str">
        <x:v>INHIBITORS OF CXCR2</x:v>
      </x:c>
      <x:c r="P1023" s="109" t="n">
        <x:v>0</x:v>
      </x:c>
      <x:c r="Q1023" s="109" t="n">
        <x:v>7</x:v>
      </x:c>
      <x:c r="R1023" s="87" t="str">
        <x:v>C07D277/64;;A61P1/02;;A61P1/04;;A61P7/02;;A61P9/00;;A61P9/10;;A61P11/00;;A61P11/06;;A61P11/14;;A61P13/12;;A61P15/06;;A61P17/00;;A61P17/04;;A61P17/06;;A61P19/02;;A61P19/10;;A61P21/00;;A61P25/00;;A61P25/28;;A61P27/02;;A61P29/00;;A61P31/04;;A61P31/12;;A61P31/18;;A61P33/06;;A61P35/00;;A61P35/04;;A61P37/06;;A61P37/08;;A61P43/00;;C07C235/66;;C07C2601/10;;C07D307/24;;C07D309/14;;C07D335/02;;C07D409/12;;C07D417/12;;C07D277/64;;C07C235/66;;C07C2601/10;;C07D307/24;;C07D309/14;;C07D335/02;;C07D409/12;;C07D417/12</x:v>
      </x:c>
      <x:c r="S1023" s="87" t="str">
        <x:v>A61K31/195;;A61K31/351;;A61K31/381;;A61K31/382;;A61K31/428;;A61K31/4436;;C07C235/66;;C07D277/64;;C07D307/24;;C07D309/14;;C07D335/02;;C07D407/12;;C07D409/12;;C07D417/12</x:v>
      </x:c>
      <x:c r="T1023" s="87" t="str">
        <x:v>ACTIVE</x:v>
      </x:c>
      <x:c r="U1023" s="87" t="str">
        <x:v>https://lens.org/170-153-900-870-899</x:v>
      </x:c>
    </x:row>
    <x:row r="1024">
      <x:c r="A1024" s="87" t="str">
        <x:v>Sanofi_Applicant_EP_Families_2015_2021.csv(1).csv</x:v>
      </x:c>
      <x:c r="B1024" s="87" t="str">
        <x:v>Sanofi</x:v>
      </x:c>
      <x:c r="C1024" s="87" t="str">
        <x:v>TRT-0010</x:v>
      </x:c>
      <x:c r="D1024" s="87" t="str">
        <x:v>Yes</x:v>
      </x:c>
      <x:c r="E1024" s="87" t="str">
        <x:v>sanofi</x:v>
      </x:c>
      <x:c r="F1024" s="87" t="str">
        <x:v>430</x:v>
      </x:c>
      <x:c r="G1024" s="87" t="str">
        <x:v>077-252-418-963-90X</x:v>
      </x:c>
      <x:c r="H1024" s="110" t="n">
        <x:v>37217</x:v>
      </x:c>
      <x:c r="I1024" s="88" t="n">
        <x:v>2001</x:v>
      </x:c>
      <x:c r="J1024" s="87" t="str">
        <x:v>EP</x:v>
      </x:c>
      <x:c r="K1024" s="87" t="str">
        <x:v>B1</x:v>
      </x:c>
      <x:c r="L1024" s="87" t="str">
        <x:v>EP 1451185 B1</x:v>
      </x:c>
      <x:c r="M1024" s="87" t="str">
        <x:v>SANOFI AVENTIS DEUTSCHLAND</x:v>
      </x:c>
      <x:c r="N1024" s="87" t="str">
        <x:v>SANOFI-AVENTIS DEUTSCHLAND GMBH (2005-11-02)</x:v>
      </x:c>
      <x:c r="O1024" s="87" t="str">
        <x:v>INDOLE-2-CARBOXAMIDES AS FACTOR XA INHIBITORS</x:v>
      </x:c>
      <x:c r="P1024" s="109" t="n">
        <x:v>0</x:v>
      </x:c>
      <x:c r="Q1024" s="109" t="n">
        <x:v>50</x:v>
      </x:c>
      <x:c r="R1024" s="87" t="str">
        <x:v>C07D413/14;;A61P7/02;;A61P9/00;;A61P9/08;;A61P9/10;;A61P29/00;;A61P43/00;;C04B35/632;;C07D209/22;;C07D401/06;;C07D401/12;;C07D401/14;;C07D403/12;;C07D409/14;;C07D417/14;;C07D413/14;;C07D417/14;;C07D413/14;;C04B35/632;;C07D209/22;;C07D401/06;;C07D401/12;;C07D401/14;;C07D403/12;;C07D409/14;;C07D417/14</x:v>
      </x:c>
      <x:c r="S1024" s="87" t="str">
        <x:v>C07D413/14;;A61K31/404;;A61K31/405;;A61K31/422;;A61K31/4439;;A61K31/454;;A61K31/4545;;A61K31/4725;;A61K31/496;;A61K31/506;;A61K31/517;;A61P7/02;;A61P9/00;;A61P9/08;;A61P9/10;;A61P29/00;;A61P43/00;;C07D209/22;;C07D209/42;;C07D401/06;;C07D401/12;;C07D401/14;;C07D403/12;;C07D409/14;;C07D417/14</x:v>
      </x:c>
      <x:c r="T1024" s="87" t="str">
        <x:v>EXPIRED</x:v>
      </x:c>
      <x:c r="U1024" s="87" t="str">
        <x:v>https://lens.org/077-252-418-963-90X</x:v>
      </x:c>
    </x:row>
    <x:row r="1025">
      <x:c r="A1025" s="87" t="str">
        <x:v>Sanofi_Applicant_EP_Families_2015_2021.csv(1).csv</x:v>
      </x:c>
      <x:c r="B1025" s="87" t="str">
        <x:v>Sanofi</x:v>
      </x:c>
      <x:c r="C1025" s="87" t="str">
        <x:v>TRT-0010</x:v>
      </x:c>
      <x:c r="D1025" s="87" t="str">
        <x:v>Yes</x:v>
      </x:c>
      <x:c r="E1025" s="87" t="str">
        <x:v>sanofi</x:v>
      </x:c>
      <x:c r="F1025" s="87" t="str">
        <x:v>431</x:v>
      </x:c>
      <x:c r="G1025" s="87" t="str">
        <x:v>032-460-596-836-034</x:v>
      </x:c>
      <x:c r="H1025" s="110" t="n">
        <x:v>39787</x:v>
      </x:c>
      <x:c r="I1025" s="88" t="n">
        <x:v>2008</x:v>
      </x:c>
      <x:c r="J1025" s="87" t="str">
        <x:v>EP</x:v>
      </x:c>
      <x:c r="K1025" s="87" t="str">
        <x:v>B1</x:v>
      </x:c>
      <x:c r="L1025" s="87" t="str">
        <x:v>EP 2373659 B1</x:v>
      </x:c>
      <x:c r="M1025" s="87" t="str">
        <x:v>SANOFI SA</x:v>
      </x:c>
      <x:c r="N1025" s="87" t="str">
        <x:v>SANOFI (2012-05-02)</x:v>
      </x:c>
      <x:c r="O1025" s="87" t="str">
        <x:v>SUBSTITUTED TETRAHYDROPYRAN SPIRO PYRROLIDINONE AND PIPERIDINONE, PREPARATION AND THERAPEUTIC USE THEREOF</x:v>
      </x:c>
      <x:c r="P1025" s="109" t="n">
        <x:v>0</x:v>
      </x:c>
      <x:c r="Q1025" s="109" t="n">
        <x:v>39</x:v>
      </x:c>
      <x:c r="R1025" s="87" t="str">
        <x:v>C07D491/107;;A61P3/04;;A61P25/00;;A61P25/02;;A61P25/08;;A61P25/14;;A61P25/16;;A61P25/18;;A61P25/20;;A61P25/22;;A61P25/24;;A61P25/28;;A61P43/00;;C07D491/107;;A61K31/407;;A61K45/06;;C07D417/14;;C07D491/107</x:v>
      </x:c>
      <x:c r="S1025" s="87" t="str">
        <x:v>C07D491/107;;A61K31/407;;A61K31/438;;A61P25/00</x:v>
      </x:c>
      <x:c r="T1025" s="87" t="str">
        <x:v>ACTIVE</x:v>
      </x:c>
      <x:c r="U1025" s="87" t="str">
        <x:v>https://lens.org/032-460-596-836-034</x:v>
      </x:c>
    </x:row>
    <x:row r="1026">
      <x:c r="A1026" s="87" t="str">
        <x:v>Sanofi_Applicant_EP_Families_2015_2021.csv(1).csv</x:v>
      </x:c>
      <x:c r="B1026" s="87" t="str">
        <x:v>Sanofi</x:v>
      </x:c>
      <x:c r="C1026" s="87" t="str">
        <x:v>TRT-0010</x:v>
      </x:c>
      <x:c r="D1026" s="87" t="str">
        <x:v>Yes</x:v>
      </x:c>
      <x:c r="E1026" s="87" t="str">
        <x:v>sanofi</x:v>
      </x:c>
      <x:c r="F1026" s="87" t="str">
        <x:v>432</x:v>
      </x:c>
      <x:c r="G1026" s="87" t="str">
        <x:v>066-117-748-116-745</x:v>
      </x:c>
      <x:c r="H1026" s="110" t="n">
        <x:v>38055</x:v>
      </x:c>
      <x:c r="I1026" s="88" t="n">
        <x:v>2004</x:v>
      </x:c>
      <x:c r="J1026" s="87" t="str">
        <x:v>EP</x:v>
      </x:c>
      <x:c r="K1026" s="87" t="str">
        <x:v>B1</x:v>
      </x:c>
      <x:c r="L1026" s="87" t="str">
        <x:v>EP 2305220 B1</x:v>
      </x:c>
      <x:c r="M1026" s="87" t="str">
        <x:v>INST NAT SANTÉ ET DE LA RECH MÉDICALE INSERM;;SANOFI SA</x:v>
      </x:c>
      <x:c r="N1026" s="87" t="str">
        <x:v>INSTITUT NATIONAL DE LA SANTE ET DE LA RECHERCHE M (2012-05-02);;SANOFI (2012-05-02)</x:v>
      </x:c>
      <x:c r="O1026" s="87" t="str">
        <x:v>Use of antagonists of the CB1 receptor for the manufacture of a composition useful for the treatment of hepatic diseases</x:v>
      </x:c>
      <x:c r="P1026" s="109" t="n">
        <x:v>0</x:v>
      </x:c>
      <x:c r="Q1026" s="109" t="n">
        <x:v>39</x:v>
      </x:c>
      <x:c r="R1026" s="87" t="str">
        <x:v>A61K31/00;;A61K31/415;;A61K31/454;;A61P1/00;;A61P1/06;;A61P1/16;;A61P31/12;;A61P35/00;;A61P43/00;;A61K31/415;;A61K31/454;;A61K38/17;;A61K31/00;;A61K31/415;;A61K31/454</x:v>
      </x:c>
      <x:c r="S1026" s="87" t="str">
        <x:v>A61K31/00;;A61K31/415;;A61K31/454;;A61K38/17;;A61P1/16</x:v>
      </x:c>
      <x:c r="T1026" s="87" t="str">
        <x:v>EXPIRED</x:v>
      </x:c>
      <x:c r="U1026" s="87" t="str">
        <x:v>https://lens.org/066-117-748-116-745</x:v>
      </x:c>
    </x:row>
    <x:row r="1027">
      <x:c r="A1027" s="87" t="str">
        <x:v>Sanofi_Applicant_EP_Families_2015_2021.csv(1).csv</x:v>
      </x:c>
      <x:c r="B1027" s="87" t="str">
        <x:v>Sanofi</x:v>
      </x:c>
      <x:c r="C1027" s="87" t="str">
        <x:v>TRT-0010</x:v>
      </x:c>
      <x:c r="D1027" s="87" t="str">
        <x:v>Yes</x:v>
      </x:c>
      <x:c r="E1027" s="87" t="str">
        <x:v>sanofi</x:v>
      </x:c>
      <x:c r="F1027" s="87" t="str">
        <x:v>433</x:v>
      </x:c>
      <x:c r="G1027" s="87" t="str">
        <x:v>026-005-941-787-172</x:v>
      </x:c>
      <x:c r="H1027" s="110" t="n">
        <x:v>39533</x:v>
      </x:c>
      <x:c r="I1027" s="88" t="n">
        <x:v>2008</x:v>
      </x:c>
      <x:c r="J1027" s="87" t="str">
        <x:v>EP</x:v>
      </x:c>
      <x:c r="K1027" s="87" t="str">
        <x:v>B1</x:v>
      </x:c>
      <x:c r="L1027" s="87" t="str">
        <x:v>EP 2260306 B1</x:v>
      </x:c>
      <x:c r="M1027" s="87" t="str">
        <x:v>SANOFI SA</x:v>
      </x:c>
      <x:c r="N1027" s="87" t="str">
        <x:v>SANOFI (2012-05-02)</x:v>
      </x:c>
      <x:c r="O1027" s="87" t="str">
        <x:v>USE OF CATHEPSIN C</x:v>
      </x:c>
      <x:c r="P1027" s="109" t="n">
        <x:v>0</x:v>
      </x:c>
      <x:c r="Q1027" s="109" t="n">
        <x:v>24</x:v>
      </x:c>
      <x:c r="R1027" s="87" t="str">
        <x:v>C12Q1/37;;A61P19/02;;A61P25/04;;A61P29/00;;C12Q1/6883;;C12Q2600/106;;C12Q2600/136;;C12Q2600/158;;G01N33/6896;;G01N2800/2842;;C12Q1/37;;C12Q1/6883;;C12Q2600/106;;C12Q2600/136;;C12Q2600/158;;G01N33/6896;;G01N2800/2842</x:v>
      </x:c>
      <x:c r="S1027" s="87" t="str">
        <x:v>G01N33/68;;C12Q1/37</x:v>
      </x:c>
      <x:c r="T1027" s="87" t="str">
        <x:v>ACTIVE</x:v>
      </x:c>
      <x:c r="U1027" s="87" t="str">
        <x:v>https://lens.org/026-005-941-787-172</x:v>
      </x:c>
    </x:row>
    <x:row r="1028">
      <x:c r="A1028" s="87" t="str">
        <x:v>Sanofi_Applicant_EP_Families_2015_2021.csv(1).csv</x:v>
      </x:c>
      <x:c r="B1028" s="87" t="str">
        <x:v>Sanofi</x:v>
      </x:c>
      <x:c r="C1028" s="87" t="str">
        <x:v>TRT-0010</x:v>
      </x:c>
      <x:c r="D1028" s="87" t="str">
        <x:v>Yes</x:v>
      </x:c>
      <x:c r="E1028" s="87" t="str">
        <x:v>sanofi</x:v>
      </x:c>
      <x:c r="F1028" s="87" t="str">
        <x:v>434</x:v>
      </x:c>
      <x:c r="G1028" s="87" t="str">
        <x:v>040-782-547-367-683</x:v>
      </x:c>
      <x:c r="H1028" s="110" t="n">
        <x:v>39811</x:v>
      </x:c>
      <x:c r="I1028" s="88" t="n">
        <x:v>2008</x:v>
      </x:c>
      <x:c r="J1028" s="87" t="str">
        <x:v>EP</x:v>
      </x:c>
      <x:c r="K1028" s="87" t="str">
        <x:v>B1</x:v>
      </x:c>
      <x:c r="L1028" s="87" t="str">
        <x:v>EP 2382215 B1</x:v>
      </x:c>
      <x:c r="M1028" s="87" t="str">
        <x:v>SANOFI SA</x:v>
      </x:c>
      <x:c r="N1028" s="87" t="str">
        <x:v>SANOFI (2012-05-02)</x:v>
      </x:c>
      <x:c r="O1028" s="87" t="str">
        <x:v>DERIVATIVES OF 2-PYRIDIN-2-YL-PYRAZOL-3(2H)-ONE, PREPARATION AND THERAPEUTIC USE THEREOF</x:v>
      </x:c>
      <x:c r="P1028" s="109" t="n">
        <x:v>0</x:v>
      </x:c>
      <x:c r="Q1028" s="109" t="n">
        <x:v>46</x:v>
      </x:c>
      <x:c r="R1028" s="87" t="str">
        <x:v>C07D401/14;;A61P3/10;;A61P7/00;;A61P7/06;;A61P9/00;;A61P9/04;;A61P9/10;;A61P9/12;;A61P13/12;;A61P17/02;;A61P27/02;;A61P27/06;;A61P31/12;;C07D401/04;;C07D403/04;;C07D471/04;;C07D491/052;;C07D495/04;;C07D401/14;;C07D401/04;;C07D403/04;;C07D471/04;;C07D491/052;;C07D495/04</x:v>
      </x:c>
      <x:c r="S1028" s="87" t="str">
        <x:v>C07D471/04;;A61K31/4162;;A61P27/06;;C07D213/72;;C07D213/77;;C07D401/12;;C07D403/04;;C07D405/12;;C07D409/12;;C07D491/04;;C07D495/04;;C07D513/04</x:v>
      </x:c>
      <x:c r="T1028" s="87" t="str">
        <x:v>ACTIVE</x:v>
      </x:c>
      <x:c r="U1028" s="87" t="str">
        <x:v>https://lens.org/040-782-547-367-683</x:v>
      </x:c>
    </x:row>
    <x:row r="1029">
      <x:c r="A1029" s="87" t="str">
        <x:v>Sanofi_Applicant_EP_Families_2015_2021.csv(1).csv</x:v>
      </x:c>
      <x:c r="B1029" s="87" t="str">
        <x:v>Sanofi</x:v>
      </x:c>
      <x:c r="C1029" s="87" t="str">
        <x:v>TRT-0010</x:v>
      </x:c>
      <x:c r="D1029" s="87" t="str">
        <x:v>Yes</x:v>
      </x:c>
      <x:c r="E1029" s="87" t="str">
        <x:v>sanofi</x:v>
      </x:c>
      <x:c r="F1029" s="87" t="str">
        <x:v>435</x:v>
      </x:c>
      <x:c r="G1029" s="87" t="str">
        <x:v>030-576-050-276-188</x:v>
      </x:c>
      <x:c r="H1029" s="110" t="n">
        <x:v>38981</x:v>
      </x:c>
      <x:c r="I1029" s="88" t="n">
        <x:v>2006</x:v>
      </x:c>
      <x:c r="J1029" s="87" t="str">
        <x:v>EP</x:v>
      </x:c>
      <x:c r="K1029" s="87" t="str">
        <x:v>B1</x:v>
      </x:c>
      <x:c r="L1029" s="87" t="str">
        <x:v>EP 2069362 B1</x:v>
      </x:c>
      <x:c r="M1029" s="87" t="str">
        <x:v>SANOFI SA</x:v>
      </x:c>
      <x:c r="N1029" s="87" t="str">
        <x:v>SANOFI (2012-05-02)</x:v>
      </x:c>
      <x:c r="O1029" s="87" t="str">
        <x:v>PROCESS FOR PREPARING N-ALKYL NALTREXONE HALIDES</x:v>
      </x:c>
      <x:c r="P1029" s="109" t="n">
        <x:v>0</x:v>
      </x:c>
      <x:c r="Q1029" s="109" t="n">
        <x:v>51</x:v>
      </x:c>
      <x:c r="R1029" s="87" t="str">
        <x:v>C07D489/08;;A61P1/00;;C07D498/08;;C07D489/08</x:v>
      </x:c>
      <x:c r="S1029" s="87" t="str">
        <x:v>C07D498/08</x:v>
      </x:c>
      <x:c r="T1029" s="87" t="str">
        <x:v>ACTIVE</x:v>
      </x:c>
      <x:c r="U1029" s="87" t="str">
        <x:v>https://lens.org/030-576-050-276-188</x:v>
      </x:c>
    </x:row>
    <x:row r="1030">
      <x:c r="A1030" s="87" t="str">
        <x:v>Sanofi_Applicant_EP_Families_2015_2021.csv(1).csv</x:v>
      </x:c>
      <x:c r="B1030" s="87" t="str">
        <x:v>Sanofi</x:v>
      </x:c>
      <x:c r="C1030" s="87" t="str">
        <x:v>TRT-0010</x:v>
      </x:c>
      <x:c r="D1030" s="87" t="str">
        <x:v>Yes</x:v>
      </x:c>
      <x:c r="E1030" s="87" t="str">
        <x:v>sanofi</x:v>
      </x:c>
      <x:c r="F1030" s="87" t="str">
        <x:v>436</x:v>
      </x:c>
      <x:c r="G1030" s="87" t="str">
        <x:v>022-258-298-839-294</x:v>
      </x:c>
      <x:c r="H1030" s="110" t="n">
        <x:v>41277</x:v>
      </x:c>
      <x:c r="I1030" s="88" t="n">
        <x:v>2013</x:v>
      </x:c>
      <x:c r="J1030" s="87" t="str">
        <x:v>EP</x:v>
      </x:c>
      <x:c r="K1030" s="87" t="str">
        <x:v>A1</x:v>
      </x:c>
      <x:c r="L1030" s="87" t="str">
        <x:v>EP 2752487 A1</x:v>
      </x:c>
      <x:c r="M1030" s="87" t="str">
        <x:v>SANOFI SA;;INST NAT SANTE RECH MED;;UNIVERSITÉ DE MONTPELLIER I;;UNIVERSITÉ MONTPELLIER 2 SCIENCES ET TECH;;CT VAL D AURELLE PAUL LAMARQUE</x:v>
      </x:c>
      <x:c r="N1030" s="87" t="str">
        <x:v>UNIVERSITE DE MONTPELLIER (2015-10-14);;INSTITUT NATIONAL DE LA SANTE ET DE LA RECHERCHE M (2015-10-14);;UNIVERSITE MONTPELLIER 1 (2014-07-16);;UNIVERSITE MONTPELLIER 2 SCIENCES ET TECHNIQUES (2014-07-16);;CENTRE VAL D'AURELLE - PAUL LAMARQUE (2015-10-14);;SANOFI (2015-10-14)</x:v>
      </x:c>
      <x:c r="O1030" s="87" t="str">
        <x:v>Intracellular phenotypic screening</x:v>
      </x:c>
      <x:c r="P1030" s="109" t="n">
        <x:v>0</x:v>
      </x:c>
      <x:c r="Q1030" s="109" t="n">
        <x:v>9</x:v>
      </x:c>
      <x:c r="R1030" s="87" t="str">
        <x:v>C07K16/00;;C07K2317/622;;C07K2317/80;;G01N33/5008;;G01N33/6845;;G01N33/6854;;G01N33/5023;;C07K16/00;;C07K16/18;;C07K2317/565;;C07K2317/622;;C07K2317/80;;G01N33/5008;;G01N33/6845;;G01N33/6854;;G01N2500/02;;G01N2500/10</x:v>
      </x:c>
      <x:c r="S1030" s="87" t="str">
        <x:v>C12N15/10;;G01N33/50;;G01N33/68</x:v>
      </x:c>
      <x:c r="T1030" s="87" t="str">
        <x:v>DISCONTINUED</x:v>
      </x:c>
      <x:c r="U1030" s="87" t="str">
        <x:v>https://lens.org/022-258-298-839-294</x:v>
      </x:c>
    </x:row>
    <x:row r="1031">
      <x:c r="A1031" s="87" t="str">
        <x:v>Sanofi_Applicant_EP_Families_2015_2021.csv(1).csv</x:v>
      </x:c>
      <x:c r="B1031" s="87" t="str">
        <x:v>Sanofi</x:v>
      </x:c>
      <x:c r="C1031" s="87" t="str">
        <x:v>TRT-0010</x:v>
      </x:c>
      <x:c r="D1031" s="87" t="str">
        <x:v>Yes</x:v>
      </x:c>
      <x:c r="E1031" s="87" t="str">
        <x:v>sanofi</x:v>
      </x:c>
      <x:c r="F1031" s="87" t="str">
        <x:v>437</x:v>
      </x:c>
      <x:c r="G1031" s="87" t="str">
        <x:v>054-972-893-617-281</x:v>
      </x:c>
      <x:c r="H1031" s="110" t="n">
        <x:v>35768</x:v>
      </x:c>
      <x:c r="I1031" s="88" t="n">
        <x:v>1997</x:v>
      </x:c>
      <x:c r="J1031" s="87" t="str">
        <x:v>DE</x:v>
      </x:c>
      <x:c r="K1031" s="87" t="str">
        <x:v>B4</x:v>
      </x:c>
      <x:c r="L1031" s="87" t="str">
        <x:v>DE 19861320 B4</x:v>
      </x:c>
      <x:c r="M1031" s="87" t="str">
        <x:v>SANOFI AVENTIS DEUTSCHLAND</x:v>
      </x:c>
      <x:c r="N1031" s="87" t="str">
        <x:v>AGILENT TECHNOLOGIES, INC. (N.D.GES.D. STAATES, US (2007-10-04);;SANOFI-AVENTIS DEUTSCHLAND GMBH, DE (2012-08-20)</x:v>
      </x:c>
      <x:c r="O1031" s="87" t="str">
        <x:v>Verfahren zur Blutprobennahme und Analyse</x:v>
      </x:c>
      <x:c r="P1031" s="109" t="n">
        <x:v>0</x:v>
      </x:c>
      <x:c r="Q1031" s="109" t="n">
        <x:v>7</x:v>
      </x:c>
      <x:c r="R1031" s="87" t="str">
        <x:v>A61B5/14532;;A61B5/150022;;A61B5/15019;;A61B5/150412;;A61B5/150748;;A61B5/15109;;A61B5/15117;;A61B5/15153;;A61B5/15174;;A61B5/15194;;A61B5/157;;A61B2562/0295;;A61B5/14532;;A61B5/150022;;A61B5/15019;;A61B5/150412;;A61B5/150748;;A61B5/15109;;A61B5/15117;;A61B5/15153;;A61B5/15174;;A61B5/15194;;A61B5/157;;A61B2562/0295</x:v>
      </x:c>
      <x:c r="S1031" s="87" t="str">
        <x:v>A61M1/00;;A61B5/00;;A61B5/145;;A61B5/15</x:v>
      </x:c>
      <x:c r="T1031" s="87" t="str">
        <x:v>EXPIRED</x:v>
      </x:c>
      <x:c r="U1031" s="87" t="str">
        <x:v>https://lens.org/054-972-893-617-281</x:v>
      </x:c>
    </x:row>
    <x:row r="1032">
      <x:c r="A1032" s="87" t="str">
        <x:v>Sanofi_Applicant_EP_Families_2015_2021.csv(1).csv</x:v>
      </x:c>
      <x:c r="B1032" s="87" t="str">
        <x:v>Sanofi</x:v>
      </x:c>
      <x:c r="C1032" s="87" t="str">
        <x:v>TRT-0010</x:v>
      </x:c>
      <x:c r="D1032" s="87" t="str">
        <x:v>Yes</x:v>
      </x:c>
      <x:c r="E1032" s="87" t="str">
        <x:v>sanofi</x:v>
      </x:c>
      <x:c r="F1032" s="87" t="str">
        <x:v>438</x:v>
      </x:c>
      <x:c r="G1032" s="87" t="str">
        <x:v>168-018-231-216-895</x:v>
      </x:c>
      <x:c r="H1032" s="110" t="n">
        <x:v>39608</x:v>
      </x:c>
      <x:c r="I1032" s="88" t="n">
        <x:v>2008</x:v>
      </x:c>
      <x:c r="J1032" s="87" t="str">
        <x:v>EP</x:v>
      </x:c>
      <x:c r="K1032" s="87" t="str">
        <x:v>B1</x:v>
      </x:c>
      <x:c r="L1032" s="87" t="str">
        <x:v>EP 2288605 B1</x:v>
      </x:c>
      <x:c r="M1032" s="87" t="str">
        <x:v>SANOFI SA</x:v>
      </x:c>
      <x:c r="N1032" s="87" t="str">
        <x:v>SANOFI (2012-05-02)</x:v>
      </x:c>
      <x:c r="O1032" s="87" t="str">
        <x:v>ANNELATED PYRROLIDIN SULFONAMIDES WITH OXADIAZOLONE HEADGROUP, PROCESSES FOR THEIR PREPARATION AND THEIR USE AS PHARMACEUTICALS</x:v>
      </x:c>
      <x:c r="P1032" s="109" t="n">
        <x:v>0</x:v>
      </x:c>
      <x:c r="Q1032" s="109" t="n">
        <x:v>6</x:v>
      </x:c>
      <x:c r="R1032" s="87" t="str">
        <x:v>C07D413/14;;A61P3/00;;A61P3/10;;A61P25/00;;C07D471/04</x:v>
      </x:c>
      <x:c r="S1032" s="87" t="str">
        <x:v>C07D413/14;;A61K31/404;;A61K31/437;;A61P3/00;;A61P25/00;;C07D471/04</x:v>
      </x:c>
      <x:c r="T1032" s="87" t="str">
        <x:v>ACTIVE</x:v>
      </x:c>
      <x:c r="U1032" s="87" t="str">
        <x:v>https://lens.org/168-018-231-216-895</x:v>
      </x:c>
    </x:row>
    <x:row r="1033">
      <x:c r="A1033" s="87" t="str">
        <x:v>Sanofi_Applicant_EP_Families_2015_2021.csv(1).csv</x:v>
      </x:c>
      <x:c r="B1033" s="87" t="str">
        <x:v>Sanofi</x:v>
      </x:c>
      <x:c r="C1033" s="87" t="str">
        <x:v>TRT-0010</x:v>
      </x:c>
      <x:c r="D1033" s="87" t="str">
        <x:v>Yes</x:v>
      </x:c>
      <x:c r="E1033" s="87" t="str">
        <x:v>sanofi</x:v>
      </x:c>
      <x:c r="F1033" s="87" t="str">
        <x:v>439</x:v>
      </x:c>
      <x:c r="G1033" s="87" t="str">
        <x:v>107-639-912-390-61X</x:v>
      </x:c>
      <x:c r="H1033" s="110" t="n">
        <x:v>40494</x:v>
      </x:c>
      <x:c r="I1033" s="88" t="n">
        <x:v>2010</x:v>
      </x:c>
      <x:c r="J1033" s="87" t="str">
        <x:v>EP</x:v>
      </x:c>
      <x:c r="K1033" s="87" t="str">
        <x:v>A4</x:v>
      </x:c>
      <x:c r="L1033" s="87" t="str">
        <x:v>EP 2638046 A4</x:v>
      </x:c>
      <x:c r="M1033" s="87" t="str">
        <x:v>UNIV MICHIGAN;;ASCENTA LICENSING CORP;;SANOFI SA</x:v>
      </x:c>
      <x:c r="N1033" s="87" t="str">
        <x:v>SANOFI (2017-01-18);;THE REGENTS OF THE UNIVERSITY OF MICHIGAN (2017-01-18);;ASCENTA LICENSING CORPORATION (2017-01-18)</x:v>
      </x:c>
      <x:c r="O1033" s="87" t="str">
        <x:v>SPIRO-OXINDOLE MDM2 ANTAGONISTS</x:v>
      </x:c>
      <x:c r="P1033" s="109" t="n">
        <x:v>0</x:v>
      </x:c>
      <x:c r="Q1033" s="109" t="n">
        <x:v>36</x:v>
      </x:c>
      <x:c r="R1033" s="87" t="str">
        <x:v>A61K31/407;;A61K45/06;;A61P17/00;;A61P35/00;;A61P35/02;;C07D487/10;;C07D487/10;;A61K31/407;;A61N5/10;;A61K31/407;;A61K45/06;;C07D487/10</x:v>
      </x:c>
      <x:c r="S1033" s="87" t="str">
        <x:v>C07D487/10;;A61K31/407;;A61P35/00</x:v>
      </x:c>
      <x:c r="T1033" s="87" t="str">
        <x:v>DISCONTINUED</x:v>
      </x:c>
      <x:c r="U1033" s="87" t="str">
        <x:v>https://lens.org/107-639-912-390-61X</x:v>
      </x:c>
    </x:row>
    <x:row r="1034">
      <x:c r="A1034" s="87" t="str">
        <x:v>Sanofi_Applicant_EP_Families_2015_2021.csv(1).csv</x:v>
      </x:c>
      <x:c r="B1034" s="87" t="str">
        <x:v>Sanofi</x:v>
      </x:c>
      <x:c r="C1034" s="87" t="str">
        <x:v>TRT-0010</x:v>
      </x:c>
      <x:c r="D1034" s="87" t="str">
        <x:v>Yes</x:v>
      </x:c>
      <x:c r="E1034" s="87" t="str">
        <x:v>sanofi</x:v>
      </x:c>
      <x:c r="F1034" s="87" t="str">
        <x:v>440</x:v>
      </x:c>
      <x:c r="G1034" s="87" t="str">
        <x:v>041-185-634-625-135</x:v>
      </x:c>
      <x:c r="H1034" s="110" t="n">
        <x:v>36458</x:v>
      </x:c>
      <x:c r="I1034" s="88" t="n">
        <x:v>1999</x:v>
      </x:c>
      <x:c r="J1034" s="87" t="str">
        <x:v>EP</x:v>
      </x:c>
      <x:c r="K1034" s="87" t="str">
        <x:v>B1</x:v>
      </x:c>
      <x:c r="L1034" s="87" t="str">
        <x:v>EP 1248763 B1</x:v>
      </x:c>
      <x:c r="M1034" s="87" t="str">
        <x:v>SANOFI AVENTIS DEUTSCHLAND</x:v>
      </x:c>
      <x:c r="N1034" s="87" t="str">
        <x:v>SANOFI-AVENTIS DEUTSCHLAND GMBH (2005-11-02)</x:v>
      </x:c>
      <x:c r="O1034" s="87" t="str">
        <x:v>AROMATIC DI-KETO DERIVATIVES AS GLUCOSE-6-PHOSPHATE TRANSLOCASE INHIBITORS</x:v>
      </x:c>
      <x:c r="P1034" s="109" t="n">
        <x:v>0</x:v>
      </x:c>
      <x:c r="Q1034" s="109" t="n">
        <x:v>36</x:v>
      </x:c>
      <x:c r="R1034" s="87" t="str">
        <x:v>C07C65/40;;A61P3/00;;A61P3/10;;A61P43/00;;C07D307/20;;C07D307/20;;C07C65/40;;C07C65/40;;C07D307/20</x:v>
      </x:c>
      <x:c r="S1034" s="87" t="str">
        <x:v>C07C63/42;;A61K31/19;;A61K31/216;;A61K31/341;;A61K31/343;;A61K31/40;;A61P3/10;;A61P43/00;;C07C51/367;;C07C65/40;;C07C66/02;;C07C67/08;;C07C69/95;;C07C231/02;;C07C235/84;;C07D307/20;;C07D493/20</x:v>
      </x:c>
      <x:c r="T1034" s="87" t="str">
        <x:v>EXPIRED</x:v>
      </x:c>
      <x:c r="U1034" s="87" t="str">
        <x:v>https://lens.org/041-185-634-625-135</x:v>
      </x:c>
    </x:row>
    <x:row r="1035">
      <x:c r="A1035" s="87" t="str">
        <x:v>Sanofi_Applicant_EP_Families_2015_2021.csv(1).csv</x:v>
      </x:c>
      <x:c r="B1035" s="87" t="str">
        <x:v>Sanofi</x:v>
      </x:c>
      <x:c r="C1035" s="87" t="str">
        <x:v>TRT-0010</x:v>
      </x:c>
      <x:c r="D1035" s="87" t="str">
        <x:v>Yes</x:v>
      </x:c>
      <x:c r="E1035" s="87" t="str">
        <x:v>sanofi</x:v>
      </x:c>
      <x:c r="F1035" s="87" t="str">
        <x:v>441</x:v>
      </x:c>
      <x:c r="G1035" s="87" t="str">
        <x:v>171-977-772-347-224</x:v>
      </x:c>
      <x:c r="H1035" s="110" t="n">
        <x:v>38466</x:v>
      </x:c>
      <x:c r="I1035" s="88" t="n">
        <x:v>2005</x:v>
      </x:c>
      <x:c r="J1035" s="87" t="str">
        <x:v>EP</x:v>
      </x:c>
      <x:c r="K1035" s="87" t="str">
        <x:v>B1</x:v>
      </x:c>
      <x:c r="L1035" s="87" t="str">
        <x:v>EP 1874346 B1</x:v>
      </x:c>
      <x:c r="M1035" s="87" t="str">
        <x:v>SANOFI PASTEUR BIOLOGICS LLC</x:v>
      </x:c>
      <x:c r="N1035" s="87" t="str">
        <x:v>SANOFI PASTEUR BIOLOGICS CO. (2010-08-18);;SANOFI PASTEUR BIOLOGICS, LLC (2012-08-15)</x:v>
      </x:c>
      <x:c r="O1035" s="87" t="str">
        <x:v>RECOMBINANT FLAVIVIRUS VACCINES</x:v>
      </x:c>
      <x:c r="P1035" s="109" t="n">
        <x:v>0</x:v>
      </x:c>
      <x:c r="Q1035" s="109" t="n">
        <x:v>18</x:v>
      </x:c>
      <x:c r="R1035" s="87" t="str">
        <x:v>C12N7/00;;A61P31/14;;C07K14/005;;C12N2770/24122;;C12N2770/24134;;C12N2770/24162;;C12N7/00;;C07K14/005;;C12N2710/16234;;C12N2770/24122;;C12N2770/24134;;C12N2770/24162;;Y02A50/30</x:v>
      </x:c>
      <x:c r="S1035" s="87" t="str">
        <x:v>A61K39/29;;C07H21/02;;C12P21/06</x:v>
      </x:c>
      <x:c r="T1035" s="87" t="str">
        <x:v>EXPIRED</x:v>
      </x:c>
      <x:c r="U1035" s="87" t="str">
        <x:v>https://lens.org/171-977-772-347-224</x:v>
      </x:c>
    </x:row>
    <x:row r="1036">
      <x:c r="A1036" s="87" t="str">
        <x:v>Sanofi_Applicant_EP_Families_2015_2021.csv(1).csv</x:v>
      </x:c>
      <x:c r="B1036" s="87" t="str">
        <x:v>Sanofi</x:v>
      </x:c>
      <x:c r="C1036" s="87" t="str">
        <x:v>TRT-0010</x:v>
      </x:c>
      <x:c r="D1036" s="87" t="str">
        <x:v>Yes</x:v>
      </x:c>
      <x:c r="E1036" s="87" t="str">
        <x:v>sanofi</x:v>
      </x:c>
      <x:c r="F1036" s="87" t="str">
        <x:v>442</x:v>
      </x:c>
      <x:c r="G1036" s="87" t="str">
        <x:v>113-617-777-424-396</x:v>
      </x:c>
      <x:c r="H1036" s="110" t="n">
        <x:v>39296</x:v>
      </x:c>
      <x:c r="I1036" s="88" t="n">
        <x:v>2007</x:v>
      </x:c>
      <x:c r="J1036" s="87" t="str">
        <x:v>EP</x:v>
      </x:c>
      <x:c r="K1036" s="87" t="str">
        <x:v>B1</x:v>
      </x:c>
      <x:c r="L1036" s="87" t="str">
        <x:v>EP 2185558 B1</x:v>
      </x:c>
      <x:c r="M1036" s="87" t="str">
        <x:v>SANOFI SA</x:v>
      </x:c>
      <x:c r="N1036" s="87" t="str">
        <x:v>SANOFI (2012-05-02)</x:v>
      </x:c>
      <x:c r="O1036" s="87" t="str">
        <x:v>TRICYCLIC N-HETEROARYL-CARBOXAMIDE DERIVATIVES, PREPARATION THEREOF AND THERAPEUTIC USE OF SAME</x:v>
      </x:c>
      <x:c r="P1036" s="109" t="n">
        <x:v>0</x:v>
      </x:c>
      <x:c r="Q1036" s="109" t="n">
        <x:v>35</x:v>
      </x:c>
      <x:c r="R1036" s="87" t="str">
        <x:v>C07D471/04;;A61P1/00;;A61P1/04;;A61P3/00;;A61P11/00;;A61P13/00;;A61P15/00;;A61P17/00;;A61P17/04;;A61P17/06;;A61P25/00;;A61P25/04;;A61P25/24;;A61P27/02;;A61P27/14;;A61P29/00;;A61P31/12;;A61P31/22;;A61P43/00;;C07D471/04</x:v>
      </x:c>
      <x:c r="S1036" s="87" t="str">
        <x:v>C07D471/04;;A61K31/437;;A61P1/00;;A61P1/04;;A61P3/00;;A61P11/00;;A61P13/00;;A61P15/00;;A61P17/00;;A61P25/00;;A61P27/14;;A61P29/00;;A61P31/12;;A61P31/22;;C07D211/56;;C07D233/02;;C07D471/14</x:v>
      </x:c>
      <x:c r="T1036" s="87" t="str">
        <x:v>ACTIVE</x:v>
      </x:c>
      <x:c r="U1036" s="87" t="str">
        <x:v>https://lens.org/113-617-777-424-396</x:v>
      </x:c>
    </x:row>
    <x:row r="1037">
      <x:c r="A1037" s="87" t="str">
        <x:v>Sanofi_Applicant_EP_Families_2015_2021.csv(1).csv</x:v>
      </x:c>
      <x:c r="B1037" s="87" t="str">
        <x:v>Sanofi</x:v>
      </x:c>
      <x:c r="C1037" s="87" t="str">
        <x:v>TRT-0010</x:v>
      </x:c>
      <x:c r="D1037" s="87" t="str">
        <x:v>Yes</x:v>
      </x:c>
      <x:c r="E1037" s="87" t="str">
        <x:v>sanofi</x:v>
      </x:c>
      <x:c r="F1037" s="87" t="str">
        <x:v>443</x:v>
      </x:c>
      <x:c r="G1037" s="87" t="str">
        <x:v>175-079-652-808-808</x:v>
      </x:c>
      <x:c r="H1037" s="110" t="n">
        <x:v>37298</x:v>
      </x:c>
      <x:c r="I1037" s="88" t="n">
        <x:v>2002</x:v>
      </x:c>
      <x:c r="J1037" s="87" t="str">
        <x:v>EP</x:v>
      </x:c>
      <x:c r="K1037" s="87" t="str">
        <x:v>B1</x:v>
      </x:c>
      <x:c r="L1037" s="87" t="str">
        <x:v>EP 2308532 B1</x:v>
      </x:c>
      <x:c r="M1037" s="87" t="str">
        <x:v>SANOFI SA</x:v>
      </x:c>
      <x:c r="N1037" s="87" t="str">
        <x:v>SANOFI, FR (2017-09-25);;SANOFI (2012-05-02)</x:v>
      </x:c>
      <x:c r="O1037" s="87" t="str">
        <x:v>Security support device for a syringe and assambly of such a device and a syringe</x:v>
      </x:c>
      <x:c r="P1037" s="109" t="n">
        <x:v>0</x:v>
      </x:c>
      <x:c r="Q1037" s="109" t="n">
        <x:v>34</x:v>
      </x:c>
      <x:c r="R1037" s="87" t="str">
        <x:v>A61M5/326;;A61M2005/3143;;A61M2005/3247;;A61M2005/3261;;A61M2005/3264;;A61M5/3202;;A61M5/31511;;A61M5/3204;;A61M5/326;;A61M2005/3143;;A61M2005/3247;;A61M2005/3261;;A61M2005/3264</x:v>
      </x:c>
      <x:c r="S1037" s="87" t="str">
        <x:v>A61M5/50;;A61G12/00;;A61M5/31;;A61M5/32</x:v>
      </x:c>
      <x:c r="T1037" s="87" t="str">
        <x:v>EXPIRED</x:v>
      </x:c>
      <x:c r="U1037" s="87" t="str">
        <x:v>https://lens.org/175-079-652-808-808</x:v>
      </x:c>
    </x:row>
    <x:row r="1038">
      <x:c r="A1038" s="87" t="str">
        <x:v>Sanofi_Applicant_EP_Families_2015_2021.csv(1).csv</x:v>
      </x:c>
      <x:c r="B1038" s="87" t="str">
        <x:v>Sanofi</x:v>
      </x:c>
      <x:c r="C1038" s="87" t="str">
        <x:v>TRT-0010</x:v>
      </x:c>
      <x:c r="D1038" s="87" t="str">
        <x:v>Yes</x:v>
      </x:c>
      <x:c r="E1038" s="87" t="str">
        <x:v>sanofi</x:v>
      </x:c>
      <x:c r="F1038" s="87" t="str">
        <x:v>444</x:v>
      </x:c>
      <x:c r="G1038" s="87" t="str">
        <x:v>136-666-163-750-870</x:v>
      </x:c>
      <x:c r="H1038" s="110" t="n">
        <x:v>39910</x:v>
      </x:c>
      <x:c r="I1038" s="88" t="n">
        <x:v>2009</x:v>
      </x:c>
      <x:c r="J1038" s="87" t="str">
        <x:v>EP</x:v>
      </x:c>
      <x:c r="K1038" s="87" t="str">
        <x:v>B1</x:v>
      </x:c>
      <x:c r="L1038" s="87" t="str">
        <x:v>EP 2417111 B1</x:v>
      </x:c>
      <x:c r="M1038" s="87" t="str">
        <x:v>SANOFI SA</x:v>
      </x:c>
      <x:c r="N1038" s="87" t="str">
        <x:v>SANOFI (2012-05-02)</x:v>
      </x:c>
      <x:c r="O1038" s="87" t="str">
        <x:v>SUBSTITUTED 1-ALKYLCINNOLIN-4(1H)-ONE DERIVATIVES, PREPARATION THEREOF AND THERAPEUTIC APPLICATION OF SAME</x:v>
      </x:c>
      <x:c r="P1038" s="109" t="n">
        <x:v>0</x:v>
      </x:c>
      <x:c r="Q1038" s="109" t="n">
        <x:v>24</x:v>
      </x:c>
      <x:c r="R1038" s="87" t="str">
        <x:v>C07D237/28;;A61P1/00;;A61P3/00;;A61P3/04;;A61P3/10;;A61P9/00;;A61P25/00;;A61P25/04;;A61P25/28;;A61P29/00;;A61P31/00;;A61P35/00;;A61P37/00;;A61P37/08;;A61P43/00;;C07D237/28;;A61K31/502;;C07D237/28</x:v>
      </x:c>
      <x:c r="S1038" s="87" t="str">
        <x:v>C07D237/28;;A61K31/502;;A61P29/00</x:v>
      </x:c>
      <x:c r="T1038" s="87" t="str">
        <x:v>ACTIVE</x:v>
      </x:c>
      <x:c r="U1038" s="87" t="str">
        <x:v>https://lens.org/136-666-163-750-870</x:v>
      </x:c>
    </x:row>
    <x:row r="1039">
      <x:c r="A1039" s="87" t="str">
        <x:v>Sanofi_Applicant_EP_Families_2015_2021.csv(1).csv</x:v>
      </x:c>
      <x:c r="B1039" s="87" t="str">
        <x:v>Sanofi</x:v>
      </x:c>
      <x:c r="C1039" s="87" t="str">
        <x:v>TRT-0010</x:v>
      </x:c>
      <x:c r="D1039" s="87" t="str">
        <x:v>Yes</x:v>
      </x:c>
      <x:c r="E1039" s="87" t="str">
        <x:v>sanofi</x:v>
      </x:c>
      <x:c r="F1039" s="87" t="str">
        <x:v>445</x:v>
      </x:c>
      <x:c r="G1039" s="87" t="str">
        <x:v>082-561-367-177-457</x:v>
      </x:c>
      <x:c r="H1039" s="110" t="n">
        <x:v>37778</x:v>
      </x:c>
      <x:c r="I1039" s="88" t="n">
        <x:v>2003</x:v>
      </x:c>
      <x:c r="J1039" s="87" t="str">
        <x:v>EP</x:v>
      </x:c>
      <x:c r="K1039" s="87" t="str">
        <x:v>B1</x:v>
      </x:c>
      <x:c r="L1039" s="87" t="str">
        <x:v>EP 1633235 B1</x:v>
      </x:c>
      <x:c r="M1039" s="87" t="str">
        <x:v>SANOFI AVENTIS DEUTSCHLAND</x:v>
      </x:c>
      <x:c r="N1039" s="87" t="str">
        <x:v>SANOFI-AVENTIS DEUTSCHLAND GMBH (2014-01-08)</x:v>
      </x:c>
      <x:c r="O1039" s="87" t="str">
        <x:v>APPARATUS FOR BODY FLUID SAMPLING AND ANALYTE SENSING</x:v>
      </x:c>
      <x:c r="P1039" s="109" t="n">
        <x:v>0</x:v>
      </x:c>
      <x:c r="Q1039" s="109" t="n">
        <x:v>11</x:v>
      </x:c>
      <x:c r="R1039" s="87" t="str">
        <x:v>A61B5/157;;A61B5/150022;;A61B5/150152;;A61B5/150167;;A61B5/150175;;A61B5/150412;;A61B5/150755;;A61B5/15113;;A61B5/15123;;A61B5/15151;;A61B5/15161;;A61B5/157;;A61B5/150022;;A61B5/150152;;A61B5/150167;;A61B5/150175;;A61B5/150412;;A61B5/150755;;A61B5/15113;;A61B5/15123;;A61B5/15151;;A61B5/15161</x:v>
      </x:c>
      <x:c r="S1039" s="87" t="str">
        <x:v>A61B5/15;;A61B/</x:v>
      </x:c>
      <x:c r="T1039" s="87" t="str">
        <x:v>EXPIRED</x:v>
      </x:c>
      <x:c r="U1039" s="87" t="str">
        <x:v>https://lens.org/082-561-367-177-457</x:v>
      </x:c>
    </x:row>
    <x:row r="1040">
      <x:c r="A1040" s="87" t="str">
        <x:v>Sanofi_Applicant_EP_Families_2015_2021.csv(1).csv</x:v>
      </x:c>
      <x:c r="B1040" s="87" t="str">
        <x:v>Sanofi</x:v>
      </x:c>
      <x:c r="C1040" s="87" t="str">
        <x:v>TRT-0010</x:v>
      </x:c>
      <x:c r="D1040" s="87" t="str">
        <x:v>Yes</x:v>
      </x:c>
      <x:c r="E1040" s="87" t="str">
        <x:v>sanofi</x:v>
      </x:c>
      <x:c r="F1040" s="87" t="str">
        <x:v>446</x:v>
      </x:c>
      <x:c r="G1040" s="87" t="str">
        <x:v>197-487-910-402-319</x:v>
      </x:c>
      <x:c r="H1040" s="110" t="n">
        <x:v>39605</x:v>
      </x:c>
      <x:c r="I1040" s="88" t="n">
        <x:v>2008</x:v>
      </x:c>
      <x:c r="J1040" s="87" t="str">
        <x:v>EP</x:v>
      </x:c>
      <x:c r="K1040" s="87" t="str">
        <x:v>B1</x:v>
      </x:c>
      <x:c r="L1040" s="87" t="str">
        <x:v>EP 2300462 B1</x:v>
      </x:c>
      <x:c r="M1040" s="87" t="str">
        <x:v>SANOFI SA</x:v>
      </x:c>
      <x:c r="N1040" s="87" t="str">
        <x:v>SANOFI (2012-05-02)</x:v>
      </x:c>
      <x:c r="O1040" s="87" t="str">
        <x:v>MACROCYCLIC UREA AND SULFAMIDE DERIVATIVES AS INHIBITORS OF TAFIA</x:v>
      </x:c>
      <x:c r="P1040" s="109" t="n">
        <x:v>0</x:v>
      </x:c>
      <x:c r="Q1040" s="109" t="n">
        <x:v>53</x:v>
      </x:c>
      <x:c r="R1040" s="87" t="str">
        <x:v>C07D273/01;;A61K31/395;;A61P3/00;;A61P3/04;;A61P3/10;;A61P7/00;;A61P7/02;;A61P7/04;;A61P9/00;;A61P9/06;;A61P9/10;;A61P11/00;;A61P11/08;;A61P17/02;;A61P19/02;;A61P27/00;;A61P27/02;;A61P29/00;;A61P31/04;;A61P35/00;;A61P35/04;;C07D267/00;;C07D273/02;;C07D413/12;;C07D413/14;;C07D273/01;;A61K31/395;;C07D267/00;;C07D273/02;;C07D413/12;;C07D413/14</x:v>
      </x:c>
      <x:c r="S1040" s="87" t="str">
        <x:v>C07D413/14;;A61K31/553;;A61P7/00;;C07D273/01</x:v>
      </x:c>
      <x:c r="T1040" s="87" t="str">
        <x:v>ACTIVE</x:v>
      </x:c>
      <x:c r="U1040" s="87" t="str">
        <x:v>https://lens.org/197-487-910-402-319</x:v>
      </x:c>
    </x:row>
    <x:row r="1041">
      <x:c r="A1041" s="87" t="str">
        <x:v>Sanofi_Applicant_EP_Families_2015_2021.csv(1).csv</x:v>
      </x:c>
      <x:c r="B1041" s="87" t="str">
        <x:v>Sanofi</x:v>
      </x:c>
      <x:c r="C1041" s="87" t="str">
        <x:v>TRT-0010</x:v>
      </x:c>
      <x:c r="D1041" s="87" t="str">
        <x:v>Yes</x:v>
      </x:c>
      <x:c r="E1041" s="87" t="str">
        <x:v>sanofi</x:v>
      </x:c>
      <x:c r="F1041" s="87" t="str">
        <x:v>447</x:v>
      </x:c>
      <x:c r="G1041" s="87" t="str">
        <x:v>092-307-060-321-994</x:v>
      </x:c>
      <x:c r="H1041" s="110" t="n">
        <x:v>39218</x:v>
      </x:c>
      <x:c r="I1041" s="88" t="n">
        <x:v>2007</x:v>
      </x:c>
      <x:c r="J1041" s="87" t="str">
        <x:v>EP</x:v>
      </x:c>
      <x:c r="K1041" s="87" t="str">
        <x:v>B1</x:v>
      </x:c>
      <x:c r="L1041" s="87" t="str">
        <x:v>EP 2160387 B1</x:v>
      </x:c>
      <x:c r="M1041" s="87" t="str">
        <x:v>SANOFI SA;;MITSUBISHI TANABE PHARMA CORP</x:v>
      </x:c>
      <x:c r="N1041" s="87" t="str">
        <x:v>SANOFI (2012-05-02);;MITSUBISHI TANABE PHARMA CORPORATION (2012-05-02)</x:v>
      </x:c>
      <x:c r="O1041" s="87" t="str">
        <x:v>HETEROARYLAMIDE PYRIMIDONE COMPOUNDS</x:v>
      </x:c>
      <x:c r="P1041" s="109" t="n">
        <x:v>0</x:v>
      </x:c>
      <x:c r="Q1041" s="109" t="n">
        <x:v>19</x:v>
      </x:c>
      <x:c r="R1041" s="87" t="str">
        <x:v>C07D403/12;;A61P3/00;;A61P3/04;;A61P3/10;;A61P5/50;;A61P9/10;;A61P13/12;;A61P17/00;;A61P17/02;;A61P17/14;;A61P19/08;;A61P21/02;;A61P25/00;;A61P25/02;;A61P25/16;;A61P25/18;;A61P25/24;;A61P25/28;;A61P27/02;;A61P27/06;;A61P33/06;;A61P35/00;;A61P35/02;;A61P43/00;;C07D239/36;;C07D401/14;;C07D405/14;;C07D409/14;;C07D471/04;;C07D239/36;;A61K31/513;;C07D401/12;;C07D403/12;;C07D239/36;;C07D401/14;;C07D405/14;;C07D409/14;;C07D471/04</x:v>
      </x:c>
      <x:c r="S1041" s="87" t="str">
        <x:v>C07D401/12;;A61K31/513;;A61P3/00;;A61P25/00;;C07D239/36;;C07D403/12;;C07D405/12;;C07D409/12</x:v>
      </x:c>
      <x:c r="T1041" s="87" t="str">
        <x:v>ACTIVE</x:v>
      </x:c>
      <x:c r="U1041" s="87" t="str">
        <x:v>https://lens.org/092-307-060-321-994</x:v>
      </x:c>
    </x:row>
    <x:row r="1042">
      <x:c r="A1042" s="87" t="str">
        <x:v>Sanofi_Applicant_EP_Families_2015_2021.csv(1).csv</x:v>
      </x:c>
      <x:c r="B1042" s="87" t="str">
        <x:v>Sanofi</x:v>
      </x:c>
      <x:c r="C1042" s="87" t="str">
        <x:v>TRT-0010</x:v>
      </x:c>
      <x:c r="D1042" s="87" t="str">
        <x:v>Yes</x:v>
      </x:c>
      <x:c r="E1042" s="87" t="str">
        <x:v>sanofi</x:v>
      </x:c>
      <x:c r="F1042" s="87" t="str">
        <x:v>448</x:v>
      </x:c>
      <x:c r="G1042" s="87" t="str">
        <x:v>129-517-970-795-984</x:v>
      </x:c>
      <x:c r="H1042" s="110" t="n">
        <x:v>40170</x:v>
      </x:c>
      <x:c r="I1042" s="88" t="n">
        <x:v>2009</x:v>
      </x:c>
      <x:c r="J1042" s="87" t="str">
        <x:v>EP</x:v>
      </x:c>
      <x:c r="K1042" s="87" t="str">
        <x:v>B1</x:v>
      </x:c>
      <x:c r="L1042" s="87" t="str">
        <x:v>EP 2516418 B1</x:v>
      </x:c>
      <x:c r="M1042" s="87" t="str">
        <x:v>SANOFI SA</x:v>
      </x:c>
      <x:c r="N1042" s="87" t="str">
        <x:v>SANOFI (2014-05-14)</x:v>
      </x:c>
      <x:c r="O1042" s="87" t="str">
        <x:v>PRODRUGS OF [4[4-(5-AMINOMETHYL-2-FLUORO-PHENYL)-PIPERIDIN-1-YL]-(1H-PYRROLO-PYRIDIN-YL)-METHANONES AND SYNTHESIS THEREOF</x:v>
      </x:c>
      <x:c r="P1042" s="109" t="n">
        <x:v>0</x:v>
      </x:c>
      <x:c r="Q1042" s="109" t="n">
        <x:v>29</x:v>
      </x:c>
      <x:c r="R1042" s="87" t="str">
        <x:v>C07D401/06;;A61P1/02;;A61P1/04;;A61P1/16;;A61P3/10;;A61P9/00;;A61P9/10;;A61P11/00;;A61P11/02;;A61P11/06;;A61P17/00;;A61P19/02;;A61P25/00;;A61P27/02;;A61P29/00;;A61P31/12;;A61P35/00;;A61P37/08;;A61P43/00;;C07D413/14;;A61K31/5377;;C07D413/06;;C07D401/06</x:v>
      </x:c>
      <x:c r="S1042" s="87" t="str">
        <x:v>C07D401/06;;A61K31/454;;A61P29/00</x:v>
      </x:c>
      <x:c r="T1042" s="87" t="str">
        <x:v>ACTIVE</x:v>
      </x:c>
      <x:c r="U1042" s="87" t="str">
        <x:v>https://lens.org/129-517-970-795-984</x:v>
      </x:c>
    </x:row>
    <x:row r="1043">
      <x:c r="A1043" s="87" t="str">
        <x:v>Sanofi_Applicant_EP_Families_2015_2021.csv(1).csv</x:v>
      </x:c>
      <x:c r="B1043" s="87" t="str">
        <x:v>Sanofi</x:v>
      </x:c>
      <x:c r="C1043" s="87" t="str">
        <x:v>TRT-0010</x:v>
      </x:c>
      <x:c r="D1043" s="87" t="str">
        <x:v>Yes</x:v>
      </x:c>
      <x:c r="E1043" s="87" t="str">
        <x:v>sanofi</x:v>
      </x:c>
      <x:c r="F1043" s="87" t="str">
        <x:v>449</x:v>
      </x:c>
      <x:c r="G1043" s="87" t="str">
        <x:v>144-578-063-548-229</x:v>
      </x:c>
      <x:c r="H1043" s="110" t="n">
        <x:v>39960</x:v>
      </x:c>
      <x:c r="I1043" s="88" t="n">
        <x:v>2009</x:v>
      </x:c>
      <x:c r="J1043" s="87" t="str">
        <x:v>EP</x:v>
      </x:c>
      <x:c r="K1043" s="87" t="str">
        <x:v>B1</x:v>
      </x:c>
      <x:c r="L1043" s="87" t="str">
        <x:v>EP 2435413 B1</x:v>
      </x:c>
      <x:c r="M1043" s="87" t="str">
        <x:v>SANOFI SA</x:v>
      </x:c>
      <x:c r="N1043" s="87" t="str">
        <x:v>SANOFI (2012-05-02)</x:v>
      </x:c>
      <x:c r="O1043" s="87" t="str">
        <x:v>Process for the preparation of dronedarone intermediates</x:v>
      </x:c>
      <x:c r="P1043" s="109" t="n">
        <x:v>0</x:v>
      </x:c>
      <x:c r="Q1043" s="109" t="n">
        <x:v>22</x:v>
      </x:c>
      <x:c r="R1043" s="87" t="str">
        <x:v>C07D307/80;;A61P9/06;;C07D307/80;;A61K31/343;;C07D307/80</x:v>
      </x:c>
      <x:c r="S1043" s="87" t="str">
        <x:v>C07D307/80</x:v>
      </x:c>
      <x:c r="T1043" s="87" t="str">
        <x:v>ACTIVE</x:v>
      </x:c>
      <x:c r="U1043" s="87" t="str">
        <x:v>https://lens.org/144-578-063-548-229</x:v>
      </x:c>
    </x:row>
    <x:row r="1044">
      <x:c r="A1044" s="87" t="str">
        <x:v>Sanofi_Applicant_EP_Families_2015_2021.csv(1).csv</x:v>
      </x:c>
      <x:c r="B1044" s="87" t="str">
        <x:v>Sanofi</x:v>
      </x:c>
      <x:c r="C1044" s="87" t="str">
        <x:v>TRT-0010</x:v>
      </x:c>
      <x:c r="D1044" s="87" t="str">
        <x:v>Yes</x:v>
      </x:c>
      <x:c r="E1044" s="87" t="str">
        <x:v>sanofi</x:v>
      </x:c>
      <x:c r="F1044" s="87" t="str">
        <x:v>450</x:v>
      </x:c>
      <x:c r="G1044" s="87" t="str">
        <x:v>011-639-767-560-756</x:v>
      </x:c>
      <x:c r="H1044" s="110" t="n">
        <x:v>39849</x:v>
      </x:c>
      <x:c r="I1044" s="88" t="n">
        <x:v>2009</x:v>
      </x:c>
      <x:c r="J1044" s="87" t="str">
        <x:v>EP</x:v>
      </x:c>
      <x:c r="K1044" s="87" t="str">
        <x:v>B1</x:v>
      </x:c>
      <x:c r="L1044" s="87" t="str">
        <x:v>EP 2393809 B1</x:v>
      </x:c>
      <x:c r="M1044" s="87" t="str">
        <x:v>SANOFI SA</x:v>
      </x:c>
      <x:c r="N1044" s="87" t="str">
        <x:v>SANOFI (2012-05-02)</x:v>
      </x:c>
      <x:c r="O1044" s="87" t="str">
        <x:v>DERIVATIVES OF AZASPIRANYL-ALKYLCARBAMATES OF 5-MEMBER HETEROCYCLIC COMPOUNDS, PREPARATION THEREOF AND THERAPEUTIC USE THEREOF</x:v>
      </x:c>
      <x:c r="P1044" s="109" t="n">
        <x:v>0</x:v>
      </x:c>
      <x:c r="Q1044" s="109" t="n">
        <x:v>28</x:v>
      </x:c>
      <x:c r="R1044" s="87" t="str">
        <x:v>C07D417/14;;A61P1/00;;A61P1/04;;A61P1/08;;A61P9/00;;A61P9/10;;A61P11/00;;A61P13/00;;A61P13/12;;A61P19/10;;A61P25/00;;A61P25/04;;A61P25/08;;A61P25/20;;A61P25/28;;A61P27/02;;A61P29/00;;A61P31/00;;A61P31/04;;A61P31/12;;A61P33/00;;A61P35/00;;A61P37/00;;A61P37/02;;A61P37/08;;C07D413/14;;C07D417/14;;A61K31/438;;C07D413/14;;C07D417/14;;C07D413/14</x:v>
      </x:c>
      <x:c r="S1044" s="87" t="str">
        <x:v>C07D413/14;;A61K31/438;;A61P1/00;;A61P9/00;;A61P25/00;;A61P29/00;;A61P31/00;;A61P35/00;;A61P37/00;;C07D417/14</x:v>
      </x:c>
      <x:c r="T1044" s="87" t="str">
        <x:v>ACTIVE</x:v>
      </x:c>
      <x:c r="U1044" s="87" t="str">
        <x:v>https://lens.org/011-639-767-560-756</x:v>
      </x:c>
    </x:row>
    <x:row r="1045">
      <x:c r="A1045" s="87" t="str">
        <x:v>Sanofi_Applicant_EP_Families_2015_2021.csv(1).csv</x:v>
      </x:c>
      <x:c r="B1045" s="87" t="str">
        <x:v>Sanofi</x:v>
      </x:c>
      <x:c r="C1045" s="87" t="str">
        <x:v>TRT-0010</x:v>
      </x:c>
      <x:c r="D1045" s="87" t="str">
        <x:v>Yes</x:v>
      </x:c>
      <x:c r="E1045" s="87" t="str">
        <x:v>sanofi</x:v>
      </x:c>
      <x:c r="F1045" s="87" t="str">
        <x:v>451</x:v>
      </x:c>
      <x:c r="G1045" s="87" t="str">
        <x:v>072-737-182-824-084</x:v>
      </x:c>
      <x:c r="H1045" s="110" t="n">
        <x:v>39660</x:v>
      </x:c>
      <x:c r="I1045" s="88" t="n">
        <x:v>2008</x:v>
      </x:c>
      <x:c r="J1045" s="87" t="str">
        <x:v>EP</x:v>
      </x:c>
      <x:c r="K1045" s="87" t="str">
        <x:v>B1</x:v>
      </x:c>
      <x:c r="L1045" s="87" t="str">
        <x:v>EP 2318402 B1</x:v>
      </x:c>
      <x:c r="M1045" s="87" t="str">
        <x:v>SANOFI SA</x:v>
      </x:c>
      <x:c r="N1045" s="87" t="str">
        <x:v>SANOFI (2012-05-02)</x:v>
      </x:c>
      <x:c r="O1045" s="87" t="str">
        <x:v>Pyrrolidinyl-alkyl-amide derivatives their preparation and their therapeutic application as CCR3 receptor ligands</x:v>
      </x:c>
      <x:c r="P1045" s="109" t="n">
        <x:v>0</x:v>
      </x:c>
      <x:c r="Q1045" s="109" t="n">
        <x:v>25</x:v>
      </x:c>
      <x:c r="R1045" s="87" t="str">
        <x:v>C07D513/04;;A61P1/04;;A61P11/02;;A61P11/06;;A61P17/00;;A61P17/04;;A61P19/02;;A61P25/00;;A61P27/02;;A61P29/00;;A61P31/18;;A61P37/00;;A61P37/06;;A61P37/08;;A61P43/00;;C07D417/12;;C07D513/04;;C07D417/12</x:v>
      </x:c>
      <x:c r="S1045" s="87" t="str">
        <x:v>C07D417/12;;A61K31/428;;A61K31/429;;A61K31/4353;;A61P1/04;;A61P11/02;;A61P11/06;;A61P17/00;;C07D513/04</x:v>
      </x:c>
      <x:c r="T1045" s="87" t="str">
        <x:v>ACTIVE</x:v>
      </x:c>
      <x:c r="U1045" s="87" t="str">
        <x:v>https://lens.org/072-737-182-824-084</x:v>
      </x:c>
    </x:row>
    <x:row r="1046">
      <x:c r="A1046" s="87" t="str">
        <x:v>Sanofi_Applicant_EP_Families_2015_2021.csv(1).csv</x:v>
      </x:c>
      <x:c r="B1046" s="87" t="str">
        <x:v>Sanofi</x:v>
      </x:c>
      <x:c r="C1046" s="87" t="str">
        <x:v>TRT-0010</x:v>
      </x:c>
      <x:c r="D1046" s="87" t="str">
        <x:v>Yes</x:v>
      </x:c>
      <x:c r="E1046" s="87" t="str">
        <x:v>sanofi</x:v>
      </x:c>
      <x:c r="F1046" s="87" t="str">
        <x:v>452</x:v>
      </x:c>
      <x:c r="G1046" s="87" t="str">
        <x:v>042-950-706-421-134</x:v>
      </x:c>
      <x:c r="H1046" s="110" t="n">
        <x:v>39841</x:v>
      </x:c>
      <x:c r="I1046" s="88" t="n">
        <x:v>2009</x:v>
      </x:c>
      <x:c r="J1046" s="87" t="str">
        <x:v>EP</x:v>
      </x:c>
      <x:c r="K1046" s="87" t="str">
        <x:v>B1</x:v>
      </x:c>
      <x:c r="L1046" s="87" t="str">
        <x:v>EP 2391611 B1</x:v>
      </x:c>
      <x:c r="M1046" s="87" t="str">
        <x:v>SANOFI SA</x:v>
      </x:c>
      <x:c r="N1046" s="87" t="str">
        <x:v>SANOFI (2012-05-02)</x:v>
      </x:c>
      <x:c r="O1046" s="87" t="str">
        <x:v>THIADIAZOLE AND OXADIAZOLE DERIVATIVES, PREPARATION THEREOF, AND THERAPEUTIC USE THEREOF</x:v>
      </x:c>
      <x:c r="P1046" s="109" t="n">
        <x:v>0</x:v>
      </x:c>
      <x:c r="Q1046" s="109" t="n">
        <x:v>28</x:v>
      </x:c>
      <x:c r="R1046" s="87" t="str">
        <x:v>C07D271/06;;A61P1/00;;A61P1/04;;A61P1/16;;A61P3/00;;A61P3/04;;A61P3/06;;A61P3/08;;A61P3/10;;A61P9/00;;A61P9/12;;A61P9/14;;A61P17/00;;A61P25/28;;A61P31/18;;A61P35/00;;A61P37/00;;A61P37/02;;A61P43/00;;C07D285/12;;C07D285/135;;A61K31/433;;C07D417/06;;C07D271/06;;C07D285/12</x:v>
      </x:c>
      <x:c r="S1046" s="87" t="str">
        <x:v>C07D271/06;;A61K31/4245;;A61K31/433;;C07D285/12</x:v>
      </x:c>
      <x:c r="T1046" s="87" t="str">
        <x:v>ACTIVE</x:v>
      </x:c>
      <x:c r="U1046" s="87" t="str">
        <x:v>https://lens.org/042-950-706-421-134</x:v>
      </x:c>
    </x:row>
    <x:row r="1047">
      <x:c r="A1047" s="87" t="str">
        <x:v>Sanofi_Applicant_EP_Families_2015_2021.csv(1).csv</x:v>
      </x:c>
      <x:c r="B1047" s="87" t="str">
        <x:v>Sanofi</x:v>
      </x:c>
      <x:c r="C1047" s="87" t="str">
        <x:v>TRT-0010</x:v>
      </x:c>
      <x:c r="D1047" s="87" t="str">
        <x:v>Yes</x:v>
      </x:c>
      <x:c r="E1047" s="87" t="str">
        <x:v>sanofi</x:v>
      </x:c>
      <x:c r="F1047" s="87" t="str">
        <x:v>453</x:v>
      </x:c>
      <x:c r="G1047" s="87" t="str">
        <x:v>112-652-745-989-381</x:v>
      </x:c>
      <x:c r="H1047" s="110" t="n">
        <x:v>39238</x:v>
      </x:c>
      <x:c r="I1047" s="88" t="n">
        <x:v>2007</x:v>
      </x:c>
      <x:c r="J1047" s="87" t="str">
        <x:v>EP</x:v>
      </x:c>
      <x:c r="K1047" s="87" t="str">
        <x:v>B1</x:v>
      </x:c>
      <x:c r="L1047" s="87" t="str">
        <x:v>EP 2164825 B1</x:v>
      </x:c>
      <x:c r="M1047" s="87" t="str">
        <x:v>SANOFI SA</x:v>
      </x:c>
      <x:c r="N1047" s="87" t="str">
        <x:v>SANOFI (2012-05-02)</x:v>
      </x:c>
      <x:c r="O1047" s="87" t="str">
        <x:v>DI(HETERO)ARYLCYCLOHEXANE DERIVATIVES, THEIR PREPARATION, THEIR USE AND PHARMACEUTICAL COMPOSITIONS COMPRISING THEM</x:v>
      </x:c>
      <x:c r="P1047" s="109" t="n">
        <x:v>0</x:v>
      </x:c>
      <x:c r="Q1047" s="109" t="n">
        <x:v>28</x:v>
      </x:c>
      <x:c r="R1047" s="87" t="str">
        <x:v>C07D317/46;;A61P9/00;;A61P9/02;;A61P9/04;;A61P9/06;;A61P9/08;;A61P9/10;;A61P25/02;;A61P43/00;;C07B2200/07;;C07C62/32;;C07C62/34;;C07C255/46;;C07C311/08;;C07C317/46;;C07C323/62;;C07C2601/02;;C07C2601/14;;C07D209/18;;C07D213/30;;C07D213/46;;C07D213/55;;C07D213/57;;C07D213/61;;C07D213/64;;C07D215/14;;C07D217/02;;C07D217/16;;C07D231/12;;C07D231/16;;C07D233/60;;C07D233/64;;C07D233/68;;C07D233/84;;C07D233/90;;C07D235/06;;C07D235/16;;C07D249/08;;C07D277/24;;C07D277/30;;C07D305/04;;C07D305/06;;C07D333/24;;C07D401/12;;C07D405/12;;C07D417/04;;C07D471/04;;C07D487/04;;C07D317/46;;C07B2200/07;;C07C62/32;;C07C62/34;;C07C255/46;;C07C311/08;;C07C317/46;;C07C323/62;;C07C2601/02;;C07C2601/14;;C07D209/18;;C07D213/30;;C07D213/46;;C07D213/55;;C07D213/57;;C07D213/61;;C07D213/64;;C07D215/14;;C07D217/02;;C07D217/16;;C07D231/12;;C07D231/16;;C07D233/60;;C07D233/64;;C07D233/68;;C07D233/84;;C07D233/90;;C07D235/06;;C07D235/16;;C07D249/08;;C07D277/24;;C07D277/30;;C07D305/04;;C07D305/06;;C07D333/24;;C07D401/12;;C07D405/12;;C07D417/04;;C07D471/04;;C07D487/04</x:v>
      </x:c>
      <x:c r="S1047" s="87" t="str">
        <x:v>C07C61/22;;A61K31/19;;C07C317/14;;C07C321/28;;C07D213/46;;C07D213/61;;C07D213/64;;C07D215/04;;C07D217/12;;C07D231/12;;C07D239/34;;C07D249/08;;C07D277/24;;C07D333/22;;C07D487/04</x:v>
      </x:c>
      <x:c r="T1047" s="87" t="str">
        <x:v>ACTIVE</x:v>
      </x:c>
      <x:c r="U1047" s="87" t="str">
        <x:v>https://lens.org/112-652-745-989-381</x:v>
      </x:c>
    </x:row>
    <x:row r="1048">
      <x:c r="A1048" s="87" t="str">
        <x:v>Sanofi_Applicant_EP_Families_2015_2021.csv(1).csv</x:v>
      </x:c>
      <x:c r="B1048" s="87" t="str">
        <x:v>Sanofi</x:v>
      </x:c>
      <x:c r="C1048" s="87" t="str">
        <x:v>TRT-0010</x:v>
      </x:c>
      <x:c r="D1048" s="87" t="str">
        <x:v>Yes</x:v>
      </x:c>
      <x:c r="E1048" s="87" t="str">
        <x:v>sanofi</x:v>
      </x:c>
      <x:c r="F1048" s="87" t="str">
        <x:v>454</x:v>
      </x:c>
      <x:c r="G1048" s="87" t="str">
        <x:v>009-669-396-564-103</x:v>
      </x:c>
      <x:c r="H1048" s="110" t="n">
        <x:v>39811</x:v>
      </x:c>
      <x:c r="I1048" s="88" t="n">
        <x:v>2008</x:v>
      </x:c>
      <x:c r="J1048" s="87" t="str">
        <x:v>EP</x:v>
      </x:c>
      <x:c r="K1048" s="87" t="str">
        <x:v>B1</x:v>
      </x:c>
      <x:c r="L1048" s="87" t="str">
        <x:v>EP 2382205 B1</x:v>
      </x:c>
      <x:c r="M1048" s="87" t="str">
        <x:v>SANOFI SA</x:v>
      </x:c>
      <x:c r="N1048" s="87" t="str">
        <x:v>SANOFI (2012-05-02)</x:v>
      </x:c>
      <x:c r="O1048" s="87" t="str">
        <x:v>DERIVATIVES OF 2-PYRIDIN-2-YL-PYRAZOL-3(2H)-ONE, PREPARATION AND THERAPEUTIC USE THEREOF AS HIF ACTIVATORS</x:v>
      </x:c>
      <x:c r="P1048" s="109" t="n">
        <x:v>0</x:v>
      </x:c>
      <x:c r="Q1048" s="109" t="n">
        <x:v>45</x:v>
      </x:c>
      <x:c r="R1048" s="87" t="str">
        <x:v>C07D401/04;;A61P3/00;;A61P3/10;;A61P7/00;;A61P7/06;;A61P9/00;;A61P9/04;;A61P9/08;;A61P9/10;;A61P9/12;;A61P13/12;;A61P17/00;;A61P25/00;;A61P27/00;;A61P27/06;;C07D401/14;;C07D409/14;;G01N33/6875;;G01N2500/10;;C07D401/04;;A61K31/4439;;C07D401/14;;C07D409/14;;G01N33/68;;C07D401/04;;C07D401/14;;C07D409/14;;G01N33/6875;;G01N2500/10</x:v>
      </x:c>
      <x:c r="S1048" s="87" t="str">
        <x:v>C07D401/14;;A61K31/4439;;C07D401/04;;C07D409/14;;G01N33/68</x:v>
      </x:c>
      <x:c r="T1048" s="87" t="str">
        <x:v>ACTIVE</x:v>
      </x:c>
      <x:c r="U1048" s="87" t="str">
        <x:v>https://lens.org/009-669-396-564-103</x:v>
      </x:c>
    </x:row>
    <x:row r="1049">
      <x:c r="A1049" s="87" t="str">
        <x:v>Sanofi_Applicant_EP_Families_2015_2021.csv(1).csv</x:v>
      </x:c>
      <x:c r="B1049" s="87" t="str">
        <x:v>Sanofi</x:v>
      </x:c>
      <x:c r="C1049" s="87" t="str">
        <x:v>TRT-0010</x:v>
      </x:c>
      <x:c r="D1049" s="87" t="str">
        <x:v>Yes</x:v>
      </x:c>
      <x:c r="E1049" s="87" t="str">
        <x:v>sanofi</x:v>
      </x:c>
      <x:c r="F1049" s="87" t="str">
        <x:v>455</x:v>
      </x:c>
      <x:c r="G1049" s="87" t="str">
        <x:v>113-961-478-977-532</x:v>
      </x:c>
      <x:c r="H1049" s="110" t="n">
        <x:v>39766</x:v>
      </x:c>
      <x:c r="I1049" s="88" t="n">
        <x:v>2008</x:v>
      </x:c>
      <x:c r="J1049" s="87" t="str">
        <x:v>EP</x:v>
      </x:c>
      <x:c r="K1049" s="87" t="str">
        <x:v>B1</x:v>
      </x:c>
      <x:c r="L1049" s="87" t="str">
        <x:v>EP 2358665 B1</x:v>
      </x:c>
      <x:c r="M1049" s="87" t="str">
        <x:v>SANOFI SA</x:v>
      </x:c>
      <x:c r="N1049" s="87" t="str">
        <x:v>SANOFI (2012-05-02)</x:v>
      </x:c>
      <x:c r="O1049" s="87" t="str">
        <x:v>METHOD FOR PREPARING EPLIVANSERIN HEMIFUMARATE</x:v>
      </x:c>
      <x:c r="P1049" s="109" t="n">
        <x:v>0</x:v>
      </x:c>
      <x:c r="Q1049" s="109" t="n">
        <x:v>12</x:v>
      </x:c>
      <x:c r="R1049" s="87" t="str">
        <x:v>C07C249/14;;A61P25/00;;A61P25/20;;A61P43/00;;C07B2200/07;;C07C51/412;;C07C249/14;;C07B2200/07;;C07C51/412</x:v>
      </x:c>
      <x:c r="S1049" s="87" t="str">
        <x:v>C07C249/14;;C07C57/15;;C07C251/58</x:v>
      </x:c>
      <x:c r="T1049" s="87" t="str">
        <x:v>ACTIVE</x:v>
      </x:c>
      <x:c r="U1049" s="87" t="str">
        <x:v>https://lens.org/113-961-478-977-532</x:v>
      </x:c>
    </x:row>
    <x:row r="1050">
      <x:c r="A1050" s="87" t="str">
        <x:v>Sanofi_Applicant_EP_Families_2015_2021.csv(1).csv</x:v>
      </x:c>
      <x:c r="B1050" s="87" t="str">
        <x:v>Sanofi</x:v>
      </x:c>
      <x:c r="C1050" s="87" t="str">
        <x:v>TRT-0010</x:v>
      </x:c>
      <x:c r="D1050" s="87" t="str">
        <x:v>Yes</x:v>
      </x:c>
      <x:c r="E1050" s="87" t="str">
        <x:v>sanofi</x:v>
      </x:c>
      <x:c r="F1050" s="87" t="str">
        <x:v>456</x:v>
      </x:c>
      <x:c r="G1050" s="87" t="str">
        <x:v>135-125-008-071-44X</x:v>
      </x:c>
      <x:c r="H1050" s="110" t="n">
        <x:v>38940</x:v>
      </x:c>
      <x:c r="I1050" s="88" t="n">
        <x:v>2006</x:v>
      </x:c>
      <x:c r="J1050" s="87" t="str">
        <x:v>EP</x:v>
      </x:c>
      <x:c r="K1050" s="87" t="str">
        <x:v>B1</x:v>
      </x:c>
      <x:c r="L1050" s="87" t="str">
        <x:v>EP 2439193 B1</x:v>
      </x:c>
      <x:c r="M1050" s="87" t="str">
        <x:v>SANOFI SA</x:v>
      </x:c>
      <x:c r="N1050" s="87" t="str">
        <x:v>SANOFI (2012-05-02)</x:v>
      </x:c>
      <x:c r="O1050" s="87" t="str">
        <x:v>Derivatives of 5,6-bisaryl-2-pyridine-carboxamide, preparation and use thereof in therapeutics as antagonists of urotensin II receptors</x:v>
      </x:c>
      <x:c r="P1050" s="109" t="n">
        <x:v>0</x:v>
      </x:c>
      <x:c r="Q1050" s="109" t="n">
        <x:v>51</x:v>
      </x:c>
      <x:c r="R1050" s="87" t="str">
        <x:v>C07D213/81;;A61P1/08;;A61P3/00;;A61P3/10;;A61P9/00;;A61P9/04;;A61P9/10;;A61P9/12;;A61P9/14;;A61P11/00;;A61P11/06;;A61P13/12;;A61P25/00;;A61P25/18;;A61P25/20;;A61P25/22;;A61P25/24;;A61P25/28;;A61P29/00;;A61P35/00;;A61P43/00;;C07C235/42;;C07D213/82;;C07D241/24;;C07D241/26;;C07D241/28;;C07D401/04;;C07D401/12;;C07D405/04;;C07D405/12;;C07D409/04;;C07D417/04;;A61K31/44;;A61K31/495;;C07D213/60;;C07D213/81;;C07D241/10;;C07D241/28;;C07D401/04;;C07D213/81;;C07C235/42;;C07D213/82;;C07D241/24;;C07D241/26;;C07D241/28;;C07D401/04;;C07D401/12;;C07D405/04;;C07D405/12;;C07D409/04;;C07D417/04</x:v>
      </x:c>
      <x:c r="S1050" s="87" t="str">
        <x:v>C07D213/60;;A61K31/435;;A61P9/00;;C07D241/10;;C07D401/04</x:v>
      </x:c>
      <x:c r="T1050" s="87" t="str">
        <x:v>ACTIVE</x:v>
      </x:c>
      <x:c r="U1050" s="87" t="str">
        <x:v>https://lens.org/135-125-008-071-44X</x:v>
      </x:c>
    </x:row>
    <x:row r="1051">
      <x:c r="A1051" s="87" t="str">
        <x:v>Sanofi_Applicant_EP_Families_2015_2021.csv(1).csv</x:v>
      </x:c>
      <x:c r="B1051" s="87" t="str">
        <x:v>Sanofi</x:v>
      </x:c>
      <x:c r="C1051" s="87" t="str">
        <x:v>TRT-0010</x:v>
      </x:c>
      <x:c r="D1051" s="87" t="str">
        <x:v>Yes</x:v>
      </x:c>
      <x:c r="E1051" s="87" t="str">
        <x:v>sanofi</x:v>
      </x:c>
      <x:c r="F1051" s="87" t="str">
        <x:v>457</x:v>
      </x:c>
      <x:c r="G1051" s="87" t="str">
        <x:v>157-486-189-297-65X</x:v>
      </x:c>
      <x:c r="H1051" s="110" t="n">
        <x:v>39497</x:v>
      </x:c>
      <x:c r="I1051" s="88" t="n">
        <x:v>2008</x:v>
      </x:c>
      <x:c r="J1051" s="87" t="str">
        <x:v>EP</x:v>
      </x:c>
      <x:c r="K1051" s="87" t="str">
        <x:v>B1</x:v>
      </x:c>
      <x:c r="L1051" s="87" t="str">
        <x:v>EP 2262784 B1</x:v>
      </x:c>
      <x:c r="M1051" s="87" t="str">
        <x:v>SANOFI SA</x:v>
      </x:c>
      <x:c r="N1051" s="87" t="str">
        <x:v>SANOFI (2012-05-02)</x:v>
      </x:c>
      <x:c r="O1051" s="87" t="str">
        <x:v>INHIBITORS OF THE CHEMOKINE RECEPTOR CXCR3</x:v>
      </x:c>
      <x:c r="P1051" s="109" t="n">
        <x:v>0</x:v>
      </x:c>
      <x:c r="Q1051" s="109" t="n">
        <x:v>27</x:v>
      </x:c>
      <x:c r="R1051" s="87" t="str">
        <x:v>C07D295/033;;A61P1/04;;A61P9/10;;A61P11/00;;A61P11/06;;A61P17/00;;A61P17/06;;A61P19/02;;A61P25/00;;A61P29/00;;A61P35/00;;A61P43/00;;C07D471/20;;C07D295/033;;C07D471/20</x:v>
      </x:c>
      <x:c r="S1051" s="87" t="str">
        <x:v>C07D295/033;;A61K31/495;;A61P29/00;;C07D471/20</x:v>
      </x:c>
      <x:c r="T1051" s="87" t="str">
        <x:v>ACTIVE</x:v>
      </x:c>
      <x:c r="U1051" s="87" t="str">
        <x:v>https://lens.org/157-486-189-297-65X</x:v>
      </x:c>
    </x:row>
    <x:row r="1052">
      <x:c r="A1052" s="87" t="str">
        <x:v>Sanofi_Applicant_EP_Families_2015_2021.csv(1).csv</x:v>
      </x:c>
      <x:c r="B1052" s="87" t="str">
        <x:v>Sanofi</x:v>
      </x:c>
      <x:c r="C1052" s="87" t="str">
        <x:v>TRT-0010</x:v>
      </x:c>
      <x:c r="D1052" s="87" t="str">
        <x:v>Yes</x:v>
      </x:c>
      <x:c r="E1052" s="87" t="str">
        <x:v>sanofi</x:v>
      </x:c>
      <x:c r="F1052" s="87" t="str">
        <x:v>458</x:v>
      </x:c>
      <x:c r="G1052" s="87" t="str">
        <x:v>078-804-792-165-78X</x:v>
      </x:c>
      <x:c r="H1052" s="110" t="n">
        <x:v>38932</x:v>
      </x:c>
      <x:c r="I1052" s="88" t="n">
        <x:v>2006</x:v>
      </x:c>
      <x:c r="J1052" s="87" t="str">
        <x:v>EP</x:v>
      </x:c>
      <x:c r="K1052" s="87" t="str">
        <x:v>B1</x:v>
      </x:c>
      <x:c r="L1052" s="87" t="str">
        <x:v>EP 2051985 B1</x:v>
      </x:c>
      <x:c r="M1052" s="87" t="str">
        <x:v>SANOFI SA</x:v>
      </x:c>
      <x:c r="N1052" s="87" t="str">
        <x:v>SANOFI (2012-05-02)</x:v>
      </x:c>
      <x:c r="O1052" s="87" t="str">
        <x:v>PYRAZOLO[4,3-D]THIAZOLE DERIVATIVES, AND PREPARATION AND THERAPUETIC APPLICATION THEREOF</x:v>
      </x:c>
      <x:c r="P1052" s="109" t="n">
        <x:v>0</x:v>
      </x:c>
      <x:c r="Q1052" s="109" t="n">
        <x:v>14</x:v>
      </x:c>
      <x:c r="R1052" s="87" t="str">
        <x:v>C07D513/04;;A61P35/00;;A61P43/00;;C07D513/04</x:v>
      </x:c>
      <x:c r="S1052" s="87" t="str">
        <x:v>C07D513/04;;A61K31/4162;;A61K31/429;;A61P35/00;;C07D231/44;;C07D277/38</x:v>
      </x:c>
      <x:c r="T1052" s="87" t="str">
        <x:v>ACTIVE</x:v>
      </x:c>
      <x:c r="U1052" s="87" t="str">
        <x:v>https://lens.org/078-804-792-165-78X</x:v>
      </x:c>
    </x:row>
    <x:row r="1053">
      <x:c r="A1053" s="87" t="str">
        <x:v>Sanofi_Applicant_EP_Families_2015_2021.csv(1).csv</x:v>
      </x:c>
      <x:c r="B1053" s="87" t="str">
        <x:v>Sanofi</x:v>
      </x:c>
      <x:c r="C1053" s="87" t="str">
        <x:v>TRT-0010</x:v>
      </x:c>
      <x:c r="D1053" s="87" t="str">
        <x:v>Yes</x:v>
      </x:c>
      <x:c r="E1053" s="87" t="str">
        <x:v>sanofi</x:v>
      </x:c>
      <x:c r="F1053" s="87" t="str">
        <x:v>459</x:v>
      </x:c>
      <x:c r="G1053" s="87" t="str">
        <x:v>127-968-923-298-07X</x:v>
      </x:c>
      <x:c r="H1053" s="110" t="n">
        <x:v>38896</x:v>
      </x:c>
      <x:c r="I1053" s="88" t="n">
        <x:v>2006</x:v>
      </x:c>
      <x:c r="J1053" s="87" t="str">
        <x:v>EP</x:v>
      </x:c>
      <x:c r="K1053" s="87" t="str">
        <x:v>B1</x:v>
      </x:c>
      <x:c r="L1053" s="87" t="str">
        <x:v>EP 2040688 B1</x:v>
      </x:c>
      <x:c r="M1053" s="87" t="str">
        <x:v>SANOFI SA</x:v>
      </x:c>
      <x:c r="N1053" s="87" t="str">
        <x:v>SANOFI (2012-05-02)</x:v>
      </x:c>
      <x:c r="O1053" s="87" t="str">
        <x:v>NEW CXCR2 INHIBITORS</x:v>
      </x:c>
      <x:c r="P1053" s="109" t="n">
        <x:v>0</x:v>
      </x:c>
      <x:c r="Q1053" s="109" t="n">
        <x:v>19</x:v>
      </x:c>
      <x:c r="R1053" s="87" t="str">
        <x:v>C07D333/16;;A61P1/02;;A61P1/04;;A61P1/16;;A61P1/18;;A61P7/00;;A61P7/02;;A61P9/00;;A61P9/08;;A61P9/10;;A61P9/12;;A61P9/14;;A61P11/00;;A61P11/06;;A61P11/08;;A61P11/10;;A61P11/14;;A61P13/12;;A61P15/06;;A61P17/00;;A61P17/02;;A61P17/04;;A61P17/06;;A61P19/02;;A61P19/06;;A61P19/10;;A61P21/00;;A61P25/00;;A61P25/06;;A61P25/28;;A61P27/02;;A61P27/16;;A61P29/00;;A61P31/04;;A61P31/12;;A61P31/18;;A61P31/22;;A61P33/06;;A61P35/00;;A61P35/04;;A61P37/04;;A61P37/06;;A61P37/08;;A61P39/02;;A61P39/06;;A61P43/00;;C07C233/83;;C07C235/66;;C07C237/48;;C07C311/29;;C07C2601/04;;C07C2601/10;;C07C2601/14;;C07C2602/08;;C07D213/65;;C07D215/26;;C07D233/60;;C07D295/088;;C07D307/24;;C07D333/64;;C07D215/24;;A61K31/166;;C07D333/64;;C07D333/16;;C07C233/83;;C07C235/66;;C07C237/48;;C07C311/29;;C07C2601/04;;C07C2601/10;;C07C2601/14;;C07C2602/08;;C07D213/65;;C07D215/26;;C07D233/60;;C07D295/088;;C07D307/24;;C07D333/64</x:v>
      </x:c>
      <x:c r="S1053" s="87" t="str">
        <x:v>C07C235/66;;C07C233/83;;C07C237/48;;C07C311/29;;C07D213/65;;C07D215/26;;C07D233/60;;C07D295/088;;C07D307/24;;C07D333/16;;C07D333/64</x:v>
      </x:c>
      <x:c r="T1053" s="87" t="str">
        <x:v>ACTIVE</x:v>
      </x:c>
      <x:c r="U1053" s="87" t="str">
        <x:v>https://lens.org/127-968-923-298-07X</x:v>
      </x:c>
    </x:row>
    <x:row r="1054">
      <x:c r="A1054" s="87" t="str">
        <x:v>Sanofi_Applicant_EP_Families_2015_2021.csv(1).csv</x:v>
      </x:c>
      <x:c r="B1054" s="87" t="str">
        <x:v>Sanofi</x:v>
      </x:c>
      <x:c r="C1054" s="87" t="str">
        <x:v>TRT-0010</x:v>
      </x:c>
      <x:c r="D1054" s="87" t="str">
        <x:v>Yes</x:v>
      </x:c>
      <x:c r="E1054" s="87" t="str">
        <x:v>sanofi</x:v>
      </x:c>
      <x:c r="F1054" s="87" t="str">
        <x:v>460</x:v>
      </x:c>
      <x:c r="G1054" s="87" t="str">
        <x:v>137-313-540-247-385</x:v>
      </x:c>
      <x:c r="H1054" s="110" t="n">
        <x:v>39297</x:v>
      </x:c>
      <x:c r="I1054" s="88" t="n">
        <x:v>2007</x:v>
      </x:c>
      <x:c r="J1054" s="87" t="str">
        <x:v>EP</x:v>
      </x:c>
      <x:c r="K1054" s="87" t="str">
        <x:v>B1</x:v>
      </x:c>
      <x:c r="L1054" s="87" t="str">
        <x:v>EP 2185721 B1</x:v>
      </x:c>
      <x:c r="M1054" s="87" t="str">
        <x:v>SANOFI SA</x:v>
      </x:c>
      <x:c r="N1054" s="87" t="str">
        <x:v>SANOFI (2012-05-02)</x:v>
      </x:c>
      <x:c r="O1054" s="87" t="str">
        <x:v>CASPASE IMAGING PROBES</x:v>
      </x:c>
      <x:c r="P1054" s="109" t="n">
        <x:v>0</x:v>
      </x:c>
      <x:c r="Q1054" s="109" t="n">
        <x:v>11</x:v>
      </x:c>
      <x:c r="R1054" s="87" t="str">
        <x:v>C12Q1/37;;G01N33/542;;G01N2333/96466;;C12Q1/37;;G01N33/542;;G01N2333/96466;;C12Q1/37;;G01N33/542;;G01N2333/96466</x:v>
      </x:c>
      <x:c r="S1054" s="87" t="str">
        <x:v>C12Q1/37;;G01N33/542</x:v>
      </x:c>
      <x:c r="T1054" s="87" t="str">
        <x:v>ACTIVE</x:v>
      </x:c>
      <x:c r="U1054" s="87" t="str">
        <x:v>https://lens.org/137-313-540-247-385</x:v>
      </x:c>
    </x:row>
    <x:row r="1055">
      <x:c r="A1055" s="87" t="str">
        <x:v>Sanofi_Applicant_EP_Families_2015_2021.csv(1).csv</x:v>
      </x:c>
      <x:c r="B1055" s="87" t="str">
        <x:v>Sanofi</x:v>
      </x:c>
      <x:c r="C1055" s="87" t="str">
        <x:v>TRT-0010</x:v>
      </x:c>
      <x:c r="D1055" s="87" t="str">
        <x:v>Yes</x:v>
      </x:c>
      <x:c r="E1055" s="87" t="str">
        <x:v>sanofi</x:v>
      </x:c>
      <x:c r="F1055" s="87" t="str">
        <x:v>461</x:v>
      </x:c>
      <x:c r="G1055" s="87" t="str">
        <x:v>133-306-054-709-58X</x:v>
      </x:c>
      <x:c r="H1055" s="110" t="n">
        <x:v>38973</x:v>
      </x:c>
      <x:c r="I1055" s="88" t="n">
        <x:v>2006</x:v>
      </x:c>
      <x:c r="J1055" s="87" t="str">
        <x:v>EP</x:v>
      </x:c>
      <x:c r="K1055" s="87" t="str">
        <x:v>B1</x:v>
      </x:c>
      <x:c r="L1055" s="87" t="str">
        <x:v>EP 2069288 B1</x:v>
      </x:c>
      <x:c r="M1055" s="87" t="str">
        <x:v>SANOFI SA</x:v>
      </x:c>
      <x:c r="N1055" s="87" t="str">
        <x:v>SANOFI (2012-05-02)</x:v>
      </x:c>
      <x:c r="O1055" s="87" t="str">
        <x:v>TARTRATE DERIVATIVES FOR USE AS COAGULATION FACTOR IXa INHIBITORS</x:v>
      </x:c>
      <x:c r="P1055" s="109" t="n">
        <x:v>0</x:v>
      </x:c>
      <x:c r="Q1055" s="109" t="n">
        <x:v>30</x:v>
      </x:c>
      <x:c r="R1055" s="87" t="str">
        <x:v>C07D217/22;;A61P3/00;;A61P3/10;;A61P7/02;;A61P9/00;;A61P9/06;;A61P9/10;;A61P9/14;;A61P11/00;;A61P17/02;;A61P19/02;;A61P27/02;;A61P29/00;;A61P31/04;;A61P35/00;;A61P35/04;;A61P43/00;;C07C235/16;;C07C257/18;;C07D235/30;;C07D307/60;;C07D307/58;;C07D217/22;;C07C235/16;;C07C257/18;;C07D235/30</x:v>
      </x:c>
      <x:c r="S1055" s="87" t="str">
        <x:v>C07C235/16;;A61K31/165;;A61K31/4184;;A61P7/02;;C07C235/24;;C07C257/18;;C07D217/22;;C07D235/30</x:v>
      </x:c>
      <x:c r="T1055" s="87" t="str">
        <x:v>ACTIVE</x:v>
      </x:c>
      <x:c r="U1055" s="87" t="str">
        <x:v>https://lens.org/133-306-054-709-58X</x:v>
      </x:c>
    </x:row>
    <x:row r="1056">
      <x:c r="A1056" s="87" t="str">
        <x:v>Sanofi_Applicant_EP_Families_2015_2021.csv(1).csv</x:v>
      </x:c>
      <x:c r="B1056" s="87" t="str">
        <x:v>Sanofi</x:v>
      </x:c>
      <x:c r="C1056" s="87" t="str">
        <x:v>TRT-0010</x:v>
      </x:c>
      <x:c r="D1056" s="87" t="str">
        <x:v>Yes</x:v>
      </x:c>
      <x:c r="E1056" s="87" t="str">
        <x:v>sanofi</x:v>
      </x:c>
      <x:c r="F1056" s="87" t="str">
        <x:v>462</x:v>
      </x:c>
      <x:c r="G1056" s="87" t="str">
        <x:v>155-879-313-829-516</x:v>
      </x:c>
      <x:c r="H1056" s="110" t="n">
        <x:v>39266</x:v>
      </x:c>
      <x:c r="I1056" s="88" t="n">
        <x:v>2007</x:v>
      </x:c>
      <x:c r="J1056" s="87" t="str">
        <x:v>EP</x:v>
      </x:c>
      <x:c r="K1056" s="87" t="str">
        <x:v>B1</x:v>
      </x:c>
      <x:c r="L1056" s="87" t="str">
        <x:v>EP 2173716 B1</x:v>
      </x:c>
      <x:c r="M1056" s="87" t="str">
        <x:v>SANOFI SA</x:v>
      </x:c>
      <x:c r="N1056" s="87" t="str">
        <x:v>SANOFI (2012-05-02)</x:v>
      </x:c>
      <x:c r="O1056" s="87" t="str">
        <x:v>A PROCESS FOR THE PALLADIUM-CATALYZED COUPLING OF TERMINAL ALKYNES WITH HETEROARYL TOSYLATES AND HETEROARYL BENZENESULFONATES</x:v>
      </x:c>
      <x:c r="P1056" s="109" t="n">
        <x:v>0</x:v>
      </x:c>
      <x:c r="Q1056" s="109" t="n">
        <x:v>16</x:v>
      </x:c>
      <x:c r="R1056" s="87" t="str">
        <x:v>C07D231/12;;C07D213/127;;C07D213/26;;C07D213/30;;C07D215/12;;C07D215/14;;C07D231/56;;C07D239/26;;C07D333/38;;C07D409/06;;C07D471/04;;C07D239/26;;C07D213/127;;C07D213/26;;C07D213/30;;C07D215/12;;C07D215/14;;C07D231/12;;C07D231/56;;C07D333/38;;C07D409/06;;C07D231/12;;C07D213/127;;C07D213/26;;C07D213/30;;C07D215/12;;C07D215/14;;C07D231/56;;C07D239/26;;C07D333/38;;C07D409/06;;C07D471/04</x:v>
      </x:c>
      <x:c r="S1056" s="87" t="str">
        <x:v>C07D213/127;;C07D213/26;;C07D213/30;;C07D215/12;;C07D215/14;;C07D231/12;;C07D231/56;;C07D239/26;;C07D333/24;;C07D333/38;;C07D409/06;;C07D471/04</x:v>
      </x:c>
      <x:c r="T1056" s="87" t="str">
        <x:v>ACTIVE</x:v>
      </x:c>
      <x:c r="U1056" s="87" t="str">
        <x:v>https://lens.org/155-879-313-829-516</x:v>
      </x:c>
    </x:row>
    <x:row r="1057">
      <x:c r="A1057" s="87" t="str">
        <x:v>Sanofi_Applicant_EP_Families_2015_2021.csv(1).csv</x:v>
      </x:c>
      <x:c r="B1057" s="87" t="str">
        <x:v>Sanofi</x:v>
      </x:c>
      <x:c r="C1057" s="87" t="str">
        <x:v>TRT-0010</x:v>
      </x:c>
      <x:c r="D1057" s="87" t="str">
        <x:v>Yes</x:v>
      </x:c>
      <x:c r="E1057" s="87" t="str">
        <x:v>sanofi</x:v>
      </x:c>
      <x:c r="F1057" s="87" t="str">
        <x:v>463</x:v>
      </x:c>
      <x:c r="G1057" s="87" t="str">
        <x:v>136-717-075-025-932</x:v>
      </x:c>
      <x:c r="H1057" s="110" t="n">
        <x:v>39625</x:v>
      </x:c>
      <x:c r="I1057" s="88" t="n">
        <x:v>2008</x:v>
      </x:c>
      <x:c r="J1057" s="87" t="str">
        <x:v>EP</x:v>
      </x:c>
      <x:c r="K1057" s="87" t="str">
        <x:v>B1</x:v>
      </x:c>
      <x:c r="L1057" s="87" t="str">
        <x:v>EP 2321316 B1</x:v>
      </x:c>
      <x:c r="M1057" s="87" t="str">
        <x:v>MITSUBISHI TANABE PHARMA CORP;;SANOFI SA</x:v>
      </x:c>
      <x:c r="N1057" s="87" t="str">
        <x:v>SANOFI (2012-05-02);;MITSUBISHI TANABE PHARMA CORPORATION (2012-05-02)</x:v>
      </x:c>
      <x:c r="O1057" s="87" t="str">
        <x:v>SUBSTITUTED PYRIMIDIN-4-ONE DERIVATIVES</x:v>
      </x:c>
      <x:c r="P1057" s="109" t="n">
        <x:v>0</x:v>
      </x:c>
      <x:c r="Q1057" s="109" t="n">
        <x:v>19</x:v>
      </x:c>
      <x:c r="R1057" s="87" t="str">
        <x:v>C07D471/04;;A61P3/04;;A61P3/10;;A61P7/00;;A61P9/00;;A61P9/10;;A61P13/12;;A61P17/00;;A61P17/14;;A61P19/00;;A61P19/08;;A61P21/00;;A61P21/02;;A61P25/00;;A61P25/02;;A61P25/16;;A61P25/18;;A61P25/24;;A61P25/28;;A61P27/00;;A61P27/02;;A61P27/06;;A61P33/06;;A61P35/00;;A61P35/02;;A61P37/00;;Y02A50/30;;C07D471/04;;A61K31/519;;C07D403/04;;C07D471/04</x:v>
      </x:c>
      <x:c r="S1057" s="87" t="str">
        <x:v>C07D471/04;;A61K31/519;;A61P25/00</x:v>
      </x:c>
      <x:c r="T1057" s="87" t="str">
        <x:v>ACTIVE</x:v>
      </x:c>
      <x:c r="U1057" s="87" t="str">
        <x:v>https://lens.org/136-717-075-025-932</x:v>
      </x:c>
    </x:row>
    <x:row r="1058">
      <x:c r="A1058" s="87" t="str">
        <x:v>Sanofi_Applicant_EP_Families_2015_2021.csv(1).csv</x:v>
      </x:c>
      <x:c r="B1058" s="87" t="str">
        <x:v>Sanofi</x:v>
      </x:c>
      <x:c r="C1058" s="87" t="str">
        <x:v>TRT-0010</x:v>
      </x:c>
      <x:c r="D1058" s="87" t="str">
        <x:v>Yes</x:v>
      </x:c>
      <x:c r="E1058" s="87" t="str">
        <x:v>sanofi</x:v>
      </x:c>
      <x:c r="F1058" s="87" t="str">
        <x:v>464</x:v>
      </x:c>
      <x:c r="G1058" s="87" t="str">
        <x:v>175-629-651-042-998</x:v>
      </x:c>
      <x:c r="H1058" s="110" t="n">
        <x:v>39793</x:v>
      </x:c>
      <x:c r="I1058" s="88" t="n">
        <x:v>2008</x:v>
      </x:c>
      <x:c r="J1058" s="87" t="str">
        <x:v>EP</x:v>
      </x:c>
      <x:c r="K1058" s="87" t="str">
        <x:v>B1</x:v>
      </x:c>
      <x:c r="L1058" s="87" t="str">
        <x:v>EP 2376511 B1</x:v>
      </x:c>
      <x:c r="M1058" s="87" t="str">
        <x:v>SANOFI SA</x:v>
      </x:c>
      <x:c r="N1058" s="87" t="str">
        <x:v>SANOFI (2012-05-02)</x:v>
      </x:c>
      <x:c r="O1058" s="87" t="str">
        <x:v>BICYCLIC DERIVATIVES OF MORPHINE-6-GLUCURONID, PROCESS FOR THEIR PREPARATION AND THEIR APPLICATION IN THERAPY</x:v>
      </x:c>
      <x:c r="P1058" s="109" t="n">
        <x:v>0</x:v>
      </x:c>
      <x:c r="Q1058" s="109" t="n">
        <x:v>41</x:v>
      </x:c>
      <x:c r="R1058" s="87" t="str">
        <x:v>C07H17/08;;A61P25/04;;A61P29/00;;C07H7/06;;C07H13/08;;C07H17/02;;C07D489/02;;C07D487/04;;C07H15/24;;C07H17/00;;C07H17/08;;C07H7/06;;C07H13/08;;C07H17/02</x:v>
      </x:c>
      <x:c r="S1058" s="87" t="str">
        <x:v>C07H15/24;;A61K31/485;;A61K31/519;;A61K31/7042;;A61K31/7064;;A61P25/04;;C07D239/18;;C07D249/14;;C07D487/04;;C07D489/02;;C07H7/06;;C07H17/00</x:v>
      </x:c>
      <x:c r="T1058" s="87" t="str">
        <x:v>ACTIVE</x:v>
      </x:c>
      <x:c r="U1058" s="87" t="str">
        <x:v>https://lens.org/175-629-651-042-998</x:v>
      </x:c>
    </x:row>
    <x:row r="1059">
      <x:c r="A1059" s="87" t="str">
        <x:v>Sanofi_Applicant_EP_Families_2015_2021.csv(1).csv</x:v>
      </x:c>
      <x:c r="B1059" s="87" t="str">
        <x:v>Sanofi</x:v>
      </x:c>
      <x:c r="C1059" s="87" t="str">
        <x:v>TRT-0010</x:v>
      </x:c>
      <x:c r="D1059" s="87" t="str">
        <x:v>Yes</x:v>
      </x:c>
      <x:c r="E1059" s="87" t="str">
        <x:v>sanofi</x:v>
      </x:c>
      <x:c r="F1059" s="87" t="str">
        <x:v>465</x:v>
      </x:c>
      <x:c r="G1059" s="87" t="str">
        <x:v>005-711-180-493-239</x:v>
      </x:c>
      <x:c r="H1059" s="110" t="n">
        <x:v>40207</x:v>
      </x:c>
      <x:c r="I1059" s="88" t="n">
        <x:v>2010</x:v>
      </x:c>
      <x:c r="J1059" s="87" t="str">
        <x:v>EP</x:v>
      </x:c>
      <x:c r="K1059" s="87" t="str">
        <x:v>B1</x:v>
      </x:c>
      <x:c r="L1059" s="87" t="str">
        <x:v>EP 2528507 B1</x:v>
      </x:c>
      <x:c r="M1059" s="87" t="str">
        <x:v>SANOFI AVENTIS DEUTSCHLAND</x:v>
      </x:c>
      <x:c r="N1059" s="87" t="str">
        <x:v>SANOFI-AVENTIS DEUTSCHLAND GMBH (2014-01-08)</x:v>
      </x:c>
      <x:c r="O1059" s="87" t="str">
        <x:v>ANALYTE MEASUREMENT DEVICE WITH A SINGLE SHOT ACTUATOR</x:v>
      </x:c>
      <x:c r="P1059" s="109" t="n">
        <x:v>0</x:v>
      </x:c>
      <x:c r="Q1059" s="109" t="n">
        <x:v>18</x:v>
      </x:c>
      <x:c r="R1059" s="87" t="str">
        <x:v>A61B5/150022;;A61B5/14532;;A61B5/150175;;A61B5/150259;;A61B5/150358;;A61B5/150412;;A61B5/150572;;A61B5/150702;;A61B5/150961;;A61B5/15109;;A61B5/15113;;A61B5/15117;;A61B5/15186;;A61B5/1519;;A61B5/157;;A61B5/151;;A61B5/145;;A61B5/14532;;A61B5/150022;;A61B5/150053;;A61B5/150175;;A61B5/150259;;A61B5/150358;;A61B5/150412;;A61B5/150572;;A61B5/150702;;A61B5/150961;;A61B5/15109;;A61B5/15113;;A61B5/15117;;A61B5/15146;;A61B5/15186;;A61B5/1519;;A61B5/157</x:v>
      </x:c>
      <x:c r="S1059" s="87" t="str">
        <x:v>A61B5/145;;A61B5/15;;A61B5/151;;A61B5/157</x:v>
      </x:c>
      <x:c r="T1059" s="87" t="str">
        <x:v>ACTIVE</x:v>
      </x:c>
      <x:c r="U1059" s="87" t="str">
        <x:v>https://lens.org/005-711-180-493-239</x:v>
      </x:c>
    </x:row>
    <x:row r="1060">
      <x:c r="A1060" s="87" t="str">
        <x:v>Sanofi_Applicant_EP_Families_2015_2021.csv(1).csv</x:v>
      </x:c>
      <x:c r="B1060" s="87" t="str">
        <x:v>Sanofi</x:v>
      </x:c>
      <x:c r="C1060" s="87" t="str">
        <x:v>TRT-0010</x:v>
      </x:c>
      <x:c r="D1060" s="87" t="str">
        <x:v>Yes</x:v>
      </x:c>
      <x:c r="E1060" s="87" t="str">
        <x:v>sanofi</x:v>
      </x:c>
      <x:c r="F1060" s="87" t="str">
        <x:v>466</x:v>
      </x:c>
      <x:c r="G1060" s="87" t="str">
        <x:v>020-098-625-370-68X</x:v>
      </x:c>
      <x:c r="H1060" s="110" t="n">
        <x:v>38364</x:v>
      </x:c>
      <x:c r="I1060" s="88" t="n">
        <x:v>2005</x:v>
      </x:c>
      <x:c r="J1060" s="87" t="str">
        <x:v>EP</x:v>
      </x:c>
      <x:c r="K1060" s="87" t="str">
        <x:v>B1</x:v>
      </x:c>
      <x:c r="L1060" s="87" t="str">
        <x:v>EP 1838315 B1</x:v>
      </x:c>
      <x:c r="M1060" s="87" t="str">
        <x:v>SANOFI SA</x:v>
      </x:c>
      <x:c r="N1060" s="87" t="str">
        <x:v>SANOFI (2012-05-02)</x:v>
      </x:c>
      <x:c r="O1060" s="87" t="str">
        <x:v>SUBSTITUTED 4-PHENYLTETRAHYDROISOQUINOLINES, METHODS FOR PRODUCING THEM, THEIR USE AS DRUG, AND DRUG CONTAINING THEM</x:v>
      </x:c>
      <x:c r="P1060" s="109" t="n">
        <x:v>0</x:v>
      </x:c>
      <x:c r="Q1060" s="109" t="n">
        <x:v>34</x:v>
      </x:c>
      <x:c r="R1060" s="87" t="str">
        <x:v>C07D401/10;;A61P1/00;;A61P1/04;;A61P1/06;;A61P1/16;;A61P3/06;;A61P3/10;;A61P7/02;;A61P9/00;;A61P9/04;;A61P9/10;;A61P9/12;;A61P11/00;;A61P11/16;;A61P13/00;;A61P13/12;;A61P25/00;;A61P25/08;;A61P25/18;;A61P25/22;;A61P25/24;;A61P33/00;;A61P33/02;;A61P33/06;;A61P37/06;;C07D217/18;;C07D403/10;;A61K31/4725;;C07D401/10;;C07D417/10;;C07D401/10;;C07D217/18</x:v>
      </x:c>
      <x:c r="S1060" s="87" t="str">
        <x:v>A61K31/47;;A61P9/12;;C07D217/14</x:v>
      </x:c>
      <x:c r="T1060" s="87" t="str">
        <x:v>EXPIRED</x:v>
      </x:c>
      <x:c r="U1060" s="87" t="str">
        <x:v>https://lens.org/020-098-625-370-68X</x:v>
      </x:c>
    </x:row>
    <x:row r="1061">
      <x:c r="A1061" s="87" t="str">
        <x:v>Sanofi_Applicant_EP_Families_2015_2021.csv(1).csv</x:v>
      </x:c>
      <x:c r="B1061" s="87" t="str">
        <x:v>Sanofi</x:v>
      </x:c>
      <x:c r="C1061" s="87" t="str">
        <x:v>TRT-0010</x:v>
      </x:c>
      <x:c r="D1061" s="87" t="str">
        <x:v>Yes</x:v>
      </x:c>
      <x:c r="E1061" s="87" t="str">
        <x:v>sanofi</x:v>
      </x:c>
      <x:c r="F1061" s="87" t="str">
        <x:v>467</x:v>
      </x:c>
      <x:c r="G1061" s="87" t="str">
        <x:v>125-217-588-731-824</x:v>
      </x:c>
      <x:c r="H1061" s="110" t="n">
        <x:v>39792</x:v>
      </x:c>
      <x:c r="I1061" s="88" t="n">
        <x:v>2008</x:v>
      </x:c>
      <x:c r="J1061" s="87" t="str">
        <x:v>EP</x:v>
      </x:c>
      <x:c r="K1061" s="87" t="str">
        <x:v>B1</x:v>
      </x:c>
      <x:c r="L1061" s="87" t="str">
        <x:v>EP 2376496 B1</x:v>
      </x:c>
      <x:c r="M1061" s="87" t="str">
        <x:v>SANOFI SA</x:v>
      </x:c>
      <x:c r="N1061" s="87" t="str">
        <x:v>SANOFI (2012-05-02)</x:v>
      </x:c>
      <x:c r="O1061" s="87" t="str">
        <x:v>SYNTHESIS OF MORPHINE-6-GLUCURONIDE OR OF A DERIVATIVE THEREOF</x:v>
      </x:c>
      <x:c r="P1061" s="109" t="n">
        <x:v>0</x:v>
      </x:c>
      <x:c r="Q1061" s="109" t="n">
        <x:v>39</x:v>
      </x:c>
      <x:c r="R1061" s="87" t="str">
        <x:v>C07D489/02;;A61P25/04;;A61P29/00;;C07D489/02</x:v>
      </x:c>
      <x:c r="S1061" s="87" t="str">
        <x:v>C07D489/02;;A61K31/485;;A61K31/70;;A61P25/04;;A61P29/00;;C07H15/24;;C07H17/00;;C07H17/04</x:v>
      </x:c>
      <x:c r="T1061" s="87" t="str">
        <x:v>ACTIVE</x:v>
      </x:c>
      <x:c r="U1061" s="87" t="str">
        <x:v>https://lens.org/125-217-588-731-824</x:v>
      </x:c>
    </x:row>
    <x:row r="1062">
      <x:c r="A1062" s="87" t="str">
        <x:v>Sanofi_Applicant_EP_Families_2015_2021.csv(1).csv</x:v>
      </x:c>
      <x:c r="B1062" s="87" t="str">
        <x:v>Sanofi</x:v>
      </x:c>
      <x:c r="C1062" s="87" t="str">
        <x:v>TRT-0010</x:v>
      </x:c>
      <x:c r="D1062" s="87" t="str">
        <x:v>Yes</x:v>
      </x:c>
      <x:c r="E1062" s="87" t="str">
        <x:v>sanofi</x:v>
      </x:c>
      <x:c r="F1062" s="87" t="str">
        <x:v>468</x:v>
      </x:c>
      <x:c r="G1062" s="87" t="str">
        <x:v>181-513-659-170-292</x:v>
      </x:c>
      <x:c r="H1062" s="110" t="n">
        <x:v>40662</x:v>
      </x:c>
      <x:c r="I1062" s="88" t="n">
        <x:v>2011</x:v>
      </x:c>
      <x:c r="J1062" s="87" t="str">
        <x:v>EP</x:v>
      </x:c>
      <x:c r="K1062" s="87" t="str">
        <x:v>A1</x:v>
      </x:c>
      <x:c r="L1062" s="87" t="str">
        <x:v>EP 2702413 A1</x:v>
      </x:c>
      <x:c r="M1062" s="87" t="str">
        <x:v>SANOFI SA</x:v>
      </x:c>
      <x:c r="N1062" s="87" t="str">
        <x:v>SANOFI BIOTECHNOLOGY (2016-01-06)</x:v>
      </x:c>
      <x:c r="O1062" s="87" t="str">
        <x:v>TEST SYSTEMS AND METHODS FOR IDENTIFYING AND CHARACTERISING LIPID LOWERING DRUGS</x:v>
      </x:c>
      <x:c r="P1062" s="109" t="n">
        <x:v>8</x:v>
      </x:c>
      <x:c r="Q1062" s="109" t="n">
        <x:v>4</x:v>
      </x:c>
      <x:c r="R1062" s="87" t="str">
        <x:v>G01N33/92;;A01K67/0276;;A01K2207/10;;A01K2217/075;;A01K2227/105;;A01K2267/0362;;A01K2267/0393;;G01N2800/32;;A61K49/0008;;A01K67/0276;;A01K2207/10;;A01K2217/075;;A01K2227/105;;A01K2267/0362;;A01K2267/0393;;G01N33/92;;G01N2800/32</x:v>
      </x:c>
      <x:c r="S1062" s="87" t="str">
        <x:v>G01N33/92;;A01K67/027</x:v>
      </x:c>
      <x:c r="T1062" s="87" t="str">
        <x:v>DISCONTINUED</x:v>
      </x:c>
      <x:c r="U1062" s="87" t="str">
        <x:v>https://lens.org/181-513-659-170-292</x:v>
      </x:c>
    </x:row>
    <x:row r="1063">
      <x:c r="A1063" s="87" t="str">
        <x:v>Sanofi_Applicant_EP_Families_2015_2021.csv(1).csv</x:v>
      </x:c>
      <x:c r="B1063" s="87" t="str">
        <x:v>Sanofi</x:v>
      </x:c>
      <x:c r="C1063" s="87" t="str">
        <x:v>TRT-0010</x:v>
      </x:c>
      <x:c r="D1063" s="87" t="str">
        <x:v>Yes</x:v>
      </x:c>
      <x:c r="E1063" s="87" t="str">
        <x:v>sanofi</x:v>
      </x:c>
      <x:c r="F1063" s="87" t="str">
        <x:v>469</x:v>
      </x:c>
      <x:c r="G1063" s="87" t="str">
        <x:v>158-555-843-071-907</x:v>
      </x:c>
      <x:c r="H1063" s="110" t="n">
        <x:v>39792</x:v>
      </x:c>
      <x:c r="I1063" s="88" t="n">
        <x:v>2008</x:v>
      </x:c>
      <x:c r="J1063" s="87" t="str">
        <x:v>EP</x:v>
      </x:c>
      <x:c r="K1063" s="87" t="str">
        <x:v>B1</x:v>
      </x:c>
      <x:c r="L1063" s="87" t="str">
        <x:v>EP 2376512 B1</x:v>
      </x:c>
      <x:c r="M1063" s="87" t="str">
        <x:v>SANOFI SA</x:v>
      </x:c>
      <x:c r="N1063" s="87" t="str">
        <x:v>SANOFI (2012-05-02)</x:v>
      </x:c>
      <x:c r="O1063" s="87" t="str">
        <x:v>DERIVATIVES OF MORPHINE-6-GLUCURONID, PROCESS FOR THEIR PREPARATION AND THEIR USE IN THERAPY</x:v>
      </x:c>
      <x:c r="P1063" s="109" t="n">
        <x:v>0</x:v>
      </x:c>
      <x:c r="Q1063" s="109" t="n">
        <x:v>39</x:v>
      </x:c>
      <x:c r="R1063" s="87" t="str">
        <x:v>C07H13/08;;A61P25/04;;A61P29/00;;C07H17/00;;C07H13/08;;C07D489/02;;C07H7/00;;C07H7/06;;C07H15/24;;C07H17/00;;C07H17/04;;C07H13/08;;C07H17/00</x:v>
      </x:c>
      <x:c r="S1063" s="87" t="str">
        <x:v>C07H15/24;;A61K31/485;;A61K31/70;;A61P25/04;;A61P29/00;;C07D489/02;;C07H7/06;;C07H17/00;;C07H17/04</x:v>
      </x:c>
      <x:c r="T1063" s="87" t="str">
        <x:v>ACTIVE</x:v>
      </x:c>
      <x:c r="U1063" s="87" t="str">
        <x:v>https://lens.org/158-555-843-071-907</x:v>
      </x:c>
    </x:row>
    <x:row r="1064">
      <x:c r="A1064" s="87" t="str">
        <x:v>Sanofi_Applicant_EP_Families_2015_2021.csv(1).csv</x:v>
      </x:c>
      <x:c r="B1064" s="87" t="str">
        <x:v>Sanofi</x:v>
      </x:c>
      <x:c r="C1064" s="87" t="str">
        <x:v>TRT-0010</x:v>
      </x:c>
      <x:c r="D1064" s="87" t="str">
        <x:v>Yes</x:v>
      </x:c>
      <x:c r="E1064" s="87" t="str">
        <x:v>sanofi</x:v>
      </x:c>
      <x:c r="F1064" s="87" t="str">
        <x:v>470</x:v>
      </x:c>
      <x:c r="G1064" s="87" t="str">
        <x:v>102-834-849-633-595</x:v>
      </x:c>
      <x:c r="H1064" s="110" t="n">
        <x:v>39295</x:v>
      </x:c>
      <x:c r="I1064" s="88" t="n">
        <x:v>2007</x:v>
      </x:c>
      <x:c r="J1064" s="87" t="str">
        <x:v>EP</x:v>
      </x:c>
      <x:c r="K1064" s="87" t="str">
        <x:v>B1</x:v>
      </x:c>
      <x:c r="L1064" s="87" t="str">
        <x:v>EP 2176666 B1</x:v>
      </x:c>
      <x:c r="M1064" s="87" t="str">
        <x:v>SANOFI SA</x:v>
      </x:c>
      <x:c r="N1064" s="87" t="str">
        <x:v>SANOFI (2012-05-02)</x:v>
      </x:c>
      <x:c r="O1064" s="87" t="str">
        <x:v>NOVEL AS160-LIKE PROTEIN, TEST SYSTEMS, METHODS AND USES INVOLVING IT FOR THE IDENTIFICATION OF DIABETES TYPE 2 THERAPEUTICS</x:v>
      </x:c>
      <x:c r="P1064" s="109" t="n">
        <x:v>0</x:v>
      </x:c>
      <x:c r="Q1064" s="109" t="n">
        <x:v>20</x:v>
      </x:c>
      <x:c r="R1064" s="87" t="str">
        <x:v>G01N33/5035;;G01N33/6893;;G01N2500/04;;G01N2800/042;;G01N33/5035;;G01N33/6893;;G01N2500/04;;G01N2800/042</x:v>
      </x:c>
      <x:c r="S1064" s="87" t="str">
        <x:v>G01N33/68;;G01N33/50</x:v>
      </x:c>
      <x:c r="T1064" s="87" t="str">
        <x:v>ACTIVE</x:v>
      </x:c>
      <x:c r="U1064" s="87" t="str">
        <x:v>https://lens.org/102-834-849-633-595</x:v>
      </x:c>
    </x:row>
    <x:row r="1065">
      <x:c r="A1065" s="87" t="str">
        <x:v>Sanofi_Applicant_EP_Families_2015_2021.csv(1).csv</x:v>
      </x:c>
      <x:c r="B1065" s="87" t="str">
        <x:v>Sanofi</x:v>
      </x:c>
      <x:c r="C1065" s="87" t="str">
        <x:v>TRT-0010</x:v>
      </x:c>
      <x:c r="D1065" s="87" t="str">
        <x:v>Yes</x:v>
      </x:c>
      <x:c r="E1065" s="87" t="str">
        <x:v>sanofi</x:v>
      </x:c>
      <x:c r="F1065" s="87" t="str">
        <x:v>471</x:v>
      </x:c>
      <x:c r="G1065" s="87" t="str">
        <x:v>019-691-847-090-407</x:v>
      </x:c>
      <x:c r="H1065" s="110" t="n">
        <x:v>37606</x:v>
      </x:c>
      <x:c r="I1065" s="88" t="n">
        <x:v>2002</x:v>
      </x:c>
      <x:c r="J1065" s="87" t="str">
        <x:v>EP</x:v>
      </x:c>
      <x:c r="K1065" s="87" t="str">
        <x:v>B1</x:v>
      </x:c>
      <x:c r="L1065" s="87" t="str">
        <x:v>EP 1572681 B1</x:v>
      </x:c>
      <x:c r="M1065" s="87" t="str">
        <x:v>MITSUBISHI TANABE PHARMA CORP;;SANOFI SA</x:v>
      </x:c>
      <x:c r="N1065" s="87" t="str">
        <x:v>SANOFI-AVENTIS (2008-05-28);;SANOFI (2012-05-02);;MITSUBISHI TANABE PHARMA CORPORATION (2012-05-02)</x:v>
      </x:c>
      <x:c r="O1065" s="87" t="str">
        <x:v>3-SUBSTITUTED-4-PYRIMIDONE DERIVATIVES</x:v>
      </x:c>
      <x:c r="P1065" s="109" t="n">
        <x:v>0</x:v>
      </x:c>
      <x:c r="Q1065" s="109" t="n">
        <x:v>22</x:v>
      </x:c>
      <x:c r="R1065" s="87" t="str">
        <x:v>C07D401/14;;A61P3/06;;A61P3/10;;A61P17/14;;A61P25/00;;A61P25/16;;A61P25/18;;A61P25/28;;A61P27/02;;A61P27/06;;A61P35/00;;A61P35/02;;A61P43/00;;C07D409/14;;C07D413/14;;C07D401/14;;C07D401/14;;C07D409/14;;C07D413/14</x:v>
      </x:c>
      <x:c r="S1065" s="87" t="str">
        <x:v>C07D401/14;;C07D409/14;;C07D413/14</x:v>
      </x:c>
      <x:c r="T1065" s="87" t="str">
        <x:v>EXPIRED</x:v>
      </x:c>
      <x:c r="U1065" s="87" t="str">
        <x:v>https://lens.org/019-691-847-090-407</x:v>
      </x:c>
    </x:row>
    <x:row r="1066">
      <x:c r="A1066" s="87" t="str">
        <x:v>Sanofi_Applicant_EP_Families_2015_2021.csv(1).csv</x:v>
      </x:c>
      <x:c r="B1066" s="87" t="str">
        <x:v>Sanofi</x:v>
      </x:c>
      <x:c r="C1066" s="87" t="str">
        <x:v>TRT-0010</x:v>
      </x:c>
      <x:c r="D1066" s="87" t="str">
        <x:v>Yes</x:v>
      </x:c>
      <x:c r="E1066" s="87" t="str">
        <x:v>sanofi</x:v>
      </x:c>
      <x:c r="F1066" s="87" t="str">
        <x:v>472</x:v>
      </x:c>
      <x:c r="G1066" s="87" t="str">
        <x:v>193-771-087-834-985</x:v>
      </x:c>
      <x:c r="H1066" s="110" t="n">
        <x:v>39799</x:v>
      </x:c>
      <x:c r="I1066" s="88" t="n">
        <x:v>2008</x:v>
      </x:c>
      <x:c r="J1066" s="87" t="str">
        <x:v>EP</x:v>
      </x:c>
      <x:c r="K1066" s="87" t="str">
        <x:v>B1</x:v>
      </x:c>
      <x:c r="L1066" s="87" t="str">
        <x:v>EP 2379501 B1</x:v>
      </x:c>
      <x:c r="M1066" s="87" t="str">
        <x:v>SANOFI SA</x:v>
      </x:c>
      <x:c r="N1066" s="87" t="str">
        <x:v>IMMUNOGEN, INC., US (2017-09-27);;INMUNOGEN, INC. INMUNOGEN, INC. (2017-10-04);;IMMUNOGEN, INC., WALTHAM, US (2016-07-12);;SANOFI (2012-05-02)</x:v>
      </x:c>
      <x:c r="O1066" s="87" t="str">
        <x:v>METHOD FOR PREPARING ACTIVATED ESTERS</x:v>
      </x:c>
      <x:c r="P1066" s="109" t="n">
        <x:v>0</x:v>
      </x:c>
      <x:c r="Q1066" s="109" t="n">
        <x:v>39</x:v>
      </x:c>
      <x:c r="R1066" s="87" t="str">
        <x:v>C07D207/46;;C07D213/71;;C07D401/12;;C07D207/46;;C07D207/40;;C07D213/71;;C07D401/12;;C07D207/46;;C07D213/71;;C07D401/12</x:v>
      </x:c>
      <x:c r="S1066" s="87" t="str">
        <x:v>C07D207/46;;C07D213/71;;C07D401/12</x:v>
      </x:c>
      <x:c r="T1066" s="87" t="str">
        <x:v>ACTIVE</x:v>
      </x:c>
      <x:c r="U1066" s="87" t="str">
        <x:v>https://lens.org/193-771-087-834-985</x:v>
      </x:c>
    </x:row>
    <x:row r="1067">
      <x:c r="A1067" s="87" t="str">
        <x:v>Sanofi_Applicant_EP_Families_2015_2021.csv(1).csv</x:v>
      </x:c>
      <x:c r="B1067" s="87" t="str">
        <x:v>Sanofi</x:v>
      </x:c>
      <x:c r="C1067" s="87" t="str">
        <x:v>TRT-0010</x:v>
      </x:c>
      <x:c r="D1067" s="87" t="str">
        <x:v>Yes</x:v>
      </x:c>
      <x:c r="E1067" s="87" t="str">
        <x:v>sanofi</x:v>
      </x:c>
      <x:c r="F1067" s="87" t="str">
        <x:v>473</x:v>
      </x:c>
      <x:c r="G1067" s="87" t="str">
        <x:v>039-828-535-369-564</x:v>
      </x:c>
      <x:c r="H1067" s="110" t="n">
        <x:v>39449</x:v>
      </x:c>
      <x:c r="I1067" s="88" t="n">
        <x:v>2008</x:v>
      </x:c>
      <x:c r="J1067" s="87" t="str">
        <x:v>EP</x:v>
      </x:c>
      <x:c r="K1067" s="87" t="str">
        <x:v>B1</x:v>
      </x:c>
      <x:c r="L1067" s="87" t="str">
        <x:v>EP 2225240 B1</x:v>
      </x:c>
      <x:c r="M1067" s="87" t="str">
        <x:v>SANOFI SA</x:v>
      </x:c>
      <x:c r="N1067" s="87" t="str">
        <x:v>SANOFI (2012-05-02)</x:v>
      </x:c>
      <x:c r="O1067" s="87" t="str">
        <x:v>Derivatives of 6-heterocyclic-imidazo[1,2-a]pyridine-2-carboxamides, preparation thereof and therapeutic application thereof</x:v>
      </x:c>
      <x:c r="P1067" s="109" t="n">
        <x:v>0</x:v>
      </x:c>
      <x:c r="Q1067" s="109" t="n">
        <x:v>39</x:v>
      </x:c>
      <x:c r="R1067" s="87" t="str">
        <x:v>C07D471/04;;A61P9/00;;A61P19/10;;A61P25/00;;A61P25/08;;A61P25/16;;A61P25/18;;A61P25/24;;A61P25/26;;A61P25/28;;A61P25/30;;A61P29/00;;A61P35/00;;A61P43/00;;C07F7/0814;;C07F7/2208;;C07D471/04;;C07D471/04;;C07F7/0814;;C07F7/2208</x:v>
      </x:c>
      <x:c r="S1067" s="87" t="str">
        <x:v>C07D471/04;;A61K31/437;;A61P9/00;;A61P19/10;;A61P29/00;;A61P35/00;;C07D213/24;;C07D213/30;;C07D213/48;;C07D213/50;;C07D213/53;;C07D213/61;;C07D213/84;;C07D233/70;;C07D233/72;;C07F5/02;;C07F5/04;;C07F7/08;;C07F7/22</x:v>
      </x:c>
      <x:c r="T1067" s="87" t="str">
        <x:v>ACTIVE</x:v>
      </x:c>
      <x:c r="U1067" s="87" t="str">
        <x:v>https://lens.org/039-828-535-369-564</x:v>
      </x:c>
    </x:row>
    <x:row r="1068">
      <x:c r="A1068" s="87" t="str">
        <x:v>Sanofi_Applicant_EP_Families_2015_2021.csv(1).csv</x:v>
      </x:c>
      <x:c r="B1068" s="87" t="str">
        <x:v>Sanofi</x:v>
      </x:c>
      <x:c r="C1068" s="87" t="str">
        <x:v>TRT-0010</x:v>
      </x:c>
      <x:c r="D1068" s="87" t="str">
        <x:v>Yes</x:v>
      </x:c>
      <x:c r="E1068" s="87" t="str">
        <x:v>sanofi</x:v>
      </x:c>
      <x:c r="F1068" s="87" t="str">
        <x:v>474</x:v>
      </x:c>
      <x:c r="G1068" s="87" t="str">
        <x:v>181-133-268-830-324</x:v>
      </x:c>
      <x:c r="H1068" s="110" t="n">
        <x:v>39960</x:v>
      </x:c>
      <x:c r="I1068" s="88" t="n">
        <x:v>2009</x:v>
      </x:c>
      <x:c r="J1068" s="87" t="str">
        <x:v>EP</x:v>
      </x:c>
      <x:c r="K1068" s="87" t="str">
        <x:v>B1</x:v>
      </x:c>
      <x:c r="L1068" s="87" t="str">
        <x:v>EP 2435398 B1</x:v>
      </x:c>
      <x:c r="M1068" s="87" t="str">
        <x:v>SANOFI SA</x:v>
      </x:c>
      <x:c r="N1068" s="87" t="str">
        <x:v>SANOFI (2012-05-02)</x:v>
      </x:c>
      <x:c r="O1068" s="87" t="str">
        <x:v>PROCESS FOR THE PRODUCTION OF BENZOFURANS</x:v>
      </x:c>
      <x:c r="P1068" s="109" t="n">
        <x:v>0</x:v>
      </x:c>
      <x:c r="Q1068" s="109" t="n">
        <x:v>30</x:v>
      </x:c>
      <x:c r="R1068" s="87" t="str">
        <x:v>C07D307/80;;A61P9/00;;A61P9/06;;C07C205/45;;C07C205/43;;A61K31/343;;C07D307/80;;C07D307/80;;C07C205/45</x:v>
      </x:c>
      <x:c r="S1068" s="87" t="str">
        <x:v>C07C205/43;;A61K31/343;;A61P9/06;;C07D307/80</x:v>
      </x:c>
      <x:c r="T1068" s="87" t="str">
        <x:v>ACTIVE</x:v>
      </x:c>
      <x:c r="U1068" s="87" t="str">
        <x:v>https://lens.org/181-133-268-830-324</x:v>
      </x:c>
    </x:row>
    <x:row r="1069">
      <x:c r="A1069" s="87" t="str">
        <x:v>Sanofi_Applicant_EP_Families_2015_2021.csv(1).csv</x:v>
      </x:c>
      <x:c r="B1069" s="87" t="str">
        <x:v>Sanofi</x:v>
      </x:c>
      <x:c r="C1069" s="87" t="str">
        <x:v>TRT-0010</x:v>
      </x:c>
      <x:c r="D1069" s="87" t="str">
        <x:v>Yes</x:v>
      </x:c>
      <x:c r="E1069" s="87" t="str">
        <x:v>sanofi</x:v>
      </x:c>
      <x:c r="F1069" s="87" t="str">
        <x:v>475</x:v>
      </x:c>
      <x:c r="G1069" s="87" t="str">
        <x:v>043-033-487-300-268</x:v>
      </x:c>
      <x:c r="H1069" s="110" t="n">
        <x:v>38742</x:v>
      </x:c>
      <x:c r="I1069" s="88" t="n">
        <x:v>2006</x:v>
      </x:c>
      <x:c r="J1069" s="87" t="str">
        <x:v>EP</x:v>
      </x:c>
      <x:c r="K1069" s="87" t="str">
        <x:v>B1</x:v>
      </x:c>
      <x:c r="L1069" s="87" t="str">
        <x:v>EP 1981889 B1</x:v>
      </x:c>
      <x:c r="M1069" s="87" t="str">
        <x:v>SANOFI SA</x:v>
      </x:c>
      <x:c r="N1069" s="87" t="str">
        <x:v>SANOFI (2012-05-02)</x:v>
      </x:c>
      <x:c r="O1069" s="87" t="str">
        <x:v>CYTOTOXIC AGENTS COMPRISING NEW TOMAYMYCIN DERIVATIVES AND THEIR THERAPEUTIC USE</x:v>
      </x:c>
      <x:c r="P1069" s="109" t="n">
        <x:v>0</x:v>
      </x:c>
      <x:c r="Q1069" s="109" t="n">
        <x:v>63</x:v>
      </x:c>
      <x:c r="R1069" s="87" t="str">
        <x:v>C07D487/04;;A61P35/00;;A61P35/04;;C07D487/04;;C07D487/04;;A61K31/5517;;C07D487/04</x:v>
      </x:c>
      <x:c r="S1069" s="87" t="str">
        <x:v>C07D487/04</x:v>
      </x:c>
      <x:c r="T1069" s="87" t="str">
        <x:v>ACTIVE</x:v>
      </x:c>
      <x:c r="U1069" s="87" t="str">
        <x:v>https://lens.org/043-033-487-300-268</x:v>
      </x:c>
    </x:row>
    <x:row r="1070">
      <x:c r="A1070" s="87" t="str">
        <x:v>Sanofi_Applicant_EP_Families_2015_2021.csv(1).csv</x:v>
      </x:c>
      <x:c r="B1070" s="87" t="str">
        <x:v>Sanofi</x:v>
      </x:c>
      <x:c r="C1070" s="87" t="str">
        <x:v>TRT-0010</x:v>
      </x:c>
      <x:c r="D1070" s="87" t="str">
        <x:v>Yes</x:v>
      </x:c>
      <x:c r="E1070" s="87" t="str">
        <x:v>sanofi</x:v>
      </x:c>
      <x:c r="F1070" s="87" t="str">
        <x:v>476</x:v>
      </x:c>
      <x:c r="G1070" s="87" t="str">
        <x:v>010-616-777-912-729</x:v>
      </x:c>
      <x:c r="H1070" s="110" t="n">
        <x:v>39608</x:v>
      </x:c>
      <x:c r="I1070" s="88" t="n">
        <x:v>2008</x:v>
      </x:c>
      <x:c r="J1070" s="87" t="str">
        <x:v>EP</x:v>
      </x:c>
      <x:c r="K1070" s="87" t="str">
        <x:v>B1</x:v>
      </x:c>
      <x:c r="L1070" s="87" t="str">
        <x:v>EP 2288604 B1</x:v>
      </x:c>
      <x:c r="M1070" s="87" t="str">
        <x:v>SANOFI SA</x:v>
      </x:c>
      <x:c r="N1070" s="87" t="str">
        <x:v>SANOFI (2012-05-02)</x:v>
      </x:c>
      <x:c r="O1070" s="87" t="str">
        <x:v>ANNELATED N-HETEROCYCLIC SULFONAMIDES WITH OXADIAZOLONE HEADGROUP, PROCESSES FOR THEIR PREPARATION AND THEIR USE AS PHARMACEUTICALS</x:v>
      </x:c>
      <x:c r="P1070" s="109" t="n">
        <x:v>0</x:v>
      </x:c>
      <x:c r="Q1070" s="109" t="n">
        <x:v>23</x:v>
      </x:c>
      <x:c r="R1070" s="87" t="str">
        <x:v>C07D413/10;;A61P3/00;;A61P3/06;;A61P3/08;;A61P3/10;;A61P25/00;;A61P25/02;;A61P25/28;;C07D413/12;;C07D413/14;;C07D417/10;;C07D471/04;;C07D498/04;;C07D413/10;;C07D413/12;;C07D413/14;;C07D417/10;;C07D471/04;;C07D498/04</x:v>
      </x:c>
      <x:c r="S1070" s="87" t="str">
        <x:v>C07D413/10;;A61K31/436;;A61K31/4706;;A61K31/4709;;A61K31/5365;;A61K31/5383;;A61P3/00;;A61P25/00;;C07D413/12;;C07D413/14;;C07D417/10;;C07D471/04;;C07D498/04</x:v>
      </x:c>
      <x:c r="T1070" s="87" t="str">
        <x:v>ACTIVE</x:v>
      </x:c>
      <x:c r="U1070" s="87" t="str">
        <x:v>https://lens.org/010-616-777-912-729</x:v>
      </x:c>
    </x:row>
    <x:row r="1071">
      <x:c r="A1071" s="87" t="str">
        <x:v>shire.csv</x:v>
      </x:c>
      <x:c r="B1071" s="87" t="str">
        <x:v>Shire</x:v>
      </x:c>
      <x:c r="C1071" s="87" t="str">
        <x:v>TRT-0045</x:v>
      </x:c>
      <x:c r="D1071" s="87" t="str">
        <x:v>Yes</x:v>
      </x:c>
      <x:c r="E1071" s="87" t="str">
        <x:v>shire</x:v>
      </x:c>
      <x:c r="F1071" s="87" t="str">
        <x:v>1</x:v>
      </x:c>
      <x:c r="G1071" s="87" t="str">
        <x:v>117-120-097-727-598</x:v>
      </x:c>
      <x:c r="H1071" s="110" t="n">
        <x:v>40844</x:v>
      </x:c>
      <x:c r="I1071" s="88" t="n">
        <x:v>2011</x:v>
      </x:c>
      <x:c r="J1071" s="87" t="str">
        <x:v>EP</x:v>
      </x:c>
      <x:c r="K1071" s="87" t="str">
        <x:v>B1</x:v>
      </x:c>
      <x:c r="L1071" s="87" t="str">
        <x:v>EP 3266457 B1</x:v>
      </x:c>
      <x:c r="M1071" s="87" t="str">
        <x:v>SHIRE HUMAN GENETIC THERAPIES</x:v>
      </x:c>
      <x:c r="N1071" s="87" t="str">
        <x:v>SHIRE HUMAN GENETIC THERAPIES, INC. (2020-12-02)</x:v>
      </x:c>
      <x:c r="O1071" s="87" t="str">
        <x:v>BILE ACID RECYCLING INHIBITORS FOR TREATMENT OF PEDIATRIC CHOLESTATIC LIVER DISEASES</x:v>
      </x:c>
      <x:c r="P1071" s="109" t="n">
        <x:v>0</x:v>
      </x:c>
      <x:c r="Q1071" s="109" t="n">
        <x:v>78</x:v>
      </x:c>
      <x:c r="R1071" s="87" t="str">
        <x:v>A61K45/06;;A61K31/41;;A61K31/495;;A61K31/4965;;A61K31/4985;;A61K31/5377;;A61K31/155;;A61K31/38;;A61K31/554;;C07D281/10;;C07D337/08;;C07D409/10;;C07D487/08;;C07H15/26;;A61K31/7042;;A61P1/10;;A61P1/14;;A61P1/16;;A61P1/18;;A61P13/02;;A61P17/04;;A61P35/00;;A61P3/06;;A61P43/00;;A61P7/00;;A61K31/495;;C07D487/08;;A61P1/16;;A61K31/4995;;A61K31/38;;A61K31/7042;;A61K31/554;;A61K31/155;;A61K45/06;;A61P1/16;;A61P17/04;;A61K31/41;;A61K31/495;;A61K31/4965;;A61K31/4985;;A61K31/5377;;A61K31/155;;A61K31/38;;A61K31/554;;A61P1/16;;A61K31/7042;;A61K31/4436;;A61K31/4995;;A61K45/06;;C07D281/10;;C07D337/08;;C07D409/10;;C07D487/08;;C07H15/26;;A61K9/0053;;A61K9/0056;;A61K9/1611;;A61K9/1617;;A61K9/1623;;A61K9/1635;;A61K9/2009;;A61K9/2013;;A61K9/2018;;A61K9/2027;;A61K9/2054;;A61K9/2059;;A61K9/2081</x:v>
      </x:c>
      <x:c r="S1071" s="87" t="str">
        <x:v>A61K31/495;;A61K31/155;;A61K31/38;;A61K31/41;;A61K31/4436;;A61K31/4965;;A61K31/4985;;A61K31/4995;;A61K31/5377;;A61K31/554;;A61K31/7042;;A61K45/06;;A61P1/16</x:v>
      </x:c>
      <x:c r="T1071" s="87" t="str">
        <x:v>ACTIVE</x:v>
      </x:c>
      <x:c r="U1071" s="87" t="str">
        <x:v>https://lens.org/117-120-097-727-598</x:v>
      </x:c>
    </x:row>
    <x:row r="1072">
      <x:c r="A1072" s="87" t="str">
        <x:v>shire.csv</x:v>
      </x:c>
      <x:c r="B1072" s="87" t="str">
        <x:v>Shire</x:v>
      </x:c>
      <x:c r="C1072" s="87" t="str">
        <x:v>TRT-0045</x:v>
      </x:c>
      <x:c r="D1072" s="87" t="str">
        <x:v>Yes</x:v>
      </x:c>
      <x:c r="E1072" s="87" t="str">
        <x:v>shire</x:v>
      </x:c>
      <x:c r="F1072" s="87" t="str">
        <x:v>2</x:v>
      </x:c>
      <x:c r="G1072" s="87" t="str">
        <x:v>098-191-536-246-405</x:v>
      </x:c>
      <x:c r="H1072" s="110" t="n">
        <x:v>42101</x:v>
      </x:c>
      <x:c r="I1072" s="88" t="n">
        <x:v>2015</x:v>
      </x:c>
      <x:c r="J1072" s="87" t="str">
        <x:v>US</x:v>
      </x:c>
      <x:c r="K1072" s="87" t="str">
        <x:v>B2</x:v>
      </x:c>
      <x:c r="L1072" s="87" t="str">
        <x:v>US 12435146 B2</x:v>
      </x:c>
      <x:c r="M1072" s="87" t="str">
        <x:v>SHIRE HUMAN GENETIC THERAPIES</x:v>
      </x:c>
      <x:c r="N1072" s="87" t="str">
        <x:v>SHIRE HUMAN GENETIC THERAPIES INC (2015-07-02)</x:v>
      </x:c>
      <x:c r="O1072" s="87" t="str">
        <x:v>Anti-Flt-1 antibodies for treating Duchenne muscular dystrophy</x:v>
      </x:c>
      <x:c r="P1072" s="109" t="n">
        <x:v>0</x:v>
      </x:c>
      <x:c r="Q1072" s="109" t="n">
        <x:v>32</x:v>
      </x:c>
      <x:c r="R1072" s="87" t="str">
        <x:v>C07K16/2863;;A61K2039/505;;A61P13/12;;A61P15/00;;A61P21/00;;C07K2317/22;;C07K2317/24;;C07K2317/33;;C07K2317/34;;C07K2317/515;;C07K2317/55;;C07K2317/565;;C07K2317/569;;C07K2317/70;;C07K2317/74;;C07K2317/76;;C07K2317/92;;C07K2317/94;;C07K16/2863;;A61K2039/505;;A61P13/12;;A61P15/00;;A61P21/00;;A61P21/04;;C07K2317/22;;C07K2317/24;;C07K2317/33;;C07K2317/34;;C07K2317/515;;C07K2317/55;;C07K2317/565;;C07K2317/569;;C07K2317/70;;C07K2317/74;;C07K2317/76;;C07K2317/92;;C07K2317/94;;C07K16/2863;;A61K39/39566;;A61K2039/505;;C07K2317/22;;C07K2317/24;;C07K2317/33;;C07K2317/34;;C07K2317/50;;C07K2317/515;;C07K2317/55;;C07K2317/565;;C07K2317/569;;C07K2317/70;;C07K2317/74;;C07K2317/76;;C07K2317/92;;C07K2317/94</x:v>
      </x:c>
      <x:c r="S1072" s="87" t="str">
        <x:v>C07K16/28;;A61K39/00;;A61K39/395</x:v>
      </x:c>
      <x:c r="T1072" s="87" t="str">
        <x:v>ACTIVE</x:v>
      </x:c>
      <x:c r="U1072" s="87" t="str">
        <x:v>https://lens.org/098-191-536-246-405</x:v>
      </x:c>
    </x:row>
    <x:row r="1073">
      <x:c r="A1073" s="87" t="str">
        <x:v>shire.csv</x:v>
      </x:c>
      <x:c r="B1073" s="87" t="str">
        <x:v>Shire</x:v>
      </x:c>
      <x:c r="C1073" s="87" t="str">
        <x:v>TRT-0045</x:v>
      </x:c>
      <x:c r="D1073" s="87" t="str">
        <x:v>Yes</x:v>
      </x:c>
      <x:c r="E1073" s="87" t="str">
        <x:v>shire</x:v>
      </x:c>
      <x:c r="F1073" s="87" t="str">
        <x:v>3</x:v>
      </x:c>
      <x:c r="G1073" s="87" t="str">
        <x:v>156-646-433-256-475</x:v>
      </x:c>
      <x:c r="H1073" s="110" t="n">
        <x:v>40844</x:v>
      </x:c>
      <x:c r="I1073" s="88" t="n">
        <x:v>2011</x:v>
      </x:c>
      <x:c r="J1073" s="87" t="str">
        <x:v>US</x:v>
      </x:c>
      <x:c r="K1073" s="87" t="str">
        <x:v>A1</x:v>
      </x:c>
      <x:c r="L1073" s="87" t="str">
        <x:v>US 2025/0282808 A1</x:v>
      </x:c>
      <x:c r="M1073" s="87" t="str">
        <x:v>SHIRE HUMAN GENETIC THERAPIES</x:v>
      </x:c>
      <x:c r="N1073" s="87" t="str">
        <x:v>SHIRE HUMAN GENETIC THERAPIES INC (2020-06-26);;LUMENA PHARMACEUTICALS LLC (2014-12-12)</x:v>
      </x:c>
      <x:c r="O1073" s="87" t="str">
        <x:v>BILE ACID RECYCLING INHIBITORS FOR TREATMENT OF HYPERCHOLEMIA AND CHOLESTATIC LIVER DISEASE</x:v>
      </x:c>
      <x:c r="P1073" s="109" t="n">
        <x:v>0</x:v>
      </x:c>
      <x:c r="Q1073" s="109" t="n">
        <x:v>51</x:v>
      </x:c>
      <x:c r="R1073" s="87" t="str">
        <x:v>A61K31/4995;;A61K31/38;;A61K31/704;;A61P1/16;;C07H13/12;;A61K31/155;;A61K31/38;;A61K31/40;;A61K31/4436;;A61K31/4453;;A61K31/454;;A61K31/495;;A61K31/4995;;A61K31/5377;;A61K31/554;;A61K31/7028;;A61K31/7042;;A61K45/06;;A61P1/16;;A61P17/04;;C07D207/04;;C07D211/06;;C07D211/08;;C07D281/10;;C07D285/36;;C07D295/13;;C07D337/08;;C07D401/12;;C07D413/12;;C07D487/08;;C07H15/18;;Y02A50/30;;C07H13/12;;A61K31/155;;A61K31/38;;A61K31/40;;A61K31/4436;;A61K31/4453;;A61K31/454;;A61K31/495;;A61K31/4995;;A61K31/5377;;A61K31/554;;A61K31/7028;;A61K31/7042;;A61K45/06;;A61K2300/00;;C07C257/10;;C07C279/12;;C07D207/04;;C07D211/06;;C07D211/08;;C07D281/10;;C07D285/36;;C07D295/13;;C07D337/08;;C07D401/12;;C07D413/12;;C07D487/08;;C07H15/18;;C07H15/26;;A61K31/4995;;A61K31/155;;A61K31/38;;A61K31/554;;A61K31/7042;;A61K45/06;;A61P1/16;;A61P17/04;;C07H13/12;;A61K31/155;;A61K31/38;;A61K31/40;;A61K31/4436;;A61K31/4453;;A61K31/454;;A61K31/495;;A61K31/4995;;A61K31/5377;;A61K31/554;;A61K31/7028;;A61K31/7042;;A61K45/06;;A61P1/16;;A61P43/00;;C07C257/10;;C07C279/12;;C07D207/04;;C07D211/06;;C07D211/08;;C07D281/10;;C07D285/36;;C07D295/13;;C07D337/08;;C07D401/12;;C07D413/12;;C07D487/08;;C07H15/18;;C07H15/26;;Y02A50/30</x:v>
      </x:c>
      <x:c r="S1073" s="87" t="str">
        <x:v>C07H13/12;;A61K31/155;;A61K31/38;;A61K31/40;;A61K31/4436;;A61K31/4453;;A61K31/454;;A61K31/495;;A61K31/4995;;A61K31/5377;;A61K31/554;;A61K31/7028;;A61K31/7042;;A61K45/06;;A61P1/16;;A61P43/00;;C07C257/10;;C07C279/12;;C07D207/04;;C07D211/06;;C07D211/08;;C07D281/10;;C07D285/36;;C07D295/13;;C07D337/08;;C07D401/12;;C07D413/12;;C07D487/08;;C07H15/18;;C07H15/26</x:v>
      </x:c>
      <x:c r="T1073" s="87" t="str">
        <x:v>PENDING</x:v>
      </x:c>
      <x:c r="U1073" s="87" t="str">
        <x:v>https://lens.org/156-646-433-256-475</x:v>
      </x:c>
    </x:row>
    <x:row r="1074">
      <x:c r="A1074" s="87" t="str">
        <x:v>shire.csv</x:v>
      </x:c>
      <x:c r="B1074" s="87" t="str">
        <x:v>Shire</x:v>
      </x:c>
      <x:c r="C1074" s="87" t="str">
        <x:v>TRT-0045</x:v>
      </x:c>
      <x:c r="D1074" s="87" t="str">
        <x:v>Yes</x:v>
      </x:c>
      <x:c r="E1074" s="87" t="str">
        <x:v>shire</x:v>
      </x:c>
      <x:c r="F1074" s="87" t="str">
        <x:v>4</x:v>
      </x:c>
      <x:c r="G1074" s="87" t="str">
        <x:v>124-866-119-002-155</x:v>
      </x:c>
      <x:c r="H1074" s="110" t="n">
        <x:v>43494</x:v>
      </x:c>
      <x:c r="I1074" s="88" t="n">
        <x:v>2019</x:v>
      </x:c>
      <x:c r="J1074" s="87" t="str">
        <x:v>US</x:v>
      </x:c>
      <x:c r="K1074" s="87" t="str">
        <x:v>B2</x:v>
      </x:c>
      <x:c r="L1074" s="87" t="str">
        <x:v>US 11634468 B2</x:v>
      </x:c>
      <x:c r="M1074" s="87" t="str">
        <x:v>SHIRE NPS PHARMACEUTICALS INC</x:v>
      </x:c>
      <x:c r="N1074" s="87" t="str">
        <x:v>TAKEDA PHARMACEUTICALS U.S.A. INC (2022-07-28);;SHIRE-NPS PHARMACEUTICALS INC (2021-04-14);;TAKEDA PHARMACEUTICAL COMPANY LIMITED (2023-05-03)</x:v>
      </x:c>
      <x:c r="O1074" s="87" t="str">
        <x:v>Parathyroid hormone variants</x:v>
      </x:c>
      <x:c r="P1074" s="109" t="n">
        <x:v>1</x:v>
      </x:c>
      <x:c r="Q1074" s="109" t="n">
        <x:v>15</x:v>
      </x:c>
      <x:c r="R1074" s="87" t="str">
        <x:v>A61P5/18;;A61K9/0019;;A61K9/08;;A61K38/00;;C07K14/635;;C07K2319/02;;C07K2319/21;;C07K2319/30;;C07K2319/50;;C07K14/635;;A61K9/0019;;A61K9/08;;A61K38/00;;A61P5/18;;C07K1/165;;C07K2319/21;;C07K2319/30;;C12N15/62;;C12N15/85;;C07K14/635;;A61K9/0014;;A61K38/00;;A61P5/18;;C07K1/165;;C07K2319/30</x:v>
      </x:c>
      <x:c r="S1074" s="87" t="str">
        <x:v>C07K14/635;;A61K9/00;;A61K38/00;;A61P5/18;;C07K1/16</x:v>
      </x:c>
      <x:c r="T1074" s="87" t="str">
        <x:v>ACTIVE</x:v>
      </x:c>
      <x:c r="U1074" s="87" t="str">
        <x:v>https://lens.org/124-866-119-002-155</x:v>
      </x:c>
    </x:row>
    <x:row r="1075">
      <x:c r="A1075" s="87" t="str">
        <x:v>shire.csv</x:v>
      </x:c>
      <x:c r="B1075" s="87" t="str">
        <x:v>Shire</x:v>
      </x:c>
      <x:c r="C1075" s="87" t="str">
        <x:v>TRT-0045</x:v>
      </x:c>
      <x:c r="D1075" s="87" t="str">
        <x:v>Yes</x:v>
      </x:c>
      <x:c r="E1075" s="87" t="str">
        <x:v>shire</x:v>
      </x:c>
      <x:c r="F1075" s="87" t="str">
        <x:v>5</x:v>
      </x:c>
      <x:c r="G1075" s="87" t="str">
        <x:v>073-842-004-223-375</x:v>
      </x:c>
      <x:c r="H1075" s="110" t="n">
        <x:v>43627</x:v>
      </x:c>
      <x:c r="I1075" s="88" t="n">
        <x:v>2019</x:v>
      </x:c>
      <x:c r="J1075" s="87" t="str">
        <x:v>US</x:v>
      </x:c>
      <x:c r="K1075" s="87" t="str">
        <x:v>A1</x:v>
      </x:c>
      <x:c r="L1075" s="87" t="str">
        <x:v>US 2023/0038502 A1</x:v>
      </x:c>
      <x:c r="M1075" s="87" t="str">
        <x:v>SHIRE HUMAN GENETIC THERAPIES</x:v>
      </x:c>
      <x:c r="N1075" s="87" t="str">
        <x:v>SHIRE HUMAN GENETIC THERAPIES INC (2022-03-08);;TAKEDA PHARMACEUTICAL COMPANY LIMITED (2022-03-03)</x:v>
      </x:c>
      <x:c r="O1075" s="87" t="str">
        <x:v>ADENO ASSOCIATED VIRAL VECTOR DELIVERY OF ANTIBODIES FOR THE TREATMENT OF DISEASE MEDIATED BY DYSREGULATED PLASMA KALLIKREIN</x:v>
      </x:c>
      <x:c r="P1075" s="109" t="n">
        <x:v>0</x:v>
      </x:c>
      <x:c r="Q1075" s="109" t="n">
        <x:v>7</x:v>
      </x:c>
      <x:c r="R1075" s="87" t="str">
        <x:v>C12N15/86;;A61K39/3955;;A61K2039/5256;;A61K2039/53;;A61P1/00;;A61P1/02;;A61P7/02;;A61P7/10;;A61P9/10;;A61P9/14;;A61P17/02;;A61P19/02;;A61P19/06;;A61P25/00;;A61P25/06;;A61P35/00;;C07K16/40;;C12N7/00;;C12N2750/14121;;C12N2750/14143;;C12N2830/008;;C12N2830/48;;C12N2840/203;;A61K48/0058;;C07K16/40;;C12N2750/14143;;C12N2830/008;;C12N2830/48;;C12N2840/203;;C12N15/86;;A61K48/0058;;C07K16/40;;C12N2750/14143;;C12N2830/008;;C12N2830/48;;C12N2840/203</x:v>
      </x:c>
      <x:c r="S1075" s="87" t="str">
        <x:v>C12N15/86;;A61K48/00;;C07K16/40</x:v>
      </x:c>
      <x:c r="T1075" s="87" t="str">
        <x:v>DISCONTINUED</x:v>
      </x:c>
      <x:c r="U1075" s="87" t="str">
        <x:v>https://lens.org/073-842-004-223-375</x:v>
      </x:c>
    </x:row>
    <x:row r="1076">
      <x:c r="A1076" s="87" t="str">
        <x:v>shire.csv</x:v>
      </x:c>
      <x:c r="B1076" s="87" t="str">
        <x:v>Shire</x:v>
      </x:c>
      <x:c r="C1076" s="87" t="str">
        <x:v>TRT-0045</x:v>
      </x:c>
      <x:c r="D1076" s="87" t="str">
        <x:v>Yes</x:v>
      </x:c>
      <x:c r="E1076" s="87" t="str">
        <x:v>shire</x:v>
      </x:c>
      <x:c r="F1076" s="87" t="str">
        <x:v>6</x:v>
      </x:c>
      <x:c r="G1076" s="87" t="str">
        <x:v>196-911-634-871-365</x:v>
      </x:c>
      <x:c r="H1076" s="110" t="n">
        <x:v>43761</x:v>
      </x:c>
      <x:c r="I1076" s="88" t="n">
        <x:v>2019</x:v>
      </x:c>
      <x:c r="J1076" s="87" t="str">
        <x:v>US</x:v>
      </x:c>
      <x:c r="K1076" s="87" t="str">
        <x:v>A1</x:v>
      </x:c>
      <x:c r="L1076" s="87" t="str">
        <x:v>US 2023/0043051 A1</x:v>
      </x:c>
      <x:c r="M1076" s="87" t="str">
        <x:v>SHIRE HUMAN GENETIC THERAPIES</x:v>
      </x:c>
      <x:c r="N1076" s="87" t="str">
        <x:v>BAXALTA INNOVATIONS GMBH (2022-07-29);;SHIRE HUMAN GENETIC THERAPIES INC (2022-05-12);;TAKEDA PHARMACEUTICAL COMPANY LIMITED (2022-05-10)</x:v>
      </x:c>
      <x:c r="O1076" s="87" t="str">
        <x:v>ADENO-ASSOCIATED VIRUS VECTORS BASED GENE THERAPY FOR HEREDITARY ANGIOEDEMA</x:v>
      </x:c>
      <x:c r="P1076" s="109" t="n">
        <x:v>2</x:v>
      </x:c>
      <x:c r="Q1076" s="109" t="n">
        <x:v>7</x:v>
      </x:c>
      <x:c r="R1076" s="87" t="str">
        <x:v>C07K14/8121;;A61K48/005;;A61K48/0058;;C12N15/86;;C12N2750/14143;;C12N2830/008;;C12N2830/42;;C12N2830/48;;C12N15/861;;A61P7/10;;C07K14/8121;;C12N2750/14143;;C12N2830/008;;C12N2830/42;;C12N2830/48</x:v>
      </x:c>
      <x:c r="S1076" s="87" t="str">
        <x:v>C12N15/861;;A61P7/10;;C07K14/81</x:v>
      </x:c>
      <x:c r="T1076" s="87" t="str">
        <x:v>DISCONTINUED</x:v>
      </x:c>
      <x:c r="U1076" s="87" t="str">
        <x:v>https://lens.org/196-911-634-871-365</x:v>
      </x:c>
    </x:row>
    <x:row r="1077">
      <x:c r="A1077" s="87" t="str">
        <x:v>shire.csv</x:v>
      </x:c>
      <x:c r="B1077" s="87" t="str">
        <x:v>Shire</x:v>
      </x:c>
      <x:c r="C1077" s="87" t="str">
        <x:v>TRT-0045</x:v>
      </x:c>
      <x:c r="D1077" s="87" t="str">
        <x:v>Yes</x:v>
      </x:c>
      <x:c r="E1077" s="87" t="str">
        <x:v>shire</x:v>
      </x:c>
      <x:c r="F1077" s="87" t="str">
        <x:v>7</x:v>
      </x:c>
      <x:c r="G1077" s="87" t="str">
        <x:v>017-444-735-960-964</x:v>
      </x:c>
      <x:c r="H1077" s="110" t="n">
        <x:v>42969</x:v>
      </x:c>
      <x:c r="I1077" s="88" t="n">
        <x:v>2017</x:v>
      </x:c>
      <x:c r="J1077" s="87" t="str">
        <x:v>US</x:v>
      </x:c>
      <x:c r="K1077" s="87" t="str">
        <x:v>A1</x:v>
      </x:c>
      <x:c r="L1077" s="87" t="str">
        <x:v>US 2023/0031280 A1</x:v>
      </x:c>
      <x:c r="M1077" s="87" t="str">
        <x:v>SHIRE NPS PHARMACEUTICALS INC</x:v>
      </x:c>
      <x:c r="N1077" s="87" t="str">
        <x:v>TAKEDA PHARMACEUTICALS U.S.A. INC (2022-07-28);;SHIRE-NPS PHARMACEUTICALS INC (2018-07-30);;TAKEDA PHARMACEUTICAL COMPANY LIMITED (2023-12-13)</x:v>
      </x:c>
      <x:c r="O1077" s="87" t="str">
        <x:v>GLP-2 FUSION POLYPEPTIDES AND USES FOR TREATING AND PREVENTING GASTROINTESTINAL CONDITIONS</x:v>
      </x:c>
      <x:c r="P1077" s="109" t="n">
        <x:v>0</x:v>
      </x:c>
      <x:c r="Q1077" s="109" t="n">
        <x:v>12</x:v>
      </x:c>
      <x:c r="R1077" s="87" t="str">
        <x:v>A61P1/00;;A61K38/00;;A61K2039/545;;C07K14/605;;C07K16/00;;C07K2317/92;;C07K2317/94;;C07K2319/02;;C07K2319/30;;C07K2319/31;;C07K14/605;;A61K38/00;;A61K47/68;;A61P1/00</x:v>
      </x:c>
      <x:c r="S1077" s="87" t="str">
        <x:v>C07K14/605;;A61K47/68;;A61P1/00</x:v>
      </x:c>
      <x:c r="T1077" s="87" t="str">
        <x:v>DISCONTINUED</x:v>
      </x:c>
      <x:c r="U1077" s="87" t="str">
        <x:v>https://lens.org/017-444-735-960-964</x:v>
      </x:c>
    </x:row>
    <x:row r="1078">
      <x:c r="A1078" s="87" t="str">
        <x:v>shire.csv</x:v>
      </x:c>
      <x:c r="B1078" s="87" t="str">
        <x:v>Shire</x:v>
      </x:c>
      <x:c r="C1078" s="87" t="str">
        <x:v>TRT-0045</x:v>
      </x:c>
      <x:c r="D1078" s="87" t="str">
        <x:v>Yes</x:v>
      </x:c>
      <x:c r="E1078" s="87" t="str">
        <x:v>shire</x:v>
      </x:c>
      <x:c r="F1078" s="87" t="str">
        <x:v>8</x:v>
      </x:c>
      <x:c r="G1078" s="87" t="str">
        <x:v>157-876-401-692-088</x:v>
      </x:c>
      <x:c r="H1078" s="110" t="n">
        <x:v>43672</x:v>
      </x:c>
      <x:c r="I1078" s="88" t="n">
        <x:v>2019</x:v>
      </x:c>
      <x:c r="J1078" s="87" t="str">
        <x:v>US</x:v>
      </x:c>
      <x:c r="K1078" s="87" t="str">
        <x:v>A1</x:v>
      </x:c>
      <x:c r="L1078" s="87" t="str">
        <x:v>US 2023/0018417 A1</x:v>
      </x:c>
      <x:c r="M1078" s="87" t="str">
        <x:v>SHIRE HUMAN GENETIC THERAPIES;;UNIV PITTSBURGH COMMONWEALTH SYS HIGHER EDUCATION</x:v>
      </x:c>
      <x:c r="N1078" s="87" t="str">
        <x:v>UNIVERSITY OF PITTSBURGH-OF THE COMMONWEALTH SYSTEM OF HIGHER EDUCATION (2023-10-17);;SHIRE HUMAN GENETIC THERAPIES INC (2022-08-05);;TAKEDA PHARMACEUTICAL COMPANY LIMITED (2022-08-04)</x:v>
      </x:c>
      <x:c r="O1078" s="87" t="str">
        <x:v>Recombinant Heme Oxygenase-1 (HO-1) for the Treatment of Sickle Cell Disease</x:v>
      </x:c>
      <x:c r="P1078" s="109" t="n">
        <x:v>0</x:v>
      </x:c>
      <x:c r="Q1078" s="109" t="n">
        <x:v>4</x:v>
      </x:c>
      <x:c r="R1078" s="87" t="str">
        <x:v>A61K38/44;;A61P7/00;;A61P7/06;;A61K38/44;;C12N9/0071;;C12N15/62;;C12Y114/14</x:v>
      </x:c>
      <x:c r="S1078" s="87" t="str">
        <x:v>A61K38/44;;A61P7/06;;C12N9/02;;C12N15/62</x:v>
      </x:c>
      <x:c r="T1078" s="87" t="str">
        <x:v>ACTIVE</x:v>
      </x:c>
      <x:c r="U1078" s="87" t="str">
        <x:v>https://lens.org/157-876-401-692-088</x:v>
      </x:c>
    </x:row>
    <x:row r="1079">
      <x:c r="A1079" s="87" t="str">
        <x:v>shire.csv</x:v>
      </x:c>
      <x:c r="B1079" s="87" t="str">
        <x:v>Shire</x:v>
      </x:c>
      <x:c r="C1079" s="87" t="str">
        <x:v>TRT-0045</x:v>
      </x:c>
      <x:c r="D1079" s="87" t="str">
        <x:v>Yes</x:v>
      </x:c>
      <x:c r="E1079" s="87" t="str">
        <x:v>shire</x:v>
      </x:c>
      <x:c r="F1079" s="87" t="str">
        <x:v>9</x:v>
      </x:c>
      <x:c r="G1079" s="87" t="str">
        <x:v>032-071-325-184-100</x:v>
      </x:c>
      <x:c r="H1079" s="110" t="n">
        <x:v>41089</x:v>
      </x:c>
      <x:c r="I1079" s="88" t="n">
        <x:v>2012</x:v>
      </x:c>
      <x:c r="J1079" s="87" t="str">
        <x:v>US</x:v>
      </x:c>
      <x:c r="K1079" s="87" t="str">
        <x:v>B2</x:v>
      </x:c>
      <x:c r="L1079" s="87" t="str">
        <x:v>US 11530393 B2</x:v>
      </x:c>
      <x:c r="M1079" s="87" t="str">
        <x:v>SHIRE HUMAN GENETIC THERAPIES;;TAKEDA PHARMACEUTICALS CO</x:v>
      </x:c>
      <x:c r="N1079" s="87" t="str">
        <x:v>SHIRE HUMAN GENETIC THERAPIES INC (2013-04-09);;TAKEDA PHARMACEUTICAL COMPANY LIMITED (2022-07-11)</x:v>
      </x:c>
      <x:c r="O1079" s="87" t="str">
        <x:v>Compositions comprising iduronate-2-sulfatase</x:v>
      </x:c>
      <x:c r="P1079" s="109" t="n">
        <x:v>2</x:v>
      </x:c>
      <x:c r="Q1079" s="109" t="n">
        <x:v>106</x:v>
      </x:c>
      <x:c r="R1079" s="87" t="str">
        <x:v>A61K9/0019;;A61K38/465;;C12N9/16;;C12Y301/06013;;A61K38/095;;A61K38/17;;A61K38/46;;A61P3/00;;A61P25/00;;A61P43/00;;C07K1/00;;C07K14/435;;C07K16/00;;C12Y301/06013;;C12N9/16;;A61K38/465;;A61P25/00;;A61P3/00;;A61P43/00;;C12N9/16;;C12Y301/06013;;A61K38/465;;A61P25/00;;A61P43/00;;A61P3/00;;A61K38/095;;A61K9/0019;;C07K1/00;;A61K38/17;;C07K14/435;;A61K38/46;;C07K16/00;;A61K9/0019;;A61K38/465;;C12N9/16;;C12Y301/06013;;C12N9/16;;A61K38/465;;C12Y301/06013</x:v>
      </x:c>
      <x:c r="S1079" s="87" t="str">
        <x:v>C12N9/16;;A61K38/095;;A61K38/46</x:v>
      </x:c>
      <x:c r="T1079" s="87" t="str">
        <x:v>ACTIVE</x:v>
      </x:c>
      <x:c r="U1079" s="87" t="str">
        <x:v>https://lens.org/032-071-325-184-100</x:v>
      </x:c>
    </x:row>
    <x:row r="1080">
      <x:c r="A1080" s="87" t="str">
        <x:v>shire.csv</x:v>
      </x:c>
      <x:c r="B1080" s="87" t="str">
        <x:v>Shire</x:v>
      </x:c>
      <x:c r="C1080" s="87" t="str">
        <x:v>TRT-0045</x:v>
      </x:c>
      <x:c r="D1080" s="87" t="str">
        <x:v>Yes</x:v>
      </x:c>
      <x:c r="E1080" s="87" t="str">
        <x:v>shire</x:v>
      </x:c>
      <x:c r="F1080" s="87" t="str">
        <x:v>10</x:v>
      </x:c>
      <x:c r="G1080" s="87" t="str">
        <x:v>126-855-396-218-287</x:v>
      </x:c>
      <x:c r="H1080" s="110" t="n">
        <x:v>42989</x:v>
      </x:c>
      <x:c r="I1080" s="88" t="n">
        <x:v>2017</x:v>
      </x:c>
      <x:c r="J1080" s="87" t="str">
        <x:v>US</x:v>
      </x:c>
      <x:c r="K1080" s="87" t="str">
        <x:v>A1</x:v>
      </x:c>
      <x:c r="L1080" s="87" t="str">
        <x:v>US 2022/0088132 A1</x:v>
      </x:c>
      <x:c r="M1080" s="87" t="str">
        <x:v>SHIRE HUMAN GENETIC THERAPIES</x:v>
      </x:c>
      <x:c r="N1080" s="87" t="str">
        <x:v>SHIRE HUMAN GENETIC THERAPIES INC (2019-01-19);;OAK HILL BIO LIMITED (2022-01-28)</x:v>
      </x:c>
      <x:c r="O1080" s="87" t="str">
        <x:v>METHODS AND COMPOSITIONS FOR TREATING CHRONIC LUNG DISEASES</x:v>
      </x:c>
      <x:c r="P1080" s="109" t="n">
        <x:v>1</x:v>
      </x:c>
      <x:c r="Q1080" s="109" t="n">
        <x:v>38</x:v>
      </x:c>
      <x:c r="R1080" s="87" t="str">
        <x:v>A61K9/0019;;A61K9/0053;;A61K38/1754;;A61K38/30;;A61P11/00;;A61P25/00;;A61P27/00;;A61K38/30;;A61P25/00;;A61P11/00;;A61P27/00;;A61K38/1754;;A61K38/1754;;A61K9/0019;;A61P27/00;;A61P11/00;;A61K38/30;;A61P25/00;;A61K9/0053;;A61K38/30;;A61K38/1754;;A61P11/00;;A61K38/30;;A61P11/00;;A61P27/00;;A61P25/00;;A61K9/0019;;A61K9/0053;;A61K38/1754</x:v>
      </x:c>
      <x:c r="S1080" s="87" t="str">
        <x:v>A61K38/17;;A61K38/30;;A61P11/00;;A61P25/00;;A61P27/00</x:v>
      </x:c>
      <x:c r="T1080" s="87" t="str">
        <x:v>ACTIVE</x:v>
      </x:c>
      <x:c r="U1080" s="87" t="str">
        <x:v>https://lens.org/126-855-396-218-287</x:v>
      </x:c>
    </x:row>
    <x:row r="1081">
      <x:c r="A1081" s="87" t="str">
        <x:v>shire.csv</x:v>
      </x:c>
      <x:c r="B1081" s="87" t="str">
        <x:v>Shire</x:v>
      </x:c>
      <x:c r="C1081" s="87" t="str">
        <x:v>TRT-0045</x:v>
      </x:c>
      <x:c r="D1081" s="87" t="str">
        <x:v>Yes</x:v>
      </x:c>
      <x:c r="E1081" s="87" t="str">
        <x:v>shire</x:v>
      </x:c>
      <x:c r="F1081" s="87" t="str">
        <x:v>11</x:v>
      </x:c>
      <x:c r="G1081" s="87" t="str">
        <x:v>026-271-031-377-424</x:v>
      </x:c>
      <x:c r="H1081" s="110" t="n">
        <x:v>43480</x:v>
      </x:c>
      <x:c r="I1081" s="88" t="n">
        <x:v>2019</x:v>
      </x:c>
      <x:c r="J1081" s="87" t="str">
        <x:v>US</x:v>
      </x:c>
      <x:c r="K1081" s="87" t="str">
        <x:v>A1</x:v>
      </x:c>
      <x:c r="L1081" s="87" t="str">
        <x:v>US 2022/0064237 A1</x:v>
      </x:c>
      <x:c r="M1081" s="87" t="str">
        <x:v>SANGAMO THERAPEUTICS INC;;SHIRE HUMAN GENETIC THERAPIES</x:v>
      </x:c>
      <x:c r="N1081" s="87" t="str">
        <x:v>SANGAMO THERAPEUTICS INC (2020-04-17);;SHIRE HUMAN GENETIC THERAPIES INC (2021-07-08);;TAKEDA PHARMACEUTICAL COMPANY LIMITED (2021-02-26)</x:v>
      </x:c>
      <x:c r="O1081" s="87" t="str">
        <x:v>HTT REPRESSORS AND USES THEREOF</x:v>
      </x:c>
      <x:c r="P1081" s="109" t="n">
        <x:v>0</x:v>
      </x:c>
      <x:c r="Q1081" s="109" t="n">
        <x:v>8</x:v>
      </x:c>
      <x:c r="R1081" s="87" t="str">
        <x:v>C07K14/4703;;A61K38/00;;A61K48/005;;A61P25/14;;C07K2319/09;;C07K2319/81;;C12N15/86;;C12N2750/14143;;C07K14/4703;;A61K38/00;;A61K48/005;;A61P25/14;;C07K2319/09;;C07K2319/81;;C12N15/86;;C12N2750/14143</x:v>
      </x:c>
      <x:c r="S1081" s="87" t="str">
        <x:v>C07K14/47;;A61P25/14;;C12N15/86</x:v>
      </x:c>
      <x:c r="T1081" s="87" t="str">
        <x:v>PENDING</x:v>
      </x:c>
      <x:c r="U1081" s="87" t="str">
        <x:v>https://lens.org/026-271-031-377-424</x:v>
      </x:c>
    </x:row>
    <x:row r="1082">
      <x:c r="A1082" s="87" t="str">
        <x:v>shire.csv</x:v>
      </x:c>
      <x:c r="B1082" s="87" t="str">
        <x:v>Shire</x:v>
      </x:c>
      <x:c r="C1082" s="87" t="str">
        <x:v>TRT-0045</x:v>
      </x:c>
      <x:c r="D1082" s="87" t="str">
        <x:v>Yes</x:v>
      </x:c>
      <x:c r="E1082" s="87" t="str">
        <x:v>shire</x:v>
      </x:c>
      <x:c r="F1082" s="87" t="str">
        <x:v>12</x:v>
      </x:c>
      <x:c r="G1082" s="87" t="str">
        <x:v>023-733-715-154-197</x:v>
      </x:c>
      <x:c r="H1082" s="110" t="n">
        <x:v>43397</x:v>
      </x:c>
      <x:c r="I1082" s="88" t="n">
        <x:v>2018</x:v>
      </x:c>
      <x:c r="J1082" s="87" t="str">
        <x:v>US</x:v>
      </x:c>
      <x:c r="K1082" s="87" t="str">
        <x:v>A1</x:v>
      </x:c>
      <x:c r="L1082" s="87" t="str">
        <x:v>US 2021/0355187 A1</x:v>
      </x:c>
      <x:c r="M1082" s="87" t="str">
        <x:v>SHIRE NPS PHARMACEUTICALS INC</x:v>
      </x:c>
      <x:c r="N1082" s="87" t="str">
        <x:v>TAKEDA PHARMACEUTICALS U.S.A. INC (2022-07-28);;SHIRE-NPS PHARMACEUTICALS INC (2018-10-29);;TAKEDA PHARMACEUTICAL COMPANY LIMITED (2023-12-13)</x:v>
      </x:c>
      <x:c r="O1082" s="87" t="str">
        <x:v>GLP-2 FUSION POLYPEPTIDES AND USES FOR TREATING AND PREVENTING GASTROINTESTINAL CONDITIONS</x:v>
      </x:c>
      <x:c r="P1082" s="109" t="n">
        <x:v>0</x:v>
      </x:c>
      <x:c r="Q1082" s="109" t="n">
        <x:v>11</x:v>
      </x:c>
      <x:c r="R1082" s="87" t="str">
        <x:v>C07K14/605;;A61K38/00;;A61P1/00;;C07K2319/30;;C07K14/605;;A61K38/26;;A61P1/00;;C07K2319/30;;C12N15/85;;C07K14/605;;A61K38/00;;C07K2319/02;;C07K2319/30</x:v>
      </x:c>
      <x:c r="S1082" s="87" t="str">
        <x:v>C07K14/605</x:v>
      </x:c>
      <x:c r="T1082" s="87" t="str">
        <x:v>DISCONTINUED</x:v>
      </x:c>
      <x:c r="U1082" s="87" t="str">
        <x:v>https://lens.org/023-733-715-154-197</x:v>
      </x:c>
    </x:row>
    <x:row r="1083">
      <x:c r="A1083" s="87" t="str">
        <x:v>shire.csv</x:v>
      </x:c>
      <x:c r="B1083" s="87" t="str">
        <x:v>Shire</x:v>
      </x:c>
      <x:c r="C1083" s="87" t="str">
        <x:v>TRT-0045</x:v>
      </x:c>
      <x:c r="D1083" s="87" t="str">
        <x:v>Yes</x:v>
      </x:c>
      <x:c r="E1083" s="87" t="str">
        <x:v>shire</x:v>
      </x:c>
      <x:c r="F1083" s="87" t="str">
        <x:v>13</x:v>
      </x:c>
      <x:c r="G1083" s="87" t="str">
        <x:v>045-943-608-275-552</x:v>
      </x:c>
      <x:c r="H1083" s="110" t="n">
        <x:v>43809</x:v>
      </x:c>
      <x:c r="I1083" s="88" t="n">
        <x:v>2019</x:v>
      </x:c>
      <x:c r="J1083" s="87" t="str">
        <x:v>US</x:v>
      </x:c>
      <x:c r="K1083" s="87" t="str">
        <x:v>A1</x:v>
      </x:c>
      <x:c r="L1083" s="87" t="str">
        <x:v>US 2021/0332383 A1</x:v>
      </x:c>
      <x:c r="M1083" s="87" t="str">
        <x:v>SHIRE HUMAN GENETIC THERAPIES</x:v>
      </x:c>
      <x:c r="N1083" s="87" t="str">
        <x:v>SHIRE HUMAN GENETIC THERAPIES INC (2019-12-16);;TAKEDA PHARMACEUTICAL COMPANY LIMITED (2022-02-10)</x:v>
      </x:c>
      <x:c r="O1083" s="87" t="str">
        <x:v>Adeno Associated Virus Vectors for the Treatment of Hunter Disease</x:v>
      </x:c>
      <x:c r="P1083" s="109" t="n">
        <x:v>2</x:v>
      </x:c>
      <x:c r="Q1083" s="109" t="n">
        <x:v>16</x:v>
      </x:c>
      <x:c r="R1083" s="87" t="str">
        <x:v>A61K48/005;;A01K2217/075;;A01K2227/105;;A01K2267/0306;;A61K38/00;;A61K48/0058;;C12N9/16;;C12N15/86;;C12N2750/14143;;C12N2800/22;;C12N2830/008;;C12N2830/42;;C12N2830/48;;C12N2840/203;;C12Y301/06013;;C12N15/86;;A01K2217/075;;A01K2227/105;;A01K2267/0306;;A61K9/0019;;A61K38/00;;A61K48/005;;A61K48/0058;;C12N9/16;;C12N2750/14132;;C12N2750/14143;;C12N2800/22;;C12N2830/008;;C12N2830/42;;C12N2830/48;;C12N2840/203;;C12Y301/06013;;C12N15/86;;A61K9/0019;;A61K38/465;;A61K48/0058;;C12N9/16;;C12N2750/14143;;C12N2800/22;;C12N2830/008;;C12N2830/42;;C12N2830/48;;C12N2840/203;;C12Y301/06013;;C12N15/86;;A61K9/0019;;C12N9/16;;C12N2750/14132;;C12N2750/14143;;C12N2800/22;;C12N2830/008;;C12N2830/48;;C12Y301/06013</x:v>
      </x:c>
      <x:c r="S1083" s="87" t="str">
        <x:v>C12N15/86;;A61K9/00;;C12N9/16</x:v>
      </x:c>
      <x:c r="T1083" s="87" t="str">
        <x:v>ACTIVE</x:v>
      </x:c>
      <x:c r="U1083" s="87" t="str">
        <x:v>https://lens.org/045-943-608-275-552</x:v>
      </x:c>
    </x:row>
    <x:row r="1084">
      <x:c r="A1084" s="87" t="str">
        <x:v>shire.csv</x:v>
      </x:c>
      <x:c r="B1084" s="87" t="str">
        <x:v>Shire</x:v>
      </x:c>
      <x:c r="C1084" s="87" t="str">
        <x:v>TRT-0045</x:v>
      </x:c>
      <x:c r="D1084" s="87" t="str">
        <x:v>Yes</x:v>
      </x:c>
      <x:c r="E1084" s="87" t="str">
        <x:v>shire</x:v>
      </x:c>
      <x:c r="F1084" s="87" t="str">
        <x:v>14</x:v>
      </x:c>
      <x:c r="G1084" s="87" t="str">
        <x:v>048-912-147-582-775</x:v>
      </x:c>
      <x:c r="H1084" s="110" t="n">
        <x:v>43311</x:v>
      </x:c>
      <x:c r="I1084" s="88" t="n">
        <x:v>2018</x:v>
      </x:c>
      <x:c r="J1084" s="87" t="str">
        <x:v>US</x:v>
      </x:c>
      <x:c r="K1084" s="87" t="str">
        <x:v>A1</x:v>
      </x:c>
      <x:c r="L1084" s="87" t="str">
        <x:v>US 2021/0315978 A1</x:v>
      </x:c>
      <x:c r="M1084" s="87" t="str">
        <x:v>SHIRE NPS PHARMACEUTICALS INC</x:v>
      </x:c>
      <x:c r="N1084" s="87" t="str">
        <x:v>TAKEDA PHARMACEUTICALS U.S.A. INC (2022-07-28);;SHIRE-NPS PHARMACEUTICALS INC (2018-08-07);;TAKEDA PHARMACEUTICAL COMPANY LIMITED (2023-05-03)</x:v>
      </x:c>
      <x:c r="O1084" s="87" t="str">
        <x:v>FORMULATIONS FOR IMPROVED STABILITY OF RECOMBINANT HUMAN PARATHYROID HORMONE</x:v>
      </x:c>
      <x:c r="P1084" s="109" t="n">
        <x:v>0</x:v>
      </x:c>
      <x:c r="Q1084" s="109" t="n">
        <x:v>15</x:v>
      </x:c>
      <x:c r="R1084" s="87" t="str">
        <x:v>A61K47/10;;A61K9/0019;;A61K9/19;;A61K38/29;;A61K47/183;;A61K47/26;;A61P19/10;;A61K9/08;;A61K9/0019;;A61K9/19;;A61K38/29;;A61K47/02;;A61K47/10;;A61K47/20;;A61K47/22;;A61K47/26;;A61P19/10;;A61K38/29;;A61K9/0019;;A61K9/19;;A61K47/02;;A61K47/10;;A61K47/12;;A61K47/20;;A61K47/22;;A61K47/26;;A61K47/34</x:v>
      </x:c>
      <x:c r="S1084" s="87" t="str">
        <x:v>A61K38/29;;A61K9/00;;A61K9/19;;A61K47/02;;A61K47/10;;A61K47/12;;A61K47/20;;A61K47/22;;A61K47/26;;A61K47/34</x:v>
      </x:c>
      <x:c r="T1084" s="87" t="str">
        <x:v>PENDING</x:v>
      </x:c>
      <x:c r="U1084" s="87" t="str">
        <x:v>https://lens.org/048-912-147-582-775</x:v>
      </x:c>
    </x:row>
    <x:row r="1085">
      <x:c r="A1085" s="87" t="str">
        <x:v>shire.csv</x:v>
      </x:c>
      <x:c r="B1085" s="87" t="str">
        <x:v>Shire</x:v>
      </x:c>
      <x:c r="C1085" s="87" t="str">
        <x:v>TRT-0045</x:v>
      </x:c>
      <x:c r="D1085" s="87" t="str">
        <x:v>Yes</x:v>
      </x:c>
      <x:c r="E1085" s="87" t="str">
        <x:v>shire</x:v>
      </x:c>
      <x:c r="F1085" s="87" t="str">
        <x:v>15</x:v>
      </x:c>
      <x:c r="G1085" s="87" t="str">
        <x:v>155-688-244-017-562</x:v>
      </x:c>
      <x:c r="H1085" s="110" t="n">
        <x:v>42417</x:v>
      </x:c>
      <x:c r="I1085" s="88" t="n">
        <x:v>2016</x:v>
      </x:c>
      <x:c r="J1085" s="87" t="str">
        <x:v>US</x:v>
      </x:c>
      <x:c r="K1085" s="87" t="str">
        <x:v>A1</x:v>
      </x:c>
      <x:c r="L1085" s="87" t="str">
        <x:v>US 2021/0315981 A1</x:v>
      </x:c>
      <x:c r="M1085" s="87" t="str">
        <x:v>SHIRE HUMAN GENETIC THERAPIES</x:v>
      </x:c>
      <x:c r="N1085" s="87" t="str">
        <x:v>SHIRE HUMAN GENETIC THERAPIES INC (2019-01-18);;TAKEDA PHARMACEUTICAL COMPANY LIMITED (2021-02-26)</x:v>
      </x:c>
      <x:c r="O1085" s="87" t="str">
        <x:v>METHODS AND COMPOSITIONS FOR CNS DELIVERY OF ARYLSULFATASE A</x:v>
      </x:c>
      <x:c r="P1085" s="109" t="n">
        <x:v>0</x:v>
      </x:c>
      <x:c r="Q1085" s="109" t="n">
        <x:v>19</x:v>
      </x:c>
      <x:c r="R1085" s="87" t="str">
        <x:v>A61K38/465;;A61P3/00;;A61P25/28;;C12Y301/06001;;A61K38/465;;A61K9/0019;;A61K9/0085;;A61P25/28</x:v>
      </x:c>
      <x:c r="S1085" s="87" t="str">
        <x:v>A61K38/46;;A61K9/00;;A61P25/28</x:v>
      </x:c>
      <x:c r="T1085" s="87" t="str">
        <x:v>DISCONTINUED</x:v>
      </x:c>
      <x:c r="U1085" s="87" t="str">
        <x:v>https://lens.org/155-688-244-017-562</x:v>
      </x:c>
    </x:row>
    <x:row r="1086">
      <x:c r="A1086" s="87" t="str">
        <x:v>shire.csv</x:v>
      </x:c>
      <x:c r="B1086" s="87" t="str">
        <x:v>Shire</x:v>
      </x:c>
      <x:c r="C1086" s="87" t="str">
        <x:v>TRT-0045</x:v>
      </x:c>
      <x:c r="D1086" s="87" t="str">
        <x:v>Yes</x:v>
      </x:c>
      <x:c r="E1086" s="87" t="str">
        <x:v>shire</x:v>
      </x:c>
      <x:c r="F1086" s="87" t="str">
        <x:v>16</x:v>
      </x:c>
      <x:c r="G1086" s="87" t="str">
        <x:v>023-900-662-701-921</x:v>
      </x:c>
      <x:c r="H1086" s="110" t="n">
        <x:v>42951</x:v>
      </x:c>
      <x:c r="I1086" s="88" t="n">
        <x:v>2017</x:v>
      </x:c>
      <x:c r="J1086" s="87" t="str">
        <x:v>US</x:v>
      </x:c>
      <x:c r="K1086" s="87" t="str">
        <x:v>B2</x:v>
      </x:c>
      <x:c r="L1086" s="87" t="str">
        <x:v>US 11123704 B2</x:v>
      </x:c>
      <x:c r="M1086" s="87" t="str">
        <x:v>SHIRE HUMAN GENETIC THERAPIES;;TAKEDA PHARMACEUTICALS CO</x:v>
      </x:c>
      <x:c r="N1086" s="87" t="str">
        <x:v>SHIRE HUMAN GENETIC THERAPIES INC (2022-06-14);;TAKEDA PHARMACEUTICAL COMPANY LIMITED (2021-02-26)</x:v>
      </x:c>
      <x:c r="O1086" s="87" t="str">
        <x:v>Antibody-resin coupling apparatus and methods</x:v>
      </x:c>
      <x:c r="P1086" s="109" t="n">
        <x:v>0</x:v>
      </x:c>
      <x:c r="Q1086" s="109" t="n">
        <x:v>42</x:v>
      </x:c>
      <x:c r="R1086" s="87" t="str">
        <x:v>B01F25/45;;B01J4/004;;B01J19/18;;B01J19/0066;;B01F27/13;;B01F35/451;;B01F35/712;;B01J19/0066;;B01J8/006;;B01J2208/00805;;B01F2215/0431;;B01F2215/0481;;B01F27/1125;;B01F35/181;;B01F35/71805;;B01F35/7547;;B01F35/52;;B01F27/111;;B01J4/004;;B01D29/01;;B01F2215/0477;;B01J2208/00858;;B01J19/18;;B01J19/26;;B01D29/01;;B01J19/0066;;B01J19/18;;B01J19/26;;B01J20/32;;B01J19/18;;B01J19/0066;;B01J8/006;;B01J2208/00858;;B01D29/01;;B01J2208/00805;;B01F27/13;;B01F35/451;;B01F35/712</x:v>
      </x:c>
      <x:c r="S1086" s="87" t="str">
        <x:v>B01J19/00;;B01D29/01;;B01F27/96;;B01J8/00;;B01J19/18</x:v>
      </x:c>
      <x:c r="T1086" s="87" t="str">
        <x:v>ACTIVE</x:v>
      </x:c>
      <x:c r="U1086" s="87" t="str">
        <x:v>https://lens.org/023-900-662-701-921</x:v>
      </x:c>
    </x:row>
    <x:row r="1087">
      <x:c r="A1087" s="87" t="str">
        <x:v>shire.csv</x:v>
      </x:c>
      <x:c r="B1087" s="87" t="str">
        <x:v>Shire</x:v>
      </x:c>
      <x:c r="C1087" s="87" t="str">
        <x:v>TRT-0045</x:v>
      </x:c>
      <x:c r="D1087" s="87" t="str">
        <x:v>Yes</x:v>
      </x:c>
      <x:c r="E1087" s="87" t="str">
        <x:v>shire</x:v>
      </x:c>
      <x:c r="F1087" s="87" t="str">
        <x:v>17</x:v>
      </x:c>
      <x:c r="G1087" s="87" t="str">
        <x:v>055-662-382-790-94X</x:v>
      </x:c>
      <x:c r="H1087" s="110" t="n">
        <x:v>42717</x:v>
      </x:c>
      <x:c r="I1087" s="88" t="n">
        <x:v>2016</x:v>
      </x:c>
      <x:c r="J1087" s="87" t="str">
        <x:v>US</x:v>
      </x:c>
      <x:c r="K1087" s="87" t="str">
        <x:v>A1</x:v>
      </x:c>
      <x:c r="L1087" s="87" t="str">
        <x:v>US 2021/0283016 A1</x:v>
      </x:c>
      <x:c r="M1087" s="87" t="str">
        <x:v>SHIRE HUMAN GENETIC THERAPIES</x:v>
      </x:c>
      <x:c r="N1087" s="87" t="str">
        <x:v>SHIRE HUMAN GENETIC THERAPIES INC (2018-10-02);;TAKEDA PHARMACEUTICAL COMPANY LIMITED (2021-02-26)</x:v>
      </x:c>
      <x:c r="O1087" s="87" t="str">
        <x:v>MODULAR VIAL ADAPTER</x:v>
      </x:c>
      <x:c r="P1087" s="109" t="n">
        <x:v>1</x:v>
      </x:c>
      <x:c r="Q1087" s="109" t="n">
        <x:v>14</x:v>
      </x:c>
      <x:c r="R1087" s="87" t="str">
        <x:v>A61M5/162;;A61J1/14;;A61J1/20;;A61M39/10;;A61J1/2065;;A61J1/14;;A61J1/1475;;A61J1/20;;A61J1/201;;A61J1/2072;;A61J1/2082;;A61J1/2086;;A61M5/162;;A61M39/10</x:v>
      </x:c>
      <x:c r="S1087" s="87" t="str">
        <x:v>A61J1/20;;A61J1/14;;A61M5/162;;A61M39/10</x:v>
      </x:c>
      <x:c r="T1087" s="87" t="str">
        <x:v>ACTIVE</x:v>
      </x:c>
      <x:c r="U1087" s="87" t="str">
        <x:v>https://lens.org/055-662-382-790-94X</x:v>
      </x:c>
    </x:row>
    <x:row r="1088">
      <x:c r="A1088" s="87" t="str">
        <x:v>shire.csv</x:v>
      </x:c>
      <x:c r="B1088" s="87" t="str">
        <x:v>Shire</x:v>
      </x:c>
      <x:c r="C1088" s="87" t="str">
        <x:v>TRT-0045</x:v>
      </x:c>
      <x:c r="D1088" s="87" t="str">
        <x:v>Yes</x:v>
      </x:c>
      <x:c r="E1088" s="87" t="str">
        <x:v>shire</x:v>
      </x:c>
      <x:c r="F1088" s="87" t="str">
        <x:v>18</x:v>
      </x:c>
      <x:c r="G1088" s="87" t="str">
        <x:v>085-960-607-750-070</x:v>
      </x:c>
      <x:c r="H1088" s="110" t="n">
        <x:v>42678</x:v>
      </x:c>
      <x:c r="I1088" s="88" t="n">
        <x:v>2016</x:v>
      </x:c>
      <x:c r="J1088" s="87" t="str">
        <x:v>US</x:v>
      </x:c>
      <x:c r="K1088" s="87" t="str">
        <x:v>A1</x:v>
      </x:c>
      <x:c r="L1088" s="87" t="str">
        <x:v>US 2021/0275751 A1</x:v>
      </x:c>
      <x:c r="M1088" s="87" t="str">
        <x:v>SHIRE HUMAN GENETIC THERAPIES</x:v>
      </x:c>
      <x:c r="N1088" s="87" t="str">
        <x:v>SHIRE HUMAN GENETIC THERAPIES INC (2018-07-10);;TAKEDA PHARMACEUTICAL COMPANY LIMITED (2021-02-26)</x:v>
      </x:c>
      <x:c r="O1088" s="87" t="str">
        <x:v>SMALL UNIT DOSAGE PLUNGER ROD STOPS</x:v>
      </x:c>
      <x:c r="P1088" s="109" t="n">
        <x:v>11</x:v>
      </x:c>
      <x:c r="Q1088" s="109" t="n">
        <x:v>13</x:v>
      </x:c>
      <x:c r="R1088" s="87" t="str">
        <x:v>A61M5/31505;;A61M5/31501;;A61M5/31515;;A61M5/31548;;A61M5/31578;;A61M5/31595;;A61M5/31501;;A61M5/31505;;A61M5/31515;;A61M5/31548;;A61M5/31578;;A61M5/31595</x:v>
      </x:c>
      <x:c r="S1088" s="87" t="str">
        <x:v>A61M5/315</x:v>
      </x:c>
      <x:c r="T1088" s="87" t="str">
        <x:v>ACTIVE</x:v>
      </x:c>
      <x:c r="U1088" s="87" t="str">
        <x:v>https://lens.org/085-960-607-750-070</x:v>
      </x:c>
    </x:row>
    <x:row r="1089">
      <x:c r="A1089" s="87" t="str">
        <x:v>shire.csv</x:v>
      </x:c>
      <x:c r="B1089" s="87" t="str">
        <x:v>Shire</x:v>
      </x:c>
      <x:c r="C1089" s="87" t="str">
        <x:v>TRT-0045</x:v>
      </x:c>
      <x:c r="D1089" s="87" t="str">
        <x:v>Yes</x:v>
      </x:c>
      <x:c r="E1089" s="87" t="str">
        <x:v>shire</x:v>
      </x:c>
      <x:c r="F1089" s="87" t="str">
        <x:v>19</x:v>
      </x:c>
      <x:c r="G1089" s="87" t="str">
        <x:v>099-886-113-197-717</x:v>
      </x:c>
      <x:c r="H1089" s="110" t="n">
        <x:v>43273</x:v>
      </x:c>
      <x:c r="I1089" s="88" t="n">
        <x:v>2018</x:v>
      </x:c>
      <x:c r="J1089" s="87" t="str">
        <x:v>US</x:v>
      </x:c>
      <x:c r="K1089" s="87" t="str">
        <x:v>A1</x:v>
      </x:c>
      <x:c r="L1089" s="87" t="str">
        <x:v>US 2021/0261672 A1</x:v>
      </x:c>
      <x:c r="M1089" s="87" t="str">
        <x:v>SHIRE HUMAN GENETIC THERAPIES</x:v>
      </x:c>
      <x:c r="N1089" s="87" t="str">
        <x:v>SHIRE HUMAN GENETIC THERAPIES INC (2020-12-21);;THE REGENTS OF THE UNIVERSITY OF COLORADO A BODY CORPORATE (2019-07-29);;TAKEDA PHARMACEUTICAL COMPANY LIMITED (2021-02-26)</x:v>
      </x:c>
      <x:c r="O1089" s="87" t="str">
        <x:v>ANTI-FLT-1 ANTIBODIES IN TREATING BRONCHOPULMONARY DYSPLASIA</x:v>
      </x:c>
      <x:c r="P1089" s="109" t="n">
        <x:v>0</x:v>
      </x:c>
      <x:c r="Q1089" s="109" t="n">
        <x:v>6</x:v>
      </x:c>
      <x:c r="R1089" s="87" t="str">
        <x:v>C07K16/2863;;A61K2039/505;;A61K2039/54;;C07K2317/74;;C07K2317/76;;C07K16/2863;;A61K45/06;;A61K2039/54;;A61K2039/545;;C07K2317/24;;C07K2317/76;;C07K2317/92</x:v>
      </x:c>
      <x:c r="S1089" s="87" t="str">
        <x:v>C07K16/28;;A61K45/06</x:v>
      </x:c>
      <x:c r="T1089" s="87" t="str">
        <x:v>DISCONTINUED</x:v>
      </x:c>
      <x:c r="U1089" s="87" t="str">
        <x:v>https://lens.org/099-886-113-197-717</x:v>
      </x:c>
    </x:row>
    <x:row r="1090">
      <x:c r="A1090" s="87" t="str">
        <x:v>shire.csv</x:v>
      </x:c>
      <x:c r="B1090" s="87" t="str">
        <x:v>Shire</x:v>
      </x:c>
      <x:c r="C1090" s="87" t="str">
        <x:v>TRT-0045</x:v>
      </x:c>
      <x:c r="D1090" s="87" t="str">
        <x:v>Yes</x:v>
      </x:c>
      <x:c r="E1090" s="87" t="str">
        <x:v>shire</x:v>
      </x:c>
      <x:c r="F1090" s="87" t="str">
        <x:v>20</x:v>
      </x:c>
      <x:c r="G1090" s="87" t="str">
        <x:v>003-687-305-423-489</x:v>
      </x:c>
      <x:c r="H1090" s="110" t="n">
        <x:v>41591</x:v>
      </x:c>
      <x:c r="I1090" s="88" t="n">
        <x:v>2013</x:v>
      </x:c>
      <x:c r="J1090" s="87" t="str">
        <x:v>US</x:v>
      </x:c>
      <x:c r="K1090" s="87" t="str">
        <x:v>A1</x:v>
      </x:c>
      <x:c r="L1090" s="87" t="str">
        <x:v>US 2021/0236607 A1</x:v>
      </x:c>
      <x:c r="M1090" s="87" t="str">
        <x:v>SHIRE VIROPHARMA LLC</x:v>
      </x:c>
      <x:c r="N1090" s="87" t="str">
        <x:v>VIROPHARMA HOLDINGS LIMITED (2014-11-06);;SHIRE PHARMACEUTICALS IRELAND LTD (2015-07-02);;SHIRE VIROPHARMA LLC (2019-12-20);;TAKEDA PHARMACEUTICAL COMPANY LIMITED (2021-03-31)</x:v>
      </x:c>
      <x:c r="O1090" s="87" t="str">
        <x:v>COMPOSITIONS AND METHODS USEFUL FOR THE TREATMENT OF NEUROMYELITIS OPTICA SPECTRUM DISORDERS</x:v>
      </x:c>
      <x:c r="P1090" s="109" t="n">
        <x:v>0</x:v>
      </x:c>
      <x:c r="Q1090" s="109" t="n">
        <x:v>17</x:v>
      </x:c>
      <x:c r="R1090" s="87" t="str">
        <x:v>A61K38/57;;A61K35/16;;A61K38/55;;A61K39/3955;;A61P25/00;;A61P25/28;;A61P37/02;;A61P37/06;;A61P43/00;;C07K16/18;;C07K16/28;;A61K38/57;;A61K35/16;;A61K38/55;;A61K39/3955;;A61K45/06;;C07K16/18;;C07K16/28</x:v>
      </x:c>
      <x:c r="S1090" s="87" t="str">
        <x:v>A61K38/57;;A61K35/16;;A61K38/55;;A61K45/06</x:v>
      </x:c>
      <x:c r="T1090" s="87" t="str">
        <x:v>ACTIVE</x:v>
      </x:c>
      <x:c r="U1090" s="87" t="str">
        <x:v>https://lens.org/003-687-305-423-489</x:v>
      </x:c>
    </x:row>
    <x:row r="1091">
      <x:c r="A1091" s="87" t="str">
        <x:v>shire.csv</x:v>
      </x:c>
      <x:c r="B1091" s="87" t="str">
        <x:v>Shire</x:v>
      </x:c>
      <x:c r="C1091" s="87" t="str">
        <x:v>TRT-0045</x:v>
      </x:c>
      <x:c r="D1091" s="87" t="str">
        <x:v>Yes</x:v>
      </x:c>
      <x:c r="E1091" s="87" t="str">
        <x:v>shire</x:v>
      </x:c>
      <x:c r="F1091" s="87" t="str">
        <x:v>21</x:v>
      </x:c>
      <x:c r="G1091" s="87" t="str">
        <x:v>106-340-688-483-981</x:v>
      </x:c>
      <x:c r="H1091" s="110" t="n">
        <x:v>41417</x:v>
      </x:c>
      <x:c r="I1091" s="88" t="n">
        <x:v>2013</x:v>
      </x:c>
      <x:c r="J1091" s="87" t="str">
        <x:v>US</x:v>
      </x:c>
      <x:c r="K1091" s="87" t="str">
        <x:v>B2</x:v>
      </x:c>
      <x:c r="L1091" s="87" t="str">
        <x:v>US 11059906 B2</x:v>
      </x:c>
      <x:c r="M1091" s="87" t="str">
        <x:v>SHIRE HUMAN GENETIC THERAPIES;;TAKEDA PHARMACEUTICALS CO</x:v>
      </x:c>
      <x:c r="N1091" s="87" t="str">
        <x:v>SHIRE HUMAN GENETIC THERAPIES INC (2016-04-11);;TAKEDA PHARMACEUTICAL COMPANY LIMITED (2021-02-26)</x:v>
      </x:c>
      <x:c r="O1091" s="87" t="str">
        <x:v>Anti-CCL2 and anti-LOXL2 combination therapy for treatment of scleroderma</x:v>
      </x:c>
      <x:c r="P1091" s="109" t="n">
        <x:v>0</x:v>
      </x:c>
      <x:c r="Q1091" s="109" t="n">
        <x:v>18</x:v>
      </x:c>
      <x:c r="R1091" s="87" t="str">
        <x:v>C07K16/40;;A61K2039/505;;A61K2039/507;;A61K2039/54;;A61K2039/545;;A61P1/04;;A61P1/16;;A61P3/04;;A61P9/00;;A61P9/10;;A61P11/00;;A61P11/06;;A61P13/12;;A61P17/00;;A61P17/06;;A61P19/02;;A61P25/08;;A61P25/28;;A61P29/00;;A61P37/02;;A61P43/00;;C07K16/24;;C07K2317/24;;C07K2317/31;;C07K16/40;;A61K2039/505;;A61K2039/507;;A61K2039/54;;A61K2039/545;;C07K16/24;;C07K2317/24;;C07K2317/31;;C07K2317/54;;C07K2317/55;;C07K2317/622;;C07K2317/626;;C07K2317/92</x:v>
      </x:c>
      <x:c r="S1091" s="87" t="str">
        <x:v>C07K16/40;;A61K39/00;;C07K16/24</x:v>
      </x:c>
      <x:c r="T1091" s="87" t="str">
        <x:v>ACTIVE</x:v>
      </x:c>
      <x:c r="U1091" s="87" t="str">
        <x:v>https://lens.org/106-340-688-483-981</x:v>
      </x:c>
    </x:row>
    <x:row r="1092">
      <x:c r="A1092" s="87" t="str">
        <x:v>shire.csv</x:v>
      </x:c>
      <x:c r="B1092" s="87" t="str">
        <x:v>Shire</x:v>
      </x:c>
      <x:c r="C1092" s="87" t="str">
        <x:v>TRT-0045</x:v>
      </x:c>
      <x:c r="D1092" s="87" t="str">
        <x:v>Yes</x:v>
      </x:c>
      <x:c r="E1092" s="87" t="str">
        <x:v>shire</x:v>
      </x:c>
      <x:c r="F1092" s="87" t="str">
        <x:v>22</x:v>
      </x:c>
      <x:c r="G1092" s="87" t="str">
        <x:v>070-840-166-976-590</x:v>
      </x:c>
      <x:c r="H1092" s="110" t="n">
        <x:v>43045</x:v>
      </x:c>
      <x:c r="I1092" s="88" t="n">
        <x:v>2017</x:v>
      </x:c>
      <x:c r="J1092" s="87" t="str">
        <x:v>US</x:v>
      </x:c>
      <x:c r="K1092" s="87" t="str">
        <x:v>A1</x:v>
      </x:c>
      <x:c r="L1092" s="87" t="str">
        <x:v>US 2021/0169986 A1</x:v>
      </x:c>
      <x:c r="M1092" s="87" t="str">
        <x:v>SHIRE NPS PHARMACEUTICALS INC</x:v>
      </x:c>
      <x:c r="N1092" s="87" t="str">
        <x:v>SHIRE-NPS PHARMACEUTICALS INC (2018-03-20);;TAKEDA PHARMACEUTICAL COMPANY LIMITED (2022-07-28)</x:v>
      </x:c>
      <x:c r="O1092" s="87" t="str">
        <x:v>GLP-2 ANALOGS AND PEPTIBODIES FOR ADMINISTRATION BEFORE, DURING OR AFTER SURGERY</x:v>
      </x:c>
      <x:c r="P1092" s="109" t="n">
        <x:v>1</x:v>
      </x:c>
      <x:c r="Q1092" s="109" t="n">
        <x:v>24</x:v>
      </x:c>
      <x:c r="R1092" s="87" t="str">
        <x:v>A61K38/26;;A61P1/14;;A61P3/00;;A61K38/26;;A61P3/00;;A61P1/14;;C07K2319/00;;A61P1/00;;C07K16/00;;A61K47/6811;;C07K14/605;;A61K38/26;;A61K47/6811;;A61P1/00;;C07K14/605;;C07K16/00;;C07K2319/00;;A61K47/6811;;A61P1/00;;A61K38/26</x:v>
      </x:c>
      <x:c r="S1092" s="87" t="str">
        <x:v>A61K38/26;;A61K47/68;;A61P1/00</x:v>
      </x:c>
      <x:c r="T1092" s="87" t="str">
        <x:v>ACTIVE</x:v>
      </x:c>
      <x:c r="U1092" s="87" t="str">
        <x:v>https://lens.org/070-840-166-976-590</x:v>
      </x:c>
    </x:row>
    <x:row r="1093">
      <x:c r="A1093" s="87" t="str">
        <x:v>shire.csv</x:v>
      </x:c>
      <x:c r="B1093" s="87" t="str">
        <x:v>Shire</x:v>
      </x:c>
      <x:c r="C1093" s="87" t="str">
        <x:v>TRT-0045</x:v>
      </x:c>
      <x:c r="D1093" s="87" t="str">
        <x:v>Yes</x:v>
      </x:c>
      <x:c r="E1093" s="87" t="str">
        <x:v>shire</x:v>
      </x:c>
      <x:c r="F1093" s="87" t="str">
        <x:v>23</x:v>
      </x:c>
      <x:c r="G1093" s="87" t="str">
        <x:v>145-513-944-996-08X</x:v>
      </x:c>
      <x:c r="H1093" s="110" t="n">
        <x:v>41302</x:v>
      </x:c>
      <x:c r="I1093" s="88" t="n">
        <x:v>2013</x:v>
      </x:c>
      <x:c r="J1093" s="87" t="str">
        <x:v>US</x:v>
      </x:c>
      <x:c r="K1093" s="87" t="str">
        <x:v>A1</x:v>
      </x:c>
      <x:c r="L1093" s="87" t="str">
        <x:v>US 2021/0163603 A1</x:v>
      </x:c>
      <x:c r="M1093" s="87" t="str">
        <x:v>SHIRE HUMAN GENETIC THERAPIES;;UNIV MINNESOTA</x:v>
      </x:c>
      <x:c r="N1093" s="87" t="str">
        <x:v>REGENTS OF THE UNIVERSITY OF MINNESOTA (2016-01-05);;SHIRE HUMAN GENETIC THERAPIES INC (2015-10-07);;TAKEDA PHARMACEUTICAL COMPANY LIMITED (2021-02-26)</x:v>
      </x:c>
      <x:c r="O1093" s="87" t="str">
        <x:v>ANTI-FLT-1 ANTIBODIES IN TREATING DUCHENNE MUSCULAR DYSTROPHY</x:v>
      </x:c>
      <x:c r="P1093" s="109" t="n">
        <x:v>0</x:v>
      </x:c>
      <x:c r="Q1093" s="109" t="n">
        <x:v>30</x:v>
      </x:c>
      <x:c r="R1093" s="87" t="str">
        <x:v>C07K16/2866;;A61K2039/505;;A61P1/00;;A61P9/00;;A61P11/00;;A61P19/00;;A61P19/02;;A61P21/04;;A61P25/28;;A61P29/00;;C07K2317/33;;C07K2317/76;;C07K16/2863;;A61K2039/505;;C07K16/2866;;C07K2317/33;;C07K2317/54;;C07K2317/55;;C07K2317/76</x:v>
      </x:c>
      <x:c r="S1093" s="87" t="str">
        <x:v>C07K16/28;;A61K39/00</x:v>
      </x:c>
      <x:c r="T1093" s="87" t="str">
        <x:v>DISCONTINUED</x:v>
      </x:c>
      <x:c r="U1093" s="87" t="str">
        <x:v>https://lens.org/145-513-944-996-08X</x:v>
      </x:c>
    </x:row>
    <x:row r="1094">
      <x:c r="A1094" s="87" t="str">
        <x:v>shire.csv</x:v>
      </x:c>
      <x:c r="B1094" s="87" t="str">
        <x:v>Shire</x:v>
      </x:c>
      <x:c r="C1094" s="87" t="str">
        <x:v>TRT-0045</x:v>
      </x:c>
      <x:c r="D1094" s="87" t="str">
        <x:v>Yes</x:v>
      </x:c>
      <x:c r="E1094" s="87" t="str">
        <x:v>shire</x:v>
      </x:c>
      <x:c r="F1094" s="87" t="str">
        <x:v>24</x:v>
      </x:c>
      <x:c r="G1094" s="87" t="str">
        <x:v>148-844-186-905-059</x:v>
      </x:c>
      <x:c r="H1094" s="110" t="n">
        <x:v>42131</x:v>
      </x:c>
      <x:c r="I1094" s="88" t="n">
        <x:v>2015</x:v>
      </x:c>
      <x:c r="J1094" s="87" t="str">
        <x:v>US</x:v>
      </x:c>
      <x:c r="K1094" s="87" t="str">
        <x:v>B2</x:v>
      </x:c>
      <x:c r="L1094" s="87" t="str">
        <x:v>US 10967073 B2</x:v>
      </x:c>
      <x:c r="M1094" s="87" t="str">
        <x:v>SHIRE HUMAN GENETIC THERAPIES;;MCLEAN HOSPITAL CORP</x:v>
      </x:c>
      <x:c r="N1094" s="87" t="str">
        <x:v>THE MCLEAN HOSPITAL CORPORATION (2016-06-08);;SHIRE HUMAN GENETIC THERAPIES INC (2016-08-16);;TAKEDA PHARMACEUTICAL COMPANY LIMITED (2021-02-26)</x:v>
      </x:c>
      <x:c r="O1094" s="87" t="str">
        <x:v>Glucocerebrosidase gene therapy for Parkinson's disease</x:v>
      </x:c>
      <x:c r="P1094" s="109" t="n">
        <x:v>1</x:v>
      </x:c>
      <x:c r="Q1094" s="109" t="n">
        <x:v>9</x:v>
      </x:c>
      <x:c r="R1094" s="87" t="str">
        <x:v>A61K48/0058;;A01K2227/105;;A01K2267/0356;;A61K35/76;;A61K38/47;;A61P25/16;;C12N9/2405;;C12N2750/14143;;C12N2750/14171;;C12Y302/01045;;A61K48/0058;;A01K2227/105;;A01K2267/0356;;A61K9/0085;;A61K35/76;;A61K38/47;;A61P25/16;;C12N9/2402;;C12N9/2405;;C12N15/86;;C12N2750/14143;;C12N2750/14171;;C12Y302/01045</x:v>
      </x:c>
      <x:c r="S1094" s="87" t="str">
        <x:v>A61K48/00;;A61K9/00;;A61K35/76;;A61K38/47;;A61P25/16;;C12N9/24;;C12N15/86</x:v>
      </x:c>
      <x:c r="T1094" s="87" t="str">
        <x:v>ACTIVE</x:v>
      </x:c>
      <x:c r="U1094" s="87" t="str">
        <x:v>https://lens.org/148-844-186-905-059</x:v>
      </x:c>
    </x:row>
    <x:row r="1095">
      <x:c r="A1095" s="87" t="str">
        <x:v>shire.csv</x:v>
      </x:c>
      <x:c r="B1095" s="87" t="str">
        <x:v>Shire</x:v>
      </x:c>
      <x:c r="C1095" s="87" t="str">
        <x:v>TRT-0045</x:v>
      </x:c>
      <x:c r="D1095" s="87" t="str">
        <x:v>Yes</x:v>
      </x:c>
      <x:c r="E1095" s="87" t="str">
        <x:v>shire</x:v>
      </x:c>
      <x:c r="F1095" s="87" t="str">
        <x:v>25</x:v>
      </x:c>
      <x:c r="G1095" s="87" t="str">
        <x:v>000-364-547-112-055</x:v>
      </x:c>
      <x:c r="H1095" s="110" t="n">
        <x:v>42762</x:v>
      </x:c>
      <x:c r="I1095" s="88" t="n">
        <x:v>2017</x:v>
      </x:c>
      <x:c r="J1095" s="87" t="str">
        <x:v>US</x:v>
      </x:c>
      <x:c r="K1095" s="87" t="str">
        <x:v>A1</x:v>
      </x:c>
      <x:c r="L1095" s="87" t="str">
        <x:v>US 2021/0098103 A1</x:v>
      </x:c>
      <x:c r="M1095" s="87" t="str">
        <x:v>SHIRE HUMAN GENETIC THERAPIES</x:v>
      </x:c>
      <x:c r="N1095" s="87" t="str">
        <x:v>SHIRE HUMAN GENETIC THERAPIES INC (2018-03-02);;TAKEDA PHARMACEUTICAL COMPANY LIMITED (2021-02-26)</x:v>
      </x:c>
      <x:c r="O1095" s="87" t="str">
        <x:v>DRUG MONITORING TOOL</x:v>
      </x:c>
      <x:c r="P1095" s="109" t="n">
        <x:v>2</x:v>
      </x:c>
      <x:c r="Q1095" s="109" t="n">
        <x:v>57</x:v>
      </x:c>
      <x:c r="R1095" s="87" t="str">
        <x:v>A61K38/37;;A61K38/48;;C07K14/755;;C12N9/64;;G06N7/00;;G16H20/10;;G06N7/01;;G09C5/00;;G16B40/00;;G16B50/00;;G16C20/90;;G16H50/30;;G16H50/50;;A61K38/37;;A61K38/48;;C07K14/755;;C12N9/64;;G06N7/00;;G06N7/01;;G09C5/00;;G16B40/00;;G16B50/00;;G16C20/30;;G16C20/90;;G16H10/60;;G16H20/10;;G16H50/30;;G16H50/50;;H04L9/0637;;G16H20/10;;G06N7/01;;G09C5/00;;G16B40/00;;G16B50/00;;G16C20/30;;G16C20/90;;G16H10/60;;G16H50/30;;H04L9/0637;;G16H20/10;;G06N7/01;;G09C5/00;;G16B40/00;;G16B50/00;;G16C20/30;;G16C20/90;;G16H10/60;;G16H50/30;;G16H50/50;;H04L9/0637</x:v>
      </x:c>
      <x:c r="S1095" s="87" t="str">
        <x:v>G16H20/10;;G06N7/00;;G06V30/224;;G09C5/00;;G16C20/30;;G16H10/60;;G16H50/30;;G16H50/50;;H04L9/06</x:v>
      </x:c>
      <x:c r="T1095" s="87" t="str">
        <x:v>ACTIVE</x:v>
      </x:c>
      <x:c r="U1095" s="87" t="str">
        <x:v>https://lens.org/000-364-547-112-055</x:v>
      </x:c>
    </x:row>
    <x:row r="1096">
      <x:c r="A1096" s="87" t="str">
        <x:v>shire.csv</x:v>
      </x:c>
      <x:c r="B1096" s="87" t="str">
        <x:v>Shire</x:v>
      </x:c>
      <x:c r="C1096" s="87" t="str">
        <x:v>TRT-0045</x:v>
      </x:c>
      <x:c r="D1096" s="87" t="str">
        <x:v>Yes</x:v>
      </x:c>
      <x:c r="E1096" s="87" t="str">
        <x:v>shire</x:v>
      </x:c>
      <x:c r="F1096" s="87" t="str">
        <x:v>26</x:v>
      </x:c>
      <x:c r="G1096" s="87" t="str">
        <x:v>175-441-684-427-830</x:v>
      </x:c>
      <x:c r="H1096" s="110" t="n">
        <x:v>43726</x:v>
      </x:c>
      <x:c r="I1096" s="88" t="n">
        <x:v>2019</x:v>
      </x:c>
      <x:c r="J1096" s="87" t="str">
        <x:v>US</x:v>
      </x:c>
      <x:c r="K1096" s="87" t="str">
        <x:v>A1</x:v>
      </x:c>
      <x:c r="L1096" s="87" t="str">
        <x:v>US 2021/0079022 A1</x:v>
      </x:c>
      <x:c r="M1096" s="87" t="str">
        <x:v>SHIRE HUMAN GENETIC THERAPIES</x:v>
      </x:c>
      <x:c r="N1096" s="87" t="str">
        <x:v>CHARLES RIVER LABORATORIES INC (2021-09-07);;SHIRE HUMAN GENETIC THERAPIES INC (2021-07-09);;BIODURO LLC (2021-07-09);;CHARLES RIVER DISCOVERY RESEARCH SERVICES UK LIMITED (2021-09-06);;TAKEDA PHARMACEUTICAL COMPANY LIMITED (2021-02-26)</x:v>
      </x:c>
      <x:c r="O1096" s="87" t="str">
        <x:v>HETEROARYL PLASMA KALLIKREIN INHIBITORS</x:v>
      </x:c>
      <x:c r="P1096" s="109" t="n">
        <x:v>7</x:v>
      </x:c>
      <x:c r="Q1096" s="109" t="n">
        <x:v>11</x:v>
      </x:c>
      <x:c r="R1096" s="87" t="str">
        <x:v>C07D519/00;;A61P7/10;;A61P29/02;;C07D519/00;;C07D519/00</x:v>
      </x:c>
      <x:c r="S1096" s="87" t="str">
        <x:v>C07D519/00</x:v>
      </x:c>
      <x:c r="T1096" s="87" t="str">
        <x:v>ACTIVE</x:v>
      </x:c>
      <x:c r="U1096" s="87" t="str">
        <x:v>https://lens.org/175-441-684-427-830</x:v>
      </x:c>
    </x:row>
    <x:row r="1097">
      <x:c r="A1097" s="87" t="str">
        <x:v>shire.csv</x:v>
      </x:c>
      <x:c r="B1097" s="87" t="str">
        <x:v>Shire</x:v>
      </x:c>
      <x:c r="C1097" s="87" t="str">
        <x:v>TRT-0045</x:v>
      </x:c>
      <x:c r="D1097" s="87" t="str">
        <x:v>Yes</x:v>
      </x:c>
      <x:c r="E1097" s="87" t="str">
        <x:v>shire</x:v>
      </x:c>
      <x:c r="F1097" s="87" t="str">
        <x:v>27</x:v>
      </x:c>
      <x:c r="G1097" s="87" t="str">
        <x:v>077-457-289-897-043</x:v>
      </x:c>
      <x:c r="H1097" s="110" t="n">
        <x:v>43726</x:v>
      </x:c>
      <x:c r="I1097" s="88" t="n">
        <x:v>2019</x:v>
      </x:c>
      <x:c r="J1097" s="87" t="str">
        <x:v>US</x:v>
      </x:c>
      <x:c r="K1097" s="87" t="str">
        <x:v>A1</x:v>
      </x:c>
      <x:c r="L1097" s="87" t="str">
        <x:v>US 2021/0078999 A1</x:v>
      </x:c>
      <x:c r="M1097" s="87" t="str">
        <x:v>SHIRE HUMAN GENETIC THERAPIES</x:v>
      </x:c>
      <x:c r="N1097" s="87" t="str">
        <x:v>CHARLES RIVER LABORATORIES INC (2021-09-07);;SHIRE HUMAN GENETIC THERAPIES INC (2021-07-09);;BIODURO LLC (2021-07-09);;CHARLES RIVER DISCOVERY RESEARCH SERVICES UK LIMITED (2021-09-06);;TAKEDA PHARMACEUTICAL COMPANY LIMITED (2021-02-26)</x:v>
      </x:c>
      <x:c r="O1097" s="87" t="str">
        <x:v>PLASMA KALLIKREIN INHIBITORS AND USES THEREOF</x:v>
      </x:c>
      <x:c r="P1097" s="109" t="n">
        <x:v>17</x:v>
      </x:c>
      <x:c r="Q1097" s="109" t="n">
        <x:v>19</x:v>
      </x:c>
      <x:c r="R1097" s="87" t="str">
        <x:v>C07D471/04;;A61P9/00;;A61P29/00;;C07D471/04;;C07D519/00</x:v>
      </x:c>
      <x:c r="S1097" s="87" t="str">
        <x:v>C07D471/04;;C07D519/00</x:v>
      </x:c>
      <x:c r="T1097" s="87" t="str">
        <x:v>ACTIVE</x:v>
      </x:c>
      <x:c r="U1097" s="87" t="str">
        <x:v>https://lens.org/077-457-289-897-043</x:v>
      </x:c>
    </x:row>
    <x:row r="1098">
      <x:c r="A1098" s="87" t="str">
        <x:v>shire.csv</x:v>
      </x:c>
      <x:c r="B1098" s="87" t="str">
        <x:v>Shire</x:v>
      </x:c>
      <x:c r="C1098" s="87" t="str">
        <x:v>TRT-0045</x:v>
      </x:c>
      <x:c r="D1098" s="87" t="str">
        <x:v>Yes</x:v>
      </x:c>
      <x:c r="E1098" s="87" t="str">
        <x:v>shire</x:v>
      </x:c>
      <x:c r="F1098" s="87" t="str">
        <x:v>28</x:v>
      </x:c>
      <x:c r="G1098" s="87" t="str">
        <x:v>150-239-156-439-911</x:v>
      </x:c>
      <x:c r="H1098" s="110" t="n">
        <x:v>43165</x:v>
      </x:c>
      <x:c r="I1098" s="88" t="n">
        <x:v>2018</x:v>
      </x:c>
      <x:c r="J1098" s="87" t="str">
        <x:v>US</x:v>
      </x:c>
      <x:c r="K1098" s="87" t="str">
        <x:v>A1</x:v>
      </x:c>
      <x:c r="L1098" s="87" t="str">
        <x:v>US 2021/0040465 A1</x:v>
      </x:c>
      <x:c r="M1098" s="87" t="str">
        <x:v>SHIRE HUMAN GENETIC THERAPIES</x:v>
      </x:c>
      <x:c r="N1098" s="87" t="str">
        <x:v>SHIRE HUMAN GENETIC THERAPIES INC (2019-03-08);;TAKEDA PHARMACEUTICAL COMPANY LIMITED (2021-02-26)</x:v>
      </x:c>
      <x:c r="O1098" s="87" t="str">
        <x:v>AFFINITY PURIFICATION OF GLYCOSIDE-CLEAVING ENZYMES</x:v>
      </x:c>
      <x:c r="P1098" s="109" t="n">
        <x:v>0</x:v>
      </x:c>
      <x:c r="Q1098" s="109" t="n">
        <x:v>6</x:v>
      </x:c>
      <x:c r="R1098" s="87" t="str">
        <x:v>B01J20/3253;;B01J20/286;;B01J20/289;;B01J20/3219;;B01J20/3255;;C07K1/22;;C12N9/2465;;B01J20/286;;B01J20/289;;B01J20/3219;;B01J20/3253;;B01J20/3255;;C12Y302/01022</x:v>
      </x:c>
      <x:c r="S1098" s="87" t="str">
        <x:v>C12N9/40</x:v>
      </x:c>
      <x:c r="T1098" s="87" t="str">
        <x:v>ACTIVE</x:v>
      </x:c>
      <x:c r="U1098" s="87" t="str">
        <x:v>https://lens.org/150-239-156-439-911</x:v>
      </x:c>
    </x:row>
    <x:row r="1099">
      <x:c r="A1099" s="87" t="str">
        <x:v>shire.csv</x:v>
      </x:c>
      <x:c r="B1099" s="87" t="str">
        <x:v>Shire</x:v>
      </x:c>
      <x:c r="C1099" s="87" t="str">
        <x:v>TRT-0045</x:v>
      </x:c>
      <x:c r="D1099" s="87" t="str">
        <x:v>Yes</x:v>
      </x:c>
      <x:c r="E1099" s="87" t="str">
        <x:v>shire</x:v>
      </x:c>
      <x:c r="F1099" s="87" t="str">
        <x:v>29</x:v>
      </x:c>
      <x:c r="G1099" s="87" t="str">
        <x:v>065-485-746-285-126</x:v>
      </x:c>
      <x:c r="H1099" s="110" t="n">
        <x:v>43088</x:v>
      </x:c>
      <x:c r="I1099" s="88" t="n">
        <x:v>2017</x:v>
      </x:c>
      <x:c r="J1099" s="87" t="str">
        <x:v>US</x:v>
      </x:c>
      <x:c r="K1099" s="87" t="str">
        <x:v>A1</x:v>
      </x:c>
      <x:c r="L1099" s="87" t="str">
        <x:v>US 2020/0384089 A1</x:v>
      </x:c>
      <x:c r="M1099" s="87" t="str">
        <x:v>SHIRE HUMAN GENETIC THERAPIES</x:v>
      </x:c>
      <x:c r="N1099" s="87" t="str">
        <x:v>SHIRE HUMAN GENETIC THERAPIES INC (2020-11-04);;TAKEDA PHARMACEUTICAL COMPANY LIMITED (2021-02-26)</x:v>
      </x:c>
      <x:c r="O1099" s="87" t="str">
        <x:v>PURIFIED ARYLSULFATASE A AND COMPOSITONS THEREOF</x:v>
      </x:c>
      <x:c r="P1099" s="109" t="n">
        <x:v>0</x:v>
      </x:c>
      <x:c r="Q1099" s="109" t="n">
        <x:v>22</x:v>
      </x:c>
      <x:c r="R1099" s="87" t="str">
        <x:v>A61K38/465;;A61K9/0019;;A61K9/0085;;A61K47/26;;A61P25/00;;A61P25/28;;A61P43/00;;C12N9/16;;C12Y301/06001;;A61K38/465;;A61K9/0019;;A61K47/26;;A61P25/28;;C12N9/16;;C12Y301/06001;;A61K38/465;;A61K9/0019;;A61K9/0085;;A61K47/26;;A61P25/00;;A61P25/28;;A61P43/00;;C12N9/16;;C12Y301/06001;;A61K38/465;;A61P25/28;;C12Y301/06001</x:v>
      </x:c>
      <x:c r="S1099" s="87" t="str">
        <x:v>A61K38/46;;A61P25/28</x:v>
      </x:c>
      <x:c r="T1099" s="87" t="str">
        <x:v>DISCONTINUED</x:v>
      </x:c>
      <x:c r="U1099" s="87" t="str">
        <x:v>https://lens.org/065-485-746-285-126</x:v>
      </x:c>
    </x:row>
    <x:row r="1100">
      <x:c r="A1100" s="87" t="str">
        <x:v>shire.csv</x:v>
      </x:c>
      <x:c r="B1100" s="87" t="str">
        <x:v>Shire</x:v>
      </x:c>
      <x:c r="C1100" s="87" t="str">
        <x:v>TRT-0045</x:v>
      </x:c>
      <x:c r="D1100" s="87" t="str">
        <x:v>Yes</x:v>
      </x:c>
      <x:c r="E1100" s="87" t="str">
        <x:v>shire</x:v>
      </x:c>
      <x:c r="F1100" s="87" t="str">
        <x:v>30</x:v>
      </x:c>
      <x:c r="G1100" s="87" t="str">
        <x:v>073-015-930-656-488</x:v>
      </x:c>
      <x:c r="H1100" s="110" t="n">
        <x:v>41862</x:v>
      </x:c>
      <x:c r="I1100" s="88" t="n">
        <x:v>2014</x:v>
      </x:c>
      <x:c r="J1100" s="87" t="str">
        <x:v>US</x:v>
      </x:c>
      <x:c r="K1100" s="87" t="str">
        <x:v>A1</x:v>
      </x:c>
      <x:c r="L1100" s="87" t="str">
        <x:v>US 2020/0376095 A1</x:v>
      </x:c>
      <x:c r="M1100" s="87" t="str">
        <x:v>SHIRE HUMAN GENETIC THERAPIES</x:v>
      </x:c>
      <x:c r="N1100" s="87" t="str">
        <x:v>SHIRE HUMAN GENETIC THERAPIES INC (2015-10-13);;TAKEDA PHARMACEUTICAL COMPANY LIMITED (2021-02-26)</x:v>
      </x:c>
      <x:c r="O1100" s="87" t="str">
        <x:v>MANNOSE-6-PHOSPHATE BEARING PEPTIDES FUSED TO LYSOSOMAL ENZYMES</x:v>
      </x:c>
      <x:c r="P1100" s="109" t="n">
        <x:v>1</x:v>
      </x:c>
      <x:c r="Q1100" s="109" t="n">
        <x:v>14</x:v>
      </x:c>
      <x:c r="R1100" s="87" t="str">
        <x:v>A61K38/43;;A61K38/47;;A61K38/1709;;A61K38/204;;A61K38/30;;A61K38/43;;A61P3/00;;A61P43/00;;C12N9/1288;;C12Y207/08017;;C12Y302/0105;;A61K38/47;;A61K38/1709;;A61K38/204;;A61K38/30;;A61K38/43;;C07K14/4703;;C07K14/4705;;C07K14/5412;;C07K14/65;;C07K2319/06;;C12N9/1288;;C12Y207/08017;;C12Y302/0105</x:v>
      </x:c>
      <x:c r="S1100" s="87" t="str">
        <x:v>A61K38/47;;A61K38/17;;A61K38/20;;A61K38/30;;A61K38/43;;C07K14/47;;C07K14/54;;C07K14/65;;C12N9/12</x:v>
      </x:c>
      <x:c r="T1100" s="87" t="str">
        <x:v>DISCONTINUED</x:v>
      </x:c>
      <x:c r="U1100" s="87" t="str">
        <x:v>https://lens.org/073-015-930-656-488</x:v>
      </x:c>
    </x:row>
    <x:row r="1101">
      <x:c r="A1101" s="87" t="str">
        <x:v>shire.csv</x:v>
      </x:c>
      <x:c r="B1101" s="87" t="str">
        <x:v>Shire</x:v>
      </x:c>
      <x:c r="C1101" s="87" t="str">
        <x:v>TRT-0045</x:v>
      </x:c>
      <x:c r="D1101" s="87" t="str">
        <x:v>Yes</x:v>
      </x:c>
      <x:c r="E1101" s="87" t="str">
        <x:v>shire</x:v>
      </x:c>
      <x:c r="F1101" s="87" t="str">
        <x:v>31</x:v>
      </x:c>
      <x:c r="G1101" s="87" t="str">
        <x:v>103-061-812-816-333</x:v>
      </x:c>
      <x:c r="H1101" s="110" t="n">
        <x:v>40900</x:v>
      </x:c>
      <x:c r="I1101" s="88" t="n">
        <x:v>2011</x:v>
      </x:c>
      <x:c r="J1101" s="87" t="str">
        <x:v>US</x:v>
      </x:c>
      <x:c r="K1101" s="87" t="str">
        <x:v>A1</x:v>
      </x:c>
      <x:c r="L1101" s="87" t="str">
        <x:v>US 2020/0376093 A1</x:v>
      </x:c>
      <x:c r="M1101" s="87" t="str">
        <x:v>SHIRE HUMAN GENETIC THERAPIES</x:v>
      </x:c>
      <x:c r="N1101" s="87" t="str">
        <x:v>SHIRE HUMAN GENETIC THERAPIES INC (2013-03-04);;TAKEDA PHARMACEUTICAL COMPANY LIMITED (2022-05-09)</x:v>
      </x:c>
      <x:c r="O1101" s="87" t="str">
        <x:v>TREATMENT OF COGNITIVE IMPAIRMENT OF HUNTER SYNDROME BY INTRATHECAL DELIVERY OF IDURONATE-2-SULFATASE</x:v>
      </x:c>
      <x:c r="P1101" s="109" t="n">
        <x:v>1</x:v>
      </x:c>
      <x:c r="Q1101" s="109" t="n">
        <x:v>21</x:v>
      </x:c>
      <x:c r="R1101" s="87" t="str">
        <x:v>A61K38/465;;A61K38/46;;A61P3/00;;C12N9/16;;C12Y301/06013;;A61K38/465;;A61K9/0019;;A61K9/0085;;A61K38/46;;C12N9/16;;C12Y301/06013</x:v>
      </x:c>
      <x:c r="S1101" s="87" t="str">
        <x:v>A61K38/46;;A61K9/00;;C12N9/16</x:v>
      </x:c>
      <x:c r="T1101" s="87" t="str">
        <x:v>ACTIVE</x:v>
      </x:c>
      <x:c r="U1101" s="87" t="str">
        <x:v>https://lens.org/103-061-812-816-333</x:v>
      </x:c>
    </x:row>
    <x:row r="1102">
      <x:c r="A1102" s="87" t="str">
        <x:v>shire.csv</x:v>
      </x:c>
      <x:c r="B1102" s="87" t="str">
        <x:v>Shire</x:v>
      </x:c>
      <x:c r="C1102" s="87" t="str">
        <x:v>TRT-0045</x:v>
      </x:c>
      <x:c r="D1102" s="87" t="str">
        <x:v>Yes</x:v>
      </x:c>
      <x:c r="E1102" s="87" t="str">
        <x:v>shire</x:v>
      </x:c>
      <x:c r="F1102" s="87" t="str">
        <x:v>32</x:v>
      </x:c>
      <x:c r="G1102" s="87" t="str">
        <x:v>000-235-734-954-193</x:v>
      </x:c>
      <x:c r="H1102" s="110" t="n">
        <x:v>41600</x:v>
      </x:c>
      <x:c r="I1102" s="88" t="n">
        <x:v>2013</x:v>
      </x:c>
      <x:c r="J1102" s="87" t="str">
        <x:v>US</x:v>
      </x:c>
      <x:c r="K1102" s="87" t="str">
        <x:v>A1</x:v>
      </x:c>
      <x:c r="L1102" s="87" t="str">
        <x:v>US 2020/0360495 A1</x:v>
      </x:c>
      <x:c r="M1102" s="87" t="str">
        <x:v>SHIRE VIROPHARMA INC</x:v>
      </x:c>
      <x:c r="N1102" s="87" t="str">
        <x:v>VIROPHARMA HOLDINGS LIMITED (2014-10-10);;SHIRE VIROPHARMA LLC (2019-12-20);;TAKEDA PHARMACEUTICAL COMPANY LIMITED (2021-03-31)</x:v>
      </x:c>
      <x:c r="O1102" s="87" t="str">
        <x:v>METHODS OF TREATING ANTIBODY-MEDIATED REJECTION IN ORGAN TRANSPLANT PATIENTS WITH C1-ESTERASE INHIBITOR</x:v>
      </x:c>
      <x:c r="P1102" s="109" t="n">
        <x:v>1</x:v>
      </x:c>
      <x:c r="Q1102" s="109" t="n">
        <x:v>47</x:v>
      </x:c>
      <x:c r="R1102" s="87" t="str">
        <x:v>A61K38/57;;A61K35/16;;A61K38/55;;A61K2039/505;;A61P1/00;;A61P1/04;;A61P1/16;;A61P1/18;;A61P9/00;;A61P11/00;;A61P13/12;;A61P37/00;;A61P37/06;;A61P43/00;;C07K16/00;;A61K35/16;;A61K31/69;;A61K38/55;;A61K38/57;;A61K39/395;;A61K45/06;;A61K2035/122;;A61K2039/505;;A61K2300/00;;A61K38/57;;A61K35/16;;A61K38/55;;A61K45/06;;A61K2035/122;;A61K2039/505;;C07K16/00</x:v>
      </x:c>
      <x:c r="S1102" s="87" t="str">
        <x:v>A61K38/57;;A61K35/16;;A61K38/55;;A61K45/06;;C07K16/00</x:v>
      </x:c>
      <x:c r="T1102" s="87" t="str">
        <x:v>DISCONTINUED</x:v>
      </x:c>
      <x:c r="U1102" s="87" t="str">
        <x:v>https://lens.org/000-235-734-954-193</x:v>
      </x:c>
    </x:row>
    <x:row r="1103">
      <x:c r="A1103" s="87" t="str">
        <x:v>shire.csv</x:v>
      </x:c>
      <x:c r="B1103" s="87" t="str">
        <x:v>Shire</x:v>
      </x:c>
      <x:c r="C1103" s="87" t="str">
        <x:v>TRT-0045</x:v>
      </x:c>
      <x:c r="D1103" s="87" t="str">
        <x:v>Yes</x:v>
      </x:c>
      <x:c r="E1103" s="87" t="str">
        <x:v>shire</x:v>
      </x:c>
      <x:c r="F1103" s="87" t="str">
        <x:v>33</x:v>
      </x:c>
      <x:c r="G1103" s="87" t="str">
        <x:v>106-807-085-856-650</x:v>
      </x:c>
      <x:c r="H1103" s="110" t="n">
        <x:v>42101</x:v>
      </x:c>
      <x:c r="I1103" s="88" t="n">
        <x:v>2015</x:v>
      </x:c>
      <x:c r="J1103" s="87" t="str">
        <x:v>US</x:v>
      </x:c>
      <x:c r="K1103" s="87" t="str">
        <x:v>A1</x:v>
      </x:c>
      <x:c r="L1103" s="87" t="str">
        <x:v>US 2020/0362041 A1</x:v>
      </x:c>
      <x:c r="M1103" s="87" t="str">
        <x:v>SHIRE HUMAN GENETIC THERAPIES;;UNIV COLORADO REGENTS</x:v>
      </x:c>
      <x:c r="N1103" s="87" t="str">
        <x:v>THE REGENTS OF THE UNIVERSITY OF COLORADO A BODY CORPORATE (2016-05-10);;SHIRE HUMAN GENETIC THERAPIES INC (2018-03-19);;TAKEDA PHARMACEUTICAL COMPANY LIMITED (2021-02-26)</x:v>
      </x:c>
      <x:c r="O1103" s="87" t="str">
        <x:v>ANTI-FLT-1 ANTIBODIES IN TREATING BRONCHOPULMONARY DYSPLASIA</x:v>
      </x:c>
      <x:c r="P1103" s="109" t="n">
        <x:v>0</x:v>
      </x:c>
      <x:c r="Q1103" s="109" t="n">
        <x:v>18</x:v>
      </x:c>
      <x:c r="R1103" s="87" t="str">
        <x:v>C07K16/2863;;A61K2039/505;;A61K2039/54;;C07K2317/74;;C07K2317/76;;C07K16/2863;;A61K31/07;;A61K31/56;;A61K33/00;;A61K2039/505;;A61K2039/54;;A61P11/00;;A61P43/00;;C07K2317/74;;C07K2317/76;;C07K16/2863;;A23L33/10;;A23V2002/00;;A61K9/0012;;A61K9/0019;;A61K9/0053;;A61K9/007;;A61K9/0073;;A61K31/07;;A61K31/56;;A61K33/00;;A61K39/3955;;A61K45/06;;A61K2039/505;;A61K2039/54;;A61K2039/545;;C07K2317/21;;C07K2317/24;;C07K2317/33;;C07K2317/52;;C07K2317/54;;C07K2317/55;;C07K2317/622;;C07K2317/626;;C07K2317/74;;C07K2317/76;;C07K2317/92;;C07K2317/94</x:v>
      </x:c>
      <x:c r="S1103" s="87" t="str">
        <x:v>C07K16/28;;A23L33/10;;A61K9/00;;A61K31/07;;A61K31/56;;A61K33/00;;A61K39/395;;A61K45/06</x:v>
      </x:c>
      <x:c r="T1103" s="87" t="str">
        <x:v>DISCONTINUED</x:v>
      </x:c>
      <x:c r="U1103" s="87" t="str">
        <x:v>https://lens.org/106-807-085-856-650</x:v>
      </x:c>
    </x:row>
    <x:row r="1104">
      <x:c r="A1104" s="87" t="str">
        <x:v>shire.csv</x:v>
      </x:c>
      <x:c r="B1104" s="87" t="str">
        <x:v>Shire</x:v>
      </x:c>
      <x:c r="C1104" s="87" t="str">
        <x:v>TRT-0045</x:v>
      </x:c>
      <x:c r="D1104" s="87" t="str">
        <x:v>Yes</x:v>
      </x:c>
      <x:c r="E1104" s="87" t="str">
        <x:v>shire</x:v>
      </x:c>
      <x:c r="F1104" s="87" t="str">
        <x:v>34</x:v>
      </x:c>
      <x:c r="G1104" s="87" t="str">
        <x:v>106-377-324-125-314</x:v>
      </x:c>
      <x:c r="H1104" s="110" t="n">
        <x:v>43172</x:v>
      </x:c>
      <x:c r="I1104" s="88" t="n">
        <x:v>2018</x:v>
      </x:c>
      <x:c r="J1104" s="87" t="str">
        <x:v>US</x:v>
      </x:c>
      <x:c r="K1104" s="87" t="str">
        <x:v>A1</x:v>
      </x:c>
      <x:c r="L1104" s="87" t="str">
        <x:v>US 2020/0317667 A1</x:v>
      </x:c>
      <x:c r="M1104" s="87" t="str">
        <x:v>SHIRE HUMAN GENETIC THERAPIES</x:v>
      </x:c>
      <x:c r="N1104" s="87" t="str">
        <x:v>CHARLES RIVER LABORATORIES INC (2019-04-24);;SHIRE HUMAN GENETIC THERAPIES INC (2019-05-22);;BIODURO LLC (2019-05-20);;CHARLES RIVER DISCOVERY RESEARCH SERVICES UK LIMITED (2019-04-24);;TAKEDA PHARMACEUTICAL COMPANY LIMITED (2021-02-26)</x:v>
      </x:c>
      <x:c r="O1104" s="87" t="str">
        <x:v>INHIBITORS OF PLASMA KALLIKREIN AND USES THEREOF</x:v>
      </x:c>
      <x:c r="P1104" s="109" t="n">
        <x:v>7</x:v>
      </x:c>
      <x:c r="Q1104" s="109" t="n">
        <x:v>18</x:v>
      </x:c>
      <x:c r="R1104" s="87" t="str">
        <x:v>C07D471/04;;A61P9/00;;A61P29/00;;C07D519/00;;C07D471/04;;A61K31/437;;A61P7/10;;A61P27/02;;A61P29/00;;C07D471/04;;A61P9/00;;A61P29/00;;C07D519/00</x:v>
      </x:c>
      <x:c r="S1104" s="87" t="str">
        <x:v>C07D471/04;;A61P9/00;;A61P29/00;;C07D519/00</x:v>
      </x:c>
      <x:c r="T1104" s="87" t="str">
        <x:v>ACTIVE</x:v>
      </x:c>
      <x:c r="U1104" s="87" t="str">
        <x:v>https://lens.org/106-377-324-125-314</x:v>
      </x:c>
    </x:row>
    <x:row r="1105">
      <x:c r="A1105" s="87" t="str">
        <x:v>shire.csv</x:v>
      </x:c>
      <x:c r="B1105" s="87" t="str">
        <x:v>Shire</x:v>
      </x:c>
      <x:c r="C1105" s="87" t="str">
        <x:v>TRT-0045</x:v>
      </x:c>
      <x:c r="D1105" s="87" t="str">
        <x:v>Yes</x:v>
      </x:c>
      <x:c r="E1105" s="87" t="str">
        <x:v>shire</x:v>
      </x:c>
      <x:c r="F1105" s="87" t="str">
        <x:v>35</x:v>
      </x:c>
      <x:c r="G1105" s="87" t="str">
        <x:v>132-384-909-573-073</x:v>
      </x:c>
      <x:c r="H1105" s="110" t="n">
        <x:v>43034</x:v>
      </x:c>
      <x:c r="I1105" s="88" t="n">
        <x:v>2017</x:v>
      </x:c>
      <x:c r="J1105" s="87" t="str">
        <x:v>US</x:v>
      </x:c>
      <x:c r="K1105" s="87" t="str">
        <x:v>A1</x:v>
      </x:c>
      <x:c r="L1105" s="87" t="str">
        <x:v>US 2020/0316178 A1</x:v>
      </x:c>
      <x:c r="M1105" s="87" t="str">
        <x:v>SHIRE HUMAN GENETIC THERAPIES</x:v>
      </x:c>
      <x:c r="N1105" s="87" t="str">
        <x:v>SHIRE HUMAN GENETIC THERAPIES INC (2018-03-01);;TAKEDA PHARMACEUTICAL COMPANY LIMITED (2021-02-26)</x:v>
      </x:c>
      <x:c r="O1105" s="87" t="str">
        <x:v>FORMULATIONS COMPRISING GLUCOCEREBROSIDASE AND ISOFAGOMINE</x:v>
      </x:c>
      <x:c r="P1105" s="109" t="n">
        <x:v>0</x:v>
      </x:c>
      <x:c r="Q1105" s="109" t="n">
        <x:v>24</x:v>
      </x:c>
      <x:c r="R1105" s="87" t="str">
        <x:v>A61K9/0019;;A61K9/19;;A61K31/445;;A61K38/47;;A61K47/02;;A61K47/12;;A61K47/26;;A61K2300/00;;C12Y302/01045;;A61K31/445;;A61K9/0019;;A61K47/02;;A61K47/12;;A61K47/26;;A61K9/19;;A61K38/47;;C12Y302/01045;;A61P25/16;;A61P25/28;;A61P3/00;;A61K31/445;;A61K9/19;;C12Y302/01045;;A61K38/47;;A61K47/02;;A61K47/12;;A61K47/26;;A61K9/0019;;A61K2300/00;;A61K31/445;;A61K38/47;;A61K9/08;;A61K9/19;;A61K47/12;;A61K47/02;;A61K47/26;;A61K9/0021;;A61P25/28;;A61P25/16;;A61K2300/00;;C12Y302/01045;;A61K9/0019;;A61K9/19;;A61K31/445;;A61K38/47;;A61K47/02;;A61K47/12;;A61K47/26;;C12Y302/01045</x:v>
      </x:c>
      <x:c r="S1105" s="87" t="str">
        <x:v>A61K31/445;;A61K38/47;;A61K47/02;;A61K47/12;;A61K47/26</x:v>
      </x:c>
      <x:c r="T1105" s="87" t="str">
        <x:v>DISCONTINUED</x:v>
      </x:c>
      <x:c r="U1105" s="87" t="str">
        <x:v>https://lens.org/132-384-909-573-073</x:v>
      </x:c>
    </x:row>
    <x:row r="1106">
      <x:c r="A1106" s="87" t="str">
        <x:v>shire.csv</x:v>
      </x:c>
      <x:c r="B1106" s="87" t="str">
        <x:v>Shire</x:v>
      </x:c>
      <x:c r="C1106" s="87" t="str">
        <x:v>TRT-0045</x:v>
      </x:c>
      <x:c r="D1106" s="87" t="str">
        <x:v>Yes</x:v>
      </x:c>
      <x:c r="E1106" s="87" t="str">
        <x:v>shire</x:v>
      </x:c>
      <x:c r="F1106" s="87" t="str">
        <x:v>36</x:v>
      </x:c>
      <x:c r="G1106" s="87" t="str">
        <x:v>179-256-152-837-725</x:v>
      </x:c>
      <x:c r="H1106" s="110" t="n">
        <x:v>41991</x:v>
      </x:c>
      <x:c r="I1106" s="88" t="n">
        <x:v>2014</x:v>
      </x:c>
      <x:c r="J1106" s="87" t="str">
        <x:v>US</x:v>
      </x:c>
      <x:c r="K1106" s="87" t="str">
        <x:v>B2</x:v>
      </x:c>
      <x:c r="L1106" s="87" t="str">
        <x:v>US 10760112 B2</x:v>
      </x:c>
      <x:c r="M1106" s="87" t="str">
        <x:v>SHIRE HUMAN GENETIC THERAPIES</x:v>
      </x:c>
      <x:c r="N1106" s="87" t="str">
        <x:v>SHIRE HUMAN GENETIC THERAPIES INC (2017-09-06);;TAKEDA PHARMACEUTICAL COMPANY LIMITED (2021-02-26)</x:v>
      </x:c>
      <x:c r="O1106" s="87" t="str">
        <x:v>Enzymatic activity assays for glucocerebrosidase</x:v>
      </x:c>
      <x:c r="P1106" s="109" t="n">
        <x:v>0</x:v>
      </x:c>
      <x:c r="Q1106" s="109" t="n">
        <x:v>5</x:v>
      </x:c>
      <x:c r="R1106" s="87" t="str">
        <x:v>C12Q1/34;;C12Y302/01045;;G01N2333/924;;C12Q1/40;;C12Q1/34;;C12Y302/01045;;G01N2333/924;;G01N2500/20</x:v>
      </x:c>
      <x:c r="S1106" s="87" t="str">
        <x:v>C12Q1/40;;C12Q1/34</x:v>
      </x:c>
      <x:c r="T1106" s="87" t="str">
        <x:v>ACTIVE</x:v>
      </x:c>
      <x:c r="U1106" s="87" t="str">
        <x:v>https://lens.org/179-256-152-837-725</x:v>
      </x:c>
    </x:row>
    <x:row r="1107">
      <x:c r="A1107" s="87" t="str">
        <x:v>shire.csv</x:v>
      </x:c>
      <x:c r="B1107" s="87" t="str">
        <x:v>Shire</x:v>
      </x:c>
      <x:c r="C1107" s="87" t="str">
        <x:v>TRT-0045</x:v>
      </x:c>
      <x:c r="D1107" s="87" t="str">
        <x:v>Yes</x:v>
      </x:c>
      <x:c r="E1107" s="87" t="str">
        <x:v>shire</x:v>
      </x:c>
      <x:c r="F1107" s="87" t="str">
        <x:v>37</x:v>
      </x:c>
      <x:c r="G1107" s="87" t="str">
        <x:v>072-779-219-970-225</x:v>
      </x:c>
      <x:c r="H1107" s="110" t="n">
        <x:v>41348</x:v>
      </x:c>
      <x:c r="I1107" s="88" t="n">
        <x:v>2013</x:v>
      </x:c>
      <x:c r="J1107" s="87" t="str">
        <x:v>US</x:v>
      </x:c>
      <x:c r="K1107" s="87" t="str">
        <x:v>A1</x:v>
      </x:c>
      <x:c r="L1107" s="87" t="str">
        <x:v>US 2020/0261556 A1</x:v>
      </x:c>
      <x:c r="M1107" s="87" t="str">
        <x:v>SHIRE VIROPHARMA INC</x:v>
      </x:c>
      <x:c r="N1107" s="87" t="str">
        <x:v>SHIRE VIROPHARMA LLC (2019-12-20);;VIROPHARMA BIOLOGICS LLC (2021-06-25)</x:v>
      </x:c>
      <x:c r="O1107" s="87" t="str">
        <x:v>C1-INH COMPOSITIONS AND METHODS FOR THE PREVENTION AND TREATMENT OF DISORDERS ASSOCIATED WITH C1 ESTERASE INHIBITOR DEFICIENCY</x:v>
      </x:c>
      <x:c r="P1107" s="109" t="n">
        <x:v>2</x:v>
      </x:c>
      <x:c r="Q1107" s="109" t="n">
        <x:v>106</x:v>
      </x:c>
      <x:c r="R1107" s="87" t="str">
        <x:v>A61K38/57;;A61K9/0019;;A61K38/1709;;A61K47/02;;A61K47/12;;A61K47/18;;A61K47/183;;A61P31/00;;A61K38/57;;A61K9/0019;;A61K47/02;;A61K47/12;;A61K47/18;;A61K47/22;;A61K47/34;;A61K38/57;;A61K9/0019;;A61K9/0021;;A61K9/08;;A61K35/16;;A61K38/00;;A61K38/1709;;A61K38/55;;A61K47/02;;A61K47/12;;A61K47/18;;A61K47/183;;A61K47/22;;A61K47/34;;A61P31/00;;C07K14/81;;A61K38/57;;A61K9/0019;;A61K9/0021;;A61K47/02;;A61K47/12;;A61K38/57;;A61K9/0019;;A61K9/08;;A61K38/00;;A61K38/1709;;A61K47/02;;A61K47/12;;A61K47/18;;A61K47/183;;A61K47/22;;A61P31/00</x:v>
      </x:c>
      <x:c r="S1107" s="87" t="str">
        <x:v>A61K38/57;;A61K9/00;;A61K9/08;;A61K38/00;;A61K38/17;;A61K47/02;;A61K47/12;;A61K47/18;;A61K47/22;;A61P31/00</x:v>
      </x:c>
      <x:c r="T1107" s="87" t="str">
        <x:v>ACTIVE</x:v>
      </x:c>
      <x:c r="U1107" s="87" t="str">
        <x:v>https://lens.org/072-779-219-970-225</x:v>
      </x:c>
    </x:row>
    <x:row r="1108">
      <x:c r="A1108" s="87" t="str">
        <x:v>shire.csv</x:v>
      </x:c>
      <x:c r="B1108" s="87" t="str">
        <x:v>Shire</x:v>
      </x:c>
      <x:c r="C1108" s="87" t="str">
        <x:v>TRT-0045</x:v>
      </x:c>
      <x:c r="D1108" s="87" t="str">
        <x:v>Yes</x:v>
      </x:c>
      <x:c r="E1108" s="87" t="str">
        <x:v>shire</x:v>
      </x:c>
      <x:c r="F1108" s="87" t="str">
        <x:v>38</x:v>
      </x:c>
      <x:c r="G1108" s="87" t="str">
        <x:v>003-825-367-105-219</x:v>
      </x:c>
      <x:c r="H1108" s="110" t="n">
        <x:v>42433</x:v>
      </x:c>
      <x:c r="I1108" s="88" t="n">
        <x:v>2016</x:v>
      </x:c>
      <x:c r="J1108" s="87" t="str">
        <x:v>US</x:v>
      </x:c>
      <x:c r="K1108" s="87" t="str">
        <x:v>A1</x:v>
      </x:c>
      <x:c r="L1108" s="87" t="str">
        <x:v>US 2020/0247856 A1</x:v>
      </x:c>
      <x:c r="M1108" s="87" t="str">
        <x:v>SHIRE HUMAN GENETIC THERAPIES</x:v>
      </x:c>
      <x:c r="N1108" s="87" t="str">
        <x:v>SHIRE HUMAN GENETIC THERAPIES INC (2019-06-06);;TAKEDA PHARMACEUTICAL COMPANY LIMITED (2021-02-26)</x:v>
      </x:c>
      <x:c r="O1108" s="87" t="str">
        <x:v>RECOMBINANT FOLLISTATIN-FC FUSION PROTEINS AND USE IN TREATING DUCHENNE MUSCULAR DYSTROPHY</x:v>
      </x:c>
      <x:c r="P1108" s="109" t="n">
        <x:v>0</x:v>
      </x:c>
      <x:c r="Q1108" s="109" t="n">
        <x:v>15</x:v>
      </x:c>
      <x:c r="R1108" s="87" t="str">
        <x:v>A61K45/06;;A61K38/00;;A61K39/395;;C07K14/4703;;C07K14/4708;;C07K2319/30;;C07K14/4708;;A61K38/00;;A61K39/395;;A61K45/06;;A61P21/00;;A61P21/04;;C07K14/4703;;C07K2319/30;;C07K14/4703;;A61K38/00;;A61K39/395;;A61K45/06;;A61P21/00;;C07K14/4708;;C07K2319/30;;C07K14/473;;A61K9/0019;;A61K38/00;;A61K39/3955;;A61K2039/505;;A61K2039/545;;A61P21/06;;C07K16/22;;C07K2317/92;;C07K2319/30</x:v>
      </x:c>
      <x:c r="S1108" s="87" t="str">
        <x:v>C07K14/47;;A61K9/00;;A61K39/395;;A61P21/06;;C07K16/22</x:v>
      </x:c>
      <x:c r="T1108" s="87" t="str">
        <x:v>DISCONTINUED</x:v>
      </x:c>
      <x:c r="U1108" s="87" t="str">
        <x:v>https://lens.org/003-825-367-105-219</x:v>
      </x:c>
    </x:row>
    <x:row r="1109">
      <x:c r="A1109" s="87" t="str">
        <x:v>shire.csv</x:v>
      </x:c>
      <x:c r="B1109" s="87" t="str">
        <x:v>Shire</x:v>
      </x:c>
      <x:c r="C1109" s="87" t="str">
        <x:v>TRT-0045</x:v>
      </x:c>
      <x:c r="D1109" s="87" t="str">
        <x:v>Yes</x:v>
      </x:c>
      <x:c r="E1109" s="87" t="str">
        <x:v>shire</x:v>
      </x:c>
      <x:c r="F1109" s="87" t="str">
        <x:v>39</x:v>
      </x:c>
      <x:c r="G1109" s="87" t="str">
        <x:v>080-857-018-562-226</x:v>
      </x:c>
      <x:c r="H1109" s="110" t="n">
        <x:v>41302</x:v>
      </x:c>
      <x:c r="I1109" s="88" t="n">
        <x:v>2013</x:v>
      </x:c>
      <x:c r="J1109" s="87" t="str">
        <x:v>US</x:v>
      </x:c>
      <x:c r="K1109" s="87" t="str">
        <x:v>B2</x:v>
      </x:c>
      <x:c r="L1109" s="87" t="str">
        <x:v>US 10729746 B2</x:v>
      </x:c>
      <x:c r="M1109" s="87" t="str">
        <x:v>SHIRE HUMAN GENETIC THERAPIES</x:v>
      </x:c>
      <x:c r="N1109" s="87" t="str">
        <x:v>SHIRE HUMAN GENETIC THERAPIES INC (2016-01-22);;TAKEDA PHARMACEUTICAL COMPANY LIMITED (2021-02-26)</x:v>
      </x:c>
      <x:c r="O1109" s="87" t="str">
        <x:v>Recombinant placenta growth factor for treating Duchenne muscular dystrophy</x:v>
      </x:c>
      <x:c r="P1109" s="109" t="n">
        <x:v>0</x:v>
      </x:c>
      <x:c r="Q1109" s="109" t="n">
        <x:v>8</x:v>
      </x:c>
      <x:c r="R1109" s="87" t="str">
        <x:v>C07K14/515;;A61K38/1891;;A61P21/00;;C07K2319/00;;A61K38/18;;A61K38/1866;;C07K14/475;;C07K14/515;;C07K2319/00</x:v>
      </x:c>
      <x:c r="S1109" s="87" t="str">
        <x:v>A61K38/18;;C07K14/475;;C07K14/515</x:v>
      </x:c>
      <x:c r="T1109" s="87" t="str">
        <x:v>ACTIVE</x:v>
      </x:c>
      <x:c r="U1109" s="87" t="str">
        <x:v>https://lens.org/080-857-018-562-226</x:v>
      </x:c>
    </x:row>
    <x:row r="1110">
      <x:c r="A1110" s="87" t="str">
        <x:v>shire.csv</x:v>
      </x:c>
      <x:c r="B1110" s="87" t="str">
        <x:v>Shire</x:v>
      </x:c>
      <x:c r="C1110" s="87" t="str">
        <x:v>TRT-0045</x:v>
      </x:c>
      <x:c r="D1110" s="87" t="str">
        <x:v>Yes</x:v>
      </x:c>
      <x:c r="E1110" s="87" t="str">
        <x:v>shire</x:v>
      </x:c>
      <x:c r="F1110" s="87" t="str">
        <x:v>40</x:v>
      </x:c>
      <x:c r="G1110" s="87" t="str">
        <x:v>110-386-522-348-964</x:v>
      </x:c>
      <x:c r="H1110" s="110" t="n">
        <x:v>40900</x:v>
      </x:c>
      <x:c r="I1110" s="88" t="n">
        <x:v>2011</x:v>
      </x:c>
      <x:c r="J1110" s="87" t="str">
        <x:v>US</x:v>
      </x:c>
      <x:c r="K1110" s="87" t="str">
        <x:v>A1</x:v>
      </x:c>
      <x:c r="L1110" s="87" t="str">
        <x:v>US 2020/0237883 A1</x:v>
      </x:c>
      <x:c r="M1110" s="87" t="str">
        <x:v>SHIRE HUMAN GENETIC THERAPIES</x:v>
      </x:c>
      <x:c r="N1110" s="87" t="str">
        <x:v>SHIRE HUMAN GENETIC THERAPIES INC (2014-08-20);;TAKEDA PHARMACEUTICAL COMPANY LIMITED (2022-07-11)</x:v>
      </x:c>
      <x:c r="O1110" s="87" t="str">
        <x:v>STABLE FORMULATIONS FOR CNS DELIVERY OF ARYLSULFATASE A</x:v>
      </x:c>
      <x:c r="P1110" s="109" t="n">
        <x:v>0</x:v>
      </x:c>
      <x:c r="Q1110" s="109" t="n">
        <x:v>9</x:v>
      </x:c>
      <x:c r="R1110" s="87" t="str">
        <x:v>A61K38/465;;A61K9/0019;;A61K9/0085;;A61K9/19;;A61K38/51;;A61K47/10;;C12Y301/06008;;A61K38/465;;A61K9/0019;;A61K9/0085;;A61K9/19;;A61K38/51;;A61K47/10;;C12Y301/06008</x:v>
      </x:c>
      <x:c r="S1110" s="87" t="str">
        <x:v>A61K38/46;;A61K9/00;;A61K9/19;;A61K38/51;;A61K47/10</x:v>
      </x:c>
      <x:c r="T1110" s="87" t="str">
        <x:v>DISCONTINUED</x:v>
      </x:c>
      <x:c r="U1110" s="87" t="str">
        <x:v>https://lens.org/110-386-522-348-964</x:v>
      </x:c>
    </x:row>
    <x:row r="1111">
      <x:c r="A1111" s="87" t="str">
        <x:v>shire.csv</x:v>
      </x:c>
      <x:c r="B1111" s="87" t="str">
        <x:v>Shire</x:v>
      </x:c>
      <x:c r="C1111" s="87" t="str">
        <x:v>TRT-0045</x:v>
      </x:c>
      <x:c r="D1111" s="87" t="str">
        <x:v>Yes</x:v>
      </x:c>
      <x:c r="E1111" s="87" t="str">
        <x:v>shire</x:v>
      </x:c>
      <x:c r="F1111" s="87" t="str">
        <x:v>41</x:v>
      </x:c>
      <x:c r="G1111" s="87" t="str">
        <x:v>051-842-789-425-090</x:v>
      </x:c>
      <x:c r="H1111" s="110" t="n">
        <x:v>41299</x:v>
      </x:c>
      <x:c r="I1111" s="88" t="n">
        <x:v>2013</x:v>
      </x:c>
      <x:c r="J1111" s="87" t="str">
        <x:v>US</x:v>
      </x:c>
      <x:c r="K1111" s="87" t="str">
        <x:v>B2</x:v>
      </x:c>
      <x:c r="L1111" s="87" t="str">
        <x:v>US 10723772 B2</x:v>
      </x:c>
      <x:c r="M1111" s="87" t="str">
        <x:v>SHIRE HUMAN GENETIC THERAPIES</x:v>
      </x:c>
      <x:c r="N1111" s="87" t="str">
        <x:v>SHIRE HUMAN GENETIC THERAPIES INC (2015-08-26);;TAKEDA PHARMACEUTICAL COMPANY LIMITED (2021-02-26)</x:v>
      </x:c>
      <x:c r="O1111" s="87" t="str">
        <x:v>Follistatin in treating duchenne muscular dystrophy</x:v>
      </x:c>
      <x:c r="P1111" s="109" t="n">
        <x:v>1</x:v>
      </x:c>
      <x:c r="Q1111" s="109" t="n">
        <x:v>27</x:v>
      </x:c>
      <x:c r="R1111" s="87" t="str">
        <x:v>A61K38/1709;;A61K38/00;;A61P1/00;;A61P1/04;;A61P9/00;;A61P9/10;;A61P11/00;;A61P13/10;;A61P19/02;;A61P19/08;;A61P21/00;;A61P21/06;;A61P25/18;;A61P25/28;;A61P29/00;;C07H21/04;;C07K14/4703;;C07K2319/30;;A61K38/00;;A61K38/1709;;C07H21/04;;C07K14/47;;C07K14/4703;;C07K14/4708;;C07K19/00;;C07K2319/30;;C12N15/63;;C07K14/47;;A61K38/00;;A61K38/1709;;C07H21/04;;C07K14/4703;;C07K14/4708;;C07K19/00;;C07K2319/30;;C12N15/63</x:v>
      </x:c>
      <x:c r="S1111" s="87" t="str">
        <x:v>A61P21/06;;A61K38/00;;A61K38/17;;C07H21/04;;C07K14/47;;C07K19/00;;C12N15/63</x:v>
      </x:c>
      <x:c r="T1111" s="87" t="str">
        <x:v>INACTIVE</x:v>
      </x:c>
      <x:c r="U1111" s="87" t="str">
        <x:v>https://lens.org/051-842-789-425-090</x:v>
      </x:c>
    </x:row>
    <x:row r="1112">
      <x:c r="A1112" s="87" t="str">
        <x:v>shire.csv</x:v>
      </x:c>
      <x:c r="B1112" s="87" t="str">
        <x:v>Shire</x:v>
      </x:c>
      <x:c r="C1112" s="87" t="str">
        <x:v>TRT-0045</x:v>
      </x:c>
      <x:c r="D1112" s="87" t="str">
        <x:v>Yes</x:v>
      </x:c>
      <x:c r="E1112" s="87" t="str">
        <x:v>shire</x:v>
      </x:c>
      <x:c r="F1112" s="87" t="str">
        <x:v>42</x:v>
      </x:c>
      <x:c r="G1112" s="87" t="str">
        <x:v>129-709-666-233-932</x:v>
      </x:c>
      <x:c r="H1112" s="110" t="n">
        <x:v>42361</x:v>
      </x:c>
      <x:c r="I1112" s="88" t="n">
        <x:v>2015</x:v>
      </x:c>
      <x:c r="J1112" s="87" t="str">
        <x:v>US</x:v>
      </x:c>
      <x:c r="K1112" s="87" t="str">
        <x:v>B2</x:v>
      </x:c>
      <x:c r="L1112" s="87" t="str">
        <x:v>US 10695395 B2</x:v>
      </x:c>
      <x:c r="M1112" s="87" t="str">
        <x:v>SHIRE HUMAN GENETIC THERAPIES;;PHOENIX TISSUE REPAIR INC</x:v>
      </x:c>
      <x:c r="N1112" s="87" t="str">
        <x:v>SHIRE HUMAN GENETIC THERAPIES INC (2017-01-16);;PHOENIX TISSUE REPAIR INC (2017-07-21)</x:v>
      </x:c>
      <x:c r="O1112" s="87" t="str">
        <x:v>Collagen 7 compositions and methods of using the same</x:v>
      </x:c>
      <x:c r="P1112" s="109" t="n">
        <x:v>1</x:v>
      </x:c>
      <x:c r="Q1112" s="109" t="n">
        <x:v>22</x:v>
      </x:c>
      <x:c r="R1112" s="87" t="str">
        <x:v>A61K38/39;;A61K47/183;;A61K47/26;;A61P17/02;;A61K8/60;;A61K8/65;;A61K38/39;;A61Q19/08;;C07K14/78;;A61K8/24;;A61K8/44;;A61K8/4993;;A61K8/20;;A61K9/0019;;A61P17/02;;A61K47/10;;A61K47/183;;A61K47/26;;A61K38/014;;A61K8/4993;;A61K8/60;;A61K47/183;;A61K47/26;;A61P17/02;;A61K38/39;;A61Q19/08;;A61K8/20;;C07K14/78;;A61K8/24;;A61K47/10;;A61K9/0019;;A61K8/44;;A61K8/65;;A61Q19/08;;A61K8/65;;A61K8/60;;A61K38/39;;C07K14/78;;A61K8/44;;A61K8/20;;A61K8/4993;;A61K8/24;;A61K9/0019;;A61P17/02;;A61K38/014;;A61K47/10;;A61K47/183;;A61K47/26</x:v>
      </x:c>
      <x:c r="S1112" s="87" t="str">
        <x:v>A61K38/01;;A61K8/20;;A61K8/24;;A61K8/44;;A61K8/49;;A61K8/60;;A61K8/65;;A61K9/00;;A61K38/39;;A61K47/10;;A61K47/18;;A61K47/26;;A61P17/02;;A61Q19/08;;C07K14/78</x:v>
      </x:c>
      <x:c r="T1112" s="87" t="str">
        <x:v>ACTIVE</x:v>
      </x:c>
      <x:c r="U1112" s="87" t="str">
        <x:v>https://lens.org/129-709-666-233-932</x:v>
      </x:c>
    </x:row>
    <x:row r="1113">
      <x:c r="A1113" s="87" t="str">
        <x:v>shire.csv</x:v>
      </x:c>
      <x:c r="B1113" s="87" t="str">
        <x:v>Shire</x:v>
      </x:c>
      <x:c r="C1113" s="87" t="str">
        <x:v>TRT-0045</x:v>
      </x:c>
      <x:c r="D1113" s="87" t="str">
        <x:v>Yes</x:v>
      </x:c>
      <x:c r="E1113" s="87" t="str">
        <x:v>shire</x:v>
      </x:c>
      <x:c r="F1113" s="87" t="str">
        <x:v>43</x:v>
      </x:c>
      <x:c r="G1113" s="87" t="str">
        <x:v>077-430-827-834-075</x:v>
      </x:c>
      <x:c r="H1113" s="110" t="n">
        <x:v>42205</x:v>
      </x:c>
      <x:c r="I1113" s="88" t="n">
        <x:v>2015</x:v>
      </x:c>
      <x:c r="J1113" s="87" t="str">
        <x:v>US</x:v>
      </x:c>
      <x:c r="K1113" s="87" t="str">
        <x:v>B2</x:v>
      </x:c>
      <x:c r="L1113" s="87" t="str">
        <x:v>US 10639356 B2</x:v>
      </x:c>
      <x:c r="M1113" s="87" t="str">
        <x:v>SHIRE HUMAN GENETIC THERAPIES</x:v>
      </x:c>
      <x:c r="N1113" s="87" t="str">
        <x:v>SHIRE HUMAN GENETIC THERAPIES INC (2018-07-17);;TAKEDA PHARMACEUTICAL COMPANY LIMITED (2022-07-11)</x:v>
      </x:c>
      <x:c r="O1113" s="87" t="str">
        <x:v>Treatment of cognitive impairment of mucopolysaccharidosis type IIIA by intrathecal delivery of heparan N-sulfatase</x:v>
      </x:c>
      <x:c r="P1113" s="109" t="n">
        <x:v>0</x:v>
      </x:c>
      <x:c r="Q1113" s="109" t="n">
        <x:v>9</x:v>
      </x:c>
      <x:c r="R1113" s="87" t="str">
        <x:v>A61K38/46;;A61P3/00;;C12Y310/01001;;A61K38/46;;A61K9/0019;;A61P3/00;;C12Y310/01001</x:v>
      </x:c>
      <x:c r="S1113" s="87" t="str">
        <x:v>A61K38/46;;A61K9/00;;A61P3/00</x:v>
      </x:c>
      <x:c r="T1113" s="87" t="str">
        <x:v>ACTIVE</x:v>
      </x:c>
      <x:c r="U1113" s="87" t="str">
        <x:v>https://lens.org/077-430-827-834-075</x:v>
      </x:c>
    </x:row>
    <x:row r="1114">
      <x:c r="A1114" s="87" t="str">
        <x:v>shire.csv</x:v>
      </x:c>
      <x:c r="B1114" s="87" t="str">
        <x:v>Shire</x:v>
      </x:c>
      <x:c r="C1114" s="87" t="str">
        <x:v>TRT-0045</x:v>
      </x:c>
      <x:c r="D1114" s="87" t="str">
        <x:v>Yes</x:v>
      </x:c>
      <x:c r="E1114" s="87" t="str">
        <x:v>shire</x:v>
      </x:c>
      <x:c r="F1114" s="87" t="str">
        <x:v>44</x:v>
      </x:c>
      <x:c r="G1114" s="87" t="str">
        <x:v>023-437-851-277-726</x:v>
      </x:c>
      <x:c r="H1114" s="110" t="n">
        <x:v>41862</x:v>
      </x:c>
      <x:c r="I1114" s="88" t="n">
        <x:v>2014</x:v>
      </x:c>
      <x:c r="J1114" s="87" t="str">
        <x:v>US</x:v>
      </x:c>
      <x:c r="K1114" s="87" t="str">
        <x:v>B2</x:v>
      </x:c>
      <x:c r="L1114" s="87" t="str">
        <x:v>US 10603364 B2</x:v>
      </x:c>
      <x:c r="M1114" s="87" t="str">
        <x:v>SHIRE HUMAN GENETIC THERAPIES</x:v>
      </x:c>
      <x:c r="N1114" s="87" t="str">
        <x:v>SHIRE HUMAN GENETIC THERAPIES INC (2016-02-18);;TAKEDA PHARMACEUTICAL COMPANY LIMITED (2021-02-26)</x:v>
      </x:c>
      <x:c r="O1114" s="87" t="str">
        <x:v>Lysosomal targeting and uses thereof</x:v>
      </x:c>
      <x:c r="P1114" s="109" t="n">
        <x:v>2</x:v>
      </x:c>
      <x:c r="Q1114" s="109" t="n">
        <x:v>6</x:v>
      </x:c>
      <x:c r="R1114" s="87" t="str">
        <x:v>A61K38/47;;A61K47/64;;A61P43/00;;C07K14/475;;C07K16/18;;C07K2319/06;;C12N9/2402;;C12Y302/0105;;A61K38/47;;A61K47/64;;C07K14/475;;C07K14/70571;;C07K16/18;;C07K2319/06;;C12N9/2402;;C12Y302/0105</x:v>
      </x:c>
      <x:c r="S1114" s="87" t="str">
        <x:v>A61K38/47;;A61K47/64;;C07K14/475;;C07K14/705;;C07K16/18;;C12N9/24</x:v>
      </x:c>
      <x:c r="T1114" s="87" t="str">
        <x:v>ACTIVE</x:v>
      </x:c>
      <x:c r="U1114" s="87" t="str">
        <x:v>https://lens.org/023-437-851-277-726</x:v>
      </x:c>
    </x:row>
    <x:row r="1115">
      <x:c r="A1115" s="87" t="str">
        <x:v>shire.csv</x:v>
      </x:c>
      <x:c r="B1115" s="87" t="str">
        <x:v>Shire</x:v>
      </x:c>
      <x:c r="C1115" s="87" t="str">
        <x:v>TRT-0045</x:v>
      </x:c>
      <x:c r="D1115" s="87" t="str">
        <x:v>Yes</x:v>
      </x:c>
      <x:c r="E1115" s="87" t="str">
        <x:v>shire</x:v>
      </x:c>
      <x:c r="F1115" s="87" t="str">
        <x:v>45</x:v>
      </x:c>
      <x:c r="G1115" s="87" t="str">
        <x:v>025-292-970-237-768</x:v>
      </x:c>
      <x:c r="H1115" s="110" t="n">
        <x:v>41957</x:v>
      </x:c>
      <x:c r="I1115" s="88" t="n">
        <x:v>2014</x:v>
      </x:c>
      <x:c r="J1115" s="87" t="str">
        <x:v>US</x:v>
      </x:c>
      <x:c r="K1115" s="87" t="str">
        <x:v>B2</x:v>
      </x:c>
      <x:c r="L1115" s="87" t="str">
        <x:v>US 10578624 B2</x:v>
      </x:c>
      <x:c r="M1115" s="87" t="str">
        <x:v>SHIRE HUMAN GENETIC THERAPIES</x:v>
      </x:c>
      <x:c r="N1115" s="87" t="str">
        <x:v>SHIRE HUMAN GENETIC THERAPIES INC (2016-03-14);;TAKEDA PHARMACEUTICAL COMPANY LIMITED (2021-02-26)</x:v>
      </x:c>
      <x:c r="O1115" s="87" t="str">
        <x:v>Determination of glycosaminoglycan levels by mass spectrometry</x:v>
      </x:c>
      <x:c r="P1115" s="109" t="n">
        <x:v>0</x:v>
      </x:c>
      <x:c r="Q1115" s="109" t="n">
        <x:v>16</x:v>
      </x:c>
      <x:c r="R1115" s="87" t="str">
        <x:v>G01N33/6893;;C12Q1/34;;G01N2400/40;;G01N2800/042;;G01N2800/52;;C12Q1/34;;G01N33/6848;;G01N33/6893;;G01N2400/40;;G01N2560/00;;G01N2800/042;;G01N2800/52;;C12Q1/34;;G01N33/6893;;G01N2400/40;;G01N2800/042;;G01N2800/52;;G01N33/6848;;C12Q1/34;;G01N33/6893;;G01N2400/40;;G01N2560/00;;G01N2800/042;;G01N2800/52</x:v>
      </x:c>
      <x:c r="S1115" s="87" t="str">
        <x:v>G01N33/68;;C12Q1/34;;G01N33/48</x:v>
      </x:c>
      <x:c r="T1115" s="87" t="str">
        <x:v>ACTIVE</x:v>
      </x:c>
      <x:c r="U1115" s="87" t="str">
        <x:v>https://lens.org/025-292-970-237-768</x:v>
      </x:c>
    </x:row>
    <x:row r="1116">
      <x:c r="A1116" s="87" t="str">
        <x:v>shire.csv</x:v>
      </x:c>
      <x:c r="B1116" s="87" t="str">
        <x:v>Shire</x:v>
      </x:c>
      <x:c r="C1116" s="87" t="str">
        <x:v>TRT-0045</x:v>
      </x:c>
      <x:c r="D1116" s="87" t="str">
        <x:v>Yes</x:v>
      </x:c>
      <x:c r="E1116" s="87" t="str">
        <x:v>shire</x:v>
      </x:c>
      <x:c r="F1116" s="87" t="str">
        <x:v>46</x:v>
      </x:c>
      <x:c r="G1116" s="87" t="str">
        <x:v>114-098-714-755-934</x:v>
      </x:c>
      <x:c r="H1116" s="110" t="n">
        <x:v>41936</x:v>
      </x:c>
      <x:c r="I1116" s="88" t="n">
        <x:v>2014</x:v>
      </x:c>
      <x:c r="J1116" s="87" t="str">
        <x:v>US</x:v>
      </x:c>
      <x:c r="K1116" s="87" t="str">
        <x:v>B2</x:v>
      </x:c>
      <x:c r="L1116" s="87" t="str">
        <x:v>US 10556015 B2</x:v>
      </x:c>
      <x:c r="M1116" s="87" t="str">
        <x:v>SHIRE HUMAN GENETIC THERAPIES;;CRITEO S A</x:v>
      </x:c>
      <x:c r="N1116" s="87" t="str">
        <x:v>SHIRE HUMAN GENETIC THERAPIES INC (2016-01-20);;TAKEDA PHARMACEUTICAL COMPANY LIMITED (2021-02-26)</x:v>
      </x:c>
      <x:c r="O1116" s="87" t="str">
        <x:v>Lysosomal targeting of enzymes, and uses thereof</x:v>
      </x:c>
      <x:c r="P1116" s="109" t="n">
        <x:v>7</x:v>
      </x:c>
      <x:c r="Q1116" s="109" t="n">
        <x:v>5</x:v>
      </x:c>
      <x:c r="R1116" s="87" t="str">
        <x:v>A61K47/65;;A61K47/64;;C07K2319/06;;C07K2319/50;;C12N9/2402;;C12N9/6454;;C12N9/96;;C12N15/62;;C12Y302/0102;;C12Y302/0105;;A61K47/65;;A61K47/64;;C07K2319/06;;C07K2319/50;;C12N9/2402;;C12N9/6454;;C12N9/96;;C12N15/62;;C12Y302/0102;;C12Y302/0105</x:v>
      </x:c>
      <x:c r="S1116" s="87" t="str">
        <x:v>A61K47/65;;A61K47/64;;C12N9/24;;C12N9/64;;C12N9/96;;C12N15/62</x:v>
      </x:c>
      <x:c r="T1116" s="87" t="str">
        <x:v>ACTIVE</x:v>
      </x:c>
      <x:c r="U1116" s="87" t="str">
        <x:v>https://lens.org/114-098-714-755-934</x:v>
      </x:c>
    </x:row>
    <x:row r="1117">
      <x:c r="A1117" s="87" t="str">
        <x:v>shire.csv</x:v>
      </x:c>
      <x:c r="B1117" s="87" t="str">
        <x:v>Shire</x:v>
      </x:c>
      <x:c r="C1117" s="87" t="str">
        <x:v>TRT-0045</x:v>
      </x:c>
      <x:c r="D1117" s="87" t="str">
        <x:v>Yes</x:v>
      </x:c>
      <x:c r="E1117" s="87" t="str">
        <x:v>shire</x:v>
      </x:c>
      <x:c r="F1117" s="87" t="str">
        <x:v>47</x:v>
      </x:c>
      <x:c r="G1117" s="87" t="str">
        <x:v>042-157-468-285-857</x:v>
      </x:c>
      <x:c r="H1117" s="110" t="n">
        <x:v>40732</x:v>
      </x:c>
      <x:c r="I1117" s="88" t="n">
        <x:v>2011</x:v>
      </x:c>
      <x:c r="J1117" s="87" t="str">
        <x:v>US</x:v>
      </x:c>
      <x:c r="K1117" s="87" t="str">
        <x:v>A1</x:v>
      </x:c>
      <x:c r="L1117" s="87" t="str">
        <x:v>US 2020/0040317 A1</x:v>
      </x:c>
      <x:c r="M1117" s="87" t="str">
        <x:v>SHIRE HUMAN GENETIC THERAPIES</x:v>
      </x:c>
      <x:c r="N1117" s="87" t="str">
        <x:v>SHIRE HUMAN GENETIC THERAPIES INC (2014-02-20);;TAKEDA PHARMACEUTICAL COMPANY LIMITED (2021-02-26)</x:v>
      </x:c>
      <x:c r="O1117" s="87" t="str">
        <x:v>METHODS FOR PURIFICATION OF ARYLSULFATASE A</x:v>
      </x:c>
      <x:c r="P1117" s="109" t="n">
        <x:v>1</x:v>
      </x:c>
      <x:c r="Q1117" s="109" t="n">
        <x:v>8</x:v>
      </x:c>
      <x:c r="R1117" s="87" t="str">
        <x:v>C12N9/16;;C12Y301/06008;;C12N9/16;;C12Y301/06008</x:v>
      </x:c>
      <x:c r="S1117" s="87" t="str">
        <x:v>C12N9/16</x:v>
      </x:c>
      <x:c r="T1117" s="87" t="str">
        <x:v>DISCONTINUED</x:v>
      </x:c>
      <x:c r="U1117" s="87" t="str">
        <x:v>https://lens.org/042-157-468-285-857</x:v>
      </x:c>
    </x:row>
    <x:row r="1118">
      <x:c r="A1118" s="87" t="str">
        <x:v>shire.csv</x:v>
      </x:c>
      <x:c r="B1118" s="87" t="str">
        <x:v>Shire</x:v>
      </x:c>
      <x:c r="C1118" s="87" t="str">
        <x:v>TRT-0045</x:v>
      </x:c>
      <x:c r="D1118" s="87" t="str">
        <x:v>Yes</x:v>
      </x:c>
      <x:c r="E1118" s="87" t="str">
        <x:v>shire</x:v>
      </x:c>
      <x:c r="F1118" s="87" t="str">
        <x:v>48</x:v>
      </x:c>
      <x:c r="G1118" s="87" t="str">
        <x:v>051-866-065-659-170</x:v>
      </x:c>
      <x:c r="H1118" s="110" t="n">
        <x:v>42767</x:v>
      </x:c>
      <x:c r="I1118" s="88" t="n">
        <x:v>2017</x:v>
      </x:c>
      <x:c r="J1118" s="87" t="str">
        <x:v>US</x:v>
      </x:c>
      <x:c r="K1118" s="87" t="str">
        <x:v>A1</x:v>
      </x:c>
      <x:c r="L1118" s="87" t="str">
        <x:v>US 2019/0365317 A1</x:v>
      </x:c>
      <x:c r="M1118" s="87" t="str">
        <x:v>SHIRE HUMAN GENETIC THERAPIES</x:v>
      </x:c>
      <x:c r="N1118" s="87" t="str">
        <x:v>SHIRE HUMAN GENETIC THERAPIES INC (2020-12-02);;TAKEDA PHARMACEUTICAL COMPANY LIMITED (2021-02-26)</x:v>
      </x:c>
      <x:c r="O1118" s="87" t="str">
        <x:v>PHYSIOLOGICAL SENSING AND THERAPEUTIC ADMINISTRATION SYSTEM AND METHOD</x:v>
      </x:c>
      <x:c r="P1118" s="109" t="n">
        <x:v>4</x:v>
      </x:c>
      <x:c r="Q1118" s="109" t="n">
        <x:v>11</x:v>
      </x:c>
      <x:c r="R1118" s="87" t="str">
        <x:v>A61B5/4839;;A61B5/0022;;A61B5/0205;;A61B5/1118;;A61B5/14546;;A61B5/7275;;G16H20/10;;G16H40/63;;G16H40/67;;G16H50/70;;G16H70/40;;A61B5/4839;;A61B5/0022;;A61B5/14532;;A61B5/6824;;A61M5/1723;;G16H20/10;;G16H40/63;;G16H50/70</x:v>
      </x:c>
      <x:c r="S1118" s="87" t="str">
        <x:v>A61B5/00;;G16H20/10</x:v>
      </x:c>
      <x:c r="T1118" s="87" t="str">
        <x:v>DISCONTINUED</x:v>
      </x:c>
      <x:c r="U1118" s="87" t="str">
        <x:v>https://lens.org/051-866-065-659-170</x:v>
      </x:c>
    </x:row>
    <x:row r="1119">
      <x:c r="A1119" s="87" t="str">
        <x:v>shire.csv</x:v>
      </x:c>
      <x:c r="B1119" s="87" t="str">
        <x:v>Shire</x:v>
      </x:c>
      <x:c r="C1119" s="87" t="str">
        <x:v>TRT-0045</x:v>
      </x:c>
      <x:c r="D1119" s="87" t="str">
        <x:v>Yes</x:v>
      </x:c>
      <x:c r="E1119" s="87" t="str">
        <x:v>shire</x:v>
      </x:c>
      <x:c r="F1119" s="87" t="str">
        <x:v>49</x:v>
      </x:c>
      <x:c r="G1119" s="87" t="str">
        <x:v>151-124-578-456-144</x:v>
      </x:c>
      <x:c r="H1119" s="110" t="n">
        <x:v>42747</x:v>
      </x:c>
      <x:c r="I1119" s="88" t="n">
        <x:v>2017</x:v>
      </x:c>
      <x:c r="J1119" s="87" t="str">
        <x:v>US</x:v>
      </x:c>
      <x:c r="K1119" s="87" t="str">
        <x:v>A1</x:v>
      </x:c>
      <x:c r="L1119" s="87" t="str">
        <x:v>US 2019/0350593 A1</x:v>
      </x:c>
      <x:c r="M1119" s="87" t="str">
        <x:v>SHIRE HUMAN GENETIC THERAPIES</x:v>
      </x:c>
      <x:c r="N1119" s="87" t="str">
        <x:v>SHIRE HUMAN GENETIC THERAPIES INC (2018-11-14);;TAKEDA PHARMACEUTICAL COMPANY LIMITED (2021-02-26)</x:v>
      </x:c>
      <x:c r="O1119" s="87" t="str">
        <x:v>SMART TOURNIQUET</x:v>
      </x:c>
      <x:c r="P1119" s="109" t="n">
        <x:v>3</x:v>
      </x:c>
      <x:c r="Q1119" s="109" t="n">
        <x:v>15</x:v>
      </x:c>
      <x:c r="R1119" s="87" t="str">
        <x:v>A61B17/1327;;A61B17/1322;;A61B34/25;;A61B2017/00026;;A61B2017/00115;;A61B2017/00199;;A61B2017/00221;;A61B2090/0803;;A61M5/31568;;A61M5/425;;A61M2205/52;;G16H20/17;;G16H40/63;;A61B17/1322;;A61B17/1327;;A61B2017/00026;;A61B2017/00115;;A61B2017/00199;;A61B2017/00221;;A61B2090/0803;;G16H20/17;;G16H40/63;;A61B17/1322;;A61B34/25;;A61B2017/00026;;A61B2017/00199;;A61B2017/00221;;A61M5/31568;;A61M5/425;;A61M2205/52</x:v>
      </x:c>
      <x:c r="S1119" s="87" t="str">
        <x:v>A61B17/132;;A61B34/00;;A61M5/315;;A61M5/42</x:v>
      </x:c>
      <x:c r="T1119" s="87" t="str">
        <x:v>ACTIVE</x:v>
      </x:c>
      <x:c r="U1119" s="87" t="str">
        <x:v>https://lens.org/151-124-578-456-144</x:v>
      </x:c>
    </x:row>
    <x:row r="1120">
      <x:c r="A1120" s="87" t="str">
        <x:v>shire.csv</x:v>
      </x:c>
      <x:c r="B1120" s="87" t="str">
        <x:v>Shire</x:v>
      </x:c>
      <x:c r="C1120" s="87" t="str">
        <x:v>TRT-0045</x:v>
      </x:c>
      <x:c r="D1120" s="87" t="str">
        <x:v>Yes</x:v>
      </x:c>
      <x:c r="E1120" s="87" t="str">
        <x:v>shire</x:v>
      </x:c>
      <x:c r="F1120" s="87" t="str">
        <x:v>50</x:v>
      </x:c>
      <x:c r="G1120" s="87" t="str">
        <x:v>091-020-060-999-899</x:v>
      </x:c>
      <x:c r="H1120" s="110" t="n">
        <x:v>41283</x:v>
      </x:c>
      <x:c r="I1120" s="88" t="n">
        <x:v>2013</x:v>
      </x:c>
      <x:c r="J1120" s="87" t="str">
        <x:v>EP</x:v>
      </x:c>
      <x:c r="K1120" s="87" t="str">
        <x:v>B1</x:v>
      </x:c>
      <x:c r="L1120" s="87" t="str">
        <x:v>EP 2943568 B1</x:v>
      </x:c>
      <x:c r="M1120" s="87" t="str">
        <x:v>SHIRE HUMAN GENETIC THERAPIES</x:v>
      </x:c>
      <x:c r="N1120" s="87" t="str">
        <x:v>TAKEDA PHARMACEUTICAL COMPANY LIMITED, OSAKA-S, JP (2021-08-13);;SHIRE HUMAN GENETIC THERAPIES, INC. (2016-11-23);;TAKEDA PHARMACEUTICAL COMPANY LIMITED (2021-08-03)</x:v>
      </x:c>
      <x:c r="O1120" s="87" t="str">
        <x:v>METHODS FOR PURIFICATION OF ARYLSULFATASE A</x:v>
      </x:c>
      <x:c r="P1120" s="109" t="n">
        <x:v>2</x:v>
      </x:c>
      <x:c r="Q1120" s="109" t="n">
        <x:v>39</x:v>
      </x:c>
      <x:c r="R1120" s="87" t="str">
        <x:v>C12N9/16;;A61P25/00;;A61P25/28;;C12M47/12;;C12Y301/06001;;C12N9/16;;A61K38/465;;C12M47/12;;C12Y301/06001;;C12Y301/06008</x:v>
      </x:c>
      <x:c r="S1120" s="87" t="str">
        <x:v>C12N9/16</x:v>
      </x:c>
      <x:c r="T1120" s="87" t="str">
        <x:v>ACTIVE</x:v>
      </x:c>
      <x:c r="U1120" s="87" t="str">
        <x:v>https://lens.org/091-020-060-999-899</x:v>
      </x:c>
    </x:row>
    <x:row r="1121">
      <x:c r="A1121" s="87" t="str">
        <x:v>shire.csv</x:v>
      </x:c>
      <x:c r="B1121" s="87" t="str">
        <x:v>Shire</x:v>
      </x:c>
      <x:c r="C1121" s="87" t="str">
        <x:v>TRT-0045</x:v>
      </x:c>
      <x:c r="D1121" s="87" t="str">
        <x:v>Yes</x:v>
      </x:c>
      <x:c r="E1121" s="87" t="str">
        <x:v>shire</x:v>
      </x:c>
      <x:c r="F1121" s="87" t="str">
        <x:v>51</x:v>
      </x:c>
      <x:c r="G1121" s="87" t="str">
        <x:v>190-428-030-467-195</x:v>
      </x:c>
      <x:c r="H1121" s="110" t="n">
        <x:v>40857</x:v>
      </x:c>
      <x:c r="I1121" s="88" t="n">
        <x:v>2011</x:v>
      </x:c>
      <x:c r="J1121" s="87" t="str">
        <x:v>US</x:v>
      </x:c>
      <x:c r="K1121" s="87" t="str">
        <x:v>B2</x:v>
      </x:c>
      <x:c r="L1121" s="87" t="str">
        <x:v>US 10415039 B2</x:v>
      </x:c>
      <x:c r="M1121" s="87" t="str">
        <x:v>SHIRE HUMAN GENETIC THERAPIES;;UNIV OF KENTUCKY</x:v>
      </x:c>
      <x:c r="N1121" s="87" t="str">
        <x:v>UNIVERSITY OF KENTUCKY (2013-03-19);;SHIRE HUMAN GENETIC THERAPIES INC (2014-07-14);;TAKEDA PHARMACEUTICAL COMPANY LIMITED (2021-02-26)</x:v>
      </x:c>
      <x:c r="O1121" s="87" t="str">
        <x:v>Antisense oligonucleotide modulators of serotonin receptor 2C and uses thereof</x:v>
      </x:c>
      <x:c r="P1121" s="109" t="n">
        <x:v>0</x:v>
      </x:c>
      <x:c r="Q1121" s="109" t="n">
        <x:v>8</x:v>
      </x:c>
      <x:c r="R1121" s="87" t="str">
        <x:v>C12N15/1138;;C12N2310/11;;C12N2310/315;;C12N2310/321;;C12N2310/322;;C12N2310/3231;;C12N2310/3521;;C12N2320/33;;C12N15/1138;;C12N2310/11;;C12N2310/315;;C12N2310/321;;C12N2310/322;;C12N2310/3231;;C12N2310/3521;;C12N2320/33</x:v>
      </x:c>
      <x:c r="S1121" s="87" t="str">
        <x:v>C12N15/11;;C12N15/113</x:v>
      </x:c>
      <x:c r="T1121" s="87" t="str">
        <x:v>ACTIVE</x:v>
      </x:c>
      <x:c r="U1121" s="87" t="str">
        <x:v>https://lens.org/190-428-030-467-195</x:v>
      </x:c>
    </x:row>
    <x:row r="1122">
      <x:c r="A1122" s="87" t="str">
        <x:v>shire.csv</x:v>
      </x:c>
      <x:c r="B1122" s="87" t="str">
        <x:v>Shire</x:v>
      </x:c>
      <x:c r="C1122" s="87" t="str">
        <x:v>TRT-0045</x:v>
      </x:c>
      <x:c r="D1122" s="87" t="str">
        <x:v>Yes</x:v>
      </x:c>
      <x:c r="E1122" s="87" t="str">
        <x:v>shire</x:v>
      </x:c>
      <x:c r="F1122" s="87" t="str">
        <x:v>52</x:v>
      </x:c>
      <x:c r="G1122" s="87" t="str">
        <x:v>143-278-790-125-344</x:v>
      </x:c>
      <x:c r="H1122" s="110" t="n">
        <x:v>40998</x:v>
      </x:c>
      <x:c r="I1122" s="88" t="n">
        <x:v>2012</x:v>
      </x:c>
      <x:c r="J1122" s="87" t="str">
        <x:v>EP</x:v>
      </x:c>
      <x:c r="K1122" s="87" t="str">
        <x:v>B1</x:v>
      </x:c>
      <x:c r="L1122" s="87" t="str">
        <x:v>EP 2830642 B1</x:v>
      </x:c>
      <x:c r="M1122" s="87" t="str">
        <x:v>SHIRE HUMAN GENETIC THERAPIES</x:v>
      </x:c>
      <x:c r="N1122" s="87" t="str">
        <x:v>SHIRE HUMAN GENETIC THERAPIES, INC. (2016-11-23)</x:v>
      </x:c>
      <x:c r="O1122" s="87" t="str">
        <x:v>SUBCUTANEOUS ADMINISTRATION OF IDURONATE- 2-SULFATASE</x:v>
      </x:c>
      <x:c r="P1122" s="109" t="n">
        <x:v>0</x:v>
      </x:c>
      <x:c r="Q1122" s="109" t="n">
        <x:v>12</x:v>
      </x:c>
      <x:c r="R1122" s="87" t="str">
        <x:v>A61K38/465;;A61K38/46;;A61P25/00;;C12Y301/06013;;A61K38/465;;A61K9/0019;;A61K38/46;;C12Y301/06013</x:v>
      </x:c>
      <x:c r="S1122" s="87" t="str">
        <x:v>A61K38/00;;A61K38/43;;A61P25/00</x:v>
      </x:c>
      <x:c r="T1122" s="87" t="str">
        <x:v>ACTIVE</x:v>
      </x:c>
      <x:c r="U1122" s="87" t="str">
        <x:v>https://lens.org/143-278-790-125-344</x:v>
      </x:c>
    </x:row>
    <x:row r="1123">
      <x:c r="A1123" s="87" t="str">
        <x:v>shire.csv</x:v>
      </x:c>
      <x:c r="B1123" s="87" t="str">
        <x:v>Shire</x:v>
      </x:c>
      <x:c r="C1123" s="87" t="str">
        <x:v>TRT-0045</x:v>
      </x:c>
      <x:c r="D1123" s="87" t="str">
        <x:v>Yes</x:v>
      </x:c>
      <x:c r="E1123" s="87" t="str">
        <x:v>shire</x:v>
      </x:c>
      <x:c r="F1123" s="87" t="str">
        <x:v>53</x:v>
      </x:c>
      <x:c r="G1123" s="87" t="str">
        <x:v>175-884-316-842-03X</x:v>
      </x:c>
      <x:c r="H1123" s="110" t="n">
        <x:v>43140</x:v>
      </x:c>
      <x:c r="I1123" s="88" t="n">
        <x:v>2018</x:v>
      </x:c>
      <x:c r="J1123" s="87" t="str">
        <x:v>US</x:v>
      </x:c>
      <x:c r="K1123" s="87" t="str">
        <x:v>A1</x:v>
      </x:c>
      <x:c r="L1123" s="87" t="str">
        <x:v>US 2019/0250070 A1</x:v>
      </x:c>
      <x:c r="M1123" s="87" t="str">
        <x:v>SHIRE HUMAN GENETIC THERAPIES</x:v>
      </x:c>
      <x:c r="N1123" s="87" t="str">
        <x:v>SHIRE HUMAN GENETIC THERAPIES INC (2018-05-03);;TAKEDA PHARMACEUTICAL COMPANY LIMITED (2021-02-26)</x:v>
      </x:c>
      <x:c r="O1123" s="87" t="str">
        <x:v>SYRINGE SCREENING DEVICE</x:v>
      </x:c>
      <x:c r="P1123" s="109" t="n">
        <x:v>5</x:v>
      </x:c>
      <x:c r="Q1123" s="109" t="n">
        <x:v>6</x:v>
      </x:c>
      <x:c r="R1123" s="87" t="str">
        <x:v>A61M5/20;;A61M5/281;;A61M2205/583;;G01M99/00;;G01M99/00;;A61M5/281;;A61M2209/02</x:v>
      </x:c>
      <x:c r="S1123" s="87" t="str">
        <x:v>G01M99/00;;A61M5/28</x:v>
      </x:c>
      <x:c r="T1123" s="87" t="str">
        <x:v>ACTIVE</x:v>
      </x:c>
      <x:c r="U1123" s="87" t="str">
        <x:v>https://lens.org/175-884-316-842-03X</x:v>
      </x:c>
    </x:row>
    <x:row r="1124">
      <x:c r="A1124" s="87" t="str">
        <x:v>shire.csv</x:v>
      </x:c>
      <x:c r="B1124" s="87" t="str">
        <x:v>Shire</x:v>
      </x:c>
      <x:c r="C1124" s="87" t="str">
        <x:v>TRT-0045</x:v>
      </x:c>
      <x:c r="D1124" s="87" t="str">
        <x:v>Yes</x:v>
      </x:c>
      <x:c r="E1124" s="87" t="str">
        <x:v>shire</x:v>
      </x:c>
      <x:c r="F1124" s="87" t="str">
        <x:v>54</x:v>
      </x:c>
      <x:c r="G1124" s="87" t="str">
        <x:v>114-233-313-335-989</x:v>
      </x:c>
      <x:c r="H1124" s="110" t="n">
        <x:v>41068</x:v>
      </x:c>
      <x:c r="I1124" s="88" t="n">
        <x:v>2012</x:v>
      </x:c>
      <x:c r="J1124" s="87" t="str">
        <x:v>US</x:v>
      </x:c>
      <x:c r="K1124" s="87" t="str">
        <x:v>B2</x:v>
      </x:c>
      <x:c r="L1124" s="87" t="str">
        <x:v>US 10245229 B2</x:v>
      </x:c>
      <x:c r="M1124" s="87" t="str">
        <x:v>SHIRE HUMAN GENETIC THERAPIES;;ETHRIS GMBH;;TRANSLATE BIO INC</x:v>
      </x:c>
      <x:c r="N1124" s="87" t="str">
        <x:v>SHIRE HUMAN GENETIC THERAPIES INC (2015-01-21);;ETHRIS GMBH (2013-08-19);;TRANSLATE BIO INC (2016-12-16)</x:v>
      </x:c>
      <x:c r="O1124" s="87" t="str">
        <x:v>Pulmonary delivery of mRNA to non-lung target cells</x:v>
      </x:c>
      <x:c r="P1124" s="109" t="n">
        <x:v>8</x:v>
      </x:c>
      <x:c r="Q1124" s="109" t="n">
        <x:v>30</x:v>
      </x:c>
      <x:c r="R1124" s="87" t="str">
        <x:v>C12N15/88;;A61K31/7088;;A61K48/0075;;A61K2039/53;;A61K2039/544;;A61K2039/6018;;A61P43/00;;A61K9/0073;;A61K31/7088;;A61K48/0075;;A61M15/009;;A61M16/14;;C12N15/88</x:v>
      </x:c>
      <x:c r="S1124" s="87" t="str">
        <x:v>A61K9/127;;A61K9/00;;A61K31/7088;;A61K48/00;;A61M15/00;;A61M16/14;;C12N15/88</x:v>
      </x:c>
      <x:c r="T1124" s="87" t="str">
        <x:v>ACTIVE</x:v>
      </x:c>
      <x:c r="U1124" s="87" t="str">
        <x:v>https://lens.org/114-233-313-335-989</x:v>
      </x:c>
    </x:row>
    <x:row r="1125">
      <x:c r="A1125" s="87" t="str">
        <x:v>shire.csv</x:v>
      </x:c>
      <x:c r="B1125" s="87" t="str">
        <x:v>Shire</x:v>
      </x:c>
      <x:c r="C1125" s="87" t="str">
        <x:v>TRT-0045</x:v>
      </x:c>
      <x:c r="D1125" s="87" t="str">
        <x:v>Yes</x:v>
      </x:c>
      <x:c r="E1125" s="87" t="str">
        <x:v>shire</x:v>
      </x:c>
      <x:c r="F1125" s="87" t="str">
        <x:v>55</x:v>
      </x:c>
      <x:c r="G1125" s="87" t="str">
        <x:v>043-212-919-566-291</x:v>
      </x:c>
      <x:c r="H1125" s="110" t="n">
        <x:v>42394</x:v>
      </x:c>
      <x:c r="I1125" s="88" t="n">
        <x:v>2016</x:v>
      </x:c>
      <x:c r="J1125" s="87" t="str">
        <x:v>US</x:v>
      </x:c>
      <x:c r="K1125" s="87" t="str">
        <x:v>A1</x:v>
      </x:c>
      <x:c r="L1125" s="87" t="str">
        <x:v>US 2019/0085095 A1</x:v>
      </x:c>
      <x:c r="M1125" s="87" t="str">
        <x:v>SHIRE HUMAN GENETIC THERAPIES</x:v>
      </x:c>
      <x:c r="N1125" s="87" t="str">
        <x:v>SHIRE HUMAN GENETIC THERAPIES INC (2019-05-10)</x:v>
      </x:c>
      <x:c r="O1125" s="87" t="str">
        <x:v>ANTI-C5 ANTIBODIES WITH ENHANCED PH SWITCH</x:v>
      </x:c>
      <x:c r="P1125" s="109" t="n">
        <x:v>10</x:v>
      </x:c>
      <x:c r="Q1125" s="109" t="n">
        <x:v>4</x:v>
      </x:c>
      <x:c r="R1125" s="87" t="str">
        <x:v>C07K16/18;;A61K2039/505;;A61P7/04;;C07K16/40;;C07K2317/21;;C07K2317/33;;C07K2317/52;;C07K2317/524;;C07K2317/565;;C07K2317/71;;C07K2317/72;;C07K2317/76;;C07K2317/90;;C07K2317/92;;C12N15/62;;C07K16/36;;A61K2039/505;;A61P7/04;;C07K16/18;;C07K16/40;;C07K2317/21;;C07K2317/33;;C07K2317/52;;C07K2317/524;;C07K2317/565;;C07K2317/71;;C07K2317/72;;C07K2317/76;;C07K2317/90;;C07K2317/92;;C07K2317/94;;C12N15/62</x:v>
      </x:c>
      <x:c r="S1125" s="87" t="str">
        <x:v>C07K16/36;;A61P7/04;;C07K16/40;;C12N15/62</x:v>
      </x:c>
      <x:c r="T1125" s="87" t="str">
        <x:v>DISCONTINUED</x:v>
      </x:c>
      <x:c r="U1125" s="87" t="str">
        <x:v>https://lens.org/043-212-919-566-291</x:v>
      </x:c>
    </x:row>
    <x:row r="1126">
      <x:c r="A1126" s="87" t="str">
        <x:v>shire.csv</x:v>
      </x:c>
      <x:c r="B1126" s="87" t="str">
        <x:v>Shire</x:v>
      </x:c>
      <x:c r="C1126" s="87" t="str">
        <x:v>TRT-0045</x:v>
      </x:c>
      <x:c r="D1126" s="87" t="str">
        <x:v>Yes</x:v>
      </x:c>
      <x:c r="E1126" s="87" t="str">
        <x:v>shire</x:v>
      </x:c>
      <x:c r="F1126" s="87" t="str">
        <x:v>56</x:v>
      </x:c>
      <x:c r="G1126" s="87" t="str">
        <x:v>057-836-987-976-456</x:v>
      </x:c>
      <x:c r="H1126" s="110" t="n">
        <x:v>41845</x:v>
      </x:c>
      <x:c r="I1126" s="88" t="n">
        <x:v>2014</x:v>
      </x:c>
      <x:c r="J1126" s="87" t="str">
        <x:v>EP</x:v>
      </x:c>
      <x:c r="K1126" s="87" t="str">
        <x:v>B1</x:v>
      </x:c>
      <x:c r="L1126" s="87" t="str">
        <x:v>EP 3172226 B1</x:v>
      </x:c>
      <x:c r="M1126" s="87" t="str">
        <x:v>SHIRE HUMAN GENETIC THERAPIES;;FOND TELETHON</x:v>
      </x:c>
      <x:c r="N1126" s="87" t="str">
        <x:v>TAKEDA PHARMACEUTICAL COMPANY LIMITED, OSAKA-S, JP (2021-09-06);;SHIRE HUMAN GENETIC THERAPIES, INC. (2018-09-26);;FONDAZIONE TELETHON, IT (2021-09-06);;FONDAZIONE TELETHON (2018-09-26);;TAKEDA PHARMACEUTICAL COMPANY LIMITED (2021-10-18)</x:v>
      </x:c>
      <x:c r="O1126" s="87" t="str">
        <x:v>CRYSTAL STRUCTURE OF HUMAN FOUR-PHOSPHATE ADAPTOR PROTEIN 2 GLYCOLIPID TRANSFER PROTEIN LIKE DOMAIN</x:v>
      </x:c>
      <x:c r="P1126" s="109" t="n">
        <x:v>0</x:v>
      </x:c>
      <x:c r="Q1126" s="109" t="n">
        <x:v>13</x:v>
      </x:c>
      <x:c r="R1126" s="87" t="str">
        <x:v>C07K14/47;;C07K2319/00;;C12N9/2462;;G16B15/00;;G16B15/20;;C12N9/2462;;C07K14/47;;C07K2299/00;;C07K2319/00;;C12Y302/01017;;G16B5/00;;G16B15/00;;G16B15/20;;C12N9/2462;;C07K14/47;;C07K2299/00;;C07K2319/00;;C12Y302/01017;;G01N33/6803;;G16B5/00;;G16B15/00;;G16B15/20</x:v>
      </x:c>
      <x:c r="S1126" s="87" t="str">
        <x:v>C07K14/47;;G16B15/20</x:v>
      </x:c>
      <x:c r="T1126" s="87" t="str">
        <x:v>ACTIVE</x:v>
      </x:c>
      <x:c r="U1126" s="87" t="str">
        <x:v>https://lens.org/057-836-987-976-456</x:v>
      </x:c>
    </x:row>
    <x:row r="1127">
      <x:c r="A1127" s="87" t="str">
        <x:v>shire.csv</x:v>
      </x:c>
      <x:c r="B1127" s="87" t="str">
        <x:v>Shire</x:v>
      </x:c>
      <x:c r="C1127" s="87" t="str">
        <x:v>TRT-0045</x:v>
      </x:c>
      <x:c r="D1127" s="87" t="str">
        <x:v>Yes</x:v>
      </x:c>
      <x:c r="E1127" s="87" t="str">
        <x:v>shire</x:v>
      </x:c>
      <x:c r="F1127" s="87" t="str">
        <x:v>57</x:v>
      </x:c>
      <x:c r="G1127" s="87" t="str">
        <x:v>165-459-795-447-706</x:v>
      </x:c>
      <x:c r="H1127" s="110" t="n">
        <x:v>41089</x:v>
      </x:c>
      <x:c r="I1127" s="88" t="n">
        <x:v>2012</x:v>
      </x:c>
      <x:c r="J1127" s="87" t="str">
        <x:v>EP</x:v>
      </x:c>
      <x:c r="K1127" s="87" t="str">
        <x:v>B1</x:v>
      </x:c>
      <x:c r="L1127" s="87" t="str">
        <x:v>EP 2874649 B1</x:v>
      </x:c>
      <x:c r="M1127" s="87" t="str">
        <x:v>SHIRE HUMAN GENETIC THERAPIES</x:v>
      </x:c>
      <x:c r="N1127" s="87" t="str">
        <x:v>SHIRE HUMAN GENETIC THERAPIES, INC. (2016-11-23)</x:v>
      </x:c>
      <x:c r="O1127" s="87" t="str">
        <x:v>CELLS FOR PRODUCING RECOMBINANT IDURONATE-2-SULFATASE</x:v>
      </x:c>
      <x:c r="P1127" s="109" t="n">
        <x:v>0</x:v>
      </x:c>
      <x:c r="Q1127" s="109" t="n">
        <x:v>64</x:v>
      </x:c>
      <x:c r="R1127" s="87" t="str">
        <x:v>C12N9/16;;C12N15/85;;C12N2800/107;;C12Y301/06013;;A61K38/46;;C12N9/0051;;C12N9/16;;C12N15/85;;C12N2800/107;;C12P21/06;;C12Y108/99;;C12Y301/06013;;C12N9/16;;C12Y301/06013;;C12N9/16;;A61K38/46;;C12N9/0051;;C12N15/85;;C12N2800/107;;C12P21/06;;C12Y108/99;;C12Y301/06013;;C12N15/85;;A61K38/46;;C12N9/0051;;C12N9/16;;C12P21/06;;C12Y108/99;;C12Y301/06013;;C12N9/16;;C12Y301/06013</x:v>
      </x:c>
      <x:c r="S1127" s="87" t="str">
        <x:v>A61K38/46;;C07K1/00;;C12P21/06</x:v>
      </x:c>
      <x:c r="T1127" s="87" t="str">
        <x:v>ACTIVE</x:v>
      </x:c>
      <x:c r="U1127" s="87" t="str">
        <x:v>https://lens.org/165-459-795-447-706</x:v>
      </x:c>
    </x:row>
    <x:row r="1128">
      <x:c r="A1128" s="87" t="str">
        <x:v>shire.csv</x:v>
      </x:c>
      <x:c r="B1128" s="87" t="str">
        <x:v>Shire</x:v>
      </x:c>
      <x:c r="C1128" s="87" t="str">
        <x:v>TRT-0045</x:v>
      </x:c>
      <x:c r="D1128" s="87" t="str">
        <x:v>Yes</x:v>
      </x:c>
      <x:c r="E1128" s="87" t="str">
        <x:v>shire</x:v>
      </x:c>
      <x:c r="F1128" s="87" t="str">
        <x:v>58</x:v>
      </x:c>
      <x:c r="G1128" s="87" t="str">
        <x:v>178-511-896-664-459</x:v>
      </x:c>
      <x:c r="H1128" s="110" t="n">
        <x:v>42867</x:v>
      </x:c>
      <x:c r="I1128" s="88" t="n">
        <x:v>2017</x:v>
      </x:c>
      <x:c r="J1128" s="87" t="str">
        <x:v>US</x:v>
      </x:c>
      <x:c r="K1128" s="87" t="str">
        <x:v>A1</x:v>
      </x:c>
      <x:c r="L1128" s="87" t="str">
        <x:v>US 2018/0362604 A1</x:v>
      </x:c>
      <x:c r="M1128" s="87" t="str">
        <x:v>SHIRE HUMAN GENETIC THERAPIES</x:v>
      </x:c>
      <x:c r="N1128" s="87" t="str">
        <x:v>SHIRE HUMAN GENETIC THERAPIES INC (2018-08-07);;TAKEDA PHARMACEUTICAL COMPANY LIMITED (2021-02-26)</x:v>
      </x:c>
      <x:c r="O1128" s="87" t="str">
        <x:v>Recombinant Follistatin-FC Fusion Proteins and Use in Treating Duchenne Muscular Dystrophy</x:v>
      </x:c>
      <x:c r="P1128" s="109" t="n">
        <x:v>0</x:v>
      </x:c>
      <x:c r="Q1128" s="109" t="n">
        <x:v>8</x:v>
      </x:c>
      <x:c r="R1128" s="87" t="str">
        <x:v>C07K14/4708;;A61K9/0019;;A61K38/1709;;A61K45/06;;A61P21/00;;C07K14/4703;;C07K2319/30;;C07K19/00;;A61K9/0019;;A61K38/1709;;A61K45/06;;A61P21/00;;C07K14/4703;;C07K14/4708;;C07K2319/30</x:v>
      </x:c>
      <x:c r="S1128" s="87" t="str">
        <x:v>C07K14/47;;A61P21/00</x:v>
      </x:c>
      <x:c r="T1128" s="87" t="str">
        <x:v>DISCONTINUED</x:v>
      </x:c>
      <x:c r="U1128" s="87" t="str">
        <x:v>https://lens.org/178-511-896-664-459</x:v>
      </x:c>
    </x:row>
    <x:row r="1129">
      <x:c r="A1129" s="87" t="str">
        <x:v>shire.csv</x:v>
      </x:c>
      <x:c r="B1129" s="87" t="str">
        <x:v>Shire</x:v>
      </x:c>
      <x:c r="C1129" s="87" t="str">
        <x:v>TRT-0045</x:v>
      </x:c>
      <x:c r="D1129" s="87" t="str">
        <x:v>Yes</x:v>
      </x:c>
      <x:c r="E1129" s="87" t="str">
        <x:v>shire</x:v>
      </x:c>
      <x:c r="F1129" s="87" t="str">
        <x:v>59</x:v>
      </x:c>
      <x:c r="G1129" s="87" t="str">
        <x:v>168-186-077-884-344</x:v>
      </x:c>
      <x:c r="H1129" s="110" t="n">
        <x:v>40970</x:v>
      </x:c>
      <x:c r="I1129" s="88" t="n">
        <x:v>2012</x:v>
      </x:c>
      <x:c r="J1129" s="87" t="str">
        <x:v>EP</x:v>
      </x:c>
      <x:c r="K1129" s="87" t="str">
        <x:v>B1</x:v>
      </x:c>
      <x:c r="L1129" s="87" t="str">
        <x:v>EP 2863941 B1</x:v>
      </x:c>
      <x:c r="M1129" s="87" t="str">
        <x:v>SHIRE HUMAN GENETIC THERAPIES</x:v>
      </x:c>
      <x:c r="N1129" s="87" t="str">
        <x:v>TAKEDA PHARMACEUTICAL COMPANY LIMITED, OSAKA-S, JP (2021-08-13);;SHIRE HUMAN GENETIC THERAPIES, INC. (2016-11-23)</x:v>
      </x:c>
      <x:c r="O1129" s="87" t="str">
        <x:v>VELAGLUCERASE FOR TREATING TYPE III GAUCHER DISEASE</x:v>
      </x:c>
      <x:c r="P1129" s="109" t="n">
        <x:v>0</x:v>
      </x:c>
      <x:c r="Q1129" s="109" t="n">
        <x:v>24</x:v>
      </x:c>
      <x:c r="R1129" s="87" t="str">
        <x:v>A61K38/47;;A61K9/0019;;A61P1/16;;A61P3/00;;A61P7/00;;A61P7/06;;A61P9/00;;A61P19/00;;A61P19/08;;A61P25/00;;A61P25/28;;A61P35/00;;A61P43/00;;C12Y302/01045;;G01N33/6854;;G01N2333/924;;G01N2800/044;;G01N2800/52;;A61K38/47;;A61K9/0019;;A61P25/00;;G01N33/564;;G01N33/573;;A61K38/47;;A61K9/0019;;C12Y302/01045;;G01N33/538;;G01N33/6854;;G01N2333/924;;G01N2800/044;;G01N2800/52</x:v>
      </x:c>
      <x:c r="S1129" s="87" t="str">
        <x:v>A61K38/47;;A61K9/00;;A61P3/00;;A61P43/00;;G01N33/538;;G01N33/68</x:v>
      </x:c>
      <x:c r="T1129" s="87" t="str">
        <x:v>ACTIVE</x:v>
      </x:c>
      <x:c r="U1129" s="87" t="str">
        <x:v>https://lens.org/168-186-077-884-344</x:v>
      </x:c>
    </x:row>
    <x:row r="1130">
      <x:c r="A1130" s="87" t="str">
        <x:v>shire.csv</x:v>
      </x:c>
      <x:c r="B1130" s="87" t="str">
        <x:v>Shire</x:v>
      </x:c>
      <x:c r="C1130" s="87" t="str">
        <x:v>TRT-0045</x:v>
      </x:c>
      <x:c r="D1130" s="87" t="str">
        <x:v>Yes</x:v>
      </x:c>
      <x:c r="E1130" s="87" t="str">
        <x:v>shire</x:v>
      </x:c>
      <x:c r="F1130" s="87" t="str">
        <x:v>60</x:v>
      </x:c>
      <x:c r="G1130" s="87" t="str">
        <x:v>179-209-098-202-128</x:v>
      </x:c>
      <x:c r="H1130" s="110" t="n">
        <x:v>42464</x:v>
      </x:c>
      <x:c r="I1130" s="88" t="n">
        <x:v>2016</x:v>
      </x:c>
      <x:c r="J1130" s="87" t="str">
        <x:v>US</x:v>
      </x:c>
      <x:c r="K1130" s="87" t="str">
        <x:v>A1</x:v>
      </x:c>
      <x:c r="L1130" s="87" t="str">
        <x:v>US 2018/0333473 A1</x:v>
      </x:c>
      <x:c r="M1130" s="87" t="str">
        <x:v>SHIRE HUMAN GENETIC THERAPIES</x:v>
      </x:c>
      <x:c r="N1130" s="87" t="str">
        <x:v>SHIRE HUMAN GENETIC THERAPIES INC (2017-09-06);;TAKEDA PHARMACEUTICAL COMPANY LIMITED (2021-02-26)</x:v>
      </x:c>
      <x:c r="O1130" s="87" t="str">
        <x:v>Conjugated C1 Esterase Inhibitor and Uses Thereof</x:v>
      </x:c>
      <x:c r="P1130" s="109" t="n">
        <x:v>0</x:v>
      </x:c>
      <x:c r="Q1130" s="109" t="n">
        <x:v>32</x:v>
      </x:c>
      <x:c r="R1130" s="87" t="str">
        <x:v>A61K38/14;;A61K38/55;;A61K47/183;;A61K47/60;;A61K47/61;;C07K14/00;;C07K16/24;;C07K16/28;;A61K38/55;;A61K38/14;;A61K47/60;;A61K47/61;;A61P9/00;;A61P9/10;;A61P17/00;;A61P17/02;;A61P19/00;;A61P19/08;;A61P21/04;;A61P25/00;;A61P25/02;;A61P25/16;;A61P37/02;;A61K38/55;;A61K9/08;;A61K9/19;;A61K38/14;;A61K47/183;;A61K47/60;;A61K47/61;;A61P9/00;;A61P9/10;;A61P17/00;;A61P17/02;;A61P19/00;;A61P19/08;;A61P21/04;;A61P25/00;;A61P25/02;;A61P25/16;;A61P37/02;;C07K14/00;;C07K16/24;;C07K16/28;;A61K47/60;;A61K9/08;;A61K9/19;;A61K38/14;;A61K38/55;;A61K47/61;;C07K16/24;;C07K16/28;;A61K38/55;;A61K38/14;;A61K47/183;;A61K47/60;;A61K47/61;;C07K14/00;;C07K16/24;;C07K16/28</x:v>
      </x:c>
      <x:c r="S1130" s="87" t="str">
        <x:v>A61K38/55;;A61K38/14;;A61K47/18;;A61K47/60;;A61K47/61;;C07K14/00;;C07K16/24;;C07K16/28</x:v>
      </x:c>
      <x:c r="T1130" s="87" t="str">
        <x:v>DISCONTINUED</x:v>
      </x:c>
      <x:c r="U1130" s="87" t="str">
        <x:v>https://lens.org/179-209-098-202-128</x:v>
      </x:c>
    </x:row>
    <x:row r="1131">
      <x:c r="A1131" s="87" t="str">
        <x:v>shire.csv</x:v>
      </x:c>
      <x:c r="B1131" s="87" t="str">
        <x:v>Shire</x:v>
      </x:c>
      <x:c r="C1131" s="87" t="str">
        <x:v>TRT-0045</x:v>
      </x:c>
      <x:c r="D1131" s="87" t="str">
        <x:v>Yes</x:v>
      </x:c>
      <x:c r="E1131" s="87" t="str">
        <x:v>shire</x:v>
      </x:c>
      <x:c r="F1131" s="87" t="str">
        <x:v>61</x:v>
      </x:c>
      <x:c r="G1131" s="87" t="str">
        <x:v>085-953-318-198-19X</x:v>
      </x:c>
      <x:c r="H1131" s="110" t="n">
        <x:v>42327</x:v>
      </x:c>
      <x:c r="I1131" s="88" t="n">
        <x:v>2015</x:v>
      </x:c>
      <x:c r="J1131" s="87" t="str">
        <x:v>US</x:v>
      </x:c>
      <x:c r="K1131" s="87" t="str">
        <x:v>A1</x:v>
      </x:c>
      <x:c r="L1131" s="87" t="str">
        <x:v>US 2018/0334493 A1</x:v>
      </x:c>
      <x:c r="M1131" s="87" t="str">
        <x:v>SHIRE HUMAN GENETIC THERAPIES</x:v>
      </x:c>
      <x:c r="N1131" s="87" t="str">
        <x:v>SHIRE HUMAN GENETIC THERAPIES INC (2019-02-05);;TAKEDA PHARMACEUTICAL COMPANY LIMITED (2021-02-26)</x:v>
      </x:c>
      <x:c r="O1131" s="87" t="str">
        <x:v>RECOMBINANT HUMAN C1 ESTERASE INHIBITOR AND USES THEREOF</x:v>
      </x:c>
      <x:c r="P1131" s="109" t="n">
        <x:v>3</x:v>
      </x:c>
      <x:c r="Q1131" s="109" t="n">
        <x:v>17</x:v>
      </x:c>
      <x:c r="R1131" s="87" t="str">
        <x:v>C07K14/8121;;A61K38/00;;A61K38/57;;A61P7/10;;A61P9/00;;A61P9/10;;A61P17/02;;A61P21/04;;A61P25/00;;A61P25/16;;A61P27/02;;A61P37/06;;C07K14/8121;;A61K9/19;;A61K38/00;;A61K38/57;;C07K1/18;;C07K14/76;;C07K2319/30;;C07K2319/31;;C07K2319/91</x:v>
      </x:c>
      <x:c r="S1131" s="87" t="str">
        <x:v>C07K14/81;;A61K9/19;;C07K1/18;;C07K14/76</x:v>
      </x:c>
      <x:c r="T1131" s="87" t="str">
        <x:v>ACTIVE</x:v>
      </x:c>
      <x:c r="U1131" s="87" t="str">
        <x:v>https://lens.org/085-953-318-198-19X</x:v>
      </x:c>
    </x:row>
    <x:row r="1132">
      <x:c r="A1132" s="87" t="str">
        <x:v>shire.csv</x:v>
      </x:c>
      <x:c r="B1132" s="87" t="str">
        <x:v>Shire</x:v>
      </x:c>
      <x:c r="C1132" s="87" t="str">
        <x:v>TRT-0045</x:v>
      </x:c>
      <x:c r="D1132" s="87" t="str">
        <x:v>Yes</x:v>
      </x:c>
      <x:c r="E1132" s="87" t="str">
        <x:v>shire</x:v>
      </x:c>
      <x:c r="F1132" s="87" t="str">
        <x:v>62</x:v>
      </x:c>
      <x:c r="G1132" s="87" t="str">
        <x:v>155-634-735-696-80X</x:v>
      </x:c>
      <x:c r="H1132" s="110" t="n">
        <x:v>42767</x:v>
      </x:c>
      <x:c r="I1132" s="88" t="n">
        <x:v>2017</x:v>
      </x:c>
      <x:c r="J1132" s="87" t="str">
        <x:v>US</x:v>
      </x:c>
      <x:c r="K1132" s="87" t="str">
        <x:v>A1</x:v>
      </x:c>
      <x:c r="L1132" s="87" t="str">
        <x:v>US 2018/0215788 A1</x:v>
      </x:c>
      <x:c r="M1132" s="87" t="str">
        <x:v>SHIRE HUMAN GENETIC THERAPIES</x:v>
      </x:c>
      <x:c r="N1132" s="87" t="str">
        <x:v>SHIRE HUMAN GENETIC THERAPIES INC (2018-05-02);;TAKEDA PHARMACEUTICAL COMPANY LIMITED (2021-02-26)</x:v>
      </x:c>
      <x:c r="O1132" s="87" t="str">
        <x:v>Compounds and Compositions for the Treatment of Ophthalmic Disorders</x:v>
      </x:c>
      <x:c r="P1132" s="109" t="n">
        <x:v>0</x:v>
      </x:c>
      <x:c r="Q1132" s="109" t="n">
        <x:v>5</x:v>
      </x:c>
      <x:c r="R1132" s="87" t="str">
        <x:v>A61K38/08;;A61K31/215;;A61K31/216;;A61K31/5377;;A61P27/02;;A61P27/06;;C07K7/06;;A61K9/0048;;A61K31/215;;A61K31/216;;A61K31/5377;;A61K38/08;;A61P27/02;;A61P27/06</x:v>
      </x:c>
      <x:c r="S1132" s="87" t="str">
        <x:v>C07K7/06;;A61K9/00;;A61K31/216;;A61K31/5377;;A61K38/08;;A61P27/02</x:v>
      </x:c>
      <x:c r="T1132" s="87" t="str">
        <x:v>DISCONTINUED</x:v>
      </x:c>
      <x:c r="U1132" s="87" t="str">
        <x:v>https://lens.org/155-634-735-696-80X</x:v>
      </x:c>
    </x:row>
    <x:row r="1133">
      <x:c r="A1133" s="87" t="str">
        <x:v>shire.csv</x:v>
      </x:c>
      <x:c r="B1133" s="87" t="str">
        <x:v>Shire</x:v>
      </x:c>
      <x:c r="C1133" s="87" t="str">
        <x:v>TRT-0045</x:v>
      </x:c>
      <x:c r="D1133" s="87" t="str">
        <x:v>Yes</x:v>
      </x:c>
      <x:c r="E1133" s="87" t="str">
        <x:v>shire</x:v>
      </x:c>
      <x:c r="F1133" s="87" t="str">
        <x:v>63</x:v>
      </x:c>
      <x:c r="G1133" s="87" t="str">
        <x:v>174-412-010-631-545</x:v>
      </x:c>
      <x:c r="H1133" s="110" t="n">
        <x:v>41346</x:v>
      </x:c>
      <x:c r="I1133" s="88" t="n">
        <x:v>2013</x:v>
      </x:c>
      <x:c r="J1133" s="87" t="str">
        <x:v>US</x:v>
      </x:c>
      <x:c r="K1133" s="87" t="str">
        <x:v>B2</x:v>
      </x:c>
      <x:c r="L1133" s="87" t="str">
        <x:v>US 10023901 B2</x:v>
      </x:c>
      <x:c r="M1133" s="87" t="str">
        <x:v>SHIRE HUMAN GENETIC THERAPIES</x:v>
      </x:c>
      <x:c r="N1133" s="87" t="str">
        <x:v>SHIRE HUMAN GENETIC THERAPIES INC (2014-07-18);;TAKEDA PHARMACEUTICAL COMPANY LIMITED (2022-07-11)</x:v>
      </x:c>
      <x:c r="O1133" s="87" t="str">
        <x:v>Characterization of lysosomal enzymes by capillary zone electrophoresis</x:v>
      </x:c>
      <x:c r="P1133" s="109" t="n">
        <x:v>0</x:v>
      </x:c>
      <x:c r="Q1133" s="109" t="n">
        <x:v>12</x:v>
      </x:c>
      <x:c r="R1133" s="87" t="str">
        <x:v>C12Q1/44;;A61K38/00;;A61P3/00;;C12N9/16;;C12Y301/06014;;G01N33/6803;;C12Q1/44;;A61K38/00;;C12N9/16;;C12Q3/00;;C12Y301/06014;;G01N27/44739;;G01N27/44791;;G01N33/6803</x:v>
      </x:c>
      <x:c r="S1133" s="87" t="str">
        <x:v>C12N9/16;;A61K38/00;;C12Q1/44;;C12Q3/00;;G01N27/447;;G01N33/68</x:v>
      </x:c>
      <x:c r="T1133" s="87" t="str">
        <x:v>ACTIVE</x:v>
      </x:c>
      <x:c r="U1133" s="87" t="str">
        <x:v>https://lens.org/174-412-010-631-545</x:v>
      </x:c>
    </x:row>
    <x:row r="1134">
      <x:c r="A1134" s="87" t="str">
        <x:v>shire.csv</x:v>
      </x:c>
      <x:c r="B1134" s="87" t="str">
        <x:v>Shire</x:v>
      </x:c>
      <x:c r="C1134" s="87" t="str">
        <x:v>TRT-0045</x:v>
      </x:c>
      <x:c r="D1134" s="87" t="str">
        <x:v>Yes</x:v>
      </x:c>
      <x:c r="E1134" s="87" t="str">
        <x:v>shire</x:v>
      </x:c>
      <x:c r="F1134" s="87" t="str">
        <x:v>64</x:v>
      </x:c>
      <x:c r="G1134" s="87" t="str">
        <x:v>111-340-231-916-768</x:v>
      </x:c>
      <x:c r="H1134" s="110" t="n">
        <x:v>40854</x:v>
      </x:c>
      <x:c r="I1134" s="88" t="n">
        <x:v>2011</x:v>
      </x:c>
      <x:c r="J1134" s="87" t="str">
        <x:v>EP</x:v>
      </x:c>
      <x:c r="K1134" s="87" t="str">
        <x:v>B1</x:v>
      </x:c>
      <x:c r="L1134" s="87" t="str">
        <x:v>EP 2776553 B1</x:v>
      </x:c>
      <x:c r="M1134" s="87" t="str">
        <x:v>SHIRE HUMAN GENETIC THERAPIES</x:v>
      </x:c>
      <x:c r="N1134" s="87" t="str">
        <x:v>SHIRE HUMAN GENETIC THERAPIES, INC. (2016-11-23)</x:v>
      </x:c>
      <x:c r="O1134" s="87" t="str">
        <x:v>BIOMARKERS FOR SANFILIPPO SYNDROME AND USES THEREOF</x:v>
      </x:c>
      <x:c r="P1134" s="109" t="n">
        <x:v>0</x:v>
      </x:c>
      <x:c r="Q1134" s="109" t="n">
        <x:v>10</x:v>
      </x:c>
      <x:c r="R1134" s="87" t="str">
        <x:v>C12Q1/6883;;C12Q2600/106;;C12Q2600/118;;C12Q2600/158;;G01N33/6893;;G01N2800/04;;A61K38/46;;A61P17/14;;A61P19/00;;A61P21/00;;A61P25/00;;A61P25/14;;A61P25/28;;C12Q1/6883;;C12Q2600/118;;C12Q2600/158;;G01N2333/4753;;G01N2440/14;;G01N2800/2814;;G01N2800/2835;;G01N2800/52;;G01N33/6893;;A61K38/46;;C12Q1/6883;;C12Q2600/118;;C12Q2600/158;;G01N2333/4753;;G01N2400/10;;G01N2440/14;;G01N2800/04;;G01N2800/2814;;G01N2800/2835;;G01N2800/52</x:v>
      </x:c>
      <x:c r="S1134" s="87" t="str">
        <x:v>C12M1/34</x:v>
      </x:c>
      <x:c r="T1134" s="87" t="str">
        <x:v>ACTIVE</x:v>
      </x:c>
      <x:c r="U1134" s="87" t="str">
        <x:v>https://lens.org/111-340-231-916-768</x:v>
      </x:c>
    </x:row>
    <x:row r="1135">
      <x:c r="A1135" s="87" t="str">
        <x:v>shire.csv</x:v>
      </x:c>
      <x:c r="B1135" s="87" t="str">
        <x:v>Shire</x:v>
      </x:c>
      <x:c r="C1135" s="87" t="str">
        <x:v>TRT-0045</x:v>
      </x:c>
      <x:c r="D1135" s="87" t="str">
        <x:v>Yes</x:v>
      </x:c>
      <x:c r="E1135" s="87" t="str">
        <x:v>shire</x:v>
      </x:c>
      <x:c r="F1135" s="87" t="str">
        <x:v>65</x:v>
      </x:c>
      <x:c r="G1135" s="87" t="str">
        <x:v>106-723-520-696-13X</x:v>
      </x:c>
      <x:c r="H1135" s="110" t="n">
        <x:v>41051</x:v>
      </x:c>
      <x:c r="I1135" s="88" t="n">
        <x:v>2012</x:v>
      </x:c>
      <x:c r="J1135" s="87" t="str">
        <x:v>US</x:v>
      </x:c>
      <x:c r="K1135" s="87" t="str">
        <x:v>A1</x:v>
      </x:c>
      <x:c r="L1135" s="87" t="str">
        <x:v>US 2018/0179275 A1</x:v>
      </x:c>
      <x:c r="M1135" s="87" t="str">
        <x:v>SHIRE HUMAN GENETIC THERAPIES</x:v>
      </x:c>
      <x:c r="N1135" s="87" t="str">
        <x:v>SHIRE HUMAN GENETIC THERAPIES INC (2013-07-18)</x:v>
      </x:c>
      <x:c r="O1135" s="87" t="str">
        <x:v>ANTI-CCL2 ANTIBODIES FOR TREATMENT OF SCLERODERMA</x:v>
      </x:c>
      <x:c r="P1135" s="109" t="n">
        <x:v>0</x:v>
      </x:c>
      <x:c r="Q1135" s="109" t="n">
        <x:v>20</x:v>
      </x:c>
      <x:c r="R1135" s="87" t="str">
        <x:v>C07K16/24;;A61K2039/505;;C07K2317/92;;C07K16/24;;A61K2039/505;;A61P1/00;;A61P1/04;;A61P1/16;;A61P1/18;;A61P3/10;;A61P5/00;;A61P5/06;;A61P9/00;;A61P9/02;;A61P9/10;;A61P11/00;;A61P11/06;;A61P13/02;;A61P13/08;;A61P13/12;;A61P17/00;;A61P17/06;;A61P19/02;;A61P19/04;;A61P19/10;;A61P21/00;;A61P25/00;;A61P25/02;;A61P25/20;;A61P25/28;;A61P27/02;;A61P27/16;;A61P29/00;;A61P31/18;;A61P37/00;;A61P37/02;;A61P37/06;;A61P43/00;;C07K2317/92;;C07K16/24;;A61K2039/505;;C07K2317/21;;C07K2317/24;;C07K2317/51;;C07K2317/515;;C07K2317/56;;C07K2317/92</x:v>
      </x:c>
      <x:c r="S1135" s="87" t="str">
        <x:v>C07K16/24;;A61K39/00</x:v>
      </x:c>
      <x:c r="T1135" s="87" t="str">
        <x:v>DISCONTINUED</x:v>
      </x:c>
      <x:c r="U1135" s="87" t="str">
        <x:v>https://lens.org/106-723-520-696-13X</x:v>
      </x:c>
    </x:row>
    <x:row r="1136">
      <x:c r="A1136" s="87" t="str">
        <x:v>shire.csv</x:v>
      </x:c>
      <x:c r="B1136" s="87" t="str">
        <x:v>Shire</x:v>
      </x:c>
      <x:c r="C1136" s="87" t="str">
        <x:v>TRT-0045</x:v>
      </x:c>
      <x:c r="D1136" s="87" t="str">
        <x:v>Yes</x:v>
      </x:c>
      <x:c r="E1136" s="87" t="str">
        <x:v>shire</x:v>
      </x:c>
      <x:c r="F1136" s="87" t="str">
        <x:v>66</x:v>
      </x:c>
      <x:c r="G1136" s="87" t="str">
        <x:v>030-455-712-474-968</x:v>
      </x:c>
      <x:c r="H1136" s="110" t="n">
        <x:v>40606</x:v>
      </x:c>
      <x:c r="I1136" s="88" t="n">
        <x:v>2011</x:v>
      </x:c>
      <x:c r="J1136" s="87" t="str">
        <x:v>US</x:v>
      </x:c>
      <x:c r="K1136" s="87" t="str">
        <x:v>B2</x:v>
      </x:c>
      <x:c r="L1136" s="87" t="str">
        <x:v>US 9932568 B2</x:v>
      </x:c>
      <x:c r="M1136" s="87" t="str">
        <x:v>SHIRE HUMAN GENETIC THERAPIES</x:v>
      </x:c>
      <x:c r="N1136" s="87" t="str">
        <x:v>SHIRE HUMAN GENETIC THERAPIES INC (2013-12-05)</x:v>
      </x:c>
      <x:c r="O1136" s="87" t="str">
        <x:v>Peptide linkers for polypeptide compositions and methods for using same</x:v>
      </x:c>
      <x:c r="P1136" s="109" t="n">
        <x:v>2</x:v>
      </x:c>
      <x:c r="Q1136" s="109" t="n">
        <x:v>6</x:v>
      </x:c>
      <x:c r="R1136" s="87" t="str">
        <x:v>A61K9/0019;;A61K38/30;;A61K38/465;;A61K38/47;;C07K7/08;;C07K14/65;;C07K2319/01;;C12Y302/0105;;A61K47/65;;C12N9/2402;;A61P3/00;;A61K38/00;;C07K14/00;;A61K9/0019;;A61K38/30;;A61K38/465;;A61K38/47;;C07K7/08;;C07K14/65;;C07K2319/01;;C12Y302/0105;;A61K47/65;;A61K38/00;;C07K2319/35;;C07K2319/74;;C07K14/00;;C12N9/2402</x:v>
      </x:c>
      <x:c r="S1136" s="87" t="str">
        <x:v>C12N9/24;;A61K9/00;;A61K38/00;;A61K38/30;;A61K38/46;;A61K38/47;;A61K47/65;;C07K7/08;;C07K14/00;;C07K14/65</x:v>
      </x:c>
      <x:c r="T1136" s="87" t="str">
        <x:v>ACTIVE</x:v>
      </x:c>
      <x:c r="U1136" s="87" t="str">
        <x:v>https://lens.org/030-455-712-474-968</x:v>
      </x:c>
    </x:row>
    <x:row r="1137">
      <x:c r="A1137" s="87" t="str">
        <x:v>shire.csv</x:v>
      </x:c>
      <x:c r="B1137" s="87" t="str">
        <x:v>Shire</x:v>
      </x:c>
      <x:c r="C1137" s="87" t="str">
        <x:v>TRT-0045</x:v>
      </x:c>
      <x:c r="D1137" s="87" t="str">
        <x:v>Yes</x:v>
      </x:c>
      <x:c r="E1137" s="87" t="str">
        <x:v>shire</x:v>
      </x:c>
      <x:c r="F1137" s="87" t="str">
        <x:v>67</x:v>
      </x:c>
      <x:c r="G1137" s="87" t="str">
        <x:v>160-261-714-725-482</x:v>
      </x:c>
      <x:c r="H1137" s="110" t="n">
        <x:v>40711</x:v>
      </x:c>
      <x:c r="I1137" s="88" t="n">
        <x:v>2011</x:v>
      </x:c>
      <x:c r="J1137" s="87" t="str">
        <x:v>US</x:v>
      </x:c>
      <x:c r="K1137" s="87" t="str">
        <x:v>B2</x:v>
      </x:c>
      <x:c r="L1137" s="87" t="str">
        <x:v>US 9932377 B2</x:v>
      </x:c>
      <x:c r="M1137" s="87" t="str">
        <x:v>SHIRE HUMAN GENETIC THERAPIES</x:v>
      </x:c>
      <x:c r="N1137" s="87" t="str">
        <x:v>SHIRE HUMAN GENETIC THERAPIES INC (2012-07-16);;TAKEDA PHARMACEUTICAL COMPANY LIMITED (2021-02-26)</x:v>
      </x:c>
      <x:c r="O1137" s="87" t="str">
        <x:v>Mitochondrial targeting and therapeutic use thereof</x:v>
      </x:c>
      <x:c r="P1137" s="109" t="n">
        <x:v>2</x:v>
      </x:c>
      <x:c r="Q1137" s="109" t="n">
        <x:v>8</x:v>
      </x:c>
      <x:c r="R1137" s="87" t="str">
        <x:v>A61K38/1709;;A01K2217/075;;A01K2227/105;;A01K2267/0306;;A61K38/00;;A61K47/645;;A61K49/0008;;C07K14/47;;A01K2217/075;;A01K2227/105;;A01K2267/0306;;A61K38/00;;A61K38/1709;;A61K47/645;;A61K49/0008;;C07K7/08;;C07K2319/07;;C07K2319/10</x:v>
      </x:c>
      <x:c r="S1137" s="87" t="str">
        <x:v>C07K14/47;;A61K38/00;;A61K38/17;;A61K47/64;;A61K49/00;;C07K7/08</x:v>
      </x:c>
      <x:c r="T1137" s="87" t="str">
        <x:v>ACTIVE</x:v>
      </x:c>
      <x:c r="U1137" s="87" t="str">
        <x:v>https://lens.org/160-261-714-725-482</x:v>
      </x:c>
    </x:row>
    <x:row r="1138">
      <x:c r="A1138" s="87" t="str">
        <x:v>shire.csv</x:v>
      </x:c>
      <x:c r="B1138" s="87" t="str">
        <x:v>Shire</x:v>
      </x:c>
      <x:c r="C1138" s="87" t="str">
        <x:v>TRT-0045</x:v>
      </x:c>
      <x:c r="D1138" s="87" t="str">
        <x:v>Yes</x:v>
      </x:c>
      <x:c r="E1138" s="87" t="str">
        <x:v>shire</x:v>
      </x:c>
      <x:c r="F1138" s="87" t="str">
        <x:v>68</x:v>
      </x:c>
      <x:c r="G1138" s="87" t="str">
        <x:v>074-399-051-815-325</x:v>
      </x:c>
      <x:c r="H1138" s="110" t="n">
        <x:v>41250</x:v>
      </x:c>
      <x:c r="I1138" s="88" t="n">
        <x:v>2012</x:v>
      </x:c>
      <x:c r="J1138" s="87" t="str">
        <x:v>US</x:v>
      </x:c>
      <x:c r="K1138" s="87" t="str">
        <x:v>A1</x:v>
      </x:c>
      <x:c r="L1138" s="87" t="str">
        <x:v>US 2018/0036386 A1</x:v>
      </x:c>
      <x:c r="M1138" s="87" t="str">
        <x:v>SHIRE HUMAN GENETIC THERAPIES</x:v>
      </x:c>
      <x:c r="N1138" s="87" t="str">
        <x:v>SHIRE HUMAN GENETIC THERAPIES INC (2014-01-24)</x:v>
      </x:c>
      <x:c r="O1138" s="87" t="str">
        <x:v>METHODS AND COMPOSITIONS FOR INTRATHECALLY ADMINISTERED TREATMENT OF MUCUPOLYSACCHARIDOSIS TYPE IIIA</x:v>
      </x:c>
      <x:c r="P1138" s="109" t="n">
        <x:v>0</x:v>
      </x:c>
      <x:c r="Q1138" s="109" t="n">
        <x:v>10</x:v>
      </x:c>
      <x:c r="R1138" s="87" t="str">
        <x:v>A61K38/465;;A61P43/00;;C12Y301/06013;;A61K38/465;;A61K9/0019;;A61K9/0085;;C12Y301/06013</x:v>
      </x:c>
      <x:c r="S1138" s="87" t="str">
        <x:v>A61K38/46;;A61K9/00</x:v>
      </x:c>
      <x:c r="T1138" s="87" t="str">
        <x:v>DISCONTINUED</x:v>
      </x:c>
      <x:c r="U1138" s="87" t="str">
        <x:v>https://lens.org/074-399-051-815-325</x:v>
      </x:c>
    </x:row>
    <x:row r="1139">
      <x:c r="A1139" s="87" t="str">
        <x:v>shire.csv</x:v>
      </x:c>
      <x:c r="B1139" s="87" t="str">
        <x:v>Shire</x:v>
      </x:c>
      <x:c r="C1139" s="87" t="str">
        <x:v>TRT-0045</x:v>
      </x:c>
      <x:c r="D1139" s="87" t="str">
        <x:v>Yes</x:v>
      </x:c>
      <x:c r="E1139" s="87" t="str">
        <x:v>shire</x:v>
      </x:c>
      <x:c r="F1139" s="87" t="str">
        <x:v>69</x:v>
      </x:c>
      <x:c r="G1139" s="87" t="str">
        <x:v>144-442-393-092-380</x:v>
      </x:c>
      <x:c r="H1139" s="110" t="n">
        <x:v>41967</x:v>
      </x:c>
      <x:c r="I1139" s="88" t="n">
        <x:v>2014</x:v>
      </x:c>
      <x:c r="J1139" s="87" t="str">
        <x:v>US</x:v>
      </x:c>
      <x:c r="K1139" s="87" t="str">
        <x:v>A1</x:v>
      </x:c>
      <x:c r="L1139" s="87" t="str">
        <x:v>US 2018/0009904 A1</x:v>
      </x:c>
      <x:c r="M1139" s="87" t="str">
        <x:v>SHIRE HUMAN GENETIC THERAPIES</x:v>
      </x:c>
      <x:c r="N1139" s="87" t="str">
        <x:v>SHIRE HUMAN GENETIC THERAPIES INC (2017-06-22)</x:v>
      </x:c>
      <x:c r="O1139" s="87" t="str">
        <x:v>LYSOSOMAL TARGETING AND USES THEREOF</x:v>
      </x:c>
      <x:c r="P1139" s="109" t="n">
        <x:v>1</x:v>
      </x:c>
      <x:c r="Q1139" s="109" t="n">
        <x:v>4</x:v>
      </x:c>
      <x:c r="R1139" s="87" t="str">
        <x:v>C07K16/40;;A61K38/00;;C07K2317/21;;C07K2317/622;;C07K2317/76;;C07K2319/00;;C07K2319/33;;C07K2319/50;;C07K2319/70;;C12N9/2402;;C12N9/2405;;C12N9/2408;;C12Y302/0102;;C12Y302/0105;;C12Y304/21061;;C07K16/40;;A61K38/00;;C07K2317/21;;C07K2317/24;;C07K2317/622;;C07K2317/76;;C07K2317/94;;C07K2319/00;;C07K2319/06;;C07K2319/33;;C07K2319/50;;C07K2319/70;;C12N9/2402;;C12N9/2405;;C12N9/2408;;C12Y302/0102;;C12Y302/0105;;C12Y304/21061</x:v>
      </x:c>
      <x:c r="S1139" s="87" t="str">
        <x:v>C07K16/40;;A61K38/00;;C12N9/24;;C12N9/26</x:v>
      </x:c>
      <x:c r="T1139" s="87" t="str">
        <x:v>DISCONTINUED</x:v>
      </x:c>
      <x:c r="U1139" s="87" t="str">
        <x:v>https://lens.org/144-442-393-092-380</x:v>
      </x:c>
    </x:row>
    <x:row r="1140">
      <x:c r="A1140" s="87" t="str">
        <x:v>shire.csv</x:v>
      </x:c>
      <x:c r="B1140" s="87" t="str">
        <x:v>Shire</x:v>
      </x:c>
      <x:c r="C1140" s="87" t="str">
        <x:v>TRT-0045</x:v>
      </x:c>
      <x:c r="D1140" s="87" t="str">
        <x:v>Yes</x:v>
      </x:c>
      <x:c r="E1140" s="87" t="str">
        <x:v>shire</x:v>
      </x:c>
      <x:c r="F1140" s="87" t="str">
        <x:v>70</x:v>
      </x:c>
      <x:c r="G1140" s="87" t="str">
        <x:v>090-229-692-250-799</x:v>
      </x:c>
      <x:c r="H1140" s="110" t="n">
        <x:v>41991</x:v>
      </x:c>
      <x:c r="I1140" s="88" t="n">
        <x:v>2014</x:v>
      </x:c>
      <x:c r="J1140" s="87" t="str">
        <x:v>US</x:v>
      </x:c>
      <x:c r="K1140" s="87" t="str">
        <x:v>A1</x:v>
      </x:c>
      <x:c r="L1140" s="87" t="str">
        <x:v>US 2017/0362632 A1</x:v>
      </x:c>
      <x:c r="M1140" s="87" t="str">
        <x:v>SHIRE HUMAN GENETIC THERAPIES</x:v>
      </x:c>
      <x:c r="N1140" s="87" t="str">
        <x:v>SHIRE HUMAN GENETIC THERAPIES INC (2017-08-01)</x:v>
      </x:c>
      <x:c r="O1140" s="87" t="str">
        <x:v>ENZYMATIC ACTIVITY ASSAYS FOR I2S</x:v>
      </x:c>
      <x:c r="P1140" s="109" t="n">
        <x:v>2</x:v>
      </x:c>
      <x:c r="Q1140" s="109" t="n">
        <x:v>5</x:v>
      </x:c>
      <x:c r="R1140" s="87" t="str">
        <x:v>C12Q1/34;;G01N2333/916;;C12Q1/34;;G01N2333/916</x:v>
      </x:c>
      <x:c r="S1140" s="87" t="str">
        <x:v>C12Q1/34</x:v>
      </x:c>
      <x:c r="T1140" s="87" t="str">
        <x:v>DISCONTINUED</x:v>
      </x:c>
      <x:c r="U1140" s="87" t="str">
        <x:v>https://lens.org/090-229-692-250-799</x:v>
      </x:c>
    </x:row>
    <x:row r="1141">
      <x:c r="A1141" s="87" t="str">
        <x:v>shire.csv</x:v>
      </x:c>
      <x:c r="B1141" s="87" t="str">
        <x:v>Shire</x:v>
      </x:c>
      <x:c r="C1141" s="87" t="str">
        <x:v>TRT-0045</x:v>
      </x:c>
      <x:c r="D1141" s="87" t="str">
        <x:v>Yes</x:v>
      </x:c>
      <x:c r="E1141" s="87" t="str">
        <x:v>shire</x:v>
      </x:c>
      <x:c r="F1141" s="87" t="str">
        <x:v>71</x:v>
      </x:c>
      <x:c r="G1141" s="87" t="str">
        <x:v>159-325-069-011-173</x:v>
      </x:c>
      <x:c r="H1141" s="110" t="n">
        <x:v>41815</x:v>
      </x:c>
      <x:c r="I1141" s="88" t="n">
        <x:v>2014</x:v>
      </x:c>
      <x:c r="J1141" s="87" t="str">
        <x:v>US</x:v>
      </x:c>
      <x:c r="K1141" s="87" t="str">
        <x:v>A1</x:v>
      </x:c>
      <x:c r="L1141" s="87" t="str">
        <x:v>US 2017/0267986 A1</x:v>
      </x:c>
      <x:c r="M1141" s="87" t="str">
        <x:v>SHIRE HUMAN GENETIC THERAPIES</x:v>
      </x:c>
      <x:c r="N1141" s="87" t="str">
        <x:v>SHIRE HUMAN GENETIC THERAPIES INC (2016-01-20);;TAKEDA PHARMACEUTICAL COMPANY LIMITED (2021-02-26)</x:v>
      </x:c>
      <x:c r="O1141" s="87" t="str">
        <x:v>GENERATION OF MANNOSE-6-PHOSPHATE CONTAINING RECOMBINANT ALPHA-N-ACETYL GLUCOSAMINIDASE</x:v>
      </x:c>
      <x:c r="P1141" s="109" t="n">
        <x:v>0</x:v>
      </x:c>
      <x:c r="Q1141" s="109" t="n">
        <x:v>5</x:v>
      </x:c>
      <x:c r="R1141" s="87" t="str">
        <x:v>C12N9/2402;;A61K38/47;;C12P21/005;;C12Y302/0105;;C12N9/2402;;A61K38/47;;C12P21/005;;C12Y302/0105</x:v>
      </x:c>
      <x:c r="S1141" s="87" t="str">
        <x:v>C12N9/24;;A61K38/47</x:v>
      </x:c>
      <x:c r="T1141" s="87" t="str">
        <x:v>DISCONTINUED</x:v>
      </x:c>
      <x:c r="U1141" s="87" t="str">
        <x:v>https://lens.org/159-325-069-011-173</x:v>
      </x:c>
    </x:row>
    <x:row r="1142">
      <x:c r="A1142" s="87" t="str">
        <x:v>shire.csv</x:v>
      </x:c>
      <x:c r="B1142" s="87" t="str">
        <x:v>Shire</x:v>
      </x:c>
      <x:c r="C1142" s="87" t="str">
        <x:v>TRT-0045</x:v>
      </x:c>
      <x:c r="D1142" s="87" t="str">
        <x:v>Yes</x:v>
      </x:c>
      <x:c r="E1142" s="87" t="str">
        <x:v>shire</x:v>
      </x:c>
      <x:c r="F1142" s="87" t="str">
        <x:v>72</x:v>
      </x:c>
      <x:c r="G1142" s="87" t="str">
        <x:v>127-840-001-327-433</x:v>
      </x:c>
      <x:c r="H1142" s="110" t="n">
        <x:v>41789</x:v>
      </x:c>
      <x:c r="I1142" s="88" t="n">
        <x:v>2014</x:v>
      </x:c>
      <x:c r="J1142" s="87" t="str">
        <x:v>US</x:v>
      </x:c>
      <x:c r="K1142" s="87" t="str">
        <x:v>A1</x:v>
      </x:c>
      <x:c r="L1142" s="87" t="str">
        <x:v>US 2017/0246319 A1</x:v>
      </x:c>
      <x:c r="M1142" s="87" t="str">
        <x:v>SHIRE HUMAN GENETIC THERAPIES</x:v>
      </x:c>
      <x:c r="N1142" s="87" t="str">
        <x:v>SHIRE HUMAN GENETIC THERAPIES INC (2015-09-18);;TRANSLATE BIO INC (2016-12-16)</x:v>
      </x:c>
      <x:c r="O1142" s="87" t="str">
        <x:v>BIODEGRADABLE LIPIDS FOR DELIVERY OF NUCLEIC ACIDS</x:v>
      </x:c>
      <x:c r="P1142" s="109" t="n">
        <x:v>11</x:v>
      </x:c>
      <x:c r="Q1142" s="109" t="n">
        <x:v>37</x:v>
      </x:c>
      <x:c r="R1142" s="87" t="str">
        <x:v>C07D319/12;;A61K38/1816;;A61K38/4846;;A61K48/0025;;A61K48/005;;C12N15/111;;C12N2310/11;;C12N2310/14;;C12N2310/141;;C12N2320/32;;C12Y304/21022;;A61K48/0033;;A61K9/1272;;A61K38/1816;;A61K38/4846;;A61K48/0025;;A61K48/0041;;A61K48/005;;C07D319/12;;C12N15/111;;C12N2310/11;;C12N2310/14;;C12N2310/141;;C12N2320/32;;C12Y304/21022</x:v>
      </x:c>
      <x:c r="S1142" s="87" t="str">
        <x:v>A61K48/00;;A61K9/127;;A61K38/18;;A61K38/48;;C07D319/12</x:v>
      </x:c>
      <x:c r="T1142" s="87" t="str">
        <x:v>ACTIVE</x:v>
      </x:c>
      <x:c r="U1142" s="87" t="str">
        <x:v>https://lens.org/127-840-001-327-433</x:v>
      </x:c>
    </x:row>
    <x:row r="1143">
      <x:c r="A1143" s="87" t="str">
        <x:v>shire.csv</x:v>
      </x:c>
      <x:c r="B1143" s="87" t="str">
        <x:v>Shire</x:v>
      </x:c>
      <x:c r="C1143" s="87" t="str">
        <x:v>TRT-0045</x:v>
      </x:c>
      <x:c r="D1143" s="87" t="str">
        <x:v>Yes</x:v>
      </x:c>
      <x:c r="E1143" s="87" t="str">
        <x:v>shire</x:v>
      </x:c>
      <x:c r="F1143" s="87" t="str">
        <x:v>73</x:v>
      </x:c>
      <x:c r="G1143" s="87" t="str">
        <x:v>069-177-451-389-498</x:v>
      </x:c>
      <x:c r="H1143" s="110" t="n">
        <x:v>40997</x:v>
      </x:c>
      <x:c r="I1143" s="88" t="n">
        <x:v>2012</x:v>
      </x:c>
      <x:c r="J1143" s="87" t="str">
        <x:v>US</x:v>
      </x:c>
      <x:c r="K1143" s="87" t="str">
        <x:v>A1</x:v>
      </x:c>
      <x:c r="L1143" s="87" t="str">
        <x:v>US 2017/0240501 A1</x:v>
      </x:c>
      <x:c r="M1143" s="87" t="str">
        <x:v>SHIRE HUMAN GENETIC THERAPIES</x:v>
      </x:c>
      <x:c r="N1143" s="87" t="str">
        <x:v>SHIRE HUMAN GENETIC THERAPIES INC (2013-05-11);;TRANSLATE BIO INC (2016-12-16)</x:v>
      </x:c>
      <x:c r="O1143" s="87" t="str">
        <x:v>IONIZABLE CATIONIC LIPIDS</x:v>
      </x:c>
      <x:c r="P1143" s="109" t="n">
        <x:v>21</x:v>
      </x:c>
      <x:c r="Q1143" s="109" t="n">
        <x:v>39</x:v>
      </x:c>
      <x:c r="R1143" s="87" t="str">
        <x:v>A61K9/1271;;A61K9/1272;;C07C211/21;;A61K38/1816;;A61K38/47;;C12Y302/01023;;A61P43/00;;A61K9/1271;;A61K9/1272;;C07C211/21;;C12N15/85;;A61K9/5015;;A61K38/1816;;A61K38/47;;C12Y302/01023</x:v>
      </x:c>
      <x:c r="S1143" s="87" t="str">
        <x:v>C07C211/21;;A61K9/50;;A61K38/18;;A61K38/47;;C12N15/113</x:v>
      </x:c>
      <x:c r="T1143" s="87" t="str">
        <x:v>ACTIVE</x:v>
      </x:c>
      <x:c r="U1143" s="87" t="str">
        <x:v>https://lens.org/069-177-451-389-498</x:v>
      </x:c>
    </x:row>
    <x:row r="1144">
      <x:c r="A1144" s="87" t="str">
        <x:v>shire.csv</x:v>
      </x:c>
      <x:c r="B1144" s="87" t="str">
        <x:v>Shire</x:v>
      </x:c>
      <x:c r="C1144" s="87" t="str">
        <x:v>TRT-0045</x:v>
      </x:c>
      <x:c r="D1144" s="87" t="str">
        <x:v>Yes</x:v>
      </x:c>
      <x:c r="E1144" s="87" t="str">
        <x:v>shire</x:v>
      </x:c>
      <x:c r="F1144" s="87" t="str">
        <x:v>74</x:v>
      </x:c>
      <x:c r="G1144" s="87" t="str">
        <x:v>033-231-410-047-262</x:v>
      </x:c>
      <x:c r="H1144" s="110" t="n">
        <x:v>41688</x:v>
      </x:c>
      <x:c r="I1144" s="88" t="n">
        <x:v>2014</x:v>
      </x:c>
      <x:c r="J1144" s="87" t="str">
        <x:v>US</x:v>
      </x:c>
      <x:c r="K1144" s="87" t="str">
        <x:v>A1</x:v>
      </x:c>
      <x:c r="L1144" s="87" t="str">
        <x:v>US 2017/0219566 A1</x:v>
      </x:c>
      <x:c r="M1144" s="87" t="str">
        <x:v>SHIRE HUMAN GENETIC THERAPIES</x:v>
      </x:c>
      <x:c r="N1144" s="87" t="str">
        <x:v>SHIRE HUMAN GENETIC THERAPIES INC (2014-04-14);;TAKEDA PHARMACEUTICAL COMPANY LIMITED (2021-02-26)</x:v>
      </x:c>
      <x:c r="O1144" s="87" t="str">
        <x:v>SUBSTRATE CLEARANCE ASSAYS FOR LYSOSOMAL ENZYMES</x:v>
      </x:c>
      <x:c r="P1144" s="109" t="n">
        <x:v>1</x:v>
      </x:c>
      <x:c r="Q1144" s="109" t="n">
        <x:v>17</x:v>
      </x:c>
      <x:c r="R1144" s="87" t="str">
        <x:v>G01N33/6893;;C12N9/16;;C12Y301/06;;C12Y301/06013;;G01N2800/7066;;G01N33/5038;;C12N9/16;;C12Q1/44;;C12Y301/06;;C12Y301/06013;;G01N33/60;;G01N33/6893;;G01N2333/916;;G01N2500/10;;G01N2800/7066</x:v>
      </x:c>
      <x:c r="S1144" s="87" t="str">
        <x:v>G01N33/50;;C12N9/16;;C12Q1/44;;G01N33/60</x:v>
      </x:c>
      <x:c r="T1144" s="87" t="str">
        <x:v>ACTIVE</x:v>
      </x:c>
      <x:c r="U1144" s="87" t="str">
        <x:v>https://lens.org/033-231-410-047-262</x:v>
      </x:c>
    </x:row>
    <x:row r="1145">
      <x:c r="A1145" s="87" t="str">
        <x:v>shire.csv</x:v>
      </x:c>
      <x:c r="B1145" s="87" t="str">
        <x:v>Shire</x:v>
      </x:c>
      <x:c r="C1145" s="87" t="str">
        <x:v>TRT-0045</x:v>
      </x:c>
      <x:c r="D1145" s="87" t="str">
        <x:v>Yes</x:v>
      </x:c>
      <x:c r="E1145" s="87" t="str">
        <x:v>shire</x:v>
      </x:c>
      <x:c r="F1145" s="87" t="str">
        <x:v>75</x:v>
      </x:c>
      <x:c r="G1145" s="87" t="str">
        <x:v>079-472-263-479-837</x:v>
      </x:c>
      <x:c r="H1145" s="110" t="n">
        <x:v>41347</x:v>
      </x:c>
      <x:c r="I1145" s="88" t="n">
        <x:v>2013</x:v>
      </x:c>
      <x:c r="J1145" s="87" t="str">
        <x:v>US</x:v>
      </x:c>
      <x:c r="K1145" s="87" t="str">
        <x:v>B2</x:v>
      </x:c>
      <x:c r="L1145" s="87" t="str">
        <x:v>US 9713626 B2</x:v>
      </x:c>
      <x:c r="M1145" s="87" t="str">
        <x:v>SHIRE HUMAN GENETIC THERAPIES;;ETHRIS GMBH;;RANA THERAPEUTICS INC</x:v>
      </x:c>
      <x:c r="N1145" s="87" t="str">
        <x:v>SHIRE HUMAN GENETIC THERAPIES INC (2014-07-14);;ETHRIS GMBH (2014-07-16);;TRANSLATE BIO INC (2016-12-16)</x:v>
      </x:c>
      <x:c r="O1145" s="87" t="str">
        <x:v>CFTR mRNA compositions and related methods and uses</x:v>
      </x:c>
      <x:c r="P1145" s="109" t="n">
        <x:v>23</x:v>
      </x:c>
      <x:c r="Q1145" s="109" t="n">
        <x:v>79</x:v>
      </x:c>
      <x:c r="R1145" s="87" t="str">
        <x:v>A61K31/7105;;C07K14/4712;;C12N15/88;;A61K48/005;;A61K31/7115;;A61K9/0078;;A61K9/5123;;A61K47/6935;;C12N15/63;;C07H21/02;;C07K14/705;;A61K31/713;;C12N9/14;;C12Y306/03049;;A61P11/00;;A61P43/00;;A61K9/0073;;A61K9/0078;;A61K9/127;;A61K9/1271;;A61K9/5123;;A61K31/7105;;A61K31/7115;;A61K31/713;;A61K47/6935;;A61K48/00;;A61K48/005;;C07H21/02;;C07K14/4712;;C07K14/705;;C12N9/14;;C12N15/63;;C12N15/88;;C12Y306/03049;;A61P11/00;;A61P43/00;;C07H21/04;;A61K47/543;;A61K47/6935;;A61K9/5123;;A61K9/0078;;A61K31/7105;;A61K31/7115;;A61K48/005;;C07K14/4712;;C12N15/88;;C07K14/705;;C12N15/63;;C12N15/63;;C07H21/02;;A61K9/127;;A61K31/7105;;C07K14/4712;;C12N15/88;;A61K48/005;;A61K31/7115;;A61K9/0078;;A61K9/5123;;A61K47/6935;;C07H21/04;;C07K14/705;;A61K9/0073;;A61K9/1271;;A61K31/713;;C12N9/14;;C12Y306/03049;;A61K48/00</x:v>
      </x:c>
      <x:c r="S1145" s="87" t="str">
        <x:v>A61K9/127;;A61K9/00;;A61K9/51;;A61K31/7105;;A61K31/7115;;A61K31/713;;A61K48/00;;C07H21/02;;C07H21/04;;C07K14/47;;C07K14/705;;C12N9/14;;C12N15/63;;C12N15/88</x:v>
      </x:c>
      <x:c r="T1145" s="87" t="str">
        <x:v>ACTIVE</x:v>
      </x:c>
      <x:c r="U1145" s="87" t="str">
        <x:v>https://lens.org/079-472-263-479-837</x:v>
      </x:c>
    </x:row>
    <x:row r="1146">
      <x:c r="A1146" s="87" t="str">
        <x:v>shire.csv</x:v>
      </x:c>
      <x:c r="B1146" s="87" t="str">
        <x:v>Shire</x:v>
      </x:c>
      <x:c r="C1146" s="87" t="str">
        <x:v>TRT-0045</x:v>
      </x:c>
      <x:c r="D1146" s="87" t="str">
        <x:v>Yes</x:v>
      </x:c>
      <x:c r="E1146" s="87" t="str">
        <x:v>shire</x:v>
      </x:c>
      <x:c r="F1146" s="87" t="str">
        <x:v>76</x:v>
      </x:c>
      <x:c r="G1146" s="87" t="str">
        <x:v>110-834-561-041-208</x:v>
      </x:c>
      <x:c r="H1146" s="110" t="n">
        <x:v>41870</x:v>
      </x:c>
      <x:c r="I1146" s="88" t="n">
        <x:v>2014</x:v>
      </x:c>
      <x:c r="J1146" s="87" t="str">
        <x:v>US</x:v>
      </x:c>
      <x:c r="K1146" s="87" t="str">
        <x:v>A1</x:v>
      </x:c>
      <x:c r="L1146" s="87" t="str">
        <x:v>US 2017/0202929 A1</x:v>
      </x:c>
      <x:c r="M1146" s="87" t="str">
        <x:v>SHIRE HUMAN GENETIC THERAPIES</x:v>
      </x:c>
      <x:c r="N1146" s="87" t="str">
        <x:v>SHIRE HUMAN GENETIC THERAPIES INC (2015-09-24)</x:v>
      </x:c>
      <x:c r="O1146" s="87" t="str">
        <x:v>LIPOPROTEIN LIPASE FOR TREATMENT OF HYPERTRIGLYCERIDEMIC-RELATED CONDITIONS INCLUDING ACUTE PANCREATITIS</x:v>
      </x:c>
      <x:c r="P1146" s="109" t="n">
        <x:v>0</x:v>
      </x:c>
      <x:c r="Q1146" s="109" t="n">
        <x:v>7</x:v>
      </x:c>
      <x:c r="R1146" s="87" t="str">
        <x:v>A61K38/465;;A61P3/06;;C12N9/20;;C12Y301/01034;;A61K38/465;;A61K9/0019;;A61K9/08;;A61K9/19;;C12N9/20;;C12Y301/01034</x:v>
      </x:c>
      <x:c r="S1146" s="87" t="str">
        <x:v>A61K38/46;;A61K9/00;;A61K9/08;;A61K9/19;;C12N9/20</x:v>
      </x:c>
      <x:c r="T1146" s="87" t="str">
        <x:v>DISCONTINUED</x:v>
      </x:c>
      <x:c r="U1146" s="87" t="str">
        <x:v>https://lens.org/110-834-561-041-208</x:v>
      </x:c>
    </x:row>
    <x:row r="1147">
      <x:c r="A1147" s="87" t="str">
        <x:v>shire.csv</x:v>
      </x:c>
      <x:c r="B1147" s="87" t="str">
        <x:v>Shire</x:v>
      </x:c>
      <x:c r="C1147" s="87" t="str">
        <x:v>TRT-0045</x:v>
      </x:c>
      <x:c r="D1147" s="87" t="str">
        <x:v>Yes</x:v>
      </x:c>
      <x:c r="E1147" s="87" t="str">
        <x:v>shire</x:v>
      </x:c>
      <x:c r="F1147" s="87" t="str">
        <x:v>77</x:v>
      </x:c>
      <x:c r="G1147" s="87" t="str">
        <x:v>093-742-112-489-987</x:v>
      </x:c>
      <x:c r="H1147" s="110" t="n">
        <x:v>40758</x:v>
      </x:c>
      <x:c r="I1147" s="88" t="n">
        <x:v>2011</x:v>
      </x:c>
      <x:c r="J1147" s="87" t="str">
        <x:v>US</x:v>
      </x:c>
      <x:c r="K1147" s="87" t="str">
        <x:v>B2</x:v>
      </x:c>
      <x:c r="L1147" s="87" t="str">
        <x:v>US 9676837 B2</x:v>
      </x:c>
      <x:c r="M1147" s="87" t="str">
        <x:v>VISWANATHAN MALINI;;DESOUZA MARK;;SHIRE HUMAN GENETIC THERAPIES</x:v>
      </x:c>
      <x:c r="N1147" s="87" t="str">
        <x:v>SHIRE HUMAN GENETIC THERAPIES INC (2014-09-10);;PHOENIX TISSUE REPAIR INC (2017-07-21)</x:v>
      </x:c>
      <x:c r="O1147" s="87" t="str">
        <x:v>Collagen 7 and related methods</x:v>
      </x:c>
      <x:c r="P1147" s="109" t="n">
        <x:v>10</x:v>
      </x:c>
      <x:c r="Q1147" s="109" t="n">
        <x:v>17</x:v>
      </x:c>
      <x:c r="R1147" s="87" t="str">
        <x:v>C07K14/78;;A61K38/00;;C12N9/1081;;C12N9/485;;C12N15/85;;C12N2800/22;;C12P21/02;;C12Y304/13009;;C07K14/78;;A61K38/00;;C12N9/0071;;C12N9/1048;;C12N9/1081;;C12N9/485;;C12N15/85;;C12N2800/22;;C12P21/02;;C12Y114/11002;;C12Y304/13009</x:v>
      </x:c>
      <x:c r="S1147" s="87" t="str">
        <x:v>C07K14/78;;A61K38/00;;C12N9/02;;C12N9/10;;C12N9/48;;C12N15/85;;C12P21/02</x:v>
      </x:c>
      <x:c r="T1147" s="87" t="str">
        <x:v>ACTIVE</x:v>
      </x:c>
      <x:c r="U1147" s="87" t="str">
        <x:v>https://lens.org/093-742-112-489-987</x:v>
      </x:c>
    </x:row>
    <x:row r="1148">
      <x:c r="A1148" s="87" t="str">
        <x:v>shire.csv</x:v>
      </x:c>
      <x:c r="B1148" s="87" t="str">
        <x:v>Shire</x:v>
      </x:c>
      <x:c r="C1148" s="87" t="str">
        <x:v>TRT-0045</x:v>
      </x:c>
      <x:c r="D1148" s="87" t="str">
        <x:v>Yes</x:v>
      </x:c>
      <x:c r="E1148" s="87" t="str">
        <x:v>shire</x:v>
      </x:c>
      <x:c r="F1148" s="87" t="str">
        <x:v>78</x:v>
      </x:c>
      <x:c r="G1148" s="87" t="str">
        <x:v>133-755-244-906-959</x:v>
      </x:c>
      <x:c r="H1148" s="110" t="n">
        <x:v>42291</x:v>
      </x:c>
      <x:c r="I1148" s="88" t="n">
        <x:v>2015</x:v>
      </x:c>
      <x:c r="J1148" s="87" t="str">
        <x:v>US</x:v>
      </x:c>
      <x:c r="K1148" s="87" t="str">
        <x:v>A1</x:v>
      </x:c>
      <x:c r="L1148" s="87" t="str">
        <x:v>US 2017/0159093 A1</x:v>
      </x:c>
      <x:c r="M1148" s="87" t="str">
        <x:v>SHIRE HUMAN GENETIC THERAPIES</x:v>
      </x:c>
      <x:c r="N1148" s="87" t="str">
        <x:v>SHIRE HUMAN GENETIC THERAPIES INC (2016-12-12);;TRANSLATE BIO INC (2016-12-16)</x:v>
      </x:c>
      <x:c r="O1148" s="87" t="str">
        <x:v>MODIFICATION OF RNA-RELATED ENZYMES FOR ENHANCED PRODUCTION</x:v>
      </x:c>
      <x:c r="P1148" s="109" t="n">
        <x:v>7</x:v>
      </x:c>
      <x:c r="Q1148" s="109" t="n">
        <x:v>25</x:v>
      </x:c>
      <x:c r="R1148" s="87" t="str">
        <x:v>C12P19/34;;C12N9/1241;;C12N15/70;;C12Y207/0705;;C07K2319/95;;C07K2319/35;;C12N9/1241;;C07K2319/35;;C12Y207/0705;;C12N15/62;;C12N9/1241;;C07K2319/35;;C12Y207/0705;;C07K14/47;;C07K2319/95;;C12N15/62;;C12P19/34</x:v>
      </x:c>
      <x:c r="S1148" s="87" t="str">
        <x:v>C12P19/34;;C07K14/47;;C12N9/12;;C12N15/62</x:v>
      </x:c>
      <x:c r="T1148" s="87" t="str">
        <x:v>ACTIVE</x:v>
      </x:c>
      <x:c r="U1148" s="87" t="str">
        <x:v>https://lens.org/133-755-244-906-959</x:v>
      </x:c>
    </x:row>
    <x:row r="1149">
      <x:c r="A1149" s="87" t="str">
        <x:v>shire.csv</x:v>
      </x:c>
      <x:c r="B1149" s="87" t="str">
        <x:v>Shire</x:v>
      </x:c>
      <x:c r="C1149" s="87" t="str">
        <x:v>TRT-0045</x:v>
      </x:c>
      <x:c r="D1149" s="87" t="str">
        <x:v>Yes</x:v>
      </x:c>
      <x:c r="E1149" s="87" t="str">
        <x:v>shire</x:v>
      </x:c>
      <x:c r="F1149" s="87" t="str">
        <x:v>79</x:v>
      </x:c>
      <x:c r="G1149" s="87" t="str">
        <x:v>186-682-178-223-735</x:v>
      </x:c>
      <x:c r="H1149" s="110" t="n">
        <x:v>41722</x:v>
      </x:c>
      <x:c r="I1149" s="88" t="n">
        <x:v>2014</x:v>
      </x:c>
      <x:c r="J1149" s="87" t="str">
        <x:v>US</x:v>
      </x:c>
      <x:c r="K1149" s="87" t="str">
        <x:v>A1</x:v>
      </x:c>
      <x:c r="L1149" s="87" t="str">
        <x:v>US 2017/0143848 A1</x:v>
      </x:c>
      <x:c r="M1149" s="87" t="str">
        <x:v>SHIRE HUMAN GENETIC THERAPIES</x:v>
      </x:c>
      <x:c r="N1149" s="87" t="str">
        <x:v>SHIRE HUMAN GENETIC THERAPIES INC (2015-06-02);;TRANSLATE BIO INC (2016-12-16)</x:v>
      </x:c>
      <x:c r="O1149" s="87" t="str">
        <x:v>MRNA THERAPY FOR THE TREATMENT OF OCULAR DISEASES</x:v>
      </x:c>
      <x:c r="P1149" s="109" t="n">
        <x:v>27</x:v>
      </x:c>
      <x:c r="Q1149" s="109" t="n">
        <x:v>24</x:v>
      </x:c>
      <x:c r="R1149" s="87" t="str">
        <x:v>A61K48/005;;A61K48/0075;;A61K48/0066;;A61K9/0048;;A61K9/127;;A61K9/51;;A61K48/005;;A61K48/0075</x:v>
      </x:c>
      <x:c r="S1149" s="87" t="str">
        <x:v>A61K48/00;;A61K9/00;;A61K9/127;;A61K9/51</x:v>
      </x:c>
      <x:c r="T1149" s="87" t="str">
        <x:v>DISCONTINUED</x:v>
      </x:c>
      <x:c r="U1149" s="87" t="str">
        <x:v>https://lens.org/186-682-178-223-735</x:v>
      </x:c>
    </x:row>
    <x:row r="1150">
      <x:c r="A1150" s="87" t="str">
        <x:v>shire.csv</x:v>
      </x:c>
      <x:c r="B1150" s="87" t="str">
        <x:v>Shire</x:v>
      </x:c>
      <x:c r="C1150" s="87" t="str">
        <x:v>TRT-0045</x:v>
      </x:c>
      <x:c r="D1150" s="87" t="str">
        <x:v>Yes</x:v>
      </x:c>
      <x:c r="E1150" s="87" t="str">
        <x:v>shire</x:v>
      </x:c>
      <x:c r="F1150" s="87" t="str">
        <x:v>80</x:v>
      </x:c>
      <x:c r="G1150" s="87" t="str">
        <x:v>058-296-386-485-856</x:v>
      </x:c>
      <x:c r="H1150" s="110" t="n">
        <x:v>41569</x:v>
      </x:c>
      <x:c r="I1150" s="88" t="n">
        <x:v>2013</x:v>
      </x:c>
      <x:c r="J1150" s="87" t="str">
        <x:v>US</x:v>
      </x:c>
      <x:c r="K1150" s="87" t="str">
        <x:v>B2</x:v>
      </x:c>
      <x:c r="L1150" s="87" t="str">
        <x:v>US 9629804 B2</x:v>
      </x:c>
      <x:c r="M1150" s="87" t="str">
        <x:v>SHIRE HUMAN GENETIC THERAPIES;;MASSACHUSETTS INST TECHNOLOGY</x:v>
      </x:c>
      <x:c r="N1150" s="87" t="str">
        <x:v>MASSACHUSETTS INSTITUTE OF TECHNOLOGY (2015-01-23);;SHIRE HUMAN GENETIC THERAPIES INC (2015-01-30);;TRANSLATE BIO INC (2016-12-16)</x:v>
      </x:c>
      <x:c r="O1150" s="87" t="str">
        <x:v>Lipid formulations for delivery of messenger RNA</x:v>
      </x:c>
      <x:c r="P1150" s="109" t="n">
        <x:v>61</x:v>
      </x:c>
      <x:c r="Q1150" s="109" t="n">
        <x:v>55</x:v>
      </x:c>
      <x:c r="R1150" s="87" t="str">
        <x:v>A61K9/0019;;A61K9/0073;;A61K9/12;;A61K9/1272;;A61K38/1709;;A61K38/177;;A61K38/4846;;A61K38/53;;A61K48/0033;;A61K48/005;;A61P7/04;;A61P25/02;;A61K48/0033;;A61K9/0019;;A61K9/0073;;A61K9/12;;A61K9/1272;;A61K38/1709;;A61K38/177;;A61K38/4846;;A61K38/53;;A61K48/005;;A61K9/1272;;A61K38/1709;;A61K38/177;;A61K38/4846;;A61K38/53;;A61K48/00;;A61K48/0033;;A61K48/005</x:v>
      </x:c>
      <x:c r="S1150" s="87" t="str">
        <x:v>A61K31/497;;A61K9/127;;A61K38/17;;A61K38/48;;A61K38/53;;A61K48/00</x:v>
      </x:c>
      <x:c r="T1150" s="87" t="str">
        <x:v>ACTIVE</x:v>
      </x:c>
      <x:c r="U1150" s="87" t="str">
        <x:v>https://lens.org/058-296-386-485-856</x:v>
      </x:c>
    </x:row>
    <x:row r="1151">
      <x:c r="A1151" s="87" t="str">
        <x:v>shire.csv</x:v>
      </x:c>
      <x:c r="B1151" s="87" t="str">
        <x:v>Shire</x:v>
      </x:c>
      <x:c r="C1151" s="87" t="str">
        <x:v>TRT-0045</x:v>
      </x:c>
      <x:c r="D1151" s="87" t="str">
        <x:v>Yes</x:v>
      </x:c>
      <x:c r="E1151" s="87" t="str">
        <x:v>shire</x:v>
      </x:c>
      <x:c r="F1151" s="87" t="str">
        <x:v>81</x:v>
      </x:c>
      <x:c r="G1151" s="87" t="str">
        <x:v>029-371-109-187-119</x:v>
      </x:c>
      <x:c r="H1151" s="110" t="n">
        <x:v>40702</x:v>
      </x:c>
      <x:c r="I1151" s="88" t="n">
        <x:v>2011</x:v>
      </x:c>
      <x:c r="J1151" s="87" t="str">
        <x:v>US</x:v>
      </x:c>
      <x:c r="K1151" s="87" t="str">
        <x:v>B2</x:v>
      </x:c>
      <x:c r="L1151" s="87" t="str">
        <x:v>US 9597413 B2</x:v>
      </x:c>
      <x:c r="M1151" s="87" t="str">
        <x:v>SHIRE HUMAN GENETIC THERAPIES</x:v>
      </x:c>
      <x:c r="N1151" s="87" t="str">
        <x:v>SHIRE HUMAN GENETIC THERAPIES INC (2014-07-09);;TRANSLATE BIO INC (2016-12-16)</x:v>
      </x:c>
      <x:c r="O1151" s="87" t="str">
        <x:v>Pulmonary delivery of mRNA</x:v>
      </x:c>
      <x:c r="P1151" s="109" t="n">
        <x:v>17</x:v>
      </x:c>
      <x:c r="Q1151" s="109" t="n">
        <x:v>120</x:v>
      </x:c>
      <x:c r="R1151" s="87" t="str">
        <x:v>A61K38/1816;;A61K38/57;;A61K48/00;;A61K31/713;;A61K9/0019;;A61K9/0073;;A61K9/1271;;A61K9/1272;;C07K14/505;;C07K14/8125;;C12N9/2465;;C12N9/644;;C12N15/52;;C12Y302/01022;;C12Y304/21022;;A61P1/16;;A61P3/00;;A61P5/00;;A61P7/06;;C12N15/88;;A61K48/0041;;A61K48/005;;A61K48/0083;;A61K9/0019;;A61K9/0073;;A61K9/1271;;A61K9/1272;;A61K9/5123;;A61K31/713;;A61K38/1816;;A61K38/47;;A61K38/4846;;A61K38/57;;A61K48/00;;A61K48/0008;;A61K48/0075;;A61K48/0091;;A61P1/16;;A61P3/00;;A61P5/00;;A61P7/06;;C07K14/505;;C07K14/8125;;C12N9/2465;;C12N9/644;;C12N15/52;;C12N15/85;;C12Y302/01022;;C12Y304/21022;;A61P43/00;;A61K48/0008;;A61K9/1271;;A61K38/1816;;A61K38/47;;A61K38/4846;;A61K38/57;;A61K48/00;;A61K31/713;;A61K9/0019;;A61K9/0073;;A61K9/1271;;A61K9/1272;;C07K14/505;;C07K14/8125;;C12N9/2465;;C12N9/644;;C12N15/52;;C12N15/85;;A61K48/0008;;A61K9/5123;;A61K48/0075;;A61K48/0091;;C12Y302/01022;;C12Y304/21022</x:v>
      </x:c>
      <x:c r="S1151" s="87" t="str">
        <x:v>C12N15/85;;A61K9/00;;A61K9/127;;A61K31/713;;A61K38/18;;A61K38/47;;A61K38/48;;A61K38/57;;A61K48/00;;C07K14/505;;C07K14/81;;C12N9/40;;C12N9/64;;C12N15/52</x:v>
      </x:c>
      <x:c r="T1151" s="87" t="str">
        <x:v>ACTIVE</x:v>
      </x:c>
      <x:c r="U1151" s="87" t="str">
        <x:v>https://lens.org/029-371-109-187-119</x:v>
      </x:c>
    </x:row>
    <x:row r="1152">
      <x:c r="A1152" s="87" t="str">
        <x:v>shire.csv</x:v>
      </x:c>
      <x:c r="B1152" s="87" t="str">
        <x:v>Shire</x:v>
      </x:c>
      <x:c r="C1152" s="87" t="str">
        <x:v>TRT-0045</x:v>
      </x:c>
      <x:c r="D1152" s="87" t="str">
        <x:v>Yes</x:v>
      </x:c>
      <x:c r="E1152" s="87" t="str">
        <x:v>shire</x:v>
      </x:c>
      <x:c r="F1152" s="87" t="str">
        <x:v>82</x:v>
      </x:c>
      <x:c r="G1152" s="87" t="str">
        <x:v>072-028-170-621-915</x:v>
      </x:c>
      <x:c r="H1152" s="110" t="n">
        <x:v>41569</x:v>
      </x:c>
      <x:c r="I1152" s="88" t="n">
        <x:v>2013</x:v>
      </x:c>
      <x:c r="J1152" s="87" t="str">
        <x:v>US</x:v>
      </x:c>
      <x:c r="K1152" s="87" t="str">
        <x:v>A1</x:v>
      </x:c>
      <x:c r="L1152" s="87" t="str">
        <x:v>US 2017/0073648 A1</x:v>
      </x:c>
      <x:c r="M1152" s="87" t="str">
        <x:v>SHIRE HUMAN GENETIC THERAPIES</x:v>
      </x:c>
      <x:c r="N1152" s="87" t="str">
        <x:v>SHIRE HUMAN GENETIC THERAPIES INC (2014-11-06);;TRANSLATE BIO INC (2016-12-16)</x:v>
      </x:c>
      <x:c r="O1152" s="87" t="str">
        <x:v>MRNA THERAPY FOR PHENYLKETONURIA</x:v>
      </x:c>
      <x:c r="P1152" s="109" t="n">
        <x:v>6</x:v>
      </x:c>
      <x:c r="Q1152" s="109" t="n">
        <x:v>22</x:v>
      </x:c>
      <x:c r="R1152" s="87" t="str">
        <x:v>A61K48/005;;A61P3/00;;A61P13/02;;A61P25/00;;A61K48/0033;;A61K48/005;;A61K38/44;;C12N9/0071;;C12Y114/16001;;A61P13/02;;A61P25/00;;A61P3/00;;A61K38/44;;A61K9/1272;;C12N9/0071;;A61K48/00;;C12Y114/16001;;A61K48/0033;;A61K48/005</x:v>
      </x:c>
      <x:c r="S1152" s="87" t="str">
        <x:v>C12N9/02;;A61K9/127</x:v>
      </x:c>
      <x:c r="T1152" s="87" t="str">
        <x:v>ACTIVE</x:v>
      </x:c>
      <x:c r="U1152" s="87" t="str">
        <x:v>https://lens.org/072-028-170-621-915</x:v>
      </x:c>
    </x:row>
    <x:row r="1153">
      <x:c r="A1153" s="87" t="str">
        <x:v>shire.csv</x:v>
      </x:c>
      <x:c r="B1153" s="87" t="str">
        <x:v>Shire</x:v>
      </x:c>
      <x:c r="C1153" s="87" t="str">
        <x:v>TRT-0045</x:v>
      </x:c>
      <x:c r="D1153" s="87" t="str">
        <x:v>Yes</x:v>
      </x:c>
      <x:c r="E1153" s="87" t="str">
        <x:v>shire</x:v>
      </x:c>
      <x:c r="F1153" s="87" t="str">
        <x:v>83</x:v>
      </x:c>
      <x:c r="G1153" s="87" t="str">
        <x:v>063-572-212-715-956</x:v>
      </x:c>
      <x:c r="H1153" s="110" t="n">
        <x:v>40702</x:v>
      </x:c>
      <x:c r="I1153" s="88" t="n">
        <x:v>2011</x:v>
      </x:c>
      <x:c r="J1153" s="87" t="str">
        <x:v>US</x:v>
      </x:c>
      <x:c r="K1153" s="87" t="str">
        <x:v>B2</x:v>
      </x:c>
      <x:c r="L1153" s="87" t="str">
        <x:v>US 9562904 B2</x:v>
      </x:c>
      <x:c r="M1153" s="87" t="str">
        <x:v>SHIRE HUMAN GENETIC THERAPIES</x:v>
      </x:c>
      <x:c r="N1153" s="87" t="str">
        <x:v>SHIRE HUMAN GENETIC THERAPIES INC (2015-07-01);;TAKEDA PHARMACEUTICAL COMPANY LIMITED (2021-02-26)</x:v>
      </x:c>
      <x:c r="O1153" s="87" t="str">
        <x:v>Competition based-detection assays</x:v>
      </x:c>
      <x:c r="P1153" s="109" t="n">
        <x:v>0</x:v>
      </x:c>
      <x:c r="Q1153" s="109" t="n">
        <x:v>13</x:v>
      </x:c>
      <x:c r="R1153" s="87" t="str">
        <x:v>G01N33/573;;G01N2333/42;;G01N2333/916;;G01N2400/10;;G01N33/573;;G01N2333/42;;G01N2333/914;;G01N2333/916;;G01N2400/10</x:v>
      </x:c>
      <x:c r="S1153" s="87" t="str">
        <x:v>G01N33/573</x:v>
      </x:c>
      <x:c r="T1153" s="87" t="str">
        <x:v>ACTIVE</x:v>
      </x:c>
      <x:c r="U1153" s="87" t="str">
        <x:v>https://lens.org/063-572-212-715-956</x:v>
      </x:c>
    </x:row>
    <x:row r="1154">
      <x:c r="A1154" s="87" t="str">
        <x:v>shire.csv</x:v>
      </x:c>
      <x:c r="B1154" s="87" t="str">
        <x:v>Shire</x:v>
      </x:c>
      <x:c r="C1154" s="87" t="str">
        <x:v>TRT-0045</x:v>
      </x:c>
      <x:c r="D1154" s="87" t="str">
        <x:v>Yes</x:v>
      </x:c>
      <x:c r="E1154" s="87" t="str">
        <x:v>shire</x:v>
      </x:c>
      <x:c r="F1154" s="87" t="str">
        <x:v>84</x:v>
      </x:c>
      <x:c r="G1154" s="87" t="str">
        <x:v>119-485-924-085-205</x:v>
      </x:c>
      <x:c r="H1154" s="110" t="n">
        <x:v>42082</x:v>
      </x:c>
      <x:c r="I1154" s="88" t="n">
        <x:v>2015</x:v>
      </x:c>
      <x:c r="J1154" s="87" t="str">
        <x:v>US</x:v>
      </x:c>
      <x:c r="K1154" s="87" t="str">
        <x:v>A1</x:v>
      </x:c>
      <x:c r="L1154" s="87" t="str">
        <x:v>US 2016/0324940 A1</x:v>
      </x:c>
      <x:c r="M1154" s="87" t="str">
        <x:v>SHIRE HUMAN GENETIC THERAPIES</x:v>
      </x:c>
      <x:c r="N1154" s="87" t="str">
        <x:v>SHIRE HUMAN GENETIC THERAPIES INC (2016-07-15);;TRANSLATE BIO INC (2016-12-16)</x:v>
      </x:c>
      <x:c r="O1154" s="87" t="str">
        <x:v>MRNA THERAPY FOR POMPE DISEASE</x:v>
      </x:c>
      <x:c r="P1154" s="109" t="n">
        <x:v>8</x:v>
      </x:c>
      <x:c r="Q1154" s="109" t="n">
        <x:v>25</x:v>
      </x:c>
      <x:c r="R1154" s="87" t="str">
        <x:v>A61K9/0019;;A61K9/127;;A61K9/1271;;A61K9/1272;;A61K31/7105;;C12Y302/0102;;C12N9/2465;;A61K38/47;;A61K47/22;;A61P1/16;;A61P21/00;;A61P3/00;;A61P39/02;;A61P9/00;;A61K9/0019;;A61K9/127;;A61K9/1271;;A61K9/1272;;A61K31/7105;;C12Y302/0102;;C12N9/2465;;A61K48/0058;;A61K38/47;;A61K47/22;;A61K48/0033</x:v>
      </x:c>
      <x:c r="S1154" s="87" t="str">
        <x:v>A61K38/47;;A61K9/00;;A61K9/127;;A61K47/22;;A61K48/00</x:v>
      </x:c>
      <x:c r="T1154" s="87" t="str">
        <x:v>ACTIVE</x:v>
      </x:c>
      <x:c r="U1154" s="87" t="str">
        <x:v>https://lens.org/119-485-924-085-205</x:v>
      </x:c>
    </x:row>
    <x:row r="1155">
      <x:c r="A1155" s="87" t="str">
        <x:v>shire.csv</x:v>
      </x:c>
      <x:c r="B1155" s="87" t="str">
        <x:v>Shire</x:v>
      </x:c>
      <x:c r="C1155" s="87" t="str">
        <x:v>TRT-0045</x:v>
      </x:c>
      <x:c r="D1155" s="87" t="str">
        <x:v>Yes</x:v>
      </x:c>
      <x:c r="E1155" s="87" t="str">
        <x:v>shire</x:v>
      </x:c>
      <x:c r="F1155" s="87" t="str">
        <x:v>85</x:v>
      </x:c>
      <x:c r="G1155" s="87" t="str">
        <x:v>087-234-985-671-624</x:v>
      </x:c>
      <x:c r="H1155" s="110" t="n">
        <x:v>41569</x:v>
      </x:c>
      <x:c r="I1155" s="88" t="n">
        <x:v>2013</x:v>
      </x:c>
      <x:c r="J1155" s="87" t="str">
        <x:v>EP</x:v>
      </x:c>
      <x:c r="K1155" s="87" t="str">
        <x:v>A1</x:v>
      </x:c>
      <x:c r="L1155" s="87" t="str">
        <x:v>EP 3060303 A1</x:v>
      </x:c>
      <x:c r="M1155" s="87" t="str">
        <x:v>SHIRE HUMAN GENETIC THERAPIES</x:v>
      </x:c>
      <x:c r="N1155" s="87" t="str">
        <x:v>SHIRE HUMAN GENETIC THERAPIES, INC. (2016-11-23);;TRANSLATE BIO, INC. (2018-06-27)</x:v>
      </x:c>
      <x:c r="O1155" s="87" t="str">
        <x:v>MRNA THERAPY FOR ARGININOSUCCINATE SYNTHETASE DEFICIENCY</x:v>
      </x:c>
      <x:c r="P1155" s="109" t="n">
        <x:v>1</x:v>
      </x:c>
      <x:c r="Q1155" s="109" t="n">
        <x:v>30</x:v>
      </x:c>
      <x:c r="R1155" s="87" t="str">
        <x:v>A61K31/7105;;A61K9/5123;;A61K48/005;;A61K38/53;;C12N9/93;;A61K9/1272;;C12Y603/04005;;A61P3/00;;A61K38/53;;C12N9/93;;A61K9/1272;;A61K48/00;;C12Y603/04005;;A61K9/5123;;A61K31/7105;;A61K48/005</x:v>
      </x:c>
      <x:c r="S1155" s="87" t="str">
        <x:v>A61P3/00;;A61K9/127;;A61K31/7105;;A61K48/00</x:v>
      </x:c>
      <x:c r="T1155" s="87" t="str">
        <x:v>INACTIVE</x:v>
      </x:c>
      <x:c r="U1155" s="87" t="str">
        <x:v>https://lens.org/087-234-985-671-624</x:v>
      </x:c>
    </x:row>
    <x:row r="1156">
      <x:c r="A1156" s="87" t="str">
        <x:v>shire.csv</x:v>
      </x:c>
      <x:c r="B1156" s="87" t="str">
        <x:v>Shire</x:v>
      </x:c>
      <x:c r="C1156" s="87" t="str">
        <x:v>TRT-0045</x:v>
      </x:c>
      <x:c r="D1156" s="87" t="str">
        <x:v>Yes</x:v>
      </x:c>
      <x:c r="E1156" s="87" t="str">
        <x:v>shire</x:v>
      </x:c>
      <x:c r="F1156" s="87" t="str">
        <x:v>86</x:v>
      </x:c>
      <x:c r="G1156" s="87" t="str">
        <x:v>155-667-546-191-643</x:v>
      </x:c>
      <x:c r="H1156" s="110" t="n">
        <x:v>41569</x:v>
      </x:c>
      <x:c r="I1156" s="88" t="n">
        <x:v>2013</x:v>
      </x:c>
      <x:c r="J1156" s="87" t="str">
        <x:v>EP</x:v>
      </x:c>
      <x:c r="K1156" s="87" t="str">
        <x:v>A1</x:v>
      </x:c>
      <x:c r="L1156" s="87" t="str">
        <x:v>EP 3060671 A1</x:v>
      </x:c>
      <x:c r="M1156" s="87" t="str">
        <x:v>SHIRE HUMAN GENETIC THERAPIES</x:v>
      </x:c>
      <x:c r="N1156" s="87" t="str">
        <x:v>SHIRE HUMAN GENETIC THERAPIES, INC. (2016-11-23);;TRANSLATE BIO, INC. (2022-06-22)</x:v>
      </x:c>
      <x:c r="O1156" s="87" t="str">
        <x:v>CNS DELIVERY OF MRNA AND USES THEREOF</x:v>
      </x:c>
      <x:c r="P1156" s="109" t="n">
        <x:v>2</x:v>
      </x:c>
      <x:c r="Q1156" s="109" t="n">
        <x:v>29</x:v>
      </x:c>
      <x:c r="R1156" s="87" t="str">
        <x:v>A61K38/1709;;A61P21/00;;A61P25/00;;A61P25/28;;A61P43/00;;C12N15/88;;A61K9/1272;;A61K38/1709;;A61K48/0033;;A61K48/005;;A61P25/00;;C07H21/02;;C12N15/88</x:v>
      </x:c>
      <x:c r="S1156" s="87" t="str">
        <x:v>C12N15/88;;A61K38/00</x:v>
      </x:c>
      <x:c r="T1156" s="87" t="str">
        <x:v>ACTIVE</x:v>
      </x:c>
      <x:c r="U1156" s="87" t="str">
        <x:v>https://lens.org/155-667-546-191-643</x:v>
      </x:c>
    </x:row>
    <x:row r="1157">
      <x:c r="A1157" s="87" t="str">
        <x:v>shire.csv</x:v>
      </x:c>
      <x:c r="B1157" s="87" t="str">
        <x:v>Shire</x:v>
      </x:c>
      <x:c r="C1157" s="87" t="str">
        <x:v>TRT-0045</x:v>
      </x:c>
      <x:c r="D1157" s="87" t="str">
        <x:v>Yes</x:v>
      </x:c>
      <x:c r="E1157" s="87" t="str">
        <x:v>shire</x:v>
      </x:c>
      <x:c r="F1157" s="87" t="str">
        <x:v>87</x:v>
      </x:c>
      <x:c r="G1157" s="87" t="str">
        <x:v>001-310-444-659-376</x:v>
      </x:c>
      <x:c r="H1157" s="110" t="n">
        <x:v>41347</x:v>
      </x:c>
      <x:c r="I1157" s="88" t="n">
        <x:v>2013</x:v>
      </x:c>
      <x:c r="J1157" s="87" t="str">
        <x:v>EP</x:v>
      </x:c>
      <x:c r="K1157" s="87" t="str">
        <x:v>A4</x:v>
      </x:c>
      <x:c r="L1157" s="87" t="str">
        <x:v>EP 2968308 A4</x:v>
      </x:c>
      <x:c r="M1157" s="87" t="str">
        <x:v>SHIRE HUMAN GENETIC THERAPIES</x:v>
      </x:c>
      <x:c r="N1157" s="87" t="str">
        <x:v>SHIRE HUMAN GENETIC THERAPIES, INC. (2016-11-23)</x:v>
      </x:c>
      <x:c r="O1157" s="87" t="str">
        <x:v>METHODS OF TREATING B2-BRADYKININ RECEPTOR MEDIATED ANGIOEDEMA</x:v>
      </x:c>
      <x:c r="P1157" s="109" t="n">
        <x:v>0</x:v>
      </x:c>
      <x:c r="Q1157" s="109" t="n">
        <x:v>14</x:v>
      </x:c>
      <x:c r="R1157" s="87" t="str">
        <x:v>A61K31/4709;;A61K9/0053;;A61K9/14;;A61K9/1652;;A61K31/185;;A61K31/47;;A61K45/06;;A61K47/10;;A61K47/22;;A61P7/10;;A61P9/00;;A61P17/00;;A61K31/4709;;A61K9/0053;;A61K9/10;;A61K9/14;;A61K9/1652;;A61K31/185;;A61K31/47;;A61K45/06;;A61K47/10;;A61K47/22;;A61K47/38</x:v>
      </x:c>
      <x:c r="S1157" s="87" t="str">
        <x:v>A61K31/47;;A61P17/00;;C07D413/00</x:v>
      </x:c>
      <x:c r="T1157" s="87" t="str">
        <x:v>DISCONTINUED</x:v>
      </x:c>
      <x:c r="U1157" s="87" t="str">
        <x:v>https://lens.org/001-310-444-659-376</x:v>
      </x:c>
    </x:row>
    <x:row r="1158">
      <x:c r="A1158" s="87" t="str">
        <x:v>shire.csv</x:v>
      </x:c>
      <x:c r="B1158" s="87" t="str">
        <x:v>Shire</x:v>
      </x:c>
      <x:c r="C1158" s="87" t="str">
        <x:v>TRT-0045</x:v>
      </x:c>
      <x:c r="D1158" s="87" t="str">
        <x:v>Yes</x:v>
      </x:c>
      <x:c r="E1158" s="87" t="str">
        <x:v>shire</x:v>
      </x:c>
      <x:c r="F1158" s="87" t="str">
        <x:v>88</x:v>
      </x:c>
      <x:c r="G1158" s="87" t="str">
        <x:v>153-847-202-514-82X</x:v>
      </x:c>
      <x:c r="H1158" s="110" t="n">
        <x:v>40940</x:v>
      </x:c>
      <x:c r="I1158" s="88" t="n">
        <x:v>2012</x:v>
      </x:c>
      <x:c r="J1158" s="87" t="str">
        <x:v>EP</x:v>
      </x:c>
      <x:c r="K1158" s="87" t="str">
        <x:v>A4</x:v>
      </x:c>
      <x:c r="L1158" s="87" t="str">
        <x:v>EP 2809796 A4</x:v>
      </x:c>
      <x:c r="M1158" s="87" t="str">
        <x:v>SHIRE HUMAN GENETIC THERAPIES</x:v>
      </x:c>
      <x:c r="N1158" s="87" t="str">
        <x:v>SHIRE HUMAN GENETIC THERAPIES, INC. (2016-11-23)</x:v>
      </x:c>
      <x:c r="O1158" s="87" t="str">
        <x:v>ASSAYS FOR DETECTION OF GLYCOSAMINOGLYCANS</x:v>
      </x:c>
      <x:c r="P1158" s="109" t="n">
        <x:v>0</x:v>
      </x:c>
      <x:c r="Q1158" s="109" t="n">
        <x:v>6</x:v>
      </x:c>
      <x:c r="R1158" s="87" t="str">
        <x:v>C12Q1/37;;G01N2400/40;;C12Q1/37;;G01N2400/40;;G01N2500/20;;G01N2800/04</x:v>
      </x:c>
      <x:c r="S1158" s="87" t="str">
        <x:v>C12Q1/56;;C08B37/10</x:v>
      </x:c>
      <x:c r="T1158" s="87" t="str">
        <x:v>DISCONTINUED</x:v>
      </x:c>
      <x:c r="U1158" s="87" t="str">
        <x:v>https://lens.org/153-847-202-514-82X</x:v>
      </x:c>
    </x:row>
    <x:row r="1159">
      <x:c r="A1159" s="87" t="str">
        <x:v>shire.csv</x:v>
      </x:c>
      <x:c r="B1159" s="87" t="str">
        <x:v>Shire</x:v>
      </x:c>
      <x:c r="C1159" s="87" t="str">
        <x:v>TRT-0045</x:v>
      </x:c>
      <x:c r="D1159" s="87" t="str">
        <x:v>Yes</x:v>
      </x:c>
      <x:c r="E1159" s="87" t="str">
        <x:v>shire</x:v>
      </x:c>
      <x:c r="F1159" s="87" t="str">
        <x:v>89</x:v>
      </x:c>
      <x:c r="G1159" s="87" t="str">
        <x:v>046-516-130-901-584</x:v>
      </x:c>
      <x:c r="H1159" s="110" t="n">
        <x:v>41347</x:v>
      </x:c>
      <x:c r="I1159" s="88" t="n">
        <x:v>2013</x:v>
      </x:c>
      <x:c r="J1159" s="87" t="str">
        <x:v>US</x:v>
      </x:c>
      <x:c r="K1159" s="87" t="str">
        <x:v>A1</x:v>
      </x:c>
      <x:c r="L1159" s="87" t="str">
        <x:v>US 2016/0184458 A1</x:v>
      </x:c>
      <x:c r="M1159" s="87" t="str">
        <x:v>SHIRE HUMAN GENETIC THERAPIES</x:v>
      </x:c>
      <x:c r="N1159" s="87" t="str">
        <x:v>SHIRE HUMAN GENETIC THERAPIES INC (2014-05-14);;TRANSLATE BIO INC (2016-12-16)</x:v>
      </x:c>
      <x:c r="O1159" s="87" t="str">
        <x:v>MRNA THERAPEUTIC COMPOSITIONS AND USE TO TREAT DISEASES AND DISORDERS</x:v>
      </x:c>
      <x:c r="P1159" s="109" t="n">
        <x:v>43</x:v>
      </x:c>
      <x:c r="Q1159" s="109" t="n">
        <x:v>8</x:v>
      </x:c>
      <x:c r="R1159" s="87" t="str">
        <x:v>A61K48/0075;;C07K2319/30;;C12N15/00;;C12N15/88;;A61K48/0075;;A61K48/0033;;A61K48/005;;A61K48/0066;;C07K2319/30;;C12N15/00;;C12N15/88</x:v>
      </x:c>
      <x:c r="S1159" s="87" t="str">
        <x:v>A61K48/00</x:v>
      </x:c>
      <x:c r="T1159" s="87" t="str">
        <x:v>DISCONTINUED</x:v>
      </x:c>
      <x:c r="U1159" s="87" t="str">
        <x:v>https://lens.org/046-516-130-901-584</x:v>
      </x:c>
    </x:row>
    <x:row r="1160">
      <x:c r="A1160" s="87" t="str">
        <x:v>shire.csv</x:v>
      </x:c>
      <x:c r="B1160" s="87" t="str">
        <x:v>Shire</x:v>
      </x:c>
      <x:c r="C1160" s="87" t="str">
        <x:v>TRT-0045</x:v>
      </x:c>
      <x:c r="D1160" s="87" t="str">
        <x:v>Yes</x:v>
      </x:c>
      <x:c r="E1160" s="87" t="str">
        <x:v>shire</x:v>
      </x:c>
      <x:c r="F1160" s="87" t="str">
        <x:v>90</x:v>
      </x:c>
      <x:c r="G1160" s="87" t="str">
        <x:v>102-420-214-961-771</x:v>
      </x:c>
      <x:c r="H1160" s="110" t="n">
        <x:v>41978</x:v>
      </x:c>
      <x:c r="I1160" s="88" t="n">
        <x:v>2014</x:v>
      </x:c>
      <x:c r="J1160" s="87" t="str">
        <x:v>US</x:v>
      </x:c>
      <x:c r="K1160" s="87" t="str">
        <x:v>A1</x:v>
      </x:c>
      <x:c r="L1160" s="87" t="str">
        <x:v>US 2016/0158354 A1</x:v>
      </x:c>
      <x:c r="M1160" s="87" t="str">
        <x:v>SHIRE HUMAN GENETIC THERAPIES</x:v>
      </x:c>
      <x:c r="N1160" s="87" t="str">
        <x:v>SHIRE HUMAN GENETIC THERAPIES INC (2016-02-12);;TRANSLATE BIO INC (2016-12-16)</x:v>
      </x:c>
      <x:c r="O1160" s="87" t="str">
        <x:v>Messenger RNA Therapy for Treatment of Articular Disease</x:v>
      </x:c>
      <x:c r="P1160" s="109" t="n">
        <x:v>13</x:v>
      </x:c>
      <x:c r="Q1160" s="109" t="n">
        <x:v>20</x:v>
      </x:c>
      <x:c r="R1160" s="87" t="str">
        <x:v>A61K38/177;;A61K48/0025;;A61K48/005;;A61P3/00;;A61P17/06;;A61P19/02;;A61P19/04;;A61P19/06;;A61P29/00;;C07K16/00;;A61K39/3955;;A61K9/1272;;A61K38/177;;A61K48/00;;A61K48/0025;;A61K48/005;;A61K48/0075;;C07K16/00</x:v>
      </x:c>
      <x:c r="S1160" s="87" t="str">
        <x:v>A61K39/395;;A61K9/127;;A61K38/17</x:v>
      </x:c>
      <x:c r="T1160" s="87" t="str">
        <x:v>ACTIVE</x:v>
      </x:c>
      <x:c r="U1160" s="87" t="str">
        <x:v>https://lens.org/102-420-214-961-771</x:v>
      </x:c>
    </x:row>
    <x:row r="1161">
      <x:c r="A1161" s="87" t="str">
        <x:v>shire.csv</x:v>
      </x:c>
      <x:c r="B1161" s="87" t="str">
        <x:v>Shire</x:v>
      </x:c>
      <x:c r="C1161" s="87" t="str">
        <x:v>TRT-0045</x:v>
      </x:c>
      <x:c r="D1161" s="87" t="str">
        <x:v>Yes</x:v>
      </x:c>
      <x:c r="E1161" s="87" t="str">
        <x:v>shire</x:v>
      </x:c>
      <x:c r="F1161" s="87" t="str">
        <x:v>91</x:v>
      </x:c>
      <x:c r="G1161" s="87" t="str">
        <x:v>071-786-612-145-562</x:v>
      </x:c>
      <x:c r="H1161" s="110" t="n">
        <x:v>41348</x:v>
      </x:c>
      <x:c r="I1161" s="88" t="n">
        <x:v>2013</x:v>
      </x:c>
      <x:c r="J1161" s="87" t="str">
        <x:v>US</x:v>
      </x:c>
      <x:c r="K1161" s="87" t="str">
        <x:v>A1</x:v>
      </x:c>
      <x:c r="L1161" s="87" t="str">
        <x:v>US 2016/0151409 A1</x:v>
      </x:c>
      <x:c r="M1161" s="87" t="str">
        <x:v>SHIRE HUMAN GENETIC THERAPIES</x:v>
      </x:c>
      <x:c r="N1161" s="87" t="str">
        <x:v>SHIRE HUMAN GENETIC THERAPIES INC (2014-05-30);;TRANSLATE BIO INC (2016-12-16)</x:v>
      </x:c>
      <x:c r="O1161" s="87" t="str">
        <x:v>SYNERGISTIC ENHANCEMENT OF THE DELIVERY OF NUCLEIC ACIDS VIA BLENDED FORMULATIONS</x:v>
      </x:c>
      <x:c r="P1161" s="109" t="n">
        <x:v>49</x:v>
      </x:c>
      <x:c r="Q1161" s="109" t="n">
        <x:v>38</x:v>
      </x:c>
      <x:c r="R1161" s="87" t="str">
        <x:v>A61K9/0019;;A61K9/0085;;A61K9/1271;;A61K9/1272;;A61K48/0025;;A61K48/0033;;A61K31/7105;;G01N33/543;;A61K9/0019;;A61K9/0085;;A61K9/1271;;A61K9/1272;;A61K48/0025;;A61K48/0033;;A61K9/145;;A61K9/146;;A61K31/7105</x:v>
      </x:c>
      <x:c r="S1161" s="87" t="str">
        <x:v>A61K31/7105;;A61K9/14</x:v>
      </x:c>
      <x:c r="T1161" s="87" t="str">
        <x:v>ACTIVE</x:v>
      </x:c>
      <x:c r="U1161" s="87" t="str">
        <x:v>https://lens.org/071-786-612-145-562</x:v>
      </x:c>
    </x:row>
    <x:row r="1162">
      <x:c r="A1162" s="87" t="str">
        <x:v>shire.csv</x:v>
      </x:c>
      <x:c r="B1162" s="87" t="str">
        <x:v>Shire</x:v>
      </x:c>
      <x:c r="C1162" s="87" t="str">
        <x:v>TRT-0045</x:v>
      </x:c>
      <x:c r="D1162" s="87" t="str">
        <x:v>Yes</x:v>
      </x:c>
      <x:c r="E1162" s="87" t="str">
        <x:v>shire</x:v>
      </x:c>
      <x:c r="F1162" s="87" t="str">
        <x:v>92</x:v>
      </x:c>
      <x:c r="G1162" s="87" t="str">
        <x:v>151-932-573-220-541</x:v>
      </x:c>
      <x:c r="H1162" s="110" t="n">
        <x:v>41943</x:v>
      </x:c>
      <x:c r="I1162" s="88" t="n">
        <x:v>2014</x:v>
      </x:c>
      <x:c r="J1162" s="87" t="str">
        <x:v>US</x:v>
      </x:c>
      <x:c r="K1162" s="87" t="str">
        <x:v>A1</x:v>
      </x:c>
      <x:c r="L1162" s="87" t="str">
        <x:v>US 2016/0130324 A1</x:v>
      </x:c>
      <x:c r="M1162" s="87" t="str">
        <x:v>SHIRE HUMAN GENETIC THERAPIES</x:v>
      </x:c>
      <x:c r="N1162" s="87" t="str">
        <x:v>SHIRE HUMAN GENETIC THERAPIES INC (2016-04-12)</x:v>
      </x:c>
      <x:c r="O1162" s="87" t="str">
        <x:v>C1 Inhibitor Fusion Proteins and Uses Thereof</x:v>
      </x:c>
      <x:c r="P1162" s="109" t="n">
        <x:v>3</x:v>
      </x:c>
      <x:c r="Q1162" s="109" t="n">
        <x:v>23</x:v>
      </x:c>
      <x:c r="R1162" s="87" t="str">
        <x:v>C07K14/8121;;C07K14/765;;C07K2319/00;;C07K2319/30;;C07K2319/31;;C07K14/8121;;A61P7/10;;A61P9/00;;A61P17/02;;A61P21/04;;A61P25/00;;A61P25/16;;A61P27/02;;A61P37/06;;A61P43/00;;C07K2317/52;;C07K2319/00;;C07K2319/31;;C07K14/70535;;A61K38/1774;;A61K38/385;;A61K38/55;;A61K47/6803;;C07K14/765;;C07K2317/52;;C07K2319/00;;C07K2319/30;;C07K2319/31;;C07K14/8121;;C07K14/765;;C07K2317/52;;C07K2319/00;;C07K2319/30;;C07K2319/31</x:v>
      </x:c>
      <x:c r="S1162" s="87" t="str">
        <x:v>C07K14/81;;C07K14/765</x:v>
      </x:c>
      <x:c r="T1162" s="87" t="str">
        <x:v>DISCONTINUED</x:v>
      </x:c>
      <x:c r="U1162" s="87" t="str">
        <x:v>https://lens.org/151-932-573-220-541</x:v>
      </x:c>
    </x:row>
    <x:row r="1163">
      <x:c r="A1163" s="87" t="str">
        <x:v>shire.csv</x:v>
      </x:c>
      <x:c r="B1163" s="87" t="str">
        <x:v>Shire</x:v>
      </x:c>
      <x:c r="C1163" s="87" t="str">
        <x:v>TRT-0045</x:v>
      </x:c>
      <x:c r="D1163" s="87" t="str">
        <x:v>Yes</x:v>
      </x:c>
      <x:c r="E1163" s="87" t="str">
        <x:v>shire</x:v>
      </x:c>
      <x:c r="F1163" s="87" t="str">
        <x:v>93</x:v>
      </x:c>
      <x:c r="G1163" s="87" t="str">
        <x:v>080-740-945-161-467</x:v>
      </x:c>
      <x:c r="H1163" s="110" t="n">
        <x:v>41438</x:v>
      </x:c>
      <x:c r="I1163" s="88" t="n">
        <x:v>2013</x:v>
      </x:c>
      <x:c r="J1163" s="87" t="str">
        <x:v>US</x:v>
      </x:c>
      <x:c r="K1163" s="87" t="str">
        <x:v>A1</x:v>
      </x:c>
      <x:c r="L1163" s="87" t="str">
        <x:v>US 2016/0122727 A1</x:v>
      </x:c>
      <x:c r="M1163" s="87" t="str">
        <x:v>SHIRE HUMAN GENETIC THERAPIES</x:v>
      </x:c>
      <x:c r="N1163" s="87" t="str">
        <x:v>SHIRE HUMAN GENETIC THERAPIES INC (2015-11-13);;TRANSLATE BIO INC (2016-12-16)</x:v>
      </x:c>
      <x:c r="O1163" s="87" t="str">
        <x:v>MESSENGER RNA BASED VIRAL PRODUCTION</x:v>
      </x:c>
      <x:c r="P1163" s="109" t="n">
        <x:v>13</x:v>
      </x:c>
      <x:c r="Q1163" s="109" t="n">
        <x:v>6</x:v>
      </x:c>
      <x:c r="R1163" s="87" t="str">
        <x:v>C12N15/86;;A61K38/43;;A61K48/00;;C12N2740/15052;;C12N2750/14152;;C12N7/00;;A61K35/76;;A61K38/43;;A61K48/00;;C12N15/86;;C12N2740/10033;;C12N2740/10041;;C12N2740/10052;;C12N2740/15052;;C12N2750/14133;;C12N2750/14141;;C12N2750/14152;;C12N2800/40;;C12N2999/007</x:v>
      </x:c>
      <x:c r="S1163" s="87" t="str">
        <x:v>C12N7/00;;A61K35/76;;A61K38/43;;C12N15/86</x:v>
      </x:c>
      <x:c r="T1163" s="87" t="str">
        <x:v>DISCONTINUED</x:v>
      </x:c>
      <x:c r="U1163" s="87" t="str">
        <x:v>https://lens.org/080-740-945-161-467</x:v>
      </x:c>
    </x:row>
    <x:row r="1164">
      <x:c r="A1164" s="87" t="str">
        <x:v>shire.csv</x:v>
      </x:c>
      <x:c r="B1164" s="87" t="str">
        <x:v>Shire</x:v>
      </x:c>
      <x:c r="C1164" s="87" t="str">
        <x:v>TRT-0045</x:v>
      </x:c>
      <x:c r="D1164" s="87" t="str">
        <x:v>Yes</x:v>
      </x:c>
      <x:c r="E1164" s="87" t="str">
        <x:v>shire</x:v>
      </x:c>
      <x:c r="F1164" s="87" t="str">
        <x:v>94</x:v>
      </x:c>
      <x:c r="G1164" s="87" t="str">
        <x:v>016-067-062-479-262</x:v>
      </x:c>
      <x:c r="H1164" s="110" t="n">
        <x:v>40997</x:v>
      </x:c>
      <x:c r="I1164" s="88" t="n">
        <x:v>2012</x:v>
      </x:c>
      <x:c r="J1164" s="87" t="str">
        <x:v>EP</x:v>
      </x:c>
      <x:c r="K1164" s="87" t="str">
        <x:v>A4</x:v>
      </x:c>
      <x:c r="L1164" s="87" t="str">
        <x:v>EP 2830596 A4</x:v>
      </x:c>
      <x:c r="M1164" s="87" t="str">
        <x:v>SHIRE HUMAN GENETIC THERAPIES</x:v>
      </x:c>
      <x:c r="N1164" s="87" t="str">
        <x:v>SHIRE HUMAN GENETIC THERAPIES, INC. (2016-11-23);;TRANSLATE BIO, INC. (2018-06-27)</x:v>
      </x:c>
      <x:c r="O1164" s="87" t="str">
        <x:v>LIPID-DERIVED NEUTRAL NANOPARTICLES</x:v>
      </x:c>
      <x:c r="P1164" s="109" t="n">
        <x:v>0</x:v>
      </x:c>
      <x:c r="Q1164" s="109" t="n">
        <x:v>29</x:v>
      </x:c>
      <x:c r="R1164" s="87" t="str">
        <x:v>A61K9/1277;;A61K9/1271;;A61K9/1272;;A61K38/44;;C12N15/111;;C12N2310/11;;C12N2310/14;;C12N2310/141;;C12N2310/16;;C12N2310/3515;;C12N2320/32;;C12Y113/12007;;A61K9/1277;;A61K9/1271;;A61K9/1272;;A61K38/44;;A61K47/28;;A61K48/00;;C12N15/111;;C12N2310/11;;C12N2310/14;;C12N2310/141;;C12N2310/16;;C12N2310/3515;;C12N2320/32;;C12Y113/12007</x:v>
      </x:c>
      <x:c r="S1164" s="87" t="str">
        <x:v>A61K9/127;;C12N15/11;;C12N15/88;;G01N33/92</x:v>
      </x:c>
      <x:c r="T1164" s="87" t="str">
        <x:v>ACTIVE</x:v>
      </x:c>
      <x:c r="U1164" s="87" t="str">
        <x:v>https://lens.org/016-067-062-479-262</x:v>
      </x:c>
    </x:row>
    <x:row r="1165">
      <x:c r="A1165" s="87" t="str">
        <x:v>shire.csv</x:v>
      </x:c>
      <x:c r="B1165" s="87" t="str">
        <x:v>Shire</x:v>
      </x:c>
      <x:c r="C1165" s="87" t="str">
        <x:v>TRT-0045</x:v>
      </x:c>
      <x:c r="D1165" s="87" t="str">
        <x:v>Yes</x:v>
      </x:c>
      <x:c r="E1165" s="87" t="str">
        <x:v>shire</x:v>
      </x:c>
      <x:c r="F1165" s="87" t="str">
        <x:v>95</x:v>
      </x:c>
      <x:c r="G1165" s="87" t="str">
        <x:v>098-594-420-945-93X</x:v>
      </x:c>
      <x:c r="H1165" s="110" t="n">
        <x:v>41822</x:v>
      </x:c>
      <x:c r="I1165" s="88" t="n">
        <x:v>2014</x:v>
      </x:c>
      <x:c r="J1165" s="87" t="str">
        <x:v>US</x:v>
      </x:c>
      <x:c r="K1165" s="87" t="str">
        <x:v>A1</x:v>
      </x:c>
      <x:c r="L1165" s="87" t="str">
        <x:v>US 2016/0038432 A1</x:v>
      </x:c>
      <x:c r="M1165" s="87" t="str">
        <x:v>SHIRE HUMAN GENETIC THERAPIES</x:v>
      </x:c>
      <x:c r="N1165" s="87" t="str">
        <x:v>SHIRE HUMAN GENETIC THERAPIES INC (2015-09-10);;TRANSLATE BIO INC (2016-12-16)</x:v>
      </x:c>
      <x:c r="O1165" s="87" t="str">
        <x:v>ENCAPSULATION OF MESSENGER RNA</x:v>
      </x:c>
      <x:c r="P1165" s="109" t="n">
        <x:v>81</x:v>
      </x:c>
      <x:c r="Q1165" s="109" t="n">
        <x:v>30</x:v>
      </x:c>
      <x:c r="R1165" s="87" t="str">
        <x:v>A61K9/1271;;A61K9/1272;;A61K9/1277;;A61K31/713;;A61K9/1271;;A61K9/1272;;A61K9/1277;;A61K31/713;;A61K9/1271;;A61K9/1272;;A61K9/1277;;A61K9/5015;;A61K9/5089;;A61K31/713</x:v>
      </x:c>
      <x:c r="S1165" s="87" t="str">
        <x:v>A61K9/50;;A61K31/713</x:v>
      </x:c>
      <x:c r="T1165" s="87" t="str">
        <x:v>ACTIVE</x:v>
      </x:c>
      <x:c r="U1165" s="87" t="str">
        <x:v>https://lens.org/098-594-420-945-93X</x:v>
      </x:c>
    </x:row>
    <x:row r="1166">
      <x:c r="A1166" s="87" t="str">
        <x:v>shire.csv</x:v>
      </x:c>
      <x:c r="B1166" s="87" t="str">
        <x:v>Shire</x:v>
      </x:c>
      <x:c r="C1166" s="87" t="str">
        <x:v>TRT-0045</x:v>
      </x:c>
      <x:c r="D1166" s="87" t="str">
        <x:v>Yes</x:v>
      </x:c>
      <x:c r="E1166" s="87" t="str">
        <x:v>shire</x:v>
      </x:c>
      <x:c r="F1166" s="87" t="str">
        <x:v>96</x:v>
      </x:c>
      <x:c r="G1166" s="87" t="str">
        <x:v>102-749-100-852-124</x:v>
      </x:c>
      <x:c r="H1166" s="110" t="n">
        <x:v>41347</x:v>
      </x:c>
      <x:c r="I1166" s="88" t="n">
        <x:v>2013</x:v>
      </x:c>
      <x:c r="J1166" s="87" t="str">
        <x:v>US</x:v>
      </x:c>
      <x:c r="K1166" s="87" t="str">
        <x:v>A1</x:v>
      </x:c>
      <x:c r="L1166" s="87" t="str">
        <x:v>US 2016/0040154 A1</x:v>
      </x:c>
      <x:c r="M1166" s="87" t="str">
        <x:v>SHIRE HUMAN GENETIC THERAPIES</x:v>
      </x:c>
      <x:c r="N1166" s="87" t="str">
        <x:v>SHIRE HUMAN GENETIC THERAPIES INC (2015-11-06);;TRANSLATE BIO INC (2016-12-16)</x:v>
      </x:c>
      <x:c r="O1166" s="87" t="str">
        <x:v>METHODS FOR PURIFICATION OF MESSENGER RNA</x:v>
      </x:c>
      <x:c r="P1166" s="109" t="n">
        <x:v>62</x:v>
      </x:c>
      <x:c r="Q1166" s="109" t="n">
        <x:v>45</x:v>
      </x:c>
      <x:c r="R1166" s="87" t="str">
        <x:v>C12N15/1017;;C07H21/02;;A61P43/00;;C12P19/34;;C07H21/02;;C12N15/10;;C12N15/1017;;C12N15/1017;;C07H21/02;;C12N15/10</x:v>
      </x:c>
      <x:c r="S1166" s="87" t="str">
        <x:v>C07H21/02;;C12N15/10</x:v>
      </x:c>
      <x:c r="T1166" s="87" t="str">
        <x:v>ACTIVE</x:v>
      </x:c>
      <x:c r="U1166" s="87" t="str">
        <x:v>https://lens.org/102-749-100-852-124</x:v>
      </x:c>
    </x:row>
    <x:row r="1167">
      <x:c r="A1167" s="87" t="str">
        <x:v>shire.csv</x:v>
      </x:c>
      <x:c r="B1167" s="87" t="str">
        <x:v>Shire</x:v>
      </x:c>
      <x:c r="C1167" s="87" t="str">
        <x:v>TRT-0045</x:v>
      </x:c>
      <x:c r="D1167" s="87" t="str">
        <x:v>Yes</x:v>
      </x:c>
      <x:c r="E1167" s="87" t="str">
        <x:v>shire</x:v>
      </x:c>
      <x:c r="F1167" s="87" t="str">
        <x:v>97</x:v>
      </x:c>
      <x:c r="G1167" s="87" t="str">
        <x:v>081-389-170-439-910</x:v>
      </x:c>
      <x:c r="H1167" s="110" t="n">
        <x:v>41347</x:v>
      </x:c>
      <x:c r="I1167" s="88" t="n">
        <x:v>2013</x:v>
      </x:c>
      <x:c r="J1167" s="87" t="str">
        <x:v>US</x:v>
      </x:c>
      <x:c r="K1167" s="87" t="str">
        <x:v>A1</x:v>
      </x:c>
      <x:c r="L1167" s="87" t="str">
        <x:v>US 2016/0032356 A1</x:v>
      </x:c>
      <x:c r="M1167" s="87" t="str">
        <x:v>SHIRE HUMAN GENETIC THERAPIES</x:v>
      </x:c>
      <x:c r="N1167" s="87" t="str">
        <x:v>SHIRE HUMAN GENETIC THERAPIES INC (2014-05-14);;TRANSLATE BIO INC (2016-12-16)</x:v>
      </x:c>
      <x:c r="O1167" s="87" t="str">
        <x:v>QUANTITATIVE ASSESSMENT FOR CAP EFFICIENCY OF MESSENGER RNA</x:v>
      </x:c>
      <x:c r="P1167" s="109" t="n">
        <x:v>101</x:v>
      </x:c>
      <x:c r="Q1167" s="109" t="n">
        <x:v>20</x:v>
      </x:c>
      <x:c r="R1167" s="87" t="str">
        <x:v>C12Q1/6823;;C12N9/0069;;C12Y113/12007;;C12Q1/68;;C07K14/505;;C12N9/0069;;C12Q1/6823;;C12Y113/12007</x:v>
      </x:c>
      <x:c r="S1167" s="87" t="str">
        <x:v>C12Q1/68;;C07K14/505;;C12N9/02</x:v>
      </x:c>
      <x:c r="T1167" s="87" t="str">
        <x:v>ACTIVE</x:v>
      </x:c>
      <x:c r="U1167" s="87" t="str">
        <x:v>https://lens.org/081-389-170-439-910</x:v>
      </x:c>
    </x:row>
    <x:row r="1168">
      <x:c r="A1168" s="87" t="str">
        <x:v>shire.csv</x:v>
      </x:c>
      <x:c r="B1168" s="87" t="str">
        <x:v>Shire</x:v>
      </x:c>
      <x:c r="C1168" s="87" t="str">
        <x:v>TRT-0045</x:v>
      </x:c>
      <x:c r="D1168" s="87" t="str">
        <x:v>Yes</x:v>
      </x:c>
      <x:c r="E1168" s="87" t="str">
        <x:v>shire</x:v>
      </x:c>
      <x:c r="F1168" s="87" t="str">
        <x:v>98</x:v>
      </x:c>
      <x:c r="G1168" s="87" t="str">
        <x:v>195-345-663-557-113</x:v>
      </x:c>
      <x:c r="H1168" s="110" t="n">
        <x:v>41347</x:v>
      </x:c>
      <x:c r="I1168" s="88" t="n">
        <x:v>2013</x:v>
      </x:c>
      <x:c r="J1168" s="87" t="str">
        <x:v>US</x:v>
      </x:c>
      <x:c r="K1168" s="87" t="str">
        <x:v>A1</x:v>
      </x:c>
      <x:c r="L1168" s="87" t="str">
        <x:v>US 2016/0031928 A1</x:v>
      </x:c>
      <x:c r="M1168" s="87" t="str">
        <x:v>SHIRE HUMAN GENETIC THERAPIES</x:v>
      </x:c>
      <x:c r="N1168" s="87" t="str">
        <x:v>SHIRE HUMAN GENETIC THERAPIES INC (2013-04-08);;TRANSLATE BIO INC (2016-12-16)</x:v>
      </x:c>
      <x:c r="O1168" s="87" t="str">
        <x:v>RIBONUCLEIC ACIDs WITH 4'-THIO-MODIFIED NUCLEOTIDES AND RELATED METHODS</x:v>
      </x:c>
      <x:c r="P1168" s="109" t="n">
        <x:v>34</x:v>
      </x:c>
      <x:c r="Q1168" s="109" t="n">
        <x:v>34</x:v>
      </x:c>
      <x:c r="R1168" s="87" t="str">
        <x:v>A61P43/00;;C12N15/67;;C07H21/02;;A61K9/1271;;A61K9/1272;;C12N15/67;;C12N2310/3515</x:v>
      </x:c>
      <x:c r="S1168" s="87" t="str">
        <x:v>C07H21/02</x:v>
      </x:c>
      <x:c r="T1168" s="87" t="str">
        <x:v>ACTIVE</x:v>
      </x:c>
      <x:c r="U1168" s="87" t="str">
        <x:v>https://lens.org/195-345-663-557-113</x:v>
      </x:c>
    </x:row>
    <x:row r="1169">
      <x:c r="A1169" s="87" t="str">
        <x:v>shire.csv</x:v>
      </x:c>
      <x:c r="B1169" s="87" t="str">
        <x:v>Shire</x:v>
      </x:c>
      <x:c r="C1169" s="87" t="str">
        <x:v>TRT-0045</x:v>
      </x:c>
      <x:c r="D1169" s="87" t="str">
        <x:v>Yes</x:v>
      </x:c>
      <x:c r="E1169" s="87" t="str">
        <x:v>shire</x:v>
      </x:c>
      <x:c r="F1169" s="87" t="str">
        <x:v>99</x:v>
      </x:c>
      <x:c r="G1169" s="87" t="str">
        <x:v>191-786-397-905-696</x:v>
      </x:c>
      <x:c r="H1169" s="110" t="n">
        <x:v>41347</x:v>
      </x:c>
      <x:c r="I1169" s="88" t="n">
        <x:v>2013</x:v>
      </x:c>
      <x:c r="J1169" s="87" t="str">
        <x:v>US</x:v>
      </x:c>
      <x:c r="K1169" s="87" t="str">
        <x:v>A1</x:v>
      </x:c>
      <x:c r="L1169" s="87" t="str">
        <x:v>US 2016/0031981 A1</x:v>
      </x:c>
      <x:c r="M1169" s="87" t="str">
        <x:v>SHIRE HUMAN GENETIC THERAPIES</x:v>
      </x:c>
      <x:c r="N1169" s="87" t="str">
        <x:v>SHIRE HUMAN GENETIC THERAPIES INC (2014-05-16);;TRANSLATE BIO INC (2016-12-16)</x:v>
      </x:c>
      <x:c r="O1169" s="87" t="str">
        <x:v>METHODS AND COMPOSITIONS FOR DELIVERING MRNA CODED ANTIBODIES</x:v>
      </x:c>
      <x:c r="P1169" s="109" t="n">
        <x:v>12</x:v>
      </x:c>
      <x:c r="Q1169" s="109" t="n">
        <x:v>43</x:v>
      </x:c>
      <x:c r="R1169" s="87" t="str">
        <x:v>C07K16/22;;C12N15/88;;A61K9/0019;;A61K9/1271;;A61K9/1272;;A61K47/6911;;C07K16/24;;A61P35/00;;A61P37/04;;A61P37/06;;A61P9/00;;A61K2039/505;;C07K16/22;;C12N15/88;;A61K9/0019;;A61K9/1271;;A61K9/1272;;A61K47/6911;;C07K16/24;;A61K9/127;;C07K2317/14</x:v>
      </x:c>
      <x:c r="S1169" s="87" t="str">
        <x:v>A61K9/00;;C07K16/24;;A61K9/127;;C07K16/22</x:v>
      </x:c>
      <x:c r="T1169" s="87" t="str">
        <x:v>ACTIVE</x:v>
      </x:c>
      <x:c r="U1169" s="87" t="str">
        <x:v>https://lens.org/191-786-397-905-696</x:v>
      </x:c>
    </x:row>
    <x:row r="1170">
      <x:c r="A1170" s="87" t="str">
        <x:v>shire.csv</x:v>
      </x:c>
      <x:c r="B1170" s="87" t="str">
        <x:v>Shire</x:v>
      </x:c>
      <x:c r="C1170" s="87" t="str">
        <x:v>TRT-0045</x:v>
      </x:c>
      <x:c r="D1170" s="87" t="str">
        <x:v>Yes</x:v>
      </x:c>
      <x:c r="E1170" s="87" t="str">
        <x:v>shire</x:v>
      </x:c>
      <x:c r="F1170" s="87" t="str">
        <x:v>100</x:v>
      </x:c>
      <x:c r="G1170" s="87" t="str">
        <x:v>016-730-386-984-175</x:v>
      </x:c>
      <x:c r="H1170" s="110" t="n">
        <x:v>41347</x:v>
      </x:c>
      <x:c r="I1170" s="88" t="n">
        <x:v>2013</x:v>
      </x:c>
      <x:c r="J1170" s="87" t="str">
        <x:v>EP</x:v>
      </x:c>
      <x:c r="K1170" s="87" t="str">
        <x:v>A1</x:v>
      </x:c>
      <x:c r="L1170" s="87" t="str">
        <x:v>EP 2971098 A1</x:v>
      </x:c>
      <x:c r="M1170" s="87" t="str">
        <x:v>SHIRE HUMAN GENETIC THERAPIES</x:v>
      </x:c>
      <x:c r="N1170" s="87" t="str">
        <x:v>SHIRE HUMAN GENETIC THERAPIES, INC. (2016-11-23);;TRANSLATE BIO, INC. (2018-06-27)</x:v>
      </x:c>
      <x:c r="O1170" s="87" t="str">
        <x:v>QUANTITATIVE ASSESSMENT FOR CAP EFFICIENCY OF MESSENGER RNA</x:v>
      </x:c>
      <x:c r="P1170" s="109" t="n">
        <x:v>3</x:v>
      </x:c>
      <x:c r="Q1170" s="109" t="n">
        <x:v>27</x:v>
      </x:c>
      <x:c r="R1170" s="87" t="str">
        <x:v>C12Q1/6804;;C12Q1/6804</x:v>
      </x:c>
      <x:c r="S1170" s="87" t="str">
        <x:v>C12Q1/68</x:v>
      </x:c>
      <x:c r="T1170" s="87" t="str">
        <x:v>ACTIVE</x:v>
      </x:c>
      <x:c r="U1170" s="87" t="str">
        <x:v>https://lens.org/016-730-386-984-175</x:v>
      </x:c>
    </x:row>
    <x:row r="1171">
      <x:c r="A1171" s="87" t="str">
        <x:v>shire.csv</x:v>
      </x:c>
      <x:c r="B1171" s="87" t="str">
        <x:v>Shire</x:v>
      </x:c>
      <x:c r="C1171" s="87" t="str">
        <x:v>TRT-0045</x:v>
      </x:c>
      <x:c r="D1171" s="87" t="str">
        <x:v>Yes</x:v>
      </x:c>
      <x:c r="E1171" s="87" t="str">
        <x:v>shire</x:v>
      </x:c>
      <x:c r="F1171" s="87" t="str">
        <x:v>101</x:v>
      </x:c>
      <x:c r="G1171" s="87" t="str">
        <x:v>041-586-482-811-234</x:v>
      </x:c>
      <x:c r="H1171" s="110" t="n">
        <x:v>41754</x:v>
      </x:c>
      <x:c r="I1171" s="88" t="n">
        <x:v>2014</x:v>
      </x:c>
      <x:c r="J1171" s="87" t="str">
        <x:v>US</x:v>
      </x:c>
      <x:c r="K1171" s="87" t="str">
        <x:v>A1</x:v>
      </x:c>
      <x:c r="L1171" s="87" t="str">
        <x:v>US 2015/0376220 A1</x:v>
      </x:c>
      <x:c r="M1171" s="87" t="str">
        <x:v>SHIRE HUMAN GENETIC THERAPIES</x:v>
      </x:c>
      <x:c r="N1171" s="87" t="str">
        <x:v>SHIRE HUMAN GENETIC THERAPIES INC (2015-09-11);;TRANSLATE BIO INC (2016-12-16)</x:v>
      </x:c>
      <x:c r="O1171" s="87" t="str">
        <x:v>METHODS FOR PURIFICATION OF MESSENGER RNA</x:v>
      </x:c>
      <x:c r="P1171" s="109" t="n">
        <x:v>74</x:v>
      </x:c>
      <x:c r="Q1171" s="109" t="n">
        <x:v>59</x:v>
      </x:c>
      <x:c r="R1171" s="87" t="str">
        <x:v>C07H21/00;;C12N15/1017;;C07H1/06;;C07H21/02;;C07H1/06;;C07H21/00;;C12N15/1017;;C07H21/02;;C07H21/00;;C12N15/1017;;C07H1/06;;C07H21/02</x:v>
      </x:c>
      <x:c r="S1171" s="87" t="str">
        <x:v>C07H1/06;;C07H21/02</x:v>
      </x:c>
      <x:c r="T1171" s="87" t="str">
        <x:v>ACTIVE</x:v>
      </x:c>
      <x:c r="U1171" s="87" t="str">
        <x:v>https://lens.org/041-586-482-811-234</x:v>
      </x:c>
    </x:row>
    <x:row r="1172">
      <x:c r="A1172" s="87" t="str">
        <x:v>shire.csv</x:v>
      </x:c>
      <x:c r="B1172" s="87" t="str">
        <x:v>Shire</x:v>
      </x:c>
      <x:c r="C1172" s="87" t="str">
        <x:v>TRT-0045</x:v>
      </x:c>
      <x:c r="D1172" s="87" t="str">
        <x:v>Yes</x:v>
      </x:c>
      <x:c r="E1172" s="87" t="str">
        <x:v>shire</x:v>
      </x:c>
      <x:c r="F1172" s="87" t="str">
        <x:v>102</x:v>
      </x:c>
      <x:c r="G1172" s="87" t="str">
        <x:v>098-577-869-559-233</x:v>
      </x:c>
      <x:c r="H1172" s="110" t="n">
        <x:v>41814</x:v>
      </x:c>
      <x:c r="I1172" s="88" t="n">
        <x:v>2014</x:v>
      </x:c>
      <x:c r="J1172" s="87" t="str">
        <x:v>US</x:v>
      </x:c>
      <x:c r="K1172" s="87" t="str">
        <x:v>A1</x:v>
      </x:c>
      <x:c r="L1172" s="87" t="str">
        <x:v>US 2015/0376144 A1</x:v>
      </x:c>
      <x:c r="M1172" s="87" t="str">
        <x:v>SHIRE HUMAN GENETIC THERAPIES</x:v>
      </x:c>
      <x:c r="N1172" s="87" t="str">
        <x:v>SHIRE HUMAN GENETIC THERAPIES INC (2015-09-10);;TRANSLATE BIO INC (2016-12-16)</x:v>
      </x:c>
      <x:c r="O1172" s="87" t="str">
        <x:v>STEREOCHEMICALLY ENRICHED COMPOSITIONS FOR DELIVERY OF NUCLEIC ACIDS</x:v>
      </x:c>
      <x:c r="P1172" s="109" t="n">
        <x:v>22</x:v>
      </x:c>
      <x:c r="Q1172" s="109" t="n">
        <x:v>46</x:v>
      </x:c>
      <x:c r="R1172" s="87" t="str">
        <x:v>C07D241/08;;A61K9/1271;;A61K9/1272;;A61K31/495;;A61K31/7088;;A61K31/7105;;A61K47/22;;A61P43/00;;C07D241/08;;A61K9/1271;;A61K9/1272;;A61K31/7088;;A61K31/7105;;A61K47/22;;C07D241/08;;A61K9/1271;;A61K9/1272;;A61K31/495;;A61K31/7088;;A61K31/7105;;A61K47/22</x:v>
      </x:c>
      <x:c r="S1172" s="87" t="str">
        <x:v>C07D241/08;;A61K9/127;;A61K31/7088;;A61K47/22</x:v>
      </x:c>
      <x:c r="T1172" s="87" t="str">
        <x:v>ACTIVE</x:v>
      </x:c>
      <x:c r="U1172" s="87" t="str">
        <x:v>https://lens.org/098-577-869-559-233</x:v>
      </x:c>
    </x:row>
    <x:row r="1173">
      <x:c r="A1173" s="87" t="str">
        <x:v>shire.csv</x:v>
      </x:c>
      <x:c r="B1173" s="87" t="str">
        <x:v>Shire</x:v>
      </x:c>
      <x:c r="C1173" s="87" t="str">
        <x:v>TRT-0045</x:v>
      </x:c>
      <x:c r="D1173" s="87" t="str">
        <x:v>Yes</x:v>
      </x:c>
      <x:c r="E1173" s="87" t="str">
        <x:v>shire</x:v>
      </x:c>
      <x:c r="F1173" s="87" t="str">
        <x:v>103</x:v>
      </x:c>
      <x:c r="G1173" s="87" t="str">
        <x:v>128-768-841-163-964</x:v>
      </x:c>
      <x:c r="H1173" s="110" t="n">
        <x:v>41250</x:v>
      </x:c>
      <x:c r="I1173" s="88" t="n">
        <x:v>2012</x:v>
      </x:c>
      <x:c r="J1173" s="87" t="str">
        <x:v>US</x:v>
      </x:c>
      <x:c r="K1173" s="87" t="str">
        <x:v>A1</x:v>
      </x:c>
      <x:c r="L1173" s="87" t="str">
        <x:v>US 2015/0366997 A1</x:v>
      </x:c>
      <x:c r="M1173" s="87" t="str">
        <x:v>SHIRE HUMAN GENETIC THERAPIES;;SHIRE HUMAN GENETICS THERAPIES INC</x:v>
      </x:c>
      <x:c r="N1173" s="87" t="str">
        <x:v>SHIRE HUMAN GENETIC THERAPIES INC (2014-02-07);;TRANSLATE BIO INC (2016-12-16)</x:v>
      </x:c>
      <x:c r="O1173" s="87" t="str">
        <x:v>COMPOSITIONS AND METHODS FOR mRNA DELIVERY</x:v>
      </x:c>
      <x:c r="P1173" s="109" t="n">
        <x:v>126</x:v>
      </x:c>
      <x:c r="Q1173" s="109" t="n">
        <x:v>11</x:v>
      </x:c>
      <x:c r="R1173" s="87" t="str">
        <x:v>A61K9/5123;;A61K9/0019;;A61K9/19;;A61K31/7088;;A61P11/00;;C07K14/505;;C07K14/8125;;C12N9/2465;;C12N9/644;;C12N15/88;;C12Y302/01022;;C12Y304/21022;;A61K48/0008;;A61K47/14;;A61K47/24;;A61K47/28;;C12N15/88</x:v>
      </x:c>
      <x:c r="S1173" s="87" t="str">
        <x:v>A61K48/00;;A61K47/14;;A61K47/24;;A61K47/28</x:v>
      </x:c>
      <x:c r="T1173" s="87" t="str">
        <x:v>DISCONTINUED</x:v>
      </x:c>
      <x:c r="U1173" s="87" t="str">
        <x:v>https://lens.org/128-768-841-163-964</x:v>
      </x:c>
    </x:row>
    <x:row r="1174">
      <x:c r="A1174" s="87" t="str">
        <x:v>shire.csv</x:v>
      </x:c>
      <x:c r="B1174" s="87" t="str">
        <x:v>Shire</x:v>
      </x:c>
      <x:c r="C1174" s="87" t="str">
        <x:v>TRT-0045</x:v>
      </x:c>
      <x:c r="D1174" s="87" t="str">
        <x:v>Yes</x:v>
      </x:c>
      <x:c r="E1174" s="87" t="str">
        <x:v>shire</x:v>
      </x:c>
      <x:c r="F1174" s="87" t="str">
        <x:v>104</x:v>
      </x:c>
      <x:c r="G1174" s="87" t="str">
        <x:v>107-801-653-718-512</x:v>
      </x:c>
      <x:c r="H1174" s="110" t="n">
        <x:v>41068</x:v>
      </x:c>
      <x:c r="I1174" s="88" t="n">
        <x:v>2012</x:v>
      </x:c>
      <x:c r="J1174" s="87" t="str">
        <x:v>US</x:v>
      </x:c>
      <x:c r="K1174" s="87" t="str">
        <x:v>A1</x:v>
      </x:c>
      <x:c r="L1174" s="87" t="str">
        <x:v>US 2015/0267192 A1</x:v>
      </x:c>
      <x:c r="M1174" s="87" t="str">
        <x:v>SHIRE HUMAN GENETIC THERAPIES</x:v>
      </x:c>
      <x:c r="N1174" s="87" t="str">
        <x:v>SHIRE HUMAN GENETIC THERAPIES INC (2013-08-28);;TRANSLATE BIO INC (2016-12-16)</x:v>
      </x:c>
      <x:c r="O1174" s="87" t="str">
        <x:v>NUCLEASE RESISTANT POLYNUCLEOTIDES AND USES THEREOF</x:v>
      </x:c>
      <x:c r="P1174" s="109" t="n">
        <x:v>56</x:v>
      </x:c>
      <x:c r="Q1174" s="109" t="n">
        <x:v>8</x:v>
      </x:c>
      <x:c r="R1174" s="87" t="str">
        <x:v>C12N15/111;;C07H21/00;;C07H21/02;;C12N2320/51;;C12P21/02;;C12N15/111;;C07H21/00;;C07H21/02;;C07K14/505;;C12N2310/3519;;C12N2320/51;;C12P21/02</x:v>
      </x:c>
      <x:c r="S1174" s="87" t="str">
        <x:v>C12N15/11;;C07K14/505</x:v>
      </x:c>
      <x:c r="T1174" s="87" t="str">
        <x:v>DISCONTINUED</x:v>
      </x:c>
      <x:c r="U1174" s="87" t="str">
        <x:v>https://lens.org/107-801-653-718-512</x:v>
      </x:c>
    </x:row>
    <x:row r="1175">
      <x:c r="A1175" s="87" t="str">
        <x:v>shire.csv</x:v>
      </x:c>
      <x:c r="B1175" s="87" t="str">
        <x:v>Shire</x:v>
      </x:c>
      <x:c r="C1175" s="87" t="str">
        <x:v>TRT-0045</x:v>
      </x:c>
      <x:c r="D1175" s="87" t="str">
        <x:v>Yes</x:v>
      </x:c>
      <x:c r="E1175" s="87" t="str">
        <x:v>shire</x:v>
      </x:c>
      <x:c r="F1175" s="87" t="str">
        <x:v>105</x:v>
      </x:c>
      <x:c r="G1175" s="87" t="str">
        <x:v>197-778-711-782-590</x:v>
      </x:c>
      <x:c r="H1175" s="110" t="n">
        <x:v>40844</x:v>
      </x:c>
      <x:c r="I1175" s="88" t="n">
        <x:v>2011</x:v>
      </x:c>
      <x:c r="J1175" s="87" t="str">
        <x:v>US</x:v>
      </x:c>
      <x:c r="K1175" s="87" t="str">
        <x:v>A1</x:v>
      </x:c>
      <x:c r="L1175" s="87" t="str">
        <x:v>US 2015/0010898 A1</x:v>
      </x:c>
      <x:c r="M1175" s="87" t="str">
        <x:v>SHIRE HUMAN GENETIC THERAPIES</x:v>
      </x:c>
      <x:c r="N1175" s="87" t="str">
        <x:v>SHIRE HUMAN GENETIC THERAPIES INC (2014-07-16)</x:v>
      </x:c>
      <x:c r="O1175" s="87" t="str">
        <x:v>METHODS FOR PREPARATION OF CULTURE MEDIA</x:v>
      </x:c>
      <x:c r="P1175" s="109" t="n">
        <x:v>10</x:v>
      </x:c>
      <x:c r="Q1175" s="109" t="n">
        <x:v>2</x:v>
      </x:c>
      <x:c r="R1175" s="87" t="str">
        <x:v>C12N9/16;;C12N5/0018;;C12N2500/60;;C12N2511/00;;C12P21/02;;C12Y301/06001;;C12N9/16;;C12N5/0018;;C12N2500/60;;C12N2511/00;;C12P21/02;;C12Y301/06001</x:v>
      </x:c>
      <x:c r="S1175" s="87" t="str">
        <x:v>C12N9/16</x:v>
      </x:c>
      <x:c r="T1175" s="87" t="str">
        <x:v>DISCONTINUED</x:v>
      </x:c>
      <x:c r="U1175" s="87" t="str">
        <x:v>https://lens.org/197-778-711-782-590</x:v>
      </x:c>
    </x:row>
    <x:row r="1176">
      <x:c r="A1176" s="87" t="str">
        <x:v>shire.csv</x:v>
      </x:c>
      <x:c r="B1176" s="87" t="str">
        <x:v>Shire</x:v>
      </x:c>
      <x:c r="C1176" s="87" t="str">
        <x:v>TRT-0045</x:v>
      </x:c>
      <x:c r="D1176" s="87" t="str">
        <x:v>Yes</x:v>
      </x:c>
      <x:c r="E1176" s="87" t="str">
        <x:v>shire</x:v>
      </x:c>
      <x:c r="F1176" s="87" t="str">
        <x:v>106</x:v>
      </x:c>
      <x:c r="G1176" s="87" t="str">
        <x:v>033-346-411-803-162</x:v>
      </x:c>
      <x:c r="H1176" s="110" t="n">
        <x:v>40702</x:v>
      </x:c>
      <x:c r="I1176" s="88" t="n">
        <x:v>2011</x:v>
      </x:c>
      <x:c r="J1176" s="87" t="str">
        <x:v>US</x:v>
      </x:c>
      <x:c r="K1176" s="87" t="str">
        <x:v>A1</x:v>
      </x:c>
      <x:c r="L1176" s="87" t="str">
        <x:v>US 2014/0288160 A1</x:v>
      </x:c>
      <x:c r="M1176" s="87" t="str">
        <x:v>GUILD BRAYDON CHARLES;;HEARTLEIN MICHAEL;;DEROSA FRANK;;ZHANG JERRY CHI;;SHIRE HUMAN GENETIC THERAPIES</x:v>
      </x:c>
      <x:c r="N1176" s="87" t="str">
        <x:v>SHIRE HUMAN GENETIC THERAPIES INC (2014-03-22);;TRANSLATE BIO INC (2016-12-16)</x:v>
      </x:c>
      <x:c r="O1176" s="87" t="str">
        <x:v>CLEAVABLE LIPIDS</x:v>
      </x:c>
      <x:c r="P1176" s="109" t="n">
        <x:v>116</x:v>
      </x:c>
      <x:c r="Q1176" s="109" t="n">
        <x:v>49</x:v>
      </x:c>
      <x:c r="R1176" s="87" t="str">
        <x:v>C07J43/003;;A61K9/1271;;A61K9/1272;;A61K9/19;;A61K31/7088;;A61K47/20;;A61K47/22;;A61K47/28;;A61K48/0033;;A61K48/005;;C07C323/27;;C07C323/44;;C07D233/64;;C07J41/0055;;C12N15/88;;C12Y201/03003;;C12Y203/01;;C12Y207/08015;;C12Y301/06;;C12Y302/01022;;C12Y302/01035;;C12Y302/01046;;C12Y302/01076;;C12Y305/03001;;A61K9/19;;A61K9/1271;;A61K9/1272;;A61K9/5123;;A61K31/7105;;A61K38/45;;A61K38/465;;A61K38/47;;A61K38/50;;A61P3/00;;A61P7/04;;A61P21/02;;A61P25/00;;A61P25/14;;A61P25/16;;A61P35/00;;A61P35/02;;A61P43/00;;C07C323/25;;C07C323/44;;C07D233/64;;C07J41/0055;;C07J43/003;;C12N15/88;;C12Y201/03003;;C12Y203/01;;C12Y207/08015;;C12Y301/06;;C12Y302/01022;;C12Y302/01035;;C12Y302/01046;;C12Y302/01076;;C12Y305/03001;;A61K9/19;;A61K9/1271;;A61K9/1272;;A61K9/5123;;A61K31/7088;;A61K38/45;;A61K38/465;;A61K38/47;;A61K38/50;;C07C323/25;;C07C323/27;;C07C323/44;;C07D233/64;;C07J41/0055;;C07J43/003;;C12N15/88;;C12Y201/03003;;C12Y203/01;;C12Y207/08015;;C12Y301/06;;C12Y302/01022;;C12Y302/01035;;C12Y302/01046;;C12Y302/01076;;C12Y305/03001</x:v>
      </x:c>
      <x:c r="S1176" s="87" t="str">
        <x:v>A61K9/19;;A61K31/7088;;C07C323/27;;C07J41/00;;C07J43/00</x:v>
      </x:c>
      <x:c r="T1176" s="87" t="str">
        <x:v>ACTIVE</x:v>
      </x:c>
      <x:c r="U1176" s="87" t="str">
        <x:v>https://lens.org/033-346-411-803-162</x:v>
      </x:c>
    </x:row>
    <x:row r="1177">
      <x:c r="A1177" s="87" t="str">
        <x:v>shire.csv</x:v>
      </x:c>
      <x:c r="B1177" s="87" t="str">
        <x:v>Shire</x:v>
      </x:c>
      <x:c r="C1177" s="87" t="str">
        <x:v>TRT-0045</x:v>
      </x:c>
      <x:c r="D1177" s="87" t="str">
        <x:v>Yes</x:v>
      </x:c>
      <x:c r="E1177" s="87" t="str">
        <x:v>shire</x:v>
      </x:c>
      <x:c r="F1177" s="87" t="str">
        <x:v>107</x:v>
      </x:c>
      <x:c r="G1177" s="87" t="str">
        <x:v>105-842-040-579-511</x:v>
      </x:c>
      <x:c r="H1177" s="110" t="n">
        <x:v>40603</x:v>
      </x:c>
      <x:c r="I1177" s="88" t="n">
        <x:v>2011</x:v>
      </x:c>
      <x:c r="J1177" s="87" t="str">
        <x:v>US</x:v>
      </x:c>
      <x:c r="K1177" s="87" t="str">
        <x:v>A1</x:v>
      </x:c>
      <x:c r="L1177" s="87" t="str">
        <x:v>US 2014/0057296 A1</x:v>
      </x:c>
      <x:c r="M1177" s="87" t="str">
        <x:v>RUIZ JUAN;;SELLOS-MOURA MARCIA;;SHIRE HUMAN GENETIC THERAPIES</x:v>
      </x:c>
      <x:c r="N1177" s="87" t="str">
        <x:v>SHIRE HUMAN GENETIC THERAPIES INC (2012-05-05)</x:v>
      </x:c>
      <x:c r="O1177" s="87" t="str">
        <x:v>ASSAYS FOR ANTIBODIES WHICH BIND TO THERAPEUTIC AGENTS</x:v>
      </x:c>
      <x:c r="P1177" s="109" t="n">
        <x:v>0</x:v>
      </x:c>
      <x:c r="Q1177" s="109" t="n">
        <x:v>4</x:v>
      </x:c>
      <x:c r="R1177" s="87" t="str">
        <x:v>G01N33/6854;;G01N33/6854</x:v>
      </x:c>
      <x:c r="S1177" s="87" t="str">
        <x:v>G01N33/68</x:v>
      </x:c>
      <x:c r="T1177" s="87" t="str">
        <x:v>DISCONTINUED</x:v>
      </x:c>
      <x:c r="U1177" s="87" t="str">
        <x:v>https://lens.org/105-842-040-579-511</x:v>
      </x:c>
    </x:row>
    <x:row r="1178">
      <x:c r="A1178" s="87" t="str">
        <x:v>shire.csv</x:v>
      </x:c>
      <x:c r="B1178" s="87" t="str">
        <x:v>Shire</x:v>
      </x:c>
      <x:c r="C1178" s="87" t="str">
        <x:v>TRT-0045</x:v>
      </x:c>
      <x:c r="D1178" s="87" t="str">
        <x:v>Yes</x:v>
      </x:c>
      <x:c r="E1178" s="87" t="str">
        <x:v>shire</x:v>
      </x:c>
      <x:c r="F1178" s="87" t="str">
        <x:v>108</x:v>
      </x:c>
      <x:c r="G1178" s="87" t="str">
        <x:v>049-979-921-659-456</x:v>
      </x:c>
      <x:c r="H1178" s="110" t="n">
        <x:v>41089</x:v>
      </x:c>
      <x:c r="I1178" s="88" t="n">
        <x:v>2012</x:v>
      </x:c>
      <x:c r="J1178" s="87" t="str">
        <x:v>US</x:v>
      </x:c>
      <x:c r="K1178" s="87" t="str">
        <x:v>A1</x:v>
      </x:c>
      <x:c r="L1178" s="87" t="str">
        <x:v>US 2014/0004097 A1</x:v>
      </x:c>
      <x:c r="M1178" s="87" t="str">
        <x:v>SHIRE HUMAN GENETIC THERAPIES</x:v>
      </x:c>
      <x:c r="N1178" s="87" t="str">
        <x:v>SHIRE HUMAN GENETIC THERAPIES INC (2013-04-09)</x:v>
      </x:c>
      <x:c r="O1178" s="87" t="str">
        <x:v>METHOD OF PRODUCING RECOMBINANT IDURONATE-2-SULFATASE</x:v>
      </x:c>
      <x:c r="P1178" s="109" t="n">
        <x:v>28</x:v>
      </x:c>
      <x:c r="Q1178" s="109" t="n">
        <x:v>23</x:v>
      </x:c>
      <x:c r="R1178" s="87" t="str">
        <x:v>C12N9/16;;A61P3/00;;A61P43/00;;C12Y301/06013;;C12N9/16;;A61K38/465;;C12N2500/32;;C12N2500/40;;C12N2500/44;;C12N2500/60;;C12N2523/00;;C12P21/00;;C12Y108/99;;C12Y301/06013;;C12N9/16;;C12Y301/06013</x:v>
      </x:c>
      <x:c r="S1178" s="87" t="str">
        <x:v>C12N9/16</x:v>
      </x:c>
      <x:c r="T1178" s="87" t="str">
        <x:v>DISCONTINUED</x:v>
      </x:c>
      <x:c r="U1178" s="87" t="str">
        <x:v>https://lens.org/049-979-921-659-456</x:v>
      </x:c>
    </x:row>
  </x:sheetData>
  <x:mergeCells>
    <x:mergeCell ref="A1:U1"/>
  </x:mergeCells>
  <x:conditionalFormatting sqref="D3:D1178">
    <x:cfRule type="expression" dxfId="5" priority="1">
      <x:formula>D3="No"</x:formula>
    </x:cfRule>
  </x:conditionalFormatting>
  <x:pageMargins left="0.7" right="0.7" top="0.75" bottom="0.75" header="0.3" footer="0.3"/>
</x:worksheet>
</file>