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4C11FCB3-CA7C-46DB-9876-9858A9EE33A2}" xr6:coauthVersionLast="47" xr6:coauthVersionMax="47" xr10:uidLastSave="{00000000-0000-0000-0000-000000000000}"/>
  <bookViews>
    <workbookView xWindow="-110" yWindow="-110" windowWidth="19420" windowHeight="10560" firstSheet="5" activeTab="7" xr2:uid="{00000000-000D-0000-FFFF-FFFF00000000}"/>
  </bookViews>
  <sheets>
    <sheet name="Deal_Master_Wide" sheetId="3" r:id="rId1"/>
    <sheet name="Panel_DiD" sheetId="4" r:id="rId2"/>
    <sheet name="Variable_Dictionary" sheetId="5" r:id="rId3"/>
    <sheet name="Financial_Import_Log" sheetId="7" r:id="rId4"/>
    <sheet name="Financial_Long_Raw" sheetId="8" r:id="rId5"/>
    <sheet name="Patent_Import_Log" sheetId="9" r:id="rId6"/>
    <sheet name="Patent_Year_Summary" sheetId="10" r:id="rId7"/>
    <sheet name="Patent_Family_Long" sheetId="1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16" i="4" l="1"/>
  <c r="V316" i="4"/>
  <c r="U316" i="4"/>
  <c r="T316" i="4"/>
  <c r="S316" i="4"/>
  <c r="R316" i="4"/>
  <c r="Q316" i="4"/>
  <c r="P316" i="4"/>
  <c r="O316" i="4"/>
  <c r="N316" i="4"/>
  <c r="M316" i="4"/>
  <c r="L316" i="4"/>
  <c r="K316" i="4"/>
  <c r="W315" i="4"/>
  <c r="V315" i="4"/>
  <c r="U315" i="4"/>
  <c r="T315" i="4"/>
  <c r="S315" i="4"/>
  <c r="R315" i="4"/>
  <c r="Q315" i="4"/>
  <c r="P315" i="4"/>
  <c r="O315" i="4"/>
  <c r="N315" i="4"/>
  <c r="M315" i="4"/>
  <c r="L315" i="4"/>
  <c r="K315" i="4"/>
  <c r="W314" i="4"/>
  <c r="V314" i="4"/>
  <c r="U314" i="4"/>
  <c r="T314" i="4"/>
  <c r="S314" i="4"/>
  <c r="R314" i="4"/>
  <c r="Q314" i="4"/>
  <c r="P314" i="4"/>
  <c r="O314" i="4"/>
  <c r="N314" i="4"/>
  <c r="M314" i="4"/>
  <c r="L314" i="4"/>
  <c r="K314" i="4"/>
  <c r="W313" i="4"/>
  <c r="V313" i="4"/>
  <c r="U313" i="4"/>
  <c r="T313" i="4"/>
  <c r="S313" i="4"/>
  <c r="R313" i="4"/>
  <c r="Q313" i="4"/>
  <c r="P313" i="4"/>
  <c r="O313" i="4"/>
  <c r="N313" i="4"/>
  <c r="M313" i="4"/>
  <c r="L313" i="4"/>
  <c r="K313" i="4"/>
  <c r="W312" i="4"/>
  <c r="V312" i="4"/>
  <c r="U312" i="4"/>
  <c r="T312" i="4"/>
  <c r="S312" i="4"/>
  <c r="R312" i="4"/>
  <c r="Q312" i="4"/>
  <c r="P312" i="4"/>
  <c r="O312" i="4"/>
  <c r="N312" i="4"/>
  <c r="M312" i="4"/>
  <c r="L312" i="4"/>
  <c r="K312" i="4"/>
  <c r="W311" i="4"/>
  <c r="V311" i="4"/>
  <c r="U311" i="4"/>
  <c r="T311" i="4"/>
  <c r="S311" i="4"/>
  <c r="R311" i="4"/>
  <c r="Q311" i="4"/>
  <c r="P311" i="4"/>
  <c r="O311" i="4"/>
  <c r="N311" i="4"/>
  <c r="M311" i="4"/>
  <c r="L311" i="4"/>
  <c r="K311" i="4"/>
  <c r="W310" i="4"/>
  <c r="V310" i="4"/>
  <c r="U310" i="4"/>
  <c r="T310" i="4"/>
  <c r="S310" i="4"/>
  <c r="R310" i="4"/>
  <c r="Q310" i="4"/>
  <c r="P310" i="4"/>
  <c r="O310" i="4"/>
  <c r="N310" i="4"/>
  <c r="M310" i="4"/>
  <c r="L310" i="4"/>
  <c r="K310" i="4"/>
  <c r="W309" i="4"/>
  <c r="V309" i="4"/>
  <c r="U309" i="4"/>
  <c r="T309" i="4"/>
  <c r="S309" i="4"/>
  <c r="R309" i="4"/>
  <c r="Q309" i="4"/>
  <c r="P309" i="4"/>
  <c r="O309" i="4"/>
  <c r="N309" i="4"/>
  <c r="M309" i="4"/>
  <c r="L309" i="4"/>
  <c r="K309" i="4"/>
  <c r="W308" i="4"/>
  <c r="V308" i="4"/>
  <c r="U308" i="4"/>
  <c r="T308" i="4"/>
  <c r="S308" i="4"/>
  <c r="R308" i="4"/>
  <c r="Q308" i="4"/>
  <c r="P308" i="4"/>
  <c r="O308" i="4"/>
  <c r="N308" i="4"/>
  <c r="M308" i="4"/>
  <c r="L308" i="4"/>
  <c r="K308" i="4"/>
  <c r="W307" i="4"/>
  <c r="V307" i="4"/>
  <c r="U307" i="4"/>
  <c r="T307" i="4"/>
  <c r="S307" i="4"/>
  <c r="R307" i="4"/>
  <c r="Q307" i="4"/>
  <c r="P307" i="4"/>
  <c r="O307" i="4"/>
  <c r="N307" i="4"/>
  <c r="M307" i="4"/>
  <c r="L307" i="4"/>
  <c r="K307" i="4"/>
  <c r="W306" i="4"/>
  <c r="V306" i="4"/>
  <c r="U306" i="4"/>
  <c r="T306" i="4"/>
  <c r="S306" i="4"/>
  <c r="R306" i="4"/>
  <c r="Q306" i="4"/>
  <c r="P306" i="4"/>
  <c r="O306" i="4"/>
  <c r="N306" i="4"/>
  <c r="M306" i="4"/>
  <c r="L306" i="4"/>
  <c r="K306" i="4"/>
  <c r="W305" i="4"/>
  <c r="V305" i="4"/>
  <c r="U305" i="4"/>
  <c r="T305" i="4"/>
  <c r="S305" i="4"/>
  <c r="R305" i="4"/>
  <c r="Q305" i="4"/>
  <c r="P305" i="4"/>
  <c r="O305" i="4"/>
  <c r="N305" i="4"/>
  <c r="M305" i="4"/>
  <c r="L305" i="4"/>
  <c r="K305" i="4"/>
  <c r="W304" i="4"/>
  <c r="V304" i="4"/>
  <c r="U304" i="4"/>
  <c r="T304" i="4"/>
  <c r="S304" i="4"/>
  <c r="R304" i="4"/>
  <c r="Q304" i="4"/>
  <c r="P304" i="4"/>
  <c r="O304" i="4"/>
  <c r="N304" i="4"/>
  <c r="M304" i="4"/>
  <c r="L304" i="4"/>
  <c r="K304" i="4"/>
  <c r="W303" i="4"/>
  <c r="V303" i="4"/>
  <c r="U303" i="4"/>
  <c r="T303" i="4"/>
  <c r="S303" i="4"/>
  <c r="R303" i="4"/>
  <c r="Q303" i="4"/>
  <c r="P303" i="4"/>
  <c r="O303" i="4"/>
  <c r="N303" i="4"/>
  <c r="M303" i="4"/>
  <c r="L303" i="4"/>
  <c r="K303" i="4"/>
  <c r="W302" i="4"/>
  <c r="V302" i="4"/>
  <c r="U302" i="4"/>
  <c r="T302" i="4"/>
  <c r="S302" i="4"/>
  <c r="R302" i="4"/>
  <c r="Q302" i="4"/>
  <c r="P302" i="4"/>
  <c r="O302" i="4"/>
  <c r="N302" i="4"/>
  <c r="M302" i="4"/>
  <c r="L302" i="4"/>
  <c r="K302" i="4"/>
  <c r="W301" i="4"/>
  <c r="V301" i="4"/>
  <c r="U301" i="4"/>
  <c r="T301" i="4"/>
  <c r="S301" i="4"/>
  <c r="R301" i="4"/>
  <c r="Q301" i="4"/>
  <c r="P301" i="4"/>
  <c r="O301" i="4"/>
  <c r="N301" i="4"/>
  <c r="M301" i="4"/>
  <c r="L301" i="4"/>
  <c r="K301" i="4"/>
  <c r="W300" i="4"/>
  <c r="V300" i="4"/>
  <c r="U300" i="4"/>
  <c r="T300" i="4"/>
  <c r="S300" i="4"/>
  <c r="R300" i="4"/>
  <c r="Q300" i="4"/>
  <c r="P300" i="4"/>
  <c r="O300" i="4"/>
  <c r="N300" i="4"/>
  <c r="M300" i="4"/>
  <c r="L300" i="4"/>
  <c r="K300" i="4"/>
  <c r="W299" i="4"/>
  <c r="V299" i="4"/>
  <c r="U299" i="4"/>
  <c r="T299" i="4"/>
  <c r="S299" i="4"/>
  <c r="R299" i="4"/>
  <c r="Q299" i="4"/>
  <c r="P299" i="4"/>
  <c r="O299" i="4"/>
  <c r="N299" i="4"/>
  <c r="M299" i="4"/>
  <c r="L299" i="4"/>
  <c r="K299" i="4"/>
  <c r="W298" i="4"/>
  <c r="V298" i="4"/>
  <c r="U298" i="4"/>
  <c r="T298" i="4"/>
  <c r="S298" i="4"/>
  <c r="R298" i="4"/>
  <c r="Q298" i="4"/>
  <c r="P298" i="4"/>
  <c r="O298" i="4"/>
  <c r="N298" i="4"/>
  <c r="M298" i="4"/>
  <c r="L298" i="4"/>
  <c r="K298" i="4"/>
  <c r="W297" i="4"/>
  <c r="V297" i="4"/>
  <c r="U297" i="4"/>
  <c r="T297" i="4"/>
  <c r="S297" i="4"/>
  <c r="R297" i="4"/>
  <c r="Q297" i="4"/>
  <c r="P297" i="4"/>
  <c r="O297" i="4"/>
  <c r="N297" i="4"/>
  <c r="M297" i="4"/>
  <c r="L297" i="4"/>
  <c r="K297" i="4"/>
  <c r="W296" i="4"/>
  <c r="V296" i="4"/>
  <c r="U296" i="4"/>
  <c r="T296" i="4"/>
  <c r="S296" i="4"/>
  <c r="R296" i="4"/>
  <c r="Q296" i="4"/>
  <c r="P296" i="4"/>
  <c r="O296" i="4"/>
  <c r="N296" i="4"/>
  <c r="M296" i="4"/>
  <c r="L296" i="4"/>
  <c r="K296" i="4"/>
  <c r="W295" i="4"/>
  <c r="V295" i="4"/>
  <c r="U295" i="4"/>
  <c r="T295" i="4"/>
  <c r="S295" i="4"/>
  <c r="R295" i="4"/>
  <c r="Q295" i="4"/>
  <c r="P295" i="4"/>
  <c r="O295" i="4"/>
  <c r="N295" i="4"/>
  <c r="M295" i="4"/>
  <c r="L295" i="4"/>
  <c r="K295" i="4"/>
  <c r="W294" i="4"/>
  <c r="V294" i="4"/>
  <c r="U294" i="4"/>
  <c r="T294" i="4"/>
  <c r="S294" i="4"/>
  <c r="R294" i="4"/>
  <c r="Q294" i="4"/>
  <c r="P294" i="4"/>
  <c r="O294" i="4"/>
  <c r="N294" i="4"/>
  <c r="M294" i="4"/>
  <c r="L294" i="4"/>
  <c r="K294" i="4"/>
  <c r="W293" i="4"/>
  <c r="V293" i="4"/>
  <c r="U293" i="4"/>
  <c r="T293" i="4"/>
  <c r="S293" i="4"/>
  <c r="R293" i="4"/>
  <c r="Q293" i="4"/>
  <c r="P293" i="4"/>
  <c r="O293" i="4"/>
  <c r="N293" i="4"/>
  <c r="M293" i="4"/>
  <c r="L293" i="4"/>
  <c r="K293" i="4"/>
  <c r="W292" i="4"/>
  <c r="V292" i="4"/>
  <c r="U292" i="4"/>
  <c r="T292" i="4"/>
  <c r="S292" i="4"/>
  <c r="R292" i="4"/>
  <c r="Q292" i="4"/>
  <c r="P292" i="4"/>
  <c r="O292" i="4"/>
  <c r="N292" i="4"/>
  <c r="M292" i="4"/>
  <c r="L292" i="4"/>
  <c r="K292" i="4"/>
  <c r="W291" i="4"/>
  <c r="V291" i="4"/>
  <c r="U291" i="4"/>
  <c r="T291" i="4"/>
  <c r="S291" i="4"/>
  <c r="R291" i="4"/>
  <c r="Q291" i="4"/>
  <c r="P291" i="4"/>
  <c r="O291" i="4"/>
  <c r="N291" i="4"/>
  <c r="M291" i="4"/>
  <c r="L291" i="4"/>
  <c r="K291" i="4"/>
  <c r="W290" i="4"/>
  <c r="V290" i="4"/>
  <c r="U290" i="4"/>
  <c r="T290" i="4"/>
  <c r="S290" i="4"/>
  <c r="R290" i="4"/>
  <c r="Q290" i="4"/>
  <c r="P290" i="4"/>
  <c r="O290" i="4"/>
  <c r="N290" i="4"/>
  <c r="M290" i="4"/>
  <c r="L290" i="4"/>
  <c r="K290" i="4"/>
  <c r="W289" i="4"/>
  <c r="V289" i="4"/>
  <c r="U289" i="4"/>
  <c r="T289" i="4"/>
  <c r="S289" i="4"/>
  <c r="R289" i="4"/>
  <c r="Q289" i="4"/>
  <c r="P289" i="4"/>
  <c r="O289" i="4"/>
  <c r="N289" i="4"/>
  <c r="M289" i="4"/>
  <c r="L289" i="4"/>
  <c r="K289" i="4"/>
  <c r="W288" i="4"/>
  <c r="V288" i="4"/>
  <c r="U288" i="4"/>
  <c r="T288" i="4"/>
  <c r="S288" i="4"/>
  <c r="R288" i="4"/>
  <c r="Q288" i="4"/>
  <c r="P288" i="4"/>
  <c r="O288" i="4"/>
  <c r="N288" i="4"/>
  <c r="M288" i="4"/>
  <c r="L288" i="4"/>
  <c r="K288" i="4"/>
  <c r="W287" i="4"/>
  <c r="V287" i="4"/>
  <c r="U287" i="4"/>
  <c r="T287" i="4"/>
  <c r="S287" i="4"/>
  <c r="R287" i="4"/>
  <c r="Q287" i="4"/>
  <c r="P287" i="4"/>
  <c r="O287" i="4"/>
  <c r="N287" i="4"/>
  <c r="M287" i="4"/>
  <c r="L287" i="4"/>
  <c r="K287" i="4"/>
  <c r="W286" i="4"/>
  <c r="V286" i="4"/>
  <c r="U286" i="4"/>
  <c r="T286" i="4"/>
  <c r="S286" i="4"/>
  <c r="R286" i="4"/>
  <c r="Q286" i="4"/>
  <c r="P286" i="4"/>
  <c r="O286" i="4"/>
  <c r="N286" i="4"/>
  <c r="M286" i="4"/>
  <c r="L286" i="4"/>
  <c r="K286" i="4"/>
  <c r="W285" i="4"/>
  <c r="V285" i="4"/>
  <c r="U285" i="4"/>
  <c r="T285" i="4"/>
  <c r="S285" i="4"/>
  <c r="R285" i="4"/>
  <c r="Q285" i="4"/>
  <c r="P285" i="4"/>
  <c r="O285" i="4"/>
  <c r="N285" i="4"/>
  <c r="M285" i="4"/>
  <c r="L285" i="4"/>
  <c r="K285" i="4"/>
  <c r="W284" i="4"/>
  <c r="V284" i="4"/>
  <c r="U284" i="4"/>
  <c r="T284" i="4"/>
  <c r="S284" i="4"/>
  <c r="R284" i="4"/>
  <c r="Q284" i="4"/>
  <c r="P284" i="4"/>
  <c r="O284" i="4"/>
  <c r="N284" i="4"/>
  <c r="M284" i="4"/>
  <c r="L284" i="4"/>
  <c r="K284" i="4"/>
  <c r="W283" i="4"/>
  <c r="V283" i="4"/>
  <c r="U283" i="4"/>
  <c r="T283" i="4"/>
  <c r="S283" i="4"/>
  <c r="R283" i="4"/>
  <c r="Q283" i="4"/>
  <c r="P283" i="4"/>
  <c r="O283" i="4"/>
  <c r="N283" i="4"/>
  <c r="M283" i="4"/>
  <c r="L283" i="4"/>
  <c r="K283" i="4"/>
  <c r="W282" i="4"/>
  <c r="V282" i="4"/>
  <c r="U282" i="4"/>
  <c r="T282" i="4"/>
  <c r="S282" i="4"/>
  <c r="R282" i="4"/>
  <c r="Q282" i="4"/>
  <c r="P282" i="4"/>
  <c r="O282" i="4"/>
  <c r="N282" i="4"/>
  <c r="M282" i="4"/>
  <c r="L282" i="4"/>
  <c r="K282" i="4"/>
  <c r="W281" i="4"/>
  <c r="V281" i="4"/>
  <c r="U281" i="4"/>
  <c r="T281" i="4"/>
  <c r="S281" i="4"/>
  <c r="R281" i="4"/>
  <c r="Q281" i="4"/>
  <c r="P281" i="4"/>
  <c r="O281" i="4"/>
  <c r="N281" i="4"/>
  <c r="M281" i="4"/>
  <c r="L281" i="4"/>
  <c r="K281" i="4"/>
  <c r="W280" i="4"/>
  <c r="V280" i="4"/>
  <c r="U280" i="4"/>
  <c r="T280" i="4"/>
  <c r="S280" i="4"/>
  <c r="R280" i="4"/>
  <c r="Q280" i="4"/>
  <c r="P280" i="4"/>
  <c r="O280" i="4"/>
  <c r="N280" i="4"/>
  <c r="M280" i="4"/>
  <c r="L280" i="4"/>
  <c r="K280" i="4"/>
  <c r="W279" i="4"/>
  <c r="V279" i="4"/>
  <c r="U279" i="4"/>
  <c r="T279" i="4"/>
  <c r="S279" i="4"/>
  <c r="R279" i="4"/>
  <c r="Q279" i="4"/>
  <c r="P279" i="4"/>
  <c r="O279" i="4"/>
  <c r="N279" i="4"/>
  <c r="M279" i="4"/>
  <c r="L279" i="4"/>
  <c r="K279" i="4"/>
  <c r="W278" i="4"/>
  <c r="V278" i="4"/>
  <c r="U278" i="4"/>
  <c r="T278" i="4"/>
  <c r="S278" i="4"/>
  <c r="R278" i="4"/>
  <c r="Q278" i="4"/>
  <c r="P278" i="4"/>
  <c r="O278" i="4"/>
  <c r="N278" i="4"/>
  <c r="M278" i="4"/>
  <c r="L278" i="4"/>
  <c r="K278" i="4"/>
  <c r="W277" i="4"/>
  <c r="V277" i="4"/>
  <c r="U277" i="4"/>
  <c r="T277" i="4"/>
  <c r="S277" i="4"/>
  <c r="R277" i="4"/>
  <c r="Q277" i="4"/>
  <c r="P277" i="4"/>
  <c r="O277" i="4"/>
  <c r="N277" i="4"/>
  <c r="M277" i="4"/>
  <c r="L277" i="4"/>
  <c r="K277" i="4"/>
  <c r="W276" i="4"/>
  <c r="V276" i="4"/>
  <c r="U276" i="4"/>
  <c r="T276" i="4"/>
  <c r="S276" i="4"/>
  <c r="R276" i="4"/>
  <c r="Q276" i="4"/>
  <c r="P276" i="4"/>
  <c r="O276" i="4"/>
  <c r="N276" i="4"/>
  <c r="M276" i="4"/>
  <c r="L276" i="4"/>
  <c r="K276" i="4"/>
  <c r="W275" i="4"/>
  <c r="V275" i="4"/>
  <c r="U275" i="4"/>
  <c r="T275" i="4"/>
  <c r="S275" i="4"/>
  <c r="R275" i="4"/>
  <c r="Q275" i="4"/>
  <c r="P275" i="4"/>
  <c r="O275" i="4"/>
  <c r="N275" i="4"/>
  <c r="M275" i="4"/>
  <c r="L275" i="4"/>
  <c r="K275" i="4"/>
  <c r="W274" i="4"/>
  <c r="V274" i="4"/>
  <c r="U274" i="4"/>
  <c r="T274" i="4"/>
  <c r="S274" i="4"/>
  <c r="R274" i="4"/>
  <c r="Q274" i="4"/>
  <c r="P274" i="4"/>
  <c r="O274" i="4"/>
  <c r="N274" i="4"/>
  <c r="M274" i="4"/>
  <c r="L274" i="4"/>
  <c r="K274" i="4"/>
  <c r="W273" i="4"/>
  <c r="V273" i="4"/>
  <c r="U273" i="4"/>
  <c r="T273" i="4"/>
  <c r="S273" i="4"/>
  <c r="R273" i="4"/>
  <c r="Q273" i="4"/>
  <c r="P273" i="4"/>
  <c r="O273" i="4"/>
  <c r="N273" i="4"/>
  <c r="M273" i="4"/>
  <c r="L273" i="4"/>
  <c r="K273" i="4"/>
  <c r="W272" i="4"/>
  <c r="V272" i="4"/>
  <c r="U272" i="4"/>
  <c r="T272" i="4"/>
  <c r="S272" i="4"/>
  <c r="R272" i="4"/>
  <c r="Q272" i="4"/>
  <c r="P272" i="4"/>
  <c r="O272" i="4"/>
  <c r="N272" i="4"/>
  <c r="M272" i="4"/>
  <c r="L272" i="4"/>
  <c r="K272" i="4"/>
  <c r="W271" i="4"/>
  <c r="V271" i="4"/>
  <c r="U271" i="4"/>
  <c r="T271" i="4"/>
  <c r="S271" i="4"/>
  <c r="R271" i="4"/>
  <c r="Q271" i="4"/>
  <c r="P271" i="4"/>
  <c r="O271" i="4"/>
  <c r="N271" i="4"/>
  <c r="M271" i="4"/>
  <c r="L271" i="4"/>
  <c r="K271" i="4"/>
  <c r="W270" i="4"/>
  <c r="V270" i="4"/>
  <c r="U270" i="4"/>
  <c r="T270" i="4"/>
  <c r="S270" i="4"/>
  <c r="R270" i="4"/>
  <c r="Q270" i="4"/>
  <c r="P270" i="4"/>
  <c r="O270" i="4"/>
  <c r="N270" i="4"/>
  <c r="M270" i="4"/>
  <c r="L270" i="4"/>
  <c r="K270" i="4"/>
  <c r="W269" i="4"/>
  <c r="V269" i="4"/>
  <c r="U269" i="4"/>
  <c r="T269" i="4"/>
  <c r="S269" i="4"/>
  <c r="R269" i="4"/>
  <c r="Q269" i="4"/>
  <c r="P269" i="4"/>
  <c r="O269" i="4"/>
  <c r="N269" i="4"/>
  <c r="M269" i="4"/>
  <c r="L269" i="4"/>
  <c r="K269" i="4"/>
  <c r="W268" i="4"/>
  <c r="V268" i="4"/>
  <c r="U268" i="4"/>
  <c r="T268" i="4"/>
  <c r="S268" i="4"/>
  <c r="R268" i="4"/>
  <c r="Q268" i="4"/>
  <c r="P268" i="4"/>
  <c r="O268" i="4"/>
  <c r="N268" i="4"/>
  <c r="M268" i="4"/>
  <c r="L268" i="4"/>
  <c r="K268" i="4"/>
  <c r="W267" i="4"/>
  <c r="V267" i="4"/>
  <c r="U267" i="4"/>
  <c r="T267" i="4"/>
  <c r="S267" i="4"/>
  <c r="R267" i="4"/>
  <c r="Q267" i="4"/>
  <c r="P267" i="4"/>
  <c r="O267" i="4"/>
  <c r="N267" i="4"/>
  <c r="M267" i="4"/>
  <c r="L267" i="4"/>
  <c r="K267" i="4"/>
  <c r="W266" i="4"/>
  <c r="V266" i="4"/>
  <c r="U266" i="4"/>
  <c r="T266" i="4"/>
  <c r="S266" i="4"/>
  <c r="R266" i="4"/>
  <c r="Q266" i="4"/>
  <c r="P266" i="4"/>
  <c r="O266" i="4"/>
  <c r="N266" i="4"/>
  <c r="M266" i="4"/>
  <c r="L266" i="4"/>
  <c r="K266" i="4"/>
  <c r="W265" i="4"/>
  <c r="V265" i="4"/>
  <c r="U265" i="4"/>
  <c r="T265" i="4"/>
  <c r="S265" i="4"/>
  <c r="R265" i="4"/>
  <c r="Q265" i="4"/>
  <c r="P265" i="4"/>
  <c r="O265" i="4"/>
  <c r="N265" i="4"/>
  <c r="M265" i="4"/>
  <c r="L265" i="4"/>
  <c r="K265" i="4"/>
  <c r="W264" i="4"/>
  <c r="V264" i="4"/>
  <c r="U264" i="4"/>
  <c r="T264" i="4"/>
  <c r="S264" i="4"/>
  <c r="R264" i="4"/>
  <c r="Q264" i="4"/>
  <c r="P264" i="4"/>
  <c r="O264" i="4"/>
  <c r="N264" i="4"/>
  <c r="M264" i="4"/>
  <c r="L264" i="4"/>
  <c r="K264" i="4"/>
  <c r="W263" i="4"/>
  <c r="V263" i="4"/>
  <c r="U263" i="4"/>
  <c r="T263" i="4"/>
  <c r="S263" i="4"/>
  <c r="R263" i="4"/>
  <c r="Q263" i="4"/>
  <c r="P263" i="4"/>
  <c r="O263" i="4"/>
  <c r="N263" i="4"/>
  <c r="M263" i="4"/>
  <c r="L263" i="4"/>
  <c r="K263" i="4"/>
  <c r="W262" i="4"/>
  <c r="V262" i="4"/>
  <c r="U262" i="4"/>
  <c r="T262" i="4"/>
  <c r="S262" i="4"/>
  <c r="R262" i="4"/>
  <c r="Q262" i="4"/>
  <c r="P262" i="4"/>
  <c r="O262" i="4"/>
  <c r="N262" i="4"/>
  <c r="M262" i="4"/>
  <c r="L262" i="4"/>
  <c r="K262" i="4"/>
  <c r="W261" i="4"/>
  <c r="V261" i="4"/>
  <c r="U261" i="4"/>
  <c r="T261" i="4"/>
  <c r="S261" i="4"/>
  <c r="R261" i="4"/>
  <c r="Q261" i="4"/>
  <c r="P261" i="4"/>
  <c r="O261" i="4"/>
  <c r="N261" i="4"/>
  <c r="M261" i="4"/>
  <c r="L261" i="4"/>
  <c r="K261" i="4"/>
  <c r="W260" i="4"/>
  <c r="V260" i="4"/>
  <c r="U260" i="4"/>
  <c r="T260" i="4"/>
  <c r="S260" i="4"/>
  <c r="R260" i="4"/>
  <c r="Q260" i="4"/>
  <c r="P260" i="4"/>
  <c r="O260" i="4"/>
  <c r="N260" i="4"/>
  <c r="M260" i="4"/>
  <c r="L260" i="4"/>
  <c r="K260" i="4"/>
  <c r="W259" i="4"/>
  <c r="V259" i="4"/>
  <c r="U259" i="4"/>
  <c r="T259" i="4"/>
  <c r="S259" i="4"/>
  <c r="R259" i="4"/>
  <c r="Q259" i="4"/>
  <c r="P259" i="4"/>
  <c r="O259" i="4"/>
  <c r="N259" i="4"/>
  <c r="M259" i="4"/>
  <c r="L259" i="4"/>
  <c r="K259" i="4"/>
  <c r="W258" i="4"/>
  <c r="V258" i="4"/>
  <c r="U258" i="4"/>
  <c r="T258" i="4"/>
  <c r="S258" i="4"/>
  <c r="R258" i="4"/>
  <c r="Q258" i="4"/>
  <c r="P258" i="4"/>
  <c r="O258" i="4"/>
  <c r="N258" i="4"/>
  <c r="M258" i="4"/>
  <c r="L258" i="4"/>
  <c r="K258" i="4"/>
  <c r="W257" i="4"/>
  <c r="V257" i="4"/>
  <c r="U257" i="4"/>
  <c r="T257" i="4"/>
  <c r="S257" i="4"/>
  <c r="R257" i="4"/>
  <c r="Q257" i="4"/>
  <c r="P257" i="4"/>
  <c r="O257" i="4"/>
  <c r="N257" i="4"/>
  <c r="M257" i="4"/>
  <c r="L257" i="4"/>
  <c r="K257" i="4"/>
  <c r="W256" i="4"/>
  <c r="V256" i="4"/>
  <c r="U256" i="4"/>
  <c r="T256" i="4"/>
  <c r="S256" i="4"/>
  <c r="R256" i="4"/>
  <c r="Q256" i="4"/>
  <c r="P256" i="4"/>
  <c r="O256" i="4"/>
  <c r="N256" i="4"/>
  <c r="M256" i="4"/>
  <c r="L256" i="4"/>
  <c r="K256" i="4"/>
  <c r="W255" i="4"/>
  <c r="V255" i="4"/>
  <c r="U255" i="4"/>
  <c r="T255" i="4"/>
  <c r="S255" i="4"/>
  <c r="R255" i="4"/>
  <c r="Q255" i="4"/>
  <c r="P255" i="4"/>
  <c r="O255" i="4"/>
  <c r="N255" i="4"/>
  <c r="M255" i="4"/>
  <c r="L255" i="4"/>
  <c r="K255" i="4"/>
  <c r="W254" i="4"/>
  <c r="V254" i="4"/>
  <c r="U254" i="4"/>
  <c r="T254" i="4"/>
  <c r="S254" i="4"/>
  <c r="R254" i="4"/>
  <c r="Q254" i="4"/>
  <c r="P254" i="4"/>
  <c r="O254" i="4"/>
  <c r="N254" i="4"/>
  <c r="M254" i="4"/>
  <c r="L254" i="4"/>
  <c r="K254" i="4"/>
  <c r="W253" i="4"/>
  <c r="V253" i="4"/>
  <c r="U253" i="4"/>
  <c r="T253" i="4"/>
  <c r="S253" i="4"/>
  <c r="R253" i="4"/>
  <c r="Q253" i="4"/>
  <c r="P253" i="4"/>
  <c r="O253" i="4"/>
  <c r="N253" i="4"/>
  <c r="M253" i="4"/>
  <c r="L253" i="4"/>
  <c r="K253" i="4"/>
  <c r="W252" i="4"/>
  <c r="V252" i="4"/>
  <c r="U252" i="4"/>
  <c r="T252" i="4"/>
  <c r="S252" i="4"/>
  <c r="R252" i="4"/>
  <c r="Q252" i="4"/>
  <c r="P252" i="4"/>
  <c r="O252" i="4"/>
  <c r="N252" i="4"/>
  <c r="M252" i="4"/>
  <c r="L252" i="4"/>
  <c r="K252" i="4"/>
  <c r="W251" i="4"/>
  <c r="V251" i="4"/>
  <c r="U251" i="4"/>
  <c r="T251" i="4"/>
  <c r="S251" i="4"/>
  <c r="R251" i="4"/>
  <c r="Q251" i="4"/>
  <c r="P251" i="4"/>
  <c r="O251" i="4"/>
  <c r="N251" i="4"/>
  <c r="M251" i="4"/>
  <c r="L251" i="4"/>
  <c r="K251" i="4"/>
  <c r="W250" i="4"/>
  <c r="V250" i="4"/>
  <c r="U250" i="4"/>
  <c r="T250" i="4"/>
  <c r="S250" i="4"/>
  <c r="R250" i="4"/>
  <c r="Q250" i="4"/>
  <c r="P250" i="4"/>
  <c r="O250" i="4"/>
  <c r="N250" i="4"/>
  <c r="M250" i="4"/>
  <c r="L250" i="4"/>
  <c r="K250" i="4"/>
  <c r="W249" i="4"/>
  <c r="V249" i="4"/>
  <c r="U249" i="4"/>
  <c r="T249" i="4"/>
  <c r="S249" i="4"/>
  <c r="R249" i="4"/>
  <c r="Q249" i="4"/>
  <c r="P249" i="4"/>
  <c r="O249" i="4"/>
  <c r="N249" i="4"/>
  <c r="M249" i="4"/>
  <c r="L249" i="4"/>
  <c r="K249" i="4"/>
  <c r="W248" i="4"/>
  <c r="V248" i="4"/>
  <c r="U248" i="4"/>
  <c r="T248" i="4"/>
  <c r="S248" i="4"/>
  <c r="R248" i="4"/>
  <c r="Q248" i="4"/>
  <c r="P248" i="4"/>
  <c r="O248" i="4"/>
  <c r="N248" i="4"/>
  <c r="M248" i="4"/>
  <c r="L248" i="4"/>
  <c r="K248" i="4"/>
  <c r="W247" i="4"/>
  <c r="V247" i="4"/>
  <c r="U247" i="4"/>
  <c r="T247" i="4"/>
  <c r="S247" i="4"/>
  <c r="R247" i="4"/>
  <c r="Q247" i="4"/>
  <c r="P247" i="4"/>
  <c r="O247" i="4"/>
  <c r="N247" i="4"/>
  <c r="M247" i="4"/>
  <c r="L247" i="4"/>
  <c r="K247" i="4"/>
  <c r="W246" i="4"/>
  <c r="V246" i="4"/>
  <c r="U246" i="4"/>
  <c r="T246" i="4"/>
  <c r="S246" i="4"/>
  <c r="R246" i="4"/>
  <c r="Q246" i="4"/>
  <c r="P246" i="4"/>
  <c r="O246" i="4"/>
  <c r="N246" i="4"/>
  <c r="M246" i="4"/>
  <c r="L246" i="4"/>
  <c r="K246" i="4"/>
  <c r="W245" i="4"/>
  <c r="V245" i="4"/>
  <c r="U245" i="4"/>
  <c r="T245" i="4"/>
  <c r="S245" i="4"/>
  <c r="R245" i="4"/>
  <c r="Q245" i="4"/>
  <c r="P245" i="4"/>
  <c r="O245" i="4"/>
  <c r="N245" i="4"/>
  <c r="M245" i="4"/>
  <c r="L245" i="4"/>
  <c r="K245" i="4"/>
  <c r="W244" i="4"/>
  <c r="V244" i="4"/>
  <c r="U244" i="4"/>
  <c r="T244" i="4"/>
  <c r="S244" i="4"/>
  <c r="R244" i="4"/>
  <c r="Q244" i="4"/>
  <c r="P244" i="4"/>
  <c r="O244" i="4"/>
  <c r="N244" i="4"/>
  <c r="M244" i="4"/>
  <c r="L244" i="4"/>
  <c r="K244" i="4"/>
  <c r="W243" i="4"/>
  <c r="V243" i="4"/>
  <c r="U243" i="4"/>
  <c r="T243" i="4"/>
  <c r="S243" i="4"/>
  <c r="R243" i="4"/>
  <c r="Q243" i="4"/>
  <c r="P243" i="4"/>
  <c r="O243" i="4"/>
  <c r="N243" i="4"/>
  <c r="M243" i="4"/>
  <c r="L243" i="4"/>
  <c r="K243" i="4"/>
  <c r="W242" i="4"/>
  <c r="V242" i="4"/>
  <c r="U242" i="4"/>
  <c r="T242" i="4"/>
  <c r="S242" i="4"/>
  <c r="R242" i="4"/>
  <c r="Q242" i="4"/>
  <c r="P242" i="4"/>
  <c r="O242" i="4"/>
  <c r="N242" i="4"/>
  <c r="M242" i="4"/>
  <c r="L242" i="4"/>
  <c r="K242" i="4"/>
  <c r="W241" i="4"/>
  <c r="V241" i="4"/>
  <c r="U241" i="4"/>
  <c r="T241" i="4"/>
  <c r="S241" i="4"/>
  <c r="R241" i="4"/>
  <c r="Q241" i="4"/>
  <c r="P241" i="4"/>
  <c r="O241" i="4"/>
  <c r="N241" i="4"/>
  <c r="M241" i="4"/>
  <c r="L241" i="4"/>
  <c r="K241" i="4"/>
  <c r="W240" i="4"/>
  <c r="V240" i="4"/>
  <c r="U240" i="4"/>
  <c r="T240" i="4"/>
  <c r="S240" i="4"/>
  <c r="R240" i="4"/>
  <c r="Q240" i="4"/>
  <c r="P240" i="4"/>
  <c r="O240" i="4"/>
  <c r="N240" i="4"/>
  <c r="M240" i="4"/>
  <c r="L240" i="4"/>
  <c r="K240" i="4"/>
  <c r="W239" i="4"/>
  <c r="V239" i="4"/>
  <c r="U239" i="4"/>
  <c r="T239" i="4"/>
  <c r="S239" i="4"/>
  <c r="R239" i="4"/>
  <c r="Q239" i="4"/>
  <c r="P239" i="4"/>
  <c r="O239" i="4"/>
  <c r="N239" i="4"/>
  <c r="M239" i="4"/>
  <c r="L239" i="4"/>
  <c r="K239" i="4"/>
  <c r="W238" i="4"/>
  <c r="V238" i="4"/>
  <c r="U238" i="4"/>
  <c r="T238" i="4"/>
  <c r="S238" i="4"/>
  <c r="R238" i="4"/>
  <c r="Q238" i="4"/>
  <c r="P238" i="4"/>
  <c r="O238" i="4"/>
  <c r="N238" i="4"/>
  <c r="M238" i="4"/>
  <c r="L238" i="4"/>
  <c r="K238" i="4"/>
  <c r="W237" i="4"/>
  <c r="V237" i="4"/>
  <c r="U237" i="4"/>
  <c r="T237" i="4"/>
  <c r="S237" i="4"/>
  <c r="R237" i="4"/>
  <c r="Q237" i="4"/>
  <c r="P237" i="4"/>
  <c r="O237" i="4"/>
  <c r="N237" i="4"/>
  <c r="M237" i="4"/>
  <c r="L237" i="4"/>
  <c r="K237" i="4"/>
  <c r="W236" i="4"/>
  <c r="V236" i="4"/>
  <c r="U236" i="4"/>
  <c r="T236" i="4"/>
  <c r="S236" i="4"/>
  <c r="R236" i="4"/>
  <c r="Q236" i="4"/>
  <c r="P236" i="4"/>
  <c r="O236" i="4"/>
  <c r="N236" i="4"/>
  <c r="M236" i="4"/>
  <c r="L236" i="4"/>
  <c r="K236" i="4"/>
  <c r="W235" i="4"/>
  <c r="V235" i="4"/>
  <c r="U235" i="4"/>
  <c r="T235" i="4"/>
  <c r="S235" i="4"/>
  <c r="R235" i="4"/>
  <c r="Q235" i="4"/>
  <c r="P235" i="4"/>
  <c r="O235" i="4"/>
  <c r="N235" i="4"/>
  <c r="M235" i="4"/>
  <c r="L235" i="4"/>
  <c r="K235" i="4"/>
  <c r="W234" i="4"/>
  <c r="V234" i="4"/>
  <c r="U234" i="4"/>
  <c r="T234" i="4"/>
  <c r="S234" i="4"/>
  <c r="R234" i="4"/>
  <c r="Q234" i="4"/>
  <c r="P234" i="4"/>
  <c r="O234" i="4"/>
  <c r="N234" i="4"/>
  <c r="M234" i="4"/>
  <c r="L234" i="4"/>
  <c r="K234" i="4"/>
  <c r="W233" i="4"/>
  <c r="V233" i="4"/>
  <c r="U233" i="4"/>
  <c r="T233" i="4"/>
  <c r="S233" i="4"/>
  <c r="R233" i="4"/>
  <c r="Q233" i="4"/>
  <c r="P233" i="4"/>
  <c r="O233" i="4"/>
  <c r="N233" i="4"/>
  <c r="M233" i="4"/>
  <c r="L233" i="4"/>
  <c r="K233" i="4"/>
  <c r="W232" i="4"/>
  <c r="V232" i="4"/>
  <c r="U232" i="4"/>
  <c r="T232" i="4"/>
  <c r="S232" i="4"/>
  <c r="R232" i="4"/>
  <c r="Q232" i="4"/>
  <c r="P232" i="4"/>
  <c r="O232" i="4"/>
  <c r="N232" i="4"/>
  <c r="M232" i="4"/>
  <c r="L232" i="4"/>
  <c r="K232" i="4"/>
  <c r="W231" i="4"/>
  <c r="V231" i="4"/>
  <c r="U231" i="4"/>
  <c r="T231" i="4"/>
  <c r="S231" i="4"/>
  <c r="R231" i="4"/>
  <c r="Q231" i="4"/>
  <c r="P231" i="4"/>
  <c r="O231" i="4"/>
  <c r="N231" i="4"/>
  <c r="M231" i="4"/>
  <c r="L231" i="4"/>
  <c r="K231" i="4"/>
  <c r="W230" i="4"/>
  <c r="V230" i="4"/>
  <c r="U230" i="4"/>
  <c r="T230" i="4"/>
  <c r="S230" i="4"/>
  <c r="R230" i="4"/>
  <c r="Q230" i="4"/>
  <c r="P230" i="4"/>
  <c r="O230" i="4"/>
  <c r="N230" i="4"/>
  <c r="M230" i="4"/>
  <c r="L230" i="4"/>
  <c r="K230" i="4"/>
  <c r="W229" i="4"/>
  <c r="V229" i="4"/>
  <c r="U229" i="4"/>
  <c r="T229" i="4"/>
  <c r="S229" i="4"/>
  <c r="R229" i="4"/>
  <c r="Q229" i="4"/>
  <c r="P229" i="4"/>
  <c r="O229" i="4"/>
  <c r="N229" i="4"/>
  <c r="M229" i="4"/>
  <c r="L229" i="4"/>
  <c r="K229" i="4"/>
  <c r="W228" i="4"/>
  <c r="V228" i="4"/>
  <c r="U228" i="4"/>
  <c r="T228" i="4"/>
  <c r="S228" i="4"/>
  <c r="R228" i="4"/>
  <c r="Q228" i="4"/>
  <c r="P228" i="4"/>
  <c r="O228" i="4"/>
  <c r="N228" i="4"/>
  <c r="M228" i="4"/>
  <c r="L228" i="4"/>
  <c r="K228" i="4"/>
  <c r="W227" i="4"/>
  <c r="V227" i="4"/>
  <c r="U227" i="4"/>
  <c r="T227" i="4"/>
  <c r="S227" i="4"/>
  <c r="R227" i="4"/>
  <c r="Q227" i="4"/>
  <c r="P227" i="4"/>
  <c r="O227" i="4"/>
  <c r="N227" i="4"/>
  <c r="M227" i="4"/>
  <c r="L227" i="4"/>
  <c r="K227" i="4"/>
  <c r="W226" i="4"/>
  <c r="V226" i="4"/>
  <c r="U226" i="4"/>
  <c r="T226" i="4"/>
  <c r="S226" i="4"/>
  <c r="R226" i="4"/>
  <c r="Q226" i="4"/>
  <c r="P226" i="4"/>
  <c r="O226" i="4"/>
  <c r="N226" i="4"/>
  <c r="M226" i="4"/>
  <c r="L226" i="4"/>
  <c r="K226" i="4"/>
  <c r="W225" i="4"/>
  <c r="V225" i="4"/>
  <c r="U225" i="4"/>
  <c r="T225" i="4"/>
  <c r="S225" i="4"/>
  <c r="R225" i="4"/>
  <c r="Q225" i="4"/>
  <c r="P225" i="4"/>
  <c r="O225" i="4"/>
  <c r="N225" i="4"/>
  <c r="M225" i="4"/>
  <c r="L225" i="4"/>
  <c r="K225" i="4"/>
  <c r="W224" i="4"/>
  <c r="V224" i="4"/>
  <c r="U224" i="4"/>
  <c r="T224" i="4"/>
  <c r="S224" i="4"/>
  <c r="R224" i="4"/>
  <c r="Q224" i="4"/>
  <c r="P224" i="4"/>
  <c r="O224" i="4"/>
  <c r="N224" i="4"/>
  <c r="M224" i="4"/>
  <c r="L224" i="4"/>
  <c r="K224" i="4"/>
  <c r="W223" i="4"/>
  <c r="V223" i="4"/>
  <c r="U223" i="4"/>
  <c r="T223" i="4"/>
  <c r="S223" i="4"/>
  <c r="R223" i="4"/>
  <c r="Q223" i="4"/>
  <c r="P223" i="4"/>
  <c r="O223" i="4"/>
  <c r="N223" i="4"/>
  <c r="M223" i="4"/>
  <c r="L223" i="4"/>
  <c r="K223" i="4"/>
  <c r="W222" i="4"/>
  <c r="V222" i="4"/>
  <c r="U222" i="4"/>
  <c r="T222" i="4"/>
  <c r="S222" i="4"/>
  <c r="R222" i="4"/>
  <c r="Q222" i="4"/>
  <c r="P222" i="4"/>
  <c r="O222" i="4"/>
  <c r="N222" i="4"/>
  <c r="M222" i="4"/>
  <c r="L222" i="4"/>
  <c r="K222" i="4"/>
  <c r="W221" i="4"/>
  <c r="V221" i="4"/>
  <c r="U221" i="4"/>
  <c r="T221" i="4"/>
  <c r="S221" i="4"/>
  <c r="R221" i="4"/>
  <c r="Q221" i="4"/>
  <c r="P221" i="4"/>
  <c r="O221" i="4"/>
  <c r="N221" i="4"/>
  <c r="M221" i="4"/>
  <c r="L221" i="4"/>
  <c r="K221" i="4"/>
  <c r="W220" i="4"/>
  <c r="V220" i="4"/>
  <c r="U220" i="4"/>
  <c r="T220" i="4"/>
  <c r="S220" i="4"/>
  <c r="R220" i="4"/>
  <c r="Q220" i="4"/>
  <c r="P220" i="4"/>
  <c r="O220" i="4"/>
  <c r="N220" i="4"/>
  <c r="M220" i="4"/>
  <c r="L220" i="4"/>
  <c r="K220" i="4"/>
  <c r="W219" i="4"/>
  <c r="V219" i="4"/>
  <c r="U219" i="4"/>
  <c r="T219" i="4"/>
  <c r="S219" i="4"/>
  <c r="R219" i="4"/>
  <c r="Q219" i="4"/>
  <c r="P219" i="4"/>
  <c r="O219" i="4"/>
  <c r="N219" i="4"/>
  <c r="M219" i="4"/>
  <c r="L219" i="4"/>
  <c r="K219" i="4"/>
  <c r="W218" i="4"/>
  <c r="V218" i="4"/>
  <c r="U218" i="4"/>
  <c r="T218" i="4"/>
  <c r="S218" i="4"/>
  <c r="R218" i="4"/>
  <c r="Q218" i="4"/>
  <c r="P218" i="4"/>
  <c r="O218" i="4"/>
  <c r="N218" i="4"/>
  <c r="M218" i="4"/>
  <c r="L218" i="4"/>
  <c r="K218" i="4"/>
  <c r="W217" i="4"/>
  <c r="V217" i="4"/>
  <c r="U217" i="4"/>
  <c r="T217" i="4"/>
  <c r="S217" i="4"/>
  <c r="R217" i="4"/>
  <c r="Q217" i="4"/>
  <c r="P217" i="4"/>
  <c r="O217" i="4"/>
  <c r="N217" i="4"/>
  <c r="M217" i="4"/>
  <c r="L217" i="4"/>
  <c r="K217" i="4"/>
  <c r="W216" i="4"/>
  <c r="V216" i="4"/>
  <c r="U216" i="4"/>
  <c r="T216" i="4"/>
  <c r="S216" i="4"/>
  <c r="R216" i="4"/>
  <c r="Q216" i="4"/>
  <c r="P216" i="4"/>
  <c r="O216" i="4"/>
  <c r="N216" i="4"/>
  <c r="M216" i="4"/>
  <c r="L216" i="4"/>
  <c r="K216" i="4"/>
  <c r="W215" i="4"/>
  <c r="V215" i="4"/>
  <c r="U215" i="4"/>
  <c r="T215" i="4"/>
  <c r="S215" i="4"/>
  <c r="R215" i="4"/>
  <c r="Q215" i="4"/>
  <c r="P215" i="4"/>
  <c r="O215" i="4"/>
  <c r="N215" i="4"/>
  <c r="M215" i="4"/>
  <c r="L215" i="4"/>
  <c r="K215" i="4"/>
  <c r="W214" i="4"/>
  <c r="V214" i="4"/>
  <c r="U214" i="4"/>
  <c r="T214" i="4"/>
  <c r="S214" i="4"/>
  <c r="R214" i="4"/>
  <c r="Q214" i="4"/>
  <c r="P214" i="4"/>
  <c r="O214" i="4"/>
  <c r="N214" i="4"/>
  <c r="M214" i="4"/>
  <c r="L214" i="4"/>
  <c r="K214" i="4"/>
  <c r="W213" i="4"/>
  <c r="V213" i="4"/>
  <c r="U213" i="4"/>
  <c r="T213" i="4"/>
  <c r="S213" i="4"/>
  <c r="R213" i="4"/>
  <c r="Q213" i="4"/>
  <c r="P213" i="4"/>
  <c r="O213" i="4"/>
  <c r="N213" i="4"/>
  <c r="M213" i="4"/>
  <c r="L213" i="4"/>
  <c r="K213" i="4"/>
  <c r="W212" i="4"/>
  <c r="V212" i="4"/>
  <c r="U212" i="4"/>
  <c r="T212" i="4"/>
  <c r="S212" i="4"/>
  <c r="R212" i="4"/>
  <c r="Q212" i="4"/>
  <c r="P212" i="4"/>
  <c r="O212" i="4"/>
  <c r="N212" i="4"/>
  <c r="M212" i="4"/>
  <c r="L212" i="4"/>
  <c r="K212" i="4"/>
  <c r="W211" i="4"/>
  <c r="V211" i="4"/>
  <c r="U211" i="4"/>
  <c r="T211" i="4"/>
  <c r="S211" i="4"/>
  <c r="R211" i="4"/>
  <c r="Q211" i="4"/>
  <c r="P211" i="4"/>
  <c r="O211" i="4"/>
  <c r="N211" i="4"/>
  <c r="M211" i="4"/>
  <c r="L211" i="4"/>
  <c r="K211" i="4"/>
  <c r="W210" i="4"/>
  <c r="V210" i="4"/>
  <c r="U210" i="4"/>
  <c r="T210" i="4"/>
  <c r="S210" i="4"/>
  <c r="R210" i="4"/>
  <c r="Q210" i="4"/>
  <c r="P210" i="4"/>
  <c r="O210" i="4"/>
  <c r="N210" i="4"/>
  <c r="M210" i="4"/>
  <c r="L210" i="4"/>
  <c r="K210" i="4"/>
  <c r="W209" i="4"/>
  <c r="V209" i="4"/>
  <c r="U209" i="4"/>
  <c r="T209" i="4"/>
  <c r="S209" i="4"/>
  <c r="R209" i="4"/>
  <c r="Q209" i="4"/>
  <c r="P209" i="4"/>
  <c r="O209" i="4"/>
  <c r="N209" i="4"/>
  <c r="M209" i="4"/>
  <c r="L209" i="4"/>
  <c r="K209" i="4"/>
  <c r="W208" i="4"/>
  <c r="V208" i="4"/>
  <c r="U208" i="4"/>
  <c r="T208" i="4"/>
  <c r="S208" i="4"/>
  <c r="R208" i="4"/>
  <c r="Q208" i="4"/>
  <c r="P208" i="4"/>
  <c r="O208" i="4"/>
  <c r="N208" i="4"/>
  <c r="M208" i="4"/>
  <c r="L208" i="4"/>
  <c r="K208" i="4"/>
  <c r="W207" i="4"/>
  <c r="V207" i="4"/>
  <c r="U207" i="4"/>
  <c r="T207" i="4"/>
  <c r="S207" i="4"/>
  <c r="R207" i="4"/>
  <c r="Q207" i="4"/>
  <c r="P207" i="4"/>
  <c r="O207" i="4"/>
  <c r="N207" i="4"/>
  <c r="M207" i="4"/>
  <c r="L207" i="4"/>
  <c r="K207" i="4"/>
  <c r="W206" i="4"/>
  <c r="V206" i="4"/>
  <c r="U206" i="4"/>
  <c r="T206" i="4"/>
  <c r="S206" i="4"/>
  <c r="R206" i="4"/>
  <c r="Q206" i="4"/>
  <c r="P206" i="4"/>
  <c r="O206" i="4"/>
  <c r="N206" i="4"/>
  <c r="M206" i="4"/>
  <c r="L206" i="4"/>
  <c r="K206" i="4"/>
  <c r="W205" i="4"/>
  <c r="V205" i="4"/>
  <c r="U205" i="4"/>
  <c r="T205" i="4"/>
  <c r="S205" i="4"/>
  <c r="R205" i="4"/>
  <c r="Q205" i="4"/>
  <c r="P205" i="4"/>
  <c r="O205" i="4"/>
  <c r="N205" i="4"/>
  <c r="M205" i="4"/>
  <c r="L205" i="4"/>
  <c r="K205" i="4"/>
  <c r="W204" i="4"/>
  <c r="V204" i="4"/>
  <c r="U204" i="4"/>
  <c r="T204" i="4"/>
  <c r="S204" i="4"/>
  <c r="R204" i="4"/>
  <c r="Q204" i="4"/>
  <c r="P204" i="4"/>
  <c r="O204" i="4"/>
  <c r="N204" i="4"/>
  <c r="M204" i="4"/>
  <c r="L204" i="4"/>
  <c r="K204" i="4"/>
  <c r="W203" i="4"/>
  <c r="V203" i="4"/>
  <c r="U203" i="4"/>
  <c r="T203" i="4"/>
  <c r="S203" i="4"/>
  <c r="R203" i="4"/>
  <c r="Q203" i="4"/>
  <c r="P203" i="4"/>
  <c r="O203" i="4"/>
  <c r="N203" i="4"/>
  <c r="M203" i="4"/>
  <c r="L203" i="4"/>
  <c r="K203" i="4"/>
  <c r="W202" i="4"/>
  <c r="V202" i="4"/>
  <c r="U202" i="4"/>
  <c r="T202" i="4"/>
  <c r="S202" i="4"/>
  <c r="R202" i="4"/>
  <c r="Q202" i="4"/>
  <c r="P202" i="4"/>
  <c r="O202" i="4"/>
  <c r="N202" i="4"/>
  <c r="M202" i="4"/>
  <c r="L202" i="4"/>
  <c r="K202" i="4"/>
  <c r="W201" i="4"/>
  <c r="V201" i="4"/>
  <c r="U201" i="4"/>
  <c r="T201" i="4"/>
  <c r="S201" i="4"/>
  <c r="R201" i="4"/>
  <c r="Q201" i="4"/>
  <c r="P201" i="4"/>
  <c r="O201" i="4"/>
  <c r="N201" i="4"/>
  <c r="M201" i="4"/>
  <c r="L201" i="4"/>
  <c r="K201" i="4"/>
  <c r="W200" i="4"/>
  <c r="V200" i="4"/>
  <c r="U200" i="4"/>
  <c r="T200" i="4"/>
  <c r="S200" i="4"/>
  <c r="R200" i="4"/>
  <c r="Q200" i="4"/>
  <c r="P200" i="4"/>
  <c r="O200" i="4"/>
  <c r="N200" i="4"/>
  <c r="M200" i="4"/>
  <c r="L200" i="4"/>
  <c r="K200" i="4"/>
  <c r="W199" i="4"/>
  <c r="V199" i="4"/>
  <c r="U199" i="4"/>
  <c r="T199" i="4"/>
  <c r="S199" i="4"/>
  <c r="R199" i="4"/>
  <c r="Q199" i="4"/>
  <c r="P199" i="4"/>
  <c r="O199" i="4"/>
  <c r="N199" i="4"/>
  <c r="M199" i="4"/>
  <c r="L199" i="4"/>
  <c r="K199" i="4"/>
  <c r="W198" i="4"/>
  <c r="V198" i="4"/>
  <c r="U198" i="4"/>
  <c r="T198" i="4"/>
  <c r="S198" i="4"/>
  <c r="R198" i="4"/>
  <c r="Q198" i="4"/>
  <c r="P198" i="4"/>
  <c r="O198" i="4"/>
  <c r="N198" i="4"/>
  <c r="M198" i="4"/>
  <c r="L198" i="4"/>
  <c r="K198" i="4"/>
  <c r="W197" i="4"/>
  <c r="V197" i="4"/>
  <c r="U197" i="4"/>
  <c r="T197" i="4"/>
  <c r="S197" i="4"/>
  <c r="R197" i="4"/>
  <c r="Q197" i="4"/>
  <c r="P197" i="4"/>
  <c r="O197" i="4"/>
  <c r="N197" i="4"/>
  <c r="M197" i="4"/>
  <c r="L197" i="4"/>
  <c r="K197" i="4"/>
  <c r="W196" i="4"/>
  <c r="V196" i="4"/>
  <c r="U196" i="4"/>
  <c r="T196" i="4"/>
  <c r="S196" i="4"/>
  <c r="R196" i="4"/>
  <c r="Q196" i="4"/>
  <c r="P196" i="4"/>
  <c r="O196" i="4"/>
  <c r="N196" i="4"/>
  <c r="M196" i="4"/>
  <c r="L196" i="4"/>
  <c r="K196" i="4"/>
  <c r="W195" i="4"/>
  <c r="V195" i="4"/>
  <c r="U195" i="4"/>
  <c r="T195" i="4"/>
  <c r="S195" i="4"/>
  <c r="R195" i="4"/>
  <c r="Q195" i="4"/>
  <c r="P195" i="4"/>
  <c r="O195" i="4"/>
  <c r="N195" i="4"/>
  <c r="M195" i="4"/>
  <c r="L195" i="4"/>
  <c r="K195" i="4"/>
  <c r="W194" i="4"/>
  <c r="V194" i="4"/>
  <c r="U194" i="4"/>
  <c r="T194" i="4"/>
  <c r="S194" i="4"/>
  <c r="R194" i="4"/>
  <c r="Q194" i="4"/>
  <c r="P194" i="4"/>
  <c r="O194" i="4"/>
  <c r="N194" i="4"/>
  <c r="M194" i="4"/>
  <c r="L194" i="4"/>
  <c r="K194" i="4"/>
  <c r="W193" i="4"/>
  <c r="V193" i="4"/>
  <c r="U193" i="4"/>
  <c r="T193" i="4"/>
  <c r="S193" i="4"/>
  <c r="R193" i="4"/>
  <c r="Q193" i="4"/>
  <c r="P193" i="4"/>
  <c r="O193" i="4"/>
  <c r="N193" i="4"/>
  <c r="M193" i="4"/>
  <c r="L193" i="4"/>
  <c r="K193" i="4"/>
  <c r="W192" i="4"/>
  <c r="V192" i="4"/>
  <c r="U192" i="4"/>
  <c r="T192" i="4"/>
  <c r="S192" i="4"/>
  <c r="R192" i="4"/>
  <c r="Q192" i="4"/>
  <c r="P192" i="4"/>
  <c r="O192" i="4"/>
  <c r="N192" i="4"/>
  <c r="M192" i="4"/>
  <c r="L192" i="4"/>
  <c r="K192" i="4"/>
  <c r="W191" i="4"/>
  <c r="V191" i="4"/>
  <c r="U191" i="4"/>
  <c r="T191" i="4"/>
  <c r="S191" i="4"/>
  <c r="R191" i="4"/>
  <c r="Q191" i="4"/>
  <c r="P191" i="4"/>
  <c r="O191" i="4"/>
  <c r="N191" i="4"/>
  <c r="M191" i="4"/>
  <c r="L191" i="4"/>
  <c r="K191" i="4"/>
  <c r="W190" i="4"/>
  <c r="V190" i="4"/>
  <c r="U190" i="4"/>
  <c r="T190" i="4"/>
  <c r="S190" i="4"/>
  <c r="R190" i="4"/>
  <c r="Q190" i="4"/>
  <c r="P190" i="4"/>
  <c r="O190" i="4"/>
  <c r="N190" i="4"/>
  <c r="M190" i="4"/>
  <c r="L190" i="4"/>
  <c r="K190" i="4"/>
  <c r="W189" i="4"/>
  <c r="V189" i="4"/>
  <c r="U189" i="4"/>
  <c r="T189" i="4"/>
  <c r="S189" i="4"/>
  <c r="R189" i="4"/>
  <c r="Q189" i="4"/>
  <c r="P189" i="4"/>
  <c r="O189" i="4"/>
  <c r="N189" i="4"/>
  <c r="M189" i="4"/>
  <c r="L189" i="4"/>
  <c r="K189" i="4"/>
  <c r="W188" i="4"/>
  <c r="V188" i="4"/>
  <c r="U188" i="4"/>
  <c r="T188" i="4"/>
  <c r="S188" i="4"/>
  <c r="R188" i="4"/>
  <c r="Q188" i="4"/>
  <c r="P188" i="4"/>
  <c r="O188" i="4"/>
  <c r="N188" i="4"/>
  <c r="M188" i="4"/>
  <c r="L188" i="4"/>
  <c r="K188" i="4"/>
  <c r="W187" i="4"/>
  <c r="V187" i="4"/>
  <c r="U187" i="4"/>
  <c r="T187" i="4"/>
  <c r="S187" i="4"/>
  <c r="R187" i="4"/>
  <c r="Q187" i="4"/>
  <c r="P187" i="4"/>
  <c r="O187" i="4"/>
  <c r="N187" i="4"/>
  <c r="M187" i="4"/>
  <c r="L187" i="4"/>
  <c r="K187" i="4"/>
  <c r="W186" i="4"/>
  <c r="V186" i="4"/>
  <c r="U186" i="4"/>
  <c r="T186" i="4"/>
  <c r="S186" i="4"/>
  <c r="R186" i="4"/>
  <c r="Q186" i="4"/>
  <c r="P186" i="4"/>
  <c r="O186" i="4"/>
  <c r="N186" i="4"/>
  <c r="M186" i="4"/>
  <c r="L186" i="4"/>
  <c r="K186" i="4"/>
  <c r="W185" i="4"/>
  <c r="V185" i="4"/>
  <c r="U185" i="4"/>
  <c r="T185" i="4"/>
  <c r="S185" i="4"/>
  <c r="R185" i="4"/>
  <c r="Q185" i="4"/>
  <c r="P185" i="4"/>
  <c r="O185" i="4"/>
  <c r="N185" i="4"/>
  <c r="M185" i="4"/>
  <c r="L185" i="4"/>
  <c r="K185" i="4"/>
  <c r="W184" i="4"/>
  <c r="V184" i="4"/>
  <c r="U184" i="4"/>
  <c r="T184" i="4"/>
  <c r="S184" i="4"/>
  <c r="R184" i="4"/>
  <c r="Q184" i="4"/>
  <c r="P184" i="4"/>
  <c r="O184" i="4"/>
  <c r="N184" i="4"/>
  <c r="M184" i="4"/>
  <c r="L184" i="4"/>
  <c r="K184" i="4"/>
  <c r="W183" i="4"/>
  <c r="V183" i="4"/>
  <c r="U183" i="4"/>
  <c r="T183" i="4"/>
  <c r="S183" i="4"/>
  <c r="R183" i="4"/>
  <c r="Q183" i="4"/>
  <c r="P183" i="4"/>
  <c r="O183" i="4"/>
  <c r="N183" i="4"/>
  <c r="M183" i="4"/>
  <c r="L183" i="4"/>
  <c r="K183" i="4"/>
  <c r="W182" i="4"/>
  <c r="V182" i="4"/>
  <c r="U182" i="4"/>
  <c r="T182" i="4"/>
  <c r="S182" i="4"/>
  <c r="R182" i="4"/>
  <c r="Q182" i="4"/>
  <c r="P182" i="4"/>
  <c r="O182" i="4"/>
  <c r="N182" i="4"/>
  <c r="M182" i="4"/>
  <c r="L182" i="4"/>
  <c r="K182" i="4"/>
  <c r="W181" i="4"/>
  <c r="V181" i="4"/>
  <c r="U181" i="4"/>
  <c r="T181" i="4"/>
  <c r="S181" i="4"/>
  <c r="R181" i="4"/>
  <c r="Q181" i="4"/>
  <c r="P181" i="4"/>
  <c r="O181" i="4"/>
  <c r="N181" i="4"/>
  <c r="M181" i="4"/>
  <c r="L181" i="4"/>
  <c r="K181" i="4"/>
  <c r="W180" i="4"/>
  <c r="V180" i="4"/>
  <c r="U180" i="4"/>
  <c r="T180" i="4"/>
  <c r="S180" i="4"/>
  <c r="R180" i="4"/>
  <c r="Q180" i="4"/>
  <c r="P180" i="4"/>
  <c r="O180" i="4"/>
  <c r="N180" i="4"/>
  <c r="M180" i="4"/>
  <c r="L180" i="4"/>
  <c r="K180" i="4"/>
  <c r="W179" i="4"/>
  <c r="V179" i="4"/>
  <c r="U179" i="4"/>
  <c r="T179" i="4"/>
  <c r="S179" i="4"/>
  <c r="R179" i="4"/>
  <c r="Q179" i="4"/>
  <c r="P179" i="4"/>
  <c r="O179" i="4"/>
  <c r="N179" i="4"/>
  <c r="M179" i="4"/>
  <c r="L179" i="4"/>
  <c r="K179" i="4"/>
  <c r="W178" i="4"/>
  <c r="V178" i="4"/>
  <c r="U178" i="4"/>
  <c r="T178" i="4"/>
  <c r="S178" i="4"/>
  <c r="R178" i="4"/>
  <c r="Q178" i="4"/>
  <c r="P178" i="4"/>
  <c r="O178" i="4"/>
  <c r="N178" i="4"/>
  <c r="M178" i="4"/>
  <c r="L178" i="4"/>
  <c r="K178" i="4"/>
  <c r="W177" i="4"/>
  <c r="V177" i="4"/>
  <c r="U177" i="4"/>
  <c r="T177" i="4"/>
  <c r="S177" i="4"/>
  <c r="R177" i="4"/>
  <c r="Q177" i="4"/>
  <c r="P177" i="4"/>
  <c r="O177" i="4"/>
  <c r="N177" i="4"/>
  <c r="M177" i="4"/>
  <c r="L177" i="4"/>
  <c r="K177" i="4"/>
  <c r="W176" i="4"/>
  <c r="V176" i="4"/>
  <c r="U176" i="4"/>
  <c r="T176" i="4"/>
  <c r="S176" i="4"/>
  <c r="R176" i="4"/>
  <c r="Q176" i="4"/>
  <c r="P176" i="4"/>
  <c r="O176" i="4"/>
  <c r="N176" i="4"/>
  <c r="M176" i="4"/>
  <c r="L176" i="4"/>
  <c r="K176" i="4"/>
  <c r="W175" i="4"/>
  <c r="V175" i="4"/>
  <c r="U175" i="4"/>
  <c r="T175" i="4"/>
  <c r="S175" i="4"/>
  <c r="R175" i="4"/>
  <c r="Q175" i="4"/>
  <c r="P175" i="4"/>
  <c r="O175" i="4"/>
  <c r="N175" i="4"/>
  <c r="M175" i="4"/>
  <c r="L175" i="4"/>
  <c r="K175" i="4"/>
  <c r="W174" i="4"/>
  <c r="V174" i="4"/>
  <c r="U174" i="4"/>
  <c r="T174" i="4"/>
  <c r="S174" i="4"/>
  <c r="R174" i="4"/>
  <c r="Q174" i="4"/>
  <c r="P174" i="4"/>
  <c r="O174" i="4"/>
  <c r="N174" i="4"/>
  <c r="M174" i="4"/>
  <c r="L174" i="4"/>
  <c r="K174" i="4"/>
  <c r="W173" i="4"/>
  <c r="V173" i="4"/>
  <c r="U173" i="4"/>
  <c r="T173" i="4"/>
  <c r="S173" i="4"/>
  <c r="R173" i="4"/>
  <c r="Q173" i="4"/>
  <c r="P173" i="4"/>
  <c r="O173" i="4"/>
  <c r="N173" i="4"/>
  <c r="M173" i="4"/>
  <c r="L173" i="4"/>
  <c r="K173" i="4"/>
  <c r="W172" i="4"/>
  <c r="V172" i="4"/>
  <c r="U172" i="4"/>
  <c r="T172" i="4"/>
  <c r="S172" i="4"/>
  <c r="R172" i="4"/>
  <c r="Q172" i="4"/>
  <c r="P172" i="4"/>
  <c r="O172" i="4"/>
  <c r="N172" i="4"/>
  <c r="M172" i="4"/>
  <c r="L172" i="4"/>
  <c r="K172" i="4"/>
  <c r="W171" i="4"/>
  <c r="V171" i="4"/>
  <c r="U171" i="4"/>
  <c r="T171" i="4"/>
  <c r="S171" i="4"/>
  <c r="R171" i="4"/>
  <c r="Q171" i="4"/>
  <c r="P171" i="4"/>
  <c r="O171" i="4"/>
  <c r="N171" i="4"/>
  <c r="M171" i="4"/>
  <c r="L171" i="4"/>
  <c r="K171" i="4"/>
  <c r="W170" i="4"/>
  <c r="V170" i="4"/>
  <c r="U170" i="4"/>
  <c r="T170" i="4"/>
  <c r="S170" i="4"/>
  <c r="R170" i="4"/>
  <c r="Q170" i="4"/>
  <c r="P170" i="4"/>
  <c r="O170" i="4"/>
  <c r="N170" i="4"/>
  <c r="M170" i="4"/>
  <c r="L170" i="4"/>
  <c r="K170" i="4"/>
  <c r="W169" i="4"/>
  <c r="V169" i="4"/>
  <c r="U169" i="4"/>
  <c r="T169" i="4"/>
  <c r="S169" i="4"/>
  <c r="R169" i="4"/>
  <c r="Q169" i="4"/>
  <c r="P169" i="4"/>
  <c r="O169" i="4"/>
  <c r="N169" i="4"/>
  <c r="M169" i="4"/>
  <c r="L169" i="4"/>
  <c r="K169" i="4"/>
  <c r="W168" i="4"/>
  <c r="V168" i="4"/>
  <c r="U168" i="4"/>
  <c r="T168" i="4"/>
  <c r="S168" i="4"/>
  <c r="R168" i="4"/>
  <c r="Q168" i="4"/>
  <c r="P168" i="4"/>
  <c r="O168" i="4"/>
  <c r="N168" i="4"/>
  <c r="M168" i="4"/>
  <c r="L168" i="4"/>
  <c r="K168" i="4"/>
  <c r="W167" i="4"/>
  <c r="V167" i="4"/>
  <c r="U167" i="4"/>
  <c r="T167" i="4"/>
  <c r="S167" i="4"/>
  <c r="R167" i="4"/>
  <c r="Q167" i="4"/>
  <c r="P167" i="4"/>
  <c r="O167" i="4"/>
  <c r="N167" i="4"/>
  <c r="M167" i="4"/>
  <c r="L167" i="4"/>
  <c r="K167" i="4"/>
  <c r="W166" i="4"/>
  <c r="V166" i="4"/>
  <c r="U166" i="4"/>
  <c r="T166" i="4"/>
  <c r="S166" i="4"/>
  <c r="R166" i="4"/>
  <c r="Q166" i="4"/>
  <c r="P166" i="4"/>
  <c r="O166" i="4"/>
  <c r="N166" i="4"/>
  <c r="M166" i="4"/>
  <c r="L166" i="4"/>
  <c r="K166" i="4"/>
  <c r="W165" i="4"/>
  <c r="V165" i="4"/>
  <c r="U165" i="4"/>
  <c r="T165" i="4"/>
  <c r="S165" i="4"/>
  <c r="R165" i="4"/>
  <c r="Q165" i="4"/>
  <c r="P165" i="4"/>
  <c r="O165" i="4"/>
  <c r="N165" i="4"/>
  <c r="M165" i="4"/>
  <c r="L165" i="4"/>
  <c r="K165" i="4"/>
  <c r="W164" i="4"/>
  <c r="V164" i="4"/>
  <c r="U164" i="4"/>
  <c r="T164" i="4"/>
  <c r="S164" i="4"/>
  <c r="R164" i="4"/>
  <c r="Q164" i="4"/>
  <c r="P164" i="4"/>
  <c r="O164" i="4"/>
  <c r="N164" i="4"/>
  <c r="M164" i="4"/>
  <c r="L164" i="4"/>
  <c r="K164" i="4"/>
  <c r="W163" i="4"/>
  <c r="V163" i="4"/>
  <c r="U163" i="4"/>
  <c r="T163" i="4"/>
  <c r="S163" i="4"/>
  <c r="R163" i="4"/>
  <c r="Q163" i="4"/>
  <c r="P163" i="4"/>
  <c r="O163" i="4"/>
  <c r="N163" i="4"/>
  <c r="M163" i="4"/>
  <c r="L163" i="4"/>
  <c r="K163" i="4"/>
  <c r="W162" i="4"/>
  <c r="V162" i="4"/>
  <c r="U162" i="4"/>
  <c r="T162" i="4"/>
  <c r="S162" i="4"/>
  <c r="R162" i="4"/>
  <c r="Q162" i="4"/>
  <c r="P162" i="4"/>
  <c r="O162" i="4"/>
  <c r="N162" i="4"/>
  <c r="M162" i="4"/>
  <c r="L162" i="4"/>
  <c r="K162" i="4"/>
  <c r="W161" i="4"/>
  <c r="V161" i="4"/>
  <c r="U161" i="4"/>
  <c r="T161" i="4"/>
  <c r="S161" i="4"/>
  <c r="R161" i="4"/>
  <c r="Q161" i="4"/>
  <c r="P161" i="4"/>
  <c r="O161" i="4"/>
  <c r="N161" i="4"/>
  <c r="M161" i="4"/>
  <c r="L161" i="4"/>
  <c r="K161" i="4"/>
  <c r="W160" i="4"/>
  <c r="V160" i="4"/>
  <c r="U160" i="4"/>
  <c r="T160" i="4"/>
  <c r="S160" i="4"/>
  <c r="R160" i="4"/>
  <c r="Q160" i="4"/>
  <c r="P160" i="4"/>
  <c r="O160" i="4"/>
  <c r="N160" i="4"/>
  <c r="M160" i="4"/>
  <c r="L160" i="4"/>
  <c r="K160" i="4"/>
  <c r="W159" i="4"/>
  <c r="V159" i="4"/>
  <c r="U159" i="4"/>
  <c r="T159" i="4"/>
  <c r="S159" i="4"/>
  <c r="R159" i="4"/>
  <c r="Q159" i="4"/>
  <c r="P159" i="4"/>
  <c r="O159" i="4"/>
  <c r="N159" i="4"/>
  <c r="M159" i="4"/>
  <c r="L159" i="4"/>
  <c r="K159" i="4"/>
  <c r="W158" i="4"/>
  <c r="V158" i="4"/>
  <c r="U158" i="4"/>
  <c r="T158" i="4"/>
  <c r="S158" i="4"/>
  <c r="R158" i="4"/>
  <c r="Q158" i="4"/>
  <c r="P158" i="4"/>
  <c r="O158" i="4"/>
  <c r="N158" i="4"/>
  <c r="M158" i="4"/>
  <c r="L158" i="4"/>
  <c r="K158" i="4"/>
  <c r="W157" i="4"/>
  <c r="V157" i="4"/>
  <c r="U157" i="4"/>
  <c r="T157" i="4"/>
  <c r="S157" i="4"/>
  <c r="R157" i="4"/>
  <c r="Q157" i="4"/>
  <c r="P157" i="4"/>
  <c r="O157" i="4"/>
  <c r="N157" i="4"/>
  <c r="M157" i="4"/>
  <c r="L157" i="4"/>
  <c r="K157" i="4"/>
  <c r="W156" i="4"/>
  <c r="V156" i="4"/>
  <c r="U156" i="4"/>
  <c r="T156" i="4"/>
  <c r="S156" i="4"/>
  <c r="R156" i="4"/>
  <c r="Q156" i="4"/>
  <c r="P156" i="4"/>
  <c r="O156" i="4"/>
  <c r="N156" i="4"/>
  <c r="M156" i="4"/>
  <c r="L156" i="4"/>
  <c r="K156" i="4"/>
  <c r="W155" i="4"/>
  <c r="V155" i="4"/>
  <c r="U155" i="4"/>
  <c r="T155" i="4"/>
  <c r="S155" i="4"/>
  <c r="R155" i="4"/>
  <c r="Q155" i="4"/>
  <c r="P155" i="4"/>
  <c r="O155" i="4"/>
  <c r="N155" i="4"/>
  <c r="M155" i="4"/>
  <c r="L155" i="4"/>
  <c r="K155" i="4"/>
  <c r="W154" i="4"/>
  <c r="V154" i="4"/>
  <c r="U154" i="4"/>
  <c r="T154" i="4"/>
  <c r="S154" i="4"/>
  <c r="R154" i="4"/>
  <c r="Q154" i="4"/>
  <c r="P154" i="4"/>
  <c r="O154" i="4"/>
  <c r="N154" i="4"/>
  <c r="M154" i="4"/>
  <c r="L154" i="4"/>
  <c r="K154" i="4"/>
  <c r="W153" i="4"/>
  <c r="V153" i="4"/>
  <c r="U153" i="4"/>
  <c r="T153" i="4"/>
  <c r="S153" i="4"/>
  <c r="R153" i="4"/>
  <c r="Q153" i="4"/>
  <c r="P153" i="4"/>
  <c r="O153" i="4"/>
  <c r="N153" i="4"/>
  <c r="M153" i="4"/>
  <c r="L153" i="4"/>
  <c r="K153" i="4"/>
  <c r="W152" i="4"/>
  <c r="V152" i="4"/>
  <c r="U152" i="4"/>
  <c r="T152" i="4"/>
  <c r="S152" i="4"/>
  <c r="R152" i="4"/>
  <c r="Q152" i="4"/>
  <c r="P152" i="4"/>
  <c r="O152" i="4"/>
  <c r="N152" i="4"/>
  <c r="M152" i="4"/>
  <c r="L152" i="4"/>
  <c r="K152" i="4"/>
  <c r="W151" i="4"/>
  <c r="V151" i="4"/>
  <c r="U151" i="4"/>
  <c r="T151" i="4"/>
  <c r="S151" i="4"/>
  <c r="R151" i="4"/>
  <c r="Q151" i="4"/>
  <c r="P151" i="4"/>
  <c r="O151" i="4"/>
  <c r="N151" i="4"/>
  <c r="M151" i="4"/>
  <c r="L151" i="4"/>
  <c r="K151" i="4"/>
  <c r="W150" i="4"/>
  <c r="V150" i="4"/>
  <c r="U150" i="4"/>
  <c r="T150" i="4"/>
  <c r="S150" i="4"/>
  <c r="R150" i="4"/>
  <c r="Q150" i="4"/>
  <c r="P150" i="4"/>
  <c r="O150" i="4"/>
  <c r="N150" i="4"/>
  <c r="M150" i="4"/>
  <c r="L150" i="4"/>
  <c r="K150" i="4"/>
  <c r="W149" i="4"/>
  <c r="V149" i="4"/>
  <c r="U149" i="4"/>
  <c r="T149" i="4"/>
  <c r="S149" i="4"/>
  <c r="R149" i="4"/>
  <c r="Q149" i="4"/>
  <c r="P149" i="4"/>
  <c r="O149" i="4"/>
  <c r="N149" i="4"/>
  <c r="M149" i="4"/>
  <c r="L149" i="4"/>
  <c r="K149" i="4"/>
  <c r="W148" i="4"/>
  <c r="V148" i="4"/>
  <c r="U148" i="4"/>
  <c r="T148" i="4"/>
  <c r="S148" i="4"/>
  <c r="R148" i="4"/>
  <c r="Q148" i="4"/>
  <c r="P148" i="4"/>
  <c r="O148" i="4"/>
  <c r="N148" i="4"/>
  <c r="M148" i="4"/>
  <c r="L148" i="4"/>
  <c r="K148" i="4"/>
  <c r="W147" i="4"/>
  <c r="V147" i="4"/>
  <c r="U147" i="4"/>
  <c r="T147" i="4"/>
  <c r="S147" i="4"/>
  <c r="R147" i="4"/>
  <c r="Q147" i="4"/>
  <c r="P147" i="4"/>
  <c r="O147" i="4"/>
  <c r="N147" i="4"/>
  <c r="M147" i="4"/>
  <c r="L147" i="4"/>
  <c r="K147" i="4"/>
  <c r="W146" i="4"/>
  <c r="V146" i="4"/>
  <c r="U146" i="4"/>
  <c r="T146" i="4"/>
  <c r="S146" i="4"/>
  <c r="R146" i="4"/>
  <c r="Q146" i="4"/>
  <c r="P146" i="4"/>
  <c r="O146" i="4"/>
  <c r="N146" i="4"/>
  <c r="M146" i="4"/>
  <c r="L146" i="4"/>
  <c r="K146" i="4"/>
  <c r="W145" i="4"/>
  <c r="V145" i="4"/>
  <c r="U145" i="4"/>
  <c r="T145" i="4"/>
  <c r="S145" i="4"/>
  <c r="R145" i="4"/>
  <c r="Q145" i="4"/>
  <c r="P145" i="4"/>
  <c r="O145" i="4"/>
  <c r="N145" i="4"/>
  <c r="M145" i="4"/>
  <c r="L145" i="4"/>
  <c r="K145" i="4"/>
  <c r="W144" i="4"/>
  <c r="V144" i="4"/>
  <c r="U144" i="4"/>
  <c r="T144" i="4"/>
  <c r="S144" i="4"/>
  <c r="R144" i="4"/>
  <c r="Q144" i="4"/>
  <c r="P144" i="4"/>
  <c r="O144" i="4"/>
  <c r="N144" i="4"/>
  <c r="M144" i="4"/>
  <c r="L144" i="4"/>
  <c r="K144" i="4"/>
  <c r="W143" i="4"/>
  <c r="V143" i="4"/>
  <c r="U143" i="4"/>
  <c r="T143" i="4"/>
  <c r="S143" i="4"/>
  <c r="R143" i="4"/>
  <c r="Q143" i="4"/>
  <c r="P143" i="4"/>
  <c r="O143" i="4"/>
  <c r="N143" i="4"/>
  <c r="M143" i="4"/>
  <c r="L143" i="4"/>
  <c r="K143" i="4"/>
  <c r="W142" i="4"/>
  <c r="V142" i="4"/>
  <c r="U142" i="4"/>
  <c r="T142" i="4"/>
  <c r="S142" i="4"/>
  <c r="R142" i="4"/>
  <c r="Q142" i="4"/>
  <c r="P142" i="4"/>
  <c r="O142" i="4"/>
  <c r="N142" i="4"/>
  <c r="M142" i="4"/>
  <c r="L142" i="4"/>
  <c r="K142" i="4"/>
  <c r="W141" i="4"/>
  <c r="V141" i="4"/>
  <c r="U141" i="4"/>
  <c r="T141" i="4"/>
  <c r="S141" i="4"/>
  <c r="R141" i="4"/>
  <c r="Q141" i="4"/>
  <c r="P141" i="4"/>
  <c r="O141" i="4"/>
  <c r="N141" i="4"/>
  <c r="M141" i="4"/>
  <c r="L141" i="4"/>
  <c r="K141" i="4"/>
  <c r="W140" i="4"/>
  <c r="V140" i="4"/>
  <c r="U140" i="4"/>
  <c r="T140" i="4"/>
  <c r="S140" i="4"/>
  <c r="R140" i="4"/>
  <c r="Q140" i="4"/>
  <c r="P140" i="4"/>
  <c r="O140" i="4"/>
  <c r="N140" i="4"/>
  <c r="M140" i="4"/>
  <c r="L140" i="4"/>
  <c r="K140" i="4"/>
  <c r="W139" i="4"/>
  <c r="V139" i="4"/>
  <c r="U139" i="4"/>
  <c r="T139" i="4"/>
  <c r="S139" i="4"/>
  <c r="R139" i="4"/>
  <c r="Q139" i="4"/>
  <c r="P139" i="4"/>
  <c r="O139" i="4"/>
  <c r="N139" i="4"/>
  <c r="M139" i="4"/>
  <c r="L139" i="4"/>
  <c r="K139" i="4"/>
  <c r="W138" i="4"/>
  <c r="V138" i="4"/>
  <c r="U138" i="4"/>
  <c r="T138" i="4"/>
  <c r="S138" i="4"/>
  <c r="R138" i="4"/>
  <c r="Q138" i="4"/>
  <c r="P138" i="4"/>
  <c r="O138" i="4"/>
  <c r="N138" i="4"/>
  <c r="M138" i="4"/>
  <c r="L138" i="4"/>
  <c r="K138" i="4"/>
  <c r="W137" i="4"/>
  <c r="V137" i="4"/>
  <c r="U137" i="4"/>
  <c r="T137" i="4"/>
  <c r="S137" i="4"/>
  <c r="R137" i="4"/>
  <c r="Q137" i="4"/>
  <c r="P137" i="4"/>
  <c r="O137" i="4"/>
  <c r="N137" i="4"/>
  <c r="M137" i="4"/>
  <c r="L137" i="4"/>
  <c r="K137" i="4"/>
  <c r="W136" i="4"/>
  <c r="V136" i="4"/>
  <c r="U136" i="4"/>
  <c r="T136" i="4"/>
  <c r="S136" i="4"/>
  <c r="R136" i="4"/>
  <c r="Q136" i="4"/>
  <c r="P136" i="4"/>
  <c r="O136" i="4"/>
  <c r="N136" i="4"/>
  <c r="M136" i="4"/>
  <c r="L136" i="4"/>
  <c r="K136" i="4"/>
  <c r="W135" i="4"/>
  <c r="V135" i="4"/>
  <c r="U135" i="4"/>
  <c r="T135" i="4"/>
  <c r="S135" i="4"/>
  <c r="R135" i="4"/>
  <c r="Q135" i="4"/>
  <c r="P135" i="4"/>
  <c r="O135" i="4"/>
  <c r="N135" i="4"/>
  <c r="M135" i="4"/>
  <c r="L135" i="4"/>
  <c r="K135" i="4"/>
  <c r="W134" i="4"/>
  <c r="V134" i="4"/>
  <c r="U134" i="4"/>
  <c r="T134" i="4"/>
  <c r="S134" i="4"/>
  <c r="R134" i="4"/>
  <c r="Q134" i="4"/>
  <c r="P134" i="4"/>
  <c r="O134" i="4"/>
  <c r="N134" i="4"/>
  <c r="M134" i="4"/>
  <c r="L134" i="4"/>
  <c r="K134" i="4"/>
  <c r="W133" i="4"/>
  <c r="V133" i="4"/>
  <c r="U133" i="4"/>
  <c r="T133" i="4"/>
  <c r="S133" i="4"/>
  <c r="R133" i="4"/>
  <c r="Q133" i="4"/>
  <c r="P133" i="4"/>
  <c r="O133" i="4"/>
  <c r="N133" i="4"/>
  <c r="M133" i="4"/>
  <c r="L133" i="4"/>
  <c r="K133" i="4"/>
  <c r="W132" i="4"/>
  <c r="V132" i="4"/>
  <c r="U132" i="4"/>
  <c r="T132" i="4"/>
  <c r="S132" i="4"/>
  <c r="R132" i="4"/>
  <c r="Q132" i="4"/>
  <c r="P132" i="4"/>
  <c r="O132" i="4"/>
  <c r="N132" i="4"/>
  <c r="M132" i="4"/>
  <c r="L132" i="4"/>
  <c r="K132" i="4"/>
  <c r="W131" i="4"/>
  <c r="V131" i="4"/>
  <c r="U131" i="4"/>
  <c r="T131" i="4"/>
  <c r="S131" i="4"/>
  <c r="R131" i="4"/>
  <c r="Q131" i="4"/>
  <c r="P131" i="4"/>
  <c r="O131" i="4"/>
  <c r="N131" i="4"/>
  <c r="M131" i="4"/>
  <c r="L131" i="4"/>
  <c r="K131" i="4"/>
  <c r="W130" i="4"/>
  <c r="V130" i="4"/>
  <c r="U130" i="4"/>
  <c r="T130" i="4"/>
  <c r="S130" i="4"/>
  <c r="R130" i="4"/>
  <c r="Q130" i="4"/>
  <c r="P130" i="4"/>
  <c r="O130" i="4"/>
  <c r="N130" i="4"/>
  <c r="M130" i="4"/>
  <c r="L130" i="4"/>
  <c r="K130" i="4"/>
  <c r="W129" i="4"/>
  <c r="V129" i="4"/>
  <c r="U129" i="4"/>
  <c r="T129" i="4"/>
  <c r="S129" i="4"/>
  <c r="R129" i="4"/>
  <c r="Q129" i="4"/>
  <c r="P129" i="4"/>
  <c r="O129" i="4"/>
  <c r="N129" i="4"/>
  <c r="M129" i="4"/>
  <c r="L129" i="4"/>
  <c r="K129" i="4"/>
  <c r="W128" i="4"/>
  <c r="V128" i="4"/>
  <c r="U128" i="4"/>
  <c r="T128" i="4"/>
  <c r="S128" i="4"/>
  <c r="R128" i="4"/>
  <c r="Q128" i="4"/>
  <c r="P128" i="4"/>
  <c r="O128" i="4"/>
  <c r="N128" i="4"/>
  <c r="M128" i="4"/>
  <c r="L128" i="4"/>
  <c r="K128" i="4"/>
  <c r="W127" i="4"/>
  <c r="V127" i="4"/>
  <c r="U127" i="4"/>
  <c r="T127" i="4"/>
  <c r="S127" i="4"/>
  <c r="R127" i="4"/>
  <c r="Q127" i="4"/>
  <c r="P127" i="4"/>
  <c r="O127" i="4"/>
  <c r="N127" i="4"/>
  <c r="M127" i="4"/>
  <c r="L127" i="4"/>
  <c r="K127" i="4"/>
  <c r="W126" i="4"/>
  <c r="V126" i="4"/>
  <c r="U126" i="4"/>
  <c r="T126" i="4"/>
  <c r="S126" i="4"/>
  <c r="R126" i="4"/>
  <c r="Q126" i="4"/>
  <c r="P126" i="4"/>
  <c r="O126" i="4"/>
  <c r="N126" i="4"/>
  <c r="M126" i="4"/>
  <c r="L126" i="4"/>
  <c r="K126" i="4"/>
  <c r="W125" i="4"/>
  <c r="V125" i="4"/>
  <c r="U125" i="4"/>
  <c r="T125" i="4"/>
  <c r="S125" i="4"/>
  <c r="R125" i="4"/>
  <c r="Q125" i="4"/>
  <c r="P125" i="4"/>
  <c r="O125" i="4"/>
  <c r="N125" i="4"/>
  <c r="M125" i="4"/>
  <c r="L125" i="4"/>
  <c r="K125" i="4"/>
  <c r="W124" i="4"/>
  <c r="V124" i="4"/>
  <c r="U124" i="4"/>
  <c r="T124" i="4"/>
  <c r="S124" i="4"/>
  <c r="R124" i="4"/>
  <c r="Q124" i="4"/>
  <c r="P124" i="4"/>
  <c r="O124" i="4"/>
  <c r="N124" i="4"/>
  <c r="M124" i="4"/>
  <c r="L124" i="4"/>
  <c r="K124" i="4"/>
  <c r="W123" i="4"/>
  <c r="V123" i="4"/>
  <c r="U123" i="4"/>
  <c r="T123" i="4"/>
  <c r="S123" i="4"/>
  <c r="R123" i="4"/>
  <c r="Q123" i="4"/>
  <c r="P123" i="4"/>
  <c r="O123" i="4"/>
  <c r="N123" i="4"/>
  <c r="M123" i="4"/>
  <c r="L123" i="4"/>
  <c r="K123" i="4"/>
  <c r="W122" i="4"/>
  <c r="V122" i="4"/>
  <c r="U122" i="4"/>
  <c r="T122" i="4"/>
  <c r="S122" i="4"/>
  <c r="R122" i="4"/>
  <c r="Q122" i="4"/>
  <c r="P122" i="4"/>
  <c r="O122" i="4"/>
  <c r="N122" i="4"/>
  <c r="M122" i="4"/>
  <c r="L122" i="4"/>
  <c r="K122" i="4"/>
  <c r="W121" i="4"/>
  <c r="V121" i="4"/>
  <c r="U121" i="4"/>
  <c r="T121" i="4"/>
  <c r="S121" i="4"/>
  <c r="R121" i="4"/>
  <c r="Q121" i="4"/>
  <c r="P121" i="4"/>
  <c r="O121" i="4"/>
  <c r="N121" i="4"/>
  <c r="M121" i="4"/>
  <c r="L121" i="4"/>
  <c r="K121" i="4"/>
  <c r="W120" i="4"/>
  <c r="V120" i="4"/>
  <c r="U120" i="4"/>
  <c r="T120" i="4"/>
  <c r="S120" i="4"/>
  <c r="R120" i="4"/>
  <c r="Q120" i="4"/>
  <c r="P120" i="4"/>
  <c r="O120" i="4"/>
  <c r="N120" i="4"/>
  <c r="M120" i="4"/>
  <c r="L120" i="4"/>
  <c r="K120" i="4"/>
  <c r="W119" i="4"/>
  <c r="V119" i="4"/>
  <c r="U119" i="4"/>
  <c r="T119" i="4"/>
  <c r="S119" i="4"/>
  <c r="R119" i="4"/>
  <c r="Q119" i="4"/>
  <c r="P119" i="4"/>
  <c r="O119" i="4"/>
  <c r="N119" i="4"/>
  <c r="M119" i="4"/>
  <c r="L119" i="4"/>
  <c r="K119" i="4"/>
  <c r="W118" i="4"/>
  <c r="V118" i="4"/>
  <c r="U118" i="4"/>
  <c r="T118" i="4"/>
  <c r="S118" i="4"/>
  <c r="R118" i="4"/>
  <c r="Q118" i="4"/>
  <c r="P118" i="4"/>
  <c r="O118" i="4"/>
  <c r="N118" i="4"/>
  <c r="M118" i="4"/>
  <c r="L118" i="4"/>
  <c r="K118" i="4"/>
  <c r="W117" i="4"/>
  <c r="V117" i="4"/>
  <c r="U117" i="4"/>
  <c r="T117" i="4"/>
  <c r="S117" i="4"/>
  <c r="R117" i="4"/>
  <c r="Q117" i="4"/>
  <c r="P117" i="4"/>
  <c r="O117" i="4"/>
  <c r="N117" i="4"/>
  <c r="M117" i="4"/>
  <c r="L117" i="4"/>
  <c r="K117" i="4"/>
  <c r="W116" i="4"/>
  <c r="V116" i="4"/>
  <c r="U116" i="4"/>
  <c r="T116" i="4"/>
  <c r="S116" i="4"/>
  <c r="R116" i="4"/>
  <c r="Q116" i="4"/>
  <c r="P116" i="4"/>
  <c r="O116" i="4"/>
  <c r="N116" i="4"/>
  <c r="M116" i="4"/>
  <c r="L116" i="4"/>
  <c r="K116" i="4"/>
  <c r="W115" i="4"/>
  <c r="V115" i="4"/>
  <c r="U115" i="4"/>
  <c r="T115" i="4"/>
  <c r="S115" i="4"/>
  <c r="R115" i="4"/>
  <c r="Q115" i="4"/>
  <c r="P115" i="4"/>
  <c r="O115" i="4"/>
  <c r="N115" i="4"/>
  <c r="M115" i="4"/>
  <c r="L115" i="4"/>
  <c r="K115" i="4"/>
  <c r="W114" i="4"/>
  <c r="V114" i="4"/>
  <c r="U114" i="4"/>
  <c r="T114" i="4"/>
  <c r="S114" i="4"/>
  <c r="R114" i="4"/>
  <c r="Q114" i="4"/>
  <c r="P114" i="4"/>
  <c r="O114" i="4"/>
  <c r="N114" i="4"/>
  <c r="M114" i="4"/>
  <c r="L114" i="4"/>
  <c r="K114" i="4"/>
  <c r="W113" i="4"/>
  <c r="V113" i="4"/>
  <c r="U113" i="4"/>
  <c r="T113" i="4"/>
  <c r="S113" i="4"/>
  <c r="R113" i="4"/>
  <c r="Q113" i="4"/>
  <c r="P113" i="4"/>
  <c r="O113" i="4"/>
  <c r="N113" i="4"/>
  <c r="M113" i="4"/>
  <c r="L113" i="4"/>
  <c r="K113" i="4"/>
  <c r="W112" i="4"/>
  <c r="V112" i="4"/>
  <c r="U112" i="4"/>
  <c r="T112" i="4"/>
  <c r="S112" i="4"/>
  <c r="R112" i="4"/>
  <c r="Q112" i="4"/>
  <c r="P112" i="4"/>
  <c r="O112" i="4"/>
  <c r="N112" i="4"/>
  <c r="M112" i="4"/>
  <c r="L112" i="4"/>
  <c r="K112" i="4"/>
  <c r="W111" i="4"/>
  <c r="V111" i="4"/>
  <c r="U111" i="4"/>
  <c r="T111" i="4"/>
  <c r="S111" i="4"/>
  <c r="R111" i="4"/>
  <c r="Q111" i="4"/>
  <c r="P111" i="4"/>
  <c r="O111" i="4"/>
  <c r="N111" i="4"/>
  <c r="M111" i="4"/>
  <c r="L111" i="4"/>
  <c r="K111" i="4"/>
  <c r="W110" i="4"/>
  <c r="V110" i="4"/>
  <c r="U110" i="4"/>
  <c r="T110" i="4"/>
  <c r="S110" i="4"/>
  <c r="R110" i="4"/>
  <c r="Q110" i="4"/>
  <c r="P110" i="4"/>
  <c r="O110" i="4"/>
  <c r="N110" i="4"/>
  <c r="M110" i="4"/>
  <c r="L110" i="4"/>
  <c r="K110" i="4"/>
  <c r="W109" i="4"/>
  <c r="V109" i="4"/>
  <c r="U109" i="4"/>
  <c r="T109" i="4"/>
  <c r="S109" i="4"/>
  <c r="R109" i="4"/>
  <c r="Q109" i="4"/>
  <c r="P109" i="4"/>
  <c r="O109" i="4"/>
  <c r="N109" i="4"/>
  <c r="M109" i="4"/>
  <c r="L109" i="4"/>
  <c r="K109" i="4"/>
  <c r="W108" i="4"/>
  <c r="V108" i="4"/>
  <c r="U108" i="4"/>
  <c r="T108" i="4"/>
  <c r="S108" i="4"/>
  <c r="R108" i="4"/>
  <c r="Q108" i="4"/>
  <c r="P108" i="4"/>
  <c r="O108" i="4"/>
  <c r="N108" i="4"/>
  <c r="M108" i="4"/>
  <c r="L108" i="4"/>
  <c r="K108" i="4"/>
  <c r="W107" i="4"/>
  <c r="V107" i="4"/>
  <c r="U107" i="4"/>
  <c r="T107" i="4"/>
  <c r="S107" i="4"/>
  <c r="R107" i="4"/>
  <c r="Q107" i="4"/>
  <c r="P107" i="4"/>
  <c r="O107" i="4"/>
  <c r="N107" i="4"/>
  <c r="M107" i="4"/>
  <c r="L107" i="4"/>
  <c r="K107" i="4"/>
  <c r="W106" i="4"/>
  <c r="V106" i="4"/>
  <c r="U106" i="4"/>
  <c r="T106" i="4"/>
  <c r="S106" i="4"/>
  <c r="R106" i="4"/>
  <c r="Q106" i="4"/>
  <c r="P106" i="4"/>
  <c r="O106" i="4"/>
  <c r="N106" i="4"/>
  <c r="M106" i="4"/>
  <c r="L106" i="4"/>
  <c r="K106" i="4"/>
  <c r="W105" i="4"/>
  <c r="V105" i="4"/>
  <c r="U105" i="4"/>
  <c r="T105" i="4"/>
  <c r="S105" i="4"/>
  <c r="R105" i="4"/>
  <c r="Q105" i="4"/>
  <c r="P105" i="4"/>
  <c r="O105" i="4"/>
  <c r="N105" i="4"/>
  <c r="M105" i="4"/>
  <c r="L105" i="4"/>
  <c r="K105" i="4"/>
  <c r="W104" i="4"/>
  <c r="V104" i="4"/>
  <c r="U104" i="4"/>
  <c r="T104" i="4"/>
  <c r="S104" i="4"/>
  <c r="R104" i="4"/>
  <c r="Q104" i="4"/>
  <c r="P104" i="4"/>
  <c r="O104" i="4"/>
  <c r="N104" i="4"/>
  <c r="M104" i="4"/>
  <c r="L104" i="4"/>
  <c r="K104" i="4"/>
  <c r="W103" i="4"/>
  <c r="V103" i="4"/>
  <c r="U103" i="4"/>
  <c r="T103" i="4"/>
  <c r="S103" i="4"/>
  <c r="R103" i="4"/>
  <c r="Q103" i="4"/>
  <c r="P103" i="4"/>
  <c r="O103" i="4"/>
  <c r="N103" i="4"/>
  <c r="M103" i="4"/>
  <c r="L103" i="4"/>
  <c r="K103" i="4"/>
  <c r="W102" i="4"/>
  <c r="V102" i="4"/>
  <c r="U102" i="4"/>
  <c r="T102" i="4"/>
  <c r="S102" i="4"/>
  <c r="R102" i="4"/>
  <c r="Q102" i="4"/>
  <c r="P102" i="4"/>
  <c r="O102" i="4"/>
  <c r="N102" i="4"/>
  <c r="M102" i="4"/>
  <c r="L102" i="4"/>
  <c r="K102" i="4"/>
  <c r="W101" i="4"/>
  <c r="V101" i="4"/>
  <c r="U101" i="4"/>
  <c r="T101" i="4"/>
  <c r="S101" i="4"/>
  <c r="R101" i="4"/>
  <c r="Q101" i="4"/>
  <c r="P101" i="4"/>
  <c r="O101" i="4"/>
  <c r="N101" i="4"/>
  <c r="M101" i="4"/>
  <c r="L101" i="4"/>
  <c r="K101" i="4"/>
  <c r="W100" i="4"/>
  <c r="V100" i="4"/>
  <c r="U100" i="4"/>
  <c r="T100" i="4"/>
  <c r="S100" i="4"/>
  <c r="R100" i="4"/>
  <c r="Q100" i="4"/>
  <c r="P100" i="4"/>
  <c r="O100" i="4"/>
  <c r="N100" i="4"/>
  <c r="M100" i="4"/>
  <c r="L100" i="4"/>
  <c r="K100" i="4"/>
  <c r="W99" i="4"/>
  <c r="V99" i="4"/>
  <c r="U99" i="4"/>
  <c r="T99" i="4"/>
  <c r="S99" i="4"/>
  <c r="R99" i="4"/>
  <c r="Q99" i="4"/>
  <c r="P99" i="4"/>
  <c r="O99" i="4"/>
  <c r="N99" i="4"/>
  <c r="M99" i="4"/>
  <c r="L99" i="4"/>
  <c r="K99" i="4"/>
  <c r="W98" i="4"/>
  <c r="V98" i="4"/>
  <c r="U98" i="4"/>
  <c r="T98" i="4"/>
  <c r="S98" i="4"/>
  <c r="R98" i="4"/>
  <c r="Q98" i="4"/>
  <c r="P98" i="4"/>
  <c r="O98" i="4"/>
  <c r="N98" i="4"/>
  <c r="M98" i="4"/>
  <c r="L98" i="4"/>
  <c r="K98" i="4"/>
  <c r="W97" i="4"/>
  <c r="V97" i="4"/>
  <c r="U97" i="4"/>
  <c r="T97" i="4"/>
  <c r="S97" i="4"/>
  <c r="R97" i="4"/>
  <c r="Q97" i="4"/>
  <c r="P97" i="4"/>
  <c r="O97" i="4"/>
  <c r="N97" i="4"/>
  <c r="M97" i="4"/>
  <c r="L97" i="4"/>
  <c r="K97" i="4"/>
  <c r="W96" i="4"/>
  <c r="V96" i="4"/>
  <c r="U96" i="4"/>
  <c r="T96" i="4"/>
  <c r="S96" i="4"/>
  <c r="R96" i="4"/>
  <c r="Q96" i="4"/>
  <c r="P96" i="4"/>
  <c r="O96" i="4"/>
  <c r="N96" i="4"/>
  <c r="M96" i="4"/>
  <c r="L96" i="4"/>
  <c r="K96" i="4"/>
  <c r="W95" i="4"/>
  <c r="V95" i="4"/>
  <c r="U95" i="4"/>
  <c r="T95" i="4"/>
  <c r="S95" i="4"/>
  <c r="R95" i="4"/>
  <c r="Q95" i="4"/>
  <c r="P95" i="4"/>
  <c r="O95" i="4"/>
  <c r="N95" i="4"/>
  <c r="M95" i="4"/>
  <c r="L95" i="4"/>
  <c r="K95" i="4"/>
  <c r="W94" i="4"/>
  <c r="V94" i="4"/>
  <c r="U94" i="4"/>
  <c r="T94" i="4"/>
  <c r="S94" i="4"/>
  <c r="R94" i="4"/>
  <c r="Q94" i="4"/>
  <c r="P94" i="4"/>
  <c r="O94" i="4"/>
  <c r="N94" i="4"/>
  <c r="M94" i="4"/>
  <c r="L94" i="4"/>
  <c r="K94" i="4"/>
  <c r="W93" i="4"/>
  <c r="V93" i="4"/>
  <c r="U93" i="4"/>
  <c r="T93" i="4"/>
  <c r="S93" i="4"/>
  <c r="R93" i="4"/>
  <c r="Q93" i="4"/>
  <c r="P93" i="4"/>
  <c r="O93" i="4"/>
  <c r="N93" i="4"/>
  <c r="M93" i="4"/>
  <c r="L93" i="4"/>
  <c r="K93" i="4"/>
  <c r="W92" i="4"/>
  <c r="V92" i="4"/>
  <c r="U92" i="4"/>
  <c r="T92" i="4"/>
  <c r="S92" i="4"/>
  <c r="R92" i="4"/>
  <c r="Q92" i="4"/>
  <c r="P92" i="4"/>
  <c r="O92" i="4"/>
  <c r="N92" i="4"/>
  <c r="M92" i="4"/>
  <c r="L92" i="4"/>
  <c r="K92" i="4"/>
  <c r="W91" i="4"/>
  <c r="V91" i="4"/>
  <c r="U91" i="4"/>
  <c r="T91" i="4"/>
  <c r="S91" i="4"/>
  <c r="R91" i="4"/>
  <c r="Q91" i="4"/>
  <c r="P91" i="4"/>
  <c r="O91" i="4"/>
  <c r="N91" i="4"/>
  <c r="M91" i="4"/>
  <c r="L91" i="4"/>
  <c r="K91" i="4"/>
  <c r="W90" i="4"/>
  <c r="V90" i="4"/>
  <c r="U90" i="4"/>
  <c r="T90" i="4"/>
  <c r="S90" i="4"/>
  <c r="R90" i="4"/>
  <c r="Q90" i="4"/>
  <c r="P90" i="4"/>
  <c r="O90" i="4"/>
  <c r="N90" i="4"/>
  <c r="M90" i="4"/>
  <c r="L90" i="4"/>
  <c r="K90" i="4"/>
  <c r="W89" i="4"/>
  <c r="V89" i="4"/>
  <c r="U89" i="4"/>
  <c r="T89" i="4"/>
  <c r="S89" i="4"/>
  <c r="R89" i="4"/>
  <c r="Q89" i="4"/>
  <c r="P89" i="4"/>
  <c r="O89" i="4"/>
  <c r="N89" i="4"/>
  <c r="M89" i="4"/>
  <c r="L89" i="4"/>
  <c r="K89" i="4"/>
  <c r="W88" i="4"/>
  <c r="V88" i="4"/>
  <c r="U88" i="4"/>
  <c r="T88" i="4"/>
  <c r="S88" i="4"/>
  <c r="R88" i="4"/>
  <c r="Q88" i="4"/>
  <c r="P88" i="4"/>
  <c r="O88" i="4"/>
  <c r="N88" i="4"/>
  <c r="M88" i="4"/>
  <c r="L88" i="4"/>
  <c r="K88" i="4"/>
  <c r="W87" i="4"/>
  <c r="V87" i="4"/>
  <c r="U87" i="4"/>
  <c r="T87" i="4"/>
  <c r="S87" i="4"/>
  <c r="R87" i="4"/>
  <c r="Q87" i="4"/>
  <c r="P87" i="4"/>
  <c r="O87" i="4"/>
  <c r="N87" i="4"/>
  <c r="M87" i="4"/>
  <c r="L87" i="4"/>
  <c r="K87" i="4"/>
  <c r="W86" i="4"/>
  <c r="V86" i="4"/>
  <c r="U86" i="4"/>
  <c r="T86" i="4"/>
  <c r="S86" i="4"/>
  <c r="R86" i="4"/>
  <c r="Q86" i="4"/>
  <c r="P86" i="4"/>
  <c r="O86" i="4"/>
  <c r="N86" i="4"/>
  <c r="M86" i="4"/>
  <c r="L86" i="4"/>
  <c r="K86" i="4"/>
  <c r="W85" i="4"/>
  <c r="V85" i="4"/>
  <c r="U85" i="4"/>
  <c r="T85" i="4"/>
  <c r="S85" i="4"/>
  <c r="R85" i="4"/>
  <c r="Q85" i="4"/>
  <c r="P85" i="4"/>
  <c r="O85" i="4"/>
  <c r="N85" i="4"/>
  <c r="M85" i="4"/>
  <c r="L85" i="4"/>
  <c r="K85" i="4"/>
  <c r="W84" i="4"/>
  <c r="V84" i="4"/>
  <c r="U84" i="4"/>
  <c r="T84" i="4"/>
  <c r="S84" i="4"/>
  <c r="R84" i="4"/>
  <c r="Q84" i="4"/>
  <c r="P84" i="4"/>
  <c r="O84" i="4"/>
  <c r="N84" i="4"/>
  <c r="M84" i="4"/>
  <c r="L84" i="4"/>
  <c r="K84" i="4"/>
  <c r="W83" i="4"/>
  <c r="V83" i="4"/>
  <c r="U83" i="4"/>
  <c r="T83" i="4"/>
  <c r="S83" i="4"/>
  <c r="R83" i="4"/>
  <c r="Q83" i="4"/>
  <c r="P83" i="4"/>
  <c r="O83" i="4"/>
  <c r="N83" i="4"/>
  <c r="M83" i="4"/>
  <c r="L83" i="4"/>
  <c r="K83" i="4"/>
  <c r="W82" i="4"/>
  <c r="V82" i="4"/>
  <c r="U82" i="4"/>
  <c r="T82" i="4"/>
  <c r="S82" i="4"/>
  <c r="R82" i="4"/>
  <c r="Q82" i="4"/>
  <c r="P82" i="4"/>
  <c r="O82" i="4"/>
  <c r="N82" i="4"/>
  <c r="M82" i="4"/>
  <c r="L82" i="4"/>
  <c r="K82" i="4"/>
  <c r="W81" i="4"/>
  <c r="V81" i="4"/>
  <c r="U81" i="4"/>
  <c r="T81" i="4"/>
  <c r="S81" i="4"/>
  <c r="R81" i="4"/>
  <c r="Q81" i="4"/>
  <c r="P81" i="4"/>
  <c r="O81" i="4"/>
  <c r="N81" i="4"/>
  <c r="M81" i="4"/>
  <c r="L81" i="4"/>
  <c r="K81" i="4"/>
  <c r="W80" i="4"/>
  <c r="V80" i="4"/>
  <c r="U80" i="4"/>
  <c r="T80" i="4"/>
  <c r="S80" i="4"/>
  <c r="R80" i="4"/>
  <c r="Q80" i="4"/>
  <c r="P80" i="4"/>
  <c r="O80" i="4"/>
  <c r="N80" i="4"/>
  <c r="M80" i="4"/>
  <c r="L80" i="4"/>
  <c r="K80" i="4"/>
  <c r="W79" i="4"/>
  <c r="V79" i="4"/>
  <c r="U79" i="4"/>
  <c r="T79" i="4"/>
  <c r="S79" i="4"/>
  <c r="R79" i="4"/>
  <c r="Q79" i="4"/>
  <c r="P79" i="4"/>
  <c r="O79" i="4"/>
  <c r="N79" i="4"/>
  <c r="M79" i="4"/>
  <c r="L79" i="4"/>
  <c r="K79" i="4"/>
  <c r="W78" i="4"/>
  <c r="V78" i="4"/>
  <c r="U78" i="4"/>
  <c r="T78" i="4"/>
  <c r="S78" i="4"/>
  <c r="R78" i="4"/>
  <c r="Q78" i="4"/>
  <c r="P78" i="4"/>
  <c r="O78" i="4"/>
  <c r="N78" i="4"/>
  <c r="M78" i="4"/>
  <c r="L78" i="4"/>
  <c r="K78" i="4"/>
  <c r="W77" i="4"/>
  <c r="V77" i="4"/>
  <c r="U77" i="4"/>
  <c r="T77" i="4"/>
  <c r="S77" i="4"/>
  <c r="R77" i="4"/>
  <c r="Q77" i="4"/>
  <c r="P77" i="4"/>
  <c r="O77" i="4"/>
  <c r="N77" i="4"/>
  <c r="M77" i="4"/>
  <c r="L77" i="4"/>
  <c r="K77" i="4"/>
  <c r="W76" i="4"/>
  <c r="V76" i="4"/>
  <c r="U76" i="4"/>
  <c r="T76" i="4"/>
  <c r="S76" i="4"/>
  <c r="R76" i="4"/>
  <c r="Q76" i="4"/>
  <c r="P76" i="4"/>
  <c r="O76" i="4"/>
  <c r="N76" i="4"/>
  <c r="M76" i="4"/>
  <c r="L76" i="4"/>
  <c r="K76" i="4"/>
  <c r="W75" i="4"/>
  <c r="V75" i="4"/>
  <c r="U75" i="4"/>
  <c r="T75" i="4"/>
  <c r="S75" i="4"/>
  <c r="R75" i="4"/>
  <c r="Q75" i="4"/>
  <c r="P75" i="4"/>
  <c r="O75" i="4"/>
  <c r="N75" i="4"/>
  <c r="M75" i="4"/>
  <c r="L75" i="4"/>
  <c r="K75" i="4"/>
  <c r="W74" i="4"/>
  <c r="V74" i="4"/>
  <c r="U74" i="4"/>
  <c r="T74" i="4"/>
  <c r="S74" i="4"/>
  <c r="R74" i="4"/>
  <c r="Q74" i="4"/>
  <c r="P74" i="4"/>
  <c r="O74" i="4"/>
  <c r="N74" i="4"/>
  <c r="M74" i="4"/>
  <c r="L74" i="4"/>
  <c r="K74" i="4"/>
  <c r="W73" i="4"/>
  <c r="V73" i="4"/>
  <c r="U73" i="4"/>
  <c r="T73" i="4"/>
  <c r="S73" i="4"/>
  <c r="R73" i="4"/>
  <c r="Q73" i="4"/>
  <c r="P73" i="4"/>
  <c r="O73" i="4"/>
  <c r="N73" i="4"/>
  <c r="M73" i="4"/>
  <c r="L73" i="4"/>
  <c r="K73" i="4"/>
  <c r="W72" i="4"/>
  <c r="V72" i="4"/>
  <c r="U72" i="4"/>
  <c r="T72" i="4"/>
  <c r="S72" i="4"/>
  <c r="R72" i="4"/>
  <c r="Q72" i="4"/>
  <c r="P72" i="4"/>
  <c r="O72" i="4"/>
  <c r="N72" i="4"/>
  <c r="M72" i="4"/>
  <c r="L72" i="4"/>
  <c r="K72" i="4"/>
  <c r="W71" i="4"/>
  <c r="V71" i="4"/>
  <c r="U71" i="4"/>
  <c r="T71" i="4"/>
  <c r="S71" i="4"/>
  <c r="R71" i="4"/>
  <c r="Q71" i="4"/>
  <c r="P71" i="4"/>
  <c r="O71" i="4"/>
  <c r="N71" i="4"/>
  <c r="M71" i="4"/>
  <c r="L71" i="4"/>
  <c r="K71" i="4"/>
  <c r="W70" i="4"/>
  <c r="V70" i="4"/>
  <c r="U70" i="4"/>
  <c r="T70" i="4"/>
  <c r="S70" i="4"/>
  <c r="R70" i="4"/>
  <c r="Q70" i="4"/>
  <c r="P70" i="4"/>
  <c r="O70" i="4"/>
  <c r="N70" i="4"/>
  <c r="M70" i="4"/>
  <c r="L70" i="4"/>
  <c r="K70" i="4"/>
  <c r="W69" i="4"/>
  <c r="V69" i="4"/>
  <c r="U69" i="4"/>
  <c r="T69" i="4"/>
  <c r="S69" i="4"/>
  <c r="R69" i="4"/>
  <c r="Q69" i="4"/>
  <c r="P69" i="4"/>
  <c r="O69" i="4"/>
  <c r="N69" i="4"/>
  <c r="M69" i="4"/>
  <c r="L69" i="4"/>
  <c r="K69" i="4"/>
  <c r="W68" i="4"/>
  <c r="V68" i="4"/>
  <c r="U68" i="4"/>
  <c r="T68" i="4"/>
  <c r="S68" i="4"/>
  <c r="R68" i="4"/>
  <c r="Q68" i="4"/>
  <c r="P68" i="4"/>
  <c r="O68" i="4"/>
  <c r="N68" i="4"/>
  <c r="M68" i="4"/>
  <c r="L68" i="4"/>
  <c r="K68" i="4"/>
  <c r="W67" i="4"/>
  <c r="V67" i="4"/>
  <c r="U67" i="4"/>
  <c r="T67" i="4"/>
  <c r="S67" i="4"/>
  <c r="R67" i="4"/>
  <c r="Q67" i="4"/>
  <c r="P67" i="4"/>
  <c r="O67" i="4"/>
  <c r="N67" i="4"/>
  <c r="M67" i="4"/>
  <c r="L67" i="4"/>
  <c r="K67" i="4"/>
  <c r="W66" i="4"/>
  <c r="V66" i="4"/>
  <c r="U66" i="4"/>
  <c r="T66" i="4"/>
  <c r="S66" i="4"/>
  <c r="R66" i="4"/>
  <c r="Q66" i="4"/>
  <c r="P66" i="4"/>
  <c r="O66" i="4"/>
  <c r="N66" i="4"/>
  <c r="M66" i="4"/>
  <c r="L66" i="4"/>
  <c r="K66" i="4"/>
  <c r="W65" i="4"/>
  <c r="V65" i="4"/>
  <c r="U65" i="4"/>
  <c r="T65" i="4"/>
  <c r="S65" i="4"/>
  <c r="R65" i="4"/>
  <c r="Q65" i="4"/>
  <c r="P65" i="4"/>
  <c r="O65" i="4"/>
  <c r="N65" i="4"/>
  <c r="M65" i="4"/>
  <c r="L65" i="4"/>
  <c r="K65" i="4"/>
  <c r="W64" i="4"/>
  <c r="V64" i="4"/>
  <c r="U64" i="4"/>
  <c r="T64" i="4"/>
  <c r="S64" i="4"/>
  <c r="R64" i="4"/>
  <c r="Q64" i="4"/>
  <c r="P64" i="4"/>
  <c r="O64" i="4"/>
  <c r="N64" i="4"/>
  <c r="M64" i="4"/>
  <c r="L64" i="4"/>
  <c r="K64" i="4"/>
  <c r="W63" i="4"/>
  <c r="V63" i="4"/>
  <c r="U63" i="4"/>
  <c r="T63" i="4"/>
  <c r="S63" i="4"/>
  <c r="R63" i="4"/>
  <c r="Q63" i="4"/>
  <c r="P63" i="4"/>
  <c r="O63" i="4"/>
  <c r="N63" i="4"/>
  <c r="M63" i="4"/>
  <c r="L63" i="4"/>
  <c r="K63" i="4"/>
  <c r="W62" i="4"/>
  <c r="V62" i="4"/>
  <c r="U62" i="4"/>
  <c r="T62" i="4"/>
  <c r="S62" i="4"/>
  <c r="R62" i="4"/>
  <c r="Q62" i="4"/>
  <c r="P62" i="4"/>
  <c r="O62" i="4"/>
  <c r="N62" i="4"/>
  <c r="M62" i="4"/>
  <c r="L62" i="4"/>
  <c r="K62" i="4"/>
  <c r="W61" i="4"/>
  <c r="V61" i="4"/>
  <c r="U61" i="4"/>
  <c r="T61" i="4"/>
  <c r="S61" i="4"/>
  <c r="R61" i="4"/>
  <c r="Q61" i="4"/>
  <c r="P61" i="4"/>
  <c r="O61" i="4"/>
  <c r="N61" i="4"/>
  <c r="M61" i="4"/>
  <c r="L61" i="4"/>
  <c r="K61" i="4"/>
  <c r="W60" i="4"/>
  <c r="V60" i="4"/>
  <c r="U60" i="4"/>
  <c r="T60" i="4"/>
  <c r="S60" i="4"/>
  <c r="R60" i="4"/>
  <c r="Q60" i="4"/>
  <c r="P60" i="4"/>
  <c r="O60" i="4"/>
  <c r="N60" i="4"/>
  <c r="M60" i="4"/>
  <c r="L60" i="4"/>
  <c r="K60" i="4"/>
  <c r="W59" i="4"/>
  <c r="V59" i="4"/>
  <c r="U59" i="4"/>
  <c r="T59" i="4"/>
  <c r="S59" i="4"/>
  <c r="R59" i="4"/>
  <c r="Q59" i="4"/>
  <c r="P59" i="4"/>
  <c r="O59" i="4"/>
  <c r="N59" i="4"/>
  <c r="M59" i="4"/>
  <c r="L59" i="4"/>
  <c r="K59" i="4"/>
  <c r="W58" i="4"/>
  <c r="V58" i="4"/>
  <c r="U58" i="4"/>
  <c r="T58" i="4"/>
  <c r="S58" i="4"/>
  <c r="R58" i="4"/>
  <c r="Q58" i="4"/>
  <c r="P58" i="4"/>
  <c r="O58" i="4"/>
  <c r="N58" i="4"/>
  <c r="M58" i="4"/>
  <c r="L58" i="4"/>
  <c r="K58" i="4"/>
  <c r="W57" i="4"/>
  <c r="V57" i="4"/>
  <c r="U57" i="4"/>
  <c r="T57" i="4"/>
  <c r="S57" i="4"/>
  <c r="R57" i="4"/>
  <c r="Q57" i="4"/>
  <c r="P57" i="4"/>
  <c r="O57" i="4"/>
  <c r="N57" i="4"/>
  <c r="M57" i="4"/>
  <c r="L57" i="4"/>
  <c r="K57" i="4"/>
  <c r="W56" i="4"/>
  <c r="V56" i="4"/>
  <c r="U56" i="4"/>
  <c r="T56" i="4"/>
  <c r="S56" i="4"/>
  <c r="R56" i="4"/>
  <c r="Q56" i="4"/>
  <c r="P56" i="4"/>
  <c r="O56" i="4"/>
  <c r="N56" i="4"/>
  <c r="M56" i="4"/>
  <c r="L56" i="4"/>
  <c r="K56" i="4"/>
  <c r="W55" i="4"/>
  <c r="V55" i="4"/>
  <c r="U55" i="4"/>
  <c r="T55" i="4"/>
  <c r="S55" i="4"/>
  <c r="R55" i="4"/>
  <c r="Q55" i="4"/>
  <c r="P55" i="4"/>
  <c r="O55" i="4"/>
  <c r="N55" i="4"/>
  <c r="M55" i="4"/>
  <c r="L55" i="4"/>
  <c r="K55" i="4"/>
  <c r="W54" i="4"/>
  <c r="V54" i="4"/>
  <c r="U54" i="4"/>
  <c r="T54" i="4"/>
  <c r="S54" i="4"/>
  <c r="R54" i="4"/>
  <c r="Q54" i="4"/>
  <c r="P54" i="4"/>
  <c r="O54" i="4"/>
  <c r="N54" i="4"/>
  <c r="M54" i="4"/>
  <c r="L54" i="4"/>
  <c r="K54" i="4"/>
  <c r="W53" i="4"/>
  <c r="V53" i="4"/>
  <c r="U53" i="4"/>
  <c r="T53" i="4"/>
  <c r="S53" i="4"/>
  <c r="R53" i="4"/>
  <c r="Q53" i="4"/>
  <c r="P53" i="4"/>
  <c r="O53" i="4"/>
  <c r="N53" i="4"/>
  <c r="M53" i="4"/>
  <c r="L53" i="4"/>
  <c r="K53" i="4"/>
  <c r="W52" i="4"/>
  <c r="V52" i="4"/>
  <c r="U52" i="4"/>
  <c r="T52" i="4"/>
  <c r="S52" i="4"/>
  <c r="R52" i="4"/>
  <c r="Q52" i="4"/>
  <c r="P52" i="4"/>
  <c r="O52" i="4"/>
  <c r="N52" i="4"/>
  <c r="M52" i="4"/>
  <c r="L52" i="4"/>
  <c r="K52" i="4"/>
  <c r="W51" i="4"/>
  <c r="V51" i="4"/>
  <c r="U51" i="4"/>
  <c r="T51" i="4"/>
  <c r="S51" i="4"/>
  <c r="R51" i="4"/>
  <c r="Q51" i="4"/>
  <c r="P51" i="4"/>
  <c r="O51" i="4"/>
  <c r="N51" i="4"/>
  <c r="M51" i="4"/>
  <c r="L51" i="4"/>
  <c r="K51" i="4"/>
  <c r="W50" i="4"/>
  <c r="V50" i="4"/>
  <c r="U50" i="4"/>
  <c r="T50" i="4"/>
  <c r="S50" i="4"/>
  <c r="R50" i="4"/>
  <c r="Q50" i="4"/>
  <c r="P50" i="4"/>
  <c r="O50" i="4"/>
  <c r="N50" i="4"/>
  <c r="M50" i="4"/>
  <c r="L50" i="4"/>
  <c r="K50" i="4"/>
  <c r="W49" i="4"/>
  <c r="V49" i="4"/>
  <c r="U49" i="4"/>
  <c r="T49" i="4"/>
  <c r="S49" i="4"/>
  <c r="R49" i="4"/>
  <c r="Q49" i="4"/>
  <c r="P49" i="4"/>
  <c r="O49" i="4"/>
  <c r="N49" i="4"/>
  <c r="M49" i="4"/>
  <c r="L49" i="4"/>
  <c r="K49" i="4"/>
  <c r="W48" i="4"/>
  <c r="V48" i="4"/>
  <c r="U48" i="4"/>
  <c r="T48" i="4"/>
  <c r="S48" i="4"/>
  <c r="R48" i="4"/>
  <c r="Q48" i="4"/>
  <c r="P48" i="4"/>
  <c r="O48" i="4"/>
  <c r="N48" i="4"/>
  <c r="M48" i="4"/>
  <c r="L48" i="4"/>
  <c r="K48" i="4"/>
  <c r="W47" i="4"/>
  <c r="V47" i="4"/>
  <c r="U47" i="4"/>
  <c r="T47" i="4"/>
  <c r="S47" i="4"/>
  <c r="R47" i="4"/>
  <c r="Q47" i="4"/>
  <c r="P47" i="4"/>
  <c r="O47" i="4"/>
  <c r="N47" i="4"/>
  <c r="M47" i="4"/>
  <c r="L47" i="4"/>
  <c r="K47" i="4"/>
  <c r="W46" i="4"/>
  <c r="V46" i="4"/>
  <c r="U46" i="4"/>
  <c r="T46" i="4"/>
  <c r="S46" i="4"/>
  <c r="R46" i="4"/>
  <c r="Q46" i="4"/>
  <c r="P46" i="4"/>
  <c r="O46" i="4"/>
  <c r="N46" i="4"/>
  <c r="M46" i="4"/>
  <c r="L46" i="4"/>
  <c r="K46" i="4"/>
  <c r="W45" i="4"/>
  <c r="V45" i="4"/>
  <c r="U45" i="4"/>
  <c r="T45" i="4"/>
  <c r="S45" i="4"/>
  <c r="R45" i="4"/>
  <c r="Q45" i="4"/>
  <c r="P45" i="4"/>
  <c r="O45" i="4"/>
  <c r="N45" i="4"/>
  <c r="M45" i="4"/>
  <c r="L45" i="4"/>
  <c r="K45" i="4"/>
  <c r="W44" i="4"/>
  <c r="V44" i="4"/>
  <c r="U44" i="4"/>
  <c r="T44" i="4"/>
  <c r="S44" i="4"/>
  <c r="R44" i="4"/>
  <c r="Q44" i="4"/>
  <c r="P44" i="4"/>
  <c r="O44" i="4"/>
  <c r="N44" i="4"/>
  <c r="M44" i="4"/>
  <c r="L44" i="4"/>
  <c r="K44" i="4"/>
  <c r="W43" i="4"/>
  <c r="V43" i="4"/>
  <c r="U43" i="4"/>
  <c r="T43" i="4"/>
  <c r="S43" i="4"/>
  <c r="R43" i="4"/>
  <c r="Q43" i="4"/>
  <c r="P43" i="4"/>
  <c r="O43" i="4"/>
  <c r="N43" i="4"/>
  <c r="M43" i="4"/>
  <c r="L43" i="4"/>
  <c r="K43" i="4"/>
  <c r="W42" i="4"/>
  <c r="V42" i="4"/>
  <c r="U42" i="4"/>
  <c r="T42" i="4"/>
  <c r="S42" i="4"/>
  <c r="R42" i="4"/>
  <c r="Q42" i="4"/>
  <c r="P42" i="4"/>
  <c r="O42" i="4"/>
  <c r="N42" i="4"/>
  <c r="M42" i="4"/>
  <c r="L42" i="4"/>
  <c r="K42" i="4"/>
  <c r="W41" i="4"/>
  <c r="V41" i="4"/>
  <c r="U41" i="4"/>
  <c r="T41" i="4"/>
  <c r="S41" i="4"/>
  <c r="R41" i="4"/>
  <c r="Q41" i="4"/>
  <c r="P41" i="4"/>
  <c r="O41" i="4"/>
  <c r="N41" i="4"/>
  <c r="M41" i="4"/>
  <c r="L41" i="4"/>
  <c r="K41" i="4"/>
  <c r="W40" i="4"/>
  <c r="V40" i="4"/>
  <c r="U40" i="4"/>
  <c r="T40" i="4"/>
  <c r="S40" i="4"/>
  <c r="R40" i="4"/>
  <c r="Q40" i="4"/>
  <c r="P40" i="4"/>
  <c r="O40" i="4"/>
  <c r="N40" i="4"/>
  <c r="M40" i="4"/>
  <c r="L40" i="4"/>
  <c r="K40" i="4"/>
  <c r="W39" i="4"/>
  <c r="V39" i="4"/>
  <c r="U39" i="4"/>
  <c r="T39" i="4"/>
  <c r="S39" i="4"/>
  <c r="R39" i="4"/>
  <c r="Q39" i="4"/>
  <c r="P39" i="4"/>
  <c r="O39" i="4"/>
  <c r="N39" i="4"/>
  <c r="M39" i="4"/>
  <c r="L39" i="4"/>
  <c r="K39" i="4"/>
  <c r="W38" i="4"/>
  <c r="V38" i="4"/>
  <c r="U38" i="4"/>
  <c r="T38" i="4"/>
  <c r="S38" i="4"/>
  <c r="R38" i="4"/>
  <c r="Q38" i="4"/>
  <c r="P38" i="4"/>
  <c r="O38" i="4"/>
  <c r="N38" i="4"/>
  <c r="M38" i="4"/>
  <c r="L38" i="4"/>
  <c r="K38" i="4"/>
  <c r="W37" i="4"/>
  <c r="V37" i="4"/>
  <c r="U37" i="4"/>
  <c r="T37" i="4"/>
  <c r="S37" i="4"/>
  <c r="R37" i="4"/>
  <c r="Q37" i="4"/>
  <c r="P37" i="4"/>
  <c r="O37" i="4"/>
  <c r="N37" i="4"/>
  <c r="M37" i="4"/>
  <c r="L37" i="4"/>
  <c r="K37" i="4"/>
  <c r="W36" i="4"/>
  <c r="V36" i="4"/>
  <c r="U36" i="4"/>
  <c r="T36" i="4"/>
  <c r="S36" i="4"/>
  <c r="R36" i="4"/>
  <c r="Q36" i="4"/>
  <c r="P36" i="4"/>
  <c r="O36" i="4"/>
  <c r="N36" i="4"/>
  <c r="M36" i="4"/>
  <c r="L36" i="4"/>
  <c r="K36" i="4"/>
  <c r="W35" i="4"/>
  <c r="V35" i="4"/>
  <c r="U35" i="4"/>
  <c r="T35" i="4"/>
  <c r="S35" i="4"/>
  <c r="R35" i="4"/>
  <c r="Q35" i="4"/>
  <c r="P35" i="4"/>
  <c r="O35" i="4"/>
  <c r="N35" i="4"/>
  <c r="M35" i="4"/>
  <c r="L35" i="4"/>
  <c r="K35" i="4"/>
  <c r="W34" i="4"/>
  <c r="V34" i="4"/>
  <c r="U34" i="4"/>
  <c r="T34" i="4"/>
  <c r="S34" i="4"/>
  <c r="R34" i="4"/>
  <c r="Q34" i="4"/>
  <c r="P34" i="4"/>
  <c r="O34" i="4"/>
  <c r="N34" i="4"/>
  <c r="M34" i="4"/>
  <c r="L34" i="4"/>
  <c r="K34" i="4"/>
  <c r="W33" i="4"/>
  <c r="V33" i="4"/>
  <c r="U33" i="4"/>
  <c r="T33" i="4"/>
  <c r="S33" i="4"/>
  <c r="R33" i="4"/>
  <c r="Q33" i="4"/>
  <c r="P33" i="4"/>
  <c r="O33" i="4"/>
  <c r="N33" i="4"/>
  <c r="M33" i="4"/>
  <c r="L33" i="4"/>
  <c r="K33" i="4"/>
  <c r="W32" i="4"/>
  <c r="V32" i="4"/>
  <c r="U32" i="4"/>
  <c r="T32" i="4"/>
  <c r="S32" i="4"/>
  <c r="R32" i="4"/>
  <c r="Q32" i="4"/>
  <c r="P32" i="4"/>
  <c r="O32" i="4"/>
  <c r="N32" i="4"/>
  <c r="M32" i="4"/>
  <c r="L32" i="4"/>
  <c r="K32" i="4"/>
  <c r="W31" i="4"/>
  <c r="V31" i="4"/>
  <c r="U31" i="4"/>
  <c r="T31" i="4"/>
  <c r="S31" i="4"/>
  <c r="R31" i="4"/>
  <c r="Q31" i="4"/>
  <c r="P31" i="4"/>
  <c r="O31" i="4"/>
  <c r="N31" i="4"/>
  <c r="M31" i="4"/>
  <c r="L31" i="4"/>
  <c r="K31" i="4"/>
  <c r="W30" i="4"/>
  <c r="V30" i="4"/>
  <c r="U30" i="4"/>
  <c r="T30" i="4"/>
  <c r="S30" i="4"/>
  <c r="R30" i="4"/>
  <c r="Q30" i="4"/>
  <c r="P30" i="4"/>
  <c r="O30" i="4"/>
  <c r="N30" i="4"/>
  <c r="M30" i="4"/>
  <c r="L30" i="4"/>
  <c r="K30" i="4"/>
  <c r="W29" i="4"/>
  <c r="V29" i="4"/>
  <c r="U29" i="4"/>
  <c r="T29" i="4"/>
  <c r="S29" i="4"/>
  <c r="R29" i="4"/>
  <c r="Q29" i="4"/>
  <c r="P29" i="4"/>
  <c r="O29" i="4"/>
  <c r="N29" i="4"/>
  <c r="M29" i="4"/>
  <c r="L29" i="4"/>
  <c r="K29" i="4"/>
  <c r="W28" i="4"/>
  <c r="V28" i="4"/>
  <c r="U28" i="4"/>
  <c r="T28" i="4"/>
  <c r="S28" i="4"/>
  <c r="R28" i="4"/>
  <c r="Q28" i="4"/>
  <c r="P28" i="4"/>
  <c r="O28" i="4"/>
  <c r="N28" i="4"/>
  <c r="M28" i="4"/>
  <c r="L28" i="4"/>
  <c r="K28" i="4"/>
  <c r="W27" i="4"/>
  <c r="V27" i="4"/>
  <c r="U27" i="4"/>
  <c r="T27" i="4"/>
  <c r="S27" i="4"/>
  <c r="R27" i="4"/>
  <c r="Q27" i="4"/>
  <c r="P27" i="4"/>
  <c r="O27" i="4"/>
  <c r="N27" i="4"/>
  <c r="M27" i="4"/>
  <c r="L27" i="4"/>
  <c r="K27" i="4"/>
  <c r="W26" i="4"/>
  <c r="V26" i="4"/>
  <c r="U26" i="4"/>
  <c r="T26" i="4"/>
  <c r="S26" i="4"/>
  <c r="R26" i="4"/>
  <c r="Q26" i="4"/>
  <c r="P26" i="4"/>
  <c r="O26" i="4"/>
  <c r="N26" i="4"/>
  <c r="M26" i="4"/>
  <c r="L26" i="4"/>
  <c r="K26" i="4"/>
  <c r="W25" i="4"/>
  <c r="V25" i="4"/>
  <c r="U25" i="4"/>
  <c r="T25" i="4"/>
  <c r="S25" i="4"/>
  <c r="R25" i="4"/>
  <c r="Q25" i="4"/>
  <c r="P25" i="4"/>
  <c r="O25" i="4"/>
  <c r="N25" i="4"/>
  <c r="M25" i="4"/>
  <c r="L25" i="4"/>
  <c r="K25" i="4"/>
  <c r="W24" i="4"/>
  <c r="V24" i="4"/>
  <c r="U24" i="4"/>
  <c r="T24" i="4"/>
  <c r="S24" i="4"/>
  <c r="R24" i="4"/>
  <c r="Q24" i="4"/>
  <c r="P24" i="4"/>
  <c r="O24" i="4"/>
  <c r="N24" i="4"/>
  <c r="M24" i="4"/>
  <c r="L24" i="4"/>
  <c r="K24" i="4"/>
  <c r="W23" i="4"/>
  <c r="V23" i="4"/>
  <c r="U23" i="4"/>
  <c r="T23" i="4"/>
  <c r="S23" i="4"/>
  <c r="R23" i="4"/>
  <c r="Q23" i="4"/>
  <c r="P23" i="4"/>
  <c r="O23" i="4"/>
  <c r="N23" i="4"/>
  <c r="M23" i="4"/>
  <c r="L23" i="4"/>
  <c r="K23" i="4"/>
  <c r="W22" i="4"/>
  <c r="V22" i="4"/>
  <c r="U22" i="4"/>
  <c r="T22" i="4"/>
  <c r="S22" i="4"/>
  <c r="R22" i="4"/>
  <c r="Q22" i="4"/>
  <c r="P22" i="4"/>
  <c r="O22" i="4"/>
  <c r="N22" i="4"/>
  <c r="M22" i="4"/>
  <c r="L22" i="4"/>
  <c r="K22" i="4"/>
  <c r="W21" i="4"/>
  <c r="V21" i="4"/>
  <c r="U21" i="4"/>
  <c r="T21" i="4"/>
  <c r="S21" i="4"/>
  <c r="R21" i="4"/>
  <c r="Q21" i="4"/>
  <c r="P21" i="4"/>
  <c r="O21" i="4"/>
  <c r="N21" i="4"/>
  <c r="M21" i="4"/>
  <c r="L21" i="4"/>
  <c r="K21" i="4"/>
  <c r="W20" i="4"/>
  <c r="V20" i="4"/>
  <c r="U20" i="4"/>
  <c r="T20" i="4"/>
  <c r="S20" i="4"/>
  <c r="R20" i="4"/>
  <c r="Q20" i="4"/>
  <c r="P20" i="4"/>
  <c r="O20" i="4"/>
  <c r="N20" i="4"/>
  <c r="M20" i="4"/>
  <c r="L20" i="4"/>
  <c r="K20" i="4"/>
  <c r="W19" i="4"/>
  <c r="V19" i="4"/>
  <c r="U19" i="4"/>
  <c r="T19" i="4"/>
  <c r="S19" i="4"/>
  <c r="R19" i="4"/>
  <c r="Q19" i="4"/>
  <c r="P19" i="4"/>
  <c r="O19" i="4"/>
  <c r="N19" i="4"/>
  <c r="M19" i="4"/>
  <c r="L19" i="4"/>
  <c r="K19" i="4"/>
  <c r="W18" i="4"/>
  <c r="V18" i="4"/>
  <c r="U18" i="4"/>
  <c r="T18" i="4"/>
  <c r="S18" i="4"/>
  <c r="R18" i="4"/>
  <c r="Q18" i="4"/>
  <c r="P18" i="4"/>
  <c r="O18" i="4"/>
  <c r="N18" i="4"/>
  <c r="M18" i="4"/>
  <c r="L18" i="4"/>
  <c r="K18" i="4"/>
  <c r="W17" i="4"/>
  <c r="V17" i="4"/>
  <c r="U17" i="4"/>
  <c r="T17" i="4"/>
  <c r="S17" i="4"/>
  <c r="R17" i="4"/>
  <c r="Q17" i="4"/>
  <c r="P17" i="4"/>
  <c r="O17" i="4"/>
  <c r="N17" i="4"/>
  <c r="M17" i="4"/>
  <c r="L17" i="4"/>
  <c r="K17" i="4"/>
  <c r="W16" i="4"/>
  <c r="V16" i="4"/>
  <c r="U16" i="4"/>
  <c r="T16" i="4"/>
  <c r="S16" i="4"/>
  <c r="R16" i="4"/>
  <c r="Q16" i="4"/>
  <c r="P16" i="4"/>
  <c r="O16" i="4"/>
  <c r="N16" i="4"/>
  <c r="M16" i="4"/>
  <c r="L16" i="4"/>
  <c r="K16" i="4"/>
  <c r="W15" i="4"/>
  <c r="V15" i="4"/>
  <c r="U15" i="4"/>
  <c r="T15" i="4"/>
  <c r="S15" i="4"/>
  <c r="R15" i="4"/>
  <c r="Q15" i="4"/>
  <c r="P15" i="4"/>
  <c r="O15" i="4"/>
  <c r="N15" i="4"/>
  <c r="M15" i="4"/>
  <c r="L15" i="4"/>
  <c r="K15" i="4"/>
  <c r="W14" i="4"/>
  <c r="V14" i="4"/>
  <c r="U14" i="4"/>
  <c r="T14" i="4"/>
  <c r="S14" i="4"/>
  <c r="R14" i="4"/>
  <c r="Q14" i="4"/>
  <c r="P14" i="4"/>
  <c r="O14" i="4"/>
  <c r="N14" i="4"/>
  <c r="M14" i="4"/>
  <c r="L14" i="4"/>
  <c r="K14" i="4"/>
  <c r="W13" i="4"/>
  <c r="V13" i="4"/>
  <c r="U13" i="4"/>
  <c r="T13" i="4"/>
  <c r="S13" i="4"/>
  <c r="R13" i="4"/>
  <c r="Q13" i="4"/>
  <c r="P13" i="4"/>
  <c r="O13" i="4"/>
  <c r="N13" i="4"/>
  <c r="M13" i="4"/>
  <c r="L13" i="4"/>
  <c r="K13" i="4"/>
  <c r="W12" i="4"/>
  <c r="V12" i="4"/>
  <c r="U12" i="4"/>
  <c r="T12" i="4"/>
  <c r="S12" i="4"/>
  <c r="R12" i="4"/>
  <c r="Q12" i="4"/>
  <c r="P12" i="4"/>
  <c r="O12" i="4"/>
  <c r="N12" i="4"/>
  <c r="M12" i="4"/>
  <c r="L12" i="4"/>
  <c r="K12" i="4"/>
  <c r="W11" i="4"/>
  <c r="V11" i="4"/>
  <c r="U11" i="4"/>
  <c r="T11" i="4"/>
  <c r="S11" i="4"/>
  <c r="R11" i="4"/>
  <c r="Q11" i="4"/>
  <c r="P11" i="4"/>
  <c r="O11" i="4"/>
  <c r="N11" i="4"/>
  <c r="M11" i="4"/>
  <c r="L11" i="4"/>
  <c r="K11" i="4"/>
  <c r="W10" i="4"/>
  <c r="V10" i="4"/>
  <c r="U10" i="4"/>
  <c r="T10" i="4"/>
  <c r="S10" i="4"/>
  <c r="R10" i="4"/>
  <c r="Q10" i="4"/>
  <c r="P10" i="4"/>
  <c r="O10" i="4"/>
  <c r="N10" i="4"/>
  <c r="M10" i="4"/>
  <c r="L10" i="4"/>
  <c r="K10" i="4"/>
  <c r="W9" i="4"/>
  <c r="V9" i="4"/>
  <c r="U9" i="4"/>
  <c r="T9" i="4"/>
  <c r="S9" i="4"/>
  <c r="R9" i="4"/>
  <c r="Q9" i="4"/>
  <c r="P9" i="4"/>
  <c r="O9" i="4"/>
  <c r="N9" i="4"/>
  <c r="M9" i="4"/>
  <c r="L9" i="4"/>
  <c r="K9" i="4"/>
  <c r="W8" i="4"/>
  <c r="V8" i="4"/>
  <c r="U8" i="4"/>
  <c r="T8" i="4"/>
  <c r="S8" i="4"/>
  <c r="R8" i="4"/>
  <c r="Q8" i="4"/>
  <c r="P8" i="4"/>
  <c r="O8" i="4"/>
  <c r="N8" i="4"/>
  <c r="M8" i="4"/>
  <c r="L8" i="4"/>
  <c r="K8" i="4"/>
  <c r="W7" i="4"/>
  <c r="V7" i="4"/>
  <c r="U7" i="4"/>
  <c r="T7" i="4"/>
  <c r="S7" i="4"/>
  <c r="R7" i="4"/>
  <c r="Q7" i="4"/>
  <c r="P7" i="4"/>
  <c r="O7" i="4"/>
  <c r="N7" i="4"/>
  <c r="M7" i="4"/>
  <c r="L7" i="4"/>
  <c r="K7" i="4"/>
  <c r="W6" i="4"/>
  <c r="V6" i="4"/>
  <c r="U6" i="4"/>
  <c r="T6" i="4"/>
  <c r="S6" i="4"/>
  <c r="R6" i="4"/>
  <c r="Q6" i="4"/>
  <c r="P6" i="4"/>
  <c r="O6" i="4"/>
  <c r="N6" i="4"/>
  <c r="M6" i="4"/>
  <c r="L6" i="4"/>
  <c r="K6" i="4"/>
  <c r="W5" i="4"/>
  <c r="V5" i="4"/>
  <c r="U5" i="4"/>
  <c r="T5" i="4"/>
  <c r="S5" i="4"/>
  <c r="R5" i="4"/>
  <c r="Q5" i="4"/>
  <c r="P5" i="4"/>
  <c r="O5" i="4"/>
  <c r="N5" i="4"/>
  <c r="M5" i="4"/>
  <c r="L5" i="4"/>
  <c r="K5" i="4"/>
  <c r="W4" i="4"/>
  <c r="V4" i="4"/>
  <c r="U4" i="4"/>
  <c r="T4" i="4"/>
  <c r="S4" i="4"/>
  <c r="R4" i="4"/>
  <c r="Q4" i="4"/>
  <c r="P4" i="4"/>
  <c r="O4" i="4"/>
  <c r="N4" i="4"/>
  <c r="M4" i="4"/>
  <c r="L4" i="4"/>
  <c r="K4" i="4"/>
  <c r="W3" i="4"/>
  <c r="V3" i="4"/>
  <c r="U3" i="4"/>
  <c r="T3" i="4"/>
  <c r="S3" i="4"/>
  <c r="R3" i="4"/>
  <c r="Q3" i="4"/>
  <c r="P3" i="4"/>
  <c r="O3" i="4"/>
  <c r="N3" i="4"/>
  <c r="M3" i="4"/>
  <c r="L3" i="4"/>
  <c r="K3" i="4"/>
  <c r="W2" i="4"/>
  <c r="V2" i="4"/>
  <c r="U2" i="4"/>
  <c r="T2" i="4"/>
  <c r="S2" i="4"/>
  <c r="R2" i="4"/>
  <c r="Q2" i="4"/>
  <c r="P2" i="4"/>
  <c r="O2" i="4"/>
  <c r="N2" i="4"/>
  <c r="M2" i="4"/>
  <c r="L2" i="4"/>
  <c r="K2" i="4"/>
  <c r="FI47" i="3"/>
  <c r="FH47" i="3"/>
  <c r="FG47" i="3"/>
  <c r="FF47" i="3"/>
  <c r="FE47" i="3"/>
  <c r="FD47" i="3"/>
  <c r="FB47" i="3"/>
  <c r="FA47" i="3"/>
  <c r="FC47" i="3" s="1"/>
  <c r="EZ47" i="3"/>
  <c r="EY47" i="3"/>
  <c r="EX47" i="3"/>
  <c r="EW47" i="3"/>
  <c r="EV47" i="3"/>
  <c r="EU47" i="3"/>
  <c r="EQ47" i="3"/>
  <c r="FI46" i="3"/>
  <c r="FH46" i="3"/>
  <c r="FG46" i="3"/>
  <c r="FE46" i="3"/>
  <c r="FD46" i="3"/>
  <c r="FF46" i="3" s="1"/>
  <c r="FB46" i="3"/>
  <c r="FA46" i="3"/>
  <c r="FC46" i="3" s="1"/>
  <c r="EZ46" i="3"/>
  <c r="EY46" i="3"/>
  <c r="EX46" i="3"/>
  <c r="EW46" i="3"/>
  <c r="EV46" i="3"/>
  <c r="EU46" i="3"/>
  <c r="EQ46" i="3"/>
  <c r="FI45" i="3"/>
  <c r="FH45" i="3"/>
  <c r="FG45" i="3"/>
  <c r="FE45" i="3"/>
  <c r="FD45" i="3"/>
  <c r="FF45" i="3" s="1"/>
  <c r="FB45" i="3"/>
  <c r="FA45" i="3"/>
  <c r="FC45" i="3" s="1"/>
  <c r="EZ45" i="3"/>
  <c r="EY45" i="3"/>
  <c r="EX45" i="3"/>
  <c r="EW45" i="3"/>
  <c r="EV45" i="3"/>
  <c r="EU45" i="3"/>
  <c r="EQ45" i="3"/>
  <c r="FI44" i="3"/>
  <c r="FH44" i="3"/>
  <c r="FG44" i="3"/>
  <c r="FE44" i="3"/>
  <c r="FD44" i="3"/>
  <c r="FF44" i="3" s="1"/>
  <c r="FB44" i="3"/>
  <c r="FA44" i="3"/>
  <c r="FC44" i="3" s="1"/>
  <c r="EZ44" i="3"/>
  <c r="EY44" i="3"/>
  <c r="EX44" i="3"/>
  <c r="EW44" i="3"/>
  <c r="EV44" i="3"/>
  <c r="EU44" i="3"/>
  <c r="EQ44" i="3"/>
  <c r="BO44" i="3"/>
  <c r="BN44" i="3"/>
  <c r="BM44" i="3"/>
  <c r="BL44" i="3"/>
  <c r="BK44" i="3"/>
  <c r="BJ44" i="3"/>
  <c r="BI44" i="3"/>
  <c r="FH43" i="3"/>
  <c r="FG43" i="3"/>
  <c r="FI43" i="3" s="1"/>
  <c r="FE43" i="3"/>
  <c r="FD43" i="3"/>
  <c r="FF43" i="3" s="1"/>
  <c r="FC43" i="3"/>
  <c r="FB43" i="3"/>
  <c r="FA43" i="3"/>
  <c r="EZ43" i="3"/>
  <c r="EY43" i="3"/>
  <c r="EX43" i="3"/>
  <c r="EV43" i="3"/>
  <c r="EU43" i="3"/>
  <c r="EW43" i="3" s="1"/>
  <c r="EQ43" i="3"/>
  <c r="BO43" i="3"/>
  <c r="BN43" i="3"/>
  <c r="BM43" i="3"/>
  <c r="BL43" i="3"/>
  <c r="BK43" i="3"/>
  <c r="BJ43" i="3"/>
  <c r="BI43" i="3"/>
  <c r="FH42" i="3"/>
  <c r="FG42" i="3"/>
  <c r="FI42" i="3" s="1"/>
  <c r="FF42" i="3"/>
  <c r="FE42" i="3"/>
  <c r="FD42" i="3"/>
  <c r="FC42" i="3"/>
  <c r="FB42" i="3"/>
  <c r="FA42" i="3"/>
  <c r="EY42" i="3"/>
  <c r="EX42" i="3"/>
  <c r="EZ42" i="3" s="1"/>
  <c r="EV42" i="3"/>
  <c r="EU42" i="3"/>
  <c r="EW42" i="3" s="1"/>
  <c r="EQ42" i="3"/>
  <c r="BO42" i="3"/>
  <c r="BN42" i="3"/>
  <c r="BM42" i="3"/>
  <c r="BL42" i="3"/>
  <c r="BK42" i="3"/>
  <c r="BJ42" i="3"/>
  <c r="BI42" i="3"/>
  <c r="FI41" i="3"/>
  <c r="FH41" i="3"/>
  <c r="FG41" i="3"/>
  <c r="FF41" i="3"/>
  <c r="FE41" i="3"/>
  <c r="FD41" i="3"/>
  <c r="FB41" i="3"/>
  <c r="FA41" i="3"/>
  <c r="FC41" i="3" s="1"/>
  <c r="EY41" i="3"/>
  <c r="EX41" i="3"/>
  <c r="EZ41" i="3" s="1"/>
  <c r="EW41" i="3"/>
  <c r="EV41" i="3"/>
  <c r="EU41" i="3"/>
  <c r="EQ41" i="3"/>
  <c r="FI40" i="3"/>
  <c r="FH40" i="3"/>
  <c r="FG40" i="3"/>
  <c r="FF40" i="3"/>
  <c r="FE40" i="3"/>
  <c r="FD40" i="3"/>
  <c r="FB40" i="3"/>
  <c r="FA40" i="3"/>
  <c r="FC40" i="3" s="1"/>
  <c r="EY40" i="3"/>
  <c r="EX40" i="3"/>
  <c r="EZ40" i="3" s="1"/>
  <c r="EW40" i="3"/>
  <c r="EV40" i="3"/>
  <c r="EU40" i="3"/>
  <c r="EQ40" i="3"/>
  <c r="FI39" i="3"/>
  <c r="FH39" i="3"/>
  <c r="FG39" i="3"/>
  <c r="FF39" i="3"/>
  <c r="FE39" i="3"/>
  <c r="FD39" i="3"/>
  <c r="FB39" i="3"/>
  <c r="FA39" i="3"/>
  <c r="FC39" i="3" s="1"/>
  <c r="EY39" i="3"/>
  <c r="EX39" i="3"/>
  <c r="EZ39" i="3" s="1"/>
  <c r="EW39" i="3"/>
  <c r="EV39" i="3"/>
  <c r="EU39" i="3"/>
  <c r="EQ39" i="3"/>
  <c r="BO39" i="3"/>
  <c r="BN39" i="3"/>
  <c r="BM39" i="3"/>
  <c r="BL39" i="3"/>
  <c r="BK39" i="3"/>
  <c r="BJ39" i="3"/>
  <c r="BI39" i="3"/>
  <c r="FI38" i="3"/>
  <c r="FH38" i="3"/>
  <c r="FG38" i="3"/>
  <c r="FE38" i="3"/>
  <c r="FD38" i="3"/>
  <c r="FF38" i="3" s="1"/>
  <c r="FB38" i="3"/>
  <c r="FA38" i="3"/>
  <c r="FC38" i="3" s="1"/>
  <c r="EZ38" i="3"/>
  <c r="EY38" i="3"/>
  <c r="EX38" i="3"/>
  <c r="EW38" i="3"/>
  <c r="EV38" i="3"/>
  <c r="EU38" i="3"/>
  <c r="EQ38" i="3"/>
  <c r="BO38" i="3"/>
  <c r="BN38" i="3"/>
  <c r="BM38" i="3"/>
  <c r="BL38" i="3"/>
  <c r="BK38" i="3"/>
  <c r="BJ38" i="3"/>
  <c r="BI38" i="3"/>
  <c r="FH37" i="3"/>
  <c r="FG37" i="3"/>
  <c r="FI37" i="3" s="1"/>
  <c r="FE37" i="3"/>
  <c r="FD37" i="3"/>
  <c r="FF37" i="3" s="1"/>
  <c r="FC37" i="3"/>
  <c r="FB37" i="3"/>
  <c r="FA37" i="3"/>
  <c r="EZ37" i="3"/>
  <c r="EY37" i="3"/>
  <c r="EX37" i="3"/>
  <c r="EV37" i="3"/>
  <c r="EU37" i="3"/>
  <c r="EW37" i="3" s="1"/>
  <c r="EQ37" i="3"/>
  <c r="BO37" i="3"/>
  <c r="BN37" i="3"/>
  <c r="BM37" i="3"/>
  <c r="BL37" i="3"/>
  <c r="BK37" i="3"/>
  <c r="BJ37" i="3"/>
  <c r="BI37" i="3"/>
  <c r="FH36" i="3"/>
  <c r="FG36" i="3"/>
  <c r="FI36" i="3" s="1"/>
  <c r="FF36" i="3"/>
  <c r="FE36" i="3"/>
  <c r="FD36" i="3"/>
  <c r="FC36" i="3"/>
  <c r="FB36" i="3"/>
  <c r="FA36" i="3"/>
  <c r="EY36" i="3"/>
  <c r="EX36" i="3"/>
  <c r="EZ36" i="3" s="1"/>
  <c r="EV36" i="3"/>
  <c r="EU36" i="3"/>
  <c r="EW36" i="3" s="1"/>
  <c r="EQ36" i="3"/>
  <c r="FH35" i="3"/>
  <c r="FG35" i="3"/>
  <c r="FI35" i="3" s="1"/>
  <c r="FF35" i="3"/>
  <c r="FE35" i="3"/>
  <c r="FD35" i="3"/>
  <c r="FC35" i="3"/>
  <c r="FB35" i="3"/>
  <c r="FA35" i="3"/>
  <c r="EY35" i="3"/>
  <c r="EX35" i="3"/>
  <c r="EZ35" i="3" s="1"/>
  <c r="EV35" i="3"/>
  <c r="EU35" i="3"/>
  <c r="EW35" i="3" s="1"/>
  <c r="EQ35" i="3"/>
  <c r="BO35" i="3"/>
  <c r="BN35" i="3"/>
  <c r="BM35" i="3"/>
  <c r="BL35" i="3"/>
  <c r="BK35" i="3"/>
  <c r="BJ35" i="3"/>
  <c r="BI35" i="3"/>
  <c r="FI34" i="3"/>
  <c r="FH34" i="3"/>
  <c r="FG34" i="3"/>
  <c r="FF34" i="3"/>
  <c r="FE34" i="3"/>
  <c r="FD34" i="3"/>
  <c r="FB34" i="3"/>
  <c r="FA34" i="3"/>
  <c r="FC34" i="3" s="1"/>
  <c r="EY34" i="3"/>
  <c r="EX34" i="3"/>
  <c r="EZ34" i="3" s="1"/>
  <c r="EW34" i="3"/>
  <c r="EV34" i="3"/>
  <c r="EU34" i="3"/>
  <c r="EQ34" i="3"/>
  <c r="BO34" i="3"/>
  <c r="BN34" i="3"/>
  <c r="BM34" i="3"/>
  <c r="BL34" i="3"/>
  <c r="BK34" i="3"/>
  <c r="BJ34" i="3"/>
  <c r="BI34" i="3"/>
  <c r="FI33" i="3"/>
  <c r="FH33" i="3"/>
  <c r="FG33" i="3"/>
  <c r="FE33" i="3"/>
  <c r="FD33" i="3"/>
  <c r="FF33" i="3" s="1"/>
  <c r="FB33" i="3"/>
  <c r="FA33" i="3"/>
  <c r="FC33" i="3" s="1"/>
  <c r="EZ33" i="3"/>
  <c r="EY33" i="3"/>
  <c r="EX33" i="3"/>
  <c r="EW33" i="3"/>
  <c r="EV33" i="3"/>
  <c r="EU33" i="3"/>
  <c r="EQ33" i="3"/>
  <c r="BO33" i="3"/>
  <c r="BN33" i="3"/>
  <c r="BM33" i="3"/>
  <c r="BL33" i="3"/>
  <c r="BK33" i="3"/>
  <c r="BJ33" i="3"/>
  <c r="BI33" i="3"/>
  <c r="FH32" i="3"/>
  <c r="FG32" i="3"/>
  <c r="FI32" i="3" s="1"/>
  <c r="FE32" i="3"/>
  <c r="FD32" i="3"/>
  <c r="FF32" i="3" s="1"/>
  <c r="FC32" i="3"/>
  <c r="FB32" i="3"/>
  <c r="FA32" i="3"/>
  <c r="EZ32" i="3"/>
  <c r="EY32" i="3"/>
  <c r="EX32" i="3"/>
  <c r="EV32" i="3"/>
  <c r="EU32" i="3"/>
  <c r="EW32" i="3" s="1"/>
  <c r="EQ32" i="3"/>
  <c r="BO32" i="3"/>
  <c r="BN32" i="3"/>
  <c r="BM32" i="3"/>
  <c r="BL32" i="3"/>
  <c r="BK32" i="3"/>
  <c r="BJ32" i="3"/>
  <c r="BI32" i="3"/>
  <c r="FH31" i="3"/>
  <c r="FG31" i="3"/>
  <c r="FI31" i="3" s="1"/>
  <c r="FF31" i="3"/>
  <c r="FE31" i="3"/>
  <c r="FD31" i="3"/>
  <c r="FC31" i="3"/>
  <c r="FB31" i="3"/>
  <c r="FA31" i="3"/>
  <c r="EY31" i="3"/>
  <c r="EX31" i="3"/>
  <c r="EZ31" i="3" s="1"/>
  <c r="EV31" i="3"/>
  <c r="EU31" i="3"/>
  <c r="EW31" i="3" s="1"/>
  <c r="EQ31" i="3"/>
  <c r="BO31" i="3"/>
  <c r="BN31" i="3"/>
  <c r="BM31" i="3"/>
  <c r="BL31" i="3"/>
  <c r="BK31" i="3"/>
  <c r="BJ31" i="3"/>
  <c r="BI31" i="3"/>
  <c r="FI30" i="3"/>
  <c r="FH30" i="3"/>
  <c r="FG30" i="3"/>
  <c r="FF30" i="3"/>
  <c r="FE30" i="3"/>
  <c r="FD30" i="3"/>
  <c r="FB30" i="3"/>
  <c r="FA30" i="3"/>
  <c r="FC30" i="3" s="1"/>
  <c r="EY30" i="3"/>
  <c r="EX30" i="3"/>
  <c r="EZ30" i="3" s="1"/>
  <c r="EW30" i="3"/>
  <c r="EV30" i="3"/>
  <c r="EU30" i="3"/>
  <c r="EQ30" i="3"/>
  <c r="FI29" i="3"/>
  <c r="FH29" i="3"/>
  <c r="FG29" i="3"/>
  <c r="FF29" i="3"/>
  <c r="FE29" i="3"/>
  <c r="FD29" i="3"/>
  <c r="FB29" i="3"/>
  <c r="FA29" i="3"/>
  <c r="FC29" i="3" s="1"/>
  <c r="EY29" i="3"/>
  <c r="EX29" i="3"/>
  <c r="EZ29" i="3" s="1"/>
  <c r="EW29" i="3"/>
  <c r="EV29" i="3"/>
  <c r="EU29" i="3"/>
  <c r="EQ29" i="3"/>
  <c r="BO29" i="3"/>
  <c r="BN29" i="3"/>
  <c r="BM29" i="3"/>
  <c r="BL29" i="3"/>
  <c r="BK29" i="3"/>
  <c r="BJ29" i="3"/>
  <c r="BI29" i="3"/>
  <c r="FI28" i="3"/>
  <c r="FH28" i="3"/>
  <c r="FG28" i="3"/>
  <c r="FE28" i="3"/>
  <c r="FD28" i="3"/>
  <c r="FF28" i="3" s="1"/>
  <c r="FB28" i="3"/>
  <c r="FA28" i="3"/>
  <c r="FC28" i="3" s="1"/>
  <c r="EZ28" i="3"/>
  <c r="EY28" i="3"/>
  <c r="EX28" i="3"/>
  <c r="EW28" i="3"/>
  <c r="EV28" i="3"/>
  <c r="EU28" i="3"/>
  <c r="EQ28" i="3"/>
  <c r="BO28" i="3"/>
  <c r="BN28" i="3"/>
  <c r="BM28" i="3"/>
  <c r="BL28" i="3"/>
  <c r="BK28" i="3"/>
  <c r="BJ28" i="3"/>
  <c r="BI28" i="3"/>
  <c r="FH27" i="3"/>
  <c r="FG27" i="3"/>
  <c r="FI27" i="3" s="1"/>
  <c r="FE27" i="3"/>
  <c r="FD27" i="3"/>
  <c r="FF27" i="3" s="1"/>
  <c r="FC27" i="3"/>
  <c r="FB27" i="3"/>
  <c r="FA27" i="3"/>
  <c r="EZ27" i="3"/>
  <c r="EY27" i="3"/>
  <c r="EX27" i="3"/>
  <c r="EV27" i="3"/>
  <c r="EU27" i="3"/>
  <c r="EW27" i="3" s="1"/>
  <c r="EQ27" i="3"/>
  <c r="BO27" i="3"/>
  <c r="BN27" i="3"/>
  <c r="BM27" i="3"/>
  <c r="BL27" i="3"/>
  <c r="BK27" i="3"/>
  <c r="BJ27" i="3"/>
  <c r="BI27" i="3"/>
  <c r="FH26" i="3"/>
  <c r="FG26" i="3"/>
  <c r="FI26" i="3" s="1"/>
  <c r="FF26" i="3"/>
  <c r="FE26" i="3"/>
  <c r="FD26" i="3"/>
  <c r="FC26" i="3"/>
  <c r="FB26" i="3"/>
  <c r="FA26" i="3"/>
  <c r="EY26" i="3"/>
  <c r="EX26" i="3"/>
  <c r="EZ26" i="3" s="1"/>
  <c r="EV26" i="3"/>
  <c r="EU26" i="3"/>
  <c r="EW26" i="3" s="1"/>
  <c r="EQ26" i="3"/>
  <c r="BO26" i="3"/>
  <c r="BN26" i="3"/>
  <c r="BM26" i="3"/>
  <c r="BL26" i="3"/>
  <c r="BK26" i="3"/>
  <c r="BJ26" i="3"/>
  <c r="BI26" i="3"/>
  <c r="FI25" i="3"/>
  <c r="FH25" i="3"/>
  <c r="FG25" i="3"/>
  <c r="FF25" i="3"/>
  <c r="FE25" i="3"/>
  <c r="FD25" i="3"/>
  <c r="FB25" i="3"/>
  <c r="FA25" i="3"/>
  <c r="FC25" i="3" s="1"/>
  <c r="EY25" i="3"/>
  <c r="EX25" i="3"/>
  <c r="EZ25" i="3" s="1"/>
  <c r="EW25" i="3"/>
  <c r="EV25" i="3"/>
  <c r="EU25" i="3"/>
  <c r="EQ25" i="3"/>
  <c r="BO25" i="3"/>
  <c r="BN25" i="3"/>
  <c r="BM25" i="3"/>
  <c r="BL25" i="3"/>
  <c r="BK25" i="3"/>
  <c r="BJ25" i="3"/>
  <c r="BI25" i="3"/>
  <c r="FI24" i="3"/>
  <c r="FH24" i="3"/>
  <c r="FG24" i="3"/>
  <c r="FE24" i="3"/>
  <c r="FD24" i="3"/>
  <c r="FF24" i="3" s="1"/>
  <c r="FB24" i="3"/>
  <c r="FA24" i="3"/>
  <c r="FC24" i="3" s="1"/>
  <c r="EZ24" i="3"/>
  <c r="EY24" i="3"/>
  <c r="EX24" i="3"/>
  <c r="EW24" i="3"/>
  <c r="EV24" i="3"/>
  <c r="EU24" i="3"/>
  <c r="EQ24" i="3"/>
  <c r="BO24" i="3"/>
  <c r="BN24" i="3"/>
  <c r="BM24" i="3"/>
  <c r="BL24" i="3"/>
  <c r="BK24" i="3"/>
  <c r="BJ24" i="3"/>
  <c r="BI24" i="3"/>
  <c r="FH23" i="3"/>
  <c r="FG23" i="3"/>
  <c r="FI23" i="3" s="1"/>
  <c r="FE23" i="3"/>
  <c r="FD23" i="3"/>
  <c r="FF23" i="3" s="1"/>
  <c r="FC23" i="3"/>
  <c r="FB23" i="3"/>
  <c r="FA23" i="3"/>
  <c r="EZ23" i="3"/>
  <c r="EY23" i="3"/>
  <c r="EX23" i="3"/>
  <c r="EV23" i="3"/>
  <c r="EU23" i="3"/>
  <c r="EW23" i="3" s="1"/>
  <c r="EQ23" i="3"/>
  <c r="BO23" i="3"/>
  <c r="BN23" i="3"/>
  <c r="BM23" i="3"/>
  <c r="BL23" i="3"/>
  <c r="BK23" i="3"/>
  <c r="BJ23" i="3"/>
  <c r="BI23" i="3"/>
  <c r="FH22" i="3"/>
  <c r="FG22" i="3"/>
  <c r="FI22" i="3" s="1"/>
  <c r="FF22" i="3"/>
  <c r="FE22" i="3"/>
  <c r="FD22" i="3"/>
  <c r="FC22" i="3"/>
  <c r="FB22" i="3"/>
  <c r="FA22" i="3"/>
  <c r="EY22" i="3"/>
  <c r="EX22" i="3"/>
  <c r="EZ22" i="3" s="1"/>
  <c r="EV22" i="3"/>
  <c r="EU22" i="3"/>
  <c r="EW22" i="3" s="1"/>
  <c r="EQ22" i="3"/>
  <c r="BO22" i="3"/>
  <c r="BN22" i="3"/>
  <c r="BM22" i="3"/>
  <c r="BL22" i="3"/>
  <c r="BK22" i="3"/>
  <c r="BJ22" i="3"/>
  <c r="BI22" i="3"/>
  <c r="FI21" i="3"/>
  <c r="FH21" i="3"/>
  <c r="FG21" i="3"/>
  <c r="FF21" i="3"/>
  <c r="FE21" i="3"/>
  <c r="FD21" i="3"/>
  <c r="FB21" i="3"/>
  <c r="FA21" i="3"/>
  <c r="FC21" i="3" s="1"/>
  <c r="EY21" i="3"/>
  <c r="EX21" i="3"/>
  <c r="EZ21" i="3" s="1"/>
  <c r="EW21" i="3"/>
  <c r="EV21" i="3"/>
  <c r="EU21" i="3"/>
  <c r="EQ21" i="3"/>
  <c r="BO21" i="3"/>
  <c r="BN21" i="3"/>
  <c r="BM21" i="3"/>
  <c r="BL21" i="3"/>
  <c r="BK21" i="3"/>
  <c r="BJ21" i="3"/>
  <c r="BI21" i="3"/>
  <c r="FI20" i="3"/>
  <c r="FH20" i="3"/>
  <c r="FG20" i="3"/>
  <c r="FE20" i="3"/>
  <c r="FD20" i="3"/>
  <c r="FF20" i="3" s="1"/>
  <c r="FB20" i="3"/>
  <c r="FA20" i="3"/>
  <c r="FC20" i="3" s="1"/>
  <c r="EZ20" i="3"/>
  <c r="EY20" i="3"/>
  <c r="EX20" i="3"/>
  <c r="EW20" i="3"/>
  <c r="EV20" i="3"/>
  <c r="EU20" i="3"/>
  <c r="EQ20" i="3"/>
  <c r="BO20" i="3"/>
  <c r="BN20" i="3"/>
  <c r="BM20" i="3"/>
  <c r="BL20" i="3"/>
  <c r="BK20" i="3"/>
  <c r="BJ20" i="3"/>
  <c r="BI20" i="3"/>
  <c r="FH19" i="3"/>
  <c r="FG19" i="3"/>
  <c r="FI19" i="3" s="1"/>
  <c r="FE19" i="3"/>
  <c r="FD19" i="3"/>
  <c r="FF19" i="3" s="1"/>
  <c r="FC19" i="3"/>
  <c r="FB19" i="3"/>
  <c r="FA19" i="3"/>
  <c r="EZ19" i="3"/>
  <c r="EY19" i="3"/>
  <c r="EX19" i="3"/>
  <c r="EV19" i="3"/>
  <c r="EU19" i="3"/>
  <c r="EW19" i="3" s="1"/>
  <c r="EQ19" i="3"/>
  <c r="BO19" i="3"/>
  <c r="BN19" i="3"/>
  <c r="BM19" i="3"/>
  <c r="BL19" i="3"/>
  <c r="BK19" i="3"/>
  <c r="BJ19" i="3"/>
  <c r="BI19" i="3"/>
  <c r="FH18" i="3"/>
  <c r="FG18" i="3"/>
  <c r="FI18" i="3" s="1"/>
  <c r="FF18" i="3"/>
  <c r="FE18" i="3"/>
  <c r="FD18" i="3"/>
  <c r="FC18" i="3"/>
  <c r="FB18" i="3"/>
  <c r="FA18" i="3"/>
  <c r="EY18" i="3"/>
  <c r="EX18" i="3"/>
  <c r="EZ18" i="3" s="1"/>
  <c r="EV18" i="3"/>
  <c r="EU18" i="3"/>
  <c r="EW18" i="3" s="1"/>
  <c r="EQ18" i="3"/>
  <c r="BO18" i="3"/>
  <c r="BN18" i="3"/>
  <c r="BM18" i="3"/>
  <c r="BL18" i="3"/>
  <c r="BK18" i="3"/>
  <c r="BJ18" i="3"/>
  <c r="BI18" i="3"/>
  <c r="FI17" i="3"/>
  <c r="FH17" i="3"/>
  <c r="FG17" i="3"/>
  <c r="FF17" i="3"/>
  <c r="FE17" i="3"/>
  <c r="FD17" i="3"/>
  <c r="FB17" i="3"/>
  <c r="FA17" i="3"/>
  <c r="FC17" i="3" s="1"/>
  <c r="EY17" i="3"/>
  <c r="EX17" i="3"/>
  <c r="EZ17" i="3" s="1"/>
  <c r="EW17" i="3"/>
  <c r="EV17" i="3"/>
  <c r="EU17" i="3"/>
  <c r="EQ17" i="3"/>
  <c r="BO17" i="3"/>
  <c r="BN17" i="3"/>
  <c r="BM17" i="3"/>
  <c r="BL17" i="3"/>
  <c r="BK17" i="3"/>
  <c r="BJ17" i="3"/>
  <c r="BI17" i="3"/>
  <c r="FI16" i="3"/>
  <c r="FH16" i="3"/>
  <c r="FG16" i="3"/>
  <c r="FE16" i="3"/>
  <c r="FD16" i="3"/>
  <c r="FF16" i="3" s="1"/>
  <c r="FB16" i="3"/>
  <c r="FA16" i="3"/>
  <c r="FC16" i="3" s="1"/>
  <c r="EZ16" i="3"/>
  <c r="EY16" i="3"/>
  <c r="EX16" i="3"/>
  <c r="EW16" i="3"/>
  <c r="EV16" i="3"/>
  <c r="EU16" i="3"/>
  <c r="EQ16" i="3"/>
  <c r="BO16" i="3"/>
  <c r="BN16" i="3"/>
  <c r="BM16" i="3"/>
  <c r="BL16" i="3"/>
  <c r="BK16" i="3"/>
  <c r="BJ16" i="3"/>
  <c r="BI16" i="3"/>
  <c r="FH15" i="3"/>
  <c r="FG15" i="3"/>
  <c r="FI15" i="3" s="1"/>
  <c r="FE15" i="3"/>
  <c r="FD15" i="3"/>
  <c r="FF15" i="3" s="1"/>
  <c r="FC15" i="3"/>
  <c r="FB15" i="3"/>
  <c r="FA15" i="3"/>
  <c r="EZ15" i="3"/>
  <c r="EY15" i="3"/>
  <c r="EX15" i="3"/>
  <c r="EV15" i="3"/>
  <c r="EU15" i="3"/>
  <c r="EW15" i="3" s="1"/>
  <c r="EQ15" i="3"/>
  <c r="BO15" i="3"/>
  <c r="BN15" i="3"/>
  <c r="BM15" i="3"/>
  <c r="BL15" i="3"/>
  <c r="BK15" i="3"/>
  <c r="BJ15" i="3"/>
  <c r="BI15" i="3"/>
  <c r="FH14" i="3"/>
  <c r="FG14" i="3"/>
  <c r="FI14" i="3" s="1"/>
  <c r="FF14" i="3"/>
  <c r="FE14" i="3"/>
  <c r="FD14" i="3"/>
  <c r="FC14" i="3"/>
  <c r="FB14" i="3"/>
  <c r="FA14" i="3"/>
  <c r="EY14" i="3"/>
  <c r="EX14" i="3"/>
  <c r="EZ14" i="3" s="1"/>
  <c r="EV14" i="3"/>
  <c r="EU14" i="3"/>
  <c r="EW14" i="3" s="1"/>
  <c r="EQ14" i="3"/>
  <c r="BO14" i="3"/>
  <c r="BN14" i="3"/>
  <c r="BM14" i="3"/>
  <c r="BL14" i="3"/>
  <c r="BK14" i="3"/>
  <c r="BJ14" i="3"/>
  <c r="BI14" i="3"/>
  <c r="FI13" i="3"/>
  <c r="FH13" i="3"/>
  <c r="FG13" i="3"/>
  <c r="FF13" i="3"/>
  <c r="FE13" i="3"/>
  <c r="FD13" i="3"/>
  <c r="FB13" i="3"/>
  <c r="FA13" i="3"/>
  <c r="FC13" i="3" s="1"/>
  <c r="EY13" i="3"/>
  <c r="EX13" i="3"/>
  <c r="EZ13" i="3" s="1"/>
  <c r="EW13" i="3"/>
  <c r="EV13" i="3"/>
  <c r="EU13" i="3"/>
  <c r="EQ13" i="3"/>
  <c r="BO13" i="3"/>
  <c r="BN13" i="3"/>
  <c r="BM13" i="3"/>
  <c r="BL13" i="3"/>
  <c r="BK13" i="3"/>
  <c r="BJ13" i="3"/>
  <c r="BI13" i="3"/>
  <c r="FI12" i="3"/>
  <c r="FH12" i="3"/>
  <c r="FG12" i="3"/>
  <c r="FE12" i="3"/>
  <c r="FD12" i="3"/>
  <c r="FF12" i="3" s="1"/>
  <c r="FB12" i="3"/>
  <c r="FA12" i="3"/>
  <c r="FC12" i="3" s="1"/>
  <c r="EZ12" i="3"/>
  <c r="EY12" i="3"/>
  <c r="EX12" i="3"/>
  <c r="EW12" i="3"/>
  <c r="EV12" i="3"/>
  <c r="EU12" i="3"/>
  <c r="EQ12" i="3"/>
  <c r="FI11" i="3"/>
  <c r="FH11" i="3"/>
  <c r="FG11" i="3"/>
  <c r="FE11" i="3"/>
  <c r="FD11" i="3"/>
  <c r="FF11" i="3" s="1"/>
  <c r="FB11" i="3"/>
  <c r="FA11" i="3"/>
  <c r="FC11" i="3" s="1"/>
  <c r="EZ11" i="3"/>
  <c r="EY11" i="3"/>
  <c r="EX11" i="3"/>
  <c r="EW11" i="3"/>
  <c r="EV11" i="3"/>
  <c r="EU11" i="3"/>
  <c r="EQ11" i="3"/>
  <c r="BO11" i="3"/>
  <c r="BN11" i="3"/>
  <c r="BM11" i="3"/>
  <c r="BL11" i="3"/>
  <c r="BK11" i="3"/>
  <c r="BJ11" i="3"/>
  <c r="BI11" i="3"/>
  <c r="FH10" i="3"/>
  <c r="FG10" i="3"/>
  <c r="FI10" i="3" s="1"/>
  <c r="FE10" i="3"/>
  <c r="FD10" i="3"/>
  <c r="FF10" i="3" s="1"/>
  <c r="FC10" i="3"/>
  <c r="FB10" i="3"/>
  <c r="FA10" i="3"/>
  <c r="EZ10" i="3"/>
  <c r="EY10" i="3"/>
  <c r="EX10" i="3"/>
  <c r="EV10" i="3"/>
  <c r="EU10" i="3"/>
  <c r="EW10" i="3" s="1"/>
  <c r="EQ10" i="3"/>
  <c r="BO10" i="3"/>
  <c r="BN10" i="3"/>
  <c r="BM10" i="3"/>
  <c r="BL10" i="3"/>
  <c r="BK10" i="3"/>
  <c r="BJ10" i="3"/>
  <c r="BI10" i="3"/>
  <c r="FH9" i="3"/>
  <c r="FG9" i="3"/>
  <c r="FI9" i="3" s="1"/>
  <c r="FF9" i="3"/>
  <c r="FE9" i="3"/>
  <c r="FD9" i="3"/>
  <c r="FC9" i="3"/>
  <c r="FB9" i="3"/>
  <c r="FA9" i="3"/>
  <c r="EY9" i="3"/>
  <c r="EX9" i="3"/>
  <c r="EZ9" i="3" s="1"/>
  <c r="EV9" i="3"/>
  <c r="EU9" i="3"/>
  <c r="EW9" i="3" s="1"/>
  <c r="EQ9" i="3"/>
  <c r="BO9" i="3"/>
  <c r="BN9" i="3"/>
  <c r="BM9" i="3"/>
  <c r="BL9" i="3"/>
  <c r="BK9" i="3"/>
  <c r="BJ9" i="3"/>
  <c r="BI9" i="3"/>
  <c r="FI8" i="3"/>
  <c r="FH8" i="3"/>
  <c r="FG8" i="3"/>
  <c r="FF8" i="3"/>
  <c r="FE8" i="3"/>
  <c r="FD8" i="3"/>
  <c r="FB8" i="3"/>
  <c r="FA8" i="3"/>
  <c r="FC8" i="3" s="1"/>
  <c r="EY8" i="3"/>
  <c r="EX8" i="3"/>
  <c r="EZ8" i="3" s="1"/>
  <c r="EW8" i="3"/>
  <c r="EV8" i="3"/>
  <c r="EU8" i="3"/>
  <c r="EQ8" i="3"/>
  <c r="BO8" i="3"/>
  <c r="BN8" i="3"/>
  <c r="BM8" i="3"/>
  <c r="BL8" i="3"/>
  <c r="BK8" i="3"/>
  <c r="BJ8" i="3"/>
  <c r="BI8" i="3"/>
  <c r="FI7" i="3"/>
  <c r="FH7" i="3"/>
  <c r="FG7" i="3"/>
  <c r="FE7" i="3"/>
  <c r="FD7" i="3"/>
  <c r="FF7" i="3" s="1"/>
  <c r="FB7" i="3"/>
  <c r="FA7" i="3"/>
  <c r="FC7" i="3" s="1"/>
  <c r="EZ7" i="3"/>
  <c r="EY7" i="3"/>
  <c r="EX7" i="3"/>
  <c r="EW7" i="3"/>
  <c r="EV7" i="3"/>
  <c r="EU7" i="3"/>
  <c r="EQ7" i="3"/>
  <c r="BO7" i="3"/>
  <c r="BN7" i="3"/>
  <c r="BM7" i="3"/>
  <c r="BL7" i="3"/>
  <c r="BK7" i="3"/>
  <c r="BJ7" i="3"/>
  <c r="BI7" i="3"/>
  <c r="FH6" i="3"/>
  <c r="FG6" i="3"/>
  <c r="FI6" i="3" s="1"/>
  <c r="FE6" i="3"/>
  <c r="FD6" i="3"/>
  <c r="FF6" i="3" s="1"/>
  <c r="FC6" i="3"/>
  <c r="FB6" i="3"/>
  <c r="FA6" i="3"/>
  <c r="EZ6" i="3"/>
  <c r="EY6" i="3"/>
  <c r="EX6" i="3"/>
  <c r="EV6" i="3"/>
  <c r="EU6" i="3"/>
  <c r="EW6" i="3" s="1"/>
  <c r="EQ6" i="3"/>
  <c r="BO6" i="3"/>
  <c r="BN6" i="3"/>
  <c r="BM6" i="3"/>
  <c r="BL6" i="3"/>
  <c r="BK6" i="3"/>
  <c r="BJ6" i="3"/>
  <c r="BI6" i="3"/>
  <c r="FH5" i="3"/>
  <c r="FG5" i="3"/>
  <c r="FI5" i="3" s="1"/>
  <c r="FF5" i="3"/>
  <c r="FE5" i="3"/>
  <c r="FD5" i="3"/>
  <c r="FC5" i="3"/>
  <c r="FB5" i="3"/>
  <c r="FA5" i="3"/>
  <c r="EY5" i="3"/>
  <c r="EX5" i="3"/>
  <c r="EZ5" i="3" s="1"/>
  <c r="EV5" i="3"/>
  <c r="EU5" i="3"/>
  <c r="EW5" i="3" s="1"/>
  <c r="EQ5" i="3"/>
  <c r="BO5" i="3"/>
  <c r="BN5" i="3"/>
  <c r="BM5" i="3"/>
  <c r="BL5" i="3"/>
  <c r="BK5" i="3"/>
  <c r="BJ5" i="3"/>
  <c r="BI5" i="3"/>
  <c r="FI4" i="3"/>
  <c r="FH4" i="3"/>
  <c r="FG4" i="3"/>
  <c r="FF4" i="3"/>
  <c r="FE4" i="3"/>
  <c r="FD4" i="3"/>
  <c r="FB4" i="3"/>
  <c r="FA4" i="3"/>
  <c r="FC4" i="3" s="1"/>
  <c r="EY4" i="3"/>
  <c r="EX4" i="3"/>
  <c r="EZ4" i="3" s="1"/>
  <c r="EW4" i="3"/>
  <c r="EV4" i="3"/>
  <c r="EU4" i="3"/>
  <c r="EQ4" i="3"/>
  <c r="BO4" i="3"/>
  <c r="BN4" i="3"/>
  <c r="BM4" i="3"/>
  <c r="BL4" i="3"/>
  <c r="BK4" i="3"/>
  <c r="BJ4" i="3"/>
  <c r="BI4" i="3"/>
  <c r="FI3" i="3"/>
  <c r="FH3" i="3"/>
  <c r="FG3" i="3"/>
  <c r="FE3" i="3"/>
  <c r="FD3" i="3"/>
  <c r="FF3" i="3" s="1"/>
  <c r="FB3" i="3"/>
  <c r="FA3" i="3"/>
  <c r="FC3" i="3" s="1"/>
  <c r="EZ3" i="3"/>
  <c r="EY3" i="3"/>
  <c r="EX3" i="3"/>
  <c r="EW3" i="3"/>
  <c r="EV3" i="3"/>
  <c r="EU3" i="3"/>
  <c r="EQ3" i="3"/>
  <c r="BO3" i="3"/>
  <c r="BN3" i="3"/>
  <c r="BM3" i="3"/>
  <c r="BL3" i="3"/>
  <c r="BK3" i="3"/>
  <c r="BJ3" i="3"/>
  <c r="BI3" i="3"/>
</calcChain>
</file>

<file path=xl/sharedStrings.xml><?xml version="1.0" encoding="utf-8"?>
<sst xmlns="http://schemas.openxmlformats.org/spreadsheetml/2006/main" count="25005" uniqueCount="9250">
  <si>
    <t>100% Acquisition</t>
  </si>
  <si>
    <t>Majority Acquisition</t>
  </si>
  <si>
    <t>Minority Acquisition</t>
  </si>
  <si>
    <t>AUDIT &amp; ELIGIBILITY</t>
  </si>
  <si>
    <t>DEAL CHARACTERISTICS</t>
  </si>
  <si>
    <t>FIRM, CLASSIFICATION &amp; SOURCE STATUS</t>
  </si>
  <si>
    <t>EVENT-YEAR MAP</t>
  </si>
  <si>
    <t>FINANCIAL DATA — ENTER VALUES IN REPORTED CURRENCY, MILLIONS</t>
  </si>
  <si>
    <t>PATENT DATA — UNIQUE FAMILIES / CITATION-WEIGHTED OUTPUT</t>
  </si>
  <si>
    <t>PATENT MODERATORS</t>
  </si>
  <si>
    <t>DERIVED DiD CHECKS</t>
  </si>
  <si>
    <t>Deal_ID</t>
  </si>
  <si>
    <t>Source_Row</t>
  </si>
  <si>
    <t>Initial_Group</t>
  </si>
  <si>
    <t>Initial_Treatment_Indicator</t>
  </si>
  <si>
    <t>Source_File</t>
  </si>
  <si>
    <t>Cross_File_Key</t>
  </si>
  <si>
    <t>Overlap_Flag</t>
  </si>
  <si>
    <t>Duplicate_Flag</t>
  </si>
  <si>
    <t>Multiple_Deal_Acquirer</t>
  </si>
  <si>
    <t>Acquirer_Deal_Count_in_File</t>
  </si>
  <si>
    <t>Manual_Review_Status</t>
  </si>
  <si>
    <t>Initial_Control_Transfer_Status</t>
  </si>
  <si>
    <t>Main_DiD_Decision</t>
  </si>
  <si>
    <t>Exclusion_Reason</t>
  </si>
  <si>
    <t>Announced_Date</t>
  </si>
  <si>
    <t>Completion_Date</t>
  </si>
  <si>
    <t>Completion_Year</t>
  </si>
  <si>
    <t>Completion_Quarter</t>
  </si>
  <si>
    <t>Deal_Status</t>
  </si>
  <si>
    <t>Deal_Headline</t>
  </si>
  <si>
    <t>Deal_Type_Level_1</t>
  </si>
  <si>
    <t>Deal_Subtype_Level_2</t>
  </si>
  <si>
    <t>Deal_Subtype_Level_3</t>
  </si>
  <si>
    <t>Deal_Country_s</t>
  </si>
  <si>
    <t>Deal_Subcategory</t>
  </si>
  <si>
    <t>Financial_Advisors</t>
  </si>
  <si>
    <t>Legal_Advisors</t>
  </si>
  <si>
    <t>Acquirer_Raw</t>
  </si>
  <si>
    <t>Acquirer_Normalized</t>
  </si>
  <si>
    <t>Target_Raw</t>
  </si>
  <si>
    <t>Target_Normalized</t>
  </si>
  <si>
    <t>Deal_Value_USD_m</t>
  </si>
  <si>
    <t>Deal_Value_Raw</t>
  </si>
  <si>
    <t>Description</t>
  </si>
  <si>
    <t>Deal_Rationale</t>
  </si>
  <si>
    <t>Acquirer_Country</t>
  </si>
  <si>
    <t>Target_Country</t>
  </si>
  <si>
    <t>Cross_Border_Flag</t>
  </si>
  <si>
    <t>Acquirer_Listed</t>
  </si>
  <si>
    <t>Bloomberg_Ticker</t>
  </si>
  <si>
    <t>ISIN</t>
  </si>
  <si>
    <t>LEI</t>
  </si>
  <si>
    <t>Acquirer_Parent_Mapping</t>
  </si>
  <si>
    <t>Target_Parent_Mapping</t>
  </si>
  <si>
    <t>Patent_Search_Acquirer_Names</t>
  </si>
  <si>
    <t>Patent_Search_Target_Names</t>
  </si>
  <si>
    <t>Final_Classification</t>
  </si>
  <si>
    <t>Classification_Confidence</t>
  </si>
  <si>
    <t>Patent_Evidence</t>
  </si>
  <si>
    <t>Pipeline_Evidence</t>
  </si>
  <si>
    <t>Platform_Evidence</t>
  </si>
  <si>
    <t>R_and_D_Evidence</t>
  </si>
  <si>
    <t>Commercial_or_Geographic_Evidence</t>
  </si>
  <si>
    <t>Mixed_Motive_Flag</t>
  </si>
  <si>
    <t>Classification_Notes</t>
  </si>
  <si>
    <t>Deal_Validation_Source_URL</t>
  </si>
  <si>
    <t>Financial_Currency</t>
  </si>
  <si>
    <t>Financial_Data_Status</t>
  </si>
  <si>
    <t>Patent_Data_Status</t>
  </si>
  <si>
    <t>Patent_Entity_Scope</t>
  </si>
  <si>
    <t>Calendar_Year_t-3</t>
  </si>
  <si>
    <t>Calendar_Year_t-2</t>
  </si>
  <si>
    <t>Calendar_Year_t-1</t>
  </si>
  <si>
    <t>Calendar_Year_t0</t>
  </si>
  <si>
    <t>Calendar_Year_t+1</t>
  </si>
  <si>
    <t>Calendar_Year_t+2</t>
  </si>
  <si>
    <t>Calendar_Year_t+3</t>
  </si>
  <si>
    <t>Revenue_m_t-3</t>
  </si>
  <si>
    <t>Revenue_m_t-2</t>
  </si>
  <si>
    <t>Revenue_m_t-1</t>
  </si>
  <si>
    <t>Revenue_m_t0</t>
  </si>
  <si>
    <t>Revenue_m_t+1</t>
  </si>
  <si>
    <t>Revenue_m_t+2</t>
  </si>
  <si>
    <t>Revenue_m_t+3</t>
  </si>
  <si>
    <t>Operating_Income_m_t-3</t>
  </si>
  <si>
    <t>Operating_Income_m_t-2</t>
  </si>
  <si>
    <t>Operating_Income_m_t-1</t>
  </si>
  <si>
    <t>Operating_Income_m_t0</t>
  </si>
  <si>
    <t>Operating_Income_m_t+1</t>
  </si>
  <si>
    <t>Operating_Income_m_t+2</t>
  </si>
  <si>
    <t>Operating_Income_m_t+3</t>
  </si>
  <si>
    <t>Net_Income_m_t-3</t>
  </si>
  <si>
    <t>Net_Income_m_t-2</t>
  </si>
  <si>
    <t>Net_Income_m_t-1</t>
  </si>
  <si>
    <t>Net_Income_m_t0</t>
  </si>
  <si>
    <t>Net_Income_m_t+1</t>
  </si>
  <si>
    <t>Net_Income_m_t+2</t>
  </si>
  <si>
    <t>Net_Income_m_t+3</t>
  </si>
  <si>
    <t>Total_Assets_m_t-3</t>
  </si>
  <si>
    <t>Total_Assets_m_t-2</t>
  </si>
  <si>
    <t>Total_Assets_m_t-1</t>
  </si>
  <si>
    <t>Total_Assets_m_t0</t>
  </si>
  <si>
    <t>Total_Assets_m_t+1</t>
  </si>
  <si>
    <t>Total_Assets_m_t+2</t>
  </si>
  <si>
    <t>Total_Assets_m_t+3</t>
  </si>
  <si>
    <t>Total_Debt_m_t-3</t>
  </si>
  <si>
    <t>Total_Debt_m_t-2</t>
  </si>
  <si>
    <t>Total_Debt_m_t-1</t>
  </si>
  <si>
    <t>Total_Debt_m_t0</t>
  </si>
  <si>
    <t>Total_Debt_m_t+1</t>
  </si>
  <si>
    <t>Total_Debt_m_t+2</t>
  </si>
  <si>
    <t>Total_Debt_m_t+3</t>
  </si>
  <si>
    <t>R_and_D_Expense_m_t-3</t>
  </si>
  <si>
    <t>R_and_D_Expense_m_t-2</t>
  </si>
  <si>
    <t>R_and_D_Expense_m_t-1</t>
  </si>
  <si>
    <t>R_and_D_Expense_m_t0</t>
  </si>
  <si>
    <t>R_and_D_Expense_m_t+1</t>
  </si>
  <si>
    <t>R_and_D_Expense_m_t+2</t>
  </si>
  <si>
    <t>R_and_D_Expense_m_t+3</t>
  </si>
  <si>
    <t>ROA_pct_t-3</t>
  </si>
  <si>
    <t>ROA_pct_t-2</t>
  </si>
  <si>
    <t>ROA_pct_t-1</t>
  </si>
  <si>
    <t>ROA_pct_t0</t>
  </si>
  <si>
    <t>ROA_pct_t+1</t>
  </si>
  <si>
    <t>ROA_pct_t+2</t>
  </si>
  <si>
    <t>ROA_pct_t+3</t>
  </si>
  <si>
    <t>Operating_Margin_pct_t-3</t>
  </si>
  <si>
    <t>Operating_Margin_pct_t-2</t>
  </si>
  <si>
    <t>Operating_Margin_pct_t-1</t>
  </si>
  <si>
    <t>Operating_Margin_pct_t0</t>
  </si>
  <si>
    <t>Operating_Margin_pct_t+1</t>
  </si>
  <si>
    <t>Operating_Margin_pct_t+2</t>
  </si>
  <si>
    <t>Operating_Margin_pct_t+3</t>
  </si>
  <si>
    <t>Leverage_pct_t-3</t>
  </si>
  <si>
    <t>Leverage_pct_t-2</t>
  </si>
  <si>
    <t>Leverage_pct_t-1</t>
  </si>
  <si>
    <t>Leverage_pct_t0</t>
  </si>
  <si>
    <t>Leverage_pct_t+1</t>
  </si>
  <si>
    <t>Leverage_pct_t+2</t>
  </si>
  <si>
    <t>Leverage_pct_t+3</t>
  </si>
  <si>
    <t>Patent_Family_Count_t-3</t>
  </si>
  <si>
    <t>Patent_Family_Count_t-2</t>
  </si>
  <si>
    <t>Patent_Family_Count_t-1</t>
  </si>
  <si>
    <t>Patent_Family_Count_t0</t>
  </si>
  <si>
    <t>Patent_Family_Count_t+1</t>
  </si>
  <si>
    <t>Patent_Family_Count_t+2</t>
  </si>
  <si>
    <t>Patent_Family_Count_t+3</t>
  </si>
  <si>
    <t>Citation_Weighted_Output_t-3</t>
  </si>
  <si>
    <t>Citation_Weighted_Output_t-2</t>
  </si>
  <si>
    <t>Citation_Weighted_Output_t-1</t>
  </si>
  <si>
    <t>Citation_Weighted_Output_t0</t>
  </si>
  <si>
    <t>Citation_Weighted_Output_t+1</t>
  </si>
  <si>
    <t>Citation_Weighted_Output_t+2</t>
  </si>
  <si>
    <t>Citation_Weighted_Output_t+3</t>
  </si>
  <si>
    <t>Acquirer_PreDeal_Patent_Stock</t>
  </si>
  <si>
    <t>Target_PreDeal_Patent_Stock</t>
  </si>
  <si>
    <t>Relative_Knowledge_Base_Size</t>
  </si>
  <si>
    <t>Technological_Relatedness_Cosine</t>
  </si>
  <si>
    <t>Inventor_Location_Available</t>
  </si>
  <si>
    <t>Cross_Border_Relocation_Testable</t>
  </si>
  <si>
    <t>Pre_Avg_ROA</t>
  </si>
  <si>
    <t>Post_Avg_ROA</t>
  </si>
  <si>
    <t>Delta_ROA</t>
  </si>
  <si>
    <t>Pre_Avg_Operating_Margin</t>
  </si>
  <si>
    <t>Post_Avg_Operating_Margin</t>
  </si>
  <si>
    <t>Delta_Operating_Margin</t>
  </si>
  <si>
    <t>Pre_Avg_Patent_Families</t>
  </si>
  <si>
    <t>Post_Avg_Patent_Families</t>
  </si>
  <si>
    <t>Delta_Patent_Families</t>
  </si>
  <si>
    <t>Pre_Avg_Citation_Weighted</t>
  </si>
  <si>
    <t>Post_Avg_Citation_Weighted</t>
  </si>
  <si>
    <t>Delta_Citation_Weighted</t>
  </si>
  <si>
    <t>Complete_Financial_Window</t>
  </si>
  <si>
    <t>Complete_Patent_Window</t>
  </si>
  <si>
    <t>Data_Ready_Flag</t>
  </si>
  <si>
    <t>TRT-0001</t>
  </si>
  <si>
    <t>Candidate treatment group</t>
  </si>
  <si>
    <t>DATA - Innovation driven deals.xlsx</t>
  </si>
  <si>
    <t>les laboratoires servier acquires symphogen</t>
  </si>
  <si>
    <t>Yes</t>
  </si>
  <si>
    <t>No</t>
  </si>
  <si>
    <t>Not started</t>
  </si>
  <si>
    <t>Eligible - 100%</t>
  </si>
  <si>
    <t>Review</t>
  </si>
  <si>
    <t>Q2 2020</t>
  </si>
  <si>
    <t>Completed</t>
  </si>
  <si>
    <t>Les Laboratoires Servier Acquires Symphogen</t>
  </si>
  <si>
    <t>Mergers &amp; Acquisitions</t>
  </si>
  <si>
    <t>Acquisition</t>
  </si>
  <si>
    <t>Denmark</t>
  </si>
  <si>
    <t>Lazard Inc , Rothschild &amp; Co Bank AG</t>
  </si>
  <si>
    <t>Plesner , McDermott Will &amp; Emery LLP , Perkins Coie LLP , Gorrissen Federspiel Advokatpartnerselskab</t>
  </si>
  <si>
    <t>Les Laboratoires Servier SAS</t>
  </si>
  <si>
    <t>les laboratoires servier</t>
  </si>
  <si>
    <t>Symphogen A/S</t>
  </si>
  <si>
    <t>symphogen a s</t>
  </si>
  <si>
    <t>n/a</t>
  </si>
  <si>
    <t>Les Laboratoires Servier SA, a pharmaceutical company, has completed the acquisition of Symphogen A/S, a therapeutic antibody discovery company.
Following the transaction, Symphogen will now function as the antibody center of excellence of Servier in several different therapeutic areas including oncology. Symphogen, now a subsidiary of Servier, will keep its operational autonomy and continue to rely on its experienced employees while maintaining its headquarters in Ballerup, Denmark.
As part of the acquisition, Christophe Thurieau, Executive Director of Servier Research Institute, has been appointed Chief Executive Officer of Symphogen and Karin Garre, former Chief Operating Officer of Symphogen, has been appointed General Manager of Symphogen. Martin Olin, former Chief Executive Officer of Symphogen, will act as an external consultant to support this transition.
This transaction enables Servier to strengthen its R&amp;D pipeline by acquiring antibody pipeline and next-generation antibody technologies.
Lazard acted as financial advisor, while McDermott Will &amp; Emery and Gorrissen Federspiel Advokatpartnerselskab acted as legal advisors to Servier. Rothschild &amp; Co. acted as financial advisor and Plesner Advokatpartnerselskab and Perkins Coie LLP acted as legal advisors to Symphogen.
Deal History:
Announced: On April 3, 2020, Les Laboratoires Servier entered into a definitive agreement with the owners of Symphogen.</t>
  </si>
  <si>
    <t>This transaction enables Servier to strengthen its R&amp;D pipeline by acquiring antibody pipeline and next-generation antibody technologies.</t>
  </si>
  <si>
    <t>Unknown</t>
  </si>
  <si>
    <t>Not reviewed</t>
  </si>
  <si>
    <t>Not assessed</t>
  </si>
  <si>
    <t>Not collected</t>
  </si>
  <si>
    <t>Not defined</t>
  </si>
  <si>
    <t>TRT-0002</t>
  </si>
  <si>
    <t>towa pharma acquires pensa investments</t>
  </si>
  <si>
    <t>Q4 2019</t>
  </si>
  <si>
    <t>Towa Pharma Acquires Pensa Investments</t>
  </si>
  <si>
    <t>Spain</t>
  </si>
  <si>
    <t>Lazard Inc , Barclays Plc</t>
  </si>
  <si>
    <t>Nishimura &amp; Asahi , Clifford Chance LLP , Gomez-Acebo &amp; Pombo Abogados SLP</t>
  </si>
  <si>
    <t>Towa Pharmaceutical Co Ltd</t>
  </si>
  <si>
    <t>towa pharmaceutical</t>
  </si>
  <si>
    <t>Pensa Investments, S.L.</t>
  </si>
  <si>
    <t>pensa investments s l</t>
  </si>
  <si>
    <t>Towa Pharmaceutical Co. Ltd., a company engaged in the manufacture and distribution of pharmaceutical products, has completed its acquisition of Pensa Investments, S.L., a company that provides affiliate pharmaceutical manufacturing facilities including pharmaceutical development, from Esteve Pharmaceuticals, S.A., a pharmaceutical company.
Breckenridge Pharma announced Towa Pharma completed its acquisition of Esteve’s generics division, including Breckenridge.
The purchase price of Pensa will be an all cash deal with an upfront payment of EUR320 million.
The transaction will allow Towa Pharma to accelerate its overseas business presence and to provide quality and value-added generic medicines to patients in all over world.
Deal History: 
Announced: On December 21, 2019, Towa Pharma reached an agreement to acquire 100% stake in Pensa Investments from Esteve Pharma.</t>
  </si>
  <si>
    <t>The transaction will allow Towa Pharma to accelerate its overseas business presence and to provide quality and value-added generic medicines to patients in all over world.</t>
  </si>
  <si>
    <t>TRT-0003</t>
  </si>
  <si>
    <t>pfizer acquires therachon for</t>
  </si>
  <si>
    <t>Q2 2019</t>
  </si>
  <si>
    <t>Pfizer Acquires Therachon for USD810 Million</t>
  </si>
  <si>
    <t>Switzerland</t>
  </si>
  <si>
    <t>The Goldman Sachs Group Inc</t>
  </si>
  <si>
    <t>Cooley LLP , Homburger AG , Lenz &amp; Staehelin , Arnold &amp; Porter LLP</t>
  </si>
  <si>
    <t>Pfizer Inc</t>
  </si>
  <si>
    <t>pfizer</t>
  </si>
  <si>
    <t>Therachon AG (Inactive)</t>
  </si>
  <si>
    <t>therachon</t>
  </si>
  <si>
    <t>Pfizer Inc., a pharmaceutical company, has completion acquisition of all the shares of Therachon Holding AG, a clinical-stage biotechnology company focused on rare diseases with assets in development for the treatment of achondroplasia and short bowel syndrome (SBS).
Under the terms of the transaction, Pfizer acquired Therachon for USD340 million with an additional USD470 million in additional payments contingent on the achievement of key milestones in the development and commercialization of TA-46. 
TA-46 is an investigational, soluble recombinant human fibroblast growth factor receptor 3 (FGFR3) decoy, for bone development abnormalities associated with achondroplasia.
Prior to the closing of the transaction with Pfizer, Therachon will spin-off its apraglutide development program into a separate, independent company. Apraglutide is a GLP-2 analog in Phase II development for short bowel syndrome. Pfizer Ventures, the venture capital arm of Pfizer Inc., currently holds a minority stake and will continue to hold an equity stake in the new company.
The transaction is not expected to impact Pfizer’s current 2019 adjusted financial guidance.
The acquisition enables Pfizer to expand its rare disease portfolio with potential first-in-class therapy for achondroplasia through the development of TA-46.
Goldman Sachs acted as financial advisor while Cooley LLP and Homburger AG acted as legal advisors to Therachon. Arnold &amp; Porter and Lenz &amp; Staehelin acted as legal advisors to Pfizer.
Deal History:
Announced: On May 8, 2019, Pfizer entered into a definitive agreement to acquire all the shares of Therachon.</t>
  </si>
  <si>
    <t>The acquisition enables Pfizer to expand its rare disease portfolio with potential first-in-class therapy for achondroplasia through the development of TA-46.</t>
  </si>
  <si>
    <t>TRT-0004</t>
  </si>
  <si>
    <t>gyroscope therapeutics merges with orbit biomedical</t>
  </si>
  <si>
    <t>Review - merger</t>
  </si>
  <si>
    <t>Gyroscope Therapeutics Merges with Orbit Biomedical</t>
  </si>
  <si>
    <t>Merger</t>
  </si>
  <si>
    <t>United Kingdom , United States</t>
  </si>
  <si>
    <t>Gyroscope Therapeutics Holdings Plc</t>
  </si>
  <si>
    <t>gyroscope therapeutics</t>
  </si>
  <si>
    <t>Orbit Biomedical Inc; Gyroscope Therapeutics Holdings Plc</t>
  </si>
  <si>
    <t>orbit biomedical gyroscope therapeutics</t>
  </si>
  <si>
    <t>Gyroscope Therapeutics Ltd, an ophthalmology company developing genetically defined therapies for retinal diseases, and Orbit Biomedical, a medical device company focused on precision sub-retinal therapeutic delivery, have merged to form a combined retinal gene therapy platform.
Under the terms, Syncona Ltd, the shareholder of both the companies, will own 82% of the enlarged company, which will retain the Gyroscope name.
The merger enables the companies to form a sub-retinal surgical platform with Gyroscope's clinical stage pipeline and gene therapy manufacturing platform.</t>
  </si>
  <si>
    <t>The merger enables the companies to form a sub-retinal surgical platform with Gyroscope's clinical stage pipeline and gene therapy manufacturing platform.</t>
  </si>
  <si>
    <t>TRT-0005</t>
  </si>
  <si>
    <t>trinetx acquires custodix</t>
  </si>
  <si>
    <t>TriNetX Acquires Custodix</t>
  </si>
  <si>
    <t>Belgium</t>
  </si>
  <si>
    <t>TriNetX LLC</t>
  </si>
  <si>
    <t>trinetx</t>
  </si>
  <si>
    <t>Custodix NV</t>
  </si>
  <si>
    <t>custodix</t>
  </si>
  <si>
    <t>TriNetX, Inc., a health research network, has acquired Custodix NV and its InSite network, a provider of services for clinical trial design, patient feasibility, and enabling workflow for patient recruitment.
The InSite platform allows the re-use of Electronic Health Records (EHR) data for research.
The acquisition enables TriNetx to provide a largest platform for clinical research to healthcare organizations throughout Europe.</t>
  </si>
  <si>
    <t>The acquisition enables TriNetx to provide a largest platform for clinical research to healthcare organizations throughout Europe.</t>
  </si>
  <si>
    <t>TRT-0006</t>
  </si>
  <si>
    <t>bravo bidco boston scientific acquires btg for</t>
  </si>
  <si>
    <t>Q4 2018</t>
  </si>
  <si>
    <t>Bravo Bidco (Boston Scientific) Acquires BTG for USD4.24 Billion</t>
  </si>
  <si>
    <t>United Kingdom</t>
  </si>
  <si>
    <t>Rothschild &amp; Co SCA , The Goldman Sachs Group Inc , Deutsche Bank AG , J.P. Morgan Cazenove Ltd (Inactive) , Barclays Wealth Management , Goldman Sachs International</t>
  </si>
  <si>
    <t>Shearman &amp; Sterling LLP , Simpson Thacher &amp; Bartlett LLP , Allen Overy Shearman Sterling LLP , Travers Smith LLP , White &amp; Case LLP , Arnold &amp; Porter Kaye Scholer LLP</t>
  </si>
  <si>
    <t>Bravo Bidco Ltd</t>
  </si>
  <si>
    <t>bravo bidco</t>
  </si>
  <si>
    <t>BTG Ltd</t>
  </si>
  <si>
    <t>btg</t>
  </si>
  <si>
    <t>Boston Scientific Corp, a medical technology, through its wholly-owned subsidiary, Bravo Bidco Ltd, has completed the acquisition of BTG plc,  a company which develops and commercializes products used in minimally-invasive procedures targeting cancer and vascular diseases, as well as acute care pharmaceuticals, for GBP3.3 billion.
In addition to the Interventional Medicine product lines, the BTG portfolio also includes a specialty pharmaceutical business comprised of acute care antidotes to treat overexposure to certain medications and toxins, and a licensing business that receives royalties related to BTG intellectual property and product license agreements.
Upon the effectiveness of the scheme of arrangement, BTG became a wholly-owned subsidiary of Boston Scientific, and BTG shares no longer trade on the London Stock Exchange. Under the terms of the previously announced transaction, holders of BTG common shares will receive 840 pence in cash per share. 
The transaction would be funded with a combination of cash on hand and proceeds from debt financing entered into by Boston Scientific.
The acquisition will enable Bravo Bidco to expand peripheral interventions portfolio with minimally-invasive treatments for cancers and vascular conditions.
Goldman Sachs International, Deutsche Bank AG, J.P. Morgan Cazenove and Rothschild &amp; Co acted as financial advisors where as Allen &amp; Overy LLP acted as legal adviser to BTG, while Barclays acted as financial advisor where as Shearman &amp; Sterling LLP, Simpson Thacher &amp; Bartlett LLP, Arnold &amp; Porter Kaye Scholer LLP and Travers Smith LLP acted as legal advisors, respectively, to Bravo Bidco.
Deal History:
Announced: On November 20, 2018, Boston Scientific reached an agreement on the terms of a recommended cash offer by its wholly-owned subsidiary, Bravo Bidco Ltd, for the acquisition of the entire issued and to be issued ordinary share capital (100%) of BTG plc, a company which develops and commercializes products used in minimally-invasive procedures targeting cancer and vascular diseases, as well as acute care pharmaceuticals, for GBP3.3 billion.
Update: On December 12, 2018, BTG, Boston Scientific and Bidco entered into an amendment to the Co-operation Agreement to extend the date by which certain regulatory filings must be made in Spain, Germany and other relevant jurisdictions. The filing of the notification in respect of the Acquisition under the HSR Act was made yesterday.
Update: On February 15, 2019, The Transaction has received merger control clearance in Germany under the German Act Against Restraints of Competition and the Taiwan Fair Trade Commission has terminated its investigation. 
Update: On February 28, 2019, The shareholders of BTG have approved in respect of the previously announced recommended cash offer to acquire the entire issued and to be issued ordinary share capital of BTG by Bravo Bidco, an indirect wholly-owned subsidiary of Boston Scientific.
Update: On August 2, 2019, BTG and Boston Scientific are pleased to confirm that the Transaction has received merger control clearance from the US Federal Trade Commission under the HSR Act, on July 25, 2019 the CNMC issued a clearance decision under the Spanish Competition Act and on August 2, 2019, the Federal Competition Authority of Austria issued a clearance decision pursuant to Sec 11 Para 4 Austrian Cartel Act.</t>
  </si>
  <si>
    <t>The acquisition will enable Bravo Bidco to expand peripheral interventions portfolio with minimally-invasive treatments for cancers and vascular conditions.</t>
  </si>
  <si>
    <t>TRT-0007</t>
  </si>
  <si>
    <t>aphria acquires cc pharma</t>
  </si>
  <si>
    <t>Review - majority</t>
  </si>
  <si>
    <t>Aphria Acquires CC Pharma</t>
  </si>
  <si>
    <t>Germany</t>
  </si>
  <si>
    <t>Aphria Inc</t>
  </si>
  <si>
    <t>aphria</t>
  </si>
  <si>
    <t>CC Pharma GmbH</t>
  </si>
  <si>
    <t>cc pharma</t>
  </si>
  <si>
    <t>Aphria Inc., a global cannabis company, has completed the acquisition of CC Pharma GmbH, a distributor of pharmaceutical products.
Under the terms of consideration, Aphria will pay EUR24.5 million in cash to CC Pharma at closing, with an earn-out multiple on future EBITDA of up to another EUR23.5 million following closing, if certain performance milestones are met.
Aphria, through its subsidiary Aphria International, previously announced a supply agreement with CC Pharma to export approximately 1,200 kilograms of medical cannabis products from Canada to Germany. CC Pharma operates a production, repackaging and labeling facility at its headquarters in Densborn.
The transaction enables Aphria to strengthen its end-to-end medical cannabis operations and infrastructure in Germany.
Deal History: 
Announced: On November 5, 2011, Aphria announced its proposed acquisition of CC Pharma.</t>
  </si>
  <si>
    <t>The transaction enables Aphria to strengthen its end-to-end medical cannabis operations and infrastructure in Germany.</t>
  </si>
  <si>
    <t>TRT-0008</t>
  </si>
  <si>
    <t>ingenza acquires stake in amprologix</t>
  </si>
  <si>
    <t>Exclude - minority</t>
  </si>
  <si>
    <t>Q3 2018</t>
  </si>
  <si>
    <t>Ingenza Acquires Stake in Amprologix</t>
  </si>
  <si>
    <t>Ingenza Ltd</t>
  </si>
  <si>
    <t>ingenza</t>
  </si>
  <si>
    <t>Amprologix Ltd</t>
  </si>
  <si>
    <t>amprologix</t>
  </si>
  <si>
    <t>Ingenza Ltd, an industrial biotechnology and synthetic biology company, has acquired a stake in Amprologix Ltd, a spin-out company from the University of Plymouth.
Amprologix develops and commercialises epidermicins, a new class of antibiotics capable of rapidly killing harmful bacteria, including methicillin-resistant Staphylococcus aureus (MRSA), Streptoccus and Enterococcus at very low doses.
The acquisition enables Ingenza to discover and improve new antimicrobial classes.</t>
  </si>
  <si>
    <t>The acquisition enables Ingenza to discover and improve new antimicrobial classes.</t>
  </si>
  <si>
    <t>TRT-0009</t>
  </si>
  <si>
    <t>telix pharma acquires atlab pharma for</t>
  </si>
  <si>
    <t>Telix Pharma Acquires Atlab Pharma for USD10 Million</t>
  </si>
  <si>
    <t>France</t>
  </si>
  <si>
    <t>Telix Pharmaceuticals Ltd</t>
  </si>
  <si>
    <t>telix pharmaceuticals</t>
  </si>
  <si>
    <t>ATLAB Pharma SAS</t>
  </si>
  <si>
    <t>atlab pharma</t>
  </si>
  <si>
    <t>Telix Pharmaceuticals Limited, a clinical-stage biotechnology company, has completed the acquisition of Atlab Pharma SAS, a biotechnology company, for a purchase consideration of USD10 million.
Telix Pharma has exercised an option to acquire Atlab Pharma.  A total of 14,840,000 shares were issued in consideration. The consideration of USD10 million is issued as USD9 million in Telix shares to Atlab shareholders, at USD0.89 per share, USD0.5 million in Telix shares to BZL, also at USD0.89 per share. These shares are paid to BZL as partial consideration for a significant reduction in royalty rates for the background IP, as a closing condition of the transaction, and USD0.5 million in warrants over Telix shares to BZL, with an exercise price of USD1.34 per share.
As part of the transaction, Telix Pharma has also entered into a limited back - license with BZL Biologics LLC(BZL) for certain IP rights to support ongoing commercial research activities that are outside of the scope of product development focus for Telix Pharma. Prof. Jean-Francois Chatal (Atlab/ Universite de Nantes) and Prof. Neil Bander (BZL/ WCMC ) will continue to serve as members of Telix’s scientific advisory board.
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t>
  </si>
  <si>
    <t>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t>
  </si>
  <si>
    <t>TRT-0010</t>
  </si>
  <si>
    <t>sanofi acquires ablynx for</t>
  </si>
  <si>
    <t>Q1 2018</t>
  </si>
  <si>
    <t>Sanofi Acquires Ablynx for USD4.85 Billion</t>
  </si>
  <si>
    <t>Morgan Stanley , Lazard Inc , J.P. Morgan Securities LLC</t>
  </si>
  <si>
    <t>Eubelius , Goodwin Procter LLP , Linklaters LLP , Weil, Gotshal &amp; Manges LLP , NautaDutilh NV</t>
  </si>
  <si>
    <t>Sanofi</t>
  </si>
  <si>
    <t>sanofi</t>
  </si>
  <si>
    <t>Ablynx NV</t>
  </si>
  <si>
    <t>ablynx</t>
  </si>
  <si>
    <t>Sanofi, a pharmaceutical company, has acquired all outstanding shares of Ablynx NV, a biopharmaceutical company focused on the discovery and development of nanobodies, for an aggregate equity value of approximately EUR3.9 billion (USD4.85 billion). 
The Squeeze-out period commenced on May 22, 2018, in accordance with applicable Belgian and the US law, following the acquisition by Sanofi of over 95% of the outstanding shares of Ablynx upon settlement of the initial acceptance period of its tender offer for Ablynx. On June 12, 2018, upon expiration of the Squeeze-out period, 2,893,201 shares (including 7,163 shares represented by ADSs) and 8 convertible bonds of Ablynx were tendered in the Squeeze-out. The securities tendered during the Squeeze-out period are expected to be settled on or about June 19, 2018.
All shares (including all shares represented by ADSs) and all convertible bonds of Ablynx not tendered during the Squeeze-out are deemed transferred to Sanofi by operation of law. The funds required for the payment of the price thereof are kept with the Bank for official deposits (Deposito- en Consignatiekas / Caisse des depots et consignations). The former Ablynx holders of these Securities retain the right to receive EUR45 (USD55.92) per share (or ADS) and EUR393,700.78 per convertible bond. In order to receive these amounts, they must contact the bank for official deposits, where the funds will remain available.
On June 13, 2018, The shares of Ablynx were delisted from the regulated market of Euronext Brussels, (ii) the ADSs were delisted from NASDAQ Global Select Market and (iii) the convertible bonds were delisted from the open market Frankfurt MTF (Freiverkehr).
In accordance with the Belgian requirement of certainty of funds, Sanofi has entered into a bank credit facility, BNP Paribas Fortis SA/NA acting as the sole credit facility arranger. 
This transaction enables Sanofi to strengthen its R&amp;D strategy with Nanobody technology platform and expands its rare blood disorders franchise with Ablynx’s late-stage investigational caplacizumab aTTP treatment. 
Morgan Stanley and Lazard Ltd. acted as financial advisors, Weil, Gotshal &amp; Manges LLP and NautaDutilh NV acted as legal advisors to Sanofi; J.P. Morgan Securities LLC acted as financial advisor, while Eubelius CVBA, Goodwin Procter LLP and Linklaters LLP acted as legal advisors to Ablynx for the transaction.
Deal History:
Update: On May 14, 2018, Sanofi and Ablynx  announced the results of the initial tender offer period of Sanofi’s previously announced tender offers to acquire all of the outstanding shares (including shares represented by American Depositary Shares (ADSs)), warrants and convertible bonds (together, the Securities) of Ablynx.
Update: On March 29, 2018, Sanofi entered into definitive agreement with Ablynx to acquire all of the outstanding ordinary shares of Ablynx at a price per share of EUR45 (USD55.92) in cash, which represents an aggregate equity value of approximately EUR3.9 billion (USD4.85). The transaction was unanimously approved by both the Sanofi and Ablynx boards of directors. Sanofi and Ablynx have received an approval and publication of the tender offer documents and response by Ablynx’s Board of Directors.
Sanofi confirmed that, as of the expiration of the initial acceptance period, which expired on May 4, 2018, a total of 71,972,994 shares (including 7,446,312 shares represented by ADSs), 2,594,841 warrants and 975 convertible bonds had been validly tendered into the offers and not withdrawn. Sanofi will own 95.60% of the outstanding shares of Ablynx on the settlement date of the offers, of which more than 90% were acquired through the offers. Sanofi further confirmed that the Minimum tender condition and the other conditions to the offers have been satisfied.
Under the terms of the agreement, Sanofi will commence the tender offers to acquire all of the outstanding shares (includes shares represented by ADS), warrants and convertible bonds of Ablynx in cash for  EUR45 (USD55.6) per share or ADS; EUR18.66 (USD23) - EUR41.79 (USD51.6) per warrant; and EUR0.39 (USD0.48) per convertible bond. Sanofi has complied with the formalities set forth in the Belgian takeover legislation and filed the mandatory documents with the FSMA.
Update: On March 27, 2018, Sanofi and Ablynx have received prospectus approved by the Belgian Financial Services and Markets Authority (FSMA).
Update: On March 1, 2018, Sanofi announced that the waiting period under the Hart-Scott-Rodino Antitrust Improvements Act of 1976 has expired and that Sanofi has received clearance from the Federal Cartel Office of Germany in accordance with the Act Against Restraints of Competition, applicable to the transaction.
Earlier on January 5, 2018,  Ablynx rejected the proposal from Novo Nordisk A/S for up to EUR30.5 (USD36.2) per share, including EUR28 (USD33.23) per share in cash and one CVR with total potential cash payments over time of up to EUR2.5 (USD2.97) per share or total equity valuation of EUR2.6 billion (USD3.09 billion), taking into account the interests of all its stakeholders, unanimously concluded that the proposal fundamentally undervalues Ablynx and its strong prospects for continued growth and value creation.</t>
  </si>
  <si>
    <t>This transaction enables Sanofi to strengthen its R&amp;D strategy with Nanobody technology platform and expands its rare blood disorders franchise with Ablynx’s late-stage investigational caplacizumab aTTP treatment.</t>
  </si>
  <si>
    <t>SAN FP</t>
  </si>
  <si>
    <t>Lens.org acquirer-side patent export imported; target patent export not supplied.</t>
  </si>
  <si>
    <t>EUR</t>
  </si>
  <si>
    <t>Complete</t>
  </si>
  <si>
    <t>Complete event window — provisional; EP-only scope</t>
  </si>
  <si>
    <t>EP-focused applicant-family export, 2015–2021; not directly comparable with multi-jurisdiction exports without harmonisation.</t>
  </si>
  <si>
    <t>TRT-0011</t>
  </si>
  <si>
    <t>takeda pharma acquires tigenix for</t>
  </si>
  <si>
    <t>Takeda Pharma Acquires TiGenix for USD626.4 Million</t>
  </si>
  <si>
    <t>Cowen and Company, LLC (Inactive) , Centerview Partners UK LLP</t>
  </si>
  <si>
    <t>Covington &amp; Burling LLP , DLA Piper US LLP , Davis Polk &amp; Wardwell LLP , DLA Piper UK LLP , Osborne Clarke N.V.</t>
  </si>
  <si>
    <t>Takeda Pharmaceutical Co Ltd</t>
  </si>
  <si>
    <t>takeda pharmaceutical</t>
  </si>
  <si>
    <t>TiGenix NV</t>
  </si>
  <si>
    <t>tigenix</t>
  </si>
  <si>
    <t>Takeda Pharmaceutical Co. Ltd., a pharmaceutical company, has completed the acquisition of TiGenix NV, a biopharmaceutical company developing stem cell therapies for serious medical conditions, for a purchase consideration of approximately EUR520 million (USD626.4 million). Takeda Pharma intends to fund the transaction cost from existing cash balances.
Pursuant to the transaction, TiGenix becomes a wholly owned subsidiary of Takeda.
On June 6, 2018, Takeda Pharma announced the results of the first acceptance period of Takeda’s previously announced tender offer in cash for all outstanding ordinary shares, warrants and American Depositary Shares (ADSs) and together with the ordinary shares and the warrants, the securities) of TiGenix that are not yet owned by Takeda and its affiliates, which expired as scheduled on May 31, 2018.
The second acceptance period for the Belgian offer will commence on June 20, 2018, and the second acceptance period for the US offer will commence today, June 6, 2018, and is scheduled to expire for both the Belgian offer and the US offer, subject to any extension, on July 3, 2018, respectively. The results of the second acceptance period are expected to be published on July 6, 2018. Payment for the ordinary shares, warrants and ADSs validly tendered and not withdrawn in the second acceptance period is currently expected to commence on July 10, 2018.
During the second acceptance period, holders of ordinary shares, warrants and ADSs can tender their securities in the bid by following the instructions set out in the prospectus or the tender offer statement on schedule TO, as applicable to them.
On April 25, 2018, Takeda Pharma announced that the first acceptance period of tender offer in cash for all outstanding ordinary shares. warrants and ADSs of TiGenix that are not yet owned by Takeda and its affiliates, at an acquisition price of EUR1.78 per ordinary share in cash; EUR35.60 (USD42.8) per ADS in cash and an amount per warrant in cash depending on the strike price and maturity of such Warrant, will commence on April 30, 2018.
The first acceptance period for the bid will start on April 30, 2018 and is scheduled to expire, subject to any extension, on May 31, 2018. The results of the first acceptance period are expected to be published on June 6, 2018. Payment for the ordinary shares, warrants and ADSs validly tendered and not withdrawn in the first acceptance period is currently scheduled for June 8, 2018 although the Belgian offer and the US offer may have different payment dates.
During the first acceptance period, holders of ordinary shares, warrants and ADSs can tender their securities in the bid by following the instructions set out in the prospectus or the tender offer statement on schedule TO, as applicable to them.
Pursuant to the transaction, Takeda Pharma intends to acquire 100% of the securities with voting rights or giving access to voting rights of TiGenix not already owned by Takeda Pharma or its affiliates at an acquisition price of EUR1.78 (USD2.14) per share in cash and an equivalent price per American Depositary Share (ADS), warrant and convertible bond, representing a transaction value of approximately EUR520 million (USD626.44 million) on a fully diluted basis. The transaction is structured as an all cash voluntary public takeover bid by Takeda Pharma with respect to 100% of the securities with voting rights or giving access to voting rights of TiGenix that are not already owned by Takeda Pharma or its affiliates. 
Takeda Pharma and TiGenix entered into an offer and support agreement confirming TiGenix’s support and the terms and conditions of the bid. Gri-Cel SA, holding 32,238,178 TiGenix shares, and its affiliate Grifols Worldwide Operations Ltd., holding 7,189,800 TiGenix shares in the form of ADS, have irrevocably confirmed that they will tender their shares and ADSs into the potential public takeover bid. 
The acquisition extends an existing exclusive ex-US license, development and commercialization agreement between Takeda and TiGenix to develop and commercialize Cx601 (darvadstrocel) entered in July 2016.
This acquisition enables Takeda Pharma to expand its late stage gastroenterology pipeline and strengthen presence in the US specialty care market.
Centerview Partners UK LLP acted as financial advisor, DLA Piper UK LLP and DLA Piper US LLP acted as legal advisor to Takeda Pharma; Cowen and Company, LLC acted as financial advisor, while Osborne Clarke CVBA and Davis Polk &amp; Wardwell LLP acted as legal advisor to Tingenix for the transaction.
Deal History:
Announced: On January 5, 2018, Takeda Pharma intends to acquire TiGenix, for a purchase consideration of approximately EUR520 million (USD626.4 million). Takeda Pharma intends to fund the transaction cost from existing cash balances.
Takeda Pharma has also entered into an offer and support agreement with TiGenix which provides for a recommended potential voluntary public takeover bid for TiGenix. The agreement has been unanimously supported by the TiGenix board of directors (including its CEO).
The bid will be comprised of two separate offers (i) an offer to all holders of ordinary shares and warrants in accordance with the applicable law in Belgium (Belgian offer), and (ii) an offer to holders of ordinary shares who are resident in the US in accordance with applicable the US law and to holders of ADSs wherever located (the US offer).
Following closing of the potential voluntary public takeover bid, Takeda Pharma intends to launch a squeeze-out if the applicable conditions for such squeeze-out are met to delist the shares of TiGenix from Euronext Brussels and NASDAQ. After the squeeze-out, TiGenix would become a wholly-owned subsidiary of Takeda.</t>
  </si>
  <si>
    <t>This acquisition enables Takeda Pharma to expand its late stage gastroenterology pipeline and strengthen presence in the US specialty care market.</t>
  </si>
  <si>
    <t>TRT-0012</t>
  </si>
  <si>
    <t>impilo acquires 37 stake in ferrosan medical devices</t>
  </si>
  <si>
    <t>Q3 2017</t>
  </si>
  <si>
    <t>Impilo Acquires 37% stake in Ferrosan Medical Devices</t>
  </si>
  <si>
    <t>Impilo AB</t>
  </si>
  <si>
    <t>impilo ab</t>
  </si>
  <si>
    <t>Ferrosan Medical Devices AS</t>
  </si>
  <si>
    <t>ferrosan medical devices</t>
  </si>
  <si>
    <t>Impilo AB, a investment company focussed in the healthcare sector, has acquired 37% stake in Ferrosan Medical Devices A/S, a medical device company
Ferrosan Medical Devices, which develops and produces hemostatic products used to stop bleeding during surgery, as well as miniature electrical engineering used in equipment for regional anesthesia and minimal invasive surgery.
The transaction enables Ferrosan to broaden and strengthen the development of its products, also to expand its products geographically.</t>
  </si>
  <si>
    <t>The transaction enables Ferrosan to broaden and strengthen the development of its products, also to expand its products geographically.</t>
  </si>
  <si>
    <t>TRT-0013</t>
  </si>
  <si>
    <t>cell medica acquires catapult therapy tcr from cell therapy catapult</t>
  </si>
  <si>
    <t>Q2 2017</t>
  </si>
  <si>
    <t>Cell Medica Acquires Catapult Therapy TCR from Cell Therapy Catapult</t>
  </si>
  <si>
    <t>Kuur Therapeutics Ltd</t>
  </si>
  <si>
    <t>kuur therapeutics</t>
  </si>
  <si>
    <t>Cell Medica TCR Ltd</t>
  </si>
  <si>
    <t>cell medica tcr</t>
  </si>
  <si>
    <t>Cell Medica Ltd, a developer of cellular immunotherapy for the treatment of cancer, has acquired Catapult Therapy TCR Limited, a developer of cell therapy for the treatment of acute myeloid leukaemia, from Cell Therapy Catapult Ltd, (Cell and Gene Therapy Catapult), a developer of cell and gene therapies.
Catapult Therapy TCR is a company set up by Cell Therapy Catapult, University College London (UCL) Business and Imperial Innovations, and managed by Cell Therapy Catapult, for the development of the WT1 T cell receptor (TCR) cell therapy discovered through research at UCL and Imperial College London. The WT1-TCR cell therapy enhances the immune system to fight cancer by genetically engineering the patient’s T cells to target WT1, a tumour-associated antigen which is expressed in both solid tumours and blood cancers.
Concurrently, Cell Medica entered into a collaboration agreement with Cell Therapy Catapult, to establish cell therapy manufacturing operations for Cell Medica at the GMP production facility recently built by Cell Therapy Catapult in Stevenage, UK. The collaboration will include transferring the current WT1-TCR cell therapy manufacturing process to Stevenage over the next twelve months while Cell Medica and Cell Therapy Catapult work to develop a commercial scale production process using advanced manufacturing techniques. Cell Medica will also evaluate the feasibility of manufacturing additional cell therapy products at the site.
This transaction enables Cell Medica to create an effective treatment for patients with solid tumours.</t>
  </si>
  <si>
    <t>This transaction enables Cell Medica to create an effective treatment for patients with solid tumours.</t>
  </si>
  <si>
    <t>TRT-0014</t>
  </si>
  <si>
    <t>astellas pharma acquires ogeda for up to</t>
  </si>
  <si>
    <t>Astellas Pharma Acquires Ogeda for up to USD852 Million</t>
  </si>
  <si>
    <t>White &amp; Case LLP , Jones Day</t>
  </si>
  <si>
    <t>Astellas Pharma Inc</t>
  </si>
  <si>
    <t>astellas pharma</t>
  </si>
  <si>
    <t>Ogeda SA</t>
  </si>
  <si>
    <t>ogeda</t>
  </si>
  <si>
    <t>Astellas Pharma Inc., a pharmaceutical company, has completed the acquisition of Ogeda SA, a drug discovery company, for a cash consideration of up to EUR800 million (USD851.98 million).
Under the agreement, Astellas Pharma paid up to a total of EUR800 million (USD851.98 million). Astellas Pharma will make an initial payment of EUR500 million (USD532.5 million) in consideration of 100% of the equity in Ogeda at the closing of the agreement. Then Ogeda shareholders will be eligible to receive an additional EUR300 million (USD319.49 million) with attainment of certain clinical development and regulatory milestones for fezolinetant. Following the transaction, Ogeda became a wholly owned subsidiary of Astellas Pharma.
Fezolinetant, is a selective NK3 receptor antagonist, and the positive data from a Phase IIa study result for the non-hormonal treatment of menopause-related vasomotor symptoms (MR-VMS), announced in January 2017. 
This acquisition enables Astellas Pharma to expand its late stage pipeline and is expected to contribute to its mid-to-long term growth.
Jones Day acted as legal advisor to Astellas Pharma and White &amp; Case LLP acted as legal advisor to Ogedas for the agreement.
Deal History:
Announced: On April 3, 2017, Astellas Pharma entered into a definitive agreement to acquire Ogeda, for a cash consideration of up to EUR800 million (USD851.98 million).</t>
  </si>
  <si>
    <t>This acquisition enables Astellas Pharma to expand its late stage pipeline and is expected to contribute to its mid-to-long term growth.</t>
  </si>
  <si>
    <t>TRT-0015</t>
  </si>
  <si>
    <t>boston scientific acquires symetis for</t>
  </si>
  <si>
    <t>Q1 2017</t>
  </si>
  <si>
    <t>Boston Scientific Acquires Symetis for USD435 Million</t>
  </si>
  <si>
    <t>Vischer AG</t>
  </si>
  <si>
    <t>Latham &amp; Watkins LLP</t>
  </si>
  <si>
    <t>Boston Scientific Corp</t>
  </si>
  <si>
    <t>boston scientific</t>
  </si>
  <si>
    <t>Symetis SA (Inactive)</t>
  </si>
  <si>
    <t>symetis</t>
  </si>
  <si>
    <t>Boston Scientific Corporation, a medical technology, has completed the acquisition Symetis SA, a medical technology company, for a purchase consideration of USD435 million in up-front cash.
The Symetis portfolio includes the ACURATE tA and ACURATE neo/TF valve systems for use in the treatment of high-risk patients suffering from severe and symptomatic aortic valve stenosis, which are sold in Europe and in other geographies outside of the United States. Symetis is also developing the ACURATE neo/AS next generation valve system, currently in a clinical trial intended to serve as the basis for a future CE mark application.
On an adjusted basis, the transaction is expected to be immaterial in 2017, slightly accretive in 2018, and increasingly accretive thereafter. The transaction is expected to be less accretive (or dilutive, as the case may be) on a GAAP basis, due to amortization expense and transaction and integration costs.
This transaction enables Boston Scientific to expand treatments for patients with aortic valvular heart disease and strengthen its position in structural heart globally.
Vischer AG acted as advisor to Symetis for the transaction.
Deal History:
Announced: On March 30, 2017, Boston Scientific entered into definitive agreement to acquire Symetis, for a purchase consideration of USD435 million in up-front cash.</t>
  </si>
  <si>
    <t>This transaction enables Boston Scientific to expand treatments for patients with aortic valvular heart disease and strengthen its position in structural heart globally.</t>
  </si>
  <si>
    <t>TRT-0016</t>
  </si>
  <si>
    <t>biolinerx acquires agalimmune</t>
  </si>
  <si>
    <t>BioLineRx Acquires Agalimmune</t>
  </si>
  <si>
    <t>King &amp; Wood Mallesons LLP</t>
  </si>
  <si>
    <t>BioLineRx Ltd</t>
  </si>
  <si>
    <t>biolinerx</t>
  </si>
  <si>
    <t>Agalimmune Ltd</t>
  </si>
  <si>
    <t>agalimmune</t>
  </si>
  <si>
    <t>BioLineRx Ltd., a biopharmaceutical company focused on oncology and immunology, has acquired Agalimmune Ltd., a developer of anti-cancer immunotherapy, and its technology platform for a initial consideration of USD5.85 million, of which USD2.85 million is in cash and the remainder in the Company’s ADSs. Additional consideration may be due to Agalimmune shareholders based on certain development and commercial milestones, including future sales of Agalimmune products. The acquisition expands the Company’s pipeline with a number of assets, including Agalimmune’s primary asset, AGI-134, a novel immuno-oncology agent for various cancer indications at the near-clinical stage of development. Agalimmune also has a number of early-stage preclinical assets for future evaluation by the Company.
Agalimmune’s lead compound, AGI-134 is a synthetic alpha-Gal immunotherapy in development for solid tumors. AGI-134 has completed numerous pre-clinical studies, demonstrating robust protection against the development of secondary tumors in a model of melanoma with a single dose only. Synergy has also been demonstrated in additional pre-clinical studies when combined with a PD-1 immune checkpoint inhibitor, offering the potential to broaden the utility of such immunotherapies, and improve the rate and duration of responses in multiple cancer types. AGI-134 is in near-clinical development and is expected to commence a first-in-man study in patients with solid tumors in the first half of 2018.
This agreement enables BioLineRx to incorporate AGI-134 in its pipeline and strengthen its position in immuno-oncology.
King &amp; Wood Mallesons acted as legal advisor to Agalimmune for the transaction.</t>
  </si>
  <si>
    <t>This agreement enables BioLineRx to incorporate AGI-134 in its pipeline and strengthen its position in immuno-oncology.</t>
  </si>
  <si>
    <t>TRT-0017</t>
  </si>
  <si>
    <t>mediolanum farmaceutici acquires therabel pharma gienne</t>
  </si>
  <si>
    <t>Mediolanum Farmaceutici Acquires Therabel Pharma Gienne</t>
  </si>
  <si>
    <t>Italy</t>
  </si>
  <si>
    <t>Ernst &amp; Young Global Ltd</t>
  </si>
  <si>
    <t>NCTM Studio Legale Associato</t>
  </si>
  <si>
    <t>Mediolanum farmaceutici SpA</t>
  </si>
  <si>
    <t>mediolanum farmaceutici</t>
  </si>
  <si>
    <t>Therabel Pharma SA</t>
  </si>
  <si>
    <t>therabel pharma</t>
  </si>
  <si>
    <t>Mediolanum Farmaceutici, an Italian pharmaceutical company, acquires Therabel Pharma Gienne, a pharmaceutical company. 
Ernst &amp; Young acted as financial advisor and NCTM acted as legal advisor of Mediolanum Group. 
Deal Hisory:
Announced: February, 17, 2017, Mediolanum Farmaceutici entered into an agreement to acquire Therabel Pharma Gienne.</t>
  </si>
  <si>
    <t>TRT-0018</t>
  </si>
  <si>
    <t>agile pharma acquires generis farmaceutica from magnum capital partners for</t>
  </si>
  <si>
    <t>Agile Pharma Acquires Generis Farmaceutica from Magnum Capital Partners for USD142.8 Million</t>
  </si>
  <si>
    <t>Portugal</t>
  </si>
  <si>
    <t>Agile Pharma BV</t>
  </si>
  <si>
    <t>agile pharma</t>
  </si>
  <si>
    <t>Generis Pharmaceuticals SA</t>
  </si>
  <si>
    <t>generis pharmaceuticals</t>
  </si>
  <si>
    <t>Agile Pharma BV, a pharmaceutical company and wholly-owned subsidiary of Aurobindo Pharma Ltd., has acquired Generis Farmaceutica, S.A., a manufacturer and supplier of pharmaceutical products, and its subsidiaries from Magnum Capital Partners Limited, a private equity firm, for a purchase consideration of EUR135 million (USD142.78 million), in cash.
Generis Farmaceutica subsidiaries includes Mer Medicamentos, Lda., Generis Phar, Unipessoal Lda., Farma APS – Promocao de Medicamentos, Unipessoal Lda., and Generis MZ, Lda.
The acquisition includes Generis Farmaceutica's manufacturing facility in Amadora, Portugal which has a capacity to produce 1.2 billion tablets/capsules/sachets annually.
This transaction enables Agile Pharma to expand its businesses portfolio in Portuguese market.
Deal History:
Announced: On January 7, 2017, Agile Pharma entered into a binding agreement to acquire Generis Farmaceutica from Magnum Capital Partners for a purchase consideration of EUR135 million (USD142.78 million), in cash.
Rumor: On November 3, 2016, Aurobindo Pharma intended to acquire Generis Farmaceutica, according to people familiar with the matter. The transaction is expected to be valued at approximately USD200 million.</t>
  </si>
  <si>
    <t>This transaction enables Aurobindo Pharma to expands its businesses portfolio in Portuguese market.</t>
  </si>
  <si>
    <t>TRT-0019</t>
  </si>
  <si>
    <t>genticel merges with genkyotex</t>
  </si>
  <si>
    <t>Q4 2016</t>
  </si>
  <si>
    <t>Genticel Merges with GenKyoTex</t>
  </si>
  <si>
    <t>France , Switzerland</t>
  </si>
  <si>
    <t>Jones Day</t>
  </si>
  <si>
    <t>Paul Hastings LLP</t>
  </si>
  <si>
    <t>Calliditas Therapeutics France SAS</t>
  </si>
  <si>
    <t>calliditas therapeutics france</t>
  </si>
  <si>
    <t>Calliditas Therapeutics France SAS; Calliditas Therapeutics France SAS</t>
  </si>
  <si>
    <t>calliditas therapeutics france calliditas therapeutics france</t>
  </si>
  <si>
    <t>Genticel SA, a biotechnology company, has merged with GenKyoTex SA, a developer of small molecule therapeutics. 
Pursuant to the transaction, Genticel changed its name to Genkyotex; and the combined company will create a European group with a pipeline of first-in-class NOX inhibitors in fibrosis and inflammatory pain. In conjunction with the transaction, Elias Papatheodorou, CEO of Genkyotex became the CEO of the group.
Under the terms of the transaction, the contribution by all the GenKyoTex shareholders to Genticel of the 5,262,133 ordinary shares they hold in GenKyoTex represent 100% of its share capital and voting rights; and the issuance by Genticel of 62,279,951 new shares to GenKyoTex’s shareholders in remuneration of the contribution of their shares. These shareholders thus received 11.8355 Genticel shares for each GenKyoTex share contributed. The exchange parity was agreed between Genticel and GenKyoTex’s shareholders on the basis of a real value of EUR120 million (USD124.94 million) for GenKyoTex and EUR30 million (USD31.24 million) for Genticel, as foreseen in the contribution agreement.
As a result, GenKyoTex’s former shareholders now hold 80% of the share capital and voting rights of Genkyotex. Admission to trading on the Euronext Paris and Euronext Brussels regulated markets of the new shares issued by the company in remuneration of the contribution in kind will become effective on March 2, 2017. The shares listed on these markets will trade under the name Genkyotex with ticker ‘GKTX’ from March 2, 2017, as soon as trading begins on the Euronext markets in Paris and Brussels. 
This transaction enables Genticel and GenKyoTex to complete both phase II study in primary biliary cholangitis (PBC) with GKT831 and first Phase I study with GKT771.
Jones Day acted as advisor to Genticel for the transaction.
Deal History:
Announced: On December 22, 2016, Genticel agreed to merge with GenKyoTex.</t>
  </si>
  <si>
    <t>This transaction enables GenKyoTex and Genticel to complete both phase II study in primary biliary cholangitis (PBC) with GKT831 and first Phase I study with GKT771.</t>
  </si>
  <si>
    <t>TRT-0020</t>
  </si>
  <si>
    <t>biogaia acquires additional 9 stake in metabogen for</t>
  </si>
  <si>
    <t>BioGaia Acquires Additional 9% Stake in MetaboGen for USD0.43 Million</t>
  </si>
  <si>
    <t>Sweden</t>
  </si>
  <si>
    <t>BioGaia AB</t>
  </si>
  <si>
    <t>biogaia ab</t>
  </si>
  <si>
    <t>MetaboGen AB</t>
  </si>
  <si>
    <t>metabogen ab</t>
  </si>
  <si>
    <t>BioGaia AB, a biotechnology company, has acquired additional 9% stake in MetaboGen AB, a research company, for a consideration of SEK4 million (USD0.43 million). In total BioGaia acquired 36% stake in MetaboGen.
Earlier, on December 31, 2014, BioGaia agreed to acquire 35% stake in MetaboGen, for a purchase consideration of SEK12 million (USD1.6 million). Pursuant to the transaction, the investment will be made over a two year period and will then give BioGaia 35% of the share capital of the company. On December 31, 2016, BioGaia acquired 15% stake in MetaboGen, for a consideration of SEK4 million (USD0.54 million). On December 1, 2015, BioGaia acquired additional 12% stake in MetaboGen, for a consideration of SEK4 million (USD0.46 million).
This acquisition enables BioGaia to strengthen its business and develop the next-generation of probiotic products using new technology.</t>
  </si>
  <si>
    <t>This acquisition enables BioGaia to strengthen its business and develop the next-generation of probiotic products using new technology.</t>
  </si>
  <si>
    <t>TRT-0021</t>
  </si>
  <si>
    <t>macarthys laboratories martindale pharma acquires viridian pharma</t>
  </si>
  <si>
    <t>Q3 2016</t>
  </si>
  <si>
    <t>Macarthys Laboratories (Martindale Pharma) acquires Viridian Pharma</t>
  </si>
  <si>
    <t>Martindale Pharma</t>
  </si>
  <si>
    <t>martindale pharma</t>
  </si>
  <si>
    <t>Viridian Pharma Ltd</t>
  </si>
  <si>
    <t>viridian pharma</t>
  </si>
  <si>
    <t>Macarthys Laboratories Limited (trading as Martindale Pharma), a specialty pharmaceutical company, has acquired Viridian Pharma Limited, a developer and marketer of niche pharmaceutical products. Both the companies are based in the UK.
_x000D_Following the transaction, Viridian Pharma will be combined with Martindale Pharma’s existing business.</t>
  </si>
  <si>
    <t>According to Martindale Pharma, “This acquisition is part of the company’s strategy to expand its product portfolio and actively support further growth of its hospital-initiated medicines product range.”</t>
  </si>
  <si>
    <t>TRT-0022</t>
  </si>
  <si>
    <t>carbylan therapeutics acquires kalvista pharma</t>
  </si>
  <si>
    <t>Q2 2016</t>
  </si>
  <si>
    <t>Carbylan Therapeutics Acquires KalVista Pharma</t>
  </si>
  <si>
    <t>Wedbush PacGrow Life Sciences , Jefferies LLC</t>
  </si>
  <si>
    <t>Fenwick &amp; West LLP , Cooley LLP , Latham &amp; Watkins LLP</t>
  </si>
  <si>
    <t>Kalvista Pharmaceuticals Inc</t>
  </si>
  <si>
    <t>kalvista pharmaceuticals</t>
  </si>
  <si>
    <t>Kalvista Pharmaceuticals Ltd</t>
  </si>
  <si>
    <t>Carbylan Therapeutics, Inc., a pharmaceutical company, has completed the acquisition of KalVista Pharmaceuticals Ltd., a pharmaceutical company.
Under the terms, Carbylan Therapeutics issued new shares of its common stock to KalVista Pharma shareholders. Following the transaction, Carbylan Therapeutics changed its name to KalVista Pharmaceuticals, Inc. The company will commence trading on November 22, 2016 on the NASDAQ Stock Market under the symbol 'KALV'. Upon the closing of the transaction, existing KalVista Pharma equity holders owned approximately 81% of the combined company, and existing Carbylan stockholders owned approximately 19%, each on a fully-diluted basis. As part of the transaction, the designated equity holders and KalVista Pharma's shareholder each entered into a lock-up agreement with Carbylan Therapeutics pursuant to which such parties have agreed, except in limited circumstances, not to sell or transfer, or engage in swap or similar transactions with respect to, shares of Carbylan Therapeutics’ common stock, including, as applicable, shares received in connection with the transaction, for a period of 180 days following the closing of the transaction.
The total cash balance, net of debt and expected transaction costs, of the combined company upon the closing of the transaction is expected to be minimum of USD35 million and maximum of USD40 million, which is expected to be sufficient to allow the combined company to achieve meaningful clinical data. Following the transaction, KalVista Pharma will become a wholly owned subsidiary of Carbylan Therapeutics.
The transaction has been unanimously approved by the boards of directors of both companies. Carbylan Therapeutics' three largest shareholders, Interwest Partners, LLC, Alta Partners and Vivo Capital, who hold approximately 50% of its voting shares, have entered into agreements in support of the proposed transaction. KalVista Pharma’s existing shareholders, which have unanimously agreed to the proposed transaction, include Longwood Fund, Novo A/S, RA Capital Management, SV Life Sciences and Venrock.
This transaction enables KalVista Pharma to continue the development of its plasma kallikrein inhibitor platform, and advance its programs in hereditary angioedema (HAE) and diabetic macular edema (DME), bringing much-needed treatments to patients.
Wedbush PacGrow Life Sciences acted as advisor, and Latham &amp; Watkins LLP acted as legal advisor to Carbylan Therapeutics; while Jefferies LLC acted as advisor, and Fenwick &amp; West LLP and Cooley LLP acted as legal advisor to KalVista Pharma, for the transaction.
Deal History:
Announced: On June 15, 2016, Carbylan Therapeutics entered into a definitive share purchase agreement to acquire KalVista Pharma.</t>
  </si>
  <si>
    <t>This transaction enables KalVista Pharma to continue the development of its plasma kallikrein inhibitor platform, and advance its programs in hereditary angioedema (HAE) and diabetic macular edema (DME), bringing much-needed treatments to patients.</t>
  </si>
  <si>
    <t>TRT-0023</t>
  </si>
  <si>
    <t>albany molecular research acquires 100 stake of prime european therapeuticals euticals</t>
  </si>
  <si>
    <t>Albany Molecular Research acquires 100% stake of Prime European Therapeuticals (Euticals)</t>
  </si>
  <si>
    <t>Nomura Holdings Inc , Lincoln International LLC</t>
  </si>
  <si>
    <t>LCA Studio Legale , Chiomenti Studio Legale , Debevoise &amp; Plimpton LLP , Goodwin Procter LLP</t>
  </si>
  <si>
    <t>Albany Molecular Research, Inc.</t>
  </si>
  <si>
    <t>albany molecular research</t>
  </si>
  <si>
    <t>Euticals SpA</t>
  </si>
  <si>
    <t>euticals</t>
  </si>
  <si>
    <t>Albany Molecular Research, Inc. (AMRI) has acquired all outstanding shares of Prime European Therapeuticals S.p.A. (also known as Euticals S.p.A.), an Italy-based chemical company focused on active pharmaceutical ingredients (APIs), custom synthesis and fine chemicals projects and products, from Lauro Cinquantesette, S.p.A for approximately $358 million, consisting of shares of AMRI common stock, cash, and a seller note. 
_x000D_ AMRI is a US-based provider of contract research and manufacturing services to the pharmaceutical and biotechnology industries, while Lauro is an Italy-based acquisition vehicle of Clessidra Capital Partners II and Mandarin Capital Partner SCA SICAR. 
_x000D_ AMRI financed the transaction through the issuance of approximately 7.1 million shares of AMRI common stock, seller notes totaling EUR55 million, and the remainder in cash. 
_x000D_ Announcement (May 5, 2016): 
_x000D_ AMRI has signed a definitive agreement to acquire all outstanding shares of Euticals from Lauro for approximately $358 million, consisting of shares of AMRI common stock, cash, and a seller note. 
_x000D_ AMRI intends to fund the transaction through the issuance of approximately 7 million shares of its common stock; a seller note of $63 million; and the remainder in cash. 
_x000D_ AMRI has entered into debt financing commitments with JPMorgan Chase &amp; Co. and Barclays Bank PLC for amounts that are expected to be sufficient to provide funds necessary to consummate the transaction. 
_x000D_ Pursuant to the transaction, the 7 million shares of AMRI common stock to be issued in connection with the transaction will be offered and sold outside the US to Lauro. 
_x000D_ Euticals reported a revenue of $245 million and an earnings before interest, taxes, depreciation and amortization (EBITDA) of $27 million respectively for the year ended December 31, 2015. 
_x000D_ Euticals' full year 2016 revenue is forecast to be between $245 million and $255 million, with adjusted EBITDA1 of between $34 million and $38 million, implying a purchase price multiple, prior to anticipated synergies, of approximately 9.9 times 2016 adjusted EBITDA at the midpoint of the range and excluding transaction related costs or purchase accounting impacts. AMRI's 2017 pro forma revenue expected to exceed $750 million, with 2017 adjusted EBITDA margins of 20%. 
_x000D_ Nomura Holdings, Inc. is acting as financial advisor, while Goodwin Procter LLP and LCA Studio Legale are acting as legal advisors to AMRI. Lincoln International LLC is acting as financial advisor, while Chiomenti Studio Legale and Debevoise &amp; Plimpton LLP are acting as legal advisors to Lauro.</t>
  </si>
  <si>
    <t>The transaction will provide AMRI an established custom synthesis presence in Europe and will further build on its capability in complex APIs, positioning AMRI as a preeminent provider of contract research, development and manufacturing services to the pharmaceutical industry._x000D_
_x000D_
It will expand AMRI's capabilities in  multiple areas: sterile API, steroids, generics, fermentation, controlled substances and monobactams._x000D_
_x000D_
It will also provide an opportunity to AMRI to enter into Euticals’s technologies and products, including certain tetracyclines, monobactams, sterile and fermented APIs and controlled substances and to further expand its presence in the European community.</t>
  </si>
  <si>
    <t>TRT-0024</t>
  </si>
  <si>
    <t>vectura group acquires 100 stake in skyepharma</t>
  </si>
  <si>
    <t>Q1 2016</t>
  </si>
  <si>
    <t>Vectura Group acquires 100% stake in SkyePharma</t>
  </si>
  <si>
    <t>N M Rothschild &amp; Sons Limited (Inactive) , N M Rothschild &amp; Sons Limited (Inactive) , N M Rothschild &amp; Sons Limited (Inactive) , Singer Capital Markets Ltd , Lazard &amp; Co Ltd , Lazard &amp; Co Ltd , Lazard &amp; Co Ltd , J.P. Morgan Cazenove Ltd (Inactive) , J.P. Morgan Cazenove Ltd (Inactive) , J.P. Morgan Cazenove Ltd (Inactive) , Peel Hunt LLP</t>
  </si>
  <si>
    <t>Vectura Group Limited</t>
  </si>
  <si>
    <t>vectura</t>
  </si>
  <si>
    <t>Skyepharma PLC</t>
  </si>
  <si>
    <t>skyepharma</t>
  </si>
  <si>
    <t>Vectura Group plc, a developer of pharmaceutical therapies for the treatment of airways-related diseases, has acquired the entire issued and to be issued ordinary share capital of Skyepharma Plc, a specialist drug delivery company developing oral and inhalation products, by way of a scheme of arrangement for approximately GBP4.10 per Skyepharma share, or approximately GBP441.3 million. Both the companies are based in the UK.
_x000D_Announcement (March 16, 2016):
_x000D_Vectura has signed an agreement to acquire the entire issued and to be issued ordinary share capital of Skyepharma by way of a scheme of arrangement for approximately GBP4.10 per Skyepharma share, or approximately GBP441.3 million.
_x000D_Under the terms of the transaction, Skyepharma shareholders will be entitled to receive 2.7977 new Vectura shares for every Skyepharma share. 
_x000D_Based on the closing price of GBP1.46 per Vectura share on March 15, 2016, the consideration under the terms of the transaction represents a value of GBP4.10 per Skyepharma share, or approximately GBP441.3 million in aggregate, representing: a premium of approximately 13.6% to the 90 trading day volume weighted average price of GBP3.61 per Skyepharma share on March 15, 2016; and  a premium of approximately 4.2% to the closing price of GBP3.93 per Skyepharma share on  March 15, 2016.
_x000D_There will be a partial cash alternative of a maximum amount of GBP70 million pursuant to which Skyepharma shareholders can elect to receive cash instead of some or all of the new Vectura shares to which they would otherwise be entitled under the transaction (subject to scale-back in accordance with the terms of the partial cash alternative). The maximum amount of cash available under the partial cash alternative of GBP70 million equates to 15.9% of the total value of the consideration offered to Skyepharma shareholders under the terms of the transaction, based on the closing price of GBP1.46 per Vectura share on March 15, 2016.
_x000D_The transaction (excluding the effect of the partial cash alternative) will result in Skyepharma shareholders owning approximately 41.75% of the enlarged group on a fully diluted basis. If the GBP70 million available under the partial cash alternative is paid in full, the transaction will result in Skyepharma shareholders owning approximately 37.62% of the Enlarged Group on a fully diluted basis.
_x000D_Based on closing prices as of March 15, 2016, the enlarged group would have had a pro-forma market capitalization of GBP1,014.3 million and generated pro-forma combined revenues of GBP153.9 million and pro-forma combined EBITDA of GBP50.5 million based on the last reported full-year results for both companies. 
_x000D_ Vectura has received support for the transaction from: the Skyepharma directors who hold Skyepharma shares and who in aggregate hold 0.39% of the issued ordinary share capital of Skyepharma as at March 15, 2016 (being the last business day prior to the date of the announcement); and HBM Healthcare Investments, Ltd., which holds approximately 28.5% of the issued ordinary share capital of Skyepharma as at March 15, 2016 (being the last business day prior to the date of the announcement).
_x000D_ Such Skyepharma directors and HBM have irrevocably undertaken to support the scheme. Frank Condella and Thomas Werner have undertaken not to elect to receive the partial cash alternative in respect of their Skyepharma shares and HBM will elect to receive the partial cash alternative in respect of 15.9% of the consideration due to them.
_x000D_The transaction is expected to close in the third quarter of 2016.
_x000D_J.P. Morgan Cazenove, N M Rothschild &amp; Sons Limited and Peel Hunt LLP are acting as financial advisors, while Citigate Dewe Rogerson is acting as public relations (PR) advisor to Vectura.
_x000D_ Lazard &amp; Co., Limited and N+1 Singer are acting as financial advisors, while FTI Consulting is acting as PR advisor to Skyepharma.</t>
  </si>
  <si>
    <t>The transaction will combine the complementary Vectura and Skyepharma businesses to create airways-related specialty business. _x000D_
_x000D_
Vectura and Skyepharma's complementary inhaled formulation, development regulatory and device capabilities (dry powder inhalers (DPI), pressurized metered dose inhalers (pMDI) and smart nebulisers) will provide a series of enhanced platforms to accelerate growth in the inhaled respiratory market along with providing a broader product and development portfolio._x000D_
_x000D_
The transaction will allow Vectura and Skyepharma to develop and commercialize its own products and progressively build a specialty commercial capability targeting the airways market, with the US as a priority.</t>
  </si>
  <si>
    <t>TRT-0025</t>
  </si>
  <si>
    <t>skyepharma merges with vectura</t>
  </si>
  <si>
    <t>SkyePharma Merges with Vectura</t>
  </si>
  <si>
    <t>Lazard &amp; Co Ltd , J.P. Morgan Cazenove Ltd (Inactive) , N M Rothschild &amp; Sons Ltd</t>
  </si>
  <si>
    <t>Vectura Group Ltd</t>
  </si>
  <si>
    <t>SkyePharma Ltd; Vectura Group Ltd</t>
  </si>
  <si>
    <t>skyepharma vectura</t>
  </si>
  <si>
    <t>SkyePharma PLC, a provider of oral and inhalation pharmaceutical products, has merged with Vectura Group plc, a provider of drugs for the treatment of bronchopulmonary diseases. The transaction is valued at GBP4.1 (USD5.83) per SkyePharma share or approximately GBP441.3 million (USD627.45 million), in shares. Following the transaction, the combined company will be Vectura Group.
The purchase consideration represents a premium of approximately 4.2% to the closing price of GBP3.93 (USD5.55) per Skyepharma share on March 15, 2016 and a premium of approximately 13.6% to the 90 trading day volume weighted average price (VWAP) of GBP3.61 (USD5.1) per Skyepharma share on March 15, 2016.
Pursuant to the transaction, SkyePharma shareholders are entitled to receive 2.7977 new shares for each share held, valuing SkyePharma at GBP441.3 million (USD627.45 million). Alternatively, SkyePharma shareholders have an option to receive a part of the offer instead of some or all of the new Vectura shares. If GBP70 million (USD99.53 million) available under the cash alternative is paid in full, SkyePharma shareholders would own about 37.62% of the combined company and an all-stock transaction would result in SkyePharma shareholders owning about 41.75% of the combined company. 
In addtion, Skyepharma shareholders who validly elect to receive the partial cash alternative for up to a basic entitlement of GBP0.23 (USD0.33) in cash and 0.8414 of a new Vectura share for every new Vectura share to which they would otherwise be entitled under the merger, will receive the full amount of cash for which they have elected. Assuming all Skyepharma shareholders elect for their basic entitlement under the partial cash alternative in respect of all of the new Vectura shares to which they would otherwise be entitled under the merger, a Skyepharma shareholder would receive GBP0.65 (USD0.92) in cash and 2.3539 new Vectura shares per Skyepharma share representing consideration of, in aggregate, GBP0.41 (USD0.58) per Skyepharma share. Following the transaction, Skyepharma will operate as a wholly-owned subsidiary of Vectura.
As part of the consideration, Vectura entered into a new five year revolving loan facility with HSBC Bank plc for GBP50 million (USD71.09 million) with the option to extend to GBP75 million (USD106.64 million). Under the terms of the transaction, new Vectura shares will be issued as consideration. The cash payable pursuant to the terms of the partial cash alternative will be funded from Vectura's existing cash resources, together with the proceeds of GBP50 million (USD71.09 million) from the revolving loan facility with HSBC Bank plc which are available to Vectura for the purposes of financing the transaction. 
As part of the transaction, James Ward-Lilley, CEO of Vectura, will join as CEO of the enlarged group. The executive directors of enlarged group consist of Andrew Derodra, CFO of Skyepharma, and Trevor Phillips, COO of Vectura. Bruno Angelici, chairman of Vectura, will join as the chairman of the enlarged group. In addition, Andrew Oakley, CFO of Vectura, will leave the board of directors of Vectura on terms to be agreed and Peter Grant, CEO of Skyepharma, will leave board of directors of Skyepharma on terms to be agreed. Vectura will appoint Frank Condella, chairman of Skyepharma, as the vice-chairman of the enlarged group, and Thomas Werner, a non-executive Skyepharma director, as a non-executive director on the enlarged group board. Andrew Derodra, CFO of Skyepharma , will become the CFO of the enlarged group.
This transaction enables Vectura and SkyePharma to focus on respiratory drug development.
J.P. Morgan Cazenove Limited and N M Rothschild and Sons Limited acted as joint financial advisors to Vectura, while Lazard &amp; Co., Limited acted as financial advisor to SkyePharma.
Deal History:
Announced: On March 16, 2016, SkyePharma entered into an agreement to merge with Vectura. The transaction is valued at GBP4.1 (USD5.83) per SkyePharma share or approximately GBP441.3 million (USD627.45 million), in shares.</t>
  </si>
  <si>
    <t>This transaction enables Vectura and SkyePharma to focus on respiratory drug development.</t>
  </si>
  <si>
    <t>TRT-0026</t>
  </si>
  <si>
    <t>therametrics merges with relief therapeutics</t>
  </si>
  <si>
    <t>Q4 2015</t>
  </si>
  <si>
    <t>Therametrics Merges with Relief Therapeutics</t>
  </si>
  <si>
    <t>ACXIT Capital Partners</t>
  </si>
  <si>
    <t>Bar &amp; Karrer AG , CPV Partners , Froriep &amp; Renggli</t>
  </si>
  <si>
    <t>Relief Therapeutics Holding AG; Sonnet BioTherapeutics CH SA</t>
  </si>
  <si>
    <t>relief therapeutics sonnet biotherapeutics ch</t>
  </si>
  <si>
    <t>THERAMetrics holding AG (Inactive); Sonnet BioTherapeutics CH SA</t>
  </si>
  <si>
    <t>therametrics sonnet biotherapeutics ch</t>
  </si>
  <si>
    <t>Therametrics holding AG (formerly mondoBIOTECH holding AG), a provider of drugs for rare diseases, has merged with Relief Therapeutics S.A., a biotechnology company. 
Following the transaction, the combined entity changed its name from Therametrics holding AG to Relief Therapeutics Holding AG, Relief Therapeutics become the majority owners of the combined company. The business combination was carried out by way of 5,750 Therametrics shares for each outstanding share of Relief Therapeutics SA common stock. As a result, the company issued 1,196,937,250  new shares against contribution in kind of 208,163 shares of Relief Therapeutics SA.
Concurrently, all 1,936,627,375 Relief Therapeutics Holding shares are listed and freely tradable on the SIX Swiss Exchange under the International Reporting Standard, under the ticker symbol of 'RLF'.
In addition, Relief Therapeutics Holding announced that a CHF3.3 million (USD3.32 million) shareholder loan with all accrued interest has been mandatorily converted, with effect as of completion of the business combination with Relief Therapeutics SA, into shares of the company. Thereby, 84,906,473 new shares of Relief Therapeutics Holding have been issued out of conditional capital.
This transaction enables the combined company to advance the possibility of demonstrating the potential of Low Dose IL-6 to treat neuropathies.
ACXIT Capital Partners acted as sole financial advisor, Bar &amp; Karrer Rechtsanwalte and Froriep &amp; Renggli acted as legal advisors to Therametrics and CPV Partners (Geneva) acted as legal advisor to Relief Therapeutics for the transaction.
Deal History:
Announced: On December 21, 2015, Therametrics and Relief Therapeutics entered into a binding agreement to combine their businesses by way of an exchange of Relief Therapeutics’ shares for new Therametrics shares, subject to shareholder approval and other customary conditions.</t>
  </si>
  <si>
    <t>This transaction enables the combined company to advance the possibility of demonstrating the potential of Low Dose IL-6 to treat neuropathies.</t>
  </si>
  <si>
    <t>TRT-0027</t>
  </si>
  <si>
    <t>biogaia acquires additional 12 stake in metabogen for</t>
  </si>
  <si>
    <t>BioGaia Acquires Additional 12% Stake in MetaboGen for USD0.5 Million</t>
  </si>
  <si>
    <t>BioGaia AB, a biotechnology company, has acquired additional 12% stake in MetaboGen AB, a research company, for a consideration of SEK4 million (USD0.46 million). In total BioGaia acquired 27% stake in MetaboGen.
Earlier, on December 31, 2014, BioGaia agreed to acquire 35% stake in MetaboGen, for a purchase consideration of SEK12 million (USD1.6 million). Pursuant to the transaction, the investment will be made over a two year period and will then give BioGaia 35% of the share capital of the company. On December 31, 2016, BioGaia acquired 15% stake in MetaboGen, for a consideration of SEK4 million (USD0.54 million).
This acquisition enables BioGaia to strengthen its business and develop the next-generation of probiotic products using new technology.</t>
  </si>
  <si>
    <t>TRT-0028</t>
  </si>
  <si>
    <t>aduro biotech acquires bionovion holding</t>
  </si>
  <si>
    <t>Q3 2015</t>
  </si>
  <si>
    <t>Aduro BioTech acquires BioNovion Holding</t>
  </si>
  <si>
    <t>The Netherlands</t>
  </si>
  <si>
    <t>Van Campen &amp; Partners NV , Van Campen &amp; Partners NV , Van Campen &amp; Partners NV</t>
  </si>
  <si>
    <t>Chinook Therapeutics Inc</t>
  </si>
  <si>
    <t>chinook therapeutics</t>
  </si>
  <si>
    <t>BioNovion Holding B.V.</t>
  </si>
  <si>
    <t>bionovion b v</t>
  </si>
  <si>
    <t>Aduro BioTech, Inc., a US-based cancer immunotherapy company, has acquired all of the issued and outstanding shares of BioNovion Holding B.V., a Netherlands-based monoclonal antibody discovery and development company. 
_x000D_ Announcement (September 24, 2015):
_x000D_Aduro has entered into a definitive agreement to acquire BioNovion.
_x000D_ Under the terms of the agreement, Aduro will acquire BioNovion for EUR14.5 million in cash and EUR14.5 million in stock.
_x000D_Following the transaction, Aduro plans to maintain BioNovion's current 24-person operations as a subsidiary of Aduro. 
_x000D_ Van Campen Liem is acting as legal advisor to Aduro.
_x000D_The transaction is expected to complete in October 2015.</t>
  </si>
  <si>
    <t>The transaction will strengthen and expand Aduro's immunotherapy capabilities to now encompass monoclonal antibodies, including preclinical assets that inhibit clinically validated immune checkpoint pathways.</t>
  </si>
  <si>
    <t>KDNY US</t>
  </si>
  <si>
    <t>Partial</t>
  </si>
  <si>
    <t>Partial event window — 4/7 years covered</t>
  </si>
  <si>
    <t>Includes Chinook Therapeutics and former name Aduro BioTech; obvious unrelated Chinook entities excluded.</t>
  </si>
  <si>
    <t>TRT-0029</t>
  </si>
  <si>
    <t>ares allergy stallergenes and greer labs merge</t>
  </si>
  <si>
    <t>Ares Allergy, Stallergenes and Greer Labs Merge</t>
  </si>
  <si>
    <t>France , United Kingdom , United States</t>
  </si>
  <si>
    <t>Stallergenes Greer Ltd</t>
  </si>
  <si>
    <t>stallergenes greer</t>
  </si>
  <si>
    <t>Greer Laboratories Inc; Stallergenes SA; Stallergenes Greer Ltd</t>
  </si>
  <si>
    <t>greer laboratories stallergenes stallergenes greer</t>
  </si>
  <si>
    <t>Ares Allergy Holdings plc, a healthcare company, Stallergenes SA, a biopharmaceutical company, and Greer Laboratories Inc., a developer of allergy immunotherapy, have merged.
Under the transaction, Ares Allergy, Stallergenes and Greer Labs will join their forces to strengthen its allergy immunotherapy; and combines sales of EUR312.5 million (USD344 million) in 2014 and 1,434 employees. The merger was approved by the shareholders of Stallergenes and Ares Allergy.
Following the transaction, Ares Allergy changed its name to Stallergenes Greer plc. The exchange ratio that was approved by the Stallergenes shareholders provides for the issuance of one new Ares Allergy share for each existing Stallergenes share (excluding treasury shares) held on September 8, 2015. Trading in Stallergenes shares on Euronext Paris was suspended after the stock exchange closed on September 7, 2015. Ares Allergy shares will be admitted to trading on the Euronext Paris regulated market on September 8, 2015, and settlement and delivery of the shares will take place on September 10, 2015. 
This transaction enables Ares Allergy to develop and market allergy immunotherapy treatments.</t>
  </si>
  <si>
    <t>This transaction enables Ares Allergy to develop and market allergy immunotherapy treatments.</t>
  </si>
  <si>
    <t>TRT-0030</t>
  </si>
  <si>
    <t>stada arzneimittel acquires sciotec diagnostic technologies for</t>
  </si>
  <si>
    <t>STADA Arzneimittel Acquires SCIOTEC Diagnostic Technologies for USD19.8 Million</t>
  </si>
  <si>
    <t>Austria</t>
  </si>
  <si>
    <t>Stada Arzneimittel AG</t>
  </si>
  <si>
    <t>stada arzneimittel</t>
  </si>
  <si>
    <t>SCIOTEC Diagnostic Technologies GmbH</t>
  </si>
  <si>
    <t>sciotec diagnostic technologies</t>
  </si>
  <si>
    <t>STADA Arzneimittel AG, a pharmaceutical company, has acquired SCIOTEC Diagnostic Technologies GmbH, a company engaged in developing, manufactureing, and marketing diagnostic kits, health systems, nutritional supplements and cosmetics, from a number of private owners, a sales company as well as an investment company, for purchase consideration of EUR17.2 million (USD19.8 million) in cash.
The transaction includes acquisition of SCIOTEC Diagnostic Technologies' relevant sales structures, that is primarily focused on the development and marketing of prescription-free OTC products against enzymatic food intolerances (histamine, fructose and lactose intolerance) and take over of its 17 employees.
Sales expectations for the products acquired within the scope of the transaction for 2015 are approximately EUR5.8 million (USD6.68 million), whereby the current sales are, for the most part, generated in equal parts in Germany and Austria as well as about 20% internationally through distributors.
This transaction enables STADA Arzneimittel to expand its branded product activities into the area of food intolerances in order to position appropriately in the lucrative market with strong global growth.</t>
  </si>
  <si>
    <t>This transaction enables STADA Arzneimittel to expand its branded product activities into the area of food intolerances in order to position appropriately in the lucrative market with strong global growth.</t>
  </si>
  <si>
    <t>TRT-0031</t>
  </si>
  <si>
    <t>tigenix acquires coretherapix</t>
  </si>
  <si>
    <t>TiGenix acquires Coretherapix</t>
  </si>
  <si>
    <t>Coretherapix SLU</t>
  </si>
  <si>
    <t>coretherapix slu</t>
  </si>
  <si>
    <t>TiGenix N.V., a Belgium-based cell therapy company, has acquired Coretherapix S.L., a cardiology-focused cell therapy company, from Genetrix S.L., a biotechnology company. Coretherapix and Genetrix are based in Spain.
_x000D_Announcement (July 30, 2015):
_x000D_TiGenix has agreed to acquire Coretherapix from Genetrix.
_x000D_The consideration includes an upfront payment of approximately EUR1.2 million in cash and approximately EUR5.5 million in new TiGenix shares. Additionally, Genetrix may receive up to EUR15 million in new TiGenix shares depending on the results of the ongoing clinical trial of Coretherapix. 
_x000D_Based on and subject to future sales milestones, Genetrix may receive in addition up to EUR245 million plus certain percentages of the direct net sales of the first product, or certain percentages of any third party royalties and sales milestones for the first product. Sales milestones start when annual net sales reach EUR150 million and the last one will be payable once annual net sales are above EUR750 million. Also, Genetrix will receive a EUR25 million milestone payment per additional product reaching the market. The new shares to be issued on closing of the transaction will be subject to lock-up undertakings for up to 12 months, part of which will be gradually released from the lock-up over the 12-months period. 
_x000D_ The transaction is expected to be closed on July 31, 2015.</t>
  </si>
  <si>
    <t>The acquisition will allow TiGenix to expand its pipeline into cardiology indications.</t>
  </si>
  <si>
    <t>TRT-0032</t>
  </si>
  <si>
    <t>auspex pharma acquires imphar</t>
  </si>
  <si>
    <t>Q1 2015</t>
  </si>
  <si>
    <t>Auspex Pharma Acquires Imphar</t>
  </si>
  <si>
    <t>Auspex Pharmaceuticals Inc</t>
  </si>
  <si>
    <t>auspex pharmaceuticals</t>
  </si>
  <si>
    <t>imphar AG</t>
  </si>
  <si>
    <t>imphar</t>
  </si>
  <si>
    <t>Auspex Pharmaceuticals, Inc., a biopharmaceutical company, has acquired Imphar AG, a drug development company. Through the acquisition, Auspex Pharma acquired the remaining rights to SD-1077, and related intellectual property rights. 
Earlier, In July 2014, Auspex Pharma entered into an agreement with Imphar, to further develop SD-1077, a deuterium containing levodopa. At the time the agreement, Auspex Pharma determined that it held a variable interest in the development partner’s intellectual property assets and the related potential future product candidates these assets may produce.
This transaction enables Auspex Pharma to accelerate SD-1077 clinical development for the patients living with Parkinson's disease around the world.
Deal History:
Announced: On January 11, 2015, Auspex Pharma agreed to acquire Imphar.</t>
  </si>
  <si>
    <t>This transaction enables Auspex Pharma to accelerate SD-1077 clinical development for the patients living with Parkinson's disease around the world.</t>
  </si>
  <si>
    <t>TRT-0033</t>
  </si>
  <si>
    <t>cadila pharma sweden acquires biochromix newco</t>
  </si>
  <si>
    <t>Q4 2014</t>
  </si>
  <si>
    <t>Cadila Pharma Sweden Acquires BioChromix NewCo</t>
  </si>
  <si>
    <t>Cadila Pharmaceuticals Sweden AB</t>
  </si>
  <si>
    <t>cadila pharmaceuticals sweden ab</t>
  </si>
  <si>
    <t>BioChromix NewCo AB</t>
  </si>
  <si>
    <t>biochromix newco ab</t>
  </si>
  <si>
    <t>Cadila Pharmaceuticals Ltd, an India-based leading research-driven pharmaceutical companies, has announced the acquisition of Swedish BioChromix NewCo AB through its subsidiary Cadila Pharmaceuticals Sverige AB. The subsidiary has recently been established to investigate and facilitate business interactions between Cadila Pharmaceuticals Ltd and potential collaborators, academic groups, etc.
BioChromix NewCo AB develops new and innovative treatments against diseases involving misfolded proteins, which are believed to be central in the development of certain neurodegenerative diseases. BioChromix NewCo's unique substance class is believed to selectively bind to, neutralize and eliminate soluble, toxic protein oligomers, protofibrils and soluble aggregates that are believed to contribute to the neurodegenerative process in several diseases that affect the nervous system.
Cadila Pharmaceuticals will continue the preclinical and clinical development of the drug candidates developed by BioChromix NewCo. According to the agreement, development is to be based on milestones and will be carried out at Cadila Pharmaceuticals' state-of-the-art research facility in Ahmedabad, India. Cadila Pharmaceuticals Ltd. has all the resources necessary to take the project to the clinical phase and on to the market.
"The acquisition makes it possible to take the project, which was previously carried out by BioChromix NewCo, forward with significant resources. Cadila's expertise in drug development, together with BioChromix NewCo's scientific know-how in its field, provides an excellent platform for the further development of these unique drug candidates Provided that the development is successful, opportunities are created to enter into valuable commercial agreements in important geographic markets such as the USA and Europe," says Dr. Peter Åsberg, outgoing CEO of BioChromix NewCo under the proposed name change to CPL BCX PHARMA AB.
"There is a lot of promising research going on around the world, especially in Europe, which complements our research portfolio in pharmaceuticals. The acquisition of BioChromix NewCo, through our Swedish subsidiary, is a step towards establishing new domestic solutions at our own high-class facility for the treatment of neurodegenerative diseases. This is an area of ??therapy that is of great importance to us," comments Dr. Rajiv I. Modi, Chairman and CEO of Cadila Pharmaceuticals.
"Going from the discovery electronic polymers interact with misfolded proteins in the university laboratory to medical innovation is a long step. The intellectual capital found in BioChromix NewCo was created through the transfer of university projects to the small development companies BioChromix AB and BioChromix Pharma AB. Cadila Pharmaceuticals' acquisition of BioChromix NewCo means that this knowledge is now transferred to an organization that can take the project to the clinic. I hope that it will ultimately lead to new treatments that can slow the progression of the disease and create a future benefit for patients suffering from these neurodegenerative diseases," says Olle Inganäs , one of the founders of BioChromix NewCo and professor at Linköping University.
Formerly BioChromix AB is part of UIC Alumni and has received advanced business development support through UIC's program UIC Business Accelerator .</t>
  </si>
  <si>
    <t>The acquisition of BioChromix NewCo, through Cadila's Swedish subsidiary, is a step towards establishing new domestic solutions at Cadila's own high-class facility for the treatment of neurodegenerative diseases.</t>
  </si>
  <si>
    <t>TRT-0034</t>
  </si>
  <si>
    <t>nicox acquires 100 stake in doliage</t>
  </si>
  <si>
    <t>Q3 2014</t>
  </si>
  <si>
    <t>Nicox acquires 100% stake in Doliage</t>
  </si>
  <si>
    <t>Michel Dyens &amp; Co</t>
  </si>
  <si>
    <t>Nicox SA</t>
  </si>
  <si>
    <t>nicox</t>
  </si>
  <si>
    <t>Doliage</t>
  </si>
  <si>
    <t>doliage</t>
  </si>
  <si>
    <t>Nicox SA, a biopharmaceutical company, has agreed to acquire 100% stake in Doliage, a pharmaceutical company, in exchange for newly-issued Nicox shares for a total value of EUR5 million. Both the companies are based in France. 
_x000D_ Announcement (September 16, 2014): 
_x000D_ Nicox has agreed to acquire 100% stake in Doliage for EUR5 million.
_x000D_ The number of shares to be issued would be based on the volume-weighted average closing price of Nicox shares during a 20 trading day period preceding the execution of the agreement. 
_x000D_Doliage generated sales of EUR2.6 million with an EBITDA of EUR0.36 million for the fiscal year ending on September 30, 2013.
_x000D_ Michel Dyens &amp; Co. is acting as financial advisor to Nicox. The transaction is expected to close in October 2014.</t>
  </si>
  <si>
    <t>The transaction will add ophthalmic product portfolio and will complement Nicox's existing commercial infrastructure in France with further upside potential in some export markets such as Southern Europe and North Africa.</t>
  </si>
  <si>
    <t>ALCOX FP</t>
  </si>
  <si>
    <t>Complete event window — provisional</t>
  </si>
  <si>
    <t>Includes Nicox entities and Aciex Therapeutics as a pre-existing subsidiary/affiliate alias.</t>
  </si>
  <si>
    <t>TRT-0035</t>
  </si>
  <si>
    <t>productlife group acquires kohne pharma</t>
  </si>
  <si>
    <t>Q1 2014</t>
  </si>
  <si>
    <t>ProductLife Group acquires Kohne Pharma</t>
  </si>
  <si>
    <t>France , Germany</t>
  </si>
  <si>
    <t>ProductLife Group</t>
  </si>
  <si>
    <t>productlife</t>
  </si>
  <si>
    <t>Kohne Pharma GmbH</t>
  </si>
  <si>
    <t>kohne pharma</t>
  </si>
  <si>
    <t>ProductLife Group (PLG), a France-based provider of life sciences consulting and outsourcing services, has acquired Kohne Pharma GmbH, a Germany-based regulatory and pharmacovigilance services provider. 
_x000D_ Pursuant to the transaction, Kohne Pharma will retain its brand and will be known as Kohne Pharma, a PLG company. Kohne's safety and regulatory functions will be managed, operated and aligned with the pan-European PLG functions.</t>
  </si>
  <si>
    <t>The acquisition will allow PLG to grow its regulatory services and expand its existing pharmacovigilance and safety services business across Germany._x000D_
 _x000D_
The acquisition will also allow PLG to increase its local presence in Germany and support its continued commitment to smart outsourcing.</t>
  </si>
  <si>
    <t>TRT-0036</t>
  </si>
  <si>
    <t>cardiome pharma acquires correvio</t>
  </si>
  <si>
    <t>Q4 2013</t>
  </si>
  <si>
    <t>Cardiome Pharma acquires Correvio</t>
  </si>
  <si>
    <t>Correvio Pharma Corp.</t>
  </si>
  <si>
    <t>correvio pharma</t>
  </si>
  <si>
    <t>Correvio International Sarl</t>
  </si>
  <si>
    <t>correvio international sarl</t>
  </si>
  <si>
    <t>Cardiome Pharma Corp., a Canada-based biopharmaceutical company, has acquired Correvio International Sarl, a Switzerland-based pharmaceutical company. 
_x000D_ Under the terms of the agreement, Cardiome has acquired 100% of Correvio through the purchase of a combination of assets and shares of its subsidiaries in exchange for 19.9% of Cardiome's outstanding shares and a deferred cash consideration of $12 million. The total transaction is valued at approximately $23 million. 
_x000D_ The deferred cash consideration will be repaid monthly at an amount equal to 10% of cash receipts from product sales and any applicable interest accrued at 10% compounded annually. The adjusted deferred cash consideration must be repaid in full by December 1, 2019.</t>
  </si>
  <si>
    <t>The acquisition will provide Cardiome Pharma with an operational European platform, global distribution, complementary products and the financial flexibility required to launch its product BRINAVESS(TM).</t>
  </si>
  <si>
    <t>TRT-0037</t>
  </si>
  <si>
    <t>polytherics acquires antitope</t>
  </si>
  <si>
    <t>Q3 2013</t>
  </si>
  <si>
    <t>PolyTherics acquires Antitope</t>
  </si>
  <si>
    <t>Abzena UK Ltd</t>
  </si>
  <si>
    <t>abzena uk</t>
  </si>
  <si>
    <t>Antitope Ltd</t>
  </si>
  <si>
    <t>antitope</t>
  </si>
  <si>
    <t>PolyTherics Limited, a provider of technologies and services for the development of biopharmaceutical products, has acquired Antitope Limited, a biotechnology company. Both the companies are based in the UK. 
_x000D_ As part of the consideration, PolyTherics is issuing new shares up to an aggregate value of GBP13.5 million to fund the transaction and to provide working capital for the enlarged group. Imperial Innovations led the investment with further funds provided by Invesco Perpetual, Mercia Fund Management and Advantage Enterprise &amp; Innovation Fund.  
_x000D_ Pursuant to the transaction, Antitope will operate as a wholly-owned subsidiary of PolyTherics.</t>
  </si>
  <si>
    <t>The transaction will allow PolyTherics to expand its drug development service offerings.</t>
  </si>
  <si>
    <t>TRT-0038</t>
  </si>
  <si>
    <t>glaxosmithkline acquires okairos</t>
  </si>
  <si>
    <t>Q2 2013</t>
  </si>
  <si>
    <t>GlaxoSmithKline acquires Okairos</t>
  </si>
  <si>
    <t>GSK plc.</t>
  </si>
  <si>
    <t>gsk</t>
  </si>
  <si>
    <t>ReiThera Srl</t>
  </si>
  <si>
    <t>reithera</t>
  </si>
  <si>
    <t>GlaxoSmithKline plc (GSK), a UK-based pharmaceutical, biologics, vaccines and consumer healthcare company, has acquired Okairos AG, a Switzerland-based developer of vaccine platform technologies, for $325 million in cash.
_x000D_The transaction also includes a small number of early stage assets. 
_x000D_Under the terms of the transaction, GSK will take full ownership of Okairos and thus assume ownership of early stage assets for diseases such as respiratory syncytial virus (RSV), hepatitis C virus (HCV), malaria, tuberculosis, ebola and HIV, supplementing Okairos’ existing vaccines pipeline. 
_x000D_Earlier, Okairos had secured funding from BioMedPartners AG, Boehringer Ingelheim Venture Fund, Life Science Partners (LSP), Novartis Venture Funds and Versant Ventures, Inc.</t>
  </si>
  <si>
    <t>Okairos’ novel vaccine platform technology will enhance GSK’s development of new prophylactic vaccines (designed to prevent infection) as well as new classes of therapeutic vaccines (designed to treat infection or disease). _x000D_
_x000D_
Okairos’ technology complements GSK’s existing vaccine technology and expertise and will enable GSK to continue its work developing the next generation of vaccines.</t>
  </si>
  <si>
    <t>GSK LN</t>
  </si>
  <si>
    <t>Partial event window — 6/7 years covered; limited subsidiary scope</t>
  </si>
  <si>
    <t>Export is concentrated on GSK Consumer Healthcare/Haleon and may not represent the full GSK pharmaceutical group.</t>
  </si>
  <si>
    <t>TRT-0039</t>
  </si>
  <si>
    <t>eurofins scientific acquires aros applied biotechnology</t>
  </si>
  <si>
    <t>Q1 2013</t>
  </si>
  <si>
    <t>Eurofins Scientific acquires AROS Applied Biotechnology</t>
  </si>
  <si>
    <t>Eurofins Scientific SE</t>
  </si>
  <si>
    <t>eurofins scientific</t>
  </si>
  <si>
    <t>AROS Applied Biotechnology AS</t>
  </si>
  <si>
    <t>aros applied biotechnology</t>
  </si>
  <si>
    <t>Eurofins Scientific S.A., a Belgium-based provider of food, environment and pharmaceutical product testing services, has acquired AROS Applied Biotechnology AS (AROS), a Denmark-based contract research organization providing service to the pharmaceutical industry and universities.
_x000D_ AROS generated revenues of about EUR10 million.</t>
  </si>
  <si>
    <t>The transaction will reinforce Eurofins' position as a testing provider to the pharmaceutical industry, and expands its genomic services footprint into the Nordic region. It also complements Eurofins' technological platform with additional capabilities in genotyping and expression profiling. The acquisition also allows Eurofin to further expand its share by leveraging its increased scale._x000D_
_x000D_
The acquisition will also provide AROS access to a broader portfolio of genomic services to further strengthen its position as a genomic service provider in markets.</t>
  </si>
  <si>
    <t>ERF FP</t>
  </si>
  <si>
    <t>Insufficient event-window coverage</t>
  </si>
  <si>
    <t>Single family matched through owner field; event-window coverage is not established.</t>
  </si>
  <si>
    <t>TRT-0040</t>
  </si>
  <si>
    <t>alvogen acquires labormed pharma</t>
  </si>
  <si>
    <t>Alvogen acquires LaborMed Pharma</t>
  </si>
  <si>
    <t>Romania</t>
  </si>
  <si>
    <t>Alvogen Inc</t>
  </si>
  <si>
    <t>alvogen</t>
  </si>
  <si>
    <t>LaborMed Pharma SA</t>
  </si>
  <si>
    <t>labormed pharma</t>
  </si>
  <si>
    <t>Alvogen, Inc., a US-based specialty generics company, has acquired LaborMed Pharma SA, a Romania-based company engaged in the manufacturing and sales of generic medicines.</t>
  </si>
  <si>
    <t>According to Alvogen, the transaction creates a powerful platform from which to drive further revenue growth in the Romanian market, as well as in other Central and Eastern European markets. It also represents a significant milestone in Alvogen’s strategy to become one of the leading companies in the global generic pharmaceutical sector._x000D_
_x000D_
Through this acquisition, both Alvogen and Labormed will benefit from the increased scale, portfolio and geographic reach of the enlarged group._x000D_
_x000D_
The acquisition also brings Alvogen considerable product and marketing synergies and positions it to take advantage of further opportunities in the CEE pharmaceutical market.</t>
  </si>
  <si>
    <t>TRT-0041</t>
  </si>
  <si>
    <t>enara acquires angels care services</t>
  </si>
  <si>
    <t>Q3 2012</t>
  </si>
  <si>
    <t>Enara acquires Angels Care Services</t>
  </si>
  <si>
    <t>Enara Limited</t>
  </si>
  <si>
    <t>enara</t>
  </si>
  <si>
    <t>Angel Care Services UK Ltd</t>
  </si>
  <si>
    <t>angel care services uk</t>
  </si>
  <si>
    <t>Enara Limited, a provider of home care services, has acquired Angels Care Services Limited (Angels). Both the companies are based in the UK. 
_x000D_ Angels a provider of homecare services to the elderly and those suffering from conditions such as Alzheimers and other forms of dementia. 
_x000D_ Concurrently, Enara has also acquired Training and Care Solutions Essex Limited, Extracare Limited and Home Comforts (South) Limited.</t>
  </si>
  <si>
    <t>The acquisition will allow Enara to enhance its service offering and geographical coverage.</t>
  </si>
  <si>
    <t>TRT-0042</t>
  </si>
  <si>
    <t>agilent technologies acquires 100 stake in dako</t>
  </si>
  <si>
    <t>Q2 2012</t>
  </si>
  <si>
    <t>Agilent Technologies acquires 100% stake in Dako</t>
  </si>
  <si>
    <t>Credit Suisse Securities USA LLC , Goldman Sachs International</t>
  </si>
  <si>
    <t>Accura Advokatpartnerselskab , Cleary Gottlieb Steen &amp; Hamilton LLP , Davis Polk &amp; Wardwell LLP , Kromann Reumert , Kromann Reumert</t>
  </si>
  <si>
    <t>Agilent Technologies, Inc.</t>
  </si>
  <si>
    <t>agilent technologies</t>
  </si>
  <si>
    <t>Dako A/S</t>
  </si>
  <si>
    <t>dako a s</t>
  </si>
  <si>
    <t>Agilent Technologies Inc., a US-based measurement company engaged in providing bio-analytical and electronic measurement solutions, has acquired 100% stake in Dako A/S, a Denmark-based cancer diagnostic company, from EQT V Limited. 
_x000D_ EQT V is a UK-based equity fund managed by private equity fund manager EQT Funds Management Limited. 
_x000D_Announcement (May 17, 2012): 
_x000D_ Agilent has entered into a definitive agreement to acquire Dako from EQT V for a cash consideration of $2,200 million. 
_x000D_ 
_x000D_For the year ending 2010, Dako had generated annual revenue of approximately $340 million with approximately 1,000 employees.
_x000D_Credit Suisse Securities (USA) LLC is acting as financial advisor, while Kromann Reumert and Cleary Gottlieb Steen &amp; Hamilton, LLP are acting as legal advisors to Agilent. Goldman Sachs International is acting as financial advisor, while Davis Polk &amp; Wardwell LLP and Accura Advokataktieselskab are acting as legal advisors to EQT V. 
_x000D_ The acquisition is expected to close within the next 60 days.</t>
  </si>
  <si>
    <t>The transaction will strategically complement Agilent’s research technologies and will accelerate growth in diagnostic markets._x000D_
_x000D_
The acquisition will allow Agilent to strengthen its position in life sciences, with a focus on product development to help in the fight against cancer._x000D_
_x000D_
The addition of Dako and its portfolio will help Agilent accelerate its growth in several rapidly expanding areas of diagnostics, as well as strengthen its existing offerings.</t>
  </si>
  <si>
    <t>TRT-0043</t>
  </si>
  <si>
    <t>User-designated treatment group (reclassified)</t>
  </si>
  <si>
    <t>DATA non-innovation deals.xlsx</t>
  </si>
  <si>
    <t>midatech acquires q chip</t>
  </si>
  <si>
    <t>In progress</t>
  </si>
  <si>
    <t>Midatech acquires Q Chip</t>
  </si>
  <si>
    <t>Panmure Gordon (UK) Ltd , BDO LLP</t>
  </si>
  <si>
    <t>Geldards LLP , Brown Rudnick LLP , Theobald Associates</t>
  </si>
  <si>
    <t>Biodexa Ltd</t>
  </si>
  <si>
    <t>biodexa ltd</t>
  </si>
  <si>
    <t>Q Chip, Ltd.</t>
  </si>
  <si>
    <t>q chip ltd</t>
  </si>
  <si>
    <t>Midatech, Ltd., a clinical stage biotechnology company engaged in design, synthesis and manufacturing of nanomedicines, has acquired Q Chip, Ltd. (Q Chip), a bio-pharmaceutical company that develops sustained-release drug formulations for cancer and other diseases, and its subsidiaries. Both the companies are based in the UK. &lt;br /&gt;&lt;br /&gt;_x000D_Q Chip was backed by Finance Wales Investments, Ltd., Disruptive Capital Finance LLP (formerly Curzon Park Capital, Ltd.) and individual investors including an angel syndicate including both Simon Turton and Ken Powell. &lt;br /&gt;&lt;br /&gt;_x000D_ Panmure Gordon (UK) Limited and BDO LLP acted as financial advisors, while Brown Rudnick, LLP acted a legal advisor to Midatech. Theobald Associates and Geldards LLP acted as legal advisors to Q Chip.</t>
  </si>
  <si>
    <t>The transaction will enable Midatech to add programs in cancer and ophthalmology based on the sustained release platform to its portfolio in cancer, diabetes and neuroscience.</t>
  </si>
  <si>
    <t>BDRX LN</t>
  </si>
  <si>
    <t>Moved into the treatment workbook at the user's instruction. Innovation classification and control-transfer eligibility still require manual validation.</t>
  </si>
  <si>
    <t>TRT-0044</t>
  </si>
  <si>
    <t>esteve pharma acquires riemser pharma from ardian</t>
  </si>
  <si>
    <t>Q1 2020</t>
  </si>
  <si>
    <t>Esteve Pharma Acquires Riemser Pharma from Ardian</t>
  </si>
  <si>
    <t>Rothschild &amp; Co SCA , PricewaterhouseCoopers International Ltd , Ernst &amp; Young Global Ltd</t>
  </si>
  <si>
    <t>NOVACOS Rechtsanwalte , Hogan Lovells International LLP , Willkie Farr &amp; Gallagher LLP</t>
  </si>
  <si>
    <t>Esteve Pharmaceuticals SA</t>
  </si>
  <si>
    <t>esteve pharmaceuticals sa</t>
  </si>
  <si>
    <t>ESTEVE Pharmaceuticals GmbH</t>
  </si>
  <si>
    <t>esteve pharmaceuticals gmbh</t>
  </si>
  <si>
    <t>Esteve Pharmaceuticals SA, a pharmaceutical company, has acquired 100% of the shares in Riemser Pharma GmbH, a pharmaceutical company from Ardian, an investment company.&lt;br /&gt;&lt;br /&gt;The product portfolio of Riemser comprises the three main therapy areas oncology, neurology and niche therapies. Riemser operates a pharmaceutical production facility in Germany and is represented in four of the five most important European countries with a company headquarters or a subsidiary: Germany, Great Britain, France and Spain. RIEMSER generates around 80% of its sales with products for clinical use, especially specialty pharmaceuticals and a wide range of medicinal products for therapeutic niche areas.&lt;br /&gt;&lt;br /&gt;Through the acquisition, Esteve is also expanding its access to the hospital market.&lt;br /&gt;&lt;br /&gt;This acquisition will enable Esteve Pharma to accelerate its transformation into a specialty pharma company.&lt;br /&gt;&lt;br /&gt;Deal History: On January 8, 2020, Esteve Pharmaceuticals SA, has entered into an agreement to acquire 100% of the shares in Riemser Pharma GmbH, a pharmaceutical company from Ardian, an investment company.</t>
  </si>
  <si>
    <t>This acquisition will enable Esteve Pharma to accelerate its transformation into a specialty pharma company.</t>
  </si>
  <si>
    <t>0646926D SM</t>
  </si>
  <si>
    <t>Partial event window — 5/7 years covered</t>
  </si>
  <si>
    <t>Applicant/owner aliases for Esteve Pharmaceuticals and Laboratorios del Dr. Esteve.</t>
  </si>
  <si>
    <t>TRT-0045</t>
  </si>
  <si>
    <t>shire acquires premacure</t>
  </si>
  <si>
    <t>Shire acquires Premacure</t>
  </si>
  <si>
    <t>Bank of America Corp</t>
  </si>
  <si>
    <t>Mannheimer Swartling Advokatbyra AB , Mannheimer Swartling Advokatbyra AB</t>
  </si>
  <si>
    <t>Shire plc (Inactive)</t>
  </si>
  <si>
    <t>shire plc inactive</t>
  </si>
  <si>
    <t>Premacure AB</t>
  </si>
  <si>
    <t>premacure ab</t>
  </si>
  <si>
    <t>Shire plc, a UK-based biopharmaceutical company, has acquired Premacure AB, a Sweden-based biotechnology company developing a protein replacement therapy.&lt;br /&gt;&lt;br /&gt;_x000D_Bank of America Merrill Lynch acted as financial advisor and Mannheimer Swartling Advokatbyra AB acted as legal advisor to Shire.</t>
  </si>
  <si>
    <t>The acquisition expands Shire’s therapies to patients with rare disorders._x000D_
_x000D_
The acquisition allows Shire HGT to enter a new therapeutic area, neonatology, maintaining its focus on developing novel therapies for the treatment of diseases with high unmet medical need. _x000D_
_x000D_
With the acquisition, Shire HGT will continue the ongoing Phase II study, the primary goal of which is to restore the IGF-1 levels in the preterm infant to those found during normal in utero development.</t>
  </si>
  <si>
    <t>SHP LN</t>
  </si>
  <si>
    <t>USD</t>
  </si>
  <si>
    <t>Partial event window — 6/7 years covered</t>
  </si>
  <si>
    <t>Applicant/owner aliases containing Shire; later Takeda-only records excluded unless Shire appears.</t>
  </si>
  <si>
    <t>Initial_Treatment</t>
  </si>
  <si>
    <t>Acquirer</t>
  </si>
  <si>
    <t>Target</t>
  </si>
  <si>
    <t>Relative_Year</t>
  </si>
  <si>
    <t>Calendar_Year</t>
  </si>
  <si>
    <t>Post_Excluding_t0</t>
  </si>
  <si>
    <t>Post_Including_t0</t>
  </si>
  <si>
    <t>Treatment_x_Post</t>
  </si>
  <si>
    <t>Revenue_m</t>
  </si>
  <si>
    <t>Operating_Income_m</t>
  </si>
  <si>
    <t>Net_Income_m</t>
  </si>
  <si>
    <t>Total_Assets_m</t>
  </si>
  <si>
    <t>Total_Debt_m</t>
  </si>
  <si>
    <t>R_and_D_Expense_m</t>
  </si>
  <si>
    <t>ROA_pct</t>
  </si>
  <si>
    <t>Operating_Margin_pct</t>
  </si>
  <si>
    <t>Leverage_pct</t>
  </si>
  <si>
    <t>Patent_Family_Count</t>
  </si>
  <si>
    <t>Citation_Weighted_Output</t>
  </si>
  <si>
    <t>Variable</t>
  </si>
  <si>
    <t>Sheet</t>
  </si>
  <si>
    <t>Role</t>
  </si>
  <si>
    <t>Definition / Formula</t>
  </si>
  <si>
    <t>Source</t>
  </si>
  <si>
    <t>Timing / Unit</t>
  </si>
  <si>
    <t>Required for</t>
  </si>
  <si>
    <t>Data-entry rule</t>
  </si>
  <si>
    <t>Deal_Master_Wide / Panel_DiD</t>
  </si>
  <si>
    <t>Identifier</t>
  </si>
  <si>
    <t>Unique workbook-specific deal identifier</t>
  </si>
  <si>
    <t>Constructed</t>
  </si>
  <si>
    <t>Deal</t>
  </si>
  <si>
    <t>All analyses</t>
  </si>
  <si>
    <t>Do not change after data collection begins</t>
  </si>
  <si>
    <t>Both</t>
  </si>
  <si>
    <t>Audit</t>
  </si>
  <si>
    <t>Candidate group from source workbook; not final classification</t>
  </si>
  <si>
    <t>GlobalData export</t>
  </si>
  <si>
    <t>Audit only</t>
  </si>
  <si>
    <t>Do not use as final treatment without validation</t>
  </si>
  <si>
    <t>Treatment definition</t>
  </si>
  <si>
    <t>Manual mutually exclusive classification based on pre-deal innovation evidence</t>
  </si>
  <si>
    <t>Manual validation</t>
  </si>
  <si>
    <t>Primary DiD</t>
  </si>
  <si>
    <t>Use dropdown; classify before inspecting outcomes</t>
  </si>
  <si>
    <t>Event timing</t>
  </si>
  <si>
    <t>Calendar year of verified deal completion</t>
  </si>
  <si>
    <t>GlobalData + validation</t>
  </si>
  <si>
    <t>Year</t>
  </si>
  <si>
    <t>DiD/event study</t>
  </si>
  <si>
    <t>Verify anomalies before use</t>
  </si>
  <si>
    <t>Panel_DiD</t>
  </si>
  <si>
    <t>Event time</t>
  </si>
  <si>
    <t>Calendar year minus completion year</t>
  </si>
  <si>
    <t>Formula/constructed</t>
  </si>
  <si>
    <t>-3 to +3</t>
  </si>
  <si>
    <t>Event study</t>
  </si>
  <si>
    <t>t0 treatment-year rule must be stated</t>
  </si>
  <si>
    <t>Treatment timing</t>
  </si>
  <si>
    <t>1 for t+1 to t+3; 0 otherwise</t>
  </si>
  <si>
    <t>Binary</t>
  </si>
  <si>
    <t>Baseline DiD</t>
  </si>
  <si>
    <t>Preferred when completion year mixes pre/post months</t>
  </si>
  <si>
    <t>Control / secondary outcome</t>
  </si>
  <si>
    <t>Annual revenue in reported currency, millions</t>
  </si>
  <si>
    <t>Bloomberg</t>
  </si>
  <si>
    <t>Firm-year</t>
  </si>
  <si>
    <t>Size/control</t>
  </si>
  <si>
    <t>Use historical actuals only</t>
  </si>
  <si>
    <t>Input</t>
  </si>
  <si>
    <t>Annual operating income in reported currency, millions</t>
  </si>
  <si>
    <t>Operating margin validation</t>
  </si>
  <si>
    <t>Historical actuals only</t>
  </si>
  <si>
    <t>Annual net income in reported currency, millions</t>
  </si>
  <si>
    <t>ROA validation</t>
  </si>
  <si>
    <t>Control / denominator</t>
  </si>
  <si>
    <t>Year-end total assets in reported currency, millions</t>
  </si>
  <si>
    <t>Firm size / ROA</t>
  </si>
  <si>
    <t>Control</t>
  </si>
  <si>
    <t>Short- plus long-term debt, reported currency, millions</t>
  </si>
  <si>
    <t>Leverage</t>
  </si>
  <si>
    <t>Use consistent definition</t>
  </si>
  <si>
    <t>Innovation input / secondary</t>
  </si>
  <si>
    <t>Annual reported R&amp;D expense</t>
  </si>
  <si>
    <t>Secondary analysis</t>
  </si>
  <si>
    <t>Blank is not zero</t>
  </si>
  <si>
    <t>Primary financial outcome</t>
  </si>
  <si>
    <t>Return on assets in percentage points</t>
  </si>
  <si>
    <t>Bloomberg or transparent calculation</t>
  </si>
  <si>
    <t>Firm-year, %</t>
  </si>
  <si>
    <t>H2</t>
  </si>
  <si>
    <t>Do not mix definitions across firms</t>
  </si>
  <si>
    <t>Operating income divided by revenue, percentage points</t>
  </si>
  <si>
    <t>Bloomberg or calculation</t>
  </si>
  <si>
    <t>Use one definition consistently</t>
  </si>
  <si>
    <t>Total debt divided by total assets, percentage points</t>
  </si>
  <si>
    <t>Bloomberg/calculation</t>
  </si>
  <si>
    <t>Matching/control</t>
  </si>
  <si>
    <t>Define before estimation</t>
  </si>
  <si>
    <t>Primary innovation outcome</t>
  </si>
  <si>
    <t>Unique simple patent families from alias-matched Lens records, assigned by earliest priority year</t>
  </si>
  <si>
    <t>Lens.org</t>
  </si>
  <si>
    <t>Firm-year count</t>
  </si>
  <si>
    <t>H1</t>
  </si>
  <si>
    <t>Use 0 only inside the supplied/observed export coverage; remain blank outside coverage</t>
  </si>
  <si>
    <t>Provisional sum of family-level Lens 'Cited by Patent Count' by earliest priority year; maximum used per deduplicated family. Age/field normalisation pending.</t>
  </si>
  <si>
    <t>Firm-year raw forward-citation total</t>
  </si>
  <si>
    <t>Provisional only: harmonise jurisdictions/search scope and normalise for citation age/field before final estimation</t>
  </si>
  <si>
    <t>Deal_Master_Wide</t>
  </si>
  <si>
    <t>Exploratory moderator</t>
  </si>
  <si>
    <t>Acquirer unique family stock over fixed pre-deal window</t>
  </si>
  <si>
    <t>E2</t>
  </si>
  <si>
    <t>Use same pre-window for acquirer and target</t>
  </si>
  <si>
    <t>Target unique family stock over fixed pre-deal window</t>
  </si>
  <si>
    <t>Verify subsidiaries and former names</t>
  </si>
  <si>
    <t>Target pre-deal patent stock divided by acquirer stock</t>
  </si>
  <si>
    <t>Formula</t>
  </si>
  <si>
    <t>Ratio</t>
  </si>
  <si>
    <t>Blank when acquirer stock is zero/missing</t>
  </si>
  <si>
    <t>Cosine similarity of acquirer and target CPC/IPC family distributions</t>
  </si>
  <si>
    <t>0 to 1</t>
  </si>
  <si>
    <t>E1</t>
  </si>
  <si>
    <t>Requires both patent portfolios</t>
  </si>
  <si>
    <t>Deal characteristic</t>
  </si>
  <si>
    <t>Disclosed GlobalData deal value in US$ millions</t>
  </si>
  <si>
    <t>GlobalData</t>
  </si>
  <si>
    <t>US$m</t>
  </si>
  <si>
    <t>Descriptive/control</t>
  </si>
  <si>
    <t>Blank when undisclosed; never set to zero</t>
  </si>
  <si>
    <t>Treatment-group Bloomberg file import and deal mapping</t>
  </si>
  <si>
    <t>Company_Detected</t>
  </si>
  <si>
    <t>Currency</t>
  </si>
  <si>
    <t>Mapping_Status</t>
  </si>
  <si>
    <t>Deal_or_Mapping</t>
  </si>
  <si>
    <t>Event_Window</t>
  </si>
  <si>
    <t>Notes</t>
  </si>
  <si>
    <t>ASTRAZENECA(1).xlsx</t>
  </si>
  <si>
    <t>AstraZeneca PLC (AZN LN) - Adjusted</t>
  </si>
  <si>
    <t>Unmatched — no verified deal row in supplied deal lists</t>
  </si>
  <si>
    <t>Raw data retained only</t>
  </si>
  <si>
    <t>AZN LN</t>
  </si>
  <si>
    <t>Not assigned to a deal row because no supported acquisition event was identified in the supplied GlobalData files.</t>
  </si>
  <si>
    <t>BIODEXA(1).xlsx</t>
  </si>
  <si>
    <t>Biodexa Pharmaceuticals Plc (BDRX LN) - Adjusted</t>
  </si>
  <si>
    <t>Added to treatment workbook from alternative-rationale export</t>
  </si>
  <si>
    <t>Biodexa (formerly Midatech)–Q Chip</t>
  </si>
  <si>
    <t>2011–2017</t>
  </si>
  <si>
    <t>Financial values populated in Deal_Master_Wide and linked Panel_DiD rows.</t>
  </si>
  <si>
    <t>CALIDA(2).xlsx</t>
  </si>
  <si>
    <t>Chinook Therapeutics Inc (KDNY US) - Adjusted</t>
  </si>
  <si>
    <t>Mapped to existing treatment deal</t>
  </si>
  <si>
    <t>Chinook Therapeutics / Aduro BioTech–BioNovion</t>
  </si>
  <si>
    <t>2012–2018</t>
  </si>
  <si>
    <t>Celyad Oncology SA(3).xlsx</t>
  </si>
  <si>
    <t>Celyad Oncology SA (CYAD BB) - BBG Adjusted</t>
  </si>
  <si>
    <t>CYAD BB</t>
  </si>
  <si>
    <t>Chiltern International Lt(2).xlsx</t>
  </si>
  <si>
    <t>Chiltern International Ltd (2616654Z LN) - Balance Sheet</t>
  </si>
  <si>
    <t>2616654Z LN</t>
  </si>
  <si>
    <t>Eurofins Scientific SE(2).xlsx</t>
  </si>
  <si>
    <t>Eurofins Scientific SE (ERF FP) - Standardized</t>
  </si>
  <si>
    <t>Eurofins Scientific–AROS Applied Biotechnology</t>
  </si>
  <si>
    <t>2010–2016</t>
  </si>
  <si>
    <t>FA1_4cc5cedv(1).xlsx</t>
  </si>
  <si>
    <t>Corp Quimico Farmaceutica Esteve SA (0646926D SM) - Balance Sheet</t>
  </si>
  <si>
    <t>Esteve Pharmaceuticals–Riemser Pharma</t>
  </si>
  <si>
    <t>2017–2023</t>
  </si>
  <si>
    <t>FA1_s511qg5q(1).xlsx</t>
  </si>
  <si>
    <t>10X Genomics Inc (TXG US) - Adjusted</t>
  </si>
  <si>
    <t>TXG US</t>
  </si>
  <si>
    <t>GSK(1).xlsx</t>
  </si>
  <si>
    <t>GSK PLC (GSK LN) - Adjusted</t>
  </si>
  <si>
    <t>GSK–Okairos</t>
  </si>
  <si>
    <t>Medipass Spa IT(1).xlsx</t>
  </si>
  <si>
    <t>Medipass Spa/IT (1165955D IM) - Income Statement</t>
  </si>
  <si>
    <t>1165955D IM</t>
  </si>
  <si>
    <t>NICOX(1).xlsx</t>
  </si>
  <si>
    <t>Nicox (ALCOX FP) - Standardized</t>
  </si>
  <si>
    <t>Nicox–Doliage</t>
  </si>
  <si>
    <t>SANOFI(1).xlsx</t>
  </si>
  <si>
    <t>Sanofi SA (SAN FP) - Adjusted</t>
  </si>
  <si>
    <t>Sanofi–Ablynx</t>
  </si>
  <si>
    <t>2015–2021</t>
  </si>
  <si>
    <t>SHIRE(1).xlsx</t>
  </si>
  <si>
    <t>Shire PLC (SHP LN) - BBG Adjusted</t>
  </si>
  <si>
    <t>Shire–Premacure</t>
  </si>
  <si>
    <t>Historical Bloomberg financial data imported from uploaded workbooks</t>
  </si>
  <si>
    <t>Mapped_Deal_ID</t>
  </si>
  <si>
    <t>Extraction_Notes</t>
  </si>
  <si>
    <t>Unmatched</t>
  </si>
  <si>
    <t>Historical non-estimate Bloomberg observation; ratios may be derived when the workbook lacked a complete ratio series.</t>
  </si>
  <si>
    <t>Mapped</t>
  </si>
  <si>
    <t>Treatment-group Lens patent import and mapping log</t>
  </si>
  <si>
    <t>Company_or_Group</t>
  </si>
  <si>
    <t>Raw_Rows</t>
  </si>
  <si>
    <t>Included_Rows</t>
  </si>
  <si>
    <t>Excluded_Rows</t>
  </si>
  <si>
    <t>Unique_Families</t>
  </si>
  <si>
    <t>Observed_Min_Priority_Year</t>
  </si>
  <si>
    <t>Observed_Max_Priority_Year</t>
  </si>
  <si>
    <t>Event_Years_Covered</t>
  </si>
  <si>
    <t>Scope_and_Comparability_Notes</t>
  </si>
  <si>
    <t>AstraZeneca_Lens_RAW_2009_2024.csv.csv</t>
  </si>
  <si>
    <t>AstraZeneca</t>
  </si>
  <si>
    <t>Unmatched — no verified deal row</t>
  </si>
  <si>
    <t>Applicant/owner search; explicit filename range 2009–2024; no verified deal row in workbook.</t>
  </si>
  <si>
    <t>Chinook Therapeutics.csv</t>
  </si>
  <si>
    <t>Chinook Therapeutics / Aduro BioTech</t>
  </si>
  <si>
    <t>Mapped to treatment deal row</t>
  </si>
  <si>
    <t>4/7</t>
  </si>
  <si>
    <t>Esteve Pharmaceuticals.csv</t>
  </si>
  <si>
    <t>Esteve Pharmaceuticals</t>
  </si>
  <si>
    <t>5/7</t>
  </si>
  <si>
    <t>Eurofins Scientific.csv</t>
  </si>
  <si>
    <t>Eurofins Scientific</t>
  </si>
  <si>
    <t>0/7</t>
  </si>
  <si>
    <t>GSK.csv</t>
  </si>
  <si>
    <t>GSK</t>
  </si>
  <si>
    <t>6/7</t>
  </si>
  <si>
    <t>Nicox.csv</t>
  </si>
  <si>
    <t>Nicox</t>
  </si>
  <si>
    <t>7/7</t>
  </si>
  <si>
    <t>Sanofi_Applicant_EP_Families_2015_2021.csv(1).csv</t>
  </si>
  <si>
    <t>shire.csv</t>
  </si>
  <si>
    <t>Shire</t>
  </si>
  <si>
    <t>Patent-family and raw forward-citation aggregation by earliest priority year</t>
  </si>
  <si>
    <t>Within_Event_Window</t>
  </si>
  <si>
    <t>Coverage_Basis</t>
  </si>
  <si>
    <t>Raw_Forward_Citations</t>
  </si>
  <si>
    <t>Citation_Metric_Definition</t>
  </si>
  <si>
    <t>Scope_Notes</t>
  </si>
  <si>
    <t>Explicit search range</t>
  </si>
  <si>
    <t>Raw family-level forward citations (max cited-by per family); not age/field normalised</t>
  </si>
  <si>
    <t>Inferred from observed priority-year range</t>
  </si>
  <si>
    <t>Lens patent-family records retained for audit (one representative export row per family)</t>
  </si>
  <si>
    <t>Included_in_Aggregation</t>
  </si>
  <si>
    <t>Alias_Match_or_Exclusion_Reason</t>
  </si>
  <si>
    <t>Lens_ID</t>
  </si>
  <si>
    <t>Earliest_Priority_Date</t>
  </si>
  <si>
    <t>Priority_Year</t>
  </si>
  <si>
    <t>Jurisdiction</t>
  </si>
  <si>
    <t>Kind</t>
  </si>
  <si>
    <t>Display_Key</t>
  </si>
  <si>
    <t>Applicants</t>
  </si>
  <si>
    <t>Owners</t>
  </si>
  <si>
    <t>Title</t>
  </si>
  <si>
    <t>Cited_by_Patent_Count</t>
  </si>
  <si>
    <t>Simple_Family_Size</t>
  </si>
  <si>
    <t>CPC_Classifications</t>
  </si>
  <si>
    <t>IPCR_Classifications</t>
  </si>
  <si>
    <t>Legal_Status</t>
  </si>
  <si>
    <t>Source_URL</t>
  </si>
  <si>
    <t>astrazeneca</t>
  </si>
  <si>
    <t>1</t>
  </si>
  <si>
    <t>165-949-787-289-228</t>
  </si>
  <si>
    <t>EP</t>
  </si>
  <si>
    <t>B1</t>
  </si>
  <si>
    <t>EP 4601704 B1</t>
  </si>
  <si>
    <t>ASTRAZENECA AB</t>
  </si>
  <si>
    <t>ASTRAZENECA AB (2026-04-15)</t>
  </si>
  <si>
    <t>CONJUGATES COMPRISING CLEAVABLE LINKERS</t>
  </si>
  <si>
    <t>A61K47/68031;;A61K47/6855;;A61K47/6863;;A61K47/6869;;A61P35/00;;C07H15/203;;A61K47/545;;A61K47/6849;;A61K47/6869;;A61K47/6851;;A61K47/6889;;A61K47/6855;;A61P35/00;;A61K47/68031;;A61K47/6863;;C07H15/203;;A61K47/6889;;A61P35/00;;C07H15/203;;A61K47/68031;;A61K47/6889;;A61K47/6849;;A61K47/6855;;A61P35/00;;A61K47/68031;;A61K47/6851;;A61K47/545</t>
  </si>
  <si>
    <t>A61K47/68;;A61P35/00;;C07H15/203</t>
  </si>
  <si>
    <t>ACTIVE</t>
  </si>
  <si>
    <t>https://lens.org/165-949-787-289-228</t>
  </si>
  <si>
    <t>2</t>
  </si>
  <si>
    <t>005-824-172-821-387</t>
  </si>
  <si>
    <t>EP 3588382 B1</t>
  </si>
  <si>
    <t>ASTRAZENECA COMPUTATIONAL PATHOLOGY GMBH</t>
  </si>
  <si>
    <t>ASTRAZENECA COMPUTATIONAL PATHOLOGY GMBH (2020-12-09)</t>
  </si>
  <si>
    <t>A DEEP LEARNING METHOD FOR TUMOR CELL SCORING ON CANCER BIOPSIES</t>
  </si>
  <si>
    <t>G06V2201/03;;G06V10/82;;G06V10/764;;A61B5/7267;;G06T7/0012;;G06T2200/24;;G06T2207/20081;;G06T2207/20084;;G06T2207/30024;;G06T2207/30061;;G06V20/695;;G06V20/698;;G06V10/764;;G06V10/82</t>
  </si>
  <si>
    <t>G06V10/82;;G06V10/764</t>
  </si>
  <si>
    <t>https://lens.org/005-824-172-821-387</t>
  </si>
  <si>
    <t>3</t>
  </si>
  <si>
    <t>104-045-616-914-303</t>
  </si>
  <si>
    <t>EP 3533883 B1</t>
  </si>
  <si>
    <t>DEFINIENS GMBH (2020-01-15);;ASTRAZENECA COMPUTATIONAL PATHOLOGY GMBH (2020-12-23)</t>
  </si>
  <si>
    <t>PREDICTING CANCER RECURRENCE USING A PROGNOSTIC MODEL THAT COMBINES IMMUNOHISTOCHEMICAL STAINING AND GENE EXPRESSION PROFILING</t>
  </si>
  <si>
    <t>G16H50/30;;C12Q1/6886;;G01N33/57555;;G01N2800/54;;G16B20/00;;G16B25/10;;G16B40/00;;G16H30/40;;G16H40/63;;G16H50/20;;G16H50/30;;C12Q1/6886;;G01N33/57555;;G01N2570/00;;G01N2800/342;;G01N2800/52;;G01N2800/54;;G01N2800/7028;;G16B20/00;;G16B25/10;;G16B40/00;;G16B40/20;;G16B45/00;;G16H30/40;;G16H40/63;;G16H50/20</t>
  </si>
  <si>
    <t>G16H50/20;;C12Q1/6886;;G01N33/574;;G16B20/00;;G16B25/10;;G16B40/00;;G16H30/40;;G16H40/63;;G16H50/30</t>
  </si>
  <si>
    <t>https://lens.org/104-045-616-914-303</t>
  </si>
  <si>
    <t>4</t>
  </si>
  <si>
    <t>014-794-591-564-874</t>
  </si>
  <si>
    <t>A3</t>
  </si>
  <si>
    <t>EP 4628490 A3</t>
  </si>
  <si>
    <t>ASTRAZENECA AB;;MITSUBISHI TANABE PHARMA CORP</t>
  </si>
  <si>
    <t>TANABE PHARMA CORPORATION (2026-05-20);;ASTRAZENECA AB (2026-05-20)</t>
  </si>
  <si>
    <t>NLRP3 INFLAMMASOME INHIBITORS</t>
  </si>
  <si>
    <t>C07D471/04;;C07D237/34;;C07D237/28;;C07D237/34;;C07D471/04;;C07D237/34;;A61K31/502;;A61K31/5025;;A61P1/16;;A61P9/00;;A61P13/12;;A61P19/06;;A61P29/00;;C07D471/04;;C07D237/28;;C07D471/04</t>
  </si>
  <si>
    <t>C07D237/34;;C07D471/04</t>
  </si>
  <si>
    <t>PENDING</t>
  </si>
  <si>
    <t>https://lens.org/014-794-591-564-874</t>
  </si>
  <si>
    <t>5</t>
  </si>
  <si>
    <t>010-776-149-430-30X</t>
  </si>
  <si>
    <t>A1</t>
  </si>
  <si>
    <t>EP 4642763 A1</t>
  </si>
  <si>
    <t>CRYSTALLINE FORMS OF NLRP3 INFLAMMASOME INHIBITORS, CHEMICAL PROCESSES AND CHEMICAL COMPOUNDS</t>
  </si>
  <si>
    <t>A61P29/00;;A61P37/00;;C07D237/34;;C07D237/32;;C07D471/04;;C07D405/12;;C07D309/12;;C07D213/80;;C07C65/40;;A61P29/00;;C07D237/32;;C07D471/04;;A61P37/00;;C07D237/34;;C07D213/80;;C07D405/12;;C07C65/40;;C07D309/12;;C07D237/34;;A61K31/502;;A61K31/5025;;A61P29/00;;A61P37/00;;C07D471/04;;C07D237/32;;C07D237/30;;C07C65/40;;C07D309/12;;C07D405/12;;C07D213/80;;C07B2200/13</t>
  </si>
  <si>
    <t>C07D213/80;;A61K31/502;;A61K31/5025;;A61P29/00;;A61P37/00;;C07C65/40;;C07D237/32;;C07D237/34;;C07D309/12;;C07D405/12;;C07D471/04</t>
  </si>
  <si>
    <t>https://lens.org/010-776-149-430-30X</t>
  </si>
  <si>
    <t>6</t>
  </si>
  <si>
    <t>186-128-615-960-090</t>
  </si>
  <si>
    <t>EP 4642772 A1</t>
  </si>
  <si>
    <t>A61P29/00;;A61P37/00;;C07D401/12;;C07D403/12;;C07D471/04;;C07D491/048;;C07D405/12;;A61K31/502;;A61K31/5025;;C07D237/34;;C07D401/12;;C07D403/12;;C07D405/12;;C07D471/04;;C07D491/048;;C07D519/00</t>
  </si>
  <si>
    <t>C07D401/12;;A61K31/502;;A61K31/5025;;A61P29/00;;A61P37/00;;C07D403/12;;C07D405/12;;C07D471/04;;C07D491/048</t>
  </si>
  <si>
    <t>https://lens.org/186-128-615-960-090</t>
  </si>
  <si>
    <t>7</t>
  </si>
  <si>
    <t>124-355-175-803-163</t>
  </si>
  <si>
    <t>US</t>
  </si>
  <si>
    <t>B2</t>
  </si>
  <si>
    <t>US 12441744 B2</t>
  </si>
  <si>
    <t>ASTRAZENECA PHARMACEUTICALS LP (2024-04-10);;ASTRAZENECA UK LIMITED (2024-04-23);;ASTRAZENECA AB (2024-04-24)</t>
  </si>
  <si>
    <t>2,6,9-trisubstituted purines</t>
  </si>
  <si>
    <t>C07D473/34;;C07D473/16;;A61P35/00;;A61K31/52;;C07D473/34;;A61P35/00;;C07D519/00;;C07D473/16;;A61P31/00;;C07D487/04;;C07D473/34;;A61K31/52;;A61P35/00;;C07D473/16;;C07D519/00;;A61P31/00;;A61K31/52;;C07D487/04</t>
  </si>
  <si>
    <t>C07D519/00;;A61K31/52;;A61P31/00;;C07D487/04</t>
  </si>
  <si>
    <t>https://lens.org/124-355-175-803-163</t>
  </si>
  <si>
    <t>8</t>
  </si>
  <si>
    <t>105-612-978-511-573</t>
  </si>
  <si>
    <t>US 2025/0316377 A1</t>
  </si>
  <si>
    <t>ASTRAZENECA PHARMACEUTICALS LP (2023-04-07);;ASTRAZENECA AB (2022-11-04);;ASTRAZENECA UK LIMITED (2023-04-19)</t>
  </si>
  <si>
    <t>PREDICTING ALBUMINURIA USING MACHINE LEARNING</t>
  </si>
  <si>
    <t>G16H50/20;;G06N3/08;;G06N5/01;;G06N5/04;;G06N20/20;;G16H50/30;;G16H50/70;;G16H50/20;;G16H10/60</t>
  </si>
  <si>
    <t>G16H50/20;;G16H10/60</t>
  </si>
  <si>
    <t>https://lens.org/105-612-978-511-573</t>
  </si>
  <si>
    <t>9</t>
  </si>
  <si>
    <t>007-743-663-738-535</t>
  </si>
  <si>
    <t>US 2025/0313578 A1</t>
  </si>
  <si>
    <t>ASTRAZENECA PHARMACEUTICALS LP (2019-01-17);;ASTRAZENECA UK LIMITED (2019-01-17);;ASTRAZENECA AB (2018-08-16)</t>
  </si>
  <si>
    <t>Arginase Inhibitors and Methods of Use Thereof</t>
  </si>
  <si>
    <t>C07F5/025;;A61P29/00;;A61P35/00;;A61P35/00;;C07F5/025;;C07F5/025;;A61K31/69;;A61P35/00;;A61P11/00;;A61P29/00;;C07F5/025</t>
  </si>
  <si>
    <t>C07F5/02</t>
  </si>
  <si>
    <t>https://lens.org/007-743-663-738-535</t>
  </si>
  <si>
    <t>10</t>
  </si>
  <si>
    <t>176-228-022-221-247</t>
  </si>
  <si>
    <t>US 12435097 B2</t>
  </si>
  <si>
    <t>ASTRAZENECA PHARMACEUTICALS LP (2019-08-05);;ASTRAZENECA UK LIMITED (2019-08-12);;ASTRAZENECA AB (2019-08-13)</t>
  </si>
  <si>
    <t>Arginase inhibitors and methods of use thereof</t>
  </si>
  <si>
    <t>C07F5/025;;A61K31/69;;A61P29/00;;A61P35/00;;C07F5/025;;A61K31/69;;A61P11/00;;A61P29/00;;A61P35/00;;C07F5/025;;A61K31/69;;A61P11/00;;A61P29/00;;A61P35/00;;C07F5/025</t>
  </si>
  <si>
    <t>https://lens.org/176-228-022-221-247</t>
  </si>
  <si>
    <t>11</t>
  </si>
  <si>
    <t>033-636-155-337-283</t>
  </si>
  <si>
    <t>US 2025/0304618 A1</t>
  </si>
  <si>
    <t>ASTRAZENECA AB (2023-03-20);;MEDIMMUNE LLC (2023-03-08)</t>
  </si>
  <si>
    <t>METHODS FOR UNIFIED CONCENTRATION AND BUFFER EXCHANGE</t>
  </si>
  <si>
    <t>C07K1/34;;C07K1/34;;C07K1/34;;C07K16/00;;C07K1/34;;C07K16/00;;C07K2319/00</t>
  </si>
  <si>
    <t>C07K1/34;;C07K16/00</t>
  </si>
  <si>
    <t>https://lens.org/033-636-155-337-283</t>
  </si>
  <si>
    <t>12</t>
  </si>
  <si>
    <t>188-321-040-581-977</t>
  </si>
  <si>
    <t>US 2025/0296966 A1</t>
  </si>
  <si>
    <t>DAIICHI SANKYO CO LTD;;ASTRAZENECA UK LTD</t>
  </si>
  <si>
    <t>DAIICHI SANKYO COMPANY LIMITED (2022-05-25);;ASTRAZENECA UK LIMITED (2022-05-20)</t>
  </si>
  <si>
    <t>COMBINATION OF AN ANTIBODY SPECIFIC FOR A TUMOR ANTIGEN AND A CD47 INHIBITOR</t>
  </si>
  <si>
    <t>C07K16/28;;C07K16/2866;;C07K16/2827;;C07K16/30;;C07K16/32;;C07K2317/24;;C07K2317/76;;C07K2317/73;;A61K39/39558;;A61K39/3955;;A61K47/6855;;A61P35/00;;A61K47/68037;;A61K47/6889;;A61K47/6849;;A61K47/6851;;A61K47/6811;;A61K47/6855;;A61P35/00;;A61K38/00;;C07K14/4703;;C07K16/2803;;C07K2319/31</t>
  </si>
  <si>
    <t>C07K14/47;;A61K38/00;;A61K47/68;;A61P35/00;;C07K16/28</t>
  </si>
  <si>
    <t>https://lens.org/188-321-040-581-977</t>
  </si>
  <si>
    <t>13</t>
  </si>
  <si>
    <t>123-583-378-355-661</t>
  </si>
  <si>
    <t>US 12421208 B2</t>
  </si>
  <si>
    <t>ASTRAZENECA PHARMACEUTICALS LP (2021-08-08);;ASTRAZENECA UK LIMITED (2021-08-20);;ASTRAZENECA AB (2021-08-31)</t>
  </si>
  <si>
    <t>Chemical compounds</t>
  </si>
  <si>
    <t>C07D401/12;;A61K31/498;;A61P35/00;;C07D401/12;;A61P35/00;;C07D401/12;;A61P35/00;;C07D401/12;;A61K31/498;;A61P35/00;;C07D401/12</t>
  </si>
  <si>
    <t>C07D401/12</t>
  </si>
  <si>
    <t>https://lens.org/123-583-378-355-661</t>
  </si>
  <si>
    <t>14</t>
  </si>
  <si>
    <t>139-061-511-188-624</t>
  </si>
  <si>
    <t>US 2025/0289871 A1</t>
  </si>
  <si>
    <t>ASTRAZENECA UK LTD</t>
  </si>
  <si>
    <t>ASTRAZENECA PHARMACEUTICALS LP (2022-10-14);;ASTRAZENECA UK LIMITED (2022-10-21);;MEDIMMUNE LLC (2022-08-26)</t>
  </si>
  <si>
    <t>SARS-COV-2 ANTIBODIES AND METHODS OF USING THE SAME</t>
  </si>
  <si>
    <t>A61P31/14;;C07K2317/76;;C07K2317/92;;C07K16/104;;A61P31/14;;C07K2317/92;;C07K2317/76;;C07K16/104;;A61P31/14;;G01N33/56983;;C07K2317/76;;C07K2317/92;;A61K2039/505;;G01N2333/165;;C07K16/104;;C07K2317/76;;C07K2317/92;;C07K2317/33;;C07K16/104</t>
  </si>
  <si>
    <t>C07K16/10</t>
  </si>
  <si>
    <t>https://lens.org/139-061-511-188-624</t>
  </si>
  <si>
    <t>15</t>
  </si>
  <si>
    <t>001-972-182-117-288</t>
  </si>
  <si>
    <t>US 2025/0288687 A1</t>
  </si>
  <si>
    <t>DAIICHI SANKYO COMPANY LIMITED (2022-12-14);;ASTRAZENECA UK LIMITED (2022-12-14)</t>
  </si>
  <si>
    <t>COMBINATION OF ANTIBODY-DRUG CONJUGATES AND DNMT INHIBITORS</t>
  </si>
  <si>
    <t>A61K47/6849;;A61K31/706;;A61K47/65;;A61K47/68037;;A61K47/6851;;A61K47/6889;;A61P35/00;;A61K47/6851;;A61K31/7068;;A61K47/68037;;A61P35/00;;C07K16/30;;C07K2317/565</t>
  </si>
  <si>
    <t>A61K47/68;;A61K31/7068;;A61P35/00;;C07K16/30</t>
  </si>
  <si>
    <t>https://lens.org/001-972-182-117-288</t>
  </si>
  <si>
    <t>16</t>
  </si>
  <si>
    <t>015-855-513-603-826</t>
  </si>
  <si>
    <t>US 12414954 B2</t>
  </si>
  <si>
    <t>ASTRAZENECA UK LIMITED (2024-11-04);;ASTRAZENECA AB (2024-12-16)</t>
  </si>
  <si>
    <t>POLQ inhibitors</t>
  </si>
  <si>
    <t>C07D473/26;;A61P35/00;;C07D471/04;;C07D235/18;;A61K31/52;;A61P35/00;;C07D473/30;;C07D471/04;;C07D473/26;;C07D235/18;;C07D473/30;;A61K31/52;;A61K31/496;;A61K31/4178;;A61P35/00;;C07D235/18;;C07D471/04;;C07D401/06;;A61K31/52;;C07D473/30</t>
  </si>
  <si>
    <t>A61K31/52;;C07D473/30</t>
  </si>
  <si>
    <t>https://lens.org/015-855-513-603-826</t>
  </si>
  <si>
    <t>17</t>
  </si>
  <si>
    <t>093-135-222-941-140</t>
  </si>
  <si>
    <t>US 12409186 B2</t>
  </si>
  <si>
    <t>ASTRAZENECA AB (2021-01-10)</t>
  </si>
  <si>
    <t>Methods of treating chronic kidney disease with dapagliflozin</t>
  </si>
  <si>
    <t>A61K31/351;;A61K31/538;;A61P13/12;;A61K45/06;;A61K31/70;;Y02A50/30;;A61K9/20;;A61K31/351;;A61K31/401;;A61K31/41;;A61K31/4178;;A61K31/7004;;A61K45/06;;A61P13/12;;A61K31/351;;A61K31/351;;A61K31/7034;;A61P13/12;;A61P13/12;;A61K9/0053;;A61K31/7004;;A61K45/06;;A61K31/351;;A61K31/401;;A61K31/41;;A61K31/4178</t>
  </si>
  <si>
    <t>A61K31/7004;;A61K9/00;;A61K31/351;;A61K31/401;;A61K31/41;;A61K31/4178;;A61K45/06;;A61P13/12</t>
  </si>
  <si>
    <t>https://lens.org/093-135-222-941-140</t>
  </si>
  <si>
    <t>18</t>
  </si>
  <si>
    <t>077-007-923-411-39X</t>
  </si>
  <si>
    <t>US 12410187 B2</t>
  </si>
  <si>
    <t>ASTRAZENECA UK LIMITED (2020-11-01);;ASTRAZENECA AB (2020-11-23)</t>
  </si>
  <si>
    <t>Fused tricyclic compounds useful as anticancer agents</t>
  </si>
  <si>
    <t>C07D498/04;;C07D487/04;;C07D498/14;;C07D498/22;;A61P35/00;;A61P35/00;;C07D487/04;;C07D498/04;;C07D498/14;;C07D498/22;;C07D498/04;;A61K31/553;;A61K31/551;;A61P35/00;;C07D487/04;;C07D498/14;;C07B2200/05;;C07D498/04;;C07D498/14</t>
  </si>
  <si>
    <t>C07D498/04;;C07D498/14</t>
  </si>
  <si>
    <t>https://lens.org/077-007-923-411-39X</t>
  </si>
  <si>
    <t>19</t>
  </si>
  <si>
    <t>036-779-901-044-27X</t>
  </si>
  <si>
    <t>US 12409174 B2</t>
  </si>
  <si>
    <t>ASTRAZENECA AB (2020-10-10)</t>
  </si>
  <si>
    <t>Combination of zibotentan and dapagliflozin for the treatment of endothelin related diseases</t>
  </si>
  <si>
    <t>A61K31/497;;A61K31/351;;A61P13/12;;A61K31/497;;A61K31/70;;A61P13/12;;A61K31/7034;;A61K31/497;;A61P13/12;;A61K31/7034;;A61K2300/00;;A61K31/70;;A61P13/12;;A61K31/497;;A61K31/7034</t>
  </si>
  <si>
    <t>A61K31/497;;A61K31/7034;;A61P13/12</t>
  </si>
  <si>
    <t>https://lens.org/036-779-901-044-27X</t>
  </si>
  <si>
    <t>20</t>
  </si>
  <si>
    <t>162-809-904-671-597</t>
  </si>
  <si>
    <t>US 12410254 B2</t>
  </si>
  <si>
    <t>ASTRAZENECA AB (2021-01-20);;MEDIMMUNE LLC (2021-01-14)</t>
  </si>
  <si>
    <t>Treatment of cardiometabolic disease with inhibitors of type I interferon signalling</t>
  </si>
  <si>
    <t>C07K16/2866;;A61P9/10;;C07K2317/76;;C07K16/2866;;A61P9/10;;C07K2317/76;;C07K16/2866;;A61K2039/505;;A61K2039/54;;A61K2039/545;;A61P9/10;;C07K2317/76;;C07K16/2866;;A61K2039/505;;A61K2039/545;;A61P9/10;;C07K2317/565;;C07K2317/76</t>
  </si>
  <si>
    <t>A61K39/395;;A61K39/00;;A61P9/10;;C07K16/28</t>
  </si>
  <si>
    <t>https://lens.org/162-809-904-671-597</t>
  </si>
  <si>
    <t>21</t>
  </si>
  <si>
    <t>000-117-889-288-220</t>
  </si>
  <si>
    <t>US 2025/0276079 A1</t>
  </si>
  <si>
    <t>DAIICHI SANKYO COMPANY LIMITED (2022-07-14);;ASTRAZENECA UK LIMITED (2022-07-14)</t>
  </si>
  <si>
    <t>COMBINATION OF ANTIBODY-DRUG CONJUGATE WITH EZH1 and/or EZH2 INHIBITOR</t>
  </si>
  <si>
    <t>A61K47/6801;;A61K45/06;;A61K47/68;;A61K47/6855;;A61K47/6801;;A61K45/06;;A61K47/68;;A61K47/6855;;A61K47/6801;;A61K31/443;;A61K31/5377;;A61K45/06;;A61K47/6851;;A61K2300/00;;A61P35/00;;A61K47/68037;;A61K31/443;;A61K47/6851;;A61K47/6889;;A61P35/00</t>
  </si>
  <si>
    <t>A61K47/68;;A61K31/443;;A61P35/00</t>
  </si>
  <si>
    <t>https://lens.org/000-117-889-288-220</t>
  </si>
  <si>
    <t>22</t>
  </si>
  <si>
    <t>185-809-217-621-082</t>
  </si>
  <si>
    <t>US 12404253 B2</t>
  </si>
  <si>
    <t>ASTRAZENECA AB (2022-12-01)</t>
  </si>
  <si>
    <t>2,4,6-trisubstituted 1,3,5-triazines as modulators of CX3CR1</t>
  </si>
  <si>
    <t>C07D403/10;;C07D403/08;;C07D405/08;;C07D411/06;;C07D413/06;;C07D471/04;;C07D498/04;;C07D251/18;;C07D401/06;;C07D403/06;;C07D403/08;;C07D403/10;;C07D405/08;;C07D405/10;;C07D411/06;;C07D413/06;;C07D471/04;;C07D498/04;;C07D251/18;;A61K31/53;;A61P9/00;;C07D401/06;;C07D403/06;;C07D403/10;;C07D405/10;;C07D413/06;;C07D471/04;;C07D498/04;;C07D251/18;;C07D401/06;;C07D403/06;;C07D405/10;;C07D413/06;;C07D471/04;;C07D498/04</t>
  </si>
  <si>
    <t>C07D251/18;;C07D401/06;;C07D403/06;;C07D405/10;;C07D413/06;;C07D471/04;;C07D498/04</t>
  </si>
  <si>
    <t>https://lens.org/185-809-217-621-082</t>
  </si>
  <si>
    <t>23</t>
  </si>
  <si>
    <t>157-717-308-013-353</t>
  </si>
  <si>
    <t>US 2025/0270248 A1</t>
  </si>
  <si>
    <t>ASTRAZENECA AB (2021-04-12)</t>
  </si>
  <si>
    <t>OLIGONUCLEOTIDES CONJUGATED TO FATTY ACIDS</t>
  </si>
  <si>
    <t>A61K47/542</t>
  </si>
  <si>
    <t>C07H21/04;;C07H21/02</t>
  </si>
  <si>
    <t>DISCONTINUED</t>
  </si>
  <si>
    <t>https://lens.org/157-717-308-013-353</t>
  </si>
  <si>
    <t>24</t>
  </si>
  <si>
    <t>054-814-466-841-357</t>
  </si>
  <si>
    <t>US 2025/0263796 A1</t>
  </si>
  <si>
    <t>ASTRAZENECA PHARMACEUTICALS LP (2020-02-17);;ASTRAZENECA UK LIMITED (2020-02-17);;ASTRAZENECA AB (2020-02-18)</t>
  </si>
  <si>
    <t>METHODS OF DETERMINING PTEN COPY NUMBER</t>
  </si>
  <si>
    <t>C12Q1/6886;;C12Q2600/156;;C12Q1/6886;;C12Q2600/156;;C12Q1/6886;;C12Q2600/156</t>
  </si>
  <si>
    <t>C12Q1/6886</t>
  </si>
  <si>
    <t>https://lens.org/054-814-466-841-357</t>
  </si>
  <si>
    <t>25</t>
  </si>
  <si>
    <t>199-517-978-036-471</t>
  </si>
  <si>
    <t>US 2025/0249093 A1</t>
  </si>
  <si>
    <t>MEDIMMUNE LIMITED (2024-11-01);;ASTRAZENECA PHARMACEUTICALS LP (2024-10-18);;ASTRAZENECA UK LIMITED (2024-10-28);;ASTRAZENECA AB (2024-10-31);;MEDIMMUNE LLC (2024-10-09)</t>
  </si>
  <si>
    <t>CYTOKINE ENGAGERS AND USES THEREOF</t>
  </si>
  <si>
    <t>C07K2319/00;;C07K2317/92;;A61K2039/505;;C07K2317/74;;C07K16/2815;;C07K2317/31;;C07K2317/33;;C07K2317/35;;C07K2317/94;;C07K14/55;;A61P37/04;;A61K38/2013;;A61K39/3955;;A61K2039/505;;C07K14/55;;C07K16/2815;;C07K2317/92</t>
  </si>
  <si>
    <t>A61K39/395;;A61K38/20;;A61K39/00;;A61P37/04;;C07K14/55;;C07K16/28</t>
  </si>
  <si>
    <t>https://lens.org/199-517-978-036-471</t>
  </si>
  <si>
    <t>26</t>
  </si>
  <si>
    <t>147-450-042-442-421</t>
  </si>
  <si>
    <t>US 2025/0250255 A1</t>
  </si>
  <si>
    <t>ASTRAZENECA UK LIMITED (2022-02-12);;ASTRAZENECA AB (2022-06-12)</t>
  </si>
  <si>
    <t>IMPROVED PROCESS FOR THE MANUFACTURE OF OSIMERTINIB</t>
  </si>
  <si>
    <t>C07D403/04;;A61P35/00;;C07D403/04;;A61P35/00;;C07D403/04;;C07C309/04;;A61K31/506;;A61P35/00;;C07D403/04</t>
  </si>
  <si>
    <t>C07D403/04</t>
  </si>
  <si>
    <t>https://lens.org/147-450-042-442-421</t>
  </si>
  <si>
    <t>27</t>
  </si>
  <si>
    <t>124-332-959-693-343</t>
  </si>
  <si>
    <t>US 2025/0253057 A1</t>
  </si>
  <si>
    <t>ASTRAZENECA PHARMACEUTICALS LP (2022-11-06);;ASTRAZENECA AB (2022-11-04);;ASTRAZENECA UK LIMITED (2022-11-15)</t>
  </si>
  <si>
    <t>PREDICTING DISEASE PROGRESSION IN PORTAL HYPERTENSION USING MACHINE LEARNING</t>
  </si>
  <si>
    <t>G16H20/00;;G16H50/20;;G16H50/30;;G16H50/50;;G16H50/70;;G16H40/67;;G16H50/50;;A61B5/4842</t>
  </si>
  <si>
    <t>G16H50/50;;A61B5/00</t>
  </si>
  <si>
    <t>https://lens.org/124-332-959-693-343</t>
  </si>
  <si>
    <t>28</t>
  </si>
  <si>
    <t>173-283-201-557-144</t>
  </si>
  <si>
    <t>US 12377164 B2</t>
  </si>
  <si>
    <t>ASTRAZENECA AB;;CAMBRIDGE ENTPR LTD</t>
  </si>
  <si>
    <t>CAMBRIDGE ENTERPRISE LIMITED (2019-03-07);;ASTRAZENECA UK LIMITED (2018-10-12);;ASTRAZENECA AB (2018-10-19)</t>
  </si>
  <si>
    <t>Linkers and conjugates</t>
  </si>
  <si>
    <t>A61K47/6889;;A61K47/60;;A61K47/65;;A61K47/68031;;A61K47/6809;;A61K47/6811;;A61K47/6855;;A61P35/00;;C07D239/42;;A61K47/6889;;A61K31/704;;A61K38/07;;A61K47/545;;A61K47/68031;;A61K47/6851;;A61P35/00;;C07D239/42</t>
  </si>
  <si>
    <t>A61K47/68;;A61K31/704;;A61K38/07;;A61K47/54;;A61P35/00;;C07D239/42</t>
  </si>
  <si>
    <t>https://lens.org/173-283-201-557-144</t>
  </si>
  <si>
    <t>29</t>
  </si>
  <si>
    <t>168-035-018-064-989</t>
  </si>
  <si>
    <t>US 2025/0235451 A1</t>
  </si>
  <si>
    <t>ASTRAZENECA PHARMACEUTICALS LP (2021-02-11);;ASTRAZENECA UK LIMITED (2021-02-11);;ASTRAZENECA AB (2021-02-12)</t>
  </si>
  <si>
    <t>Methods of Delaying Pain Progression And Treating Prostate Cancer</t>
  </si>
  <si>
    <t>A61K31/502;;A61P35/00;;A61K31/502;;A61K31/498;;A61P35/00;;A61P35/04</t>
  </si>
  <si>
    <t>A61K31/502;;A61K31/498;;A61P35/00;;A61P35/04</t>
  </si>
  <si>
    <t>https://lens.org/168-035-018-064-989</t>
  </si>
  <si>
    <t>30</t>
  </si>
  <si>
    <t>117-481-326-121-420</t>
  </si>
  <si>
    <t>US 2025/0235448 A1</t>
  </si>
  <si>
    <t>ASTRAZENECA UK LIMITED (2023-01-10);;ASTRAZENECA AB (2023-01-17)</t>
  </si>
  <si>
    <t>COMBINATION THERAPY FOR TREATING CANCER</t>
  </si>
  <si>
    <t>A61K31/4155;;A61K31/4375;;A61P35/00;;A61P35/04;;A61K31/4155;;A61K31/4375;;A61K2300/00;;A61P35/00;;A61P35/04;;A61K31/496;;A61K31/4155;;A61K2300/00;;A61P35/00;;A61P35/04;;A61K31/496;;A61K31/4155;;A61P35/04</t>
  </si>
  <si>
    <t>A61K31/496;;A61K31/4155;;A61P35/04</t>
  </si>
  <si>
    <t>https://lens.org/117-481-326-121-420</t>
  </si>
  <si>
    <t>31</t>
  </si>
  <si>
    <t>043-129-701-345-755</t>
  </si>
  <si>
    <t>US 2025/0236627 A1</t>
  </si>
  <si>
    <t>ASTRAZENECA AB (2022-09-15)</t>
  </si>
  <si>
    <t>CERTAIN OCTAHYDROFURO[3,4- B]PYRAZINES AS GLP-1 RECEPTOR MODULATORS</t>
  </si>
  <si>
    <t>C07D491/04;;A61P3/10;;C07D491/048;;A61K31/4985</t>
  </si>
  <si>
    <t>C07D491/048;;A61K31/4985</t>
  </si>
  <si>
    <t>https://lens.org/043-129-701-345-755</t>
  </si>
  <si>
    <t>32</t>
  </si>
  <si>
    <t>126-624-884-398-477</t>
  </si>
  <si>
    <t>US 12365678 B2</t>
  </si>
  <si>
    <t>ASTRAZENECA UK LIMITED (2022-01-14);;ASTRAZENECA AB (2022-01-18)</t>
  </si>
  <si>
    <t>Pharmaceutical process for the preparation of 4-{4-[(3R)-3-methylmorpholin-4-yl]-6-[1-((R)-S-methylsulfonimidoyl) cyclopropyl]pyrimidin-2-yl}-1H-pyrrolo[2,3-b] pyridine and intermediates</t>
  </si>
  <si>
    <t>C07D413/04;;C07C323/61;;C07C2601/02;;C07D239/30;;C07D239/54;;C07D239/56;;C07D471/04;;C07D239/30;;C07C255/58;;C07C319/14;;C07C319/20;;C07C323/22;;C07C323/61;;C07C2601/02;;C07D239/54;;C07D239/56;;C07D413/04;;C07D471/04;;C07F5/025;;C12P11/00;;C12P17/16;;C07D471/04;;C07C255/58;;C07C319/14;;C07C323/22;;C07C323/61;;C07C2601/02;;C07D239/30;;C07D239/54;;C07D239/56;;C07D413/04;;C07F5/025;;C12P17/16;;C07D413/04;;A61K31/5377;;C07C255/58;;C07C319/20;;C07C323/22;;C07C323/61;;C07C2601/02;;C07D239/30;;C07D239/54;;C07D239/56;;C07D471/04;;C07F5/025;;C07D471/04;;B01J31/0235;;B01J31/2226;;B01J31/2409;;B01J35/39;;B01J2531/824;;C07C255/58;;C12P17/16</t>
  </si>
  <si>
    <t>C07D471/04;;B01J31/02;;B01J31/22;;B01J31/24;;B01J35/39;;C07C255/58;;C12P17/16</t>
  </si>
  <si>
    <t>https://lens.org/126-624-884-398-477</t>
  </si>
  <si>
    <t>33</t>
  </si>
  <si>
    <t>071-379-309-611-809</t>
  </si>
  <si>
    <t>US 12364689 B2</t>
  </si>
  <si>
    <t>ASTRAZENECA PHARMACEUTICALS LP (2021-04-29);;ASTRAZENECA UK LIMITED (2021-07-07);;ASTRAZENECA AB (2021-07-13)</t>
  </si>
  <si>
    <t>Dosage regimen for the treatment of cancer</t>
  </si>
  <si>
    <t>A61K31/4745;;A61K31/519;;A61P35/00;;A61P15/14;;A61K31/519;;A61K31/506;;A61K31/436;;A61K45/06;;A61P35/00;;A61K31/4745;;A61K31/444;;A61K2300/00;;A61K31/436;;A61K31/4745;;A61K9/20;;A61K45/06;;A61K31/506;;A61K31/519;;A61P35/00;;A61K31/4745;;A61K31/519;;A61K31/436;;A61K45/06;;A61P35/00;;A61K2300/00;;A61K9/20;;A61K31/444;;A61K45/06</t>
  </si>
  <si>
    <t>A61K31/444;;A61K9/20;;A61K45/06</t>
  </si>
  <si>
    <t>https://lens.org/071-379-309-611-809</t>
  </si>
  <si>
    <t>34</t>
  </si>
  <si>
    <t>084-846-779-829-29X</t>
  </si>
  <si>
    <t>US 2025/0228847 A1</t>
  </si>
  <si>
    <t>ASTRAZENECA AB (2023-01-17);;ASTRAZENECA UK (2023-01-10)</t>
  </si>
  <si>
    <t>A61K31/4375;;A61K9/20;;A61K31/573;;A61K31/58;;A61P35/00;;A61P35/04;;A61K31/4375;;A61K9/20;;A61K31/573;;A61K31/58;;A61K2300/00;;A61P35/00;;A61P35/04;;A61K31/496;;A61K9/20;;A61K31/573;;A61K31/58;;A61K2300/00;;A61P35/00;;A61P35/04;;A61K31/496;;A61K31/573;;A61K31/58;;A61P35/00</t>
  </si>
  <si>
    <t>A61K31/496;;A61K31/573;;A61K31/58;;A61P35/00</t>
  </si>
  <si>
    <t>https://lens.org/084-846-779-829-29X</t>
  </si>
  <si>
    <t>35</t>
  </si>
  <si>
    <t>050-145-821-195-556</t>
  </si>
  <si>
    <t>US 2025/0213556 A1</t>
  </si>
  <si>
    <t>ASTRAZENECA UK LIMITED (2023-01-10);;ASTRAZENECA AB (2023-07-17)</t>
  </si>
  <si>
    <t>A61K31/4166;;A61K31/496;;A61K45/06;;A61P35/00;;A61P35/04;;A61K31/4166;;A61K31/496;;A61K45/06;;A61K2300/00;;A61P35/00;;A61P35/04;;A61K31/496;;A61K31/4166;;A61K45/06;;A61K2300/00;;A61P35/00;;A61P35/04;;A61K31/496;;A61K31/4166;;A61P35/00</t>
  </si>
  <si>
    <t>A61K31/496;;A61K31/4166;;A61P35/00</t>
  </si>
  <si>
    <t>https://lens.org/050-145-821-195-556</t>
  </si>
  <si>
    <t>36</t>
  </si>
  <si>
    <t>191-987-879-854-01X</t>
  </si>
  <si>
    <t>US 2025/0216391 A1</t>
  </si>
  <si>
    <t>ASTRAZENECA PHARMACEUTICALS LP (2022-09-30);;ASTRAZENECA UK LIMITED (2022-10-10);;ASTRAZENECA AB (2022-10-12);;ASTRAZENECA COMPUTATIONAL PATHOLOGY GMBH (2022-09-28)</t>
  </si>
  <si>
    <t>METHOD FOR PREDICTING PATIENT RESPONSE TO IMMUNOTHERAPY</t>
  </si>
  <si>
    <t>G01N33/5752;;G01N33/5091;;G01N2333/70517;;G01N2333/70596;;G01N2800/52;;G01N33/5752;;A61K2039/505;;C07K16/2827;;G01N2333/70517;;G01N2333/70532;;G01N2333/70596</t>
  </si>
  <si>
    <t>G01N33/574;;A61K39/00;;C07K16/28</t>
  </si>
  <si>
    <t>https://lens.org/191-987-879-854-01X</t>
  </si>
  <si>
    <t>37</t>
  </si>
  <si>
    <t>170-723-300-742-692</t>
  </si>
  <si>
    <t>US 2025/0214995 A1</t>
  </si>
  <si>
    <t>ASTRAZENECA PHARMACEUTICALS LP (2023-03-09);;ASTRAZENECA UK LIMITED (2023-03-13);;ASTRAZENECA AB (2022-10-25)</t>
  </si>
  <si>
    <t>CONDENSED BICYCLIC HETEROAROMATIC COMPOUNDS AND THEIR USE IN THE TREATMENT OF CANCER</t>
  </si>
  <si>
    <t>C07D471/04;;A61P35/00;;C07D471/04;;A61P35/00;;C07D471/04;;A61K31/4375;;A61P35/00;;C07D471/04;;A61K31/4375;;A61K31/5025;;A61K31/519</t>
  </si>
  <si>
    <t>C07D471/04;;A61K31/4375;;A61K31/5025;;A61K31/519</t>
  </si>
  <si>
    <t>https://lens.org/170-723-300-742-692</t>
  </si>
  <si>
    <t>38</t>
  </si>
  <si>
    <t>038-401-172-983-207</t>
  </si>
  <si>
    <t>US 2025/0205233 A1</t>
  </si>
  <si>
    <t>ASTRAZENECA UK LIMITED (2023-01-24);;ASTRAZENECA AB (2023-01-31)</t>
  </si>
  <si>
    <t>EPIDERMAL GROWTH FACTOR RECEPTOR (EGFR) TYROSINE KINASE INHIBITORS IN COMBINATION WITH AN AKT INHIBITOR FOR THE TREATMENT OF CANCER</t>
  </si>
  <si>
    <t>A61K31/519;;A61K31/506;;A61K45/06;;A61P35/00;;A61K31/519;;A61K31/506;;A61K45/06;;A61K2300/00;;A61P35/00;;A61K31/506;;A61K31/519;;A61K45/06;;A61K2300/00;;A61P35/00;;A61K31/506;;A61K31/519;;A61P35/00</t>
  </si>
  <si>
    <t>A61K31/506;;A61K31/519;;A61P35/00</t>
  </si>
  <si>
    <t>https://lens.org/038-401-172-983-207</t>
  </si>
  <si>
    <t>39</t>
  </si>
  <si>
    <t>004-414-917-105-812</t>
  </si>
  <si>
    <t>US 2025/0197411 A1</t>
  </si>
  <si>
    <t>ASTRAZENECA AB (2025-01-16)</t>
  </si>
  <si>
    <t>IRAK4 PROTACS</t>
  </si>
  <si>
    <t>A61K31/496;;C07D519/00;;C07D471/04;;A61K31/5025;;C07D487/04;;C07D413/14;;C07D401/14;;A61K31/513;;A61P11/00;;A61P29/00;;A61P35/00;;A61P37/00;;C07D487/04;;A61K31/513;;C07D401/14;;C07D471/04;;A61K31/5025;;C07D413/14;;C07D519/00;;A61K31/496</t>
  </si>
  <si>
    <t>C07D487/04;;A61K31/496;;A61K31/5025;;A61K31/513;;C07D401/14;;C07D413/14;;C07D471/04;;C07D519/00</t>
  </si>
  <si>
    <t>https://lens.org/004-414-917-105-812</t>
  </si>
  <si>
    <t>40</t>
  </si>
  <si>
    <t>053-008-538-157-026</t>
  </si>
  <si>
    <t>US 2025/0186584 A1</t>
  </si>
  <si>
    <t>ASTRAZENECA PHARMACEUTICALS LP (2022-10-24);;ASTRAZENECA UK LIMITED (2022-10-24);;ASTRAZENECA AB (2022-10-25)</t>
  </si>
  <si>
    <t>METHODS OF TREATING BILIARY TRACT CANCER USING ANTI-PD-L1 ANTIBODY IN COMBINATION WITH CHEMOTHERAPY</t>
  </si>
  <si>
    <t>A61P35/00;;A61K2039/505;;A61K2039/545;;A61K39/395;;C07K16/2827;;C07K2317/21;;A61P35/00;;C07K2317/21;;C07K16/2827;;A61K2039/505;;A61K39/395;;A61K2039/545;;A61K2300/00;;A61K39/39558;;A61K31/7068;;A61K33/243;;A61K45/06;;A61P35/00;;C07K16/2827;;A61K2300/00;;A61K2039/505;;C07K2317/21;;A61P35/00;;A61K33/243;;A61K31/7068;;A61K39/39558;;A61K2039/505;;A61K2039/545</t>
  </si>
  <si>
    <t>A61K39/395;;A61K31/7068;;A61K33/243;;A61K39/00;;A61P35/00</t>
  </si>
  <si>
    <t>https://lens.org/053-008-538-157-026</t>
  </si>
  <si>
    <t>41</t>
  </si>
  <si>
    <t>141-484-364-646-723</t>
  </si>
  <si>
    <t>US 2025/0177539 A1</t>
  </si>
  <si>
    <t>ASTRAZENECA UK LIMITED (2024-11-17);;ASTRAZENECA AB (2024-11-18)</t>
  </si>
  <si>
    <t>ER DEGRADERS AND USES THEREOF</t>
  </si>
  <si>
    <t>C07D401/14;;C07D491/10;;C07D471/04;;C07D487/04;;C07D413/14;;C07D417/14;;A61P35/00;;A61K47/545;;A61K47/55;;A61P35/00</t>
  </si>
  <si>
    <t>A61K47/55;;A61K47/54;;A61P35/00</t>
  </si>
  <si>
    <t>https://lens.org/141-484-364-646-723</t>
  </si>
  <si>
    <t>42</t>
  </si>
  <si>
    <t>136-473-650-711-472</t>
  </si>
  <si>
    <t>US 2025/0177550 A1</t>
  </si>
  <si>
    <t>ASTRAZENECA PHARMACEUTICALS LP (2022-07-01);;ASTRAZENECA AB (2022-05-20);;ASTRAZENECA UK LIMITED (2022-07-20);;ASTRAZENECA COMPUTATIONAL PATHOLOGY GMBH (2022-05-20);;MEDIMMUNE LLC (2022-05-20)</t>
  </si>
  <si>
    <t>A SCORING METHOD FOR AN ANTI-FR ALPHA ANTIBODY DRUG CONJUGATE THERAPY</t>
  </si>
  <si>
    <t>G01N2800/52;;G01N33/6872;;A61P35/00;;A61K47/6857;;A61K47/6863;;A61K47/6869;;G06V10/82;;G06V20/698;;A61K47/68037;;G01N33/5759;;G06V20/698;;A61K47/68037;;A61K47/6863;;A61P35/00;;G01N33/6872;;G01N2800/52;;A61K47/6869;;A61K47/6857;;G06V10/82;;G01N33/5759;;G01N33/6872;;A61K47/6869;;A61K47/6863;;A61K47/6857;;A61K47/68037;;A61P35/00;;G06V10/82;;G06V20/698;;G01N2800/52;;G01N33/5759;;A61K47/6889;;A61K47/6849;;A61P35/00;;A61K47/68037;;G01N33/5759;;G01N33/57595</t>
  </si>
  <si>
    <t>A61K47/68;;A61P35/00;;G01N33/574</t>
  </si>
  <si>
    <t>https://lens.org/136-473-650-711-472</t>
  </si>
  <si>
    <t>43</t>
  </si>
  <si>
    <t>097-039-834-643-748</t>
  </si>
  <si>
    <t>US 2025/0179115 A1</t>
  </si>
  <si>
    <t>ASTRAZENECA AB (2022-09-13);;MEDIMMUNE LLC (2022-08-24)</t>
  </si>
  <si>
    <t>METHODS FOR PURIFYING BISPECIFIC ANTIBODIES</t>
  </si>
  <si>
    <t>C07K16/065;;C07K1/22;;C07K2317/31;;C07K2317/515;;C07K2317/522;;C07K16/065;;C07K1/22;;C07K2317/31;;C07K2317/515;;C07K2317/522;;C07K16/065;;C07K1/22;;C07K2317/31;;C07K2317/515;;C07K2317/522;;C07K2317/55;;C07K1/22;;B01D15/3809;;C07K16/00;;C07K2317/31;;C07K2317/51;;C07K2317/515;;C07K2317/522;;C07K2317/55</t>
  </si>
  <si>
    <t>C07K1/22;;B01D15/38;;C07K16/00</t>
  </si>
  <si>
    <t>https://lens.org/097-039-834-643-748</t>
  </si>
  <si>
    <t>44</t>
  </si>
  <si>
    <t>074-666-216-752-443</t>
  </si>
  <si>
    <t>US 2025/0170245 A1</t>
  </si>
  <si>
    <t>ASTRAZENECA AB (2016-08-08);;MEDIMMUNE LLC (2014-07-09)</t>
  </si>
  <si>
    <t>STABLE, AQUEOUS FORMULATIONS OF ANTIBODIES THAT BIND IL5 RECEPTOR</t>
  </si>
  <si>
    <t>A61K9/0019;;A61K47/183;;A61K39/39591;;C07K16/2866;;A61K47/26;;A61K2039/505;;A61P1/04;;A61P11/00;;A61P11/06;;A61P11/14;;A61P37/08;;A61K9/0019;;A61K39/3955;;A61K39/39591;;A61K47/22;;A61K47/26;;A61K47/34;;C07K16/2866;;A61K2039/505;;C07K2317/565;;A61K47/183;;A61K38/00;;A61K9/00;;A61K9/08;;A61K39/00;;A61K39/395;;A61K47/18;;A61K47/26;;A61K9/0019;;A61K47/183;;A61K39/39591;;C07K16/2866;;A61K39/3955;;A61K47/22;;A61K47/26;;A61K47/34;;A61K2039/505</t>
  </si>
  <si>
    <t>A61K47/34;;A61K9/00;;A61K39/00;;A61K39/395;;A61K47/18;;A61K47/22;;A61K47/26;;C07K16/28</t>
  </si>
  <si>
    <t>https://lens.org/074-666-216-752-443</t>
  </si>
  <si>
    <t>45</t>
  </si>
  <si>
    <t>089-717-463-282-401</t>
  </si>
  <si>
    <t>US 2025/0161368 A1</t>
  </si>
  <si>
    <t>ASTRAZENECA AB (2024-10-07);;ASTRAZENECA UK LIMITED (2024-10-25)</t>
  </si>
  <si>
    <t>Cell Therapy</t>
  </si>
  <si>
    <t>C12N5/0657;;C12N2501/415;;C12N2501/60;;A61P9/10;;A61K35/34;;A61K45/06;;C12N5/0657;;C12N2506/03</t>
  </si>
  <si>
    <t>A61K35/34;;A61K45/06;;A61P9/10;;C12N5/077</t>
  </si>
  <si>
    <t>https://lens.org/089-717-463-282-401</t>
  </si>
  <si>
    <t>46</t>
  </si>
  <si>
    <t>016-433-929-196-108</t>
  </si>
  <si>
    <t>US 2025/0161305 A1</t>
  </si>
  <si>
    <t>ASTRAZENECA UK LTD;;DAIICHI SANKYO CO LTD</t>
  </si>
  <si>
    <t>DAIICHI SANKYO COMPANY LIMITED (2022-12-16);;ASTRAZENECA PHARMACEUTICALS LP (2022-12-11);;ASTRAZENECA UK LIMITED (2022-12-16)</t>
  </si>
  <si>
    <t>COMBINATION OF ANTIBODY-DRUG CONJUGATE AND RASG12C INHIBITOR</t>
  </si>
  <si>
    <t>A61K31/519;;A61K31/553;;A61K39/39558;;A61P35/00;;C07K16/32;;A61K31/519;;A61K47/68037;;A61K47/6851;;A61P35/00</t>
  </si>
  <si>
    <t>A61K31/519;;A61K47/68;;A61P35/00</t>
  </si>
  <si>
    <t>https://lens.org/016-433-929-196-108</t>
  </si>
  <si>
    <t>47</t>
  </si>
  <si>
    <t>141-927-331-532-412</t>
  </si>
  <si>
    <t>US 2025/0152516 A1</t>
  </si>
  <si>
    <t>ASTRAZENECA AB (2022-07-12)</t>
  </si>
  <si>
    <t>COMPRESSIBLE SODIUM CAPRATE FORMULATIONS</t>
  </si>
  <si>
    <t>A61K9/2013;;A61K9/2077;;A61K38/00;;A61K47/12;;A61K9/2013;;A61K9/2018;;A61K9/2054;;A61K9/2095;;A61K31/7088;;A61K38/26;;C12N15/1135;;C12N2310/113</t>
  </si>
  <si>
    <t>A61K9/20;;A61K31/7088;;A61K38/26;;C12N15/113</t>
  </si>
  <si>
    <t>https://lens.org/141-927-331-532-412</t>
  </si>
  <si>
    <t>48</t>
  </si>
  <si>
    <t>123-807-108-211-035</t>
  </si>
  <si>
    <t>US 12291524 B2</t>
  </si>
  <si>
    <t>Amido heteroaromatic compounds</t>
  </si>
  <si>
    <t>C07D413/06;;C07D333/38;;C07D413/12;;C07D413/04;;C07D261/18;;C07D487/04;;C07D471/04;;C07D409/06;;C07D471/08;;C07D493/10;;C07D413/14;;C07D491/10;;C07D417/06;;A61P1/16;;C07D413/06;;C07D413/04;;C07D471/04;;C07D413/12;;C07D491/10;;C07D413/14;;C07D498/10;;A61P1/16;;C07D409/06;;C07D493/10;;C07D261/18;;C07D333/38;;C07D471/08;;C07D417/06;;C07D271/06;;C07D487/04;;C07D413/06;;A61K31/4245;;A61K31/5377;;A61K31/422;;A61P1/16;;C07D413/12;;C07D413/04;;C07D261/18;;C07D487/04;;C07D471/04;;C07D413/14;;C07D409/06;;C07D271/06;;C07D498/10;;C07D491/107;;C07D417/06;;C07D271/06;;C07D409/06;;C07D413/04;;C07D413/06;;C07D413/12;;C07D413/14;;C07D471/04;;C07D487/04;;C07D498/10</t>
  </si>
  <si>
    <t>C07D413/06;;C07D271/06;;C07D409/06;;C07D413/04;;C07D413/12;;C07D413/14;;C07D471/04;;C07D487/04;;C07D498/10</t>
  </si>
  <si>
    <t>https://lens.org/123-807-108-211-035</t>
  </si>
  <si>
    <t>49</t>
  </si>
  <si>
    <t>156-833-288-976-890</t>
  </si>
  <si>
    <t>US 2025/0134887 A1</t>
  </si>
  <si>
    <t>ASTRAZENECA PHARMACEUTICALS LP (2022-08-22);;ASTRAZENECA UK LIMITED (2022-08-23);;ASTRAZENECA AB (2022-08-24)</t>
  </si>
  <si>
    <t>METHODS OF TREATING PROSTATE CANCER</t>
  </si>
  <si>
    <t>A61K31/502;;A61K31/337;;A61K31/4166;;A61K31/573;;A61K31/58;;A61P35/00;;A61P35/04;;A61K31/502;;A61K31/337;;A61K31/4166;;A61K31/573;;A61K31/58;;A61K2300/00;;A61P35/00;;A61P35/04;;A61K31/502;;A61K31/573;;A61K31/58;;A61K2300/00;;A61P35/04;;A61K31/502;;A61K31/573;;A61K31/58;;A61P35/04</t>
  </si>
  <si>
    <t>A61K31/502;;A61K31/573;;A61K31/58;;A61P35/04</t>
  </si>
  <si>
    <t>https://lens.org/156-833-288-976-890</t>
  </si>
  <si>
    <t>50</t>
  </si>
  <si>
    <t>033-317-694-741-076</t>
  </si>
  <si>
    <t>US 2025/0140360 A1</t>
  </si>
  <si>
    <t>ASTRAZENECA UK LIMITED (2016-10-16)</t>
  </si>
  <si>
    <t>SYSTEMS AND METHODS FOR DISPENSING A STATIN MEDICATION OVER THE COUNTER</t>
  </si>
  <si>
    <t>A61K31/505;;G16H10/20;;G16H20/10;;G16H50/30;;G16H20/10;;A61K31/505;;G16H50/30</t>
  </si>
  <si>
    <t>G16H20/10;;A61K31/505;;G16H50/30</t>
  </si>
  <si>
    <t>https://lens.org/033-317-694-741-076</t>
  </si>
  <si>
    <t>51</t>
  </si>
  <si>
    <t>023-807-487-794-131</t>
  </si>
  <si>
    <t>US 2025/0121006 A1</t>
  </si>
  <si>
    <t>ASTRAZENECA PHARMACEUTICALS LP (2024-08-05);;ASTRAZENECA UK LIMITED (2024-08-19);;ASTRAZENECA AB (2024-08-21)</t>
  </si>
  <si>
    <t>THERAPEUTIC COMBINATIONS COMPRISING ANTI-STEAP2 CHIMERIC ANTIGEN RECEPTOR T CELLS</t>
  </si>
  <si>
    <t>A61P35/00;;C07K14/7051;;C07K14/70521;;C07K16/3069;;A61K2239/58;;C07K2319/03;;A61K40/4274;;A61K40/31;;A61K40/11;;A61K31/4166;;A61K40/11;;C07K14/7051;;A61K35/17;;A61P35/00;;A61K31/58;;A61K40/4274;;C07K16/3069;;A61K40/31;;C07K14/71;;A61K40/4274;;A61K40/31;;A61K40/11;;A61K31/4166;;A61K31/58;;A61K45/06;;A61P35/00;;C07K16/3069;;C07K14/7051;;C07K14/71;;A61K2300/00;;A61K2239/58;;C12N2840/203;;A61P35/00;;A61K2239/13;;A61K40/4274;;A61K40/31;;A61K40/11;;A61K31/4166;;A61K31/58;;A61K35/17;;C07K14/7051;;C07K14/71;;C07K16/3069;;C07K2317/565</t>
  </si>
  <si>
    <t>A61K35/17;;A61K31/4166;;A61K31/58;;A61K39/00;;A61P35/00;;C07K14/71;;C07K14/725;;C07K16/30</t>
  </si>
  <si>
    <t>https://lens.org/023-807-487-794-131</t>
  </si>
  <si>
    <t>52</t>
  </si>
  <si>
    <t>059-376-607-369-637</t>
  </si>
  <si>
    <t>US 2025/0121104 A1</t>
  </si>
  <si>
    <t>FUSION PHARMACEUTICALS INC;;ASTRAZENECA UK LTD</t>
  </si>
  <si>
    <t>MEDIMMUNE LIMITED (2022-07-28);;FUSION PHARMACEUTICALS INC (2023-02-14);;ASTRAZENECA PHARMACEUTICALS LP (2022-07-26);;ASTRAZENECA UK LIMITED (2022-08-02);;MEDIMMUNE LLC (2025-05-30)</t>
  </si>
  <si>
    <t>EGFR-CMET-TARGETED COMPOUNDS AND USES THEREOF</t>
  </si>
  <si>
    <t>A61K51/1093;;A61K51/103;;A61K51/109;;A61K51/1096;;C07K16/2863;;C07K2317/31;;C07K2317/33;;C07K2317/35;;C07K2317/52;;C07K2317/77;;C07K2317/92;;A61K51/103;;A61K51/109;;A61K51/1093;;A61K51/1096;;C07K16/2863;;C07K2317/31;;C07K2317/33;;C07K2317/35;;C07K2317/52;;C07K2317/77;;C07K2317/92;;A61K51/1093;;A61K51/103;;A61K51/109;;A61K51/1096;;A61P35/00;;C07K16/2863;;C07K2317/31;;C07K2317/33;;C07K2317/35;;C07K2317/52;;C07K2317/77;;C07K2317/92;;A61K51/1093;;A61K45/06;;A61K51/103;;A61K51/109;;A61K2121/00;;A61P35/00;;C07K16/2863</t>
  </si>
  <si>
    <t>A61K51/10;;A61K45/06;;A61P35/00;;C07K16/28</t>
  </si>
  <si>
    <t>https://lens.org/059-376-607-369-637</t>
  </si>
  <si>
    <t>53</t>
  </si>
  <si>
    <t>026-341-005-250-949</t>
  </si>
  <si>
    <t>EP 4536628 A1</t>
  </si>
  <si>
    <t>SOLID FORMS OF RXFP1 MODULATORS</t>
  </si>
  <si>
    <t>C07C237/52;;A61P9/04;;C07B2200/07;;C07B2200/13;;C07C2601/14;;C07C2602/42</t>
  </si>
  <si>
    <t>C07C237/52;;A61P9/04</t>
  </si>
  <si>
    <t>https://lens.org/026-341-005-250-949</t>
  </si>
  <si>
    <t>54</t>
  </si>
  <si>
    <t>167-619-400-839-127</t>
  </si>
  <si>
    <t>US 2025/0115612 A1</t>
  </si>
  <si>
    <t>CERTAIN 2,5-DIAZABICYCLO[4.2.0]OCTANES AND OCTAHYDROFURO[3,4-B]PYRAZINES AS GLP-1 RECEPTOR MODULATORS</t>
  </si>
  <si>
    <t>C07D401/14;;A61P3/00;;A61P9/00;;C07D405/14;;C07D498/04;;C07D491/048;;A61K31/498;;A61K31/4985;;C07D401/14;;C07D405/14;;C07D413/14</t>
  </si>
  <si>
    <t>C07D491/048;;A61K31/498;;A61K31/4985;;C07D401/14;;C07D405/14;;C07D413/14</t>
  </si>
  <si>
    <t>https://lens.org/167-619-400-839-127</t>
  </si>
  <si>
    <t>55</t>
  </si>
  <si>
    <t>108-068-552-629-26X</t>
  </si>
  <si>
    <t>US 2025/0115660 A1</t>
  </si>
  <si>
    <t>MEDIMMUNE LIMITED (2022-09-02);;ASTRAZENECA UK LIMITED (2022-08-23);;ASTRAZENECA AB (2022-09-08)</t>
  </si>
  <si>
    <t>METHODS OF IMPROVING PROTEIN EXPRESSION</t>
  </si>
  <si>
    <t>C07K16/00;;C07K16/00;;C07K2317/14;;C07K2317/24;;C12N15/85;;C12N2800/22</t>
  </si>
  <si>
    <t>C07K16/00;;C12N15/85</t>
  </si>
  <si>
    <t>https://lens.org/108-068-552-629-26X</t>
  </si>
  <si>
    <t>56</t>
  </si>
  <si>
    <t>173-407-195-662-643</t>
  </si>
  <si>
    <t>US 2025/0115678 A1</t>
  </si>
  <si>
    <t>MEDIMMUNE LIMITED (2025-01-23);;ASTRAZENECA PHARMACEUTICALS LP (2025-03-28);;ASTRAZENECA UK LIMITED (2025-04-10);;ASTRAZENECA AB (2025-04-10);;MEDIMMUNE LLC (2025-02-28)</t>
  </si>
  <si>
    <t>T CELL BINDING COMPOSITIONS AND METHODS</t>
  </si>
  <si>
    <t>C07K16/2887;;C07K16/2815;;C07K16/303;;C07K16/2809;;C07K2317/569;;C07K2317/22;;C07K2317/31;;C07K2317/55;;C07K2317/35;;A61P35/00;;A61P37/06;;A61K2039/505;;C07K2317/92;;C07K2317/24;;C07K2317/52;;C07K2317/33;;C07K16/303;;C07K2317/35;;A61P37/06;;C07K16/2815;;C07K16/30;;C07K2317/52;;C07K2317/92;;C07K2317/73;;C07K16/18;;C07K16/2809;;C07K16/2887;;C07K2317/24;;C07K2317/569;;A61P35/00;;C07K2317/22;;C07K2317/31;;C07K2317/33;;C07K2317/55;;A61K2039/505;;C07K16/2878;;C07K16/28;;C07K16/2887;;C07K16/303;;C07K16/18;;C07K16/2809;;C07K14/7051;;A61P37/02;;A61P35/00;;A61K2039/505;;C07K2317/24;;C07K2317/73;;C07K2317/569;;C07K2317/22;;A61P35/00;;A61K2039/505;;C07K16/18;;C07K16/2809;;C07K16/2887;;C07K16/30;;C07K16/303;;C07K2317/24;;C07K2317/55;;C07K2317/569;;C07K2317/73;;C07K2317/92</t>
  </si>
  <si>
    <t>C07K16/30;;A61K39/00;;A61P35/00;;C07K16/18;;C07K16/28</t>
  </si>
  <si>
    <t>https://lens.org/173-407-195-662-643</t>
  </si>
  <si>
    <t>57</t>
  </si>
  <si>
    <t>196-561-590-030-603</t>
  </si>
  <si>
    <t>US 2025/0108065 A1</t>
  </si>
  <si>
    <t>ASTRAZENECA PHARMACEUTICALS LP (2022-07-14);;ASTRAZENECA UK LIMITED (2022-08-30);;ASTRAZENECA AB (2022-09-08)</t>
  </si>
  <si>
    <t>METHODS OF TREATING PREDIABETES OR REDUCING THE RISK OF DEVELOPING TYPE 2 DIABETES WITH DAPAGLIFLOZIN</t>
  </si>
  <si>
    <t>A61K31/70;;A61K31/351;;A61K31/382;;A61K31/401;;A61K31/41;;A61K31/4178;;A61K31/4184;;A61K31/7042;;A61K31/7048;;A61P3/04;;A61P3/10;;A61P9/00;;A61P9/12;;A61K31/70;;A61K45/06;;A61P3/10;;A61P9/12</t>
  </si>
  <si>
    <t>A61K31/70;;A61K45/06;;A61P3/10;;A61P9/12</t>
  </si>
  <si>
    <t>https://lens.org/196-561-590-030-603</t>
  </si>
  <si>
    <t>58</t>
  </si>
  <si>
    <t>130-175-215-441-734</t>
  </si>
  <si>
    <t>US 2025/0108050 A1</t>
  </si>
  <si>
    <t>ASTRAZENECA UK LIMITED (2015-10-06);;ASTRAZENECA AB (2015-06-17)</t>
  </si>
  <si>
    <t>COMBINATION OF EGFR INHIBITOR AND MEK INHIBITOR FOR USE IN THE TREATMENT OF NRAS MUTATED CANCER</t>
  </si>
  <si>
    <t>A61K31/4184;;A61K31/506;;A61K31/5377;;A61K45/06;;A61K31/4184;;A61K31/506;;A61K31/5377;;A61P11/00;;A61P35/00;;A61P43/00;;A61K31/5377;;A61K31/4184;;A61K31/506;;A61K2300/00;;A61P35/00;;A61K31/4184;;A61K31/506;;A61K48/0058;;A61P35/00;;A61K31/4184;;A61K31/4458;;A61K31/506;;A61K31/517;;A61K31/519;;A61K31/5377</t>
  </si>
  <si>
    <t>A61K31/506;;A61K31/4184;;A61K31/4458;;A61K31/517;;A61K31/519;;A61K31/5377;;A61P35/00</t>
  </si>
  <si>
    <t>https://lens.org/130-175-215-441-734</t>
  </si>
  <si>
    <t>59</t>
  </si>
  <si>
    <t>186-815-879-048-104</t>
  </si>
  <si>
    <t>EP 3506165 B1</t>
  </si>
  <si>
    <t>DEFINIENS GMBH (2020-07-15);;ASTRAZENECA COMPUTATIONAL PATHOLOGY GMBH (2021-12-22)</t>
  </si>
  <si>
    <t>USING A FIRST STAIN TO TRAIN A MODEL TO PREDICT THE REGION STAINED BY A SECOND STAIN</t>
  </si>
  <si>
    <t>G06V20/69;;G06T7/0012;;G06V10/82;;G06N3/084;;G01N1/30;;G06N5/04;;G06N20/10;;G06T5/20;;G06T7/0012;;G06T2207/20081;;G06T2207/30024;;G06V20/69</t>
  </si>
  <si>
    <t>G06V20/69;;G06T7/00;;G06V10/82</t>
  </si>
  <si>
    <t>https://lens.org/186-815-879-048-104</t>
  </si>
  <si>
    <t>60</t>
  </si>
  <si>
    <t>148-441-544-127-183</t>
  </si>
  <si>
    <t>US 12264190 B2</t>
  </si>
  <si>
    <t>ASTRAZENECA PHARMACEUTICALS LP (2020-08-20);;ASTRAZENECA UK LIMITED (2020-08-26);;ASTRAZENECA AB (2020-09-04);;MEDIMMUNE LLC (2025-05-14)</t>
  </si>
  <si>
    <t>Compositions and methods of treating cancer with chimeric antigen receptors</t>
  </si>
  <si>
    <t>C07K16/303;;C07K14/7051;;C07K14/71;;C12N5/0636;;C12N5/0638;;C12N5/0637;;C12N5/0646;;A61P35/00;;C07K2317/622;;C07K2319/03;;C07K2319/02;;C07K2319/33;;C07K2317/565;;C12N2510/00;;A61K40/11;;A61K40/31;;A61K40/421;;A61K2239/13;;A61K2239/21;;A61K2239/17;;A61K2039/844;;C12N5/0636;;C12N2510/00;;C07K14/7051;;C07K2319/03;;C07K14/715;;C07K2319/00;;C07K14/4702;;A61P35/00;;C12N5/0637;;C12N5/0638;;A61K2239/53;;C12N5/0646;;A61K40/11;;A61K40/31;;A61K40/4261;;C07K16/2836;;C07K14/7153;;C07K14/7151;;C07K2317/55;;C07K16/283;;C07K14/4702;;C07K14/71;;C07K2319/32;;C07K16/3092;;C07K14/715;;C07K2317/622;;C07K2319/30;;C12N5/0636;;C07K2319/00;;C07K16/2827;;C07K16/2866;;A61P35/00;;A61K2039/844;;C07K14/70521;;C07K16/3007;;C07K2319/03;;C07K16/32;;A61K38/1774;;C07K16/303;;A61K38/179;;C07K14/7051;;A61K39/3955;;A61K38/177;;C12N2510/00;;A61K45/06;;C07K16/2803;;C07K2317/53;;C07K16/30;;C07K14/70578;;C07K2319/02;;C07K16/2896;;A61K2239/53;;C12N5/0646;;C12N5/0638;;C12N5/0637;;A61K40/11;;A61K40/31;;A61K40/4261;;C07K14/7051;;C07K14/4702;;C07K16/303;;A61P35/00;;C12N2510/00;;A61K2039/844;;A61K2121/00;;A61K2300/00;;A61K40/11;;A61K40/4261;;A61K2039/5156;;A61P35/00;;A61K38/177;;A61K38/1774;;A61K38/179;;A61K39/3955;;A61K45/06;;C07K14/7051;;C07K14/70521;;C07K14/70578;;C07K14/71;;C07K14/7151;;C07K14/7153;;C07K16/2803;;C07K16/2827;;C07K16/283;;C07K16/2836;;C07K16/2866;;C07K16/2896;;C07K16/30;;C07K16/3007;;C07K16/303;;C07K16/3092;;C07K16/32;;C07K2317/53;;C07K2317/55;;C07K2317/622;;C07K2319/02;;C07K2319/03;;C07K2319/30;;C07K2319/32;;A61K2239/21;;C07K14/70567;;C12N5/0637;;A61K2239/53;;C12N5/0636;;C12N5/0638;;C12N5/0646;;A61K40/11;;A61K40/15;;A61K40/31;;A61K40/4261;;A61K35/17;;C07K14/7056</t>
  </si>
  <si>
    <t>C07K14/725;;A61K35/17;;A61K38/17;;A61K39/00;;A61K39/395;;A61K45/06;;A61P35/00;;C07K14/705;;C07K14/71;;C07K14/715;;C07K16/28;;C07K16/30;;C07K16/32;;C12N5/0783</t>
  </si>
  <si>
    <t>https://lens.org/148-441-544-127-183</t>
  </si>
  <si>
    <t>61</t>
  </si>
  <si>
    <t>023-711-929-896-842</t>
  </si>
  <si>
    <t>US 2025/0099580 A1</t>
  </si>
  <si>
    <t>ASTRAZENECA PHARMACEUTICALS LP (2024-05-23);;ASTRAZENECA UK LIMITED (2024-06-04);;ASTRAZENECA AB (2024-06-04)</t>
  </si>
  <si>
    <t>TREATMENT OF GASTRIC CANCER AND/OR GASTROESOPHAGEAL JUNCTION CANCER</t>
  </si>
  <si>
    <t>C07K16/2827;;A61K2039/545;;A61K39/395;;C07K2317/21;;A61P35/00;;A61K31/282;;A61K31/337;;A61K39/3955;;A61K39/395;;C07K2317/21;;A61K2039/505;;A61K31/513;;A61P35/00;;A61K2039/545;;A61K31/519;;C07K16/2827;;A61K39/39558;;A61K31/513;;A61K31/519;;A61K31/555;;A61K31/337;;A61K45/06;;A61P35/00;;C07K16/2827;;A61K2300/00;;A61K2039/505;;A61K2039/545;;A61K31/282;;A61K31/337;;A61K31/513;;A61K31/519;;A61K39/3955;;A61K2039/505;;A61K2039/545</t>
  </si>
  <si>
    <t>A61K39/395;;A61K31/282;;A61K31/337;;A61K31/513;;A61K31/519;;A61K39/00</t>
  </si>
  <si>
    <t>https://lens.org/023-711-929-896-842</t>
  </si>
  <si>
    <t>62</t>
  </si>
  <si>
    <t>174-743-183-680-368</t>
  </si>
  <si>
    <t>US 2025/0082630 A1</t>
  </si>
  <si>
    <t>ASTRAZENECA UK LIMITED (2022-06-28);;ASTRAZENECA AB (2022-07-05)</t>
  </si>
  <si>
    <t>METHODS OF TREATING BRAIN TUMOURS AND NEUROBLASTOMAS</t>
  </si>
  <si>
    <t>A61K31/498;;A61K45/06;;A61K31/495;;A61K31/336;;A61P35/00;;A61K41/0038;;A61K31/498;;A61P35/00;;A61K45/06;;A61K31/495;;A61K31/336;;A61K41/0038;;A61K2300/00;;A61K31/498;;A61K31/495;;A61K31/336;;A61K41/0038;;A61K45/06;;A61P35/00;;A61K2300/00;;A61P35/00;;A61K31/336;;A61K31/4188;;A61K31/498;;A61K41/0038;;A61N5/00</t>
  </si>
  <si>
    <t>A61K31/498;;A61K31/336;;A61K31/4188;;A61K41/00;;A61N5/00;;A61P35/00</t>
  </si>
  <si>
    <t>https://lens.org/174-743-183-680-368</t>
  </si>
  <si>
    <t>63</t>
  </si>
  <si>
    <t>009-254-099-673-253</t>
  </si>
  <si>
    <t>US 12240832 B2</t>
  </si>
  <si>
    <t>ASTRAZENECA AB (2022-07-02)</t>
  </si>
  <si>
    <t>IRAK4 inhibitors</t>
  </si>
  <si>
    <t>C07D401/14;;C07D401/12;;C07D413/14;;A61P35/00;;C07D405/14;;C07D401/14;;C07D401/12;;C07D405/14;;A61P35/00;;C07D413/14;;C07D401/12;;A61K31/4439;;A61K31/501;;A61P29/00;;A61P37/00;;A61P35/00;;C07D405/14;;C07D401/14;;C07D413/14;;A61K31/4439;;A61K31/444;;A61K31/501;;C07D401/12;;C07D401/14;;C07D405/14;;C07D413/14</t>
  </si>
  <si>
    <t>C07D401/14;;A61K31/4439;;A61K31/444;;A61K31/501;;C07D401/12;;C07D405/14;;C07D413/14</t>
  </si>
  <si>
    <t>https://lens.org/009-254-099-673-253</t>
  </si>
  <si>
    <t>64</t>
  </si>
  <si>
    <t>178-230-520-595-490</t>
  </si>
  <si>
    <t>US 2025/0064967 A1</t>
  </si>
  <si>
    <t>DAIICHI SANKYO COMPANY LIMITED (2022-12-13);;ASTRAZENECA PHARMACEUTICALS LP (2022-12-06);;ASTRAZENECA UK LIMITED (2022-12-13)</t>
  </si>
  <si>
    <t>COMBINATION OF ANTIBODY-DRUG CONJUGATE AND ATR INHIBITOR</t>
  </si>
  <si>
    <t>A61K47/6851;;A61K39/39558;;A61K47/68037;;A61K2039/505;;A61K2039/545;;A61P35/00;;C07K16/30;;C07K2317/73;;A61K47/6851;;A61K39/39558;;A61K47/68037;;A61K2039/505;;A61K2039/545;;A61K2300/00;;A61P35/00;;C07K16/30;;C07K2317/73;;A61K47/6803;;A61K39/39558;;A61K47/6851;;A61K2039/505;;A61K2039/545;;A61P35/00;;C07K16/30;;C07K2317/73;;A61K47/6851;;A61K31/5377;;A61K47/68037;;A61K47/6889;;A61P35/00</t>
  </si>
  <si>
    <t>A61K47/68;;A61K31/5377;;A61P35/00</t>
  </si>
  <si>
    <t>https://lens.org/178-230-520-595-490</t>
  </si>
  <si>
    <t>65</t>
  </si>
  <si>
    <t>016-189-657-363-133</t>
  </si>
  <si>
    <t>US 2025/0064944 A1</t>
  </si>
  <si>
    <t>ASTRAZENECA AB (2025-01-27)</t>
  </si>
  <si>
    <t>MULTIVALENT CARGO-CARRYING COMPLEXES AND USES THEREOF</t>
  </si>
  <si>
    <t>A61K47/549;;A61P1/16;;A61K47/548;;A61K47/549;;C12N15/113;;C12N2310/11;;C12N2310/14;;C12N2310/3511</t>
  </si>
  <si>
    <t>A61K47/54;;C12N15/113</t>
  </si>
  <si>
    <t>https://lens.org/016-189-657-363-133</t>
  </si>
  <si>
    <t>66</t>
  </si>
  <si>
    <t>182-223-093-654-300</t>
  </si>
  <si>
    <t>US 2025/0066338 A1</t>
  </si>
  <si>
    <t>CERTAIN 3-AZABICYCLO[3.1.0]HEXANES AS GLP-1 RECEPTOR MODULATORS</t>
  </si>
  <si>
    <t>C07D405/14;;A61P3/10;;C07D401/14;;C07D405/14;;A61K31/4439</t>
  </si>
  <si>
    <t>C07D405/14;;A61K31/4439</t>
  </si>
  <si>
    <t>https://lens.org/182-223-093-654-300</t>
  </si>
  <si>
    <t>67</t>
  </si>
  <si>
    <t>058-370-805-912-983</t>
  </si>
  <si>
    <t>US 2025/0057764 A1</t>
  </si>
  <si>
    <t>ASTRAZENECA PHARMACEUTICALS LP (2022-09-20);;ASTRAZENECA UK LIMITED (2022-11-28);;ASTRAZENECA AB (2022-12-01)</t>
  </si>
  <si>
    <t>COMPOSITIONS, METHODS AND SYSTEMS FOR AEROSOL DRUG DELIVERY</t>
  </si>
  <si>
    <t>A61K9/008;;A61K9/124;;A61K31/137;;A61K31/167;;A61K31/40;;A61K31/44;;A61K31/58;;A61K45/06;;A61K47/06;;A61K47/24;;A61P11/06;;A61P11/08;;A61K9/124;;A61K9/008;;A61K31/137;;A61K31/167;;A61K31/40;;A61K31/44;;A61K31/58;;A61K47/06;;A61K47/24</t>
  </si>
  <si>
    <t>A61K9/12;;A61K9/00;;A61K31/137;;A61K31/167;;A61K31/40;;A61K31/44;;A61K31/58;;A61K47/06;;A61K47/24</t>
  </si>
  <si>
    <t>https://lens.org/058-370-805-912-983</t>
  </si>
  <si>
    <t>68</t>
  </si>
  <si>
    <t>068-972-311-459-198</t>
  </si>
  <si>
    <t>US 2025/0051463 A1</t>
  </si>
  <si>
    <t>ASTRAZENECA PHARMACEUTICALS LP (2024-04-22);;ASTRAZENECA AB (2023-11-16);;ASTRAZENECA UK LIMITED (2024-05-01);;MEDIMMUNE LLC (2024-04-22)</t>
  </si>
  <si>
    <t>CD123 ANTIBODY-DRUG CONJUGATES AND METHODS OF USING THE SAME</t>
  </si>
  <si>
    <t>C07K16/2866;;C07K2317/92;;A61K2039/505;;C07K2317/76;;C07K2317/21;;C07K2317/94;;C07K2317/77;;C07K16/4208;;A61K39/395;;A61P35/00;;A61K47/68037;;A61K47/6849;;A61K47/6889;;A61K38/00;;A61K31/7068;;A61K31/635;;A61K45/06;;G01N33/575;;C07K16/2866;;C07K2317/77;;C07K2317/569;;A61K39/395;;C07K2317/622;;C07K2317/94;;C07K2317/76;;A61K31/706;;A61K31/7068;;C07K2317/21;;A61K47/6889;;A61K2300/00;;A61K31/635;;A61K47/6849;;G01N33/575;;A61P35/02;;A61K45/06;;C07K2317/92;;A61P35/00;;A61K47/68037;;A61K2039/505;;A61K38/00;;C07K16/4208;;C07K16/2866;;A61K47/6849;;A61K47/68037;;A61K47/6889;;A61K31/635;;A61K31/706;;A61K45/06;;A61P35/00;;A61P35/02;;C07K2317/622;;C07K2317/21;;C07K2317/77;;C07K2317/76;;A61K2300/00;;A61K47/6889;;A61K47/6849;;A61P35/02;;A61K47/68037;;A61K31/635;;A61K31/706;;C07K16/2866;;C07K2317/569;;C07K2317/622</t>
  </si>
  <si>
    <t>C07K16/28;;A61K31/635;;A61K31/706;;A61K47/68;;A61P35/02</t>
  </si>
  <si>
    <t>https://lens.org/068-972-311-459-198</t>
  </si>
  <si>
    <t>69</t>
  </si>
  <si>
    <t>071-442-952-185-780</t>
  </si>
  <si>
    <t>US 2025/0041400 A1</t>
  </si>
  <si>
    <t>ASTRAZENECA PHARMACEUTICALS LP (2023-10-25);;ASTRAZENECA UK LIMITED (2023-10-25);;ASTRAZENECA AB (2023-11-14)</t>
  </si>
  <si>
    <t>RSV VACCINE</t>
  </si>
  <si>
    <t>A61K39/12;;C07K2319/61;;C07K2319/70;;C07K2319/735;;A61K2039/53;;A61K2039/55516;;C12N2760/18534;;A61P31/14;;A61K2039/6075;;A61K2039/55555;;A61K39/155;;A61K39/12;;A61K2039/53;;C07K2319/70;;C12N7/00;;A61K2039/6075;;C07K2319/735;;A61P31/14;;C12N2760/18534;;C07K2319/61;;A61K2039/55555;;C12N2760/18551;;A61K9/127;;A61K2039/55516;;A61K9/5123;;A61P31/14;;A61K9/127;;A61K9/5123;;A61K39/155;;A61K2039/53;;A61K2039/55555;;C12N7/00;;C12N2760/18534;;C12N2760/18551</t>
  </si>
  <si>
    <t>A61K39/155;;A61K9/127;;A61K9/51;;A61K39/00;;A61P31/14;;C12N7/00</t>
  </si>
  <si>
    <t>https://lens.org/071-442-952-185-780</t>
  </si>
  <si>
    <t>70</t>
  </si>
  <si>
    <t>080-632-938-761-327</t>
  </si>
  <si>
    <t>US 2025/0042882 A1</t>
  </si>
  <si>
    <t>C07D405/14;;A61P3/10;;C07D405/14;;A61K31/4184;;A61K31/4439</t>
  </si>
  <si>
    <t>C07D405/14;;A61K31/4184;;A61K31/4439</t>
  </si>
  <si>
    <t>https://lens.org/080-632-938-761-327</t>
  </si>
  <si>
    <t>71</t>
  </si>
  <si>
    <t>193-237-676-616-337</t>
  </si>
  <si>
    <t>US 2025/0034562 A1</t>
  </si>
  <si>
    <t>ASTRAZENECA AB (2017-11-16);;ASTRAZENECA UK LIMITED (2018-11-16)</t>
  </si>
  <si>
    <t>COMPOSITIONS AND METHODS FOR IMPROVING THE EFFICACY OF CAS9-BASED KNOCK-IN STRATEGIES</t>
  </si>
  <si>
    <t>C12N9/22;;C12N15/113;;C12Y301/21004;;C12N2310/20;;C12N9/22;;C12N15/102;;C12N15/113;;C07K2319/80;;C12Q2521/301;;C12Y301/21004;;C12N2310/20;;C12N2310/20;;C12N9/22;;C12N15/102;;C12N15/113;;C12N2800/22;;C12N2800/24;;C12N2810/40</t>
  </si>
  <si>
    <t>C12N15/113;;C12N9/22;;C12N15/10</t>
  </si>
  <si>
    <t>https://lens.org/193-237-676-616-337</t>
  </si>
  <si>
    <t>72</t>
  </si>
  <si>
    <t>051-619-645-838-185</t>
  </si>
  <si>
    <t>US 2025/0025568 A1</t>
  </si>
  <si>
    <t>DAIICHI SANKYO COMPANY LIMITED (2022-11-09);;ASTRAZENECA PHARMACEUTICALS LP (2022-10-21);;ASTRAZENECA UK LIMITED (2022-11-09)</t>
  </si>
  <si>
    <t>COMBINATION OF ANTIBODY-DRUG CONJUGATE AND PARP1 SELECTIVE INHIBITOR</t>
  </si>
  <si>
    <t>A61K31/496;;A61K39/395;;A61P35/00;;A61K45/06;;A61K47/6849;;A61K47/6855;;A61K47/6857;;C07K16/30;;A61K47/68037;;A61P35/00;;A61K39/395;;A61K47/6857;;A61K2300/00;;A61K31/496;;A61K47/6855;;A61K47/6849;;C07K16/30;;A61K45/06;;A61K47/68037;;A61K31/496;;A61K47/68037;;A61K47/6849;;A61K47/6855;;A61K47/6857;;A61K45/06;;A61P35/00;;C07K16/30;;A61K2300/00;;A61K47/68037;;A61P35/00;;A61K47/6851;;A61K31/496;;C07K16/30</t>
  </si>
  <si>
    <t>A61K47/68;;A61K31/496;;A61P35/00;;C07K16/30</t>
  </si>
  <si>
    <t>https://lens.org/051-619-645-838-185</t>
  </si>
  <si>
    <t>73</t>
  </si>
  <si>
    <t>128-913-067-251-671</t>
  </si>
  <si>
    <t>US 12201638 B2</t>
  </si>
  <si>
    <t>ASTRAZENECA AB (2018-12-07)</t>
  </si>
  <si>
    <t>Pharmaceutical compositions comprising (2S)-n-{(1S)-1-cyano-2-[4-(3-methyl-2-oxo-2,3-dihydro-1,3-benzoxazol-5-yl)phenyl]ethyl}-1,4-oxazepane-2-carboxamide</t>
  </si>
  <si>
    <t>A61K31/553;;A61P11/00;;A61P11/06;;A61P9/14;;A61K31/553;;A61P11/06;;A61K31/553;;A61K9/2013;;A61K9/2054;;A61K9/2059;;A61P11/00;;A61P11/06;;A61K9/2009;;A61K45/06;;A61K9/2009;;A61K9/2013;;A61K9/2054;;A61K9/2059;;A61K31/553;;A61K31/675;;A61K45/06;;C07K16/241;;C07K16/2887</t>
  </si>
  <si>
    <t>A61K31/553;;A61K9/20;;A61K31/675;;A61K45/06;;A61P11/00;;A61P11/06;;C07K16/24;;C07K16/28</t>
  </si>
  <si>
    <t>https://lens.org/128-913-067-251-671</t>
  </si>
  <si>
    <t>74</t>
  </si>
  <si>
    <t>023-502-818-314-941</t>
  </si>
  <si>
    <t>US 2025/0019666 A1</t>
  </si>
  <si>
    <t>ASTRAZENECA UK LIMITED (2022-02-02);;MEDIMMUNE LLC (2022-01-25)</t>
  </si>
  <si>
    <t>METHODS OF PURIFYING ADENOVIRUS</t>
  </si>
  <si>
    <t>C12N15/86;;C12N2770/20022;;C12N2710/10343;;C12N2710/10351;;A61K39/00;;C12N15/86;;A61K39/00;;B01D15/125;;B01D15/363;;C12N2710/10051;;B01D15/1871;;C12N2770/20022;;C12N7/02;;C12N2710/10351;;C12N2710/10343;;C12N7/00;;B01D15/125;;B01D15/363;;B01D15/1871;;B01D61/147;;B01D71/68;;A61K39/235;;C12N2710/10351;;B01D15/125;;B01D15/1871;;B01D15/363;;C12N7/02;;C12N2710/10051;;C12N2710/10351;;A61K39/00;;C07K14/005;;C12N7/00;;C12N2710/10022</t>
  </si>
  <si>
    <t>C12N7/00;;B01D15/12;;B01D15/18;;B01D15/36;;C07K14/005</t>
  </si>
  <si>
    <t>https://lens.org/023-502-818-314-941</t>
  </si>
  <si>
    <t>75</t>
  </si>
  <si>
    <t>067-556-567-910-625</t>
  </si>
  <si>
    <t>US 2025/0002590 A1</t>
  </si>
  <si>
    <t>ASTRAZENECA PHARMACEUTICALS LP (2022-09-28);;ASTRAZENECA UK LIMITED (2022-10-24);;ASTRAZENECA AB (2022-08-18);;MEDIMMUNE LLC (2022-09-26)</t>
  </si>
  <si>
    <t>TREATMENT OF LUPUS NEPHRITIS WITH ANTI-TYPE I INF RECEPTOR ANTIBODY ANIFROLUMAB</t>
  </si>
  <si>
    <t>C07K16/2866;;A61K2039/54;;A61K2039/545;;A61M5/142;;A61M5/20;;A61P29/00;;C07K2317/21;;C07K2317/76;;G01N33/564;;G01N2800/104;;G01N2800/347;;G01N2800/52;;C07K16/2866;;A61K9/0019;;A61K2039/505;;A61K2039/54;;A61K2039/545;;A61M5/142;;A61M5/20;;A61P13/12;;A61P29/00;;A61P37/00;;A61P37/06;;C07K2317/21;;C07K2317/565;;C07K2317/76;;G01N33/564;;G01N33/6893;;G01N2333/775;;G01N2333/79;;G01N2800/104;;G01N2800/347;;G01N2800/52;;C07K16/2866;;A61K2039/54;;A61K2039/545;;A61M5/142;;A61M5/20;;A61P29/00;;A61P37/00;;C07K2317/21;;C07K2317/76;;G01N33/564;;G01N2800/347;;G01N2800/52;;C07K16/2866;;A61K9/0019;;A61K2039/505;;A61K2039/54;;A61K2039/545;;A61P13/12;;A61P37/00;;A61P37/06;;C07K2317/565;;G01N33/6893;;G01N2333/775;;G01N2333/79</t>
  </si>
  <si>
    <t>C07K16/28;;A61K9/00;;A61K39/00;;A61P13/12;;A61P37/06;;G01N33/68</t>
  </si>
  <si>
    <t>https://lens.org/067-556-567-910-625</t>
  </si>
  <si>
    <t>76</t>
  </si>
  <si>
    <t>119-809-905-091-94X</t>
  </si>
  <si>
    <t>US 2025/0002589 A1</t>
  </si>
  <si>
    <t>ASTRAZENECA PHARMACEUTICALS LP (2023-01-18);;ASTRAZENECA AB (2022-07-20);;ASTRAZENECA UK LIMITED (2023-03-13);;MEDIMMUNE LLC (2023-02-22)</t>
  </si>
  <si>
    <t>TREATMENT OF CUTANEOUS LUPUS ERYTHEMATOUS</t>
  </si>
  <si>
    <t>C07K16/2866;;A61K2039/505;;C07K2317/76;;A61P37/06;;A61M5/002;;A61M5/20;;C07K16/2866;;A61K2039/505;;C07K2317/76;;A61P37/06;;A61M5/20;;A61M5/002;;C07K16/2866;;A61P37/00;;A61P37/06;;A61M5/002;;A61M5/20;;A61K2039/505;;A61K2039/54;;A61K2039/545;;C07K2317/76;;A61P37/06;;A61K9/0019;;A61K47/183;;A61K2039/505;;A61K2039/54;;A61K2039/545;;C07K16/2866</t>
  </si>
  <si>
    <t>C07K16/28;;A61K9/00;;A61K39/00;;A61K47/18;;A61P37/06</t>
  </si>
  <si>
    <t>https://lens.org/119-809-905-091-94X</t>
  </si>
  <si>
    <t>77</t>
  </si>
  <si>
    <t>022-139-112-434-191</t>
  </si>
  <si>
    <t>US 2024/0426826 A1</t>
  </si>
  <si>
    <t>DAIICHI SANKYO COMPANY LIMITED (2021-08-31);;ASTRAZENECA UK LIMITED (2021-08-31);;ASTRAZENECA COMPUTATIONAL PATHOLOGY GMBH (2021-08-03)</t>
  </si>
  <si>
    <t>A Scoring Method for an Anti-HER2 Antibody-Drug Conjugate Therapy</t>
  </si>
  <si>
    <t>G06V20/698;;G06V10/454;;G06V10/751;;G06F18/24133;;G06V20/698;;G06V10/751;;G06V10/454;;G06F18/24133;;G06V20/69;;G06V10/454;;C07K16/32;;G06V2201/03;;G01N2800/52;;A61K47/68037;;G01N33/5759;;A61K47/6803;;G06V10/751;;G06V2201/03;;G06F18/24133;;C07K16/32;;G01N2800/52;;G01N33/5759</t>
  </si>
  <si>
    <t>G01N33/574;;A61K47/68;;C07K16/32;;G06F18/2413;;G06V10/75</t>
  </si>
  <si>
    <t>https://lens.org/022-139-112-434-191</t>
  </si>
  <si>
    <t>78</t>
  </si>
  <si>
    <t>076-767-337-560-427</t>
  </si>
  <si>
    <t>US 2024/0423978 A1</t>
  </si>
  <si>
    <t>ASTRAZENECA UK LIMITED (2022-11-03);;ASTRAZENECA AB (2022-11-11)</t>
  </si>
  <si>
    <t>EGFR TKIs FOR USE IN THE TREATMENT OF NON-SMALL LUNG CANCER</t>
  </si>
  <si>
    <t>A61K31/506;;A61K31/517;;A61K31/4155;;A61K31/519;;A61P35/00;;A61K31/506;;A61P35/00;;A61K31/4155;;A61K31/519;;A61K31/517;;A61K31/506;;A61K31/444;;A61K31/517;;A61K31/519;;A61P35/00;;A61P35/00;;A61K31/506</t>
  </si>
  <si>
    <t>A61K31/506;;A61P35/00</t>
  </si>
  <si>
    <t>https://lens.org/076-767-337-560-427</t>
  </si>
  <si>
    <t>79</t>
  </si>
  <si>
    <t>022-851-010-743-443</t>
  </si>
  <si>
    <t>US 2024/0425476 A1</t>
  </si>
  <si>
    <t>ASTRAZENECA INDIA PRIVATE LIMITED (2012-08-22);;ASTRAZENECA PHARMACEUTICALS LP (2013-11-21);;ASTRAZENECA UK LIMITED (2013-11-28);;ASTRAZENECA AB (2012-08-30)</t>
  </si>
  <si>
    <t>2-(2,4,5-SUBSTITUTED-ANILINO)PYRIMIDINE COMPOUNDS</t>
  </si>
  <si>
    <t>C07D471/04;;C07D401/14;;C07D403/04;;C07D403/14;;C07D487/10;;C07D519/00;;C07D403/04;;A61P35/00;;C07D401/04;;C07D401/14;;C07D403/04;;C07D471/04;;C07D487/10;;C07D471/04;;A61K31/437;;C07D403/04;;C07D401/04;;A61P35/00;;C07D401/02;;C07D401/14;;C07D403/04;;C07D471/04;;C07D487/10</t>
  </si>
  <si>
    <t>C07D401/04;;A61P35/00;;C07D401/02;;C07D401/14;;C07D403/04;;C07D471/04;;C07D487/10</t>
  </si>
  <si>
    <t>https://lens.org/022-851-010-743-443</t>
  </si>
  <si>
    <t>80</t>
  </si>
  <si>
    <t>134-235-291-243-294</t>
  </si>
  <si>
    <t>US 2024/0417393 A1</t>
  </si>
  <si>
    <t>CERTAIN 2,5-DIAZABICYCLO[4.2.0]OCTANES AS GLP-1 RECEPTOR MODULATORS</t>
  </si>
  <si>
    <t>C07D405/14;;A61P3/00;;A61P9/00;;C07D405/14;;A61K31/498;;A61P3/10;;A61P9/00;;C07D405/14;;A61K31/498</t>
  </si>
  <si>
    <t>C07D405/14;;A61K31/498</t>
  </si>
  <si>
    <t>https://lens.org/134-235-291-243-294</t>
  </si>
  <si>
    <t>81</t>
  </si>
  <si>
    <t>185-085-521-249-202</t>
  </si>
  <si>
    <t>US 2024/0408220 A1</t>
  </si>
  <si>
    <t>ASTRAZENECA PHARMACEUTICALS LP (2022-09-20);;ASTRAZENECA AB (2022-02-18);;ASTRAZENECA UK LIMITED (2022-10-03);;MEDIMMUNE LLC (2022-02-10)</t>
  </si>
  <si>
    <t>PEPTIDE DENDRONS AND METHODS OF USE THEREOF</t>
  </si>
  <si>
    <t>A61K47/6929;;A61K47/554;;A61K47/6455;;A61P31/16;;A61P35/00;;A61K47/6929;;A61K47/554;;A61K47/6455;;A61P31/16;;A61P35/00;;A61K47/6455;;A61K47/554;;A61K47/6929;;A61P31/16;;A61P35/00;;A61K47/6455;;A61K47/183;;A61K47/543;;A61K47/6929;;A61P35/00</t>
  </si>
  <si>
    <t>A61K47/64;;A61K47/18;;A61K47/54;;A61K47/69;;A61P35/00</t>
  </si>
  <si>
    <t>https://lens.org/185-085-521-249-202</t>
  </si>
  <si>
    <t>82</t>
  </si>
  <si>
    <t>067-532-423-134-421</t>
  </si>
  <si>
    <t>US 2024/0409963 A1</t>
  </si>
  <si>
    <t>ASTRAZENECA AB (2022-03-29)</t>
  </si>
  <si>
    <t>Use of Inhibitors to Increase Efficiency of Crispr/CAS Insertions</t>
  </si>
  <si>
    <t>C12N15/102;;C07K14/47;;C12N9/22;;C12N15/1138;;C12N15/907;;C12N2310/20;;C12N15/907;;C12N9/22;;C12N15/111;;C12N2310/20;;C12N2800/80</t>
  </si>
  <si>
    <t>C12N15/90;;C12N9/22;;C12N15/11</t>
  </si>
  <si>
    <t>https://lens.org/067-532-423-134-421</t>
  </si>
  <si>
    <t>83</t>
  </si>
  <si>
    <t>137-985-434-108-666</t>
  </si>
  <si>
    <t>US 2024/0409626 A1</t>
  </si>
  <si>
    <t>ASTRAZENECA PHARMACEUTICALS LP (2020-02-04);;ASTRAZENECA UK LIMITED (2020-02-04);;ASTRAZENECA AB (2020-11-02)</t>
  </si>
  <si>
    <t>METHODS FOR TREATING CHRONIC OBSTRUCTIVE PULMONARY DISEASE IN AN ENHANCED PATIENT POPULATION USING BENRALIZUMAB</t>
  </si>
  <si>
    <t>A61K45/06;;A61K39/3955;;A61P11/00;;A61K45/06;;A61K39/3955;;A61K2039/505;;A61K2039/545;;A61P11/00;;C07K16/2866;;C07K2317/24;;C07K2317/76;;A61K45/06;;A61K39/3955;;A61K2039/505;;A61K2039/545;;A61K2300/00;;A61P11/00;;C07K16/244;;C07K16/2866;;C07K2317/24;;C07K2317/76;;C07K16/2866;;A61K45/06;;A61K2039/505;;A61K2039/545;;A61K2300/00;;A61P11/00;;C07K2317/24;;C07K2317/76;;C07K16/244;;A61P11/00</t>
  </si>
  <si>
    <t>C07K16/24;;A61P11/00</t>
  </si>
  <si>
    <t>https://lens.org/137-985-434-108-666</t>
  </si>
  <si>
    <t>84</t>
  </si>
  <si>
    <t>044-776-698-513-371</t>
  </si>
  <si>
    <t>US 2024/0398774 A1</t>
  </si>
  <si>
    <t>ASTRAZENECA PHARMACEUTICALS LP (2022-03-15);;ASTRAZENECA UK LIMITED (2022-03-16);;ASTRAZENECA AB (2022-03-23)</t>
  </si>
  <si>
    <t>METHODS OF TREATING INFLAMMATORY DISEASES WITH A SELECTIVE GLUCOCORTICOID RECEPTOR MODULATOR</t>
  </si>
  <si>
    <t>A61K31/4439;;A61P3/10;;A61P29/00;;A61K31/4439;;A61P3/10;;A61P29/00</t>
  </si>
  <si>
    <t>A61K31/4439;;A61P3/10;;A61P29/00</t>
  </si>
  <si>
    <t>https://lens.org/044-776-698-513-371</t>
  </si>
  <si>
    <t>85</t>
  </si>
  <si>
    <t>101-747-417-317-095</t>
  </si>
  <si>
    <t>US 2024/0400699 A1</t>
  </si>
  <si>
    <t>ASTRAZENECA PHARMACEUTICALS LP (2022-07-07);;ASTRAZENECA AB (2022-07-08);;ASTRAZENECA UK LIMITED (2022-10-24);;MEDIMMUNE LLC (2022-09-26)</t>
  </si>
  <si>
    <t>ANTI-IFNAR1 DOSING REGIME FOR SUBCUTANEOUS INJECTION</t>
  </si>
  <si>
    <t>A61K39/3955;;A61K9/0019;;A61P37/02;;A61P21/00;;A61K2039/505;;C07K16/2866;;A61K39/39591;;A61K2039/505;;A61K2039/54;;A61K2039/545;;C07K16/2866;;A61K2039/54;;A61K2039/545;;A61K39/39591;;A61K2039/505;;A61P43/00;;A61K39/39591;;A61K9/0019;;C07K16/2866;;A61K2039/505;;A61K2039/54;;A61K2039/545;;C07K2317/92;;A61P37/00;;A61P29/00;;A61P43/00;;A61K2039/505;;C07K16/2866;;A61P37/06;;A61K2039/54;;A61K2039/545;;C07K2317/21;;C07K2317/565;;C07K2317/92</t>
  </si>
  <si>
    <t>C07K16/28;;A61K39/00;;A61P37/06;;A61P43/00</t>
  </si>
  <si>
    <t>https://lens.org/101-747-417-317-095</t>
  </si>
  <si>
    <t>86</t>
  </si>
  <si>
    <t>190-850-076-807-988</t>
  </si>
  <si>
    <t>US 2024/0400550 A1</t>
  </si>
  <si>
    <t>ASTRAZENECA AB;;EOLAS THERAPEUTICS INC</t>
  </si>
  <si>
    <t>EOLAS THERAPEUTICS INC (2017-03-01);;MEDIMMUNE LIMITED (2017-03-03);;ASTRAZENECA PHARMACEUTICALS LP (2017-03-01);;ASTRAZENECA UK LIMITED (2017-04-07);;ASTRAZENECA AB (2017-04-07)</t>
  </si>
  <si>
    <t>HALO-SUBSTITUTED PIPERIDINES AS OREXIN RECEPTOR MODULATORS</t>
  </si>
  <si>
    <t>A61K31/445;;A61K31/497;;A61K31/506;;A61K31/53;;A61P1/04;;A61P1/12;;A61P3/04;;A61P9/12;;A61P13/12;;A61P15/00;;A61P25/06;;A61P25/08;;A61P25/16;;A61P25/18;;A61P25/20;;A61P25/24;;A61P25/28;;A61P25/32;;A61P25/36;;A61P29/00;;A61P35/00;;A61P37/00;;C07D401/14;;C07D403/14;;C07D405/14;;C07D409/14;;C07D413/14;;C07D417/14;;C07D401/14;;C07D413/14;;C07D409/14;;C07D417/14;;A61P25/34;;A61K31/445;;A61K31/497;;A61K31/506;;A61K31/53;;A61P25/34;;C07D401/14;;C07D409/14;;C07D413/14;;C07D417/14;;A61K31/445;;A61K31/497;;A61K31/506;;A61K31/53;;C07D401/14;;C07D409/14;;C07D413/14;;C07D417/14;;C07D401/14;;C07D409/14;;C07D413/14;;C07D417/14;;A61P25/34</t>
  </si>
  <si>
    <t>C07D417/14;;A61P25/34;;C07D401/14;;C07D409/14;;C07D413/14</t>
  </si>
  <si>
    <t>https://lens.org/190-850-076-807-988</t>
  </si>
  <si>
    <t>87</t>
  </si>
  <si>
    <t>112-586-548-896-140</t>
  </si>
  <si>
    <t>US 2024/0390612 A1</t>
  </si>
  <si>
    <t>ASTRAZENECA AB (2022-01-31);;TTP PLC (2022-01-31)</t>
  </si>
  <si>
    <t>Devices and a System for Detection and Analysis of Inhaler Use</t>
  </si>
  <si>
    <t>A61M15/008;;A61M15/007;;A61M15/009;;A61M2016/0027;;A61M2016/0036;;A61M2205/332;;A61M2205/3334;;A61M2205/3375;;A61M2205/3561;;A61M2205/3592;;A61M2205/505;;A61M2205/583;;A61M2205/8206;;G06N20/00;;A61M15/008;;A61M15/0028;;A61M15/009;;A61M2202/0007;;A61M2205/3303;;A61M2205/3327;;A61M2205/3331;;A61M2205/3375;;A61M2205/3561;;A61M2205/3592;;A61M2205/502;;A61M2205/583;;A61M2205/8206;;A61M2209/00;;A61M2230/40;;G16H20/13</t>
  </si>
  <si>
    <t>A61M15/00;;G16H20/13</t>
  </si>
  <si>
    <t>https://lens.org/112-586-548-896-140</t>
  </si>
  <si>
    <t>88</t>
  </si>
  <si>
    <t>020-162-816-178-600</t>
  </si>
  <si>
    <t>US 2024/0384246 A1</t>
  </si>
  <si>
    <t>ASTRAZENECA AB (2024-04-29)</t>
  </si>
  <si>
    <t>CA S9 EFFECTOR PROTEINS WITH ENHANCED STABILITY</t>
  </si>
  <si>
    <t>C12N9/22;;C07K2319/09;;C12N9/22;;C07K2319/09;;C12N15/11;;C12N15/907;;C12N2310/20</t>
  </si>
  <si>
    <t>C12N9/22;;C12N15/11;;C12N15/90</t>
  </si>
  <si>
    <t>https://lens.org/020-162-816-178-600</t>
  </si>
  <si>
    <t>89</t>
  </si>
  <si>
    <t>173-870-152-129-990</t>
  </si>
  <si>
    <t>US 2024/0383895 A1</t>
  </si>
  <si>
    <t>ASTRAZENECA PHARMACEUTICALS LP (2017-11-17);;ASTRAZENECA UK LIMITED (2017-12-20);;ASTRAZENECA AB (2017-12-20)</t>
  </si>
  <si>
    <t>CHEMICAL COMPOUNDS</t>
  </si>
  <si>
    <t>C07D471/04;;A61K31/497;;A61K45/06;;A61K31/4745;;A61K31/4738;;A61P35/00;;A61P43/00;;A61K31/4745;;A61K31/497;;C07D471/04;;A61P35/00;;A61P43/00;;A61K31/4745;;A61K31/497;;A61K45/06;;A61P35/00;;A61P43/00;;C07D471/04;;A61P35/00;;A61K31/4745;;A61K31/497;;A61K45/06;;C07D471/04;;A61K31/4745;;A61K31/497;;A61K45/06;;C07D471/04</t>
  </si>
  <si>
    <t>C07D471/04;;A61K31/4745;;A61K31/497;;A61K45/06</t>
  </si>
  <si>
    <t>https://lens.org/173-870-152-129-990</t>
  </si>
  <si>
    <t>90</t>
  </si>
  <si>
    <t>053-749-109-395-999</t>
  </si>
  <si>
    <t>US 2024/0376206 A1</t>
  </si>
  <si>
    <t>ASTRAZENECA PHARMACEUTICALS LP (2020-06-22);;ASTRAZENECA UK LIMITED (2020-07-31);;ASTRAZENECA AB (2020-08-03)</t>
  </si>
  <si>
    <t>COMPOSITIONS AND METHODS FOR TREATING LATE STAGE LUNG CANCER</t>
  </si>
  <si>
    <t>C07K16/2827;;C07K16/3023;;C07K16/32;;A61K31/555;;A61K31/7048;;A61K33/243;;A61K39/3955;;A61K39/39558;;A61K45/06;;A61P35/00;;A61P35/04;;A61K31/282;;A61P11/00;;C07K16/2827;;A61K33/243;;C07K16/3023;;A61K31/282;;A61K39/3955;;A61K39/39558;;C07K16/2818;;A61P11/00;;A61K2300/00;;A61P35/04;;A61P35/00;;A61K45/06;;A61K31/555;;C07K16/32;;A61K9/0019;;A61K31/7048;;A61K39/3955;;A61K39/39558;;A61K31/365;;A61K33/243;;A61K31/555;;A61K45/06;;A61P35/00;;C07K16/2827;;C07K16/3023;;C07K16/32;;A61K2300/00;;A61K2039/545;;A61P35/00;;A61K33/243;;A61K9/0019;;A61K31/555;;A61K31/7048;;C07K16/2818;;C07K16/2827</t>
  </si>
  <si>
    <t>C07K16/28;;A61K9/00;;A61K31/555;;A61K31/7048;;A61K33/243;;A61P35/00</t>
  </si>
  <si>
    <t>https://lens.org/053-749-109-395-999</t>
  </si>
  <si>
    <t>91</t>
  </si>
  <si>
    <t>189-528-671-074-386</t>
  </si>
  <si>
    <t>US 2024/0374606 A1</t>
  </si>
  <si>
    <t>ASTRAZENECA PHARMACEUTICALS LP (2021-12-15);;ASTRAZENECA UK LIMITED (2022-01-12);;ASTRAZENECA AB (2021-12-20)</t>
  </si>
  <si>
    <t>SUBSTITUTED PYRAZINE-2-CARBOXAMIDES AS HPK1 INHIBITORS FOR THE TREATMENT OF CANCER</t>
  </si>
  <si>
    <t>C07D403/14;;C07D405/14;;C07D417/04;;C07D403/04;;C07D409/14;;C07D413/14;;C07D519/00;;C07D401/14;;A61P35/00;;A61K31/497;;A61K31/5377;;A61K31/541;;C07D401/14;;C07D403/04;;C07D403/14;;C07D405/14;;C07D471/04;;C07D487/04</t>
  </si>
  <si>
    <t>A61K31/5377;;A61K31/497;;A61K31/541;;C07D401/14;;C07D403/04;;C07D403/14;;C07D405/14;;C07D471/04;;C07D487/04</t>
  </si>
  <si>
    <t>https://lens.org/189-528-671-074-386</t>
  </si>
  <si>
    <t>92</t>
  </si>
  <si>
    <t>038-266-977-154-394</t>
  </si>
  <si>
    <t>US 2024/0374588 A1</t>
  </si>
  <si>
    <t>ASTRAZENECA AB (2024-05-17)</t>
  </si>
  <si>
    <t>C07D487/04;;C07D401/14;;C07D519/00;;A61P35/00;;A61P29/00;;A61P37/00;;A61P11/00;;A61K31/4545;;A61K31/496;;A61K31/5025;;A61K31/513;;A61P11/00;;A61P29/00;;A61P35/00;;A61P37/00;;C07D401/14;;C07D487/04;;C07D519/00;;A61K31/496;;A61K31/5025;;A61K31/513;;A61K47/55;;A61P11/00;;A61P29/00;;A61P35/00;;A61P37/00;;C07D401/14;;C07D487/04;;A61K31/4545;;A61K31/496;;A61K31/5025;;A61K31/513;;C07D401/14;;C07D487/04</t>
  </si>
  <si>
    <t>A61K31/5025;;A61K31/4545;;A61K31/496;;A61K31/513;;C07D401/14;;C07D487/04</t>
  </si>
  <si>
    <t>https://lens.org/038-266-977-154-394</t>
  </si>
  <si>
    <t>93</t>
  </si>
  <si>
    <t>126-206-374-296-380</t>
  </si>
  <si>
    <t>US 12134613 B2</t>
  </si>
  <si>
    <t>ASTRAZENECA AB;;HUTCHISON MEDIPHARMA LTD</t>
  </si>
  <si>
    <t>HUTCHISON MEDIPHARMA LIMITED (2021-12-23);;ASTRAZENECA UK LIMITED (2022-01-12);;ASTRAZENECA AB (2022-01-18)</t>
  </si>
  <si>
    <t>Method for the manufacture of 3-[(1S)-1-imidazo[1,2-a]pyridin-6-ylethyl]-5-(1-methylpyrazol-4-yl)triazolo[4,5-b]pyrazine and polymorphic forms thereof</t>
  </si>
  <si>
    <t>C07D519/00;;C07D471/04;;C07D519/00;;C07D471/04;;C07D487/04;;A61K31/4985;;C07D471/04;;C07D471/04</t>
  </si>
  <si>
    <t>C07D471/04</t>
  </si>
  <si>
    <t>https://lens.org/126-206-374-296-380</t>
  </si>
  <si>
    <t>94</t>
  </si>
  <si>
    <t>063-364-281-026-875</t>
  </si>
  <si>
    <t>US 2024/0360226 A1</t>
  </si>
  <si>
    <t>MEDIMMUNE LIMITED (2023-02-21);;ASTRAZENECA PHARMACEUTICALS LP (2022-11-23);;ASTRAZENECA UK LIMITED (2023-02-15);;ASTRAZENECA AB (2023-02-22);;MEDIMMUNE LLC (2023-02-02)</t>
  </si>
  <si>
    <t>ANTIBODY MOLECULES AND CONJUGATES</t>
  </si>
  <si>
    <t>C07K16/2863;;C07K2317/31;;C07K2317/92;;C07K2317/33;;C07K2317/77;;A61P35/00;;A61K2039/505;;A61K47/6849;;A61K47/68037;;C07K16/2863;;C07K2317/33;;C07K2317/92;;A61K47/6803;;A61K47/6849;;C07K2317/565;;A61K47/68037;;A61P35/00;;C07K2317/77;;C07K2317/52;;A61K2039/505;;C07K2317/31;;C07K2317/35;;A61P1/18;;C07K16/2863;;A61K47/68037;;A61K47/6849;;A61P35/00;;A61K2039/505;;C07K2317/92;;C07K2317/77;;C07K2317/31;;C07K2317/33;;C07K2317/52;;C07K2317/565;;C07K2317/35;;A61K47/6849;;A61P1/18;;A61P35/00;;A61K2039/505;;C07K16/2863;;C07K2317/31;;C07K2317/33;;C07K2317/35;;C07K2317/52;;C07K2317/565;;C07K2317/77;;C07K2317/92;;A61K47/68037</t>
  </si>
  <si>
    <t>C07K16/28;;A61K39/00;;A61K47/68;;A61P1/18;;A61P35/00</t>
  </si>
  <si>
    <t>https://lens.org/063-364-281-026-875</t>
  </si>
  <si>
    <t>95</t>
  </si>
  <si>
    <t>134-122-947-060-837</t>
  </si>
  <si>
    <t>US 2024/0350682 A1</t>
  </si>
  <si>
    <t>FUSION PHARMACEUTICALS INC (2023-09-14);;ASTRAZENECA PHARMACEUTICALS LP (2023-10-30);;ASTRAZENECA UK LIMITED (2025-08-11);;ASTRAZENECA AB (2025-08-19);;MEDIMMUNE LLC (2025-05-30)</t>
  </si>
  <si>
    <t>STEAP2-TARGETED COMPOUNDS AND USE THEREOF</t>
  </si>
  <si>
    <t>A61K51/1072;;A61P35/00;;A61K51/1072;;A61P35/00;;A61K51/1093;;A61K51/1075;;A61K51/1093;;A61K51/1072;;A61P35/00;;A61P35/00;;A61K51/1075;;A61K51/1093</t>
  </si>
  <si>
    <t>A61K51/10;;A61P35/00</t>
  </si>
  <si>
    <t>https://lens.org/134-122-947-060-837</t>
  </si>
  <si>
    <t>96</t>
  </si>
  <si>
    <t>130-794-778-345-706</t>
  </si>
  <si>
    <t>US 2024/0350630 A1</t>
  </si>
  <si>
    <t>ASTRAZENECA PHARMACEUTICALS LP (2024-01-18);;ASTRAZENECA UK LIMITED (2024-02-01);;ASTRAZENECA AB (2024-01-31);;MEDIMMUNE LLC (2024-01-05)</t>
  </si>
  <si>
    <t>COMPOSITIONS AND METHODS OF TREATING DISEASE WITH CHIMERIC ANTIGEN RECEPTORS TO B CELL MATURATION ANTIGEN (BCMA)</t>
  </si>
  <si>
    <t>C07K16/2878;;C07K2319/03;;C07K2317/622;;C07K14/7051;;A61K2039/5156;;C07K2319/33;;C07K2317/73;;A61P35/00;;C07K14/70578;;A61K40/4215;;A61K40/31;;A61K40/11;;A61K40/11;;A61K2039/5156;;A61K40/4215;;C07K14/7051;;C07K14/70578;;C07K2317/73;;A61K40/416;;C07K14/70507;;C07K14/70521;;C07K2317/622;;A61P35/00;;C07K14/70514;;C07K14/7155;;C07K2319/03;;A61K40/31;;A61P37/06;;C07K14/70517;;C07K16/2878;;C07K2319/33;;C07K14/7051;;C07K16/2878;;C07K14/70521;;C07K14/70578;;C12N5/0606;;A61K40/11;;A61K40/31;;A61K40/4202;;A61P35/02;;A61P37/02;;C07K2317/622;;C07K2319/02;;C07K2319/03;;C12N2510/00;;A61P37/06;;A61P35/00;;C07K14/70507;;C07K14/7051;;C07K14/70514;;C07K14/70517;;C07K14/70521;;C07K14/70578;;C07K14/7155;;C07K16/2878;;C07K2319/03;;A61K40/416;;A61K40/31</t>
  </si>
  <si>
    <t>A61K39/00;;A61P35/00;;A61P37/06;;C07K14/705;;C07K14/715;;C07K14/725;;C07K14/73;;C07K16/28</t>
  </si>
  <si>
    <t>https://lens.org/130-794-778-345-706</t>
  </si>
  <si>
    <t>97</t>
  </si>
  <si>
    <t>002-700-961-261-198</t>
  </si>
  <si>
    <t>US 12115174 B2</t>
  </si>
  <si>
    <t>ASTRAZENECA UK LIMITED (2018-11-06);;ASTRAZENECA AB (2018-11-07)</t>
  </si>
  <si>
    <t>Dendrimer formulations</t>
  </si>
  <si>
    <t>C07D211/22;;A61K47/595;;A61K47/60;;A61K47/6921;;A61P35/00;;C08G69/10;;C08G83/004;;C07D211/22;;A61K9/0019;;A61K9/19;;A61K31/451;;A61K31/635;;A61K47/595;;A61K47/60;;A61K47/6921;;A61P35/00;;C08G69/10;;C08G83/004;;A61K47/595;;A61K9/0019;;A61K9/19;;A61K31/451;;A61K47/60;;A61P35/00;;C07D211/22;;C08G69/10;;C08G83/004;;A61K31/635;;A61K9/19;;A61K47/595;;A61P35/00</t>
  </si>
  <si>
    <t>A61K31/635;;A61K9/19;;A61K47/59;;A61P35/00</t>
  </si>
  <si>
    <t>https://lens.org/002-700-961-261-198</t>
  </si>
  <si>
    <t>98</t>
  </si>
  <si>
    <t>171-274-793-213-363</t>
  </si>
  <si>
    <t>US 12115225 B2</t>
  </si>
  <si>
    <t>ASTRAZENECA AB;;IONIS PHARMACEUTICALS INC</t>
  </si>
  <si>
    <t>IONIS PHARMACEUTICALS INC (2017-06-07);;ASTRAZENECA AB (2018-10-17)</t>
  </si>
  <si>
    <t>GLP-1 receptor ligand moiety conjugated oligonucleotides and uses thereof</t>
  </si>
  <si>
    <t>A61K31/7125;;A61K31/713;;C12N15/111;;C12N2310/11;;C12N2310/315;;C12N2310/3231;;C12N2310/3341;;C12N2310/3513;;C12N2320/32;;A61P35/00;;A61K38/1796;;A61P3/08;;A61P43/00;;C07K14/605;;C07K19/00;;A61K47/6425;;C12N2310/3521;;A61K47/549;;C12N2310/3525;;C12N2310/315;;A61P35/00;;C12N2310/3231;;C12N15/111;;C12N2310/321;;C12N2310/3341;;C12N2310/322;;C12N2320/32;;A61P3/08;;A61K38/1796;;C12N2310/11;;A61K47/65;;C12N2310/3513;;A61K31/7125;;A61K31/713;;C12N2310/3533;;A61P43/00;;C12N15/113;;A61K31/7125;;A61K31/713;;C12N2310/3341;;C12N2310/3231;;C12N2310/315;;C12N2310/11;;C12N2310/3513;;C12N2320/32;;C12N15/113;;A61K31/7125;;A61K31/713;;C12N2310/11;;C12N2310/315;;C12N2310/3231;;C12N2310/3341;;C12N2310/3513;;C12N2320/32;;C12N15/111;;A61K47/6425;;A61K47/65;;A61K47/549;;A61P35/00;;A61K38/1796;;C12N2310/321;;C12N2310/322;;C12N2310/3521;;C12N2310/3525;;C12N2310/3533</t>
  </si>
  <si>
    <t>C07H21/04;;A61K31/7125;;A61K31/713;;A61K38/17;;A61K47/54;;A61K47/64;;A61K47/65;;A61P35/00;;C12N15/11</t>
  </si>
  <si>
    <t>https://lens.org/171-274-793-213-363</t>
  </si>
  <si>
    <t>99</t>
  </si>
  <si>
    <t>108-931-719-750-382</t>
  </si>
  <si>
    <t>AU</t>
  </si>
  <si>
    <t>AU 2021/353968 B2</t>
  </si>
  <si>
    <t>ASTRAZENECA AB (2024-10-03)</t>
  </si>
  <si>
    <t>COMPOUNDS AND THEIR USE IN TREATING CANCER</t>
  </si>
  <si>
    <t>A61K47/55;;A61K47/555;;A61P35/00;;A61K47/55;;A61P35/00;;A61K47/555;;C07D495/14;;A61K47/55;;A61K47/555;;A61P35/00;;C07D405/04;;C07D417/04;;C07D471/04;;C07D413/04;;C07D403/04;;C07D401/04;;C07D498/04;;C07D491/048;;C07D401/14;;C07D401/14;;C07D403/04;;C07D405/04;;C07D409/04;;C07D413/04;;C07D417/04;;C07D471/04;;C07D487/04;;C07D491/048;;C07D495/14</t>
  </si>
  <si>
    <t>https://lens.org/108-931-719-750-382</t>
  </si>
  <si>
    <t>100</t>
  </si>
  <si>
    <t>049-994-436-158-389</t>
  </si>
  <si>
    <t>US 2024/0335446 A1</t>
  </si>
  <si>
    <t>ASTRAZENECA AB (2015-12-14);;ASTRAZENECA UK LIMITED (2015-12-16)</t>
  </si>
  <si>
    <t>1-[2-(AMINOMETHYL)BENZYL]-2-THIOXO-1,2,3,5-TETRAHYDRO-4H-PYRROLO[3,2-d]PYRIMIDIN-4-ONES AS INHIBITORS OF MYELOPEROXIDASE</t>
  </si>
  <si>
    <t>C07D487/04;;C07D487/04;;A61K31/519;;A61P43/00;;A61P9/00;;A61P9/04;;A61P9/10;;A61K31/519;;C07D487/04;;A61P9/00;;C07D487/04;;A61K31/519;;C07D487/04;;A61K31/519</t>
  </si>
  <si>
    <t>A61K31/519;;C07D487/04</t>
  </si>
  <si>
    <t>https://lens.org/049-994-436-158-389</t>
  </si>
  <si>
    <t>101</t>
  </si>
  <si>
    <t>021-723-610-577-570</t>
  </si>
  <si>
    <t>US 2024/0336582 A1</t>
  </si>
  <si>
    <t>ASTRAZENECA AB (2015-02-18);;ASTRAZENECA UK LIMITED (2015-05-03);;BIOFOCUS DPI LTD (2015-03-12)</t>
  </si>
  <si>
    <t>CERTAIN (2S)-N-[(1S)-1-CYANO-2-PHENYLETHYL]-1,4-OXAZEPANE-2-CARBOXAMIDES AS DIPEPTIDYL PEPTIDASE 1 INHIBITORS</t>
  </si>
  <si>
    <t>A61K31/553;;A61K45/06;;C07D267/10;;C07D413/12;;C07D413/14;;C07D417/12;;C07D413/14;;A61K31/553;;C07D267/10;;C07D413/12;;C07D417/12;;A61P11/00;;A61P11/06;;A61P11/08;;A61P11/14;;A61P31/06;;A61P31/12;;A61P31/16;;A61P35/00;;A61P37/08;;A61P43/00;;A61K45/06;;A61K31/553;;A61K45/06;;C07D267/10;;C07D413/12;;C07D413/14;;C07D417/12;;C07D413/14;;A61K31/553;;A61K45/06;;C07D267/10;;C07D413/12;;C07D417/12</t>
  </si>
  <si>
    <t>C07D267/10;;A61K31/553;;A61K45/06;;C07D413/12;;C07D413/14;;C07D417/12</t>
  </si>
  <si>
    <t>https://lens.org/021-723-610-577-570</t>
  </si>
  <si>
    <t>102</t>
  </si>
  <si>
    <t>041-079-012-312-717</t>
  </si>
  <si>
    <t>US 12109310 B2</t>
  </si>
  <si>
    <t>ASTRAZENECA AB;;VALADI HADI;;ASTRAENECA AB</t>
  </si>
  <si>
    <t>ASTRAZENECA AB (2019-09-03);;VALADI HADI (2019-08-23)</t>
  </si>
  <si>
    <t>Exosome extracellular vesicles and methods of use</t>
  </si>
  <si>
    <t>A61K9/127;;A61K9/1271;;A61K9/1272;;A61K31/7115;;A61K39/0005;;A61K2039/53;;A61K2039/55555;;A61K9/1272;;A61K31/7115</t>
  </si>
  <si>
    <t>A61K9/127;;A61K31/7115</t>
  </si>
  <si>
    <t>https://lens.org/041-079-012-312-717</t>
  </si>
  <si>
    <t>103</t>
  </si>
  <si>
    <t>122-887-632-232-285</t>
  </si>
  <si>
    <t>US 2024/0325384 A1</t>
  </si>
  <si>
    <t>ASTRAZENECA PHARMACEUTICALS LP (2023-08-18);;ASTRAZENECA UK LIMITED (2023-10-16);;ASTRAZENECA AB (2023-10-18)</t>
  </si>
  <si>
    <t>DOSING REGIMEN</t>
  </si>
  <si>
    <t>A61P35/00;;A61K31/496;;A61K31/502;;A61K9/20;;A61K31/496;;A61K9/0053;;A61K9/28;;A61P35/00</t>
  </si>
  <si>
    <t>A61K31/496;;A61K9/00;;A61K9/28;;A61P35/00</t>
  </si>
  <si>
    <t>https://lens.org/122-887-632-232-285</t>
  </si>
  <si>
    <t>104</t>
  </si>
  <si>
    <t>024-406-812-061-476</t>
  </si>
  <si>
    <t>US 2024/0327529 A1</t>
  </si>
  <si>
    <t>ASTRAZENECA PHARMACEUTICALS LP (2021-02-15);;ASTRAZENECA AB (2021-03-23);;ASTRAZENECA UK LIMITED (2021-03-24);;MEDIMMUNE LLC (2021-03-23)</t>
  </si>
  <si>
    <t>STEROID SPARING</t>
  </si>
  <si>
    <t>A61K45/00;;A61K2039/545;;A61P29/00;;A61P37/00;;C07K16/2875;;C07K2317/76;;C12Q1/6883;;C12Q2600/106;;C12Q2600/158;;G01N33/6866;;G01N33/6869;;G01N2333/5428;;G01N2800/104;;G01N2800/52;;A61K45/00;;A61K2039/545;;A61P29/00;;A61P37/00;;C07K16/2875;;C07K2317/76;;C12Q1/6883;;C12Q2600/106;;C12Q2600/158;;G01N33/6866;;G01N33/6869;;G01N2333/5428;;G01N2800/104;;G01N2800/52;;G01N33/6866;;A61K2039/505;;A61P37/00;;C07K16/2875;;C07K2317/76;;C12Q1/6883;;C12Q2600/106;;G01N33/6869;;G01N2333/5428;;G01N2800/104;;G01N2800/52;;C07K16/2866;;A61K2039/505;;A61K2039/545;;A61P7/00;;C07K2317/52;;C07K2317/565;;C12Q1/6883;;G01N33/6869;;G01N2800/52</t>
  </si>
  <si>
    <t>C07K16/28;;A61K39/00;;A61P7/00;;C12Q1/6883;;G01N33/68</t>
  </si>
  <si>
    <t>https://lens.org/024-406-812-061-476</t>
  </si>
  <si>
    <t>105</t>
  </si>
  <si>
    <t>080-395-299-411-77X</t>
  </si>
  <si>
    <t>EP 3663975 B1</t>
  </si>
  <si>
    <t>ASTRAZENECA COMPUTATIONAL PATHOLOGY GMBH (2021-12-22);;ASTRAZENECA COMPUTATIONAL PATHOLOGY GMBH, DE (2024-09-11)</t>
  </si>
  <si>
    <t>METHOD AND SYSTEM FOR LEARNING PIXEL VISUAL CONTEXT FROM OBJECT CHARACTERISTICS TO GENERATE RICH SEMANTIC IMAGES</t>
  </si>
  <si>
    <t>G06V20/695;;G06F18/24323;;G06V10/25;;G06V10/454;;G06V10/462;;G06V10/50;;G06V10/56;;G06V10/764;;G06V10/772;;G06V20/698;;G06V20/695;;G06F18/24323;;G06T7/0012;;G06T7/162;;G06V10/25;;G06V10/454;;G06V10/462;;G06V10/50;;G06V10/56;;G06V10/764;;G06V10/772;;G06V20/698</t>
  </si>
  <si>
    <t>G06V20/69;;G06F18/243;;G06V10/25;;G06V10/46;;G06V10/56;;G06V10/764;;G06V10/772</t>
  </si>
  <si>
    <t>https://lens.org/080-395-299-411-77X</t>
  </si>
  <si>
    <t>106</t>
  </si>
  <si>
    <t>094-928-208-801-498</t>
  </si>
  <si>
    <t>US 2024/0317767 A1</t>
  </si>
  <si>
    <t>ASTRAZENECA AB (2016-05-13)</t>
  </si>
  <si>
    <t>PYRAZOLE DERIVATIVES USEFUL AS 5-LIPOXYGENASE ACTIVATING PROTEIN (FLAP) INHIBITORS</t>
  </si>
  <si>
    <t>C07D231/40;;C07D231/44;;C07D231/50;;C07D413/12;;C07D417/12;;C07D487/04;;C07D498/04;;C07D487/04;;A61P1/16;;A61P3/10;;A61P9/00;;A61P9/10;;A61P11/00;;A61P13/12;;A61P35/00;;A61P43/00;;C07D231/40;;C07D231/44;;C07D231/50;;C07D413/12;;C07D417/12;;C07D498/04;;C07D231/40;;A61P9/00;;C07D231/44;;C07D231/50;;C07D413/12;;C07D417/12;;C07D487/04;;C07D498/04;;C07D403/12;;A61K31/4155;;A61K31/4985;;C07D231/40;;C07D231/44;;C07D413/12;;C07D417/12;;C07D487/04;;C07D498/04;;C07D487/04;;A61K31/4155;;A61K31/4985;;A61P9/00;;A61P9/10;;A61P11/00;;C07D231/40;;C07D231/44;;C07D231/50;;C07D413/12;;C07D417/12;;C07D498/04</t>
  </si>
  <si>
    <t>C07D487/04;;A61K31/4155;;A61K31/4985;;A61P9/00;;A61P9/10;;A61P11/00;;C07D231/40;;C07D231/44;;C07D231/50;;C07D413/12;;C07D417/12;;C07D498/04</t>
  </si>
  <si>
    <t>https://lens.org/094-928-208-801-498</t>
  </si>
  <si>
    <t>107</t>
  </si>
  <si>
    <t>031-627-628-416-970</t>
  </si>
  <si>
    <t>US 2024/0316106 A1</t>
  </si>
  <si>
    <t>ASTRAZENECA PHARMACEUTICALS LP (2024-01-18);;ASTRAZENECA UK LIMITED (2024-01-31);;ASTRAZENECA AB (2024-02-07)</t>
  </si>
  <si>
    <t>METHODS FOR GENERATING PRIMARY IMMUNE CELLS</t>
  </si>
  <si>
    <t>C12N2510/00;;A61K35/17;;C12N2501/405;;C12N5/0634;;C12N2501/48;;C12N2501/60;;C12N2501/72;;A61K35/17;;A61K40/11;;A61K40/4253;;C07K14/82;;C12N2501/405;;C12N2510/00;;C12N9/22;;A61K40/4242;;C07K14/05;;C12N15/86;;C12N2501/60;;C12N5/0634;;A61K40/31;;A61P35/00;;C12N15/111;;C12N2501/48;;C12N2740/15043;;A61K40/4246;;C07K14/4703;;C12N2310/20;;C12N2501/72;;C12N5/0636;;C12N15/85;;C12N5/0636;;C07K14/4702;;C07K14/4703;;C07K14/7051;;C07K14/82;;A61K40/11;;A61K40/31;;A61K35/17;;A61K40/4242;;A61K40/4246;;A61K40/4253;;A61P35/00;;C12N2310/20;;C12N2510/00;;C12N2740/15043;;C12N2310/20;;A61P35/00;;A61K35/17;;C07K14/05;;C07K14/4703;;C07K14/82;;C12N5/0636;;C12N9/22;;C12N15/111;;C12N15/86;;C12N2740/15043;;A61K40/11;;A61K40/31;;A61K40/4242;;A61K40/4246;;A61K40/4253</t>
  </si>
  <si>
    <t>A61K35/17;;A61K39/00;;A61P35/00;;C07K14/05;;C07K14/47;;C07K14/82;;C12N5/0783;;C12N9/22;;C12N15/11;;C12N15/86</t>
  </si>
  <si>
    <t>https://lens.org/031-627-628-416-970</t>
  </si>
  <si>
    <t>108</t>
  </si>
  <si>
    <t>162-788-213-888-21X</t>
  </si>
  <si>
    <t>US 2024/0307383 A1</t>
  </si>
  <si>
    <t>ASTRAZENECA AB (2023-04-06)</t>
  </si>
  <si>
    <t>COMBINATION OF ZIBOTENTAN AND DAPAGLIFLOZIN FOR THE TREATMENT OF PROTEINURIA CHRONIC KIDNEY DISEASE</t>
  </si>
  <si>
    <t>A61K31/497;;A61K31/7034;;A61P13/12;;A61K31/351;;A61P13/12;;A61P9/12;;A61K31/7034;;A61K31/497;;A61K31/497;;A61K31/351;;A61P13/12;;A61P9/04;;A61P3/06;;A61K2300/00;;A61P9/12;;A61K31/351;;A61K31/497</t>
  </si>
  <si>
    <t>A61K31/497;;A61K31/351;;A61P9/12</t>
  </si>
  <si>
    <t>https://lens.org/162-788-213-888-21X</t>
  </si>
  <si>
    <t>109</t>
  </si>
  <si>
    <t>193-648-427-905-249</t>
  </si>
  <si>
    <t>US 2024/0293563 A1</t>
  </si>
  <si>
    <t>IONIS PHARMACEUTICALS INC (2019-01-03);;ASTRAZENECA AB (2018-04-20)</t>
  </si>
  <si>
    <t>GLP-1 RECEPTOR LIGAND MOIETY CONJUGATED OLIGONUCLEOTIDES AND USES THEREOF</t>
  </si>
  <si>
    <t>A61K31/7088;;A61K31/713;;A61K47/549;;A61K47/64;;A61K47/6425;;A61P1/18;;C12N15/113;;C12N15/1136;;C12N2310/113;;C12N2310/322;;C12N2310/345;;C12N2310/321;;C12N2310/341;;C12N2320/35;;C12N2310/3513;;C12N2310/3525;;C12N2310/315;;C12N2310/346;;C12N2310/3341;;C12N2310/3231;;A61K47/64;;C12N15/113;;C12N2310/3513;;C12N2310/341;;C12N2310/345;;C12N2310/346;;C12N2310/3231;;C12N2310/322;;C12N2310/315;;C12N2310/3341;;C12N2310/113;;A61P1/18;;A61K47/64;;C12N15/113;;C12N2310/113;;C12N2310/315;;C12N2310/322;;C12N2310/3231;;C12N2310/3341;;C12N2310/341;;C12N2310/345;;C12N2310/346;;C12N2310/3513;;C12N2310/3525;;A61K47/6425;;A61K47/549;;C12N15/1136;;C12N2320/35;;A61K31/7088;;A61P1/18;;A61K31/713;;C12N2310/321;;A61K47/64;;A61K31/7088;;C12N15/113;;C12N2310/113;;C12N2310/315;;C12N2310/322;;C12N2310/3231;;C12N2310/3341;;C12N2310/341;;C12N2310/345;;C12N2310/346;;C12N2310/3513;;C12N2310/3525;;A61K47/6425;;A61K47/64;;A61K47/549;;C12N15/113;;C12N15/1136;;C12N2310/113;;C12N2310/315;;C12N2310/321;;C12N2310/3513;;C12N2320/35</t>
  </si>
  <si>
    <t>A61K47/64;;A61K47/54;;C12N15/113</t>
  </si>
  <si>
    <t>https://lens.org/193-648-427-905-249</t>
  </si>
  <si>
    <t>110</t>
  </si>
  <si>
    <t>040-734-462-564-112</t>
  </si>
  <si>
    <t>US 2024/0277834 A1</t>
  </si>
  <si>
    <t>MEDIMMUNE LIMITED (2023-05-10);;ASTRAZENECA PHARMACEUTICALS LP (2023-04-21);;ASTRAZENECA UK LIMITED (2023-05-22);;ASTRAZENECA AB (2023-04-25);;MEDIMMUNE LLC (2023-04-20)</t>
  </si>
  <si>
    <t>NUCLEIC ACID MOLECULES</t>
  </si>
  <si>
    <t>C07K14/005;;A61K39/12;;A61K2039/53;;A61K2039/6031;;A61P31/14;;C07K14/47;;C07K2319/02;;C12N9/1025;;C12N9/1096;;C12N9/12;;C12N9/2442;;C12N15/85;;C12N2770/20022;;C12N2770/20034;;C12Y203/03001;;C12Y206/01001;;C12Y207/11011;;C12Y302/01014;;A61K39/12;;A61K39/215;;A61K2039/53;;A61K2039/6031;;A61K2039/6056;;A61P31/14;;A61P37/04;;C07K14/005;;C07K14/47;;C07K2319/02;;C07K2319/30;;C12N9/1025;;C12N9/1096;;C12N9/12;;C12N9/2442;;C12N15/85;;C12N2770/20022;;C12N2770/20034;;C12Y203/03001;;C12Y206/01001;;C12Y207/11011;;C12Y302/01014;;C12N15/85;;A61K39/12;;A61K39/215;;A61K2039/53;;A61K2039/6031;;A61P31/14;;A61P37/04;;C07K14/005;;C07K14/47;;C07K2319/02;;C12N9/1025;;C12N9/1096;;C12N9/12;;C12N9/2442;;C12N15/67;;C12N2770/20022;;C12N2770/20034;;C12Y203/03001;;C12Y206/01001;;C12Y207/11011;;C12Y302/01014;;A61K39/215;;A61K2039/6031;;A61K2039/6056;;A61P31/14;;A61P37/04;;C07K14/47;;C07K2319/30;;C12N9/1025;;C12N9/1096;;C12N9/12;;C12N9/2442;;C12Y203/03001;;C12Y206/01001;;C12Y207/11011;;C12Y302/01014</t>
  </si>
  <si>
    <t>A61K39/215;;A61K39/00;;A61P31/14;;A61P37/04;;C07K14/47;;C12N9/10;;C12N9/12;;C12N9/42</t>
  </si>
  <si>
    <t>https://lens.org/040-734-462-564-112</t>
  </si>
  <si>
    <t>111</t>
  </si>
  <si>
    <t>169-699-317-772-000</t>
  </si>
  <si>
    <t>US 2024/0279316 A1</t>
  </si>
  <si>
    <t>ASTRAZENECA AB;;TAKEDA PHARMACEUTICALS CO</t>
  </si>
  <si>
    <t>MEDIMMUNE LIMITED (2023-08-22);;ASTRAZENECA AB (2023-08-29);;TAKEDA DEVELOPMENT CENTER AMERICAS INC (2023-10-31);;TAKEDA PHARMACEUTICAL COMPANY LIMITED (2023-10-25)</t>
  </si>
  <si>
    <t>COMPOSITIONS AND METHODS FOR TREATING ALPHA-SYNUCLEINOPATHIES</t>
  </si>
  <si>
    <t>C07K16/18;;A61K2039/505;;A61K2039/545;;C07K2317/24;;C07K2317/71;;A61P25/28;;A61P25/28;;A61K2039/545;;C07K2317/52;;A61K2039/505;;C07K2317/24;;C07K2317/90;;C07K16/18;;C07K2317/71;;C07K2317/565;;C07K16/18;;A61P25/28;;C07K2317/24;;C07K2317/52;;C07K2317/71;;C07K2317/565;;A61K2039/545;;A61K2039/505;;C07K16/18;;C07K2317/52;;C07K2317/565;;C07K2317/90</t>
  </si>
  <si>
    <t>C07K16/18</t>
  </si>
  <si>
    <t>https://lens.org/169-699-317-772-000</t>
  </si>
  <si>
    <t>112</t>
  </si>
  <si>
    <t>024-181-009-636-643</t>
  </si>
  <si>
    <t>US 2024/0277835 A1</t>
  </si>
  <si>
    <t>ASTRAZENECA PHARMACEUTICALS LP (2023-04-21);;ASTRAZENECA UK LIMITED (2023-04-25);;ASTRAZENECA AB (2023-04-25);;MEDIMMUNE LLC (2023-04-20)</t>
  </si>
  <si>
    <t>VACCINE</t>
  </si>
  <si>
    <t>A61K39/12;;C07K14/005;;C12N15/62;;C12N2770/20034;;C12N2770/20022;;A61K2039/6031;;A61K2039/575;;A61K2039/545;;A61K2039/5258;;A61K2039/53;;A61P31/14;;A61K39/12;;A61K2039/545;;A61K2039/6031;;A61P31/14;;C12N2770/20034;;A61K2039/55;;A61K2039/70;;C07K14/005;;C12N7/00;;A61K2039/5258;;A61K2039/55555;;C12N15/62;;A61K2039/53;;A61K2039/575;;A61K39/215;;C12N2770/20022;;A61K39/215;;A61P31/14;;C07K14/005;;C12N15/88;;A61K2039/53;;A61K2039/70;;A61K2039/6031;;A61K2039/545;;C12N2770/20034;;C12N2770/20022;;A61P31/14;;A61K39/215;;A61K2039/53;;A61K2039/55;;A61K2039/55555;;A61K2039/70;;C12N7/00;;C12N2770/20022;;C12N2770/20034</t>
  </si>
  <si>
    <t>A61K39/215;;A61K39/00;;A61P31/14;;C12N7/00</t>
  </si>
  <si>
    <t>https://lens.org/024-181-009-636-643</t>
  </si>
  <si>
    <t>113</t>
  </si>
  <si>
    <t>182-125-260-876-770</t>
  </si>
  <si>
    <t>US 2024/0270757 A1</t>
  </si>
  <si>
    <t>ASTRAZENECA UK LIMITED (2022-03-23);;ASTRAZENECA AB (2022-03-23)</t>
  </si>
  <si>
    <t>SPIROCYCLIC COMPOUNDS</t>
  </si>
  <si>
    <t>C07D487/10;;A61K31/437;;A61P35/00;;C07D487/10;;C07D471/20;;A61K31/438;;C07D519/00;;C07D487/10;;A61K31/437;;A61K31/438;;A61P35/00;;C07D471/20;;C07D519/00</t>
  </si>
  <si>
    <t>C07D519/00</t>
  </si>
  <si>
    <t>https://lens.org/182-125-260-876-770</t>
  </si>
  <si>
    <t>114</t>
  </si>
  <si>
    <t>093-633-043-507-981</t>
  </si>
  <si>
    <t>US 2024/0269135 A1</t>
  </si>
  <si>
    <t>ASTRAZENECA PHARMACEUTICALS LP (2024-02-22);;ASTRAZENECA UK LIMITED (2024-05-28);;ASTRAZENECA AB (2024-05-29)</t>
  </si>
  <si>
    <t>METHODS OF TREATING BREAST CANCER</t>
  </si>
  <si>
    <t>A61K31/502;;A61P35/04;;A61K45/06;;A61K31/502;;A61K45/06;;A61P35/04;;A61K31/502;;A61K45/06;;A61P35/00;;A61P35/00;;A61K31/502</t>
  </si>
  <si>
    <t>A61K31/502;;A61P35/00</t>
  </si>
  <si>
    <t>https://lens.org/093-633-043-507-981</t>
  </si>
  <si>
    <t>115</t>
  </si>
  <si>
    <t>131-295-037-074-216</t>
  </si>
  <si>
    <t>US 2024/0257932 A1</t>
  </si>
  <si>
    <t>ASTRAZENECA PHARMACEUTICALS LP (2018-05-29);;ASTRAZENECA UK LIMITED (2018-05-29);;ASTRAZENECA AB (2018-05-31)</t>
  </si>
  <si>
    <t>Computer System and Method for Generating Trigger Alerts to Maximize Interactions With Healthcare Providers</t>
  </si>
  <si>
    <t>G16H20/10;;G16H10/60;;G16H80/00;;G16H20/10;;G16H10/60;;G16H80/00</t>
  </si>
  <si>
    <t>G16H20/10;;G16H10/60;;G16H80/00</t>
  </si>
  <si>
    <t>https://lens.org/131-295-037-074-216</t>
  </si>
  <si>
    <t>116</t>
  </si>
  <si>
    <t>163-630-504-327-208</t>
  </si>
  <si>
    <t>US 2024/0254235 A1</t>
  </si>
  <si>
    <t>ASTRAZENECA PHARMACEUTICALS LP (2022-04-29);;ASTRAZENECA UK LIMITED (2022-05-02);;ASTRAZENECA AB (2022-05-10)</t>
  </si>
  <si>
    <t>COMPOSITIONS AND METHODS FOR TREATING LUNG CANCER</t>
  </si>
  <si>
    <t>C07K16/2827;;A61K2039/505;;A61K2039/545;;A61K2039/55;;A61P35/00;;C07K2317/56;;C07K16/2827;;A61K2039/505;;A61K2039/545;;A61K2039/55;;A61P35/00;;C07K2317/56;;A61K39/3955;;A61K33/243;;A61K45/06;;A61K2039/505;;A61K2300/00;;A61P35/00;;C07K16/2827;;C07K2317/56;;C07K16/2827;;A61K45/06;;A61K2039/505;;A61K2039/545;;A61K2039/55;;A61P35/00;;C07K2317/565</t>
  </si>
  <si>
    <t>C07K16/28;;A61K39/00;;A61K45/06;;A61P35/00</t>
  </si>
  <si>
    <t>https://lens.org/163-630-504-327-208</t>
  </si>
  <si>
    <t>117</t>
  </si>
  <si>
    <t>051-012-380-957-953</t>
  </si>
  <si>
    <t>S</t>
  </si>
  <si>
    <t>US D1036844 S</t>
  </si>
  <si>
    <t>ASTRAZENECA AB (2022-10-04)</t>
  </si>
  <si>
    <t>Pill dispenser</t>
  </si>
  <si>
    <t>https://lens.org/051-012-380-957-953</t>
  </si>
  <si>
    <t>118</t>
  </si>
  <si>
    <t>126-148-479-475-251</t>
  </si>
  <si>
    <t>US 2024/0248088 A1</t>
  </si>
  <si>
    <t>FUNDACIO PRIVADA INST D’INVESTIGACIO ONCOLÒGICA DE VALL HEBRON;;ASTRAZENECA UK LTD;;XENTECH SAS</t>
  </si>
  <si>
    <t>FUNDACIO PRIVADA INSTITUT D'INVESTIGACIO ONCOLOGICA DE CELLEX (2020-07-29);;XENTECH SAS (2020-07-29);;ASTRAZENECA UK LIMITED (2021-04-01)</t>
  </si>
  <si>
    <t>METHODS BASED ON THE DETECTION OF RAD51 FOCI IN TUMOR CELLS</t>
  </si>
  <si>
    <t>A61K31/502;;G01N2800/52;;G01N33/575;;G01N33/57515;;G01N33/57545;;A61K31/502;;G01N2800/52;;A61K31/454;;A61K31/551;;G01N33/5091;;A61K31/407;;A61K31/5025;;G01N2333/916;;A61K31/4184;;A61K31/55;;A61K31/166;;A61P35/00;;G01N33/575;;G01N33/57515;;G01N33/57545;;G01N33/57575;;G01N33/5759;;A61K31/502;;A61K31/4184;;A61K31/5025;;A61K31/55;;A61K31/454;;A61P35/00;;G01N2800/52;;G01N33/57515;;G01N33/5759;;A61P35/00;;A61K31/166;;A61K31/407;;A61K31/4184;;A61K31/454;;A61K31/5025;;A61K31/55;;A61K31/551;;G01N33/5091;;G01N2333/916;;G01N2800/52;;G01N33/575;;G01N33/57575</t>
  </si>
  <si>
    <t>G01N33/574;;A61K31/166;;A61K31/407;;A61K31/4184;;A61K31/454;;A61K31/5025;;A61K31/55;;A61K31/551;;A61P35/00;;G01N33/50</t>
  </si>
  <si>
    <t>https://lens.org/126-148-479-475-251</t>
  </si>
  <si>
    <t>119</t>
  </si>
  <si>
    <t>010-244-851-827-385</t>
  </si>
  <si>
    <t>US 2024/0239883 A1</t>
  </si>
  <si>
    <t>ARCAGY RESEARCH (2021-04-23);;ASTRAZENECA AB (2021-04-23);;ASTRAZENECA UK LIMITED (2021-04-23)</t>
  </si>
  <si>
    <t>METHODS OF TREATING HOMOLOGOUS RECOMBINATION DEFICIENT CANCER</t>
  </si>
  <si>
    <t>A61P35/00;;A61K31/502;;A61K39/3955;;A61K45/06;;A61K2039/505;;C07K16/22;;C07K2317/24;;C07K16/22;;A61K31/502;;A61K45/06;;A61P35/00</t>
  </si>
  <si>
    <t>C07K16/22;;A61K31/502;;A61K45/06;;A61P35/00</t>
  </si>
  <si>
    <t>https://lens.org/010-244-851-827-385</t>
  </si>
  <si>
    <t>120</t>
  </si>
  <si>
    <t>103-585-131-809-223</t>
  </si>
  <si>
    <t>US 2024/0239767 A1</t>
  </si>
  <si>
    <t>ASTRAZENECA AB (2023-06-14)</t>
  </si>
  <si>
    <t>PCSK9 INHIBITORS AND METHODS OF USE THEREOF</t>
  </si>
  <si>
    <t>C07D471/04;;A61P9/00;;C07D401/14;;C07D413/14;;C07D417/14;;C07D498/04;;C07D513/04;;C07D519/00;;C07F9/6561;;C07D401/14;;A61P9/00;;C07D413/14;;C07D417/14;;C07D471/04;;C07D498/04;;C07D513/04;;C07D519/00</t>
  </si>
  <si>
    <t>C07D401/14;;A61P9/00;;C07D413/14;;C07D417/14;;C07D471/04;;C07D498/04;;C07D513/04;;C07D519/00</t>
  </si>
  <si>
    <t>https://lens.org/103-585-131-809-223</t>
  </si>
  <si>
    <t>121</t>
  </si>
  <si>
    <t>097-577-628-836-66X</t>
  </si>
  <si>
    <t>US 2024/0239893 A1</t>
  </si>
  <si>
    <t>ASTRAZENECA PHARMACEUTICALS LP (2021-01-12);;ASTRAZENECA UK LIMITED (2021-01-14);;ASTRAZENECA AB (2021-01-27)</t>
  </si>
  <si>
    <t>METHODS AND COMBINATIONS FOR THE TREATMENT OF CANCER USING IMMUNE CHECKPOINT INHIBITOR ANTIBODIES</t>
  </si>
  <si>
    <t>C07K16/2827;;C07K16/2818;;C07K2317/76;;A61K2039/545;;A61K2039/507;;A61P35/00;;C07K16/2818;;C07K2317/76;;C07K16/2827;;A61K2039/545;;A61P35/00;;A61K45/06;;A61K2039/507;;C07K16/2827;;C07K16/2818;;A61P35/00;;C07K2317/73;;A61K2300/00;;A61K2039/507;;A61K2039/545;;A61P35/00;;A61K45/06;;A61K2039/545;;C07K16/2818;;C07K16/2827;;A61K2039/507</t>
  </si>
  <si>
    <t>https://lens.org/097-577-628-836-66X</t>
  </si>
  <si>
    <t>122</t>
  </si>
  <si>
    <t>184-428-207-436-873</t>
  </si>
  <si>
    <t>US 2024/0228469 A1</t>
  </si>
  <si>
    <t>ASTRAZENECA AB (2023-10-11)</t>
  </si>
  <si>
    <t>C07D401/14;;C07D471/02;;A61P9/00;;A61K45/06;;A61K31/53;;C07D403/14;;C07D405/14;;C07D471/04;;A61K2300/00;;A61K31/53;;C07D401/12;;A61K45/06;;C07F9/65583;;C07D471/02;;C07D413/14;;C07D401/14;;A61K31/675;;A61P9/00;;C07D401/14;;A61K31/53;;A61P9/00;;C07D401/12;;C07D403/14;;C07D471/04;;C07D405/14;;C07F9/65583;;C07D413/14;;A61K31/53;;A61K31/675;;A61K45/06;;C07D401/12;;C07D401/14;;C07D403/14;;C07D405/14;;C07D413/14;;C07D471/04;;C07F9/65583</t>
  </si>
  <si>
    <t>C07D403/14;;A61K31/53;;A61K31/675;;A61K45/06;;C07D401/12;;C07D401/14;;C07D405/14;;C07D413/14;;C07D471/04;;C07F9/6558</t>
  </si>
  <si>
    <t>https://lens.org/184-428-207-436-873</t>
  </si>
  <si>
    <t>123</t>
  </si>
  <si>
    <t>101-610-978-355-000</t>
  </si>
  <si>
    <t>US 2024/0216404 A1</t>
  </si>
  <si>
    <t>ASTRAZENECA AB (2020-06-10)</t>
  </si>
  <si>
    <t>METHODS OF TREATING HEART FAILURE WITH REDUCED EJECTION FRACTION</t>
  </si>
  <si>
    <t>A61K45/06;;A61K31/351;;A61P9/04;;A61K31/35;;A61K45/06;;A61P9/04;;A61K31/351;;A61K2300/00;;A61P9/04;;A61K31/351;;A61K31/70</t>
  </si>
  <si>
    <t>A61K31/70;;A61K31/351;;A61P9/04</t>
  </si>
  <si>
    <t>https://lens.org/101-610-978-355-000</t>
  </si>
  <si>
    <t>124</t>
  </si>
  <si>
    <t>079-286-842-960-714</t>
  </si>
  <si>
    <t>US 2024/0217951 A1</t>
  </si>
  <si>
    <t>C07D401/14;;C07D471/02;;C07D413/14;;A61P9/00;;A61K45/06;;A61K31/497;;A61K31/498;;A61K31/4985;;A61K31/501;;A61K45/06;;C07D401/14;;C07D471/04;;C07D487/04;;C07D491/048</t>
  </si>
  <si>
    <t>C07D401/14;;A61K31/497;;A61K31/498;;A61K31/4985;;A61K31/501;;A61K45/06;;C07D471/04;;C07D487/04;;C07D491/048</t>
  </si>
  <si>
    <t>https://lens.org/079-286-842-960-714</t>
  </si>
  <si>
    <t>125</t>
  </si>
  <si>
    <t>133-292-716-108-608</t>
  </si>
  <si>
    <t>US 2024/0207225 A1</t>
  </si>
  <si>
    <t>ASTRAZENECA UK LIMITED (2020-03-05)</t>
  </si>
  <si>
    <t>METHODS FOR LOWERING BLOOD SUGAR WITH A DIPEPTIDYL PEPTIDASE-4 INHIBITOR PHARMACEUTICAL COMPOSITION</t>
  </si>
  <si>
    <t>G16H20/10;;A61K31/403;;A61K31/445;;A61K31/4985;;A61K31/513;;A61K31/522;;G16H10/20;;G16H50/20;;A61K31/403;;A61K31/513;;A61K31/522;;A61P3/10;;G06F9/542;;G06F16/9035;;G06F16/9038;;G16H10/20;;G16H70/40</t>
  </si>
  <si>
    <t>A61K31/403;;A61K31/513;;A61K31/522;;A61P3/10;;G06F9/54;;G06F16/9035;;G06F16/9038;;G16H10/20;;G16H70/40</t>
  </si>
  <si>
    <t>https://lens.org/133-292-716-108-608</t>
  </si>
  <si>
    <t>126</t>
  </si>
  <si>
    <t>141-312-521-598-577</t>
  </si>
  <si>
    <t>US 2024/0207176 A1</t>
  </si>
  <si>
    <t>ASTRAZENECA UK LIMITED (2020-10-23);;ASTRAZENECA AB (2020-11-19);;SOFOTEC (2020-10-01)</t>
  </si>
  <si>
    <t>DRY POWDER FORMULATION FOR PULMONARY DELIVERY AND METHODS OF USE</t>
  </si>
  <si>
    <t>A61K9/0075;;A61K9/145;;A61K47/26;;A61P29/00;;A61K31/506;;A61K9/0075;;A61K9/145;;A61K31/506;;A61K47/26</t>
  </si>
  <si>
    <t>A61K9/00;;A61K9/14;;A61K31/506;;A61K47/26</t>
  </si>
  <si>
    <t>https://lens.org/141-312-521-598-577</t>
  </si>
  <si>
    <t>127</t>
  </si>
  <si>
    <t>107-160-165-978-924</t>
  </si>
  <si>
    <t>US 2024/0208947 A1</t>
  </si>
  <si>
    <t>ASTRAZENECA PHARMACEUTICALS LP (2017-12-08);;ASTRAZENECA AB (2017-12-06);;ASTRAZENECA UK LIMITED (2017-12-12)</t>
  </si>
  <si>
    <t>JAK1 SELECTIVE INHIBITORS</t>
  </si>
  <si>
    <t>A61K9/0075;;A61P17/14;;A61P37/00;;C07D403/04;;C07D403/14;;C07D403/04;;C07D403/14;;A61P17/14;;A61P37/00;;A61P17/14;;A61P37/00;;C07D403/04;;C07D403/14;;C07D403/04;;A61K31/506;;C07D403/14;;A61P17/14;;A61P37/00;;A61P3/10;;A61P17/14;;A61K9/0075;;C07D403/14</t>
  </si>
  <si>
    <t>C07D403/14;;A61K9/00;;A61P17/14</t>
  </si>
  <si>
    <t>https://lens.org/107-160-165-978-924</t>
  </si>
  <si>
    <t>128</t>
  </si>
  <si>
    <t>166-038-488-954-063</t>
  </si>
  <si>
    <t>US 2024/0197748 A1</t>
  </si>
  <si>
    <t>ASTRAZENECA UK LIMITED (2024-03-12);;ASTRAZENECA AB (2024-10-08);;ASTRAZENECA KOREA LTD (2024-06-13)</t>
  </si>
  <si>
    <t>COMBINATION TREATMENT FOR MELANOMA</t>
  </si>
  <si>
    <t>A61K31/5355;;A61K39/39558;;A61K45/06;;A61P35/00;;A61P35/04;;C07K16/2827;;A61K9/0019;;A61K45/06;;A61K9/0019;;A61K31/5355;;A61K39/39558;;C07K16/2827;;A61K2300/00;;A61P35/00;;A61P35/04;;A61K31/5377;;A61K39/39558;;A61K45/06;;A61P35/00;;C07K16/2827;;A61K2300/00;;A61K2039/505;;A61P35/04;;A61K31/5377;;A61K39/3955</t>
  </si>
  <si>
    <t>A61K31/5377;;A61K39/395;;A61P35/04</t>
  </si>
  <si>
    <t>https://lens.org/166-038-488-954-063</t>
  </si>
  <si>
    <t>129</t>
  </si>
  <si>
    <t>152-524-747-303-675</t>
  </si>
  <si>
    <t>US 2024/0182548 A1</t>
  </si>
  <si>
    <t>ASTRAZENECA PHARMACEUTICALS LP (2021-02-15);;ASTRAZENECA UK LIMITED (2021-02-22);;MEDIMMUNE LLC (2021-02-15)</t>
  </si>
  <si>
    <t>SARS-COV-2 ANTIBODIES AND METHODS OF SELECTING AND USING THE SAME</t>
  </si>
  <si>
    <t>A61P31/14;;C07K2317/34;;C07K2317/21;;C07K2317/76;;C07K16/104;;C07K16/10;;A61P31/14;;C07K2317/34;;C07K2317/21;;G01N2333/165;;G01N33/56983;;C07K2317/565;;C07K2317/76;;A61P31/14;;C07K2317/76;;C07K2317/24;;C07K2317/34;;A61K2039/505;;A61K39/395;;A61K39/215;;C07K16/104;;C07K2317/565;;C07K2317/76;;G01N33/56983;;G01N2333/165;;A61P31/14;;C07K16/104</t>
  </si>
  <si>
    <t>C07K16/10;;G01N33/569</t>
  </si>
  <si>
    <t>https://lens.org/152-524-747-303-675</t>
  </si>
  <si>
    <t>130</t>
  </si>
  <si>
    <t>076-311-257-983-010</t>
  </si>
  <si>
    <t>US 2024/0182479 A1</t>
  </si>
  <si>
    <t>ASTRAZENECA AB (2021-08-09)</t>
  </si>
  <si>
    <t>SUBSTITUTED INDAZOLES AS IRAK4 INHIBITORS</t>
  </si>
  <si>
    <t>C07D487/04;;A61P11/00;;A61P11/06;;A61P35/00;;A61P35/02;;A61P29/00;;A61P37/00;;A61P37/08;;A61P17/00;;A61P17/06;;C07D487/04;;A61P35/02;;A61P29/00;;A61P37/06;;A61P17/06;;A61P37/00;;A61P11/06;;A61P11/00;;A61P17/00;;A61P35/00;;A61P37/08;;C07D487/04;;A61K31/5025;;A61K31/519;;A61P11/00;;A61P35/00;;A61P29/00;;A61P37/00;;A61P17/06;;A61P11/06;;A61P37/06;;C07D487/04</t>
  </si>
  <si>
    <t>C07D487/04;;A61P11/06;;A61P37/06</t>
  </si>
  <si>
    <t>https://lens.org/076-311-257-983-010</t>
  </si>
  <si>
    <t>131</t>
  </si>
  <si>
    <t>157-936-604-040-161</t>
  </si>
  <si>
    <t>US 2024/0183859 A1</t>
  </si>
  <si>
    <t>ASTRAZENECA AB (2021-08-20);;MEDIMMUNE LLC (2021-08-19)</t>
  </si>
  <si>
    <t>SYSTEM AND METHOD FOR ONLINE DETECTION OF A POST-TRANSLATIONAL MODIFICATION OF A POLYPEPTIDE</t>
  </si>
  <si>
    <t>G01N33/6842;;G01N2440/00;;G01N2030/8831;;B01D15/3809;;G01N33/6842</t>
  </si>
  <si>
    <t>G01N33/68;;B01D15/38</t>
  </si>
  <si>
    <t>https://lens.org/157-936-604-040-161</t>
  </si>
  <si>
    <t>132</t>
  </si>
  <si>
    <t>192-876-844-947-229</t>
  </si>
  <si>
    <t>US 2024/0180893 A1</t>
  </si>
  <si>
    <t>ASTRAZENECA UK LIMITED (2023-10-16);;ASTRAZENECA AB (2023-10-18)</t>
  </si>
  <si>
    <t>METHODS OF TREATMENT OF BREAST CANCER</t>
  </si>
  <si>
    <t>A61K31/4745;;A61P35/00;;A61K31/4745;;C12Q1/6886;;A61K9/0053;;C12Q2600/156;;A61P35/04;;A61P35/00;;A61K31/4745;;A61P35/00;;A61P35/04;;A61P35/04;;A61P35/00;;A61K9/0053;;A61K31/4745;;C12Q1/6886;;C12Q2600/156</t>
  </si>
  <si>
    <t>A61K31/4745;;A61K9/00;;A61P35/00;;A61P35/04;;C12Q1/6886</t>
  </si>
  <si>
    <t>https://lens.org/192-876-844-947-229</t>
  </si>
  <si>
    <t>133</t>
  </si>
  <si>
    <t>098-341-504-669-893</t>
  </si>
  <si>
    <t>US 2024/0182890 A1</t>
  </si>
  <si>
    <t>ASTRAZENECA AB (2023-10-20)</t>
  </si>
  <si>
    <t>COMPOSITIONS AND METHODS FOR SITE-SPECIFIC MODIFICATION</t>
  </si>
  <si>
    <t>C12N15/11;;C12N9/22;;C12N9/93;;C12N15/90;;C12N2310/20;;C12N2310/315;;C12N2310/332;;C12N2310/3519;;C12Y207/07049;;C12Y605/01;;C12N15/11;;C12N9/22;;C12N9/93;;C12N15/907;;C12N2310/20;;C12N2310/315</t>
  </si>
  <si>
    <t>C12N15/11;;C12N9/00;;C12N9/22;;C12N15/90</t>
  </si>
  <si>
    <t>https://lens.org/098-341-504-669-893</t>
  </si>
  <si>
    <t>134</t>
  </si>
  <si>
    <t>049-586-339-405-242</t>
  </si>
  <si>
    <t>US 2024/0173261 A1</t>
  </si>
  <si>
    <t>ASTRAZENECA UK LIMITED (2021-12-14);;ASTRAZENECA AB (2022-01-11);;ASTRAZENECA INVESTMENT (CHINA) CO. LTD (2021-12-14)</t>
  </si>
  <si>
    <t>FORMULATION COMPRISING CERALASERTIB</t>
  </si>
  <si>
    <t>A61K9/2009;;A61K9/2054;;A61K9/2013;;A61K9/2077;;A61K31/5377;;A61P35/00;;A61K9/2009;;A61K9/2077;;A61K9/2054;;A61P35/00;;A61K9/2013;;A61K31/5377;;A61K9/2009;;A61K9/2054;;A61K9/2013;;A61K31/5377;;A61P35/00;;A61K9/2054;;A61K31/5377;;A61K47/02;;A61K47/12</t>
  </si>
  <si>
    <t>A61K9/20;;A61K31/5377;;A61K47/02;;A61K47/12</t>
  </si>
  <si>
    <t>https://lens.org/049-586-339-405-242</t>
  </si>
  <si>
    <t>135</t>
  </si>
  <si>
    <t>192-059-191-384-894</t>
  </si>
  <si>
    <t>US 2024/0167926 A1</t>
  </si>
  <si>
    <t>ASTRAZENECA AB (2021-04-09);;ASTRAZENECA UK LIMITED (2021-04-15)</t>
  </si>
  <si>
    <t>APPARATUS AND METHOD FOR EVALUATING PHYSICAL STRENGTH OR ROBUSTNESS OF SOLID PHARMACEUTICAL DOSAGE FORMS BASED ON AN IMPACT STRIKE TEST</t>
  </si>
  <si>
    <t>G01N3/04;;G01N3/303;;G01N2203/001;;G01N2203/0033;;G01N2203/0087;;G01N2203/0218;;G01N2203/0234;;G01N2203/0258;;G01N2203/0447;;G01N2203/0641;;G01N2203/0676;;G01N33/15;;G01N3/303;;G01N33/15;;G01N2203/001;;G01N2203/0033;;G01N2203/0087;;G01N2203/0218;;G01N2203/0234;;G01N2203/0676</t>
  </si>
  <si>
    <t>G01N3/303;;G01N33/15</t>
  </si>
  <si>
    <t>https://lens.org/192-059-191-384-894</t>
  </si>
  <si>
    <t>136</t>
  </si>
  <si>
    <t>148-064-025-862-417</t>
  </si>
  <si>
    <t>US 2024/0166642 A1</t>
  </si>
  <si>
    <t>ASTRAZENECA AB (2023-10-05)</t>
  </si>
  <si>
    <t>INHIBITORS OF MYELOPEROXIDASE</t>
  </si>
  <si>
    <t>C07D487/04;;A61P35/00;;C07D473/22;;C07D487/04;;A61K31/519;;A61P1/16;;A61P9/00;;A61P11/00;;A61P13/12;;A61P25/00;;A61P29/00;;A61P35/00;;C07D473/22;;C07D419/14</t>
  </si>
  <si>
    <t>C07D419/14</t>
  </si>
  <si>
    <t>https://lens.org/148-064-025-862-417</t>
  </si>
  <si>
    <t>137</t>
  </si>
  <si>
    <t>080-948-180-259-122</t>
  </si>
  <si>
    <t>US 2024/0158791 A1</t>
  </si>
  <si>
    <t>ASTRAZENECA AB;;IONIS PHARMACEUTICLS INC</t>
  </si>
  <si>
    <t>IONIS PHARMACEUTICALS INC (2020-10-27);;ASTRAZENECA AB (2020-11-23)</t>
  </si>
  <si>
    <t>METHOD OF TREATING FATTY LIVER DISEASE</t>
  </si>
  <si>
    <t>C12N15/113;;C12N2310/14;;C12N2320/34;;C12N15/113;;A61K31/713;;A61P1/16;;C12N2310/14;;C12N2310/141;;C12N2310/315;;C12N2310/321;;C12N2310/322;;C12N2310/341;;C12N2310/3519;;C12N2320/34;;A61K48/00;;A61K31/713;;A61P1/16;;C12N15/113;;C12N2310/141;;C12N2310/315;;C12N2310/321;;C12N15/113;;A61K31/713;;A61P1/16;;C12N2310/14;;C12N2310/141;;C12N2310/315;;C12N2310/321;;C12N2310/322;;C12N2310/341;;C12N2310/3519</t>
  </si>
  <si>
    <t>C12N15/113;;A61K31/713;;A61P1/16</t>
  </si>
  <si>
    <t>https://lens.org/080-948-180-259-122</t>
  </si>
  <si>
    <t>138</t>
  </si>
  <si>
    <t>051-101-051-231-873</t>
  </si>
  <si>
    <t>US 2024/0156815 A1</t>
  </si>
  <si>
    <t>ASTRAZENECA UK LIMITED (2018-05-17);;ASTRAZENECA AB (2018-06-14)</t>
  </si>
  <si>
    <t>OSIMERTINIB FOR USE IN THE TREATMENT OF NON-SMALL CELL LUNG CANCER</t>
  </si>
  <si>
    <t>A61K31/506;;A61K33/243;;A61K31/555;;A61K45/06;;A61P35/00;;A61K31/337;;A61K31/475;;A61K31/506;;A61K31/519;;A61K31/555;;A61K31/7048;;A61K31/7068;;A61P35/00;;A61K33/243;;A61K33/24;;A61K31/506;;A61P35/00;;A61K31/7048;;A61K31/7068;;A61K31/337;;A61K31/555;;A61K31/475;;A61K31/519;;A61K2300/00;;A61K33/243;;A61K31/506;;A61P35/00;;A61P35/00;;A61K9/20;;A61K31/506;;A61K33/243</t>
  </si>
  <si>
    <t>A61K31/506;;A61K9/20;;A61K33/243;;A61P35/00</t>
  </si>
  <si>
    <t>https://lens.org/051-101-051-231-873</t>
  </si>
  <si>
    <t>139</t>
  </si>
  <si>
    <t>119-284-093-989-818</t>
  </si>
  <si>
    <t>US 2024/0150355 A1</t>
  </si>
  <si>
    <t>ASTRAZENECA AB;;CANCER RESEARCH TECH LTD</t>
  </si>
  <si>
    <t>ASTRAZENECA UK LIMITED (2019-08-20);;ASTRAZENECA AB (2020-12-04);;CANCER RESEARCH TECHNOLOGY LIMITED (2020-12-04)</t>
  </si>
  <si>
    <t>PURINONE COMPOUNDS AND THEIR USE IN TREATING CANCER</t>
  </si>
  <si>
    <t>C07D473/32;;A61P35/00;;C07D473/32;;A61K31/502;;A61K31/704;;C07B2200/13;;A61K31/437;;A61K31/5377;;A61K9/127;;A61K31/519;;A61K31/522;;A61N5/10;;C07D473/32;;A61K31/519;;A61P35/00;;A61K9/127;;A61K31/437;;A61K31/502;;A61K31/522;;A61K31/5377;;A61K31/704;;A61N5/10;;C07B2200/13;;C07D473/32</t>
  </si>
  <si>
    <t>C07D473/32;;A61K9/127;;A61K31/437;;A61K31/502;;A61K31/522;;A61K31/5377;;A61K31/704</t>
  </si>
  <si>
    <t>https://lens.org/119-284-093-989-818</t>
  </si>
  <si>
    <t>140</t>
  </si>
  <si>
    <t>019-502-944-337-517</t>
  </si>
  <si>
    <t>EP 3930715 B1</t>
  </si>
  <si>
    <t>ASTRAZENECA AB;;FRAUNHOFER GES FORSCHUNG</t>
  </si>
  <si>
    <t>FRAUNHOFER-GESELLSCHAFT ZUR FOERDERUNG DER ANGEWANDTEN FORSCHUNG E.V. (2022-04-20);;ASTRAZENECA AB (2022-04-20)</t>
  </si>
  <si>
    <t>SARACATINIB FOR USE IN THE TREATMENT OF IDIOPATHIC PULMONARY FIBROSIS</t>
  </si>
  <si>
    <t>A61K31/496;;A61K31/4412;;A61K45/06;;A61P11/00;;A61P11/00;;A61K31/496;;A61K31/517</t>
  </si>
  <si>
    <t>A61K31/4412;;A61K31/496;;A61K45/06;;A61P11/00</t>
  </si>
  <si>
    <t>https://lens.org/019-502-944-337-517</t>
  </si>
  <si>
    <t>141</t>
  </si>
  <si>
    <t>191-469-167-737-712</t>
  </si>
  <si>
    <t>US 11972844 B2</t>
  </si>
  <si>
    <t>Systems and methods for dispensing a statin medication over the counter</t>
  </si>
  <si>
    <t>G16H10/20;;G16H20/10;;G16H10/20;;G16H20/10;;G16H10/20;;G06Q50/22;;G16H10/60;;G16H20/10;;G16H20/13;;G16H70/20</t>
  </si>
  <si>
    <t>G16H10/20;;G06Q50/22;;G16H10/60;;G16H20/10;;G16H20/13;;G16H70/20</t>
  </si>
  <si>
    <t>https://lens.org/191-469-167-737-712</t>
  </si>
  <si>
    <t>142</t>
  </si>
  <si>
    <t>036-947-110-747-622</t>
  </si>
  <si>
    <t>US 11964097 B2</t>
  </si>
  <si>
    <t>UPC CAMBRIDGE LTD (2018-09-17);;TEAM CONSULTING LIMITED (2018-09-29);;ASTRAZENECA AB (2018-09-12);;ASTRAZENECA UK LIMITED (2018-10-10)</t>
  </si>
  <si>
    <t>Inhaler</t>
  </si>
  <si>
    <t>A61M15/0025;;A61M15/002;;A61M15/0026;;A61M15/0071;;A61M15/0086;;A61M15/009;;A61M15/0091;;A61M15/0096;;A61M15/0025;;A61M15/002;;A61M15/0026;;A61M15/0071;;A61M15/0086;;A61M15/009;;A61M15/0091;;A61M15/0096;;A61M15/009;;A61M15/0025;;A61M15/0026;;A61M15/0091;;A61M15/0095;;A61M15/0096;;A61M2205/8281;;A61M15/002;;A61M15/0013;;A61M15/0025;;A61M15/0026;;A61M15/0071;;A61M15/0086;;A61M15/009;;A61M15/0091;;A61M15/0095;;A61M15/0096;;A61M2205/8281</t>
  </si>
  <si>
    <t>A61M15/00</t>
  </si>
  <si>
    <t>https://lens.org/036-947-110-747-622</t>
  </si>
  <si>
    <t>143</t>
  </si>
  <si>
    <t>053-475-369-681-478</t>
  </si>
  <si>
    <t>US 2024/0124492 A1</t>
  </si>
  <si>
    <t>ASTRAZENECA UK LIMITED (2017-12-20);;ASTRAZENECA AB (2020-01-29)</t>
  </si>
  <si>
    <t>Amino-triazolopyridine Compounds and Their Use in Treating Cancer</t>
  </si>
  <si>
    <t>A61K31/502;;A61K31/522;;A61K45/06;;A61P35/00;;C07D473/18;;C07D519/00;;C07D519/00;;A61K31/522;;A61K45/06;;A61P35/00;;C07D473/18;;C07D519/00;;A61K31/502;;A61K31/522;;A61K45/06;;A61K2300/00;;A61P35/00;;C07D473/18;;C07D473/18;;A61K31/502;;A61K31/522;;A61K45/06;;A61K2300/00;;A61P35/00;;C07D519/00;;C07D519/00;;A61K31/502;;A61K31/522;;A61K45/06;;A61P35/00;;C07D473/18</t>
  </si>
  <si>
    <t>C07D519/00;;A61K31/502;;A61K31/522;;A61K45/06;;A61P35/00;;C07D473/18</t>
  </si>
  <si>
    <t>https://lens.org/053-475-369-681-478</t>
  </si>
  <si>
    <t>144</t>
  </si>
  <si>
    <t>088-099-830-866-07X</t>
  </si>
  <si>
    <t>US 2024/0115716 A1</t>
  </si>
  <si>
    <t>STARPHARMA PTY LIMITED (2018-02-06);;ASTRAZENECA PHARMACEUTICALS LP (2017-12-07);;ASTRAZENECA UK LIMITED (2018-02-16);;ASTRAZENECA AB (2018-02-26)</t>
  </si>
  <si>
    <t>THERAPEUTIC DENDRIMERS</t>
  </si>
  <si>
    <t>C07K7/02;;A61K31/451;;A61K47/60;;A61K47/641;;A61P35/00;;C08G69/10;;C08G69/40;;C08G83/003;;A61K38/00;;C08G69/10;;C08G69/40;;C08G83/003;;A61K47/60;;A61P35/00;;A61K31/451;;A61K47/641;;A61K47/60;;C08G69/10;;C08G69/40;;C08G83/003;;A61K31/451;;A61P35/00;;C08G83/003;;A61K47/60;;A61K47/641;;A61K31/451;;A61P35/00;;C08G69/10;;C08G69/40;;C08G69/10;;C08G69/40;;C08G83/003;;A61K47/60;;A61P35/00;;A61K47/641;;A61K31/451</t>
  </si>
  <si>
    <t>A61K47/64;;A61K31/451;;A61K47/60;;A61P35/00;;C08G69/10;;C08G69/40;;C08G83/00</t>
  </si>
  <si>
    <t>https://lens.org/088-099-830-866-07X</t>
  </si>
  <si>
    <t>145</t>
  </si>
  <si>
    <t>087-832-513-637-348</t>
  </si>
  <si>
    <t>US 11952392 B2</t>
  </si>
  <si>
    <t>ASTRAZENECA PHARMACEUTICALS LP (2019-01-17);;ASTRAZENECA UK LIMITED (2019-01-17);;ASTRAZENECA AB (2019-01-18)</t>
  </si>
  <si>
    <t>A61K33/22;;A61K31/69;;A61P29/00;;A61P35/00;;C07F5/025;;C07F5/025;;A61K31/69;;A61K33/22;;A61P29/00;;A61P35/00;;C07B2200/13;;C07F5/025;;A61K31/69;;A61P35/00;;C07F5/025;;C07B2200/13</t>
  </si>
  <si>
    <t>https://lens.org/087-832-513-637-348</t>
  </si>
  <si>
    <t>146</t>
  </si>
  <si>
    <t>105-531-661-947-067</t>
  </si>
  <si>
    <t>US 2024/0105289 A1</t>
  </si>
  <si>
    <t>ASTRAZENECA PHARMACEUTICALS LP (2021-10-25);;ASTRAZENECA AB (2021-08-09);;ASTRAZENECA UK LIMITED (2021-11-25)</t>
  </si>
  <si>
    <t>CLINICAL ENDPOINT ADJUDICATION SYSTEM AND METHOD</t>
  </si>
  <si>
    <t>G16H10/20;;G16H50/70;;G16H15/00;;G16H10/60;;G16H50/20;;G16H50/70;;G16H50/20;;G16H10/20;;G06F40/40</t>
  </si>
  <si>
    <t>G16H10/20;;G06F40/40;;G16H50/20;;G16H50/70</t>
  </si>
  <si>
    <t>https://lens.org/105-531-661-947-067</t>
  </si>
  <si>
    <t>147</t>
  </si>
  <si>
    <t>038-598-216-462-369</t>
  </si>
  <si>
    <t>US 2024/0101549 A1</t>
  </si>
  <si>
    <t>ASTRAZENECA AB (2023-08-31)</t>
  </si>
  <si>
    <t>N-(2-(4-CYANOTHIAZOLIDIN-3-YL)-2-OXOETHYL)-QUINOLINE-4-CARBOXAMIDES</t>
  </si>
  <si>
    <t>C07D417/14;;C07D417/12;;C07D491/10;;C07D498/08;;C07D498/10;;C07D487/04;;C07D487/10;;C07D495/10;;A61P1/16;;C07D417/14;;C07D417/12;;C07D495/10;;C07D498/08;;C07D487/10;;C07D491/10;;C07D498/10;;C07D487/04;;A61P1/16;;C07D417/14;;A61K31/5355;;A61K31/4709;;A61K31/541;;A61K31/5377;;A61P1/16;;C07D417/12;;C07D491/107;;C07D471/04;;C07D491/113;;C07D487/04;;C07D498/10;;C07D498/08;;A61P1/16;;C07D417/12;;C07D417/14;;C07D487/04;;C07D487/10;;C07D491/107;;C07D491/113;;C07D493/10;;C07D495/10;;C07D498/08</t>
  </si>
  <si>
    <t>C07D417/14;;A61P1/16;;C07D487/04;;C07D487/10;;C07D491/107;;C07D491/113;;C07D493/10;;C07D495/10;;C07D498/08</t>
  </si>
  <si>
    <t>https://lens.org/038-598-216-462-369</t>
  </si>
  <si>
    <t>148</t>
  </si>
  <si>
    <t>192-613-530-378-84X</t>
  </si>
  <si>
    <t>US 2024/0092787 A1</t>
  </si>
  <si>
    <t>ASTRAZENECA UK LIMITED (2023-10-12);;ASTRAZENECA AB (2023-10-18)</t>
  </si>
  <si>
    <t>PHARMACEUTICAL PROCESS AND INTERMEDIATES</t>
  </si>
  <si>
    <t>C07D487/04;;C07D207/34;;B01J31/2226;;B01J31/2409;;B01J2231/4277;;B01J2531/004;;B01J2531/824;;C07B2200/13;;C07D207/34;;C07D487/04</t>
  </si>
  <si>
    <t>C07D487/04;;B01J31/22;;B01J31/24;;C07D207/34</t>
  </si>
  <si>
    <t>https://lens.org/192-613-530-378-84X</t>
  </si>
  <si>
    <t>149</t>
  </si>
  <si>
    <t>008-333-062-039-653</t>
  </si>
  <si>
    <t>US 2024/0091231 A1</t>
  </si>
  <si>
    <t>ASTRAZENECA AB (2023-07-05);;ASTRAZENECA INVESTMENT (CHINA) CO. LTD (2022-09-22)</t>
  </si>
  <si>
    <t>PHARMACEUTICAL FORMULATIONS</t>
  </si>
  <si>
    <t>A61K9/2054;;A61K9/2018;;A61K9/2027;;A61K9/2866;;A61K31/519;;A61P9/00;;A61K31/519;;A61P9/00;;A61K9/2018;;A61K9/2009;;A61K9/2866;;A61K9/2054;;A61K9/2013;;A61K9/282;;A61K9/2027;;A61K9/2826;;A61K9/2054;;A61K9/2018;;A61K9/2027;;A61K9/2866;;A61K9/2009;;A61K9/2013;;A61K9/2826;;A61K31/519;;A61P9/00;;A61K9/2009;;A61K9/2013;;A61K9/2018;;A61K9/2054;;A61K9/2826;;A61K9/2866;;A61K31/519;;A61K9/284;;A61P9/04;;A61P1/16;;A61P11/00;;A61P9/00</t>
  </si>
  <si>
    <t>A61K31/519;;A61K9/20;;A61K9/28</t>
  </si>
  <si>
    <t>https://lens.org/008-333-062-039-653</t>
  </si>
  <si>
    <t>150</t>
  </si>
  <si>
    <t>170-836-000-878-353</t>
  </si>
  <si>
    <t>US 2024/0092875 A1</t>
  </si>
  <si>
    <t>ASTRAZENECA PHARMACEUTICALS LP (2021-02-19);;ASTRAZENECA UK LIMITED (2021-02-23);;MEDIMMUNE LLC (2021-02-15)</t>
  </si>
  <si>
    <t>SARS-COV-2 ANTIBODIES FOR TREATMENT AND PREVENTION OF COVID-19</t>
  </si>
  <si>
    <t>A61P31/14;;A61K2039/54;;A61K2039/545;;A61K2039/57;;C07K2317/76;;C07K16/104;;C07K16/10;;A61K2039/54;;C07K2317/24;;C07K2317/565;;A61K2039/545;;A61K2039/57;;A61P31/14;;C07K2317/76;;A61K9/0019;;A61K2039/507;;C07K2317/52;;C07K2317/21;;A61K9/0019;;A61P31/14;;A61K2039/507;;A61K2039/54;;A61K2039/545;;C07K2317/21;;C07K2317/24;;C07K2317/52;;C07K2317/565;;C07K2317/76;;C07K16/104;;A61P31/14;;A61K9/0019;;A61K2039/507;;A61K2039/54;;A61K2039/545;;C07K2317/21;;C07K2317/24;;C07K2317/52;;C07K2317/565;;C07K2317/76;;C07K16/104</t>
  </si>
  <si>
    <t>C07K16/10;;A61K9/00;;A61P31/14</t>
  </si>
  <si>
    <t>https://lens.org/170-836-000-878-353</t>
  </si>
  <si>
    <t>151</t>
  </si>
  <si>
    <t>005-358-721-815-41X</t>
  </si>
  <si>
    <t>US 2024/0082278 A1</t>
  </si>
  <si>
    <t>ASTRAZENECA AB (2018-08-16)</t>
  </si>
  <si>
    <t>METHODS OF TREATING HEART FAILURE WITH PRESERVED EJECTION FRACTION EMPLOYING DAPAGLIFLOZIN AND COMPOSITIONS COMPRISING THE SAME</t>
  </si>
  <si>
    <t>A61K31/70;;A61K31/70;;A61K45/06;;A61K2300/00;;A61K31/7034;;A61K31/155;;A61K31/403;;A61K9/20;;A61K45/06;;A61P9/04;;A61K2300/00;;A61K31/70;;A61K45/06</t>
  </si>
  <si>
    <t>A61K31/70</t>
  </si>
  <si>
    <t>https://lens.org/005-358-721-815-41X</t>
  </si>
  <si>
    <t>152</t>
  </si>
  <si>
    <t>164-603-385-033-911</t>
  </si>
  <si>
    <t>US 2024/0070940 A1</t>
  </si>
  <si>
    <t>ASTRAZENECA PHARMACEUTICALS LP (2021-09-21);;ASTRAZENECA UK LIMITED (2021-09-22);;ASTRAZENECA AB (2021-08-23);;MEDIMMUNE LLC (2021-08-20)</t>
  </si>
  <si>
    <t>GRAPH CONSTRUCTION AND VISUALIZATION OF MULTIPLEX IMMUNOFLUORESCENCE IMAGES</t>
  </si>
  <si>
    <t>G06V20/69;;G06V10/82;;G06F18/29;;G06T7/62;;G16H50/20;;G06V20/695;;G06F3/04817;;G06T2207/10064;;G06T11/23</t>
  </si>
  <si>
    <t>G06T11/20;;G06F3/04817;;G06T7/62;;G06V20/69;;G16H50/20</t>
  </si>
  <si>
    <t>https://lens.org/164-603-385-033-911</t>
  </si>
  <si>
    <t>153</t>
  </si>
  <si>
    <t>044-311-188-273-275</t>
  </si>
  <si>
    <t>US 2024/0058331 A1</t>
  </si>
  <si>
    <t>ASTRAZENECA AB (2023-01-19)</t>
  </si>
  <si>
    <t>COMBINATION THERAPIES FOR TREATMENT OF CIRRHOSIS WITH PORTAL HYPERTENSION</t>
  </si>
  <si>
    <t>A61K31/497;;A61K31/70;;A61P1/16;;A61K31/497;;A61K2300/00;;A61K31/351;;A61P1/16;;A61K31/70;;A61K31/497;;A61K31/351;;A61P1/16;;A61K2300/00;;A61P1/16;;A61K31/351;;A61K31/497</t>
  </si>
  <si>
    <t>A61K31/497;;A61K9/00;;A61K31/7034;;A61P1/16</t>
  </si>
  <si>
    <t>https://lens.org/044-311-188-273-275</t>
  </si>
  <si>
    <t>154</t>
  </si>
  <si>
    <t>199-508-166-080-165</t>
  </si>
  <si>
    <t>US 2024/0041896 A1</t>
  </si>
  <si>
    <t>ASTRAZENECA AB;;INSMED INC</t>
  </si>
  <si>
    <t>ASTRAZENECA AB (2017-11-11);;ASTRAZENECA UK LIMITED (2018-02-12);;INSMED INCORPORATED (2020-05-05)</t>
  </si>
  <si>
    <t>CERTAIN (2S)-N-[(1S)-1-CYANO-2-PHENYLETHYL]-1,4-OXAZEPANE-2-CARBOXAMIDES FOR TREATING BRONCHIECTASIS</t>
  </si>
  <si>
    <t>A61K31/553;;A61K9/0053;;A61P11/00;;A61P31/04;;A61K31/553;;A61P11/08;;A61K31/553;;A61K9/0053</t>
  </si>
  <si>
    <t>A61K31/553;;A61K9/00</t>
  </si>
  <si>
    <t>https://lens.org/199-508-166-080-165</t>
  </si>
  <si>
    <t>155</t>
  </si>
  <si>
    <t>063-265-557-724-284</t>
  </si>
  <si>
    <t>US 2024/0044901 A1</t>
  </si>
  <si>
    <t>INST NAT SANTE RECH MED;;UNIV SORBONNE;;ASTRAZENECA AB</t>
  </si>
  <si>
    <t>INSTITUT NATIONAL DE LA SANTE ET DE LA RECHERCHE MEDICALE (2023-08-31);;ASTRAZENECA AB (2023-08-31);;SORBONNE UNIVERSITE (2023-08-31)</t>
  </si>
  <si>
    <t>NEW METHOD TO PRONOSTIC LUNG CANCER</t>
  </si>
  <si>
    <t>G01N33/5752;;G01N33/5758;;G01N33/5752</t>
  </si>
  <si>
    <t>G01N33/574</t>
  </si>
  <si>
    <t>https://lens.org/063-265-557-724-284</t>
  </si>
  <si>
    <t>156</t>
  </si>
  <si>
    <t>196-478-393-321-906</t>
  </si>
  <si>
    <t>US 2024/0035003 A1</t>
  </si>
  <si>
    <t>ASTRAZENECA UK LIMITED (2022-03-08);;MEDIMMUNE LLC (2022-02-14)</t>
  </si>
  <si>
    <t>METHODS OF PRODUCING ADENOVIRUS</t>
  </si>
  <si>
    <t>C12N2710/10351;;C12N15/86;;A61K39/12;;C12N2770/20034;;A61P31/14;;C12N2710/10343;;A61K35/761;;C12N7/00;;A61P31/14;;C12N2710/10051;;C12N2710/10343;;C12N2710/10351;;A61K39/12;;A61K39/235;;C12N15/86;;C12N2770/20034;;C12N2710/10034;;C12N7/00;;A61K39/235;;A61K35/761;;A61P31/14;;C12N2710/10351;;C12N2710/10343;;C12N2710/10034;;C12N2710/10051;;C12N2770/20034;;A61K35/761;;A61K39/235;;C12N7/00;;C12N2710/10034;;C12N2710/10051;;A61K39/215;;A61K2039/5254;;A61K2039/5256;;C12N7/02;;C12N15/86;;C12N2710/10351;;C12N2770/20034</t>
  </si>
  <si>
    <t>C12N7/02;;A61K39/215;;C12N15/86</t>
  </si>
  <si>
    <t>https://lens.org/196-478-393-321-906</t>
  </si>
  <si>
    <t>157</t>
  </si>
  <si>
    <t>061-075-118-383-561</t>
  </si>
  <si>
    <t>US 11883582 B2</t>
  </si>
  <si>
    <t>ASTRAZENECA AB (2020-05-28)</t>
  </si>
  <si>
    <t>A61M15/0026;;A61M15/007;;A61M15/0081;;A61M15/009;;A61M15/0091;;A61M15/009;;A61M15/0026;;A61M15/007;;A61M15/0081;;A61M15/0091;;A61M15/009;;A61M15/0026;;A61M15/007;;A61M15/0081;;A61M15/0091;;A61M15/0081;;A61M15/0026;;A61M15/007;;A61M15/009;;A61M15/0091;;A61M15/007;;A61M15/0026;;A61M15/0081;;A61M15/009;;A61M15/0091</t>
  </si>
  <si>
    <t>https://lens.org/061-075-118-383-561</t>
  </si>
  <si>
    <t>158</t>
  </si>
  <si>
    <t>000-216-001-321-459</t>
  </si>
  <si>
    <t>US 2024/0026015 A1</t>
  </si>
  <si>
    <t>NORTHWELL HEALTH INC (2022-11-19);;ASTRAZENECA PHARMACEUTICALS LP (2022-11-22);;ASTRAZENECA AB (2021-09-15);;ASTRAZENECA UK LIMITED (2021-12-21);;THE TRUSTEES OF COLUMBIA UNIVERSITY IN THE CITY OF NEW YORK (2022-03-24);;MEDIMMUNE LLC (2022-01-04)</t>
  </si>
  <si>
    <t>TREATMENT OF FLARES IN LUPUS</t>
  </si>
  <si>
    <t>A61P37/00;;C07K16/2866;;A61P37/00;;C07K16/2866;;C07K16/2866;;A61K9/0019;;A61K2039/505;;A61M5/28;;A61P13/12;;A61P19/02;;A61P37/00;;C07K16/2866;;A61K9/0019;;A61P13/12;;A61P19/02;;A61P37/06</t>
  </si>
  <si>
    <t>C07K16/28;;A61K9/00;;A61P13/12;;A61P19/02;;A61P37/06</t>
  </si>
  <si>
    <t>https://lens.org/000-216-001-321-459</t>
  </si>
  <si>
    <t>159</t>
  </si>
  <si>
    <t>173-847-078-942-936</t>
  </si>
  <si>
    <t>US 2024/0029838 A1</t>
  </si>
  <si>
    <t>METHODS FOR TREATING AND PREVENTING SYMPTOMS OF ASTHMA WITH A CORTICOSTEROID PHARMACEUTICAL COMPOSITION</t>
  </si>
  <si>
    <t>G16H10/20;;A61K31/573;;A61K31/58;;G16H20/10;;G16H50/20;;G16H10/20;;A61K31/573;;A61K31/58;;A61P11/06;;G06F16/9035;;G06F16/9038;;G06Q30/0637;;G16H70/40</t>
  </si>
  <si>
    <t>G16H10/20;;A61K31/573;;A61K31/58;;A61P11/06;;G06F16/9035;;G06F16/9038;;G06Q30/0601;;G16H70/40</t>
  </si>
  <si>
    <t>https://lens.org/173-847-078-942-936</t>
  </si>
  <si>
    <t>160</t>
  </si>
  <si>
    <t>118-084-838-343-913</t>
  </si>
  <si>
    <t>US 2024/0026318 A1</t>
  </si>
  <si>
    <t>ASTRAZENECA AB (2020-11-29);;FUNDACIÓ INSTITUT DE RECERCA DE I'HOSPITAL DE LA SANTA CREU I SANT PAU (2021-06-18)</t>
  </si>
  <si>
    <t>COMBINATION TREATMENT</t>
  </si>
  <si>
    <t>A61K38/46;;C12N9/14;;C12Y306/01005;;A61P9/00;;A61P9/10;;A61K45/06;;A61K31/4365;;A61K31/519;;A61K31/7076;;A61K31/616;;A61K38/46;;A61K31/519;;A61K31/4365;;A61K31/7064;;A61K45/06;;A61P9/10;;C12Y306/01005;;A61K2300/00;;A61P7/04;;A61K38/00;;C07K14/4703;;C12N9/16;;C12Y306/01005</t>
  </si>
  <si>
    <t>A61P7/04;;C12N9/16;;C07K14/47</t>
  </si>
  <si>
    <t>https://lens.org/118-084-838-343-913</t>
  </si>
  <si>
    <t>161</t>
  </si>
  <si>
    <t>146-714-622-089-847</t>
  </si>
  <si>
    <t>US 2024/0006084 A1</t>
  </si>
  <si>
    <t>METHODS FOR TREATMENT OF HYPERTENSION WITH AN ANGIOTENSIN II RECEPTOR BLOCKER PHARMACEUTICAL COMPOSITION</t>
  </si>
  <si>
    <t>G16H50/20;;A61K31/41;;A61K31/4178;;A61K31/4184;;A61K31/4245;;A61P9/12;;G16H10/20;;G16H20/10;;G16H50/30;;G16H70/40;;G16H20/10;;A61K31/41;;A61K31/4178;;A61K31/4184;;A61K31/4245;;G16H10/20;;G16H50/20;;G16H70/40;;A61K31/4245;;G16H10/20;;G16H20/10;;G16H50/20;;G16H50/30</t>
  </si>
  <si>
    <t>G16H70/40;;A61K31/4245;;G16H10/20;;G16H20/10;;G16H50/20;;G16H50/30</t>
  </si>
  <si>
    <t>https://lens.org/146-714-622-089-847</t>
  </si>
  <si>
    <t>162</t>
  </si>
  <si>
    <t>089-918-320-286-019</t>
  </si>
  <si>
    <t>US 2024/0005501 A1</t>
  </si>
  <si>
    <t>ASTRAZENECA UK LIMITED (2021-11-08);;ASTRAZENECA AB (2021-11-10)</t>
  </si>
  <si>
    <t>AUTOMATED ASSESSMENT OF WOUND TISSUE</t>
  </si>
  <si>
    <t>A61L26/0066;;A61B5/0066;;A61B5/0073;;A61B5/445;;A61B5/7267;;A61K31/4545;;A61K31/573;;A61L2300/432;;A61P3/10;;A61P17/02;;G16H15/00;;G16H30/40;;G16H50/20;;A61K31/4545;;A61B5/0066;;A61B5/445;;A61K9/0053;;A61K31/573;;A61K45/06;;A61P17/02;;G06T7/0014;;G06T7/55;;G06T7/60;;G06T2207/10101;;G06T2207/20081;;G06T2207/20084;;G06T2207/30088;;G06V10/764;;G06V2201/03</t>
  </si>
  <si>
    <t>G06T7/00;;A61B5/00;;G06T7/55;;G06T7/60;;G06V10/764</t>
  </si>
  <si>
    <t>https://lens.org/089-918-320-286-019</t>
  </si>
  <si>
    <t>163</t>
  </si>
  <si>
    <t>140-769-610-585-237</t>
  </si>
  <si>
    <t>US 2023/0414760 A1</t>
  </si>
  <si>
    <t>ASTRAZENECA UK LIMITED (2021-05-18)</t>
  </si>
  <si>
    <t>PHARMACEUTICAL FORMULATION</t>
  </si>
  <si>
    <t>A61K9/19;;A61K47/14;;A61K9/0019;;A61K38/00;;A61K47/68;;A61K47/22</t>
  </si>
  <si>
    <t>A61K47/22;;A61K47/68</t>
  </si>
  <si>
    <t>https://lens.org/140-769-610-585-237</t>
  </si>
  <si>
    <t>164</t>
  </si>
  <si>
    <t>154-337-271-732-19X</t>
  </si>
  <si>
    <t>US 2023/0406840 A1</t>
  </si>
  <si>
    <t>ASTRAZENECA AB (2023-10-30)</t>
  </si>
  <si>
    <t>N-(2-(3-CYANO-2-AZABICYCLO[3.1.0]HEXAN-2-YL)-2-OXOETHYL)QUINOLINE-4-CARBOXAMIDES</t>
  </si>
  <si>
    <t>C07D401/12;;A61P1/16;;C07D401/12;;A61P1/16;;C07D401/12;;A61K31/4709;;A61P1/16;;C07D401/12</t>
  </si>
  <si>
    <t>https://lens.org/154-337-271-732-19X</t>
  </si>
  <si>
    <t>165</t>
  </si>
  <si>
    <t>009-932-789-071-292</t>
  </si>
  <si>
    <t>US 2023/0407285 A1</t>
  </si>
  <si>
    <t>DOGMA THERAPEUTICS INC (2020-01-27);;ASTRAZENECA AB (2020-08-26)</t>
  </si>
  <si>
    <t>C07D403/12;;C07D413/12;;C07D417/12;;C07D417/14;;A61P9/00;;A61K31/506;;A61K31/5377;;A61K31/541;;A61K45/06;;A61P9/12;;A61P3/06;;C07D403/12;;C07D413/12;;C07D417/12;;C07D417/14;;C12N9/0012;;C12N9/6424;;C07D417/12;;A61K31/506;;A61K31/5377;;C07D417/14;;C07D491/107;;C07D487/10;;C07D498/04;;C07D471/10;;C07D413/12;;C07D403/12;;C07D403/14;;C07D401/14;;C07D498/10;;C07D495/04;;C07D239/42;;C07D235/30;;C07D253/075;;C07D263/58;;C07D271/07;;C07D401/12;;C07D471/04;;C07D417/12;;C07D403/12;;C07D417/14;;C07D413/12;;C12N9/0012;;C12N9/6424;;A61P3/06</t>
  </si>
  <si>
    <t>C12N9/64;;A61P3/06;;C07D413/12;;C12N9/06</t>
  </si>
  <si>
    <t>https://lens.org/009-932-789-071-292</t>
  </si>
  <si>
    <t>166</t>
  </si>
  <si>
    <t>051-368-461-349-770</t>
  </si>
  <si>
    <t>US 11847415 B2</t>
  </si>
  <si>
    <t>ASTRAZENECA PHARMACEUTICALS LP (2020-11-30);;ASTRAZENECA UK LIMITED (2020-12-17);;ASTRAZENECA AB (2020-12-22)</t>
  </si>
  <si>
    <t>Automated detection of safety signals for pharmacovigilance</t>
  </si>
  <si>
    <t>G06F40/30;;G06F40/279;;G06N3/045;;G06N3/048;;G06N3/08;;G06N3/09;;G06N3/096;;G16H70/40;;G06F40/279;;G06F40/30;;G06N20/00;;G16H70/40</t>
  </si>
  <si>
    <t>G06F40/279;;G06F40/30;;G06N20/00;;G16H70/40</t>
  </si>
  <si>
    <t>https://lens.org/051-368-461-349-770</t>
  </si>
  <si>
    <t>167</t>
  </si>
  <si>
    <t>156-463-126-234-741</t>
  </si>
  <si>
    <t>US 2023/0374597 A1</t>
  </si>
  <si>
    <t>ASTRAZENECA PHARMACEUTICALS LP (2021-01-12);;ASTRAZENECA UK LIMITED (2021-01-21);;ASTRAZENECA AB (2021-02-01)</t>
  </si>
  <si>
    <t>BIOMARKERS FOR PREDICTING OVERALL SURVIVAL IN RECORRENT/METASTATIC HEAD AND NECK SQUAMOUS CELL CARCINOMA</t>
  </si>
  <si>
    <t>C12Q1/6886;;C12Q2600/106;;C12Q2600/156;;C12Q1/6886;;A61K2039/507;;A61P35/04;;C07K16/2818;;C07K16/2827;;C12Q2600/106;;C12Q2600/156;;G01N33/57557;;G01N2333/70596</t>
  </si>
  <si>
    <t>C12Q1/6886;;A61P35/04;;C07K16/28;;G01N33/574</t>
  </si>
  <si>
    <t>https://lens.org/156-463-126-234-741</t>
  </si>
  <si>
    <t>168</t>
  </si>
  <si>
    <t>131-349-111-692-815</t>
  </si>
  <si>
    <t>US 2023/0372333 A1</t>
  </si>
  <si>
    <t>ASTRAZENECA UK LIMITED (2023-09-22);;ASTRAZENECA AB (2023-09-26)</t>
  </si>
  <si>
    <t>A61K31/496;;A61K31/555;;A61K31/282;;A61K33/243;;A61K45/06;;A61P35/00;;A61K45/06;;A61P35/00;;A61K31/496;;A61K31/555;;A61K33/243;;A61K31/282;;A61K2300/00;;A61K31/496;;A61K33/243;;A61K31/555;;A61K45/06;;A61P35/00;;A61K2300/00;;A61P35/00;;A61K33/243;;A61K31/496;;A61K31/555</t>
  </si>
  <si>
    <t>A61K31/496;;A61K31/555;;A61K33/243;;A61P35/00</t>
  </si>
  <si>
    <t>https://lens.org/131-349-111-692-815</t>
  </si>
  <si>
    <t>169</t>
  </si>
  <si>
    <t>165-896-087-123-124</t>
  </si>
  <si>
    <t>US 2023/0374503 A1</t>
  </si>
  <si>
    <t>ASTRAZENECA PHARMACEUTICALS LP (2014-12-10);;ASTRAZENECA AB (2014-12-16);;ASTRAZENECA UK LIMITED (2014-12-16)</t>
  </si>
  <si>
    <t>COMBINATION</t>
  </si>
  <si>
    <t>C12N15/111;;C12N15/113;;C12N2310/11;;C12N2310/315;;C12N2310/3231;;C12N2310/341;;C12N2310/346;;C12N2320/31;;C12N15/111;;A61K38/1774;;A61P35/00;;C12N15/113;;C12N2310/11;;C12N2310/315;;C12N2310/3231;;C12N2310/341;;C12N2310/346;;C12N2320/31;;C12N15/111;;A61K38/1774;;A61K45/06;;A61P35/00;;C12N15/113;;C12N2310/11;;C12N2310/315;;C12N2310/3231;;C12N2310/341;;C12N2310/346;;C12N2320/31;;A61K39/395;;A61K31/7088;;A61K39/39558;;A61K2039/505;;A61K2300/00;;A61P35/00;;C12N15/113;;C12N2310/11;;C12N2310/315;;C12N2310/3231;;C12N2310/341;;C12N2310/346;;C12N2320/31;;A61K31/7088;;A61K39/3955;;A61P35/00;;C12N15/111;;A61K38/1774;;A61K45/06;;A61P35/00;;C12N15/113;;C12N2310/11;;C12N2310/315;;C12N2310/3231;;C12N2310/341;;C12N2310/346;;C12N2320/31</t>
  </si>
  <si>
    <t>C12N15/11;;A61K38/17;;A61P35/00;;C12N15/113</t>
  </si>
  <si>
    <t>https://lens.org/165-896-087-123-124</t>
  </si>
  <si>
    <t>170</t>
  </si>
  <si>
    <t>141-539-598-312-123</t>
  </si>
  <si>
    <t>US 2023/0372527 A1</t>
  </si>
  <si>
    <t>DAIICHI SANKYO COMPANY LIMITED (2021-06-10);;ASTRAZENECA PHARMACEUTICALS LP (2021-05-17);;ASTRAZENECA UK LIMITED (2021-06-10)</t>
  </si>
  <si>
    <t>A61K31/496;;A61K31/498;;A61K31/4985;;A61P35/00;;A61P35/02;;A61K39/395;;C07K16/32;;C07K2317/24;;A61K47/68037;;A61K47/6855;;A61K31/496;;A61K31/4985;;C07K2317/24;;A61P35/00;;A61K2300/00;;C07K16/32;;A61K39/395;;A61P35/02;;A61K31/498;;A61K47/6803;;A61K47/6889;;A61K47/6851;;A61K47/6849;;A61K31/4745;;A61K31/496;;A61K45/06;;A61P35/00;;C07K16/32;;C07K2317/24;;A61K47/6889;;A61K47/545;;A61P35/00;;A61K31/4375;;C07K16/32</t>
  </si>
  <si>
    <t>A61K47/68;;A61K31/4375;;A61K47/54;;A61P35/00;;C07K16/32</t>
  </si>
  <si>
    <t>https://lens.org/141-539-598-312-123</t>
  </si>
  <si>
    <t>171</t>
  </si>
  <si>
    <t>102-857-369-276-850</t>
  </si>
  <si>
    <t>US 11817188 B2</t>
  </si>
  <si>
    <t>Methods for lowering blood sugar with a metformin pharmaceutical composition</t>
  </si>
  <si>
    <t>G16H20/10;;A61K31/155;;A61K45/00;;A61P3/10;;G16H10/20;;G16H50/20;;G16H20/10;;A61K31/155;;A61P3/10;;G16H10/20;;G16H50/20;;G16H10/40;;G16H20/10;;G16H50/30</t>
  </si>
  <si>
    <t>G16H50/30;;G16H10/20;;G16H10/40;;G16H20/10</t>
  </si>
  <si>
    <t>https://lens.org/102-857-369-276-850</t>
  </si>
  <si>
    <t>172</t>
  </si>
  <si>
    <t>050-307-398-779-27X</t>
  </si>
  <si>
    <t>US 11817195 B2</t>
  </si>
  <si>
    <t>Methods for lowering blood sugar with a gliflozin sodium-glucose cotransport 2 inhibitor pharmaceutical composition</t>
  </si>
  <si>
    <t>G16H20/10;;A61K31/70;;A61K31/7034;;A61K31/7048;;A61K31/7056;;G16H10/20;;G16H50/20;;G16H20/13;;A61K31/70;;G16H10/20;;G16H10/40;;G16H10/60;;G16H70/40</t>
  </si>
  <si>
    <t>G16H10/20;;A61K31/70;;G16H10/40;;G16H10/60;;G16H20/13;;G16H70/40</t>
  </si>
  <si>
    <t>https://lens.org/050-307-398-779-27X</t>
  </si>
  <si>
    <t>173</t>
  </si>
  <si>
    <t>099-665-046-776-065</t>
  </si>
  <si>
    <t>US 2023/0357768 A1</t>
  </si>
  <si>
    <t>ASTRAZENECA AB;;IONIS PHARMCEUTICALS INC</t>
  </si>
  <si>
    <t>IONIS PHARMACEUTICALS INC (2021-06-22);;ASTRAZENECA AB (2021-03-24)</t>
  </si>
  <si>
    <t>PHARMACEUTICAL COMPOSITIONS COMPRISING AN ANTISENSE OLIGONUCLEOTIDE FOR ORAL ADMINISTRATION</t>
  </si>
  <si>
    <t>A61P9/10;;A61K9/2013;;A61K9/2018;;A61K9/2054;;A61K31/711;;A61K38/48;;A61P1/16;;C12N2310/11;;C12Y304/21062;;A61P9/10;;A61K9/2013;;A61K9/2018;;A61K9/2054;;A61K31/711;;A61K38/48;;A61P1/16;;C12N2310/11;;C12Y304/21062;;A61K9/2013;;A61K31/7125;;A61K47/549;;A61P1/16;;A61P3/06;;A61P9/10;;C12N15/113;;A61P3/06;;C12N2310/11</t>
  </si>
  <si>
    <t>C12N15/113;;A61P3/06</t>
  </si>
  <si>
    <t>https://lens.org/099-665-046-776-065</t>
  </si>
  <si>
    <t>174</t>
  </si>
  <si>
    <t>195-266-343-106-334</t>
  </si>
  <si>
    <t>US 2023/0355653 A1</t>
  </si>
  <si>
    <t>ASTRAZENECA AB (2021-03-05)</t>
  </si>
  <si>
    <t>PCSK9 INHIBITORS AND METHODS OF TREATMENT USING SAME</t>
  </si>
  <si>
    <t>A61K47/549;;A61K31/7125;;A61K47/56;;A61P3/06;;C07H21/04;;C12N9/6424;;C12Y304/21061;;A61K47/549;;A61K31/7125;;A61K47/56;;A61P3/06;;C07H21/04;;C12N9/6424;;C12Y304/21061;;A61K31/7125;;A61K47/549;;A61P3/06;;A61P9/00;;A61P9/10;;A61K31/7125;;A61K9/0019;;A61P3/06</t>
  </si>
  <si>
    <t>A61K31/7125;;A61K9/00;;A61P3/06</t>
  </si>
  <si>
    <t>https://lens.org/195-266-343-106-334</t>
  </si>
  <si>
    <t>175</t>
  </si>
  <si>
    <t>149-619-628-120-036</t>
  </si>
  <si>
    <t>US 2023/0346791 A1</t>
  </si>
  <si>
    <t>ASTRAZENECA UK LIMITED (2021-04-27);;ASTRAZENECA AB (2021-04-28);;ASTRAZENECA KOREA LTD (2021-04-26)</t>
  </si>
  <si>
    <t>ATR INHIBITORS FOR THE TREATMENT OF CANCER</t>
  </si>
  <si>
    <t>A61K31/5377;;A61K45/06;;A61P35/00;;A61K39/3955;;A61K31/337;;A61K31/5377;;A61K31/337;;A61K45/06;;A61P35/00;;A61K45/06;;A61K31/5377;;A61K31/337;;A61P35/00;;A61K2300/00;;A61K31/5377;;A61K31/337;;A61K45/06;;A61P35/00;;A61K2300/00;;A61P35/00;;A61K31/337;;A61K31/5377;;A61K45/06</t>
  </si>
  <si>
    <t>A61K31/5377;;A61K31/337;;A61K45/06;;A61P35/00</t>
  </si>
  <si>
    <t>https://lens.org/149-619-628-120-036</t>
  </si>
  <si>
    <t>176</t>
  </si>
  <si>
    <t>024-441-520-137-057</t>
  </si>
  <si>
    <t>US 2023/0348363 A1</t>
  </si>
  <si>
    <t>ASTRAZENECA AB (2021-09-07);;MITSUBISHI TANABE PHARMA CORPORATION (2021-10-06)</t>
  </si>
  <si>
    <t>COMPOUNDS AND THEIR USE</t>
  </si>
  <si>
    <t>C07D237/20;;A61P9/04;;A61P13/12;;C07B2200/07;;C07C237/24;;C07C255/57;;C07C2601/04;;C07C2601/14;;C07C2602/38;;C07C2602/42;;C07D213/79;;C07D231/12;;C07D231/14;;C07D239/42;;C07D241/12;;C07D263/40;;C07D275/02;;C07D307/24;;C07D333/38;;C07D487/04;;C07D493/08;;C07C233/81;;A61P9/04;;A61P13/12;;C07B2200/07;;C07B2200/13;;C07C237/24;;C07C255/57;;C07C2601/04;;C07C2601/14;;C07C2602/38;;C07C2602/42;;C07D213/79;;C07D231/12;;C07D231/14;;C07D237/20;;C07D239/42;;C07D241/12;;C07D263/40;;C07D275/02;;C07D307/24;;C07D333/38;;C07D487/04;;C07D493/08;;C07C237/24;;A61K31/277;;A61K31/44;;A61P9/04;;A61P13/12;;C07B2200/07;;C07C255/57;;C07C2601/04;;C07C2601/14;;C07C2602/38;;C07C2602/42;;C07D213/643;;C07D213/75;;C07D231/12;;C07D237/20;;C07D239/42;;C07D241/12;;C07D277/22;;C07D307/24;;C07D309/04;;C07D309/08;;C07D487/04;;C07C233/81;;C07B2200/13</t>
  </si>
  <si>
    <t>C07C233/81</t>
  </si>
  <si>
    <t>https://lens.org/024-441-520-137-057</t>
  </si>
  <si>
    <t>177</t>
  </si>
  <si>
    <t>015-195-232-525-947</t>
  </si>
  <si>
    <t>US 2023/0348606 A1</t>
  </si>
  <si>
    <t>ASTRAZENECA PHARMACEUTICALS LP (2021-03-04);;ASTRAZENECA UK LIMITED (2021-03-16);;ASTRAZENECA AB (2021-03-19);;ASTRAZENECA FARMACEUTICA SPAIN S.A (2021-03-18)</t>
  </si>
  <si>
    <t>METHODS FOR TREATING SEVERE ASTHMA IN PATIENTS WITH NASAL POLYPOSIS</t>
  </si>
  <si>
    <t>C07K16/2866;;A61K2039/505;;A61K2039/545;;A61P11/06;;C07K2317/24;;C07K2317/732;;C07K2317/76;;C07K16/2866;;A61K2039/505;;A61K2039/545;;A61P11/06;;C07K2317/24;;C07K2317/732;;C07K2317/76;;C07K16/2866;;A61K2039/505;;A61K2039/545;;A61P11/06;;C07K2317/24;;C07K2317/732;;C07K2317/76;;C07K16/2866;;A61K2039/505;;A61P11/06</t>
  </si>
  <si>
    <t>C07K16/28;;A61P11/06</t>
  </si>
  <si>
    <t>https://lens.org/015-195-232-525-947</t>
  </si>
  <si>
    <t>178</t>
  </si>
  <si>
    <t>023-058-790-474-821</t>
  </si>
  <si>
    <t>US 2023/0340538 A1</t>
  </si>
  <si>
    <t>ASTRAZENECA AB (2022-10-21)</t>
  </si>
  <si>
    <t>COMPOSITIONS AND METHODS FOR IMPROVED SITE-SPECIFIC MODIFICATION</t>
  </si>
  <si>
    <t>C12N15/102;;C07K2319/00;;C12N9/1252;;C12N9/1276;;C12N9/22;;C12N9/93;;C12N15/113;;C12N2310/20;;C12N15/90;;C12N9/1252;;C12N9/1276;;C12N9/22;;C12N9/93;;C12N15/11;;C12N15/85;;C12N2310/20;;C12N2800/107;;C12N2800/80</t>
  </si>
  <si>
    <t>C12N15/90;;C12N9/00;;C12N9/12;;C12N9/22;;C12N15/11;;C12N15/85</t>
  </si>
  <si>
    <t>https://lens.org/023-058-790-474-821</t>
  </si>
  <si>
    <t>179</t>
  </si>
  <si>
    <t>009-900-705-034-835</t>
  </si>
  <si>
    <t>US 2023/0340079 A1</t>
  </si>
  <si>
    <t>MEDIMMUNE LIMITED (2023-06-21);;ASTRAZENECA UK LIMITED (2023-06-06);;ASTRAZENECA AB (2023-07-12)</t>
  </si>
  <si>
    <t>C12N15/85;;C07K16/00;;C07K16/06;;C07K2317/10</t>
  </si>
  <si>
    <t>C07K16/06</t>
  </si>
  <si>
    <t>https://lens.org/009-900-705-034-835</t>
  </si>
  <si>
    <t>180</t>
  </si>
  <si>
    <t>120-507-679-839-826</t>
  </si>
  <si>
    <t>US 11798661 B2</t>
  </si>
  <si>
    <t>Methods for lowering blood pressure with a dihydropyridine-type calcium channel blocker pharmaceutical composition</t>
  </si>
  <si>
    <t>G16H20/10;;A61K31/4422;;G16H10/20;;G16H50/20;;G16H10/20;;A61K31/4422;;G16H10/40;;G16H10/60;;G16H15/00;;G16H20/10;;G16H70/40</t>
  </si>
  <si>
    <t>G16H10/20;;A61K31/4422;;G16H10/40;;G16H10/60;;G16H15/00;;G16H20/10;;G16H70/40</t>
  </si>
  <si>
    <t>https://lens.org/120-507-679-839-826</t>
  </si>
  <si>
    <t>181</t>
  </si>
  <si>
    <t>153-741-044-832-826</t>
  </si>
  <si>
    <t>US 2023/0332239 A1</t>
  </si>
  <si>
    <t>ASTRAZENECA PHARMACEUTICALS LP (2021-05-04);;ASTRAZENECA UK LIMITED (2021-05-05);;ASTRAZENECA AB (2021-05-10)</t>
  </si>
  <si>
    <t>METHODS OF TREATING CANCER</t>
  </si>
  <si>
    <t>C12Q1/6886;;C12Q2600/106;;C12Q2600/112;;C12Q2600/158;;C12Q1/6886;;C12Q2600/106;;C12Q2600/112;;C12Q2600/158;;C12Q1/6886;;C12Q2600/106;;C12Q2600/156;;C12Q2600/158</t>
  </si>
  <si>
    <t>https://lens.org/153-741-044-832-826</t>
  </si>
  <si>
    <t>182</t>
  </si>
  <si>
    <t>095-931-191-218-08X</t>
  </si>
  <si>
    <t>US 2023/0330243 A1</t>
  </si>
  <si>
    <t>A61K47/6855;;A61K47/6889;;A61P35/00;;A61K45/06;;A61K31/5377;;C07K16/32;;C07K2317/24;;A61K47/68037;;C07K16/32;;A61K47/6855;;A61P35/00;;A61K31/5377;;A61K47/6889;;A61K2300/00;;A61K45/06;;C07K2317/24;;A61K47/68037;;A61K47/6889;;A61K47/6803;;A61K47/6855;;A61K31/5377;;A61K45/06;;A61P35/04;;C07K16/32;;A61K2300/00;;C07K2317/24;;A61K47/6889;;A61K47/6855;;A61P35/00;;A61K31/5377;;C07K16/32;;A61K47/68037</t>
  </si>
  <si>
    <t>A61K47/68;;A61K31/5377;;A61P35/00;;C07K16/32</t>
  </si>
  <si>
    <t>https://lens.org/095-931-191-218-08X</t>
  </si>
  <si>
    <t>183</t>
  </si>
  <si>
    <t>087-629-384-942-595</t>
  </si>
  <si>
    <t>US 2023/0295293 A1</t>
  </si>
  <si>
    <t>MEDIMMUNE LIMITED (2022-05-30);;ASTRAZENECA PHARMACEUTICALS LP (2022-05-20);;ASTRAZENECA UK LIMITED (2022-05-19);;ASTRAZENECA AB (2022-06-20);;MEDIMMUNE LLC (2022-05-23)</t>
  </si>
  <si>
    <t>BINDING MOLECULES AGAINST FRa</t>
  </si>
  <si>
    <t>C07K16/28;;C07K2317/21;;C07K2317/33;;C07K2317/77;;C07K2317/92;;C07K2317/90;;A61K2039/505;;C07K2317/73;;A61P35/00;;A61K47/6849;;A61K47/6889;;A61K47/68037;;C07K16/28;;C07K2317/24;;C07K2317/14;;C07K2317/56;;C07K2317/94;;A61K47/6889;;C07K2317/92;;C07K2317/90;;C07K2317/21;;C07K2317/73;;A61P15/00;;C07K2317/77;;C07K2317/565;;A61K2039/505;;A61K47/6801;;A61P35/00;;C07K2317/33;;A61K47/6849;;A61K47/68037;;A61P1/00;;A61P11/00;;C07K16/28;;A61K47/6849;;A61K47/6889;;A61K47/68035;;A61K47/6801;;A61P35/00;;C07K2317/77;;C07K2317/33;;C07K2317/73;;C07K2317/92;;C07K2317/24;;C07K2317/55;;C07K2317/54;;A61K2039/505;;A61K47/6801;;A61P1/00;;A61P11/00;;A61P15/00;;A61P35/00;;A61K2039/505;;C07K16/28;;C07K2317/14;;C07K2317/21;;C07K2317/24;;C07K2317/56;;C07K2317/565;;C07K2317/92;;C07K2317/94</t>
  </si>
  <si>
    <t>C07K16/28;;A61K47/68;;A61P1/00;;A61P11/00;;A61P15/00;;A61P35/00</t>
  </si>
  <si>
    <t>https://lens.org/087-629-384-942-595</t>
  </si>
  <si>
    <t>184</t>
  </si>
  <si>
    <t>142-894-448-324-762</t>
  </si>
  <si>
    <t>US 2023/0286981 A1</t>
  </si>
  <si>
    <t>ASTRAZENECA UK LIMITED (2016-09-15);;ASTRAZENECA AB (2016-09-15)</t>
  </si>
  <si>
    <t>Imidazo[4,5-c]quinolin-2-one Compounds and Their Use in Treating Cancer</t>
  </si>
  <si>
    <t>C07D471/04;;A61K31/4745;;A61P25/28;;A61P35/00;;C07D471/04;;A61K31/4745;;A61P35/00;;C07D471/04;;A61K31/4745;;A61K45/06;;A61P35/00;;C07D471/04;;A61K31/4745;;A61K45/06;;A61P35/00</t>
  </si>
  <si>
    <t>C07D471/04;;A61K31/4745;;A61K45/06;;A61P35/00</t>
  </si>
  <si>
    <t>https://lens.org/142-894-448-324-762</t>
  </si>
  <si>
    <t>185</t>
  </si>
  <si>
    <t>152-322-535-638-427</t>
  </si>
  <si>
    <t>US 2023/0279078 A1</t>
  </si>
  <si>
    <t>ASTRAZENECA PHARMACEUTICALS LP (2021-02-16);;ASTRAZENECA UK LIMITED (2021-02-05);;MEDIMMUNE LLC (2021-02-15)</t>
  </si>
  <si>
    <t>SARS-COV-2 PROTEINS, ANTI-SARS-COV-2 ANTIBODIES, AND METHODS OF USING THE SAME</t>
  </si>
  <si>
    <t>G01N33/56983;;G01N2469/20;;C07K16/102;;C07K16/104;;C07K16/10;;G01N33/56983;;G01N2469/20;;G01N33/56983;;G01N33/532;;G01N33/54388;;G01N2333/165;;C07K16/104;;G01N33/54388;;C07K2317/565;;C12N15/63;;G01N33/56983;;G01N2469/20;;C07K16/102;;C07K16/104</t>
  </si>
  <si>
    <t>C07K16/10;;C12N15/63;;G01N33/543;;G01N33/569</t>
  </si>
  <si>
    <t>https://lens.org/152-322-535-638-427</t>
  </si>
  <si>
    <t>186</t>
  </si>
  <si>
    <t>098-990-893-327-810</t>
  </si>
  <si>
    <t>US 2023/0279352 A1</t>
  </si>
  <si>
    <t>ASTRAZENECA PHARMACEUTICALS LP (2021-09-15);;ASTRAZENECA AB (2021-09-21);;ASTRAZENECA UK LIMITED (2024-02-19)</t>
  </si>
  <si>
    <t>C12N5/0636;;C12N5/0646;;C12N2510/00;;C07K14/47;;C07K14/4738;;C07K14/7051;;C07K14/70539;;C12N9/16;;C12N9/22;;A61K2239/38;;A61K2239/53;;A61K40/4205;;A61K40/4215;;A61K40/4261;;A61K40/50;;A61K40/31;;A61K40/11;;A61K39/001106;;A61K39/001117;;A61K39/001174;;A61K2039/5156;;A61K2039/5158;;C07K14/47;;C07K14/4738;;C07K14/4747;;C07K14/705;;C07K14/7051;;C07K14/70539;;C12N5/0636;;C12N5/0638;;C12N5/0646;;C12N9/16;;C12N9/22;;C12N2510/00;;C12N2510/04;;A61K40/31;;A61K40/11;;C12N5/0636;;C07K14/7051;;C07K14/4738;;C07K14/4747;;C07K14/70539;;C12N9/16;;C12N9/22;;A61P35/00;;C12N2510/00;;C12N2310/20;;A61K40/31;;A61K40/11;;C07K14/4747;;C07K14/705;;C12N5/0638;;C12N2510/04;;C12N5/0636;;C12N5/0646;;A61K2239/38;;A61K2239/53;;A61K40/11;;A61K40/31;;A61K40/4205;;A61K40/4215;;A61K40/4261;;A61K40/50</t>
  </si>
  <si>
    <t>C12N5/0783;;A61K39/00;;C07K14/47;;C07K14/705</t>
  </si>
  <si>
    <t>https://lens.org/098-990-893-327-810</t>
  </si>
  <si>
    <t>187</t>
  </si>
  <si>
    <t>034-140-453-487-72X</t>
  </si>
  <si>
    <t>US 11748981 B2</t>
  </si>
  <si>
    <t>ASTRAZENECA COMPUTATIONAL PATHOLOGY GMBH (2019-12-05)</t>
  </si>
  <si>
    <t>Deep learning method for predicting patient response to a therapy</t>
  </si>
  <si>
    <t>G06V10/82;;G06V10/764;;G06V20/695;;G06V20/698;;G06V10/82;;G01N1/30;;G01N2800/52;;G01N2800/7028;;G06F18/2414;;G06T7/0012;;G06T7/136;;G06T7/337;;G06T7/35;;G06T2207/20084;;G06T2207/30024;;G06T2207/30242;;G06V10/764;;G06V20/695;;G06V20/698</t>
  </si>
  <si>
    <t>G06V10/82;;G01N1/30;;G06F18/2413;;G06T7/00;;G06T7/136;;G06T7/33;;G06T7/35;;G06V10/764;;G06V20/69</t>
  </si>
  <si>
    <t>https://lens.org/034-140-453-487-72X</t>
  </si>
  <si>
    <t>188</t>
  </si>
  <si>
    <t>064-989-659-812-269</t>
  </si>
  <si>
    <t>US 11738027 B2</t>
  </si>
  <si>
    <t>ASTRAZENECA UK LIMITED (2019-01-14);;ASTRAZENECA AB (2019-01-21)</t>
  </si>
  <si>
    <t>MPO inhibitors for use in medicine</t>
  </si>
  <si>
    <t>A61K31/505;;A61P15/10;;A61K31/505;;A61P15/10;;A61K31/505;;A61K31/519;;A61P15/08;;A61P15/10;;A61K31/519;;A61P15/08;;A61K31/519;;A61P15/10</t>
  </si>
  <si>
    <t>A61P15/10;;A61K31/505;;A61K31/519</t>
  </si>
  <si>
    <t>https://lens.org/064-989-659-812-269</t>
  </si>
  <si>
    <t>189</t>
  </si>
  <si>
    <t>103-373-262-667-662</t>
  </si>
  <si>
    <t>EP 3842058 B1</t>
  </si>
  <si>
    <t>PIERIS PHARMACEUTICALS GMBH;;ASTRAZENECA AB</t>
  </si>
  <si>
    <t>PIERIS PHARMACEUTICALS GMBH, DE (2023-12-12);;ASTRAZENECA AB (2023-08-16);;ASTRAZENECA AB, SE (2023-12-12);;PIERIS PHARMACEUTICALS GMBH (2023-08-16)</t>
  </si>
  <si>
    <t>METHODS FOR PREVENTING OR TREATING CERTAIN DISORDERS BY INHIBITING BINDING OF IL-4 AND/OR IL-13 TO THEIR RESPECTIVE RECEPTORS</t>
  </si>
  <si>
    <t>A61K38/1709;;A61K9/0078;;A61K9/08;;A61P11/00;;A61P11/02;;A61P11/06;;A61P11/16;;A61P27/02;;A61P29/00;;A61P35/00;;A61P37/08;;A61P43/00;;A61K38/1709;;A61K9/0078;;A61K9/08</t>
  </si>
  <si>
    <t>A61K38/17;;A61K9/00</t>
  </si>
  <si>
    <t>https://lens.org/103-373-262-667-662</t>
  </si>
  <si>
    <t>190</t>
  </si>
  <si>
    <t>077-110-034-669-783</t>
  </si>
  <si>
    <t>US 2023/0255962 A1</t>
  </si>
  <si>
    <t>ASTRAZENECA PHARMACEUTICALS LP (2017-10-18);;ASTRAZENECA UK LIMITED (2017-10-24);;ASTRAZENECA AB (2017-10-26)</t>
  </si>
  <si>
    <t>COMBINATION OF A BTK INHIBITOR AND AN INHIBITOR OF CDK9 TO TREAT CANCER</t>
  </si>
  <si>
    <t>A61K31/4439;;A61K31/444;;A61K31/454;;A61K31/4985;;A61K31/505;;A61K31/519;;A61K31/522;;A61K31/53;;A61K31/519;;A61K31/4439;;A61K31/453;;A61P35/00;;A61K2300/00;;A61P35/00;;A61K31/4025;;A61K31/4433;;A61K31/4439;;A61K31/444;;A61K31/4985;;A61K31/505;;A61K31/519;;A61K31/522;;A61K31/53</t>
  </si>
  <si>
    <t>A61K31/4985;;A61K31/4025;;A61K31/4433;;A61K31/4439;;A61K31/444;;A61K31/505;;A61K31/519;;A61K31/522;;A61K31/53;;A61P35/00</t>
  </si>
  <si>
    <t>https://lens.org/077-110-034-669-783</t>
  </si>
  <si>
    <t>191</t>
  </si>
  <si>
    <t>116-783-478-574-039</t>
  </si>
  <si>
    <t>US 2023/0256110 A1</t>
  </si>
  <si>
    <t>COMBINATION OF ANTIBODY-DRUG CONJUGATE AND ATM INHIBITOR</t>
  </si>
  <si>
    <t>A61K47/6855;;A61K31/4745;;A61K45/06;;A61K47/68037;;A61K47/6889;;A61P35/00;;A61K47/6855;;A61K31/4745;;A61K47/68037;;A61K47/6889;;A61P35/00;;C07K16/22</t>
  </si>
  <si>
    <t>A61K47/68;;A61K31/4745;;A61P35/00;;C07K16/22</t>
  </si>
  <si>
    <t>https://lens.org/116-783-478-574-039</t>
  </si>
  <si>
    <t>192</t>
  </si>
  <si>
    <t>115-322-789-817-853</t>
  </si>
  <si>
    <t>US 2023/0242626 A1</t>
  </si>
  <si>
    <t>ASTRAZENECA UK LIMITED (2022-09-06);;MEDIMMUNE LLC (2022-08-30)</t>
  </si>
  <si>
    <t>COMPOSITION FOR TREATMENT AND PREVENTION OF COVID-19</t>
  </si>
  <si>
    <t>A61K39/39591;;A61K47/26;;A61K47/18;;A61K9/0019;;A61P37/00;;C07K16/10;;C07K2317/565;;A61P37/00;;A61P31/14;;A61K47/18;;A61K47/26;;A61K9/0019;;A61K39/39591;;A61K39/39591;;A61K47/183;;A61K47/22;;A61K47/26;;A61K9/0019;;A61P31/14;;A61K2039/54;;C07K2317/565;;C07K16/104;;A61P31/14;;C07K16/10;;C07K2317/565</t>
  </si>
  <si>
    <t>A61P31/14;;C07K16/10</t>
  </si>
  <si>
    <t>https://lens.org/115-322-789-817-853</t>
  </si>
  <si>
    <t>193</t>
  </si>
  <si>
    <t>103-766-225-929-093</t>
  </si>
  <si>
    <t>US 2023/0233540 A1</t>
  </si>
  <si>
    <t>COMBINATION OF ANTIBODY-DRUG CONJUGATE AND CDK9 INHIBITOR</t>
  </si>
  <si>
    <t>A61K47/6855;;A61K47/6889;;A61P35/00;;A61K45/06;;A61K31/4439;;A61K39/001106;;A61K2039/505;;A61K47/68037;;A61K47/6889;;A61K47/6855;;A61P35/00;;A61K31/4439;;C07K16/2863;;A61K47/68037;;A61K39/001106</t>
  </si>
  <si>
    <t>A61K31/4439;;A61K47/68;;A61P35/00;;C07K16/28</t>
  </si>
  <si>
    <t>https://lens.org/103-766-225-929-093</t>
  </si>
  <si>
    <t>194</t>
  </si>
  <si>
    <t>005-730-321-899-763</t>
  </si>
  <si>
    <t>US 11685953 B2</t>
  </si>
  <si>
    <t>ASTRAZENECA UK LIMITED (2016-01-25);;ASTRAZENECA AB (2016-01-19)</t>
  </si>
  <si>
    <t>Biomarkers and methods of treating cancer</t>
  </si>
  <si>
    <t>C12Q1/6886;;A61P15/00;;A61P35/00;;A61P35/02;;A61P43/00;;C12Q2600/106;;C12Q2600/156;;C12Q1/6886;;C12Q2600/106;;C12Q2600/156;;C12Q1/6886;;A61P35/00;;A61P35/02;;C07D401/12;;C12Q2600/106;;C12Q2600/156</t>
  </si>
  <si>
    <t>C12Q1/68;;A61P35/00;;A61P35/02;;C07D401/12;;C12Q1/6886</t>
  </si>
  <si>
    <t>https://lens.org/005-730-321-899-763</t>
  </si>
  <si>
    <t>195</t>
  </si>
  <si>
    <t>153-603-651-126-362</t>
  </si>
  <si>
    <t>US 2023/0181482 A1</t>
  </si>
  <si>
    <t>ASTRAZENECA PHARMACEUTICALS LP (2023-03-03);;ASTRAZENECA AB (2023-03-06);;ASTRAZENECA UK LIMITED (2023-03-20)</t>
  </si>
  <si>
    <t>LIPIDS FOR DELIVERY OF NUCLEIC ACID SEGMENTS</t>
  </si>
  <si>
    <t>C07D305/06;;C07D305/14;;C07D307/06;;C07D309/04;;C12N15/88;;A61K48/0041;;A61K48/0033;;A61K48/0041;;C12N15/88;;C07D309/04;;C07D305/14;;A61K9/5123;;C07D309/14;;C07D307/06;;A61K9/5146;;C07D311/96;;C07D307/14;;C07D307/94;;C07D305/06;;C07D319/12;;C07D305/14;;A61K9/5123;;A61K48/0033;;A61K47/22;;C07D309/14;;C07D307/14;;C07D305/06;;C07D319/12;;C07D311/96;;C07D307/94;;A61K9/5123;;A61K9/5146;;A61K48/0033;;C07D305/06;;C07D305/14;;C07D307/14;;C07D307/94;;C07D309/04;;C07D309/14;;C07D311/96;;C07D319/12</t>
  </si>
  <si>
    <t>A61K9/51;;A61K48/00;;C07D305/06;;C07D305/14;;C07D307/14;;C07D307/94;;C07D309/04;;C07D309/14;;C07D311/96;;C07D319/12</t>
  </si>
  <si>
    <t>https://lens.org/153-603-651-126-362</t>
  </si>
  <si>
    <t>196</t>
  </si>
  <si>
    <t>174-115-745-908-698</t>
  </si>
  <si>
    <t>US 2023/0165856 A1</t>
  </si>
  <si>
    <t>ASTRAZENECA AB (2020-09-14)</t>
  </si>
  <si>
    <t>DAPAGLIFLOZIN AND AMBRISENTAN FOR THE PREVENTION AND TREATMENT OF COVID-19</t>
  </si>
  <si>
    <t>A61P31/14;;A61K31/505;;A61K31/70;;A61P9/00;;A61P11/00;;A61P13/12;;A61K31/505;;A61K31/70;;A61P31/14</t>
  </si>
  <si>
    <t>A61K31/505;;A61K31/70;;A61P31/14</t>
  </si>
  <si>
    <t>https://lens.org/174-115-745-908-698</t>
  </si>
  <si>
    <t>197</t>
  </si>
  <si>
    <t>029-740-772-700-469</t>
  </si>
  <si>
    <t>US 2023/0151013 A1</t>
  </si>
  <si>
    <t>MEDIMMUNE LIMITED (2020-07-01);;ASTRAZENECA AB (2021-04-23)</t>
  </si>
  <si>
    <t>FUSED PYRIMIDINE COMPOUNDS AS KCC2 MODULATORS</t>
  </si>
  <si>
    <t>C07D471/04;;C07D487/04;;C07D491/04;;A61P25/08;;A61P29/00;;A61P25/22;;A61P25/08;;C07D471/04;;C07D491/04;;A61P25/22;;C07D487/04;;A61P29/00;;A61K31/541;;C07D491/048;;A61K31/5377;;A61K31/519;;A61P25/00;;C07D519/00;;A61K31/553;;C07D498/10;;C07D487/04;;A61K31/519;;A61K31/5377;;A61K31/541;;A61K31/553;;A61P25/00;;C07D498/10;;C07D491/048;;C07D471/04;;C07D487/04;;C07D519/00</t>
  </si>
  <si>
    <t>C07D487/04;;C07D519/00</t>
  </si>
  <si>
    <t>https://lens.org/029-740-772-700-469</t>
  </si>
  <si>
    <t>198</t>
  </si>
  <si>
    <t>081-243-484-675-527</t>
  </si>
  <si>
    <t>US 2023/0128091 A1</t>
  </si>
  <si>
    <t>KTH HOLDING AB 556498-0455 (2017-07-13);;ASTRAZENECA AB (2017-07-13)</t>
  </si>
  <si>
    <t>MEDICAMENT DISPENSING SYSTEM AND DISPENSING METHOD</t>
  </si>
  <si>
    <t>A61J1/035;;A61J7/0409;;G08B21/24;;G08B25/10;;A61J1/035;;A61J7/0418;;A61J7/0436;;A61J2200/30;;A61J7/0418;;A61J1/035;;A61J2200/30;;B65D83/0463;;G01D5/342;;G01L1/142;;G16H20/13;;G16H40/67;;H04B1/02;;H04B10/50</t>
  </si>
  <si>
    <t>A61J7/04;;A61J1/03;;B65D83/04;;G01D5/34;;G01L1/14;;G16H20/13;;G16H40/67</t>
  </si>
  <si>
    <t>https://lens.org/081-243-484-675-527</t>
  </si>
  <si>
    <t>199</t>
  </si>
  <si>
    <t>050-960-143-340-005</t>
  </si>
  <si>
    <t>US 2023/0119254 A1</t>
  </si>
  <si>
    <t>APT THERAPEUTICS INC (2024-03-21);;ASTRAZENECA AB (2020-09-25)</t>
  </si>
  <si>
    <t>SYNERGISTIC AND TARGETING COMPOSITIONS FOR TREATMENT OF ARTERIAL AND VENOUS THROMBOSIS</t>
  </si>
  <si>
    <t>A61K38/46;;A61K38/1709;;C12N9/14;;A61P7/02;;A61P7/04;;C07K14/4721;;C12Y306/01005;;C07K2319/00;;C07K2319/02;;C07K2319/33;;C07K14/70596;;C07K14/745;;C12N9/18;;C12Y301/01004;;A61K2300/00;;A61K38/46;;C07K2319/33;;C07K2319/00;;C07K2319/02;;A61K38/1709;;C07K14/70596;;C12N9/14;;C07K14/745;;A61P7/04;;C12Y301/01004;;A61P7/02;;C12N9/18;;C07K14/4721;;C12Y306/01005;;A61K38/43;;A61K38/1709;;A61P7/02;;C12N9/14;;C12N9/18;;C07K14/4721;;C07K14/70596;;C07K14/745;;C12Y306/01005;;C12Y301/01004;;A61K2300/00;;C07K2319/00;;C07K2319/02;;C07K2319/33;;A61P7/04;;A61K38/00;;C07K14/4721;;C07K2319/33;;C12N9/14;;C12Y306/01005</t>
  </si>
  <si>
    <t>C12N9/14;;A61P7/04;;C07K14/47</t>
  </si>
  <si>
    <t>https://lens.org/050-960-143-340-005</t>
  </si>
  <si>
    <t>200</t>
  </si>
  <si>
    <t>128-932-047-457-043</t>
  </si>
  <si>
    <t>US 2023/0056604 A1</t>
  </si>
  <si>
    <t>ASTRAZENECA AB (2020-03-11);;ASTRAZENECA UK LIMITED (2020-06-23)</t>
  </si>
  <si>
    <t>EPIDERMAL GROWTH FACTOR RECEPTOR TYROSINE KINASE INHIBITORS FOR THE TREATMENT OF CANCER</t>
  </si>
  <si>
    <t>A61K45/06;;A61K31/4025;;A61K31/404;;A61K31/407;;A61K31/427;;A61K31/433;;A61K31/506;;A61K31/517;;A61K31/519;;A61K31/5377;;A61P35/00;;A61K31/506;;A61K31/444;;A61K31/517;;A61K31/519;;A61K31/5377;;A61K45/06;;A61K2300/00;;A61P35/00;;A61K31/506;;A61K31/40;;A61P35/00</t>
  </si>
  <si>
    <t>A61K31/506;;A61K31/40;;A61P35/00</t>
  </si>
  <si>
    <t>https://lens.org/128-932-047-457-043</t>
  </si>
  <si>
    <t>201</t>
  </si>
  <si>
    <t>174-257-441-200-395</t>
  </si>
  <si>
    <t>US 2023/0046093 A1</t>
  </si>
  <si>
    <t>ASTRAZENECA AB (2020-11-29)</t>
  </si>
  <si>
    <t>PROCESS AND INTERMEDIATES FOR THE PRODUCTION OF FORMULA (I)</t>
  </si>
  <si>
    <t>C07D487/04;;C07D403/04;;C07D405/14;;C07D487/04;;C07D403/04;;C07D405/14;;C07D487/04;;A61K31/506;;A61P35/00;;C07D403/04;;C07D487/04;;C07D403/04;;C07D405/14</t>
  </si>
  <si>
    <t>C07D487/04;;C07D403/04;;C07D405/14</t>
  </si>
  <si>
    <t>https://lens.org/174-257-441-200-395</t>
  </si>
  <si>
    <t>202</t>
  </si>
  <si>
    <t>199-461-946-634-151</t>
  </si>
  <si>
    <t>US 2023/0038138 A1</t>
  </si>
  <si>
    <t>ASTRAZENECA PHARMACEUTICALS LP (2020-12-02);;ASTRAZENECA UK LIMITED (2020-12-15);;ASTRAZENECA AB (2020-12-16)</t>
  </si>
  <si>
    <t>A61K31/502;;A61K31/5025;;A61K31/502;;A61K31/5025;;A61K31/5025;;A61K31/502;;A61K2300/00;;A61P35/00;;A61K31/5025</t>
  </si>
  <si>
    <t>A61K31/5025</t>
  </si>
  <si>
    <t>https://lens.org/199-461-946-634-151</t>
  </si>
  <si>
    <t>203</t>
  </si>
  <si>
    <t>074-517-394-446-060</t>
  </si>
  <si>
    <t>US 2023/0035133 A1</t>
  </si>
  <si>
    <t>ASTRAZENECA UK LIMITED (2014-11-03);;ASTRAZENECA AB (2014-11-07)</t>
  </si>
  <si>
    <t>[1,2,4]Triazolo[4,3-B]Pyridazines For Use in the Treatment of Proliferative Diseases</t>
  </si>
  <si>
    <t>C07D487/04;;C07B2200/13;;C07C65/11;;C07D487/04;;C07B2200/13;;E21B7/06;;E21B7/062;;C07D487/04;;A61P35/00;;A61P35/02;;C07D487/04;;A61K31/5025;;C07B2200/13;;C07D487/04;;C07B2200/13;;E21B7/06;;E21B7/062</t>
  </si>
  <si>
    <t>C07D487/04;;E21B7/06</t>
  </si>
  <si>
    <t>https://lens.org/074-517-394-446-060</t>
  </si>
  <si>
    <t>204</t>
  </si>
  <si>
    <t>037-427-779-661-06X</t>
  </si>
  <si>
    <t>A9</t>
  </si>
  <si>
    <t>US 2023/0037277 A9</t>
  </si>
  <si>
    <t>ASTRAZENECA AB (2019-12-20)</t>
  </si>
  <si>
    <t>DOSE DUMPING RESISTANT PHARMACEUTICAL COMPOSITIONS COMPRISING VERINURAD</t>
  </si>
  <si>
    <t>A61K31/4418;;A61K9/5026;;A61K9/5036;;A61K9/5042;;A61K9/5047;;A61K9/5078;;A61K9/5089;;A61K31/519;;A61P5/20;;A61P7/00;;A61P9/00;;A61P9/04;;A61P9/10;;A61P9/12;;A61P13/04;;A61P13/12;;A61P17/06;;A61P19/02;;A61P19/06;;A61P29/00;;A61P39/02;;A61P43/00;;A61K9/5078;;A61K9/5036;;A61K31/4418;;A61K31/519;;A61P13/12;;A61K9/5078;;A61K9/5036;;A61K31/4418;;A61K31/519;;A61P13/12;;A61K9/5078;;A61K9/5026;;A61K9/5036;;A61K9/5042;;A61K31/4418;;A61K31/519;;A61P13/12;;A61K9/5078;;A61K9/5026;;A61K9/5036;;A61K9/5042;;A61K31/4418;;A61K31/519</t>
  </si>
  <si>
    <t>A61K9/50;;A61K31/4418;;A61K31/519</t>
  </si>
  <si>
    <t>https://lens.org/037-427-779-661-06X</t>
  </si>
  <si>
    <t>205</t>
  </si>
  <si>
    <t>012-456-439-902-328</t>
  </si>
  <si>
    <t>US 2023/0011269 A1</t>
  </si>
  <si>
    <t>ARDEA BIOSCIENCES INC;;ASTRAZENECA AB</t>
  </si>
  <si>
    <t>ARDEA BIOSCIENCES INC (2016-08-18);;ASTRAZENECA AB (2016-12-15)</t>
  </si>
  <si>
    <t>PHARMACEUTICAL COMPOSITION COMPRISING A POTENT INHIBITOR OF URAT1</t>
  </si>
  <si>
    <t>A61K9/146;;A61K31/426;;A61K31/4418;;A61P5/18;;A61P7/00;;A61P9/00;;A61P9/04;;A61P9/12;;A61P13/04;;A61P13/12;;A61P17/06;;A61P19/02;;A61P19/06;;A61P43/00;;A61K9/146;;A61K9/0053;;A61K9/2077;;A61K9/2081;;A61K9/485;;A61K9/4858;;A61K9/5042;;A61K9/5047;;A61K31/426;;A61K31/44;;A61K31/4418;;A61K45/06;;A61P5/18;;A61P7/00;;A61P9/00;;A61P9/04;;A61P9/12;;A61P13/04;;A61P13/12;;A61P17/06;;A61P19/02;;A61P19/06;;A61P43/00;;A61K9/2077;;A61K9/0053;;A61K9/146;;A61K9/2081;;A61K31/44;;A61P19/06;;A61K9/2081;;A61K9/0053;;A61K9/146;;A61K9/485;;A61K9/4858;;A61K9/5042;;A61K9/5047;;A61K31/426;;A61K31/4418;;A61K45/06</t>
  </si>
  <si>
    <t>A61K9/20;;A61K9/00;;A61K9/14;;A61K9/48;;A61K9/50;;A61K31/426;;A61K31/4418;;A61K45/06</t>
  </si>
  <si>
    <t>https://lens.org/012-456-439-902-328</t>
  </si>
  <si>
    <t>206</t>
  </si>
  <si>
    <t>002-215-858-907-377</t>
  </si>
  <si>
    <t>US 2023/0000775 A1</t>
  </si>
  <si>
    <t>ASTRAZENECA AB (2020-01-13)</t>
  </si>
  <si>
    <t>SOLID PHARMACEUTICAL FORMULATIONS OF 6-(2-CHLORO-6-METHYLPYRIDIN-4-YL)-5-(4-FLUOROPHENYL)-1,2,4-TRIAZIN-3-AMINE</t>
  </si>
  <si>
    <t>A61K9/1676;;A61K9/2013;;A61K9/4808;;A61K31/53;;A61K9/1676;;A61K9/2013;;A61K9/4808;;A61K31/53;;A61K9/1676;;A61K9/2077;;A61K9/4808;;A61K31/53;;A61K47/14;;A61K47/20;;A61K47/26;;A61K47/32;;A61K47/34;;A61K9/1676;;A61K9/2013;;A61K9/4808;;A61K31/53;;A61K47/14</t>
  </si>
  <si>
    <t>A61K9/16;;A61K9/20;;A61K9/48;;A61K31/53;;A61K47/14</t>
  </si>
  <si>
    <t>https://lens.org/002-215-858-907-377</t>
  </si>
  <si>
    <t>207</t>
  </si>
  <si>
    <t>145-858-044-291-301</t>
  </si>
  <si>
    <t>US 2022/0409642 A1</t>
  </si>
  <si>
    <t>ASTRAZENECA PHARMACEUTICALS LP (2020-07-21);;ASTRAZENECA UK LIMITED (2020-07-31);;ASTRAZENECA AB (2020-08-03)</t>
  </si>
  <si>
    <t>A61K31/69;;A61K45/06;;A61K39/39558;;A61P35/00;;A61P35/02;;A61P35/00;;A61P35/02;;A61K31/69;;A61K31/7084;;C07K16/2827;;A61K2039/505;;A61K39/39558;;A61P35/00;;A61K31/69;;C07K16/2803;;C07K16/2818;;C07K16/2827</t>
  </si>
  <si>
    <t>A61K31/69;;A61P35/00;;C07K16/28</t>
  </si>
  <si>
    <t>https://lens.org/145-858-044-291-301</t>
  </si>
  <si>
    <t>208</t>
  </si>
  <si>
    <t>058-749-062-414-209</t>
  </si>
  <si>
    <t>US 2022/0401442 A1</t>
  </si>
  <si>
    <t>ASTRAZENECA PHARMACEUTICALS LP (2023-05-19);;ASTRAZENECA UK LIMITED (2023-06-26);;ASTRAZENECA AB (2020-01-23)</t>
  </si>
  <si>
    <t>THERAPEUTIC COMBINATIONS OF ACALABRUTINIB AND CAPIVASERTIB TO TREAT B-CELL MALIGNANCIES</t>
  </si>
  <si>
    <t>A61K31/4985;;A61K31/519;;A61P35/00;;A61K31/4985;;A61K31/519;;A61P35/00;;A61K2300/00;;A61K31/4985;;A61K31/519</t>
  </si>
  <si>
    <t>A61K31/4985;;A61K31/519</t>
  </si>
  <si>
    <t>https://lens.org/058-749-062-414-209</t>
  </si>
  <si>
    <t>209</t>
  </si>
  <si>
    <t>120-328-266-126-39X</t>
  </si>
  <si>
    <t>US 2022/0401365 A1</t>
  </si>
  <si>
    <t>PEARL THERAPEUTICS INC (2020-12-04);;ASTRAZENECA AB (2020-12-15);;MEDIMMUNE LLC (2020-11-19)</t>
  </si>
  <si>
    <t>DRY POWDER FORMULATIONS CONTAINING LEUCINE AND TRILEUCINE</t>
  </si>
  <si>
    <t>A61K9/0075;;A61K39/395;;A61K45/00;;A61K47/183;;A61K47/26;;A61K47/36;;A61K47/40;;A61K9/0075;;A61K9/1617;;C07K16/244;;C07K16/247;;C07K2317/55;;A61K9/1617;;A61K9/0075;;A61K9/1623;;A61K9/1652;;A61K9/1694;;C07K16/244;;C07K2317/55</t>
  </si>
  <si>
    <t>A61K9/16;;A61K9/00;;C07K16/24</t>
  </si>
  <si>
    <t>https://lens.org/120-328-266-126-39X</t>
  </si>
  <si>
    <t>210</t>
  </si>
  <si>
    <t>048-866-185-565-533</t>
  </si>
  <si>
    <t>US 2022/0406428 A1</t>
  </si>
  <si>
    <t>METHODS FOR TREATING ERECTILE DYSFUNCTION WITH A CGMP-SPECIFIC PHOSPHODIESTERASE 5 INHIBITOR PHARMACEUTICAL COMPOSITION</t>
  </si>
  <si>
    <t>G16H20/10;;G16H10/20;;G16H20/10;;A61K31/4985;;A61K31/53;;A61P15/10;;G16H10/20;;G16H50/30;;G16H50/70</t>
  </si>
  <si>
    <t>G16H20/10;;A61K31/4985;;A61K31/53;;A61P15/10;;G16H10/20;;G16H50/30;;G16H50/70</t>
  </si>
  <si>
    <t>https://lens.org/048-866-185-565-533</t>
  </si>
  <si>
    <t>211</t>
  </si>
  <si>
    <t>137-467-237-287-415</t>
  </si>
  <si>
    <t>US 2022/0387468 A1</t>
  </si>
  <si>
    <t>ASTRAZENECA UK LIMITED (2020-03-05);;ASTRAZENECA AB (2020-03-11)</t>
  </si>
  <si>
    <t>A61K45/06;;A61K31/519;;A61P35/00;;A61K31/519;;A61K31/519;;A61K31/519;;A61K31/7068;;A61K45/06;;A61K2300/00;;A61P35/00;;A61K31/7068;;A61K31/17;;A61K31/35;;A61K31/519;;A61K33/243;;A61K47/6855;;A61P15/00;;A61P35/00;;G01N33/5758;;G01N2800/52</t>
  </si>
  <si>
    <t>A61K31/7068;;A61K31/17;;A61K31/35;;A61K31/519;;A61K33/243;;A61K47/68;;A61P15/00;;A61P35/00;;G01N33/574</t>
  </si>
  <si>
    <t>https://lens.org/137-467-237-287-415</t>
  </si>
  <si>
    <t>212</t>
  </si>
  <si>
    <t>115-375-702-482-464</t>
  </si>
  <si>
    <t>US 2022/0370370 A1</t>
  </si>
  <si>
    <t>ASTRAZENECA AB (2016-12-09)</t>
  </si>
  <si>
    <t>LIPID NANOPARTICLES COMPRISING LIPOPHILIC ANTI-INFLAMMATORY AGENTS AND METHODS OF USE THEREOF</t>
  </si>
  <si>
    <t>A61K9/5123;;A61K9/1272;;A61K31/58;;A61K31/7088;;A61K45/06;;A61P43/00;;C12N15/88;;A61K9/5123;;A61K9/1075;;A61K9/1272;;A61K9/5146;;A61K31/58;;A61K31/7088;;A61K45/06;;C12N15/88</t>
  </si>
  <si>
    <t>A61K9/51;;A61K9/107;;A61K9/127;;A61K31/58;;A61K31/7088;;A61K45/06;;C12N15/88</t>
  </si>
  <si>
    <t>https://lens.org/115-375-702-482-464</t>
  </si>
  <si>
    <t>213</t>
  </si>
  <si>
    <t>156-459-227-556-705</t>
  </si>
  <si>
    <t>US 2022/0354880 A1</t>
  </si>
  <si>
    <t>ASTRAZENECA PHARMACEUTICALS LP (2020-06-04);;ASTRAZENECA UK LIMITED (2020-08-03);;ASTRAZENECA AB (2020-08-03)</t>
  </si>
  <si>
    <t>COMBINATION TREATMENT FOR CANCER</t>
  </si>
  <si>
    <t>A61K45/06;;A61K31/7088;;A61K33/243;;A61K39/395;;A61K39/3955;;A61P35/00;;A61P35/02;;A61K39/001102;;A61K39/001129;;A61K39/001102;;A61K39/001129;;C07K16/2827;;C07K16/2818;;C07K16/2875;;C07K14/705;;A61K33/243;;C12N15/11;;A61P35/00;;A61P35/02;;A61K2039/505;;A61K45/06;;A61K31/713;;A61P35/00;;A61K33/243;;A61K31/7088;;A61K39/3955;;A61K39/001129;;A61K39/001102</t>
  </si>
  <si>
    <t>A61K31/7088;;A61K33/243;;A61K39/395;;A61P35/00</t>
  </si>
  <si>
    <t>https://lens.org/156-459-227-556-705</t>
  </si>
  <si>
    <t>214</t>
  </si>
  <si>
    <t>014-558-871-799-251</t>
  </si>
  <si>
    <t>US 2022/0340592 A1</t>
  </si>
  <si>
    <t>ASTRAZENECA PHARMACEUTICALS LP (2016-07-28);;ASTRAZENECA UK LIMITED (2016-10-14);;ASTRAZENECA AB (2016-10-14)</t>
  </si>
  <si>
    <t>C07D471/04;;C07B2200/13;;C07D487/04;;C07D498/04;;A61P35/00;;C07B2200/13;;C07D471/04;;C07D487/04;;C07D498/04;;C07D498/04;;A61P35/00;;C07D471/04;;C07D487/04;;C07D498/04;;C07B2200/13;;C07D471/04;;C07D487/04;;C07D471/04;;A61K31/437;;A61K31/4439;;A61K31/444;;A61P35/00;;C07B2200/13;;C07D487/04;;C07D498/04;;C07D498/04;;A61P35/00;;C07B2200/13;;C07D471/04;;C07D487/04</t>
  </si>
  <si>
    <t>C07D498/04;;A61P35/00;;C07D471/04;;C07D487/04</t>
  </si>
  <si>
    <t>https://lens.org/014-558-871-799-251</t>
  </si>
  <si>
    <t>215</t>
  </si>
  <si>
    <t>100-051-115-914-36X</t>
  </si>
  <si>
    <t>US 11472816 B2</t>
  </si>
  <si>
    <t>ASTRAZENECA PHARMACEUTICALS LP (2017-02-14);;ASTRAZENECA UK LIMITED (2017-02-20);;ASTRAZENECA AB (2017-02-24)</t>
  </si>
  <si>
    <t>Mcl-1 inhibitors and methods of use thereof</t>
  </si>
  <si>
    <t>C07D497/22;;C07D515/22;;C07D497/22;;A61P35/00;;A61P35/02;;C07D515/22;;C07D497/22;;A61K31/395;;C07D515/22;;C07D515/22;;A61K31/395;;A61P35/00;;C07D497/22;;C07D515/22</t>
  </si>
  <si>
    <t>C07D497/22;;C07D515/22</t>
  </si>
  <si>
    <t>https://lens.org/100-051-115-914-36X</t>
  </si>
  <si>
    <t>216</t>
  </si>
  <si>
    <t>049-322-261-108-950</t>
  </si>
  <si>
    <t>US 11453644 B1</t>
  </si>
  <si>
    <t>ASTRAZENECA AB (2017-03-08)</t>
  </si>
  <si>
    <t>Compounds</t>
  </si>
  <si>
    <t>A61K31/4035;;A61P17/06;;C07D209/44;;C07D405/06;;C07D407/06;;C07D209/44;;A61K31/4035;;A61P1/04;;A61P1/18;;A61P11/00;;A61P11/06;;A61P11/12;;A61P17/06;;A61P19/02;;A61P25/00;;A61P31/00;;A61P37/00;;A61P43/00;;C07D405/06;;C07D407/06;;C07D209/44;;A61K31/4035;;A61P11/00;;A61P11/06;;A61P17/06;;A61P19/02;;C07D405/06;;C07D209/44;;A61K31/4035;;A61P17/06;;C07D405/06;;C07D407/06;;C07D209/44;;A61K31/4035;;C07D405/06;;C07D407/06</t>
  </si>
  <si>
    <t>C07D209/44;;A61K31/4035;;C07D405/06;;C07D407/06</t>
  </si>
  <si>
    <t>https://lens.org/049-322-261-108-950</t>
  </si>
  <si>
    <t>217</t>
  </si>
  <si>
    <t>132-616-374-195-466</t>
  </si>
  <si>
    <t>US 2022/0273807 A1</t>
  </si>
  <si>
    <t>MONASH UNIVERSITY (2019-05-08);;STARPHARMA PTY LIMITED (2019-06-03);;ASTRAZENECA PHARMACEUTICALS LP (2018-10-29);;ASTRAZENECA UK LIMITED (2019-06-03);;ASTRAZENECA AB (2019-07-03)</t>
  </si>
  <si>
    <t>CONJUGATES FOR USE IN METHODS OF TREATING CANCER</t>
  </si>
  <si>
    <t>A61K47/641;;A61K47/60;;A61P35/00;;A61K47/641;;A61K47/60;;A61P35/00;;A61K47/595;;A61K9/0021;;A61K9/19;;A61K31/451;;A61K47/60;;A61P35/00;;C07D211/22;;C08G69/10;;C08G83/004;;A61K47/641;;A61K9/19;;A61K47/60;;A61P35/00</t>
  </si>
  <si>
    <t>A61K47/64;;A61K9/19;;A61K47/60;;A61P35/00</t>
  </si>
  <si>
    <t>https://lens.org/132-616-374-195-466</t>
  </si>
  <si>
    <t>218</t>
  </si>
  <si>
    <t>172-565-429-237-007</t>
  </si>
  <si>
    <t>US 2022/0267356 A1</t>
  </si>
  <si>
    <t>ASTRAZENECA PHARMACEUTICALS LP (2022-04-06);;ASTRAZENECA UK LIMITED (2022-04-07);;ASTRAZENECA AB (2022-04-12)</t>
  </si>
  <si>
    <t>ARGINASE INHIBITORS AND METHODS OF USE THEREOF</t>
  </si>
  <si>
    <t>C07K5/06034;;A61K38/00;;A61P11/00;;A61P29/00;;A61P35/00;;C07F5/025;;C07F5/025;;A61K31/69;;A61P35/00;;C07F5/025;;A61K31/69;;A61P11/00;;A61P35/00;;C07F5/025</t>
  </si>
  <si>
    <t>https://lens.org/172-565-429-237-007</t>
  </si>
  <si>
    <t>219</t>
  </si>
  <si>
    <t>116-739-546-284-802</t>
  </si>
  <si>
    <t>US 11407765 B2</t>
  </si>
  <si>
    <t>ASTRAZENECA UK LIMITED (2019-06-18);;ASTRAZENECA AB (2019-06-28)</t>
  </si>
  <si>
    <t>Tetracyclic heteroaryl compounds</t>
  </si>
  <si>
    <t>C07D498/14;;C07D498/14;;A61K31/553;;A61P35/00;;C07D498/14</t>
  </si>
  <si>
    <t>C07D498/14</t>
  </si>
  <si>
    <t>https://lens.org/116-739-546-284-802</t>
  </si>
  <si>
    <t>220</t>
  </si>
  <si>
    <t>182-494-926-267-343</t>
  </si>
  <si>
    <t>US 2022/0226243 A1</t>
  </si>
  <si>
    <t>ASTRAZENECA PHARMACEUTICALS LP (2019-09-17);;MODERNATX INC (2023-01-02);;ASTRAZENECA UK LIMITED (2019-09-23);;ASTRAZENECA AB (2019-09-24);;ASTRAZENCA AB (2019-09-13)</t>
  </si>
  <si>
    <t>METHODS OF USING LIPID NANOPARTICLES FOR DELIVERING MODIFIED RNA ENCODING A VEGF-A POLYPEPTIDE AND PHARMACEUTICAL COMPOSITIONS COMPRISING THE SAME</t>
  </si>
  <si>
    <t>A61K9/5146;;A61K9/0014;;A61K9/5123;;A61K38/1866;;A61K48/0008;;A61K48/005;;A61K48/0075;;A61P17/02;;B82Y5/00;;A61K9/5123;;A61K9/0014;;A61K9/0021;;A61K9/1271;;A61K9/1272;;A61K9/1272;;A61K38/1866;;A61K48/0075;;A61P17/02</t>
  </si>
  <si>
    <t>A61K9/127;;A61K38/18;;A61K48/00;;A61P17/02</t>
  </si>
  <si>
    <t>https://lens.org/182-494-926-267-343</t>
  </si>
  <si>
    <t>221</t>
  </si>
  <si>
    <t>039-438-916-994-626</t>
  </si>
  <si>
    <t>US 2022/0227768 A1</t>
  </si>
  <si>
    <t>ASTRAZENECA PHARMACEUTICALS LP (2020-10-01);;ASTRAZENECA UK LIMITED (2020-11-24);;ASTRAZENECA AB (2020-11-26)</t>
  </si>
  <si>
    <t>C07D471/04;;C07D401/12;;A61P35/00;;A61P35/02;;C07D471/04;;C07D401/12;;C07D471/04;;C07D401/12;;C07D401/14;;C07D471/04;;A61K31/497;;A61K31/498;;A61P35/00;;C07D401/12;;C07D401/14;;C07D471/04;;A61P35/02;;A61P35/00;;A61K31/497;;C07D401/12;;A61K31/498</t>
  </si>
  <si>
    <t>C07D471/04;;C07D401/14</t>
  </si>
  <si>
    <t>https://lens.org/039-438-916-994-626</t>
  </si>
  <si>
    <t>222</t>
  </si>
  <si>
    <t>000-022-088-796-952</t>
  </si>
  <si>
    <t>US 2022/0226438 A1</t>
  </si>
  <si>
    <t>ASTRAZENECA PHARMACEUTICALS LP (2020-02-19);;MODERNATX INC (2023-01-02);;ASTRAZENECA AB (2020-02-25);;ASTRAZENECA UK LIMITED (2020-02-24)</t>
  </si>
  <si>
    <t>COMPOSITIONS FOR SKIN AND WOUNDS AND METHODS OF USE THEREOF</t>
  </si>
  <si>
    <t>A61K9/0021;;A61K9/0019;;A61K31/7105;;A61K38/18;;A61K38/1866;;A61K38/19;;A61K38/195;;A61K38/39;;A61K45/00;;A61K48/005;;A61K48/0075;;A61P17/02;;A61P17/02;;A61K38/1709;;A61K38/18;;A61K38/1808;;A61K38/1825;;A61K38/1833;;A61K38/1858;;A61K38/1866;;A61K38/1883;;A61K38/19;;A61K38/193;;A61K38/2006;;A61K38/204;;A61K38/2053;;A61K38/2066;;A61K38/39;;A61K38/1866;;A61K9/1617;;A61K47/183;;A61K47/24;;A61K47/28;;A61K48/0058;;A61P17/02</t>
  </si>
  <si>
    <t>A61K38/18;;A61K9/16;;A61K47/18;;A61K47/24;;A61K47/28;;A61K48/00;;A61P17/02</t>
  </si>
  <si>
    <t>https://lens.org/000-022-088-796-952</t>
  </si>
  <si>
    <t>223</t>
  </si>
  <si>
    <t>190-712-798-849-72X</t>
  </si>
  <si>
    <t>US 2022/0218738 A1</t>
  </si>
  <si>
    <t>ASTRAZENECA PHARMACEUTICALS LP (2019-07-31);;ASTRAZENECA AB (2019-08-01);;ASTRAZENECA UK LIMITED (2019-08-08)</t>
  </si>
  <si>
    <t>POTASSIUM-BINDING AGENTS FOR USE IN HEMODIALYSIS PATIENTS</t>
  </si>
  <si>
    <t>A61K31/78;;A61K33/24;;A61P3/12;;A61K33/24;;A61K31/78;;A61P3/12;;A61K33/24;;A61K31/78;;A61P3/12;;A61K33/24;;A61K31/78;;A61P3/12;;A61K31/78;;A61K33/24;;A61P3/12</t>
  </si>
  <si>
    <t>A61K31/78;;A61K33/24;;A61P3/12</t>
  </si>
  <si>
    <t>https://lens.org/190-712-798-849-72X</t>
  </si>
  <si>
    <t>224</t>
  </si>
  <si>
    <t>083-347-119-119-118</t>
  </si>
  <si>
    <t>US 2022/0220122 A1</t>
  </si>
  <si>
    <t>DOGMA THERAPEUTICS INC (2020-01-29);;ASTRAZENECA AB (2020-08-26)</t>
  </si>
  <si>
    <t>A61P3/06;;A61P3/00;;A61P1/16;;A61P9/10;;C07D417/12;;C07D417/14;;C07D487/10;;C07D498/04;;C07D471/10;;C07D491/107;;C07D413/12;;C07D401/14;;C07D413/14;;C07D487/04;;C07D498/10;;C07D495/04;;C07D401/14;;A61P3/00;;C07D417/12;;C07D417/14;;C07D491/107;;C07D487/10;;C07D498/04;;C07D471/10;;C07D239/84;;C07D403/12;;C07D413/12;;C07D471/04;;C07D401/12;;C07D413/14;;C07D495/04;;C07D487/04;;C07D403/14;;A61K31/506;;A61K45/06;;A61P3/06;;A61P9/00;;C07B2200/05;;C07D401/14;;C07D403/14;;C07D417/12;;C07D417/14;;C07D471/04;;C07D471/10;;C07D487/10;;C07D491/107;;C07D495/04;;C07D498/04;;C07D417/12;;A61K31/506;;A61P9/00;;C07D417/14;;C07D491/107;;C07D487/10;;C07D498/04;;C07D471/10;;C07D401/14;;C07D403/14;;C07D487/04;;A61K45/06;;C07D413/14;;C07D498/10;;C07D471/04;;C07D401/12;;C07D495/04;;A61K2300/00;;A61P9/00;;A61P3/06;;A61K45/06;;C07B2200/05;;C07D401/14;;C07D403/14;;C07D417/12;;C07D417/14;;C07D471/04;;C07D471/10;;C07D487/10;;C07D491/107;;C07D495/04;;C07D498/04</t>
  </si>
  <si>
    <t>C07D491/107;;A61P3/06;;A61P9/00;;C07D401/14;;C07D403/14;;C07D417/12;;C07D417/14;;C07D471/04;;C07D471/10;;C07D487/10;;C07D495/04;;C07D498/04</t>
  </si>
  <si>
    <t>https://lens.org/083-347-119-119-118</t>
  </si>
  <si>
    <t>225</t>
  </si>
  <si>
    <t>053-593-430-914-646</t>
  </si>
  <si>
    <t>US 2022/0193191 A1</t>
  </si>
  <si>
    <t>PIERIS PHARMACEUTICALS INC (2020-05-24);;ASTRAZENECA AB (2020-02-07);;ASTRAZENECA UK LIMITED (2020-06-12);;PIERIS PHARMACEUTICALS GMBH (2020-05-27)</t>
  </si>
  <si>
    <t>LIPOCALIN MUTEIN FOR TREATMENT OF ASTHMA</t>
  </si>
  <si>
    <t>A61K38/17;;A61P11/06;;A61K38/17;;A61P11/06;;A61K38/1709;;A61K9/0073;;A61P11/06;;C07K14/47;;C07K14/7155;;A61K38/1709;;A61K9/007;;A61P11/06</t>
  </si>
  <si>
    <t>A61K38/17;;A61K9/00;;A61P11/06</t>
  </si>
  <si>
    <t>https://lens.org/053-593-430-914-646</t>
  </si>
  <si>
    <t>226</t>
  </si>
  <si>
    <t>159-573-506-963-723</t>
  </si>
  <si>
    <t>US 2022/0193238 A1</t>
  </si>
  <si>
    <t>ASTRAZENECA AB (2022-02-17);;MEDIMMUNE LLC (2022-01-31)</t>
  </si>
  <si>
    <t>ANTI-IL5R ANTIBODY FORMULATIONS</t>
  </si>
  <si>
    <t>A61K9/0019;;A61K39/39591;;A61K47/183;;A61K47/26;;A61P1/04;;A61P11/00;;A61P11/06;;A61P11/14;;A61P37/08;;C07K16/2866;;A61K2039/505;;A61K9/08;;A61K9/19;;A61K47/12;;A61K39/39591;;A61K47/26;;A61P37/08;;A61K47/12;;A61K9/19;;A61K47/22;;A61K47/14;;A61P1/04;;A61K9/08;;C07K16/2866;;A61K2039/505;;A61K9/0019;;A61P11/14;;A61P11/06;;A61P11/00;;A61K47/34;;A61K47/183;;A61K39/39591;;A61K47/26;;A61K47/22;;A61K47/10;;A61K47/183;;A61K9/08;;A61K9/19;;A61P11/00;;A61P11/06;;C07K16/2866;;A61K2039/505;;A61K39/39591;;A61K47/14;;A61K47/22;;A61K47/26;;A61K47/34;;C07K16/2866</t>
  </si>
  <si>
    <t>A61K39/395;;A61K47/14;;A61K47/22;;A61K47/26;;A61K47/34;;C07K16/28</t>
  </si>
  <si>
    <t>https://lens.org/159-573-506-963-723</t>
  </si>
  <si>
    <t>227</t>
  </si>
  <si>
    <t>124-320-224-243-466</t>
  </si>
  <si>
    <t>US 2022/0175749 A1</t>
  </si>
  <si>
    <t>ELI LILLY AND COMPANY (2019-05-29);;ASTRAZENECA PHARMACEUTICALS LP (2019-06-05);;ASTRAZENECA UK LIMITED (2019-07-12);;ASTRAZENECA AB (2019-08-13)</t>
  </si>
  <si>
    <t>LANABECESTAT FOR WEIGHT LOSS</t>
  </si>
  <si>
    <t>A61K45/06;;A61K31/4439;;A61P3/04;;A61K31/4439;;A61K45/06;;A61K2300/00;;A61P3/04;;A61K31/4439;;A61K45/06;;A61P3/04</t>
  </si>
  <si>
    <t>A61K31/4439;;A61K45/06;;A61P3/04</t>
  </si>
  <si>
    <t>https://lens.org/124-320-224-243-466</t>
  </si>
  <si>
    <t>228</t>
  </si>
  <si>
    <t>137-116-578-868-766</t>
  </si>
  <si>
    <t>US 2022/0175783 A1</t>
  </si>
  <si>
    <t>ASTRAZENECA UK LIMITED (2019-06-11);;ASTRAZENECA AB (2019-06-12)</t>
  </si>
  <si>
    <t>A61K31/501;;A61P35/00;;A61K31/517;;A61K31/506;;A61K31/519;;A61K31/555;;A61K33/243;;A61K2300/00;;A61P35/00;;A61K31/519;;A61K9/20;;A61K31/506;;A61K31/517;;A61K33/243;;A61P35/04</t>
  </si>
  <si>
    <t>A61K31/519;;A61K31/506;;A61K31/517;;A61K33/243;;A61P35/04</t>
  </si>
  <si>
    <t>https://lens.org/137-116-578-868-766</t>
  </si>
  <si>
    <t>229</t>
  </si>
  <si>
    <t>160-030-407-210-245</t>
  </si>
  <si>
    <t>B8</t>
  </si>
  <si>
    <t>EP 2992903 B8</t>
  </si>
  <si>
    <t>ASTRAZENECA AB;;NEKTAR THERAPEUTICS</t>
  </si>
  <si>
    <t>NEKTAR THERAPEUTICS; US (2025-11-05);;NEKTAR THERAPEUTICS (2019-10-23);;ASTRAZENECA AB (2019-10-23);;GRUENENTHAL GMBH, DE (2026-04-27);;NEKTAR THERAPEUTICS, SAN FRANCISCO, US (2026-04-27)</t>
  </si>
  <si>
    <t>COMBINATION OF A NALOXOL-PEG CONJUGATE AND AN OPIOID AGONIST</t>
  </si>
  <si>
    <t>C07D489/04;;A61K47/60;;A61P25/00;;A61P25/04;;A61P39/00;;C07B2200/13;;C07C55/07;;A61K47/60;;C07B2200/13;;C07C51/41;;C07D489/04</t>
  </si>
  <si>
    <t>A61K47/60;;A61K45/06;;A61P39/00;;C07D489/04</t>
  </si>
  <si>
    <t>https://lens.org/160-030-407-210-245</t>
  </si>
  <si>
    <t>230</t>
  </si>
  <si>
    <t>033-687-118-462-747</t>
  </si>
  <si>
    <t>US 2022/0169643 A1</t>
  </si>
  <si>
    <t>ASTRAZENECA PHARMACEUTICALS LP (2020-05-19);;ASTRAZENECA UK LIMITED (2020-07-22);;ASTRAZENECA AB (2020-07-29)</t>
  </si>
  <si>
    <t>ESTROGEN RECEPTOR DEGRADING PROTACS</t>
  </si>
  <si>
    <t>C07D471/04;;A61P35/00;;C07D471/04;;A61P35/00;;C07D471/04;;A61K31/506;;A61P35/00;;C07D471/10;;C07D471/04;;C07D519/00</t>
  </si>
  <si>
    <t>C07D471/04;;C07D519/00</t>
  </si>
  <si>
    <t>https://lens.org/033-687-118-462-747</t>
  </si>
  <si>
    <t>231</t>
  </si>
  <si>
    <t>054-117-029-875-985</t>
  </si>
  <si>
    <t>US 2022/0162648 A1</t>
  </si>
  <si>
    <t>ASTRAZENECA AB (2019-04-26)</t>
  </si>
  <si>
    <t>COMPOSITIONS AND METHODS FOR IMPROVED GENE EDITING</t>
  </si>
  <si>
    <t>C12N15/102;;C12N9/22;;C12N15/113;;C12N15/907;;C12N2310/20;;C12N15/113;;C12N2310/20;;C12N15/907;;C12N5/0081;;C12N9/22;;C12N9/2497;;C12N9/78;;C12N15/11;;C12N15/86;;C12N2310/20;;C12N2710/10043;;C12N2740/10043;;C12N2800/80;;C12Y305/04;;C12Y305/04004;;C12Y305/04005;;G01N33/5014</t>
  </si>
  <si>
    <t>C12N15/90;;C12N5/00;;C12N9/22;;C12N9/24;;C12N9/78;;C12N15/11;;C12N15/86;;G01N33/50</t>
  </si>
  <si>
    <t>https://lens.org/054-117-029-875-985</t>
  </si>
  <si>
    <t>232</t>
  </si>
  <si>
    <t>195-955-822-169-723</t>
  </si>
  <si>
    <t>US 2022/0162325 A1</t>
  </si>
  <si>
    <t>ASTRAZENECA AB (2021-06-21);;MEDIMMUNE LLC (2020-10-08)</t>
  </si>
  <si>
    <t>TYPE I INTERFERON-MEDIATED DISORDERS</t>
  </si>
  <si>
    <t>C07K16/2866;;A61K2039/505;;G01N33/564;;G01N2333/522;;G01N2333/70596;;G01N2800/52;;C07K16/2866;;A61K2039/505;;G01N33/564;;G01N2333/522;;G01N2333/70596;;G01N2800/52;;C07K16/2866;;A61K2039/505;;A61P21/00;;A61P29/00;;G01N33/564;;G01N2800/52;;C07K16/2866;;A61K2039/505;;A61P43/00</t>
  </si>
  <si>
    <t>C07K16/28;;A61P43/00</t>
  </si>
  <si>
    <t>https://lens.org/195-955-822-169-723</t>
  </si>
  <si>
    <t>233</t>
  </si>
  <si>
    <t>031-087-811-690-877</t>
  </si>
  <si>
    <t>EP 3703658 B1</t>
  </si>
  <si>
    <t>MODERNATX, INC., US (2023-05-30);;MODERNATX, INC.; US (2023-06-16);;ASTRAZENECA AB (2021-07-28)</t>
  </si>
  <si>
    <t>LIPID NANOPARTICLES FOR DELIVERING MODIFIED RNA ENCODING A VEGF-A POLYPEPTIDE</t>
  </si>
  <si>
    <t>A61K9/1271;;A61K9/0021;;A61K9/1272;;A61K31/7088;;A61K38/1866;;A61K38/1866;;A61K9/0021;;A61K9/1271;;A61K9/1272;;A61K31/7088;;A61K48/0033;;A61K9/1271;;A61K9/5123;;A61K38/1866;;A61K47/14;;A61K47/24;;A61K48/005;;A61K48/0075;;A61P17/02;;A61K9/1272;;A61K9/0019;;A61K31/7088;;A61K38/1866;;A61P43/00;;B82Y5/00</t>
  </si>
  <si>
    <t>A61K9/00;;A61K9/127;;A61K31/7088;;A61K38/18;;A61K48/00</t>
  </si>
  <si>
    <t>https://lens.org/031-087-811-690-877</t>
  </si>
  <si>
    <t>234</t>
  </si>
  <si>
    <t>042-258-152-892-83X</t>
  </si>
  <si>
    <t>EP 3417294 B8</t>
  </si>
  <si>
    <t>ASTRAZENECA AB;;US HEALTH</t>
  </si>
  <si>
    <t>THE UNITED STATES OF AMERICA, AS REPRESENTED BY THE SECRETARY, DEPARTMENT OF HEALTH AND HUMAN SERVICES (2022-05-04);;THE UNITED STATES OF AMERICA, AS REPRESENTED B, US (2022-04-28);;ASTRAZENECA AB (2022-05-04);;ASTRAZENECA AB, SE (2022-04-28)</t>
  </si>
  <si>
    <t>METHODS COMPRISING FIXED INTERMITTENT DOSING OF CEDIRANIB</t>
  </si>
  <si>
    <t>A61K48/00;;A61K39/39558;;C07K16/2827;;A61K45/06;;A61K31/506;;A61K31/502;;A61P35/00;;A61P43/00;;A61P9/10;;A61P35/00;;A61K31/502;;A61K31/517;;A61K39/39558;;A61K45/06;;A61K2300/00;;G01N33/575;;A61K31/502;;A61K31/517;;A61K39/39558;;A61K45/06</t>
  </si>
  <si>
    <t>C07K16/28;;A61K31/502;;A61K31/506;;A61K38/00;;A61K39/395;;A61K45/06;;A61K48/00;;A61P9/10;;A61P35/00;;A61P43/00;;G01N33/574</t>
  </si>
  <si>
    <t>https://lens.org/042-258-152-892-83X</t>
  </si>
  <si>
    <t>235</t>
  </si>
  <si>
    <t>032-058-315-489-000</t>
  </si>
  <si>
    <t>US 2022/0127281 A1</t>
  </si>
  <si>
    <t>ASTRAZENECA UK LIMITED (2018-07-23);;ASTRAZENECA AB (2018-08-21)</t>
  </si>
  <si>
    <t>HETEROARYL COMPOUNDS THAT INHIBIT G12C MUTANT RAS PROTEINS</t>
  </si>
  <si>
    <t>C07D498/14;;A61P35/00;;C07D498/14;;C07D519/00</t>
  </si>
  <si>
    <t>C07D498/14;;C07D519/00</t>
  </si>
  <si>
    <t>https://lens.org/032-058-315-489-000</t>
  </si>
  <si>
    <t>236</t>
  </si>
  <si>
    <t>121-980-960-409-49X</t>
  </si>
  <si>
    <t>US 2022/0073622 A1</t>
  </si>
  <si>
    <t>MEDIMMUNE LIMITED (2018-07-09);;ASTRAZENECA PHARMACEUTICALS LP (2018-05-13);;ASTRAZENECA UK LIMITED (2020-07-24);;ASTRAZENECA AB (2020-08-06)</t>
  </si>
  <si>
    <t>Compositions and Methods for Treating Late Stage Lung Cancer</t>
  </si>
  <si>
    <t>A61P35/00;;A61K2039/5158;;A61K2039/545;;C07K16/2827;;C07K2317/21;;C07K2317/73;;C07K2317/76;;C07K16/2827;;A61K2039/505;;A61K2039/5158;;A61K2039/54;;A61P35/00;;C07K2317/21;;C07K2317/24</t>
  </si>
  <si>
    <t>C07K16/28;;A61P35/00</t>
  </si>
  <si>
    <t>https://lens.org/121-980-960-409-49X</t>
  </si>
  <si>
    <t>237</t>
  </si>
  <si>
    <t>195-801-256-602-964</t>
  </si>
  <si>
    <t>US 11254928 B2</t>
  </si>
  <si>
    <t>ASTRAZENECA AB (2018-11-08)</t>
  </si>
  <si>
    <t>Gene modification assays</t>
  </si>
  <si>
    <t>C12N15/102;;C12N15/00;;C12N15/111;;C12N15/63;;C12N15/85;;C12N15/87;;C12N2310/20;;C12N2320/10;;C12N2320/12;;C12N15/102;;C12N5/0606;;C12N5/0696;;C12N15/111;;C12N15/63;;C12N15/85;;C12N15/87;;C12N15/907;;C12N2310/20;;C12N2320/10;;C12N2320/12</t>
  </si>
  <si>
    <t>C12N15/11;;C12N5/0735;;C12N5/074;;C12N15/10;;C12N15/63;;C12N15/85;;C12N15/87;;C12N15/90</t>
  </si>
  <si>
    <t>https://lens.org/195-801-256-602-964</t>
  </si>
  <si>
    <t>238</t>
  </si>
  <si>
    <t>092-495-515-948-04X</t>
  </si>
  <si>
    <t>US 2022/0040158 A1</t>
  </si>
  <si>
    <t>ASTRAZENECA PHARMACEUTICALS LP (2018-10-11);;ASTRAZENECA UK LIMITED (2018-10-12);;ASTRAZENECA AB (2018-10-15)</t>
  </si>
  <si>
    <t>AZD0328 DOSAGE REGIME FOR TREATING COGNITIVE IMPAIRMENT</t>
  </si>
  <si>
    <t>A61K31/439;;A61P25/28;;A61K31/439;;A61P25/28;;C07D491/22</t>
  </si>
  <si>
    <t>A61K31/439;;A61P25/28;;C07D491/22</t>
  </si>
  <si>
    <t>https://lens.org/092-495-515-948-04X</t>
  </si>
  <si>
    <t>239</t>
  </si>
  <si>
    <t>137-523-674-542-57X</t>
  </si>
  <si>
    <t>US 2022/0008392 A1</t>
  </si>
  <si>
    <t>ASTRAZENECA PHARMACEUTICALS LP (2019-01-14);;ASTRAZENECA UK LIMITED (2019-01-15);;ASTRAZENECA AB (2019-01-21)</t>
  </si>
  <si>
    <t>G01N33/57505;;A61K31/4162;;A61K31/4439;;A61K45/06;;G01N33/57557;;G01N2333/82;;G01N2800/52;;A61K31/4162;;A61K31/4439;;G01N33/57505;;G01N33/57557;;G01N2333/82;;G01N2800/52</t>
  </si>
  <si>
    <t>A61K31/4162;;A61K31/4439;;G01N33/574</t>
  </si>
  <si>
    <t>https://lens.org/137-523-674-542-57X</t>
  </si>
  <si>
    <t>240</t>
  </si>
  <si>
    <t>147-087-039-562-904</t>
  </si>
  <si>
    <t>US 2021/0391090 A1</t>
  </si>
  <si>
    <t>ASTRAZENECA PHARMACEUTICALS LP (2020-09-02);;ASTRAZENECA UK LIMITED (2021-01-12);;ASTRAZENECA AB (2021-01-18)</t>
  </si>
  <si>
    <t>Classification of Immuno-Oncology Impact</t>
  </si>
  <si>
    <t>G16H70/60;;G16H10/20;;G16H40/20;;G16H70/60</t>
  </si>
  <si>
    <t>G16H70/60</t>
  </si>
  <si>
    <t>https://lens.org/147-087-039-562-904</t>
  </si>
  <si>
    <t>241</t>
  </si>
  <si>
    <t>089-225-179-791-646</t>
  </si>
  <si>
    <t>US 2021/0386736 A1</t>
  </si>
  <si>
    <t>ASTRAZENECA UK LIMITED (2018-10-14);;ASTRAZENECA AB (2018-10-30)</t>
  </si>
  <si>
    <t>A61K31/517;;A61K9/0019;;A61K9/5153;;A61K31/635;;A61K45/00;;A61K45/06;;A61K2300/00;;A61P35/00;;A61P35/02;;A61K31/517;;A61K9/0019;;A61K9/5153;;A61K31/496;;A61K2300/00;;A61P35/00;;A61P35/02;;A61K31/502;;A61K9/51;;A61K31/496;;A61P35/02;;B82Y5/00</t>
  </si>
  <si>
    <t>A61K31/502;;A61K9/51;;A61K31/496;;A61P35/02</t>
  </si>
  <si>
    <t>https://lens.org/089-225-179-791-646</t>
  </si>
  <si>
    <t>242</t>
  </si>
  <si>
    <t>067-648-174-853-170</t>
  </si>
  <si>
    <t>US 2021/0380533 A1</t>
  </si>
  <si>
    <t>ASTRAZENECA AB (2017-06-14)</t>
  </si>
  <si>
    <t>2,3-DIHYDROISOINDOLE-1-CARBOXAMIDES USEFUL AS ROR-GAMMA MODULATORS</t>
  </si>
  <si>
    <t>C07D209/44;;A61K31/4035;;A61K45/06;;A61P17/06;;C07D403/12;;C07D405/12;;C07D413/12;;C07D209/44;;A61K45/06;;C07D403/12;;C07D405/12;;C07D413/12</t>
  </si>
  <si>
    <t>C07D209/44;;C07D403/12;;C07D405/12;;C07D413/12</t>
  </si>
  <si>
    <t>https://lens.org/067-648-174-853-170</t>
  </si>
  <si>
    <t>243</t>
  </si>
  <si>
    <t>059-799-480-718-936</t>
  </si>
  <si>
    <t>US 11180477 B2</t>
  </si>
  <si>
    <t>ASTRAZENECA UK LIMITED (2016-02-22);;ASTRAZENECA AB (2016-02-26)</t>
  </si>
  <si>
    <t>Process for the preparation of osimertinib (AZD9291) or a salt thereof, and “AZD9291 Aniline” or a salt thereof</t>
  </si>
  <si>
    <t>C07D403/04;;A61K31/506;;A61P35/00;;C07D403/04;;A61K31/506;;A61P35/00;;C07D403/04;;A61K31/506;;C07D403/04;;C07D403/04</t>
  </si>
  <si>
    <t>C07D401/04;;C07D403/04</t>
  </si>
  <si>
    <t>https://lens.org/059-799-480-718-936</t>
  </si>
  <si>
    <t>244</t>
  </si>
  <si>
    <t>121-530-028-732-306</t>
  </si>
  <si>
    <t>US 2021/0347775 A1</t>
  </si>
  <si>
    <t>ASTRAZENECA AB (2017-03-16);;ASTRAZENECA UK LIMITED (2017-03-16)</t>
  </si>
  <si>
    <t>Deuterated Imidazo[4,5-c]quinolin-2-one Compounds and Their Use in Treating Cancer</t>
  </si>
  <si>
    <t>A61P35/00;;A61K45/06;;C07D471/04;;C07D471/04;;A61P35/00;;C07D471/04;;A61K31/437;;A61P35/00;;C07D471/04;;A61K45/06;;A61P35/00</t>
  </si>
  <si>
    <t>C07D471/04;;A61P35/00</t>
  </si>
  <si>
    <t>https://lens.org/121-530-028-732-306</t>
  </si>
  <si>
    <t>245</t>
  </si>
  <si>
    <t>048-933-039-407-200</t>
  </si>
  <si>
    <t>US 2021/0338648 A1</t>
  </si>
  <si>
    <t>ASTRAZENECA PHARMACEUTICALS LP (2018-09-27);;ASTRAZENECA AB (2018-09-25);;ASTRAZENECA UK LIMITED (2018-09-28)</t>
  </si>
  <si>
    <t>METHODS AND COMPOSITIONS FOR REDUCING SERUM URIC ACID</t>
  </si>
  <si>
    <t>A61K31/4418;;A61K31/426;;A61K31/519;;A61K31/70;;A61P9/04;;A61P13/12;;A61P19/06;;A61K31/4418;;A61K31/426;;A61K31/519;;A61K31/70;;A61K2300/00;;A61P9/04;;A61P13/12;;A61P19/06;;A61K31/4418;;A61K31/426;;A61K31/519;;A61K31/7034;;A61K2300/00;;A61P3/10;;A61P9/04;;A61P13/12;;A61P19/06;;A61K31/4418;;A61K31/351;;A61K31/426;;A61K31/519;;A61P13/02</t>
  </si>
  <si>
    <t>A61K31/4418;;A61K31/351;;A61K31/426;;A61K31/519;;A61P13/02</t>
  </si>
  <si>
    <t>https://lens.org/048-933-039-407-200</t>
  </si>
  <si>
    <t>246</t>
  </si>
  <si>
    <t>170-149-492-119-50X</t>
  </si>
  <si>
    <t>US 2021/0330665 A1</t>
  </si>
  <si>
    <t>ASTRAZENECA UK LIMITED (2020-10-01);;ASTRAZENECA AB (2020-10-22)</t>
  </si>
  <si>
    <t>A61K9/2054;;A61K9/2009;;A61K9/2059;;A61K9/2027;;A61K9/2013;;A61K9/485;;A61K9/4858;;A61K9/4866;;A61K9/2077;;A61K31/4745;;A61K31/4745;;A61K9/2027;;A61K9/4858;;A61K9/2054;;A61K9/4866;;A61K9/2059;;A61K9/2077;;A61K9/2866;;A61K9/2013;;A61K9/2095;;A61K9/284;;A61K9/2009;;A61K9/485;;A61K9/2054;;A61K9/2009;;A61K9/2059;;A61K9/4808;;A61K31/4745;;A61K9/2009;;A61K9/2013;;A61K9/2054;;A61K9/2095;;A61K9/284;;A61K9/2866;;A61K31/4745</t>
  </si>
  <si>
    <t>A61K9/20;;A61K31/4745;;A61K9/28</t>
  </si>
  <si>
    <t>https://lens.org/170-149-492-119-50X</t>
  </si>
  <si>
    <t>247</t>
  </si>
  <si>
    <t>196-373-504-924-419</t>
  </si>
  <si>
    <t>US 11149029 B2</t>
  </si>
  <si>
    <t>ASTRAZENECA AB (2018-10-09);;ASTRAZENECA UK LIMITED (2019-07-01)</t>
  </si>
  <si>
    <t>Salts of IJAK inhibitors and methods of using the same</t>
  </si>
  <si>
    <t>C07D403/04;;A61P11/06;;C07B2200/13;;C07C51/412;;C07C59/255;;C07C65/11;;C07D295/15;;A61P11/06;;C07D403/04;;C07D403/14;;A61P11/06;;C07D403/04;;C07D403/04;;A61K31/506;;A61P11/00;;A61P11/06;;C07B2200/13;;C07D403/14;;A61K31/506;;A61P11/06;;C07D403/04</t>
  </si>
  <si>
    <t>C07D403/14;;A61K31/506;;A61P11/06;;C07D403/04</t>
  </si>
  <si>
    <t>https://lens.org/196-373-504-924-419</t>
  </si>
  <si>
    <t>248</t>
  </si>
  <si>
    <t>027-208-633-846-624</t>
  </si>
  <si>
    <t>US 11149024 B2</t>
  </si>
  <si>
    <t>SYNCOM BV (2018-02-12);;ASTRAZENECA PHARMACEUTICALS LP (2018-02-20);;ASTRAZENECA UK LIMITED (2018-02-22);;ASTRAZENECA AB (2018-02-23);;PHARMARON INC (2018-02-10)</t>
  </si>
  <si>
    <t>Synthesis of Mcl-1 inhibitor</t>
  </si>
  <si>
    <t>C07C245/06;;C07C251/76;;C07D231/12;;C07D403/04;;C07D403/04;;C07C251/76;;C07D231/12;;C07D403/04;;C07D231/12;;C07C251/76;;C07D231/12;;C07D403/04;;C07D403/04;;C07C251/76;;C07D231/12</t>
  </si>
  <si>
    <t>C07D403/04;;C07C251/76;;C07D231/12</t>
  </si>
  <si>
    <t>https://lens.org/027-208-633-846-624</t>
  </si>
  <si>
    <t>249</t>
  </si>
  <si>
    <t>017-605-240-543-637</t>
  </si>
  <si>
    <t>US 2021/0315898 A1</t>
  </si>
  <si>
    <t>A61K31/517;;A61K9/0019;;A61K9/5153;;A61K31/706;;A61P35/00;;A61P35/02;;A61K31/517;;A61K9/0019;;A61K9/5153;;A61K31/706;;A61K2300/00;;A61P35/00;;A61P35/02;;A61K31/517;;A61K9/5153;;A61K31/706;;A61P35/02</t>
  </si>
  <si>
    <t>A61K31/517;;A61K9/51;;A61K31/706;;A61P35/02</t>
  </si>
  <si>
    <t>https://lens.org/017-605-240-543-637</t>
  </si>
  <si>
    <t>250</t>
  </si>
  <si>
    <t>038-590-909-204-171</t>
  </si>
  <si>
    <t>EP 3875487 A1</t>
  </si>
  <si>
    <t>ASTRAZENECA AB (2025-02-26)</t>
  </si>
  <si>
    <t>METHODS FOR INCREASING FORCED EXPIRATORY VOLUME IN ASTHMATICS USING BENRALIZUMAB</t>
  </si>
  <si>
    <t>A61K39/39541;;C07K16/2866;;A61K2039/505;;C07K16/2866;;A61K45/06;;C07K2317/24;;A61K2039/505;;A61P11/06;;A61P43/00;;A61K39/395;;A61P11/06;;C07K16/2866;;A61K45/06;;C07K2317/24;;A61K2039/505</t>
  </si>
  <si>
    <t>C07K16/28;;A61K39/00;;A61K39/395;;G01N33/48</t>
  </si>
  <si>
    <t>https://lens.org/038-590-909-204-171</t>
  </si>
  <si>
    <t>251</t>
  </si>
  <si>
    <t>138-305-141-052-261</t>
  </si>
  <si>
    <t>US 2021/0246130 A1</t>
  </si>
  <si>
    <t>ASTRAZENECA AB (2016-10-05)</t>
  </si>
  <si>
    <t>DUAL INHIBITORS OF PHOSPHATIDYLINOSITOL 3-KINASE DELTA &amp; GAMMA</t>
  </si>
  <si>
    <t>C07D417/14;;A61P11/00;;A61P11/06;;C07D471/04;;C07D487/04;;C07D417/14;;A61K31/427;;A61K31/4427;;A61P11/00;;C07D471/04;;C07D487/04;;C07D417/14;;A61K31/4439;;A61P11/00;;A61P11/06;;C07D471/04;;C07D487/04;;C07D417/14</t>
  </si>
  <si>
    <t>C07D417/14</t>
  </si>
  <si>
    <t>https://lens.org/138-305-141-052-261</t>
  </si>
  <si>
    <t>252</t>
  </si>
  <si>
    <t>014-418-453-748-123</t>
  </si>
  <si>
    <t>US 2021/0230630 A1</t>
  </si>
  <si>
    <t>ASTRAZENECA AB (2018-07-03)</t>
  </si>
  <si>
    <t>INDUCIBLE MODIFICATION OF A CELL GENOME</t>
  </si>
  <si>
    <t>C12N15/111;;C12N15/79;;C12N2310/20;;A61P43/00;;C12N2310/20;;C12N15/111;;C12N15/79;;A01K67/0275;;A01K2217/072;;A01K2217/075;;A01K2217/203;;A01K2217/206;;A01K2227/105;;A01K2267/0393;;C12N15/8509;;C12N15/86;;C12N15/907;;C12N2015/8572</t>
  </si>
  <si>
    <t>C12N15/85;;A01K67/027;;C12N15/11;;C12N15/79;;C12N15/86</t>
  </si>
  <si>
    <t>https://lens.org/014-418-453-748-123</t>
  </si>
  <si>
    <t>253</t>
  </si>
  <si>
    <t>138-976-864-196-741</t>
  </si>
  <si>
    <t>US 11053223 B2</t>
  </si>
  <si>
    <t>ASTRAZENECA UK LIMITED (2020-07-02);;ASTRAZENECA AB (2020-08-18)</t>
  </si>
  <si>
    <t>Phenoxyquinazoline compounds and their use in treating cancer</t>
  </si>
  <si>
    <t>C07D403/12;;A61K31/517;;A61P35/00;;C07D403/12;;A61P35/04;;C07B2200/13;;C07D405/14</t>
  </si>
  <si>
    <t>C07D403/12;;A61K31/517;;A61P35/00;;A61P35/04;;C07D405/14</t>
  </si>
  <si>
    <t>https://lens.org/138-976-864-196-741</t>
  </si>
  <si>
    <t>254</t>
  </si>
  <si>
    <t>087-545-882-205-071</t>
  </si>
  <si>
    <t>US 2021/0198642 A1</t>
  </si>
  <si>
    <t>ASTRAZENECA AB (2021-05-12)</t>
  </si>
  <si>
    <t>COMPOSITIONS AND METHODS FOR IMPROVED NUCLEASES</t>
  </si>
  <si>
    <t>C12N9/22;;C12N9/22;;C12N15/11;;C12N15/907;;C12N2310/20;;C12N2800/80</t>
  </si>
  <si>
    <t>https://lens.org/087-545-882-205-071</t>
  </si>
  <si>
    <t>255</t>
  </si>
  <si>
    <t>123-076-892-820-355</t>
  </si>
  <si>
    <t>US 2021/0198248 A1</t>
  </si>
  <si>
    <t>ASTRAZENECA AB (2018-11-19);;RIGEL PHARMACEUTICALS INC (2022-06-07)</t>
  </si>
  <si>
    <t>FUMARATE SALT OF 5-((5-METHYL-2-((3,4,5-TRIMETHYLPHENYL)AMINO)PYRIMIDIN-4-YL)AMINO)-BENZO[D]OXAZOL-2(3H)-ONE</t>
  </si>
  <si>
    <t>A61P11/06;;A61P11/00;;C07C57/15;;C07D413/12;;A61P11/06;;A61P11/00;;C07D413/12;;C07D413/12;;A61K31/506;;A61P11/00;;A61P11/06;;C07B2200/13;;C07D413/12;;C07B2200/13</t>
  </si>
  <si>
    <t>C07D413/12</t>
  </si>
  <si>
    <t>https://lens.org/123-076-892-820-355</t>
  </si>
  <si>
    <t>256</t>
  </si>
  <si>
    <t>177-323-045-676-393</t>
  </si>
  <si>
    <t>US 2021/0196788 A1</t>
  </si>
  <si>
    <t>ASTRAZENECA AB;;PIERIS PHARMACEUTICLAS GMBH</t>
  </si>
  <si>
    <t>ASTRAZENECA AB (2017-06-15);;PIERIS PHARMACEUTICALS GMBH (2017-06-15)</t>
  </si>
  <si>
    <t>TEAR LIPOCALIN MUTEINS BINDING IL-4 R ALPHA</t>
  </si>
  <si>
    <t>C07K14/47;;A61K38/00;;C07K2319/00;;A61K38/1709;;A61P31/04;;A61P31/10;;A61P35/00;;A61P37/02;;A61P43/00;;C07K14/435;;C07K14/47;;C12N9/16;;A61K38/1709;;C07K14/435;;C07K14/47;;C07K2319/00;;C12N5/10;;C12N9/16;;C12N15/63</t>
  </si>
  <si>
    <t>A61K38/17;;C07K14/435;;C07K14/47;;C12N9/16</t>
  </si>
  <si>
    <t>https://lens.org/177-323-045-676-393</t>
  </si>
  <si>
    <t>257</t>
  </si>
  <si>
    <t>108-745-744-699-161</t>
  </si>
  <si>
    <t>US 11046689 B2</t>
  </si>
  <si>
    <t>ASTRAZENECA PHARMACEUTICALS LP (2018-02-20);;ASTRAZENECA UK LIMITED (2018-02-27);;ASTRAZENECA AB (2018-02-28)</t>
  </si>
  <si>
    <t>Selective estrogen receptor down-regulators</t>
  </si>
  <si>
    <t>C07D471/04;;A61K31/407;;A61K31/437;;A61P35/00;;C07D471/04;;A61K31/437;;A61P35/00;;C07D471/04;;A61K31/407;;A61K31/437;;A61P35/00;;C07D471/04;;A61K31/407;;A61K31/437;;A61P35/00</t>
  </si>
  <si>
    <t>C07D471/04;;A61K31/407;;A61K31/437;;A61P35/00</t>
  </si>
  <si>
    <t>https://lens.org/108-745-744-699-161</t>
  </si>
  <si>
    <t>258</t>
  </si>
  <si>
    <t>110-627-883-879-28X</t>
  </si>
  <si>
    <t>US 2021/0161897 A1</t>
  </si>
  <si>
    <t>ASTRAZENECA UK LIMITED (2021-04-23);;ASTRAZENECA AB (2021-04-28)</t>
  </si>
  <si>
    <t>A61K31/506;;A61K31/517;;A61K31/5377;;A61P35/00;;A61K31/517;;A61K31/506;;A61P35/00</t>
  </si>
  <si>
    <t>A61K31/517;;A61K31/506;;A61P35/00</t>
  </si>
  <si>
    <t>https://lens.org/110-627-883-879-28X</t>
  </si>
  <si>
    <t>259</t>
  </si>
  <si>
    <t>074-921-623-761-182</t>
  </si>
  <si>
    <t>US 2021/0137931 A1</t>
  </si>
  <si>
    <t>ASTRAZENECA PHARMACEUTICALS LP (2018-12-03);;ASTRAZENECA UK LIMITED (2018-12-11);;ASTRAZENECA AB (2018-12-18)</t>
  </si>
  <si>
    <t>SELECTING PATIENTS FOR THERAPY WITH ADENOSINE SIGNALING INHIBITORS</t>
  </si>
  <si>
    <t>C12Q1/6886;;C12Q2600/106;;C12Q2600/118;;C12Q2600/158;;C12Q1/6886;;C12Q2600/106;;C12Q2600/118;;C12Q2600/158;;C12Q1/6886;;C12Q2600/106;;C12Q2600/118;;C12Q2600/158;;A61K31/53;;C07K16/2896;;C12Q1/6886;;C12Q2600/158</t>
  </si>
  <si>
    <t>A61K31/53;;C07K16/28;;C12Q1/6886</t>
  </si>
  <si>
    <t>https://lens.org/074-921-623-761-182</t>
  </si>
  <si>
    <t>260</t>
  </si>
  <si>
    <t>023-650-154-664-344</t>
  </si>
  <si>
    <t>US 10994082 B2</t>
  </si>
  <si>
    <t>DANSK INGENIOR SERVICE A/S (2012-11-07);;ASTRAZENECA UK LIMITED (2012-11-16);;ASTRAZENECA AB (2012-11-10);;BANG &amp; OLUFSEN MEDICOM A/S (2012-11-09)</t>
  </si>
  <si>
    <t>Inhaler counter</t>
  </si>
  <si>
    <t>A61M15/0075;;A61M15/0026;;A61M15/008;;A61M15/0081;;A61M15/009;;A61M15/0091;;A61M15/0096;;A61M2205/276;;A61M2205/585;;A61M15/00;;A61M15/0075;;A61M15/0025;;A61M15/0026;;A61M15/008;;A61M15/0081;;A61M15/009;;A61M15/0091;;A61M15/0096;;A61M2205/27;;A61M2205/276;;A61M2205/585</t>
  </si>
  <si>
    <t>https://lens.org/023-650-154-664-344</t>
  </si>
  <si>
    <t>261</t>
  </si>
  <si>
    <t>089-392-442-791-183</t>
  </si>
  <si>
    <t>US 2021/0095037 A1</t>
  </si>
  <si>
    <t>ASTRAZENECA PHARMACEUTICALS LP (2020-01-24);;ASTRAZENECA UK LIMITED (2020-02-04);;ASTRAZENECA AB (2020-02-11)</t>
  </si>
  <si>
    <t>METHODS FOR TREATING LATE-ONSET ASTHMA USING BENRALIZUMAB</t>
  </si>
  <si>
    <t>C07K16/2866;;A61K9/0019;;A61K9/0029;;A61K39/3955;;A61K45/06;;A61K2039/505;;A61K2039/54;;A61K2039/545;;A61P11/06;;C07K2317/76;;A61P11/06;;A61K2039/545;;C07K16/2866;;C07K2317/24;;C07K16/2866;;A61K9/0019;;A61K9/0029;;A61K39/3955;;A61K45/06;;A61K2039/505;;A61K2039/54;;A61K2039/545;;A61P11/06;;C07K2317/24;;C07K2317/76;;C07K16/2896;;A61K2039/505;;A61K2039/545;;A61P11/06;;C07K2317/24;;C07K16/2866;;A61K9/0019;;A61K9/0029;;A61K39/3955;;A61K45/06;;A61K2039/505;;A61K2039/54;;A61K2039/545;;A61P11/06;;C07K2317/24;;C07K2317/76</t>
  </si>
  <si>
    <t>C07K16/28;;A61K9/00;;A61K39/395;;A61K45/06;;A61P11/06</t>
  </si>
  <si>
    <t>https://lens.org/089-392-442-791-183</t>
  </si>
  <si>
    <t>262</t>
  </si>
  <si>
    <t>100-675-725-821-529</t>
  </si>
  <si>
    <t>US 10954211 B2</t>
  </si>
  <si>
    <t>ASTRAZENECA UK LIMITED (2015-03-27);;ASTRAZENECA AB (2015-04-13)</t>
  </si>
  <si>
    <t>C07D401/12;;A61K31/4965;;A61K31/497;;A61P3/12;;A61P11/00;;A61P43/00;;C07D241/26;;C07D241/28;;C07D401/06;;C07D405/14;;C07D401/06;;C07D241/28;;C07D241/28;;A61K31/497;;A61K45/06;;A61P11/06;;C07D401/12;;C07D405/14;;C07D401/12;;A61K31/4965;;A61K31/497;;A61K45/06;;A61P3/12;;A61P11/00;;A61P11/06;;A61P43/00;;C07D241/26;;C07D241/28;;C07D401/06;;C07D405/14</t>
  </si>
  <si>
    <t>C07D401/12;;A61K31/4965;;A61K31/497;;A61K45/06;;A61P3/12;;A61P11/00;;A61P11/06;;A61P43/00;;C07D241/26;;C07D241/28;;C07D401/06;;C07D405/14</t>
  </si>
  <si>
    <t>https://lens.org/100-675-725-821-529</t>
  </si>
  <si>
    <t>263</t>
  </si>
  <si>
    <t>088-208-003-764-758</t>
  </si>
  <si>
    <t>US 2021/0047312 A1</t>
  </si>
  <si>
    <t>ASTRAZENECA AB (2016-04-01)</t>
  </si>
  <si>
    <t>INHIBITORS OF PHOSPHATIDYLINOSITOL 3-KINASE GAMMA</t>
  </si>
  <si>
    <t>C07D417/04;;C07D487/04;;C07D417/04;;A61P11/00;;A61P11/06;;A61P11/08;;A61P37/08;;C07D487/04;;C07D417/04;;A61K31/427;;A61K31/4985;;A61P11/06;;A61P11/08;;C07D487/04;;C07D417/04</t>
  </si>
  <si>
    <t>C07D417/04</t>
  </si>
  <si>
    <t>https://lens.org/088-208-003-764-758</t>
  </si>
  <si>
    <t>264</t>
  </si>
  <si>
    <t>159-054-271-143-59X</t>
  </si>
  <si>
    <t>US 2021/0030718 A1</t>
  </si>
  <si>
    <t>ASTRAZENECA PHARMACEUTICALS LP (2018-07-16);;ASTRAZENECA UK LIMITED (2018-07-17)</t>
  </si>
  <si>
    <t>COMBINATIONS FOR TREATING CANCER</t>
  </si>
  <si>
    <t>A61K31/4162;;A61K31/4985;;A61P35/00;;A61P35/02;;A61K31/4162;;A61K31/4985;;A61K2300/00;;A61P35/00;;A61P35/02;;A61K31/4155;;A61K31/4985;;A61P35/00</t>
  </si>
  <si>
    <t>A61K31/4155;;A61K31/4985;;A61P35/00</t>
  </si>
  <si>
    <t>https://lens.org/159-054-271-143-59X</t>
  </si>
  <si>
    <t>265</t>
  </si>
  <si>
    <t>054-681-871-957-939</t>
  </si>
  <si>
    <t>US 2020/0394581 A1</t>
  </si>
  <si>
    <t>ASTRAZENECA PHARMACEUTICALS LP</t>
  </si>
  <si>
    <t>ASTRAZENECA PHARMACEUTICALS LP (2020-11-16)</t>
  </si>
  <si>
    <t>NON-LINEAR SYSTEMS AND METHODS FOR DESTINATION SELECTION</t>
  </si>
  <si>
    <t>G06Q10/06315;;G06Q10/04;;G06Q10/06311;;G06F16/285;;G06F16/29;;G06Q10/04;;G06Q10/06314;;G06Q10/06315;;G06Q10/1093</t>
  </si>
  <si>
    <t>G06Q10/06;;G06F16/28;;G06F16/29;;G06Q10/04;;G06Q10/10</t>
  </si>
  <si>
    <t>https://lens.org/054-681-871-957-939</t>
  </si>
  <si>
    <t>266</t>
  </si>
  <si>
    <t>149-228-125-757-862</t>
  </si>
  <si>
    <t>US 2020/0370056 A1</t>
  </si>
  <si>
    <t>ASTRAZENECA AB (2017-11-20);;ASTRAZENECA UK LIMITED (2017-12-03)</t>
  </si>
  <si>
    <t>CELL LINES AND METHODS FOR INCREASED PROTEIN PRODUCTION</t>
  </si>
  <si>
    <t>C12N15/102;;C07K16/00;;C07K2317/14;;C12N9/12;;C12N15/1137;;C12N15/63;;C12N2310/20;;C12Y207/11001;;C12N15/67;;C12N15/63;;C12N2015/8518;;C12N2320/30</t>
  </si>
  <si>
    <t>C12N15/67</t>
  </si>
  <si>
    <t>https://lens.org/149-228-125-757-862</t>
  </si>
  <si>
    <t>267</t>
  </si>
  <si>
    <t>135-554-403-706-906</t>
  </si>
  <si>
    <t>US 2020/0360378 A1</t>
  </si>
  <si>
    <t>ASTRAZENECA UK LIMITED (2015-02-03);;ASTRAZENECA AB (2015-02-05)</t>
  </si>
  <si>
    <t>PHARMACEUTICAL COMPOSITIONS COMPRISING AZD9291</t>
  </si>
  <si>
    <t>A61K9/0053;;A61K9/2013;;A61K9/2054;;A61K9/28;;A61K31/506;;A61P35/00;;A61K31/506;;A61K9/2054;;A61P35/00;;A61K31/506;;A61K9/00;;A61K9/20;;A61K9/28;;A61K9/2054;;A61K9/0053;;A61K9/2013;;A61K9/28;;A61K31/506;;A61K31/506;;A61K9/0053;;A61K9/2054;;A61K9/28</t>
  </si>
  <si>
    <t>A61K31/506;;A61K9/00;;A61K9/20;;A61K9/28</t>
  </si>
  <si>
    <t>https://lens.org/135-554-403-706-906</t>
  </si>
  <si>
    <t>268</t>
  </si>
  <si>
    <t>119-905-946-861-103</t>
  </si>
  <si>
    <t>US 10829479 B2</t>
  </si>
  <si>
    <t>C5-anilinoquinazoline compounds and their use in treating cancer</t>
  </si>
  <si>
    <t>C07D403/12;;A61P35/00;;C07D405/14;;C07D403/12;;A61K31/517;;A61K2121/00;;A61P35/00;;A61K31/517;;A61K31/5377;;A61P35/00;;C07D403/12;;C07D405/14;;C07D403/12;;A61K2121/00;;A61P35/00;;C07D405/14</t>
  </si>
  <si>
    <t>A61K31/517;;A61K31/4192;;A61P35/00;;C07D403/10;;C07D403/12;;C07D405/14</t>
  </si>
  <si>
    <t>https://lens.org/119-905-946-861-103</t>
  </si>
  <si>
    <t>269</t>
  </si>
  <si>
    <t>043-664-060-832-872</t>
  </si>
  <si>
    <t>US 10828433 B2</t>
  </si>
  <si>
    <t>ALMIRALL SA;;ASTRAZENECA AB</t>
  </si>
  <si>
    <t>ALMIRALL S.A (2014-07-08);;ASTRAZENECA AB (2015-02-23)</t>
  </si>
  <si>
    <t>Inhalation device for powdered drugs</t>
  </si>
  <si>
    <t>A61M15/0065;;A61M15/0026;;A61M15/0073;;A61M15/0081;;A61M15/0091;;A61M15/0093;;A61M15/0095;;A61M2202/064;;A61M2205/583;;A61M2205/584;;A61M2206/16;;A61M15/0071;;A61M15/0026;;A61M15/0065;;A61M15/0073;;A61M15/0081;;A61M15/0091;;A61M15/0093;;A61M15/0095;;A61M2202/064;;A61M2205/583;;A61M2205/584;;A61M2206/16</t>
  </si>
  <si>
    <t>https://lens.org/043-664-060-832-872</t>
  </si>
  <si>
    <t>270</t>
  </si>
  <si>
    <t>099-227-904-650-929</t>
  </si>
  <si>
    <t>US 2020/0300865 A1</t>
  </si>
  <si>
    <t>ASTRAZENECA AB (2019-06-13)</t>
  </si>
  <si>
    <t>BIOMARKER OF PNPLA3 EXPRESSION</t>
  </si>
  <si>
    <t>G01N33/6893;;C12Q1/44;;C12Q1/60;;G01N33/92;;G01N2800/085;;G01N2800/7085;;G01N33/6893;;A61K45/06;;C12N15/113;;C12N2310/111;;C12N2320/30;;G01N33/92;;G01N2800/085;;G01N2800/7085</t>
  </si>
  <si>
    <t>G01N33/68;;G01N33/92</t>
  </si>
  <si>
    <t>https://lens.org/099-227-904-650-929</t>
  </si>
  <si>
    <t>271</t>
  </si>
  <si>
    <t>138-553-029-649-677</t>
  </si>
  <si>
    <t>US 2020/0254046 A1</t>
  </si>
  <si>
    <t>ASTRAZENECA AB (2016-12-06)</t>
  </si>
  <si>
    <t>PHARMACEUTICAL COMPOSITIONS</t>
  </si>
  <si>
    <t>A61K9/1652;;A61K9/146;;A61K9/2018;;A61K9/2054;;A61K9/5078;;A61K31/201;;A61K31/202;;A61K36/48;;A61K9/1652;;A61K9/146;;A61K9/2018;;A61K9/2054;;A61K9/5078;;A61K31/201;;A61K31/202;;A61K36/48;;A61P3/06;;A61K9/2054;;A61K9/2018;;A61K31/202;;A61K36/48;;A61K36/48;;A61K9/1611;;A61K9/1623;;A61K9/1652;;A61K9/20;;A61K31/201;;A61K31/202</t>
  </si>
  <si>
    <t>A61K36/48;;A61K9/16;;A61K9/20;;A61K31/201;;A61K31/202</t>
  </si>
  <si>
    <t>https://lens.org/138-553-029-649-677</t>
  </si>
  <si>
    <t>272</t>
  </si>
  <si>
    <t>156-793-279-465-008</t>
  </si>
  <si>
    <t>US 10729655 B2</t>
  </si>
  <si>
    <t>ASTRAZENECA UK LIMITED (2018-01-12);;ASTRAZENECA AB (2018-01-12)</t>
  </si>
  <si>
    <t>Orally disintegrating tablets</t>
  </si>
  <si>
    <t>A61J1/035;;A61J3/10;;A61K9/0056;;A61K9/2009;;A61K9/2013;;A61K9/2018;;A61K9/2027;;A61K9/2054;;A61K9/2095;;A61K31/519;;B65D75/327;;A61K9/2018;;A61J1/035;;A61K9/0056;;A61K9/2009;;A61K9/2027;;A61K9/2054;;A61K31/519;;A61P7/02;;A61P9/00;;A61P9/10;;B65D75/327;;A61K9/0056;;A61J1/035;;A61K9/2009;;A61K9/2018;;A61K9/2027;;A61K9/2054;;A61K31/519;;A61P7/02;;A61P9/10;;B65D75/327;;A61K9/2018;;A61J1/035;;A61K9/0056;;A61K9/2009;;A61K9/2027;;A61K9/2054;;A61K9/2095;;A61K31/519;;A61P7/02;;A61P9/10;;B65D75/327;;A61K9/2018;;A61J1/035;;A61J3/10;;A61K9/0056;;A61K9/2009;;A61K9/2013;;A61K9/2027;;A61K9/2054;;A61K9/2095;;A61K31/519;;B65D75/327</t>
  </si>
  <si>
    <t>A61K31/519;;A61J1/03;;A61J3/10;;A61K9/00;;A61K9/20;;B65D75/32</t>
  </si>
  <si>
    <t>https://lens.org/156-793-279-465-008</t>
  </si>
  <si>
    <t>273</t>
  </si>
  <si>
    <t>182-579-887-606-084</t>
  </si>
  <si>
    <t>EP 3337502 B1</t>
  </si>
  <si>
    <t>ASTRAZENECA AB (2020-06-24)</t>
  </si>
  <si>
    <t>STABLE ANTI-IFNAR1 FORMULATION</t>
  </si>
  <si>
    <t>C07K16/2866;;A61K39/39591;;A61K9/0019;;A61P1/04;;A61P1/14;;A61P13/12;;A61P17/00;;A61P17/06;;A61P19/02;;A61P21/00;;A61P25/00;;A61P29/00;;A61P37/02;;A61P37/06;;A61P43/00;;A61P5/14;;A61P3/10;;C07K16/2866;;C07K2317/524;;C07K2317/56;;C07K2317/52;;A61K9/0019;;A61K39/39591;;A61K9/0019;;A61K39/39591;;C07K16/2866;;A61K47/183;;A61K47/26;;A61K47/22;;A61P37/02;;A61P29/00;;A61P13/12;;A61P3/10;;A61P1/04;;A61P17/00;;A61P17/06;;A61P19/02;;A61P21/00;;A61P5/14;;A61P43/00;;A61K39/395;;C07K16/18;;C07K16/28;;C12P21/00;;C07K16/2866;;A61K39/39591;;A61K9/0019</t>
  </si>
  <si>
    <t>A61K39/00;;A61K39/395;;C07K16/00;;C07K16/18;;C07K16/28;;C12P21/00;;C12P21/08</t>
  </si>
  <si>
    <t>https://lens.org/182-579-887-606-084</t>
  </si>
  <si>
    <t>274</t>
  </si>
  <si>
    <t>092-402-287-005-860</t>
  </si>
  <si>
    <t>US 10689387 B2</t>
  </si>
  <si>
    <t>ASTRAZENECA AB (2018-04-19)</t>
  </si>
  <si>
    <t>Crystalline form of (1R,2R)-2-[4-(3-methyl-1H-pyrazol-5-yl)benzoyl]-N-(4-oxo-4,5,6,7-tetrahydropyrazolo[1,5-A]pyrazin-3-yl)cyclohexanecarboxamide</t>
  </si>
  <si>
    <t>C07D231/40;;A61K31/4155;;A61P9/00;;C07D231/44;;C07D231/50;;C07D413/12;;C07D417/12;;C07D487/04;;C07D498/04;;A61K31/4985;;A61K31/4155;;A61P9/10;;C07D403/14;;C07D487/04;;C07D487/04;;A61K31/4985;;A61P9/00;;C07B2200/13;;C07D487/04;;A61K31/4155;;A61P9/00;;C07B2200/13;;C07D231/40;;C07D231/44;;C07D231/50;;C07D413/12;;C07D417/12;;C07D498/04</t>
  </si>
  <si>
    <t>A61K31/4985;;A61K31/4155;;A61P9/00;;C07D231/40;;C07D231/44;;C07D231/50;;C07D413/12;;C07D417/12;;C07D487/04;;C07D498/04</t>
  </si>
  <si>
    <t>https://lens.org/092-402-287-005-860</t>
  </si>
  <si>
    <t>275</t>
  </si>
  <si>
    <t>091-941-778-652-903</t>
  </si>
  <si>
    <t>US 2020/0123262 A1</t>
  </si>
  <si>
    <t>MEDIMMUNE LIMITED (2014-07-09);;ASTRAZENECA AB (2016-07-22);;MEDIMMUNE LLC (2014-08-04)</t>
  </si>
  <si>
    <t>Methods For Treating Chronic Obstructive Pulmonary Disease Using Benralizumab</t>
  </si>
  <si>
    <t>C07K16/2866;;A61K2039/505;;A61P11/00;;C07K2317/24;;A61K39/00;;A61K39/395;;C07K16/2866;;A61K2039/505;;A61K2039/545;;A61P11/00;;C07K2317/24</t>
  </si>
  <si>
    <t>C07K16/28;;A61P11/00</t>
  </si>
  <si>
    <t>https://lens.org/091-941-778-652-903</t>
  </si>
  <si>
    <t>276</t>
  </si>
  <si>
    <t>008-693-522-263-736</t>
  </si>
  <si>
    <t>US 10597397 B2</t>
  </si>
  <si>
    <t>SUMITOMO DAINIPPON PHARMA CO LTD;;ASTRAZENECA AB</t>
  </si>
  <si>
    <t>SUMITOMO PHARMA CO. LTD (2019-02-22);;ASTRAZENECA AKTIEBOLAG (2019-02-22);;MEDIMMUNE LLC (2019-02-19)</t>
  </si>
  <si>
    <t>Adenine conjugate compounds and their use as vaccine adjuvants</t>
  </si>
  <si>
    <t>C07D473/18;;A61K31/522;;A61K39/0011;;A61K39/12;;A61K39/39;;A61K47/54;;A61K47/6907;;A61K2039/55511;;A61P31/12;;A61P35/00;;A61P37/04;;C07D473/34;;C12N2710/16134;;C12N2710/16634;;C07D473/18;;A61K31/522;;A61K39/0011;;A61K39/12;;A61K39/39;;A61K47/54;;A61K47/6907;;A61K2039/55511;;A61K2039/55566;;A61P35/00;;C07D473/34;;C12N2710/16134;;C12N2710/16634</t>
  </si>
  <si>
    <t>C07D473/18;;A61K31/522;;A61K31/54;;A61K31/59;;A61K39/00;;A61K39/12;;A61K39/39;;A61K47/54;;A61K47/69;;A61P35/00;;C07D473/34</t>
  </si>
  <si>
    <t>https://lens.org/008-693-522-263-736</t>
  </si>
  <si>
    <t>277</t>
  </si>
  <si>
    <t>192-171-469-774-345</t>
  </si>
  <si>
    <t>US 10597405 B2</t>
  </si>
  <si>
    <t>ASTRAZENECA UK LIMITED (2019-10-01);;ASTRAZENECA AB (2019-01-21)</t>
  </si>
  <si>
    <t>C07D498/14;;A61P35/00;;C07D471/14;;C07D471/22;;C07D498/14;;A61P35/00;;C07D471/14;;C07D471/22</t>
  </si>
  <si>
    <t>C07D498/14;;A61P35/00;;C07D471/14;;C07D471/22</t>
  </si>
  <si>
    <t>https://lens.org/192-171-469-774-345</t>
  </si>
  <si>
    <t>278</t>
  </si>
  <si>
    <t>160-623-037-746-387</t>
  </si>
  <si>
    <t>US 10577351 B2</t>
  </si>
  <si>
    <t>BIND THERAPEUTICS INC (2014-11-03);;ASTRAZENECA UK LIMITED (2014-10-23);;ASTRAZENECA AB (2014-11-03)</t>
  </si>
  <si>
    <t>Therapeutic polymeric nanoparticles and methods of making and using same</t>
  </si>
  <si>
    <t>C07D403/12;;A61K9/0019;;A61K9/5123;;A61K9/5153;;A61K31/517;;A61K45/06;;A61K47/10;;A61K47/12;;A61K47/34;;A61P35/00;;A61P35/02;;A61P43/00;;A61K31/517;;A61K9/0019;;A61K9/16;;A61K9/51;;A61K9/5123;;A61K9/5153;;A61K31/675;;A61K45/06;;A61K47/10;;A61K47/12;;A61K47/34;;A61P35/00;;A61P35/02;;A61P43/00;;B82B1/00;;B82Y40/00;;C07D403/12;;A61K9/51;;A61K31/517;;A61K47/12;;A61K47/34;;A61P35/00;;B82B1/00;;B82Y40/00;;C07D403/12;;A61K9/0019;;A61K9/16;;A61K9/5123;;A61K9/5153;;A61K31/517;;A61K31/675;;A61K45/06;;A61K47/10;;A61K47/12;;A61K47/34</t>
  </si>
  <si>
    <t>C07D403/12;;A61K9/00;;A61K9/16;;A61K9/51;;A61K31/517;;A61K31/675;;A61K45/06;;A61K47/10;;A61K47/12;;A61K47/34</t>
  </si>
  <si>
    <t>https://lens.org/160-623-037-746-387</t>
  </si>
  <si>
    <t>279</t>
  </si>
  <si>
    <t>051-681-251-824-140</t>
  </si>
  <si>
    <t>US 10548882 B2</t>
  </si>
  <si>
    <t>ASTRAZENECA UK LIMITED (2013-11-06);;ASTRAZENECA AB (2013-11-06)</t>
  </si>
  <si>
    <t>Camsylate salt</t>
  </si>
  <si>
    <t>C07D401/04;;A61P25/00;;A61P25/16;;A61P25/28;;C07D401/10;;C07D235/02;;A61K31/4439;;C07D401/10;;C07D401/10;;A61K31/4439;;A61K31/4439;;A61K45/06;;C07D401/10</t>
  </si>
  <si>
    <t>A61K31/4439;;A61K45/06;;C07D401/10</t>
  </si>
  <si>
    <t>https://lens.org/051-681-251-824-140</t>
  </si>
  <si>
    <t>280</t>
  </si>
  <si>
    <t>081-674-777-724-454</t>
  </si>
  <si>
    <t>AU 2014/306960 B2</t>
  </si>
  <si>
    <t>ASTRAZENECA AB (2016-12-01)</t>
  </si>
  <si>
    <t>Methods for improving asthma symptoms using benralizumab</t>
  </si>
  <si>
    <t>C07K16/2866;;A61K2039/505;;C07K2317/76;;A61P11/06;;C07K2317/24;;C07K16/2866;;A61K2039/505;;C07K2317/76;;A61K39/395;;A61P11/06;;C07K16/2866;;A61K2039/505;;C07K2317/76</t>
  </si>
  <si>
    <t>A61K39/00;;A61K39/395;;G01N33/48</t>
  </si>
  <si>
    <t>https://lens.org/081-674-777-724-454</t>
  </si>
  <si>
    <t>281</t>
  </si>
  <si>
    <t>105-366-334-050-993</t>
  </si>
  <si>
    <t>EP 3374359 B1</t>
  </si>
  <si>
    <t>ASTRAZENECA AB (2019-04-10)</t>
  </si>
  <si>
    <t>DIHYDROIMIDAZOPYRAZINONE DERIVATIVES USEFUL IN THE TREATMENT OF CANCER</t>
  </si>
  <si>
    <t>C07D487/04;;A61K31/416;;A61K31/506;;A61K45/06;;A61P1/04;;A61P1/18;;A61P35/00;;A61P35/02;;A61P43/00;;C07D403/04;;C07D487/04;;A61K31/416;;A61K31/4985;;A61K31/506;;A61K45/06;;A61K2300/00;;A61P35/00;;C07D403/04;;C07D487/04;;A61K31/416;;A61K31/506;;A61K45/06;;C07B2200/13;;C07D403/04</t>
  </si>
  <si>
    <t>C07D487/04;;A61K31/4985;;A61P35/00;;C07D403/04</t>
  </si>
  <si>
    <t>https://lens.org/105-366-334-050-993</t>
  </si>
  <si>
    <t>282</t>
  </si>
  <si>
    <t>129-082-707-568-178</t>
  </si>
  <si>
    <t>US 10519152 B2</t>
  </si>
  <si>
    <t>ASTRAZENECA PHARMACEUTICALS LP (2019-01-23);;ASTRAZENECA UK LIMITED (2019-01-24);;ASTRAZENECA AB (2019-01-28)</t>
  </si>
  <si>
    <t>Compounds and their use in treating cancer</t>
  </si>
  <si>
    <t>C07D471/04;;C07D519/00;;C07K5/06034;;C07D471/04;;C07D519/00;;C07K5/06034</t>
  </si>
  <si>
    <t>A61K31/437;;C07D471/04;;C07D519/00;;C07K5/062</t>
  </si>
  <si>
    <t>INACTIVE</t>
  </si>
  <si>
    <t>https://lens.org/129-082-707-568-178</t>
  </si>
  <si>
    <t>283</t>
  </si>
  <si>
    <t>023-163-034-774-196</t>
  </si>
  <si>
    <t>US 2019/0389853 A1</t>
  </si>
  <si>
    <t>ASTRAZENECA UK LIMITED (2018-06-19);;ASTRAZENECA AB (2018-06-22);;CANCER RESEARCH TECHNOLOGY LIMITED (2018-05-14)</t>
  </si>
  <si>
    <t>1,3,4-Thiadiazole Compounds and Their Use in Treating Cancer</t>
  </si>
  <si>
    <t>C07D417/14;;A61P35/00;;A61P43/00;;A61P35/00;;A61K31/501;;A61K31/53;;C07D417/14;;C07D417/14</t>
  </si>
  <si>
    <t>https://lens.org/023-163-034-774-196</t>
  </si>
  <si>
    <t>284</t>
  </si>
  <si>
    <t>085-296-961-705-376</t>
  </si>
  <si>
    <t>US 10512740 B2</t>
  </si>
  <si>
    <t>A61M15/0073;;A61M15/0026;;A61M15/0065;;A61M15/0081;;A61M15/0091;;A61M15/0093;;A61M15/0095;;A61M15/0096;;A61M2202/064;;A61M2205/584;;A61M2206/16;;A61M15/0073;;A61M15/0026;;A61M15/0065;;A61M15/0081;;A61M15/0091;;A61M15/0093;;A61M15/0095;;A61M15/0096;;A61M2202/064;;A61M2205/584;;A61M2206/16</t>
  </si>
  <si>
    <t>https://lens.org/085-296-961-705-376</t>
  </si>
  <si>
    <t>285</t>
  </si>
  <si>
    <t>009-168-996-967-488</t>
  </si>
  <si>
    <t>US 2019/0385718 A1</t>
  </si>
  <si>
    <t>METHODS FOR LOWERING TRIGLYCERIDE LEVELS WITH A CONCENTRATED FISH OIL-BASED PHARMACEUTICAL COMPOSITION</t>
  </si>
  <si>
    <t>G16H10/20;;A61K31/202;;A61K35/612;;G16H20/10;;G16H50/20;;G16H20/10;;A61K31/202;;A61K35/60;;A61K35/63;;G06F16/335;;G06Q10/083;;G06Q30/0635;;G16H10/20</t>
  </si>
  <si>
    <t>G16H20/10;;A61K31/202;;A61K35/60;;A61K35/63;;G06F16/335;;G16H10/20</t>
  </si>
  <si>
    <t>https://lens.org/009-168-996-967-488</t>
  </si>
  <si>
    <t>286</t>
  </si>
  <si>
    <t>025-288-522-496-641</t>
  </si>
  <si>
    <t>AU 2014/306956 B2</t>
  </si>
  <si>
    <t>Methods for reducing exacerbation rates of asthma using benralizumab</t>
  </si>
  <si>
    <t>A61K2039/545;;A61K39/395;;C07K16/244;;A61K2039/505;;C07K2317/24;;A61P11/06;;A61P11/10;;C07K16/2866;;A61P11/06;;A61P11/10;;C07K2317/24;;A61K2039/505;;A61K2039/545;;A61P11/06;;A61K39/395;;C07K16/244;;A61K2039/505;;C07K2317/24;;A61K2039/545;;A61K39/395;;C07K16/2866;;C07K2317/76</t>
  </si>
  <si>
    <t>https://lens.org/025-288-522-496-641</t>
  </si>
  <si>
    <t>287</t>
  </si>
  <si>
    <t>146-428-929-472-405</t>
  </si>
  <si>
    <t>US 10434268 B2</t>
  </si>
  <si>
    <t>A61M15/0065;;A61M15/0026;;A61M15/0073;;A61M15/0081;;A61M15/0091;;A61M15/0095;;A61M15/0096;;A61M2202/064;;A61M2205/584;;A61M2206/16;;F04C2270/0421;;A61M15/0066;;A61M15/0016;;A61M15/0026;;A61M15/0065;;A61M15/0073;;A61M15/0081;;A61M15/0091;;A61M15/0095;;A61M15/0096;;A61M2202/064;;A61M2205/584;;A61M2206/16;;F04C2270/0421</t>
  </si>
  <si>
    <t>https://lens.org/146-428-929-472-405</t>
  </si>
  <si>
    <t>288</t>
  </si>
  <si>
    <t>050-758-514-561-714</t>
  </si>
  <si>
    <t>US 10420764 B2</t>
  </si>
  <si>
    <t>ASTRAZENECA AB (2014-01-20);;ASTRAZENECA UK LIMITED (2014-01-20)</t>
  </si>
  <si>
    <t>Pharmaceutical formulation of N-[5-[2-(3,5-dimethoxyphenyl)ethyl]-2H-pyrazol-3-YL]-4-[(3R,5S)-3 ,5-dimethylpiperazin-1-YL] benzamide</t>
  </si>
  <si>
    <t>A61K31/496;;A61K9/0007;;A61K9/1611;;A61K9/2009;;A61K9/2054;;A61K9/2077;;A61P35/00;;A61K31/4155;;A61K47/02;;A61K47/14;;A61K31/496;;A61K9/0007;;A61K9/1611;;A61K9/2009;;A61K9/2054;;A61K9/2077;;A61K47/24</t>
  </si>
  <si>
    <t>A61K31/496;;A61K9/16;;A61K9/20;;A61K9/46;;A61K47/24</t>
  </si>
  <si>
    <t>https://lens.org/050-758-514-561-714</t>
  </si>
  <si>
    <t>289</t>
  </si>
  <si>
    <t>101-420-994-577-060</t>
  </si>
  <si>
    <t>EP 3383871 B1</t>
  </si>
  <si>
    <t>ASTRAZENECA AB (2020-01-01);;CANCER RESEARCH TECHNOLOGY LIMITED (2020-01-01)</t>
  </si>
  <si>
    <t>1,3,4-THIADIAZOLE COMPOUNDS AND THEIR USE IN TREATING CANCER</t>
  </si>
  <si>
    <t>C07D417/14;;A61P35/00;;C07D417/14;;A61K31/501;;A61K31/53;;A61P35/00;;C07D417/14</t>
  </si>
  <si>
    <t>C07D417/14;;A61K31/501;;A61K31/53;;A61P35/00</t>
  </si>
  <si>
    <t>https://lens.org/101-420-994-577-060</t>
  </si>
  <si>
    <t>290</t>
  </si>
  <si>
    <t>055-681-114-120-61X</t>
  </si>
  <si>
    <t>US 10407404 B2</t>
  </si>
  <si>
    <t>ASTRAZENECA UK LIMITED (2019-01-23);;ASTRAZENECA AB (2019-02-07);;STA PHARMACEUTICAL R&amp;D CO. LTD (2018-12-20);;STA PHARMACEUTICAL HONG KONG LTD (2019-01-23)</t>
  </si>
  <si>
    <t>Physical form of a SGR modulator</t>
  </si>
  <si>
    <t>C07D401/04;;A61P11/06;;A61P19/02;;C07D403/12;;C07D403/12;;A61K31/416;;A61P11/06;;A61P19/02;;C07B2200/13;;C07D401/04;;A61P11/06;;A61P19/02;;C07B2200/13;;C07D403/12</t>
  </si>
  <si>
    <t>C07D401/14;;A61P11/06;;A61P19/02;;C07D401/04;;C07D403/12</t>
  </si>
  <si>
    <t>https://lens.org/055-681-114-120-61X</t>
  </si>
  <si>
    <t>291</t>
  </si>
  <si>
    <t>073-024-790-002-275</t>
  </si>
  <si>
    <t>US 2019/0185468 A1</t>
  </si>
  <si>
    <t>ASTRAZENECA UK LIMITED (2015-05-27);;ASTRAZENECA AB (2015-05-27)</t>
  </si>
  <si>
    <t>C07D471/04;;A61K31/444;;A61K31/4545;;A61K31/4745;;A61K31/502;;C07D471/04;;A61K31/444;;A61K31/4545;;A61K31/4745;;A61K31/502;;A61P35/00;;A61P43/00;;C07D471/04;;A61K31/444;;A61K31/4545;;A61K31/4745;;A61K31/502;;A61K45/06;;C07D471/04;;A61K31/444;;A61K31/4545;;A61K31/4745;;A61K31/502;;A61K45/06;;C07D471/04;;A61K31/444;;A61K31/4545;;A61K31/4745;;A61K31/502;;A61K45/06</t>
  </si>
  <si>
    <t>C07D471/04;;A61K31/444;;A61K31/4545;;A61K31/4745;;A61K31/502;;A61K45/06</t>
  </si>
  <si>
    <t>https://lens.org/073-024-790-002-275</t>
  </si>
  <si>
    <t>292</t>
  </si>
  <si>
    <t>107-092-604-504-279</t>
  </si>
  <si>
    <t>US 2019/0169172 A1</t>
  </si>
  <si>
    <t>ASTRAZENECA UK LIMITED (2018-04-27);;ASTRAZENECA AB (2018-06-22);;CANCER RESEARCH TECHNOLOGY LIMITED (2018-06-22)</t>
  </si>
  <si>
    <t>bis-Pyridazine Compounds and Their Use in Treating Cancer</t>
  </si>
  <si>
    <t>C07D403/14;;A61P35/00;;A61P43/00;;C07D403/14;;A61K31/501;;A61P35/00;;C07D403/14</t>
  </si>
  <si>
    <t>C07D403/14</t>
  </si>
  <si>
    <t>https://lens.org/107-092-604-504-279</t>
  </si>
  <si>
    <t>293</t>
  </si>
  <si>
    <t>066-213-240-799-522</t>
  </si>
  <si>
    <t>US 10300065 B2</t>
  </si>
  <si>
    <t>ASTRAZENECA AB;;UNIV SHEFFIELD;;SHEFFIELD TEACHING HOSPITALS NHS FOUND TRUST;;STOREY ROBERT</t>
  </si>
  <si>
    <t>ASTRAZENECA PHARMACEUTICALS LP (2017-05-16);;ASTRAZENECA AB (2017-02-27);;ASTRAZENECA UK LIMITED (2023-01-24);;SHEFFIELD TEACHING HOSPITALS NHS FOUNDATION TRUST (2017-02-08);;THE UNIVERSITY OF SHEFFIELD (2017-02-07)</t>
  </si>
  <si>
    <t>Method of treating or prevention of atherothrombotic events in patients with history of myocardial infarction</t>
  </si>
  <si>
    <t>A61K31/519;;A61K9/2054;;A61K9/2866;;A61K31/616;;A61P7/02;;A61P9/10;;A61K31/519;;A61K31/60;;A61K31/609;;A61K31/616;;A61P7/02;;A61P9/00;;A61P9/10;;A61P43/00;;A61K31/519;;A61P9/00;;A61K31/519;;A61K9/20;;A61K31/60;;A61K31/609;;A61K31/616</t>
  </si>
  <si>
    <t>A61K31/519;;A61K9/20;;A61K31/60;;A61K31/609;;A61K31/616</t>
  </si>
  <si>
    <t>https://lens.org/066-213-240-799-522</t>
  </si>
  <si>
    <t>294</t>
  </si>
  <si>
    <t>065-426-807-445-120</t>
  </si>
  <si>
    <t>US 10294221 B2</t>
  </si>
  <si>
    <t>ASTRAZENECA AB (2015-06-20);;ASTRAZENECA UK LIMITED (2015-06-17);;CANCER RESEARCH TECHNOLOGY LIMITED (2015-06-17)</t>
  </si>
  <si>
    <t>1, 3, 4-thiadiazole compounds and their use in treating cancer</t>
  </si>
  <si>
    <t>C07D417/14;;A61P35/00;;C07D417/14;;A61K31/433;;A61K31/501;;C07D417/14;;A61K31/433;;A61K31/53;;C07D417/14;;C07B59/002;;C07B2200/05;;C07B2200/13</t>
  </si>
  <si>
    <t>C07D417/14;;C07B59/00</t>
  </si>
  <si>
    <t>https://lens.org/065-426-807-445-120</t>
  </si>
  <si>
    <t>295</t>
  </si>
  <si>
    <t>067-101-277-028-860</t>
  </si>
  <si>
    <t>EP 2389352 B1</t>
  </si>
  <si>
    <t>UNIV PENNSYLVANIA;;ASTRAZENECA UK LTD</t>
  </si>
  <si>
    <t>CORRIDOR PHARMACEUTICALS, INC. (2013-10-16);;THE TRUSTEES OF THE UNIVERSITY OF PENNSYLVANIA (2019-05-01);;ASTRAZENECA UK LIMITED (2019-05-01)</t>
  </si>
  <si>
    <t>ARGINASE INHIBITORS AND METHODS OF USE</t>
  </si>
  <si>
    <t>C07F5/025;;A61K49/0002;;A61P1/00;;A61P1/04;;A61P1/16;;A61P3/06;;A61P3/10;;A61P7/04;;A61P9/00;;A61P9/10;;A61P9/12;;A61P11/00;;A61P11/06;;A61P13/12;;A61P15/10;;A61P17/02;;A61P17/06;;A61P19/02;;A61P21/02;;A61P25/00;;A61P29/00;;A61P31/04;;A61P31/10;;A61P33/00;;A61P33/02;;A61P33/06;;A61P35/00;;A61P37/00;;A61P37/02;;A61P37/06;;A61P43/00;;C07F5/025;;A61K49/0002</t>
  </si>
  <si>
    <t>C07C229/00;;A61K31/155;;A61K31/69;;A61K49/00;;A61P35/00;;C07F5/02</t>
  </si>
  <si>
    <t>https://lens.org/067-101-277-028-860</t>
  </si>
  <si>
    <t>296</t>
  </si>
  <si>
    <t>118-000-283-336-611</t>
  </si>
  <si>
    <t>US 10231967 B2</t>
  </si>
  <si>
    <t>ASTRAZENECA AB (2012-01-11)</t>
  </si>
  <si>
    <t>Compounds and their use as BACE inhibitors</t>
  </si>
  <si>
    <t>C07D235/02;;C07B2200/05;;C07B2200/07;;C07D401/04;;C07D401/12;;C07D403/04;;C07D403/12;;C07D405/12;;C07D471/04;;C07D491/107;;C07D491/20;;C07D401/10;;A61K31/497;;A61K31/4184;;A61K31/4188;;A61K31/437;;A61K31/4439;;A61K31/506;;A61K45/06;;A61P7/00;;A61P9/00;;A61P9/10;;A61P25/00;;A61P25/16;;A61P25/28;;A61P43/00;;C07D235/02;;C07D401/04;;C07D401/12;;C07D403/12;;C07D405/12;;C07D471/04;;C07D491/107;;C07D491/20;;C07D491/107;;A61K31/4188;;A61K31/497;;A61K31/4184;;A61K31/4188;;A61K31/437;;A61K31/4439;;A61K31/506;;A61K45/06;;A61K2300/00;;C07D235/02;;C07D401/04;;C07D401/12;;C07D403/12;;C07D405/12;;C07D471/04;;C07D491/107;;C07D491/20</t>
  </si>
  <si>
    <t>A61K31/4439;;A61K31/4184;;A61K31/4188;;A61K31/437;;A61K31/497;;A61K31/506;;A61K45/06;;C07D235/02;;C07D401/04;;C07D401/12;;C07D403/12;;C07D405/12;;C07D471/04;;C07D491/107;;C07D491/20</t>
  </si>
  <si>
    <t>https://lens.org/118-000-283-336-611</t>
  </si>
  <si>
    <t>297</t>
  </si>
  <si>
    <t>086-670-682-102-314</t>
  </si>
  <si>
    <t>US 10207994 B2</t>
  </si>
  <si>
    <t>ASTRAZENECA PHARMACEUTICALS LP (2015-02-09);;ASTRAZENECA AB (2014-08-05);;ASTRAZENECA UK LIMITED (2015-03-09)</t>
  </si>
  <si>
    <t>NMDA antagonist prodrugs</t>
  </si>
  <si>
    <t>C07D213/40;;A61P25/24;;C07D401/12;;C07D401/14;;C07K5/06043;;C07K5/06052;;C07K5/06078;;C07K5/06086;;C07K5/06095;;C07K5/06147;;C07K5/06156;;C07D213/40;;A61K31/4402;;A61K31/4439;;C07D401/12;;C07D401/14;;C07D401/14;;C07D213/40;;C07D401/12;;C07D401/14;;A61K31/4402;;C07D213/40;;A61K38/00;;A61P25/24;;C07D401/12;;C07D401/14;;C07K5/06043;;C07K5/06052;;C07K5/06078;;C07K5/06086;;C07K5/06095;;C07K5/06104;;C07K5/06139;;C07K5/06147;;C07K5/06156</t>
  </si>
  <si>
    <t>C07K5/078;;A61K38/00;;C07D213/40;;C07D401/12;;C07D401/14;;C07K5/062;;C07K5/065;;C07K5/068;;C07K5/072</t>
  </si>
  <si>
    <t>https://lens.org/086-670-682-102-314</t>
  </si>
  <si>
    <t>298</t>
  </si>
  <si>
    <t>126-622-659-172-640</t>
  </si>
  <si>
    <t>US 2019/0038607 A1</t>
  </si>
  <si>
    <t>ASTRAZENECA UK LIMITED (2014-07-09);;ASTRAZENECA AB (2014-07-28)</t>
  </si>
  <si>
    <t>A61K31/437;;A61K31/519;;A61P15/00;;A61P35/00;;C07D471/04;;C07D487/04;;A61K31/437;;A61P35/00;;C07D471/04;;A61K31/437;;A61K31/519;;A61K45/06;;C07B2200/07;;C07B2200/13;;C07C57/145;;C07D471/04;;C07D487/04</t>
  </si>
  <si>
    <t>A61K31/437;;A61K31/519;;A61K45/06;;C07C57/145;;C07D471/04;;C07D487/04</t>
  </si>
  <si>
    <t>https://lens.org/126-622-659-172-640</t>
  </si>
  <si>
    <t>299</t>
  </si>
  <si>
    <t>042-311-287-883-498</t>
  </si>
  <si>
    <t>US 10196374 B2</t>
  </si>
  <si>
    <t>ASTRAZENECA AB (2015-11-02)</t>
  </si>
  <si>
    <t>1-alkyl-6-oxo-1,6-dihydropyridin-3-yl compounds and use as SGRM modulators</t>
  </si>
  <si>
    <t>C07D401/04;;C07D401/04;;A61P19/02;;A61P29/00;;A61P43/00;;C07D401/04;;A61K31/4439;;C07D401/04</t>
  </si>
  <si>
    <t>C07D401/14;;C07D401/04</t>
  </si>
  <si>
    <t>https://lens.org/042-311-287-883-498</t>
  </si>
  <si>
    <t>300</t>
  </si>
  <si>
    <t>100-755-028-898-395</t>
  </si>
  <si>
    <t>US 10150743 B2</t>
  </si>
  <si>
    <t>SUMITOMO PHARMA CO. LTD (2014-12-02);;ASTRAZENECA AKTIEBOLAG (2014-12-05)</t>
  </si>
  <si>
    <t>Carboxylic acid compounds</t>
  </si>
  <si>
    <t>C07D403/12;;C07D239/47;;C07D239/48;;C07D239/49;;C07D403/10;;C07D239/48;;A61K31/505;;A61K31/506;;A61P11/00;;A61P11/02;;A61P11/06;;A61P17/00;;A61P27/02;;A61P31/00;;A61P31/04;;A61P31/14;;A61P31/18;;A61P35/00;;A61P37/08;;A61P43/00;;C07D239/47;;C07D239/49;;C07D403/10;;C07D403/12;;Y02A50/30;;Y02P20/55;;C07D239/48;;A61K31/505;;A61K31/506;;C07D403/12;;C07D239/48;;A61K31/505;;A61K31/506;;C07D239/47;;C07D239/49;;C07D403/10;;C07D403/12;;Y02P20/55</t>
  </si>
  <si>
    <t>A61K31/506;;A61K31/505;;C07D239/47;;C07D239/48;;C07D239/49;;C07D403/10;;C07D403/12</t>
  </si>
  <si>
    <t>https://lens.org/100-755-028-898-395</t>
  </si>
  <si>
    <t>301</t>
  </si>
  <si>
    <t>030-181-170-929-44X</t>
  </si>
  <si>
    <t>US 10149839 B2</t>
  </si>
  <si>
    <t>ASTRAZENECA PHARMACEUTICALS LP (2017-07-24);;ASTRAZENECA AB (2017-07-24);;ASTRAZENECA UK LIMITED (2017-07-24)</t>
  </si>
  <si>
    <t>A61K31/437;;A61K31/407;;A61K31/495;;A61K31/506;;A61P35/00;;C07D471/04;;A61K31/437;;A61K31/407;;A61K31/495;;A61K31/506;;C07D471/04;;G01N23/20075;;G01N25/4866</t>
  </si>
  <si>
    <t>C07D471/04;;A61K31/407;;A61K31/437;;A61K31/495;;A61K31/506;;G01N23/20;;G01N25/48</t>
  </si>
  <si>
    <t>https://lens.org/030-181-170-929-44X</t>
  </si>
  <si>
    <t>302</t>
  </si>
  <si>
    <t>046-513-997-917-219</t>
  </si>
  <si>
    <t>US 2018/0339119 A1</t>
  </si>
  <si>
    <t>DANSK INGENIOR SERVICE A/S (2012-11-07);;ASTRAZENECA UK LIMITED (2012-11-08);;ASTRAZENECA AB (2012-11-10);;BANG &amp; OLUFSEN MEDICOM A/S (2012-10-29)</t>
  </si>
  <si>
    <t>INHALER</t>
  </si>
  <si>
    <t>A61M15/0071;;A61M15/0026;;A61M15/0081;;A61M15/009;;A61M15/0091;;A61M15/0096;;A61M2205/276;;A61M15/00;;A61M15/0071;;A61K47/06;;A61M15/002;;A61M15/0025;;A61M15/0026;;A61M15/0081;;A61M15/0086;;A61M15/009;;A61M15/0091;;A61M15/0096;;A61M2202/0007;;A61M2205/276</t>
  </si>
  <si>
    <t>A61M15/00;;A61K47/06</t>
  </si>
  <si>
    <t>https://lens.org/046-513-997-917-219</t>
  </si>
  <si>
    <t>303</t>
  </si>
  <si>
    <t>103-307-825-905-009</t>
  </si>
  <si>
    <t>US 10125135 B2</t>
  </si>
  <si>
    <t>ASTRAZENECA PHARMACEUTICALS LP (2017-04-19);;ASTRAZENECA UK LIMITED (2017-04-19);;ASTRAZENECA AB (2017-04-19)</t>
  </si>
  <si>
    <t>C07D471/14;;A61K31/4745;;A61P35/00;;C07D487/04;;C07D471/14;;A61K31/4745;;C07D487/04</t>
  </si>
  <si>
    <t>C07D471/14;;A61K31/4745;;C07D487/04</t>
  </si>
  <si>
    <t>https://lens.org/103-307-825-905-009</t>
  </si>
  <si>
    <t>304</t>
  </si>
  <si>
    <t>062-064-582-113-293</t>
  </si>
  <si>
    <t>US 2018/0318287 A1</t>
  </si>
  <si>
    <t>ASTRAZENECA UK LIMITED (2016-11-23);;ASTRAZENECA AB (2016-12-05)</t>
  </si>
  <si>
    <t>A61K31/4745;;A61K31/282;;A61K31/407;;A61K31/704;;A61K33/243;;A61K45/06;;A61P35/00;;C07D471/04;;C07D471/04;;A61K31/4745;;A61K33/243;;A61K45/06;;A61P35/00;;A61K31/4745;;A61K31/282;;A61K31/407;;A61K31/704;;A61K33/243;;A61K45/06;;A61K2121/00;;A61K2300/00;;A61P35/00;;C07D471/04</t>
  </si>
  <si>
    <t>A61K31/4745;;A61K33/243;;A61P35/00</t>
  </si>
  <si>
    <t>https://lens.org/062-064-582-113-293</t>
  </si>
  <si>
    <t>305</t>
  </si>
  <si>
    <t>159-003-643-523-914</t>
  </si>
  <si>
    <t>US 2018/0280377 A1</t>
  </si>
  <si>
    <t>C07D471/04;;A61P35/04;;A61K31/17;;A61K31/195;;A61K31/407;;A61K31/4184;;A61K31/4741;;A61K31/4745;;A61K31/506;;A61K31/555;;A61K31/675;;A61K31/704;;A61K33/243;;A61P35/00;;A61K31/4745;;A61K45/06;;C07D471/04;;A61K33/243;;C07D471/04;;A61K33/243;;A61P35/04;;A61K31/17;;A61K31/195;;A61K31/407;;A61K31/4184;;A61K31/4741;;A61K31/4745;;A61K31/506;;A61K31/555;;A61K31/675;;A61K31/704;;A61K39/39541;;A61K2300/00</t>
  </si>
  <si>
    <t>A61K31/4745;;A61K33/243;;A61P35/04</t>
  </si>
  <si>
    <t>https://lens.org/159-003-643-523-914</t>
  </si>
  <si>
    <t>306</t>
  </si>
  <si>
    <t>025-927-877-699-331</t>
  </si>
  <si>
    <t>US 10053453 B2</t>
  </si>
  <si>
    <t>MEDIMMUNE LIMITED (2015-09-29);;ASTRAZENECA PHARMACEUTICALS LP (2015-10-01);;ASTRAZENECA AB (2015-09-09);;ASTRAZENECA UK LIMITED (2015-10-02);;SPRINT BIOSCIENCE (2015-09-11);;CHARNWOOD MOLECULAR LTD (2015-09-11)</t>
  </si>
  <si>
    <t>C07D413/04;;A61K45/06;;A61P25/00;;A61P25/28;;C07D263/52;;C07D263/62;;C07D413/10;;C07D413/04;;A61K45/06;;C07B2200/05;;C07D263/52;;C07D263/62;;C07D265/12;;C07D413/10</t>
  </si>
  <si>
    <t>C07D413/04;;C07D263/52;;C07D265/12</t>
  </si>
  <si>
    <t>https://lens.org/025-927-877-699-331</t>
  </si>
  <si>
    <t>307</t>
  </si>
  <si>
    <t>030-609-060-084-348</t>
  </si>
  <si>
    <t>US 10040789 B2</t>
  </si>
  <si>
    <t>ASTRAZENECA UK LIMITED (2018-04-30);;ASTRAZENECA AB (2018-06-22);;CANCER RESEARCH TECHNOLOGY LIMITED (2018-06-22)</t>
  </si>
  <si>
    <t>1,3,4-thiadiazole compounds and their use in treating cancer</t>
  </si>
  <si>
    <t>A61K31/433;;A61K31/501;;A61P35/00;;A61P43/00;;C07D417/14;;C07D417/14;;A61K31/433;;A61K31/501;;A61P35/00;;A61P43/00;;C07D417/14;;A61K31/433;;A61K31/501;;A61P35/00;;C07D417/14;;A61K31/433;;A61K31/501</t>
  </si>
  <si>
    <t>C07D417/14;;A61K31/433;;A61K31/501</t>
  </si>
  <si>
    <t>https://lens.org/030-609-060-084-348</t>
  </si>
  <si>
    <t>308</t>
  </si>
  <si>
    <t>051-120-611-338-374</t>
  </si>
  <si>
    <t>US 10039766 B2</t>
  </si>
  <si>
    <t>ASTRAZENECA UK LIMITED (2013-04-17);;ASTRAZENECA AB (2013-04-17)</t>
  </si>
  <si>
    <t>Crystalline forms of (s)-4-amino-n-(1-(4-chlorophenyl)-3-hydroxypropyl)-1-(7h-pyrrolo[2,3-d] pyrimidin-4-y1) piperidine-4-carboxamide</t>
  </si>
  <si>
    <t>C07D487/04;;A61K31/519;;A61P1/04;;A61P15/00;;A61P35/00;;A61P35/04;;A61P43/00;;C07D487/04;;A61K9/2013;;A61K9/2018;;A61K9/2054;;A61K31/519;;C07D487/04;;A61K31/519;;A61K9/2013;;A61K9/2018;;A61K9/2054;;C07D487/04</t>
  </si>
  <si>
    <t>A61K31/519;;A61K9/20;;C07D487/04</t>
  </si>
  <si>
    <t>https://lens.org/051-120-611-338-374</t>
  </si>
  <si>
    <t>309</t>
  </si>
  <si>
    <t>100-001-057-197-239</t>
  </si>
  <si>
    <t>EP 2498759 B1</t>
  </si>
  <si>
    <t>ASTRAZENECA AB;;ASTRAZENECA UK LTD</t>
  </si>
  <si>
    <t>ASTRAZENECA UK LIMITED (2016-09-21);;ASTRAZENECA AB (2016-09-21)</t>
  </si>
  <si>
    <t>IMMEDIATE RELEASE TABLET FORMULATIONS</t>
  </si>
  <si>
    <t>A61K9/2054;;A61K9/209;;A61K31/155;;A61K31/70;;A61K45/06;;A61P3/04;;A61P3/06;;A61P3/10;;A61P5/50;;A61P9/00;;A61P9/10;;A61P9/12;;A61P13/12;;A61P17/02;;A61P25/00;;A61P27/02;;A61P27/12;;A61P43/00;;A61K9/2054;;A61K9/209;;A61K31/155;;A61K31/351;;A61K31/70;;A61K45/06</t>
  </si>
  <si>
    <t>A61K9/20;;A61K31/155;;A61K31/351;;A61K45/06</t>
  </si>
  <si>
    <t>https://lens.org/100-001-057-197-239</t>
  </si>
  <si>
    <t>310</t>
  </si>
  <si>
    <t>131-530-782-631-649</t>
  </si>
  <si>
    <t>EP 2498758 B1</t>
  </si>
  <si>
    <t>ASTRAZENECA AB (2016-09-21);;ASTRAZENECA UK LIMITED (2016-09-21)</t>
  </si>
  <si>
    <t>BILAYER TABLET FORMULATIONS</t>
  </si>
  <si>
    <t>A61K9/209;;A61K9/2054;;A61K31/155;;A61K31/403;;A61K31/70;;A61K31/7004;;A61K31/7034;;A61K31/7042;;A61K45/06;;A61P3/00;;A61P3/04;;A61P3/06;;A61P3/10;;A61P5/50;;A61P9/10;;A61P9/12;;A61P13/12;;A61P17/02;;A61P25/00;;A61P27/02;;A61P27/12;;A61P43/00;;A61K31/132;;A61K31/7028;;A61K9/209;;A61K9/2054;;A61K9/282;;A61K31/155;;A61K31/403;;A61K31/70;;A61K31/7004;;A61K31/7034;;A61K31/7042;;A61K45/06</t>
  </si>
  <si>
    <t>A61K9/20;;A61K9/24;;A61K31/155;;A61K31/70;;A61K31/7004;;A61K31/7034;;A61K31/7042;;A61K45/06</t>
  </si>
  <si>
    <t>https://lens.org/131-530-782-631-649</t>
  </si>
  <si>
    <t>311</t>
  </si>
  <si>
    <t>181-427-487-846-565</t>
  </si>
  <si>
    <t>US 10028953 B2</t>
  </si>
  <si>
    <t>ASTRAZENECA PHARMACEUTICALS LP (2012-08-30);;ASTRAZENECA UK LIMITED (2012-08-30)</t>
  </si>
  <si>
    <t>Pharmaceutical composition of rosuvastatin calcium</t>
  </si>
  <si>
    <t>A61K9/2893;;A61K9/167;;A61K9/1694;;A61K9/209;;A61K9/2813;;A61K9/282;;A61K9/2866;;A61K9/2886;;A61K9/501;;A61K9/5015;;A61K9/5042;;A61K9/5073;;A61K31/155;;A61K31/455;;A61K31/505;;A61K31/616;;A61K31/505;;A61K9/167;;A61K9/1676;;A61K9/2086;;A61K9/209;;A61K9/5073;;A61K9/5078;;A61K31/155;;A61K31/455;;A61K31/616;;A61P3/06;;A61P9/10;;A61P43/00;;A61K9/209;;A61K9/2813;;A61K9/282;;A61K9/2853;;A61K9/2866;;A61K9/5073;;A61K31/155;;A61K31/455;;A61K31/505;;A61K45/06;;A61K2300/00;;A61K31/505;;A61K9/0053;;A61K9/2095;;A61K9/28;;A61K9/282;;A61K9/2853;;A61K9/2866;;A61K9/2886;;A61K9/2893;;A61K31/155;;A61K47/34;;A61K47/38;;A61K2121/00;;A61K31/505;;A61K9/167;;A61K9/1676;;A61K9/1694;;A61K9/2086;;A61K9/209;;A61K9/2813;;A61K9/282;;A61K9/2866;;A61K9/2886;;A61K9/2893;;A61K9/501;;A61K9/5015;;A61K9/5042;;A61K9/5073;;A61K9/5078;;A61K31/155;;A61K31/455;;A61K31/616</t>
  </si>
  <si>
    <t>A61K31/505;;A61K9/16;;A61K9/20;;A61K9/24;;A61K9/28;;A61K9/50;;A61K31/155;;A61K31/455;;A61K31/616</t>
  </si>
  <si>
    <t>https://lens.org/181-427-487-846-565</t>
  </si>
  <si>
    <t>312</t>
  </si>
  <si>
    <t>112-212-516-367-125</t>
  </si>
  <si>
    <t>US 10017502 B2</t>
  </si>
  <si>
    <t>ASTRAZENECA AB (2015-06-29);;ASTRAZENECA UK LIMITED (2015-07-02)</t>
  </si>
  <si>
    <t>Benzoxazinone amides as mineralocorticoid receptor modulators</t>
  </si>
  <si>
    <t>C07D265/36;;C07D413/10;;A61P3/00;;A61P3/10;;A61P9/00;;A61P9/04;;A61P9/10;;A61P9/12;;A61P13/12;;A61P29/00;;C07D265/36;;C07D413/06;;C07D265/36;;A61K31/538;;C07D413/06;;C07D413/10;;C07D265/36;;C07D413/06</t>
  </si>
  <si>
    <t>C07D413/10</t>
  </si>
  <si>
    <t>https://lens.org/112-212-516-367-125</t>
  </si>
  <si>
    <t>313</t>
  </si>
  <si>
    <t>191-840-660-936-591</t>
  </si>
  <si>
    <t>US 9975881 B2</t>
  </si>
  <si>
    <t>ASTRAZENECA UK LIMITED (2012-08-02);;ASTRAZENECA AB (2012-07-24)</t>
  </si>
  <si>
    <t>Compound</t>
  </si>
  <si>
    <t>C07D403/12;;C07C69/92;;C07D205/04;;C07D317/20;;C07D317/24;;C07D403/12;;A61K31/506;;A61P1/00;;A61P1/02;;A61P1/04;;A61P9/10;;A61P11/00;;A61P11/02;;A61P11/06;;A61P17/06;;A61P19/00;;A61P19/02;;A61P19/08;;A61P19/10;;A61P29/00;;A61P37/00;;A61P37/08;;A61P43/00;;C07C69/92;;C07D205/04;;C07D239/56;;C07D307/12;;C07D317/18;;C07D317/20;;C07D317/24;;C07D317/26;;C07D403/12;;A61K31/506;;C07C65/21;;C07C69/78;;C07C69/92;;C07D205/04;;C07D239/56;;C07D307/12;;C07D317/18;;C07D317/20;;C07D317/24;;C07D317/26</t>
  </si>
  <si>
    <t>A61K31/506;;C07C65/21;;C07C69/78;;C07C69/92;;C07D205/04;;C07D239/56;;C07D307/12;;C07D317/18;;C07D317/20;;C07D317/24;;C07D317/26;;C07D403/12</t>
  </si>
  <si>
    <t>https://lens.org/191-840-660-936-591</t>
  </si>
  <si>
    <t>314</t>
  </si>
  <si>
    <t>099-088-728-484-214</t>
  </si>
  <si>
    <t>US 9879017 B2</t>
  </si>
  <si>
    <t>ASTRAZENECA INDIA PRIVATE LIMITED (2014-06-03);;ASTRAZENECA UK LIMITED (2014-06-19);;ASTRAZENECA AB (2014-06-19)</t>
  </si>
  <si>
    <t>Processes for the preparation of AZD5363 and intermediate used therein</t>
  </si>
  <si>
    <t>C07D487/04;;C07D519/00;;C07D487/04;;A61P35/00;;C07D498/10;;C07D519/00;;C07D487/04;;C07D498/10;;C07D487/04;;A61K31/438;;A61K31/519;;C07D498/10;;C07D487/04;;C07D498/10;;C07D487/04;;C07D498/10;;C07D519/00</t>
  </si>
  <si>
    <t>https://lens.org/099-088-728-484-214</t>
  </si>
  <si>
    <t>315</t>
  </si>
  <si>
    <t>115-716-156-424-074</t>
  </si>
  <si>
    <t>US 2018/0021359 A1</t>
  </si>
  <si>
    <t>ASTRAZENECA AB (2016-02-01)</t>
  </si>
  <si>
    <t>COMBINATION COMPRISING AN OMEGA-3 FATTY ACID COMPOSITION AND AN SGLT2 INHIBITOR</t>
  </si>
  <si>
    <t>A61K31/7034;;A61K31/202;;A61K45/06;;A61P1/16;;A61P3/04;;A61P3/06;;A61P3/10;;A61P19/04;;A61P43/00;;A61K31/202;;A61K31/7034;;A61K45/06;;A61K2300/00;;A61K45/06;;A61K31/202;;A61K31/7034;;A61P1/16;;A61P3/04;;A61P3/10;;A61K31/7034;;A61K31/202;;A61K45/06</t>
  </si>
  <si>
    <t>A61K31/7034;;A61K31/202;;A61K45/06</t>
  </si>
  <si>
    <t>https://lens.org/115-716-156-424-074</t>
  </si>
  <si>
    <t>316</t>
  </si>
  <si>
    <t>119-850-140-530-289</t>
  </si>
  <si>
    <t>US 9763950 B2</t>
  </si>
  <si>
    <t>ASTRAZENECA UK LIMITED (2014-05-12);;ASTRAZENECA AB (2014-05-13)</t>
  </si>
  <si>
    <t>Combination treatment</t>
  </si>
  <si>
    <t>A61K31/5377;;A61K31/337;;A61P1/04;;A61P1/18;;A61P11/00;;A61P13/08;;A61P15/00;;A61P35/00;;A61P43/00;;A61K31/337;;A61K31/5377;;A61P35/00;;A61K31/5377;;A61K31/337</t>
  </si>
  <si>
    <t>A61K31/54;;A61K31/337;;A61K31/535;;A61K31/5377</t>
  </si>
  <si>
    <t>https://lens.org/119-850-140-530-289</t>
  </si>
  <si>
    <t>317</t>
  </si>
  <si>
    <t>154-810-482-143-775</t>
  </si>
  <si>
    <t>US 9737540 B2</t>
  </si>
  <si>
    <t>ASTRAZENECA UK LIMITED (2012-12-10);;ASTRAZENECA AB (2012-12-10)</t>
  </si>
  <si>
    <t>Combination treatment of cancer</t>
  </si>
  <si>
    <t>A61K31/519;;A61K31/277;;A61K31/4166;;A61K31/5025;;A61K31/58;;A61P13/08;;A61K31/519;;A61K31/138;;A61K31/4166;;A61K31/519;;A61K31/277;;A61K31/4166;;A61K31/5025;;A61K31/58;;A61K45/06;;A61P13/08</t>
  </si>
  <si>
    <t>A61K31/519;;A61K31/277;;A61K31/4166;;A61K31/5025;;A61K31/58;;A61K45/06</t>
  </si>
  <si>
    <t>https://lens.org/154-810-482-143-775</t>
  </si>
  <si>
    <t>318</t>
  </si>
  <si>
    <t>183-921-223-960-854</t>
  </si>
  <si>
    <t>US 2017/0216283 A1</t>
  </si>
  <si>
    <t>BIOLIPOX AB (2015-08-21);;ASTRAZENECA AB (2016-03-17)</t>
  </si>
  <si>
    <t>COMPOUNDS AND USES</t>
  </si>
  <si>
    <t>A61K31/4965;;A61P11/00;;A61P29/00;;A61P43/00;;C07D213/74;;C07D215/38;;C07D239/42;;C07D239/47;;C07D241/20;;C07D401/08;;C07D401/12;;C07D405/12;;C07D241/20;;A61K31/44;;A61K31/4439;;A61K31/4965;;A61K31/505;;C07D213/74;;C07D401/08;;C07D401/12;;C07D405/12;;A61K31/4965;;A61K31/44;;A61K31/4439;;A61K31/496;;A61K31/505;;C07C211/55;;C07C211/58;;C07D213/74;;C07D215/38;;C07D239/42;;C07D239/47;;C07D241/20;;C07D401/08;;C07D401/12;;C07D405/12</t>
  </si>
  <si>
    <t>A61K31/4965</t>
  </si>
  <si>
    <t>https://lens.org/183-921-223-960-854</t>
  </si>
  <si>
    <t>319</t>
  </si>
  <si>
    <t>070-093-527-323-901</t>
  </si>
  <si>
    <t>US 9718806 B2</t>
  </si>
  <si>
    <t>ASTRAZENECA AB (2014-05-12);;ASTRAZENECA INVESTMENT (CHINA) CO. LTD (2014-04-01)</t>
  </si>
  <si>
    <t>Quinazoline inhibitors of activating mutant forms of epidermal growth factor receptor</t>
  </si>
  <si>
    <t>A61K31/517;;A61K31/4184;;A61K31/4985;;A61K31/519;;A61K45/06;;A61P35/00;;A61P35/02;;A61P35/04;;C07D403/12;;A61K31/495;;A61K31/517;;C07D403/12;;A61K31/517;;A61K31/4184;;A61K31/4985;;A61K31/519;;A61K39/3955;;A61K45/06;;C07D403/12</t>
  </si>
  <si>
    <t>C07D403/12;;A61K31/4184;;A61K31/4985;;A61K31/517;;A61K31/519;;A61K39/395;;A61K45/06</t>
  </si>
  <si>
    <t>https://lens.org/070-093-527-323-901</t>
  </si>
  <si>
    <t>320</t>
  </si>
  <si>
    <t>156-392-227-331-924</t>
  </si>
  <si>
    <t>US 9718800 B2</t>
  </si>
  <si>
    <t>ASTRAZENECA S.A.S (2010-10-22);;ASTRAZENECA AB (2010-10-22)</t>
  </si>
  <si>
    <t>Chromenone derivatives</t>
  </si>
  <si>
    <t>C07D311/22;;C07D405/06;;C07D413/04;;C07D413/14;;C07D417/14;;C07F7/1804;;C07D311/74;;A61K31/277;;A61K31/337;;A61K31/5377;;A61P35/00;;A61P43/00;;C07D311/22;;C07D405/06;;C07D413/06;;C07D413/04;;A61K31/277;;A61K31/337;;A61K31/5377;;A61K45/06;;C07B2200/07;;C07D311/22;;C07D405/06;;C07D413/06;;C07D311/74;;A61K31/277;;A61K31/337;;A61K31/5377;;A61K45/06;;C07D311/22;;C07D405/06;;C07D413/06</t>
  </si>
  <si>
    <t>C07D311/74;;A61K31/277;;A61K31/337;;A61K31/5377;;A61K45/06;;C07D311/22;;C07D405/06;;C07D413/06</t>
  </si>
  <si>
    <t>https://lens.org/156-392-227-331-924</t>
  </si>
  <si>
    <t>321</t>
  </si>
  <si>
    <t>059-429-294-278-414</t>
  </si>
  <si>
    <t>US 9714236 B2</t>
  </si>
  <si>
    <t>ASTRAZENECA PHARMACEUTICALS LP (2016-12-06);;ASTRAZENECA AB (2017-03-15);;ASTRAZENECA UK LIMITED (2017-02-23);;DIZAL (JIANGSU) PHARMACEUTICAL CO. LTD (2017-11-09)</t>
  </si>
  <si>
    <t>Compounds and methods for inhibiting JAK</t>
  </si>
  <si>
    <t>C07D403/14;;A61P9/10;;A61P17/06;;A61P19/00;;A61P19/02;;A61P35/00;;A61P37/00;;A61P37/02;;C07D403/14;;A61P7/00;;A61P35/00;;A61P37/02;;A61P43/00;;C07D403/14;;A61K31/506;;A61P35/00;;C07B2200/13;;A61K31/506;;A61P35/00;;C07D403/14;;C07D403/14</t>
  </si>
  <si>
    <t>https://lens.org/059-429-294-278-414</t>
  </si>
  <si>
    <t>322</t>
  </si>
  <si>
    <t>188-324-020-170-517</t>
  </si>
  <si>
    <t>US 9657008 B2</t>
  </si>
  <si>
    <t>ASTRAZENECA UK LIMITED (2014-04-08);;ASTRAZENECA AB (2014-04-08);;ASTRAZENECA REIMS SAS (2014-03-24);;ONYX SCIENTIFIC LIMITED (2014-02-19)</t>
  </si>
  <si>
    <t>C07D413/14;;A61K31/497;;C12Q1/6886;;C07D413/14;;A61K31/497;;A61P35/00;;A61P43/00;;C07D413/14;;A61K31/497;;C07D413/14;;A61K31/497;;A61K45/06;;C12Q1/6886;;C12Q2600/106;;C12Q2600/156</t>
  </si>
  <si>
    <t>A61K31/497;;A61K45/06;;C07D413/14;;C12Q1/68</t>
  </si>
  <si>
    <t>https://lens.org/188-324-020-170-517</t>
  </si>
  <si>
    <t>323</t>
  </si>
  <si>
    <t>108-527-190-654-758</t>
  </si>
  <si>
    <t>US 2017/0135981 A1</t>
  </si>
  <si>
    <t>ASTRAZENECA PHARMACEUTICALS LP (2015-06-29);;ASTRAZENECA AB (2015-08-24);;ASTRAZENECA UK LIMITED (2015-08-24);;BRISTOL-MYERS SQUIBB (2015-07-01)</t>
  </si>
  <si>
    <t>Method for Suppressing Glucagon Secretion of an SGLT2 Inhibitor</t>
  </si>
  <si>
    <t>A61K31/351;;A61K31/155;;A61K31/40;;A61K31/403;;A61K31/4985;;A61K31/522;;A61K31/70;;A61K31/7042;;A61K38/26;;A61K38/28;;A61P1/06;;A61P3/00;;A61P3/04;;A61P3/06;;A61P3/10;;A61P9/10;;A61P43/00;;A61K31/351;;A61K31/155;;A61K31/40;;A61K31/403;;A61K31/4985;;A61K31/522;;A61K31/70;;A61K31/7042;;A61K38/26;;A61K38/28;;A61K45/06</t>
  </si>
  <si>
    <t>A61K31/351;;A61K31/155;;A61K31/403;;A61K45/06</t>
  </si>
  <si>
    <t>https://lens.org/108-527-190-654-758</t>
  </si>
  <si>
    <t>324</t>
  </si>
  <si>
    <t>133-717-713-725-011</t>
  </si>
  <si>
    <t>US 9650336 B2</t>
  </si>
  <si>
    <t>ASTRAZENECA AB (2013-02-06)</t>
  </si>
  <si>
    <t>Mono-fluoro beta-secretase inhibitors</t>
  </si>
  <si>
    <t>C07D209/54;;A61P25/00;;A61P25/28;;C07D207/34;;C07D401/04;;C07D401/10;;C07D403/04;;C07D403/10;;C07D491/107;;C07D209/54;;A61K31/403;;A61K31/407;;A61K31/4439;;A61K31/506;;A61K45/06;;C07D207/34;;C07D401/04;;C07D401/10;;C07D403/04;;C07D403/10;;C07D491/107</t>
  </si>
  <si>
    <t>A61K31/40;;A61K31/403;;A61K31/407;;A61K31/44;;A61K31/4439;;A61K31/506;;A61K45/06;;C07D207/34;;C07D209/54;;C07D209/96;;C07D401/04;;C07D401/10;;C07D403/04;;C07D403/10;;C07D491/107</t>
  </si>
  <si>
    <t>https://lens.org/133-717-713-725-011</t>
  </si>
  <si>
    <t>325</t>
  </si>
  <si>
    <t>107-362-352-362-653</t>
  </si>
  <si>
    <t>US 2017/0106154 A1</t>
  </si>
  <si>
    <t>ASTRAZENECA AB (2016-11-11)</t>
  </si>
  <si>
    <t>DRY POWDER INHALER</t>
  </si>
  <si>
    <t>A61M15/0021;;A61M11/002;;A61M11/003;;A61M15/0028;;A61M2202/064;;A61M2205/21;;A61M2206/16;;A61M2209/06;;A61M15/0021;;A61M11/002;;A61M11/003;;A61M15/0015;;A61M15/0016;;A61M15/0028;;A61M15/0091;;A61M2202/064;;A61M2205/21;;A61M2205/75;;A61M2206/14;;A61M2206/16;;A61M2209/06</t>
  </si>
  <si>
    <t>https://lens.org/107-362-352-362-653</t>
  </si>
  <si>
    <t>326</t>
  </si>
  <si>
    <t>128-344-912-641-62X</t>
  </si>
  <si>
    <t>US 2017/0029499 A1</t>
  </si>
  <si>
    <t>ASTRAZENECA PHARMACEUTICALS LP;;MEDIMMUNE LTD</t>
  </si>
  <si>
    <t>MEDIMMUNE LIMITED (2016-06-03);;ASTRAZENECA PHARMACEUTICALS LP (2017-01-11);;ASTRAZENECA AB (2018-02-14);;ASTRAZENECA UK LIMITED (2018-02-09)</t>
  </si>
  <si>
    <t>METHODS FOR TREATING HEPCIDIN-MEDIATED DISORDERS</t>
  </si>
  <si>
    <t>C07K16/248;;A61K2039/505;;A61P9/10;;A61P29/00;;C07K2317/56;;C07K2317/565;;C07K2317/76;;C12Q1/6883;;C12Q2600/158;;C07K16/248;;A61K2039/505;;A61P7/00;;A61P7/06;;A61P9/10;;A61P19/02;;A61P29/00;;A61P35/00;;A61P43/00;;C07K2317/76;;C12Q1/6883;;C12Q1/6886;;C12Q2600/106;;C12Q2600/156;;C07K16/248;;A61K2039/505;;C07K2317/76;;C12Q1/6883;;C12Q2600/106;;C12Q2600/156;;C12Q2600/172;;C07K16/248;;A61K2039/505;;A61K2039/545;;A61P7/06;;A61P9/04;;A61P9/10;;A61P29/00;;A61P31/00;;A61P35/00;;C07K2317/76;;C07K2317/92;;C07K16/248;;A61K2039/505;;C07K2317/76;;C12Q1/6883;;C12Q1/6886;;C12Q2600/106;;C12Q2600/156</t>
  </si>
  <si>
    <t>C07K16/24;;C12Q1/68</t>
  </si>
  <si>
    <t>https://lens.org/128-344-912-641-62X</t>
  </si>
  <si>
    <t>327</t>
  </si>
  <si>
    <t>138-720-679-480-434</t>
  </si>
  <si>
    <t>EP 2813509 B1</t>
  </si>
  <si>
    <t>NYCOMED GERMANY HOLDING GMBH (2015-06-10);;NYCOMED ASSET MANAGEMENT GMBH (2015-06-03);;ASTRAZENECA AB (2017-01-04);;TAKEDA GMBH (2015-06-24)</t>
  </si>
  <si>
    <t>3,4,4a,10b-tetrahydro-1h-thiopyrano-[4,3-c]isoquinoline derivatives</t>
  </si>
  <si>
    <t>C07D519/00;;A61P1/04;;A61P1/16;;A61P3/10;;A61P7/02;;A61P7/10;;A61P9/04;;A61P9/10;;A61P9/12;;A61P11/00;;A61P11/02;;A61P11/06;;A61P11/08;;A61P13/12;;A61P15/10;;A61P17/00;;A61P17/04;;A61P17/06;;A61P17/14;;A61P19/02;;A61P19/10;;A61P25/00;;A61P25/16;;A61P25/18;;A61P25/22;;A61P25/24;;A61P25/28;;A61P27/02;;A61P27/14;;A61P29/00;;A61P31/00;;A61P31/04;;A61P37/02;;A61P37/06;;A61P37/08;;A61P43/00;;C07D495/04;;A61K31/519;;C07D519/00</t>
  </si>
  <si>
    <t>C07D519/00;;A61K31/519;;A61P11/00;;A61P11/06;;A61P11/08</t>
  </si>
  <si>
    <t>https://lens.org/138-720-679-480-434</t>
  </si>
  <si>
    <t>328</t>
  </si>
  <si>
    <t>029-068-740-696-706</t>
  </si>
  <si>
    <t>US 9533978 B2</t>
  </si>
  <si>
    <t>ASTRAZENECA AB;;SUMITOMO DAINIPPON PHARMA CO LTD</t>
  </si>
  <si>
    <t>SUMITOMO PHARMA CO. LTD (2011-12-21);;ASTRAZENECA UK LIMITED (2011-12-19);;ASTRAZENECA AB (2011-12-21)</t>
  </si>
  <si>
    <t>Pyrimidine derivatives and their use in the treatment of cancer and further diseases</t>
  </si>
  <si>
    <t>C07D413/12;;A61P11/00;;A61P11/02;;A61P13/00;;A61P15/00;;A61P17/00;;A61P27/02;;A61P31/00;;A61P31/04;;A61P31/10;;A61P31/12;;A61P35/00;;A61P35/02;;A61P37/00;;A61P37/06;;A61P37/08;;A61P43/00;;C07D239/48;;C07D239/49;;C07D239/49;;A61K31/505;;C07D401/12;;C07D413/12;;C07D239/48;;C07D239/49</t>
  </si>
  <si>
    <t>C07D413/12;;C07D239/48;;C07D239/49</t>
  </si>
  <si>
    <t>https://lens.org/029-068-740-696-706</t>
  </si>
  <si>
    <t>329</t>
  </si>
  <si>
    <t>147-689-513-425-594</t>
  </si>
  <si>
    <t>US 2016/0317540 A1</t>
  </si>
  <si>
    <t>ASTRAZENECA AB (2012-04-12);;ASTRAZENECA UK LIMITED (2012-04-12)</t>
  </si>
  <si>
    <t>Therapeutic Treatment</t>
  </si>
  <si>
    <t>A61K31/519;;A61K31/337;;A61P15/00;;A61P35/00;;A61P43/00;;A61K31/337;;A61K31/519;;A61K31/519;;A61K31/337</t>
  </si>
  <si>
    <t>A61K31/519;;A61K31/337</t>
  </si>
  <si>
    <t>https://lens.org/147-689-513-425-594</t>
  </si>
  <si>
    <t>330</t>
  </si>
  <si>
    <t>142-822-211-336-658</t>
  </si>
  <si>
    <t>US 9475773 B2</t>
  </si>
  <si>
    <t>ASTRAZENECA PHARMACEUTICALS LP (2013-06-25);;ASTRAZENECA UK LIMITED (2013-07-03);;ASTRAZENECA AB (2013-07-04)</t>
  </si>
  <si>
    <t>NK3 receptor antagonist compound (NK3RA) for use in a method for the treatment of polycystic ovary syndrome (PCOS)</t>
  </si>
  <si>
    <t>A61K31/47;;A61K9/2013;;A61K9/2018;;A61K9/2054;;A61P5/24;;A61P15/08;;C07D215/52;;A61K31/47;;A61K9/2013;;A61K9/2018;;A61K9/2054;;A61K47/12;;A61K47/20;;A61K47/26;;A61K47/38;;C07D215/52</t>
  </si>
  <si>
    <t>A61K31/47;;A61K9/20;;A61K47/12;;A61K47/20;;A61K47/26;;A61K47/38;;C07D215/52</t>
  </si>
  <si>
    <t>https://lens.org/142-822-211-336-658</t>
  </si>
  <si>
    <t>331</t>
  </si>
  <si>
    <t>059-232-173-444-157</t>
  </si>
  <si>
    <t>US 9421213 B2</t>
  </si>
  <si>
    <t>ASTRAZENECA UK LIMITED (2011-07-21);;ASTRAZENECA AB (2011-07-21)</t>
  </si>
  <si>
    <t>A61K31/5377;;A61K31/505;;A61P35/00;;A61P43/00;;C07D413/14;;C07D471/04;;C07D471/04;;A61K31/437;;C07D413/14;;A61K31/5377;;A61K31/505;;C07D413/14;;C07D471/04</t>
  </si>
  <si>
    <t>A61K31/506;;A61K31/505;;A61K31/5377;;C07D403/14;;C07D413/14;;C07D471/04</t>
  </si>
  <si>
    <t>https://lens.org/059-232-173-444-157</t>
  </si>
  <si>
    <t>332</t>
  </si>
  <si>
    <t>185-169-527-768-351</t>
  </si>
  <si>
    <t>US 2016/0176906 A1</t>
  </si>
  <si>
    <t>ASTRAZENECA PHARMACEUTICALS LP (2011-09-30);;ASTRAZENECA AB (2011-09-30)</t>
  </si>
  <si>
    <t>Chemical Compounds</t>
  </si>
  <si>
    <t>C07D211/22;;C07D211/26;;C07D211/34;;C07D413/12;;C07F9/59;;C07F9/65583;;A61K31/451;;A61K31/496;;A61K31/5377;;A61K31/675;;A61P35/00;;A61P35/02;;A61P43/00;;C07D211/22;;C07D211/34;;C07D413/12;;C07D211/22;;A61K31/445;;C07F9/65583;;A61K31/451;;A61K31/496;;A61K31/5377;;A61K31/675;;C07D211/22;;C07D211/34;;C07D413/12;;C07F9/58;;C07F9/59;;C07F9/650952</t>
  </si>
  <si>
    <t>C07F9/6558;;C07D211/22;;C07F9/58;;C07F9/6509</t>
  </si>
  <si>
    <t>https://lens.org/185-169-527-768-351</t>
  </si>
  <si>
    <t>333</t>
  </si>
  <si>
    <t>030-878-347-932-063</t>
  </si>
  <si>
    <t>US 2016/0176912 A1</t>
  </si>
  <si>
    <t>ASTRAZENECA UK LIMITED (2012-09-13);;ASTRAZENECA AB (2012-10-02);;TRICLINIC LABS (2012-07-13)</t>
  </si>
  <si>
    <t>Novel Ticagrelor Co-Crystal</t>
  </si>
  <si>
    <t>A61K31/519;;A61K31/616;;A61K31/7042;;A61K31/7052;;A61K31/706;;A61K31/7064;;A61K31/7076;;A61P7/02;;A61P9/00;;A61P43/00;;C07D487/04;;C07D487/04;;A61K31/519;;C07H19/23;;A61K31/519;;A61K31/616;;A61K31/7042;;A61K31/7052;;A61K31/706;;A61K31/7064;;A61K31/7076;;C07B2200/13;;C07D487/04;;C07H19/16;;C07H19/167</t>
  </si>
  <si>
    <t>C07H19/23</t>
  </si>
  <si>
    <t>https://lens.org/030-878-347-932-063</t>
  </si>
  <si>
    <t>334</t>
  </si>
  <si>
    <t>075-870-563-258-938</t>
  </si>
  <si>
    <t>EP 2651937 B1</t>
  </si>
  <si>
    <t>ASTRAZENECA AB;;DAINIPPON SUMITOMO PHARMA CO</t>
  </si>
  <si>
    <t>DAINIPPON SUMITOMO PHARMA CO., LTD. (2015-12-16);;ASTRAZENECA AB (2015-12-16);;SUMITOMO DAINIPPON PHARMA CO., LTD. (2016-06-01)</t>
  </si>
  <si>
    <t>IMIDAZO[4,5-C]QUINOLIN-1-YL DERIVATIVE USEFUL IN THERAPY</t>
  </si>
  <si>
    <t>C07D471/04;;A61P1/16;;A61P11/00;;A61P11/02;;A61P11/06;;A61P17/00;;A61P17/02;;A61P17/04;;A61P17/06;;A61P17/12;;A61P17/16;;A61P27/14;;A61P31/04;;A61P31/12;;A61P31/14;;A61P31/18;;A61P31/20;;A61P35/00;;A61P37/04;;A61P37/08;;C07D471/04</t>
  </si>
  <si>
    <t>C07D471/04;;A61K31/4188;;A61K31/4745;;A61P1/16;;A61P11/06;;A61P17/04;;A61P17/06;;A61P17/12;;A61P31/04;;A61P31/12;;A61P31/18;;A61P37/08</t>
  </si>
  <si>
    <t>https://lens.org/075-870-563-258-938</t>
  </si>
  <si>
    <t>335</t>
  </si>
  <si>
    <t>117-942-324-002-638</t>
  </si>
  <si>
    <t>AU 2014/218385 B2</t>
  </si>
  <si>
    <t>ASTRAZENECA AB (2016-10-20);;ASTRAZENECA UK LIMITED (2016-10-20)</t>
  </si>
  <si>
    <t>A61K9/20</t>
  </si>
  <si>
    <t>https://lens.org/117-942-324-002-638</t>
  </si>
  <si>
    <t>336</t>
  </si>
  <si>
    <t>018-364-187-190-415</t>
  </si>
  <si>
    <t>EP 2435412 B1</t>
  </si>
  <si>
    <t>ASTRAZENECA AB (2016-01-06);;SUMITOMO DAINIPPON PHARMA CO., LTD. (2016-01-06)</t>
  </si>
  <si>
    <t>SACCHARIN, FUMARIC ACID, 1-HYDROXY-2-NAPHTHOIC ACID AND BENZOIC ACID SALTS OF 4-(DIMETHYLAMINO)BUTYL 2-(4-((2-AMINO-4-METHYL-6-(PENTYLAMINO)PYRIMIDIN-5-YL)METHYL)PHENYL)ACETATE</t>
  </si>
  <si>
    <t>C07D239/49;;A61P11/00;;A61P11/02;;A61P11/06;;A61P17/00;;A61P27/14;;A61P31/00;;A61P31/04;;A61P31/12;;A61P31/14;;A61P31/18;;A61P31/20;;A61P35/00;;A61P37/00;;A61P37/08;;C07D275/06;;C07D239/49;;A61K31/505;;C07D275/06;;C07D239/49;;C07D275/06</t>
  </si>
  <si>
    <t>C07D239/49;;A61K31/505;;A61P11/00;;A61P17/00;;A61P27/14;;A61P31/00;;A61P35/00;;C07D275/06</t>
  </si>
  <si>
    <t>https://lens.org/018-364-187-190-415</t>
  </si>
  <si>
    <t>337</t>
  </si>
  <si>
    <t>129-412-358-514-508</t>
  </si>
  <si>
    <t>US 2015/0374673 A1</t>
  </si>
  <si>
    <t>ASTRAZENECA AB;;ASTRAZENECA AB</t>
  </si>
  <si>
    <t>FOREST LABORATORIES HOLDINGS LIMITED (2016-05-13);;ASTRAZENECA PHARMACEUTICALS LP (2015-08-06);;STICHTING KATHOLIEKE UNIVERSITEIT (2015-10-14);;ASTRAZENECA AB (2015-07-31);;ASTRAZENECA UK LIMITED (2015-08-03)</t>
  </si>
  <si>
    <t>Combination Therapy for the Treatment of Nosocomial Pneumonia</t>
  </si>
  <si>
    <t>A61K31/439;;A61K31/529;;A61K31/5377;;A61K31/5383;;A61K31/546;;A61K31/65;;A61K31/7036;;A61P11/00;;A61P31/04;;A61P43/00;;Y02A50/30;;A61K31/546;;A61K31/4184;;A61P11/00;;A61K31/439;;A61K9/0019;;A61K31/529;;A61K31/5377;;A61K31/5383;;A61K31/546;;A61K31/65;;A61K31/7036;;A61K38/14</t>
  </si>
  <si>
    <t>A61K31/439;;A61K9/00;;A61K31/5377;;A61K31/5383;;A61K31/546;;A61K31/65;;A61K31/7036;;A61K38/14</t>
  </si>
  <si>
    <t>https://lens.org/129-412-358-514-508</t>
  </si>
  <si>
    <t>338</t>
  </si>
  <si>
    <t>070-722-748-143-700</t>
  </si>
  <si>
    <t>US 9211383 B2</t>
  </si>
  <si>
    <t>KJELLGREN PER ARNE;;LASTOW OREST;;REMMELGAS JOHAN;;SVENSSON MÅRTEN;;ASTRAZENECA AB</t>
  </si>
  <si>
    <t>ASTRAZENECA AB (2012-01-20)</t>
  </si>
  <si>
    <t>Dispenser and method for entraining powder in an airflow</t>
  </si>
  <si>
    <t>A61M15/0045;;A61M15/0003;;A61M15/0025;;A61M15/0043;;A61M15/0048;;A61M2202/064;;A61M2206/10;;A61M2206/14;;A61M2206/16;;A61M2209/02;;A61M15/0003;;A61M15/0025;;A61M15/0043;;A61M15/0045;;A61M2202/064;;A61M2206/10;;A61M2206/14;;A61M2206/16;;A61M15/0045;;A61M15/0003;;A61M15/0025;;A61M15/0043;;A61M15/0048;;A61M2202/064;;A61M2206/10;;A61M2206/14;;A61M2206/16;;A61M2209/02</t>
  </si>
  <si>
    <t>A61M11/00;;A61M15/00</t>
  </si>
  <si>
    <t>https://lens.org/070-722-748-143-700</t>
  </si>
  <si>
    <t>339</t>
  </si>
  <si>
    <t>051-849-347-044-516</t>
  </si>
  <si>
    <t>EP 2721005 B1</t>
  </si>
  <si>
    <t>PFIZER ANTI-INFECTIVES AB (2019-05-10);;ASTRAZENECA SOEDERTAELJE 1 AB; SE (2018-06-08);;PFIZER ANTI-LNFECTIVES AB, SE (2017-03-22);;PFIZER ANTI-INFECTIVES AB; SE (2018-06-08);;ASTRAZENECA SOEDERTAELJE 1 AB, SE (2017-09-15);;PFIZER ANTI-INFECTIVES AB, SE (2018-07-04)</t>
  </si>
  <si>
    <t>PROCESS FOR PREPARING HETEROCYCLIC COMPOUNDS INCLUDING TRANS-7-OXO-6-(SULPHOOXY)-1,6-DIAZABICYCLO[3,2,1]OCTANE-2-CARBOXAMIDE AND SALTS THEREOF</t>
  </si>
  <si>
    <t>C07D471/08;;C07D211/60;;C07D211/60;;A61P31/04;;A61P43/00;;C07D211/56;;C07D471/08;;Y02P20/55;;C07D471/08;;C07D211/60;;C07D471/08;;C07D211/60;;A61K31/439;;A61K31/445;;C07D211/56;;C07D471/08;;Y02P20/55</t>
  </si>
  <si>
    <t>C07D211/60;;C07D471/08</t>
  </si>
  <si>
    <t>https://lens.org/051-849-347-044-516</t>
  </si>
  <si>
    <t>340</t>
  </si>
  <si>
    <t>195-742-282-330-221</t>
  </si>
  <si>
    <t>US 9163020 B2</t>
  </si>
  <si>
    <t>GLOBAL ALLIANCE FOR TB DRUG DEV;;ASTRAZENECA AB;;FOUNDATION FOR NEGLECTED DISEASE RES</t>
  </si>
  <si>
    <t>ASTRAZENECA INDIA PRIVATE LIMITED (2013-09-26);;GLOBAL ALLIANCE FOR TB DRUG DEVELOPMENT (2014-07-08);;ASTRAZENECA AB (2014-07-08);;FOUNDATION FOR NEGLECTED DISEASE RESEARCH (2015-03-18)</t>
  </si>
  <si>
    <t>Azaindole compounds, synthesis thereof, and methods of using the same</t>
  </si>
  <si>
    <t>C07D471/04;;A61P31/04;;A61P31/06;;A61P43/00;;C07D403/12;;C07D471/04;;A61K31/437;;C07D403/12</t>
  </si>
  <si>
    <t>C07D471/04;;A61K31/437;;A61P31/06;;C07D403/12</t>
  </si>
  <si>
    <t>https://lens.org/195-742-282-330-221</t>
  </si>
  <si>
    <t>341</t>
  </si>
  <si>
    <t>145-860-889-350-134</t>
  </si>
  <si>
    <t>US 2015/0252077 A1</t>
  </si>
  <si>
    <t>ASTRAZENECA AB (2010-06-07);;PALATIN TECHNOLOGIES INC (2010-06-07)</t>
  </si>
  <si>
    <t>Melanocortin Receptor-Specific Peptides</t>
  </si>
  <si>
    <t>A61P1/04;;A61K38/00;;A61P1/16;;A61P3/00;;A61P3/04;;A61P3/06;;A61P3/08;;A61P3/10;;A61P5/00;;A61P5/50;;A61P7/00;;A61P9/00;;A61P9/10;;A61P9/12;;A61P11/00;;A61P19/02;;A61P25/00;;A61P25/20;;A61P43/00;;C07K7/06;;C07K7/56;;A61K38/08;;A61P3/04;;A61P3/06;;C07K7/06;;C07K7/56;;A61K38/00;;C07K7/06</t>
  </si>
  <si>
    <t>C07K7/56</t>
  </si>
  <si>
    <t>https://lens.org/145-860-889-350-134</t>
  </si>
  <si>
    <t>342</t>
  </si>
  <si>
    <t>001-701-456-669-457</t>
  </si>
  <si>
    <t>US 2015/0203513 A1</t>
  </si>
  <si>
    <t>ENTASIS THERAPEUTICS LIMITED (2015-06-16);;ENTASIS THERAPEUTICS INC (2024-12-30);;ASTRAZENECA PHARMACEUTICALS LP (2014-03-07);;ASTRAZENECA AB (2014-03-11);;ASTRAZENECA UK LIMITED (2014-03-18)</t>
  </si>
  <si>
    <t>COMPOUNDS AND METHODS FOR TREATING BACTERIAL INFECTIONS</t>
  </si>
  <si>
    <t>A61K31/5383;;A61P31/04;;A61P43/00;;C07D498/22;;Y02A50/30;;A61K31/5383;;C07D498/22;;Y02A50/30</t>
  </si>
  <si>
    <t>C07D498/22</t>
  </si>
  <si>
    <t>https://lens.org/001-701-456-669-457</t>
  </si>
  <si>
    <t>343</t>
  </si>
  <si>
    <t>138-870-210-537-425</t>
  </si>
  <si>
    <t>US 9079873 B2</t>
  </si>
  <si>
    <t>MUSIL TIBOR;;ASTRAZENECA AB</t>
  </si>
  <si>
    <t>ASTRAZENECA AB (2012-05-25)</t>
  </si>
  <si>
    <t>Process for the preparation of benzyl [(3aS,4R,6S,6aR)-6-hydroxy-2,2-dimethyltetrahydro-3aH-cyclopenta[d][1,3]dioxol]-4-yl]carbamate and intermediates in the process</t>
  </si>
  <si>
    <t>C07D317/44;;C07D317/44;;C07B53/00;;C07B57/00;;C07D317/44;;C07D317/44;;C07B53/00</t>
  </si>
  <si>
    <t>C07D317/44;;C07B53/00</t>
  </si>
  <si>
    <t>https://lens.org/138-870-210-537-425</t>
  </si>
  <si>
    <t>344</t>
  </si>
  <si>
    <t>081-935-784-480-518</t>
  </si>
  <si>
    <t>US 9067888 B2</t>
  </si>
  <si>
    <t>INGENIUM PHARMACEUTICALS GMBH;;ASTRAZENECA AB</t>
  </si>
  <si>
    <t>ASTRAZENECA AB (2013-12-16)</t>
  </si>
  <si>
    <t>Inhibitors of protein kinases</t>
  </si>
  <si>
    <t>A61K31/496;;A61K31/4418;;A61K31/443;;A61K31/4439;;A61K31/444;;A61K31/4545;;A61P9/00;;A61P25/00;;A61P25/04;;A61P25/28;;A61P29/00;;A61P31/00;;A61P35/00;;A61P37/00;;A61P37/02;;A61P43/00;;C07D213/72;;C07D213/75;;C07D401/12;;C07D401/14;;C07D409/12;;C07D417/12;;Y02A50/30;;C07D213/75;;A61K31/4439;;C07D401/12;;A61K31/496;;A61K31/4418;;A61K31/443;;A61K31/4439;;A61K31/444;;A61K31/4545;;C07D213/72;;C07D213/75;;C07D401/12;;C07D401/14;;C07D409/12;;C07D417/12;;Y02A50/30</t>
  </si>
  <si>
    <t>C07D401/12;;A61K31/444;;C07D213/72;;C07D213/75;;C07D401/14;;C07D409/12;;C07D417/12</t>
  </si>
  <si>
    <t>https://lens.org/081-935-784-480-518</t>
  </si>
  <si>
    <t>345</t>
  </si>
  <si>
    <t>077-419-351-685-512</t>
  </si>
  <si>
    <t>US 2015/0164888 A1</t>
  </si>
  <si>
    <t>ASTRAZENECA AB (2010-02-02)</t>
  </si>
  <si>
    <t>CYCLOPROPYL AMIDE DERIVATIVES</t>
  </si>
  <si>
    <t>A61K31/495;;C07D241/04;;A61K31/495;;A61P3/04;;A61P3/10;;A61P25/00;;A61P25/02;;A61P25/04;;A61P25/08;;A61P25/16;;A61P25/18;;A61P25/20;;A61P25/26;;A61P25/28;;A61P29/00;;A61P43/00;;C07D241/04;;C07D295/108;;A61K31/495;;C07D295/10;;A61K31/495;;C07D241/04</t>
  </si>
  <si>
    <t>A61K31/495</t>
  </si>
  <si>
    <t>https://lens.org/077-419-351-685-512</t>
  </si>
  <si>
    <t>346</t>
  </si>
  <si>
    <t>063-120-689-576-626</t>
  </si>
  <si>
    <t>US 2015/0133373 A1</t>
  </si>
  <si>
    <t>AMYLIN PHARMACEUTICALS LLC;;ASTRAZENECA PHARMACEUTICALS LP</t>
  </si>
  <si>
    <t>AMYLIN PHARMACEUTICALS LLC (2012-08-08);;ASTRAZENECA PHARMACEUTICALS LP (2012-09-19)</t>
  </si>
  <si>
    <t>TRANSMUCOSAL DELIVERY OF ENGINEERED POLYPEPTIDES</t>
  </si>
  <si>
    <t>A61K38/2278;;A61K9/0095;;A61K9/145;;A61K9/4891;;A61K47/64;;A61P17/00;;C07K2319/31;;C07K2319/75;;A61K47/26;;A61K9/0095;;A61K9/145;;A61K9/4891;;A61K38/2278;;A61K47/64;;C07K2319/31;;C07K2319/75</t>
  </si>
  <si>
    <t>A61K47/26;;A61K38/22;;A61K47/14;;A61K47/48</t>
  </si>
  <si>
    <t>https://lens.org/063-120-689-576-626</t>
  </si>
  <si>
    <t>347</t>
  </si>
  <si>
    <t>017-201-778-187-565</t>
  </si>
  <si>
    <t>US 2015/0111246 A1</t>
  </si>
  <si>
    <t>SITE-SPECIFIC ENZYMATIC MODIFICATION OF EXENDINS AND ANALOGS THEREOF</t>
  </si>
  <si>
    <t>C07K14/57563;;A61K47/54;;A61K47/551;;A61K47/554;;A61K47/557;;A61K47/60;;A61K47/64;;C12N9/1044;;C07K14/605;;A61K47/54;;A61K47/551;;A61K47/554;;A61K47/557;;A61K47/60;;A61K47/64;;C07K14/57563;;C12N9/1044;;C12P21/00</t>
  </si>
  <si>
    <t>C07K14/605;;C12P21/00</t>
  </si>
  <si>
    <t>https://lens.org/017-201-778-187-565</t>
  </si>
  <si>
    <t>348</t>
  </si>
  <si>
    <t>123-435-572-408-814</t>
  </si>
  <si>
    <t>US 9012457 B2</t>
  </si>
  <si>
    <t>GYBÄCK HELENA;;MALMSTRÖM JONAS;;TERP ELGAARD GITTE;;ASTRAZENECA AB</t>
  </si>
  <si>
    <t>ACTURUM LIFE AB (2019-05-14);;ASTRAZENECA AB (2013-07-24);;ACTURUM REAL ESTATE AB (2016-03-12);;ACTURUM LIFE SCIENCE AB (2013-06-25)</t>
  </si>
  <si>
    <t>2-carboxamide-4-piperazinyl-benzofuran derivative</t>
  </si>
  <si>
    <t>C07D405/12;;A61P21/00;;A61P21/02;;A61P21/04;;A61P25/00;;A61P25/02;;A61P25/14;;A61P25/16;;A61P25/18;;A61P25/24;;A61P25/28;;A61P43/00;;C07D215/227;;C07D307/85;;C07D405/14;;A61K31/497;;C07D405/12;;C07D215/227;;C07D307/85</t>
  </si>
  <si>
    <t>C07D405/12;;C07D215/227;;C07D307/85</t>
  </si>
  <si>
    <t>https://lens.org/123-435-572-408-814</t>
  </si>
  <si>
    <t>349</t>
  </si>
  <si>
    <t>104-424-458-688-565</t>
  </si>
  <si>
    <t>US 9012452 B2</t>
  </si>
  <si>
    <t>STRANNE ROBERT;;ASTRAZENECA AB</t>
  </si>
  <si>
    <t>ASTRAZENECA AB (2012-10-23)</t>
  </si>
  <si>
    <t>Processes for making cyclopropyl amide derivatives and intermediates associated therewith</t>
  </si>
  <si>
    <t>C07D295/192;;A61K31/4965;;A61P3/04;;A61P25/00;;A61P25/04;;A61P25/14;;A61P25/18;;A61P25/20;;A61P25/28;;A61P25/36;;A61P29/00;;A61P43/00;;C07D241/04;;C07D295/185;;C07C233/65;;C07D241/04;;C07D295/182;;C07D295/192;;A61K31/4965;;C07C231/06;;C07C231/14;;C07C235/84;;C07D241/04;;C07D295/185</t>
  </si>
  <si>
    <t>A61K31/497;;A61K31/4965;;C07C231/06;;C07C231/14;;C07C235/84;;C07D241/04;;C07D295/104;;C07D295/185;;C07D295/192</t>
  </si>
  <si>
    <t>https://lens.org/104-424-458-688-565</t>
  </si>
  <si>
    <t>350</t>
  </si>
  <si>
    <t>178-205-849-126-45X</t>
  </si>
  <si>
    <t>US 9000182 B2</t>
  </si>
  <si>
    <t>ASTRAZENECA AB (2013-10-05)</t>
  </si>
  <si>
    <t>2H-imidazol-4-amine compounds and their use as BACE inhibitors</t>
  </si>
  <si>
    <t>C07D235/02;;C07D401/04;;C07D235/02;;A61K31/4184;;A61K31/4439;;A61P25/16;;A61P25/28;;C07D401/02;;C07D401/04;;C07D235/02;;A61K31/4184;;A61K31/4439;;A61K45/06;;C07D401/02;;C07D401/04</t>
  </si>
  <si>
    <t>C07D235/02;;A61K31/4184;;A61K31/4439;;A61K45/06;;C07D401/02;;C07D401/04</t>
  </si>
  <si>
    <t>https://lens.org/178-205-849-126-45X</t>
  </si>
  <si>
    <t>351</t>
  </si>
  <si>
    <t>023-556-184-498-18X</t>
  </si>
  <si>
    <t>US 9000185 B2</t>
  </si>
  <si>
    <t>ASTRAZENECA AB (2013-10-07)</t>
  </si>
  <si>
    <t>Cycloalkyl ether compounds and their use as BACE inhibitors</t>
  </si>
  <si>
    <t>C07D235/02;;C07D235/02;;A61K31/428;;A61P9/00;;A61P25/00;;A61P25/28;;C07D235/02;;A61K31/428;;A61K45/06</t>
  </si>
  <si>
    <t>C07D235/02;;A61K31/428;;A61K45/06</t>
  </si>
  <si>
    <t>https://lens.org/023-556-184-498-18X</t>
  </si>
  <si>
    <t>352</t>
  </si>
  <si>
    <t>190-078-684-980-29X</t>
  </si>
  <si>
    <t>US 9000183 B2</t>
  </si>
  <si>
    <t>Cyclohexane-1,2′-indene-1′,2″-imidazol compounds and their use as BACE inhibitors</t>
  </si>
  <si>
    <t>C07D235/02;;C07D401/04;;C07D235/02;;A61K45/06;;A61P25/00;;A61P25/16;;A61P25/28;;A61P43/00;;C07D401/02;;C07D401/04;;C07D235/02;;A61K31/4184;;A61K31/4439;;A61K45/06;;C07D401/02;;C07D401/04</t>
  </si>
  <si>
    <t>https://lens.org/190-078-684-980-29X</t>
  </si>
  <si>
    <t>353</t>
  </si>
  <si>
    <t>044-293-193-143-487</t>
  </si>
  <si>
    <t>US 9000184 B2</t>
  </si>
  <si>
    <t>Cyclohexane-1,2′-naphthalene-1′,2″-imidazol compounds and their use as BACE inhibitors</t>
  </si>
  <si>
    <t>C07D401/04;;C07D235/02;;C07D491/107;;C07D235/02;;A61P25/28;;A61P43/00;;C07D401/02;;C07D401/04;;C07D491/107;;C07D235/02;;A61K31/4184;;A61K31/4439;;A61K45/06;;C07D401/02;;C07D401/04;;C07D491/107</t>
  </si>
  <si>
    <t>C07D235/02;;A61K31/4184;;A61K31/4439;;A61K45/06;;C07D401/02;;C07D401/04;;C07D491/107</t>
  </si>
  <si>
    <t>https://lens.org/044-293-193-143-487</t>
  </si>
  <si>
    <t>354</t>
  </si>
  <si>
    <t>128-155-507-005-539</t>
  </si>
  <si>
    <t>US 2015/0073011 A1</t>
  </si>
  <si>
    <t>ENTASIS THERAPEUTICS LIMITED (2015-06-16);;ASTRAZENECA PHARMACEUTICALS LP (2014-10-01);;ASTRAZENECA AB (2014-10-01);;ASTRAZENECA UK LIMITED (2014-10-01)</t>
  </si>
  <si>
    <t>Beta-Lactamase Inhibitor Compounds</t>
  </si>
  <si>
    <t>C07D471/08;;C07D471/08;;A61P31/00;;A61P31/04;;A61P43/00;;Y02A50/30;;C07D471/08;;A61K31/439;;A61K31/439;;A61K31/407;;A61K31/427;;A61K31/43;;A61K31/444;;A61K31/4545;;A61K31/496;;A61K31/546;;A61K31/675;;C07D471/08</t>
  </si>
  <si>
    <t>C07D471/08</t>
  </si>
  <si>
    <t>https://lens.org/128-155-507-005-539</t>
  </si>
  <si>
    <t>355</t>
  </si>
  <si>
    <t>150-070-475-927-823</t>
  </si>
  <si>
    <t>US 2015/0057317 A1</t>
  </si>
  <si>
    <t>ASTRAZENECA PHARMACEUTICALS LP (2013-01-16);;ASTRAZENECA UK LIMITED (2013-01-15);;ASTRAZENECA AB (2013-03-04)</t>
  </si>
  <si>
    <t>GABR-A2 DIAGNOSTIC</t>
  </si>
  <si>
    <t>C12Q1/6883;;C12Q2600/106;;C12Q2600/156;;A61K31/4402;;A61K31/135;;A61P25/18;;A61P25/22;;A61P25/24;;A61P43/00;;C12Q1/6883;;C12Q2600/106;;C12Q2600/156;;A61K31/4402;;A61K31/135;;C12Q1/6883;;C12Q2600/106;;C12Q2600/156</t>
  </si>
  <si>
    <t>A61K31/4402</t>
  </si>
  <si>
    <t>https://lens.org/150-070-475-927-823</t>
  </si>
  <si>
    <t>356</t>
  </si>
  <si>
    <t>112-068-608-010-197</t>
  </si>
  <si>
    <t>AU 2010/288550 B2</t>
  </si>
  <si>
    <t>ASTRAZENECA AB (2016-08-18)</t>
  </si>
  <si>
    <t>Methylpyrrolopyrimidinecarboxamides</t>
  </si>
  <si>
    <t>C07D487/04;;A61P1/16;;A61P9/08;;A61P9/12;;A61P11/00;;A61P11/06;;A61P11/08;;A61P13/12;;A61P43/00;;C07D487/04;;A61K31/525;;C07D513/04;;C07D487/04</t>
  </si>
  <si>
    <t>C07D487/04;;A61K31/519;;A61P11/00</t>
  </si>
  <si>
    <t>https://lens.org/112-068-608-010-197</t>
  </si>
  <si>
    <t>357</t>
  </si>
  <si>
    <t>117-535-711-682-399</t>
  </si>
  <si>
    <t>US 2014/0364601 A1</t>
  </si>
  <si>
    <t>BARNWELL NEIL;;CORNWALL PHILIP;;GILL DUNCAN MICHAEL;;HOWELL GARETH P;;MEADOWS REBECCA ELIZABETH;;MURUGAN ANDIAPPAN;;O'KEEFE PHILIP;;SINGLETON JOHN;;WITHNALL JANE;;MERIFIELD ERIC;;MITCHELL CHRISTOPHER WILLIAM;;PATEL ZAKARIYA MOHAMED;;ROSE JAMES BARRY;;ASTRAZENECA AB</t>
  </si>
  <si>
    <t>ASTRAZENECA INDIA PRIVATE LIMITED (2012-08-03);;ASTRAZENECA UK LIMITED (2012-08-13);;ASTRAZENECA AB (2012-07-26)</t>
  </si>
  <si>
    <t>PROCESS</t>
  </si>
  <si>
    <t>C07D498/10;;C07C309/24;;C07D277/68;;C07D498/10;;A61P11/08;;C07C309/24;;C07D277/68;;C07D277/68;;C07D498/10;;C07D498/10;;C07C55/07;;C07C309/08;;C07C309/24;;C07D277/68</t>
  </si>
  <si>
    <t>C07D498/10;;C07C55/07;;C07C309/08;;C07D277/68</t>
  </si>
  <si>
    <t>https://lens.org/117-535-711-682-399</t>
  </si>
  <si>
    <t>358</t>
  </si>
  <si>
    <t>130-412-804-354-133</t>
  </si>
  <si>
    <t>US 8895570 B2</t>
  </si>
  <si>
    <t>ABBOTT PHILLIP;;BONNERT ROGER VICTOR;;MCINALLY THOMAS;;THOM STEPHEN;;WADA HIROKI;;ONUMA SATOSHI;;ASTRAZENECA AB;;DAINIPPON SUMITOMO PHARMA CO</t>
  </si>
  <si>
    <t>SUMITOMO PHARMA CO. LTD (2011-12-14);;ASTRAZENECA UK LIMITED (2012-01-24);;ASTRAZENECA AB (2011-12-14)</t>
  </si>
  <si>
    <t>Purine derivatives</t>
  </si>
  <si>
    <t>C07D473/18;;A61P1/16;;A61P11/00;;A61P11/02;;A61P11/06;;A61P17/00;;A61P17/02;;A61P17/04;;A61P17/16;;A61P27/02;;A61P27/14;;A61P31/04;;A61P31/14;;A61P31/18;;A61P31/20;;A61P35/00;;A61P37/04;;A61P37/08;;A61P43/00;;C07D473/18</t>
  </si>
  <si>
    <t>A61K31/52;;C07D473/18</t>
  </si>
  <si>
    <t>https://lens.org/130-412-804-354-133</t>
  </si>
  <si>
    <t>359</t>
  </si>
  <si>
    <t>045-520-357-801-348</t>
  </si>
  <si>
    <t>US 8883802 B2</t>
  </si>
  <si>
    <t>COSGROVE STEPHEN DAVID;;JONES MATTHEW JONATHAN;;POLYAKOVA-AKKUS ANNA;;SMOLENSKAYA VALERIYA NIKOLAYEVNA;;WOLFE BRENTON SKYLAR;;ASTRAZENECA AB</t>
  </si>
  <si>
    <t>APTUIT INC (2012-08-15);;ASTRAZENECA AB (2012-07-05);;ASTRA ZENECA UK LIMITED (2012-10-18)</t>
  </si>
  <si>
    <t>Co-crystals of a triazolo [4,5-D] pyrimide platelet aggregation inhibitor</t>
  </si>
  <si>
    <t>C07D487/04;;C07D487/04;;A61P7/02;;A61P9/00;;A61P9/10;;C07D487/04;;A61K31/519;;C07B2200/13;;C07D487/04</t>
  </si>
  <si>
    <t>A61K31/519;;C07D471/00</t>
  </si>
  <si>
    <t>https://lens.org/045-520-357-801-348</t>
  </si>
  <si>
    <t>360</t>
  </si>
  <si>
    <t>193-678-654-128-82X</t>
  </si>
  <si>
    <t>US 8859534 B2</t>
  </si>
  <si>
    <t>ASTRAZENECA AB;;ACTURUM LIFE SCIENCE AB</t>
  </si>
  <si>
    <t>ACTURUM LIFE AB (2019-05-14);;ASTRAZENECA AB (2010-06-28);;ACTURUM REAL ESTATE AB (2016-03-12);;ACTURUM LIFE SCIENCE AB (2013-06-25)</t>
  </si>
  <si>
    <t>2-carboxamide-7-piperazinyl-benzofuran derivatives</t>
  </si>
  <si>
    <t>C07D405/12;;A61P25/00;;A61P25/16;;A61P25/18;;A61P25/20;;A61P25/24;;A61P25/28;;A61P43/00;;C07D307/84;;C07D307/85;;C07D405/14;;C07D407/14;;C07D413/14;;C07D417/14;;C07D405/14;;A61K31/496;;C07D417/14;;C07D405/12;;C07D307/84;;C07D307/85;;C07D405/14;;C07D407/14;;C07D413/14;;C07D417/14</t>
  </si>
  <si>
    <t>A61K31/496;;A61K31/5377;;C07D307/84;;C07D307/85;;C07D405/12;;C07D405/14;;C07D407/14;;C07D413/14;;C07D417/14</t>
  </si>
  <si>
    <t>https://lens.org/193-678-654-128-82X</t>
  </si>
  <si>
    <t>361</t>
  </si>
  <si>
    <t>039-976-666-942-337</t>
  </si>
  <si>
    <t>US 2014/0256621 A1</t>
  </si>
  <si>
    <t>ERICKSON MARY;;LITZINGER DAVID C;;GHOSH SOUMITRA S;;GUO ZIJIAN;;EKBLAND CAROLINE;;ROTH JONATHAN DAVID;;ASTRAZENECA PHARMACEUTICALS LP;;AMYLIN PHARMACEUTICALS LLC</t>
  </si>
  <si>
    <t>AFFIBODY AB (2012-06-25);;AMYLIN PHARMACEUTICALS LLC (2012-08-08);;ASTRAZENECA PHARMACEUTICALS LP (2012-09-19);;NOVELION THERAPEUTICS INC (2016-11-29);;AEGERION PHARMACEUTICALS INC (2015-01-09)</t>
  </si>
  <si>
    <t>ENGINEERED POYPEPTIDES HAVING ENHANCED DURATION OF ACTION AND REDUCED IMMUNOGENICITY</t>
  </si>
  <si>
    <t>C07K14/5759;;A61K38/00;;A61K38/22;;A61K38/2264;;A61P1/16;;A61P3/04;;A61P3/06;;A61P3/10;;A61P5/00;;A61P9/12;;A61P15/00;;A61P25/14;;A61P25/28;;C07K2319/70;;C07K14/5759;;A61K38/00;;A61K38/22;;A61K38/2264;;C07K14/315;;C07K14/575;;C07K2319/31;;C07K2319/70</t>
  </si>
  <si>
    <t>C07K14/575;;C07K14/315</t>
  </si>
  <si>
    <t>https://lens.org/039-976-666-942-337</t>
  </si>
  <si>
    <t>362</t>
  </si>
  <si>
    <t>028-347-987-651-214</t>
  </si>
  <si>
    <t>A4</t>
  </si>
  <si>
    <t>EP 2621515 A4</t>
  </si>
  <si>
    <t>AMRYT PHARMACEUTICALS INC.; US (2021-06-22);;AMYLIN PHARMACEUTICALS, LLC (2013-09-04);;ASTRAZENECA PHARMACEUTICALS LP (2013-09-04);;AMRYT PHARMACEUTICALS INC. (2021-08-19);;AMRYT PHARMACEUTICALS INC., CAMBRIDGE, US (2021-06-29);;AMRYT PHARMACEUTICALS INC., US (2021-09-01);;AEGERION PHARMACEUTICALS, INC. (2015-08-05)</t>
  </si>
  <si>
    <t>HIGHLY SOLUBLE LEPTINS</t>
  </si>
  <si>
    <t>C07K14/5759;;A61K38/2264;;C07K14/5759;;A61K38/00;;A61K38/2264;;A61P1/16;;A61P1/18;;A61P3/00;;A61P3/04;;A61P3/06;;A61P3/10;;A61P15/00;;A61P15/08;;A61P25/14;;A61P25/28;;A61P43/00;;C07K14/00;;C07K14/5759;;A61K38/00;;A61K38/2264;;C07K14/00;;C07K14/575;;C07K2319/33</t>
  </si>
  <si>
    <t>A61K38/17;;A61K38/22;;A61P3/00;;A61P3/04;;C07K14/00;;C07K14/575</t>
  </si>
  <si>
    <t>https://lens.org/028-347-987-651-214</t>
  </si>
  <si>
    <t>363</t>
  </si>
  <si>
    <t>021-485-840-724-811</t>
  </si>
  <si>
    <t>US 8748603 B2</t>
  </si>
  <si>
    <t>GULLBERG BRITT ANNE INGELA;;LARSSON THOMAS PETER;;STONEHOUSE JEFFREY PAUL;;ASTRAZENECA AB</t>
  </si>
  <si>
    <t>ASTRAZENECA AB (2011-07-12);;ASTRAZENECA UK LIMITED (2011-08-31)</t>
  </si>
  <si>
    <t>Crystalline forms of N-[2-[[(2,3-difluorophenyl)methyl]THIO]-6-{[(1R,2S)-2,3-dihydroxy-1-methylpropyl]oxy}-4-pyrimidinyl]-1-azetidinesulfonamide</t>
  </si>
  <si>
    <t>C07D403/12;;A61K31/506;;A61P1/00;;A61P1/04;;A61P11/00;;A61P11/06;;A61P11/08;;A61P17/06;;A61P19/00;;A61P19/02;;A61P19/10;;A61P29/00;;A61P35/00;;A61P37/00;;A61P37/08;;A61P43/00;;C07D403/12;;A61K31/506;;A61K45/06;;C07D403/10;;C07D403/12;;A61K31/506;;A61K45/06</t>
  </si>
  <si>
    <t>C07D403/12;;A61K31/506;;A61P11/06;;A61P19/02</t>
  </si>
  <si>
    <t>https://lens.org/021-485-840-724-811</t>
  </si>
  <si>
    <t>364</t>
  </si>
  <si>
    <t>145-126-427-781-398</t>
  </si>
  <si>
    <t>US 8685958 B2</t>
  </si>
  <si>
    <t>JOHANSSON LARS ANDERS MIKAEL;;ASTRAZENECA AB</t>
  </si>
  <si>
    <t>ASTRAZENECA AB (2012-10-02)</t>
  </si>
  <si>
    <t>Therapeutic agents</t>
  </si>
  <si>
    <t>C07D491/107;;C07D491/044;;A61P3/04;;A61P25/22;;A61P43/00;;C07D491/048;;C07D491/107;;C07D491/044;;C07D491/048</t>
  </si>
  <si>
    <t>C07D491/107</t>
  </si>
  <si>
    <t>https://lens.org/145-126-427-781-398</t>
  </si>
  <si>
    <t>365</t>
  </si>
  <si>
    <t>029-680-044-408-652</t>
  </si>
  <si>
    <t>AU 2012/296880 A1</t>
  </si>
  <si>
    <t>Pharmaceutical aerosol product for administration by oral or nasal inhalation</t>
  </si>
  <si>
    <t>A61K9/124;;A61K9/008;;A61K31/58;;A61K9/124;;A61K9/008;;A61K31/58;;A61M11/04;;A61M15/0001;;A61M15/0065;;A61M15/009</t>
  </si>
  <si>
    <t>A61K9/00;;A61K9/12;;A61K31/57;;A61K47/10</t>
  </si>
  <si>
    <t>https://lens.org/029-680-044-408-652</t>
  </si>
  <si>
    <t>366</t>
  </si>
  <si>
    <t>179-826-943-912-770</t>
  </si>
  <si>
    <t>US 2014/0083422 A1</t>
  </si>
  <si>
    <t>ARVIDSSON LARS RUNE GUSTAV;;BAKEWELL WILLIAM;;BRIANT JOHN PHILLIP;;CAMPBELL PATRICK;;COOKE CHARLES;;GROOMBRIDGE CHRISTOPHER;;JOHN JAMES DANIEL;;LASTOW OREST;;PENHALLURICK TREVOR JOHN;;SMARTT NICHOLAS;;SVENSSON MAERTIN;;ULLBRAND BJOERN;;ASTRAZENECA AB</t>
  </si>
  <si>
    <t>ASTRAZENECA AB (2011-06-07);;ASTRAZENECA UK LIMITED (2011-07-08)</t>
  </si>
  <si>
    <t>A61M15/0045;;A61M15/0021;;A61M15/0043;;A61M15/0048;;A61M15/0075;;A61M15/0081;;A61M15/0091;;A61M2202/064;;A61M15/00;;A61M15/0045;;A61M15/0021;;A61M15/0043;;A61M15/0048;;A61M15/0075;;A61M15/0081;;A61M15/0091;;A61M15/08;;A61M2202/064</t>
  </si>
  <si>
    <t>A61M15/00;;A61M15/08</t>
  </si>
  <si>
    <t>https://lens.org/179-826-943-912-770</t>
  </si>
  <si>
    <t>367</t>
  </si>
  <si>
    <t>118-828-434-673-763</t>
  </si>
  <si>
    <t>US 2014/0079778 A1</t>
  </si>
  <si>
    <t>NARANG AJIT;;RAO VENKATRAMANA M;;DESAI DIVYAKANT S;;ASTRAZENECA UK LTD;;BRISTOL MYERS SQUIBB CO</t>
  </si>
  <si>
    <t>ASTRAZENECA UK LIMITED (2013-08-01);;HALLIBURTON ENERGY SERVICES INC (2013-01-28)</t>
  </si>
  <si>
    <t>Pharmaceutical Formulations Including An Amine Compound</t>
  </si>
  <si>
    <t>A61K9/209;;A61K9/282;;A61K9/284;;A61K9/2886;;A61K31/155;;A61K31/198;;A61K31/351;;A61K31/403;;A61K31/4439;;A61K31/4985;;A61K31/64;;A61P3/10;;A61K45/06;;A61K9/0053;;A61K9/28;;A61K9/2853;;A61K9/2886;;A61K31/155;;A61K31/403;;A61K47/18;;A61K47/32;;A61K2121/00;;A61K9/2826;;A61K9/209;;A61K9/282;;A61K9/284;;A61K9/2886;;A61K31/155;;A61K31/198;;A61K31/351;;A61K31/403;;A61K31/4439;;A61K31/4985;;A61K31/64;;A61K47/18</t>
  </si>
  <si>
    <t>A61K9/28;;A61K31/155;;A61K31/403;;A61K31/4985;;A61K47/18</t>
  </si>
  <si>
    <t>https://lens.org/118-828-434-673-763</t>
  </si>
  <si>
    <t>368</t>
  </si>
  <si>
    <t>166-114-172-074-459</t>
  </si>
  <si>
    <t>US 2014/0000601 A1</t>
  </si>
  <si>
    <t>ARVIDSSON LARS RUNE GUSTAV;;BAKEWELL WILLIAM;;CAMPBELL PATRICK;;GROOMBRIDGE CHRISTOPHER;;JOHN JAMES DANIEL;;LUNDGREN JAN OLOF BERTIL;;LUNDSTROM CAMILLA;;RITTFELDT MAARTEN;;SVENNBERG JONAS;;ASTRAZENECA AB</t>
  </si>
  <si>
    <t>ASTRAZENECA UK LIMITED (2011-07-08);;ASTRAZENECA AB (2011-07-13)</t>
  </si>
  <si>
    <t>A61M15/0045;;A61M15/0021;;A61M15/0043;;A61M15/0048;;A61M15/0075;;A61M15/0081;;A61M2202/064;;A61M15/00;;A61M15/0045;;A61M15/0021;;A61M15/0043;;A61M15/0048;;A61M15/0075;;A61M15/0081;;A61M2202/064</t>
  </si>
  <si>
    <t>https://lens.org/166-114-172-074-459</t>
  </si>
  <si>
    <t>369</t>
  </si>
  <si>
    <t>194-081-764-349-070</t>
  </si>
  <si>
    <t>US 8569484 B2</t>
  </si>
  <si>
    <t>BIFULCO NEIL;;CHOY ALLISON LAURA;;QUIROGA OLGA;;SHERER BRIAN ALAN;;ASTRAZENECA AB</t>
  </si>
  <si>
    <t>ASTRAZENECA PHARMACEUTICALS LP (2012-01-10);;ASTRAZENECA AB (2012-01-12)</t>
  </si>
  <si>
    <t>Heterocyclic urea derivatives and methods of use thereof</t>
  </si>
  <si>
    <t>C07D471/04;;A61P7/00;;A61P9/00;;A61P11/00;;A61P11/02;;A61P11/08;;A61P13/02;;A61P17/00;;A61P27/16;;A61P31/04;;A61P43/00;;C07D471/04</t>
  </si>
  <si>
    <t>C07D471/04;;C07F9/6561</t>
  </si>
  <si>
    <t>https://lens.org/194-081-764-349-070</t>
  </si>
  <si>
    <t>370</t>
  </si>
  <si>
    <t>071-991-754-255-09X</t>
  </si>
  <si>
    <t>US 8546375 B2</t>
  </si>
  <si>
    <t>BOEKMAN-WINIWARTER SUSANNE DORIS MARGIT;;FREDENWALL MARLENE;;HOGNER CARL ANDERS;;JOHANSSON LARS ANDERS MIKAEL;;JUDKINS ROBERT ANDREW;;LI LANNA;;LOEFBERG BJOERN CHRISTIAN INGVAR;;UNGE SVERKER VON;;ASTRAZENECA AB</t>
  </si>
  <si>
    <t>ASTRAZENECA AB (2011-08-23)</t>
  </si>
  <si>
    <t>(3-(4-(aminomethyl)phenoxy or phenylthio)azetidin-1-yl)(5-phenyl-1,3,4-oxadiazol-2-yl)methanone compounds</t>
  </si>
  <si>
    <t>C07D413/06;;A61K31/4245;;A61P1/16;;A61P3/04;;A61P5/02;;A61P5/50;;A61P11/00;;A61P25/00;;A61P25/22;;A61P25/24;;A61P43/00;;C07D413/14;;C07D413/06;;A61K31/397;;A61K31/4245;;C07D413/14;;C07D413/06;;A61K31/4245;;C07D413/14</t>
  </si>
  <si>
    <t>A61K31/4245;;C07D205/04;;C07D295/096;;C07D295/155;;C07D413/12;;C07D413/14</t>
  </si>
  <si>
    <t>https://lens.org/071-991-754-255-09X</t>
  </si>
  <si>
    <t>371</t>
  </si>
  <si>
    <t>026-874-977-032-374</t>
  </si>
  <si>
    <t>EP 2640716 A1</t>
  </si>
  <si>
    <t>DAINIPPON SUMITOMO PHARMA CO;;ASTRAZENECA AB</t>
  </si>
  <si>
    <t>ASTRAZENECA AKTIEBOLAG (2014-10-08);;SUMITOMO DAINIPPON PHARMA CO., LTD. (2014-10-08)</t>
  </si>
  <si>
    <t>CYCLIC AMIDE COMPOUNDS AND THEIR USE IN THE TREATMENT OF DISEASE</t>
  </si>
  <si>
    <t>C07D403/10;;A61P35/00;;C07D403/10</t>
  </si>
  <si>
    <t>C07D403/10;;A61K31/505;;A61P35/00</t>
  </si>
  <si>
    <t>https://lens.org/026-874-977-032-374</t>
  </si>
  <si>
    <t>372</t>
  </si>
  <si>
    <t>030-003-065-931-853</t>
  </si>
  <si>
    <t>US 2013/0237548 A1</t>
  </si>
  <si>
    <t>BLADE HELEN;;COSGROVE STEPHEN DAVID;;ASTRAZENECA AB</t>
  </si>
  <si>
    <t>ASTRAZENECA UK LIMITED (2012-11-02);;ASTRAZENECA AB (2012-11-12)</t>
  </si>
  <si>
    <t>INJECTABLE EMULSION OF SEDATIVE HYPNOTIC AGENT</t>
  </si>
  <si>
    <t>C07D413/04;;A61K31/496;;A61P25/04;;A61P25/22;;A61P29/00;;A61P43/00;;C07D413/14;;A61K31/4245;;C07D413/04;;A61K31/496</t>
  </si>
  <si>
    <t>C07D413/04</t>
  </si>
  <si>
    <t>https://lens.org/030-003-065-931-853</t>
  </si>
  <si>
    <t>373</t>
  </si>
  <si>
    <t>193-925-566-498-48X</t>
  </si>
  <si>
    <t>US 2013/0236501 A1</t>
  </si>
  <si>
    <t>BOOTH JONATHAN;;DIXON LEIGH;;WASHINGTON CLIVE;;ASTRAZENECA AB</t>
  </si>
  <si>
    <t>ASTRAZENECA UK LIMITED (2012-11-19);;ASTRAZENECA AB (2012-11-22)</t>
  </si>
  <si>
    <t>Injectable Emulsion of Sedative Hypnotic Agent</t>
  </si>
  <si>
    <t>A61K9/0019;;A61K9/1075;;A61K31/216;;A61K47/10;;A61K47/14;;A61K47/24;;A61K47/44;;A61P23/00;;A61P25/20;;A61K9/107;;A61K31/216;;A61K9/107;;A61K9/0019;;A61K9/1075;;A61K31/216;;A61K47/10;;A61K47/14;;A61K47/24;;A61K47/44</t>
  </si>
  <si>
    <t>A61K9/107;;A61K31/216</t>
  </si>
  <si>
    <t>https://lens.org/193-925-566-498-48X</t>
  </si>
  <si>
    <t>374</t>
  </si>
  <si>
    <t>071-683-453-281-273</t>
  </si>
  <si>
    <t>US 8530470 B2</t>
  </si>
  <si>
    <t>BARLAAM BERNARD CHRISTOPHE;;DEGORCE SEBASTIEN LOUIS;;LAMBERT-VAN DER BREMPT CHRISTINE MARIE PAUL;;LOHMANN JEAN-JACQUES MARCEL;;PLE PATRICK;;ASTRAZENECA AB</t>
  </si>
  <si>
    <t>ASTRAZENECA UK LIMITED (2012-06-29);;ASTRAZENECA AB (2013-07-02);;ASTRAZENECA REIMS S.A.S (2012-05-31)</t>
  </si>
  <si>
    <t>C07D405/04;;C07D405/14;;C07D413/14;;C07D417/14;;C07D413/14;;A61K31/5377;;A61K31/715;;A61P1/04;;A61P1/16;;A61P3/10;;A61P9/10;;A61P11/06;;A61P13/08;;A61P13/12;;A61P17/06;;A61P19/02;;A61P25/00;;A61P29/00;;A61P35/00;;A61P37/08;;A61P43/00;;C07D417/14;;C07D413/14;;A61K31/5377;;C07D413/14;;A61K31/5377;;A61K31/715;;C07D417/14</t>
  </si>
  <si>
    <t>A61K31/535;;C07D413/14</t>
  </si>
  <si>
    <t>https://lens.org/071-683-453-281-273</t>
  </si>
  <si>
    <t>375</t>
  </si>
  <si>
    <t>030-181-297-303-719</t>
  </si>
  <si>
    <t>US 2013/0203995 A1</t>
  </si>
  <si>
    <t>BOYD ALISTAIR;;FIELDING MARK RICHARD;;FORD JAMES GAIR;;FRODSHAM LIANNE;;GOLDEN MICHAEL D;;LESLIE KEVIN WILLIAM;;MCKEEVER-ABBAS BEN;;TOMLIN PAULA;;ASTRAZENECA AB</t>
  </si>
  <si>
    <t>ASTRAZENECA UK LIMITED (2012-09-17);;ASTRAZENECA AB (2012-09-18)</t>
  </si>
  <si>
    <t>Process for Making a Metabotropic Glutamate Receptor Positive Allosteric Modulator - 874</t>
  </si>
  <si>
    <t>A61P25/00;;A61P25/04;;C07C235/42;;C07D209/46;;C07D307/68;;C07D307/88;;C07D413/04;;C07D413/14;;A61K31/496;;C07D209/46;;C07D307/88;;C07D413/10;;C07C235/42;;C07D209/46;;C07D307/68;;C07D307/88;;C07D413/04</t>
  </si>
  <si>
    <t>https://lens.org/030-181-297-303-719</t>
  </si>
  <si>
    <t>376</t>
  </si>
  <si>
    <t>166-958-282-169-459</t>
  </si>
  <si>
    <t>US 8481490 B2</t>
  </si>
  <si>
    <t>TATARKIEWICZ KRYSTYNA;;PARKES DAVID G;;ROY DENIS;;GEDULIN BRONISLAVA;;AMYLIN PHARMACEUTICALS LLC;;ASTRAZENECA PHARMACEUTICALS LP</t>
  </si>
  <si>
    <t>Method of reducing plasma amylase and/or plasma lipase in patients with pancreatitis</t>
  </si>
  <si>
    <t>A61K38/26;;A61P1/18;;A61P3/10;;A61P7/12;;A61K38/26</t>
  </si>
  <si>
    <t>A61K38/26;;A61P3/10;;A61P7/12;;C07K14/605</t>
  </si>
  <si>
    <t>https://lens.org/166-958-282-169-459</t>
  </si>
  <si>
    <t>377</t>
  </si>
  <si>
    <t>099-748-533-601-717</t>
  </si>
  <si>
    <t>US D0685460 S</t>
  </si>
  <si>
    <t>ILLING TOVE;;JANNER JOHAN;;SUTCH JONATHAN;;ASTRAZENECA AB</t>
  </si>
  <si>
    <t>ASTRAZENECA AB (2010-04-05)</t>
  </si>
  <si>
    <t>Tablet</t>
  </si>
  <si>
    <t>https://lens.org/099-748-533-601-717</t>
  </si>
  <si>
    <t>378</t>
  </si>
  <si>
    <t>079-250-193-561-953</t>
  </si>
  <si>
    <t>US 8476265 B2</t>
  </si>
  <si>
    <t>ALCARAZ LILIAN;;BAILEY ANDREW;;KINDON NICHOLAS;;ASTRAZENECA AB;;PULMAGEN THERAPEUTICS SYNERGY</t>
  </si>
  <si>
    <t>ASTRAZENECA UK LIMITED (2010-07-30);;PULMAGEN THERAPEUTICS (SYNERGY) LIMITED (2010-07-30);;ASTRAZENECA AB (2010-07-30)</t>
  </si>
  <si>
    <t>Compounds-801</t>
  </si>
  <si>
    <t>C07D498/10;;A61P1/00;;A61P9/00;;A61P11/00;;A61P11/06;;A61P11/08;;A61P13/00;;A61P17/00;;A61P19/00;;A61P25/00;;A61P27/00;;A61P29/00;;A61P35/00;;A61P37/00;;C07D519/00;;C07D498/10;;A61K31/5386;;C07D417/14;;C07D519/04;;C07D498/10;;C07D519/00</t>
  </si>
  <si>
    <t>C07D498/10;;A61K31/5386</t>
  </si>
  <si>
    <t>https://lens.org/079-250-193-561-953</t>
  </si>
  <si>
    <t>379</t>
  </si>
  <si>
    <t>005-531-175-946-688</t>
  </si>
  <si>
    <t>US 8461170 B2</t>
  </si>
  <si>
    <t>AQUILA BRIAN;;KAMHI VICTOR;;PENG BO;;PONTZ TIMOTHY;;SAEH JAMAL CARLOS;;THAKUR KUMAR;;YANG BIN;;ASTRAZENECA AB</t>
  </si>
  <si>
    <t>ASTRAZENECA AB (2011-09-28)</t>
  </si>
  <si>
    <t>C07D401/14;;A61P35/00;;A61P43/00;;C07F9/65685;;C07D401/14;;A61K31/506;;C07D401/14;;C07F9/65685</t>
  </si>
  <si>
    <t>A01N43/54;;A61K31/505</t>
  </si>
  <si>
    <t>https://lens.org/005-531-175-946-688</t>
  </si>
  <si>
    <t>380</t>
  </si>
  <si>
    <t>145-284-822-192-634</t>
  </si>
  <si>
    <t>US 8450482 B2</t>
  </si>
  <si>
    <t>BOARDMAN KAY ALISON;;CUNNINGHAM OLIVER ROBERT;;GOUNDRY WILLIAM ROBERT FRASER;;LAFFAN DAVID DERMOT PATRICK;;ASTRAZENECA AB</t>
  </si>
  <si>
    <t>ASTRAZENECA UK LIMITED (2011-11-08);;ASTRAZENECA AB (2011-12-08)</t>
  </si>
  <si>
    <t>Process for the preparation of 4-(3-chloro-2-fluoroanilino)-7-methoxy-6-([1-(N-methylcarbamoymethyl)piperidin-4-yl]oxy)quinazoline</t>
  </si>
  <si>
    <t>C07D401/12;;A61P43/00;;C07C257/12;;C07D211/46;;C07D401/12;;C07C257/12;;C07D239/70;;C07D401/12;;C07C257/12;;C07D211/46</t>
  </si>
  <si>
    <t>C07D239/72</t>
  </si>
  <si>
    <t>https://lens.org/145-284-822-192-634</t>
  </si>
  <si>
    <t>381</t>
  </si>
  <si>
    <t>095-835-825-353-145</t>
  </si>
  <si>
    <t>US 2013/0123275 A1</t>
  </si>
  <si>
    <t>FENG TAO;;SANGANEE HITESH JAYANTILAL;;WADA HIROKI;;ASTRAZENECA AB</t>
  </si>
  <si>
    <t>WUXI APPTEC CO. LTD (WUXI PHARMATECH CO. LTD) (2011-02-18);;ASTRAZENECA UK LIMITED (2011-02-11);;ASTRAZENECA AB (2012-10-18)</t>
  </si>
  <si>
    <t>PYRAZINE DERIVATIVES</t>
  </si>
  <si>
    <t>C07D401/12;;A61P3/10;;A61P19/00;;A61P19/02;;A61P19/08;;A61P19/10;;A61P25/00;;A61P35/00;;A61P35/02;;A61P43/00;;C07D401/12;;A61K31/497;;C07D401/12</t>
  </si>
  <si>
    <t>https://lens.org/095-835-825-353-145</t>
  </si>
  <si>
    <t>382</t>
  </si>
  <si>
    <t>010-245-264-237-545</t>
  </si>
  <si>
    <t>EP 2504021 A4</t>
  </si>
  <si>
    <t>AMYLIN PHARMACEUTICALS, LLC (2013-03-13);;ASTRAZENECA PHARMACEUTICALS LP (2013-03-13)</t>
  </si>
  <si>
    <t>POLYPEPTIDE CONJUGATE</t>
  </si>
  <si>
    <t>C07K14/575;;C07K14/57563;;C07K14/585;;A61K38/00;;A61K47/60;;A61K47/54;;A61K47/542;;A61K47/554;;A61K47/64;;A61K47/643;;C07K14/605;;A61P3/04;;A61P3/06;;A61P9/10;;A61P3/10;;A61K47/50;;A61K38/16;;A61K38/23;;C07K14/585;;C07K14/57563;;C07K14/575;;A61K38/00;;A61K47/643;;A61K47/64;;A61K47/542;;A61K47/60;;A61K47/54;;A61K47/554;;C07K14/605</t>
  </si>
  <si>
    <t>A61K38/00;;A61K47/48;;A61P3/04;;C07K14/575;;C07K14/585;;C07K14/605</t>
  </si>
  <si>
    <t>https://lens.org/010-245-264-237-545</t>
  </si>
  <si>
    <t>383</t>
  </si>
  <si>
    <t>081-487-417-738-816</t>
  </si>
  <si>
    <t>US 8436024 B2</t>
  </si>
  <si>
    <t>MURUGAN ANDIAPPAN;;BERGSTROM LENA KRISTINA;;KRISTOFFERSSON ANNA;;LINDSJOE MARTIN;;SJOE PETER OLOF;;ASHTON MARK DAVID;;MEIGH JON;;ASTRAZENECA AB</t>
  </si>
  <si>
    <t>ASTRAZENECA INDIA PRIVATE LIMITED (2010-10-01);;SIGMA-ALDRICH COMPANY LTD (2010-10-01);;ASTRAZENECA AB (2010-10-01);;ASTRAZENECA UK LIMITED (2010-12-15)</t>
  </si>
  <si>
    <t>2-pyridone compounds</t>
  </si>
  <si>
    <t>C07D401/14;;A61P1/00;;A61P11/06;;A61P29/00;;A61P43/00;;C07D213/64;;C07D401/04;;C07D403/04;;C07D401/14;;A61K31/4439;;C07D401/04;;C07D401/14;;C07D213/64;;C07D401/04;;C07D403/04</t>
  </si>
  <si>
    <t>A61K31/4439</t>
  </si>
  <si>
    <t>https://lens.org/081-487-417-738-816</t>
  </si>
  <si>
    <t>384</t>
  </si>
  <si>
    <t>149-280-691-847-748</t>
  </si>
  <si>
    <t>EP 2416797 A4</t>
  </si>
  <si>
    <t>AMYLIN PHARMACEUTICALS, LLC (2013-01-02);;ASTRAZENECA PHARMACEUTICALS LP (2013-01-02)</t>
  </si>
  <si>
    <t>AMYLIN AGONIST COMPOUNDS FOR ESTROGEN-DEFICIENT MAMMALS</t>
  </si>
  <si>
    <t>A61K38/22;;A61K38/2264;;A61K38/23;;A61P3/04;;A61P3/10;;A61P5/24;;C07K14/575;;A61K38/22;;A61K38/2264;;A61K38/23;;C07K14/575</t>
  </si>
  <si>
    <t>A61K38/22;;A61K38/23;;A61P3/04;;C07K14/575</t>
  </si>
  <si>
    <t>https://lens.org/149-280-691-847-748</t>
  </si>
  <si>
    <t>385</t>
  </si>
  <si>
    <t>066-982-332-937-407</t>
  </si>
  <si>
    <t>US 8415378 B2</t>
  </si>
  <si>
    <t>BOSTROEM JONAS;;CHENG LEIFENG;;FEX TOMAS;;KARLE MICHAEL;;PETTERSEN DANIEL;;SCHELL PETER;;ASTRAZENECA AB</t>
  </si>
  <si>
    <t>EMERITI PHARMA AB (2014-10-02);;ASTRAZENECA AB (2010-04-21)</t>
  </si>
  <si>
    <t>Isoxazol-3(2H)-one analogs as therapeutic agents</t>
  </si>
  <si>
    <t>C07D413/04;;A61P1/16;;A61P7/00;;A61P7/04;;A61P9/00;;A61P9/10;;A61P15/08;;A61P19/04;;C07D413/04;;A61K31/4525;;A61K31/4545;;C07D413/04</t>
  </si>
  <si>
    <t>A01N43/40;;A01N43/80;;A61K31/42;;A61K31/445;;C07D261/00;;C07D307/02;;C07D315/00;;C07D401/00;;C07D405/00;;C07D407/00;;C07D409/00;;C07D411/00;;C07D413/00;;C07D417/00;;C07D419/00;;C07D421/00</t>
  </si>
  <si>
    <t>https://lens.org/066-982-332-937-407</t>
  </si>
  <si>
    <t>386</t>
  </si>
  <si>
    <t>138-803-899-560-720</t>
  </si>
  <si>
    <t>US 2013/0058876 A1</t>
  </si>
  <si>
    <t>GURURAJAN BINDHUMADHAVAN;;ALHUSBAN FARHAN ABDUL KARIM;;GABBOTT IAN PAUL;;SIMPSON DAVID BRADLEY BROOK;;SIEVWRIGHT DAWN;;ASTRAZENECA AB</t>
  </si>
  <si>
    <t>ASTRAZENECA UK LIMITED (2012-09-14);;ASTRAZENECA AB (2012-09-17);;RIGEL PHARMACEUTICALS INC (2014-01-08)</t>
  </si>
  <si>
    <t>(TRIMETHOXYPHENYLAMINO) PYRIMIDINYL FORMULATIONS</t>
  </si>
  <si>
    <t>A61K9/0007;;A61K31/5383;;A61K31/675;;A61P7/00;;A61P19/02;;A61P29/00;;A61P35/00;;A61P37/00;;A61P37/02;;A61P37/06;;A61K31/5383;;A61K9/0007;;A61K9/20;;A61P35/00;;A61P37/00;;A61K9/0007;;A61K31/5383;;A61K31/675</t>
  </si>
  <si>
    <t>A61K31/5383;;A61P29/00;;A61P35/00;;A61P37/06</t>
  </si>
  <si>
    <t>https://lens.org/138-803-899-560-720</t>
  </si>
  <si>
    <t>387</t>
  </si>
  <si>
    <t>038-555-554-695-130</t>
  </si>
  <si>
    <t>US 8361998 B2</t>
  </si>
  <si>
    <t>ASTRAZENECA AB;;BOSTROM JONAS;;EMTENAES HANS;;GRANBERG KENNETH;;MOGEMARK MICKAEL;;LLINAS ANTONIO</t>
  </si>
  <si>
    <t>Compounds and their use as IKACh blockers</t>
  </si>
  <si>
    <t>C07D205/04;;A61P7/02;;A61P9/00;;A61P9/04;;A61P9/06;;A61P11/00;;C07D211/38;;C07D211/46;;C07D211/62;;C07D295/13;;C07D205/04;;C07D207/08;;C07D207/12;;C07D211/38;;C07D211/46;;C07D211/62</t>
  </si>
  <si>
    <t>A61K31/397;;C07D205/04</t>
  </si>
  <si>
    <t>https://lens.org/038-555-554-695-130</t>
  </si>
  <si>
    <t>388</t>
  </si>
  <si>
    <t>180-943-831-982-668</t>
  </si>
  <si>
    <t>US 8338587 B2</t>
  </si>
  <si>
    <t>BURKAMP FRANK;;HANSEN PETER;;GABOS BALINT;;BLADH HAAKAN;;ASTRAZENECA AB</t>
  </si>
  <si>
    <t>ASTRAZENECA AB (2010-03-24)</t>
  </si>
  <si>
    <t>A61K31/58;;A61P1/04;;A61P3/10;;A61P5/00;;A61P5/44;;A61P7/00;;A61P11/00;;A61P11/02;;A61P11/06;;A61P13/00;;A61P15/00;;A61P17/00;;A61P19/02;;A61P25/00;;A61P27/02;;A61P29/00;;A61P31/00;;A61P31/04;;A61P31/10;;A61P31/12;;A61P33/00;;A61P35/00;;A61P35/02;;A61P37/06;;A61P37/08;;A61P43/00;;C07J71/0047;;A61K31/58;;C07J71/0047</t>
  </si>
  <si>
    <t>C07D345/00</t>
  </si>
  <si>
    <t>https://lens.org/180-943-831-982-668</t>
  </si>
  <si>
    <t>389</t>
  </si>
  <si>
    <t>160-995-488-042-845</t>
  </si>
  <si>
    <t>US D0671207 S</t>
  </si>
  <si>
    <t>BOBJER KAJSA;;LUNDSTROEM CAMILLA;;RITTFELDT MAARTEN;;SVENNBERG JONAS;;ASTRAZENECA UK LTD</t>
  </si>
  <si>
    <t>ZENIT DESIGN GROUP AB (2011-02-14);;ASTRAZENECA UK LIMITED (2011-02-14)</t>
  </si>
  <si>
    <t>https://lens.org/160-995-488-042-845</t>
  </si>
  <si>
    <t>390</t>
  </si>
  <si>
    <t>073-953-355-743-788</t>
  </si>
  <si>
    <t>US 2012/0289504 A1</t>
  </si>
  <si>
    <t>CANTIN LOUIS-DAVID;;LUO XUEHONG;;TOMASZEWSKI MIROSLAW JERZY;;ASTRAZENECA AB</t>
  </si>
  <si>
    <t>GLAXOSMITHKLINE INTELLECTUAL PROPERTY (NO.3) LIMITED (2023-11-30);;BELLUS HEALTH INC (2023-06-28);;14245563 CANADA INC (2023-06-28);;ASTRAZENECA AB (2012-04-13);;NEOMED INSTITUTE (2012-12-06);;ID BIOMEDICAL CORPORATION OF QUEBEC (2023-11-30);;ASTRAZENECA CANADA INC (2012-04-03);;BELLUS HEALTH COUGH INC (2020-07-03)</t>
  </si>
  <si>
    <t>Benzoimidazole Compounds and Uses Thereof</t>
  </si>
  <si>
    <t>C07D413/06;;A61P13/00;;A61P13/02;;A61P13/10;;A61P25/00;;A61P25/04;;A61P29/00;;A61P43/00;;C07D265/30;;C07D413/06;;A61K31/5377;;C07D413/06;;C07D265/30</t>
  </si>
  <si>
    <t>A61K31/5377;;A61P13/02;;A61P13/10;;A61P25/00;;C07D413/06</t>
  </si>
  <si>
    <t>https://lens.org/073-953-355-743-788</t>
  </si>
  <si>
    <t>391</t>
  </si>
  <si>
    <t>166-975-013-927-519</t>
  </si>
  <si>
    <t>US D0670374 S</t>
  </si>
  <si>
    <t>https://lens.org/166-975-013-927-519</t>
  </si>
  <si>
    <t>392</t>
  </si>
  <si>
    <t>049-337-402-363-19X</t>
  </si>
  <si>
    <t>US D0668949 S</t>
  </si>
  <si>
    <t>HIPPERSON ROBERT;;CORVEZ SEBASTIEN;;KRAAIJENBRINK MARK;;ASTRAZENECA UK LTD</t>
  </si>
  <si>
    <t>ASTRAZENECA DUNKERQUE PRODUCTION SCS (2012-07-23);;ASTRAZENECA AB (2012-03-19);;ASTRAZENECA UK LIMITED (2012-04-30)</t>
  </si>
  <si>
    <t>Packaging</t>
  </si>
  <si>
    <t>https://lens.org/049-337-402-363-19X</t>
  </si>
  <si>
    <t>393</t>
  </si>
  <si>
    <t>177-380-198-711-154</t>
  </si>
  <si>
    <t>US 8258140 B2</t>
  </si>
  <si>
    <t>BRADBURY ROBERT HUGH;;CARR GREGORY RICHARD;;RABOW ALFRED ARTHUR;;RAO KORUPOJU SRINIVASA;;TUMMA HARIKRISHNA;;ASTRAZENECA AB</t>
  </si>
  <si>
    <t>ASTRAZENECA AB (2010-02-22)</t>
  </si>
  <si>
    <t>Chemical compounds—643</t>
  </si>
  <si>
    <t>A61P13/08;;A61P35/00;;A61P43/00;;C07D487/04;;C07D487/04;;A61K31/5025;;C07D403/04;;A61K31/5025;;A61K31/551;;A61K31/58;;C07D471/04;;C07D487/04</t>
  </si>
  <si>
    <t>A61K31/501;;C07D237/02</t>
  </si>
  <si>
    <t>https://lens.org/177-380-198-711-154</t>
  </si>
  <si>
    <t>394</t>
  </si>
  <si>
    <t>090-640-453-560-714</t>
  </si>
  <si>
    <t>CN</t>
  </si>
  <si>
    <t>A</t>
  </si>
  <si>
    <t>CN 102639125 A</t>
  </si>
  <si>
    <t>BRISTOL MYERS SQUIBB CO;;ASTRAZENECA UK LTD</t>
  </si>
  <si>
    <t>ASTRAZENECA AB (2014-06-03)</t>
  </si>
  <si>
    <t>Methods for treating type 2 diabetes in patients resistant to previous treatment with other anti-diabetic drugs employing an SGLT2 inhibitor and compositions thereof</t>
  </si>
  <si>
    <t>A61K45/06;;A61K31/155;;A61K31/4439;;A61K31/70;;A61K38/28;;A61K31/70;;A61K31/00;;A61K31/155;;A61K31/4439;;A61K45/06;;A61P3/04;;A61P3/06;;A61P3/10;;A61P5/50;;A61P7/02;;A61P7/10;;A61P9/10;;A61P9/12;;A61P39/06;;A61P43/00;;A61K31/70;;A61K31/00;;A61K31/155;;A61K31/4439;;A61K45/06</t>
  </si>
  <si>
    <t>A61K31/00;;A61K31/155;;A61K31/4439;;A61K31/70;;A61P3/10</t>
  </si>
  <si>
    <t>https://lens.org/090-640-453-560-714</t>
  </si>
  <si>
    <t>395</t>
  </si>
  <si>
    <t>150-901-848-838-837</t>
  </si>
  <si>
    <t>US 8242044 B2</t>
  </si>
  <si>
    <t>QUITTMAN WILHELM;;BELSER THOMAS PETER;;AUFDENBLATTEN RHONY NIKLAUS;;ASTRAZENECA AB</t>
  </si>
  <si>
    <t>ASTRAZENECA AB (2010-11-29);;LONZA LIMITED (2010-11-26)</t>
  </si>
  <si>
    <t>Process and catalyst</t>
  </si>
  <si>
    <t>B01J27/1856;;B01J21/18;;B01J23/6525;;B01J27/19;;C07C209/36;;C07D239/47;;B01J23/6525;;B01J21/18;;B01J27/1856;;B01J27/19;;B01J37/28;;C07D239/47;;B01J27/1856;;B01J21/18;;B01J23/6525;;B01J27/19;;C07C209/36;;C07D239/47</t>
  </si>
  <si>
    <t>B01J27/19;;C07D239/02</t>
  </si>
  <si>
    <t>https://lens.org/150-901-848-838-837</t>
  </si>
  <si>
    <t>396</t>
  </si>
  <si>
    <t>037-611-270-792-489</t>
  </si>
  <si>
    <t>US 8232296 B2</t>
  </si>
  <si>
    <t>BRIGGNER LARS-ERIK;;KLINGSTEDT PER TOMAS;;LOENN HANS ROLAND;;ZUBAN ROBERT;;ALCARAZ MARIE-LYNE;;NIXON ROBERT ANTHONY;;WATTS ANDREW JAMES;;ASTRAZENECA AB</t>
  </si>
  <si>
    <t>ASTRAZENECA AB (2010-02-24)</t>
  </si>
  <si>
    <t>Salt 628</t>
  </si>
  <si>
    <t>C07D401/14;;A61P11/00;;A61P11/08;;A61P29/00;;A61P43/00;;C07D401/14;;A61K9/20;;A61K9/28;;A61K31/444;;A61K47/02;;A61K47/38;;C07D401/14</t>
  </si>
  <si>
    <t>A61K31/4439;;C07D401/14</t>
  </si>
  <si>
    <t>https://lens.org/037-611-270-792-489</t>
  </si>
  <si>
    <t>397</t>
  </si>
  <si>
    <t>040-464-792-695-791</t>
  </si>
  <si>
    <t>US 8227622 B2</t>
  </si>
  <si>
    <t>AINGE DEBRA;;MERIFIELD ERIC;;THOMSON COLIN;;BUTTERS MICHAEL;;RAMAKRISHNAN RAVI;;RAYAPATI RAVI NAIDU;;SHARMA PARHALAD RAY;;ASTRAZENECA AB</t>
  </si>
  <si>
    <t>ASTRAZENECA INDIA PRIVATE LIMITED (2010-07-06);;ASTRAZENECA UK LIMITED (2010-07-06);;ASTRAZENECA AB (2010-07-06)</t>
  </si>
  <si>
    <t>Pharmaceutical process and intermediates 714</t>
  </si>
  <si>
    <t>C07D209/40;;A61P11/00;;C07D209/30;;C07D209/32;;C07D209/30;;C07D209/08;;C07D209/40;;C07D403/06;;C07D209/40;;C07D209/30;;C07D209/32</t>
  </si>
  <si>
    <t>C07D209/30;;C07D209/12</t>
  </si>
  <si>
    <t>https://lens.org/040-464-792-695-791</t>
  </si>
  <si>
    <t>398</t>
  </si>
  <si>
    <t>118-914-195-736-51X</t>
  </si>
  <si>
    <t>US 2012/0165346 A1</t>
  </si>
  <si>
    <t>KOLMODIN KARIN;;SWAHN BRITT-MARIE;;KIHLSTROEM JACOB;;LINDSTROEM JOHAN;;KARLSTROEM SOFIA;;SUNDSTROEM MARIE;;VON BERG STEFAN;;ASTRAZENECA AB</t>
  </si>
  <si>
    <t>ASTRAZENECA AB (2012-01-12)</t>
  </si>
  <si>
    <t>C07D401/14;;A61P25/00;;A61P25/28;;C07D403/14;;C07D401/14;;C07D403/14</t>
  </si>
  <si>
    <t>A61K31/506;;A61K31/444;;A61P25/00;;A61P25/28;;C07D401/14</t>
  </si>
  <si>
    <t>https://lens.org/118-914-195-736-51X</t>
  </si>
  <si>
    <t>399</t>
  </si>
  <si>
    <t>122-860-942-469-51X</t>
  </si>
  <si>
    <t>US 8193239 B2</t>
  </si>
  <si>
    <t>FORD RHONAN;;MATHER ANDREW;;METE ANTONIO;;MILLICHIP IAN;;ASTRAZENECA AB</t>
  </si>
  <si>
    <t>ASTRAZENECA AB (2010-05-19)</t>
  </si>
  <si>
    <t>Substituted 1-cyanoethylheterocyclylcarboxamide compounds</t>
  </si>
  <si>
    <t>C07D309/14;;A61P11/00;;A61P11/02;;A61P11/06;;A61P11/08;;A61P37/08;;A61P43/00;;C07D309/14;;A61K31/351;;C07D309/14</t>
  </si>
  <si>
    <t>A61K31/351</t>
  </si>
  <si>
    <t>https://lens.org/122-860-942-469-51X</t>
  </si>
  <si>
    <t>400</t>
  </si>
  <si>
    <t>013-166-981-589-184</t>
  </si>
  <si>
    <t>US 8188092 B2</t>
  </si>
  <si>
    <t>BIRCH ALAN MARTIN;;BUTLIN ROGER JOHN;;CAMPBELL LEONIE;;GREEN CLIVE;;LEACH ANDREW;;WARING MICHAEL JAMES;;MURRAY PAUL MICHAEL;;RYBERG PER OLOF;;ASTRAZENECA AB</t>
  </si>
  <si>
    <t>ASTRAZENECA AB (2010-06-21)</t>
  </si>
  <si>
    <t>Substituted pyrazines as DGAT-1 inhibitors</t>
  </si>
  <si>
    <t>C07D241/24;;A61P3/00;;A61P3/04;;A61P3/10;;A61P43/00;;C07D401/12;;C07D413/10;;C07D241/14;;A61K31/4965;;C07D241/24;;C07D401/12;;C07D413/10</t>
  </si>
  <si>
    <t>https://lens.org/013-166-981-589-184</t>
  </si>
  <si>
    <t>401</t>
  </si>
  <si>
    <t>163-926-187-225-47X</t>
  </si>
  <si>
    <t>US 2012/0122843 A1</t>
  </si>
  <si>
    <t>MACSARI ISTVAN;;PAULSEN KIM;;RAKOS LASZLO;;SWAHN BRITT-MARIE;;WALDMAN MAGNUS;;ROTTICCI DIDIER;;VON BERG STEFAN;;ASTRAZENECA AB</t>
  </si>
  <si>
    <t>ASTRAZENECA AB (2011-12-14)</t>
  </si>
  <si>
    <t>Compounds and Their Use for Treatment of Amyloid Beta-Related Diseases</t>
  </si>
  <si>
    <t>A61K31/553;;A61P25/18;;A61P25/28;;A61P29/00;;C07D498/04;;A61K31/553;;C07D498/04</t>
  </si>
  <si>
    <t>A61K31/553;;A61P25/18;;A61P25/28;;A61P29/00;;C07D498/04</t>
  </si>
  <si>
    <t>https://lens.org/163-926-187-225-47X</t>
  </si>
  <si>
    <t>402</t>
  </si>
  <si>
    <t>064-597-323-251-354</t>
  </si>
  <si>
    <t>US 8178529 B2</t>
  </si>
  <si>
    <t>ARVIDSSON PER I;;BURROWS JEREMY NICHOLAS;;YNGVE ULRIKA;;TJERNELD ERICA;;ASTRAZENECA AB</t>
  </si>
  <si>
    <t>ASTRAZENECA AB (2010-04-12)</t>
  </si>
  <si>
    <t>Imidazole substituted pyrimidines</t>
  </si>
  <si>
    <t>C07D405/14;;A61K31/5377;;A61P3/00;;A61P3/10;;A61P17/14;;A61P25/00;;A61P25/14;;A61P25/16;;A61P25/18;;A61P25/22;;A61P25/24;;A61P25/28;;A61P27/06;;A61P29/00;;A61P31/00;;A61P31/14;;A61P35/00;;C07D413/14;;C07D413/14;;A61K31/5377;;C07D403/04;;C07D405/14;;A61K31/5377;;C07D413/14</t>
  </si>
  <si>
    <t>A61K31/506;;C07D413/14</t>
  </si>
  <si>
    <t>https://lens.org/064-597-323-251-354</t>
  </si>
  <si>
    <t>403</t>
  </si>
  <si>
    <t>035-533-891-121-289</t>
  </si>
  <si>
    <t>US D0659236 S</t>
  </si>
  <si>
    <t>EXPIRED</t>
  </si>
  <si>
    <t>https://lens.org/035-533-891-121-289</t>
  </si>
  <si>
    <t>404</t>
  </si>
  <si>
    <t>077-124-928-500-298</t>
  </si>
  <si>
    <t>US 2012/0035219 A1</t>
  </si>
  <si>
    <t>DAS KAVERI;;MELNICK DAVID ALAN;;RADHA SHANDIL;;ASTRAZENECA AB</t>
  </si>
  <si>
    <t>ASTRAZENECA AB (2011-09-30)</t>
  </si>
  <si>
    <t>Compound for the Treatment of Tuberculosis</t>
  </si>
  <si>
    <t>A61K31/4439;;A61K45/06;;A61P31/04;;A61P31/06;;A61K31/4439;;A61K31/06;;A61K45/06;;A61K31/4439;;A61K45/06</t>
  </si>
  <si>
    <t>A61K31/4439;;A01N43/80;;A01P1/00;;A61P31/06;;C07D413/14</t>
  </si>
  <si>
    <t>https://lens.org/077-124-928-500-298</t>
  </si>
  <si>
    <t>405</t>
  </si>
  <si>
    <t>018-891-903-153-223</t>
  </si>
  <si>
    <t>US 8110566 B2</t>
  </si>
  <si>
    <t>JOHANSSON LARS ANDERS MIKAEL;;JUDKINS ROBERT ANDREW;;LI LANNA;;LOFBERG BJORN CHRISTIAN INGVAR;;PERSSON JOACHIM;;ASTRAZENECA AB</t>
  </si>
  <si>
    <t>ASTRAZENECA AB (2010-05-21)</t>
  </si>
  <si>
    <t>Therapeutic agents 713</t>
  </si>
  <si>
    <t>C07D491/107;;C07D413/06;;C07D491/10;;A61P3/00;;A61P3/04;;A61P25/00;;A61P25/04;;A61P25/14;;A61P25/18;;A61P25/20;;A61P25/22;;A61P25/24;;A61P25/28;;A61P43/00;;C07D491/107;;A61K31/4245;;A61K45/06;;C07D491/10</t>
  </si>
  <si>
    <t>A61K31/4245;;A61P3/04;;A61P25/18;;A61P25/22;;A61P25/24;;A61P25/28;;C07D491/107</t>
  </si>
  <si>
    <t>https://lens.org/018-891-903-153-223</t>
  </si>
  <si>
    <t>406</t>
  </si>
  <si>
    <t>162-795-675-657-745</t>
  </si>
  <si>
    <t>EP 2411005 A1</t>
  </si>
  <si>
    <t>ASTRAZENECA AB (2014-06-25);;ASTRAZENECA UK LIMITED (2014-06-25)</t>
  </si>
  <si>
    <t>METHODS FOR PREVENTING MAJOR ADVERSE CARDIOVASCULAR EVENTS WITH DPP-IV INHIBITORS</t>
  </si>
  <si>
    <t>A61K31/40;;A61K31/4985;;A61P3/00;;A61P3/06;;A61P3/10;;A61P9/00;;A61P9/10;;A61P9/12;;A61P43/00;;A61K31/40;;A61K31/4985;;A61K31/40;;A61K31/4985</t>
  </si>
  <si>
    <t>A61K31/40;;A61K31/4985;;A61P3/00;;A61P9/00</t>
  </si>
  <si>
    <t>https://lens.org/162-795-675-657-745</t>
  </si>
  <si>
    <t>407</t>
  </si>
  <si>
    <t>184-262-489-258-851</t>
  </si>
  <si>
    <t>US 2012/0022110 A1</t>
  </si>
  <si>
    <t>JANIN ARMELLE MARIE-LAUDINE;;MACFAUL PHILIP ALEXANDER;;PUGH RACHEL MARIE;;ROBERTS EMILY JANE;;NASH IAN ALUN;;ASTRAZENECA AB</t>
  </si>
  <si>
    <t>ASTRAZENECA UK LIMITED (2011-07-26);;ASTRAZENECA AB (2011-07-26)</t>
  </si>
  <si>
    <t>PHARMACEUTICAL DEPOT FOR 5-FLUORO-2-[[(1S)-1-(5-FLUORO-2-PYRIDYL)ETHYL]AMINO]-6-[(5-ISOPROPOXY-1H-PYRAZOL-3-YL)AMINO]PYRIDINE-3-CARBONITRILE</t>
  </si>
  <si>
    <t>A61K31/444;;A61K9/0024;;A61K9/1647;;A61P11/06;;A61P19/02;;A61P19/06;;A61P29/00;;A61P37/08;;A61P43/00;;A61K9/20;;A61K9/16;;A61K31/444;;A61K47/34;;A61K31/444;;A61K9/0024;;A61K9/1647</t>
  </si>
  <si>
    <t>A61K31/444;;A61P19/02</t>
  </si>
  <si>
    <t>https://lens.org/184-262-489-258-851</t>
  </si>
  <si>
    <t>408</t>
  </si>
  <si>
    <t>137-026-289-434-639</t>
  </si>
  <si>
    <t>AU 2010/256360 A1</t>
  </si>
  <si>
    <t>ASTRAZENECA AB (2013-08-22)</t>
  </si>
  <si>
    <t>Aminopyrrolidinone derivatives and uses thereof</t>
  </si>
  <si>
    <t>C07D403/12;;A61P1/04;;A61P3/04;;A61P3/10;;A61P21/04;;A61P25/00;;A61P25/14;;A61P25/16;;A61P25/22;;A61P25/24;;A61P25/28;;A61P27/02;;A61P29/00;;A61P37/00;;A61P43/00;;C07D403/14;;C07D405/14;;C07D403/12;;C07D403/14;;C07D405/14</t>
  </si>
  <si>
    <t>C07D403/12;;A61K31/216;;C07D403/14;;C07D405/14</t>
  </si>
  <si>
    <t>https://lens.org/137-026-289-434-639</t>
  </si>
  <si>
    <t>409</t>
  </si>
  <si>
    <t>061-035-641-969-202</t>
  </si>
  <si>
    <t>US 8093252 B2</t>
  </si>
  <si>
    <t>BOWDEN SHARON ANN;;HOILE DAVID PETER;;LOEVQVIST KARIN;;ASTRAZENECA AB</t>
  </si>
  <si>
    <t>ASTRAZENECA AB (2010-03-10)</t>
  </si>
  <si>
    <t>Crystalline polymorphic form of glucokinase activator</t>
  </si>
  <si>
    <t>C07D403/14;;A61P3/00;;A61P3/04;;A61P3/06;;A61P3/08;;A61P3/10;;A61P43/00;;C07D403/14;;A61K31/497;;C07D403/14</t>
  </si>
  <si>
    <t>https://lens.org/061-035-641-969-202</t>
  </si>
  <si>
    <t>410</t>
  </si>
  <si>
    <t>066-898-448-504-708</t>
  </si>
  <si>
    <t>US 8076481 B2</t>
  </si>
  <si>
    <t>BUTTERS MICHAEL;;CRABB JEFFREY;;HOPES PHILIP;;PATEL BHARTI;;ASTRAZENECA AB</t>
  </si>
  <si>
    <t>ASTRAZENECA AB (2010-03-01)</t>
  </si>
  <si>
    <t>Chemical process 632</t>
  </si>
  <si>
    <t>C07D401/06;;C07D401/14;;C07D403/06;;C07D403/12;;C07D403/14;;C07D401/06;;C07D401/14;;C07D403/06;;C07D403/12;;C07D403/14</t>
  </si>
  <si>
    <t>C07D241/02</t>
  </si>
  <si>
    <t>https://lens.org/066-898-448-504-708</t>
  </si>
  <si>
    <t>411</t>
  </si>
  <si>
    <t>127-179-654-590-31X</t>
  </si>
  <si>
    <t>US 8071608 B2</t>
  </si>
  <si>
    <t>BENNETT STUART NORMAN LILE;;WALKER ROLF PETER;;WARING MICHAEL JAMES;;ASTRAZENECA AB</t>
  </si>
  <si>
    <t>ASTRAZENECA AB (2010-05-11)</t>
  </si>
  <si>
    <t>C07D487/04;;A61P3/04;;A61P3/08;;A61P3/10;;C07D487/04</t>
  </si>
  <si>
    <t>A01N43/90;;A61K31/519;;C07D487/00</t>
  </si>
  <si>
    <t>https://lens.org/127-179-654-590-31X</t>
  </si>
  <si>
    <t>412</t>
  </si>
  <si>
    <t>084-191-444-017-631</t>
  </si>
  <si>
    <t>US 8071585 B2</t>
  </si>
  <si>
    <t>WARING MICHAEL JAMES;;ASTRAZENECA AB</t>
  </si>
  <si>
    <t>C07D487/04;;A61P3/04;;A61P3/10;;C07D487/04</t>
  </si>
  <si>
    <t>A01N43/00;;A61K31/00;;C07D487/00</t>
  </si>
  <si>
    <t>https://lens.org/084-191-444-017-631</t>
  </si>
  <si>
    <t>413</t>
  </si>
  <si>
    <t>078-997-233-828-472</t>
  </si>
  <si>
    <t>US 2011/0281894 A1</t>
  </si>
  <si>
    <t>BERGSTROEM PER-OLOV;;MINIDIS ANNA;;STRANNE ROBERT ULF JOHAN;;WERNERSSON MIKAEL;;ASTRAZENECA AB</t>
  </si>
  <si>
    <t>ASTRAZENECA AB (2011-06-29)</t>
  </si>
  <si>
    <t>HEMIFUMARATE SALT</t>
  </si>
  <si>
    <t>C07D401/14;;A61P7/00;;A61P25/16;;A61P25/28;;A61P43/00;;C07D213/50;;C07D401/04;;C07D401/14;;C07D213/50;;C07D401/04</t>
  </si>
  <si>
    <t>A61K31/506;;A61P7/00;;A61P25/16;;A61P25/28;;A61P43/00;;C07D213/57;;C07D401/04;;C07D401/14</t>
  </si>
  <si>
    <t>https://lens.org/078-997-233-828-472</t>
  </si>
  <si>
    <t>414</t>
  </si>
  <si>
    <t>112-984-896-186-405</t>
  </si>
  <si>
    <t>US 2011/0251173 A1</t>
  </si>
  <si>
    <t>ASTRAZENECA UK LIMITED (2011-05-16);;ASTRAZENECA AB (2011-05-23)</t>
  </si>
  <si>
    <t>C07D498/04;;A61P3/04;;A61P3/10;;C07D498/04</t>
  </si>
  <si>
    <t>A61K31/553;;A61P3/04;;A61P3/10;;C07D498/04</t>
  </si>
  <si>
    <t>https://lens.org/112-984-896-186-405</t>
  </si>
  <si>
    <t>415</t>
  </si>
  <si>
    <t>093-705-108-644-435</t>
  </si>
  <si>
    <t>US 2011/0207745 A1</t>
  </si>
  <si>
    <t>ASTRAZENECA PHARMACEUTICALS LP (2010-11-24);;ASTRAZENECA UK LIMITED (2010-11-24);;ASTRAZENECA AB (2010-11-24)</t>
  </si>
  <si>
    <t>SOLID FORMS OF 4--N,N-DIETHYLBENZAMIDE, COMPOSITIONS THEREOF, AND USES THEREWITH</t>
  </si>
  <si>
    <t>A61K31/495;;A61P25/00;;A61P25/04;;A61P25/22;;A61P25/24;;C07D295/155;;A61K31/495;;C07D295/155</t>
  </si>
  <si>
    <t>A61K31/4965;;A61P25/00;;A61P25/22;;A61P25/24;;C07D241/04</t>
  </si>
  <si>
    <t>https://lens.org/093-705-108-644-435</t>
  </si>
  <si>
    <t>416</t>
  </si>
  <si>
    <t>177-893-134-917-43X</t>
  </si>
  <si>
    <t>US 2011/0136801 A1</t>
  </si>
  <si>
    <t>DAINIPPON SUMITOMO PHARMA CO. LTD (2010-12-15);;ASTRAZENECA AKTIEBOLAG (2010-12-15)</t>
  </si>
  <si>
    <t>Novel Compounds</t>
  </si>
  <si>
    <t>C07D471/04;;A61P11/00;;A61P11/02;;A61P11/06;;A61P17/00;;A61P27/02;;A61P31/00;;A61P31/04;;A61P31/12;;A61P31/14;;A61P31/18;;A61P31/20;;A61P35/00;;A61P37/02;;A61P37/08;;C07D471/04</t>
  </si>
  <si>
    <t>A61K31/4745;;A61K31/496;;A61K31/5377;;A61P11/06;;A61P17/00;;A61P31/04;;A61P31/12;;A61P31/14;;A61P31/18;;A61P31/20;;A61P35/00;;C07D471/04</t>
  </si>
  <si>
    <t>https://lens.org/177-893-134-917-43X</t>
  </si>
  <si>
    <t>417</t>
  </si>
  <si>
    <t>128-586-568-489-551</t>
  </si>
  <si>
    <t>US 2011/0118275 A1</t>
  </si>
  <si>
    <t>ASTRAZENECA AB (2010-11-12)</t>
  </si>
  <si>
    <t>OXAZOLO[4,5-c]PYRIDINE SUBSTITUTED PYRAZINE</t>
  </si>
  <si>
    <t>C07D498/04;;A61P3/10;;A61P19/00;;A61P19/08;;A61P19/10;;A61P23/00;;A61P25/00;;A61P25/16;;A61P25/18;;A61P25/28;;A61P27/00;;A61P29/00;;A61P35/00;;A61P35/02;;A61P35/04;;C07D498/04</t>
  </si>
  <si>
    <t>A61K31/497;;A61P3/10;;A61P19/08;;A61P19/10;;A61P25/00;;A61P25/16;;A61P25/18;;A61P25/28;;A61P27/00;;A61P29/00;;A61P35/02;;A61P35/04;;C07D498/04</t>
  </si>
  <si>
    <t>https://lens.org/128-586-568-489-551</t>
  </si>
  <si>
    <t>418</t>
  </si>
  <si>
    <t>132-003-491-595-07X</t>
  </si>
  <si>
    <t>US 2011/0092526 A1</t>
  </si>
  <si>
    <t>ASTRAZENECA AB (2010-10-19);;ASTRAZENECA UK LIMITED (2010-10-19)</t>
  </si>
  <si>
    <t>Adamantyl Iminocarbonyl-Substituted Pyrimidines As Inhibitors Of 11-Beta-HSD1 826</t>
  </si>
  <si>
    <t>C07D405/12;;A61P3/00;;C07D239/42;;C07D401/12;;C07D403/12;;C07D409/12;;C07D413/12;;C07D405/12;;C07D239/42;;C07D401/12;;C07D403/12;;C07D409/12;;C07D413/12</t>
  </si>
  <si>
    <t>A61K31/506;;A61K31/505;;A61P3/00;;C07D239/28;;C07D239/38;;C07D239/47</t>
  </si>
  <si>
    <t>https://lens.org/132-003-491-595-07X</t>
  </si>
  <si>
    <t>419</t>
  </si>
  <si>
    <t>133-370-577-084-773</t>
  </si>
  <si>
    <t>US D0636070 S</t>
  </si>
  <si>
    <t>https://lens.org/133-370-577-084-773</t>
  </si>
  <si>
    <t>420</t>
  </si>
  <si>
    <t>091-639-931-778-418</t>
  </si>
  <si>
    <t>US 2011/0065706 A1</t>
  </si>
  <si>
    <t>ASTRAZENECA AB (2010-09-10);;ASTRAZENECA UK LIMITED (2010-09-10)</t>
  </si>
  <si>
    <t>Therapeutic Agents 812</t>
  </si>
  <si>
    <t>C07D239/47;;A61P3/04;;A61P3/10;;C07D401/12;;C07D401/14;;C07D403/04;;C07D403/12;;C07D403/14;;C07D405/12;;C07D405/14;;C07D413/12;;C07D413/14;;C07D471/08;;C07D487/08;;C07D239/47;;C07D401/12;;C07D401/14;;C07D403/04;;C07D403/12;;C07D403/14;;C07D405/12;;C07D405/14;;C07D413/12;;C07D413/14;;C07D471/08;;C07D487/08</t>
  </si>
  <si>
    <t>A61K31/5377;;A61K31/506;;A61P3/04;;A61P3/10;;C07D401/14;;C07D403/04;;C07D403/14;;C07D405/14;;C07D413/14;;C07D487/08</t>
  </si>
  <si>
    <t>https://lens.org/091-639-931-778-418</t>
  </si>
  <si>
    <t>421</t>
  </si>
  <si>
    <t>184-729-653-831-047</t>
  </si>
  <si>
    <t>US 2011/0015393 A1</t>
  </si>
  <si>
    <t>ASTRAZENECA AB (2010-06-23);;ASTRAZENECA UK LIMITED (2010-06-23)</t>
  </si>
  <si>
    <t>PHTHALAZINONE COMPOUND</t>
  </si>
  <si>
    <t>C07D401/10;;A61P35/00;;C07D401/10</t>
  </si>
  <si>
    <t>C07D401/10</t>
  </si>
  <si>
    <t>https://lens.org/184-729-653-831-047</t>
  </si>
  <si>
    <t>422</t>
  </si>
  <si>
    <t>007-926-630-983-050</t>
  </si>
  <si>
    <t>US 2010/0330179 A1</t>
  </si>
  <si>
    <t>ASTRAZENECA AB;;POZEN INC</t>
  </si>
  <si>
    <t>ASTRAZENECA PLP (2011-10-18);;NUVO PHARMACEUTICALS (IRELAND) DESIGNATED ACTIVITY COMPANY (2018-12-31);;POZEN INC (2011-12-14);;HORIZON MEDICINES LLC (2018-07-15);;ASTRAZENECA AB (2011-12-14);;ASTRAZENECA UK LIMITED (2011-12-09);;HORIZON THERAPEUTICS USA INC (2019-09-16)</t>
  </si>
  <si>
    <t>Method for Treating a Patient at Risk for Developing an NSAID-associated Ulcer</t>
  </si>
  <si>
    <t>A61K9/209;;A61K45/06;;A61K31/192;;A61K31/4439;;A61P1/04;;A61P19/02;;A61P25/04;;A61P29/00;;A61P43/00;;A61K31/4439;;A61K9/209;;A61K31/192;;A61K9/209;;A61K45/06;;A61K31/192;;A61K31/4439;;A61K9/0053</t>
  </si>
  <si>
    <t>A61K9/24;;A61K9/30;;A61K9/36;;A61K31/4439;;A61P1/04;;A61P19/02;;A61P29/00</t>
  </si>
  <si>
    <t>https://lens.org/007-926-630-983-050</t>
  </si>
  <si>
    <t>423</t>
  </si>
  <si>
    <t>042-738-397-979-768</t>
  </si>
  <si>
    <t>US 2010/0317593 A1</t>
  </si>
  <si>
    <t>ASTRAZENECA PHARMACEUTICALS LP (2010-07-28);;ASTRAZENECA AB (2010-07-28)</t>
  </si>
  <si>
    <t>2,3-DIHYDRO-1H-INDENE COMPOUNDS</t>
  </si>
  <si>
    <t>C07D403/12;;A61P35/00;;A61P35/02;;A61P43/00;;C07D403/12;;A61K31/4025;;C07D403/12</t>
  </si>
  <si>
    <t>A61K38/06;;A61P35/00;;A61P35/02;;C07K7/02</t>
  </si>
  <si>
    <t>https://lens.org/042-738-397-979-768</t>
  </si>
  <si>
    <t>424</t>
  </si>
  <si>
    <t>097-767-781-221-255</t>
  </si>
  <si>
    <t>US 2010/0317624 A1</t>
  </si>
  <si>
    <t>ASTRAZENECA AB (2010-06-07);;ASTRAZENECA PHARMACEUTICALS (2010-07-06)</t>
  </si>
  <si>
    <t>HETEROCYCLIC UREA DERIVATIVES AND METHODS OF USE THEREOF</t>
  </si>
  <si>
    <t>C07D417/14;;A61P31/04;;C07D417/14</t>
  </si>
  <si>
    <t>A61K31/675;;A61K31/4709;;A61K31/496;;A61K31/4995;;A61K31/5377;;A61P31/04;;C07D417/14;;C07D487/08;;C07F9/6558</t>
  </si>
  <si>
    <t>https://lens.org/097-767-781-221-255</t>
  </si>
  <si>
    <t>425</t>
  </si>
  <si>
    <t>123-447-504-675-53X</t>
  </si>
  <si>
    <t>US 2010/0292279 A1</t>
  </si>
  <si>
    <t>ASTRAZENECA AB (2010-05-03)</t>
  </si>
  <si>
    <t>Bis-(Sulfonylamino) Derivatives in Therapy</t>
  </si>
  <si>
    <t>C07D307/80;;A61P9/10;;A61P19/02;;A61P25/00;;A61P25/02;;A61P25/28;;A61P29/00;;A61P35/00;;C07C311/51;;C07C2601/02;;C07C2601/08;;C07D207/10;;C07D213/82;;C07D307/79;;C07D307/80;;C07C311/51;;C07C2601/02;;C07C2601/08;;C07D207/10;;C07D213/82;;C07D307/79</t>
  </si>
  <si>
    <t>A61K31/44;;A61K31/18;;A61K31/343;;A61K31/40;;A61P9/10;;A61P19/02;;A61P25/00;;A61P25/02;;A61P25/28;;A61P29/00;;A61P35/00;;C07C311/16;;C07D207/04;;C07D213/81;;C07D307/78</t>
  </si>
  <si>
    <t>https://lens.org/123-447-504-675-53X</t>
  </si>
  <si>
    <t>426</t>
  </si>
  <si>
    <t>002-016-633-867-720</t>
  </si>
  <si>
    <t>US 2010/0292210 A1</t>
  </si>
  <si>
    <t>ASTRAZENECA AB (2010-05-07)</t>
  </si>
  <si>
    <t>Novel Compounds for A-Beta-Related Pathologies</t>
  </si>
  <si>
    <t>C07D498/04;;A61P25/16;;A61P25/28;;C07D471/04;;C07D498/04;;C07D471/04</t>
  </si>
  <si>
    <t>A61K31/553;;A61P25/28;;C07D267/08</t>
  </si>
  <si>
    <t>https://lens.org/002-016-633-867-720</t>
  </si>
  <si>
    <t>427</t>
  </si>
  <si>
    <t>123-722-699-887-930</t>
  </si>
  <si>
    <t>US 2010/0292222 A1</t>
  </si>
  <si>
    <t>ASTRAZENECA AB (2010-05-10)</t>
  </si>
  <si>
    <t>CHEMICAL COMPOUNDS 751</t>
  </si>
  <si>
    <t>C07D487/04;;A61P1/00;;A61P1/02;;A61P3/00;;A61P3/04;;A61P3/06;;A61P5/00;;A61P5/28;;A61P5/48;;A61P7/00;;A61P7/04;;A61P9/00;;A61P9/04;;A61P11/00;;A61P13/02;;A61P13/08;;A61P15/08;;A61P15/16;;A61P15/18;;A61P17/02;;A61P17/08;;A61P17/10;;A61P17/14;;A61P19/00;;A61P19/02;;A61P25/18;;A61P25/24;;A61P25/28;;A61P35/00;;A61P43/00;;C07D487/04;;A61K31/5025;;C07D403/14;;C07D487/04</t>
  </si>
  <si>
    <t>A61K31/551;;A61K31/5025;;A61P35/00;;C07D243/08;;C07D487/04</t>
  </si>
  <si>
    <t>https://lens.org/123-722-699-887-930</t>
  </si>
  <si>
    <t>428</t>
  </si>
  <si>
    <t>022-464-715-657-65X</t>
  </si>
  <si>
    <t>US 2010/0278835 A1</t>
  </si>
  <si>
    <t>ASTRAZENECA UK LTD;;ARROW THERAPEUTICS LTD</t>
  </si>
  <si>
    <t>ASTRAZENECA UK LIMITED (2010-03-19);;ARROW THERAPEUTICS LIMITED (2010-03-19)</t>
  </si>
  <si>
    <t>NOVEL COMPOUNDS 660</t>
  </si>
  <si>
    <t>C07D403/06;;A61P11/00;;A61P31/12;;A61P31/14;;C07D471/04;;C07D403/06;;C07D471/04</t>
  </si>
  <si>
    <t>A61K31/519;;A61K31/517;;A61K39/42;;A61P11/00;;A61P31/14;;C07D403/06;;C07D471/04</t>
  </si>
  <si>
    <t>https://lens.org/022-464-715-657-65X</t>
  </si>
  <si>
    <t>429</t>
  </si>
  <si>
    <t>056-806-418-651-973</t>
  </si>
  <si>
    <t>US 2010/0273805 A1</t>
  </si>
  <si>
    <t>ASTRAZENECA AB (2010-04-09)</t>
  </si>
  <si>
    <t>SULPHIDE BRIDGED DERIVATIVES AS MODULATORS OF MGLUR5 733</t>
  </si>
  <si>
    <t>C07D401/14;;A61K31/341;;A61K31/417;;A61K31/4439;;A61K31/501;;A61K45/06;;A61P1/00;;A61P1/04;;A61P25/00;;A61P25/22;;A61P29/00;;C07D403/14;;C07D413/14;;C07D401/14;;A61K31/341;;A61K31/417;;A61K31/4439;;A61K31/501;;A61K45/06;;C07D403/14;;C07D413/14</t>
  </si>
  <si>
    <t>A61K31/501;;A61K31/4439;;A61P1/04;;A61P25/22;;A61P29/00;;C07D401/14;;C07D413/14</t>
  </si>
  <si>
    <t>https://lens.org/056-806-418-651-973</t>
  </si>
  <si>
    <t>075-842-016-404-483</t>
  </si>
  <si>
    <t>EP 4076652 B1</t>
  </si>
  <si>
    <t>CHINOOK THERAPEUTICS INC</t>
  </si>
  <si>
    <t>CHINOOK THERAPEUTICS, INC. (2025-12-03)</t>
  </si>
  <si>
    <t>A PHARMACEUTICALLY ACCEPTABLE SALT OF ATRASENTAN FOR USE IN A METHOD OF TREATING IGA NEPHROPATHY</t>
  </si>
  <si>
    <t>A61K31/4025;;A61P31/12;;A61P7/12;;A61P13/12;;A61K45/06;;A61K31/4025;;A61K31/70;;A61K31/4025;;A61K2300/00;;A61P13/12;;A61K31/41;;A61K45/06;;A61P7/12;;A61K31/7042;;A61K31/472;;A61K31/4025;;A61P13/12;;A61P7/12;;A61K2300/00;;A61P13/12;;A61K31/4025;;A61K45/06;;A61K31/472;;A61K31/7042;;A61K31/41;;A61P7/12;;C07D405/04</t>
  </si>
  <si>
    <t>A61K31/4025;;A61K31/70;;A61K45/06;;A61P7/12;;A61P13/12</t>
  </si>
  <si>
    <t>https://lens.org/075-842-016-404-483</t>
  </si>
  <si>
    <t>165-424-737-274-499</t>
  </si>
  <si>
    <t>US 2025/0205203 A1</t>
  </si>
  <si>
    <t>CHINOOK THERAPEUTICS CANADA INC</t>
  </si>
  <si>
    <t>NOVARTIS PHARMA AG (2024-08-12);;CHINOOK THERAPEUTICS CANADA INC (2021-07-08)</t>
  </si>
  <si>
    <t>SUBSTITUTED PYRAZOLYL COMPOUNDS AND METHODS OF USE THEREOF</t>
  </si>
  <si>
    <t>C07D413/04;;A61K31/427;;A61K45/06;;A61P7/00;;A61P13/04;;A61P13/12;;C07D417/04;;C07D417/14;;A61K31/427;;A61K31/36;;A61K31/422;;A61K31/4415;;A61K31/7105;;A61K35/74;;A61K38/51;;C07D417/04;;C07D417/14</t>
  </si>
  <si>
    <t>A61K31/427;;A61K31/36;;A61K31/422;;A61K31/4415;;A61K31/7105;;A61K35/74;;A61K38/51;;C07D417/04;;C07D417/14</t>
  </si>
  <si>
    <t>https://lens.org/165-424-737-274-499</t>
  </si>
  <si>
    <t>088-195-841-595-770</t>
  </si>
  <si>
    <t>AU 2023/378052 A1</t>
  </si>
  <si>
    <t>CHINOOK THERAPEUTICS, INC. (2025-10-23)</t>
  </si>
  <si>
    <t>COMBINATION OF ENDOTHELIN RECEPTOR ANTAGONIST AND GLUCOCORTICOID FOR TREATING IGA NEPHROPATHY</t>
  </si>
  <si>
    <t>A61P13/12;;A61K31/4025;;A61K31/422;;A61K31/505;;A61K31/506;;A61K31/513;;A61K31/573;;A61K31/58;;A61K45/06;;A61K31/4025;;A61K31/573;;A61K45/06;;A61P13/12;;A61K31/4025;;A61K31/351;;A61K31/573;;A61K31/58;;A61K45/06;;A61K2300/00;;A61P13/12</t>
  </si>
  <si>
    <t>A61K45/06;;A61K31/4025;;A61K31/573;;A61P13/12</t>
  </si>
  <si>
    <t>https://lens.org/088-195-841-595-770</t>
  </si>
  <si>
    <t>090-911-470-316-344</t>
  </si>
  <si>
    <t>US 2024/0287034 A1</t>
  </si>
  <si>
    <t>NOVARTIS PHARMA AG (2024-02-29);;CHINOOK THERAPEUTICS INC (2022-08-05)</t>
  </si>
  <si>
    <t>SUBSTITUTED INDOLE COMPOUNDS AND METHODS OF USE THEREOF</t>
  </si>
  <si>
    <t>C07D401/06;;A61P37/06;;A61P29/00;;A61P3/00;;A61P25/00;;A61P11/00;;A61P27/02;;A61P9/00;;A61P13/12;;C07B2200/07;;C07D401/14;;C07D405/14;;C07D403/06;;C07D401/06;;C07D491/107;;A61P37/00;;A61P29/00;;A61P3/00;;A61P25/00;;A61P11/00;;A61P27/02;;A61P9/00;;A61P13/12;;C07D401/14;;C07D401/06;;C07D403/06;;C07D405/14;;C07D491/107;;C07D401/14;;A61K31/454;;A61K31/496;;C07D401/06;;C07D405/14;;C07D491/107;;C07D403/06;;A61P13/12;;C07D401/06;;C07D401/14;;C07D403/06;;C07D405/14;;C07D491/107;;A61K31/4523</t>
  </si>
  <si>
    <t>C07D401/14;;A61P13/12;;C07D401/06;;C07D403/06;;C07D405/14;;C07D491/107</t>
  </si>
  <si>
    <t>https://lens.org/090-911-470-316-344</t>
  </si>
  <si>
    <t>148-481-548-436-14X</t>
  </si>
  <si>
    <t>EP 4132509 A4</t>
  </si>
  <si>
    <t>CHINOOK THERAPEUTICS INC;;ABBVIE INC</t>
  </si>
  <si>
    <t>ABBVIE INC. (2024-06-19);;CHINOOK THERAPEUTICS, INC. (2024-06-19)</t>
  </si>
  <si>
    <t>METHODS OF TREATING DIABETIC KIDNEY DISEASE</t>
  </si>
  <si>
    <t>A61K31/4025;;A61K31/382;;A61K31/70;;A61K31/7042;;A61K31/7048;;A61P13/12;;A61K31/4025;;A61K31/382;;A61K31/70;;A61K31/7042;;A61K31/7048;;A61K45/06;;A61K2300/00;;A61K31/4025;;A61K31/7042;;A61K45/06;;A61K2300/00;;A61P13/12;;A61K31/4025;;A61K31/382;;A61K31/70;;A61K31/7042;;A61K31/7048;;A61K45/06;;A61P3/10;;A61P13/12</t>
  </si>
  <si>
    <t>A61K31/4025;;A61K9/20;;A61K9/28;;A61K31/382;;A61K31/70;;A61K31/7042;;A61K31/7048;;A61P3/10;;A61P13/12</t>
  </si>
  <si>
    <t>https://lens.org/148-481-548-436-14X</t>
  </si>
  <si>
    <t>140-794-724-774-487</t>
  </si>
  <si>
    <t>US 2023/0183228 A1</t>
  </si>
  <si>
    <t>A61K31/427;;A61K31/422;;A61P7/00;;A61P13/04;;A61P13/12;;C07D413/04;;C07D417/04;;A61K31/36;;A61K31/4415;;C07D413/04;;A61K2300/00;;A61P13/12;;A61K31/36;;A61K31/427;;A61K31/4415;;A61P13/04;;A61P7/00;;A61K31/422;;C07D417/04;;C07D417/04;;A61K31/422;;A61K31/427;;A61K45/06;;A61P13/12;;A61P13/02;;A61P7/00;;C07D413/04;;A61K2300/00;;A61P1/16;;A61K31/4178;;A61K31/427;;A61K45/06;;C07D413/04;;C07D417/04</t>
  </si>
  <si>
    <t>C07D417/04;;A61K31/4178;;A61K31/427;;A61K45/06;;A61P1/16;;C07D413/04</t>
  </si>
  <si>
    <t>https://lens.org/140-794-724-774-487</t>
  </si>
  <si>
    <t>062-821-705-374-959</t>
  </si>
  <si>
    <t>US 2022/0339144 A1</t>
  </si>
  <si>
    <t>CHINOOK THERAPEUTICS CANADA INC (2022-05-02)</t>
  </si>
  <si>
    <t>PYRIDINYL INDOLE COMPOUNDS AND METHODS OF USE THEREOF</t>
  </si>
  <si>
    <t>A61K45/06;;C07D401/14;;C07D487/04;;C07D487/10;;C07D491/048;;C07D491/107;;C07D495/10;;C07D498/08;;A61K31/4439;;A61K31/444;;A61K31/537;;A61K31/55;;A61K31/553;;A61K45/06;;C07D401/14;;C07D487/04;;C07D487/10;;C07D491/048;;C07D491/107;;C07D495/10;;C07D498/08</t>
  </si>
  <si>
    <t>A61K31/4439;;A61K31/444;;A61K31/537;;A61K31/55;;A61K31/553;;A61K45/06;;C07D401/14;;C07D487/04;;C07D487/10;;C07D491/048;;C07D491/107;;C07D495/10;;C07D498/08</t>
  </si>
  <si>
    <t>https://lens.org/062-821-705-374-959</t>
  </si>
  <si>
    <t>198-150-443-338-882</t>
  </si>
  <si>
    <t>US 2022/0304979 A1</t>
  </si>
  <si>
    <t>CHINOOK THERAPEUTICS INC (2022-07-14)</t>
  </si>
  <si>
    <t>METHODS OF REDUCING DISEASE FLARES</t>
  </si>
  <si>
    <t>A61P13/12;;A61K31/4025;;A61K45/06;;A61P7/12;;A61K31/4025;;A61K45/06;;A61P7/12;;A61P13/12</t>
  </si>
  <si>
    <t>A61K31/4025;;A61K45/06;;A61P7/12;;A61P13/12</t>
  </si>
  <si>
    <t>https://lens.org/198-150-443-338-882</t>
  </si>
  <si>
    <t>002-209-472-382-757</t>
  </si>
  <si>
    <t>US 2022/0211815 A1</t>
  </si>
  <si>
    <t>NOVARTIS AG;;CHINOOK THERAPEUTICS INC</t>
  </si>
  <si>
    <t>NOVARTIS AG (2018-11-30);;NOVARTIS INSTITUTES FOR BIOMEDICAL RESEARCH INC (2018-11-28);;CHINOOK THERAPEUTICS INC (2018-12-04)</t>
  </si>
  <si>
    <t>COMBINATION THERAPY FOR THE TREATMENT OF CANCER</t>
  </si>
  <si>
    <t>A61K38/00;;A61K38/1793;;A61K38/2086;;A61K45/06;;C07K14/5443;;C07K14/705;;C07K14/7155;;A61K38/00;;A61K38/1793;;A61K38/2086;;A61K45/06;;C07K14/5443;;C07K14/705;;C07K14/7155;;A61K38/00;;A61K38/1793;;A61K38/2086;;A61K45/06;;A61K2300/00;;A61P35/00;;C07K14/5443;;C07K14/705;;C07K14/7155;;A61K38/2086;;A61K38/1793;;A61K45/06;;A61P35/00</t>
  </si>
  <si>
    <t>A61K38/20;;A61K38/17;;A61K45/06;;A61P35/00</t>
  </si>
  <si>
    <t>https://lens.org/002-209-472-382-757</t>
  </si>
  <si>
    <t>chinook therapeutics, aduro biotech</t>
  </si>
  <si>
    <t>032-959-861-257-766</t>
  </si>
  <si>
    <t>US 2021/0379183 A1</t>
  </si>
  <si>
    <t>CHINOOK THERAPEUTICS INC;;ADURO BIOTECH HOLDINGS EUROPE B V</t>
  </si>
  <si>
    <t>ADURO BIOTECH HOLDINGS EUROPE B.V (2020-06-17);;CHINOOK THERAPEUTICS INC (2020-06-18)</t>
  </si>
  <si>
    <t>METHODS OF TREATING IgA NEPHROPATHY WITH AN APRIL BINDING ANTIBODY</t>
  </si>
  <si>
    <t>C07K16/2875;;C07K2317/94;;A61K2039/505;;A61K2039/545;;A61K2039/55;;A61P35/00;;A61K9/0019;;A61K39/39591;;A61K2039/55;;A61K47/22;;A61K47/26;;A61K2039/545;;C07K16/2875;;A61K47/183;;A61K2039/505;;A61K2039/54;;A61K9/0019;;C07K2317/94;;C07K2317/24;;A61P35/00;;A61K39/39591;;A61K47/22;;A61K47/183;;A61K47/26;;A61K9/0019;;A61P13/12;;C07K16/2875;;A61K2039/505;;A61K2039/545;;A61K2039/55;;C07K2317/94;;A61K39/39591;;C07K16/2875;;A61K47/22;;A61K47/183;;A61K2039/505;;C07K2317/24;;A61K2039/54;;A61K2039/545;;A61K47/26</t>
  </si>
  <si>
    <t>A61K39/395;;A61K47/18;;A61K47/22;;A61K47/26;;C07K16/28</t>
  </si>
  <si>
    <t>https://lens.org/032-959-861-257-766</t>
  </si>
  <si>
    <t>093-834-305-918-029</t>
  </si>
  <si>
    <t>US 11098077 B2</t>
  </si>
  <si>
    <t>CHINOOK THERAPEUTICS INC;;NOVARTIS AG</t>
  </si>
  <si>
    <t>NOVARTIS AG (2017-11-17);;NOVARTIS INSTITUTES FOR BIOMEDICAL RESEARCH INC (2017-10-06);;CHINOOK THERAPEUTICS INC (2018-03-12)</t>
  </si>
  <si>
    <t>Locked nucleic acid cyclic dinucleotide compounds and uses thereof</t>
  </si>
  <si>
    <t>C07H21/00;;A61K31/7084;;A61K45/06;;A61P1/00;;A61P3/10;;A61P17/06;;A61P31/00;;A61P35/00;;A61P37/06;;C07H21/00;;A61K9/0019;;A61K45/06;;A61P1/00;;A61P3/10;;A61P17/06;;A61P31/00;;A61P35/00;;A61P37/06;;C12N15/113</t>
  </si>
  <si>
    <t>C07H21/00;;A61K9/00;;A61K45/06;;A61P1/00;;A61P3/10;;A61P17/06;;A61P31/00;;A61P35/00;;A61P37/06;;C12N15/113</t>
  </si>
  <si>
    <t>https://lens.org/093-834-305-918-029</t>
  </si>
  <si>
    <t>126-788-168-604-381</t>
  </si>
  <si>
    <t>US 11040053 B2</t>
  </si>
  <si>
    <t>CHINOOK THERAPEUTICS INC (2017-09-28)</t>
  </si>
  <si>
    <t>Compositions and methods for activating “stimulator of interferon gene”13 dependent signalling</t>
  </si>
  <si>
    <t>A61K31/7084;;A61K39/39;;A61P3/10;;A61P11/06;;A61P29/00;;A61P35/00;;A61P37/06;;C07H19/213;;C07H21/00;;C07H21/02;;Y02A50/30;;A61K31/7084;;A61P3/10;;A61P11/06;;A61P29/00;;A61P35/00;;A61P37/06;;C07H19/213;;C07H21/00;;C07H21/02;;Y02A50/30;;C07H21/00;;A61K39/12;;A61K39/39;;C07H21/02;;A61K31/7084;;A61K39/39;;A61P3/10;;A61P11/06;;A61P29/00;;A61P35/00;;A61P37/06;;C07H19/213;;C07H21/00;;C07H21/02;;Y02A50/30</t>
  </si>
  <si>
    <t>A01N43/04;;A61K31/70;;A61K31/7084;;A61K39/39;;A61P3/10;;A61P11/06;;A61P29/00;;A61P35/00;;A61P37/06;;C07H19/213;;C07H21/00;;C07H21/02</t>
  </si>
  <si>
    <t>https://lens.org/126-788-168-604-381</t>
  </si>
  <si>
    <t>027-400-565-335-768</t>
  </si>
  <si>
    <t>US 10975114 B2</t>
  </si>
  <si>
    <t>ADURO BIOTECH INC;;NOVARTIS AG;;CHINOOK THERAPEUTICS INC</t>
  </si>
  <si>
    <t>NOVARTIS AG (2018-02-08);;NOVARTIS INSTITUTES FOR BIOMEDICAL RESEARCH INC (2018-02-08);;CHINOOK THERAPEUTICS INC (2017-11-30)</t>
  </si>
  <si>
    <t>Bis 2′-5′-RR-(3′F-A)(3′F-A) cyclic dinucleotide compound and uses thereof</t>
  </si>
  <si>
    <t>C07H21/02;;A61K31/7084;;A61K39/0011;;A61K39/39;;A61K45/06;;A61K2039/585;;A61P35/00;;A61P37/02;;C07H21/02;;A61K31/7084;;A61K39/0011;;A61K39/39;;A61K45/06;;A61K2039/505;;A61K2039/585;;A61K2300/00;;C07H21/04;;A61K39/0011;;A61K39/39;;A61K45/06;;A61K2039/585;;A61P35/04</t>
  </si>
  <si>
    <t>A01N43/04;;A61K31/70;;A61K39/00;;A61K39/39;;A61K45/06;;A61P35/04;;C07H21/04</t>
  </si>
  <si>
    <t>https://lens.org/027-400-565-335-768</t>
  </si>
  <si>
    <t>057-140-790-836-745</t>
  </si>
  <si>
    <t>US 10906930 B2</t>
  </si>
  <si>
    <t>CHINOOK THERAPEUTICS INC (2020-10-05)</t>
  </si>
  <si>
    <t>Compositions and methods for activating “stimulator of interferon gene”-dependent signalling</t>
  </si>
  <si>
    <t>C07H21/04;;A61K39/39;;A61K2039/55561;;A61P35/00;;C07H21/02;;C07H19/213;;A61K39/12;;A61K39/39;;A61K2039/55561;;A61P35/00;;C07H21/02;;C07H21/04;;C07H21/04;;A61K39/12;;A61K39/39;;A61K39/395;;A61K45/06;;A61K2039/55561;;A61K2039/572;;A61P35/00;;C07H21/02</t>
  </si>
  <si>
    <t>C07H21/04;;A61K39/00;;A61K39/12;;A61K39/39;;A61K39/395;;A61K45/06;;A61P35/00;;C07H21/02</t>
  </si>
  <si>
    <t>https://lens.org/057-140-790-836-745</t>
  </si>
  <si>
    <t>124-416-634-427-395</t>
  </si>
  <si>
    <t>AU 2018/331456 B2</t>
  </si>
  <si>
    <t>CHINOOK THERAPEUTICS, INC. (2021-03-04)</t>
  </si>
  <si>
    <t>Pyrazolopyrimidinone compounds and uses thereof</t>
  </si>
  <si>
    <t>C07D487/04;;A61K31/519;;A61K31/5377;;A61P43/00;;C07D519/00;;C07D487/04;;C07D498/04;;C07D487/04;;A61K31/519;;A61K31/5377;;A61K45/06;;A61P43/00;;C07D519/00</t>
  </si>
  <si>
    <t>C07D487/04;;C07D498/04</t>
  </si>
  <si>
    <t>https://lens.org/124-416-634-427-395</t>
  </si>
  <si>
    <t>No configured applicant/owner alias match</t>
  </si>
  <si>
    <t>009-987-503-855-066</t>
  </si>
  <si>
    <t>US 2025/0269093 A1</t>
  </si>
  <si>
    <t>CHINOOK CONTRACT RES INC</t>
  </si>
  <si>
    <t>CHINOOK CONTRACT RESEARCH INC (2023-08-03)</t>
  </si>
  <si>
    <t>METHODS OF ENHANCING ANTIMICROBIAL EFFICACY OF LOCAL ANESTHETICS</t>
  </si>
  <si>
    <t>A61P23/02;;A61K31/167;;A61K31/445;;A61M25/0017;;A61M35/10;;A61M2025/0056;;A61M2037/0007;;A61P31/02</t>
  </si>
  <si>
    <t>A61L29/16</t>
  </si>
  <si>
    <t>https://lens.org/009-987-503-855-066</t>
  </si>
  <si>
    <t>086-408-895-831-103</t>
  </si>
  <si>
    <t>US 12295811 B2</t>
  </si>
  <si>
    <t>CHINOOK CONTRACT RESEARCH INC (2019-04-02)</t>
  </si>
  <si>
    <t>Ligature device and method of use</t>
  </si>
  <si>
    <t>A61D1/06;;A61B17/12009;;A61B2017/00889;;A61B2017/00893;;A61B2017/12018;;A61D7/00;;A61B17/12009;;A61B2017/00526;;A61B2017/00889;;A61B2017/00893;;A61B2017/12018;;A61D1/04;;A61D1/06;;A61K31/167</t>
  </si>
  <si>
    <t>A61D7/00;;A61B17/00;;A61B17/12;;A61D1/04;;A61D1/06;;A61K31/167</t>
  </si>
  <si>
    <t>https://lens.org/086-408-895-831-103</t>
  </si>
  <si>
    <t>167-946-884-610-190</t>
  </si>
  <si>
    <t>US 2025/0017714 A1</t>
  </si>
  <si>
    <t>CHINOOK CONTRACT RESEARCH INC (2023-03-09)</t>
  </si>
  <si>
    <t>METHODS OF INSECT CONTROL FOR AN ANIMAL, PRODUCTS THEREOF AND METHODS FOR THEIR PREPARATION</t>
  </si>
  <si>
    <t>A01N25/34;;A01P7/04;;A01P17/00;;A61D1/04;;A61D1/06;;A61D7/00;;A61K31/167;;A61P23/02;;A61P33/00;;A61K9/0017;;A61K9/7007;;A61K45/06;;A61K31/7048;;A01K27/007;;A01P7/04;;A61D9/00;;A61K9/0017;;A01N43/22;;A01N25/34;;A61D1/06;;A61K31/7048;;A61P23/02;;A01N51/00;;A61K31/167;;A61K9/7007;;A01N43/90;;A61D1/04;;A01P17/00;;A61D7/00;;A61K45/06;;A61P33/00;;A61K2300/00;;A01K27/007;;A61D7/00;;A61D9/00</t>
  </si>
  <si>
    <t>A61D7/00;;A01K27/00;;A61D9/00</t>
  </si>
  <si>
    <t>https://lens.org/167-946-884-610-190</t>
  </si>
  <si>
    <t>099-329-848-096-018</t>
  </si>
  <si>
    <t>US 12118972 B2</t>
  </si>
  <si>
    <t>CHINOOK ACOUSTICS INC</t>
  </si>
  <si>
    <t>CHINOOK ACOUSTICS INC (2020-11-07)</t>
  </si>
  <si>
    <t>Systems and methods for manufacturing acoustic panels</t>
  </si>
  <si>
    <t>B32B7/12;;B32B3/04;;B32B3/06;;B32B3/266;;B32B5/02;;B32B5/26;;B32B27/12;;B32B27/30;;B32B27/302;;B32B27/304;;B32B27/308;;B32B27/32;;B32B27/36;;B32B27/365;;B32B2250/40;;B32B2262/0276;;B32B2262/04;;B32B2262/062;;B32B2262/065;;B32B2262/08;;B32B2270/00;;B32B2307/102;;B32B2307/3065;;B32B2307/412;;B32B2307/546;;B32B2307/5825;;B32B2307/72;;B32B2307/7265;;B32B2307/732;;B32B2571/00;;G10K11/168;;G10K11/168;;B32B27/36;;B32B37/10;;B32B37/1284;;B32B38/0004;;B32B2307/102;;B32B2307/412;;B32B2307/72;;B32B2307/732;;B32B2310/0868;;B32B2367/00</t>
  </si>
  <si>
    <t>G10K11/168;;B32B27/36;;B32B37/10;;B32B37/12;;B32B38/00</t>
  </si>
  <si>
    <t>https://lens.org/099-329-848-096-018</t>
  </si>
  <si>
    <t>026-054-533-844-79X</t>
  </si>
  <si>
    <t>US 12083275 B2</t>
  </si>
  <si>
    <t>CHINOOK BIOMEDICAL INC</t>
  </si>
  <si>
    <t>CHINOOK BIOMEDICAL INC (2021-07-30);;INC. CHINOOK B (2021-07-30)</t>
  </si>
  <si>
    <t>Method of pressure control in a mechanical ventilator with non-proportional solenoid valves</t>
  </si>
  <si>
    <t>A61M16/024;;A61M16/04;;A61M16/1055;;A61M16/1065;;A61M16/107;;A61M16/125;;A61M16/202;;A61M16/208;;A61M2016/0027;;A61M2202/0208;;A61M2205/3331;;A61M16/024;;A61M16/0003;;A61M16/201;;A61M16/208;;A61M2016/0027</t>
  </si>
  <si>
    <t>A61M16/00;;A61M16/20</t>
  </si>
  <si>
    <t>https://lens.org/026-054-533-844-79X</t>
  </si>
  <si>
    <t>157-222-066-470-580</t>
  </si>
  <si>
    <t>US D1037869 S</t>
  </si>
  <si>
    <t>CHINOOK CONTRACT RESEARCH INC (2022-04-07)</t>
  </si>
  <si>
    <t>Double-recessed blister packaging</t>
  </si>
  <si>
    <t>https://lens.org/157-222-066-470-580</t>
  </si>
  <si>
    <t>048-392-766-249-916</t>
  </si>
  <si>
    <t>US 12014713 B2</t>
  </si>
  <si>
    <t>FORREST SOUND PRODUCTS LLC (2017-03-12);;CHINOOK ACOUSTICS INC (2020-02-17)</t>
  </si>
  <si>
    <t>Systems and methods for acoustic absorption</t>
  </si>
  <si>
    <t>G10K11/168;;G10K11/162</t>
  </si>
  <si>
    <t>G10K11/162</t>
  </si>
  <si>
    <t>https://lens.org/048-392-766-249-916</t>
  </si>
  <si>
    <t>075-543-336-261-418</t>
  </si>
  <si>
    <t>US 11371776 B2</t>
  </si>
  <si>
    <t>CHINOOK HAY SYSTEMS INC</t>
  </si>
  <si>
    <t>CHINOOK HAY SYSTEMS INC (2018-07-19)</t>
  </si>
  <si>
    <t>System and apparatus for drying hay bales</t>
  </si>
  <si>
    <t>F26B9/106;;F26B21/001;;F26B21/50;;F26B2200/02;;F26B2200/10;;F26B9/106;;F26B9/006;;F26B21/001;;F26B21/50;;F26B2200/02;;F26B2200/10</t>
  </si>
  <si>
    <t>F26B9/10;;F26B9/00;;F26B21/00</t>
  </si>
  <si>
    <t>https://lens.org/075-543-336-261-418</t>
  </si>
  <si>
    <t>esteve pharmaceuticals</t>
  </si>
  <si>
    <t>172-061-012-773-294</t>
  </si>
  <si>
    <t>US 12398403 B2</t>
  </si>
  <si>
    <t>ESTEVE PHARMACEUTICALS SA;;UNIV BARCELONA AUTONOMA</t>
  </si>
  <si>
    <t>UNIVERSITAT AUTÓNOMA DE BARCELONA (2021-10-08);;ESTEVE PHARMACEUTICALS S.A (2021-10-08)</t>
  </si>
  <si>
    <t>Methods for the manufacture of recombinant viral vectors</t>
  </si>
  <si>
    <t>C12N7/02;;C12N15/86;;C12N2750/14143;;C12N2750/14151;;C12N2750/14152;;C12N7/02;;C12N15/86;;C12N2750/14143;;C12N2750/14151;;C12N2750/14152;;C12N15/86;;C12N2750/14143;;C12N2750/14151;;C12N7/02;;C12N15/86;;C12N2750/14143;;C12N2750/14152</t>
  </si>
  <si>
    <t>C12N15/80;;C12N7/02;;C12N15/86</t>
  </si>
  <si>
    <t>https://lens.org/172-061-012-773-294</t>
  </si>
  <si>
    <t>046-046-402-488-92X</t>
  </si>
  <si>
    <t>US 2025/0075194 A1</t>
  </si>
  <si>
    <t>ESTEVE PHARMACEUTICALS SA;;UNIV AUTONONOMA DE BARCELONA</t>
  </si>
  <si>
    <t>UNIVERSITAT AUTÓNOMA DE BARCELONA (2021-01-21);;ESTEVE PHARMACEUTICALS S.A (2021-01-21)</t>
  </si>
  <si>
    <t>ADENOASSOCIATED VIRUS VECTORS FOR THE TREATMENT OF MUCOPOLYSACCHARIDOSES TYPE IV A</t>
  </si>
  <si>
    <t>C12N15/86;;C12N9/16;;C12N2750/14143;;C12Y301/06004;;C12N15/86;;C12N9/16;;C12N2750/14143;;C12Y301/06004;;C12N9/16;;A61K38/465;;C12N15/86;;C12N2750/14143;;C12Y301/06004;;C12N9/16;;A61K9/0019;;A61P43/00;;C12N15/86;;C12N2750/14143;;C12N2750/14152;;C12Y301/06004</t>
  </si>
  <si>
    <t>C12N9/16;;A61K9/00;;A61P43/00;;C12N15/86</t>
  </si>
  <si>
    <t>https://lens.org/046-046-402-488-92X</t>
  </si>
  <si>
    <t>197-885-869-840-07X</t>
  </si>
  <si>
    <t>US 12201095 B2</t>
  </si>
  <si>
    <t>UNIVERSITAT AUTÓNOMA DE BARCELONA (2021-05-10);;ESTEVE PHARMACEUTICALS S.A (2021-05-10)</t>
  </si>
  <si>
    <t>Animal model of mucopolysaccharidoses type IVA</t>
  </si>
  <si>
    <t>C12N9/16;;A01K2217/075;;A01K2227/105;;A01K2267/0306;;C12Y301/06004;;A01K67/0276;;A01K2217/075;;A01K2227/105;;A01K2267/0306;;C12N15/113</t>
  </si>
  <si>
    <t>A01K67/0276;;C12N15/113</t>
  </si>
  <si>
    <t>https://lens.org/197-885-869-840-07X</t>
  </si>
  <si>
    <t>126-333-250-994-349</t>
  </si>
  <si>
    <t>US 2025/0002503 A1</t>
  </si>
  <si>
    <t>ESTEVE PHARMACEUTICALS SA</t>
  </si>
  <si>
    <t>ESTEVE PHARMACEUTICALS S.A (2024-02-05)</t>
  </si>
  <si>
    <t>OXADIAZASPIRO COMPOUNDS FOR USE IN THE TREATMENT OF MOTONEURON DEGENERATION OR IN NEUROPROTECTION</t>
  </si>
  <si>
    <t>A61K31/5375;;A61K31/5386;;A61P21/00;;A61P25/28;;A61K31/5375;;A61K31/5386;;A61P21/00;;A61P25/28;;C07D498/10;;A61K31/5386;;A61P25/00;;A61P25/28;;C07D498/10;;A61K31/5386;;A61P21/00;;A61P25/28</t>
  </si>
  <si>
    <t>C07D498/10;;A61K31/5386;;A61P21/00;;A61P25/28</t>
  </si>
  <si>
    <t>https://lens.org/126-333-250-994-349</t>
  </si>
  <si>
    <t>124-305-415-708-160</t>
  </si>
  <si>
    <t>US 11919926 B2</t>
  </si>
  <si>
    <t>ESTEVE PHARMACEUTICALS SA;;FUNDACIO PRIVADA INST DE RECERCA DE LA SIDA—CAIXA</t>
  </si>
  <si>
    <t>CORPORACIÓN QUÍMICO-FARMACÉUTICA ESTEVE S.A (2024-10-10);;INSTITUCIO CATALANA DE RECERCA I ESTUDIS AVANCATS (2014-07-24);;FUNDACIO PRIVADA INSTITUT DE RECERCA DE LA SIDA - CAIXA (2014-07-23);;ESTEVE PHARMACEUTICALS S.A (2018-06-25)</t>
  </si>
  <si>
    <t>Method of treating HIV-1 infection utilizing a multiepitope T cell immunogen comprising Gag, Pol, Vif, and Nef epitopes</t>
  </si>
  <si>
    <t>C07K14/005;;A61K39/00;;C12N2740/16022;;C12N2740/16034;;C07K14/005;;A61K39/12;;A61K39/21;;A61K2039/53;;A61K2039/545;;A61K2039/57;;A61P31/18;;C12N2740/16122;;C12N2740/16134;;Y02A50/30;;C07K14/005;;A61K39/12;;A61K39/21;;A61K2039/5256;;A61K2039/53;;A61K2039/545;;A61K2039/57;;A61K2039/575;;C07K2319/35;;C12N7/00;;C12N2740/16022;;C12N2740/16034;;C12N2740/16122;;C12N2740/16134;;C07K14/005;;A61K39/12;;A61K39/21;;A61K2039/5256;;A61K2039/53;;A61K2039/545;;A61K2039/575;;C07K2319/35;;C12N2740/16022;;C12N2740/16034;;C12N2740/16122;;C12N2740/16134;;A61K39/21;;C07K14/005;;C12N7/00;;C07K14/005;;A61K39/12;;A61K39/21;;A61K2039/5256;;A61K2039/53;;A61K2039/545;;A61K2039/57;;A61K2039/575;;C07K2319/00;;C07K2319/35;;C12N7/00;;C12N2740/16022;;C12N2740/16034;;C12N2740/16122;;C12N2740/16134;;C12N2740/16222;;C12N2740/16322</t>
  </si>
  <si>
    <t>C07K14/005;;A61K39/00;;A61K39/12;;A61K39/21;;C12N7/00</t>
  </si>
  <si>
    <t>https://lens.org/124-305-415-708-160</t>
  </si>
  <si>
    <t>198-481-723-882-790</t>
  </si>
  <si>
    <t>US 2024/0059690 A1</t>
  </si>
  <si>
    <t>ESTEVE PHARMACEUTICALS S.A (2022-10-20)</t>
  </si>
  <si>
    <t>PYRAZOLO[1,5-a]PYRIMIDINE DERIVATIVES HAVING MULTIMODAL ACTIVITY AGAINST PAIN</t>
  </si>
  <si>
    <t>C07D487/04;;A61P29/02;;C07D487/04;;A61P29/02;;C07D487/04;;A61K31/519;;A61P29/02;;A61P29/02;;C07D487/04</t>
  </si>
  <si>
    <t>C07D487/04;;A61P29/02</t>
  </si>
  <si>
    <t>https://lens.org/198-481-723-882-790</t>
  </si>
  <si>
    <t>058-005-044-870-380</t>
  </si>
  <si>
    <t>US 2023/0020469 A1</t>
  </si>
  <si>
    <t>ESTEVE PHARMACEUTICALS S.A (2021-10-20)</t>
  </si>
  <si>
    <t>USE OF CO-CRYSTALS OF TRAMADOL AND CELECOXIB FOR TREATING PAIN WHILE REDUCING THE ABUSE LIABILITY OF TRAMADOL</t>
  </si>
  <si>
    <t>A61K31/135;;A61K31/415;;A61P29/00;;A61K31/135;;A61K31/415;;A61K47/32;;A61K2300/00;;A61P29/00;;C07B2200/13;;A61K31/415;;A61K9/14;;A61K31/135;;A61K2300/00;;A61P29/00;;C07B2200/13;;A61K31/135;;A61K9/0053;;A61K9/20;;A61K31/415;;A61K31/635;;A61K47/32;;C07B2200/13</t>
  </si>
  <si>
    <t>A61K31/135;;A61K9/00;;A61K9/20;;A61K31/635;;A61K47/32</t>
  </si>
  <si>
    <t>https://lens.org/058-005-044-870-380</t>
  </si>
  <si>
    <t>068-851-411-888-167</t>
  </si>
  <si>
    <t>US 2022/0380345 A1</t>
  </si>
  <si>
    <t>ESTEVE PHARMACEUTICALS S.A (2022-03-10)</t>
  </si>
  <si>
    <t>HOMOPIPERAZINYL AND HOMOPIPERIDINYL QUINAZOLIN-4(3H)-ONE DERIVATIVES HAVING MULTIMODAL ACTIVITY AGAINST PAIN</t>
  </si>
  <si>
    <t>C07D403/06;;A61K31/551;;A61P25/04;;A61P25/06;;A61P29/00;;C07B2200/07;;C07D401/14;;C07D405/14;;C07D471/04;;C07D471/08;;A61P25/04;;C07D401/14;;C07D403/06;;C07D405/14;;C07D471/04;;C07D471/08;;A61P25/04;;C07D401/14;;C07D403/06;;C07D405/14;;C07D471/04;;C07D471/08;;C07D403/04;;A61K31/551;;A61P25/04;;A61P29/00;;C07D401/14;;C07D405/14;;C07D471/04;;C07D471/08;;C07D403/06;;C07D471/04;;C07D471/08</t>
  </si>
  <si>
    <t>C07D403/06;;C07D471/04;;C07D471/08</t>
  </si>
  <si>
    <t>https://lens.org/068-851-411-888-167</t>
  </si>
  <si>
    <t>070-602-903-007-201</t>
  </si>
  <si>
    <t>EP 3344620 B1</t>
  </si>
  <si>
    <t>ESTEVE PHARMACEUTICALS, S.A. (2018-09-12)</t>
  </si>
  <si>
    <t>1-(4-(2-((1-(3,4-DIFLUOROPHENYL)-1H-PYRAZOL-3-YL)METHOXY)ETHYL) PIPERAZIN-1-YL)ETHANONE SALTS</t>
  </si>
  <si>
    <t>C07D231/12;;A61P1/12;;A61P3/04;;A61P9/06;;A61P9/10;;A61P9/12;;A61P17/02;;A61P19/02;;A61P25/00;;A61P25/04;;A61P25/06;;A61P25/08;;A61P25/14;;A61P25/18;;A61P25/22;;A61P25/24;;A61P25/28;;A61P25/30;;A61P25/32;;A61P25/34;;A61P25/36;;A61P29/00;;A61P35/00;;A61P37/06;;A61P43/00;;C07D403/12;;C07D403/12;;A61K31/496;;A61P1/12;;A61P3/04;;A61P9/12;;A61P25/06;;C07B2200/13;;A61K31/496;;A61P1/12;;A61P3/04;;A61P9/08;;A61P9/10;;A61P9/12;;A61P19/02;;A61P25/06;;A61P25/08;;A61P25/14;;A61P25/24;;A61P25/28;;A61P25/30;;A61P35/00;;A61P37/00;;C07D231/12;;C07D403/12;;C07D231/12;;C07B2200/13;;C07D403/12</t>
  </si>
  <si>
    <t>C07D403/12;;A61K31/496;;A61P25/34</t>
  </si>
  <si>
    <t>https://lens.org/070-602-903-007-201</t>
  </si>
  <si>
    <t>045-157-088-672-280</t>
  </si>
  <si>
    <t>EP 3365338 B1</t>
  </si>
  <si>
    <t>SUBSTITUTED MORPHOLINE DERIVATIVES HAVING ACTIVITY AGAINST PAIN</t>
  </si>
  <si>
    <t>C07D413/04;;A61P29/00;;C07D413/04;;A61P29/00</t>
  </si>
  <si>
    <t>C07D413/04;;A61K31/5377</t>
  </si>
  <si>
    <t>https://lens.org/045-157-088-672-280</t>
  </si>
  <si>
    <t>050-078-511-627-803</t>
  </si>
  <si>
    <t>US 11401270 B2</t>
  </si>
  <si>
    <t>ESTEVE PHARMACEUTICALS S.A (2020-05-22)</t>
  </si>
  <si>
    <t>Alcoxyamino derivatives for treating pain and pain related conditions</t>
  </si>
  <si>
    <t>C07D243/08;;A61P29/00;;C07D223/10;;C07D243/14;;C07D409/12;;C07D487/02;;C07D243/08;;A61P29/00;;C07D223/10;;C07D243/14;;C07D409/12;;C07D487/02;;C07D409/12;;A61K31/55;;A61K31/551;;A61P29/00;;C07D223/10;;C07D471/04;;C07D487/04;;C07D487/04;;C07D223/10;;C07D243/08;;C07D243/14;;C07D409/12;;C07D471/04</t>
  </si>
  <si>
    <t>C07D471/04;;A61P29/00;;C07D223/10;;C07D243/08;;C07D243/14;;C07D409/12;;C07D487/02;;C07D487/04</t>
  </si>
  <si>
    <t>https://lens.org/050-078-511-627-803</t>
  </si>
  <si>
    <t>027-924-456-405-63X</t>
  </si>
  <si>
    <t>US 11338046 B2</t>
  </si>
  <si>
    <t>UNIVERSITAT AUTÓNOMA DE BARCELONA (2019-05-02);;ESTEVE PHARMACEUTICALS S.A (2019-05-02)</t>
  </si>
  <si>
    <t>Adenoassociated virus vectors for the treatment of mucopolysaccharidoses</t>
  </si>
  <si>
    <t>C12N9/16;;A01K2217/075;;A01K2227/105;;A01K2267/0362;;A61K38/465;;A61P3/00;;C12N15/86;;C12N2750/14143;;C12N2830/15;;C12N2830/90;;C12Y301/06014;;A61K48/0066;;A01K2217/075;;A01K2227/105;;A01K2267/0362;;A61K38/465;;A61P3/00;;C12N9/16;;C12N15/86;;C12N2750/14143;;C12N2830/15;;C12N2830/90;;C12Y301/06014</t>
  </si>
  <si>
    <t>A61K48/00;;A61K38/46;;A61P3/00;;C12N9/16;;C12N15/86</t>
  </si>
  <si>
    <t>https://lens.org/027-924-456-405-63X</t>
  </si>
  <si>
    <t>147-715-999-499-628</t>
  </si>
  <si>
    <t>AU 2016/273343 B2</t>
  </si>
  <si>
    <t>UNIVERSITAT AUTONOMA DE BARCELONA (2018-09-20);;ESTEVE PHARMACEUTICALS, S.A. (2018-09-20)</t>
  </si>
  <si>
    <t>A61K48/00;;C12N9/16;;C12N2750/14143;;C12N2800/22;;C12Y301/06013;;A61P43/00;;C12N9/16;;A61K48/00;;A61K48/0016;;A61K48/0066;;A61K48/0075;;A61K9/0019;;A61P43/00;;C12N15/79;;C12N15/86;;C12N2750/14143;;C12N2800/22;;C12Y301/06013;;A61K48/00;;C12N9/16;;C12N15/86;;C12N2750/14143;;C12N2800/22;;C12Y301/06013;;A61K48/00;;A61K48/0016;;A61K48/0066;;A61K48/0075;;A61K9/0019;;A61P43/00;;C12N15/79;;C12N15/86;;C12N9/16;;C12Y301/06013;;C12N9/16;;C12Y301/06013;;A61K48/00;;C12N2800/22;;C12N2750/14143;;A61P43/00;;A61K9/0019;;A61K48/0016;;A61K48/0066;;A61K48/0075;;C12N15/79</t>
  </si>
  <si>
    <t>C12N9/16;;A61K48/00;;C12N15/864</t>
  </si>
  <si>
    <t>https://lens.org/147-715-999-499-628</t>
  </si>
  <si>
    <t>067-128-368-294-881</t>
  </si>
  <si>
    <t>US 2022/0042043 A1</t>
  </si>
  <si>
    <t>ESTEVE PHARMACEUTICALS SA;;UNIV AUTÒNOMA DE BARCELONA</t>
  </si>
  <si>
    <t>UNIVERSITAT AUTÓNOMA DE BARCELONA (2021-06-10);;ESTEVE PHARMACEUTICALS S.A (2021-06-10)</t>
  </si>
  <si>
    <t>RECOMBINANT VECTORS FOR THE LONG TERM TREATMENT OF MUCCHOPOLYSACHARIDOSIS</t>
  </si>
  <si>
    <t>A61K38/46;;A61P3/00;;C12N15/86;;C12N2750/14143;;C12Y310/01001;;C12N15/86;;A61K38/46;;C12N9/14;;C12Y310/01001</t>
  </si>
  <si>
    <t>C12N15/86;;A61K38/46;;C12N9/14</t>
  </si>
  <si>
    <t>https://lens.org/067-128-368-294-881</t>
  </si>
  <si>
    <t>127-706-225-858-842</t>
  </si>
  <si>
    <t>US 11236110 B2</t>
  </si>
  <si>
    <t>ACONDICIONAMIENTO TARRASENSE (2022-02-03);;ESTEVE PHARMACEUTICALS S.A (2020-04-29)</t>
  </si>
  <si>
    <t>Salts of (R)-9-(2,5-difluorophenethyl)-4-ethyl-2-methyl-1-oxa-4,9-diazaspiro[5.5]undecan-3-one</t>
  </si>
  <si>
    <t>C07D498/10;;A61P29/00;;A61K31/5386;;A61P29/00;;C07B2200/13;;C07D498/10;;C07D498/10;;A61K31/5386;;A61P29/00;;C07B2200/13;;C07D498/10;;C07B2200/13</t>
  </si>
  <si>
    <t>A61K31/5386;;A61P29/00;;C07D498/10</t>
  </si>
  <si>
    <t>https://lens.org/127-706-225-858-842</t>
  </si>
  <si>
    <t>156-444-453-729-166</t>
  </si>
  <si>
    <t>US 2021/0395254 A1</t>
  </si>
  <si>
    <t>ESTEVE PHARMACEUTICALS S.A (2021-06-08)</t>
  </si>
  <si>
    <t>NEW TETRAHYDROPYRIMIDODIAZEPIN AND TETRAHYDROPYRIDODIAZEPIN COMPOUNDS FOR TREATING PAIN AND PAIN RELATED CONDITIONS</t>
  </si>
  <si>
    <t>C07D471/04;;A61P25/00;;C07D487/04;;C07D487/04;;C07D471/04</t>
  </si>
  <si>
    <t>C07D487/04;;C07D471/04</t>
  </si>
  <si>
    <t>https://lens.org/156-444-453-729-166</t>
  </si>
  <si>
    <t>089-874-684-753-923</t>
  </si>
  <si>
    <t>US 2021/0395249 A1</t>
  </si>
  <si>
    <t>ESTEVE PHARMACEUTICALS S.A (2021-06-02)</t>
  </si>
  <si>
    <t>NEW ALKOXYAMINOPYRIDINE DERIVATIVES FOR TREATING PAIN AND PAIN RELATED CONDITIONS</t>
  </si>
  <si>
    <t>C07D471/04;;A61P25/00;;A61P29/00;;C07D471/04</t>
  </si>
  <si>
    <t>https://lens.org/089-874-684-753-923</t>
  </si>
  <si>
    <t>124-135-940-268-539</t>
  </si>
  <si>
    <t>US 11149285 B2</t>
  </si>
  <si>
    <t>UNIV BARCELONA AUTONOMA;;ESTEVE PHARMACEUTICALS SA</t>
  </si>
  <si>
    <t>UNIVERSITAT AUTÓNOMA DE BARCELONA (2016-12-22);;ESTEVE PHARMACEUTICALS S.A (2016-12-22)</t>
  </si>
  <si>
    <t>Adenoassociated virus vectors for the treatment of lysosomal storage disorders</t>
  </si>
  <si>
    <t>C12N15/86;;A61K9/0019;;A61K9/0085;;A61K48/005;;C12N9/2402;;C12N2750/14143;;C12N2830/008;;C12N2840/105;;C12Y302/0105;;C12N15/86;;A61K38/47;;A61K48/005;;A61K48/0075;;A61P1/16;;A61P3/00;;A61P13/00;;A61P19/08;;A61P25/00;;A61P43/00;;C12N9/2474;;C12N2750/14143;;C12N2800/22;;C12N2830/008;;C12N2840/105;;C12Y302/0105;;C12N15/86;;A61K9/0019;;A61K9/0085;;A61K38/47;;A61K48/00;;A61K48/005;;A61K48/0075;;A61P1/16;;A61P3/00;;A61P13/00;;A61P19/08;;A61P25/00;;A61P43/00;;C12N9/2402;;C12N9/2474;;C12N2750/14143;;C12N2800/22;;C12N2830/008;;C12N2840/105;;C12Y302/0105;;C12N15/86;;A61K38/47;;A61K48/00;;C12N9/2402;;C12N2750/14143;;C12N2830/008;;C12N2840/105;;C12Y302/0105;;A61K38/47;;A61K48/005;;C12N9/2474;;C12N15/86;;C12Y302/0105;;C12N15/86;;A61K38/47;;A61K48/00;;A61K48/005;;A61K48/0075;;C12N9/2474;;C12N2750/14143;;C12N2800/22;;C12N2830/008;;C12N2840/105;;C12Y302/0105</t>
  </si>
  <si>
    <t>A01N63/00;;A61K38/47;;A61K48/00;;C12N9/26;;C12N15/86</t>
  </si>
  <si>
    <t>https://lens.org/124-135-940-268-539</t>
  </si>
  <si>
    <t>077-738-369-924-495</t>
  </si>
  <si>
    <t>US 11111220 B2</t>
  </si>
  <si>
    <t>ESTEVE PHARMACEUTICALS S.A (2020-04-21)</t>
  </si>
  <si>
    <t>Propanamine derivatives for treating pain and pain related conditions</t>
  </si>
  <si>
    <t>C07C235/56;;A61P25/00;;A61P29/00;;C07C217/76;;C07C233/25;;C07C233/67;;C07C233/76;;C07C235/46;;C07C235/50;;C07C237/06;;C07C237/40;;C07D211/58;;C07D213/40;;C07D213/75;;C07D213/82;;C07D239/26;;C07D239/28;;C07D239/34;;C07D239/38;;C07D239/48;;C07D271/10;;C07D333/20;;C07D409/12;;C07D413/12;;C07D239/48;;C07C235/56;;C07D211/58;;C07D213/75;;C07D213/82;;C07D239/34;;C07D333/20;;C07D409/12;;C07D413/12</t>
  </si>
  <si>
    <t>A61K31/505;;C07C235/56;;C07D211/58;;C07D213/75;;C07D213/82;;C07D239/34;;C07D239/48;;C07D333/20;;C07D409/12;;C07D413/12</t>
  </si>
  <si>
    <t>https://lens.org/077-738-369-924-495</t>
  </si>
  <si>
    <t>021-069-587-142-494</t>
  </si>
  <si>
    <t>EP 2817000 B1</t>
  </si>
  <si>
    <t>TOWA PHARMACEUTICAL EUROPE S L</t>
  </si>
  <si>
    <t>TOWA PHARMACEUTICAL EUROPE, S.L. (2021-04-21);;ESTEVE PHARMACEUTICALS, S.A. (2018-09-12)</t>
  </si>
  <si>
    <t>ORAL PHARMACEUTICAL COMPOSITIONS OF DABIGATRAN ETEXILATE</t>
  </si>
  <si>
    <t>A61K9/1617;;A61K9/1652;;A61K9/5026;;A61K9/5084;;A61K9/5089;;A61K31/4439;;A61P7/02;;A61K31/4439;;A61K9/14;;A61K9/16;;A61K9/1617;;A61K9/1652;;A61K9/4833;;A61K9/50;;A61K9/5026;;A61K9/5042;;A61K9/5084;;A61K9/5089;;A61P7/02;;A61K9/16;;A61K9/50;;A61K31/4439;;A61K2121/00;;A61K9/1617;;A61K9/1652;;A61K9/5026;;A61K9/5084;;A61K9/5089;;A61K31/4439;;A61K9/14;;A61K9/4833;;A61K9/5042</t>
  </si>
  <si>
    <t>A61K9/16;;A61K9/14;;A61K9/48;;A61K9/50;;A61K31/4439;;A61P7/02</t>
  </si>
  <si>
    <t>https://lens.org/021-069-587-142-494</t>
  </si>
  <si>
    <t>182-038-823-841-729</t>
  </si>
  <si>
    <t>US 10941138 B2</t>
  </si>
  <si>
    <t>ESTEVE PHARMACEUTICALS S.A (2019-06-11)</t>
  </si>
  <si>
    <t>Quinoline and isoquinoline derivatives for treating pain and pain related conditions</t>
  </si>
  <si>
    <t>C07D409/06;;A61P25/02;;A61P25/04;;A61P25/06;;A61P25/22;;A61P25/24;;A61P25/28;;A61P43/00;;C07D401/12;;C07D405/12;;C07D409/02;;C07D417/12;;C07D409/12;;C07D401/12;;C07D407/12;;C07D417/12</t>
  </si>
  <si>
    <t>C07D409/12;;C07D401/12;;C07D407/12;;C07D417/12</t>
  </si>
  <si>
    <t>https://lens.org/182-038-823-841-729</t>
  </si>
  <si>
    <t>183-127-497-915-884</t>
  </si>
  <si>
    <t>US 10927128 B2</t>
  </si>
  <si>
    <t>ESTEVE PHARMACEUTICALS S.A (2018-04-20)</t>
  </si>
  <si>
    <t>Oxadiazaspiro compounds for the treatment of drug abuse and addiction</t>
  </si>
  <si>
    <t>C07D498/10;;A61P25/30;;C07D498/10;;A61K31/5386;;A61P25/30;;C07D498/10;;A61K31/5386;;A61P25/30;;C07D498/10;;A61P25/30</t>
  </si>
  <si>
    <t>C07D498/10;;A61P25/30</t>
  </si>
  <si>
    <t>https://lens.org/183-127-497-915-884</t>
  </si>
  <si>
    <t>047-777-148-941-711</t>
  </si>
  <si>
    <t>US 10807970 B2</t>
  </si>
  <si>
    <t>ESTEVE PHARMACEUTICALS S.A (2018-11-12)</t>
  </si>
  <si>
    <t>Tetrahydropyran and thiopyran derivatives having multimodal activity against pain</t>
  </si>
  <si>
    <t>C07D405/04;;A61P29/00;;C07D307/04;;C07D405/14;;C07D407/06;;C07D407/14;;C07D487/04;;C07D405/06;;A61K31/341;;A61K31/351;;A61K31/496;;A61P29/00;;C07D307/04;;C07D309/04;;C07D309/14;;C07D311/96;;C07D405/12;;C07D405/14;;C07D407/06;;C07D407/14;;C07D487/04;;C07D405/04;;A61P29/00;;C07D307/04;;C07D405/14;;C07D407/06;;C07D407/14;;C07D487/04</t>
  </si>
  <si>
    <t>C07D405/04;;A61P29/00;;C07D307/04;;C07D405/14;;C07D407/06;;C07D407/14;;C07D487/04</t>
  </si>
  <si>
    <t>https://lens.org/047-777-148-941-711</t>
  </si>
  <si>
    <t>170-136-278-699-192</t>
  </si>
  <si>
    <t>EP 3149006 B1</t>
  </si>
  <si>
    <t>ACONDICIONAMIENTO TARRASENSE; ES (2022-07-26);;ACONDICIONAMIENTO TARRASENSE, TERRASSA, ES (2022-02-21);;ESTEVE PHARMACEUTICALS, S.A. (2018-09-12)</t>
  </si>
  <si>
    <t>ALKYL DERIVATIVES OF 1-OXA-4,9-DIAZASPIRO UNDECANE COMPOUNDS HAVING MULTIMODAL ACTIVITY AGAINST PAIN</t>
  </si>
  <si>
    <t>C07D498/10;;A61P25/04;;C07D498/10;;A61K31/537;;C07D498/10;;A61K31/5386;;A61K31/5386;;A61P25/04;;C07D498/10;;C07D498/10</t>
  </si>
  <si>
    <t>C07D498/10;;A61K31/537</t>
  </si>
  <si>
    <t>https://lens.org/170-136-278-699-192</t>
  </si>
  <si>
    <t>165-336-249-664-148</t>
  </si>
  <si>
    <t>EP 3083601 B1</t>
  </si>
  <si>
    <t>PIPERIDINE DERIVATIVES HAVING MULTIMODAL ACTIVITY AGAINST PAIN</t>
  </si>
  <si>
    <t>C07D401/06;;A61P25/04;;A61P25/06;;A61P29/00;;A61P43/00;;C07D401/14;;C07D405/14;;C07D413/06;;C07D413/14;;C07D417/14;;C07D487/04;;C07D401/06;;C07D401/14;;C07D405/14;;C07D413/06;;C07D413/14;;C07D417/14;;C07D487/04</t>
  </si>
  <si>
    <t>C07D401/14;;A61K31/454;;A61P25/04;;C07D401/06;;C07D405/14;;C07D413/06;;C07D413/14;;C07D417/14;;C07D487/04</t>
  </si>
  <si>
    <t>https://lens.org/165-336-249-664-148</t>
  </si>
  <si>
    <t>104-965-444-702-479</t>
  </si>
  <si>
    <t>US 2020/0270237 A1</t>
  </si>
  <si>
    <t>ESTEVE PHARMACEUTICALS S.A (2020-04-27)</t>
  </si>
  <si>
    <t>NEW ALKOXYAMINO COMPOUNDS FOR TREATING PAIN AND PAIN RELATED CONDITIONS</t>
  </si>
  <si>
    <t>C07D295/192;;A61P25/04;;C07D211/58;;C07D211/76;;C07D241/42;;C07D295/096;;C07D309/14;;C07D333/16;;C07D405/06;;C07D409/12;;C07D409/14;;C07D487/04;;C07D409/14;;C07D211/16;;C07D231/12;;C07D241/04;;C07D295/195;;C07D405/04;;C07D409/12;;C07D487/04</t>
  </si>
  <si>
    <t>C07D409/14;;C07D211/16;;C07D231/12;;C07D241/04;;C07D295/195;;C07D405/04;;C07D409/12;;C07D487/04</t>
  </si>
  <si>
    <t>https://lens.org/104-965-444-702-479</t>
  </si>
  <si>
    <t>171-360-159-084-550</t>
  </si>
  <si>
    <t>US 10745361 B2</t>
  </si>
  <si>
    <t>ESTEVE PHARMACEUTICALS S.A (2016-07-04)</t>
  </si>
  <si>
    <t>Piperazine derivatives having multimodal activity against pain</t>
  </si>
  <si>
    <t>C07D249/06;;A61P25/00;;A61P25/02;;A61P25/04;;A61P25/06;;A61P43/00;;C07D231/12;;C07D233/64;;C07D249/04;;C07D401/04;;C07D401/06;;C07D401/12;;C07D401/14;;C07D403/06;;C07D487/04;;C07D487/08;;C07D403/06;;A61K31/18;;A61K31/4192;;A61K31/496;;C07D231/12;;C07D233/64;;C07D249/04;;C07D401/04;;C07D401/14;;C07D487/04;;C07D487/08;;A61K31/496;;A61P25/00;;C07D231/12;;C07D249/04;;C07D249/14;;C07D401/14;;C07D403/06;;C07D249/06;;C07D231/12;;C07D233/64;;C07D249/04;;C07D401/04;;C07D401/06;;C07D401/12;;C07D401/14;;C07D403/06;;C07D487/04;;C07D487/08</t>
  </si>
  <si>
    <t>A61P25/04;;A61K31/407;;A61K31/4155;;A61K31/4178;;A61K31/4192;;A61K31/4196;;A61K31/4439;;C07D231/12;;C07D233/64;;C07D249/04;;C07D249/06;;C07D401/04;;C07D401/06;;C07D401/12;;C07D401/14;;C07D403/06;;C07D487/04;;C07D487/08</t>
  </si>
  <si>
    <t>https://lens.org/171-360-159-084-550</t>
  </si>
  <si>
    <t>esteve pharmaceuticals, esteve labor dr</t>
  </si>
  <si>
    <t>024-718-263-555-686</t>
  </si>
  <si>
    <t>US 10703765 B2</t>
  </si>
  <si>
    <t>ESTEVE LABOR DR;;ESTEVE PHARMACEUTICALS SA</t>
  </si>
  <si>
    <t>ESTEVE PHARMACEUTICALS S.A (2016-11-21)</t>
  </si>
  <si>
    <t>Alkyl and aryl derivatives of 1-oxa-4,9-diazaspiro undecane compounds having multimodal activity against pain</t>
  </si>
  <si>
    <t>C07D519/00;;C07D498/10;;C07D498/10;;A61P25/04;;A61P25/06;;A61P29/00;;A61P43/00;;C07D519/00;;C07D498/10;;C07D519/00</t>
  </si>
  <si>
    <t>C07D498/10;;C07D519/00</t>
  </si>
  <si>
    <t>https://lens.org/024-718-263-555-686</t>
  </si>
  <si>
    <t>051-263-732-921-791</t>
  </si>
  <si>
    <t>US 2020/0207759 A1</t>
  </si>
  <si>
    <t>ESTEVE PHARMACEUTICALS S.A (2020-02-10)</t>
  </si>
  <si>
    <t>NEW PROPANAMINE DERIVATIVES FOR TREATING PAIN AND PAIN RELATED CONDITIONS</t>
  </si>
  <si>
    <t>C07D409/06;;C07D471/04;;C07D409/06;;A61K31/4045;;A61K31/437;;A61P25/02;;A61P25/22;;A61P25/24;;A61P29/00;;C07D471/04;;C07D471/04;;C07D409/06</t>
  </si>
  <si>
    <t>C07D471/04;;C07D409/06</t>
  </si>
  <si>
    <t>https://lens.org/051-263-732-921-791</t>
  </si>
  <si>
    <t>082-834-660-058-458</t>
  </si>
  <si>
    <t>US 2020/0199127 A1</t>
  </si>
  <si>
    <t>ESTEVE PHARMACEUTICALS S.A (2019-10-15)</t>
  </si>
  <si>
    <t>(HETERO)ARYLALKYLAMINO-PYRAZOLOPYRIDAZINE DERIVATIVES HAVING MULTIMODAL ACTIVITY AGAINST PAIN</t>
  </si>
  <si>
    <t>C07D487/04;;A61P25/04;;C07D487/04</t>
  </si>
  <si>
    <t>C07D487/04</t>
  </si>
  <si>
    <t>https://lens.org/082-834-660-058-458</t>
  </si>
  <si>
    <t>119-952-213-219-852</t>
  </si>
  <si>
    <t>US 10689398 B2</t>
  </si>
  <si>
    <t>OXA-Diazaspiro compounds having activity against pain</t>
  </si>
  <si>
    <t>C07D498/10;;A61P25/00;;A61P25/04;;A61P29/00;;A61P43/00;;C07D498/10;;A61K31/424;;A61P25/00;;C07D498/10</t>
  </si>
  <si>
    <t>C07D498/10</t>
  </si>
  <si>
    <t>https://lens.org/119-952-213-219-852</t>
  </si>
  <si>
    <t>078-996-428-682-616</t>
  </si>
  <si>
    <t>US 2020/0190081 A1</t>
  </si>
  <si>
    <t>ESTEVE PHARMACEUTICALS S.A (2019-06-25)</t>
  </si>
  <si>
    <t>META SUBSTITUTED PHENYLPYRAZOLO- AND PHENYLPYRROLO- PYRIDAZINE DERIVATIVES HAVING MULTIMODAL ACTIVITY AGAINST PAIN</t>
  </si>
  <si>
    <t>C07D487/04;;A61P29/00;;C07D471/04;;C07D473/02</t>
  </si>
  <si>
    <t>C07D471/04;;C07D473/02</t>
  </si>
  <si>
    <t>https://lens.org/078-996-428-682-616</t>
  </si>
  <si>
    <t>152-390-602-421-952</t>
  </si>
  <si>
    <t>US 2020/0190087 A1</t>
  </si>
  <si>
    <t>ESTEVE PHARMACEUTICALS S.A (2019-05-28)</t>
  </si>
  <si>
    <t>2-PHENYL-2H-PYRAZOLO[3,4-D]PYRIDAZINE DERIVATIVES HAVING ACTIVITY AGAINST PAIN</t>
  </si>
  <si>
    <t>C07D487/04;;A61P29/00;;C07D487/04</t>
  </si>
  <si>
    <t>https://lens.org/152-390-602-421-952</t>
  </si>
  <si>
    <t>055-684-069-328-14X</t>
  </si>
  <si>
    <t>EP 3083595 B1</t>
  </si>
  <si>
    <t>PIPERIDINE COMPOUNDS HAVING MULTIMODAL ACTIVITY AGAINST PAIN</t>
  </si>
  <si>
    <t>C07D401/06;;A61P25/04;;A61P25/06;;A61P43/00;;C07D401/14;;C07D401/06;;C07D401/14</t>
  </si>
  <si>
    <t>C07D401/14;;A61K31/4439;;A61P25/04;;A61P25/06;;C07D401/06</t>
  </si>
  <si>
    <t>https://lens.org/055-684-069-328-14X</t>
  </si>
  <si>
    <t>161-613-276-636-06X</t>
  </si>
  <si>
    <t>US 2020/0123115 A1</t>
  </si>
  <si>
    <t>ESTEVE PHARMACEUTICALS S.A (2019-11-27)</t>
  </si>
  <si>
    <t>COMPOUNDS HAVING MULTIMODAL ACTIVITY AGAINST PAIN</t>
  </si>
  <si>
    <t>C07D239/26;;C07D213/30;;C07D213/64;;C07D237/08;;C07D239/34;;C07D239/38;;C07D239/42;;C07D277/24;;C07D333/16;;C07D403/04;;C07D403/12;;C07D409/12;;C07D409/14;;C07D239/34;;C07D213/30;;C07D213/64;;C07D237/08;;C07D239/26;;C07D239/38;;C07D239/42;;C07D277/24;;C07D333/16;;C07D403/12;;C07D409/12;;C07D409/14</t>
  </si>
  <si>
    <t>C07D239/34;;C07D213/30;;C07D213/64;;C07D237/08;;C07D239/26;;C07D239/38;;C07D239/42;;C07D277/24;;C07D333/16;;C07D403/12;;C07D409/12;;C07D409/14</t>
  </si>
  <si>
    <t>https://lens.org/161-613-276-636-06X</t>
  </si>
  <si>
    <t>185-056-638-767-65X</t>
  </si>
  <si>
    <t>US 10590140 B2</t>
  </si>
  <si>
    <t>ESTEVE PHARMACEUTICALS S.A (2018-11-30)</t>
  </si>
  <si>
    <t>Tetrahydropyrimidodiazepine and dihydropyridodiazepine compounds for treating pain and pain related conditions</t>
  </si>
  <si>
    <t>C07D487/04;;A61P25/00;;A61P29/00;;C07D471/04;;C07D498/10;;C07D471/04;;A61K31/551;;A61P25/00;;A61P29/00;;C07D487/04;;C07D498/10;;C07D487/04;;A61P25/00;;A61P29/00;;C07D471/04;;C07D498/10</t>
  </si>
  <si>
    <t>C07D471/04;;A61K31/551;;A61P25/00;;A61P29/00;;C07D487/04;;C07D498/10</t>
  </si>
  <si>
    <t>https://lens.org/185-056-638-767-65X</t>
  </si>
  <si>
    <t>140-576-858-678-938</t>
  </si>
  <si>
    <t>EP 2989105 B1</t>
  </si>
  <si>
    <t>PYRAZINO[1,2-A]INDOLE COMPOUNDS, THEIR PREPARATION AND USE IN MEDICAMENTS</t>
  </si>
  <si>
    <t>C07D487/04;;A61P1/04;;A61P1/12;;A61P3/04;;A61P3/06;;A61P9/00;;A61P9/06;;A61P9/12;;A61P19/02;;A61P25/04;;A61P25/06;;A61P25/08;;A61P25/14;;A61P25/18;;A61P25/22;;A61P25/24;;A61P25/28;;A61P25/32;;A61P25/34;;A61P25/36;;A61P27/06;;A61P29/00;;A61P35/00;;A61P37/06;;A61P43/00;;C07D487/04</t>
  </si>
  <si>
    <t>C07D487/04;;A61K31/4985;;A61K31/55;;A61P29/00</t>
  </si>
  <si>
    <t>https://lens.org/140-576-858-678-938</t>
  </si>
  <si>
    <t>126-556-755-865-794</t>
  </si>
  <si>
    <t>US 10577360 B2</t>
  </si>
  <si>
    <t>ESTEVE PHARMACEUTICALS S.A (2018-10-02)</t>
  </si>
  <si>
    <t>Arylamide derivatives having multimodal activity against pain</t>
  </si>
  <si>
    <t>C07D413/10;;A61P25/04;;C07D401/12;;C07D401/14;;C07D405/14;;C07D407/14;;C07D409/12;;C07D409/14;;C07D413/14;;C07D417/14;;C07D413/10;;A61P25/04;;C07D401/12;;C07D401/14;;C07D405/14;;C07D407/14;;C07D409/12;;C07D409/14;;C07D413/14;;C07D417/14</t>
  </si>
  <si>
    <t>C07D413/10;;A61P25/04;;C07D401/12;;C07D401/14;;C07D405/14;;C07D407/14;;C07D409/12;;C07D409/14;;C07D413/14;;C07D417/14</t>
  </si>
  <si>
    <t>https://lens.org/126-556-755-865-794</t>
  </si>
  <si>
    <t>043-984-911-055-841</t>
  </si>
  <si>
    <t>US 2020/0062767 A1</t>
  </si>
  <si>
    <t>SUBSTITUTED PYRROLIDINYL AND PIPERIDINYL PYRAZOLOPYRIDAZINE DERIVATIVES HAVING MULTIMODAL ACTIVITY AGAINST PAIN</t>
  </si>
  <si>
    <t>C07D487/04;;C07D487/04</t>
  </si>
  <si>
    <t>https://lens.org/043-984-911-055-841</t>
  </si>
  <si>
    <t>003-849-933-256-748</t>
  </si>
  <si>
    <t>EP 3365345 B1</t>
  </si>
  <si>
    <t>OXA-AZASPIRO COMPOUNDS HAVING ACTIVITY AGAINST PAIN</t>
  </si>
  <si>
    <t>C07D265/34;;A61P25/04;;A61P29/00;;C07D498/10;;C07D265/34;;C07D498/10</t>
  </si>
  <si>
    <t>https://lens.org/003-849-933-256-748</t>
  </si>
  <si>
    <t>020-879-815-447-694</t>
  </si>
  <si>
    <t>US 10562908 B2</t>
  </si>
  <si>
    <t>Ortho substituted phenylpyrazolo- and phenylpyrrolo-pyridazine derivatives having multimodal activity against pain</t>
  </si>
  <si>
    <t>C07D487/04;;A61P29/00;;C07D487/04;;A61P29/00</t>
  </si>
  <si>
    <t>https://lens.org/020-879-815-447-694</t>
  </si>
  <si>
    <t>063-732-338-101-132</t>
  </si>
  <si>
    <t>US 2020/0002283 A1</t>
  </si>
  <si>
    <t>ESTEVE PHARMACEUTICALS S.A (2018-11-20)</t>
  </si>
  <si>
    <t>PYRAZOLE DERIVATIVES HAVING ACTIVITY AGAINST PAIN</t>
  </si>
  <si>
    <t>C07D231/12;;A61P29/00;;C07D231/22;;C07D401/04;;C07D231/12;;C07D401/04;;C07D401/06;;C07D403/04;;C07D413/06;;C07D417/12</t>
  </si>
  <si>
    <t>C07D231/12;;C07D401/04;;C07D401/06;;C07D403/04;;C07D413/06;;C07D417/12</t>
  </si>
  <si>
    <t>https://lens.org/063-732-338-101-132</t>
  </si>
  <si>
    <t>148-758-516-568-34X</t>
  </si>
  <si>
    <t>US 10508114 B2</t>
  </si>
  <si>
    <t>ESTEVE PHARMACEUTICALS S.A (2017-11-20)</t>
  </si>
  <si>
    <t>Spiro-isoquinoline-4,4′-piperidine compounds having multimodal activity against pain</t>
  </si>
  <si>
    <t>C07D471/10;;C07D471/10</t>
  </si>
  <si>
    <t>C07D471/10</t>
  </si>
  <si>
    <t>https://lens.org/148-758-516-568-34X</t>
  </si>
  <si>
    <t>164-346-235-114-527</t>
  </si>
  <si>
    <t>US 2019/0345146 A1</t>
  </si>
  <si>
    <t>NITROGEN CONTAINING BICYCLIC DERIVATIVES FOR TREATING PAIN AND PAIN RELATED CONDITIONS</t>
  </si>
  <si>
    <t>C07D409/12;;A61P25/00;;A61P29/00;;C07D215/14;;C07D217/02;;C07D237/30;;C07D409/12;;A61K31/4725;;A61K31/502;;A61K31/517;;A61P25/00;;C07D215/06;;C07D217/02;;C07D237/30;;C07D239/72;;C07D401/12</t>
  </si>
  <si>
    <t>C07D409/12;;C07D215/06;;C07D237/30</t>
  </si>
  <si>
    <t>https://lens.org/164-346-235-114-527</t>
  </si>
  <si>
    <t>042-214-864-707-108</t>
  </si>
  <si>
    <t>US 10428051 B2</t>
  </si>
  <si>
    <t>ESTEVE PHARMACEUTICALS S.A (2018-01-15)</t>
  </si>
  <si>
    <t>Substituted amide derivatives having multimodal activity against pain</t>
  </si>
  <si>
    <t>C07D405/04;;A61P25/04;;C07D211/26;;C07D213/38;;C07D213/75;;C07D277/46;;C07D295/12;;C07D295/125;;C07D295/13;;C07D295/135;;C07D295/192;;C07D305/06;;C07D307/54;;C07D309/06;;C07D311/96;;C07D333/38;;C07D401/04;;C07D401/12;;C07D405/12;;C07D405/14;;C07D409/12;;C07D409/14;;C07D417/14;;C07D487/04;;C07D405/04;;A61P25/04;;C07D211/26;;C07D213/38;;C07D213/75;;C07D277/46;;C07D295/12;;C07D295/125;;C07D295/13;;C07D295/135;;C07D295/192;;C07D305/06;;C07D307/54;;C07D309/06;;C07D311/96;;C07D333/38;;C07D401/04;;C07D401/12;;C07D405/12;;C07D405/14;;C07D409/12;;C07D409/14;;C07D417/14;;C07D487/04</t>
  </si>
  <si>
    <t>C07D405/04;;A61P25/04;;C07D211/26;;C07D213/38;;C07D213/75;;C07D277/46;;C07D295/12;;C07D295/125;;C07D295/13;;C07D295/135;;C07D295/192;;C07D305/06;;C07D307/54;;C07D309/06;;C07D311/96;;C07D333/38;;C07D401/04;;C07D401/12;;C07D405/12;;C07D405/14;;C07D409/12;;C07D409/14;;C07D417/14;;C07D487/04</t>
  </si>
  <si>
    <t>https://lens.org/042-214-864-707-108</t>
  </si>
  <si>
    <t>161-420-355-872-158</t>
  </si>
  <si>
    <t>EP 3328847 B1</t>
  </si>
  <si>
    <t>N-(2-(3-(BENZYL(METHYL)AMINO)PYRROLIDIN-1-YL)ETHYL)-N-PHENYL)PROPIONAMIDE DERIVATIVES AND RELATED COMPOUNDS AS DUAL SIGMA 1 AND MU OPIOID RECEPTOR LIGANDS FOR THE TREATMENT OF PAIN</t>
  </si>
  <si>
    <t>C07D401/12;;A61P25/04;;C07D211/56;;C07D487/04;;C07D401/12;;A61P25/04;;A61P29/00;;C07B2200/07;;C07B2200/09;;C07D211/56;;C07D487/04</t>
  </si>
  <si>
    <t>C07D401/12;;A61K31/40;;A61K31/4439;;A61P25/04;;C07D211/56;;C07D487/04</t>
  </si>
  <si>
    <t>https://lens.org/161-420-355-872-158</t>
  </si>
  <si>
    <t>108-298-129-657-689</t>
  </si>
  <si>
    <t>US 10407428 B2</t>
  </si>
  <si>
    <t>ESTEVE PHARMACEUTICALS S.A (2017-05-08)</t>
  </si>
  <si>
    <t>Spiro-isoquinoline-1,4′-piperidine compounds having multimodal activity against pain</t>
  </si>
  <si>
    <t>C07D471/10;;C07D471/10;;A61P25/04;;C07D471/20;;C07D471/10;;A61P25/04;;C07D471/20</t>
  </si>
  <si>
    <t>C07D471/10;;A61K31/423;;A61P25/04;;C07D471/20</t>
  </si>
  <si>
    <t>https://lens.org/108-298-129-657-689</t>
  </si>
  <si>
    <t>167-997-823-191-244</t>
  </si>
  <si>
    <t>EP 2989104 B1</t>
  </si>
  <si>
    <t>C07D487/04;;A61P1/04;;A61P1/12;;A61P3/04;;A61P3/06;;A61P9/06;;A61P9/12;;A61P19/02;;A61P21/04;;A61P25/00;;A61P25/04;;A61P25/06;;A61P25/08;;A61P25/14;;A61P25/18;;A61P25/22;;A61P25/24;;A61P25/28;;A61P25/30;;A61P25/32;;A61P25/34;;A61P25/36;;A61P27/06;;A61P29/00;;A61P35/00;;A61P37/02;;A61P39/00;;A61P43/00;;C07D519/00;;C07D487/04;;A61K31/4985;;C07D487/04;;C07D519/00</t>
  </si>
  <si>
    <t>C07D487/04;;A61K31/4985;;A61K31/5377;;A61K31/55;;A61K31/551;;A61K31/553;;A61P29/00</t>
  </si>
  <si>
    <t>https://lens.org/167-997-823-191-244</t>
  </si>
  <si>
    <t>124-790-781-153-750</t>
  </si>
  <si>
    <t>EP 3083628 B1</t>
  </si>
  <si>
    <t>FUSED IMIDAZOLYL DERIVATIVES, THEIR PREPARATION AND USE AS MEDICAMENTS</t>
  </si>
  <si>
    <t>C07D487/04;;A61P1/04;;A61P1/12;;A61P3/00;;A61P3/04;;A61P3/06;;A61P9/00;;A61P9/06;;A61P9/12;;A61P19/02;;A61P21/00;;A61P25/00;;A61P25/04;;A61P25/06;;A61P25/08;;A61P25/18;;A61P25/22;;A61P25/24;;A61P25/28;;A61P25/32;;A61P25/34;;A61P25/36;;A61P27/06;;A61P29/00;;A61P35/00;;A61P37/06;;A61P43/00;;C07D487/04;;A61K9/20;;A61K9/48;;A61K31/4985;;C07D487/04</t>
  </si>
  <si>
    <t>C07D487/04;;A61K31/4985;;A61P1/12;;A61P3/04;;A61P3/06;;A61P9/00;;A61P25/00;;A61P25/04;;A61P35/00</t>
  </si>
  <si>
    <t>https://lens.org/124-790-781-153-750</t>
  </si>
  <si>
    <t>184-469-992-077-319</t>
  </si>
  <si>
    <t>US 2019/0142840 A1</t>
  </si>
  <si>
    <t>ESTEVE PHARMACEUTICALS S.A (2019-04-29)</t>
  </si>
  <si>
    <t>USE OF SIGMA RECEPTOR LIGANDS IN CANCER</t>
  </si>
  <si>
    <t>A61K31/5377;;A61K31/337;;A61K31/415;;A61K31/4155;;A61K31/555;;A61P35/00;;A61K31/5377;;A61K31/337;;A61K31/415;;A61K31/4155;;A61K31/555;;A61K33/243;;A61P35/00</t>
  </si>
  <si>
    <t>A61K31/5377;;A61K31/337;;A61K31/555;;A61K33/243;;A61P35/00</t>
  </si>
  <si>
    <t>https://lens.org/184-469-992-077-319</t>
  </si>
  <si>
    <t>021-463-468-990-859</t>
  </si>
  <si>
    <t>US 2019/0055217 A1</t>
  </si>
  <si>
    <t>PIPERIDINYLALKYLAMIDE DERIVATIVES HAVING MULTIMODAL ACTIVITY AGAINST PAIN</t>
  </si>
  <si>
    <t>C07D401/12;;A61K31/4535;;A61K31/454;;A61K31/497;;A61K31/506;;A61P25/04;;C07D413/12;;C07D417/12;;C07D401/12;;A61K31/4535;;A61K31/454;;A61K31/497;;A61K31/506;;A61P25/04;;C07D413/12;;C07D417/12</t>
  </si>
  <si>
    <t>C07D401/12;;A61P25/04;;C07D413/12;;C07D417/12</t>
  </si>
  <si>
    <t>https://lens.org/021-463-468-990-859</t>
  </si>
  <si>
    <t>011-388-130-369-782</t>
  </si>
  <si>
    <t>EP 3233805 B1</t>
  </si>
  <si>
    <t>METHYL-1H-PYRAZOLE-ALKYLAMINE COMPOUNDS HAVING MULTIMODAL ACTIVITY AGAINST PAIN</t>
  </si>
  <si>
    <t>C07D231/12;;A61P25/04;;C07D401/12;;C07D409/06;;C07D417/06;;C07D231/12;;C07D401/12;;C07D409/06;;C07D417/06</t>
  </si>
  <si>
    <t>C07D231/12;;A61K31/415;;A61P25/04;;C07D401/12;;C07D409/06;;C07D417/06</t>
  </si>
  <si>
    <t>https://lens.org/011-388-130-369-782</t>
  </si>
  <si>
    <t>163-232-208-769-120</t>
  </si>
  <si>
    <t>US 2019/0031615 A1</t>
  </si>
  <si>
    <t>ESTEVE LABOR DR</t>
  </si>
  <si>
    <t>ESTEVE PHARMACEUTICALS S.A (2018-07-11)</t>
  </si>
  <si>
    <t>3-ETHYL-3-PHENYLAZEPANE DERIVATIVES HAVING MULTIMODAL ACTIVITY AGAINST PAIN</t>
  </si>
  <si>
    <t>C07D223/04;;A61P29/00;;C07D401/12;;C07D223/04;;C07D401/12</t>
  </si>
  <si>
    <t>C07D223/04;;C07D401/12</t>
  </si>
  <si>
    <t>https://lens.org/163-232-208-769-120</t>
  </si>
  <si>
    <t>126-395-082-022-64X</t>
  </si>
  <si>
    <t>US 10189828 B2</t>
  </si>
  <si>
    <t>ESTEVE PHARMACEUTICALS S.A (2017-05-10)</t>
  </si>
  <si>
    <t>1-methylpyrazole-piperazine compounds having multimodal activity against pain</t>
  </si>
  <si>
    <t>C07D417/12;;A61K31/4523;;A61K31/496;;C07D231/12;;C07D401/06;;C07D401/12;;C07D401/14;;C07D403/06;;C07D417/14;;C07D417/12;;A61K31/4523;;A61K31/496;;C07D231/12;;C07D401/06;;C07D401/12;;C07D401/14;;C07D403/06;;C07D417/14</t>
  </si>
  <si>
    <t>C07D231/12;;A61K31/4523;;A61K31/496;;C07D401/06;;C07D401/12;;C07D401/14;;C07D403/06;;C07D403/14;;C07D417/12;;C07D417/14</t>
  </si>
  <si>
    <t>https://lens.org/126-395-082-022-64X</t>
  </si>
  <si>
    <t>036-998-192-740-431</t>
  </si>
  <si>
    <t>EP 3288941 B1</t>
  </si>
  <si>
    <t>SPIRO-ISOQUINOLINE-3,4'-PIPERIDINE COMPOUNDS HAVING ACTIVITY AGAINST PAIN</t>
  </si>
  <si>
    <t>C07D471/10;;A61P25/00;;A61P25/04;;A61P29/00;;C07D471/10;;A61P25/00;;A61P25/04;;A61P29/00</t>
  </si>
  <si>
    <t>C07D471/10;;A61K31/4747;;A61P25/00</t>
  </si>
  <si>
    <t>https://lens.org/036-998-192-740-431</t>
  </si>
  <si>
    <t>012-027-877-425-394</t>
  </si>
  <si>
    <t>EP 3164403 B8</t>
  </si>
  <si>
    <t>ESTEVE PHARMACEUTICALS, S.A., ES (2020-10-30);;ESTEVE PHARMACEUTICALS, S.A.; ES (2018-11-14);;ESTEVE PHARMACEUTICALS, S.A. (2018-09-12)</t>
  </si>
  <si>
    <t>TRICYCLIC TRIAZOLIC COMPOUNDS</t>
  </si>
  <si>
    <t>C07D487/14;;C07D487/14;;A61P1/12;;A61P3/04;;A61P3/06;;A61P9/06;;A61P9/12;;A61P19/02;;A61P25/00;;A61P25/04;;A61P25/06;;A61P25/28;;A61P25/32;;A61P25/34;;A61P25/36;;A61P27/06;;A61P29/00;;A61P43/00;;C07D487/14;;A61K31/4192;;A61K31/4985;;C07D487/14</t>
  </si>
  <si>
    <t>C07D487/14;;A61K31/4985;;A61P25/00</t>
  </si>
  <si>
    <t>https://lens.org/012-027-877-425-394</t>
  </si>
  <si>
    <t>035-993-623-661-358</t>
  </si>
  <si>
    <t>US 10065971 B2</t>
  </si>
  <si>
    <t>Amide derivatives of 1-oxa-4,9-diazaspiro undecane compounds having multimodal activity against pain</t>
  </si>
  <si>
    <t>C07D498/10;;C07D498/10;;A61P23/00;;A61P25/04;;A61P25/06;;A61P29/00;;C07D498/10</t>
  </si>
  <si>
    <t>https://lens.org/035-993-623-661-358</t>
  </si>
  <si>
    <t>104-464-564-428-894</t>
  </si>
  <si>
    <t>EP 3027587 B1</t>
  </si>
  <si>
    <t>ESTEVE PHARMACEUTICALS, S.A., ES (2019-01-14);;ESTEVE PHARMACEUTICALS, S.A.; ES (2018-10-18);;ESTEVE PHARMACEUTICALS, S.A. (2018-09-12)</t>
  </si>
  <si>
    <t>1,2-DISUBSTITUTED CYCLOBUTYL COMPOUNDS</t>
  </si>
  <si>
    <t>C07D401/12;;A61P1/04;;A61P1/12;;A61P3/04;;A61P3/06;;A61P9/00;;A61P9/06;;A61P9/10;;A61P9/12;;A61P25/00;;A61P25/04;;A61P25/06;;A61P25/08;;A61P25/18;;A61P25/22;;A61P25/24;;A61P25/28;;A61P25/30;;A61P25/34;;A61P25/36;;A61P27/06;;A61P29/00;;A61P35/00;;A61P37/04;;A61P43/00;;C07C217/44;;C07C2601/04;;C07D207/06;;C07D211/14;;C07D231/22;;C07D295/03;;C07D295/096;;C07D401/12;;C07C211/17;;C07C217/44;;C07C2601/04;;C07D207/06;;C07D211/14;;C07D231/22;;C07D295/03;;C07D295/096</t>
  </si>
  <si>
    <t>C07C217/44;;A61K31/13;;A61K31/415;;A61K31/435;;A61P25/00;;C07D211/14;;C07D295/096;;C07D401/12;;C07D413/12</t>
  </si>
  <si>
    <t>https://lens.org/104-464-564-428-894</t>
  </si>
  <si>
    <t>011-423-698-408-44X</t>
  </si>
  <si>
    <t>US 10022359 B2</t>
  </si>
  <si>
    <t>ESTEVE PHARMACEUTICALS S.A (2017-05-05)</t>
  </si>
  <si>
    <t>1,9-diazaspiro undecane compounds having multimodal activity against pain</t>
  </si>
  <si>
    <t>C07D471/10;;C07D498/10;;A61K31/435;;A61K31/438;;A61P25/00;;A61P25/04;;A61P25/06;;A61P29/00;;A61P35/00;;C07D471/10;;C07D471/20;;A61K31/435;;A61K31/438;;C07D471/10;;C07D471/20</t>
  </si>
  <si>
    <t>C07D471/10;;A61K31/435;;A61K31/438;;C07D471/20</t>
  </si>
  <si>
    <t>https://lens.org/011-423-698-408-44X</t>
  </si>
  <si>
    <t>019-476-379-092-433</t>
  </si>
  <si>
    <t>AU 2014/255679 B2</t>
  </si>
  <si>
    <t>ESTEVE PHARMACEUTICALS, S.A. (2018-12-06)</t>
  </si>
  <si>
    <t>Tricyclic triazolic compounds as sigma receptors ligans</t>
  </si>
  <si>
    <t>C07D498/14;;C07D498/16;;A61P1/12;;A61P19/02;;A61P25/00;;A61P25/04;;A61P25/06;;A61P25/08;;A61P25/14;;A61P25/18;;A61P25/22;;A61P25/24;;A61P25/28;;A61P25/30;;A61P25/32;;A61P25/34;;A61P25/36;;A61P27/06;;A61P29/00;;A61P3/04;;A61P35/00;;A61P3/06;;A61P37/02;;A61P43/00;;A61P9/06;;A61P9/10;;A61P9/12;;A61K31/5383;;C07D498/14;;C07D498/14;;C07D498/16</t>
  </si>
  <si>
    <t>C07D498/14;;A61K31/5383;;A61P25/00</t>
  </si>
  <si>
    <t>https://lens.org/019-476-379-092-433</t>
  </si>
  <si>
    <t>190-020-133-809-582</t>
  </si>
  <si>
    <t>EP 3336085 A1</t>
  </si>
  <si>
    <t>PROCESS AND INTERMEDIATE FOR THE PREPARATION OF 1-(4-(2-((1-(3,4-DIFLUOROPHENYL)-1H-PYRAZOL-3-YL)METHOXY)ETHYL)PIPERAZIN-1-YL)ETHANONE</t>
  </si>
  <si>
    <t>C07D231/12;;A61P29/00;;C07D231/24;;C07D401/12;;C07D403/12;;C07D413/12</t>
  </si>
  <si>
    <t>C07D403/12;;C07D231/12;;C07D231/24;;C07D401/12;;C07D413/12</t>
  </si>
  <si>
    <t>https://lens.org/190-020-133-809-582</t>
  </si>
  <si>
    <t>115-417-901-091-805</t>
  </si>
  <si>
    <t>EP 2817309 B1</t>
  </si>
  <si>
    <t>ESTEVE PHARMACEUTICALS, S.A., ES (2018-10-22);;ESTEVE PHARMACEUTICALS, S.A. (2018-09-12)</t>
  </si>
  <si>
    <t>SUBSTITUTED PYRAZOLO[1,5-A]PYRIDINES, THEIR PREPARATION AND USE AS MEDICAMENTS</t>
  </si>
  <si>
    <t>C07D471/04;;C07D519/00;;C07D471/04;;A61P1/04;;A61P1/12;;A61P3/04;;A61P3/06;;A61P9/00;;A61P9/06;;A61P9/12;;A61P19/02;;A61P25/00;;A61P25/06;;A61P25/10;;A61P25/18;;A61P25/22;;A61P25/24;;A61P25/28;;A61P25/32;;A61P25/34;;A61P25/36;;A61P27/06;;A61P29/00;;A61P35/00;;A61P37/06;;A61P43/00;;C07D491/107;;C07D519/00;;C07D471/04;;C07D491/107;;C07D519/00</t>
  </si>
  <si>
    <t>C07D471/04;;A61K31/437;;A61P25/18</t>
  </si>
  <si>
    <t>https://lens.org/115-417-901-091-805</t>
  </si>
  <si>
    <t>042-319-878-937-765</t>
  </si>
  <si>
    <t>EP 3328365 A1</t>
  </si>
  <si>
    <t>USE OF SIGMA RECEPTOR LIGANDS IN DYSLIPIDEMIA</t>
  </si>
  <si>
    <t>A61K31/00;;A61K31/415;;A61K31/5375;;A61P3/06;;A61P9/10</t>
  </si>
  <si>
    <t>https://lens.org/042-319-878-937-765</t>
  </si>
  <si>
    <t>198-823-241-195-178</t>
  </si>
  <si>
    <t>EP 2773348 B1</t>
  </si>
  <si>
    <t>ESTEVE PHARMACEUTICALS, S.A., ES (2019-03-27);;TOWA PHARMACEUTICAL EUROPE, S.L., ES (2022-05-23);;TOWA PHARMACEUTICAL EUROPE, S.L.; ES (2021-04-01);;ESTEVE PHARMACEUTICALS, S.A.; ES (2018-12-10);;DOSE INNOVA, S.L. (2019-12-27);;TOWA PHARMACEUTICAL EUROPE, S.L. (2021-03-08);;ESTEVE PHARMACEUTICALS, S.A. (2018-10-22);;DOSE INNOVA, S.L.; ES (2020-04-03)</t>
  </si>
  <si>
    <t>PHARMACEUTICAL COMPOSITION OF OMEPRAZOLE</t>
  </si>
  <si>
    <t>A61K9/5026;;A61K9/2846;;A61K9/2886;;A61K9/5078;;A61K31/4439;;A61P1/00;;A61P1/04;;A61K9/2054;;A61K9/2086;;A61K31/4439;;A61K2121/00;;A61K9/5026;;A61K9/2846;;A61K9/2886;;A61K9/5078;;A61K31/4439</t>
  </si>
  <si>
    <t>A61K31/4439;;A61K9/28;;A61K9/50;;A61P1/04</t>
  </si>
  <si>
    <t>https://lens.org/198-823-241-195-178</t>
  </si>
  <si>
    <t>152-433-635-525-392</t>
  </si>
  <si>
    <t>EP 3233078 A1</t>
  </si>
  <si>
    <t>USE OF SIGMA RECEPTOR LIGANDS IN OSTEOARTHRITIS</t>
  </si>
  <si>
    <t>A61K31/415;;A61K31/496;;A61K31/5377;;A61K31/415;;A61K31/496;;A61K31/5377;;A61P19/02;;A61P25/00;;A61P25/02;;A61P25/04;;A61P29/00;;A61P29/02;;A61P43/00;;A61K31/415;;A61K31/496;;A61K31/5377;;A61K31/415;;A61K31/496;;A61K31/5377;;A61K45/06;;A61K2300/00</t>
  </si>
  <si>
    <t>A61K31/415;;A61K31/496;;A61K31/5377;;A61P19/02</t>
  </si>
  <si>
    <t>https://lens.org/152-433-635-525-392</t>
  </si>
  <si>
    <t>025-179-916-070-843</t>
  </si>
  <si>
    <t>EP 2941424 B1</t>
  </si>
  <si>
    <t>ESTEVE PHARMACEUTICALS, S.A., ES (2019-12-02);;ESTEVE PHARMACEUTICALS, S.A.; ES (2019-04-29);;ESTEVE PHARMACEUTICALS, S.A. (2018-10-22)</t>
  </si>
  <si>
    <t>1,2,3-TRIAZOLE-4-AMINE DERIVATIVES FOR THE TREATMENT OF SIGMA RECEPTOR RELATED DISEASES AND DISORDERS</t>
  </si>
  <si>
    <t>C07D249/04;;A61P1/00;;A61P1/04;;A61P1/12;;A61P3/00;;A61P3/04;;A61P3/06;;A61P5/00;;A61P9/00;;A61P9/06;;A61P9/10;;A61P9/12;;A61P19/00;;A61P19/02;;A61P25/00;;A61P25/04;;A61P25/06;;A61P25/08;;A61P25/14;;A61P25/18;;A61P25/22;;A61P25/24;;A61P25/28;;A61P25/30;;A61P25/32;;A61P25/34;;A61P25/36;;A61P27/00;;A61P27/06;;A61P29/00;;A61P35/00;;A61P37/00;;A61P37/06;;A61P43/00;;C07D249/06;;C07D295/185;;C07D401/12;;C07D249/04;;C07D249/06;;C07D295/185;;C07D401/12;;C07F7/10</t>
  </si>
  <si>
    <t>C07D401/12;;A61K31/4192;;A61K31/4439;;A61K31/496;;A61K31/5377;;A61P1/00;;A61P3/00;;A61P5/00;;A61P9/00;;A61P19/00;;A61P25/00;;A61P35/00;;C07D249/04;;C07D249/06;;C07D295/185;;C07F7/10</t>
  </si>
  <si>
    <t>https://lens.org/025-179-916-070-843</t>
  </si>
  <si>
    <t>063-832-515-795-488</t>
  </si>
  <si>
    <t>EP 2766344 B1</t>
  </si>
  <si>
    <t>ESTEVE PHARMACEUTICALS, S.A., ES (2018-12-05);;ESTEVE PHARMACEUTICALS, S.A. (2018-10-22)</t>
  </si>
  <si>
    <t>EP1 RECEPTOR LIGANDS</t>
  </si>
  <si>
    <t>C07D209/08;;C07D209/12;;C07D209/34;;C07D215/36;;C07D215/48;;C07D231/56;;C07D235/06;;C07D241/42;;C07D265/36;;C07D405/12;;C07D471/04;;C07D487/04;;C07D209/42;;A61P1/00;;A61P1/04;;A61P9/00;;A61P9/10;;A61P13/02;;A61P13/12;;A61P15/00;;A61P15/06;;A61P17/00;;A61P17/02;;A61P19/02;;A61P19/10;;A61P25/00;;A61P25/04;;A61P25/06;;A61P25/14;;A61P25/16;;A61P25/28;;A61P27/02;;A61P29/00;;A61P31/12;;A61P35/00;;A61P43/00;;C07D209/08;;C07D209/12;;C07D209/34;;C07D215/48;;C07D231/56;;C07D235/06;;C07D241/42;;C07D265/36;;C07D401/06;;C07D405/06;;C07D405/12;;C07D471/04;;C07D487/04;;C07D209/42;;C07D209/08;;C07D209/12;;C07D209/34;;C07D215/48;;C07D231/56;;C07D235/06;;C07D241/42;;C07D265/36;;C07D401/06;;C07D405/06;;C07D405/12;;C07D471/04;;C07D487/04</t>
  </si>
  <si>
    <t>C07D215/48;;C07D209/08;;C07D209/12;;C07D209/34;;C07D209/42;;C07D231/56;;C07D235/06;;C07D241/42;;C07D265/36;;C07D401/06;;C07D405/06;;C07D405/12;;C07D471/04;;C07D487/04</t>
  </si>
  <si>
    <t>https://lens.org/063-832-515-795-488</t>
  </si>
  <si>
    <t>016-446-120-654-883</t>
  </si>
  <si>
    <t>US 9617281 B2</t>
  </si>
  <si>
    <t>ESTEVE LABOR DR;;ESTEVE LABOR DR</t>
  </si>
  <si>
    <t>ESTEVE PHARMACEUTICALS S.A (2015-03-15)</t>
  </si>
  <si>
    <t>Imidazo[2,1-b]thiazole derivatives, their preparation and use as medicaments</t>
  </si>
  <si>
    <t>C07D513/04;;C07D513/04;;A61P1/04;;A61P1/12;;A61P3/04;;A61P3/06;;A61P9/06;;A61P9/10;;A61P9/12;;A61P19/02;;A61P25/00;;A61P25/04;;A61P25/06;;A61P25/08;;A61P25/14;;A61P25/18;;A61P25/22;;A61P25/24;;A61P25/28;;A61P25/30;;A61P25/32;;A61P25/34;;A61P25/36;;A61P27/06;;A61P29/00;;A61P35/00;;A61P37/06;;A61P43/00;;C07D513/04</t>
  </si>
  <si>
    <t>C07D513/04</t>
  </si>
  <si>
    <t>https://lens.org/016-446-120-654-883</t>
  </si>
  <si>
    <t>186-062-900-717-509</t>
  </si>
  <si>
    <t>EP 2807169 B1</t>
  </si>
  <si>
    <t>ESTEVE PHARMACEUTICALS, S.A. (2018-10-22)</t>
  </si>
  <si>
    <t>SUBSTITUTED PYRANO AND FURANOQUINOLINES, THEIR PREPARATION AND USE AS MEDICAMENTS</t>
  </si>
  <si>
    <t>C07D491/048;;C07D491/052;;A61K31/4741;;A61K31/5377;;A61P1/04;;A61P3/04;;A61P3/06;;A61P9/06;;A61P9/12;;A61P19/02;;A61P25/00;;A61P25/04;;A61P25/06;;A61P25/08;;A61P25/18;;A61P25/22;;A61P25/24;;A61P25/28;;A61P25/36;;A61P27/06;;A61P35/00;;A61P43/00;;C07D491/04;;C07D491/048;;C07D491/052;;A61K31/4741;;A61K31/5377;;C07D491/04;;C07D491/048;;C07D491/052</t>
  </si>
  <si>
    <t>C07D491/04;;A61K31/436;;A61P25/04</t>
  </si>
  <si>
    <t>https://lens.org/186-062-900-717-509</t>
  </si>
  <si>
    <t>002-043-967-476-117</t>
  </si>
  <si>
    <t>EP 2734524 B1</t>
  </si>
  <si>
    <t>ESTEVE PHARMACEUTICALS S.A., ES (2018-07-16);;ESTEVE PHARMACEUTICALS, S.A. (2018-10-22)</t>
  </si>
  <si>
    <t>PYRAZOLO[3,4-d]PYRIMIDINE COMPOUNDS, THEIR PREPARATION AND USE AS SIGMA LIGANDS</t>
  </si>
  <si>
    <t>C07D487/04;;C07D487/04;;A61P1/04;;A61P3/04;;A61P3/06;;A61P7/00;;A61P9/06;;A61P9/10;;A61P9/12;;A61P19/02;;A61P25/04;;A61P25/06;;A61P25/08;;A61P25/18;;A61P25/22;;A61P25/24;;A61P25/28;;A61P25/30;;A61P25/32;;A61P25/36;;A61P27/06;;A61P29/00;;A61P31/04;;A61P35/00;;A61P37/06;;A61P43/00;;C07D487/04</t>
  </si>
  <si>
    <t>C07D487/04;;A61K31/519</t>
  </si>
  <si>
    <t>https://lens.org/002-043-967-476-117</t>
  </si>
  <si>
    <t>140-217-613-567-987</t>
  </si>
  <si>
    <t>US 9493434 B2</t>
  </si>
  <si>
    <t>ESTEVE PHARMACEUTICALS S.A (2015-03-03)</t>
  </si>
  <si>
    <t>Substituted indenes as medicaments</t>
  </si>
  <si>
    <t>C07D295/03;;C07D211/14;;C07D213/38;;C07D213/61;;C07D231/12;;C07D239/26;;C07D249/06;;C07D261/08;;C07D295/073;;C07D295/096;;C07D333/20;;C07D295/03;;A61P1/00;;A61P1/04;;A61P1/12;;A61P3/04;;A61P3/06;;A61P7/00;;A61P9/12;;A61P19/02;;A61P19/06;;A61P25/06;;A61P25/08;;A61P25/22;;A61P25/24;;A61P25/28;;A61P25/30;;A61P27/06;;A61P29/00;;A61P35/00;;A61P37/00;;A61P43/00;;C07D213/36;;C07D231/12;;C07D239/26;;C07D249/06;;C07D261/08;;C07D295/073;;C07D295/096;;C07D333/20;;C07D295/03;;C07D213/36;;C07D231/12;;C07D239/26;;C07D249/06;;C07D261/08;;C07D295/073;;C07D295/096;;C07D333/20</t>
  </si>
  <si>
    <t>A61K31/137;;C07C211/34;;C07D213/36;;C07D231/12;;C07D239/26;;C07D249/06;;C07D261/08;;C07D295/03;;C07D295/073;;C07D295/096;;C07D333/20</t>
  </si>
  <si>
    <t>https://lens.org/140-217-613-567-987</t>
  </si>
  <si>
    <t>074-809-487-048-816</t>
  </si>
  <si>
    <t>US 2016/0310501 A1</t>
  </si>
  <si>
    <t>ESTEVE PHARMACEUTICALS S.A (2016-06-06)</t>
  </si>
  <si>
    <t>GABAPENTINOIDS AND SIGMA RECEPTOR LIGANDS COMBINATIONS</t>
  </si>
  <si>
    <t>A61K31/5377;;A61K31/195;;A61K31/197;;A61K31/415;;A61K45/06;;A61P25/04;;A61P29/00;;A61P43/00;;A61K31/197;;A61K31/195;;A61K31/415;;A61K31/4178;;A61K31/5377;;A61K45/06;;A61K2300/00;;A61K31/5377;;A61K31/195;;A61K31/197;;A61K31/415;;A61K45/06</t>
  </si>
  <si>
    <t>A61K31/5377;;A61K31/195</t>
  </si>
  <si>
    <t>https://lens.org/074-809-487-048-816</t>
  </si>
  <si>
    <t>178-536-575-104-451</t>
  </si>
  <si>
    <t>EP 3082782 A1</t>
  </si>
  <si>
    <t>COMBINATIONS COMPRISING SEROTONIN-NOREPINEPHRINE REUPTAKE INHIBITORS (SNRIS) AND SIGMA RECEPTOR LIGANDS</t>
  </si>
  <si>
    <t>A61K31/5377;;A61K31/137;;A61K31/381;;A61K45/06;;A61P25/04;;A61P29/00;;A61P29/02;;A61P43/00;;A61K31/137;;A61K31/381;;A61K31/5377;;A61K45/06;;A61K2300/00;;A61K31/5377;;A61K31/137;;A61K31/381;;A61K45/06</t>
  </si>
  <si>
    <t>A61K31/137;;A61K31/381;;A61K31/415;;A61K31/5377;;A61P29/00</t>
  </si>
  <si>
    <t>https://lens.org/178-536-575-104-451</t>
  </si>
  <si>
    <t>054-197-760-760-303</t>
  </si>
  <si>
    <t>EP 2920174 B1</t>
  </si>
  <si>
    <t>ESTEVE PHARMACEUTICALS, S.A., ES (2019-04-25);;ESTEVE PHARMACEUTICALS, S.A.; ES (2018-11-22);;ESTEVE PHARMACEUTICALS, S.A. (2018-10-22)</t>
  </si>
  <si>
    <t>SUBSTITUTED PYRAZOLO[3,4-D]PYRIMIDINE COMPOUNDS, THEIR PREPARATION AND USE AS SIGMA RECEPTORS LIGANDS</t>
  </si>
  <si>
    <t>C07D487/04;;A61P1/04;;A61P1/12;;A61P3/04;;A61P3/06;;A61P9/00;;A61P9/06;;A61P9/12;;A61P19/02;;A61P25/00;;A61P25/04;;A61P25/06;;A61P25/18;;A61P25/22;;A61P25/24;;A61P25/28;;A61P25/32;;A61P25/36;;A61P27/06;;A61P29/00;;A61P35/00;;A61P37/02;;A61P43/00;;C07D487/04</t>
  </si>
  <si>
    <t>C07D487/04;;A61K31/519;;A61P25/00;;A61P29/00</t>
  </si>
  <si>
    <t>https://lens.org/054-197-760-760-303</t>
  </si>
  <si>
    <t>186-504-763-258-793</t>
  </si>
  <si>
    <t>EP 3043795 A1</t>
  </si>
  <si>
    <t>NSAID AND SIGMA RECEPTOR LIGAND COMBINATIONS</t>
  </si>
  <si>
    <t>A61K45/06;;A61K31/167;;A61K31/196;;A61K31/415;;A61K31/4152;;A61K31/4523;;A61K31/4725;;A61K31/496;;A61K31/5377;;A61P25/02;;A61P25/04;;A61P29/00;;A61P43/00;;A61K31/192;;A61K31/167;;A61K31/196;;A61K31/415;;A61K45/06;;A61K31/4152;;A61K31/4725;;A61K31/4523;;A61K31/496;;A61K31/5377;;A61K31/192;;A61K31/635</t>
  </si>
  <si>
    <t>A61K31/415;;A61K31/167;;A61K31/196;;A61K31/4152;;A61K31/4523;;A61K31/4725;;A61K31/496;;A61K31/5377;;A61K45/06;;A61P29/00</t>
  </si>
  <si>
    <t>https://lens.org/186-504-763-258-793</t>
  </si>
  <si>
    <t>017-983-920-592-385</t>
  </si>
  <si>
    <t>EP 3013338 A1</t>
  </si>
  <si>
    <t>USE OF SIGMA RECEPTOR LIGANDS FOR THE PREVENTION AND TREATMENT OF PAIN ASSOCIATED TO INTERSTITIAL CYSTITIS/BLADDER PAIN SYNDROME (IC/BPS)</t>
  </si>
  <si>
    <t>A61K31/5377;;A61K31/415;;A61K31/4155;;A61K31/485;;A61P13/10;;A61P25/00;;A61P25/02;;A61P29/00;;A61P43/00;;A61K31/415;;A61K31/4155;;A61K31/485;;A61K31/5377;;A61K45/06;;A61K31/5377;;A61K31/415;;A61K31/4155;;A61K31/485;;A61K45/06</t>
  </si>
  <si>
    <t>A61K31/415;;A61K31/4155;;A61K31/485;;A61K31/5377;;A61P13/10;;A61P29/00</t>
  </si>
  <si>
    <t>https://lens.org/017-983-920-592-385</t>
  </si>
  <si>
    <t>105-287-223-051-760</t>
  </si>
  <si>
    <t>EP 2986284 A1</t>
  </si>
  <si>
    <t>ALPHA-2 ADRENOCEPTOR AND SIGMA RECEPTOR LIGAND COMBINATIONS</t>
  </si>
  <si>
    <t>A61K31/5377;;A61K31/155;;A61K31/415;;A61K31/4155;;A61K31/4168;;A61K31/454;;A61K31/4545;;A61K31/496;;A61P25/04;;A61P25/06;;A61K31/5377;;A61K31/155;;A61K31/415;;A61K31/4155;;A61K31/4168;;A61K31/454;;A61K31/4545;;A61K31/496</t>
  </si>
  <si>
    <t>A61K31/155;;A61K31/415;;A61K31/4168;;A61K31/5377;;A61P25/06</t>
  </si>
  <si>
    <t>https://lens.org/105-287-223-051-760</t>
  </si>
  <si>
    <t>024-492-459-142-681</t>
  </si>
  <si>
    <t>EP 2793904 A1</t>
  </si>
  <si>
    <t>ESTEVE LABOR DR;;FUNDACIÓ PRIVADA INST DE RECERCA DE LA SIDA CAIXA;;INSTITUCIÓ CATALANA DE RECERCA I ESTUDIS AVANÇATS;;UNIV HEIDELBERG RUPRECHT KARLS</t>
  </si>
  <si>
    <t>RUPRECHT-KARLS-UNIVERSITAET HEIDELBERG (2019-02-13);;INSTITUCIO CATALANA DE RECERCA I ESTUDIS AVANCATS (2019-02-13);;FUNDACIO PRIVADA INSTITUT DE RECERCA DE LA SIDA-CA (2019-02-13);;ESTEVE PHARMACEUTICALS, S.A. (2018-09-12)</t>
  </si>
  <si>
    <t>INHIBITORS OF SIALOADHESIN FOR THE TREATMENT OF DISEASES CAUSED BY ENVELOPED VIRUSES</t>
  </si>
  <si>
    <t>A61K31/7016;;A61K31/7028;;A61K2039/5154;;A61P31/00;;A61P31/12;;A61P31/14;;A61P31/16;;A61P31/18;;C12N2740/16034;;G01N33/56988;;G01N2333/16;;Y02A50/30;;A61K31/7028;;A61K8/14;;A61K8/602;;A61K8/68;;A61K31/7016;;A61K39/21;;A61K2039/5154;;C07K16/2803;;C12N2740/16034;;C12N2740/16061;;G01N33/56988;;G01N2333/16;;Y02A50/30</t>
  </si>
  <si>
    <t>A61K31/7016;;A61P31/12;;A61P31/18;;G01N33/569</t>
  </si>
  <si>
    <t>https://lens.org/024-492-459-142-681</t>
  </si>
  <si>
    <t>004-575-375-399-875</t>
  </si>
  <si>
    <t>EP 2709620 A1</t>
  </si>
  <si>
    <t>USE OF SIGMA LIGANDS IN DIABETES TYPE-2 ASSOCIATED PAIN</t>
  </si>
  <si>
    <t>A61K31/4523;;A61K31/4725;;A61K31/496;;A61K31/5377;;A61K45/06;;A61P1/00;;A61P1/12;;A61P3/10;;A61P13/10;;A61P13/12;;A61P19/02;;A61P25/02;;A61P25/04;;A61P29/00;;A61P43/00;;C07D231/22;;C07D401/12;;C07D403/12;;C07D471/04;;A61K31/5377;;A61K31/4523;;A61K31/4725;;A61K31/537;;A61K31/415;;A61K31/4178;;A61K31/454;;A61K31/4725;;A61K31/496;;A61K31/541;;C07D231/22;;C07D401/12;;C07D403/12;;C07D471/04;;A61K31/541;;A61K31/415;;A61K31/4155;;A61K31/4178;;A61K31/4523;;A61K31/454;;A61K31/4545;;A61K31/4725;;A61K31/496;;A61K31/5377;;A61K45/06;;C07D231/22;;C07D401/12;;C07D403/12;;C07D471/04</t>
  </si>
  <si>
    <t>A61K31/4523;;A61K31/4725;;A61K31/496;;A61K31/5377;;A61P25/02</t>
  </si>
  <si>
    <t>https://lens.org/004-575-375-399-875</t>
  </si>
  <si>
    <t>177-770-957-825-35X</t>
  </si>
  <si>
    <t>US 12024491 B2</t>
  </si>
  <si>
    <t>VERTEX PHARMA</t>
  </si>
  <si>
    <t>ESTEVE QUIMICA S.A (2018-02-13);;CONCERT PHARMACEUTICALS INC (2017-12-20);;VERTEX PHARMACEUTICALS INCORPORATED (2017-12-20)</t>
  </si>
  <si>
    <t>Processes for making modulators of cystic fibrosis transmembrane conductance regulator</t>
  </si>
  <si>
    <t>C07D215/56;;C07B59/002;;C07B2200/05;;C07C37/0555;;C07C39/06;;C07C39/27;;C07C69/96;;C07C201/08;;C07C205/43;;C07C219/34;;C07D215/56;;C07B59/002;;C07B2200/05;;C07C37/0555;;C07C37/16;;C07C39/06;;C07C39/27;;C07C68/02;;C07C68/06;;C07C69/96;;C07C201/08;;C07C205/43;;C07C219/34;;C07D215/56;;A61K31/47;;A61P43/00;;C07B59/002;;C07B2200/05;;C07C37/0555;;C07C37/16;;C07C39/06;;C07C39/16;;C07C39/27;;C07C68/02;;C07C68/06;;C07C69/96;;C07C201/08;;C07C205/43;;C07C219/34;;C07C201/08;;A61K31/47;;C07C205/43;;C07D215/56;;C07D215/56;;C07B59/002;;C07B2200/05;;C07C39/06;;C07C69/96;;C07C205/43;;C07C219/34</t>
  </si>
  <si>
    <t>C07D215/56;;C07B59/00;;C07C39/06;;C07C69/96;;C07C205/43;;C07C219/34</t>
  </si>
  <si>
    <t>https://lens.org/177-770-957-825-35X</t>
  </si>
  <si>
    <t>197-692-332-949-699</t>
  </si>
  <si>
    <t>EP 3302441 B1</t>
  </si>
  <si>
    <t>SUZHOU PENGXU PHARMATECH CO LTD</t>
  </si>
  <si>
    <t>SUZHOU PENGXU PHARMATECH CO. LTD (2023-12-13);;ESTEVE QUIMICA S.A. (2018-08-01)</t>
  </si>
  <si>
    <t>PROCESSES TO PRODUCE BRIVARACETAM</t>
  </si>
  <si>
    <t>C07D207/27;;A61K31/4015;;A61P9/10;;A61P25/08;;C07C53/19;;C07C53/50;;C07D207/27;;A61K31/4015;;A61P9/10;;A61P25/08;;C07C53/19;;C07C53/50;;C07C67/307;;C07C69/63;;C07C71/00;;C07C209/08;;C07C231/14;;C07C233/05;;C07C237/06;;C07D207/27;;A61K31/4015;;A61P25/08;;C07C53/19;;C07C53/50;;C07D207/27;;A61K31/4015;;C07C53/19;;C07C53/50;;C07C67/307;;C07C69/63;;C07C71/00;;C07C209/08;;C07C231/14;;C07C233/05;;C07C237/06</t>
  </si>
  <si>
    <t>A61K9/20;;A61K31/4015;;A61P9/10;;C07D207/26</t>
  </si>
  <si>
    <t>https://lens.org/197-692-332-949-699</t>
  </si>
  <si>
    <t>082-248-758-906-29X</t>
  </si>
  <si>
    <t>US 9073899 B2</t>
  </si>
  <si>
    <t>ESTEVE QUÍMICA S A</t>
  </si>
  <si>
    <t>ESTEVE QUIMICA S.A (2014-06-27)</t>
  </si>
  <si>
    <t>Solid forms of dabigatran etexilate mesylate and processes for their preparation</t>
  </si>
  <si>
    <t>C07D401/12;;C07D401/12;;A61P7/02;;C07D401/12;;C07B2200/13</t>
  </si>
  <si>
    <t>C07D401/12;;A61K31/4439</t>
  </si>
  <si>
    <t>https://lens.org/082-248-758-906-29X</t>
  </si>
  <si>
    <t>eurofins</t>
  </si>
  <si>
    <t>116-653-571-836-480</t>
  </si>
  <si>
    <t>US 12319735 B2</t>
  </si>
  <si>
    <t>MERCK SHARP &amp; DOHME LLC</t>
  </si>
  <si>
    <t>EUROFINS LANCASTER LABORATORIES PROFESSIONAL SCIENTIFIC SERVICES LLC (2019-10-24);;MERCK SHARP &amp; DOHME LLC (2022-04-07);;MERCK SHARP &amp; DOHME CORP (2019-10-31)</t>
  </si>
  <si>
    <t>Co-formulations of anti-LAG3 antibodies and anti-PD-1 antibodies</t>
  </si>
  <si>
    <t>A61K9/0019;;A61K9/19;;A61K39/00;;A61K39/39591;;A61K45/06;;A61K47/183;;A61K47/20;;A61K47/26;;A61P35/00;;C07K16/2803;;C07K16/2818;;A61K39/39591;;A61K9/0019;;A61K9/08;;A61K9/19;;A61K39/00;;A61K47/12;;A61K47/183;;A61K47/20;;A61K47/22;;A61K47/26;;A61K2039/505;;A61K2300/00;;A61P35/00;;C07K16/2803;;C07K16/2818;;C07K16/2818;;A61K39/00;;A61K47/10;;A61K47/12;;A61K47/183;;A61K47/22;;A61K47/26;;C07K16/2803;;C07K2317/565;;C07K2317/92;;C07K2317/94</t>
  </si>
  <si>
    <t>C07K16/28;;A61K39/00;;A61K47/10;;A61K47/12;;A61K47/18;;A61K47/22;;A61K47/26</t>
  </si>
  <si>
    <t>https://lens.org/116-653-571-836-480</t>
  </si>
  <si>
    <t>026-275-481-794-848</t>
  </si>
  <si>
    <t>EP 3843703 B1</t>
  </si>
  <si>
    <t>HALEON CH SARL</t>
  </si>
  <si>
    <t>HALEON CH SARL (2024-01-24);;GSK CONSUMER HEALTHCARE SARL (2021-11-10)</t>
  </si>
  <si>
    <t>PARACETAMOL LIQUID SUSPENSIONS</t>
  </si>
  <si>
    <t>A61K9/10;;A61K31/167;;A61K47/36;;A61K47/14;;A61K47/26;;A61K47/183;;A61K47/10;;A61P29/00;;A61K9/10;;A61K31/167;;A61K47/26;;A61K9/10;;A61K31/167;;A61K47/10;;A61K47/14;;A61K47/183;;A61K47/26;;A61K47/36</t>
  </si>
  <si>
    <t>A61K9/10;;A61K31/167;;A61K47/26</t>
  </si>
  <si>
    <t>https://lens.org/026-275-481-794-848</t>
  </si>
  <si>
    <t>195-515-655-153-871</t>
  </si>
  <si>
    <t>US 12377075 B2</t>
  </si>
  <si>
    <t>GSK CONSUMER HEALTHCARE S.A (2020-12-03);;HALEON CH SARL (2021-02-19)</t>
  </si>
  <si>
    <t>Device for internal and external nasal application</t>
  </si>
  <si>
    <t>A61K9/06;;A45D40/24;;A45D2200/05;;A61K8/0216;;A61K9/0014;;A61K9/0043;;A61K31/4174;;A61K36/22;;A61K36/5777;;A61K47/44;;A61K2800/87;;A61K2800/884;;A61M11/00;;A61M15/0025;;A61M15/08;;A61M35/003;;A61M2205/3606;;A61M2210/04;;A61M2210/0618;;A61P11/02;;A61P11/06;;A61P17/02;;A61Q19/00;;A61K31/4164;;A61K9/0014;;A61K9/0043;;A61K31/045;;A61K31/23;;A61K31/35;;A61K31/569;;A61K36/22;;A61K36/47;;A61K36/54;;A61K36/5777;;A61K36/758;;A61K36/899;;A61P11/02;;A61P17/16</t>
  </si>
  <si>
    <t>A61K31/4164;;A61K9/00;;A61K31/045;;A61K31/23;;A61K31/35;;A61K31/569;;A61K36/185;;A61K36/22;;A61K36/47;;A61K36/54;;A61K36/758;;A61K36/899;;A61P11/02;;A61P17/16</t>
  </si>
  <si>
    <t>https://lens.org/195-515-655-153-871</t>
  </si>
  <si>
    <t>077-924-366-521-163</t>
  </si>
  <si>
    <t>US D1081978 S</t>
  </si>
  <si>
    <t>HALEON CH SARL (2021-02-19);;GSK CONSUMER HEALTHCARE S.A (2021-08-09)</t>
  </si>
  <si>
    <t>Applicator head with dosing aid</t>
  </si>
  <si>
    <t>https://lens.org/077-924-366-521-163</t>
  </si>
  <si>
    <t>066-735-541-654-691</t>
  </si>
  <si>
    <t>US 11834246 B2</t>
  </si>
  <si>
    <t>GSK CONSUMER HEALTHCARE SARL</t>
  </si>
  <si>
    <t>GSK CONSUMER HEALTHCARE S.A (2018-07-11);;HALEON CH SARL (2023-08-14);;NOVARTIS CONSUMER HEALTHCARE S.A (2016-12-06)</t>
  </si>
  <si>
    <t>Device</t>
  </si>
  <si>
    <t>B65D75/5811;;B65D83/0481;;B65D2215/00;;B65D75/5811;;A61J1/03;;B65D75/30;;B65D75/5822;;B65D83/0481;;B65D2215/00</t>
  </si>
  <si>
    <t>B65D83/04;;A61J1/03;;B65D75/30;;B65D75/58</t>
  </si>
  <si>
    <t>https://lens.org/066-735-541-654-691</t>
  </si>
  <si>
    <t>033-274-880-585-41X</t>
  </si>
  <si>
    <t>EP 3484576 B1</t>
  </si>
  <si>
    <t>NEUROMETRIX INC</t>
  </si>
  <si>
    <t>NEUROMETRIX, INC. (2022-03-09);;GSK CONSUMER HEALTHCARE SARL (2021-12-08)</t>
  </si>
  <si>
    <t>APPARATUS FOR AUTOMATED COMPENSATION OF TRANSCUTANEOUS ELECTRICAL NERVE STIMULATION FOR TEMPORAL FLUCTUATIONS SUCH AS CIRCADIAN RHYTHMS</t>
  </si>
  <si>
    <t>A61N1/36021;;A61N1/0456;;A61N1/36128;;A61N2001/37294;;A61N1/36021;;A61N1/0456;;A61N1/36128;;A61N2001/37294</t>
  </si>
  <si>
    <t>A61N1/00;;A61N1/32;;A61N1/36</t>
  </si>
  <si>
    <t>https://lens.org/033-274-880-585-41X</t>
  </si>
  <si>
    <t>100-100-420-335-063</t>
  </si>
  <si>
    <t>EP 3538202 B1</t>
  </si>
  <si>
    <t>NEUROMETRIX, INC. (2022-01-12);;GSK CONSUMER HEALTHCARE SARL (2021-12-08)</t>
  </si>
  <si>
    <t>TRANSCUTANEOUS ELECTRICAL NERVE STIMULATION USING NOVEL UNBALANCED BIPHASIC WAVEFORM AND NOVEL ELECTRODE ARRANGEMENT</t>
  </si>
  <si>
    <t>A61N1/0456;;A61N1/0476;;A61N1/0492;;A61N1/321;;A61N1/36014;;A61N1/36021</t>
  </si>
  <si>
    <t>A61N1/00</t>
  </si>
  <si>
    <t>https://lens.org/100-100-420-335-063</t>
  </si>
  <si>
    <t>065-280-986-071-953</t>
  </si>
  <si>
    <t>EP 3808680 B1</t>
  </si>
  <si>
    <t>HALEON CH SARL (2024-01-24);;GSK CONSUMER HEALTHCARE SARL (2021-12-08)</t>
  </si>
  <si>
    <t>BLISTER PACKAGING, PACKAGED PHARMACEUTICAL OR NUTRITIONAL PRODUCT AND METHOD FOR PRODUCING SUCH A PRODUCT</t>
  </si>
  <si>
    <t>B32B27/32;;B32B3/30;;B32B7/05;;B32B27/08;;B32B27/18;;B32B27/20;;B32B27/306;;B32B2250/246;;B32B2307/31;;B32B2307/7244;;B32B2307/738;;B32B2307/75;;B32B2439/80;;B65D75/34;;B65D75/327;;B32B3/30;;B32B7/05;;B32B7/12;;B32B27/08;;B32B27/18;;B32B27/306;;B32B27/32;;B32B27/327;;B32B2250/05;;B32B2250/246;;B32B2264/10;;B32B2264/102;;B32B2264/104;;B32B2307/31;;B32B2307/7244;;B32B2307/732;;B32B2307/738;;B32B2439/80;;B65D2565/386;;B65D75/367;;B65D75/5855;;B65D2301/20;;B65D2575/362;;B65D2585/56</t>
  </si>
  <si>
    <t>B65D75/34;;B32B3/30;;B32B7/05;;B32B7/12;;B32B27/08;;B32B27/18;;B32B27/30;;B32B27/32</t>
  </si>
  <si>
    <t>https://lens.org/065-280-986-071-953</t>
  </si>
  <si>
    <t>020-165-735-966-596</t>
  </si>
  <si>
    <t>US 2022/0387388 A1</t>
  </si>
  <si>
    <t>GSK CONSUMER HEAKTGCARE SARL</t>
  </si>
  <si>
    <t>SKIN-CARE BALM AND DEVICE FOR INTERNAL AND EXTERNAL NASAL APPLICATION</t>
  </si>
  <si>
    <t>A61K9/0014;;A61K8/342;;A61K8/37;;A61K8/375;;A61K8/922;;A61K9/0043;;A61K9/06;;A61K36/185;;A61K36/22;;A61K36/47;;A61K36/54;;A61K36/5777;;A61K36/758;;A61K36/899;;A61K47/44;;A61M11/00;;A61M2210/04;;A61M2210/0618;;A61P11/02;;A61P11/06;;A61P17/02;;A61Q19/00;;A61K31/4164;;A61K9/0014;;A61K9/0043;;A61K31/045;;A61K31/23;;A61K31/35;;A61K31/569;;A61K36/185;;A61K36/22;;A61K36/47;;A61K36/54;;A61K36/5777;;A61K36/758;;A61K36/899;;A61P11/02;;A61P17/16</t>
  </si>
  <si>
    <t>https://lens.org/020-165-735-966-596</t>
  </si>
  <si>
    <t>156-316-493-582-895</t>
  </si>
  <si>
    <t>US D0968222 S</t>
  </si>
  <si>
    <t>GSK CONSUMER HEALTHCARE SA;;GSK CONSUMER HEALTHCARE SARL</t>
  </si>
  <si>
    <t>GSK CONSUMER HEALTHCARE S.A (2020-04-27);;HALEON CH SARL (2023-08-14)</t>
  </si>
  <si>
    <t>Tamper-proof container</t>
  </si>
  <si>
    <t>https://lens.org/156-316-493-582-895</t>
  </si>
  <si>
    <t>037-321-550-062-450</t>
  </si>
  <si>
    <t>EP 3558446 B1</t>
  </si>
  <si>
    <t>SMART ELECTRODE ASSEMBLY FOR TRANSCUTANEOUS ELECTRICAL NERVE STIMULATION (TENS)</t>
  </si>
  <si>
    <t>A61N1/0456;;A61B5/01;;A61B5/0533;;A61B5/1118;;A61B5/4806;;A61B5/4809;;A61B5/4812;;A61B5/4815;;A61N1/025;;A61N1/08;;A61N1/36021;;A61N1/36031;;A61N1/3968;;A61N1/0456;;A61B5/01;;A61B5/0533;;A61B5/1118;;A61B5/4806;;A61B5/4809;;A61B5/4812;;A61B5/4815;;A61B2560/028;;A61N1/025;;A61N1/08;;A61N1/36021;;A61N1/36031</t>
  </si>
  <si>
    <t>A61N1/04;;A61B5/00;;A61B5/01;;A61B5/053;;A61B5/11;;A61N1/02;;A61N1/08;;A61N1/32;;A61N1/36;;A61N1/39</t>
  </si>
  <si>
    <t>https://lens.org/037-321-550-062-450</t>
  </si>
  <si>
    <t>092-618-414-133-690</t>
  </si>
  <si>
    <t>US D0942149 S</t>
  </si>
  <si>
    <t>GSK CONSUMER HEALTHCARE SA</t>
  </si>
  <si>
    <t>GSK CONSUMER HEALTHCARE S.A (2020-04-23);;HALEON CH SARL (2023-08-14)</t>
  </si>
  <si>
    <t>Toothbrush</t>
  </si>
  <si>
    <t>https://lens.org/092-618-414-133-690</t>
  </si>
  <si>
    <t>069-076-557-741-32X</t>
  </si>
  <si>
    <t>EP 3821927 B1</t>
  </si>
  <si>
    <t>GSK CONSUMER HEALTHCARE SARL (2021-12-08)</t>
  </si>
  <si>
    <t>DEVICE FOR INTERNAL AND EXTERNAL NASAL APPLICATION</t>
  </si>
  <si>
    <t>A61K9/0014;;A61K9/0043;;A61K9/06;;A61K9/08;;A61K31/045;;A61K31/164;;A61K31/4174;;A61K31/455;;A61K31/505;;A61K36/28;;A61K36/886;;A61K47/44;;A61M15/08;;A61M35/003;;A61M2210/04</t>
  </si>
  <si>
    <t>A61K31/045;;A61K9/06;;A61K9/08;;A61K31/164;;A61K31/4174;;A61K31/455;;A61K31/505;;A61K36/28;;A61K36/886;;A61K47/44;;A61M11/00;;A61M15/00;;A61M15/08;;A61M35/00;;B05B11/00</t>
  </si>
  <si>
    <t>https://lens.org/069-076-557-741-32X</t>
  </si>
  <si>
    <t>037-678-114-085-009</t>
  </si>
  <si>
    <t>US D0939104 S</t>
  </si>
  <si>
    <t>GSK CONSUMER HEALTHCARE S.A (2020-02-24);;HALEON CH SARL (2023-08-14)</t>
  </si>
  <si>
    <t>Ultrasonic denture cleaner</t>
  </si>
  <si>
    <t>https://lens.org/037-678-114-085-009</t>
  </si>
  <si>
    <t>154-999-129-811-391</t>
  </si>
  <si>
    <t>EP 2986338 B8</t>
  </si>
  <si>
    <t>GSK CONSUMER HEALTHCARE S.A. (2018-12-12);;NEUROMETRIX, INC. (2022-03-09);;NEUROMETRIX, INC., WOBURN, US (2025-03-26);;GSK CONSUMER HEALTHCARE SARL (2021-12-08)</t>
  </si>
  <si>
    <t>TRANSCUTANEOUS ELECTRICAL NERVES STIMULATOR WITH AUTOMATIC DETECTION OF USER SLEEP-WAKE STATE</t>
  </si>
  <si>
    <t>A61B5/4815;;A61B5/1118;;A61B5/4809;;A61B5/4824;;A61B5/4836;;A61B2562/0219;;A61N1/0456;;A61N1/0492;;A61N1/36021;;A61N1/3603;;G06F1/163;;G06F1/1694;;G06F3/017;;A61B5/4815;;A61B5/1118;;A61B5/4809;;A61B5/4836;;A61B2562/0219;;A61N1/0456;;A61N1/36021;;A61N1/3603</t>
  </si>
  <si>
    <t>A61N1/08;;A61B5/00;;A61N1/04;;A61N1/36;;G06F1/16;;G06F3/01</t>
  </si>
  <si>
    <t>https://lens.org/154-999-129-811-391</t>
  </si>
  <si>
    <t>gsk, glaxosmithkline</t>
  </si>
  <si>
    <t>178-423-759-110-142</t>
  </si>
  <si>
    <t>US D0932190 S</t>
  </si>
  <si>
    <t>GSK CONSUMER HEALTHCARE SA;;GLAXOSMITHKLINE CONSUMER HEALTHCARE S A</t>
  </si>
  <si>
    <t>Toothbrush head</t>
  </si>
  <si>
    <t>https://lens.org/178-423-759-110-142</t>
  </si>
  <si>
    <t>191-798-423-723-000</t>
  </si>
  <si>
    <t>US 11000495 B2</t>
  </si>
  <si>
    <t>NOVARTIS CONSUMER HEALTH SA;;GSK CONSUMER HEALTHCARE SA</t>
  </si>
  <si>
    <t>GSK CONSUMER HEALTHCARE S.A (2015-09-02);;HALEON CH SARL (2023-08-14);;NOVARTIS AG (2014-12-05);;NOVARTIS CONSUMER HEALTH INC (2014-10-02)</t>
  </si>
  <si>
    <t>Topical diclofenac sodium compositions</t>
  </si>
  <si>
    <t>A61K9/0014;;A61K9/06;;A61K9/107;;A61K31/196;;A61K31/196;;A61K9/0014;;A61K9/06;;A61K9/107;;A61P19/02;;A61P29/00;;A61K9/107;;A61K31/196;;A61K47/02;;A61K47/10;;A61K47/32;;A61K47/44;;A61P29/00;;A61K31/196;;A61K9/0014;;A61K9/06;;A61K9/107;;A61K47/00;;A61K47/10</t>
  </si>
  <si>
    <t>A61K31/196;;A61K9/00;;A61K9/06;;A61K9/107;;A61K47/00;;A61K47/10</t>
  </si>
  <si>
    <t>https://lens.org/191-798-423-723-000</t>
  </si>
  <si>
    <t>184-003-290-980-285</t>
  </si>
  <si>
    <t>EP 3630272 B1</t>
  </si>
  <si>
    <t>NEUROMETRIX, INC (2022-02-14);;GSK CONSUMER HEALTHCARE SARL (2021-12-08);;NEUROMETRIX, INC. (N.D.GES.D. STAATES DELAWARE, US (2021-10-26)</t>
  </si>
  <si>
    <t>APPARATUS FOR THE AUTOMATED CONTROL OF TRANSCUTANEOUS ELECTRICAL NERVE STIMULATION BASED ON CURRENT AND FORECASTED WEATHER CONDITIONS</t>
  </si>
  <si>
    <t>A61N1/36021;;A61N1/0456;;A61N1/0476;;A61N1/0492;;A61N1/321;;A61N1/36034;;A61N1/36021;;A61N1/0456;;A61N1/0476;;A61N1/0484;;A61N1/0492;;A61N1/22;;A61N1/321;;A61N1/3603;;A61N1/36034</t>
  </si>
  <si>
    <t>A61N1/36;;A61N1/04</t>
  </si>
  <si>
    <t>https://lens.org/184-003-290-980-285</t>
  </si>
  <si>
    <t>196-653-838-468-608</t>
  </si>
  <si>
    <t>EP 3641876 B1</t>
  </si>
  <si>
    <t>APPARATUS FOR BUTTON-FREE CONTROL OF A WEARABLE TRANSCUTANEOUS ELECTRICAL NERVE STIMULATOR USING INTERACTIVE GESTURES AND OTHER MEANS</t>
  </si>
  <si>
    <t>A61N1/36021;;A61B5/1118;;A61B5/1123;;A61B5/681;;A61B5/6828;;A61B5/7455;;A61B5/7475;;A61B2560/0276;;A61B2562/0219;;A61N1/0456;;A61N1/0492;;A61N1/08;;A61N1/36031;;G06F1/3231;;G06F3/017;;G06F3/0346;;G06F2200/1636;;Y02D10/00;;A61N1/36021;;A61B5/11;;A61B5/1118;;A61B5/1123;;A61B5/681;;A61B5/6828;;A61B5/7455;;A61B5/7475;;A61B2560/0276;;A61B2562/0219;;A61N1/0456;;A61N1/0492;;A61N1/08;;A61N1/36031;;A61N2001/083;;G06F1/163;;G06F1/3231;;G06F3/015;;G06F3/017;;G06F3/0346</t>
  </si>
  <si>
    <t>A61N1/36</t>
  </si>
  <si>
    <t>https://lens.org/196-653-838-468-608</t>
  </si>
  <si>
    <t>065-577-656-172-441</t>
  </si>
  <si>
    <t>EP 2978488 B1</t>
  </si>
  <si>
    <t>GSK CONSUMER HEALTHCARE S.A. (2018-12-12);;NEUROMETRIX, INC. (2022-05-12);;GSK CONSUMER HEALTHCARE SARL (2021-12-08);;NEUROMETRIX, INC. (N.D.GES.D. STAATES DELAWARE, US (2021-10-26)</t>
  </si>
  <si>
    <t>DETECTING CUTANEOUS ELECTRODE PEELING USING ELECTRODE-SKIN IMPEDANCE</t>
  </si>
  <si>
    <t>A61B5/0531;;A61B5/486;;A61B5/6828;;A61B2560/0276;;A61N1/0456;;A61N1/0492;;A61N1/36021;;A61N1/3603;;A61B5/0531;;A61B5/486;;A61B5/6828;;A61B2560/0276;;A61N1/0456;;A61N1/0492;;A61N1/36021;;A61N1/3603</t>
  </si>
  <si>
    <t>A61N1/08;;A61B5/00;;A61B5/053;;A61N1/04;;A61N1/36</t>
  </si>
  <si>
    <t>https://lens.org/065-577-656-172-441</t>
  </si>
  <si>
    <t>068-639-909-030-813</t>
  </si>
  <si>
    <t>US D0895789 S</t>
  </si>
  <si>
    <t>GSK CONSUMER HEALTHCARE S.A (2019-03-04);;HALEON CH SARL (2023-08-14)</t>
  </si>
  <si>
    <t>Nasal spray device</t>
  </si>
  <si>
    <t>https://lens.org/068-639-909-030-813</t>
  </si>
  <si>
    <t>056-657-722-511-688</t>
  </si>
  <si>
    <t>EP 3537955 A4</t>
  </si>
  <si>
    <t>NEUROMETRIX, INC. (2022-01-19);;GSK CONSUMER HEALTHCARE SARL (2021-12-08)</t>
  </si>
  <si>
    <t>A TENS DEVICE FOR ACTIVITY MONITORING, GAIT ANALYSIS, AND BALANCE ASSESSMENT</t>
  </si>
  <si>
    <t>A61B5/112;;A61B5/1106;;A61B5/1118;;A61B5/4023;;A61B5/4836;;A61B5/6828;;A61B5/6844;;A61B2562/0219;;A61N1/025;;A61N1/0456;;A61N1/0484;;A61N1/36021;;A61N1/36031;;A61N1/36034;;A61B5/112;;A61B5/1038;;A61B5/1118;;A61B5/4023;;A61B5/6828;;A61B5/6885;;A61B2562/0219;;A61N1/025;;A61N1/0456;;A61N1/0484;;A61N1/36021;;A61N1/36031;;A61N1/36034</t>
  </si>
  <si>
    <t>A61B5/00;;A61B5/11;;A61N1/02;;A61N1/04;;A61N1/32;;A61N1/36</t>
  </si>
  <si>
    <t>https://lens.org/056-657-722-511-688</t>
  </si>
  <si>
    <t>087-793-438-666-341</t>
  </si>
  <si>
    <t>AU 2017/268561 B2</t>
  </si>
  <si>
    <t>NOVARTIS CONSUMER HEALTH S.A. (2018-08-23);;GSK CONSUMER HEALTHCARE S.A. (2018-09-13)</t>
  </si>
  <si>
    <t>APPARATUS AND METHOD FOR RELIEVING PAIN USING TRANSCUTANEOUS ELECTRICAL NERVE STIMULATION</t>
  </si>
  <si>
    <t>A61N1/0456;;A61N1/0476;;A61N1/0492;;A61N1/321;;A61N1/36014;;A61N1/36021;;A61N1/37247;;A61N1/0492;;A61N1/321;;A61N1/0476;;A61N1/0456;;A61N1/36021;;A61N1/36031;;A61N1/36034;;A61N1/36021;;A61N1/3603;;A61N1/0456;;A61N1/0476;;A61N1/0492;;A61N1/321;;A61N1/0492;;A61N1/321;;A61N1/36031;;A61N1/36034;;A61N1/36014;;A61N1/0456;;A61N1/36021;;A61N1/0476;;A61N1/37247</t>
  </si>
  <si>
    <t>A61N1/26</t>
  </si>
  <si>
    <t>https://lens.org/087-793-438-666-341</t>
  </si>
  <si>
    <t>197-518-950-943-784</t>
  </si>
  <si>
    <t>EP 3242715 A4</t>
  </si>
  <si>
    <t>GSK CONSUMER HEALTHCARE S.A. (2019-01-02)</t>
  </si>
  <si>
    <t>ENHANCED TRANSCUTANEOUS ELECTRICAL NERVE STIMULATOR WITH AUTOMATIC DETECTION OF LEG ORIENTATION AND MOTION FOR ENHANCED SLEEP ANALYSIS</t>
  </si>
  <si>
    <t>A61N1/36021;;A61B5/1114;;A61B5/1118;;A61B5/4815;;A61B5/6828;;A61N1/0456;;A61N1/0484;;A61N1/36031</t>
  </si>
  <si>
    <t>A61N1/36;;A61B5/00;;A61B5/11</t>
  </si>
  <si>
    <t>https://lens.org/197-518-950-943-784</t>
  </si>
  <si>
    <t>193-974-820-679-501</t>
  </si>
  <si>
    <t>US D0827434 S</t>
  </si>
  <si>
    <t>NOVARTIS CONSUMER HEALTH SA;;NOVARTIS CONSUMER HEALTH SA</t>
  </si>
  <si>
    <t>GSK CONSUMER HEALTHCARE S.A (2016-11-21);;HALEON CH SARL (2023-08-14)</t>
  </si>
  <si>
    <t>Cap</t>
  </si>
  <si>
    <t>https://lens.org/193-974-820-679-501</t>
  </si>
  <si>
    <t>080-857-488-687-832</t>
  </si>
  <si>
    <t>US D0827433 S</t>
  </si>
  <si>
    <t>NOVARTIS CONSUMER HEALTH SA</t>
  </si>
  <si>
    <t>https://lens.org/080-857-488-687-832</t>
  </si>
  <si>
    <t>032-615-746-355-169</t>
  </si>
  <si>
    <t>US D0764923 S</t>
  </si>
  <si>
    <t>NOVARTIS CONSUMER HEALTH SA;;NOVARTIS CONSUMER HEALTHCARE SA</t>
  </si>
  <si>
    <t>GSK CONSUMER HEALTHCARE S.A (2018-07-11);;HALEON CH SARL (2023-08-14);;NOVARTIS AG (2013-12-09);;NOVARTIS CONSUMER HEALTHCARE SA (2016-02-22);;NOVARTIS CONSUMER HEALTH INC (2013-12-03)</t>
  </si>
  <si>
    <t>Bottle for a dietary supplement</t>
  </si>
  <si>
    <t>https://lens.org/032-615-746-355-169</t>
  </si>
  <si>
    <t>039-099-309-487-24X</t>
  </si>
  <si>
    <t>US D0764301 S</t>
  </si>
  <si>
    <t>NOVARTIS CONSUMER HEALTH SA;;NOVARTIS CONSUMER HEALTHCARE S A</t>
  </si>
  <si>
    <t>https://lens.org/039-099-309-487-24X</t>
  </si>
  <si>
    <t>106-421-712-979-026</t>
  </si>
  <si>
    <t>US D0753834 S</t>
  </si>
  <si>
    <t>HUTCHISON WILLIAM;;MUNN CARYL G;;NOVARTIS CONSUMER HEALTHCARE SA</t>
  </si>
  <si>
    <t>GSK CONSUMER HEALTHCARE S.A (2018-07-11);;HALEON CH SARL (2023-08-14);;NOVARTIS AG (2013-07-09);;NOVARTIS CONSUMER HEALTHCARE SA (2016-02-22);;NOVARTIS CONSUMER HEALTH INC (2013-07-08)</t>
  </si>
  <si>
    <t>Dosing card for a topical preparation</t>
  </si>
  <si>
    <t>https://lens.org/106-421-712-979-026</t>
  </si>
  <si>
    <t>119-842-469-934-06X</t>
  </si>
  <si>
    <t>US D0748809 S</t>
  </si>
  <si>
    <t>NOVARTIS AG</t>
  </si>
  <si>
    <t>GSK CONSUMER HEALTHCARE S.A (2019-12-16);;HALEON CH SARL (2023-08-14);;NOVARTIS AG (2013-07-09);;NOVARTIS CONSUMER HEALTH INC (2013-08-07)</t>
  </si>
  <si>
    <t>https://lens.org/119-842-469-934-06X</t>
  </si>
  <si>
    <t>095-539-513-846-139</t>
  </si>
  <si>
    <t>US D0744826 S</t>
  </si>
  <si>
    <t>CSP TECHNOLOGIES INC;;NOVARTIS AG</t>
  </si>
  <si>
    <t>NOVARTIS CONSUMER HEALTH S.A (2014-05-12);;GSK CONSUMER HEALTHCARE S.A (2019-12-16);;HALEON CH SARL (2023-08-14);;NOVARTIS AG (2014-05-12);;CSP TECHNOLOGIES INC (2014-09-11)</t>
  </si>
  <si>
    <t>Container for storage</t>
  </si>
  <si>
    <t>https://lens.org/095-539-513-846-139</t>
  </si>
  <si>
    <t>112-651-239-181-123</t>
  </si>
  <si>
    <t>C0</t>
  </si>
  <si>
    <t>EP 4103171 C0</t>
  </si>
  <si>
    <t>NICOX SA</t>
  </si>
  <si>
    <t>NICOX S.A. (2024-04-10)</t>
  </si>
  <si>
    <t>TREATMENT OF VASO OCCLUSIVE CRISES ASSOCIATED WITH SICKLE CELL DISEASE</t>
  </si>
  <si>
    <t>A61K31/216;;A61P7/06;;A61P9/10;;A61K31/222</t>
  </si>
  <si>
    <t>A61K31/216;;A61P7/06</t>
  </si>
  <si>
    <t>https://lens.org/112-651-239-181-123</t>
  </si>
  <si>
    <t>105-883-892-795-397</t>
  </si>
  <si>
    <t>EP 4233867 C0</t>
  </si>
  <si>
    <t>NICOX SA (2024-04-10)</t>
  </si>
  <si>
    <t>PDE5 INHIBITOR FOR USE IN THE TREATMENT OF ANTERIOR ISCHEMIC OPTIC NEUROPATHY</t>
  </si>
  <si>
    <t>A61K45/06;;A61K9/0048;;A61K31/506;;A61K31/573;;A61K47/10;;A61K47/14;;A61K47/183;;A61K47/186;;A61P27/02;;A61K31/506;;A61K9/0014;;A61K9/0019;;A61K9/0048;;A61P27/02</t>
  </si>
  <si>
    <t>A61K31/506;;A61K9/00;;A61K31/573;;A61K45/06;;A61P27/02</t>
  </si>
  <si>
    <t>https://lens.org/105-883-892-795-397</t>
  </si>
  <si>
    <t>195-315-531-716-429</t>
  </si>
  <si>
    <t>EP 3718535 B1</t>
  </si>
  <si>
    <t>OPHTHALMIC COMPOSITIONS CONTAINING A NITRIC OXIDE RELEASING PROSTAMIDE</t>
  </si>
  <si>
    <t>A61K9/08;;A61K9/0048;;A61K31/222;;A61K47/10;;A61K47/14;;A61K47/26;;A61P27/06;;A61K31/5575;;A61K9/0048;;A61K9/08;;A61K47/14;;A61P27/06;;A61K9/08;;A61K9/0048;;A61K31/5575;;A61K47/02;;A61K47/10;;A61K47/14;;A61K47/186;;A61K47/26;;A61K47/38;;A61P27/02;;A61P27/06;;A61K31/216;;A61K9/0048;;A61K9/08;;A61K31/222;;A61K47/02;;A61K47/10;;A61K47/12;;A61K47/18;;A61K47/183;;A61K47/186;;A61K47/24;;A61K47/26</t>
  </si>
  <si>
    <t>A61K9/00;;A61K9/08;;A61K31/5575;;A61K47/14;;A61P27/06</t>
  </si>
  <si>
    <t>https://lens.org/195-315-531-716-429</t>
  </si>
  <si>
    <t>127-619-719-633-98X</t>
  </si>
  <si>
    <t>EP 4288413 B1</t>
  </si>
  <si>
    <t>PROCESS FOR THE PREPARATION OF A NITRIC OXIDE DONATING PROSTAGLANDIN ANALOGUE</t>
  </si>
  <si>
    <t>C07C405/0041;;C07C201/02;;C07C2601/08;;Y02P20/55;;C07C2601/08;;A61K31/5575;;C07C201/02;;C07C405/0041</t>
  </si>
  <si>
    <t>C07C405/00;;C07C201/02;;C07C203/04</t>
  </si>
  <si>
    <t>https://lens.org/127-619-719-633-98X</t>
  </si>
  <si>
    <t>052-621-825-429-695</t>
  </si>
  <si>
    <t>US 2025/0017928 A1</t>
  </si>
  <si>
    <t>NICOX SA (2024-05-06)</t>
  </si>
  <si>
    <t>OPHTHALMIC PHARMACEUTICAL COMPOSITIONS CONTAINING A NITRIC OXIDE-RELEASING PHOSPHODIESTERASE 5 INHIBITOR AND METHOD FOR THE PREPARATION THEREOF</t>
  </si>
  <si>
    <t>A61K9/0048;;A61K47/26;;A61K47/44;;A61K47/14;;A61K9/08;;A61P27/02;;A61K31/506;;A61K9/0048;;A61K31/506;;A61K47/02;;A61K47/10;;A61K47/14;;A61K47/183;;A61K47/186;;A61K47/26</t>
  </si>
  <si>
    <t>A61K31/506;;A61K9/00;;A61K47/02;;A61K47/10;;A61K47/14;;A61K47/18;;A61K47/26</t>
  </si>
  <si>
    <t>https://lens.org/052-621-825-429-695</t>
  </si>
  <si>
    <t>072-199-674-191-505</t>
  </si>
  <si>
    <t>EP 4303211 B1</t>
  </si>
  <si>
    <t>INDUSTRIAL PROCESS FOR THE PREPARATION OF HEXANOIC ACID, 6(NITROOXY)-,(1S,2E)-3-[(1R,2R,3S,5R)-2-[(2Z)-7-(ETHYLAMINO)-7-OXO-2-HEPTEN-1-YL]3,5-DIHYDROXYCYCLOPENTYL]-1-(2-PHENYL ETHYL)-2-PROPEN-1-YL ESTER AND HIGH PURE PRODUCT</t>
  </si>
  <si>
    <t>C07C405/0041;;C07B2200/07;;C07B2200/09;;C07C2601/08;;A61P27/02;;A61P27/06;;C07C405/0041;;C07C2601/08;;Y02P20/55;;C07C405/0041;;A61K31/5575;;A61P27/02;;A61P27/06;;C07C2601/08;;C07C235/34;;A61K31/5575;;C07C231/12;;C07C231/24;;C07C405/0041;;C07C2531/02;;C07C2601/08</t>
  </si>
  <si>
    <t>C07C405/00;;A61K31/5575;;A61P27/02;;A61P27/06</t>
  </si>
  <si>
    <t>https://lens.org/072-199-674-191-505</t>
  </si>
  <si>
    <t>116-050-641-608-30X</t>
  </si>
  <si>
    <t>US 2024/0245684 A1</t>
  </si>
  <si>
    <t>NICOX S.A (2021-01-11)</t>
  </si>
  <si>
    <t>NITRIC OXIDE RELEASING PHOSPHODIESTERASE TYPE 5 INHIBITOR</t>
  </si>
  <si>
    <t>A61K45/06;;A61P27/06;;A61P27/02;;C07D487/04;;C07D403/14;;A61P27/02;;C07D487/04;;A61K31/21;;A61K47/186;;A61K47/20;;A61K47/44;;A61K45/06;;A61P27/06;;A61K9/0048;;A61K47/55;;C07D403/14;;C07D403/14;;A61K31/506;;A61K31/519;;A61K45/06;;A61P27/02;;A61P27/06;;C07D487/04;;A61P27/06;;A61K31/197;;A61K31/506;;A61K31/519;;A61K45/06;;C07D403/14;;C07D487/04</t>
  </si>
  <si>
    <t>A61K31/506;;A61K31/197;;A61K31/519;;A61K45/06;;A61P27/06;;C07D403/14;;C07D487/04</t>
  </si>
  <si>
    <t>https://lens.org/116-050-641-608-30X</t>
  </si>
  <si>
    <t>144-743-424-075-225</t>
  </si>
  <si>
    <t>EP 3741772 B1</t>
  </si>
  <si>
    <t>NICOX OPHTHALMICS INC</t>
  </si>
  <si>
    <t>NICOX OPHTHALMICS, INC. (2022-08-17)</t>
  </si>
  <si>
    <t>PREPARATIONS OF HYDROPHOBIC THERAPEUTIC AGENTS, METHODS OF MANUFACTURE AND USE THEREOF</t>
  </si>
  <si>
    <t>C07J31/006;;C07B2200/13;;C07J71/0031;;C07J31/006;;A61P5/44;;A61P11/00;;A61P11/06;;A61P27/02;;A61P27/04;;A61P27/14;;A61P29/00;;A61P37/08;;A61P43/00;;C07B2200/13;;C07J71/0031;;Y10T428/2982;;A61K31/56;;C07J31/006;;C07J7/009;;C07B2200/13;;C07J3/005;;C07J31/006;;C07J71/0005;;C07J71/0031;;Y10T428/2982</t>
  </si>
  <si>
    <t>C07J31/00;;A61K31/58;;A61P5/44;;A61P11/00;;A61P11/06;;A61P27/02;;A61P27/04;;A61P27/14;;A61P29/00;;A61P37/08;;A61P43/00;;C07J71/00</t>
  </si>
  <si>
    <t>https://lens.org/144-743-424-075-225</t>
  </si>
  <si>
    <t>178-529-411-181-199</t>
  </si>
  <si>
    <t>US 2023/0414621 A1</t>
  </si>
  <si>
    <t>NICOX S.A (2019-05-29)</t>
  </si>
  <si>
    <t>NO-PDE5 INHIBITOR FOR USE IN TREATING DRY AGE-RELATED MACULAR DEGENERATION, GEOGRAPHIC ATROPHY AND GLAUCOMA-ASSOCIATED NEURODEGENERATION</t>
  </si>
  <si>
    <t>A61K31/506;;A61K9/0014;;A61K9/0048;;A61K31/519;;A61K47/55;;A61P27/02;;A61P27/06;;A61K31/519;;A61K31/506</t>
  </si>
  <si>
    <t>A61K31/519;;A61K31/506</t>
  </si>
  <si>
    <t>https://lens.org/178-529-411-181-199</t>
  </si>
  <si>
    <t>117-839-413-892-606</t>
  </si>
  <si>
    <t>US 2023/0069076 A1</t>
  </si>
  <si>
    <t>NICOX S.A (2022-08-29)</t>
  </si>
  <si>
    <t>COMPOSITIONS FOR THE TREATMENT OF GLAUCOMA AND OCULAR HYPERTENSION</t>
  </si>
  <si>
    <t>A61K31/506;;A61K31/522;;A61K31/5575;;A61P27/02;;A61P27/06;;A61K31/519;;A61K9/0048;;A61K31/5575;;A61K31/5578</t>
  </si>
  <si>
    <t>A61K31/519;;A61K9/00;;A61K31/5575;;A61K31/5578</t>
  </si>
  <si>
    <t>https://lens.org/117-839-413-892-606</t>
  </si>
  <si>
    <t>107-059-039-514-049</t>
  </si>
  <si>
    <t>US 2022/0323352 A1</t>
  </si>
  <si>
    <t>NICOX OPHTHALMICS INC (2020-09-04)</t>
  </si>
  <si>
    <t>PROCESS FOR THE PREPARATION OF STERILE OPHTHALMIC AQUEOUS FLUTICASONE PROPIONATE FORM A NANOCRYSTALS SUSPENSIONS</t>
  </si>
  <si>
    <t>A61K31/56;;A61K9/10;;A61K9/0048;;A61K47/38;;A61K47/183;;A61K47/186;;A61K47/10;;A61K47/02;;A61K47/26;;A61P27/02;;A61P29/00;;B82Y5/00;;A61K9/0048;;C07J31/006;;A61P27/00;;A61K9/10;;A61K9/14;;A61K47/02;;A61K47/10;;A61K31/56;;C07B2200/13;;A61K9/10;;A61K9/0048;;A61K47/38;;A61K47/02;;A61K47/186;;A61K31/56;;A61P27/02;;A61P27/02;;A61K9/0048;;A61K9/08;;A61K31/567;;A61K47/02;;A61K47/10;;A61K47/183;;A61K47/186;;A61K47/26;;A61K47/38;;B82Y5/00;;A61P27/04;;A61K9/10;;A61K31/569</t>
  </si>
  <si>
    <t>A61K9/08;;A61K9/00;;A61K31/567;;A61K47/02;;A61K47/10;;A61K47/18;;A61K47/26;;A61K47/38;;A61P27/02</t>
  </si>
  <si>
    <t>https://lens.org/107-059-039-514-049</t>
  </si>
  <si>
    <t>191-083-741-369-60X</t>
  </si>
  <si>
    <t>US 2022/0274924 A1</t>
  </si>
  <si>
    <t>NICOX S.A (2022-01-20)</t>
  </si>
  <si>
    <t>C07C405/00;;C07F5/025;;C07C201/00;;C07C51/412;;C07B2200/07;;C07B2200/09;;C07C405/0041;;Y02P20/55;;C07C2601/08;;C07C405/0041</t>
  </si>
  <si>
    <t>C07C405/00</t>
  </si>
  <si>
    <t>https://lens.org/191-083-741-369-60X</t>
  </si>
  <si>
    <t>032-567-164-187-341</t>
  </si>
  <si>
    <t>US 11058691 B2</t>
  </si>
  <si>
    <t>BAUSCH &amp; LOMB;;NICOX SA</t>
  </si>
  <si>
    <t>NICOX S.A (2020-10-02);;BAUSCH &amp; LOMB INCORPORATED (2020-10-02)</t>
  </si>
  <si>
    <t>Nitric oxide releasing prostaglandin derivatives for treating normal tension glaucoma</t>
  </si>
  <si>
    <t>A61K31/5575;;A61P27/06;;C07C405/0041;;A61K31/5575;;A61P27/06;;A61K31/5575;;A61K45/06;;A61P27/06</t>
  </si>
  <si>
    <t>A61K31/5575;;A61K45/06;;A61P27/06</t>
  </si>
  <si>
    <t>https://lens.org/032-567-164-187-341</t>
  </si>
  <si>
    <t>047-957-310-029-068</t>
  </si>
  <si>
    <t>US 10988438 B2</t>
  </si>
  <si>
    <t>NICOX S.A (2020-07-20)</t>
  </si>
  <si>
    <t>Process for the preparation of a nitric oxide donating prostaglandin analogue</t>
  </si>
  <si>
    <t>C07C201/02;;C07C405/0041;;Y02P20/55;;C07C405/0041;;C07F5/025;;C07C201/02;;C07C203/02;;C07C201/02;;C07C231/12;;C07C291/02;;C07C405/00;;C07C405/0041</t>
  </si>
  <si>
    <t>C07C231/12;;C07C201/02;;C07C291/02;;C07C405/00</t>
  </si>
  <si>
    <t>https://lens.org/047-957-310-029-068</t>
  </si>
  <si>
    <t>098-622-329-226-892</t>
  </si>
  <si>
    <t>EP 2911656 B1</t>
  </si>
  <si>
    <t>NICOX SA (2018-12-19)</t>
  </si>
  <si>
    <t>QUINONE BASED NITRIC OXIDE DONATING COMPOUNDS FOR OPHTHALMIC USE</t>
  </si>
  <si>
    <t>A61K45/06;;A61K9/0048;;A61K31/122;;A61K31/341;;A61K47/44;;A61P27/02;;A61P27/06;;A61K31/21;;A61K9/0048;;A61K31/122;;A61K31/341;;A61K45/06;;A61K47/44</t>
  </si>
  <si>
    <t>A61K31/122;;A61K9/00;;A61K31/341;;A61K45/06;;A61K47/44;;A61P27/02;;A61P27/06</t>
  </si>
  <si>
    <t>https://lens.org/098-622-329-226-892</t>
  </si>
  <si>
    <t>017-343-585-113-571</t>
  </si>
  <si>
    <t>US 10610509 B2</t>
  </si>
  <si>
    <t>NICOX S.A (2017-03-09)</t>
  </si>
  <si>
    <t>Combinations of prostaglandins and nitric oxide donors</t>
  </si>
  <si>
    <t>A61K31/164;;A61K31/191;;A61K31/343;;A61K31/34;;A61K31/164;;A61K31/191;;A61K31/343;;A61K31/5575;;A61P27/02;;A61P27/06;;A61P43/00;;A61K31/34;;A61K9/0048;;A61K31/164;;A61K31/191;;A61K31/343;;A61K31/5575</t>
  </si>
  <si>
    <t>A61K31/34;;A61K9/00;;A61K31/164;;A61K31/191;;A61K31/343;;A61K31/5575</t>
  </si>
  <si>
    <t>https://lens.org/017-343-585-113-571</t>
  </si>
  <si>
    <t>064-634-748-035-438</t>
  </si>
  <si>
    <t>US 10280138 B2</t>
  </si>
  <si>
    <t>NICOX S.A (2017-08-31)</t>
  </si>
  <si>
    <t>Nitric oxide donating derivatives of fluprostenol</t>
  </si>
  <si>
    <t>C07C405/0016;;A61K31/5575;;A61P27/06;;C07C2601/08;;C07C405/0016;;A61K31/5575;;A61P27/06;;C07C2601/08</t>
  </si>
  <si>
    <t>A61K31/5575;;A61P27/06;;C07C405/00;;C07D405/00</t>
  </si>
  <si>
    <t>https://lens.org/064-634-748-035-438</t>
  </si>
  <si>
    <t>182-880-571-908-310</t>
  </si>
  <si>
    <t>US 10220055 B2</t>
  </si>
  <si>
    <t>NICOX S.A (2016-07-20)</t>
  </si>
  <si>
    <t>Composition effective against viral conjunctivitis</t>
  </si>
  <si>
    <t>A61K31/731;;A61K9/0048;;A61K31/737;;A61P27/02;;A61P31/16;;A61K31/731;;A61K9/0048;;A61K9/08;;A61K31/737;;A61K47/02;;A61K47/12;;A61K47/26;;A61P27/02;;A61P31/16</t>
  </si>
  <si>
    <t>A61K31/731;;A61K9/00;;A61K9/08;;A61K31/737;;A61K47/02;;A61K47/12;;A61K47/18;;A61K47/26</t>
  </si>
  <si>
    <t>https://lens.org/182-880-571-908-310</t>
  </si>
  <si>
    <t>053-510-753-683-305</t>
  </si>
  <si>
    <t>US 10093696 B2</t>
  </si>
  <si>
    <t>NICOX SCIENCE IRELAND</t>
  </si>
  <si>
    <t>NICOX SCIENCE IRELAND (2017-02-13);;NICOX SA (2018-07-24)</t>
  </si>
  <si>
    <t>Nitric oxide donating carnosine compounds</t>
  </si>
  <si>
    <t>C07D233/64;;A61K38/05;;A61P27/02;;A61P27/06;;A61P43/00;;C07K5/06026;;A61K9/0048;;A61K38/05;;A61K45/06;;C07D233/64</t>
  </si>
  <si>
    <t>A61K38/00;;A61K9/00;;A61K38/05;;A61K45/06;;C07K5/062</t>
  </si>
  <si>
    <t>https://lens.org/053-510-753-683-305</t>
  </si>
  <si>
    <t>110-802-696-290-256</t>
  </si>
  <si>
    <t>EP 2941437 B1</t>
  </si>
  <si>
    <t>NICOX OPHTHALMICS, INC. (2016-12-14)</t>
  </si>
  <si>
    <t>POLYMORPHIC FORM C OF TRIMACINOLONE ACETONIDE</t>
  </si>
  <si>
    <t>C07J71/0031;;A61P5/44;;C07B2200/13;;C07J31/006</t>
  </si>
  <si>
    <t>C07J71/00;;A61K31/58;;A61P5/44</t>
  </si>
  <si>
    <t>https://lens.org/110-802-696-290-256</t>
  </si>
  <si>
    <t>079-429-405-321-979</t>
  </si>
  <si>
    <t>US 10047047 B2</t>
  </si>
  <si>
    <t>Nitric oxide donating derivatives of latanoprost free acid</t>
  </si>
  <si>
    <t>C07C405/00;;A61K31/5575;;A61K45/06;;A61P27/02;;A61P27/06;;C07C2601/08;;C07C405/00;;A61K9/0048;;A61K31/5575;;A61K45/06;;A61P27/02;;A61P27/06;;C07C2601/08</t>
  </si>
  <si>
    <t>C07C405/00;;A61K9/00;;A61K31/5575;;A61K45/06;;A61P27/02;;A61P27/06</t>
  </si>
  <si>
    <t>https://lens.org/079-429-405-321-979</t>
  </si>
  <si>
    <t>162-929-062-313-684</t>
  </si>
  <si>
    <t>EP 3021870 B1</t>
  </si>
  <si>
    <t>NICOX SCIENCE IRELAND LTD</t>
  </si>
  <si>
    <t>NICOX S.A. (2018-10-01);;NICOX SCIENCE IRELAND LIMITED (2018-02-14);;NICOX S.A., VALBONNE, FR (2018-11-21)</t>
  </si>
  <si>
    <t>OPHTHALMIC COMPOSITIONS CONTAINING A NITRIC OXIDE DONOR</t>
  </si>
  <si>
    <t>A61K45/06;;A61K31/215;;A61P27/02;;A61P27/06;;A61K31/22;;A61K9/0048;;A61K31/215;;A61K45/06;;C07C203/04</t>
  </si>
  <si>
    <t>A61K45/06;;A61K31/215;;A61P27/02;;A61P27/06</t>
  </si>
  <si>
    <t>https://lens.org/162-929-062-313-684</t>
  </si>
  <si>
    <t>nicox, aciex therapeutics</t>
  </si>
  <si>
    <t>067-639-834-318-612</t>
  </si>
  <si>
    <t>US 9822142 B2</t>
  </si>
  <si>
    <t>ACIEX THERAPEUTICS INC;;NICOX OPHTHALMICS INC</t>
  </si>
  <si>
    <t>NICOX OPHTHALMICS INC (2014-10-30)</t>
  </si>
  <si>
    <t>Preparations of hydrophobic therapeutic agents, methods of manufacture and use thereof</t>
  </si>
  <si>
    <t>C07J31/006;;C07B2200/13;;Y10T428/2982;;C07J7/009;;C07B2200/13;;C07J3/005;;C07J31/006;;C07J71/0005;;C07J71/0031;;Y10T428/2982</t>
  </si>
  <si>
    <t>C07J71/00;;A61K31/58;;C07J3/00;;C07J7/00;;C07J31/00</t>
  </si>
  <si>
    <t>https://lens.org/067-639-834-318-612</t>
  </si>
  <si>
    <t>112-863-491-577-044</t>
  </si>
  <si>
    <t>US 9815865 B2</t>
  </si>
  <si>
    <t>C07J71/0031;;C07J3/005;;C07J5/0015;;C07J5/003;;C07J5/0038;;C07J5/0053;;C07J5/0076;;C07J5/0092;;C07J7/002;;C07J7/0045;;C07J7/0085;;C07J9/00;;C07J31/006;;C07J51/00;;Y10T428/2982;;C07J71/0031;;C07J3/005;;C07J5/0015;;C07J5/003;;C07J5/0038;;C07J5/0053;;C07J5/0076;;C07J5/0092;;C07J7/002;;C07J7/0045;;C07J7/0085;;C07J9/00;;C07J31/006;;C07J51/00;;Y10T428/2982</t>
  </si>
  <si>
    <t>A61K31/58;;C07J3/00;;C07J5/00;;C07J7/00;;C07J9/00;;C07J31/00;;C07J51/00;;C07J71/00</t>
  </si>
  <si>
    <t>https://lens.org/112-863-491-577-044</t>
  </si>
  <si>
    <t>031-068-936-331-145</t>
  </si>
  <si>
    <t>EP 2986288 B1</t>
  </si>
  <si>
    <t>NICOX S.A. (2018-10-01);;NICOX S.A., VALBONNE, FR (2018-11-21)</t>
  </si>
  <si>
    <t>C07C203/04;;A61K31/215;;A61K31/216;;A61P27/02;;A61P27/06;;A61P29/00;;A61P43/00;;C07C2601/16;;C07C2602/10;;C07C203/04;;A61K9/0048;;A61K31/215;;A61K31/216;;A61K45/06;;C07C203/00;;C07C2601/16;;C07C2602/10</t>
  </si>
  <si>
    <t>A61K31/215;;A61K9/00;;A61K31/216;;C07C69/608;;C07C69/612;;C07C69/635;;C07C203/04</t>
  </si>
  <si>
    <t>https://lens.org/031-068-936-331-145</t>
  </si>
  <si>
    <t>065-256-145-712-162</t>
  </si>
  <si>
    <t>US 9079821 B2</t>
  </si>
  <si>
    <t>NICOX SA;;NICOX SCIENCE IRELAND</t>
  </si>
  <si>
    <t>NICOX SA (2018-07-24);;NICOX SCIENCE IRELAND (2014-09-05)</t>
  </si>
  <si>
    <t>Quinone based nitric oxide donating compounds</t>
  </si>
  <si>
    <t>C07C203/04;;A61K31/21;;A61K31/341;;A61K45/06;;C07C323/22;;C07C2601/16;;C07D307/20;;C07C203/04;;A61K31/21;;A61K31/341;;A61K45/06;;C07C323/22;;C07C2601/16;;C07D307/20</t>
  </si>
  <si>
    <t>C07C203/04;;A61K31/21;;A61K31/341;;A61K45/06;;C07C323/22;;C07D307/20</t>
  </si>
  <si>
    <t>https://lens.org/065-256-145-712-162</t>
  </si>
  <si>
    <t>155-242-100-121-399</t>
  </si>
  <si>
    <t>US 9061962 B2</t>
  </si>
  <si>
    <t>C07C203/04;;A61K31/122;;A61K31/7024;;A61K45/06;;A61P9/00;;A61P9/08;;A61P9/10;;A61P9/12;;A61P9/14;;A61P21/00;;A61P25/00;;A61P27/02;;A61P27/06;;C07C323/22;;C07C2601/16;;C07C2602/10;;C07D307/20;;C07H11/02;;C07C203/04;;A61K31/122;;A61K31/7024;;A61K45/06;;C07C323/22;;C07C323/53;;C07C2601/16;;C07C2602/10;;C07D307/20;;C07H11/02</t>
  </si>
  <si>
    <t>C07C203/04;;A61K31/122;;A61K31/7024;;A61K45/06;;C07C323/22;;C07C323/53;;C07D307/20;;C07H11/02</t>
  </si>
  <si>
    <t>https://lens.org/155-242-100-121-399</t>
  </si>
  <si>
    <t>063-618-942-182-777</t>
  </si>
  <si>
    <t>EP 3204086 B1</t>
  </si>
  <si>
    <t>SANOFI SA</t>
  </si>
  <si>
    <t>SANOFI (2023-11-01)</t>
  </si>
  <si>
    <t>HOUSING AND DRUG DELIVERY DEVICE HEREWITH</t>
  </si>
  <si>
    <t>A61M5/24;;A61M2005/2407;;A61M2005/2433;;A61M2005/2485;;A61M2005/2492;;A61M5/24;;A61M5/31553;;A61M2005/2407;;A61M2005/2492;;A61M5/31553;;A61M5/24;;A61M5/31566;;A61M5/31576;;A61M5/31593;;A61M2005/2407;;A61M2005/2492;;A61M5/24;;A61M5/31536;;A61M5/31541;;A61M5/31553;;A61M5/3158;;A61M5/31593;;A61M5/3202;;A61M2005/2407;;A61M2005/2488;;A61M2005/2492;;A61M2005/3126;;A61M2005/3154;;A61M2205/581;;A61M2205/582;;A61M2205/60</t>
  </si>
  <si>
    <t>A61M5/24;;A61M5/315</t>
  </si>
  <si>
    <t>https://lens.org/063-618-942-182-777</t>
  </si>
  <si>
    <t>130-569-653-960-800</t>
  </si>
  <si>
    <t>EP 3471760 B1</t>
  </si>
  <si>
    <t>BOEHRINGER INGELHEIM VETMEDICA GMBH;;SANOFI PASTEUR</t>
  </si>
  <si>
    <t>BOEHRINGER INGELHEIM ANIMAL HEALTH USA INC. (2019-10-09);;BOEHRINGER INGELHEIM VETMEDICA GMBH (2024-09-04);;SANOFI PASTEUR (2024-09-04)</t>
  </si>
  <si>
    <t>NOVEL IMMUNOGENIC FORMULATIONS COMPRISING LINEAR OR BRANCHED POLYACRYLIC ACID POLYMER ADJUVANTS</t>
  </si>
  <si>
    <t>A61K39/00;;A61K39/0011;;A61K2039/55511;;A61P31/12;;A61P37/04;;C08F120/06;;Y02A50/30;;A61K39/39;;A61K39/0011;;A61K39/145;;A61K39/205;;A61K39/215;;A61K47/08;;A61K47/26;;A61K2039/5254;;A61K2039/5256;;A61K2039/552;;A61K2039/55516;;A61K2039/55522;;A61K2039/55555;;A61K2039/55561;;A61K2039/57;;A61K2039/585;;A61K2300/00;;A61P31/12;;A61P37/04;;C08F6/001;;C08F120/06;;Y02A50/30;;A61K39/39;;A61K39/00;;A61K39/0011;;A61K47/08;;A61K47/26;;A61K2039/555;;A61K2039/55511;;A61K2039/55516;;A61K2039/55522;;A61K2039/55555;;A61K2039/55561;;A61K2039/57;;A61K2300/00;;C08F120/06;;Y02A50/30</t>
  </si>
  <si>
    <t>A61K39/00;;C08F220/06</t>
  </si>
  <si>
    <t>https://lens.org/130-569-653-960-800</t>
  </si>
  <si>
    <t>076-334-585-650-129</t>
  </si>
  <si>
    <t>EP 4448103 A1</t>
  </si>
  <si>
    <t>SANOFI PASTEUR INC. (2025-04-09);;SANOFI VACCINES US INC. (2026-05-27)</t>
  </si>
  <si>
    <t>LYME DISEASE RNA VACCINE</t>
  </si>
  <si>
    <t>A61K39/0225;;A61K2039/53;;A61K2039/55555;;A61K2039/575;;Y02A50/30;;A61K39/0225;;A61K9/5015;;A61K2039/53;;A61K2039/55;;A61K2039/552;;A61P37/04</t>
  </si>
  <si>
    <t>A61P31/04;;A61K39/00;;A61K39/02</t>
  </si>
  <si>
    <t>https://lens.org/076-334-585-650-129</t>
  </si>
  <si>
    <t>sanofi, ablynx</t>
  </si>
  <si>
    <t>111-318-198-575-760</t>
  </si>
  <si>
    <t>EP 4448574 A1</t>
  </si>
  <si>
    <t>ABLYNX NV;;SANOFI SA</t>
  </si>
  <si>
    <t>ABLYNX NV (2024-12-04);;SANOFI (2024-12-04)</t>
  </si>
  <si>
    <t>POLYPEPTIDES COMPRISING IMMUNOGLOBULIN SINGLE VARIABLE DOMAINS TARGETING TCRALPHABETA, CD33 AND CD123</t>
  </si>
  <si>
    <t>C07K16/2809;;A61K2039/505;;A61P35/02;;C07K16/18;;C07K16/2803;;C07K16/2866;;C07K2317/31;;C07K2317/33;;C07K2317/569;;C07K2317/626;;C07K2317/92;;C07K2319/31;;C07K16/2809;;A61K2039/505;;A61P35/02;;C07K16/18;;C07K16/2803;;C07K16/2866;;C07K2317/31;;C07K2317/33;;C07K2317/569;;C07K2317/626;;C07K2317/92;;C07K2319/31;;C07K16/2809;;A61K2039/505;;A61P35/02;;C07K16/18;;C07K16/2803;;C07K16/2866;;C07K2317/31;;C07K2317/33;;C07K2317/569;;C07K2317/92;;C07K2319/31</t>
  </si>
  <si>
    <t>C07K16/28;;A61P35/02;;C07K16/18</t>
  </si>
  <si>
    <t>https://lens.org/111-318-198-575-760</t>
  </si>
  <si>
    <t>063-630-013-620-287</t>
  </si>
  <si>
    <t>B9</t>
  </si>
  <si>
    <t>EP 2571517 B9</t>
  </si>
  <si>
    <t>SANOFI, FR (2025-09-28);;SANOFI; FR (2024-09-17);;SANOFI (2022-12-28);;SANOFI, PARIS, FR (2024-09-02)</t>
  </si>
  <si>
    <t>LONG - ACTING FORMULATIONS OF INSULINS</t>
  </si>
  <si>
    <t>A61K9/0019;;A61K9/08;;A61K38/28;;A61K38/2278;;A61K47/02;;A61K47/10;;A61K47/26;;A61K38/26;;A61P3/08;;A61P5/48;;A61P5/50;;A61P3/10;;A61K9/08;;A61K38/28;;A61K47/30;;A61K38/28;;A61K9/0019;;A61K9/08;;A61K38/28;;A61K38/26;;A61K38/2278;;A61K47/02;;A61K47/10;;A61K47/26</t>
  </si>
  <si>
    <t>A61K9/00;;A61K9/08;;A61K38/22;;A61K38/26;;A61K38/28;;A61K47/10;;A61K47/26</t>
  </si>
  <si>
    <t>https://lens.org/063-630-013-620-287</t>
  </si>
  <si>
    <t>046-507-068-605-72X</t>
  </si>
  <si>
    <t>EP 4440610 A1</t>
  </si>
  <si>
    <t>SANOFI PASTEUR INC;;US HEALTH</t>
  </si>
  <si>
    <t>SANOFI VACCINES US INC. (2026-05-27);;THE UNITED STATES OF AMERICA, AS REPRESENTED BYTHE SECRETARY, DEPARTMENT OF HEALTH AND HUMANSERVICES (2026-05-27)</t>
  </si>
  <si>
    <t>HUMAN METAPNEUMOVIRUS VIRAL VECTOR-BASED VACCINES</t>
  </si>
  <si>
    <t>A61K39/12;;A61K39/155;;A61K2039/5256;;A61P11/00;;A61P31/14;;C07K14/005;;C07K2319/00;;C12N2760/18322;;C12N2760/18334;;C12N2760/18641;;C12N2760/18643;;C12N15/86;;A61K39/12;;A61K39/155;;A61K2039/5254;;A61K2039/5256;;A61K2039/575;;C07K14/005;;C07K2319/03;;C12N2760/18322;;C12N2760/18334;;C12N2760/18643;;A61K39/155;;A61K2039/575;;A61K2039/70;;A61P31/14;;C12N7/00;;C12N15/86;;C12N2760/18322;;C12N2760/18334;;C12N2760/18343;;C12N2760/18634</t>
  </si>
  <si>
    <t>A61K39/12;;A61K39/155;;A61P11/00;;A61P31/14;;C07K14/005</t>
  </si>
  <si>
    <t>https://lens.org/046-507-068-605-72X</t>
  </si>
  <si>
    <t>064-586-904-702-877</t>
  </si>
  <si>
    <t>EP 3990064 B1</t>
  </si>
  <si>
    <t>INJECTION DEVICE</t>
  </si>
  <si>
    <t>A61M5/20;;A61M5/31;;A61M5/31525;;A61M5/31585;;A61M2005/3125;;A61M5/5086;;A61M5/20;;A61M39/1011;;A61M2005/2485;;A61M2005/3125;;A61M2205/273;;A61M2205/3368;;A61M2205/60;;A61M2207/00;;G09F2003/0251;;A61M5/5086;;A61M5/20;;A61M5/24;;A61M5/31;;A61M5/31525;;A61M5/31553;;A61M5/31585;;A61M5/3202;;A61M39/1011;;A61M2005/2485;;A61M2005/3125;;A61M2005/3126;;A61M2205/273;;A61M2205/276;;A61M2205/3368;;A61M2205/60;;A61M2207/00;;B65C3/166;;G09F2003/0251;;A61M5/5086;;A61M5/20;;A61M39/1011;;A61M2005/3125;;A61M2205/273;;A61M2205/276;;A61M2205/3368;;A61M2205/60;;A61M5/24;;A61M5/31553;;A61M5/3202;;A61M2005/2485;;A61M2005/3125;;A61M2005/3126;;A61M2205/3368;;A61M2207/00;;B65C3/166</t>
  </si>
  <si>
    <t>B65C3/16;;A61M5/50;;A61M39/10;;G09F3/00</t>
  </si>
  <si>
    <t>https://lens.org/064-586-904-702-877</t>
  </si>
  <si>
    <t>038-673-289-164-749</t>
  </si>
  <si>
    <t>EP 4440608 A1</t>
  </si>
  <si>
    <t>SANOFI PASTEUR INC</t>
  </si>
  <si>
    <t>SANOFI VACCINES US INC. (2026-05-27)</t>
  </si>
  <si>
    <t>HUMAN METAPNEUMOVIRUS VACCINES</t>
  </si>
  <si>
    <t>A61K39/12;;A61K39/155;;A61P11/00;;A61P31/14;;C07K14/005;;C07K2319/00;;C12N2760/18322;;C12N2760/18334;;A61K39/12;;A61K39/145;;A61K39/155;;A61K2039/53;;A61K2039/55;;A61K2039/575;;A61P11/00;;A61P31/14;;C07K14/005;;C07K2319/00;;C07K2319/21;;C07K2319/22;;C12N2760/18322;;C12N2760/18334;;C07K14/005;;A61K39/12;;A61K39/145;;A61K39/155;;A61K2039/53;;A61K2039/55;;A61K2039/575;;A61P11/00;;A61P31/14;;A61P31/16;;C07K2319/21;;C07K2319/22;;C12N2760/18322;;C12N2760/18334;;A61K39/12;;A61K39/145;;A61K2039/53;;A61K2039/55;;A61K2039/575;;A61P31/14;;C07K14/005;;C07K2319/21;;C07K2319/22</t>
  </si>
  <si>
    <t>https://lens.org/038-673-289-164-749</t>
  </si>
  <si>
    <t>005-987-035-948-96X</t>
  </si>
  <si>
    <t>EP 4426343 A1</t>
  </si>
  <si>
    <t>SANOFI PASTEUR INC. (2025-07-02);;SANOFI VACCINES US INC. (2026-05-27)</t>
  </si>
  <si>
    <t>RESPIRATORY SYNCYTIAL VIRUS RNA VACCINE</t>
  </si>
  <si>
    <t>A61K39/12;;A61K2039/53;;A61K2039/54;;A61K2039/545;;A61K2039/55555;;A61K2039/575;;A61P31/14;;C12N2760/18534;;A61K39/12;;A61K2039/53;;A61K2039/54;;A61K2039/545;;A61K2039/55555;;A61K2039/575;;A61P31/14;;C07K14/135;;C12N2760/18534;;A61K39/155;;A61K2039/53;;A61K2039/54;;A61K2039/545;;A61K2039/55555;;A61K2039/575;;A61P31/14;;C07K14/135;;C12N2760/18534;;A61K39/12;;A61K2039/55555;;A61P31/14;;C07K14/135</t>
  </si>
  <si>
    <t>A61K39/12;;A61K39/00;;A61P31/14</t>
  </si>
  <si>
    <t>https://lens.org/005-987-035-948-96X</t>
  </si>
  <si>
    <t>090-892-984-551-519</t>
  </si>
  <si>
    <t>EP 4426345 A1</t>
  </si>
  <si>
    <t>SANOFI PASTEUR INC. (2025-12-10);;SANOFI VACCINES US INC. (2026-05-27)</t>
  </si>
  <si>
    <t>HYBRID MULTIVALENT INFLUENZA VACCINES COMPRISING HEMAGGLUTININ AND NEURAMINIDASE AND METHODS OF USING THE SAME</t>
  </si>
  <si>
    <t>A61K39/12;;A61K2039/5252;;A61K2039/53;;A61K2039/54;;A61K2039/545;;A61K2039/55555;;A61K2039/575;;A61K2039/70;;A61P31/14;;C12N2740/16134;;C12N2740/16234;;A61K39/12;;A61K2039/5252;;A61K2039/53;;A61K2039/54;;A61K2039/545;;A61K2039/55555;;A61K2039/575;;A61K2039/70;;A61P31/14;;C12N2740/16134;;C12N2740/16234;;A61K39/145;;A61K2039/5252;;A61K2039/53;;A61K2039/54;;A61K2039/545;;A61K2039/55511;;A61K2039/55555;;A61K2039/575;;A61K2039/70;;A61P31/16;;C12N2760/16062;;C12N2760/16134;;C12N2760/16234;;A61K39/145;;A61K2039/53;;A61K2039/70;;A61P31/16</t>
  </si>
  <si>
    <t>https://lens.org/090-892-984-551-519</t>
  </si>
  <si>
    <t>111-572-580-512-502</t>
  </si>
  <si>
    <t>EP 4426346 A1</t>
  </si>
  <si>
    <t>MULTIVALENT INFLUENZA VACCINES COMPRISING RECOMBINANT HEMAGGLUTININ AND NEURAMINIDASE AND METHODS OF USING THE SAME</t>
  </si>
  <si>
    <t>A61K39/12;;A61K39/145;;A61P31/16;;C12N2760/16062;;C12N2760/16111;;C12N2760/16134;;A61K39/12;;A61K39/145;;A61P31/16;;C12N2760/16062;;C12N2760/16111;;C12N2760/16134;;A61K39/145;;A61K2039/54;;A61K2039/545;;A61K2039/55511;;A61K2039/55555;;A61K2039/70;;A61P31/16;;C12N2760/16062;;C12N2760/16134;;A61K39/145;;A61K2039/54;;A61K2039/545;;A61K2039/55555;;A61K2039/55566;;A61K2039/70;;A61P37/04</t>
  </si>
  <si>
    <t>A61K39/12;;A61K39/145;;A61P31/16</t>
  </si>
  <si>
    <t>https://lens.org/111-572-580-512-502</t>
  </si>
  <si>
    <t>092-243-550-906-426</t>
  </si>
  <si>
    <t>EP 3914321 B1</t>
  </si>
  <si>
    <t>DRUG DELIVERY DEVICE</t>
  </si>
  <si>
    <t>A61M5/20;;A61M5/315;;A61M5/31585;;A61M2005/3126;;A61M2005/31508;;A61M5/31528;;A61M5/20;;A61M5/24;;A61M5/31585;;A61M2005/31508</t>
  </si>
  <si>
    <t>A61M5/20;;A61M5/31;;A61M5/315</t>
  </si>
  <si>
    <t>https://lens.org/092-243-550-906-426</t>
  </si>
  <si>
    <t>001-176-656-249-614</t>
  </si>
  <si>
    <t>EP 4412647 A1</t>
  </si>
  <si>
    <t>MULTIVALENT INFLUENZA VACCINES</t>
  </si>
  <si>
    <t>A61K39/12;;A61K2039/55511;;A61K2039/55566;;A61K2039/55577;;A61K2039/70;;A61P31/16;;C12N2760/16122;;C12N2760/16134;;C12N2760/16222;;C12N2760/16234;;G16H20/10;;G16H50/20;;G16H50/70;;G16H50/80;;A61K39/12;;A61K2039/55511;;A61K2039/55566;;A61K2039/55577;;A61K2039/70;;A61P31/16;;C12N2760/16122;;C12N2760/16134;;C12N2760/16222;;C12N2760/16234;;G16H20/10;;G16H50/20;;G16H50/70;;G16H50/80;;A61K39/145;;A61K2039/53;;A61K2039/545;;A61K2039/55555;;A61K2039/55566;;A61K2039/6018;;A61K2039/70;;A61P31/16;;C12N2760/16122;;C12N2760/16134;;C12N2760/16222;;C12N2760/16234;;G16H20/10;;G16H50/80;;A61K39/145;;A61K9/0019;;A61K2039/55555;;A61K2039/70;;C07K14/005;;C12N2760/16322;;C12N2760/16334</t>
  </si>
  <si>
    <t>A61K39/12;;A61K39/00;;A61P31/16;;G16H50/80</t>
  </si>
  <si>
    <t>https://lens.org/001-176-656-249-614</t>
  </si>
  <si>
    <t>006-293-903-839-537</t>
  </si>
  <si>
    <t>EP 4412590 A1</t>
  </si>
  <si>
    <t>SANOFI PASTEUR INC. (2025-06-11);;SANOFI VACCINES US INC. (2026-05-27)</t>
  </si>
  <si>
    <t>METHODS FOR FREEZING AND FREEZE-DRYING LIPID NANOPARTICLES (LNPS) AND LNPS OBTAINED WITH THE SAME</t>
  </si>
  <si>
    <t>A61K9/1271;;A61K9/1277;;A61K9/19;;A61K9/5123;;A61K31/7105;;A61K39/39;;A61K2039/51;;A61K2039/55555;;A61K31/7105;;A61K9/1271;;A61K9/1277;;A61K9/19;;A61K9/5123;;A61K39/39;;A61K2039/51;;A61K2039/55555;;A61K9/51;;A61K9/1271;;A61K9/19;;A61K31/7105;;A61K9/19;;A61K9/5123;;A61K31/7105</t>
  </si>
  <si>
    <t>A61K9/127;;A61K9/19;;A61K9/51;;A61K31/7105</t>
  </si>
  <si>
    <t>https://lens.org/006-293-903-839-537</t>
  </si>
  <si>
    <t>116-354-202-534-866</t>
  </si>
  <si>
    <t>EP 3506931 B1</t>
  </si>
  <si>
    <t>REGENERON PHARMA;;SANOFI BIOTECHNOLOGY</t>
  </si>
  <si>
    <t>REGENERON PHARMACEUTICALS, INC. (2024-07-17);;SANOFI BIOTECHNOLOGY (2024-07-17)</t>
  </si>
  <si>
    <t>METHODS FOR PREVENTING OR TREATING ALLERGY BY ADMINISTERING AN IL-4R ANTAGONIST</t>
  </si>
  <si>
    <t>C07K16/2866;;A61K9/0019;;A61K39/3955;;A61K45/06;;A61K2039/505;;A61K2039/54;;A61K2039/545;;A61P37/08;;C07K2317/565;;C07K2317/76;;A61K38/1774;;A61K39/00;;A61K2039/505;;A61K2039/545;;A61P17/00;;A61P37/08;;C07K16/2866;;C07K2317/76;;C07K16/2866;;A61K9/0019;;A61K38/1774;;A61K39/00;;A61K39/3955;;A61K45/06;;A61K2039/505;;A61K2039/54;;A61K2039/545;;A61P17/00;;A61P37/08;;C07K2317/565;;C07K2317/76;;G01N33/56966;;C07K16/2866;;A61K45/06;;A61K2039/505;;A61K2039/545;;A61P37/08;;C07K2317/76;;A61K38/1774;;A61K9/0019;;A61K39/00;;A61K45/06;;A61K2039/505;;A61K2039/545;;A61P17/00;;A61P37/08;;C07K16/2866;;C07K2317/76;;G01N33/56966</t>
  </si>
  <si>
    <t>A61K39/00;;A61P37/08;;C07K16/28</t>
  </si>
  <si>
    <t>https://lens.org/116-354-202-534-866</t>
  </si>
  <si>
    <t>107-269-842-595-656</t>
  </si>
  <si>
    <t>EP 3727150 B1</t>
  </si>
  <si>
    <t>NFC GLUCOMETER CONTAINING RECHARGEABLE BATTERY FOR INDEPENDED USEAGE</t>
  </si>
  <si>
    <t>A61B5/14532;;A61B5/021;;A61B5/14546;;A61B5/1468;;A61B5/1477;;A61B5/4839;;A61B2560/0204;;A61B2560/0209;;A61B2560/0214;;H02J7/82;;H02J50/10;;H02J2105/46;;Y02E60/10;;A61B5/14532;;G01N33/48785;;G01N33/66;;H01M10/44;;H01M2220/30;;H02J7/345;;H02J7/40;;H02J7/82;;H02J50/10;;H02J50/20</t>
  </si>
  <si>
    <t>A61B5/145;;A61B5/00;;A61B5/021;;A61B5/1468;;A61B5/1477;;G01N33/66;;H02J5/00;;H02J7/00</t>
  </si>
  <si>
    <t>https://lens.org/107-269-842-595-656</t>
  </si>
  <si>
    <t>024-484-114-029-78X</t>
  </si>
  <si>
    <t>EP 4309670 A3</t>
  </si>
  <si>
    <t>SANOFI VACCINES US INC. (2026-04-15)</t>
  </si>
  <si>
    <t>NEISSERIA MENINGITIDIS VACCINE</t>
  </si>
  <si>
    <t>A61K39/095;;A61K39/385;;A61K47/6415;;A61K47/65;;A61K47/36;;A61K47/18;;A61P31/04;;A61P37/04;;A61K2039/627;;A61K2039/55583;;A61K2039/6037;;A61K2039/70;;A61K2039/55583;;A61K2039/6037;;A61K2039/70;;A61K39/095;;A61P31/04;;A61P37/04;;Y02A50/30;;A61K39/095;;A61K39/385;;A61K2039/6037;;A61P31/04;;A61P37/04;;A61K2039/70;;A61K2039/627;;A61K2039/6037;;A61K2039/70;;A61K2039/55583;;Y02A50/30;;A61K39/095;;A61K47/65;;A61K47/6415;;A61K47/18;;A61K47/36</t>
  </si>
  <si>
    <t>A61K39/095</t>
  </si>
  <si>
    <t>https://lens.org/024-484-114-029-78X</t>
  </si>
  <si>
    <t>150-446-182-985-176</t>
  </si>
  <si>
    <t>EP 4396363 A1</t>
  </si>
  <si>
    <t>SANOFI PASTEUR INC. (2025-06-25);;SANOFI VACCINES US INC. (2026-05-27)</t>
  </si>
  <si>
    <t>COMPOSITIONS AND METHODS FOR RNA AFFINITY PURIFICATION</t>
  </si>
  <si>
    <t>C12N15/1003;;C12N15/115;;C12N2310/16;;C12N2310/3519;;C12P19/34;;C12N15/115;;A61K48/0066;;C12N15/101;;C12N2310/16;;C12N2310/351;;C12N2830/50</t>
  </si>
  <si>
    <t>C12P19/34;;C12N15/10</t>
  </si>
  <si>
    <t>https://lens.org/150-446-182-985-176</t>
  </si>
  <si>
    <t>084-586-725-708-865</t>
  </si>
  <si>
    <t>EP 4384534 A1</t>
  </si>
  <si>
    <t>SANOFI PASTEUR INC. (2024-11-27);;SANOFI VACCINES US INC. (2026-05-27)</t>
  </si>
  <si>
    <t>TRUNCATED INFLUENZA NEURAMINIDASE AND METHODS OF USING THE SAME</t>
  </si>
  <si>
    <t>A61P31/16;;A61K39/12;;A61K39/145;;C07K14/11;;C12N2760/16122;;C12N2760/16134;;C12N2760/16151;;A61K39/145;;A61K2039/645;;A61P37/04;;C07K14/005;;C07K14/70596;;C07K2319/02;;C12N9/2402;;C12N2760/16134;;C12Y302/01018</t>
  </si>
  <si>
    <t>C07K14/11;;A61K39/12;;A61K39/145;;A61P31/16</t>
  </si>
  <si>
    <t>https://lens.org/084-586-725-708-865</t>
  </si>
  <si>
    <t>183-795-595-089-524</t>
  </si>
  <si>
    <t>EP 3694882 B1</t>
  </si>
  <si>
    <t>SANOFI (2023-05-17)</t>
  </si>
  <si>
    <t>ANTI-CD38 ANTIBODIES AND COMBINATIONS WITH ANTI-CD3 AND ANTI-CD28 ANTIBODIES</t>
  </si>
  <si>
    <t>C07K16/2896;;C07K2317/56;;C07K2317/565;;C07K2317/567;;C07K2317/515;;C07K2317/51;;C07K2317/31;;C07K16/00;;C07K2317/524;;C07K2317/526;;C07K2317/622;;C07K2317/64;;C07K2319/33;;C07K2317/76;;A61P35/00;;C07K16/2896;;C07K16/2818;;A61P35/02;;C07K2317/92;;C07K2317/33;;C07K2317/31;;C07K16/2809;;C07K16/2896;;C07K2317/526;;C07K16/00;;C07K2319/33;;C07K2317/76;;C07K2317/567;;C07K2317/64;;C07K2317/33;;A61K39/3955;;C07K16/2818;;A61K2039/505;;A61P35/02;;C07K2317/622;;C07K2317/565;;C07K2317/515;;A61P35/00;;A61K45/06;;C07K16/2809;;C07K2317/524;;C07K2317/51;;C07K2317/21;;C07K2317/31;;C07K2317/92;;C07K16/2896;;C07K16/2818;;C07K16/2809;;C12N5/0636;;A61P31/16;;A61P31/18;;A61P31/22;;A61K2039/505;;C07K2317/31;;A61K39/39558;;C07K16/2896;;A61K2039/505;;C07K16/2818;;A61K39/3955;;A61K45/06;;A61P35/02;;C07K2317/565;;C07K2317/567;;C07K2317/51;;C07K2317/515;;C07K2317/92;;C07K2317/33;;C07K2317/21;;C07K2317/31;;C07K16/2809;;C07K16/00;;A61P35/00;;C07K2317/524;;C07K2317/622;;C07K2317/64;;C07K2319/33;;C07K2317/526;;C07K2317/76</t>
  </si>
  <si>
    <t>C07K16/28;;A61P35/00;;C07K16/00</t>
  </si>
  <si>
    <t>https://lens.org/183-795-595-089-524</t>
  </si>
  <si>
    <t>152-275-354-695-837</t>
  </si>
  <si>
    <t>EP 3710083 B1</t>
  </si>
  <si>
    <t>MIXING AND/OR RECONSTITUTION SYSTEM</t>
  </si>
  <si>
    <t>A61M5/1782;;A61J1/2096;;A61M5/19;;A61M5/20;;A61M5/2053;;A61M5/2066;;A61M5/2448;;A61M5/31576;;A61M5/31596;;A61M5/445;;A61M2005/2013;;A61M2005/2474;;A61M2005/3128;;A61M2005/31598;;A61M2005/3267;;A61M2205/0272;;A61M2209/04;;A61M2209/045;;A61M5/20;;A61J1/2096;;A61M5/19;;A61M5/24;;A61M5/31576;;A61M5/34;;A61M2205/19</t>
  </si>
  <si>
    <t>A61M5/315</t>
  </si>
  <si>
    <t>https://lens.org/152-275-354-695-837</t>
  </si>
  <si>
    <t>063-136-608-305-661</t>
  </si>
  <si>
    <t>EP 3710088 C0</t>
  </si>
  <si>
    <t>DEVICE AND MIXING AND/OR RECONSTITUTION METHOD</t>
  </si>
  <si>
    <t>A61M5/19;;A61J1/1406;;A61J1/16;;A61J1/201;;A61J1/2093;;A61J1/2096;;A61J2205/60;;A61M5/1782;;A61M5/2053;;A61M5/2066;;A61M5/2448;;A61M5/31596;;A61M5/445;;A61M2005/2013;;A61M2005/2474;;A61M2005/3128;;A61M2005/31598;;A61M2005/3267;;A61M2205/0272;;A61M2209/045;;A61M5/19;;A61J1/201;;A61J1/2093;;A61M5/2066;;A61M5/31596</t>
  </si>
  <si>
    <t>A61M5/20;;A61J1/20;;A61M5/19</t>
  </si>
  <si>
    <t>https://lens.org/063-136-608-305-661</t>
  </si>
  <si>
    <t>007-673-471-626-861</t>
  </si>
  <si>
    <t>EP 4355308 A1</t>
  </si>
  <si>
    <t>SANOFI PASTEUR INC. (2025-06-18);;SANOFI VACCINES US INC. (2026-05-27)</t>
  </si>
  <si>
    <t>A61P31/16;;A61K39/12;;A61K2039/53;;A61K2039/54;;A61K2039/545;;A61K2039/55555;;A61K2039/572;;A61K2039/575;;A61K2039/6075;;A61K2039/70;;C12N2760/16134;;C12N2760/16234;;C12N2760/16334;;A61K39/145;;A61K31/7115;;A61K39/12;;A61K47/543;;A61K47/6929;;A61K2039/51;;A61K2039/53;;A61K2039/54;;A61K2039/545;;A61K2039/55555;;A61K2039/572;;A61K2039/575;;A61K2039/6075;;A61K2039/70;;A61P31/16;;C12N2760/16134;;C12N2760/16234;;C12N2760/16334;;A61K39/145;;A61K39/116;;A61K2039/53;;A61K2039/54;;A61K2039/6018;;A61K2039/70;;A61P31/16;;C12N2760/16134;;C12N2760/16234;;C12N2760/16334;;A61K39/145;;A61K31/7115;;A61K47/543;;A61K47/6929;;A61K2039/51</t>
  </si>
  <si>
    <t>A61K9/51;;A61K39/00;;A61K39/12;;A61K39/145;;A61K47/02;;A61K47/26;;A61P31/16;;A61P37/04</t>
  </si>
  <si>
    <t>https://lens.org/007-673-471-626-861</t>
  </si>
  <si>
    <t>011-055-483-391-031</t>
  </si>
  <si>
    <t>EP 3452513 B1</t>
  </si>
  <si>
    <t>SANOFI BIOTECHNOLOGY</t>
  </si>
  <si>
    <t>SANOFI BIOTECHNOLOGY SAS (2020-12-16);;SANOFI BIOTECHNOLOGY (2023-10-11)</t>
  </si>
  <si>
    <t>HUMANIZED ANTI-IL-1R3 ANTIBODIES</t>
  </si>
  <si>
    <t>C07K16/2866;;C07K2317/21;;C07K2317/565;;C07K2317/56;;C07K2317/92;;C07K16/2866;;C07K2317/24;;C07K2317/76;;C07K2317/24;;C07K2317/76;;C07K16/2866;;A61P35/00;;A61P43/00;;C07K16/2866;;C07K2317/76;;C07K2317/52;;C07K2317/24;;A61P35/00;;A61P43/00;;A61P35/00;;C07K16/2866;;C07K2317/24;;C07K2317/76;;A61K2039/505;;C07K2317/24;;C07K2317/76;;C07K16/2866;;C07K2317/52</t>
  </si>
  <si>
    <t>C07K16/28;;A61K39/00</t>
  </si>
  <si>
    <t>https://lens.org/011-055-483-391-031</t>
  </si>
  <si>
    <t>003-405-182-171-809</t>
  </si>
  <si>
    <t>EP 3366336 B1</t>
  </si>
  <si>
    <t>SANOFI (2022-12-28)</t>
  </si>
  <si>
    <t>AUTO-INJECTOR</t>
  </si>
  <si>
    <t>A61M5/2033;;A61M5/3202;;A61M5/326;;A61M2005/2013;;A61M2005/206;;A61M5/20;;A61M5/2033;;A61M2005/2013;;A61M2005/206;;A61M5/3257;;A61M5/2033;;A61M5/3202;;A61M5/326;;A61M2005/2013;;A61M2005/206</t>
  </si>
  <si>
    <t>A61M5/20</t>
  </si>
  <si>
    <t>https://lens.org/003-405-182-171-809</t>
  </si>
  <si>
    <t>128-681-133-134-052</t>
  </si>
  <si>
    <t>EP 3863701 B1</t>
  </si>
  <si>
    <t>SANOFI (2024-06-12)</t>
  </si>
  <si>
    <t>AN INJECTION DEVICE</t>
  </si>
  <si>
    <t>A61M5/3204;;A61M5/326;;A61M2005/3267;;A61M2207/00;;A61M5/3204;;A61M5/3146;;A61M2005/3215;;A61M2207/00</t>
  </si>
  <si>
    <t>A61M5/32</t>
  </si>
  <si>
    <t>https://lens.org/128-681-133-134-052</t>
  </si>
  <si>
    <t>120-849-414-899-874</t>
  </si>
  <si>
    <t>EP 4149590 C0</t>
  </si>
  <si>
    <t>HOUSING ELEMENT AND DRUG DELIVERY DEVICE HEREWITH</t>
  </si>
  <si>
    <t>A61M5/24;;A61M5/20;;A61M5/3134;;A61M5/3135;;A61M2005/2403;;A61M2005/2418;;A61M2005/2433;;A61M2005/2477;;A61M2005/2492;;A61M2005/3131;;A61M2205/0216;;A61M5/20;;A61M5/24;;A61M5/3134;;A61M5/3135;;A61M2005/2403;;A61M2005/2418;;A61M2005/2433;;A61M2005/2477;;A61M2005/2492;;A61M2005/3131;;A61M2205/0216</t>
  </si>
  <si>
    <t>A61M5/20;;A61M5/24;;A61M5/31</t>
  </si>
  <si>
    <t>https://lens.org/120-849-414-899-874</t>
  </si>
  <si>
    <t>066-384-281-926-803</t>
  </si>
  <si>
    <t>EP 2953966 B1</t>
  </si>
  <si>
    <t>SANOFI PASTEUR;;IP2IPO INNOVATIONS LTD</t>
  </si>
  <si>
    <t>IP2IPO INNOVATIONS LIMITED (2024-09-11);;SANOFI PASTEUR (2024-09-11)</t>
  </si>
  <si>
    <t>INDUCTION OF CROSS-REACTIVE CELLULAR RESPONSE AGAINST RHINOVIRUS ANTIGENS</t>
  </si>
  <si>
    <t>A61K39/125;;A61K39/12;;A61K2039/53;;A61K2039/55561;;A61K2039/55566;;A61K2039/57;;C07K14/005;;C07K2319/00;;C12N9/127;;C12N2770/32722;;C12N2770/32734;;A61K39/125;;A61K39/12;;A61K2039/53;;A61K2039/55561;;A61K2039/55566;;A61K2039/57;;C07K14/005;;C07K2319/00;;C12N9/127;;C12N2770/32722;;C12N2770/32734</t>
  </si>
  <si>
    <t>C07K14/005;;A61K39/00;;A61K39/145;;C07K16/10</t>
  </si>
  <si>
    <t>https://lens.org/066-384-281-926-803</t>
  </si>
  <si>
    <t>180-474-237-200-441</t>
  </si>
  <si>
    <t>EP 3478344 B1</t>
  </si>
  <si>
    <t>A61M5/24;;A61M2005/2403;;A61M2005/2407;;A61M5/24;;A61M5/2422;;A61M5/31535;;A61M5/31551;;A61M5/31583;;A61M2005/2403;;A61M2005/2407</t>
  </si>
  <si>
    <t>A61M5/24</t>
  </si>
  <si>
    <t>https://lens.org/180-474-237-200-441</t>
  </si>
  <si>
    <t>071-390-161-556-563</t>
  </si>
  <si>
    <t>EP 3091995 B1</t>
  </si>
  <si>
    <t>STABILIZED PHARMACEUTICAL FORMULATIONS OF INSULIN ASPART</t>
  </si>
  <si>
    <t>A61K47/26;;A61K9/0019;;A61K9/08;;A61K38/28;;A61K47/02;;A61K47/10;;A61P3/10;;A61K9/08;;A61K9/0019;;A61K33/30;;A61K38/1825;;A61K38/28;;A61K45/06;;A61K47/02;;A61K47/10;;A61K47/26;;A61K2300/00;;A61K47/26;;A61K9/0019;;A61K9/08;;A61K38/28;;A61K45/06;;A61K47/02;;A61K47/10</t>
  </si>
  <si>
    <t>A61K38/28;;A61K9/00;;A61K9/08;;A61K47/02;;A61K47/10;;A61K47/26;;A61P3/10</t>
  </si>
  <si>
    <t>https://lens.org/071-390-161-556-563</t>
  </si>
  <si>
    <t>193-301-227-184-616</t>
  </si>
  <si>
    <t>EP 2782925 C0</t>
  </si>
  <si>
    <t>SANOFI (2023-12-27)</t>
  </si>
  <si>
    <t>PROTEIN PURIFICATION USING BIS-TRIS BUFFER</t>
  </si>
  <si>
    <t>C07K1/165;;C07K1/36;;C07K16/00</t>
  </si>
  <si>
    <t>C07K1/36;;C07K1/22;;C07K16/00</t>
  </si>
  <si>
    <t>https://lens.org/193-301-227-184-616</t>
  </si>
  <si>
    <t>030-340-170-465-847</t>
  </si>
  <si>
    <t>EP 3740267 B1</t>
  </si>
  <si>
    <t>PACKAGING CONTAINER</t>
  </si>
  <si>
    <t>A61M5/24;;A61M5/31513;;A61M5/31585;;A61M2005/2407;;A61M2005/2444;;A61M2005/3131;;A61M5/31513;;A61M5/24;;A61M5/3129;;A61M5/31563;;A61M5/31585;;A61M2005/2407;;A61M2005/2444;;A61M2005/3131</t>
  </si>
  <si>
    <t>A61M5/24;;A61M5/31;;A61M5/315</t>
  </si>
  <si>
    <t>https://lens.org/030-340-170-465-847</t>
  </si>
  <si>
    <t>052-952-132-387-61X</t>
  </si>
  <si>
    <t>EP 3119810 B1</t>
  </si>
  <si>
    <t>SANOFI BIOTECHNOLOGY;;REGENERON PHARMA</t>
  </si>
  <si>
    <t>REGENERON PHARMACEUTICALS, INC. (2024-06-26);;SANOFI BIOTECHNOLOGY (2024-06-26);;REGENERON PHARMACEUTICALS, INC.; US (2024-06-26);;SANOFI BIOTECHNOLOGY; FR (2024-06-26)</t>
  </si>
  <si>
    <t>METHODS FOR REDUCING CARDIOVASCULAR RISK</t>
  </si>
  <si>
    <t>C07K16/40;;A61K31/40;;A61K31/505;;A61K39/39558;;A61K2039/505;;A61P9/00;;A61P9/10;;A61P43/00;;C07K2317/76;;C07K16/40;;A61K31/40;;A61K31/505;;A61K39/39558;;A61K2039/505;;A61K2300/00;;A61P9/00;;A61P9/10;;A61P43/00;;C07K2317/76;;C07K16/40;;A61K2039/505;;A61P9/00;;A61P9/10;;C07K2317/76;;C07K16/40;;A61K31/40;;A61K31/505;;A61K39/39558;;A61K2039/505;;C07K2317/76</t>
  </si>
  <si>
    <t>C07K16/40;;A61K39/395;;A61P9/00</t>
  </si>
  <si>
    <t>https://lens.org/052-952-132-387-61X</t>
  </si>
  <si>
    <t>054-110-318-219-94X</t>
  </si>
  <si>
    <t>EP 3515465 B1</t>
  </si>
  <si>
    <t>REGENERON PHARMACEUTICALS, INC. (2024-06-05);;REGENERON PHARMACEUTICALS, INC., TARRYTOWN, US (2024-08-16);;SANOFI BIOTECHNOLOGY (2024-06-05);;SANOFI BIOTECHNOLOGY, FR (2024-08-16)</t>
  </si>
  <si>
    <t>METHODS FOR TREATING SEVERE ATOPIC DERMATITIS BY ADMINISTERING AN IL-4R INHIBITOR</t>
  </si>
  <si>
    <t>C07K16/2866;;A61K45/06;;A61K39/3955;;A61K9/0019;;A61P17/00;;C07K2317/565;;C07K2317/56;;C07K2317/76;;C07K2317/90;;C07K2317/21;;A61K2039/505;;A61K2039/54;;A61K2039/545;;A61K38/00;;C07K16/2866;;C07K2317/21;;C07K2317/76;;A61K2039/545;;A61K2039/505;;C07K2317/90;;A61K39/395;;C07K7/06;;C07K16/2866;;C07K2317/21;;A61K2039/505;;A61K2039/54;;A61K39/395;;C07K16/247;;A61K2039/545;;A61K9/0019;;A61K38/02;;A61P17/00;;A61K45/06;;A61P17/00;;C07K16/2866;;A61K2039/505;;A61K2039/545;;A61K2039/54;;C07K2317/21;;A61K38/02;;A61P17/00;;A61P17/00;;A61K9/0019;;A61K38/02;;A61K39/395;;A61K45/06;;A61K2039/505;;A61K2039/54;;A61K2039/545;;C07K7/06;;C07K16/247;;C07K16/2866;;C07K2317/21</t>
  </si>
  <si>
    <t>A61K38/00;;A61K39/00;;A61K39/395;;A61P17/00;;C07K16/28</t>
  </si>
  <si>
    <t>https://lens.org/054-110-318-219-94X</t>
  </si>
  <si>
    <t>187-251-088-850-497</t>
  </si>
  <si>
    <t>EP 4110326 B1</t>
  </si>
  <si>
    <t>SANOFI (2023-01-11)</t>
  </si>
  <si>
    <t>COMBINATION COMPRISING ALPELISIB AND 6-(2,4-DICHLOROPHENYL)-5-[4-[(3S)-1-(3-FLUOROPROPYL)PYRROLIDIN-3-YL]OXYPHENYL]-8,9-DIHYDRO-7H-BENZO[7]ANNULENE-2-CARBOXYLIC ACID</t>
  </si>
  <si>
    <t>A61P35/00;;A61K31/40;;A61K31/4439;;A61P35/04;;A61K31/40;;A61K31/4439;;A61P35/00;;A61P35/04;;A61K31/40;;A61K31/4439;;A61K2300/00;;A61P35/00;;A61K31/4439;;A61K31/40;;A61P35/00</t>
  </si>
  <si>
    <t>A61K31/40;;A61K31/4439;;A61P35/00;;A61P35/04</t>
  </si>
  <si>
    <t>https://lens.org/187-251-088-850-497</t>
  </si>
  <si>
    <t>084-636-025-026-591</t>
  </si>
  <si>
    <t>EP 3504233 B1</t>
  </si>
  <si>
    <t>MULTISPECIFIC ANTIBODIES FACILITATING SELECTIVE LIGHT CHAIN PAIRING</t>
  </si>
  <si>
    <t>C07K16/244;;A61P37/02;;A61P43/00;;C07K16/247;;C07K16/2809;;C07K16/2866;;C07K16/468;;C07K2317/31;;C07K2317/35;;C07K2317/41;;C07K2317/50;;C07K2317/515;;C07K2317/52;;C07K2317/524;;C07K2317/526;;C07K2317/53;;C07K2317/55;;C07K2317/56;;C07K2317/622;;C07K2317/64;;C07K2317/66;;C07K2317/76;;C07K2317/92;;C07K16/00;;C07K16/244;;C07K16/247;;C07K16/2809;;C07K16/2866;;C07K16/468;;C07K2317/31;;C07K2317/35;;C07K2317/41;;C07K2317/50;;C07K2317/515;;C07K2317/52;;C07K2317/524;;C07K2317/526;;C07K2317/53;;C07K2317/55;;C07K2317/56;;C07K2317/622;;C07K2317/64;;C07K2317/66;;C07K2317/76;;C07K2317/92</t>
  </si>
  <si>
    <t>C07K16/00;;C07K16/24</t>
  </si>
  <si>
    <t>https://lens.org/084-636-025-026-591</t>
  </si>
  <si>
    <t>082-383-116-014-259</t>
  </si>
  <si>
    <t>EP 3973987 B1</t>
  </si>
  <si>
    <t>REGENERON PHARMACEUTICALS, INC. (2023-12-20);;SANOFI BIOTECHNOLOGY (2023-12-20)</t>
  </si>
  <si>
    <t>COMBINATION COMPRISING AN IL-4R ANTAGONIST, A CORTICOSTEROID AND A LONG-ACTING BETA2-ADRENERGIC AGONIST FOR TREATING ASTHMA</t>
  </si>
  <si>
    <t>A61K31/00;;A61K31/167;;A61K31/56;;C07K16/2866;;A61K2039/54;;C07K2317/21;;A61K39/3955;;A61K31/137;;A61K31/569;;A61K31/58;;A61K2039/545;;A61P11/06;;A61P43/00;;C07K16/2866;;A61P11/06;;A61K2039/505;;C07K2317/76;;A61K39/395;;A61P11/06;;A61K31/00;;A61K31/167;;A61K31/56;;C07K16/2866;;A61K2039/54;;C07K2317/21;;A61K39/3955;;A61K31/137;;A61K31/569;;A61K31/58;;A61K2039/545</t>
  </si>
  <si>
    <t>A61K39/395;;A61K31/00;;A61K31/167;;A61K31/56;;A61P11/06</t>
  </si>
  <si>
    <t>https://lens.org/082-383-116-014-259</t>
  </si>
  <si>
    <t>140-842-057-035-624</t>
  </si>
  <si>
    <t>EP 4294432 A1</t>
  </si>
  <si>
    <t>MENINGOCOCCAL B RECOMBINANT VACCINE</t>
  </si>
  <si>
    <t>A61K39/095;;A61K2039/55505;;A61K2039/70;;A61P31/04;;C07K14/22;;C12R2001/36;;A61K39/095;;A61K39/39;;A61K2039/55505;;A61K2039/70;;A61P31/04;;A61P37/04;;C07K14/22;;C12R2001/36;;A61K39/095;;A61K2039/55505;;A61K2039/70;;A61P31/04;;C07K14/22;;A61K39/095;;A61K39/39;;A61K2039/55505;;A61P31/04;;A61P37/04</t>
  </si>
  <si>
    <t>A61K39/095;;A61P31/04;;C07K14/22</t>
  </si>
  <si>
    <t>https://lens.org/140-842-057-035-624</t>
  </si>
  <si>
    <t>140-256-388-846-892</t>
  </si>
  <si>
    <t>EP 3555779 C0</t>
  </si>
  <si>
    <t>DATA MANAGEMENT UNIT FOR SUPPORTING HEALTH CONTROL</t>
  </si>
  <si>
    <t>G16H20/17;;G06F16/2379;;G16H10/60;;G16H20/10;;G16H50/30;;G16H50/70</t>
  </si>
  <si>
    <t>G16H20/17;;G16H10/65</t>
  </si>
  <si>
    <t>https://lens.org/140-256-388-846-892</t>
  </si>
  <si>
    <t>067-873-928-891-896</t>
  </si>
  <si>
    <t>EP 3204074 B8</t>
  </si>
  <si>
    <t>AUTOMATIC DRUG INJECTION DEVICE WITH TORSION DRIVE SPRING AND ROTATIONAL DOSE SETTING AND CORRECTION MECHANISM</t>
  </si>
  <si>
    <t>A61M5/31535;;A61M5/20;;A61M5/31541;;A61M5/31553;;A61M5/3157;;A61M5/31593;;A61M2005/202;;A61M2205/581;;A61M2205/582;;A61M5/20;;A61M5/31535;;A61M5/31541;;A61M5/31553;;A61M5/3157;;A61M5/31583;;A61M5/31593;;A61M2005/202;;A61M2205/581;;A61M2205/582;;A61M5/31551;;A61M5/20;;A61M5/2033;;A61M5/31535;;A61M5/31541;;A61M5/31553;;A61M5/3157;;A61M5/31583;;A61M5/31593;;A61M2005/202;;A61M2005/3126;;A61M2205/581;;A61M2205/582;;A61M2205/583;;A61M2205/584</t>
  </si>
  <si>
    <t>A61M5/20;;A61M5/315</t>
  </si>
  <si>
    <t>https://lens.org/067-873-928-891-896</t>
  </si>
  <si>
    <t>012-296-894-989-285</t>
  </si>
  <si>
    <t>EP 4011915 B8</t>
  </si>
  <si>
    <t>REGENERON PHARMACEUTICALS, INC. (2023-11-01);;REGENERON PHARMACEUTICALS, INC., TARRYTOWN, US (2023-10-09);;SANOFI BIOTECHNOLOGY (2023-11-01);;SANOFI BIOTECHNOLOGY, FR (2023-10-09)</t>
  </si>
  <si>
    <t>METHODS FOR TREATING OR PREVENTING ASTHMA BY ADMINISTERING AN IL-4R ANTAGONIST</t>
  </si>
  <si>
    <t>A61K39/39541;;A61K2039/505;;A61K2039/54;;C07K2317/21;;C07K16/2866;;A61P11/00;;A61P11/02;;A61P11/04;;A61P11/06;;A61P11/08;;A61P29/00;;A61P31/10;;A61P37/00;;A61P37/08;;A61P43/00;;A61P9/00;;C07K16/2866;;A61P31/10;;A61P29/00;;A61P11/02;;C07K2317/76;;A61K39/3955;;A61P11/06;;A61P43/00;;A61P37/08;;A61K39/39541;;A61P37/00;;C07K2317/21;;A61P11/04;;A61P11/00;;C07K16/247;;A61P11/08;;A61K45/06;;A61K2039/54;;A61K2039/505;;A61P9/00;;C07K16/28;;C07K16/2866;;C07K2317/21;;A61K2039/505;;A61P11/06;;A61K2039/54;;A61K2039/545;;C07K2317/76;;A61P11/06;;A61K39/00;;C07K16/247;;A61K39/39541;;C12Q1/6883;;A61K2039/505;;A61K2039/54;;C07K2317/21;;C12Q2600/106;;C12Q2600/158;;A61K39/3955;;A61K45/06;;C07K16/2866;;C07K2317/565;;C07K2317/76;;G01N33/6854;;G01N33/6863;;G01N33/6893;;G01N2333/521;;G01N2800/122;;G01N2800/52</t>
  </si>
  <si>
    <t>C07K16/28;;A61K39/395</t>
  </si>
  <si>
    <t>https://lens.org/012-296-894-989-285</t>
  </si>
  <si>
    <t>012-574-680-860-627</t>
  </si>
  <si>
    <t>EP 3703789 C0</t>
  </si>
  <si>
    <t>SUBASSEMBLY FOR A DRUG DELIVERY DEVICE AND DRUG DELIVERY DEVICE</t>
  </si>
  <si>
    <t>A61M5/20;;A61M5/002;;A61M5/24;;A61M5/3202;;A61M2005/2013;;A61M2005/3267;;A61M5/3137;;A61M5/20;;A61M5/3202;;A61M2005/3139;;A61M2205/0216;;A61M2205/586</t>
  </si>
  <si>
    <t>A61M5/20;;A61M5/00;;A61M5/24;;A61M5/32</t>
  </si>
  <si>
    <t>https://lens.org/012-574-680-860-627</t>
  </si>
  <si>
    <t>071-622-924-333-481</t>
  </si>
  <si>
    <t>EP 3703818 B1</t>
  </si>
  <si>
    <t>REGENERON PHARMACEUTICALS, INC. (2023-11-01);;SANOFI BIOTECHNOLOGY (2023-11-01)</t>
  </si>
  <si>
    <t>IL-4R ANTAGONIST FOR USE IN A METHOD FOR TREATING OR PREVENTING ASTHMA</t>
  </si>
  <si>
    <t>C07K16/2866;;A61K31/573;;A61K39/3955;;A61K2039/505;;A61K2039/54;;A61K2039/545;;A61P11/06;;C07K2317/21;;C07K2317/76;;C07K16/2866;;A61K31/573;;A61K39/3955;;A61K2039/505;;A61K2039/54;;A61K2039/545;;A61K2300/00;;A61P11/06;;C07K2317/21;;C07K2317/565;;C07K2317/76;;C07K16/2866;;A61K2039/505;;A61K2039/54;;A61K2039/545;;A61P11/06;;C07K2317/21;;C07K2317/76;;C07K16/2866;;A61B5/445;;A61K31/573;;A61K39/3955;;A61K2039/505;;A61K2039/54;;A61K2039/545;;A61P11/06;;C07K2317/21;;C07K2317/565;;C07K2317/76</t>
  </si>
  <si>
    <t>A61P11/06;;A61K39/395</t>
  </si>
  <si>
    <t>https://lens.org/071-622-924-333-481</t>
  </si>
  <si>
    <t>008-039-456-793-512</t>
  </si>
  <si>
    <t>EP 4073036 B1</t>
  </si>
  <si>
    <t>CRYSTALLINE FORM OF A 7H-BENZO[7]ANNULENE-2-CARBOXYLIC ACID DERIVATIVE</t>
  </si>
  <si>
    <t>C07D207/12;;A61P35/00;;C07D207/12;;A61P35/00;;C07D207/12;;A61K31/4015;;A61P35/00;;C07B2200/13;;C07D207/12;;A61K31/4015;;A61P35/00;;C07B2200/13</t>
  </si>
  <si>
    <t>C07D207/12;;A61K31/40;;A61P35/00</t>
  </si>
  <si>
    <t>https://lens.org/008-039-456-793-512</t>
  </si>
  <si>
    <t>174-816-028-067-162</t>
  </si>
  <si>
    <t>EP 4262985 A1</t>
  </si>
  <si>
    <t>ABLYNX NV (2023-12-06);;SANOFI (2023-12-06)</t>
  </si>
  <si>
    <t>POLYPEPTIDES COMPRISING IMMUNOGLOBULIN SINGLE VARIABLE DOMAINS TARGETING GLYPICAN-3 AND T CELL RECEPTOR</t>
  </si>
  <si>
    <t>C07K2317/92;;C07K2317/94;;C07K16/18;;C07K16/2809;;C07K16/303;;C07K2317/31;;C07K2317/35;;C07K2317/56;;C07K2317/565;;C07K2317/569;;C07K2317/73;;C07K2317/77;;A61K2039/505;;A61P35/00;;C07K2317/33;;C07K16/303;;C07K2317/56;;C07K16/2809;;C07K2317/94;;C07K2317/35;;C07K2317/569;;C07K2317/92;;C07K2317/73;;C07K2319/30;;A61P35/00;;C07K2317/565;;C07K2317/31;;C07K16/18;;C07K2317/33;;A61K2039/505;;C07K2317/77;;C07K16/2809;;C07K16/303;;A61P35/00;;A61K2039/505;;C07K2319/31;;C07K2317/33;;C07K2317/35;;C07K2317/565;;C07K2317/73;;C07K2317/77;;C07K2317/92;;C07K2317/94;;A61P35/00;;A61K2039/505;;C07K16/2809;;C07K16/303;;C07K2317/31;;C07K2317/33;;C07K2317/565;;C07K2317/569;;C07K2317/73;;C07K2317/92;;C07K2319/30</t>
  </si>
  <si>
    <t>A61P35/00;;C07K16/18;;C07K16/28;;C07K16/30</t>
  </si>
  <si>
    <t>https://lens.org/174-816-028-067-162</t>
  </si>
  <si>
    <t>035-966-021-876-964</t>
  </si>
  <si>
    <t>EP 4263610 A1</t>
  </si>
  <si>
    <t>ABLYNX NV (2023-12-13);;SANOFI (2023-12-13)</t>
  </si>
  <si>
    <t>T CELL RECRUITING POLYPEPTIDES BASED ON TCR ALPHA/BETA REACTIVITY</t>
  </si>
  <si>
    <t>C07K16/2809;;A61K2039/505;;A61P35/00;;A61P35/02;;A61P37/00;;C07K16/18;;C07K16/2803;;C07K16/2866;;C07K16/2896;;C07K16/303;;C07K16/32;;C07K2317/24;;C07K2317/31;;C07K2317/33;;C07K2317/569;;C07K2317/626;;C07K2317/92;;C07K2319/31;;C07K16/2809;;A61K2039/505;;A61P35/00;;A61P35/02;;A61P37/00;;C07K16/18;;C07K16/2803;;C07K16/2866;;C07K16/2896;;C07K16/303;;C07K16/32;;C07K2317/24;;C07K2317/31;;C07K2317/33;;C07K2317/569;;C07K2317/626;;C07K2317/92;;C07K2319/31;;C07K16/2809;;A61K2039/505;;A61P35/00;;A61P37/00;;C07K16/18;;C07K16/2803;;C07K16/2866;;C07K16/2896;;C07K16/303;;C07K16/32;;C07K2317/31;;C07K2317/33;;C07K2317/569;;C07K2317/626;;C07K2317/92;;C07K2319/31;;C07K16/2866;;A61K2039/505;;A61P35/02;;C07K16/2809;;C07K2317/21;;C07K2317/31;;C07K2317/33;;C07K2317/565;;C07K2317/94;;C07K2319/31</t>
  </si>
  <si>
    <t>C07K16/28;;A61P35/00;;A61P37/00;;C07K16/30;;C07K16/32</t>
  </si>
  <si>
    <t>https://lens.org/035-966-021-876-964</t>
  </si>
  <si>
    <t>199-444-682-524-72X</t>
  </si>
  <si>
    <t>EP 4263602 A1</t>
  </si>
  <si>
    <t>ABLYNX NV (2024-01-24);;SANOFI (2024-01-24)</t>
  </si>
  <si>
    <t>POLYPEPTIDES COMPRISING IMMUNOGLOBULIN SINGLE VARIABLE DOMAINS TARGETING IL-6 AND TNF-ALPHA</t>
  </si>
  <si>
    <t>C07K16/248;;C07K16/241;;C07K16/18;;C07K2317/569;;C07K2317/92;;C07K2317/94;;C07K2317/33;;C07K2317/31;;C07K2317/35;;C07K2317/76;;A61K2039/507;;A61K2039/505;;A61P37/02;;A61P29/00;;A61P19/00;;A61P19/08;;A61K2039/545;;C07K16/248;;C07K16/241;;A61P19/02;;A61P29/00;;A61P37/02;;A61K2039/507;;C07K2317/31;;C07K2317/33;;C07K2317/35;;C07K2317/565;;C07K2317/76;;C07K2317/92;;C07K2317/94;;A61P29/00;;C07K16/248;;C07K16/2875;;C07K2317/31;;C07K2317/565;;C07K2317/94</t>
  </si>
  <si>
    <t>C07K16/24;;A61P19/00;;A61P19/08;;A61P29/00;;A61P37/02;;C07K16/18</t>
  </si>
  <si>
    <t>https://lens.org/199-444-682-524-72X</t>
  </si>
  <si>
    <t>176-876-880-930-002</t>
  </si>
  <si>
    <t>EP 4037768 C0</t>
  </si>
  <si>
    <t>NOVEL SUBSTITUTED 6,7-DIHYDRO-5H-BENZO[7]ANNULENE COMPOUNDS, PROCESSES FOR THEIR PREPARATION AND THERAPEUTIC USES THEREOF</t>
  </si>
  <si>
    <t>C07F5/025;;A61P13/08;;A61P15/00;;A61P15/08;;A61P19/10;;A61P29/00;;A61P35/00;;C07D207/12;;C07D403/12;;C07D413/12;;C07D417/12;;C07D207/12;;A61P5/32;;A61P35/00;;C07D403/12;;C07D405/12;;C07D413/12;;C07D417/12;;C07D419/12;;C07F5/025;;C07D207/12;;A61K9/2013;;A61K9/2018;;A61K9/2054;;A61K9/2059;;C07D207/38;;C07D401/12;;C07D403/12;;C07D405/12;;C07D413/12;;C07D413/14;;C07D417/12;;C07D419/12;;C07F5/025</t>
  </si>
  <si>
    <t>A61P5/32;;A61K31/40;;A61K31/4155;;A61K31/4178;;A61K31/4196;;A61K31/422;;A61K31/4245;;A61K31/427;;A61K31/433;;A61K33/22;;A61P35/00;;C07D207/12;;C07D403/12;;C07D405/12;;C07D413/12;;C07D417/12;;C07D419/12;;C07F5/02</t>
  </si>
  <si>
    <t>https://lens.org/176-876-880-930-002</t>
  </si>
  <si>
    <t>170-460-624-680-991</t>
  </si>
  <si>
    <t>EP 4240335 A1</t>
  </si>
  <si>
    <t>LIPID NANOPARTICLES FOR DELIVERING MRNA VACCINES</t>
  </si>
  <si>
    <t>A61K9/0019;;A61K9/0021;;A61K9/0043;;A61K9/5123;;A61K39/145;;A61K47/02;;A61K47/26;;A61P31/16;;A61P37/04;;A61K9/1272;;A61K39/39;;A61K2039/55555;;A61K2039/53;;A61K9/0019;;A61P31/16;;A61K39/145;;A61K9/5123;;A61K9/0043;;A61P37/04;;A61K47/26;;A61K9/0021;;A61K47/02;;A61K39/145;;A61K9/5123;;A61K9/1272;;A61P31/16;;A61P37/04;;A61K2039/55555;;A61K2039/53</t>
  </si>
  <si>
    <t>A61K9/51;;A61K39/145;;A61K47/02;;A61K47/26;;A61P31/16;;A61P37/04</t>
  </si>
  <si>
    <t>https://lens.org/170-460-624-680-991</t>
  </si>
  <si>
    <t>159-487-403-503-803</t>
  </si>
  <si>
    <t>EP 3668577 B1</t>
  </si>
  <si>
    <t>SANOFI (2024-03-13)</t>
  </si>
  <si>
    <t>DRIVE MECHANISM FOR AN INJECTION DEVICE</t>
  </si>
  <si>
    <t>A61M5/3156;;A61M5/31536;;A61M5/31553;;A61M5/31585;;A61M2205/276;;A61M2205/8281;;A61M5/3156;;A61M5/31535;;A61M5/31548;;A61M5/31553;;A61M5/31585;;A61M2205/276;;A61M2205/8281</t>
  </si>
  <si>
    <t>https://lens.org/159-487-403-503-803</t>
  </si>
  <si>
    <t>046-436-788-454-602</t>
  </si>
  <si>
    <t>EP 4217390 A1</t>
  </si>
  <si>
    <t>ABLYNX NV (2023-09-27);;SANOFI (2023-09-27)</t>
  </si>
  <si>
    <t>POLYPEPTIDES COMPRISING IMMUNOGLOBULIN SINGLE VARIABLE DOMAINS TARGETING IL-13 AND OX40L</t>
  </si>
  <si>
    <t>C07K16/244;;C07K16/2875;;C07K16/18;;A61K2039/505;;A61P11/06;;A61P37/08;;C07K2317/22;;C07K2317/31;;C07K2317/35;;C07K2317/569;;C07K2317/76;;C07K2317/92;;C07K2317/94;;C07K2319/00;;A61K39/00;;C07K16/2875;;C07K2317/76;;C07K2319/00;;A61K2039/505;;C07K2317/94;;C07K2317/565;;C07K2317/569;;C07K2317/92;;C07K2317/31;;A61P37/08;;A61P11/06;;C07K2317/35;;C07K16/244;;C07K16/18;;A61K39/00;;C07K2317/22;;A61P11/06;;A61P37/08;;A61K39/00;;A61K2039/505;;C07K16/244;;C07K16/2875;;C07K2317/31;;C07K2317/565;;C07K2317/569;;C07K2317/76</t>
  </si>
  <si>
    <t>C07K16/24;;A61K39/395;;A61P11/06;;A61P37/08;;C07K16/18;;C07K16/28;;C12N15/62</t>
  </si>
  <si>
    <t>https://lens.org/046-436-788-454-602</t>
  </si>
  <si>
    <t>053-848-683-597-804</t>
  </si>
  <si>
    <t>EP 3443006 B1</t>
  </si>
  <si>
    <t>SANOFI (2023-07-19)</t>
  </si>
  <si>
    <t>TRISPECIFIC AND/OR TRIVALENT BINDING PROTEINS</t>
  </si>
  <si>
    <t>C07K16/241;;A61K39/3955;;A61K39/39558;;A61K45/06;;A61K2039/505;;C07K1/22;;C07K16/244;;C07K16/247;;C07K16/2803;;C07K16/2809;;C07K16/2818;;C07K16/2887;;C07K16/2896;;C07K16/32;;C07K16/468;;C07K2317/31;;C07K2317/35;;C07K2317/52;;C07K2317/526;;C07K2317/56;;C07K2317/565;;C07K2317/64;;C07K2317/73;;C07K2317/75;;C07K2317/76;;C07K2317/92;;C07K2317/94;;C07K2319/00;;C07K16/2818;;A61K2039/505;;A61P29/00;;A61P35/00;;C07K16/241;;C07K16/244;;C07K16/247;;C07K16/2803;;C07K16/2809;;C07K16/2887;;C07K16/2896;;C07K16/32;;C07K2317/31;;C07K2317/35;;C07K2317/52;;C07K2317/56;;C07K2317/64;;C07K2317/73;;C07K2317/75;;C07K2317/76;;C07K2317/92;;C07K2317/94;;C07K2319/00;;C07K16/468;;A61K39/3955;;A61K39/39558;;A61K45/06;;A61K2039/505;;A61P29/00;;A61P35/00;;C07K1/22;;C07K16/241;;C07K16/244;;C07K16/247;;C07K16/2803;;C07K16/2809;;C07K16/2818;;C07K16/2887;;C07K16/2896;;C07K16/32;;C07K2317/31;;C07K2317/35;;C07K2317/52;;C07K2317/526;;C07K2317/56;;C07K2317/565;;C07K2317/64;;C07K2317/73;;C07K2317/75;;C07K2317/76;;C07K2317/92;;C07K2317/94;;C07K2319/00;;C07K16/241;;A61K39/3955;;A61K39/39558;;A61K45/06;;A61K2039/505;;C07K1/22;;C07K16/244;;C07K16/247;;C07K16/2803;;C07K16/2809;;C07K16/2818;;C07K16/2887;;C07K16/2896;;C07K16/32;;C07K16/468;;C07K2317/31;;C07K2317/52;;C07K2317/526;;C07K2317/56;;C07K2317/565;;C07K2317/64;;C07K2317/73;;C07K2317/75;;C07K2317/76;;C07K2317/92;;C07K2317/94;;C07K2319/00;;C07K16/468;;A61K39/3955;;A61K39/39558;;A61K45/06;;A61K2039/505;;C07K1/22;;C07K16/241;;C07K16/244;;C07K16/247;;C07K16/2803;;C07K16/2809;;C07K16/2818;;C07K16/2887;;C07K16/2896;;C07K16/32;;C07K2317/31;;C07K2317/35;;C07K2317/52;;C07K2317/526;;C07K2317/56;;C07K2317/565;;C07K2317/64;;C07K2317/73;;C07K2317/75;;C07K2317/76;;C07K2317/92;;C07K2317/94;;C07K2319/00</t>
  </si>
  <si>
    <t>C07K16/24;;A61K39/00;;A61P29/00;;A61P35/00;;C07K16/28;;C07K16/32</t>
  </si>
  <si>
    <t>https://lens.org/053-848-683-597-804</t>
  </si>
  <si>
    <t>100-549-537-369-507</t>
  </si>
  <si>
    <t>EP 3939980 B1</t>
  </si>
  <si>
    <t>UCB BIOPHARMA SRL;;SANOFI SA</t>
  </si>
  <si>
    <t>SANOFI (2023-06-14);;UCB BIOPHARMA SRL (2023-06-14)</t>
  </si>
  <si>
    <t>PROCESS FOR PREPARING FUSED PENTACYCLIC IMIDAZOLE DERIVATIVES AND USES THEREOF AS MODULATORS OF TNF ACTIVITY</t>
  </si>
  <si>
    <t>A61K31/55;;A61P3/00;;A61P9/00;;A61P17/06;;A61P19/02;;A61P25/00;;A61P27/02;;A61P29/00;;A61P35/00;;A61P37/00;;A61P37/02;;C07D487/18;;C07D487/18;;A61P17/06;;A61P19/02;;A61P25/00;;A61P27/02;;A61P29/00;;A61P3/00;;A61P35/00;;A61P37/00;;A61P37/02;;A61P9/00;;Y02P20/55;;C07D487/18;;A61K31/55;;C07D487/18;;A61K31/55;;A61K31/55;;C07D487/18;;C07B2200/05</t>
  </si>
  <si>
    <t>A61P19/02;;A61P3/00;;A61P9/00;;A61P25/00;;A61P27/02;;A61P29/00;;A61P35/00;;A61P37/00;;A61P37/02;;C07D487/18</t>
  </si>
  <si>
    <t>https://lens.org/100-549-537-369-507</t>
  </si>
  <si>
    <t>050-797-902-931-854</t>
  </si>
  <si>
    <t>EP 3007724 B1</t>
  </si>
  <si>
    <t>SANOFI VACCINES US INC. (2026-05-20)</t>
  </si>
  <si>
    <t>COMPOSITIONS AND METHODS OF IMMUNIZING AGAINST C. DIFFICILE</t>
  </si>
  <si>
    <t>A61K2039/55;;A61K2039/55511;;A61K39/08;;A61P31/00;;A61P31/04;;A61P37/04;;A61P43/00;;A61K2039/55;;A61K2039/55511;;A61K39/08;;A61K2039/545</t>
  </si>
  <si>
    <t>A61K39/08;;A61K39/00</t>
  </si>
  <si>
    <t>https://lens.org/050-797-902-931-854</t>
  </si>
  <si>
    <t>122-157-640-149-153</t>
  </si>
  <si>
    <t>EP 3870586 B1</t>
  </si>
  <si>
    <t>FUSED PENTACYCLIC IMIDAZOLE DERIVATIVES AS MODULATORS OF TNF ACTIVITY</t>
  </si>
  <si>
    <t>C07D487/18;;A61K31/55;;C07D471/18;;C07D487/18</t>
  </si>
  <si>
    <t>C07D487/18;;A61K31/506;;A61P9/00;;A61P25/00;;A61P29/00;;A61P35/00;;A61P37/02</t>
  </si>
  <si>
    <t>https://lens.org/122-157-640-149-153</t>
  </si>
  <si>
    <t>079-486-652-439-027</t>
  </si>
  <si>
    <t>EP 3775896 B1</t>
  </si>
  <si>
    <t>SANOFI (2023-03-29)</t>
  </si>
  <si>
    <t>LATERAL FLOW IMMUNOASSAY STRIP DEVICE</t>
  </si>
  <si>
    <t>G01N33/54393;;G01N33/54388;;G01N33/54388;;G01N33/54346;;G01N33/54393;;G01N2333/78;;G01N2800/105</t>
  </si>
  <si>
    <t>G01N33/543</t>
  </si>
  <si>
    <t>https://lens.org/079-486-652-439-027</t>
  </si>
  <si>
    <t>166-196-441-901-005</t>
  </si>
  <si>
    <t>EP 3397970 B1</t>
  </si>
  <si>
    <t>SANOFI (2023-05-10)</t>
  </si>
  <si>
    <t>METHODS FOR CHARACTERIZING COMPOSITIONS COMPRISING PEANUT ANTIGENS</t>
  </si>
  <si>
    <t>G01N33/6848;;G01N2333/415;;G01N33/6848;;G01N2333/415;;G01N2800/24;;G01N33/6848;;G01N2333/415</t>
  </si>
  <si>
    <t>G01N33/68</t>
  </si>
  <si>
    <t>https://lens.org/166-196-441-901-005</t>
  </si>
  <si>
    <t>061-146-444-755-469</t>
  </si>
  <si>
    <t>EP 4168066 A1</t>
  </si>
  <si>
    <t>SYSTEM FOR A DRUG DELIVERY DEVICE AND DRUG DELIVERY DEVICE</t>
  </si>
  <si>
    <t>A61M5/24;;A61M2005/2407;;A61M2005/2477;;A61M2005/2488;;A61M5/24;;A61M2005/2488;;A61M2005/2407;;A61M2005/2477;;A61M5/24;;A61M2205/6036;;A61M2205/587;;A61M2005/2407;;A61M2005/2477;;A61M2005/2488;;A61M5/2422</t>
  </si>
  <si>
    <t>https://lens.org/061-146-444-755-469</t>
  </si>
  <si>
    <t>024-395-874-703-779</t>
  </si>
  <si>
    <t>A2</t>
  </si>
  <si>
    <t>EP 4164604 A2</t>
  </si>
  <si>
    <t>NEUROCRINE BIOSCIENCES INC;;SANOFI SA</t>
  </si>
  <si>
    <t>SANOFI (2025-07-02);;NEUROCRINE BIOSCIENCES, INC. (2025-07-02)</t>
  </si>
  <si>
    <t>SYNTHETIC METHODS FOR PREPARATION OF 4-(2-CHLORO-4-METHOXY-5-METHYLPHENYL)-N-[(1S)-2-CYCLOPROPYL-1-(3-FLUORO-4-METHYLPHENYL)ETHYL]-5-METHYL-N-PROP-2-YNYL-1,3-THIAZOL-2-AMINE</t>
  </si>
  <si>
    <t>A61K31/426;;A61P5/00;;C07D277/38;;A61K9/0095;;A61K47/14;;A61K47/10;;A61K47/44;;A61K9/0053;;A61K45/06;;A61K9/0095;;A61K31/573;;A61K31/426;;A61P5/00;;C07D277/42;;C07C209/52;;C07C249/02;;C07C259/06;;A61K9/0095;;A61K31/426;;A61K31/573;;A61K2300/00;;A61P5/00;;C07D277/42;;C07C249/02;;C07C251/24;;A61K9/28;;A61K9/107;;C07C211/29;;C07C209/52;;C07C259/06;;A61K9/4833;;A61K31/426;;A61P5/00;;A61P5/06;;A61K9/0095;;A61K9/107;;A61K9/28;;A61K9/4833;;A61K31/426;;C07D277/42;;A61K45/06;;A61K47/10;;A61K47/14;;A61K47/22;;A61K47/26;;A61K47/32;;C07B2200/13</t>
  </si>
  <si>
    <t>A61K31/395;;A61K9/00;;A61K31/426;;A61K31/573;;A61P5/00;;C07C209/44</t>
  </si>
  <si>
    <t>https://lens.org/024-395-874-703-779</t>
  </si>
  <si>
    <t>016-639-210-648-939</t>
  </si>
  <si>
    <t>EP 4164636 A1</t>
  </si>
  <si>
    <t>SANOFI (2025-09-17);;NEUROCRINE BIOSCIENCES, INC. (2025-09-17)</t>
  </si>
  <si>
    <t>CRF1 RECEPTOR ANTAGONIST FOR THE TREATMENT OF CONGENITAL ADRENAL HYPERPLASIA</t>
  </si>
  <si>
    <t>A61K31/426;;A61P5/38;;A61K31/573;;A61K9/08;;A61K9/10;;A61K9/0056;;A61K9/2013;;A61K9/4858;;A61K9/4866;;A61K9/0095;;A61K9/1635;;A61K9/1652;;A61K9/2009;;A61K9/1611;;A61K9/2018;;A61K9/2054;;A61K9/2806;;A61K9/4891;;A61K47/14;;A61K47/22;;A61K47/20;;A61K47/10;;A61K31/426;;A61K9/10;;A61K47/22;;A61K9/4866;;A61K47/14;;A61K9/08;;A61K9/2013;;A61K31/573;;A61P5/38;;A61K9/4891;;A61K9/0095;;A61K47/20;;A61K2300/00;;A61K9/1611;;A61K47/10;;A61K9/2806;;A61K9/2018;;A61K9/0056;;A61K9/4858;;A61K9/1635;;A61K9/2054;;A61K9/2009;;A61K9/1652;;A61P5/38;;A61K9/0053;;A61K9/08;;A61K31/426;;A61K31/573;;A61K45/06</t>
  </si>
  <si>
    <t>A61K31/426;;A61K9/00;;A61K31/573;;A61P5/38</t>
  </si>
  <si>
    <t>https://lens.org/016-639-210-648-939</t>
  </si>
  <si>
    <t>184-241-575-341-00X</t>
  </si>
  <si>
    <t>EP 4161610 A1</t>
  </si>
  <si>
    <t>DRUG DELIVERY DEVICE AND METHOD FOR DETERMINING A DOSE</t>
  </si>
  <si>
    <t>A61M5/2422;;A61M5/31551;;A61M2205/3306;;A61M2205/50;;A61M5/31551;;A61M2205/50;;A61M2205/587</t>
  </si>
  <si>
    <t>https://lens.org/184-241-575-341-00X</t>
  </si>
  <si>
    <t>122-864-444-151-590</t>
  </si>
  <si>
    <t>EP 4157450 A1</t>
  </si>
  <si>
    <t>SANOFI BIOTECHNOLOGY (2023-10-04)</t>
  </si>
  <si>
    <t>COMPOSITIONS AND METHODS FOR TREATING NONINFLAMMATORY PAIN IN SUBJECTS WITH RHEUMATOID ARTHRITIS</t>
  </si>
  <si>
    <t>C07K16/2866;;A61P19/02;;A61K2039/505;;C07K2317/21;;A61K2039/55;;C07K16/2866;;C07K2317/21;;A61P19/02;;A61K2039/505;;A61K2039/55;;C07K16/2866;;A61K31/519;;A61K45/06;;A61P29/00;;A61P19/02;;A61K2300/00;;A61K2039/505;;A61K2039/507;;A61K2039/545;;A61K2039/54;;A61K2039/55;;C07K2317/21;;A61P19/02;;A61P29/00;;A61K45/06;;A61K2039/505;;A61K2039/54;;A61K2039/545;;C07K14/7155;;C07K16/2866</t>
  </si>
  <si>
    <t>A61P19/02;;C07K16/28</t>
  </si>
  <si>
    <t>https://lens.org/122-864-444-151-590</t>
  </si>
  <si>
    <t>081-431-540-112-242</t>
  </si>
  <si>
    <t>EP 3459576 B1</t>
  </si>
  <si>
    <t>SANOFI (2023-02-15)</t>
  </si>
  <si>
    <t>CAP FOR A MEDICAMENT CONTAINER</t>
  </si>
  <si>
    <t>A61M5/3202;;A61M5/3204;;A61M5/326;;A61M2005/3139;;A61M2005/3264;;A61M5/3202;;A61M5/3204;;A61M5/326;;A61M2005/3139;;A61M2005/3264;;A61M5/50;;A61M5/3202;;A61M5/3204;;A61M5/326;;A61M2005/3139;;A61M2005/3264;;A61M2205/583</t>
  </si>
  <si>
    <t>A61M5/50;;A61M5/31;;A61M5/32</t>
  </si>
  <si>
    <t>https://lens.org/081-431-540-112-242</t>
  </si>
  <si>
    <t>056-934-459-185-40X</t>
  </si>
  <si>
    <t>EP 4138956 A1</t>
  </si>
  <si>
    <t>ELECTRONIC MODULE AND DRUG DELIVERY DEVICE</t>
  </si>
  <si>
    <t>A61M5/20;;A61M5/24;;A61M5/315;;A61M5/31568;;A61M2205/3306;;A61M2205/6045;;A61M2205/8212;;A61M5/31568;;A61M2205/3306;;A61M2205/6045;;A61M2205/8212</t>
  </si>
  <si>
    <t>A61M5/20;;A61M5/24;;A61M5/315</t>
  </si>
  <si>
    <t>https://lens.org/056-934-459-185-40X</t>
  </si>
  <si>
    <t>055-339-832-973-162</t>
  </si>
  <si>
    <t>EP 4132614 A1</t>
  </si>
  <si>
    <t>SANOFI (2023-04-19)</t>
  </si>
  <si>
    <t>ELECTRONIC SYSTEM FOR A DRUG DELIVERY DEVICE AND DRUG DELIVERY DEVICE</t>
  </si>
  <si>
    <t>A61M5/31535;;A61M5/31568;;A61M2205/52;;A61M2205/8212;;A61M5/31528;;A61M5/3155;;A61M5/3156;;A61M5/31593;;A61M2205/3306</t>
  </si>
  <si>
    <t>https://lens.org/055-339-832-973-162</t>
  </si>
  <si>
    <t>069-172-941-107-008</t>
  </si>
  <si>
    <t>EP 4126132 A1</t>
  </si>
  <si>
    <t>SANOFI (2026-01-28)</t>
  </si>
  <si>
    <t>INJECTION DEVICE WITH NEEDLE OBSCURING ELEMENT</t>
  </si>
  <si>
    <t>A61M5/3245;;A61M2005/325;;A61M5/3202;;A61M5/3202;;A61M5/3245;;A61M2005/325</t>
  </si>
  <si>
    <t>https://lens.org/069-172-941-107-008</t>
  </si>
  <si>
    <t>042-088-911-005-818</t>
  </si>
  <si>
    <t>EP 4126125 A1</t>
  </si>
  <si>
    <t>ELECTRONIC SYSTEM FOR A DRUG DELIVERY DEVICE</t>
  </si>
  <si>
    <t>A61M5/31568;;A61M5/3157;;A61M2205/8212;;A61M2205/3317;;A61M5/172;;A61M5/31568</t>
  </si>
  <si>
    <t>https://lens.org/042-088-911-005-818</t>
  </si>
  <si>
    <t>011-746-810-071-282</t>
  </si>
  <si>
    <t>EP 4126126 A1</t>
  </si>
  <si>
    <t>A61M5/31568;;A61M5/31553;;A61M5/31585;;A61M5/31593;;A61M2205/3317;;A61M2205/3561;;A61M2205/3584;;A61M2205/8212;;A61M5/31553;;A61M5/31568;;A61M5/31585;;A61M2205/3584;;A61M2205/8212</t>
  </si>
  <si>
    <t>https://lens.org/011-746-810-071-282</t>
  </si>
  <si>
    <t>041-114-271-680-62X</t>
  </si>
  <si>
    <t>EP 4126122 A1</t>
  </si>
  <si>
    <t>SWITCH ASSEMBLY FOR AN ELECTRONIC SYSTEM OF A DRUG DELIVERY DEVICE</t>
  </si>
  <si>
    <t>A61M5/3157;;A61M2205/8212;;A61M2205/3317;;A61M5/31551;;A61M2205/3561;;A61M5/31568;;A61M5/1782;;A61M5/31551;;A61M5/31568;;A61M5/3157;;A61M5/31585;;A61M2205/3317;;A61M2205/35</t>
  </si>
  <si>
    <t>https://lens.org/041-114-271-680-62X</t>
  </si>
  <si>
    <t>103-186-827-984-179</t>
  </si>
  <si>
    <t>EP 4079760 A3</t>
  </si>
  <si>
    <t>ANTIBODIES AGAINST CLOSTRIDIUM DIFFICILE TOXINS AND METHODS OF USING THE SAME</t>
  </si>
  <si>
    <t>C07K16/1282;;A61K2039/505;;A61P31/04;;C07K2317/21;;C07K2317/30;;C07K2317/34;;C07K2317/76;;C07K2317/92;;C07K16/1282;;A61K39/40;;A61K2039/505;;A61K2039/507;;C07K2317/21;;C07K2317/30;;C07K2317/31;;C07K2317/34;;C07K2317/76;;C07K2317/92</t>
  </si>
  <si>
    <t>C07K16/12;;A61K39/40;;A61P31/04</t>
  </si>
  <si>
    <t>https://lens.org/103-186-827-984-179</t>
  </si>
  <si>
    <t>015-443-371-045-142</t>
  </si>
  <si>
    <t>EP 4110800 A1</t>
  </si>
  <si>
    <t>SANOFI (2026-03-18)</t>
  </si>
  <si>
    <t>PEPTIDES AS SELECTIVE GIP RECEPTOR AGONISTS</t>
  </si>
  <si>
    <t>C07K14/605;;A61P3/04;;A61P3/10;;A61P9/00;;C07K14/605;;A61K38/00;;A61P3/00;;A61P19/10;;C07K14/575;;A61P3/10</t>
  </si>
  <si>
    <t>C07K14/605;;A61K38/22;;A61K38/26;;A61P3/04;;A61P3/10;;A61P9/00;;C07K14/575</t>
  </si>
  <si>
    <t>https://lens.org/015-443-371-045-142</t>
  </si>
  <si>
    <t>011-621-616-076-179</t>
  </si>
  <si>
    <t>EP 4110382 A1</t>
  </si>
  <si>
    <t>SANOFI PASTEUR, INC. (2023-06-28);;SANOFI VACCINES US INC. (2026-05-27)</t>
  </si>
  <si>
    <t>HIGH DOSE INFLUENZA VACCINE FOR PEDIATRIC SUBJECTS</t>
  </si>
  <si>
    <t>A61K39/12;;A61K2039/521;;A61K2039/55566;;A61K2039/545;;A61K2039/55;;A61K2039/575;;A61K2039/70;;C12N2760/16134;;C12N2760/16234;;A61P31/16;;A61P31/14;;A61K39/145;;A61K2039/5252;;A61K2039/5254;;A61K2039/54;;A61K2039/545;;A61K2039/55;;A61K2039/70</t>
  </si>
  <si>
    <t>A61K39/12;;A61K39/00;;A61P31/16</t>
  </si>
  <si>
    <t>https://lens.org/011-621-616-076-179</t>
  </si>
  <si>
    <t>117-890-013-995-474</t>
  </si>
  <si>
    <t>EP 4096625 A1</t>
  </si>
  <si>
    <t>SANOFI BIOTECHNOLOGY;;UNIV TOURS;;INST NAT SANTE RECH MED</t>
  </si>
  <si>
    <t>INSTITUT NATIONAL DE LA SANTE ET DE LA RECHERCHE MEDICALE (INSERM) (2023-01-18);;SANOFI (2023-01-18);;UNIVERSITE DE TOURS (2023-01-18)</t>
  </si>
  <si>
    <t>PULMONARY DELIVERY OF ANTIBODIES</t>
  </si>
  <si>
    <t>A61K9/0078;;A61K47/12;;A61K47/183;;A61K47/10;;Y02A50/30;;A61K47/68;;A61K9/0078;;A61K47/10;;A61K47/183</t>
  </si>
  <si>
    <t>A61K9/00;;A61K47/10;;A61K47/12;;A61K47/18</t>
  </si>
  <si>
    <t>https://lens.org/117-890-013-995-474</t>
  </si>
  <si>
    <t>183-286-188-743-271</t>
  </si>
  <si>
    <t>EP 4081282 A1</t>
  </si>
  <si>
    <t>SANOFI (2025-05-07)</t>
  </si>
  <si>
    <t>APPARATUS FOR DETECTING A MANIPULATION OF AN INJECTION DEVICE</t>
  </si>
  <si>
    <t>A61M5/24;;A61M5/31551;;A61M5/31568;;A61M2205/8212;;A61M2205/50;;A61M2205/332;;A61M2205/581;;A61M5/31551;;A61M5/31568;;A61M2205/50;;A61M2205/581;;A61M2205/8212</t>
  </si>
  <si>
    <t>A61M5/315;;A61M5/24</t>
  </si>
  <si>
    <t>https://lens.org/183-286-188-743-271</t>
  </si>
  <si>
    <t>111-773-475-028-525</t>
  </si>
  <si>
    <t>EP 4081544 A1</t>
  </si>
  <si>
    <t>REGENERON PHARMACEUTICALS, INC. (2024-07-24);;SANOFI BIOTECHNOLOGY (2024-07-24)</t>
  </si>
  <si>
    <t>METHODS FOR TREATING OR PREVENTING ALLERGIC ASTHMA BY ADMINISTERING AN IL-33 ANTAGONIST AND/OR AN IL-4R ANTAGONIST</t>
  </si>
  <si>
    <t>C07K16/2803;;C07K16/2866;;C07K2317/21;;C07K2317/92;;C07K2317/76;;A61K2039/505;;A61P11/06;;C07K16/2803;;C07K2317/76;;C07K2317/21;;C07K2317/92;;A61P11/06;;C07K16/2866;;A61K2039/505;;C07K16/244;;C07K16/2866;;A61P11/06;;C07K2317/21;;C07K2317/76;;C07K2317/92;;A61K2039/505;;A61P11/06;;A61P37/08;;A61K39/00;;A61K2039/507;;C07K16/244;;C07K16/2866</t>
  </si>
  <si>
    <t>https://lens.org/111-773-475-028-525</t>
  </si>
  <si>
    <t>060-076-477-720-740</t>
  </si>
  <si>
    <t>EP 4076592 A1</t>
  </si>
  <si>
    <t>CARTRIDGE ASSEMBLY FOR A DRUG DELIVERY DEVICE AND DRUG DELIVERY DEVICE</t>
  </si>
  <si>
    <t>A61M5/24;;A61M2005/2407;;A61M2005/2437;;A61M5/347;;A61M2005/2488;;A61M5/24;;A61M2005/2488;;A61M2005/2437;;A61M2005/2407;;A61M5/347;;A61M5/24;;A61M5/347;;A61M2005/2407;;A61M2005/2437;;A61M2005/2488;;A61M5/24;;A61M5/34;;A61M2005/2437</t>
  </si>
  <si>
    <t>A61M5/24;;A61M5/34</t>
  </si>
  <si>
    <t>https://lens.org/060-076-477-720-740</t>
  </si>
  <si>
    <t>188-784-806-590-705</t>
  </si>
  <si>
    <t>EP 4072618 A1</t>
  </si>
  <si>
    <t>DRUG DELIVERY DEVICE, SYSTEM COMPRISING A DRUG DELIVERY DEVICE, AND ASSOCIATED METHOD</t>
  </si>
  <si>
    <t>A61M5/142;;A61M5/178;;A61M5/16831;;A61M2205/3368;;A61M2205/3613;;A61M2205/3673;;A61M5/44;;A61M5/44;;A61M2205/3368</t>
  </si>
  <si>
    <t>A61M5/142;;A61M5/168;;A61M5/178;;A61M5/44</t>
  </si>
  <si>
    <t>https://lens.org/188-784-806-590-705</t>
  </si>
  <si>
    <t>187-431-879-574-108</t>
  </si>
  <si>
    <t>EP 4072632 A1</t>
  </si>
  <si>
    <t>MODULAR SYSTEM FOR A DRUG DELIVERY DEVICE WITH ELECTRONIC AND CORRESPONDING MODULES AND METHOD</t>
  </si>
  <si>
    <t>A61M5/31568;;A61M2205/3306;;A61M2205/0238;;A61M2205/0216;;A61M2205/50;;A61M5/31568;;A61M2205/0238;;A61M2205/3306;;A61M2207/10;;A61M2205/0216;;A61M2205/50</t>
  </si>
  <si>
    <t>https://lens.org/187-431-879-574-108</t>
  </si>
  <si>
    <t>101-510-845-772-152</t>
  </si>
  <si>
    <t>EP 4072628 A1</t>
  </si>
  <si>
    <t>ARRANGEMENT FOR A DRUG DELIVERY DEVICE AND DRUG DELIVERY DEVICE</t>
  </si>
  <si>
    <t>A61M5/20;;A61M5/31541;;A61M5/31553;;A61M5/31568;;A61M5/31585;;A61M5/31593;;A61M2005/2407;;A61M2005/2433;;A61M5/3155</t>
  </si>
  <si>
    <t>https://lens.org/101-510-845-772-152</t>
  </si>
  <si>
    <t>193-191-255-229-151</t>
  </si>
  <si>
    <t>EP 4073604 A1</t>
  </si>
  <si>
    <t>METHOD OF DETERMINING AT LEAST ONE TOLERANCE BAND LIMIT VALUE FOR A TECHNICAL VARIABLE UNDER TEST AND CORRESPONDING CALCULATION DEVICE</t>
  </si>
  <si>
    <t>G05B19/41875;;G05B2219/32191;;G05B19/41875;;G05B2219/32191</t>
  </si>
  <si>
    <t>G05B19/418</t>
  </si>
  <si>
    <t>https://lens.org/193-191-255-229-151</t>
  </si>
  <si>
    <t>088-400-143-132-824</t>
  </si>
  <si>
    <t>EP 4072626 A1</t>
  </si>
  <si>
    <t>SANOFI (2025-10-22)</t>
  </si>
  <si>
    <t>MEDICAL DEVICE COMRISING AN ALARM GENERATOR TAKING INTO ACCOUNT ENVIRONMENTAL SIGNALS</t>
  </si>
  <si>
    <t>A61M2205/18;;A61M2205/581;;A61M2205/582;;A61M5/20;;A61M5/142;;A61M2205/3569;;A61M2205/3584;;A61M2005/14264;;A61M5/142;;A61M5/20;;A61M2005/14264;;A61M2205/18;;A61M2205/3584;;A61M2205/581</t>
  </si>
  <si>
    <t>A61M5/20;;A61M5/142</t>
  </si>
  <si>
    <t>https://lens.org/088-400-143-132-824</t>
  </si>
  <si>
    <t>187-942-450-307-52X</t>
  </si>
  <si>
    <t>EP 4072674 A1</t>
  </si>
  <si>
    <t>ABLYNX NV (2022-11-30);;SANOFI (2022-11-30)</t>
  </si>
  <si>
    <t>POLYPEPTIDES COMPRISING IMMUNOGLOBULIN SINGLE VARIABLE DOMAINS TARGETING IL-13 AND TSLP</t>
  </si>
  <si>
    <t>C07K16/244;;C07K2317/94;;C07K2317/76;;C07K16/18;;C07K2319/00;;C07K2317/31;;A61P11/00;;C07K16/244;;C07K2319/00;;C07K2317/94;;C07K2317/31;;C07K16/18;;C07K2317/76;;C07K2317/565;;A61P11/00;;C07K16/244;;A61P29/00;;A61P11/06;;A61P17/00;;C07K2317/31;;C07K2317/76;;C07K2317/94;;A61K2039/505;;C07K16/244;;C07K2317/565</t>
  </si>
  <si>
    <t>A61P11/00;;C07K16/18;;C07K16/24</t>
  </si>
  <si>
    <t>https://lens.org/187-942-450-307-52X</t>
  </si>
  <si>
    <t>070-717-278-758-770</t>
  </si>
  <si>
    <t>EP 4069338 A1</t>
  </si>
  <si>
    <t>DOSING MECHANISM WITH ROTATIONAL END STOP MECHANISM FOR TERMINATING DOSE DISPENSE</t>
  </si>
  <si>
    <t>A61M5/3155;;A61M5/31501;;A61M5/31541;;A61M5/31551;;A61M5/31556;;A61M5/31573;;A61M5/31585;;A61M5/31593;;A61M2005/3152;;A61M5/31501;;A61M5/31541;;A61M5/31551</t>
  </si>
  <si>
    <t>A61M5/315;;A61M5/20</t>
  </si>
  <si>
    <t>https://lens.org/070-717-278-758-770</t>
  </si>
  <si>
    <t>079-452-169-049-314</t>
  </si>
  <si>
    <t>EP 4069293 A1</t>
  </si>
  <si>
    <t>POLYPEPTIDES COMPRISING IMMUNOGLOBULIN SINGLE VARIABLE DOMAINS TARGETING TNFA AND OX40L</t>
  </si>
  <si>
    <t>A61P1/00;;A61K2039/505;;A61P17/06;;A61P19/02;;A61P29/00;;A61P37/00;;A61P37/06;;C07K16/18;;C07K16/241;;C07K16/2875;;C07K2317/31;;C07K2317/569;;C07K2317/76;;C07K2317/92;;C07K2317/94;;C07K16/2875;;A61K2039/505;;A61P1/00;;A61P17/06;;A61P19/02;;A61P29/00;;A61P37/00;;A61P37/06;;C07K16/18;;C07K16/241;;C07K2317/14;;C07K2317/31;;C07K2317/565;;C07K2317/569;;C07K2317/76;;C07K2317/92;;C07K2317/94;;C07K2319/30;;C07K2319/31;;C07K16/2875;;A61K2039/505;;A61P29/00;;A61P39/00;;C07K16/241;;C07K2317/31;;C07K2317/569;;C07K2317/76;;C07K16/2875;;A61P29/00;;C07K16/241;;C07K2317/14;;C07K2317/565;;C07K2317/94;;C07K2319/30;;C07K2319/31</t>
  </si>
  <si>
    <t>A61K39/395;;A61P1/00;;A61P17/06;;A61P19/02;;A61P29/00;;A61P37/00</t>
  </si>
  <si>
    <t>https://lens.org/079-452-169-049-314</t>
  </si>
  <si>
    <t>142-630-253-197-303</t>
  </si>
  <si>
    <t>EP 4069733 A1</t>
  </si>
  <si>
    <t>POLYPEPTIDES COMPRISING IMMUNOGLOBULIN SINGLE VARIABLE DOMAINS TARGETING TNFalpha AND IL-23</t>
  </si>
  <si>
    <t>C07K16/241;;A61K2039/505;;A61P37/06;;C07K16/18;;C07K16/244;;C07K2317/22;;C07K2317/31;;C07K2317/76;;C07K2317/94;;C07K2319/00;;C07K16/244;;A61K2039/505;;A61P17/00;;A61P19/02;;A61P37/06;;C07K16/18;;C07K16/241;;C07K2317/22;;C07K2317/31;;C07K2317/565;;C07K2317/569;;C07K2317/76;;C07K2317/92;;C07K2317/94;;C07K2319/00;;C07K16/241;;A61K2039/505;;A61P29/00;;C07K16/18;;C07K16/244;;C07K2317/76;;C07K2317/92;;C07K16/244;;A61K39/395;;A61K2039/505;;A61P17/00;;A61P19/02;;A61P37/06;;C07K16/18;;C07K16/241;;C07K2317/31;;C07K2317/565;;C07K2317/569;;C07K2317/76;;C07K2317/92</t>
  </si>
  <si>
    <t>C07K16/18;;A61K39/395;;A61P37/06;;C07K16/24</t>
  </si>
  <si>
    <t>https://lens.org/142-630-253-197-303</t>
  </si>
  <si>
    <t>132-646-021-748-35X</t>
  </si>
  <si>
    <t>EP 4069365 A1</t>
  </si>
  <si>
    <t>METHODS FOR TREATING COPD BY ADMINISTERING AN IL-33 ANTAGONIST</t>
  </si>
  <si>
    <t>C07K16/244;;A61K2039/505;;A61K2039/545;;A61P11/00;;C07K2317/21;;C07K2317/76;;C07K2317/90;;C07K16/244;;A61K9/0019;;A61K39/3955;;A61K45/06;;A61K2039/505;;A61K2039/54;;A61K2039/545;;A61K2039/55;;A61P11/00;;C07K2317/21;;C07K2317/565;;C07K2317/76;;C07K2317/90;;C07K16/244;;A61K2039/505;;A61K2039/545;;A61P11/00;;C07K2317/21;;C07K2317/76;;C07K2317/90;;C07K16/244;;A61K9/0019;;A61K39/3955;;A61K45/06;;A61K2039/505;;A61K2039/54;;A61K2039/545;;A61K2039/55;;A61P11/00;;C07K2317/565;;C07K2317/76</t>
  </si>
  <si>
    <t>A61P11/00;;C07K16/24</t>
  </si>
  <si>
    <t>https://lens.org/132-646-021-748-35X</t>
  </si>
  <si>
    <t>190-001-461-533-892</t>
  </si>
  <si>
    <t>EP 3890770 A4</t>
  </si>
  <si>
    <t>PERTUSSIS BOOSTER VACCINE</t>
  </si>
  <si>
    <t>A61K39/0018;;A61K2039/545;;A61K2039/55505;;A61K2039/55561;;A61K2039/55572;;A61K2039/57;;A61K2039/6037;;Y02A50/30;;A61K39/099;;A61K39/05;;A61K39/08;;A61K39/39;;A61K2039/545;;A61K2039/55;;A61K2039/55511;;A61K2039/55561;;A61K2039/70;;A61P31/04</t>
  </si>
  <si>
    <t>A61K39/00;;A61P31/04</t>
  </si>
  <si>
    <t>https://lens.org/190-001-461-533-892</t>
  </si>
  <si>
    <t>169-422-146-124-399</t>
  </si>
  <si>
    <t>EP 3185855 B1</t>
  </si>
  <si>
    <t>SANOFI AVENTIS DEUTSCHLAND;;SANOFI AVENTIS DE MEXICO SA DE CV</t>
  </si>
  <si>
    <t>SANOFI-AVENTIS DE MEXICO SA DE CV, MX (2024-01-18);;SANOFI-AVENTIS DEUTSCHLAND GMBH, DE (2023-05-02);;SANOFI-AVENTIS DE MEXICO SA DE CV (2022-12-21);;A. NATTERMANN &amp; CIE. GESELLSCHAFT MIT BESCHRAEN, DE (2024-02-12);;SANOFI-AVENTIS DE MEXICO SA DE CV, CODIGO POST, MX (2024-02-12);;SANOFI-AVENTIS DEUTSCHLAND GMBH (2022-12-21);;A. NATTERMANN &amp; CIE. GESELLSCHAFT MIT BESCHRAE, DE (2024-01-18)</t>
  </si>
  <si>
    <t>FILM COATED TABLET FOR THE TREATMENT OF ACUTE PAIN</t>
  </si>
  <si>
    <t>A61K9/2054;;A61K9/2095;;A61K31/192;;A61K31/522;;A61K9/2054;;A61K9/2095;;A61K31/192;;A61K31/522;;A61P25/04;;A61P29/00;;A61K31/192;;A61K31/522;;A61K9/2054;;A61K9/2095;;A61K47/38</t>
  </si>
  <si>
    <t>A61K9/20;;A61K31/192;;A61K31/522;;A61P25/04;;A61P29/00</t>
  </si>
  <si>
    <t>https://lens.org/169-422-146-124-399</t>
  </si>
  <si>
    <t>180-850-259-479-865</t>
  </si>
  <si>
    <t>EP 4049290 A1</t>
  </si>
  <si>
    <t>SYSTEMS AND METHODS FOR DESIGNING VACCINES</t>
  </si>
  <si>
    <t>G16H50/80;;A61K39/00;;G16B5/30;;G16H50/20;;Y02A90/10;;G16H50/70;;A61K39/00;;G16B30/00;;G16B40/00;;G16H10/20;;G16H50/20;;G16H50/80;;G16H70/40;;G16H70/60</t>
  </si>
  <si>
    <t>G16H50/80;;A61K39/12;;G16B5/30;;G16H50/20</t>
  </si>
  <si>
    <t>https://lens.org/180-850-259-479-865</t>
  </si>
  <si>
    <t>005-145-222-230-303</t>
  </si>
  <si>
    <t>EP 4049291 A1</t>
  </si>
  <si>
    <t>SYSTEMS AND METHODS FOR PREDICTING BIOLOGICAL RESPONSES</t>
  </si>
  <si>
    <t>G16H50/20;;G16H50/80;;G06N3/0464;;G06N3/09;;G16B30/10;;G16B40/00;;G16B5/20;;G06N3/04;;G06N3/08</t>
  </si>
  <si>
    <t>G16H50/80;;A61K39/12;;G16H50/20</t>
  </si>
  <si>
    <t>https://lens.org/005-145-222-230-303</t>
  </si>
  <si>
    <t>040-503-462-266-088</t>
  </si>
  <si>
    <t>EP 4025582 A1</t>
  </si>
  <si>
    <t>OLIGONUCLEOTIDES CONTAINING NUCLEOTIDE ANALOGS</t>
  </si>
  <si>
    <t>C07H21/02;;A61K31/7125;;C12N15/113;;C12N2310/11;;C12N2310/14;;C12N2310/323;;C12N2310/346;;C12N2320/51;;C07H21/00;;A61K31/713;;C07H21/04;;C12N15/111;;C12N15/113;;C12N2310/14;;C12N2310/315;;C12N2310/323;;C12N2310/3233;;C12N2310/343;;C12N2310/346;;C12N2310/351;;C12N2310/3515;;C12N2320/51;;C07H21/02;;A61K31/713</t>
  </si>
  <si>
    <t>C07H21/00;;A61K31/7125;;C07H21/04;;C12N15/113</t>
  </si>
  <si>
    <t>https://lens.org/040-503-462-266-088</t>
  </si>
  <si>
    <t>032-123-996-527-495</t>
  </si>
  <si>
    <t>EP 4021538 A1</t>
  </si>
  <si>
    <t>SANOFI (2023-02-22)</t>
  </si>
  <si>
    <t>SENSOR ASSEMBLY</t>
  </si>
  <si>
    <t>A61M2205/13;;A61M2205/33;;A61M2205/3317;;A61M5/3137;;A61M2205/50;;A61B5/1125;;A61B5/4848;;A61B5/6887;;A61B2505/07;;A61B2562/16</t>
  </si>
  <si>
    <t>A61M5/31</t>
  </si>
  <si>
    <t>https://lens.org/032-123-996-527-495</t>
  </si>
  <si>
    <t>093-874-990-160-16X</t>
  </si>
  <si>
    <t>EP 4022061 A1</t>
  </si>
  <si>
    <t>COMPOSITIONS AND METHODS FOR INHIBITING PCSK9</t>
  </si>
  <si>
    <t>C12N15/1137;;A61K31/713;;A61P3/06;;C12N9/6454;;C12N2310/141;;C12N2310/317;;C12N2310/531;;C12N2320/51;;C12Y304/21061;;C12N15/1137;;A61K31/713;;C12N2310/14;;C12N2310/317;;C12N2310/343;;C12N2310/351;;C12N2320/11;;C12N2320/51;;C12N15/1137;;A61K31/713;;C12N2310/14;;C12N2310/343;;C12N2310/351;;C12N2320/11;;C12N2320/51</t>
  </si>
  <si>
    <t>C12N15/113;;A61K31/713</t>
  </si>
  <si>
    <t>https://lens.org/093-874-990-160-16X</t>
  </si>
  <si>
    <t>069-513-100-978-549</t>
  </si>
  <si>
    <t>EP 3539595 B1</t>
  </si>
  <si>
    <t>SANOFI AVENTIS DEUTSCHLAND</t>
  </si>
  <si>
    <t>SANOFI-AVENTIS DEUTSCHLAND GMBH (2022-03-02)</t>
  </si>
  <si>
    <t>CODED CARTRIDGE HOLDER AND FASTENER ENABLED BY CARTRIDGE SIZE</t>
  </si>
  <si>
    <t>A61M5/24;;A61M5/3135;;A61M2005/2407;;A61M2005/2488;;A61M2005/2492;;A61M2205/276;;A61M2205/6045;;Y10T137/598;;F16L55/00;;A61M5/24;;A61M5/3135;;A61M2005/2407;;A61M2005/2488;;A61M2005/2492;;A61M2205/276;;A61M2205/6045;;Y10T137/598</t>
  </si>
  <si>
    <t>A61M5/24;;A61M5/31;;F16L55/00</t>
  </si>
  <si>
    <t>https://lens.org/069-513-100-978-549</t>
  </si>
  <si>
    <t>136-291-160-810-745</t>
  </si>
  <si>
    <t>EP 3679915 B1</t>
  </si>
  <si>
    <t>SANOFI PASTEUR BIOLOGICS LLC</t>
  </si>
  <si>
    <t>SANOFI PASTEUR INC. (2023-03-08);;SANOFI PASTEUR INC., SWIFTWATER, US (2022-11-25);;SANOFI PASTEUR INC., ONE DISCOVERY DRIVE, 1837, US (2023-02-15);;SANOFI PASTEUR INC., 18370 SWIFTWATER, PA, US (2023-02-15)</t>
  </si>
  <si>
    <t>FLAVIVIRUS VACCINES</t>
  </si>
  <si>
    <t>C07K14/005;;A61K2039/5254;;A61P31/14;;C12N7/00;;C12N2770/24122;;C12N2770/24162;;Y02A50/30;;A61K39/12;;A61K39/395;;A61K39/12;;A61K2039/5254;;C07K14/005;;C12N7/00;;C12N2770/24122;;C12N2770/24134;;C12N2770/24162;;Y02A50/30</t>
  </si>
  <si>
    <t>A61K6/00;;C12N15/09;;A61K39/00;;A61K39/12;;A61P31/14;;C07K14/005;;C07K14/18;;C12N7/00;;C12N7/04;;C12Q1/70</t>
  </si>
  <si>
    <t>https://lens.org/136-291-160-810-745</t>
  </si>
  <si>
    <t>099-674-126-923-875</t>
  </si>
  <si>
    <t>EP 3999532 A2</t>
  </si>
  <si>
    <t>SANOFI SA;;BRIGHAM &amp; WOMENS HOSPITAL INC</t>
  </si>
  <si>
    <t>SANOFI (2022-12-28);;THE BRIGHAM AND WOMEN'S HOSPITAL, INC. (2022-12-28)</t>
  </si>
  <si>
    <t>NEUTRALIZING ANTI-AMYLOID BETA ANTIBODIES FOR THE TREATMENT OF ALZHEIMER'S DISEASE</t>
  </si>
  <si>
    <t>C07K16/18;;A61P25/28;;C07K2317/565;;C07K2317/56;;C07K2317/24;;C07K2317/92;;C07K2317/52;;C07K2317/33;;C07K2317/76;;A61K2039/505;;C07K16/18;;C07K2317/24;;C07K2317/33;;C07K2317/52;;C07K2317/92;;C07K2317/76;;A61P25/28;;C07K16/18;;A61P25/28;;C07K2317/76;;C07K2317/24;;C07K2317/33;;C07K2317/52;;C07K2317/92;;A61K2039/505;;A61P25/28;;C07K16/18;;C07K2317/24;;C07K2317/565</t>
  </si>
  <si>
    <t>C07K16/18;;A61P25/28;;G01N33/53</t>
  </si>
  <si>
    <t>https://lens.org/099-674-126-923-875</t>
  </si>
  <si>
    <t>179-393-606-347-79X</t>
  </si>
  <si>
    <t>EP 3847157 B1</t>
  </si>
  <si>
    <t>SANOFI; FR (2025-04-11);;SANOFI (2023-01-11)</t>
  </si>
  <si>
    <t>PROCESS FOR THE PREPARATION OF METHYL 6-(2,4-DICHLOROPHENYL)-5-[4-[(3S)-1-(3-FLUOROPROPYL)PYRROLIDIN-3-YL]OXYPHENYL]-8,9-DIHYDRO-7H-BENZO[7]ANNULENE-2-CARBOXYLATE AND A SALT THEREOF</t>
  </si>
  <si>
    <t>C07D207/12;;C07C55/07;;C07C59/255;;C07D207/12;;C07C55/07;;C07C59/255;;C07D207/12;;A61K31/4015;;C07C55/07;;C07C59/255;;C07D207/12;;B01J31/1616;;C07C55/07;;C07C59/255</t>
  </si>
  <si>
    <t>C07D207/12</t>
  </si>
  <si>
    <t>https://lens.org/179-393-606-347-79X</t>
  </si>
  <si>
    <t>010-813-316-793-942</t>
  </si>
  <si>
    <t>EP 3983071 A1</t>
  </si>
  <si>
    <t>SANOFI BIOTECHNOLOGY;;REGENERON PHARMA;;CHEN CHIEH I;;WEI WENHUI</t>
  </si>
  <si>
    <t>REGENERON PHARMACEUTICALS, INC. (2024-04-10);;SANOFI BIOTECHNOLOGY (2024-04-10)</t>
  </si>
  <si>
    <t>MODIFIED DOSAGE OF SUBCUTANEOUS TOCILIZUMAB FOR RHEUMATOID ARTHRITIS</t>
  </si>
  <si>
    <t>C07K16/2866;;A61K2039/505;;A61P19/02;;A61P29/00;;A61K2039/54;;C07K2317/569;;A61K2039/545;;A61K9/0019;;C07K2317/24;;C07K16/2866;;C07K2317/569;;C07K2317/24;;A61K2039/54;;A61P19/02;;A61K2039/505;;A61K2039/545;;A61K9/0019;;A61P29/00;;C07K16/2866;;A61K9/0019;;A61P19/02;;A61K2039/505;;A61K2039/54;;A61K2039/545;;C07K2317/569;;C07K2317/24;;C07K2317/21;;A61P37/06;;A61P19/02;;A61K31/519;;A61K39/3955;;A61K2039/505;;A61K2039/507;;A61K2039/54;;A61K2039/545;;C07K16/241;;C07K16/2866;;C07K2317/21;;C07K2317/24</t>
  </si>
  <si>
    <t>A61P19/02;;A61K9/00;;A61K39/00;;A61P29/00;;C07K16/28</t>
  </si>
  <si>
    <t>https://lens.org/010-813-316-793-942</t>
  </si>
  <si>
    <t>027-656-984-640-803</t>
  </si>
  <si>
    <t>EP 3980098 A1</t>
  </si>
  <si>
    <t>APPARATUS FOR REMOVING A NEEDLE SHIELD</t>
  </si>
  <si>
    <t>A61M5/3204;;A61M5/20;;A61M2005/3109;;A61M2005/312;;A61M2205/58;;A61M5/3204;;A61M5/20;;A61M2005/312</t>
  </si>
  <si>
    <t>A61M5/20;;A61M5/31;;A61M5/32</t>
  </si>
  <si>
    <t>https://lens.org/027-656-984-640-803</t>
  </si>
  <si>
    <t>111-597-409-406-33X</t>
  </si>
  <si>
    <t>EP 3976140 A1</t>
  </si>
  <si>
    <t>A61M5/329;;A61M5/2066;;A61M5/2448;;A61M5/3155;;A61M2005/2407;;A61M2205/0238;;A61M2205/0255;;A61P3/10;;C07K14/62;;A61M5/329;;A61M5/2448;;A61M5/3155;;A61M2005/2407;;A61M2205/0238;;A61M2207/10;;A61P3/10;;C07K14/62</t>
  </si>
  <si>
    <t>A61M5/32;;A61M5/20;;A61M5/24;;A61M5/315;;A61P3/10;;C07K14/62</t>
  </si>
  <si>
    <t>https://lens.org/111-597-409-406-33X</t>
  </si>
  <si>
    <t>154-871-840-230-051</t>
  </si>
  <si>
    <t>EP 3977318 A1</t>
  </si>
  <si>
    <t>METHODS FOR DETERMINING A LIMIT OF A TOLERANCE INTERVAL, METHOD FOR EVALUATING A PRODUCTION PROCESS AND CORRESPONDING CALCULATION DEVICE</t>
  </si>
  <si>
    <t>G05B19/41875;;G05B2219/32191;;G06F17/18;;Y02P90/02;;G06F17/18;;G05B2219/32191</t>
  </si>
  <si>
    <t>G06F17/18;;G05B19/418</t>
  </si>
  <si>
    <t>https://lens.org/154-871-840-230-051</t>
  </si>
  <si>
    <t>079-478-140-626-005</t>
  </si>
  <si>
    <t>EP 3976138 A1</t>
  </si>
  <si>
    <t>ASSEMBLY FOR A DRUG DELIVERY DEVICE AND DRUG DELIVERY DEVICE</t>
  </si>
  <si>
    <t>A61M5/20;;A61M5/3204;;A61M2005/206;;A61M2005/3109;;A61M2205/58;;A61M2205/8206;;A61M2205/8281;;A61M5/2033;;A61M5/3204;;A61M2005/206;;A61M2005/3109;;A61M2205/58;;A61M2205/8281</t>
  </si>
  <si>
    <t>https://lens.org/079-478-140-626-005</t>
  </si>
  <si>
    <t>117-707-971-041-625</t>
  </si>
  <si>
    <t>EP 3768821 A4</t>
  </si>
  <si>
    <t>METHODS OF CULTIVATING BORDETELLA SPECIES</t>
  </si>
  <si>
    <t>C12N1/38;;A61P31/04;;A61P37/04;;C07K14/235;;C12N1/20;;C12N1/20;;A61K39/099;;C12N1/38;;C12N2500/02;;C12N2500/34;;C12N2500/60;;C12N2500/72</t>
  </si>
  <si>
    <t>C12N1/20;;A61K39/10;;A61P31/04;;A61P37/04;;C12N1/38;;C12P21/08</t>
  </si>
  <si>
    <t>https://lens.org/117-707-971-041-625</t>
  </si>
  <si>
    <t>012-826-172-412-383</t>
  </si>
  <si>
    <t>EP 3969062 A1</t>
  </si>
  <si>
    <t>EXPRESSION OF ANTIGEN-BINDING PROTEINS IN THE NERVOUS SYSTEM</t>
  </si>
  <si>
    <t>C12N5/0619;;C12N5/0622;;C07K16/00;;C07K14/47;;C07K14/4711;;C12N15/86;;A61K48/005;;A61K48/0075;;A61K39/39583;;A61P25/28;;A61P25/00;;A61P21/00;;C12N2510/00;;C12N2750/14141;;C12N2750/14143;;A61K48/005;;C07K16/18;;C07K2317/24;;A61K39/39583;;C07K2317/622;;C12N15/86;;A61K48/0075;;A01K2227/105;;A01K2217/052;;A01K2267/0312;;C07K16/18;;C12N2750/14143;;C07K2317/24;;C12N15/86;;A61K48/005;;A01K2267/0312;;A61K39/39583;;A61K48/0075;;A01K2217/052;;C07K2317/622;;A01K2227/105;;C12N15/86;;C07K16/18;;C12N5/0618;;A61K48/00;;A61P25/28;;C12N2750/14143;;C07K2317/622;;C07K14/4711;;C07K16/18;;C07K2317/24;;C07K2317/622;;C12N5/0619;;C12N5/0622;;C12N15/86;;C12N2750/14143</t>
  </si>
  <si>
    <t>A61K48/00;;A61K39/395;;C07K16/18</t>
  </si>
  <si>
    <t>https://lens.org/012-826-172-412-383</t>
  </si>
  <si>
    <t>174-966-975-757-413</t>
  </si>
  <si>
    <t>EP 3969004 A1</t>
  </si>
  <si>
    <t>SANOFI-AVENTIS U.S. LLC. (2025-08-13)</t>
  </si>
  <si>
    <t>METHODS OF ADMINISTERING ANTI-CD38 ANTIBODY TO TREAT MULTIPLE MYELOMA</t>
  </si>
  <si>
    <t>C07K16/2896;;A61K9/0019;;A61K2039/505;;A61K2039/54;;A61K2039/545;;A61K2039/804;;A61P35/00;;A61P35/02;;A61K31/454;;A61K31/573;;A61K39/39558;;A61K2039/505;;A61K2039/54;;A61K2039/545;;A61K2039/804;;C07K16/2896;;A61P35/02;;A61K9/0019;;A61K31/454;;A61K31/573;;A61K39/39558;;A61K2039/505;;A61K2039/54;;A61K2039/545;;A61K2039/804;;A61K2300/00;;A61P35/00;;C07K16/2896;;C07K16/2896;;A61K2039/505;;A61K2039/54;;A61K2039/545;;A61P35/00;;C07K16/2896;;A61K9/0019;;A61K2039/505;;A61P35/00</t>
  </si>
  <si>
    <t>A61K31/573;;A61K39/395;;A61P35/02;;C07K16/28</t>
  </si>
  <si>
    <t>https://lens.org/174-966-975-757-413</t>
  </si>
  <si>
    <t>190-845-475-622-589</t>
  </si>
  <si>
    <t>EP 3965758 A1</t>
  </si>
  <si>
    <t>6-(2,4-DICHLOROPHENYL)-5-[4-[(3S)-1-(3-FLUOROPROPYL)PYRROLIDIN-3-YL]OXYPHENYL]-8,9-DIHYDRO-7H-BENZO[7]ANNULENE-2-CARBOXYLIC ACID FOR USE IN METASTATIC OR ADVANCED BREAST CANCER PATIENTS</t>
  </si>
  <si>
    <t>A61K31/40;;A61P35/00;;A61P35/04;;A61K31/40;;A61J1/00;;A61K45/06;;A61P35/00;;A61P35/04;;A61K31/4015;;A61P35/00;;A61P35/04;;A61K31/40;;A61J1/00;;A61K45/06</t>
  </si>
  <si>
    <t>A61K31/40;;A61P35/00;;A61P35/04</t>
  </si>
  <si>
    <t>https://lens.org/190-845-475-622-589</t>
  </si>
  <si>
    <t>159-159-262-182-432</t>
  </si>
  <si>
    <t>EP 3959240 A1</t>
  </si>
  <si>
    <t>SANOFI BIOTECHNOLOGY;;REGENERON PHARMA;;ZILBERSTEIN MOSHE E</t>
  </si>
  <si>
    <t>REGENERON PHARMACEUTICALS, INC. (2024-09-18);;SANOFI BIOTECHNOLOGY (2024-09-18)</t>
  </si>
  <si>
    <t>METHODS OF DIAGNOSIS AND TREATMENT OF RHEUMATOID ARTHRITIS</t>
  </si>
  <si>
    <t>C07K16/2866;;A61K39/395;;A61K2039/505;;A61K2039/54;;A61K2039/545;;A61K2039/55;;A61P37/02;;A61P29/00;;A61P19/02;;G01N33/564;;G01N2333/5412;;G01N2333/715;;A61K39/3955;;A61K31/519;;A61K2039/545;;A61K9/08;;A61K2039/55;;A61K2039/505;;C07K16/2866;;A61B5/4848;;G01N2333/715;;C07K2317/515;;G01N2333/5412;;A61P19/02;;A61K39/395;;A61P29/00;;A61P37/02;;G01N33/564;;C07K2317/51;;A61K2039/54;;C07K16/2866;;A61P19/02;;G01N33/564;;A61K2039/505;;G01N2333/5412;;G01N2333/715;;A61P19/02;;A61B5/4848;;A61K9/08;;A61K31/519;;A61K39/3955;;C07K16/2866;;C07K2317/51;;C07K2317/515</t>
  </si>
  <si>
    <t>C07K16/28;;A61K39/395;;A61P19/02;;A61P29/00;;A61P37/02;;G01N33/564</t>
  </si>
  <si>
    <t>https://lens.org/159-159-262-182-432</t>
  </si>
  <si>
    <t>005-587-604-970-954</t>
  </si>
  <si>
    <t>EP 3958896 A1</t>
  </si>
  <si>
    <t>STABLE, LOW-VISCOSITY ANTIBODY FORMULATIONS AND USES THEREOF</t>
  </si>
  <si>
    <t>A61K39/39591;;C07K16/2803;;C07K16/2866;;C07K2317/71;;A61K39/39591;;C07K16/2803;;C07K2317/71;;C07K16/2866;;A61K39/39591;;A61K9/08;;A61K47/183;;C07K16/2803;;C07K16/2866;;C07K2317/71;;A61K9/08;;C07K16/2803;;C07K16/2866;;C07K2317/71</t>
  </si>
  <si>
    <t>A61K39/395;;C07K16/28</t>
  </si>
  <si>
    <t>https://lens.org/005-587-604-970-954</t>
  </si>
  <si>
    <t>118-205-076-272-538</t>
  </si>
  <si>
    <t>EP 3958898 A1</t>
  </si>
  <si>
    <t>ANTI-CD38 ANTIBODIES AND FORMULATIONS</t>
  </si>
  <si>
    <t>C07K16/2896;;A61K9/0019;;A61K9/08;;A61K9/19;;A61K39/39591;;A61K47/183;;A61K47/22;;A61K47/26;;A61K2039/505;;A61P35/00;;C07K2317/24;;C07K2317/567;;C07K2317/72;;C07K2317/73;;C07K2317/732;;C07K2317/734;;C07K2317/92;;C07K2317/94;;C07K16/2896;;A61K39/39591;;A61K2039/505;;A61P35/00;;C07K2317/24;;C07K2317/567;;C07K2317/73;;C07K2317/732;;C07K2317/734;;C07K16/2896;;A61K39/39591;;A61K2039/505;;A61P35/00;;C07K2317/24;;C07K2317/567;;C07K2317/73;;C07K2317/732;;C07K2317/734;;C07K16/2896;;A61K9/19;;A61K39/39591;;A61K47/22;;A61K47/26;;A61K2039/505;;A61P35/00;;C07K2317/24;;C07K2317/567;;C07K2317/732;;C07K2317/92</t>
  </si>
  <si>
    <t>A61K39/395;;A61K39/00;;A61P35/00;;C07K16/28</t>
  </si>
  <si>
    <t>https://lens.org/118-205-076-272-538</t>
  </si>
  <si>
    <t>089-405-900-477-555</t>
  </si>
  <si>
    <t>EP 3955993 A1</t>
  </si>
  <si>
    <t>DOSE RECORDING DEVICE</t>
  </si>
  <si>
    <t>A61M5/24;;A61M5/2448;;A61M5/31571;;A61M2005/2403;;A61M2005/2488;;A61M2205/276;;A61M2205/50;;A61M2205/6036;;A61M2205/6045;;A61M5/31533;;A61M5/2448;;A61M5/31566;;A61M2005/2433;;A61M2205/584;;A61M2205/6036;;A61M2205/6045</t>
  </si>
  <si>
    <t>A61M5/24;;A61M5/20;;A61M5/315</t>
  </si>
  <si>
    <t>https://lens.org/089-405-900-477-555</t>
  </si>
  <si>
    <t>014-430-293-198-469</t>
  </si>
  <si>
    <t>DE</t>
  </si>
  <si>
    <t>B4</t>
  </si>
  <si>
    <t>DE 102011009504 B4</t>
  </si>
  <si>
    <t>SANOFI-AVENTIS DEUTSCHLAND GMBH, DE (2018-10-26);;A. NATTERMANN &amp; CIE. GESELLSCHAFT MIT BESCHRAE, DE (2024-01-18)</t>
  </si>
  <si>
    <t>Applikationsvorrichtung zur Verteilung eines pastösen oder flüssigen Mediums</t>
  </si>
  <si>
    <t>A61M35/003;;B65D35/36;;B65D35/38;;B65D35/44</t>
  </si>
  <si>
    <t>B65D35/38;;A61M35/00;;B65D35/36;;B65D35/44</t>
  </si>
  <si>
    <t>https://lens.org/014-430-293-198-469</t>
  </si>
  <si>
    <t>123-557-709-607-212</t>
  </si>
  <si>
    <t>EP 3946516 A1</t>
  </si>
  <si>
    <t>DRUG DELIVERY DEVICE AND METHOD FOR ASSEMBLING</t>
  </si>
  <si>
    <t>A61M5/20;;A61M2005/2013;;A61M2005/206;;A61M2005/2477;;A61M5/326;;A61M5/2033;;A61M5/31578;;A61M5/3202;;A61M2005/2013;;A61M2207/00</t>
  </si>
  <si>
    <t>A61M5/20;;A61M5/32</t>
  </si>
  <si>
    <t>https://lens.org/123-557-709-607-212</t>
  </si>
  <si>
    <t>175-358-374-088-231</t>
  </si>
  <si>
    <t>EP 3946517 A1</t>
  </si>
  <si>
    <t>ASSEMBLY FOR A DRUG DELIVERY DEVICE</t>
  </si>
  <si>
    <t>A61M5/24;;A61M2005/3125;;A61M2205/60;;A61M2205/6072;;A61M5/24;;A61M2005/3126;;A61M2205/6072</t>
  </si>
  <si>
    <t>https://lens.org/175-358-374-088-231</t>
  </si>
  <si>
    <t>051-802-822-826-747</t>
  </si>
  <si>
    <t>EP 3946446 A1</t>
  </si>
  <si>
    <t>ANTIGENIC MULTIMERIC RESPIRATORY SYNCYTIAL VIRUS POLYPEPTIDES</t>
  </si>
  <si>
    <t>C07K14/005;;C07K2319/00;;C12N2760/18522;;C12N2760/18571;;A61K39/12;;A61K2039/64;;A61K2039/70;;A61P31/14;;C12N2760/18534;;C07K14/005;;A61K39/155;;A61K2039/64;;A61K2039/70;;A61P31/14;;C12N7/00;;C12N2760/18522;;C12N2760/18534;;C12N2760/18571</t>
  </si>
  <si>
    <t>A61K39/12;;A61P31/14</t>
  </si>
  <si>
    <t>https://lens.org/051-802-822-826-747</t>
  </si>
  <si>
    <t>121-440-486-641-277</t>
  </si>
  <si>
    <t>EP 3941553 A1</t>
  </si>
  <si>
    <t>CONTAINER RETAINING MEMBER, DRUG DELIVERY DEVICE AND METHOD</t>
  </si>
  <si>
    <t>A61M5/24;;A61M2005/2407;;A61M2005/2437;;A61M2005/2477;;A61M5/24;;A61M2005/2407;;A61M2005/2437;;A61M2005/2477</t>
  </si>
  <si>
    <t>https://lens.org/121-440-486-641-277</t>
  </si>
  <si>
    <t>071-430-076-559-544</t>
  </si>
  <si>
    <t>EP 3773709 A4</t>
  </si>
  <si>
    <t>SANOFI PASTEUR INC;;VIB VZW;;UNIV GENT</t>
  </si>
  <si>
    <t>VIB VZW (2026-05-27);;SANOFI PASTEUR INC. (2024-02-14);;SANOFI VACCINES US INC. (2026-05-27);;UNIVERSITEIT GENT (2026-05-27)</t>
  </si>
  <si>
    <t>METHODS OF GENERATING BROADLY PROTECTIVE VACCINE COMPOSITIONS COMPRISING NEURAMINIDASE</t>
  </si>
  <si>
    <t>A61K39/145;;A61K39/12;;A61K2039/5258;;A61P31/16;;C12N2760/16134;;G16B15/20;;G16B30/10;;A61K39/145;;A61K2039/575;;C12N7/00;;C12N9/2402;;C12N2760/16022;;C12N2760/16023;;C12N2760/16034;;C12Y302/01018;;G16B15/20;;G16B30/10</t>
  </si>
  <si>
    <t>A61K39/12;;A61K39/00;;A61K39/145;;A61P31/16;;G16B15/20</t>
  </si>
  <si>
    <t>https://lens.org/071-430-076-559-544</t>
  </si>
  <si>
    <t>124-374-187-479-931</t>
  </si>
  <si>
    <t>EP 3920972 A1</t>
  </si>
  <si>
    <t>USE OF ANTI-CEACAM5 IMMUNOCONJUGATES FOR TREATING LUNG CANCER</t>
  </si>
  <si>
    <t>A61P35/00;;C07K16/30;;A61K47/6853;;A61K47/68033;;A61K47/6853;;A61P35/00;;C07K16/30;;A61K47/68033;;A61K47/6853;;A61P35/00;;A61K2039/545;;A61K2039/505;;A61K47/68033;;A61K47/6803;;A61P11/00;;C07K16/3007;;A61K2039/86;;A61K47/6853;;A61P35/00;;A61K45/06;;A61K2039/505;;A61K2039/545;;C07K16/2818;;C07K16/2827;;C07K16/3023;;A61K47/68033</t>
  </si>
  <si>
    <t>A61K47/68;;A61P35/00;;C07K16/30</t>
  </si>
  <si>
    <t>https://lens.org/124-374-187-479-931</t>
  </si>
  <si>
    <t>041-037-517-267-397</t>
  </si>
  <si>
    <t>EP 3917961 A1</t>
  </si>
  <si>
    <t>SANOFI-AVENTIS U.S. LLC (2025-05-14)</t>
  </si>
  <si>
    <t>METHODS OF TREATING MULTIPLE MYELOMA</t>
  </si>
  <si>
    <t>A61K9/08;;A61K31/454;;A61K31/573;;A61K39/3955;;A61K47/02;;A61K47/22;;A61K47/26;;A61K2039/505;;A61P35/00;;C07K16/2896;;C07K2317/56;;C07K2317/565;;C07K16/2896;;A61K9/0019;;A61K9/20;;A61K9/48;;A61K31/454;;A61K31/573;;A61K31/69;;A61K39/39591;;A61K47/183;;A61K47/26;;A61K2039/505;;A61K2039/54;;A61K2039/545;;A61K2300/00;;A61P35/00;;C07K2317/24;;C07K16/2896;;A61K9/0019;;A61K9/20;;A61K9/48;;A61K31/454;;A61K31/573;;A61K31/69;;A61K39/395;;A61K47/183;;A61K47/26;;A61K2039/505;;A61K2039/54;;A61K2039/545;;A61K2300/00;;A61P35/00;;C07K2317/24;;C12Q1/6869;;A61K39/3955;;A61K9/08;;A61K31/454;;A61K31/573;;A61K39/39591;;A61K47/02;;A61K47/12;;A61K47/22;;A61K47/26;;A61K2039/505;;A61K2039/54;;A61K2039/545;;A61K2300/00;;A61P35/00;;C07K16/2896;;C07K2317/24;;C12Q1/6869;;C07K16/2896;;A61K31/454;;A61K31/573;;A61K39/395;;A61K2039/505;;A61K2039/545;;A61P35/00;;C12Q1/6869</t>
  </si>
  <si>
    <t>C07K16/28;;A61K38/00;;A61K39/00;;A61K39/395;;A61P35/00</t>
  </si>
  <si>
    <t>https://lens.org/041-037-517-267-397</t>
  </si>
  <si>
    <t>179-886-534-538-567</t>
  </si>
  <si>
    <t>EP 3311171 B1</t>
  </si>
  <si>
    <t>SANOFI (2020-01-08);;UCB BIOPHARMA SRL (2020-01-08)</t>
  </si>
  <si>
    <t>ANTIBODY EPITOPE</t>
  </si>
  <si>
    <t>G01N33/6845;;C07D401/14;;C07D471/00;;C07D471/04;;C07K14/525;;C07K14/70575;;C07K16/241;;G01N2500/02;;A61P35/00;;A61P37/00;;C07D401/04;;C07D401/14;;C07D471/04;;C07K14/525;;C07K14/70575;;C07K16/241;;C07K2317/32;;C07K2317/34;;C07K2317/565;;C07K2317/92;;G01N33/6863;;G01N2333/525;;G01N2333/7151;;G01N2500/04;;G01N33/6845;;C07D401/14;;C07D471/00;;C07K14/525;;C07K14/70575;;C07K16/241;;G01N2500/02;;C07K16/241;;C07D401/14;;C07D471/00;;C07K14/525;;C07K14/70575;;C07K2317/24;;C07K2317/92;;G01N33/6845;;G01N2333/525;;G01N2500/02;;G01N33/6845;;A61K47/6425;;A61P35/00;;A61P37/00;;C07D213/72;;C07D235/04;;C07D239/26;;C07D401/14;;C07D471/00;;C07D471/04;;C07K14/525;;C07K14/70575;;C07K16/241;;C07K2317/55;;C07K2317/92;;G01N33/6854;;G01N33/6863;;G01N2333/525;;G01N2500/02</t>
  </si>
  <si>
    <t>G01N33/68;;C07D401/14;;C07D471/00;;C07K14/525;;C07K14/705;;C07K16/24</t>
  </si>
  <si>
    <t>https://lens.org/179-886-534-538-567</t>
  </si>
  <si>
    <t>164-652-924-775-860</t>
  </si>
  <si>
    <t>EP 3911383 A1</t>
  </si>
  <si>
    <t>A61M5/24;;A61M5/31551;;A61M5/31556;;A61M5/31561;;A61M5/31585;;A61M2205/582;;A61M2205/585;;A61M5/3157;;A61M5/31551;;A61M5/31553;;A61M5/31558;;A61M5/31585;;A61M2205/582</t>
  </si>
  <si>
    <t>https://lens.org/164-652-924-775-860</t>
  </si>
  <si>
    <t>062-643-386-756-431</t>
  </si>
  <si>
    <t>EP 3436456 B1</t>
  </si>
  <si>
    <t>FUSED HEXACYCLIC IMIDAZOLE DERIVATIVES AS MODULATORS OF TNF ACTIVITY</t>
  </si>
  <si>
    <t>C07D487/22;;C07D487/04;;C07D487/18;;C07D487/22;;A61P3/00;;A61P19/00;;A61P25/00;;A61P27/02;;A61P29/00;;A61P35/00;;A61P37/06;;C07D487/04;;C07D487/18;;C07D487/22;;C07D487/04;;C07D487/18</t>
  </si>
  <si>
    <t>A61P3/00;;A61P19/00;;A61P25/00;;A61P27/02;;A61P29/00;;A61P35/00;;A61P37/06;;C07D487/04;;C07D487/18;;C07D487/22</t>
  </si>
  <si>
    <t>https://lens.org/062-643-386-756-431</t>
  </si>
  <si>
    <t>149-765-750-576-614</t>
  </si>
  <si>
    <t>EP 3909980 A1</t>
  </si>
  <si>
    <t>NOVEL ANTI-CD38 ANTIBODIES FOR THE TREATMENT OF CANCER</t>
  </si>
  <si>
    <t>A61K2039/505;;C07K16/2896;;C07K16/462;;C07K2317/24;;C07K2317/56;;C07K2317/565;;C07K2317/732;;C07K2317/734;;C07K2317/30;;C07K2317/34;;C07K2317/73;;G01N2333/924;;A61K47/6803;;A61K47/6867;;A61P1/00;;A61P1/04;;A61P1/16;;A61P11/00;;A61P11/06;;A61P13/12;;A61P17/00;;A61P17/04;;A61P19/02;;A61P21/00;;A61P25/00;;A61P27/02;;A61P29/00;;A61P35/00;;A61P35/02;;A61P37/00;;A61P37/02;;A61P37/06;;A61P43/00;;A61P7/04;;A61P9/00;;A61K47/68033;;A61K47/68035;;G01N33/57505;;G01N33/5758;;A61K47/6803;;A61K39/395;;C07K16/2896;;A61K2039/505;;C07K2317/24;;C07K2317/565;;G01N33/5758;;A61K47/6867;;A61P1/04;;A61P1/16;;A61P7/04;;A61P9/00;;A61P11/06;;A61P13/12;;A61P17/04;;A61P19/02;;A61P21/00;;A61P25/00;;A61P27/02;;A61P29/00;;A61P35/02;;A61P37/06;;A61P43/00;;C07K16/462;;G01N33/57505;;C07K2317/34;;C07K2317/732;;C07K2317/734;;G01N2333/924;;A61K47/6803;;A61K47/6867;;C07K16/28;;C07K16/2896;;C07K16/462;;C12N15/62;;C12N15/63;;C07K2317/24;;C07K2317/56;;C07K2317/73;;C07K2317/732;;C07K2317/734;;A61P35/00;;A61P35/02;;A61K39/395;;A61K39/39558;;A61K47/6803;;A61K47/6867;;C07K2317/30;;C07K2317/34;;C07K2317/73;;G01N2333/924;;A61K2039/505;;C07K16/2896;;C07K16/462;;C07K2317/24;;C07K2317/56;;C07K2317/565;;C07K2317/732;;C07K2317/734;;A61K47/68033;;A61K47/68035;;G01N33/57505;;G01N33/5758</t>
  </si>
  <si>
    <t>C07K16/28;;C07K16/46</t>
  </si>
  <si>
    <t>https://lens.org/149-765-750-576-614</t>
  </si>
  <si>
    <t>023-092-367-682-681</t>
  </si>
  <si>
    <t>EP 3524600 B1</t>
  </si>
  <si>
    <t>SANOFI; FR (2025-04-11)</t>
  </si>
  <si>
    <t>PROCESSES AND INTERMEDIATES FOR THE PREPARATION OF NOVEL SUBSTITUTED 6,7-DIHYDRO-5H-BENZO[7]ANNULENE COMPOUNDS</t>
  </si>
  <si>
    <t>C07D207/12;;A61P35/00;;C07B2200/07;;C07D209/08;;C07D401/12;;C07D403/12;;C07D405/12;;C07F5/025;;C07F9/572;;A61K31/4025;;A61P5/32;;A61P13/08;;A61P15/00;;A61P15/08;;A61P19/10;;A61P29/00;;A61P35/00;;A61P35/04;;A61P43/00;;C07D207/12;;C07D401/12;;C07D403/12;;C07D405/12;;C07D413/12;;C07D417/12;;C07D471/04;;C07F5/025;;C07F7/0812;;C07D207/12;;C07D401/12;;C07D403/12;;C07D405/12;;C07D413/12;;C07D417/12;;C07D471/04;;C07F5/025;;C07D207/12;;A61P5/32;;A61P13/08;;A61P15/00;;A61P15/08;;A61P19/10;;A61P29/00;;A61P35/00;;A61P35/04;;A61P43/00;;C07D401/12;;C07D403/12;;C07D405/12;;C07D413/12;;C07D417/12;;C07D471/04;;C07F5/025;;C07F7/0812;;C07D207/12;;A61K31/4015;;A61K31/4439;;A61K31/506;;A61P35/00;;C07D401/12;;C07D403/12;;C07D405/12;;C07D417/12;;C07D471/04;;C07F5/027;;C07D207/12;;C07D401/12;;C07D403/12;;C07D405/12;;C07D413/12;;C07D417/12;;C07D471/04;;C07F5/025;;C07F7/0812</t>
  </si>
  <si>
    <t>C07D403/12;;A61K31/40;;A61K31/4025;;A61P35/00;;C07D207/12;;C07D401/12;;C07D405/12;;C07D413/12;;C07D417/12;;C07D471/04;;C07F5/02</t>
  </si>
  <si>
    <t>https://lens.org/023-092-367-682-681</t>
  </si>
  <si>
    <t>169-326-742-950-785</t>
  </si>
  <si>
    <t>EP 3658147 B1</t>
  </si>
  <si>
    <t>COMBINATION COMPRISING PALBOCICLIB AND 6-(2,4-DICHLOROPHENYL)-5-[4-[(3S)-1-(3-FLUOROPROPYL)PYRROLIDIN-3-YL]OXYPHENYL]-8,9-DIHYDRO-7H-BENZO[7]ANNULENE-2-CARBOXYLIC ACID AND ITS USE FOR THE TREATMENT OF CANCER</t>
  </si>
  <si>
    <t>A61P35/00;;A61K31/40;;A61K31/519;;A61K31/4015;;A61K31/40;;A61K31/519;;A61K2300/00;;A61P35/00;;A61K31/4015;;A61K31/519;;A61K2300/00;;A61P35/00;;A61K31/40;;A61K31/519;;A61P35/00;;A61K31/519;;A61K31/40</t>
  </si>
  <si>
    <t>A61K31/519;;A61K31/40;;A61P35/00</t>
  </si>
  <si>
    <t>https://lens.org/169-326-742-950-785</t>
  </si>
  <si>
    <t>064-201-962-351-278</t>
  </si>
  <si>
    <t>EP 3902825 A1</t>
  </si>
  <si>
    <t>SANOFI SA;;WEIL SANDRA;;RAO ERCOLE;;LEUSCHNER WULF DIRK;;LANGER THOMAS;;HOELPER SORAYA;;ENGEL KARL CHRISTIAN;;BEIL CHRISTIAN;;HESSLER GERHARD;;LANGE CHRISTIAN;;LEMOINE CENDRINE;;OEZGUER BRUEDERLE SEVIM;;SPINDLER NADJA</t>
  </si>
  <si>
    <t>SANOFI (2022-03-16)</t>
  </si>
  <si>
    <t>PSEUDOFAB-BASED MULTISPECIFIC BINDING PROTEINS</t>
  </si>
  <si>
    <t>C07K2317/55;;C07K16/468;;C07K2317/60;;C07K2317/31;;C07K2317/92;;C07K2317/94;;C07K16/2818;;C07K16/2878;;C07K16/244;;C07K16/244;;C07K16/2818;;C07K16/2878;;C07K16/32;;C07K16/468;;C07K2317/31;;C07K2317/522;;C07K2317/524;;C07K2317/526;;C07K2317/55;;C07K2317/60;;C07K2317/92;;C07K2317/94;;C07K16/244;;C07K16/2878;;C07K16/2818;;C07K16/468;;C07K2317/31;;C07K2317/55;;C07K2317/60;;C07K2317/94;;A61K2039/505;;C07K16/32;;C07K2317/31;;C07K2317/522;;C07K2317/524;;C07K2317/526;;C07K2317/55</t>
  </si>
  <si>
    <t>C07K16/24;;C07K16/28;;C07K16/32;;C07K16/46</t>
  </si>
  <si>
    <t>https://lens.org/064-201-962-351-278</t>
  </si>
  <si>
    <t>081-402-953-065-592</t>
  </si>
  <si>
    <t>EP 3294875 B8</t>
  </si>
  <si>
    <t>SANOFI PASTEUR INC. (2021-10-13);;SANOFI PASTEUR INC., SWIFTWATER, US (2021-09-20)</t>
  </si>
  <si>
    <t>ICP0-MEDIATED ENHANCED EXPRESSION SYSTEM</t>
  </si>
  <si>
    <t>C12N7/00;;C12N2710/16634;;C12N2710/16651;;C12N7/00;;C12N2710/16622;;C12N2710/16634;;C12N2710/16651</t>
  </si>
  <si>
    <t>C12N7/00</t>
  </si>
  <si>
    <t>https://lens.org/081-402-953-065-592</t>
  </si>
  <si>
    <t>127-668-486-130-038</t>
  </si>
  <si>
    <t>EP 3890806 A1</t>
  </si>
  <si>
    <t>ASSEMBLY FOR A DRUG DELIVERY DEVICE, DRUG DELIVERY DEVICE, AND METHOD FOR PRODUCING A DRUG DELIVERY DEVICE</t>
  </si>
  <si>
    <t>A61M5/3146;;A61M5/31541;;A61M5/31568;;A61M5/31585;;A61M2005/3154;;A61M5/31568;;A61M5/2422;;A61M5/31551;;A61M5/31581;;A61M5/31593;;A61M2207/00</t>
  </si>
  <si>
    <t>A61M5/31;;A61M5/315</t>
  </si>
  <si>
    <t>https://lens.org/127-668-486-130-038</t>
  </si>
  <si>
    <t>189-599-345-045-377</t>
  </si>
  <si>
    <t>EP 3884051 A2</t>
  </si>
  <si>
    <t>NOVEL RNA COMPOSITIONS AND METHODS FOR INHIBITING ANGPTL8</t>
  </si>
  <si>
    <t>C12N15/113;;A61K31/713;;A61K47/549;;A61P3/06;;A61P3/10;;C12N15/113;;C12N2310/14;;C12N2310/321;;C12N2310/322;;C12N2310/351;;C12N2310/3515;;C12N2320/30</t>
  </si>
  <si>
    <t>C12N15/113;;A61K31/7088</t>
  </si>
  <si>
    <t>https://lens.org/189-599-345-045-377</t>
  </si>
  <si>
    <t>090-124-930-060-376</t>
  </si>
  <si>
    <t>EP 3436459 B1</t>
  </si>
  <si>
    <t>C07D487/04;;C07D487/18;;C07D519/00;;A61P3/00;;A61P3/10;;A61P9/00;;A61P25/00;;A61P25/04;;A61P25/28;;A61P27/00;;A61P29/00;;A61P35/00;;A61P37/02;;A61P37/04;;A61P43/00;;C07D487/04;;C07D487/18;;C07D487/22;;C07D519/00;;A61P3/10;;A61P9/00;;A61P25/28;;A61P35/00;;A61P37/04;;C07D487/04;;C07D487/18;;C07D487/22</t>
  </si>
  <si>
    <t>C07D487/04;;A61K31/4188;;A61P3/00;;A61P9/00;;A61P25/00;;A61P25/04;;A61P25/28;;A61P27/00;;A61P29/00;;A61P35/00;;A61P37/02;;A61P43/00;;C07D487/18;;C07D487/22;;C07D519/00</t>
  </si>
  <si>
    <t>https://lens.org/090-124-930-060-376</t>
  </si>
  <si>
    <t>061-277-571-267-281</t>
  </si>
  <si>
    <t>EP 3436460 B1</t>
  </si>
  <si>
    <t>C07D487/04;;C07D487/18;;C07D487/18;;A61P3/00;;A61P9/00;;A61P25/00;;A61P25/04;;A61P27/02;;A61P29/00;;A61P35/00;;A61P37/02;;A61P43/00;;C07D487/04;;C07D487/18;;C07D487/04</t>
  </si>
  <si>
    <t>A61K31/4188;;A61P9/00;;A61P25/00;;A61P25/04;;A61P27/02;;A61P29/00;;A61P35/00;;A61P37/02;;A61P43/00;;C07D487/04;;C07D487/18</t>
  </si>
  <si>
    <t>https://lens.org/061-277-571-267-281</t>
  </si>
  <si>
    <t>043-038-472-600-930</t>
  </si>
  <si>
    <t>EP 3856237 A1</t>
  </si>
  <si>
    <t>COMBINED IMMUNIZATION AGAINST MENINGOCOCCAL DISEASE AND HUMAN PAPILLOMAVIRUS</t>
  </si>
  <si>
    <t>A61K39/12;;A61K39/05;;A61K39/08;;A61K39/095;;A61K39/099;;A61K2039/6037;;A61K2039/70;;A61P31/04;;C12N2710/20034;;A61K39/12;;A61K39/095;;A61K39/385;;A61K2039/6037;;A61K2039/70;;C12N7/00;;C12N2710/20034</t>
  </si>
  <si>
    <t>A61K39/05;;A61K39/02;;A61K39/08;;A61K39/095;;A61K39/12;;A61P31/04</t>
  </si>
  <si>
    <t>https://lens.org/043-038-472-600-930</t>
  </si>
  <si>
    <t>016-454-704-177-38X</t>
  </si>
  <si>
    <t>EP 3201196 B1</t>
  </si>
  <si>
    <t>SANOFI, FR (2025-09-28);;SANOFI (2020-01-08);;UCB BIOPHARMA SRL, BE (2025-09-28);;SANOFI, PARIS, FR (2025-01-13);;UCB BIOPHARMA SRL (2020-01-08);;UCB BIOPHARMA SRL; BE (2025-04-11)</t>
  </si>
  <si>
    <t>FUSED PENTACYCLIC IMIDAZOLE DERIVATIVES</t>
  </si>
  <si>
    <t>C07F9/6561;;C07D471/18;;C07D487/18;;C07D491/08;;A61K31/4184;;A61K31/506;;A61K31/55;;C07D471/18;;C07D487/08;;C07D487/18;;C07D491/18;;C07D493/18;;C07D495/08;;C07D495/18;;C07D513/18;;C07D519/00;;C07F7/1804;;C07D519/00;;A61K31/4184;;A61K31/506;;A61K31/55;;A61P3/00;;A61P9/00;;A61P25/00;;A61P25/04;;A61P25/28;;A61P27/02;;A61P29/00;;A61P35/00;;A61P37/00;;A61P37/02;;A61P37/06;;A61P43/00;;C07D471/18;;C07D487/08;;C07D487/18;;C07D491/08;;C07D491/18;;C07D493/18;;C07D495/08;;C07D495/18;;C07D513/18;;C07F7/1804;;C07D471/18;;C07D487/18;;C07D493/18;;C07D487/18;;A61K31/4184;;A61K31/506;;A61K31/55;;C07D491/18;;C07D493/18;;C07D519/00;;A61K31/4184;;A61K31/506;;A61K31/55;;C07D471/18;;C07D487/08;;C07D487/18;;C07D491/08;;C07D491/18;;C07D493/18;;C07D495/08;;C07D495/18;;C07D513/18;;C07F7/1804</t>
  </si>
  <si>
    <t>C07D491/08;;A61K31/55;;A61P3/00;;A61P9/00;;A61P25/00;;A61P27/00;;A61P35/00;;A61P37/00;;A61P43/00;;C07D471/18;;C07D487/08;;C07D491/18;;C07D493/18;;C07D495/08;;C07D495/18;;C07D513/18;;C07D519/00;;C07F7/18</t>
  </si>
  <si>
    <t>https://lens.org/016-454-704-177-38X</t>
  </si>
  <si>
    <t>051-972-572-150-503</t>
  </si>
  <si>
    <t>EP 2968337 B1</t>
  </si>
  <si>
    <t>CELGENE CAR LLC;;SANOFI SA</t>
  </si>
  <si>
    <t>CELGENE CAR LLC (2017-08-23);;SANOFI (2017-08-23)</t>
  </si>
  <si>
    <t>HETEROARYL COMPOUNDS AND USES THEREOF</t>
  </si>
  <si>
    <t>C07D487/04;;A61P1/00;;A61P1/16;;A61P15/00;;A61P21/00;;A61P35/00;;A61P43/00;;C07D239/80;;C07D471/04;;C07D519/00;;C07D487/04;;C07D239/80;;C07D471/04;;C07D519/00</t>
  </si>
  <si>
    <t>A61K31/519;;A61P35/00;;C07D471/04;;C07D487/04;;C07D519/00</t>
  </si>
  <si>
    <t>https://lens.org/051-972-572-150-503</t>
  </si>
  <si>
    <t>115-561-881-214-447</t>
  </si>
  <si>
    <t>EP 3365366 B1</t>
  </si>
  <si>
    <t>SANOFI SA;;THE USA AS REPRESENTED BY THE SEC DEP OF HEALTH AND HUMAN SERVICES</t>
  </si>
  <si>
    <t>SANOFI, FR (2025-09-28);;THE USA, AS REPRESENTED BY THE SECRETARY,  DEPARTMENT OF HEALTH AND HUMAN SERVICES, US (2025-09-28);;THE USA, AS REPRESENTED BY THE SECRETARY,  DEPARTMENT OF HEALTH AND HUMAN SERVICES; US (2025-04-11);;SANOFI, PARIS, FR (2025-01-14)</t>
  </si>
  <si>
    <t>TRISPECIFIC AND/OR TRIVALENT BINDING PROTEINS FOR PREVENTION OR TREATMENT OF HIV INFECTION</t>
  </si>
  <si>
    <t>C07K16/468;;A61K47/6881;;A61K39/42;;A61P31/18;;C07K2317/76;;C07K2317/31;;C07K2317/94;;C07K2317/92;;C07K2317/565;;C07K16/1145;;C07K16/468;;C07K2317/31;;C07K2317/76;;C07K2317/92;;C07K2317/94;;A61K39/42;;A61K47/6881;;A61P31/18;;C07K16/1145;;C07K2317/94;;C07K2317/31;;C07K2317/76;;C07K2317/92;;C07K16/468;;C07K16/46;;C07K16/1145;;C07K16/468;;C07K2317/31;;C07K2317/76;;C07K2317/94;;C07K2317/92;;C07K16/1145;;C07K16/468;;C07K2317/92;;C07K2317/94;;C07K2317/31;;C07K2317/76;;A61K39/42;;C07K16/1145;;A61K47/6881;;A61P31/18;;C07K2317/565</t>
  </si>
  <si>
    <t>C07K16/46;;A61K39/42;;A61K47/68;;A61P31/18;;C07K16/10</t>
  </si>
  <si>
    <t>https://lens.org/115-561-881-214-447</t>
  </si>
  <si>
    <t>061-491-171-952-99X</t>
  </si>
  <si>
    <t>EP 3060664 B1</t>
  </si>
  <si>
    <t>SANOFI (2019-10-23)</t>
  </si>
  <si>
    <t>MICRORNA COMPOUNDS AND METHODS FOR MODULATING MIR-21 ACTIVITY</t>
  </si>
  <si>
    <t>C12N15/113;;C12N2310/113;;C12N2310/315;;C12N2310/3231;;C12N2310/343;;C12N2310/351;;C12N15/113;;C12N2310/113;;C12N2310/315;;C12N2310/321;;C12N2310/3231;;C12N2310/343;;C12N2310/351;;C12N2310/3521;;C12N2310/3525</t>
  </si>
  <si>
    <t>C12N15/113</t>
  </si>
  <si>
    <t>https://lens.org/061-491-171-952-99X</t>
  </si>
  <si>
    <t>044-045-840-787-623</t>
  </si>
  <si>
    <t>EP 3843817 A1</t>
  </si>
  <si>
    <t>SANOFI-AVENTIS DEUTSCHLAND GMBH (2025-11-12)</t>
  </si>
  <si>
    <t>A61M5/20;;A61M5/31501;;A61M5/31543;;A61M5/3155;;A61M5/31583;;A61M2005/2407;;A61M2005/2485;;A61M2005/3154;;A61M5/24;;A61M5/31501;;A61M5/31543;;A61M5/31551;;A61M2005/2477;;A61M2005/2485;;A61M2005/3154</t>
  </si>
  <si>
    <t>A61M5/315;;A61M5/20;;A61M5/24</t>
  </si>
  <si>
    <t>https://lens.org/044-045-840-787-623</t>
  </si>
  <si>
    <t>000-851-156-790-041</t>
  </si>
  <si>
    <t>EP 3204090 B1</t>
  </si>
  <si>
    <t>SANOFI (2021-03-17)</t>
  </si>
  <si>
    <t>RESETTABLE DRUG DELIVERY DEVICE</t>
  </si>
  <si>
    <t>A61M5/31543;;A61M5/20;;A61M5/24;;A61M5/31541;;A61M5/31553;;A61M5/31583;;A61M5/31593;;A61M5/3202;;A61M2005/3126;;A61M2205/581;;A61M2205/582;;A61M5/31543;;A61M5/20;;A61M5/24;;A61M5/31541;;A61M5/31553;;A61M5/31583;;A61M5/31593;;A61M5/3202;;A61M2005/3126;;A61M2205/581;;A61M2205/582;;A61M5/31543;;A61M5/20;;A61M5/24;;A61M5/31515;;A61M5/31541;;A61M5/31553;;A61M5/31583;;A61M5/31593;;A61M5/3202;;A61M2005/3126;;A61M2205/581;;A61M2205/582</t>
  </si>
  <si>
    <t>A61M5/315;;A61M5/20;;A61M5/24;;A61M5/31;;A61M5/32</t>
  </si>
  <si>
    <t>https://lens.org/000-851-156-790-041</t>
  </si>
  <si>
    <t>125-053-411-354-906</t>
  </si>
  <si>
    <t>EP 3400982 B1</t>
  </si>
  <si>
    <t>SANOFI-AVENTIS DEUTSCHLAND GMBH (2021-05-26)</t>
  </si>
  <si>
    <t>CARTRIDGE HOLDER FOR A DRUG DELIVERY DEVICE</t>
  </si>
  <si>
    <t>A61M5/24;;A61M2005/2403;;A61M2005/2407;;A61M2005/2418;;A61M2005/2437;;A61M2005/2477;;A61M2005/2481;;A61M2005/2485;;A61M5/28;;A61M5/24;;A61M2005/2403;;A61M2005/2407;;A61M2005/2418;;A61M2005/2437;;A61M2005/2477;;A61M2005/2481;;A61M2005/2485</t>
  </si>
  <si>
    <t>https://lens.org/125-053-411-354-906</t>
  </si>
  <si>
    <t>007-457-687-942-162</t>
  </si>
  <si>
    <t>EP 3254616 B1</t>
  </si>
  <si>
    <t>SANOFI-AVENTIS DEUTSCHLAND GMBH (2021-01-27)</t>
  </si>
  <si>
    <t>MEDICAL DEVICE AND METHOD FOR PROVIDING INFORMATION FOR GLYCEMIC CONTROL</t>
  </si>
  <si>
    <t>A61B5/00;;A61M5/142;;A61B5/14532;;A61B5/1455;;A61B5/1468;;A61B5/7282;;A61M5/1723;;G06F19/3468;;G06F19/3468;;G06F19/3468;;A61M5/1723;;A61B5/14532;;A61M5/142;;A61P3/10;;G01N33/49;;G16H20/17;;G16H70/60;;A61M5/1723;;A61B5/14532;;A61M5/142;;A61M15/0065;;A61M2205/6009;;G01N33/49;;G06F21/34;;G16H20/17;;G16H70/60</t>
  </si>
  <si>
    <t>A61B5/00;;A61M5/142;;G16H20/17;;G16H70/60</t>
  </si>
  <si>
    <t>https://lens.org/007-457-687-942-162</t>
  </si>
  <si>
    <t>074-678-664-498-168</t>
  </si>
  <si>
    <t>EP 3436458 B1</t>
  </si>
  <si>
    <t>C07D487/22;;A61P3/00;;A61P9/00;;A61P25/28;;A61P37/04;;C07D487/04;;C07D487/18;;C07D487/18;;A61P3/00;;A61P9/00;;A61P19/00;;A61P25/00;;A61P25/28;;A61P27/02;;A61P29/00;;A61P35/00;;A61P37/04;;A61P37/06;;C07D487/04;;C07D487/22;;C07D487/18;;A61P3/00;;A61P9/00;;A61P25/28;;A61P37/04;;C07D487/04;;C07D487/22</t>
  </si>
  <si>
    <t>C07D487/18;;A61K31/437;;A61P3/00;;A61P9/00;;A61P19/00;;A61P25/00;;A61P27/02;;A61P29/00;;A61P35/00;;A61P37/04;;A61P37/06</t>
  </si>
  <si>
    <t>https://lens.org/074-678-664-498-168</t>
  </si>
  <si>
    <t>001-856-632-113-068</t>
  </si>
  <si>
    <t>EP 3826703 A1</t>
  </si>
  <si>
    <t>DRUG DELIVERY DEVICE AND ASSEMBLY METHOD FOR A DRUG DELIVERY DEVICE</t>
  </si>
  <si>
    <t>A61M5/31515;;A61M5/31511;;A61M5/31583;;A61M2207/00;;A61M5/31515;;A61M5/31511;;A61M5/31528;;A61M5/31545;;A61M5/31583;;A61M5/31585;;A61M2005/3125;;A61M2205/0216;;A61M2207/00;;A61M5/31511;;A61M5/31515;;A61M5/31545;;A61M5/31583;;A61M2005/3125;;A61M2207/00;;A61M5/31515;;A61M5/31528;;A61M5/31585;;A61M2205/0216;;A61M2207/00</t>
  </si>
  <si>
    <t>https://lens.org/001-856-632-113-068</t>
  </si>
  <si>
    <t>005-344-822-312-320</t>
  </si>
  <si>
    <t>EP 3823702 A1</t>
  </si>
  <si>
    <t>A61M5/24;;A61M2005/2407;;A61M2005/244;;A61M5/24;;A61M5/31576;;A61M2005/2403;;A61M2005/2407;;A61M2005/2433;;A61M2005/244;;A61M2005/2477;;A61M2005/2481;;A61M5/24;;A61M5/31576;;A61M2005/2407;;A61M2005/244;;A61M2005/2477;;A61M2005/2481;;A61M5/24;;A61M2005/2403;;A61M2005/2433</t>
  </si>
  <si>
    <t>https://lens.org/005-344-822-312-320</t>
  </si>
  <si>
    <t>141-860-376-861-478</t>
  </si>
  <si>
    <t>EP 3823698 A1</t>
  </si>
  <si>
    <t>SYSTEM FOR A DRUG DELIVERY DEVICE</t>
  </si>
  <si>
    <t>A61M5/24;;A61M2005/2437;;A61M2005/2488;;A61M2205/582;;A61M2205/6045;;A61M5/24;;A61M2005/2437;;A61M2005/2488;;A61M2205/582;;A61M2205/6045;;A61M2005/2403;;A61M5/31566;;A61M5/24;;A61M5/31566;;A61M2005/2488;;A61M2005/2437;;A61M2205/6045;;A61M2205/582;;A61M5/24;;A61M2005/2403</t>
  </si>
  <si>
    <t>https://lens.org/141-860-376-861-478</t>
  </si>
  <si>
    <t>171-139-984-621-253</t>
  </si>
  <si>
    <t>EP 3823699 A1</t>
  </si>
  <si>
    <t>CARTRIDGE UNIT FOR A DRUG DELIVERY DEVICE</t>
  </si>
  <si>
    <t>A61M5/24;;A61M2005/2437;;A61M2005/2488;;A61M2205/6045;;A61M5/24;;A61M2005/2488</t>
  </si>
  <si>
    <t>https://lens.org/171-139-984-621-253</t>
  </si>
  <si>
    <t>153-550-359-859-677</t>
  </si>
  <si>
    <t>EP 3823690 A1</t>
  </si>
  <si>
    <t>DRUG DELIVERY DEVICES</t>
  </si>
  <si>
    <t>A61M5/24;;A61M5/3157;;A61M5/31535;;A61M5/31568;;A61M5/31533;;A61M5/31576;;A61M5/31563;;A61M5/002;;A61M5/31548;;A61M5/31;;A61M2005/2485;;A61M2005/2477;;A61M2005/3125;;A61M2205/6045;;A61M2205/581;;A61M2205/582;;A61M2205/43;;A61M2207/00;;A61M5/002;;A61M5/24;;A61M5/31533;;A61M2005/2477;;A61M2005/2485;;A61M2205/43;;A61M2205/6045;;A61M2207/00;;A61M5/002;;A61M5/24;;A61M5/31533;;A61M2005/2477;;A61M2005/2485;;A61M2205/43;;A61M2205/6045;;A61M2207/00;;A61M5/24;;A61M5/31535;;A61M5/31563;;A61M5/31576;;A61M5/002;;A61M2005/2477;;A61M2005/2485;;A61M2005/3125;;A61M2205/43;;A61M2205/581;;A61M2205/582;;A61M2205/6045;;A61M5/24;;A61M5/31;;A61M5/31548;;A61M5/31568;;A61M5/3157;;A61M2205/581;;A61M2205/582;;A61M2207/00</t>
  </si>
  <si>
    <t>A61M5/00;;A61M5/24;;A61M5/315</t>
  </si>
  <si>
    <t>https://lens.org/153-550-359-859-677</t>
  </si>
  <si>
    <t>007-034-803-946-810</t>
  </si>
  <si>
    <t>EP 3823700 A1</t>
  </si>
  <si>
    <t>CARTRIDGE ASSEMBLY FOR A DRUG DELIVERY DEVICE AND METHOD FOR ASSEMBLING THE SAME</t>
  </si>
  <si>
    <t>A61M5/24;;A61M2005/244;;A61M2005/2492;;A61M2005/3142;;A61M5/24;;A61M2005/2444;;A61M2005/2492</t>
  </si>
  <si>
    <t>A61M5/24;;A61M5/31</t>
  </si>
  <si>
    <t>https://lens.org/007-034-803-946-810</t>
  </si>
  <si>
    <t>040-491-136-560-331</t>
  </si>
  <si>
    <t>EP 3823697 A1</t>
  </si>
  <si>
    <t>CARTRIDGE ASSEMBLY AND METHOD FOR ASSEMBLING THE SAME</t>
  </si>
  <si>
    <t>A61M5/24;;A61M2005/2407;;A61M2005/244;;A61M2005/2488;;A61M2205/6045;;A61M5/24;;A61M2005/2403;;A61M2005/244;;A61M2207/00</t>
  </si>
  <si>
    <t>A61M5/24;;A61J1/16</t>
  </si>
  <si>
    <t>https://lens.org/040-491-136-560-331</t>
  </si>
  <si>
    <t>048-262-749-652-994</t>
  </si>
  <si>
    <t>EP 3823701 A1</t>
  </si>
  <si>
    <t>DRUG DELIVERY DEVICE AND METHOD TO MODIFY A DRUG DELIVERY DEVICE</t>
  </si>
  <si>
    <t>A61M5/24;;A61M2005/2407;;A61M2005/2433;;A61M2005/2477;;A61M5/24;;A61M2005/2407;;A61M2005/2433;;A61M2005/2477;;A61M5/24;;A61M5/31576;;A61M2005/2407;;A61M2005/2481;;A61M2005/2477;;A61M2005/2433;;A61M2005/244;;A61M5/24;;A61M2005/2477;;A61M5/2422;;A61M5/31576</t>
  </si>
  <si>
    <t>https://lens.org/048-262-749-652-994</t>
  </si>
  <si>
    <t>025-204-748-781-110</t>
  </si>
  <si>
    <t>EP 3820575 A1</t>
  </si>
  <si>
    <t>SANOFI (2025-08-13)</t>
  </si>
  <si>
    <t>COMBINATION THERAPIES AGAINST CANCER TARGETING CD38 AND TGF-BETA</t>
  </si>
  <si>
    <t>A61K2039/507;;A61P35/00;;C07K16/22;;C07K16/2896;;C07K2317/732;;C07K2317/76;;A61K2039/507;;A61P35/00;;C07K16/22;;C07K16/2896;;C07K2317/732;;C07K2317/76;;C07K16/2896;;C07K16/22;;A61K31/573;;A61P35/00;;C07K2317/565;;C07K2317/732;;C07K2317/76;;A61K2039/507;;A61K31/12;;A61K2039/507;;C07K16/22;;C07K16/2896;;C07K2317/565</t>
  </si>
  <si>
    <t>A61P35/00;;C07K16/22;;C07K16/28</t>
  </si>
  <si>
    <t>https://lens.org/025-204-748-781-110</t>
  </si>
  <si>
    <t>154-440-277-877-467</t>
  </si>
  <si>
    <t>EP 2877208 B1</t>
  </si>
  <si>
    <t>SANOFI PASTEUR</t>
  </si>
  <si>
    <t>SANOFI PASTEUR (2018-01-24)</t>
  </si>
  <si>
    <t>VACCINE COMPOSITIONS FOR THE PREVENTION OF DENGUE VIRUS INFECTION</t>
  </si>
  <si>
    <t>A61P31/14;;A61K39/12;;A61K2039/5252;;A61K2039/5254;;A61K2039/5258;;A61K2039/70;;A61P43/00;;C12N2770/24134;;Y02A50/30;;A61K39/12;;A61K39/295;;A61K2039/5252;;A61K2039/5254;;A61K39/12;;A61K2039/5252;;A61K2039/5254;;A61K2039/5258;;A61K2039/53;;A61K2039/70;;C12N2770/24134;;Y02A50/30</t>
  </si>
  <si>
    <t>A61K39/00;;A61K39/12;;A61K39/295;;A61P31/14;;A61P43/00</t>
  </si>
  <si>
    <t>https://lens.org/154-440-277-877-467</t>
  </si>
  <si>
    <t>056-066-396-596-860</t>
  </si>
  <si>
    <t>EP 3810234 A1</t>
  </si>
  <si>
    <t>DRUG DELIVERY DEVICE, METHOD FOR MANUFACTURING A DRUG DELIVERY DEVICE AND USE OF A WELDED CONNECTION</t>
  </si>
  <si>
    <t>A61M5/20;;A61M5/50;;A61M5/2033;;A61M5/24;;A61M5/3202;;A61M5/5086;;A61M2207/00</t>
  </si>
  <si>
    <t>A61M5/50;;A61M5/20</t>
  </si>
  <si>
    <t>https://lens.org/056-066-396-596-860</t>
  </si>
  <si>
    <t>060-580-633-745-468</t>
  </si>
  <si>
    <t>EP 3810183 A1</t>
  </si>
  <si>
    <t>FGF21 COMPOUND / GLP-1R AGONIST COMBINATIONS WITH OPTIMIZED ACTIVITY RATIO</t>
  </si>
  <si>
    <t>C07K14/50;;C07K14/605;;A61K38/1825;;A61K38/26;;A61P1/16;;A61P3/04;;A61P3/06;;A61P3/10;;A61P9/10;;A61P3/10;;A61K38/00;;A61K38/1825;;A61K38/26;;C07K14/50;;C07K14/605;;C07K2319/00;;C07K2319/30</t>
  </si>
  <si>
    <t>A61K38/18;;A61K38/26;;A61P1/16;;A61P3/04;;A61P3/06;;A61P3/10;;A61P9/10;;C07K14/50;;C07K14/605</t>
  </si>
  <si>
    <t>https://lens.org/060-580-633-745-468</t>
  </si>
  <si>
    <t>163-943-139-963-712</t>
  </si>
  <si>
    <t>EP 3810227 A1</t>
  </si>
  <si>
    <t>MEDICAMENT DELIVERY DEVICE</t>
  </si>
  <si>
    <t>A61M5/20;;A61M5/326;;A61M2005/2013;;A61M2005/208;;A61M2005/3267;;A61M2205/215;;A61M5/20;;A61M5/326;;A61M2005/2013;;A61M2005/208;;A61M2005/3267;;A61M2205/215;;A61M25/0631;;A61M5/321;;A61M2005/3247;;A61M5/3213;;A61M2005/325;;A61M2005/2073;;A61M5/24</t>
  </si>
  <si>
    <t>https://lens.org/163-943-139-963-712</t>
  </si>
  <si>
    <t>044-771-740-456-41X</t>
  </si>
  <si>
    <t>EP 3145491 B1</t>
  </si>
  <si>
    <t>SANOFI-AVENTIS DEUTSCHLAND GMBH (2018-06-13);;A. NATTERMANN &amp; CIE. GESELLSCHAFT MIT BESCHRAE, DE (2024-01-18)</t>
  </si>
  <si>
    <t>COUGH SYRUP CONTAINING AMBROXOL HYDROCHLORIDE</t>
  </si>
  <si>
    <t>A61K47/38;;A61K9/0095;;A61K31/136;;A61K9/0095;;A61K31/136;;A61K31/137;;A61K47/38;;A61P11/10;;A61P11/12;;A61P11/14;;A61P29/00;;A61K9/0095;;A61K31/136;;A61K47/38;;A61K9/0056;;A61K9/0095;;A61K31/136;;A61K31/137;;A61K47/38</t>
  </si>
  <si>
    <t>A61K9/08;;A61K31/136;;A61P11/12</t>
  </si>
  <si>
    <t>https://lens.org/044-771-740-456-41X</t>
  </si>
  <si>
    <t>193-770-721-110-462</t>
  </si>
  <si>
    <t>EP 3806931 A1</t>
  </si>
  <si>
    <t>MEDICATION DELIVERY DEVICE AND MEDICATION DELIVERY ASSEMBLY</t>
  </si>
  <si>
    <t>A61M5/19;;A61M5/20;;A61M5/2466;;A61M5/31525;;A61M5/3158;;A61M5/3234;;A61M2005/1787;;A61M2005/2411;;A61M2005/2414;;A61M2005/3118;;A61M5/31591;;A61M5/2466;;A61M5/31501;;A61M2005/1787</t>
  </si>
  <si>
    <t>A61M5/19;;A61M5/178;;A61M5/20;;A61M5/24;;A61M5/31;;A61M5/315</t>
  </si>
  <si>
    <t>https://lens.org/193-770-721-110-462</t>
  </si>
  <si>
    <t>107-534-118-799-185</t>
  </si>
  <si>
    <t>EP 3806935 A1</t>
  </si>
  <si>
    <t>DEVICE FOR ADMINISTERING A MEDICINAL LIQUID BY INJECTION</t>
  </si>
  <si>
    <t>A61M5/2425;;A61M5/282;;A61M5/288;;A61M5/31591;;A61M5/3232;;A61M2005/2474;;A61M5/2425;;A61M5/2466;;A61M5/31591;;A61M5/3232</t>
  </si>
  <si>
    <t>A61M5/32;;A61M5/24;;A61M5/28;;A61M5/315</t>
  </si>
  <si>
    <t>https://lens.org/107-534-118-799-185</t>
  </si>
  <si>
    <t>091-005-239-706-843</t>
  </si>
  <si>
    <t>EP 3805262 A1</t>
  </si>
  <si>
    <t>DUAL VARIABLE REGION ANTIBODY-LIKE BINDING PROTEINS HAVING CROSS-OVER BINDING REGION ORIENTATION</t>
  </si>
  <si>
    <t>C07K16/00;;C07K16/241;;C07K16/244;;C07K16/247;;C07K16/2863;;C07K16/2866;;C07K16/32;;C07K16/461;;C07K2317/21;;C07K2317/24;;C07K2317/624;;C07K2317/64;;C07K2317/76;;C07K2317/92;;C07K2317/94;;C07K16/245;;C07K2317/626;;C07K2317/66;;C07K16/2803;;C07K16/2809;;C07K2317/55;;C07K2317/73;;C07K2317/31;;C07K16/468;;A61P37/02;;C07K16/46;;C07K2317/626;;C07K16/244;;C07K16/247;;C07K16/2863;;C07K16/2866;;C07K16/32;;C07K16/461;;C07K16/468;;C07K2317/21;;C07K2317/24;;C07K2317/624;;C07K2317/64;;C07K2317/76;;C07K2317/92;;C07K2317/94;;C07K2317/31;;C07K2317/73;;C07K16/2803;;C07K16/2809;;C07K2317/55;;C07K2317/66;;C07K16/245;;C07K16/00;;C07K16/241;;A61P37/02;;C07K2317/522;;C07K2317/524;;C07K2317/526;;C07K2317/53;;C07K2318/00;;C07K16/241;;C07K16/244;;C07K16/247;;C07K16/2863;;C07K16/468;;C07K16/2866;;C07K16/32;;A61P37/02;;C07K2317/31;;C07K2317/21;;C07K2317/24;;C07K2317/624;;C07K2317/64;;C07K2317/76;;C07K2317/92;;C07K2317/94;;A61K2039/505;;C07K2317/53;;C07K2317/524;;C07K2317/526;;C07K2317/31;;C07K2317/522;;C07K2318/00;;C07K16/245;;C07K2317/626;;C07K2317/66;;C07K16/2803;;C07K16/2809;;C07K2317/55;;C07K2317/73;;C07K16/00;;C07K16/241;;C07K16/244;;C07K16/247;;C07K16/2863;;C07K16/2866;;C07K16/32;;C07K16/461;;C07K2317/21;;C07K2317/24;;C07K2317/624;;C07K2317/64;;C07K2317/76;;C07K2317/92;;C07K2317/94;;C07K16/468;;C07K16/46</t>
  </si>
  <si>
    <t>C07K16/00;;C07K16/24;;C07K16/28;;C07K16/32;;C07K16/46</t>
  </si>
  <si>
    <t>https://lens.org/091-005-239-706-843</t>
  </si>
  <si>
    <t>073-878-072-638-366</t>
  </si>
  <si>
    <t>EP 3801598 A1</t>
  </si>
  <si>
    <t>SANOFI SA;;EVOTEC INT GMBH</t>
  </si>
  <si>
    <t>EVOTEC INTERNATIONAL GMBH (2023-01-11);;SANOFI (2023-01-11)</t>
  </si>
  <si>
    <t>COMBINATION THERAPY FOR TREATING HEPATITIS B VIRUS INFECTION</t>
  </si>
  <si>
    <t>A61K38/21;;A61K38/177;;A61K38/191;;A61K38/212;;A61K38/215;;A61K45/06;;A61P31/12;;A61P31/20;;C07K14/555;;C07K14/705;;A61K38/21;;A61K45/06;;A61P31/12;;A61P31/20;;C07K14/555;;C07K14/705;;A61K38/215;;A61K38/177;;A61K38/212;;A61P31/20</t>
  </si>
  <si>
    <t>A61K38/21;;A61K45/06;;A61P31/12;;A61P31/20</t>
  </si>
  <si>
    <t>https://lens.org/073-878-072-638-366</t>
  </si>
  <si>
    <t>046-981-476-707-766</t>
  </si>
  <si>
    <t>EP 3193982 B1</t>
  </si>
  <si>
    <t>SANOFI (2020-12-02)</t>
  </si>
  <si>
    <t>SKIN-ATTACHABLE DRUG INJECTION DEVICE WITH DETACHMENT SENSOR</t>
  </si>
  <si>
    <t>A61M5/14248;;A61M5/1452;;A61M5/20;;A61M2005/14252;;A61M2005/14268;;A61M2205/13;;A61M2205/18;;A61M2205/3306;;A61M2205/3317;;A61M2205/3344;;A61M2205/3368;;A61M2205/3561;;A61M2205/3584;;A61M2205/3592;;A61M2205/502;;A61M2205/581;;A61M2205/582;;A61M2205/583;;A61M5/20;;A61M5/14248;;A61M5/1452;;A61M2005/14252;;A61M2005/14268;;A61M2205/13;;A61M2205/18;;A61M2205/3306;;A61M2205/3317;;A61M2205/3344;;A61M2205/3368;;A61M2205/3561;;A61M2205/3584;;A61M2205/3592;;A61M2205/502;;A61M2205/581;;A61M2205/582;;A61M2205/583;;A61M5/5086;;A61M5/14248;;A61M5/1452;;A61M5/20;;A61M2005/14252;;A61M2005/14268;;A61M2205/13;;A61M2205/14;;A61M2205/18;;A61M2205/3306;;A61M2205/3317;;A61M2205/3344;;A61M2205/3368;;A61M2205/3561;;A61M2205/3569;;A61M2205/3584;;A61M2205/3592;;A61M2205/50;;A61M2205/502;;A61M2205/52;;A61M2205/581;;A61M2205/582;;A61M2205/583;;A61M2205/8206</t>
  </si>
  <si>
    <t>A61M5/20;;A61M5/142;;A61M5/145</t>
  </si>
  <si>
    <t>https://lens.org/046-981-476-707-766</t>
  </si>
  <si>
    <t>007-746-479-785-36X</t>
  </si>
  <si>
    <t>EP 3793639 A1</t>
  </si>
  <si>
    <t>DRIVE UNIT FOR A LIQUID HANDLING DEVICE AND LIQUID HANDLING DEVICE</t>
  </si>
  <si>
    <t>A61M5/1413;;A61M5/14212;;A61M5/14248;;A61M5/14546;;A61M5/1456;;A61M2005/14264;;A61M2005/14268;;A61M2005/14573;;A61M2205/103;;A61M5/14566;;A61M5/14248;;A61M2005/14268;;A61M2205/8206</t>
  </si>
  <si>
    <t>A61M5/14;;A61M5/142;;A61M5/145</t>
  </si>
  <si>
    <t>https://lens.org/007-746-479-785-36X</t>
  </si>
  <si>
    <t>166-201-213-788-198</t>
  </si>
  <si>
    <t>EP 3792284 A1</t>
  </si>
  <si>
    <t>HUMANIZED ANTI-CXCR5 ANTIBODIES, DERIVATIVES THEREOF AND THEIR USES</t>
  </si>
  <si>
    <t>A61K2039/505;;C07K2317/24;;C07K2317/33;;C07K2317/565;;C07K2317/567;;C07K2317/76;;C07K2317/92;;C07K16/2866;;G16B5/00;;A61P1/04;;A61P17/02;;A61P17/06;;A61P19/02;;A61P21/04;;A61P25/00;;A61P25/28;;A61P27/02;;A61P29/00;;A61P35/00;;A61P35/02;;A61P37/00;;A61P37/02;;A61P37/04;;A61P37/06;;A61P43/00;;A61K39/395;;C07K16/28;;C07K16/46;;C07K16/462;;G16B5/00;;A61K2039/505;;C07K2317/24;;C07K2317/33;;C07K2317/565;;C07K2317/567;;C07K2317/76;;C07K2317/92;;C07K16/2866;;C07K16/28;;C07K16/2896;;C07K2317/522;;C07K2317/524;;C07K2317/526;;C07K2317/622</t>
  </si>
  <si>
    <t>https://lens.org/166-201-213-788-198</t>
  </si>
  <si>
    <t>078-517-926-233-484</t>
  </si>
  <si>
    <t>EP 3041540 B1</t>
  </si>
  <si>
    <t>SANOFI (2020-03-11)</t>
  </si>
  <si>
    <t>MECHANISM FOR A DRUG DELIVERY DEVICE AND DRUG DELIVERY DEVICE COMPRISING THE MECHANISM</t>
  </si>
  <si>
    <t>A61M5/31551;;A61M5/31;;A61M5/31548;;A61M5/31586;;A61M2005/3126;;A61M5/31551;;A61M5/31;;A61M5/31548;;A61M5/31586;;A61M2005/3126</t>
  </si>
  <si>
    <t>https://lens.org/078-517-926-233-484</t>
  </si>
  <si>
    <t>176-665-361-101-86X</t>
  </si>
  <si>
    <t>EP 3773819 A1</t>
  </si>
  <si>
    <t>A61M5/20;;A61M5/24;;A61M5/31525;;A61M5/31533;;A61M5/31541;;A61M5/3155;;A61M5/31551;;A61M5/31553;;A61M5/3156;;A61M5/31583;;A61M5/31593;;A61M2005/3125;;A61M2005/3126;;A61M2205/0227;;A61M2205/3317;;A61M2205/3365;;A61M2205/50;;A61M2205/581;;A61M5/24;;A61M5/3155;;A61M5/31583;;A61M2005/3126;;A61M2205/0227;;A61M2205/0233;;A61M2205/3317;;A61M2205/50</t>
  </si>
  <si>
    <t>A61M5/315;;A61M5/20;;A61M5/24;;A61M5/31</t>
  </si>
  <si>
    <t>https://lens.org/176-665-361-101-86X</t>
  </si>
  <si>
    <t>138-485-996-334-441</t>
  </si>
  <si>
    <t>EP 3773818 A1</t>
  </si>
  <si>
    <t>A61M5/3155;;A61M2205/3306;;A61M2205/3317;;A61M2205/3365;;A61M5/3155;;A61M5/31563;;A61M5/31566;;A61M5/3158;;A61M2205/3306;;A61M2205/3317;;A61M2205/3584;;A61M2205/50;;A61M2205/581;;A61M2205/582</t>
  </si>
  <si>
    <t>https://lens.org/138-485-996-334-441</t>
  </si>
  <si>
    <t>107-966-254-747-864</t>
  </si>
  <si>
    <t>EP 3773797 A1</t>
  </si>
  <si>
    <t>A61M5/20;;A61M5/31;;A61M5/3129;;A61M5/3137;;A61M5/31576;;A61M5/31581;;A61M5/31591;;A61M5/3202;;A61M5/322;;A61M2005/2073;;A61M2005/3114;;A61M5/14248;;A61M5/2033;;A61M5/3157;;A61M5/50;;A61M2005/14252;;A61M2005/14256;;A61M2005/2013;;A61M2005/206;;A61M2005/208;;A61M2005/247;;A61M2005/3267;;A61M5/2033;;A61M5/286;;A61M5/3158;;A61M5/326;;A61M2005/2013;;A61M2005/206;;A61M2205/13</t>
  </si>
  <si>
    <t>A61M5/142;;A61M5/20;;A61M5/24;;A61M5/315;;A61M5/32;;A61M5/50</t>
  </si>
  <si>
    <t>https://lens.org/107-966-254-747-864</t>
  </si>
  <si>
    <t>122-635-279-760-579</t>
  </si>
  <si>
    <t>EP 3211082 B1</t>
  </si>
  <si>
    <t>SANOFI (2019-10-02)</t>
  </si>
  <si>
    <t>C12N15/113;;A61P1/00;;A61P1/16;;A61P3/10;;A61P9/00;;A61P11/00;;A61P13/02;;A61P13/12;;A61P17/00;;A61P17/02;;A61P19/04;;A61P35/00;;A61P35/02;;A61P35/04;;A61P37/00;;A61P43/00;;C12N2310/113;;C12N2310/3231;;C12N2310/343;;C12N15/113;;A61P1/00;;A61P1/16;;A61P3/10;;A61P9/00;;A61P11/00;;A61P13/02;;A61P13/12;;A61P17/00;;A61P17/02;;A61P19/04;;A61P35/00;;A61P35/02;;A61P35/04;;A61P37/00;;A61P43/00;;C12N2310/11;;C12N2310/113;;C12N2310/3231;;C12N2310/343;;C12N2310/35;;C12N15/113;;A61K31/7088;;A61P1/16;;A61P9/00;;A61P13/12;;A61P17/02;;A61P35/00;;C12N2310/11;;C12N2310/113;;C12N2310/3231;;C12N2310/343;;C12N2310/35;;C12N15/113;;C12N2310/11;;C12N2310/113;;C12N2310/3231;;C12N2310/343;;C12N2310/35</t>
  </si>
  <si>
    <t>C12N15/113;;A61P35/00</t>
  </si>
  <si>
    <t>https://lens.org/122-635-279-760-579</t>
  </si>
  <si>
    <t>064-031-687-497-23X</t>
  </si>
  <si>
    <t>EP 3773796 A1</t>
  </si>
  <si>
    <t>A61M5/2033;;A61M5/14248;;A61M5/50;;A61M2005/14252;;A61M2005/14256;;A61M2005/1426;;A61M2005/2013;;A61M2005/2073;;A61M2005/208;;A61M2005/247;;A61M2005/31518;;A61M2005/3267;;A61M2005/3268;;A61M5/2033;;A61M5/286;;A61M5/3158;;A61M5/3202;;A61M2005/2013;;A61M2205/13;;A61M2205/581</t>
  </si>
  <si>
    <t>https://lens.org/064-031-687-497-23X</t>
  </si>
  <si>
    <t>027-871-464-041-913</t>
  </si>
  <si>
    <t>EP 3773801 A1</t>
  </si>
  <si>
    <t>A61M5/20;;A61M5/24;;A61M5/31551;;A61M5/3157;;A61M5/31585;;A61M5/5086;;A61M2205/3306;;A61M2205/3317;;A61M2205/3375;;A61M2205/50;;A61M2205/581;;A61M2205/582;;A61M2205/583;;A61M5/2033;;A61M5/31551;;A61M5/3157;;A61M5/31585;;A61M2005/3126;;A61M2205/3306;;A61M2205/3317;;A61M2205/3375;;A61M2205/581;;A61M2205/582</t>
  </si>
  <si>
    <t>https://lens.org/027-871-464-041-913</t>
  </si>
  <si>
    <t>122-722-157-517-752</t>
  </si>
  <si>
    <t>EP 3765127 A1</t>
  </si>
  <si>
    <t>DRIVE TRAIN FOR DIAL OF A TORSION-SPRING ASSISTED WIND-UP INJECTION DEVICE</t>
  </si>
  <si>
    <t>A61M5/20;;A61M5/31;;A61M5/3155;;A61M2005/2418;;A61M2005/3143;;A61M5/31551;;A61M5/2033;;A61M5/31536;;A61M5/31541;;A61M5/31586;;A61M2205/42;;A61M2205/581;;A61M2205/582</t>
  </si>
  <si>
    <t>A61M5/20;;A61M5/24;;A61M5/31;;A61M5/315</t>
  </si>
  <si>
    <t>https://lens.org/122-722-157-517-752</t>
  </si>
  <si>
    <t>056-409-844-383-730</t>
  </si>
  <si>
    <t>EP 3068803 B1</t>
  </si>
  <si>
    <t>REGENERON PHARMACEUTICALS, INC. (2020-04-15);;SANOFI BIOTECHNOLOGY (2020-04-15)</t>
  </si>
  <si>
    <t>DOSING REGIMENS FOR USE WITH PCSK9 INHIBITORS</t>
  </si>
  <si>
    <t>C07K2317/21;;A61K2039/545;;C07K16/40;;C07K2317/76;;A61K2039/505;;A61P3/06;;A61P43/00;;A61K2039/545;;A61K39/395;;A61K39/3955;;C07K16/40;;C07K2317/21;;C07K2317/56;;C07K2317/565;;C07K2317/76;;A61K39/395;;A61K39/3955;;C07K16/40;;A61K2039/505;;A61K2039/545;;C07K2317/76;;C07K2317/21;;C07K2317/565;;C07K16/40;;C07K2317/565;;C07K2317/76;;A61K2039/505;;A61K2039/545;;C07K2317/21;;C07K2317/56</t>
  </si>
  <si>
    <t>C07K16/40;;A61K39/395;;A61P3/06</t>
  </si>
  <si>
    <t>https://lens.org/056-409-844-383-730</t>
  </si>
  <si>
    <t>179-882-357-827-721</t>
  </si>
  <si>
    <t>EP 3762395 A1</t>
  </si>
  <si>
    <t>NUCLEOTIDE PRECURSORS, NUCLEOTIDE ANALOGS AND OLIGOMERIC COMPOUNDS CONTAINING THE SAME</t>
  </si>
  <si>
    <t>C07D405/04;;C07F9/6533;;C07F9/6552;;C07F9/65583;;C07F9/65586;;C07F9/65616;;C07H15/26;;C07H21/00;;C07H21/02;;A61P35/00;;C07D413/04;;Y02P20/55;;C07F9/65583;;C07F9/65616;;C07H15/26</t>
  </si>
  <si>
    <t>C07H15/26;;A61P35/00;;C07D405/04;;C07D413/04;;C07D473/18;;C07D473/34;;C07F7/18;;C07F9/6533;;C07F9/655;;C07F9/6558;;C07F9/6561;;C07H21/00;;C07H21/02</t>
  </si>
  <si>
    <t>https://lens.org/179-882-357-827-721</t>
  </si>
  <si>
    <t>012-677-447-320-79X</t>
  </si>
  <si>
    <t>EP 3756707 A1</t>
  </si>
  <si>
    <t>SANOFI-AVENTIS DEUTSCHLAND GMBH (2026-04-01)</t>
  </si>
  <si>
    <t>PEN-TYPE INJECTION DEVICE AND ELECTRONIC CLIP-ON MODULE THEREFOR</t>
  </si>
  <si>
    <t>A61M5/24;;A61B5/14532;;A61B5/4839;;A61M5/3155;;A61M2005/3125;;A61M2005/3126;;A61M2005/3154;;A61M2205/14;;A61M2205/18;;A61M2205/3306;;A61M2205/3375;;A61M2205/3592;;A61M2205/50;;A61M2205/502;;A61M2205/52;;A61M2205/581;;A61M2205/582;;A61M2205/6045;;A61M2205/6072;;A61M2205/6081;;A61M2209/04;;F16B21/088;;A61M5/24;;A61B5/14532;;A61B5/4839;;A61M2205/3306;;A61M2205/3375;;A61M2205/3592;;A61M2205/52;;A61M2205/582;;A61M2205/6045;;A61M2205/6081;;G16H20/17;;Y10T29/49826;;Y10T403/59;;A61M5/24;;A61M5/24;;A61B5/14532;;A61B5/4839;;A61M2005/3125;;A61M2005/3126;;A61M2205/14;;A61M2205/18;;A61M2205/3306;;A61M2205/3375;;A61M2205/3592;;A61M2205/50;;A61M2205/502;;A61M2205/52;;A61M2205/581;;A61M2205/582;;A61M2205/6045;;A61M2205/6072;;A61M2205/6081;;A61M2209/04;;F16B21/088;;G16H20/17;;Y10T29/49826;;Y10T403/59</t>
  </si>
  <si>
    <t>A61M5/24;;A61B5/145;;A61M5/31;;F16B1/00;;F16B2/02;;F16B2/20;;F16B7/04;;F16B17/00;;F16B21/02;;F16B21/06;;G16H20/17</t>
  </si>
  <si>
    <t>https://lens.org/012-677-447-320-79X</t>
  </si>
  <si>
    <t>160-733-184-135-567</t>
  </si>
  <si>
    <t>EP 2485766 B1</t>
  </si>
  <si>
    <t>SANOFI PASTEUR (2018-01-17)</t>
  </si>
  <si>
    <t>STABILISING EXCIPIENT FOR INACTIVATED WHOLE-VIRUS VACCINES</t>
  </si>
  <si>
    <t>A61K39/12;;A61K9/0019;;A61K39/205;;A61K47/18;;A61K47/183;;A61K47/26;;A61K2039/5252;;A61P31/12;;A61P31/14;;C12N2760/20134;;Y02A50/30;;A61K39/205;;A61K39/12;;A61K47/02;;A61K47/10;;A61K47/18;;A61K47/183;;A61K47/26;;A61K2039/5252;;C12N2760/20134</t>
  </si>
  <si>
    <t>A61K47/00;;A61K39/00;;A61K39/12;;A61K39/205</t>
  </si>
  <si>
    <t>https://lens.org/160-733-184-135-567</t>
  </si>
  <si>
    <t>178-627-077-101-518</t>
  </si>
  <si>
    <t>EP 3747426 A1</t>
  </si>
  <si>
    <t>STABILIZED PHARMACEUTICAL FORMULATIONS OF INSULIN ANALOGUES AND/OR INSULIN DERIVATIVES</t>
  </si>
  <si>
    <t>A61K9/0019;;A61K47/18;;A61K9/02;;A61K38/1825;;A61K38/26;;A61K45/06;;A61K38/28;;A61P43/00;;A61P5/50;;A61P3/10;;A61K9/0019;;A61K9/02;;A61K38/1825;;A61K38/26;;A61K38/28;;A61K47/18;;A61K9/08;;A61K9/10;;A61K38/28;;A61K47/02;;A61K47/08;;A61K47/10;;A61K47/42;;A61K38/28;;A61K9/0019;;A61K47/18;;A61K9/02;;A61K38/1825;;A61K38/26;;A61K45/06</t>
  </si>
  <si>
    <t>A61K9/00;;A61K9/02;;A61K38/28;;A61K47/18;;A61P3/10</t>
  </si>
  <si>
    <t>https://lens.org/178-627-077-101-518</t>
  </si>
  <si>
    <t>079-498-771-333-864</t>
  </si>
  <si>
    <t>EP 3746467 A1</t>
  </si>
  <si>
    <t>MODIFIED LIPIDATED RELAXIN B CHAIN PEPTIDES AND THEIR THERAPEUTIC USE</t>
  </si>
  <si>
    <t>C07K14/64;;A61P3/10;;A61K38/00;;A61P9/14;;A61P13/12;;A61P9/10;;C07K14/64;;A61P3/10;;A61P9/14;;A61P13/12;;A61P9/10;;A61K38/00;;A61K38/2221;;C07K14/64;;A61K38/2221;;A61P13/12;;A61P9/14;;C07K14/64;;A61P3/10;;A61K38/00;;A61P9/14;;A61P13/12;;A61P9/10</t>
  </si>
  <si>
    <t>C07K14/64;;A61K38/00</t>
  </si>
  <si>
    <t>https://lens.org/079-498-771-333-864</t>
  </si>
  <si>
    <t>132-826-461-047-117</t>
  </si>
  <si>
    <t>EP 3744373 A1</t>
  </si>
  <si>
    <t>DETENT MECHANISM</t>
  </si>
  <si>
    <t>A61M5/3157;;A61M5/3204;;A61M2005/206;;A61M2005/208;;A61M2205/581;;A61M5/31501;;A61M5/3202;;A61M5/3257;;A61M5/326;;A61M5/46;;A61M5/5086;;A61M2005/2013;;A61M2005/3247;;A61M2205/582;;F04C2270/0421;;A61M5/2033;;Y10T403/32475;;Y10T403/32501;;A61M5/2033;;F16B7/10;;Y10T403/32475;;A61M5/3157;;A61M5/3204;;A61M2005/206;;A61M2005/208;;A61M2205/581;;A61M5/31501;;A61M5/3202;;A61M5/3257;;A61M5/326;;A61M5/46;;A61M5/5086;;A61M2005/2013;;A61M2005/3247;;A61M2205/582;;F04C2270/0421;;Y10T403/32501;;A61M5/31511;;A61M5/3158</t>
  </si>
  <si>
    <t>A61M5/32;;A61M5/00;;A61M5/20;;A61M5/315;;A61M5/46;;A61M5/50</t>
  </si>
  <si>
    <t>https://lens.org/132-826-461-047-117</t>
  </si>
  <si>
    <t>112-369-977-330-195</t>
  </si>
  <si>
    <t>EP 3427779 B1</t>
  </si>
  <si>
    <t>SANOFI-AVENTIS DEUTSCHLAND GMBH (2020-08-26)</t>
  </si>
  <si>
    <t>CARTRIDGE HOLDER, DRUG DELIVERY DEVICE AND METHOD FOR SECURING A CARTRIDGE IN A CARTRIDGE HOLDER</t>
  </si>
  <si>
    <t>A61M5/24;;A61M5/347;;A61M5/3134;;A61M2005/2488;;A61M2005/2437;;A61M5/3134;;A61M2005/2437;;A61M2005/2488;;A61M5/347;;A61M5/24;;A61M5/24;;A61M5/3134;;A61M5/347;;A61M2005/2488;;A61M2005/2437;;A61M5/3134;;A61M2005/2437;;A61M2005/2488;;A61M5/347;;A61M5/24</t>
  </si>
  <si>
    <t>A61M5/24;;A61M5/31;;A61M5/34</t>
  </si>
  <si>
    <t>https://lens.org/112-369-977-330-195</t>
  </si>
  <si>
    <t>009-527-880-092-167</t>
  </si>
  <si>
    <t>U1</t>
  </si>
  <si>
    <t>DE 202017007347 U1</t>
  </si>
  <si>
    <t>SANOFI, FR (2023-10-20);;KOCHER-PLASTIK MASCHINENBAU GMBH, DE (2023-11-09);;ROMMELAG ENGINEERING GMBH, DE (2025-07-09)</t>
  </si>
  <si>
    <t>Arzneimittelbehälter</t>
  </si>
  <si>
    <t>B65B3/003;;A61J1/05;;B65B3/022;;B65D1/023;;B67C2003/227;;B65B3/003;;A61J1/05;;B65B3/022;;B65D1/023;;B67C2003/227</t>
  </si>
  <si>
    <t>A61J1/05;;B65B3/04;;B65D1/02</t>
  </si>
  <si>
    <t>https://lens.org/009-527-880-092-167</t>
  </si>
  <si>
    <t>122-152-941-954-639</t>
  </si>
  <si>
    <t>EP 3738630 A1</t>
  </si>
  <si>
    <t>AUTOINJECTOR WITH A CAP COMPRISING AN INNER SLEEVE WITH A BARB</t>
  </si>
  <si>
    <t>A61M2005/206;;A61M5/46;;A61M5/31501;;A61M5/3157;;A61M5/3202;;A61M5/3204;;A61M5/3257;;A61M5/326;;A61M2205/582;;A61M5/5086;;A61M2005/2013;;A61M2005/208;;A61M2005/3247;;A61M2205/581;;A61M5/2033;;Y10T403/32501;;F04C2270/0421;;A61M5/3158;;A61M2005/206;;A61M5/46;;A61M5/31501;;A61M5/3157;;A61M5/3202;;A61M5/3204;;A61M5/3257;;A61M5/326;;A61M2205/582;;A61M5/5086;;A61M2005/2013;;A61M2005/208;;A61M2005/3247;;A61M2205/581;;A61M5/2033;;Y10T403/32501;;F04C2270/0421;;A61M5/3158;;A61M5/3245;;A61M5/31511</t>
  </si>
  <si>
    <t>https://lens.org/122-152-941-954-639</t>
  </si>
  <si>
    <t>094-891-146-830-827</t>
  </si>
  <si>
    <t>EP 3021914 B1</t>
  </si>
  <si>
    <t>SANOFI (2020-06-24)</t>
  </si>
  <si>
    <t>A61M5/31548;;A61M2005/3125;;A61M2205/581;;A61M5/31528;;A61M5/31548;;A61M2005/3125;;A61M2205/33;;A61M2205/581</t>
  </si>
  <si>
    <t>A61M5/315;;A61M5/31</t>
  </si>
  <si>
    <t>https://lens.org/094-891-146-830-827</t>
  </si>
  <si>
    <t>110-706-623-280-727</t>
  </si>
  <si>
    <t>EP 3191508 B1</t>
  </si>
  <si>
    <t>BOEHRINGER INGELHEIM ANIMAL HEALTH USA INC;;SANOFI SA</t>
  </si>
  <si>
    <t>BOEHRINGER INGELHEIM ANIMAL HEALTH USA INC. (2019-09-11);;SANOFI (2019-09-11)</t>
  </si>
  <si>
    <t>MAMMALIAN CELL LINES EXPRESSING FUNCTIONAL NEMATODE ACETYLCHOLINE RECEPTORS AND USE THEREOF FOR HIGH-THROUGHPUT SCREENING ASSAYS</t>
  </si>
  <si>
    <t>C07K14/70571;;C07K14/4354;;C12N5/0602;;C12N2503/02;;C12N2510/00;;G01N33/6872;;G01N2500/10;;G01N33/502;;C07K14/4354;;C07K14/4705;;C07K14/70571;;C12N5/0602;;C12N2503/02;;C12N2510/00;;G01N33/6872;;G01N2333/4353;;G01N2333/4706;;G01N2500/10</t>
  </si>
  <si>
    <t>C07K14/705;;C07K14/435;;C12N5/071;;G01N33/68</t>
  </si>
  <si>
    <t>https://lens.org/110-706-623-280-727</t>
  </si>
  <si>
    <t>166-090-687-714-896</t>
  </si>
  <si>
    <t>EP 3731904 A1</t>
  </si>
  <si>
    <t>SANOFI (2025-07-30)</t>
  </si>
  <si>
    <t>A SENSOR DEVICE FOR ATTACHMENT TO AN INJECTION DEVICE</t>
  </si>
  <si>
    <t>A61M5/3157;;A61M5/2033;;A61M2005/3126;;A61M2205/18;;A61M2205/3317;;A61M2205/3569;;A61M2205/52;;A61M2205/581;;A61M2205/584;;A61M2205/6063;;A61M5/3157;;A61M2005/3126;;A61M2205/0272;;A61M2205/18;;A61M2205/3317;;A61M2205/3584;;A61M2205/52;;A61M2205/581;;A61M2205/583;;A61M2205/587;;G01D5/145;;G01D5/16;;G01D5/2013;;G01H11/08</t>
  </si>
  <si>
    <t>https://lens.org/166-090-687-714-896</t>
  </si>
  <si>
    <t>025-028-730-101-084</t>
  </si>
  <si>
    <t>EP 3727523 A1</t>
  </si>
  <si>
    <t>SANOFI (2025-03-26)</t>
  </si>
  <si>
    <t>RFID DOSE TRACKING MECHANISM FOR INJECTION DEVICES</t>
  </si>
  <si>
    <t>A61M5/31568;;A61M5/31553;;A61M5/31585;;A61M5/31593;;A61M2205/3569;;A61M2205/581;;A61M5/3155;;A61M5/31568;;A61M2205/3553;;A61M2205/581;;A61M2205/582</t>
  </si>
  <si>
    <t>https://lens.org/025-028-730-101-084</t>
  </si>
  <si>
    <t>039-470-984-368-221</t>
  </si>
  <si>
    <t>EP 3727507 A1</t>
  </si>
  <si>
    <t>SANOFI (2026-01-21)</t>
  </si>
  <si>
    <t>PRESSURE SENSOR FOR INJECTION DEVICES</t>
  </si>
  <si>
    <t>A61M5/178;;A61M5/20;;A61M5/3129;;A61M5/486;;A61M2205/3331;;A61M2005/3128;;A61M5/20;;A61M5/315;;A61M2005/3128;;A61M2005/3131;;A61M2205/3331</t>
  </si>
  <si>
    <t>A61M5/20;;A61M5/48</t>
  </si>
  <si>
    <t>https://lens.org/039-470-984-368-221</t>
  </si>
  <si>
    <t>048-465-659-290-424</t>
  </si>
  <si>
    <t>EP 3727332 A1</t>
  </si>
  <si>
    <t>SANOFI (2025-03-05)</t>
  </si>
  <si>
    <t>LIQUID PHARMACEUTICAL COMPOSITION</t>
  </si>
  <si>
    <t>A61K9/0019;;A61K38/26;;A61K47/02;;A61P3/04;;A61P3/10;;A61K38/26;;A61K47/02;;A61K47/10</t>
  </si>
  <si>
    <t>A61K9/00;;A61K38/26;;A61K47/02;;A61P3/04;;A61P3/10</t>
  </si>
  <si>
    <t>https://lens.org/048-465-659-290-424</t>
  </si>
  <si>
    <t>197-826-293-270-51X</t>
  </si>
  <si>
    <t>EP 3727518 A1</t>
  </si>
  <si>
    <t>SANOFI (2026-04-15)</t>
  </si>
  <si>
    <t>A DEVICE FOR ATTACHMENT TO AN INJECTION DEVICE</t>
  </si>
  <si>
    <t>A61M5/31528;;A61M5/3155;;A61M5/3156;;A61M2205/332;;A61M2205/3327;;A61M2205/50;;A61M2205/3561;;A61M2205/3584;;A61M2205/3592;;A61M2205/8206;;A61M2205/52;;A61M2205/6063;;A61M5/2033;;A61M5/2033;;A61M5/3155;;A61M2005/3126;;A61M2205/332;;A61M2205/3327;;A61M2205/3584;;A61M2205/52;;A61M2205/8206</t>
  </si>
  <si>
    <t>https://lens.org/197-826-293-270-51X</t>
  </si>
  <si>
    <t>094-439-722-467-958</t>
  </si>
  <si>
    <t>EP 3727509 A1</t>
  </si>
  <si>
    <t>DRIVE MECHANISM WITH NOISE REDUCTION</t>
  </si>
  <si>
    <t>A61M5/20;;A61M5/31535;;A61M5/31541;;A61M5/31553;;A61M5/31583;;A61M2205/0216;;A61M2205/0222;;A61M5/31583;;A61M5/31553;;A61M2005/3143;;A61M2005/3152;;A61M2205/0216;;A61M2205/0222;;A61M2205/42</t>
  </si>
  <si>
    <t>https://lens.org/094-439-722-467-958</t>
  </si>
  <si>
    <t>139-124-859-674-581</t>
  </si>
  <si>
    <t>EP 3727505 A1</t>
  </si>
  <si>
    <t>A61M5/20;;A61M5/31551;;A61M5/31568;;A61M5/31585;;A61M2205/52;;A61M5/31568;;A61M5/31551;;A61M2205/3306;;A61M2205/332;;A61M2205/3576;;A61M2205/8206</t>
  </si>
  <si>
    <t>https://lens.org/139-124-859-674-581</t>
  </si>
  <si>
    <t>186-655-236-392-85X</t>
  </si>
  <si>
    <t>EP 3727529 A1</t>
  </si>
  <si>
    <t>SANOFI (2026-01-14)</t>
  </si>
  <si>
    <t>DRUG DELIVERY DEVICE AND CHARGING DEVICE</t>
  </si>
  <si>
    <t>A61M5/445;;A61M2205/8206;;A61M2205/8243;;A61M2205/368;;A61M2205/3368;;A61M5/445;;A61M2205/3368;;A61M2205/3553;;A61M2205/368;;A61M2205/581;;A61M2205/582;;A61M2205/583;;A61M2205/8243</t>
  </si>
  <si>
    <t>A61M5/44</t>
  </si>
  <si>
    <t>https://lens.org/186-655-236-392-85X</t>
  </si>
  <si>
    <t>151-777-344-662-242</t>
  </si>
  <si>
    <t>EP 3723796 A1</t>
  </si>
  <si>
    <t>CUREVAC AG;;SANOFI PASTEUR</t>
  </si>
  <si>
    <t>CUREVAC SE (2023-01-04);;CUREVAC AG (2021-03-10);;SANOFI PASTEUR (2023-01-04)</t>
  </si>
  <si>
    <t>FLAVIVIRUS VACCINE</t>
  </si>
  <si>
    <t>A61K39/12;;A61K2039/53;;C12N2770/24111;;A61P31/14;;Y02A50/30;;A61P31/14;;A61K39/12;;A61K2039/53;;A61K2039/575;;A61K2039/6031;;C12N2770/24134</t>
  </si>
  <si>
    <t>A61K39/12;;A61P31/14;;C12N15/63</t>
  </si>
  <si>
    <t>https://lens.org/151-777-344-662-242</t>
  </si>
  <si>
    <t>183-104-506-646-347</t>
  </si>
  <si>
    <t>EP 2983758 B1</t>
  </si>
  <si>
    <t>SANOFI (2020-06-03)</t>
  </si>
  <si>
    <t>DRIVE MECHANISM FOR A DRUG DELIVERY DEVICE</t>
  </si>
  <si>
    <t>A61M5/20;;A61M5/31541;;A61M5/31553;;A61M5/31583;;A61M2005/3126;;A61M2205/581;;A61M2205/582;;A61M5/315;;A61M5/20;;A61M5/31511;;A61M5/31541;;A61M5/31543;;A61M5/31553;;A61M5/31583;;A61M2005/3126;;A61M2205/581;;A61M2205/582</t>
  </si>
  <si>
    <t>https://lens.org/183-104-506-646-347</t>
  </si>
  <si>
    <t>035-106-624-239-657</t>
  </si>
  <si>
    <t>EP 1601396 B2</t>
  </si>
  <si>
    <t>SANOFI-AVENTIS DEUTSCHLAND GMBH, DE (2016-04-28);;SANOFI-AVENTIS DEUTSCHLAND GMBH (2014-10-29);;SANOFI-AVENTIS DEUTSCHLAND GMBH; DE (2014-12-10)</t>
  </si>
  <si>
    <t>IMPROVEMENTS IN AND RELATING TO DRIVE MECHANISMS SUITABLE FOR USE IN DRUG DELIVERY DEVICES</t>
  </si>
  <si>
    <t>A61M5/31585;;A61M5/31535;;A61M5/31541;;A61M5/31551;;A61M5/3156;;A61M5/3158;;A61M2205/581;;A61M2205/582;;A61M5/315;;A61M5/178;;A61M5/31585;;A61M5/31535;;A61M5/31541;;A61M5/31551;;A61M5/3156;;A61M5/3158;;A61M2205/581;;A61M2205/582</t>
  </si>
  <si>
    <t>https://lens.org/035-106-624-239-657</t>
  </si>
  <si>
    <t>167-948-284-861-622</t>
  </si>
  <si>
    <t>EP 3717045 A1</t>
  </si>
  <si>
    <t>RATCHET SYSTEMS FOR DRUG DELIVERY DEVICES</t>
  </si>
  <si>
    <t>A61M5/24;;A61M5/20;;A61M5/31553;;A61M5/31583;;A61M2005/202;;A61M2205/43;;A61M5/31526;;A61M5/31553;;A61M5/31583</t>
  </si>
  <si>
    <t>https://lens.org/167-948-284-861-622</t>
  </si>
  <si>
    <t>063-689-164-091-26X</t>
  </si>
  <si>
    <t>EP 3535263 B1</t>
  </si>
  <si>
    <t>SANOFI, FR (2025-09-28);;SANOFI; FR (2025-04-11);;SANOFI, PARIS, FR (2025-01-13)</t>
  </si>
  <si>
    <t>SUBSTITUTED PYRIDO[3,4-B]INDOLES FOR THE TREATMENT OF CARTILAGE DISORDERS</t>
  </si>
  <si>
    <t>C07D471/04;;C07D519/00;;A61P19/02;;A61P19/04;;A61P19/08;;A61P19/10;;A61P29/00;;A61P29/02;;A61P43/00;;C07D471/04;;C07D519/00;;A61P19/02;;A61K31/437;;C07D471/04;;C07D519/00;;A61P19/02;;C07D471/04;;A61K31/437</t>
  </si>
  <si>
    <t>C07D471/04;;A61K31/437;;A61P19/02;;C07D519/00</t>
  </si>
  <si>
    <t>https://lens.org/063-689-164-091-26X</t>
  </si>
  <si>
    <t>073-331-574-118-492</t>
  </si>
  <si>
    <t>EP 3713622 A1</t>
  </si>
  <si>
    <t>DRIVE SUBASSEMBLY FOR A DRUG DELIVERY DEVICE</t>
  </si>
  <si>
    <t>A61M5/20;;A61M5/3135;;A61M5/31501;;A61M5/31511;;A61M2005/2006;;A61M2005/31508;;A61M2205/8281;;A61M2207/00;;A61M5/31576;;A61M5/3135;;A61M5/31501;;A61M5/31511;;A61M2005/3142;;A61M2005/31508;;A61M2205/8281</t>
  </si>
  <si>
    <t>https://lens.org/073-331-574-118-492</t>
  </si>
  <si>
    <t>120-210-485-539-860</t>
  </si>
  <si>
    <t>EP 3713473 A1</t>
  </si>
  <si>
    <t>SANOFI (2024-10-16)</t>
  </si>
  <si>
    <t>IMPLANTABLE GLUCOSE MONITOR</t>
  </si>
  <si>
    <t>A61B5/1459;;A61B5/076;;A61B5/14532;;A61B5/14558;;A61B5/6861;;A61B2560/0219;;A61B5/14532;;A61B5/076;;A61B5/14558;;A61B5/1459;;A61B5/6876;;A61B2560/0219;;A61B2560/0252</t>
  </si>
  <si>
    <t>A61B5/00;;A61B5/07;;A61B5/145;;A61B5/1455;;A61B5/1459</t>
  </si>
  <si>
    <t>https://lens.org/120-210-485-539-860</t>
  </si>
  <si>
    <t>103-705-052-078-884</t>
  </si>
  <si>
    <t>EP 3713488 A1</t>
  </si>
  <si>
    <t>SANOFI (2024-12-04)</t>
  </si>
  <si>
    <t>A61B5/1459;;A61B5/076;;A61B5/14532;;A61B5/14558;;A61B5/6861;;A61B2560/0219;;A61B5/14532;;A61B5/076;;A61B5/14558;;A61B5/1459;;A61B5/6861;;A61B2560/0219;;A61B2560/0252;;G01N33/49</t>
  </si>
  <si>
    <t>A61B5/1459;;A61B5/00;;A61B5/07;;A61B5/145;;A61B5/1455</t>
  </si>
  <si>
    <t>https://lens.org/103-705-052-078-884</t>
  </si>
  <si>
    <t>082-227-341-300-644</t>
  </si>
  <si>
    <t>EP 3710085 A1</t>
  </si>
  <si>
    <t>MIXING AND/OR RECONSTITUTION SYSTEM AND RESPECTIVE METHOD</t>
  </si>
  <si>
    <t>A61M5/31596;;A61J1/2096;;A61M5/1782;;A61M5/19;;A61M5/20;;A61M5/2053;;A61M5/2066;;A61M5/2448;;A61M5/445;;A61M2005/2013;;A61M2005/2474;;A61M2005/3128;;A61M2005/31598;;A61M2005/3267;;A61M2205/0272;;A61M2209/04;;A61M5/19;;A61J1/2086;;A61J1/2096;;A61M5/31596;;A61M2205/0272</t>
  </si>
  <si>
    <t>A61M5/19;;A61M5/315</t>
  </si>
  <si>
    <t>https://lens.org/082-227-341-300-644</t>
  </si>
  <si>
    <t>014-365-914-810-086</t>
  </si>
  <si>
    <t>EP 3703786 A1</t>
  </si>
  <si>
    <t>DRUG DELIVERY DEVICE WITH DRIVE SUB-ASSEMBLY</t>
  </si>
  <si>
    <t>A61M5/2033;;A61M5/3157;;A61M5/31571;;A61M5/3202;;A61M2005/208;;A61M2205/581;;A61M2205/582;;A61M5/3157;;A61M5/2033;;A61M5/3146;;A61M5/31511;;A61M5/31583;;A61M5/3202;;A61M2205/581;;A61M2205/582</t>
  </si>
  <si>
    <t>A61M5/20;;A61M5/315;;A61M5/32</t>
  </si>
  <si>
    <t>https://lens.org/014-365-914-810-086</t>
  </si>
  <si>
    <t>105-695-902-755-105</t>
  </si>
  <si>
    <t>EP 3703785 A1</t>
  </si>
  <si>
    <t>A61M5/2033;;A61M5/31586;;A61M2005/206;;A61M2005/3247;;A61M2005/3267;;A61M2205/581;;A61M5/2033;;A61M5/31501;;A61M5/31585;;A61M2005/206;;A61M2205/581</t>
  </si>
  <si>
    <t>https://lens.org/105-695-902-755-105</t>
  </si>
  <si>
    <t>129-151-969-261-754</t>
  </si>
  <si>
    <t>EP 3703798 A1</t>
  </si>
  <si>
    <t>NEEDLE SHROUD ASSEMBLY AND DRUG DELIVERY DEVICE</t>
  </si>
  <si>
    <t>A61M5/3213;;A61M5/3245;;A61M2005/3254;;A61M2005/3268;;A61M5/3202;;A61M5/3245;;A61M2005/3268</t>
  </si>
  <si>
    <t>https://lens.org/129-151-969-261-754</t>
  </si>
  <si>
    <t>134-291-217-380-553</t>
  </si>
  <si>
    <t>EP 3703784 A1</t>
  </si>
  <si>
    <t>A61M5/3157;;A61M5/20;;A61M2205/581;;A61M2205/582;;A61M5/3157;;A61M5/3146;;A61M2205/581;;A61M2205/582</t>
  </si>
  <si>
    <t>https://lens.org/134-291-217-380-553</t>
  </si>
  <si>
    <t>198-036-056-258-728</t>
  </si>
  <si>
    <t>EP 3703799 A1</t>
  </si>
  <si>
    <t>A61M5/3213;;A61M5/3202;;A61M5/50;;A61M2005/3247;;A61M2205/273;;A61M5/3213;;A61M5/3204</t>
  </si>
  <si>
    <t>A61M5/32;;A61M5/50</t>
  </si>
  <si>
    <t>https://lens.org/198-036-056-258-728</t>
  </si>
  <si>
    <t>155-783-113-977-067</t>
  </si>
  <si>
    <t>EP 3703796 A1</t>
  </si>
  <si>
    <t>PLUNGER AND DRUG DELIVERY DEVICE</t>
  </si>
  <si>
    <t>A61M5/2033;;A61M5/31511;;A61M5/2033;;A61M5/31511;;A61M5/3204</t>
  </si>
  <si>
    <t>https://lens.org/155-783-113-977-067</t>
  </si>
  <si>
    <t>029-017-638-390-823</t>
  </si>
  <si>
    <t>EP 3703783 A1</t>
  </si>
  <si>
    <t>A61M5/3157;;A61M5/20;;A61M5/3243;;A61M2205/581;;A61M2205/582;;A61M5/3157;;A61M5/2033;;A61M5/3243;;A61M2005/2013;;A61M2205/581;;A61M2205/582</t>
  </si>
  <si>
    <t>https://lens.org/029-017-638-390-823</t>
  </si>
  <si>
    <t>094-011-183-770-300</t>
  </si>
  <si>
    <t>EP 3548016 B1</t>
  </si>
  <si>
    <t>LEAD PHARMA B V;;SANOFI SA</t>
  </si>
  <si>
    <t>LEAD PHARMA B.V., NL (2025-09-28);;SANOFI, FR (2025-09-28);;LEAD PHARMA B.V.; NL (2025-04-11);;SANOFI; FR (2024-06-25);;SANOFI (2019-12-25);;LEAD PHARMA B.V. (2019-12-25)</t>
  </si>
  <si>
    <t>ROR-GAMMA (RORY)-MODULATORS</t>
  </si>
  <si>
    <t>A61K31/10;;A61K31/167;;A61P1/00;;A61P17/00;;A61P19/02;;A61P25/00;;C07C315/04;;C07C317/32;;C07C317/44;;C07C317/46;;C07C2601/02;;A61P17/00;;A61K31/10;;A61K31/167;;A61P1/00;;A61P19/02;;A61P25/00;;C07C317/32;;C07C317/44;;C07C317/46;;C07C2601/02;;Y02A50/30;;C07C317/32;;A61K31/10;;A61K31/167;;A61K45/00;;A61P1/00;;A61P17/00;;A61P19/02;;A61P25/00;;C07C315/04;;C07C317/44;;C07C317/46;;C07C2601/02;;C07C317/50;;A61K31/167;;A61K45/06;;A61P1/00;;A61P17/06;;A61P19/02;;A61P25/00;;A61P29/00;;C07C317/32;;A61K31/10;;A61K31/167;;A61P1/00;;A61P17/00;;A61P19/02;;A61P25/00;;C07C315/04;;C07C317/44;;C07C317/46;;C07C2601/02</t>
  </si>
  <si>
    <t>C07C317/44;;A61K31/10;;A61K31/167;;A61P1/00;;A61P17/00;;A61P19/02;;A61P25/00;;C07C317/32;;C07C317/46</t>
  </si>
  <si>
    <t>https://lens.org/094-011-183-770-300</t>
  </si>
  <si>
    <t>044-526-928-632-201</t>
  </si>
  <si>
    <t>EP 3697474 A1</t>
  </si>
  <si>
    <t>MEDICAMENT CONTAINER AND DRUG DELIVERY DEVICE</t>
  </si>
  <si>
    <t>A61M5/2425;;A61M5/2466;;A61M2005/2411;;A61M2005/247;;A61M5/3243;;A61M2005/3247;;A61M5/20;;A61M2005/206;;A61J1/2013;;A61J1/10;;A61J1/1406;;A61M2005/206</t>
  </si>
  <si>
    <t>https://lens.org/044-526-928-632-201</t>
  </si>
  <si>
    <t>169-850-189-194-822</t>
  </si>
  <si>
    <t>EP 3693382 A1</t>
  </si>
  <si>
    <t>FGF21 VARIANTS</t>
  </si>
  <si>
    <t>C07K14/50;;A61K38/00;;A61K38/1825;;A61P1/16;;A61P3/00;;A61P3/04;;A61P3/06;;A61P3/10;;A61P9/10;;C07K14/50;;A61K38/00;;A61K45/06;;A61P3/10;;C07K2319/20;;C07K2319/31;;C07K14/50;;A61K38/00;;A61K38/1825;;A61K45/06;;A61K47/60;;A61K47/61;;C07K14/765;;C07K14/78;;C07K2319/20;;C07K2319/21;;C07K2319/30;;C07K2319/31</t>
  </si>
  <si>
    <t>C07K14/50;;A61K38/18;;A61K38/26;;A61K38/28</t>
  </si>
  <si>
    <t>https://lens.org/169-850-189-194-822</t>
  </si>
  <si>
    <t>083-361-101-496-426</t>
  </si>
  <si>
    <t>EP 3686220 A1</t>
  </si>
  <si>
    <t>ANTIBODIES THAT BIND IL-4 AND/OR IL-13 AND THEIR USES</t>
  </si>
  <si>
    <t>C07K16/244;;C07K16/247;;C07K16/468;;C07K2317/31;;C07K2317/76;;C07K2317/64;;A61K39/00;;C07K2317/31;;C07K2317/64;;C07K2317/76;;C07K16/244;;C07K16/247;;C07K16/468;;A61P11/00;;A61P11/06;;A61P29/00;;A61P35/00;;A61P37/00;;A61P37/02;;A61P37/08;;A61P43/00;;Y02A50/30;;A61K39/00;;A61K47/6845;;C07K16/244;;C07K16/247;;C07K16/468;;C07K2317/31;;C07K2317/76;;C07K2317/64;;A61K39/00;;C07K16/247;;C07K16/468;;A61K39/39533;;A61P35/00;;A61P37/00;;C12N15/63;;A61K39/00;;C07K2317/76;;C07K2317/31;;C07K2317/64;;A61K39/00;;C07K16/244;;C07K16/247;;C07K16/468</t>
  </si>
  <si>
    <t>C07K16/46;;A61K39/395;;A61P11/06;;A61P35/00;;A61P37/08;;C07K16/24</t>
  </si>
  <si>
    <t>https://lens.org/083-361-101-496-426</t>
  </si>
  <si>
    <t>063-276-055-165-287</t>
  </si>
  <si>
    <t>EP 3247725 B1</t>
  </si>
  <si>
    <t>SANOFI (2020-05-27)</t>
  </si>
  <si>
    <t>ANTI-CD3 ANTIBODIES, ANTI-CD123 ANTIBODIES AND BISPECIFIC ANTIBODIES SPECIFICALLY BINDING TO CD3 AND/OR CD123</t>
  </si>
  <si>
    <t>C07K16/2866;;C07K2317/31;;C07K2317/33;;A61K2039/505;;A61P35/00;;A61P35/02;;C07K16/2809;;C07K16/2809;;A61K2039/505;;C07K2317/31;;C07K2317/33;;C07K16/2866;;A61P35/00;;A61P35/02;;C07K16/2809;;A61P35/00;;C07K2317/21;;C07K2317/52;;C07K2317/92;;A61K2039/505;;C07K16/30;;C07K2317/33;;C07K2317/565;;C07K16/2866;;C07K2317/31;;C07K2317/56;;G01N2333/7155;;A61P35/02;;C07K2317/24;;C07K2317/55;;C07K2318/00;;G01N33/5759;;C07K16/2809;;C07K16/2866;;C07K2317/31;;C07K2317/33;;A61K2039/505;;G01N2333/70596;;G01N33/575;;A61P35/00;;A61K2039/505;;C07K2317/31;;G01N33/5759;;C07K16/2809;;A61K2039/505;;C07K2317/31;;C07K2317/33;;G01N33/5759;;C07K16/2866;;C07K16/30;;C07K2317/21;;C07K2317/24;;C07K2317/52;;C07K2317/55;;C07K2317/56;;C07K2317/565;;C07K2317/92;;C07K2318/00;;G01N2333/7155</t>
  </si>
  <si>
    <t>C07K16/28;;A61K39/00;;A61P35/00;;A61P35/02</t>
  </si>
  <si>
    <t>https://lens.org/063-276-055-165-287</t>
  </si>
  <si>
    <t>145-084-363-254-528</t>
  </si>
  <si>
    <t>EP 3634545 A1</t>
  </si>
  <si>
    <t>SANOFI (2025-04-09)</t>
  </si>
  <si>
    <t>ELECTRONICS FOR DOSAGE SENSING</t>
  </si>
  <si>
    <t>A61M5/3134;;A61M5/31511;;A61M5/31525;;A61M5/31546;;G01F11/02;;G01F22/00;;G01F22/00;;A61M5/16886;;A61M5/20;;A61M5/24;;A61M5/3129;;A61M5/31568;;A61M2005/2485;;A61M2205/3389;;A61M2205/3553;;A61M2205/50;;G01F11/021;;A61M5/31568;;A61M5/24;;A61M5/3293;;A61M2205/3306;;A61M2205/3375;;A61M2205/3389;;A61M2205/52;;A61M2205/8206;;G01F11/021;;G01F22/00</t>
  </si>
  <si>
    <t>A61M5/31;;A61M5/315;;G01F11/02;;G01F22/00</t>
  </si>
  <si>
    <t>https://lens.org/145-084-363-254-528</t>
  </si>
  <si>
    <t>029-691-039-031-874</t>
  </si>
  <si>
    <t>EP 2370095 B1</t>
  </si>
  <si>
    <t>SANOFI (2012-05-02)</t>
  </si>
  <si>
    <t>ANTITUMOR COMBINATIONS CONTAINING 38SB19 ANTIBODY AND VINCRISTINE</t>
  </si>
  <si>
    <t>A61K31/475;;A61K31/00;;A61K39/395;;A61P1/04;;A61P1/16;;A61P1/18;;A61P5/00;;A61P11/00;;A61P13/08;;A61P13/10;;A61P13/12;;A61P15/00;;A61P17/00;;A61P19/00;;A61P21/00;;A61P25/00;;A61P35/00;;A61P35/02;;A61P43/00;;A61K31/475;;A61K31/00;;A61K39/395</t>
  </si>
  <si>
    <t>A61K39/395;;A61K31/475;;A61P35/00</t>
  </si>
  <si>
    <t>https://lens.org/029-691-039-031-874</t>
  </si>
  <si>
    <t>101-137-331-094-611</t>
  </si>
  <si>
    <t>EP 3621658 A1</t>
  </si>
  <si>
    <t>PEPTIDIC LINKERS AND CRYPTOPHYCIN CONJUGATES, USEFUL IN THERAPY, AND THEIR PREPARATION</t>
  </si>
  <si>
    <t>A61K38/15;;A61K47/10;;A61K47/22;;A61K47/64;;A61K47/65;;A61K47/6829;;A61K47/6889;;A61P35/00;;C07D405/06;;C07D405/14;;A61K47/65;;A61K38/15;;A61K47/6829;;A61K47/6889;;A61P35/00;;C07D405/06;;C07D405/14;;A61K47/65;;A61K38/15;;A61K47/10;;A61K47/22;;A61K47/64;;A61K47/6829;;A61K47/6889;;C07D405/06;;C07D405/14;;C07D405/06;;A61K38/15;;A61K47/64;;A61K47/65;;A61K47/6829;;A61K47/6889;;A61P35/00;;C07D405/14;;C07K5/06052;;A61K47/65;;A61K38/15;;A61K47/10;;A61K47/22;;A61K47/64;;A61K47/6829;;A61K47/6889;;A61P35/00;;C07D405/06;;C07D405/14;;C07K11/00</t>
  </si>
  <si>
    <t>A61K47/65;;A61K47/68;;A61P35/00;;C07D273/08</t>
  </si>
  <si>
    <t>https://lens.org/101-137-331-094-611</t>
  </si>
  <si>
    <t>091-334-568-622-277</t>
  </si>
  <si>
    <t>EP 3303292 B1</t>
  </si>
  <si>
    <t>LEAD PHARMA B.V. (2019-12-25);;SANOFI (2019-12-25)</t>
  </si>
  <si>
    <t>ROR GAMMA (RORY) MODULATORS</t>
  </si>
  <si>
    <t>C07D213/75;;A61K31/167;;A61K31/381;;A61K31/415;;A61K31/4164;;A61K31/4196;;A61K31/421;;A61K31/4245;;A61K31/426;;A61K31/4402;;A61K31/4436;;A61K31/4439;;A61P1/00;;A61P29/00;;A61P37/00;;A61P37/02;;A61P43/00;;C07C311/20;;C07C317/44;;C07C2601/02;;C07D213/72;;C07D231/12;;C07D233/61;;C07D249/08;;C07D263/32;;C07D271/06;;C07D277/46;;C07D277/54;;C07D333/36;;C07D409/04;;C07D417/12;;Y02A50/30;;C07D233/61;;C07C311/20;;C07C317/44;;C07C2601/02;;C07D213/75;;C07D231/12;;C07D249/08;;C07D263/32;;C07D271/06;;C07D277/46;;C07D333/36;;C07D409/04;;C07C317/44;;A61K31/10;;A61K31/4164;;A61K45/06;;A61P29/00;;A61P37/00;;C07D233/61;;C07D249/08;;A61K31/10;;A61K31/18;;A61P29/00;;A61P37/00;;C07C311/20;;C07C317/32;;C07D213/75;;C07D231/12;;C07D233/61;;C07D249/08;;C07D263/32;;C07D271/06;;C07D277/46;;C07D333/36;;C07D409/04;;C07C317/32;;A61K31/167;;A61K31/381;;A61K31/415;;A61K31/4164;;A61K31/4196;;A61K31/421;;A61K31/4245;;A61K31/426;;A61K31/4402;;A61K31/4436;;A61K31/4439;;C07C311/20;;C07C317/44;;C07C2601/02;;C07D213/72;;C07D213/75;;C07D231/12;;C07D233/61;;C07D249/08;;C07D263/32;;C07D271/06;;C07D277/46;;C07D277/54;;C07D333/36;;C07D409/04;;C07D417/12;;Y02A50/30</t>
  </si>
  <si>
    <t>C07D213/75;;A61K31/10;;A61K31/18;;A61P29/00;;A61P37/00;;C07C311/20;;C07C317/32;;C07D231/12;;C07D233/61;;C07D249/08;;C07D263/32;;C07D271/06;;C07D277/46;;C07D333/36;;C07D409/04</t>
  </si>
  <si>
    <t>https://lens.org/091-334-568-622-277</t>
  </si>
  <si>
    <t>083-585-158-887-834</t>
  </si>
  <si>
    <t>EP 3303291 B1</t>
  </si>
  <si>
    <t>ROR-GAMMA MODULATORS</t>
  </si>
  <si>
    <t>C07D213/75;;A61P1/04;;A61P5/14;;A61P11/00;;A61P11/06;;A61P17/00;;A61P17/06;;A61P19/02;;A61P25/00;;A61P29/00;;A61P33/02;;A61P37/00;;A61P37/06;;A61P43/00;;C07C311/20;;C07C317/44;;C07C2601/02;;C07C2601/04;;C07D207/06;;C07D209/08;;C07D211/16;;C07D211/26;;C07D211/60;;C07D213/82;;C07D215/08;;C07D217/02;;C07D223/16;;C07D231/40;;C07D241/04;;C07D261/08;;C07D277/46;;C07D285/135;;C07D295/13;;C07D295/192;;C07D307/52;;C07D333/36;;C07D417/04;;C07D495/04;;C07D213/75;;C07C311/20;;C07C317/44;;C07C2601/02;;C07C2601/04;;C07D207/06;;C07D209/08;;C07D211/16;;C07D211/26;;C07D211/60;;C07D213/82;;C07D215/08;;C07D217/02;;C07D223/16;;C07D231/40;;C07D241/04;;C07D261/08;;C07D277/46;;C07D285/135;;C07D295/13;;C07D295/192;;C07D307/52;;C07D333/36;;C07D417/04;;C07D495/04;;C07C317/50;;A61K31/166;;A61K31/167;;A61K45/06;;A61P29/00;;A61P37/00;;A61K31/10;;A61K31/18;;A61P29/00;;A61P37/00;;C07C311/20;;C07C317/32;;C07D213/75;;C07D213/82;;C07D215/08;;C07D217/02;;C07D223/16;;C07D231/40;;C07D241/04;;C07D333/36;;C07D417/04;;C07D213/75;;C07C311/20;;C07C317/44;;C07C317/50;;C07C2601/02;;C07C2601/04;;C07D207/06;;C07D209/08;;C07D211/16;;C07D211/26;;C07D211/60;;C07D213/82;;C07D215/08;;C07D217/02;;C07D223/16;;C07D231/40;;C07D241/04;;C07D261/08;;C07D277/46;;C07D285/135;;C07D295/13;;C07D295/192;;C07D307/52;;C07D333/36;;C07D417/04;;C07D495/04</t>
  </si>
  <si>
    <t>C07D213/75;;A61K31/10;;A61K31/18;;A61P29/00;;A61P37/00;;C07C311/20;;C07C317/32;;C07D207/06;;C07D209/08;;C07D213/82;;C07D215/08;;C07D217/02;;C07D223/16;;C07D231/40;;C07D241/04;;C07D261/08;;C07D333/36;;C07D417/04;;C07D495/04</t>
  </si>
  <si>
    <t>https://lens.org/083-585-158-887-834</t>
  </si>
  <si>
    <t>111-706-354-401-813</t>
  </si>
  <si>
    <t>EP 3319942 B1</t>
  </si>
  <si>
    <t>SANOFI (2019-12-25);;LEAD PHARMA B.V. (2019-12-25)</t>
  </si>
  <si>
    <t>C07D213/71;;A61K31/44;;A61K31/4427;;A61K31/444;;A61K31/4965;;A61K31/50;;A61K31/505;;A61P1/04;;A61P5/14;;A61P9/00;;A61P11/06;;A61P11/14;;A61P17/06;;A61P19/02;;A61P25/00;;A61P29/00;;A61P33/02;;A61P35/00;;A61P37/00;;A61P37/06;;A61P43/00;;C07D213/75;;C07D237/18;;C07D239/38;;C07D241/18;;C07D405/12;;Y02A50/30;;C07D213/71;;C07D213/75;;C07D241/18;;C07D213/71;;A61K31/44;;A61K31/444;;A61K45/06;;A61P29/00;;A61P37/00;;C07D213/75;;C07D241/18;;C07D401/12;;A61K31/44;;A61K31/4965;;A61P29/00;;A61P37/00;;C07D213/71;;C07D213/75;;C07D241/18;;C07D213/71;;A61K31/44;;A61K31/4427;;A61K31/444;;A61K31/4965;;A61K31/50;;A61K31/505;;C07D213/75;;C07D237/18;;C07D239/38;;C07D241/18;;C07D405/12;;Y02A50/30</t>
  </si>
  <si>
    <t>C07D213/71;;A61K31/44;;A61K31/4965;;A61P29/00;;A61P37/00;;C07D213/75;;C07D241/18</t>
  </si>
  <si>
    <t>https://lens.org/111-706-354-401-813</t>
  </si>
  <si>
    <t>064-216-424-734-548</t>
  </si>
  <si>
    <t>EP 3620472 A1</t>
  </si>
  <si>
    <t>SANOFI (2023-05-31)</t>
  </si>
  <si>
    <t>ANTIBODIES TO PLASMINOGEN ACTIVATOR INHIBITOR-1 (PAI-1) AND USES THEREOF</t>
  </si>
  <si>
    <t>A61K39/39533;;A61P1/16;;A61P7/02;;A61P9/10;;A61P11/00;;A61P13/12;;C07K16/38;;C07K16/38;;A61K2039/505;;C07K2317/24;;C07K2317/32;;C07K2317/34;;C07K2317/56;;C07K2317/565;;C07K2317/76;;C07K2317/92;;C07K2317/94;;A61P1/16;;A61P11/00;;A61P13/12;;A61P7/02;;A61P9/10</t>
  </si>
  <si>
    <t>C07K16/38</t>
  </si>
  <si>
    <t>https://lens.org/064-216-424-734-548</t>
  </si>
  <si>
    <t>061-842-954-338-461</t>
  </si>
  <si>
    <t>EP 3303290 B1</t>
  </si>
  <si>
    <t>C07C317/44;;A61K31/167;;A61K31/341;;A61K31/40;;A61K31/415;;A61K31/42;;A61K31/433;;A61K31/44;;A61K31/4402;;A61K31/4406;;A61K31/451;;A61K31/47;;A61P1/04;;A61P5/14;;A61P9/00;;A61P11/06;;A61P17/06;;A61P19/02;;A61P25/00;;A61P29/00;;A61P33/02;;A61P35/00;;A61P37/00;;A61P37/06;;C07C2601/02;;C07C2601/04;;C07D207/06;;C07D207/325;;C07D211/16;;C07D213/71;;C07D213/75;;C07D215/08;;C07D231/40;;C07D261/08;;C07D261/14;;C07D277/46;;C07D285/135;;C07D307/14;;C07D307/22;;C07D307/52;;Y02A50/30;;C07D261/14;;C07C317/44;;C07C2601/02;;C07C2601/04;;C07D207/325;;C07D211/16;;C07D213/75;;C07D215/08;;C07D231/40;;C07D261/08;;C07D277/46;;C07D285/135;;C07D307/52;;C07D261/14;;A61K31/415;;A61K31/42;;A61K31/433;;A61K45/06;;A61P29/00;;A61P37/00;;C07D231/40;;C07D285/135;;C07D307/52;;A61K31/10;;A61P29/00;;A61P37/00;;C07D213/75;;C07D215/08;;C07D231/40;;C07D261/08;;C07D261/14;;C07D277/46;;C07D285/135;;C07D307/52;;C07C317/44;;A61K31/167;;A61K31/341;;A61K31/40;;A61K31/415;;A61K31/42;;A61K31/433;;A61K31/44;;A61K31/4402;;A61K31/4406;;A61K31/451;;A61K31/47;;C07C2601/02;;C07C2601/04;;C07D207/06;;C07D207/325;;C07D211/16;;C07D213/71;;C07D213/75;;C07D215/08;;C07D231/40;;C07D261/08;;C07D261/14;;C07D277/46;;C07D285/135;;C07D307/14;;C07D307/22;;C07D307/52;;Y02A50/30</t>
  </si>
  <si>
    <t>C07D213/75;;A61K31/10;;A61P29/00;;A61P37/00;;C07C317/32;;C07D207/325;;C07D211/16;;C07D215/08;;C07D231/40;;C07D261/08;;C07D261/14;;C07D277/46;;C07D285/135;;C07D307/52</t>
  </si>
  <si>
    <t>https://lens.org/061-842-954-338-461</t>
  </si>
  <si>
    <t>166-171-852-445-349</t>
  </si>
  <si>
    <t>EP 3303293 B1</t>
  </si>
  <si>
    <t>C07D213/81;;A61P29/00;;A61P37/00;;C07C311/46;;C07C317/32;;C07C2601/02;;C07D213/81;;C07C311/46;;C07C317/32;;C07C2601/02;;C07C317/32;;A61K31/10;;A61K31/166;;A61K45/06;;A61K31/10;;A61K31/166;;A61K31/18;;A61K31/42;;A61K31/44;;A61P19/02;;A61P29/00;;A61P37/00;;C07C311/27;;C07C317/32;;C07D213/81;;C07D261/08;;C07D213/81;;A61P29/00;;A61P37/00;;C07C311/46;;C07C317/32;;C07C2601/02</t>
  </si>
  <si>
    <t>C07D213/81;;A61K31/10;;A61P29/00;;A61P37/00;;C07C317/32</t>
  </si>
  <si>
    <t>https://lens.org/166-171-852-445-349</t>
  </si>
  <si>
    <t>166-598-610-961-36X</t>
  </si>
  <si>
    <t>EP 3601344 A1</t>
  </si>
  <si>
    <t>TREATMENT OF LUPUS USING HUMANIZED ANTI-CXCR5 ANTIBODIES</t>
  </si>
  <si>
    <t>C07K16/2866;;A61K2039/505;;A61K2039/54;;A61K2039/545;;A61K2039/55;;C07K2317/24;;C07K2317/76;;A61K39/395;;A61K39/0008;;A61K2039/505;;A61K2039/54;;A61K2039/545;;A61K2039/55;;A61P37/02;;C07K16/2866;;C07K2317/24;;C07K2317/76;;C07K16/2866;;A61K2039/505;;A61K2039/54;;A61K2039/545;;A61P37/02;;C07K2317/24;;C07K2317/76;;A61K39/395;;A61K39/0008;;A61K2039/505;;A61K2039/54;;A61K2039/545;;A61K2039/55;;A61P37/02;;C07K16/2866;;C07K2317/24;;C07K2317/76</t>
  </si>
  <si>
    <t>https://lens.org/166-598-610-961-36X</t>
  </si>
  <si>
    <t>018-117-107-883-791</t>
  </si>
  <si>
    <t>EP 3594243 A1</t>
  </si>
  <si>
    <t>ANTI-CEACAM5 ANTIBODIES AND USES THEREOF</t>
  </si>
  <si>
    <t>C07K2317/24;;C07K2317/33;;C07K2317/34;;C07K2317/73;;C07K2317/77;;C07K2317/92;;A61K47/6849;;A61K47/6853;;C07K16/3007;;A61K31/537;;A61P35/00;;A61K47/68033;;C07K16/3007;;A61K47/6853;;C07K2317/92;;C07K2317/24;;A61K47/68031;;A61K47/68033;;A61K47/68035;;G01N33/58;;G01N33/575;;A61P35/02;;A61P35/04;;C07K2317/33;;C07K2317/34;;C07K2317/73;;C07K2317/77;;A61K2121/00;;A61K2300/00;;A61K47/6849;;A61K47/6853;;C07K2317/24;;C07K2317/33;;C07K2317/34;;C07K2317/73;;C07K2317/77;;C07K2317/92;;A61K47/68033;;G01N33/57565;;C07K16/3007;;A61K31/537;;C07K16/2896;;C07K16/464;;C07K2317/565;;G01N2333/70503</t>
  </si>
  <si>
    <t>C07K16/30;;A61K39/395;;A61P35/00</t>
  </si>
  <si>
    <t>https://lens.org/018-117-107-883-791</t>
  </si>
  <si>
    <t>132-843-905-582-757</t>
  </si>
  <si>
    <t>EP 3590966 A1</t>
  </si>
  <si>
    <t>ANTI-ALPHA2 INTEGRIN ANTIBODIES AND THEIR USES</t>
  </si>
  <si>
    <t>A61P1/00;;A61P1/04;;A61P1/18;;A61P3/10;;A61P9/00;;A61P9/10;;A61P11/00;;A61P13/08;;A61P15/00;;A61P17/00;;A61P17/06;;A61P19/02;;A61P25/00;;A61P27/02;;A61P29/00;;A61P31/00;;A61P35/00;;A61P35/02;;A61P35/04;;A61P37/02;;A61P37/06;;A61P43/00;;C07K16/2842;;C07K2317/24;;C07K2317/52;;C07K2317/524;;C07K2317/72;;C07K2317/732;;C07K2317/734;;C07K16/28;;A61K39/395;;C12N15/11;;C07K16/2839;;C07K16/2842;;C07K2317/24;;C07K2317/52;;C07K2317/524;;C07K2317/72;;C07K2317/732;;C07K2317/734;;C07K2317/76</t>
  </si>
  <si>
    <t>C07K16/28</t>
  </si>
  <si>
    <t>https://lens.org/132-843-905-582-757</t>
  </si>
  <si>
    <t>088-778-296-664-471</t>
  </si>
  <si>
    <t>EP 3583126 A1</t>
  </si>
  <si>
    <t>MULTISPECIFIC BINDING MOLECULES HAVING SPECIFICITY TO DYSTROGLYCAN AND LAMININ-2</t>
  </si>
  <si>
    <t>C07K16/18;;C07K16/28;;A61K39/395;;A61P21/00;;A61K2039/505;;A61P21/00;;C07K16/18;;C07K16/28;;C07K2317/31;;C07K2317/92</t>
  </si>
  <si>
    <t>C07K16/18;;A61K39/395;;A61P21/00;;C07K16/28</t>
  </si>
  <si>
    <t>https://lens.org/088-778-296-664-471</t>
  </si>
  <si>
    <t>063-293-441-533-265</t>
  </si>
  <si>
    <t>EP 3145563 B1</t>
  </si>
  <si>
    <t>SANOFI (2017-08-23)</t>
  </si>
  <si>
    <t>A61M5/34;;A61M5/20;;A61M5/3202;;A61M2205/14;;A61M5/20;;A61M5/3202;;A61M5/34;;A61M2205/14;;A61M5/20;;A61M5/3202;;A61M5/34;;A61M2205/14</t>
  </si>
  <si>
    <t>A61M5/20;;A61M5/32;;A61M5/34</t>
  </si>
  <si>
    <t>https://lens.org/063-293-441-533-265</t>
  </si>
  <si>
    <t>050-999-517-562-576</t>
  </si>
  <si>
    <t>EP 3570914 A1</t>
  </si>
  <si>
    <t>A61M5/24;;A61M5/31553;;A61M5/31585;;A61M2205/0216;;A61M5/31526;;A61M5/31553;;A61M5/31585;;A61M2005/3143;;A61M2205/0216</t>
  </si>
  <si>
    <t>https://lens.org/050-999-517-562-576</t>
  </si>
  <si>
    <t>159-038-057-421-691</t>
  </si>
  <si>
    <t>EP 3558341 A1</t>
  </si>
  <si>
    <t>A61K38/26;;A61K38/18;;A61K38/1825;;A61K38/39;;A61P3/10;;C07K14/50;;C07K14/605;;C07K2319/00;;A61K38/16;;A61K38/1825;;A61P3/10;;C07K14/50;;C07K14/605;;C07K2319/00;;A61K38/26;;A61K38/18;;A61K38/1825;;A61K38/39;;A61K47/60;;A61P3/10;;C07K14/50;;C07K14/605;;C07K19/00;;C07K2319/00</t>
  </si>
  <si>
    <t>A61K38/18;;A61K38/26;;A61P3/00;;A61P3/04;;A61P3/06;;A61P3/08;;A61P3/10;;C07K14/50;;C07K14/605</t>
  </si>
  <si>
    <t>https://lens.org/159-038-057-421-691</t>
  </si>
  <si>
    <t>157-856-397-516-728</t>
  </si>
  <si>
    <t>EP 3559031 A1</t>
  </si>
  <si>
    <t>UCB BIOPHARMA SPRL;;SANOFI SA</t>
  </si>
  <si>
    <t>C07K16/241;;A61P1/04;;A61P1/16;;A61P3/00;;A61P3/06;;A61P3/10;;A61P7/00;;A61P7/02;;A61P7/06;;A61P7/10;;A61P9/00;;A61P9/04;;A61P9/10;;A61P9/12;;A61P11/00;;A61P11/02;;A61P11/06;;A61P11/08;;A61P11/14;;A61P13/02;;A61P13/12;;A61P15/08;;A61P15/10;;A61P17/00;;A61P17/06;;A61P19/02;;A61P19/10;;A61P21/02;;A61P21/04;;A61P25/00;;A61P25/04;;A61P25/08;;A61P25/14;;A61P25/16;;A61P25/20;;A61P25/28;;A61P27/02;;A61P29/00;;A61P29/02;;A61P35/00;;A61P37/02;;A61P37/06;;A61P37/08;;A61P43/00;;C07K2317/32;;C07K2317/34;;C07K2317/55;;C07K2317/92;;C07K16/241;;C07K2317/32;;C07K2317/34;;C07K2317/55;;C07K2317/92</t>
  </si>
  <si>
    <t>C07K16/24</t>
  </si>
  <si>
    <t>https://lens.org/157-856-397-516-728</t>
  </si>
  <si>
    <t>094-599-066-080-298</t>
  </si>
  <si>
    <t>EP 3546894 A1</t>
  </si>
  <si>
    <t>SANOFI-AVENTIS DEUTSCHLAND GMBH (2020-05-13)</t>
  </si>
  <si>
    <t>SENSOR DEVICE REMOVABLY ATTACHABLE TO A DRUG DELIVERY DEVICE</t>
  </si>
  <si>
    <t>G01D5/30;;A61M2205/3379;;A61M2205/3389;;A61M2205/3306;;A61M2205/6063;;A61M5/31525;;A61M5/1685;;G01D5/342;;A61M5/1685;;A61M5/31525;;G01D5/30;;G01D5/342;;A61M2205/3306;;A61M2205/3379;;A61M2205/6063;;A61M2205/3389;;A61M5/31553;;A61M2005/3126;;A61M2205/52;;A61M5/1685;;A61M5/31525;;G01D5/30;;G01D5/342;;A61M2205/3306;;A61M2205/3379;;A61M2205/6063;;A61M2205/3389;;A61M5/31553;;A61M2005/3126;;A61M2205/52;;A61M2205/6072;;G01D5/34</t>
  </si>
  <si>
    <t>G01D5/26;;A61M5/168;;A61M5/31;;A61M5/315;;G01D5/30;;G01D5/34</t>
  </si>
  <si>
    <t>https://lens.org/094-599-066-080-298</t>
  </si>
  <si>
    <t>167-989-674-917-979</t>
  </si>
  <si>
    <t>EP 2195000 B1</t>
  </si>
  <si>
    <t>STADA ARZNEIMITTEL AKTIENGESELLSCHAFT, DE (2024-06-11);;SANOFI-AVENTIS DEUTSCHLAND GMBH (2018-10-03);;A. NATTERMANN &amp; CIE. GESELLSCHAFT MIT BESCHRAE, DE (2023-11-06)</t>
  </si>
  <si>
    <t>SPRAYABLE COMPOSITION CONTAINING RED VINE LEAF EXTRACT</t>
  </si>
  <si>
    <t>A61K36/87;;A61P9/00;;A61P9/14;;A61P17/00;;A61P29/00;;A61K36/87</t>
  </si>
  <si>
    <t>A61K36/87;;A61P17/00</t>
  </si>
  <si>
    <t>https://lens.org/167-989-674-917-979</t>
  </si>
  <si>
    <t>138-984-693-956-098</t>
  </si>
  <si>
    <t>EP 3541809 A1</t>
  </si>
  <si>
    <t>NOVEL SUBSTITUTED N-(3-FLUOROPROPYL)-PYRROLIDINE COMPOUNDS, PROCESSES FOR THEIR PREPARATION AND THERAPEUTIC USES THEREOF</t>
  </si>
  <si>
    <t>C07D403/12;;A61P5/32;;A61P15/00;;A61P19/10;;A61P29/00;;A61P35/00;;A61P37/00;;A61P43/00;;C07D207/12;;C07D401/12;;C07D401/14;;C07D405/12;;C07D405/14;;C07D409/12;;C07D409/14;;C07D411/12;;C07D413/14;;C07D471/04;;C07D403/12;;C07D207/12;;C07D401/12;;C07D401/14;;C07D405/12;;C07D405/14;;C07D409/12;;C07D409/14;;C07D411/12;;C07D413/14;;C07D471/04;;C07D401/12;;A61K31/4025;;A61K31/403;;A61K31/404;;A61K31/437;;A61K31/4439;;A61K31/444;;A61K31/506;;A61K31/538;;A61P35/00;;C07D207/12;;C07D401/14;;C07D403/12;;C07D405/12;;C07D405/14;;C07D409/12;;C07D409/14;;C07D411/12;;C07D413/14;;C07D471/04;;A61K31/4025;;A61P5/32;;A61P19/10;;A61P35/00;;A61P37/00;;C07D207/12;;C07D401/12;;C07D401/14;;C07D403/12;;C07D405/12;;C07D405/14;;C07D409/12;;C07D409/14;;C07D411/12;;C07D413/14;;C07D471/04;;C07D409/12;;A61P15/00;;A61P19/10;;A61P35/00;;C07D207/12;;C07D405/12</t>
  </si>
  <si>
    <t>C07D403/12;;A61K31/4025;;A61P5/32;;A61P19/10;;A61P35/00;;A61P37/00;;C07D207/12;;C07D401/12;;C07D401/14;;C07D405/12;;C07D405/14;;C07D409/12;;C07D409/14;;C07D411/12;;C07D413/14;;C07D471/04</t>
  </si>
  <si>
    <t>https://lens.org/138-984-693-956-098</t>
  </si>
  <si>
    <t>138-062-002-391-77X</t>
  </si>
  <si>
    <t>EP 3538184 A1</t>
  </si>
  <si>
    <t>SANOFI-AVENTIS DEUTSCHLAND GMBH (2025-10-29);;SANOFI-AVENTIS DEUTSCHLAND GMBH; DE (2025-10-29)</t>
  </si>
  <si>
    <t>INJECTOR DEVICE</t>
  </si>
  <si>
    <t>A61M5/2033;;A61M5/31501;;A61M5/31511;;A61M5/31568;;A61M5/3157;;A61M5/31578;;A61M2005/2073;;A61M2005/31508;;A61M2205/3368;;A61M5/2033;;A61M5/31501;;A61M5/3157;;A61M2005/31508;;A61M2207/00;;A61M5/31578;;A61M5/31511;;A61M2005/2073;;A61M5/31568</t>
  </si>
  <si>
    <t>https://lens.org/138-062-002-391-77X</t>
  </si>
  <si>
    <t>090-435-393-407-909</t>
  </si>
  <si>
    <t>EP 3529271 A1</t>
  </si>
  <si>
    <t>SANOFI (2025-07-09)</t>
  </si>
  <si>
    <t>ANTI-CHIKV ANTIBODIES AND USES THEREOF</t>
  </si>
  <si>
    <t>C07K16/116;;A61P31/14;;C07K2317/21;;C07K2317/524;;C07K2317/526;;C07K2317/565;;C07K2317/72;;C07K2317/76;;C07K2317/92;;C07K2317/94;;Y02A50/30;;C07K16/116;;A61K2039/505;;A61P31/14;;C07K2317/21;;C07K2317/52;;C07K2317/524;;C07K2317/526;;C07K2317/565;;C07K2317/72;;C07K2317/732;;C07K2317/76;;C07K2317/92;;C07K2317/94;;C07K16/116;;A61K2039/505;;A61P31/14;;C07K2317/21;;C07K2317/52;;C07K2317/524;;C07K2317/526;;C07K2317/565;;C07K2317/72;;C07K2317/732;;C07K2317/76;;C07K2317/92;;C07K2317/94;;Y02A50/30</t>
  </si>
  <si>
    <t>https://lens.org/090-435-393-407-909</t>
  </si>
  <si>
    <t>079-110-247-956-236</t>
  </si>
  <si>
    <t>EP 2906698 B1</t>
  </si>
  <si>
    <t>SANOFI (2019-07-31);;REGULUS THERAPEUTICS INC. (2016-07-20)</t>
  </si>
  <si>
    <t>METHODS FOR TREATMENT OF ALPORT SYNDROME</t>
  </si>
  <si>
    <t>C12N15/113;;A61K31/7088;;A61P3/00;;A61P13/00;;A61P13/12;;C12N2310/113;;C12N2310/315;;C12N2310/321;;C12N2310/3233;;A61K48/00;;A61K31/7088;;A61P13/12;;C12N15/113;;C12N2310/113;;C12N2310/141;;C12N15/113;;A61K31/4015;;A61K31/593;;A61K31/7088;;A61K45/06;;C12N2310/113;;C12N2310/313;;C12N2310/315;;C12N2310/321;;C12N2310/3233</t>
  </si>
  <si>
    <t>C12N15/113;;A61K31/7125;;A61P13/12</t>
  </si>
  <si>
    <t>https://lens.org/079-110-247-956-236</t>
  </si>
  <si>
    <t>099-873-200-779-640</t>
  </si>
  <si>
    <t>EP 3506965 A1</t>
  </si>
  <si>
    <t>SANOFI-AVENTIS DEUTSCHLAND GMBH (2019-12-04)</t>
  </si>
  <si>
    <t>A61M5/2033;;A61M5/3232;;A61M5/3287;;A61M5/2033;;A61M5/3232;;A61M5/3287;;A61M2005/2006;;A61M2005/206;;A61M2005/208</t>
  </si>
  <si>
    <t>https://lens.org/099-873-200-779-640</t>
  </si>
  <si>
    <t>131-185-072-369-207</t>
  </si>
  <si>
    <t>EP 3506888 A1</t>
  </si>
  <si>
    <t>A PHARMACEUTICAL COMPOSITION COMPRISING ROSUVASTATIN AND EZETIMIBE AND A PREPARATION METHOD THEREOF</t>
  </si>
  <si>
    <t>A61K9/2018;;A61K9/209;;A61K31/397;;A61K31/505;;A61P3/06;;A61P43/00;;A61K9/209;;A61K31/505;;A61K31/397;;A61K9/2013;;A61K9/2018;;A61K9/2813;;A61K9/2054;;A61P43/00;;A61P3/06;;A61K9/209;;A61K9/2013;;A61K9/2054;;A61K9/2018;;A61K31/397;;A61K31/505;;A61K9/2018;;A61K9/209;;A61K9/2813;;A61K31/397;;A61K31/505</t>
  </si>
  <si>
    <t>A61K9/20;;A61K9/24;;A61K31/397;;A61K31/505;;A61K45/06</t>
  </si>
  <si>
    <t>https://lens.org/131-185-072-369-207</t>
  </si>
  <si>
    <t>075-007-123-589-701</t>
  </si>
  <si>
    <t>EP 3233924 B1</t>
  </si>
  <si>
    <t>SANOFI PASTEUR (2018-08-08)</t>
  </si>
  <si>
    <t>MULTIMERIZATION OF RECOMBINANT PROTEIN BY FUSION TO A SEQUENCE FROM LAMPREY</t>
  </si>
  <si>
    <t>C07K14/005;;A61K39/00;;C07K2319/35;;C12N2760/16122;;C12N2760/16134;;C07K14/005;;A61P31/16;;A61P37/04;;C07K14/461;;C07K2319/00;;C07K2319/21;;C12N2760/16122;;C12N2760/16134;;C12N2800/22;;Y02A50/30;;C07K14/005;;C07K14/461;;C07K19/00;;C07K2319/00;;C07K2319/21;;C12N15/62;;C12N2760/16122;;C12N2760/16134;;C12N2800/22</t>
  </si>
  <si>
    <t>C07K14/005;;C07K14/46;;C07K19/00;;C12N15/62</t>
  </si>
  <si>
    <t>https://lens.org/075-007-123-589-701</t>
  </si>
  <si>
    <t>031-732-345-887-62X</t>
  </si>
  <si>
    <t>EP 3481420 A1</t>
  </si>
  <si>
    <t>ANTIBODY FORMULATIONS</t>
  </si>
  <si>
    <t>A61K39/39591;;C07K16/2866;;C07K2317/24;;C07K2317/94;;A61K9/0019;;A61K47/26;;A61K47/183;;A61K9/19;;A61P19/02;;A61P29/00;;A61P37/02;;A61P19/02;;A61P29/00;;A61K39/39591;;A61K47/183;;A61K47/26;;C07K16/2866;;C07K2317/94;;C07K2317/24;;A61K47/12;;A61K9/0019;;A61K2039/505;;A61K39/395;;A61P19/02;;C07K16/28;;A61K9/0019;;A61K9/19;;A61K39/3955;;A61K39/39591;;A61K47/12;;A61K47/183;;A61K47/20;;A61K47/26;;C07K2317/94;;C07K2317/24;;C07K16/2866</t>
  </si>
  <si>
    <t>https://lens.org/031-732-345-887-62X</t>
  </si>
  <si>
    <t>127-422-665-856-627</t>
  </si>
  <si>
    <t>EP 3464328 A1</t>
  </si>
  <si>
    <t>ENGINEERED INFLUENZA ANTIGENIC POLYPEPTIDES AND IMMUNOGENIC COMPOSITIONS THEREOF</t>
  </si>
  <si>
    <t>C07K14/005;;A61P31/16;;C12N2760/16022;;C12N2760/16034;;C12N2760/16062;;C07K14/11;;A61K39/145;;A61P31/16;;C07K14/005;;C12N2760/16022;;C12N2760/16034;;C12N2760/16062;;G16B15/20;;G16B15/30</t>
  </si>
  <si>
    <t>C07K14/005;;A61K39/145;;C07K14/11</t>
  </si>
  <si>
    <t>https://lens.org/127-422-665-856-627</t>
  </si>
  <si>
    <t>189-186-435-369-927</t>
  </si>
  <si>
    <t>EP 3464327 A1</t>
  </si>
  <si>
    <t>MODIFICATION OF ENGINEERED INFLUENZA HEMAGGLUTININ POLYPEPTIDES</t>
  </si>
  <si>
    <t>C07K14/005;;C12N2760/16122;;C12N2760/16134;;C07K14/005;;A61P31/16;;A61P37/04;;C12N2760/16122;;C12N2760/16134;;C07K14/005;;A61K39/145;;A61K2039/5258;;A61P31/16;;A61P37/04;;C12N7/00;;C12N2760/16122;;C12N2760/16123;;C12N2760/16134;;C07K14/005;;A61K39/145;;A61K2039/5258;;A61P31/16;;C12N2760/16122;;C12N2760/16123;;C12N2760/16134;;A61K39/145;;A61K2039/5258;;A61P31/16;;C07K14/005;;C12N7/00;;C12N2760/16122;;C12N2760/16123;;C12N2760/16134</t>
  </si>
  <si>
    <t>C07K14/005</t>
  </si>
  <si>
    <t>https://lens.org/189-186-435-369-927</t>
  </si>
  <si>
    <t>097-667-667-181-220</t>
  </si>
  <si>
    <t>EP 2928495 B1</t>
  </si>
  <si>
    <t>SANOFI SA;;UNIV CALIFORNIA</t>
  </si>
  <si>
    <t>SANOFI-AVENTIS U.S. LLC; US (2025-06-04);;THE REGENTS OF THE UNIVERSITY OF CALIFORNIA; US (2025-07-02);;SANOFI, FR (2025-09-28);;SANOFI-AVENTIS U.S. LLC., 07960-4563 MORRISTOWN, NJ, USTHE REGENTS OF THE UNIVERSITY OF CALIFORNIA, 94607 OAKLAND, CA, US (2025-06-30);;SANOFI-AVENTIS U.S. LLC, BRIDGEWATER, US (2025-03-18);;THE REGENTS OF THE UNIVERSITY OF CALIFORNIA, US (2025-09-28);;SANOFI, PARIS, FR (2025-01-13);;THE REGENTS OF THE UNIVERSITY OF CALIFORNIA, O, US (2025-03-18)</t>
  </si>
  <si>
    <t>COMPOSITIONS COMPRISING ANTI-CD38 ANTIBODIES AND LENALIDOMIDE</t>
  </si>
  <si>
    <t>C07K16/2896;;A61K31/37;;A61K31/454;;A61K31/573;;A61K31/616;;A61K31/727;;A61K45/06;;A61K2039/505;;A61P7/00;;A61P25/00;;A61P35/00;;A61P35/02;;A61P43/00;;C07K2317/32;;C07K2317/34;;C07K16/2896;;A61K31/37;;A61K31/4439;;A61K31/454;;A61K31/573;;A61K31/616;;A61K31/727;;A61K39/395;;A61K45/06;;A61K2039/505;;A61P7/00;;A61P25/00;;A61P35/00;;A61P35/02;;A61P43/00;;C07K2317/32;;C07K2317/34;;A61K39/395;;A61K31/454;;A61K31/573;;A61K31/616;;A61K31/727;;A61K2039/505;;C07K16/2896;;C07K2317/32;;C07K2317/34;;A61K31/4439;;A61K39/395;;A61P35/00</t>
  </si>
  <si>
    <t>A61K31/4439;;A61K31/37;;A61K31/454;;A61K31/573;;A61K31/616;;A61K31/727;;A61K39/00;;A61K45/06;;A61P35/00;;C07K16/28</t>
  </si>
  <si>
    <t>https://lens.org/097-667-667-181-220</t>
  </si>
  <si>
    <t>097-525-171-004-315</t>
  </si>
  <si>
    <t>EP 3129396 B1</t>
  </si>
  <si>
    <t>DUAL GLP-1 / GLUCAGON RECEPTOR AGONISTS DERIVED FROM EXENDIN-4</t>
  </si>
  <si>
    <t>C07K14/605;;A61K38/00;;A61K45/06;;C07K14/605;;A61K38/2271;;A61K38/26;;A61K38/28;;A61K45/06;;A61P1/14;;A61P3/00;;A61P3/04;;A61P3/06;;A61P3/10;;A61P5/48;;A61P5/50;;A61P9/00;;A61P9/10;;A61P9/12;;A61P43/00;;C07K14/605;;A61K38/2271;;A61K38/26;;A61K38/28;;A61K45/06;;A61K2300/00;;C07K14/605;;A61K38/2271;;A61K38/26;;A61K38/28;;A61K45/06</t>
  </si>
  <si>
    <t>C07K14/435</t>
  </si>
  <si>
    <t>https://lens.org/097-525-171-004-315</t>
  </si>
  <si>
    <t>148-840-854-991-32X</t>
  </si>
  <si>
    <t>EP 2411072 B1</t>
  </si>
  <si>
    <t>SANOFI-AVENTIS DEUTSCHLAND GMBH (2012-04-25)</t>
  </si>
  <si>
    <t>DEVICE FOR DELIVERING LIQUID MEDICAMENT</t>
  </si>
  <si>
    <t>A61M11/08;;A61M5/20;;A61M5/30;;A61M5/31553;;A61M5/31561;;A61M5/31575;;A61M5/31583;;A61M11/007;;A61M2005/202;;A61M2005/3152;;A61M5/20;;A61M5/30;;A61M5/31528;;A61M5/48;;A61M2005/3152;;A61M11/08;;A61M5/20;;A61M5/30;;A61M5/31553;;A61M5/31561;;A61M5/31575;;A61M5/31583;;A61M11/007;;A61M2005/202;;A61M2005/3152</t>
  </si>
  <si>
    <t>A61M5/315;;A61M5/20;;A61M5/30;;A61M5/48</t>
  </si>
  <si>
    <t>https://lens.org/148-840-854-991-32X</t>
  </si>
  <si>
    <t>179-843-460-769-230</t>
  </si>
  <si>
    <t>EP 3083611 B1</t>
  </si>
  <si>
    <t>OXINDOLE DERIVATIVES, PREPARATION THEREOF AND THERAPEUTIC USE IN THE TREATMENT OF AMPK-RELATED DISEASES</t>
  </si>
  <si>
    <t>C07D209/34;;A61P3/00;;A61P3/04;;A61P3/10;;A61P13/12;;A61P43/00;;C07D401/06;;C07D403/06;;C07D403/10;;C07D413/06;;C07D413/14;;C07D417/06;;C07D417/14;;C07D491/048;;C07D491/107;;C07D209/34;;A61K31/404;;A61K31/42;;A61K31/4245;;A61K31/4406;;C07D401/06;;C07D403/06;;C07D413/06;;C07D413/14;;C07D417/06;;C07D417/14;;C07D209/34;;C07D401/06;;C07D403/06;;C07D403/10;;C07D413/06;;C07D413/14;;C07D417/06;;C07D417/14;;C07D491/048;;C07D491/107</t>
  </si>
  <si>
    <t>C07D413/14;;A61K31/404;;A61K31/42;;A61K31/4245;;A61K31/425;;A61K31/4406;;A61K31/4409;;A61K31/496;;A61K31/5355;;C07D209/34;;C07D401/06;;C07D403/06;;C07D413/06;;C07D417/06;;C07D417/14</t>
  </si>
  <si>
    <t>https://lens.org/179-843-460-769-230</t>
  </si>
  <si>
    <t>028-310-095-906-999</t>
  </si>
  <si>
    <t>EP 3431104 A1</t>
  </si>
  <si>
    <t>SANOFI (2025-01-22)</t>
  </si>
  <si>
    <t>STABLE IGG4 BINDING AGENT FORMULATIONS</t>
  </si>
  <si>
    <t>A61K39/39591;;C07K16/2866;;C07K2317/94;;C07K16/2875;;C07K2317/21;;C07K2317/52;;A61P1/04;;A61P19/02;;A61P29/00;;A61P37/06;;A61K39/39591;;C07K16/2866;;C07K16/2875;;C07K2317/21;;C07K2317/94</t>
  </si>
  <si>
    <t>https://lens.org/028-310-095-906-999</t>
  </si>
  <si>
    <t>005-770-013-410-555</t>
  </si>
  <si>
    <t>EP 3429665 A1</t>
  </si>
  <si>
    <t>DOSING MECHANISM FOR MULTI-SHOT INJECTION DEVICE COMPRISING FLEXIBLE RATCHET ELEMENT</t>
  </si>
  <si>
    <t>A61M5/3155;;A61M5/20;;A61M5/31535;;A61M5/31583;;A61M5/31593;;A61M5/20;;A61M5/2033;;A61M5/31535;;A61M5/3155;;A61M5/31583;;A61M5/31585</t>
  </si>
  <si>
    <t>https://lens.org/005-770-013-410-555</t>
  </si>
  <si>
    <t>098-631-575-017-441</t>
  </si>
  <si>
    <t>EP 3307761 A4</t>
  </si>
  <si>
    <t>METHODS OF OPTIMIZING NUCLEOTIDE SEQUENCES ENCODING ENGINEERED INFLUENZA PROTEINS</t>
  </si>
  <si>
    <t>C07K14/005;;C12N2760/16122;;C12N2760/16134;;C12N2760/16222;;C12N2760/16234;;C12N2800/22;;C07K14/005;;C07K14/11;;C12N2760/16122;;C12N2760/16134;;C12N2760/16222;;C12N2760/16234;;C12N2800/22;;G01N33/569</t>
  </si>
  <si>
    <t>C07K14/11;;C07K16/10;;G01N33/569</t>
  </si>
  <si>
    <t>https://lens.org/098-631-575-017-441</t>
  </si>
  <si>
    <t>005-844-131-172-809</t>
  </si>
  <si>
    <t>EP 2370097 B1</t>
  </si>
  <si>
    <t>ANTITUMOR COMBINATIONS CONTAINING CYCLOSPHOSPHAMIDE AND ANTIBODIES RECOGNIZING SPECIFICALLY CD38</t>
  </si>
  <si>
    <t>A61K31/00;;A61K31/675;;A61K39/395;;A61P35/00;;A61P37/04;;A61P43/00;;A61K39/3955;;A61K31/00;;A61K31/664;;A61K31/675;;A61K39/395;;A61K2039/505</t>
  </si>
  <si>
    <t>A61K39/395;;A61K31/675;;A61P35/00</t>
  </si>
  <si>
    <t>https://lens.org/005-844-131-172-809</t>
  </si>
  <si>
    <t>129-703-410-032-611</t>
  </si>
  <si>
    <t>EP 3129397 B1</t>
  </si>
  <si>
    <t>PEPTIDIC DUAL GLP-1 / GLUCAGON RECEPTOR AGONISTS DERIVED FROM EXENDIN-4</t>
  </si>
  <si>
    <t>C07K14/57563;;A61K38/00;;A61K45/06;;C07K14/605;;C07K14/57563;;A61K38/26;;A61P3/04;;A61P3/06;;A61P3/10;;A61P5/50;;A61P9/00;;A61P9/10;;A61P9/12;;C07K14/605;;C07K14/605;;A61K38/2271;;A61K38/26;;A61K38/28;;A61K45/06;;A61K2300/00;;C07K14/57563;;A61K38/26;;A61K45/06;;C07K14/605</t>
  </si>
  <si>
    <t>https://lens.org/129-703-410-032-611</t>
  </si>
  <si>
    <t>112-828-780-392-683</t>
  </si>
  <si>
    <t>EP 2981275 B1</t>
  </si>
  <si>
    <t>SANOFI-AVENTIS DEUTSCHLAND GMBH (2018-10-03);;A. NATTERMANN &amp; CIE. GESELLSCHAFT MIT BESCHRAE, DE (2024-01-18)</t>
  </si>
  <si>
    <t>LOZENGE FOR THE TREATMENT OF THROAT PAIN, HOARSENESS AND ASSOCIATED DRY COUGH, AS WELL AS INFLAMMATORY DISEASES OF THE MOUTH AND PHARYNX</t>
  </si>
  <si>
    <t>A61K36/577;;A61K31/351;;A61K31/7034;;A61K33/06;;A61K36/10;;A61K36/28;;A61K36/68;;A61P1/00;;A61P1/04;;A61P11/04;;A61P11/14;;A61P29/00;;A61K36/577;;A61K9/0056;;A61K31/351;;A61K31/7034;;A61K33/06;;A61K36/062;;A61K36/10;;A61K36/28;;A61K36/68;;A61K45/06</t>
  </si>
  <si>
    <t>A61K36/09;;A61P1/04</t>
  </si>
  <si>
    <t>https://lens.org/112-828-780-392-683</t>
  </si>
  <si>
    <t>073-011-655-466-162</t>
  </si>
  <si>
    <t>EP 3129395 B1</t>
  </si>
  <si>
    <t>EXENDIN-4 DERIVATIVES AS PEPTIDIC DUAL GLP-1 / GLUCAGON RECEPTOR AGONISTS</t>
  </si>
  <si>
    <t>C07K14/46;;A61K38/00;;A61K45/06;;A61K38/2278;;A61P1/14;;A61P3/04;;A61P3/06;;A61P3/08;;A61P3/10;;A61P5/48;;A61P5/50;;A61P9/00;;A61P9/10;;A61P9/12;;A61P25/00;;A61P43/00;;C07K14/46;;C07K14/46;;A61K38/2278;;A61K45/06;;C07K14/575;;A61K45/06;;A61K38/2278;;C07K14/46</t>
  </si>
  <si>
    <t>https://lens.org/073-011-655-466-162</t>
  </si>
  <si>
    <t>046-503-870-480-25X</t>
  </si>
  <si>
    <t>EP 2685960 B1</t>
  </si>
  <si>
    <t>SANOFI-AVENTIS DEUTSCHLAND GMBH (2018-04-18);;A. NATTERMANN &amp; CIE. GMBH; DE (2024-11-22)</t>
  </si>
  <si>
    <t>USE OF A SPRAYABLE COMPOSITION COMPRISING AMBROXOL</t>
  </si>
  <si>
    <t>A61K31/137;;A61K9/006;;A61K9/0073;;A61P1/02;;A61P11/00;;A61P11/04;;A61P29/00;;A61K31/137;;A61K9/006;;A61K9/0073</t>
  </si>
  <si>
    <t>A61K9/00;;A61K31/137</t>
  </si>
  <si>
    <t>https://lens.org/046-503-870-480-25X</t>
  </si>
  <si>
    <t>173-299-065-585-832</t>
  </si>
  <si>
    <t>EP 3126336 B1</t>
  </si>
  <si>
    <t>SUBSTITUTED FUSED HETEROCYCLES AS GPR119 MODULATORS FOR THE TREATMENT OF DIABETES, OBESITY, DYSLIPIDEMIA AND RELATED DISORDERS</t>
  </si>
  <si>
    <t>C07D471/04;;C07D401/14;;C07D471/04;;A61K31/4439;;A61K45/06;;A61P3/00;;A61P3/04;;A61P3/06;;A61P3/10;;A61P9/12;;A61P43/00;;C07D231/56;;C07D249/18;;C07D401/14;;C07D471/04;;A61K31/155;;A61K31/437;;A61K31/4439;;A61K45/06;;A61K2300/00;;C07D231/56;;C07D249/18;;C07D471/04;;A61K31/155;;A61K31/397;;A61K31/40;;A61K31/4439;;A61K31/444;;A61K31/702;;A61K45/06;;C07D231/56;;C07D249/18;;C07D401/14</t>
  </si>
  <si>
    <t>C07D231/56;;A61K31/416;;A61K31/4192;;A61K31/4745;;A61P3/00;;C07D249/18;;C07D471/04</t>
  </si>
  <si>
    <t>https://lens.org/173-299-065-585-832</t>
  </si>
  <si>
    <t>014-464-530-621-853</t>
  </si>
  <si>
    <t>EP 1838367 B1</t>
  </si>
  <si>
    <t>SANOFI-AVENTIS DEUTSCHLAND GMBH, DE (2018-10-24)</t>
  </si>
  <si>
    <t>METHOD OF ASSEMBLY OF DRUG DELIVERY DEVICES</t>
  </si>
  <si>
    <t>A61M5/31593;;A61M5/24;;A61M5/31541;;A61M5/31551;;A61M5/31558;;A61M5/31561;;A61M5/31585;;A61M2005/2477;;A61M2005/31518;;A61M2205/581;;A61M2205/582;;A61M2207/00;;A61M5/315;;A61M5/31;;A61M5/31593;;A61M5/31593;;A61M5/24;;A61M5/31541;;A61M5/31551;;A61M5/31558;;A61M5/31561;;A61M5/31585;;A61M2005/2477;;A61M2005/31518;;A61M2202/0447;;A61M2202/0478;;A61M2205/581;;A61M2205/582;;A61M2207/00</t>
  </si>
  <si>
    <t>https://lens.org/014-464-530-621-853</t>
  </si>
  <si>
    <t>113-720-670-313-94X</t>
  </si>
  <si>
    <t>EP 2983697 B1</t>
  </si>
  <si>
    <t>TREATMENT OF DIABETES MELLITUS BY LONG ACTING FORMULATIONS OF INSULINS</t>
  </si>
  <si>
    <t>A61K9/08;;A61K9/0019;;A61K31/155;;A61K38/26;;A61K38/28;;A61P3/10;;A61K38/28;;A61K9/0019;;A61K9/08;;A61K31/155;;A61K9/0019;;A61K9/08;;A61K38/26;;A61K38/28;;A61K47/02;;A61K47/10;;A61K9/08;;A61K9/0019;;A61K31/155;;A61K38/26;;A61K38/28;;A61K47/02;;A61K47/10;;A61K47/26;;A61P3/10</t>
  </si>
  <si>
    <t>A61P3/10;;A61K9/00;;A61K9/08;;A61K31/155;;A61K38/28;;A61K47/00</t>
  </si>
  <si>
    <t>https://lens.org/113-720-670-313-94X</t>
  </si>
  <si>
    <t>017-408-723-690-102</t>
  </si>
  <si>
    <t>EP 3139907 B1</t>
  </si>
  <si>
    <t>SANOFI-AVENTIS DEUTSCHLAND GMBH (2017-11-08);;A. NATTERMANN &amp; CIE. GESELLSCHAFT MIT BESCHRAE, DE (2024-01-18);;A. NATTERMANN &amp; CIE. GMBH; DE (2024-11-22)</t>
  </si>
  <si>
    <t>FAST DISSOLVING GRANULATE</t>
  </si>
  <si>
    <t>A61K36/84;;A61K9/1623;;A61K36/3486;;A61K36/60;;A61K36/84;;A61K9/0095;;A61K9/1623;;A61K36/3486;;A61P25/20;;A61K9/0095;;A61K9/1623;;A61K36/3486;;A61K36/60;;A61K36/84;;A61K2300/00;;A61P25/20;;A61K36/84;;A61K9/0095;;A61K9/1623;;A61K36/3486;;A61P25/20</t>
  </si>
  <si>
    <t>A61K36/84;;A61K9/46;;A61K36/185;;A61P25/20</t>
  </si>
  <si>
    <t>https://lens.org/017-408-723-690-102</t>
  </si>
  <si>
    <t>130-606-969-865-025</t>
  </si>
  <si>
    <t>EP 3371224 A1</t>
  </si>
  <si>
    <t>REGENERON PHARMACEUTICALS, INC. (2026-04-29);;SANOFI BIOTECHNOLOGY (2026-04-29)</t>
  </si>
  <si>
    <t>COMPOSITIONS COMPRISING IL6R ANTIBODIES FOR THE TREATMENT OF UVEITIS AND MACULAR EDEMA AND METHODS OF USING SAME</t>
  </si>
  <si>
    <t>A61K39/395;;A61K2039/54;;A61K2039/545;;C07K16/2866;;A61K31/519;;A61K31/573;;A61P27/02;;A61P29/00;;A61P9/10;;A61P3/10;;C07K16/2866;;C07K2317/76;;A61P29/00;;A61K2039/505;;A61K39/395;;A61K31/519;;A61K2039/54;;A61P27/02;;A61K2039/545;;C07K2317/56;;A61K31/573;;A61P3/10;;A61P9/10;;A61K39/3955;;A61P27/02;;A61K31/519;;A61K31/573;;A61K39/395;;A61K39/3955;;C07K16/2866;;A61K2039/505;;A61K2039/54;;C07K2317/76;;C07K2317/56;;A61K2039/545;;A61K39/395;;A61K2039/54;;C07K16/2866;;A61K31/519;;A61K31/573;;A61K39/3955;;A61K2039/505;;C07K2317/56;;C07K2317/76</t>
  </si>
  <si>
    <t>C07K16/28;;A61K39/00;;A61K39/395;;A61P27/02</t>
  </si>
  <si>
    <t>https://lens.org/130-606-969-865-025</t>
  </si>
  <si>
    <t>125-628-946-273-197</t>
  </si>
  <si>
    <t>EP 2773353 B1</t>
  </si>
  <si>
    <t>EXELIXIS INC;;SANOFI SA</t>
  </si>
  <si>
    <t>EXELIXIS, INC. (2018-09-05);;SANOFI (2018-09-05)</t>
  </si>
  <si>
    <t>N-(3-{[(3-{[2-CHLORO-5-(METHOXY)PHENYL]AMINO}QUINOXALIN-2-YL)AMINO]SULFONYL}PHENYL)-2-METHYLALANINAMIDE AS PHOSPHATIDYLINOSITOL 3-KINASE INHIBITOR FOR THE TREATMENT OF LYMPHOPROLIFERATIVE MALIGNANCIES</t>
  </si>
  <si>
    <t>A61K31/498;;C07D241/44;;A61K31/47;;A61K31/498;;A61P35/00;;A61P35/02;;A61P35/04;;C07D215/233;;C07D241/44;;A61K31/47;;A61K31/498;;C07D215/233;;C07D241/44</t>
  </si>
  <si>
    <t>A61K31/498;;A61P35/02</t>
  </si>
  <si>
    <t>https://lens.org/125-628-946-273-197</t>
  </si>
  <si>
    <t>104-788-444-612-372</t>
  </si>
  <si>
    <t>EP 1458438 B1</t>
  </si>
  <si>
    <t>SANOFI-AVENTIS DEUTSCHLAND GMBH (2017-02-22)</t>
  </si>
  <si>
    <t>MEDICAMENT INJECTION APPARATUS</t>
  </si>
  <si>
    <t>A61M5/31525;;A61M5/20;;A61M5/24;;A61M5/31546;;A61M2005/3125;;A61M2005/31588;;A61M2205/50;;A61M2205/583;;A61M5/145;;A61M5/14;;A61M5/20;;A61M5/31525;;A61M5/20;;A61M5/24;;A61M5/31546;;A61M2005/3125;;A61M2005/31588;;A61M2205/50;;A61M2205/583</t>
  </si>
  <si>
    <t>A61M5/178;;A61M5/20;;A61M5/145;;A61M5/24;;A61M5/31;;A61M5/315;;H01L33/48</t>
  </si>
  <si>
    <t>https://lens.org/104-788-444-612-372</t>
  </si>
  <si>
    <t>048-384-012-226-128</t>
  </si>
  <si>
    <t>EP 3164131 B1</t>
  </si>
  <si>
    <t>2-(2-METHYLAMINO-PYRIMIDIN-4-YL)-1H-INDOLE-5-CARBOXYLIC ACID [(S)-1-CARBAMOYL-2-(PHENYL-PYRIMIDIN-2-YL-AMINO)-ETHYL]-AMIDE FOR USE IN THE TREATMENT OF PAIN ASSOCIATED TO OSTEOARTHRITIS</t>
  </si>
  <si>
    <t>A61K31/506;;A61K31/506;;A61P19/02;;A61P19/08;;A61P25/04;;A61P29/00;;A61P43/00;;C07D403/12;;C07D403/14;;A61K31/506;;A61K9/0019;;A61K9/10;;C07D403/14;;A61K31/506;;A61P19/02;;A61P29/00;;A61K31/506;;C07D403/12;;C07D403/14</t>
  </si>
  <si>
    <t>A61K31/506;;A61P19/02</t>
  </si>
  <si>
    <t>https://lens.org/048-384-012-226-128</t>
  </si>
  <si>
    <t>193-848-985-321-623</t>
  </si>
  <si>
    <t>EP 3360591 A1</t>
  </si>
  <si>
    <t>ACTIVATING MECHANISM FOR A MEDICAMENT DELIVERY DEVICE AND MEDICAMENT DELIVERY DEVICE</t>
  </si>
  <si>
    <t>A61M5/2466;;A61M2005/247;;A61M2005/2474;;A61M2005/247;;A61M2005/2474;;A61M5/2466;;A61M2005/247;;A61M2005/2474;;A61M5/2466;;A61M5/3204;;A61M5/326;;A61M2005/3267</t>
  </si>
  <si>
    <t>https://lens.org/193-848-985-321-623</t>
  </si>
  <si>
    <t>024-945-423-034-960</t>
  </si>
  <si>
    <t>EP 2648747 B1</t>
  </si>
  <si>
    <t>SANOFI; FR (2025-04-11);;SANOFI (2017-08-23)</t>
  </si>
  <si>
    <t>ANTITUMOR COMBINATIONS CONTAINING ANTIBODIES RECOGNIZING SPECIFICALLY CD38 AND BORTEZOMIB</t>
  </si>
  <si>
    <t>A61K39/39558;;A61K31/69;;A61K38/05;;A61K2039/542;;A61K2039/545;;C07K16/28;;C07K2317/24;;C07K2317/51;;C07K2317/515;;C07K2317/565;;C07K2317/73;;C07K2317/732;;C07K2317/734;;A61K39/39558;;A61K38/05;;A61K39/3955;;A61P35/00;;A61P35/02;;A61P43/00;;C07K16/2896;;C07K2317/24;;A61K39/00;;A61K31/69;;A61K38/05;;A61K39/3955;;A61K39/39558;;A61K2039/542;;A61K2039/545;;C07K16/28;;C07K16/2896;;C07K2317/24;;C07K2317/51;;C07K2317/515;;C07K2317/565;;C07K2317/73;;C07K2317/732;;C07K2317/734;;A61K39/395;;A61K45/06;;C07K16/28;;A61K39/39558;;A61K38/05;;A61K39/3955;;C07K16/2896;;C07K2317/24</t>
  </si>
  <si>
    <t>A61K39/395;;A61K45/06;;A61P35/00;;C07K16/28</t>
  </si>
  <si>
    <t>https://lens.org/024-945-423-034-960</t>
  </si>
  <si>
    <t>081-181-971-438-712</t>
  </si>
  <si>
    <t>EP 3080150 B1</t>
  </si>
  <si>
    <t>EXENDIN-4 PEPTIDE ANALOGUES AS DUAL GLP-1/GIP RECEPTOR AGONISTS</t>
  </si>
  <si>
    <t>A61K38/26;;A61P3/00;;A61P3/04;;A61P3/10;;C07K14/57563;;C07K14/605;;A61K38/26;;A61K45/06;;C07K14/57563;;C07K14/605</t>
  </si>
  <si>
    <t>C07K14/575;;C07K14/605</t>
  </si>
  <si>
    <t>https://lens.org/081-181-971-438-712</t>
  </si>
  <si>
    <t>091-681-209-708-673</t>
  </si>
  <si>
    <t>EP 3077380 B1</t>
  </si>
  <si>
    <t>THIENOMETHYLPIPERAZINE DERIVATIVES AS INHIBITORS OF SOLUBLE EPOXIDE HYDROLASE</t>
  </si>
  <si>
    <t>C07D409/12;;A61P3/10;;A61P9/12;;A61P29/00;;C07D277/56;;C07D333/38;;C07D333/48;;C07D409/14;;C07D413/12;;C07D417/12;;C07D417/14;;C07D471/04;;C07D487/04;;C07D409/12;;C07D277/56;;C07D333/38;;C07D333/48;;C07D409/14;;C07D413/12;;C07D417/12;;C07D417/14;;C07D471/04;;C07D487/04</t>
  </si>
  <si>
    <t>C07D277/56;;A61K31/496;;A61P3/10;;A61P9/12;;A61P29/00;;C07D333/38;;C07D333/48;;C07D409/12;;C07D409/14;;C07D413/12;;C07D417/12;;C07D417/14;;C07D471/04;;C07D487/04</t>
  </si>
  <si>
    <t>https://lens.org/091-681-209-708-673</t>
  </si>
  <si>
    <t>176-057-082-536-386</t>
  </si>
  <si>
    <t>EP 3157949 B1</t>
  </si>
  <si>
    <t>EXENDIN-4 DERIVATIVES AS SELECTIVE GLUCAGON RECEPTOR AGONISTS</t>
  </si>
  <si>
    <t>C07K14/57563;;A61K38/00;;A61P1/00;;A61P3/00;;A61P3/08;;A61P3/10;;A61P5/48;;A61P39/02;;A61P43/00;;C07K14/57563;;A61K38/2278;;A61K45/06;;C07K14/605;;C07K14/605;;A61K38/00;;A61K45/06;;C07K14/57563</t>
  </si>
  <si>
    <t>C07K14/575;;A61K38/22;;A61P3/10</t>
  </si>
  <si>
    <t>https://lens.org/176-057-082-536-386</t>
  </si>
  <si>
    <t>174-681-961-761-72X</t>
  </si>
  <si>
    <t>B3</t>
  </si>
  <si>
    <t>EP 1007030 B3</t>
  </si>
  <si>
    <t>SANOFI-AVENTIS; FR (2005-01-26);;SANOFI -AVENTIS (2005-04-01);;SANOFI-AVENTIS, PARIS, FR (2005-04-28);;SANOFI-AVENTIS, FR (2013-02-05);;SANOFI, FR (2019-04-05);;SANOFI-AVENTIS, 75013 PARIS, FR (2012-05-03);;SANOFI, 75008 PARIS, FR (2019-02-14);;SANOFI, 54 RUE LA BOETIE, FR (2019-02-14);;SANOFI (2019-01-31);;SANOFI; FR (2019-03-06)</t>
  </si>
  <si>
    <t>SOLID PHARMACEUTICAL COMPOSITION CONTAINING BENZOFURANE DERIVATIVES</t>
  </si>
  <si>
    <t>A61K31/343;;A61K9/2013;;A61K9/2018;;A61K9/2031;;A61P9/00;;A61P9/06;;Y02A50/30;;A61K31/34;;A61K31/343;;A61K9/0053;;A61K9/2013;;A61K9/2018;;A61K9/2031;;A61K47/10;;Y02A50/30</t>
  </si>
  <si>
    <t>A61K31/34;;A61K9/20;;A61K9/48;;A61K31/343;;A61P9/06</t>
  </si>
  <si>
    <t>https://lens.org/174-681-961-761-72X</t>
  </si>
  <si>
    <t>152-586-016-347-723</t>
  </si>
  <si>
    <t>EP 2885397 B1</t>
  </si>
  <si>
    <t>METHOD FOR PRODUCING HAEMOPHILUS INFLUENZAE TYPE B ANTIGENS</t>
  </si>
  <si>
    <t>A61K39/102;;A61K2039/6037;;C12N1/20;;C12P19/04;;C12P19/04;;A61K39/102;;A61K2039/6037;;A61P31/12;;A61P31/16;;C12N1/20;;Y02A50/30;;C12P19/04;;A61K31/715;;A61K35/74;;A61K39/102;;C12P1/04;;A61K39/102;;C12N1/20;;C12P19/04;;C12P19/04;;A61K39/102;;A61K2039/55;;A61K2039/6037;;C12N1/20;;Y02A50/30</t>
  </si>
  <si>
    <t>C12N1/20;;A61K39/00;;A61K39/102;;C12P19/04</t>
  </si>
  <si>
    <t>https://lens.org/152-586-016-347-723</t>
  </si>
  <si>
    <t>017-308-360-639-712</t>
  </si>
  <si>
    <t>EP 2624889 B1</t>
  </si>
  <si>
    <t>SANOFI (2014-03-12)</t>
  </si>
  <si>
    <t>A61M5/2033;;A61M5/3202;;A61M5/326;;A61M2005/2013;;A61M2005/206;;A61M5/20;;A61M5/3232;;A61M5/2033;;A61M5/3202;;A61M5/326;;A61M2005/2013;;A61M2005/206</t>
  </si>
  <si>
    <t>https://lens.org/017-308-360-639-712</t>
  </si>
  <si>
    <t>041-585-980-781-790</t>
  </si>
  <si>
    <t>EP 2892927 B1</t>
  </si>
  <si>
    <t>REGENERON PHARMACEUTICALS, INC. (2016-03-16);;SANOFI BIOTECHNOLOGY (2016-03-16)</t>
  </si>
  <si>
    <t>METHODS FOR TREATING ATOPIC DERMATITIS BY ADMINISTERING AN IL-4R ANTAGONIST</t>
  </si>
  <si>
    <t>A61K2039/54;;C07K2317/21;;G01N2800/202;;G01N33/53;;A61K31/573;;A61K31/58;;C07K16/2866;;A61P17/00;;A61P37/00;;A61P37/08;;A61K31/573;;A61K31/58;;A61K39/3955;;A61K45/06;;A61K2039/54;;A61P17/00;;A61P17/02;;A61P17/04;;A61P35/00;;A61P37/00;;A61P37/08;;A61P43/00;;C07K16/2866;;C07K2317/21;;G01N33/53;;G01N2800/202;;A61K2039/54;;C07K16/2866;;C07K2317/21;;G01N2800/202;;A61K38/1793;;A61P17/00;;A61P17/04;;A61P29/00;;A61P37/00;;A61P37/08;;G01N33/6854;;G01N33/53;;A61K2039/505;;G01N2800/52;;A61P17/00;;A61K31/573;;A61K31/58;;A61K39/395;;C07K16/28;;G01N33/53;;A61K38/02;;A61P17/04;;G01N33/53;;A61K2039/54;;C07K2317/21;;G01N2800/202;;A61K31/573;;A61K31/58;;A61K39/3955;;A61K45/06;;C07K16/2866</t>
  </si>
  <si>
    <t>C07K16/28;;A61P17/00</t>
  </si>
  <si>
    <t>https://lens.org/041-585-980-781-790</t>
  </si>
  <si>
    <t>123-944-876-870-018</t>
  </si>
  <si>
    <t>EP 3313438 A1</t>
  </si>
  <si>
    <t>METHODS OF USE OF INFLUENZA VACCINE FOR PREVENTION OF PNEUMONIA</t>
  </si>
  <si>
    <t>A61K39/12;;A61K2039/545;;A61P29/00;;C12N2760/16134;;C12N2760/16234;;Y02A50/30;;A61K39/145;;A61K39/12;;A61K2039/545;;A61K2039/70;;A61P29/00;;C12N7/00;;C12N2760/16034;;C12N2760/16134;;C12N2760/16234;;Y02A50/30</t>
  </si>
  <si>
    <t>A61K39/12</t>
  </si>
  <si>
    <t>https://lens.org/123-944-876-870-018</t>
  </si>
  <si>
    <t>138-218-976-167-539</t>
  </si>
  <si>
    <t>EP 3303368 A2</t>
  </si>
  <si>
    <t>C07K14/005;;C12N2760/16022;;C12N2760/16062</t>
  </si>
  <si>
    <t>https://lens.org/138-218-976-167-539</t>
  </si>
  <si>
    <t>170-708-471-272-335</t>
  </si>
  <si>
    <t>EP 1349593 B2</t>
  </si>
  <si>
    <t>SANOFI-AVENTIS DEUTSCHLAND GMBH, DE (2020-10-15);;SANOFI-AVENTIS DEUTSCHLAND GMBH (2017-06-07)</t>
  </si>
  <si>
    <t>PEN-TYPE INJECTOR HAVING AN ELECTRONIC CONTROL UNIT</t>
  </si>
  <si>
    <t>A61M5/14244;;A61M5/14566;;A61M5/20;;A61M5/31525;;A61M5/31546;;A61M2005/31588;;A61M2205/215;;A61M2205/50;;A61M2205/6018;;A61M2205/8206;;G16H20/17;;Y10S128/01;;A61M5/24;;A61M5/14244;;A61M5/14566;;A61M5/20;;A61M5/31525;;A61M5/31546;;A61M2005/31588;;A61M2205/215;;A61M2205/50;;A61M2205/6018;;A61M2205/8206;;Y10S128/01</t>
  </si>
  <si>
    <t>A61M5/142;;A61M5/24;;A61M1/36;;A61M5/145;;A61M5/168;;A61M5/172;;A61M5/20;;A61M5/315</t>
  </si>
  <si>
    <t>https://lens.org/170-708-471-272-335</t>
  </si>
  <si>
    <t>053-188-878-640-488</t>
  </si>
  <si>
    <t>EP 2044122 B1</t>
  </si>
  <si>
    <t>ANTAGONIST ANTIBODY AGAINST EPHA2 FOR THE TREATMENT OF CANCER</t>
  </si>
  <si>
    <t>A61K2039/505;;C07K16/2866;;C07K2317/24;;A61K47/6849;;C07K2317/73;;C07K2317/76;;A61P35/00;;A61P35/04;;A61P43/00;;C07K16/28;;A61K39/395;;C07K16/00;;G01N33/575;;A61K2039/505;;C07K16/2866;;C07K2317/24;;A61K47/6849;;G01N33/5759;;C07K16/30;;A61K39/3955;;A61K45/06;;C07K16/28;;C07K16/40;;C07K2317/73;;C07K2317/76;;C07K2317/92;;G01N2333/705;;G01N2333/91205</t>
  </si>
  <si>
    <t>C07K16/28;;A61K39/395;;A61P35/00;;C12N5/20;;C12N15/13;;C12N15/63;;G01N33/53</t>
  </si>
  <si>
    <t>https://lens.org/053-188-878-640-488</t>
  </si>
  <si>
    <t>036-558-019-769-389</t>
  </si>
  <si>
    <t>EP 2668212 B1</t>
  </si>
  <si>
    <t>SANOFI BIOTECHNOLOGY (2015-12-02)</t>
  </si>
  <si>
    <t>HUMAN ANTIBODIES TO PCSK9 FOR USE IN METHODS OF TREATING PARTICULAR GROUPS OF SUBJECTS</t>
  </si>
  <si>
    <t>C07K16/40;;A61K2039/505;;C07K2317/21;;C07K2317/76;;G01N33/92;;G01N2800/044;;A61K31/215;;A61K31/366;;A61K31/404;;A61K31/435;;A61K31/47;;A61K31/505;;A61K2039/505;;A61P3/00;;A61P3/06;;A61P5/00;;A61P7/00;;A61P9/00;;A61P9/10;;A61P43/00;;C07K16/40;;C07K2317/21;;C07K2317/76;;A61K39/00;;A61J1/05;;A61K31/215;;A61K31/366;;A61K31/404;;A61K31/435;;A61K31/47;;A61K31/505;;A61K39/395;;A61K39/3955;;A61K45/06;;A61K2039/505;;A61K2039/545;;A61P3/06;;A61P9/10;;C07K14/4703;;C07K16/40;;C07K2317/21;;C07K2317/76;;C07K16/40;;A61K2039/505;;A61P3/00;;C07K2317/21;;C07K2317/76;;A61K39/395;;A61P3/06;;A61K39/3955;;A61J1/05;;A61K31/215;;A61K31/366;;A61K31/404;;A61K31/435;;A61K31/47;;A61K31/505;;A61K39/395;;A61K45/06;;A61K2039/505;;A61K2039/545;;A61P3/06;;C07K14/4703;;C07K16/40;;C07K2317/21;;C07K2317/76</t>
  </si>
  <si>
    <t>C07K16/40;;A61J1/05;;A61K31/215;;A61K31/366;;A61K31/395;;A61K31/404;;A61K31/435;;A61K31/47;;A61K31/505;;A61K39/00;;A61K39/395;;A61K45/06;;C07K14/47</t>
  </si>
  <si>
    <t>https://lens.org/036-558-019-769-389</t>
  </si>
  <si>
    <t>161-901-199-457-75X</t>
  </si>
  <si>
    <t>EP 1750707 B1</t>
  </si>
  <si>
    <t>Immunostimulant composition comprising at least one agonist of the Toll-like 7 receptor or of the Toll-like 8 receptor and one Toll-like 4 receptor agonist</t>
  </si>
  <si>
    <t>A61K45/06;;A61K31/4745;;A61K31/685;;A61K39/00;;A61K39/39;;A61K2039/55511;;A61P31/18;;A61P37/00;;A61P37/04;;A61P43/00;;A61K31/685;;A61K31/4738;;A61K39/00;;A61K45/06;;A61K31/4745;;A61K31/685;;A61K39/00;;A61K39/39;;A61K2039/55511;;Y02A50/30</t>
  </si>
  <si>
    <t>A61K31/4745;;A61K31/685;;A61K39/00;;A61K39/39;;A61K45/06;;A61P37/04</t>
  </si>
  <si>
    <t>https://lens.org/161-901-199-457-75X</t>
  </si>
  <si>
    <t>015-853-011-800-943</t>
  </si>
  <si>
    <t>EP 2637645 B1</t>
  </si>
  <si>
    <t>PHARMACEUTICAL COMPOSITION AND DOSAGE FORM COMPRISING DRONEDARONE, AND PREPARATION METHOD THEREOF</t>
  </si>
  <si>
    <t>A61K31/343;;A61K9/4858;;A61K9/4866;;A61P9/06;;A61K9/48;;A61K31/343;;A61K31/343;;A61K9/4858;;A61K9/4866;;A61K47/10</t>
  </si>
  <si>
    <t>A61K9/48;;A61K9/00;;A61K31/00;;A61K31/343</t>
  </si>
  <si>
    <t>https://lens.org/015-853-011-800-943</t>
  </si>
  <si>
    <t>084-006-790-302-841</t>
  </si>
  <si>
    <t>NO</t>
  </si>
  <si>
    <t>NO 341888 B1</t>
  </si>
  <si>
    <t>SANOFI, FR (2017-06-26)</t>
  </si>
  <si>
    <t>Piperidinylsubstiuerte isoquinolonderivater som Rho-kinaseinhibitorer</t>
  </si>
  <si>
    <t>C07D401/12;;A61P1/16;;A61P3/00;;A61P3/10;;A61P5/00;;A61P7/02;;A61P9/00;;A61P9/08;;A61P9/10;;A61P9/12;;A61P11/00;;A61P11/06;;A61P11/08;;A61P13/00;;A61P13/08;;A61P13/12;;A61P15/00;;A61P15/06;;A61P15/10;;A61P19/00;;A61P19/08;;A61P19/10;;A61P25/00;;A61P25/04;;A61P25/28;;A61P29/00;;A61P31/00;;A61P31/04;;A61P31/18;;A61P35/00;;A61P37/02;;A61P43/00;;C07D401/14;;C07D405/14;;C07D409/14;;A61K31/472;;C07D217/24;;C07D401/12;;A61K31/4725;;C07D401/12;;C07D401/14;;C07D405/14;;C07D409/14</t>
  </si>
  <si>
    <t>C07D401/12;;A61K31/4725</t>
  </si>
  <si>
    <t>https://lens.org/084-006-790-302-841</t>
  </si>
  <si>
    <t>080-841-259-202-495</t>
  </si>
  <si>
    <t>EP 3080154 B1</t>
  </si>
  <si>
    <t>DUAL GLP-1/GIP RECEPTOR AGONISTS</t>
  </si>
  <si>
    <t>C07K14/605;;A61K38/26;;A61P3/04;;A61P3/10;;C07K14/57563;;C07K14/605;;A61K38/26;;A61K45/06;;C07K14/57563</t>
  </si>
  <si>
    <t>C07K14/605;;C07K14/575</t>
  </si>
  <si>
    <t>https://lens.org/080-841-259-202-495</t>
  </si>
  <si>
    <t>157-763-817-373-581</t>
  </si>
  <si>
    <t>EP 3034498 B1</t>
  </si>
  <si>
    <t>SANOFI (2017-06-28)</t>
  </si>
  <si>
    <t>INTERMEDIATES FOR FUNCTIONAL PLA-PEG COPOLYMERS</t>
  </si>
  <si>
    <t>C08G63/664;;A61K9/51;;A61K9/5138;;A61K9/5153;;A61K31/337;;A61K47/593;;A61K47/60;;C07D249/04;;C08G63/6852;;C08G63/91;;C07D249/04;;A61K9/5138;;A61K31/337;;A61K47/593;;A61K47/60;;C07D475/04;;C08G63/664;;C08G63/6852;;A61K9/51;;A61K47/34;;C07D249/04;;C08G63/08;;C08L67/04;;A61K9/5153;;A61K9/51;;A61K9/5138;;A61K31/337;;A61K47/593;;A61K47/60;;C07D249/04;;C07D475/04;;C08G63/664;;C08G63/6852;;C08G63/91</t>
  </si>
  <si>
    <t>C07D475/04</t>
  </si>
  <si>
    <t>https://lens.org/157-763-817-373-581</t>
  </si>
  <si>
    <t>133-102-571-112-277</t>
  </si>
  <si>
    <t>EP 2317922 B1</t>
  </si>
  <si>
    <t>SANOFI-AVENTIS DEUTSCHLAND GMBH (2014-01-08)</t>
  </si>
  <si>
    <t>BODY FLUID SAMPLING DEVICE WITH A CAPACITIVE SENSOR</t>
  </si>
  <si>
    <t>A61B5/15126;;A61B5/150022;;A61B5/150061;;A61B5/150068;;A61B5/150099;;A61B5/150152;;A61B5/150167;;A61B5/150175;;A61B5/15019;;A61B5/150358;;A61B5/150427;;A61B5/150503;;A61B5/150572;;A61B5/150748;;A61B5/15113;;A61B5/15115;;A61B5/15117;;A61B5/15123;;A61B5/15146;;A61B5/15153;;A61B5/15169;;A61B5/15171;;A61B5/15174;;A61B5/15176;;A61B5/15178;;A61B5/15184;;A61B5/15186;;A61B5/157;;A61B5/15126;;A61B5/1411;;A61B5/150022;;A61B5/150061;;A61B5/150068;;A61B5/150099;;A61B5/150106;;A61B5/150152;;A61B5/150167;;A61B5/150175;;A61B5/15019;;A61B5/150358;;A61B5/150427;;A61B5/150503;;A61B5/150572;;A61B5/150748;;A61B5/15109;;A61B5/15113;;A61B5/15115;;A61B5/15117;;A61B5/15123;;A61B5/15146;;A61B5/15153;;A61B5/15169;;A61B5/15171;;A61B5/15174;;A61B5/15176;;A61B5/15178;;A61B5/15184;;A61B5/15186;;A61B5/15194;;A61B5/157;;A61B5/7485;;A61M5/42;;A61M5/427;;A61M5/46</t>
  </si>
  <si>
    <t>A61M5/42;;A61B5/15;;A61B5/151;;A61B5/157;;A61M5/46</t>
  </si>
  <si>
    <t>https://lens.org/133-102-571-112-277</t>
  </si>
  <si>
    <t>197-513-194-953-254</t>
  </si>
  <si>
    <t>EP 2429659 B1</t>
  </si>
  <si>
    <t>METHOD FOR DETOXIFICATION OF LIPOPOLYSACCHARIDE (LPS) OR OF LIPID A OF GRAM-NEGATIVE BACTERIA</t>
  </si>
  <si>
    <t>A61K39/02;;A61K9/127;;A61K9/1272;;A61K2039/55555;;A61K2039/55572;;A61P31/04;;A61P37/04;;A61K39/095;;A61K9/127;;A61K9/1272;;A61K39/02;;A61K39/39;;A61K2039/55555;;A61K2039/55572;;A61K2039/55583</t>
  </si>
  <si>
    <t>A61P31/04;;A61K9/127;;A61K39/00;;A61K39/02;;A61K39/095;;A61K39/10</t>
  </si>
  <si>
    <t>https://lens.org/197-513-194-953-254</t>
  </si>
  <si>
    <t>022-977-401-901-529</t>
  </si>
  <si>
    <t>EP 1610847 B1</t>
  </si>
  <si>
    <t>DOSE DIAL AND DRIVE MECHANISM SUITABLE FOR USE IN DRUG DELIVERY DEVICES</t>
  </si>
  <si>
    <t>A61M5/3158;;A61M5/24;;A61M5/31535;;A61M5/31553;;A61M5/315;;A61M5/3158;;A61M5/24;;A61M5/31535;;A61M5/31553</t>
  </si>
  <si>
    <t>https://lens.org/022-977-401-901-529</t>
  </si>
  <si>
    <t>183-569-706-700-619</t>
  </si>
  <si>
    <t>EP 2593094 B1</t>
  </si>
  <si>
    <t>A. NATTERMANN &amp; CIE. GMBH (2024-04-05);;A. NATTERMANN &amp; CIE GMBH, DE (2024-03-04);;A. NATTERMANN &amp; CIE. GESELLSCHAFT MIT BESCHRAEN, DE (2024-02-12);;SANOFI-AVENTIS DEUTSCHLAND GMBH (2017-11-29);;A. NATTERMANN &amp; CIE. GESELLSCHAFT MIT BESCHRAE, DE (2024-01-18);;A. NATTERMANN &amp; CIE. GMBH; DE (2024-11-22)</t>
  </si>
  <si>
    <t>AQUEOUS COMPOSITION COMPRISING BROMHEXINE</t>
  </si>
  <si>
    <t>A61K31/137;;A61K9/0095;;A61K9/08;;A61P11/00;;A61P11/12;;A61P11/14;;A61K47/10;;A61K9/08;;A61K31/137;;A61K31/137;;A61K9/0095;;A61K9/08</t>
  </si>
  <si>
    <t>A61K31/137;;A61K9/00</t>
  </si>
  <si>
    <t>https://lens.org/183-569-706-700-619</t>
  </si>
  <si>
    <t>065-606-586-878-261</t>
  </si>
  <si>
    <t>EP 2310495 B1</t>
  </si>
  <si>
    <t>SANOFI PASTEUR BIOLOGICS, LLC (2012-08-22)</t>
  </si>
  <si>
    <t>COMPOSITIONS AND METHODS FOR THE PRODUCTION OF ALPHA-HERPESVIRUS 2</t>
  </si>
  <si>
    <t>C12N7/00;;C12N5/0018;;C12N2500/34;;C12N2500/36;;C12N2500/76;;C12N2710/16051;;C12N2710/16052;;C12N7/00;;C12N5/0018;;C12N2500/34;;C12N2500/36;;C12N2500/76;;C12N2710/16051;;C12N2710/16052</t>
  </si>
  <si>
    <t>C12N7/00;;C12N5/00;;C12N7/01;;C12N7/02</t>
  </si>
  <si>
    <t>https://lens.org/065-606-586-878-261</t>
  </si>
  <si>
    <t>141-857-346-627-878</t>
  </si>
  <si>
    <t>EP 2766039 B1</t>
  </si>
  <si>
    <t>REGENERON PHARMACEUTICALS, INC. (2016-06-08);;SANOFI BIOTECHNOLOGY (2016-06-08)</t>
  </si>
  <si>
    <t>COMPOSITIONS FOR THE TREATMENT OF RHEUMATOID ARTHRITIS AND METHODS OF USING THE SAME</t>
  </si>
  <si>
    <t>A61K39/39541;;A61K31/42;;A61K31/519;;A61K31/655;;A61K45/06;;C07K16/2866;;A61P19/00;;A61P19/02;;A61P29/00;;A61P37/02;;A61P43/00;;A61K31/42;;A61K31/421;;A61K31/4402;;A61K31/4706;;A61K31/519;;A61K31/655;;A61K39/395;;A61K39/39541;;A61K39/3955;;A61K45/06;;A61K2039/545;;A61K2300/00;;A61P19/00;;A61P19/02;;A61P29/00;;A61P37/02;;A61P43/00;;B21D22/022;;B21J1/06;;C07K16/2866;;C22C19/05;;C22C19/058;;C22F1/10;;A61K31/635;;A61K2039/54;;A61P19/02;;A61P29/00;;C07K16/2866;;A61K2300/00;;A61K39/39541;;A61K45/06;;A61K31/42;;A61K31/519;;A61K31/655;;A61K39/395;;A61K39/39541;;A61K31/42;;A61K31/519;;A61K31/655;;A61K45/06;;A61K31/4706;;A61K31/635;;A61K2039/54;;A61K2039/545;;C07K16/2866;;A61K39/3955;;B21D22/022;;B21J1/06;;C22C19/05;;C22C19/058;;C22F1/10</t>
  </si>
  <si>
    <t>A61K39/395;;A61K31/42;;A61K31/519;;A61K31/655;;A61K45/06;;A61P19/02;;C07K16/28</t>
  </si>
  <si>
    <t>https://lens.org/141-857-346-627-878</t>
  </si>
  <si>
    <t>089-844-603-976-870</t>
  </si>
  <si>
    <t>EP 2688555 B1</t>
  </si>
  <si>
    <t>SANOFI-AVENTIS DEUTSCHLAND GMBH (2017-10-11);;A. NATTERMANN &amp; CIE. GESELLSCHAFT MIT BESCHRAE, DE (2024-01-18)</t>
  </si>
  <si>
    <t>SOLID AMBROXOL-CONTAINING PREPARATION</t>
  </si>
  <si>
    <t>A61K31/137;;A61K9/1617;;A61K9/1694;;A61P11/10;;A61P11/12;;A61K31/137;;A61K9/1617;;A61K9/1694</t>
  </si>
  <si>
    <t>A61K9/16;;A61K31/137</t>
  </si>
  <si>
    <t>https://lens.org/089-844-603-976-870</t>
  </si>
  <si>
    <t>095-841-756-978-547</t>
  </si>
  <si>
    <t>EP 2198007 B1</t>
  </si>
  <si>
    <t>PHARMACEUTICAL COMPOSITIONS CONTAINING CLOSTRIDIUM DIFFICILE TOXOIDS A AND B</t>
  </si>
  <si>
    <t>A61K39/08;;A61K9/0019;;A61K9/19;;A61K39/00;;A61K47/12;;A61K47/183;;A61K47/26;;A61K2039/55505;;A61K39/08;;A61K9/0019;;A61K9/19;;A61K39/00;;A61K47/08;;A61K47/12;;A61K47/26;;A61P1/00;;A61P1/04;;A61P1/12;;A61P31/00;;A61P31/04;;A61P37/04;;A61K39/08;;A61K9/0019;;A61K9/19;;A61K39/00;;A61K47/08;;A61K47/12;;A61K47/26;;A61K2039/55505</t>
  </si>
  <si>
    <t>A61K39/08;;A61K47/26</t>
  </si>
  <si>
    <t>https://lens.org/095-841-756-978-547</t>
  </si>
  <si>
    <t>018-796-148-404-686</t>
  </si>
  <si>
    <t>EP 3230444 A1</t>
  </si>
  <si>
    <t>SANOFI PASTEUR (2018-01-10)</t>
  </si>
  <si>
    <t>NEISSERIA MENINGITIDIS TRYPSIN-LIKE SERINE PROTEASE POLYPEPTIDES AND COMPOSITIONS THEREOF</t>
  </si>
  <si>
    <t>C12N9/52;;C12Y304/21072;;A61K39/095;;C07K2319/40;;C12N9/52;;C12Y304/21072</t>
  </si>
  <si>
    <t>C12N9/52;;C12N15/70</t>
  </si>
  <si>
    <t>https://lens.org/018-796-148-404-686</t>
  </si>
  <si>
    <t>009-341-003-336-283</t>
  </si>
  <si>
    <t>EP 3229834 A2</t>
  </si>
  <si>
    <t>MENINGITIDIS VACCINES COMPRISING SUBTILINASES</t>
  </si>
  <si>
    <t>A61K39/095;;C07K14/22;;C12N9/52;;A61K39/095;;A61K2039/575;;C07K14/22;;C07K2319/10;;C07K2319/21;;C07K2319/40;;C07K2319/50;;C12N9/52</t>
  </si>
  <si>
    <t>A61K39/095;;C07K14/22</t>
  </si>
  <si>
    <t>https://lens.org/009-341-003-336-283</t>
  </si>
  <si>
    <t>105-523-200-721-479</t>
  </si>
  <si>
    <t>EP 3229835 A1</t>
  </si>
  <si>
    <t>COMPOSITIONS COMPRISING N. MENINGITIDIS PROTEINS</t>
  </si>
  <si>
    <t>A61K39/095;;A61K2039/55555;;A61K2039/55566;;A61K2039/575;;A61K2039/70;;C07K14/22;;A61K39/095;;A61K2039/55555;;A61K2039/55566;;A61K2039/575;;A61K2039/70;;C07K14/22;;C07K2319/40;;C07K2319/50</t>
  </si>
  <si>
    <t>https://lens.org/105-523-200-721-479</t>
  </si>
  <si>
    <t>039-693-474-355-672</t>
  </si>
  <si>
    <t>EP 2373362 B1</t>
  </si>
  <si>
    <t>SANOFI-AVENTIS DEUTSCHLAND GMBH, DE (2019-04-29)</t>
  </si>
  <si>
    <t>INJECTION DEVICE WITH HOLDING MEANS TO PREVENT UNINTENTIONAL MOVEMENTS OF PISTON ROD</t>
  </si>
  <si>
    <t>A61M5/31551;;A61M5/24;;A61M5/31505;;A61M5/31535;;A61M5/31558;;A61M5/31585;;A61M2005/2407;;A61M2005/2488;;A61M2005/3151;;A61M2005/3152;;A61M2205/583;;A61M5/31505;;A61M5/178;;A61M5/315;;A61M5/31501;;A61M5/31535;;A61M5/31536;;A61M5/31551;;A61M5/31585;;A61M2005/2488;;A61M5/31551;;A61M5/24;;A61M5/31505;;A61M5/31535;;A61M5/31536;;A61M5/31558;;A61M5/31585;;A61M2005/2407;;A61M2005/2488;;A61M2005/3151;;A61M2005/3152;;A61M2205/583</t>
  </si>
  <si>
    <t>https://lens.org/039-693-474-355-672</t>
  </si>
  <si>
    <t>036-345-072-404-400</t>
  </si>
  <si>
    <t>EP 2953975 B1</t>
  </si>
  <si>
    <t>SANOFI SA;;UNIV LELAND STANFORD JUNIOR</t>
  </si>
  <si>
    <t>THE BOARD OF TRUSTEES OF THE LELAND STANFORD JUNIO (2016-12-28);;SANOFI (2016-12-28)</t>
  </si>
  <si>
    <t>IMMUNO IMAGING AGENT FOR USE WITH ANTIBODY-DRUG CONJUGATE THERAPY</t>
  </si>
  <si>
    <t>A61K51/1027;;A61K2039/505;;C07K16/3092;;C07K16/44;;C07K2317/24;;C07K2317/624;;C07K2317/626</t>
  </si>
  <si>
    <t>C07K16/30;;A61K51/10;;C07K16/44</t>
  </si>
  <si>
    <t>https://lens.org/036-345-072-404-400</t>
  </si>
  <si>
    <t>073-086-917-219-142</t>
  </si>
  <si>
    <t>EP 3027176 B1</t>
  </si>
  <si>
    <t>PHARMACEUTICAL TABLET COMPRISING ACETYLSALICYLIC ACID AND CLOPIDOGREL</t>
  </si>
  <si>
    <t>A61K31/60;;A61K9/209;;A61K9/2095;;A61K9/282;;A61K9/2886;;A61K31/4365;;A61P7/02;;A61P9/10;;A61P43/00</t>
  </si>
  <si>
    <t>A61K9/24;;A61K9/20;;A61K9/28;;A61K31/4365;;A61K31/60</t>
  </si>
  <si>
    <t>https://lens.org/073-086-917-219-142</t>
  </si>
  <si>
    <t>078-131-488-728-37X</t>
  </si>
  <si>
    <t>EP 2137193 B1</t>
  </si>
  <si>
    <t>SUBSTITUTED DIHYDRO AND TETRAHYDRO OXAZOLOPYRIMIDINONES, PREPARATION AND USE THEREOF</t>
  </si>
  <si>
    <t>C07D498/04;;C07D498/04;;A61P1/08;;A61P25/00;;A61P25/02;;A61P25/04;;A61P25/06;;A61P25/08;;A61P25/18;;A61P25/20;;A61P25/22;;A61P25/24;;A61P25/28;;A61P29/00;;C07D498/04;;C07D498/04</t>
  </si>
  <si>
    <t>C07D498/04;;A61K31/519;;A61P25/06;;A61P25/18;;A61P25/24;;A61P29/00</t>
  </si>
  <si>
    <t>https://lens.org/078-131-488-728-37X</t>
  </si>
  <si>
    <t>063-850-863-522-741</t>
  </si>
  <si>
    <t>EP 1891049 B1</t>
  </si>
  <si>
    <t>METHOD FOR PRODUCING 2-(2-AMINO-PYRIMIDIN-4-YL)-1H-INDOLE-5-CARBOXYLIC ACID DERIVATIVES</t>
  </si>
  <si>
    <t>C07D403/04;;Y02P20/55;;C07F7/10;;C07D403/04;;C07F5/025;;Y02P20/55</t>
  </si>
  <si>
    <t>https://lens.org/063-850-863-522-741</t>
  </si>
  <si>
    <t>092-222-279-889-223</t>
  </si>
  <si>
    <t>EP 3188751 A1</t>
  </si>
  <si>
    <t>VACCINE COMPOSITIONS AGAINST DENGUE VIRUS DISEASES</t>
  </si>
  <si>
    <t>A61K39/12;;A61K2039/5252;;A61K2039/5254;;A61K2039/5256;;A61K2039/5258;;A61K2039/70;;C12N2770/24134;;A61K39/12;;A61K39/295;;A61K2039/5252;;A61K2039/5254;;A61K2039/5256;;A61K2039/5258;;A61P31/14;;A61P37/04;;C12N2770/24134;;C12N2770/24144;;Y02A50/30;;A61K39/12;;A61K39/295;;A61K2039/5254;;A61K2039/5256;;A61K2039/545;;A61K2039/70;;A61P31/14;;C12N2770/24134;;C12N2770/24144;;A61K39/12;;A61K2039/5252;;A61K2039/5254;;A61K2039/5256;;A61K2039/5258;;C12N7/00;;C12N2770/24123;;C12N2770/24134;;C12N2770/24144;;Y02A50/30</t>
  </si>
  <si>
    <t>A61K39/12;;A61K39/00;;A61K39/295</t>
  </si>
  <si>
    <t>https://lens.org/092-222-279-889-223</t>
  </si>
  <si>
    <t>186-286-049-082-273</t>
  </si>
  <si>
    <t>EP 1706016 A4</t>
  </si>
  <si>
    <t>IMPROVED PENETRATING MEMBER CONTROL USING AUTO-PRE-TENT</t>
  </si>
  <si>
    <t>A61B5/157;;A61B5/150022;;A61B5/150152;;A61B5/150167;;A61B5/150175;;A61B5/150427;;A61B5/150503;;A61B5/15113;;A61B5/15117;;A61B5/15123;;A61B5/15151;;A61B5/15161;;A61B5/15176</t>
  </si>
  <si>
    <t>A61B5/15;;A61B5/151;;A61B5/157</t>
  </si>
  <si>
    <t>https://lens.org/186-286-049-082-273</t>
  </si>
  <si>
    <t>054-044-409-120-31X</t>
  </si>
  <si>
    <t>EP 2755944 B1</t>
  </si>
  <si>
    <t>SANOFI (2016-08-03)</t>
  </si>
  <si>
    <t>BIARYLDERIVATIVES,THEIR PREPARATION AND THEIR THERAPEUTIC APPLICATION</t>
  </si>
  <si>
    <t>C07C217/84;;A61K31/165;;A61K31/196;;A61K31/216;;A61K31/277;;A61K31/5375;;A61P27/00;;A61P27/06;;C07C65/105;;C07C65/24;;C07C215/76;;C07C233/75;;C07C235/20;;C07C235/56;;C07C237/30;;C07C255/57;;C07C255/58;;C07C255/59;;C07D295/088;;C07C217/84;;A61K9/0014;;A61K9/0048;;A61K31/165;;A61K31/196;;A61K31/216;;A61K31/277;;A61K31/5375;;A61K45/06;;C07C63/72;;C07C65/105;;C07C65/24;;C07C213/02;;C07C213/08;;C07C215/76;;C07C233/75;;C07C235/20;;C07C235/56;;C07C237/30;;C07C253/30;;C07C255/57;;C07C255/58;;C07C255/59;;C07D295/088</t>
  </si>
  <si>
    <t>C07C215/76;;A61K31/165;;A61P27/06;;C07C65/105;;C07C65/24;;C07C217/84;;C07C233/75;;C07C255/57;;C07C255/58;;C07C255/59;;C07D295/088</t>
  </si>
  <si>
    <t>https://lens.org/054-044-409-120-31X</t>
  </si>
  <si>
    <t>180-787-993-311-582</t>
  </si>
  <si>
    <t>EP 2066343 B1</t>
  </si>
  <si>
    <t>SANOFI PASTEUR BIOLOGICS, LLC (2012-09-19)</t>
  </si>
  <si>
    <t>NOVEL NEUTRALIZING IMMUNOGEN (NIMIV) OF RHINOVIRUS AND ITS USE FOR VACCINE APPLICATIONS</t>
  </si>
  <si>
    <t>A61K39/125;;A61K39/12;;A61K2039/525;;A61K2039/55505;;A61K2039/6081;;A61P31/14;;A61P31/16;;A61P37/04;;C07K14/005;;C07K16/106;;C12N2770/32722;;C12N2770/32734;;C12N15/11;;A61K39/12;;A61K39/125;;A61K39/12;;A61K2039/525;;A61K2039/55505;;A61K2039/6081;;C07K14/005;;C07K16/106;;C12N2770/32722;;C12N2770/32734</t>
  </si>
  <si>
    <t>A61K39/12;;A61K35/76;;A61K39/00;;C12N15/00</t>
  </si>
  <si>
    <t>https://lens.org/180-787-993-311-582</t>
  </si>
  <si>
    <t>095-259-212-975-803</t>
  </si>
  <si>
    <t>EP 2321314 B1</t>
  </si>
  <si>
    <t>MITSUBISHI TANABE PHARMA CORP;;SANOFI SA</t>
  </si>
  <si>
    <t>SANOFI (2016-11-30);;MITSUBISHI TANABE PHARMA CORPORATION (2016-11-30)</t>
  </si>
  <si>
    <t>SUBSTITUTED PYRIMIDONE DERIVATIVES</t>
  </si>
  <si>
    <t>C07D471/04;;A61K31/519;;A61P3/00;;A61P3/04;;A61P3/06;;A61P3/10;;A61P7/00;;A61P9/00;;A61P9/10;;A61P13/12;;A61P17/00;;A61P17/02;;A61P17/14;;A61P19/00;;A61P19/08;;A61P25/00;;A61P25/02;;A61P25/16;;A61P25/18;;A61P25/24;;A61P25/28;;A61P27/00;;A61P27/02;;A61P27/06;;A61P33/06;;A61P35/00;;A61P35/02;;A61P37/00;;A61P37/06;;A61P43/00;;Y02A50/30;;C07D471/04;;A61K31/519;;C07D471/04;;A61K31/519;;Y02A50/30</t>
  </si>
  <si>
    <t>C07D471/04;;A61K31/519;;A61P25/00</t>
  </si>
  <si>
    <t>https://lens.org/095-259-212-975-803</t>
  </si>
  <si>
    <t>194-721-715-413-577</t>
  </si>
  <si>
    <t>EP 2370096 B1</t>
  </si>
  <si>
    <t>SANOFI; FR (2025-04-11);;SANOFI (2012-05-02)</t>
  </si>
  <si>
    <t>ANTITUMOR COMBINATIONS CONTAINING CYTARABINE AND ANTIBODIES RECOGNIZING SPECIFICALLY CD38</t>
  </si>
  <si>
    <t>A61K31/7068;;A61K39/39558;;C07K16/2896;;C07K2317/565;;C07K2317/56;;C07K2317/24;;A61K31/00;;A61K31/7068;;A61K39/39558;;C07K16/2896;;C07K2317/24;;C07K2317/56;;C07K2317/565;;A61K31/475;;A61K39/395;;A61P35/00;;A61P35/02;;A61P43/00;;A61K39/395;;A61K31/7068;;A61K31/475;;A61K39/39558;;A61K38/08;;A61K38/10;;A61K38/16;;A61P35/00;;A61P35/02;;C07K16/2896;;C07K2317/24;;C07K2317/56;;C07K2317/565;;A61K31/7068;;C07K2317/24;;C07K16/2896;;A61K39/39558;;C07K2317/565;;C07K2317/56;;A61K31/00;;A61K39/395;;A61K31/475</t>
  </si>
  <si>
    <t>A61K39/395;;A61K31/7068;;A61P35/00</t>
  </si>
  <si>
    <t>https://lens.org/194-721-715-413-577</t>
  </si>
  <si>
    <t>116-194-935-015-975</t>
  </si>
  <si>
    <t>EP 3171954 A1</t>
  </si>
  <si>
    <t>SANOFI PASTEUR SA (2018-04-11)</t>
  </si>
  <si>
    <t>LIQUID FEEDING DEVICE FOR THE GENERATION OF DROPLETS AND ITS USE FOR PRODUCING A VACCINE COMPOSITION</t>
  </si>
  <si>
    <t>B01D1/18;;A61K39/00;;B01D1/18;;A61K39/00;;B01J2/04;;B01J2/18;;B01D1/18;;A61K39/00;;B01J2/04;;B01J2/18;;F26B5/065;;A61K9/19;;A61K39/00;;B01D1/18;;B01J2/04;;B01J2/18</t>
  </si>
  <si>
    <t>B01J2/04;;A61K9/19;;A61K39/00;;B01D1/18;;B01J2/18;;F26B5/06</t>
  </si>
  <si>
    <t>https://lens.org/116-194-935-015-975</t>
  </si>
  <si>
    <t>052-598-035-754-976</t>
  </si>
  <si>
    <t>EP 2598507 B1</t>
  </si>
  <si>
    <t>ANTICANCER DERIVATIVES, PREPARATION THEREOF AND THERAPEUTIC USE THEREOF</t>
  </si>
  <si>
    <t>C07K16/40;;A61K31/5513;;A61K47/60;;A61P35/00;;C07D207/20;;C07D243/14;;C07D487/04;;C07D519/00;;C07K16/2866;;C07D487/04;;A61K31/5517;;C07K16/40;;A61K31/5513;;A61K47/60;;C07D207/20;;C07D243/14;;C07D487/04;;C07D519/00;;C07K16/2866</t>
  </si>
  <si>
    <t>C07D487/04;;A61K31/5513;;A61P35/00;;C07D207/20;;C07D243/14;;C07D519/00;;C07K16/40</t>
  </si>
  <si>
    <t>https://lens.org/052-598-035-754-976</t>
  </si>
  <si>
    <t>131-139-480-257-119</t>
  </si>
  <si>
    <t>EP 2701724 B1</t>
  </si>
  <si>
    <t>COMPOSITION COMPRISING AFLIBERCEPT, FOLINIC ACID, 5-FLUOROURACIL (5-FU) AND IRINOCETAN (FOLFIRI)</t>
  </si>
  <si>
    <t>A61K9/0019;;A61K31/4745;;A61K31/513;;A61K31/519;;A61K38/00;;A61K38/178;;A61P1/00;;A61P35/00;;A61P35/04;;A61P43/00;;A61K38/17;;A61K31/4745;;A61K31/513;;A61K31/519;;A61K38/178;;A61K2300/00;;A61P35/00;;A61K38/179;;A61K9/0019;;A61K31/4745;;A61K31/513;;A61K31/519;;A61K38/00;;A61K38/17</t>
  </si>
  <si>
    <t>A61K38/17;;A61K31/4745;;A61K31/505;;A61K31/519;;A61P35/00</t>
  </si>
  <si>
    <t>https://lens.org/131-139-480-257-119</t>
  </si>
  <si>
    <t>042-733-566-101-575</t>
  </si>
  <si>
    <t>EP 2303270 B1</t>
  </si>
  <si>
    <t>SANOFI, FR (2025-09-28);;SANOFI; FR (2025-04-11);;SANOFI (2012-05-02);;SANOFI, PARIS, FR (2025-01-13)</t>
  </si>
  <si>
    <t>ACYLAMINO-SUBSTITUTED FUSED CYCLOPENTANECARBOXYLIC ACID DERIVATIVES AND THEIR USE AS PHARMACEUTICALS</t>
  </si>
  <si>
    <t>C07C235/54;;C07C235/62;;C07C309/73;;C07C317/46;;C07C323/19;;C07C323/62;;C07C325/02;;C07D207/09;;C07D213/30;;C07D221/04;;C07D241/38;;C07D277/24;;C07D305/06;;C07D333/38;;C07D333/78;;C07C231/02;;C07C253/30;;C07C255/54;;C07C315/04;;C07C317/22;;C07C319/20;;C07D207/06;;C07D207/08;;C07D207/27;;C07D209/44;;C07D211/22;;C07D213/65;;C07D213/68;;C07D213/75;;C07D213/81;;C07D213/82;;C07D231/12;;C07D233/60;;C07D233/84;;C07D235/12;;C07D241/36;;C07D249/06;;C07D261/20;;C07D263/32;;C07D271/08;;C07D277/56;;C07D285/06;;C07D295/084;;C07D307/12;;C07D319/06;;C07D319/20;;C07D333/32;;C07D333/56;;C07D401/04;;C07D417/04;;C07D453/02;;C07C235/84;;C07C237/38;;C07C255/54;;C07C255/57;;C07C255/58;;C07C307/10;;C07C309/73;;C07C311/08;;C07C317/22;;C07C317/46;;C07C323/12;;C07C323/19;;C07C323/62;;C07D207/08;;C07D207/09;;C07D209/12;;C07D209/44;;C07D211/22;;C07D213/30;;C07D213/68;;C07D213/74;;C07D213/75;;C07D213/81;;C07D221/04;;C07D231/12;;C07D233/54;;C07D233/84;;C07D235/12;;C07D241/38;;C07D249/06;;C07D261/04;;C07D261/20;;C07D263/32;;C07D271/08;;C07D277/24;;C07D277/56;;C07D285/06;;C07D295/08;;C07D295/20;;C07D305/06;;C07D307/12;;C07D309/06;;C07D319/06;;C07D319/12;;C07D333/16;;C07D333/56;;C07D413/04;;C07D417/04;;C07D471/08;;C07C2601/02;;C07C2601/08;;C07C2601/14;;C07C2602/08;;C07C235/54;;C07D333/78;;C07D207/263;;C07D213/65;;C07D213/73;;C07D233/64;;C07D235/18;;C07D319/20;;C07D453/02;;C07D213/82;;C07D333/38;;A61K31/196;;A61K31/216;;A61K31/277;;A61K31/381;;A61K31/439;;A61K31/44;;A61K31/4409;;A61K31/445;;A61K31/495;;A61K31/4965;;A61P1/16;;A61P11/00;;A61P11/06;;A61P11/16;;A61P13/00;;A61P13/12;;A61P17/00;;A61P17/02;;A61P17/04;;A61P17/06;;A61P19/00;;A61P19/02;;A61P25/00;;A61P25/02;;A61P25/04;;A61P25/18;;A61P25/28;;A61P27/02;;A61P29/00;;A61P3/00;;A61P35/00;;A61P35/04;;A61P37/00;;A61P37/02;;A61P37/08;;A61P43/00;;A61P5/00;;A61P5/14;;A61P5/16;;A61P7/02;;A61P9/00;;A61P9/04;;A61P9/08;;A61P9/10;;A61P9/12;;A61P9/14;;C07C235/84;;C07C237/38;;C07C255/54;;C07C255/57;;C07C255/58;;C07C307/10;;C07C309/73;;C07C311/08;;C07C317/22;;C07C317/46;;C07C323/12;;C07C323/19;;C07C323/62;;C07D207/08;;C07D207/09;;C07D209/12;;C07D209/44;;C07D211/22;;C07D213/30;;C07D213/68;;C07D213/74;;C07D213/75;;C07D213/81;;C07D221/04;;C07D231/12;;C07D233/54;;C07D233/84;;C07D235/12;;C07D241/38;;C07D249/06;;C07D261/04;;C07D261/20;;C07D263/32;;C07D271/08;;C07D277/24;;C07D277/56;;C07D285/06;;C07D295/08;;C07D295/20;;C07D305/06;;C07D307/12;;C07D309/06;;C07D319/06;;C07D319/12;;C07D333/16;;C07D333/56;;C07D413/04;;C07D417/04;;C07D471/08;;C07C2601/02;;C07C2601/14;;C07C2601/08;;C07C2602/08;;C07C235/54;;C07D333/78;;A61K31/196;;A61K31/216;;A61K31/277;;A61K31/381;;A61K31/439;;A61K31/44;;A61K31/4409;;A61K31/445;;A61K31/495;;A61K31/4965;;C07C231/02;;C07C235/62;;C07C319/20;;C07C323/42;;C07D213/82;;C07D333/38;;C07C315/04;;C07C319/12;;C07C321/26;;C07D207/263;;C07D213/65;;C07D213/73;;C07D233/64;;C07D235/18;;C07D319/20;;C07D453/02</t>
  </si>
  <si>
    <t>A61K31/4402;;A61K31/16;;A61K31/38;;A61P9/00;;A61P29/00;;C07C235/54;;C07C235/84;;C07C323/19;;C07C323/62;;C07D213/64;;C07D277/56;;C07D333/32;;C07D333/80</t>
  </si>
  <si>
    <t>https://lens.org/042-733-566-101-575</t>
  </si>
  <si>
    <t>034-660-376-389-18X</t>
  </si>
  <si>
    <t>EP 2874625 B1</t>
  </si>
  <si>
    <t>SANOFI, FR (2025-09-28);;SANOFI; FR (2025-04-11);;SANOFI, PARIS, FR (2025-01-14)</t>
  </si>
  <si>
    <t>USE OF VEGFR-3 INHIBITORS FOR TREATING HEPATOCELLULAR CARCINOMA</t>
  </si>
  <si>
    <t>C07D471/04;;A61K31/4375;;A61P1/16;;A61P35/00;;A61K31/4375;;A61P35/00;;C07D471/04;;A61K31/4375</t>
  </si>
  <si>
    <t>A61K31/4375;;A61P35/00</t>
  </si>
  <si>
    <t>https://lens.org/034-660-376-389-18X</t>
  </si>
  <si>
    <t>165-965-334-798-775</t>
  </si>
  <si>
    <t>EP 3160502 A2</t>
  </si>
  <si>
    <t>SANOFI (2026-05-20)</t>
  </si>
  <si>
    <t>ANTI-IL4-IL 13 BISPECIFIC ANTIBODIES</t>
  </si>
  <si>
    <t>C07K16/244;;C07K16/247;;A61K2039/545;;A61K2039/505;;C07K2317/33;;C07K2317/31;;C07K2317/76;;C07K2317/90;;C07K16/244;;A61K2039/505;;A61K2039/545;;C07K2317/31;;C07K2317/33;;C07K2317/76;;C07K2317/90;;A61K39/02;;A61K39/395;;C07K16/247;;A61P11/00;;A61K39/02;;A61K39/395;;A61K2039/505;;A61K2039/54;;A61K2039/545;;C07K14/521;;C07K16/244;;C07K16/247;;C07K16/468;;C07K2317/31;;C07K2317/33;;C07K2317/76;;C07K2317/90;;C07K2317/92;;C07K2317/94;;G01N33/6893;;G01N2333/521;;G01N2800/52;;C07K16/244;;C07K16/247;;A61K2039/505;;A61K2039/545;;C07K2317/31;;C07K2317/33;;C07K2317/76;;C07K2317/90;;C07K16/244;;A61K2039/505;;A61K2039/545;;C07K2317/31;;C07K2317/33;;C07K2317/90;;C07K2317/76;;A61K39/02;;A61K39/395;;C07K16/247;;A61K2039/54;;C07K14/521;;C07K16/468;;C07K2317/92;;C07K2317/94;;G01N33/6893;;G01N2333/521;;G01N2800/52</t>
  </si>
  <si>
    <t>A61K39/395</t>
  </si>
  <si>
    <t>https://lens.org/165-965-334-798-775</t>
  </si>
  <si>
    <t>078-173-404-166-935</t>
  </si>
  <si>
    <t>EP 2260097 B1</t>
  </si>
  <si>
    <t>SANOFI PASTEUR VAXDESIGN CORP</t>
  </si>
  <si>
    <t>SANOFI PASTEUR VAXDESIGN CORPORATION (2012-03-07)</t>
  </si>
  <si>
    <t>DISEASE MODEL INCORPORATION INTO AN ARTIFICIAL IMMUNE SYSTEM (AIS)</t>
  </si>
  <si>
    <t>C12N5/0697;;C12N5/0651;;C12N2502/091;;C12N2502/094;;C12N2502/1107;;C12N2502/1114;;C12N2502/1121;;C12N2502/1192;;C12N2502/30;;C12N2503/04;;G01N33/5082</t>
  </si>
  <si>
    <t>C12N5/00</t>
  </si>
  <si>
    <t>https://lens.org/078-173-404-166-935</t>
  </si>
  <si>
    <t>060-249-178-261-727</t>
  </si>
  <si>
    <t>EP 2477611 B1</t>
  </si>
  <si>
    <t>SANOFI-AVENTIS DEUTSCHLAND GMBH, FRANKFURT AM , DE (2019-08-14);;SANOFI-AVENTIS DEUTSCHLAND GMBH., DE (2022-10-28);;SANOFI-AVENTIS DEUTSCHLAND GMBH (2019-08-14);;SANOFI-AVENTIS DEUTSCHLAND GMBH; DE (2019-05-17)</t>
  </si>
  <si>
    <t>(Z)-2-CYANO-3-HYDROXY-BUT-2-ENOIC ACID-(4'-TRIFLUORMETHYLPHENYL)-AMIDE TABLET FORMULATIONS WITH IMPROVED STABILITY</t>
  </si>
  <si>
    <t>A61K9/2013;;A61K9/2054;;A61K9/2059;;A61K31/277;;A61P11/02;;A61P11/06;;A61P17/00;;A61P17/06;;A61P19/02;;A61P19/04;;A61P25/00;;A61P27/02;;A61P29/00;;A61P3/02;;A61P31/00;;A61P31/04;;A61P35/00;;A61P35/02;;A61P37/00;;A61P37/02;;A61P37/06;;A61P37/08;;A61P7/00;;A61K9/2013;;A61K9/2054;;A61K9/2059;;A61K31/277;;C07C255/44;;A61K9/20;;A61K31/277;;A61K9/16;;A61K9/2054;;A61K9/2059;;A61K31/277;;A61K47/36;;A61K9/2013;;A61K9/2054;;A61K9/2059;;A61K31/277;;C07C255/44</t>
  </si>
  <si>
    <t>A61K9/20;;A61K31/277</t>
  </si>
  <si>
    <t>https://lens.org/060-249-178-261-727</t>
  </si>
  <si>
    <t>020-122-576-822-826</t>
  </si>
  <si>
    <t>EP 2576507 B1</t>
  </si>
  <si>
    <t>SANOFI (2013-04-17)</t>
  </si>
  <si>
    <t>HEXAFLUOROISOPROPYL CARBAMATE DERIVATIVES, THEIR PREPARATION AND THEIR THERAPEUTIC APPLICATION</t>
  </si>
  <si>
    <t>C07D205/04;;A61P1/00;;A61P1/04;;A61P1/08;;A61P1/14;;A61P1/16;;A61P3/00;;A61P3/04;;A61P3/06;;A61P9/00;;A61P9/10;;A61P11/00;;A61P13/00;;A61P13/02;;A61P13/10;;A61P13/12;;A61P19/10;;A61P25/00;;A61P25/04;;A61P25/08;;A61P25/18;;A61P25/20;;A61P25/28;;A61P27/02;;A61P29/00;;A61P31/04;;A61P31/12;;A61P33/00;;A61P35/00;;A61P37/00;;A61P37/02;;A61P37/08;;A61P43/00;;C07D207/12;;C07D207/14;;C07D207/16;;C07D211/16;;C07D211/18;;C07D211/22;;C07D211/32;;C07D211/34;;C07D211/46;;C07D211/54;;C07D211/58;;C07D211/62;;C07D239/42;;C07D249/18;;C07D285/14;;C07D295/20;;C07D401/04;;C07D401/12;;C07D403/04;;C07D405/12;;C07D409/12;;C07D413/04;;C07D413/06;;C07D413/12;;C07D417/12;;C07D211/16;;A61K31/4436;;C07D211/18;;C07D211/22;;C07D211/32;;C07D211/34;;C07D211/46;;C07D211/54;;C07D211/58;;C07D211/62;;C07D401/04;;C07D205/04;;C07D207/12;;C07D207/14;;C07D207/16;;C07D211/16;;C07D211/18;;C07D211/22;;C07D211/32;;C07D211/34;;C07D211/46;;C07D211/54;;C07D211/58;;C07D211/62;;C07D239/42;;C07D249/18;;C07D285/14;;C07D295/20;;C07D401/04;;C07D401/12;;C07D403/04;;C07D405/12;;C07D409/12;;C07D413/04;;C07D413/06;;C07D413/12;;C07D417/12</t>
  </si>
  <si>
    <t>C07D205/04;;A61K31/445;;A61P25/00;;C07D207/12;;C07D207/14;;C07D207/16;;C07D211/16;;C07D211/18;;C07D211/22;;C07D211/32;;C07D211/34;;C07D211/46;;C07D211/54;;C07D211/58;;C07D211/62;;C07D239/42;;C07D249/18;;C07D285/14;;C07D295/20;;C07D401/12</t>
  </si>
  <si>
    <t>https://lens.org/020-122-576-822-826</t>
  </si>
  <si>
    <t>125-666-005-548-889</t>
  </si>
  <si>
    <t>EP 2125787 B1</t>
  </si>
  <si>
    <t>DERIVATIVES OF N-(HETEROARYL)-1-HETEROARYL-1H-INDOL-2-CARBOXAMIDS, PREPARATION THEREOF AND THERAPEUTIC USE THEREOF</t>
  </si>
  <si>
    <t>C07D401/14;;A61P1/02;;A61P1/04;;A61P1/14;;A61P1/16;;A61P1/18;;A61P3/00;;A61P3/10;;A61P7/04;;A61P9/10;;A61P11/00;;A61P11/06;;A61P11/08;;A61P11/14;;A61P13/00;;A61P13/02;;A61P13/10;;A61P13/12;;A61P15/00;;A61P17/00;;A61P17/02;;A61P17/04;;A61P17/06;;A61P17/16;;A61P19/02;;A61P25/00;;A61P25/04;;A61P25/06;;A61P25/24;;A61P27/02;;A61P29/00;;A61P31/22;;A61P43/00;;C07D401/14</t>
  </si>
  <si>
    <t>C07D401/14;;A61K31/4439;;A61P11/00;;A61P13/00;;A61P17/00;;A61P25/00</t>
  </si>
  <si>
    <t>https://lens.org/125-666-005-548-889</t>
  </si>
  <si>
    <t>130-146-887-768-788</t>
  </si>
  <si>
    <t>EP 1706026 B1</t>
  </si>
  <si>
    <t>METHOD AND APPARATUS FOR IMPROVING FLUIDIC FLOW AND SAMPLE CAPTURE</t>
  </si>
  <si>
    <t>A61B5/15101;;A61B5/150022;;A61B5/150152;;A61B5/150167;;A61B5/150175;;A61B5/150358;;A61B5/150427;;A61B5/150503;;A61B5/150572;;A61B5/15113;;A61B5/15123;;A61B5/15151;;A61B5/15161;;A61B5/15176;;A61B5/157;;A61B5/15101;;A61B5/1411;;A61B5/150022;;A61B5/150152;;A61B5/150167;;A61B5/150175;;A61B5/150358;;A61B5/150419;;A61B5/150427;;A61B5/15045;;A61B5/150503;;A61B5/150572;;A61B5/15113;;A61B5/15123;;A61B5/15151;;A61B5/15161;;A61B5/15176;;A61B5/157;;A61B2017/3437</t>
  </si>
  <si>
    <t>A61B5/15;;A61B5/00;;A61B5/151;;A61B5/157</t>
  </si>
  <si>
    <t>https://lens.org/130-146-887-768-788</t>
  </si>
  <si>
    <t>065-382-035-103-910</t>
  </si>
  <si>
    <t>EP 2125745 B1</t>
  </si>
  <si>
    <t>CYCLOALKYLAMINE SUBSTITUTED ISOQUINOLONE DERIVATIVES</t>
  </si>
  <si>
    <t>C07D217/24;;A61P1/16;;A61P3/00;;A61P3/04;;A61P3/06;;A61P3/10;;A61P5/00;;A61P7/02;;A61P9/00;;A61P9/04;;A61P9/10;;A61P9/12;;A61P11/00;;A61P11/06;;A61P13/08;;A61P13/12;;A61P15/06;;A61P15/08;;A61P15/10;;A61P19/00;;A61P19/08;;A61P19/10;;A61P25/00;;A61P25/02;;A61P25/04;;A61P25/08;;A61P25/28;;A61P27/02;;A61P27/06;;A61P29/00;;A61P31/04;;A61P31/18;;A61P35/00;;A61P37/00;;A61P37/02;;A61P37/06;;A61P43/00;;C07D401/12;;C07D401/12;;A61K31/472;;A61K31/5377;;C07D217/24;;C07D217/24;;C07D401/12</t>
  </si>
  <si>
    <t>C07D217/24;;A61K31/472;;A61K31/4725;;A61K31/5377;;C07D401/12</t>
  </si>
  <si>
    <t>https://lens.org/065-382-035-103-910</t>
  </si>
  <si>
    <t>146-604-443-866-80X</t>
  </si>
  <si>
    <t>EP 3129005 A1</t>
  </si>
  <si>
    <t>SANOFI SA;;ZENTIVA KS</t>
  </si>
  <si>
    <t>ZENTIVA K.S. (2017-08-23);;SANOFI (2017-08-23)</t>
  </si>
  <si>
    <t>FORMULATION OF APREPITANT WITH ENHANCED SOLUBILITY</t>
  </si>
  <si>
    <t>A61K9/146;;A61K31/5377</t>
  </si>
  <si>
    <t>A61K9/14;;A61K31/5377</t>
  </si>
  <si>
    <t>https://lens.org/146-604-443-866-80X</t>
  </si>
  <si>
    <t>160-021-543-658-891</t>
  </si>
  <si>
    <t>EP 2809669 B1</t>
  </si>
  <si>
    <t>FUSED PYRROLEDICARBOXAMIDES AND THEIR USE AS PHARMACEUTICALS</t>
  </si>
  <si>
    <t>C07D471/04;;C07D498/04;;C07D513/04;;C07D471/04;;A61P3/04;;A61P9/00;;A61P9/06;;A61P9/10;;A61P11/00;;A61P21/02;;A61P25/00;;A61P25/02;;A61P25/16;;A61P25/28;;A61P29/00;;A61P37/00;;A61P37/02;;A61P43/00;;C07D498/04;;C07D513/04;;A61K31/437;;A61K31/5365;;A61K31/5383;;C07D471/04;;C07D498/04;;C07D513/04;;C07D471/04;;C07D498/04;;C07D513/04</t>
  </si>
  <si>
    <t>C07D471/04;;A61K31/429;;A61K31/437;;A61K31/5365;;A61K31/5383;;A61K31/542;;A61P9/06;;A61P11/00;;C07D498/04;;C07D513/04</t>
  </si>
  <si>
    <t>https://lens.org/160-021-543-658-891</t>
  </si>
  <si>
    <t>104-953-072-293-054</t>
  </si>
  <si>
    <t>EP 1765152 B1</t>
  </si>
  <si>
    <t>APPARATUS FOR AN INTEGRATED SAMPLE CAPTURE AND ANALYSIS DISPOSABLE</t>
  </si>
  <si>
    <t>A61B5/15176;;A61B5/14532;;A61B5/1455;;A61B5/150022;;A61B5/150152;;A61B5/150167;;A61B5/150175;;A61B5/150213;;A61B5/150221;;A61B5/150358;;A61B5/150427;;A61B5/150503;;A61B5/150572;;A61B5/15117;;A61B5/15123;;A61B5/15146;;A61B5/15151;;A61B5/15161;;A61B5/157</t>
  </si>
  <si>
    <t>A61B5/00;;A61B5/15;;A61B5/155;;A61B17/14;;A61B17/32;;B65D81/00</t>
  </si>
  <si>
    <t>https://lens.org/104-953-072-293-054</t>
  </si>
  <si>
    <t>049-252-294-504-537</t>
  </si>
  <si>
    <t>EP 2922822 B1</t>
  </si>
  <si>
    <t>SANOFI, FR (2025-09-28);;SANOFI (2017-08-23)</t>
  </si>
  <si>
    <t>METHOD FOR PREPARING PHENYLOXYMETHYL-NITRO-IMIDAZOLE DERIVATIVES AND USE OF SAME</t>
  </si>
  <si>
    <t>C07D233/94;;C07D233/94;;C07D233/94</t>
  </si>
  <si>
    <t>C07D233/94</t>
  </si>
  <si>
    <t>https://lens.org/049-252-294-504-537</t>
  </si>
  <si>
    <t>006-377-843-780-163</t>
  </si>
  <si>
    <t>EP 2590654 B1</t>
  </si>
  <si>
    <t>EXELIXIS INC;;SANOFI SA;;UNIV VANDERBILT</t>
  </si>
  <si>
    <t>EXELIXIS, INC. (2013-10-23);;EXELIXIS, INC., ALAMEDA, US (2020-04-02);;VANDERBILT UNIVERSITY, NASHVILLE, US (2020-04-02);;SANOFI (2013-10-23);;VANDERBILT UNIVERSITY (2013-10-23)</t>
  </si>
  <si>
    <t>COMBINATIONS OF KINASE INHIBITORS FOR THE TREATMENT OF CANCER</t>
  </si>
  <si>
    <t>A61K31/498;;A61K31/517;;A61K31/63;;A61K31/7088;;A61K39/39558;;A61K45/06;;A61P35/00;;A61P35/02;;A61P43/00;;C07K16/32;;C07K2317/24;;C07K2317/34;;C07K2317/73;;C07K2317/76;;A61K31/498;;A61K31/517;;A61K31/63;;A61K39/395;;A61K39/3955;;A61K31/498;;A61K31/517;;A61K31/63;;A61K31/7088;;A61K39/39558;;A61K45/06;;A61K2039/505;;C07K16/32;;C07K2317/24;;C07K2317/34;;C07K2317/73;;C07K2317/76</t>
  </si>
  <si>
    <t>A61K31/498;;A61K31/517;;A61K31/63;;A61K31/7088;;A61K39/395;;A61K45/06;;A61P35/00</t>
  </si>
  <si>
    <t>https://lens.org/006-377-843-780-163</t>
  </si>
  <si>
    <t>133-635-911-118-598</t>
  </si>
  <si>
    <t>EP 2185525 B1</t>
  </si>
  <si>
    <t>PYRAZOLE 3,5 CARBOXYLATE DERIVATIVES PREPARATION AND THERAPEUTIC APPLICATION THEREOF</t>
  </si>
  <si>
    <t>C07D231/14;;A61P9/10;;A61P25/00;;A61P25/16;;A61P25/18;;A61P25/28;;C07D401/06;;C07D401/14;;C07D403/06;;C07D231/14;;C07D401/06;;C07D401/14;;C07D403/06</t>
  </si>
  <si>
    <t>A61K31/415;;A61K31/4439;;A61P25/00</t>
  </si>
  <si>
    <t>https://lens.org/133-635-911-118-598</t>
  </si>
  <si>
    <t>000-813-251-012-304</t>
  </si>
  <si>
    <t>EP 1585558 B1</t>
  </si>
  <si>
    <t>APPARATUS FOR LANCET ACTUATION</t>
  </si>
  <si>
    <t>G01N33/557;;A61B5/14532;;A61B5/14546;;A61B5/150022;;A61B5/150068;;A61B5/150083;;A61B5/150099;;A61B5/150152;;A61B5/150167;;A61B5/15019;;A61B5/150213;;A61B5/150221;;A61B5/150229;;A61B5/150358;;A61B5/150412;;A61B5/150435;;A61B5/150503;;A61B5/150572;;A61B5/150809;;A61B5/150824;;A61B5/150832;;A61B5/15087;;A61B5/150916;;A61B5/150954;;A61B5/151;;A61B5/15111;;A61B5/15113;;A61B5/15117;;A61B5/15123;;A61B5/15146;;A61B5/15151;;A61B5/15163;;A61B5/15169;;A61B5/15171;;A61B5/15174;;A61B5/15176;;A61B5/15184;;A61B5/15186;;A61B5/1519;;A61B5/15194;;A61B17/32093;;B01L3/5027;;B01L2200/10;;B01L2300/0663;;B01L2300/18;;G01N33/4905;;G01N33/557;;A61B5/14532;;A61B5/14546;;A61B5/150022;;A61B5/150068;;A61B5/150083;;A61B5/150099;;A61B5/150152;;A61B5/150167;;A61B5/15019;;A61B5/150213;;A61B5/150221;;A61B5/150229;;A61B5/150358;;A61B5/150412;;A61B5/150435;;A61B5/150503;;A61B5/150572;;A61B5/150809;;A61B5/150824;;A61B5/150832;;A61B5/15087;;A61B5/150916;;A61B5/150954;;A61B5/151;;A61B5/15111;;A61B5/15113;;A61B5/15117;;A61B5/15123;;A61B5/15146;;A61B5/15151;;A61B5/15163;;A61B5/15169;;A61B5/15171;;A61B5/15174;;A61B5/15176;;A61B5/15184;;A61B5/15186;;A61B5/1519;;A61B5/15194;;A61B17/32093;;B01L3/5027;;B01L2200/10;;B01L2300/0663;;B01L2300/18;;G01N33/4905</t>
  </si>
  <si>
    <t>A61B5/145;;A61B5/00;;A61B5/15;;A61B5/151;;A61B5/155;;A61B17/14;;A61B17/32;;A61B17/3209;;B01L3/00;;G01N33/49;;G01N33/557</t>
  </si>
  <si>
    <t>https://lens.org/000-813-251-012-304</t>
  </si>
  <si>
    <t>186-555-342-209-424</t>
  </si>
  <si>
    <t>EP 2173865 B1</t>
  </si>
  <si>
    <t>SANOFI PASTEUR, INC. (2016-10-12)</t>
  </si>
  <si>
    <t>APPARATUS AND METHOD FOR HARVESTING BIOLOGICS FROM EGGS</t>
  </si>
  <si>
    <t>A61K39/145;;A47J43/145;;A61K39/12;;C12N7/00;;C12N2760/16134;;C12N2760/16151;;A61K39/145;;A47J43/145;;A61K39/12;;C12N7/00;;C12N2760/16134;;C12N2760/16151</t>
  </si>
  <si>
    <t>C12N7/00;;A47J43/14;;A61K39/12</t>
  </si>
  <si>
    <t>https://lens.org/186-555-342-209-424</t>
  </si>
  <si>
    <t>061-877-774-591-507</t>
  </si>
  <si>
    <t>EP 3091965 A1</t>
  </si>
  <si>
    <t>STABILIZED GLYCEROL FREE PHARMACEUTICAL FORMULATIONS OF INSULIN ANALOGUES AND/OR INSULIN DERIVATIVES</t>
  </si>
  <si>
    <t>A61K38/28;;A61K9/0019;;A61K9/08;;A61K33/30;;A61K38/1825;;A61K38/26;;A61K45/06;;A61K47/02;;A61P3/10;;A61P43/00;;A61K9/08;;A61K9/0019;;A61K33/30;;A61K38/1825;;A61K38/28;;A61K45/06;;A61K47/02;;A61K47/10;;A61K47/42;;A61K2300/00;;A61K38/28;;A61K9/0019;;A61K9/08;;A61K33/30;;A61K38/1825;;A61K38/26;;A61K45/06;;A61K47/02;;A61K47/10;;A61K47/42</t>
  </si>
  <si>
    <t>A61K9/00;;A61K9/08;;A61K38/28;;A61K47/02;;A61K47/10;;A61P3/10</t>
  </si>
  <si>
    <t>https://lens.org/061-877-774-591-507</t>
  </si>
  <si>
    <t>121-316-194-777-57X</t>
  </si>
  <si>
    <t>EP 3091964 A1</t>
  </si>
  <si>
    <t>A61K38/28;;A61K9/0019;;A61K9/08;;A61K33/30;;A61K38/1825;;A61K38/26;;A61K45/06;;A61K47/02;;A61K47/10;;A61P3/10;;A61K38/28;;A61K9/0019;;A61K9/08;;A61K33/30;;A61K38/1825;;A61K38/26;;A61K45/06;;A61K47/02;;A61K47/10;;A61K2300/00;;A61K38/28;;A61K9/0019;;A61K9/08;;A61K33/30;;A61K38/1825;;A61K38/26;;A61K45/06;;A61K47/02;;A61K47/10;;A61K47/42</t>
  </si>
  <si>
    <t>https://lens.org/121-316-194-777-57X</t>
  </si>
  <si>
    <t>141-824-103-163-473</t>
  </si>
  <si>
    <t>EP 2787998 B1</t>
  </si>
  <si>
    <t>CRYSTALLINE FORMS OF 2-(2-METHYLAMINO-PYRIMIDIN-4-YL)-1H-INDOLE-5-CARBOXYLIC ACID [(S)-1-CARBAMOYL-2-(PHENYL-PYRIMIDIN-2-YL-AMINO)-ETHYL]-AMIDE</t>
  </si>
  <si>
    <t>C07D403/12;;A61K31/506;;A61P19/02;;A61P25/04;;A61P29/00;;A61P35/00;;A61P43/00;;C07D403/14;;A61K31/506;;C07B2200/13;;C07D403/14;;C07D403/12;;A61K31/506;;C07D403/14</t>
  </si>
  <si>
    <t>A61K31/506;;A61P29/00;;C07D403/14</t>
  </si>
  <si>
    <t>https://lens.org/141-824-103-163-473</t>
  </si>
  <si>
    <t>103-935-957-271-658</t>
  </si>
  <si>
    <t>EP 2398464 B1</t>
  </si>
  <si>
    <t>SANOFI SA (2016-06-08)</t>
  </si>
  <si>
    <t>Pharmaceutical composition for inhalation</t>
  </si>
  <si>
    <t>A61K9/0075;;A61K45/06;;A61P9/00;;A61P11/00;;A61P11/06;;A61P31/00;;A61P37/00;;A61P37/08;;Y10T428/2982;;A61K9/00;;A61K9/14;;A61K9/0075;;A61K45/06;;Y10T428/2982</t>
  </si>
  <si>
    <t>A61K9/14;;A61K9/72</t>
  </si>
  <si>
    <t>https://lens.org/103-935-957-271-658</t>
  </si>
  <si>
    <t>143-863-142-922-115</t>
  </si>
  <si>
    <t>EP 2203416 B1</t>
  </si>
  <si>
    <t>(CARBOXY ALKYLENE-PHENYL)-PHENYL-OXALAMIDES, METHOD FOR THEIR MANUFACTURE AND THEIR APPLICATION AS MEDICINES</t>
  </si>
  <si>
    <t>C07C235/80;;A61P3/10;;A61P5/50;;A61P25/00;;A61P25/18;;A61P25/28;;A61P43/00;;C07C237/04;;C07C235/80</t>
  </si>
  <si>
    <t>C07C233/56;;A61K31/165;;A61P5/50;;A61P25/18;;A61P25/28;;C07C233/88;;C07C235/80;;C07C237/04</t>
  </si>
  <si>
    <t>https://lens.org/143-863-142-922-115</t>
  </si>
  <si>
    <t>166-791-627-276-945</t>
  </si>
  <si>
    <t>EP 2203415 B1</t>
  </si>
  <si>
    <t>(CYCLOPROPYL-PHENYL)-PHENYL-OXALAMIDES, METHOD FOR THEIR MANUFACTURE AND THEIR APPLICATION AS MEDICINES</t>
  </si>
  <si>
    <t>C07C233/56;;A61P3/10;;A61P5/50;;A61P25/00;;A61P25/18;;A61P25/28;;C07C233/88;;C07C233/56;;C07C233/88</t>
  </si>
  <si>
    <t>C07C233/56;;A61K31/165;;A61P5/50;;A61P25/18;;A61P25/28;;C07C233/88</t>
  </si>
  <si>
    <t>https://lens.org/166-791-627-276-945</t>
  </si>
  <si>
    <t>099-118-570-214-410</t>
  </si>
  <si>
    <t>EP 3080151 A1</t>
  </si>
  <si>
    <t>EXENDIN-4 PEPTIDE ANALOGUES</t>
  </si>
  <si>
    <t>C07K14/57563;;A61K38/00;;A61P3/00;;A61P3/04;;A61P3/10;;C07K14/575;;A61K38/00;;A61K38/22;;A61K49/04;;A61K49/06;;C07K14/57563</t>
  </si>
  <si>
    <t>https://lens.org/099-118-570-214-410</t>
  </si>
  <si>
    <t>131-739-590-064-00X</t>
  </si>
  <si>
    <t>EP 3080155 A1</t>
  </si>
  <si>
    <t>EXENDIN-4 PEPTIDE ANALOGUES AS DUAL GLP-1/GLUCAGON RECEPTOR AGONISTS</t>
  </si>
  <si>
    <t>C07K14/605;;A61K38/00;;A61K38/26;;A61K45/06;;A61P3/00;;A61P3/04;;A61P3/10;;C07K14/605;;A61K38/00;;A61K38/26;;A61K45/06;;A61K49/04;;A61K49/14</t>
  </si>
  <si>
    <t>https://lens.org/131-739-590-064-00X</t>
  </si>
  <si>
    <t>045-925-244-850-720</t>
  </si>
  <si>
    <t>EP 3074388 A1</t>
  </si>
  <si>
    <t>SANOFI SA;;EUROPEAN MOLECULAR BIOLOGY LAB EMBL</t>
  </si>
  <si>
    <t>SANOFI (2017-08-23);;EUROPEAN MOLECULAR BIOLOGY LABORATORY (2017-08-23)</t>
  </si>
  <si>
    <t>DOTAM DERIVATIVES FOR THERAPEUTIC USE</t>
  </si>
  <si>
    <t>C07F5/003;;A61K38/00;;C07D403/14;;C07K7/06;;C07F5/003;;A61K38/00;;A61K49/04;;A61K49/14;;C07D403/14;;C07K7/06</t>
  </si>
  <si>
    <t>C07D403/14;;A61K38/08;;C07F5/00;;C07K7/04</t>
  </si>
  <si>
    <t>https://lens.org/045-925-244-850-720</t>
  </si>
  <si>
    <t>158-701-233-950-675</t>
  </si>
  <si>
    <t>EP 2342178 B1</t>
  </si>
  <si>
    <t>SUBSTITUTED AMINOINDANES AND ANALOGS THEREOF, AND THE PHARMACEUTICAL USE THEREOF</t>
  </si>
  <si>
    <t>C07D487/10;;A61P1/00;;A61P1/10;;A61P1/14;;A61P1/16;;A61P3/00;;A61P3/06;;A61P3/10;;A61P9/00;;A61P9/12;;A61P11/00;;A61P11/12;;A61P11/16;;A61P13/12;;A61P25/00;;A61P43/00;;C07D205/04;;C07D207/08;;C07D211/56;;C07D243/08;;C07D401/12;;C07D403/04;;C07D403/12;;C07D405/12;;C07D411/12;;C07D413/12;;C07D417/12;;C07D487/04;;C07D487/08;;C07D401/12;;A61K31/454;;C07D401/10;;C07D487/10;;C07D205/04;;C07D207/08;;C07D211/56;;C07D243/08;;C07D401/12;;C07D403/04;;C07D403/12;;C07D405/12;;C07D411/12;;C07D413/12;;C07D417/12;;C07D487/04;;C07D487/08</t>
  </si>
  <si>
    <t>C07D207/08;;A61K31/4523;;A61P1/00;;A61P3/00;;A61P9/00;;C07D401/12;;C07D403/12;;C07D413/12;;C07D417/12</t>
  </si>
  <si>
    <t>https://lens.org/158-701-233-950-675</t>
  </si>
  <si>
    <t>020-331-268-138-759</t>
  </si>
  <si>
    <t>EP 2235015 B1</t>
  </si>
  <si>
    <t>AZABICYCLIC CARBOXAMIDE DERIVATIVES, PREPARATION THEREOF AND THERAPEUTIC USE THEREOF</t>
  </si>
  <si>
    <t>C07D471/04;;A61P1/00;;A61P1/04;;A61P3/00;;A61P11/00;;A61P13/00;;A61P15/00;;A61P17/00;;A61P17/04;;A61P17/06;;A61P25/00;;A61P25/24;;A61P25/28;;A61P27/02;;A61P27/14;;A61P29/00;;A61P31/00;;A61P31/22;;A61P35/00;;A61P43/00;;C07D471/04</t>
  </si>
  <si>
    <t>C07D471/04;;A61K31/437;;A61P11/00;;A61P29/00;;A61P31/00</t>
  </si>
  <si>
    <t>https://lens.org/020-331-268-138-759</t>
  </si>
  <si>
    <t>069-532-600-060-703</t>
  </si>
  <si>
    <t>EP 2240179 B1</t>
  </si>
  <si>
    <t>IMIDAZOPYRIDAZINE AS PAR1 INHIBITORS, THEIR MANUFACTURE AND THEIR APPLICATION AS MEDICINE</t>
  </si>
  <si>
    <t>C07D487/04;;A61P3/00;;A61P3/10;;A61P7/02;;A61P9/00;;A61P9/02;;A61P9/06;;A61P9/10;;A61P9/12;;A61P11/00;;A61P11/06;;A61P13/12;;A61P19/02;;A61P19/10;;A61P27/02;;A61P29/00;;A61P31/04;;A61P35/00;;A61P35/04;;A61P43/00;;C07D487/04</t>
  </si>
  <si>
    <t>A61K31/5025;;A61P7/02;;C07D487/04</t>
  </si>
  <si>
    <t>https://lens.org/069-532-600-060-703</t>
  </si>
  <si>
    <t>105-190-675-891-532</t>
  </si>
  <si>
    <t>EP 2170889 B1</t>
  </si>
  <si>
    <t>6-CYCLOAMINO-3-(PYRIDIN-4-YL)IMIDAZO[1,2-B]PYRIDAZINE DERIVATIVES, PREPARATION THEREOF AND THERAPEUTIC USE THEREOF</t>
  </si>
  <si>
    <t>C07D487/04;;A61P25/00;;A61P25/20;;A61P25/28;;A61P25/30;;A61P35/00;;A61P35/02;;A61P43/00;;C07D487/04</t>
  </si>
  <si>
    <t>C07D487/04;;A61K31/5025;;A61K31/5386;;A61K31/551;;C07D519/00</t>
  </si>
  <si>
    <t>https://lens.org/105-190-675-891-532</t>
  </si>
  <si>
    <t>110-874-850-441-554</t>
  </si>
  <si>
    <t>EP 2035550 B1</t>
  </si>
  <si>
    <t>C12M21/08;;C12M25/14;;C12M35/08;;C12N5/0697;;C12N2501/21;;C12N2502/091;;C12N2502/094;;C12N2502/11;;C12N2502/28;;C12N2502/30;;C12N2503/04;;C12N2531/00;;C12N2533/50;;C12N2533/54;;C12N2535/10;;G01N33/5044;;G01N33/5064;;G01N33/5082;;G01N33/5088;;G01N2800/24;;C12M21/08;;C12M25/14;;C12M35/08;;C12N5/0697;;C12N2501/21;;C12N2502/091;;C12N2502/094;;C12N2502/11;;C12N2502/28;;C12N2502/30;;C12N2503/04;;C12N2531/00;;C12N2533/50;;C12N2533/54;;C12N2535/10;;G01N33/5044;;G01N33/5064;;G01N33/5082;;G01N33/5088;;G01N2800/24</t>
  </si>
  <si>
    <t>C12M3/00;;C12M1/12;;C12M1/42;;C12N5/071;;C12N5/077;;C12N5/078;;C12Q1/00;;G01N33/50</t>
  </si>
  <si>
    <t>https://lens.org/110-874-850-441-554</t>
  </si>
  <si>
    <t>014-498-062-859-873</t>
  </si>
  <si>
    <t>EP 2041073 B1</t>
  </si>
  <si>
    <t>CXCR2 INHIBITORS</t>
  </si>
  <si>
    <t>C07D333/16;;A61P1/00;;A61P1/02;;A61P1/04;;A61P1/16;;A61P7/02;;A61P9/00;;A61P9/08;;A61P9/10;;A61P9/12;;A61P11/00;;A61P11/02;;A61P11/06;;A61P11/08;;A61P11/14;;A61P13/12;;A61P17/00;;A61P17/02;;A61P17/04;;A61P17/06;;A61P19/02;;A61P19/06;;A61P19/10;;A61P21/00;;A61P25/00;;A61P25/28;;A61P27/02;;A61P29/00;;A61P31/04;;A61P31/12;;A61P33/06;;A61P35/00;;A61P35/04;;A61P37/06;;A61P37/08;;A61P43/00;;C07C235/66;;C07C2601/14;;C07C2602/10;;C07D333/54;;C07D333/16;;C07C235/66;;C07C2601/14;;C07C2602/10;;C07D333/54</t>
  </si>
  <si>
    <t>C07C235/66;;A61K31/166;;A61P29/00;;C07D333/32</t>
  </si>
  <si>
    <t>https://lens.org/014-498-062-859-873</t>
  </si>
  <si>
    <t>096-255-152-586-571</t>
  </si>
  <si>
    <t>EP 2144885 B1</t>
  </si>
  <si>
    <t>IMIDAZOLIDINE CARBOXAMIDE DERIVATIVES AS LIPASE AND PHOSPHOLIPASE INHIBITORS</t>
  </si>
  <si>
    <t>C07D233/78;;A61P1/04;;A61P1/18;;A61P3/00;;A61P3/04;;A61P3/06;;A61P3/08;;A61P3/10;;A61P7/02;;A61P9/00;;A61P9/10;;A61P9/12;;A61P11/00;;A61P11/06;;A61P15/00;;A61P17/00;;A61P17/02;;A61P17/04;;A61P17/06;;A61P19/02;;A61P19/06;;A61P25/00;;A61P25/16;;A61P25/28;;A61P27/02;;A61P29/00;;A61P35/00;;A61P43/00;;C07D405/12;;C07D409/12;;C07D471/04;;C07D471/04;;A61K31/41;;C07D409/12;;C07D233/78;;C07D405/12;;C07D409/12;;C07D471/04</t>
  </si>
  <si>
    <t>C07D233/78;;A61K31/41;;A61K31/435;;A61P3/00;;C07D405/12;;C07D409/12;;C07D471/04</t>
  </si>
  <si>
    <t>https://lens.org/096-255-152-586-571</t>
  </si>
  <si>
    <t>055-610-498-874-26X</t>
  </si>
  <si>
    <t>EP 1638454 B1</t>
  </si>
  <si>
    <t>APPARATUS FOR BODY FLUID SAMPLING AND ANALYTE SENSING</t>
  </si>
  <si>
    <t>A61B5/157;;A61B5/14532;;A61B5/150022;;A61B5/150152;;A61B5/150167;;A61B5/150175;;A61B5/150183;;A61B5/150358;;A61B5/150427;;A61B5/150503;;A61B5/150572;;A61B5/15113;;A61B5/15117;;A61B5/15123;;A61B5/1513;;A61B5/15146;;A61B5/15151;;A61B5/15161;;A61B5/15176</t>
  </si>
  <si>
    <t>A61B5/145;;A61B5/00;;A61B5/15;;A61B5/151;;A61B5/155</t>
  </si>
  <si>
    <t>https://lens.org/055-610-498-874-26X</t>
  </si>
  <si>
    <t>043-736-575-288-861</t>
  </si>
  <si>
    <t>EP 2144891 B1</t>
  </si>
  <si>
    <t>5-OXO-ISOXAZOLES AS INHIBITORS OF LIPASES AND PHOSPHOLIPASES</t>
  </si>
  <si>
    <t>C07D261/12;;A61P1/04;;A61P1/18;;A61P3/00;;A61P3/04;;A61P3/06;;A61P3/08;;A61P3/10;;A61P7/02;;A61P9/04;;A61P9/10;;A61P9/12;;A61P9/14;;A61P11/06;;A61P11/16;;A61P17/02;;A61P17/06;;A61P17/08;;A61P17/12;;A61P17/16;;A61P19/02;;A61P19/06;;A61P25/00;;A61P25/16;;A61P25/28;;A61P27/02;;A61P29/00;;A61P31/12;;A61P35/00;;A61P43/00;;C07D261/20;;C07D413/04;;C07D413/12;;C07D413/14;;C07D413/14;;A61K31/42;;C07D261/20;;C07D261/12;;C07D261/20;;C07D413/04;;C07D413/12;;C07D413/14</t>
  </si>
  <si>
    <t>C07D261/12;;A61K31/42;;A61K31/422;;A61K31/423;;C07D261/20;;C07D413/04;;C07D413/12;;C07D413/14</t>
  </si>
  <si>
    <t>https://lens.org/043-736-575-288-861</t>
  </si>
  <si>
    <t>074-024-786-949-518</t>
  </si>
  <si>
    <t>EP 1501410 B1</t>
  </si>
  <si>
    <t>APPARATUS FOR PENETRATING TISSUE</t>
  </si>
  <si>
    <t>A61B5/15178;;A61B5/14532;;A61B5/150022;;A61B5/150068;;A61B5/150099;;A61B5/150152;;A61B5/150167;;A61B5/150175;;A61B5/150213;;A61B5/150251;;A61B5/150358;;A61B5/150435;;A61B5/150503;;A61B5/150572;;A61B5/150809;;A61B5/150816;;A61B5/150824;;A61B5/15087;;A61B5/15107;;A61B5/15123;;A61B5/15151;;A61B5/15153;;A61B5/15163;;A61B5/15169;;A61B5/15171;;A61B5/157</t>
  </si>
  <si>
    <t>A61B5/15;;A61B5/00;;A61B5/145;;A61B5/151;;A61B5/155</t>
  </si>
  <si>
    <t>https://lens.org/074-024-786-949-518</t>
  </si>
  <si>
    <t>171-722-847-414-264</t>
  </si>
  <si>
    <t>EP 2329029 B1</t>
  </si>
  <si>
    <t>METHODS AND COMPOSITIONS FOR INCREASING TOXIN PRODUCTION</t>
  </si>
  <si>
    <t>C12N1/20;;C12P21/02;;C12N1/20;;C12N1/205;;C12P21/02;;C12R2001/145</t>
  </si>
  <si>
    <t>C12P1/04;;C12N1/20</t>
  </si>
  <si>
    <t>https://lens.org/171-722-847-414-264</t>
  </si>
  <si>
    <t>198-573-154-385-900</t>
  </si>
  <si>
    <t>EP 1499247 B1</t>
  </si>
  <si>
    <t>SANOFI AVENTIS DEUTSCHLAND;;FREEMAN RAY;;GOGUE GOERGE</t>
  </si>
  <si>
    <t>FREEMAN, RAY (2014-01-08);;GOGUE, GOERGE (2014-01-08);;SANOFI-AVENTIS DEUTSCHLAND GMBH (2014-01-08)</t>
  </si>
  <si>
    <t>TISSUE PENETRATION DEVICE</t>
  </si>
  <si>
    <t>G01N33/557;;A61B5/14532;;A61B5/14546;;A61B5/151;;A61B5/15146;;A61B5/15186;;A61B17/32093;;B01L3/5027;;B01L2200/10;;B01L2300/0663;;B01L2300/18;;G01N33/4905</t>
  </si>
  <si>
    <t>https://lens.org/198-573-154-385-900</t>
  </si>
  <si>
    <t>090-662-056-569-026</t>
  </si>
  <si>
    <t>EP 1996914 B1</t>
  </si>
  <si>
    <t>METHOD FOR LOADING PENETRATING MEMBERS IN A COLLECTION DEVICE DURING MANUFACTURE</t>
  </si>
  <si>
    <t>A61B5/15178;;A61B5/150022;;A61B5/150061;;A61B5/150068;;A61B5/150099;;A61B5/150152;;A61B5/150167;;A61B5/150175;;A61B5/150221;;A61B5/150358;;A61B5/150427;;A61B5/150503;;A61B5/150572;;A61B5/15113;;A61B5/15117;;A61B5/15123;;A61B5/15146;;A61B5/15151;;A61B5/15153;;A61B5/15163;;A61B5/15169;;A61B5/15171;;A61B5/15174;;A61B5/15176;;A61B5/15184;;A61B5/15186;;A61B5/157</t>
  </si>
  <si>
    <t>G01N1/00</t>
  </si>
  <si>
    <t>https://lens.org/090-662-056-569-026</t>
  </si>
  <si>
    <t>081-466-937-882-86X</t>
  </si>
  <si>
    <t>HR</t>
  </si>
  <si>
    <t>HR P20050766 B1</t>
  </si>
  <si>
    <t>SANOFI-AVENTIS DEUTSCHLAND GMBH, DE (2008-05-21)</t>
  </si>
  <si>
    <t>A61M5/24;;A61M5/31535;;A61M5/31541;;A61M5/31551;;A61M5/3156;;A61M5/31575;;A61M5/31585;;A61M2005/2407;;A61M2205/581;;A61M2205/582;;A61M5/315;;A61M5/24;;A61M5/31528;;A61M5/31533;;A61M5/31535;;A61M5/31536;;A61M5/31541;;A61M5/31546;;A61M5/31551;;A61M5/3156;;A61M5/31563;;A61M5/31565;;A61M5/31568;;A61M5/3157;;A61M5/31575;;A61M5/31578;;A61M5/31585;;A61M5/31593;;A61M5/32;;A61M2005/2407;;A61M2005/3126;;A61M2205/581;;A61M2205/582</t>
  </si>
  <si>
    <t>https://lens.org/081-466-937-882-86X</t>
  </si>
  <si>
    <t>184-104-736-364-210</t>
  </si>
  <si>
    <t>EP 1501409 B1</t>
  </si>
  <si>
    <t>APPARATUS FOR A MULTI-USE BODY FLUID SAMPLING DEVICE</t>
  </si>
  <si>
    <t>A61B5/14532;;A61B5/14546;;A61B5/1455;;A61B5/1486;;A61B5/150022;;A61B5/150152;;A61B5/150167;;A61B5/150175;;A61B5/150221;;A61B5/150358;;A61B5/150412;;A61B5/150427;;A61B5/150503;;A61B5/150519;;A61B5/150572;;A61B5/150664;;A61B5/150824;;A61B5/15087;;A61B5/150916;;A61B5/151;;A61B5/15113;;A61B5/15117;;A61B5/15123;;A61B5/1513;;A61B5/15146;;A61B5/15151;;A61B5/15153;;A61B5/15161;;A61B5/15163;;A61B5/15169;;A61B5/15171;;A61B5/15178;;A61B5/15182;;A61B5/15184;;A61B5/15186;;A61B5/157;;A61B5/1411;;A61B5/1427;;A61B5/14532;;A61B5/14546;;A61B5/1455;;A61B5/1486;;A61B5/150022;;A61B5/150152;;A61B5/150167;;A61B5/150175;;A61B5/150221;;A61B5/150358;;A61B5/150412;;A61B5/150427;;A61B5/150503;;A61B5/150519;;A61B5/150572;;A61B5/150664;;A61B5/150824;;A61B5/15087;;A61B5/150916;;A61B5/151;;A61B5/15113;;A61B5/15117;;A61B5/15123;;A61B5/1513;;A61B5/15146;;A61B5/15151;;A61B5/15153;;A61B5/15161;;A61B5/15163;;A61B5/15169;;A61B5/15171;;A61B5/15178;;A61B5/15182;;A61B5/15184;;A61B5/15186;;A61B5/157;;A61M37/0015</t>
  </si>
  <si>
    <t>A61B5/145;;G01N33/483;;A61B5/00;;A61B5/1455;;A61B5/1459;;A61B5/1486;;A61B5/15;;A61B5/151;;A61B5/155;;A61B5/157;;G01N37/00</t>
  </si>
  <si>
    <t>https://lens.org/184-104-736-364-210</t>
  </si>
  <si>
    <t>181-664-338-252-850</t>
  </si>
  <si>
    <t>EP 2675507 B1</t>
  </si>
  <si>
    <t>A61M5/31501;;A61M5/2033;;A61M5/3157;;A61M5/3202;;A61M5/3204;;A61M5/3257;;A61M5/326;;A61M5/46;;A61M5/5086;;A61M2005/2013;;A61M2005/206;;A61M2005/208;;A61M2005/3247;;A61M2205/581;;A61M2205/582;;F04C2270/0421;;Y10T403/32501;;A61M5/20;;A61M5/315;;A61M5/32;;A61M5/50;;A61M5/2033;;A61M5/31501;;A61M5/31511;;A61M5/3157;;A61M5/3158;;A61M5/3202;;A61M5/3204;;A61M5/3257;;A61M5/326;;A61M5/31501;;A61M5/2033;;A61M5/31511;;A61M5/3157;;A61M5/3158;;A61M5/3202;;A61M5/3204;;A61M5/3245;;A61M5/3257;;A61M5/326;;A61M5/46;;A61M5/5086;;A61M2005/2013;;A61M2005/206;;A61M2005/208;;A61M2005/3247;;A61M2205/581;;A61M2205/582;;F04C2270/0421;;Y10T403/32501</t>
  </si>
  <si>
    <t>A61M5/20;;A61M5/315;;A61M5/32;;A61M5/46;;A61M5/50</t>
  </si>
  <si>
    <t>https://lens.org/181-664-338-252-850</t>
  </si>
  <si>
    <t>020-705-960-398-016</t>
  </si>
  <si>
    <t>EP 1804651 B1</t>
  </si>
  <si>
    <t>APPARATUS FOR AN IMPROVED SAMPLE CAPTURE</t>
  </si>
  <si>
    <t>A61B5/157;;A61B5/14532;;A61B5/150022;;A61B5/150167;;A61B5/150175;;A61B5/150213;;A61B5/150358;;A61B5/150427;;A61B5/150503;;A61B5/15123;;A61B5/15146;;A61B5/15151;;A61B5/15161;;A61B5/15176</t>
  </si>
  <si>
    <t>A61B5/00;;B65D81/00</t>
  </si>
  <si>
    <t>https://lens.org/020-705-960-398-016</t>
  </si>
  <si>
    <t>016-513-848-756-038</t>
  </si>
  <si>
    <t>EP 2247575 B1</t>
  </si>
  <si>
    <t>CYCLIC INDOLE-3-CARBOXAMIDES, THEIR PREPARATION AND THEIR USE AS PHARMACEUTICALS</t>
  </si>
  <si>
    <t>C07D209/42;;A61P3/00;;A61P7/00;;A61P9/00;;A61P9/04;;A61P9/10;;A61P9/12;;A61P9/14;;A61P13/00;;A61P13/12;;A61P27/02;;A61P27/06;;C07D401/04;;C07D403/06;;C07D405/04;;C07D409/04;;C07D209/42;;C07D401/04;;C07D403/06;;C07D405/04;;C07D409/04</t>
  </si>
  <si>
    <t>C07D209/42;;A61K31/496;;A61P7/00;;A61P9/00;;A61P13/00;;C07D401/04;;C07D403/12;;C07D405/04;;C07D409/04</t>
  </si>
  <si>
    <t>https://lens.org/016-513-848-756-038</t>
  </si>
  <si>
    <t>138-502-195-736-768</t>
  </si>
  <si>
    <t>EP 1568378 B1</t>
  </si>
  <si>
    <t>SANOFI PASTEUR BIOLOGICS CO. (2010-10-13);;SANOFI PASTEUR BIOLOGICS, LLC (2014-03-26)</t>
  </si>
  <si>
    <t>Immunization against Clostridium difficile disease</t>
  </si>
  <si>
    <t>C07K16/1282;;A61K39/00;;A61K39/08;;A61K2039/505;;A61K2039/54;;C07K14/33;;A61K39/00</t>
  </si>
  <si>
    <t>A61K39/02;;A61K39/00;;A61K39/08;;A61K39/40;;C07K1/00;;C07K14/33;;C07K16/00;;C07K16/12</t>
  </si>
  <si>
    <t>https://lens.org/138-502-195-736-768</t>
  </si>
  <si>
    <t>057-056-341-763-913</t>
  </si>
  <si>
    <t>EP 2834248 B1</t>
  </si>
  <si>
    <t>NOVEL THIENOPYRIMIDINE DERIVATIVES, PROCESSES FOR THE PREPARATION THEREOF AND THERAPEUTIC USES THEREOF</t>
  </si>
  <si>
    <t>C07D495/04;;C07D519/00;;A61K31/553;;A61K31/519;;A61K31/55;;A61K31/551;;A61P35/00;;A61P43/00;;C07D495/04;;A61K31/553;;A61K31/519;;A61K31/55;;A61K31/551;;C07D495/04</t>
  </si>
  <si>
    <t>C07D495/04;;A61K31/505;;A61P35/00</t>
  </si>
  <si>
    <t>https://lens.org/057-056-341-763-913</t>
  </si>
  <si>
    <t>086-718-305-412-00X</t>
  </si>
  <si>
    <t>EP 1635700 B1</t>
  </si>
  <si>
    <t>APPARATUS FOR A POINT OF CARE DEVICE</t>
  </si>
  <si>
    <t>A61B5/14532;;A61B5/1486;;A61B5/150022;;A61B5/150152;;A61B5/150167;;A61B5/150175;;A61B5/150213;;A61B5/150358;;A61B5/150412;;A61B5/150755;;A61B5/15123;;A61B5/15146;;A61B5/15151;;A61B5/15161;;A61B5/14532;;A61B5/1486;;A61B5/150022;;A61B5/150152;;A61B5/150167;;A61B5/150175;;A61B5/150213;;A61B5/150358;;A61B5/150412;;A61B5/150755;;A61B5/15123;;A61B5/15146;;A61B5/15151;;A61B5/15161</t>
  </si>
  <si>
    <t>A61B5/00;;A61B5/15</t>
  </si>
  <si>
    <t>https://lens.org/086-718-305-412-00X</t>
  </si>
  <si>
    <t>066-696-948-177-875</t>
  </si>
  <si>
    <t>EP 2385852 B1</t>
  </si>
  <si>
    <t>SANOFI SA (2012-10-24)</t>
  </si>
  <si>
    <t>DOSING DEVICE</t>
  </si>
  <si>
    <t>A61M15/0065;;A61M15/0078;;A61M2202/064;;A61M15/00;;A61J1/05;;B65D83/06;;A61M15/0065;;A61M15/0078;;A61M2202/064</t>
  </si>
  <si>
    <t>A61M15/00;;G01F11/24</t>
  </si>
  <si>
    <t>https://lens.org/066-696-948-177-875</t>
  </si>
  <si>
    <t>036-359-236-765-489</t>
  </si>
  <si>
    <t>EP 1791584 B1</t>
  </si>
  <si>
    <t>SANOFI SA (2012-10-24);;SIEGFRIED PHARMA INTERNATIONAL AG (2011-12-14);;SIEGFRIED GENERICS INTERNATIONAL AG (2009-04-15)</t>
  </si>
  <si>
    <t>INHALER FOR POWDERED, PARTICULARLY MEDICAL SUBSTANCES</t>
  </si>
  <si>
    <t>A61M15/0006;;A61M15/0065;;A61M2202/062;;A61M2202/064;;A61M15/00;;A61M15/0006;;A61M15/0065;;A61M15/0086;;A61M2202/062;;A61M2202/064;;A61M15/0001;;A61M15/0005;;A61M15/0006;;A61M15/002;;A61M15/0021;;A61M15/0025;;A61M15/0065;;A61M15/0086;;A61M15/0091;;A61M2202/062;;A61M2202/064</t>
  </si>
  <si>
    <t>https://lens.org/036-359-236-765-489</t>
  </si>
  <si>
    <t>191-464-952-740-922</t>
  </si>
  <si>
    <t>EP 2205593 B1</t>
  </si>
  <si>
    <t>QUINAZOLINEDIONE DERIVATIVES, PREPARATION THEREOF AND THERAPEUTIC USES THEREOF</t>
  </si>
  <si>
    <t>C07D401/04;;A61P1/00;;A61P1/04;;A61P3/10;;A61P3/14;;A61P11/00;;A61P11/02;;A61P11/06;;A61P17/00;;A61P17/06;;A61P19/00;;A61P19/02;;A61P19/08;;A61P19/10;;A61P21/00;;A61P21/04;;A61P25/00;;A61P25/02;;A61P25/04;;A61P29/00;;A61P35/00;;A61P37/00;;A61P37/06;;C07D403/04;;C07D471/08;;C07D401/04;;C07D403/04;;C07D471/08</t>
  </si>
  <si>
    <t>C07D403/04;;A61K31/517</t>
  </si>
  <si>
    <t>https://lens.org/191-464-952-740-922</t>
  </si>
  <si>
    <t>042-979-600-914-095</t>
  </si>
  <si>
    <t>EP 1962934 B1</t>
  </si>
  <si>
    <t>SANOFI SA (2012-10-24);;SIEGFRIED PHARMA INTERNATIONAL AG (2011-12-14)</t>
  </si>
  <si>
    <t>DISPERSING UNIT</t>
  </si>
  <si>
    <t>A61M15/0086;;A61M11/002;;A61M15/0021;;A61M2206/16;;A61M15/00;;A61M15/0086;;A61M11/002;;A61M15/0021;;A61M2206/16</t>
  </si>
  <si>
    <t>A61M15/00;;B01F23/30</t>
  </si>
  <si>
    <t>https://lens.org/042-979-600-914-095</t>
  </si>
  <si>
    <t>017-930-337-362-954</t>
  </si>
  <si>
    <t>EP 2497514 B8</t>
  </si>
  <si>
    <t>Inhalator for powdery, in particular medical, substances</t>
  </si>
  <si>
    <t>A61M15/0065;;A61M15/0006;;A61M2202/064;;A61M15/0065;;A61M15/0006;;A61M2202/064</t>
  </si>
  <si>
    <t>A61J1/03;;A61M15/00</t>
  </si>
  <si>
    <t>https://lens.org/017-930-337-362-954</t>
  </si>
  <si>
    <t>106-698-305-794-819</t>
  </si>
  <si>
    <t>EP 2370446 B1</t>
  </si>
  <si>
    <t>6-CYCLOAMINO-3-(1H-PYRROLO[2,3-B]PYRIDIN-4-YL)IMIDAZO[1,2-B]PYRIDAZINE DERIVATIVES,PREPARATION THEREOF AND THERAPEUTIC USE THEREOF</t>
  </si>
  <si>
    <t>C07D519/00;;A61P9/06;;A61P9/10;;A61P19/02;;A61P25/00;;A61P25/20;;A61P25/22;;A61P25/24;;A61P25/28;;A61P25/30;;A61P25/32;;A61P25/34;;A61P25/36;;A61P29/00;;A61P35/00;;A61P35/02;;A61P43/00;;C07D401/12;;C07D487/04;;A61K31/5025;;C07D519/00;;C07D519/00;;C07D401/12</t>
  </si>
  <si>
    <t>https://lens.org/106-698-305-794-819</t>
  </si>
  <si>
    <t>189-699-684-879-948</t>
  </si>
  <si>
    <t>EP 2278919 B1</t>
  </si>
  <si>
    <t>Blood testing apparatus having a laser source</t>
  </si>
  <si>
    <t>A61B5/14532;;A61B5/1455;;A61B5/150022;;A61B5/150259;;A61B5/150412;;A61B5/150503;;A61B5/150572;;A61B5/15113;;A61B5/15117;;A61B5/1513;;A61B5/15146;;A61B5/15151;;A61B5/15161;;A61B5/15176;;A61B5/157;;A61B5/681;;G01N33/96;;A61B5/14532;;A61B5/1455;;A61B5/150022;;A61B5/150259;;A61B5/150412;;A61B5/150503;;A61B5/150572;;A61B5/15113;;A61B5/15117;;A61B5/1513;;A61B5/15146;;A61B5/15151;;A61B5/15161;;A61B5/15176;;A61B5/157;;A61B5/681;;G01N33/96</t>
  </si>
  <si>
    <t>A61B5/157;;A61B5/00;;A61B5/145;;A61B5/1455;;A61B5/15;;A61B5/151;;G01N33/96</t>
  </si>
  <si>
    <t>https://lens.org/189-699-684-879-948</t>
  </si>
  <si>
    <t>132-310-380-552-640</t>
  </si>
  <si>
    <t>EP 1969366 B1</t>
  </si>
  <si>
    <t>SANOFI PASTEUR VAXDESIGN CORP;;UNIV VIRGINIA COMMONWEALTH</t>
  </si>
  <si>
    <t>SANOFI PASTEUR VAXDESIGN CORPORATION (2011-12-28);;VIRGINIA COMMONWEALTH UNIVERSITY (2011-12-28)</t>
  </si>
  <si>
    <t>IN VITRO GERMINAL CENTERS</t>
  </si>
  <si>
    <t>C07K16/44;;C12N5/0639;;C12N5/0651;;C12N5/0697;;C12N2501/052;;C12N2501/21;;C12N2501/2304;;C12N2502/11;;C12N2502/1107;;C12N2502/1114;;C12N2502/1121;;C12N2502/1192;;C12N2502/28;;C12N2503/04;;C12N2533/50;;C12N2533/54;;C12N2533/92;;C12N2535/10;;G01N33/5047;;G01N33/5076;;G01N33/5088;;C07K16/44;;C12N5/0639;;C12N5/0651;;C12N5/0697;;C12N2501/052;;C12N2501/21;;C12N2501/2304;;C12N2502/11;;C12N2502/1107;;C12N2502/1114;;C12N2502/1121;;C12N2502/1192;;C12N2502/28;;C12N2503/04;;C12N2533/50;;C12N2533/54;;C12N2533/92;;C12N2535/10;;G01N33/5047;;G01N33/5076;;G01N33/5088</t>
  </si>
  <si>
    <t>C12N5/078;;C07K16/00;;C12N5/071;;C12N5/0784;;C12Q1/02</t>
  </si>
  <si>
    <t>https://lens.org/132-310-380-552-640</t>
  </si>
  <si>
    <t>125-280-504-855-881</t>
  </si>
  <si>
    <t>EP 1937673 B1</t>
  </si>
  <si>
    <t>IMIDAZOLE DERIVATIVES AS INHIBITORS OF TAFIA</t>
  </si>
  <si>
    <t>C07D413/14;;A61P3/00;;A61P7/00;;A61P7/02;;A61P9/00;;A61P9/08;;A61P9/10;;A61P11/00;;A61P11/16;;A61P19/02;;A61P29/00;;A61P35/00;;A61P35/04;;A61P43/00;;C07D417/14;;C07D495/04;;C07D413/14;;C07D417/14;;C07D495/04</t>
  </si>
  <si>
    <t>C07D417/14;;C07D413/14</t>
  </si>
  <si>
    <t>https://lens.org/125-280-504-855-881</t>
  </si>
  <si>
    <t>076-979-811-339-661</t>
  </si>
  <si>
    <t>EP 2043681 B1</t>
  </si>
  <si>
    <t>SANOFI PASTEUR BIOLOGICS, LLC (2015-07-22)</t>
  </si>
  <si>
    <t>CONSTRUCTION OF RECOMBINANT VIRUS VACCINES BY DIRECT TRANSPOSON-MEDIATED INSERTION OF FOREIGN IMMUNOLOGIC DETERMINANTS INTO VECTOR VIRUS PROTEINS</t>
  </si>
  <si>
    <t>C12N7/00;;A61K2039/5256;;A61P31/00;;A61P31/12;;A61P35/00;;A61P37/04;;C12N15/86;;C12N2770/24143;;C12N2770/24151;;C12N2800/50;;Y02A50/30;;C12N7/00;;A61K2039/5256;;C12N15/86;;C12N2770/24143;;C12N2770/24151;;C12N2800/50;;Y02A50/30</t>
  </si>
  <si>
    <t>A61K39/12;;A61K39/00;;C12N7/02</t>
  </si>
  <si>
    <t>https://lens.org/076-979-811-339-661</t>
  </si>
  <si>
    <t>019-194-400-493-595</t>
  </si>
  <si>
    <t>EP 2367812 B1</t>
  </si>
  <si>
    <t>[4-(5-AMINOMETHYL-2-FLUORO-PHENYL)-PIPERIDIN-1-YL]-[7-FLUORO-1-(2-METHOXY-ETHYL)-4TRIFLUOROMETHOXY-1H-INDOL-3-YL]METHANONE AS AN INHIBITOR OF MAST CELL TRYPTASE</t>
  </si>
  <si>
    <t>C07D211/26;;C07C271/28;;C07D209/08;;C07D209/12;;C07D209/42;;C07D213/38;;C07D213/40;;C07F7/10;;C07D401/06;;A61P1/00;;A61P1/02;;A61P1/04;;A61P1/16;;A61P9/00;;A61P11/00;;A61P11/02;;A61P11/06;;A61P11/08;;A61P17/00;;A61P17/02;;A61P19/00;;A61P19/02;;A61P19/08;;A61P25/28;;A61P27/02;;A61P27/14;;A61P29/00;;A61P31/12;;A61P35/00;;A61P37/00;;A61P43/00;;C07D401/06;;A61K31/454;;C07D401/06</t>
  </si>
  <si>
    <t>C07D401/06;;A61K31/404;;A61P29/00</t>
  </si>
  <si>
    <t>https://lens.org/019-194-400-493-595</t>
  </si>
  <si>
    <t>106-419-426-360-131</t>
  </si>
  <si>
    <t>EP 2379142 B1</t>
  </si>
  <si>
    <t>DOSING DEVICE FOR GENERATING A GAS FLOW WITH AN ACTIVE SUBSTANCE FINELY DISPERSED IN THE LATTER</t>
  </si>
  <si>
    <t>A61M15/0065;;A61M15/0025;;A61M2202/064;;A61M15/02;;A61M15/00;;A61M15/0065;;A61M15/0025;;A61M2202/064</t>
  </si>
  <si>
    <t>https://lens.org/106-419-426-360-131</t>
  </si>
  <si>
    <t>024-750-473-571-49X</t>
  </si>
  <si>
    <t>EP 2240486 B1</t>
  </si>
  <si>
    <t>TRIAZOLIUM SALTS AS PAR1 INHIBITORS, THEIR MANUFACTURE AND THEIR APPLICATION AS MEDICINE</t>
  </si>
  <si>
    <t>C07D487/04;;A61P3/00;;A61P3/10;;A61P3/14;;A61P7/00;;A61P7/02;;A61P7/04;;A61P9/00;;A61P9/06;;A61P9/10;;A61P11/00;;A61P17/00;;A61P17/02;;A61P19/02;;A61P25/00;;A61P27/02;;A61P29/00;;A61P31/00;;A61P35/00;;A61P35/04;;A61P37/00;;A61P37/08;;C07D471/04;;C07D487/04;;C07D471/04</t>
  </si>
  <si>
    <t>C07D487/04;;A61K31/5025;;A61P7/02</t>
  </si>
  <si>
    <t>https://lens.org/024-750-473-571-49X</t>
  </si>
  <si>
    <t>037-268-574-974-622</t>
  </si>
  <si>
    <t>EP 2321313 B1</t>
  </si>
  <si>
    <t>SANOFI (2012-05-02);;MITSUBISHI TANABE PHARMA CORPORATION (2012-05-02)</t>
  </si>
  <si>
    <t>SUBSTITUTED PYRIMIDO[2,1-A]ISOQUINOLIN-4-ONE DERIVATIVES AS GSK3 INHIBITORS</t>
  </si>
  <si>
    <t>A61P3/04;;A61P3/10;;A61P5/00;;A61P7/00;;A61P9/00;;A61P11/00;;A61P13/12;;A61P17/00;;A61P17/02;;A61P17/14;;A61P19/00;;A61P19/08;;A61P21/00;;A61P25/00;;A61P25/02;;A61P25/16;;A61P25/18;;A61P25/24;;A61P25/28;;A61P27/02;;A61P27/06;;A61P31/10;;A61P33/06;;A61P35/00;;A61P35/02;;A61P43/00;;C07D471/04;;Y02A50/30;;C07D471/04;;A61K31/519;;C07D401/04;;A01N43/54;;C07D471/04</t>
  </si>
  <si>
    <t>C07D471/04;;A61K31/519;;A61P17/14;;A61P25/00;;A61P31/10</t>
  </si>
  <si>
    <t>https://lens.org/037-268-574-974-622</t>
  </si>
  <si>
    <t>144-970-628-077-409</t>
  </si>
  <si>
    <t>EP 1381389 B1</t>
  </si>
  <si>
    <t>SANOFI PASTEUR BIOLOGICS CO. (2010-08-18);;EMERGENT PRODUCT DEVELOPMENT GAITHERSBURG INC., US (2019-02-20);;SANOFI PASTEUR BIOLOGICS, LLC (2012-08-22);;EMERGENT PRODUCT DEVELOPMENT GAITHERSBURG INC (2018-11-19)</t>
  </si>
  <si>
    <t>SMALLPOX VACCINE</t>
  </si>
  <si>
    <t>C12N7/00;;A61K2039/5254;;A61P31/12;;A61P31/20;;C12N2710/24161;;A61K39/285;;C12N7/00;;A61K2039/5254;;C12N2710/24161</t>
  </si>
  <si>
    <t>A61K39/285;;C12N7/00;;A61P31/20;;C12N7/04</t>
  </si>
  <si>
    <t>https://lens.org/144-970-628-077-409</t>
  </si>
  <si>
    <t>103-375-036-010-119</t>
  </si>
  <si>
    <t>EP 1928836 B1</t>
  </si>
  <si>
    <t>SUBSTITUTED 4-PHENYLTETRAHYDROISOQUINOLINES, METHOD OF PRODUCING THEM, THEIR USE AS MEDICAMENT, AND ALSO MEDICAMENT CONTAINING THEM</t>
  </si>
  <si>
    <t>C07D217/14;;A61P1/00;;A61P3/10;;A61P7/02;;A61P9/00;;A61P9/10;;A61P9/12;;A61P11/00;;A61P13/00;;A61P13/12;;A61P17/00;;A61P21/02;;A61P25/00;;A61P25/08;;A61P25/18;;A61P25/22;;A61P25/24;;A61P25/26;;A61P33/02;;A61P33/06;;A61P33/14;;A61P37/08;;C07D217/14;;A61K31/47;;A61K31/472;;C07D217/14</t>
  </si>
  <si>
    <t>C07D217/14;;A61K31/47;;A61P9/12</t>
  </si>
  <si>
    <t>https://lens.org/103-375-036-010-119</t>
  </si>
  <si>
    <t>168-691-440-390-558</t>
  </si>
  <si>
    <t>EP 2332581 B1</t>
  </si>
  <si>
    <t>SANOFI PASTEUR INC. (2012-04-18);;SANOFI PASTEUR INC., SWIFTWATER, PA., US (2016-01-21)</t>
  </si>
  <si>
    <t>Tri- or tetravalent meningococcal polysaccharide-CRM197 conjugate vaccine</t>
  </si>
  <si>
    <t>A61K47/6415;;A61K39/095;;A61K39/116;;A61K39/39;;A61K47/02;;A61K47/08;;A61K47/24;;A61K47/61;;A61K47/646;;A61K2039/55505;;A61K2039/6037;;A61K2039/70;;A61K39/095;;A61K39/116;;A61K39/39;;A61K47/24;;A61K47/61;;A61K47/6415;;A61K47/646;;A61K2039/55505;;A61K2039/6037;;A61P31/04;;A61P37/00;;A61P37/02;;A61P37/04;;A61P43/00;;A61K47/50;;A61K47/64;;A61K39/095;;A61K39/116;;A61K39/39;;A61K47/02;;A61K47/08;;A61K47/24;;A61K47/61;;A61K47/6415;;A61K47/646;;A61K2039/55505;;A61K2039/6037;;A61K2039/70</t>
  </si>
  <si>
    <t>A61K39/05;;A61K47/48;;A61K39/095;;A61P31/04;;A61P37/00;;A61P43/00</t>
  </si>
  <si>
    <t>https://lens.org/168-691-440-390-558</t>
  </si>
  <si>
    <t>093-452-121-293-673</t>
  </si>
  <si>
    <t>EP 2709996 B1</t>
  </si>
  <si>
    <t>2-AMINO-3-(IMIDAZOL-2-YL)-PYRIDIN-4-ONE DERIVATIVES AND THEIR USE AS VEGF RECEPTOR KINASE INHIBITORS</t>
  </si>
  <si>
    <t>C07D401/04;;C07D471/04;;A61K31/4709;;A61K31/4375;;A61P1/16;;A61P7/02;;A61P9/00;;A61P9/10;;A61P13/12;;A61P17/06;;A61P19/02;;A61P27/02;;A61P27/06;;A61P29/00;;A61P31/00;;A61P35/00;;A61P35/02;;A61P35/04;;A61P37/00;;A61P37/06;;A61P43/00;;C07D401/04;;C07D471/04;;C07D471/04;;A61K31/4375;;A61K31/4709;;C07D401/04;;A61K31/4709;;A61K31/4375;;A61K45/06;;C07D401/04;;C07D471/04</t>
  </si>
  <si>
    <t>C07D401/04;;A61K31/4375;;A61K31/4709;;A61P35/00;;C07D471/04</t>
  </si>
  <si>
    <t>https://lens.org/093-452-121-293-673</t>
  </si>
  <si>
    <t>122-293-469-957-033</t>
  </si>
  <si>
    <t>EP 2675506 B1</t>
  </si>
  <si>
    <t>A61M5/31501;;A61M5/2033;;A61M5/3157;;A61M5/3202;;A61M5/3204;;A61M5/3257;;A61M5/326;;A61M5/46;;A61M5/5086;;A61M2005/2013;;A61M2005/206;;A61M2005/208;;A61M2005/3247;;A61M2205/581;;A61M2205/582;;F04C2270/0421;;Y10T403/32501;;A61M5/32;;A61M5/20;;A61M2005/2013;;A61M2005/206;;A61M2005/208;;A61M5/31501;;A61M5/2033;;A61M5/31511;;A61M5/3157;;A61M5/3158;;A61M5/3202;;A61M5/3204;;A61M5/3245;;A61M5/3257;;A61M5/326;;A61M5/46;;A61M5/5086;;A61M2005/2013;;A61M2005/206;;A61M2005/208;;A61M2005/3247;;A61M2205/581;;A61M2205/582;;F04C2270/0421;;Y10T403/32501</t>
  </si>
  <si>
    <t>https://lens.org/122-293-469-957-033</t>
  </si>
  <si>
    <t>181-342-368-119-573</t>
  </si>
  <si>
    <t>EP 2675504 B1</t>
  </si>
  <si>
    <t>A61M5/3157;;A61M5/2033;;A61M5/31501;;A61M5/3202;;A61M5/3204;;A61M5/3257;;A61M5/326;;A61M5/46;;A61M5/5086;;A61M2005/2013;;A61M2005/206;;A61M2005/2073;;A61M2005/208;;A61M2005/3247;;A61M2205/581;;A61M2205/582;;F04C2270/0421;;Y10T403/32501;;A61M5/3157;;A61M5/20;;A61M5/2033;;A61M5/2429;;A61M5/31501;;A61M5/31511;;A61M5/3158;;A61M5/3202;;A61M5/3204;;A61M5/3257;;A61M5/326;;A61M5/46;;A61M5/5086;;A61M2005/2013;;A61M2005/206;;A61M2005/2073;;A61M2005/208;;A61M2005/3247;;A61M2205/581;;A61M2205/582;;A61M2205/583;;F04C2270/0421;;Y10T403/32501</t>
  </si>
  <si>
    <t>https://lens.org/181-342-368-119-573</t>
  </si>
  <si>
    <t>179-188-850-368-645</t>
  </si>
  <si>
    <t>EP 2152680 B1</t>
  </si>
  <si>
    <t>IMMUNOGEN, INC., US (2017-09-27);;IMMUNOGEN, INC., WALTHAM, US (2016-07-12);;SANOFI (2012-05-02);;INMUNOGEN, INC. (2017-10-04)</t>
  </si>
  <si>
    <t>METHOD FOR PREPARING ENANTIOMERICALLY ENRICHED N-CARBOXYANHYDRIDE</t>
  </si>
  <si>
    <t>C07D263/44;;C07D263/44</t>
  </si>
  <si>
    <t>C07D269/02;;C07C235/12;;C07D269/00</t>
  </si>
  <si>
    <t>https://lens.org/179-188-850-368-645</t>
  </si>
  <si>
    <t>100-529-662-306-750</t>
  </si>
  <si>
    <t>EP 1708743 B1</t>
  </si>
  <si>
    <t>PASSIVE IMMUNIZATION AGAINST CLOSTRIDIUM DIFFICILE DISEASE</t>
  </si>
  <si>
    <t>A61K39/08;;A61K39/00;;A61K2039/505;;A61K2039/521;;A61K2039/54;;A61K2039/55505;;A61P1/04;;A61P1/12;;A61P31/04;;C07K14/33;;C07K16/1282;;C12N9/1051;;A61K39/08;;A61K39/00;;A61K39/39;;A61K2039/505;;A61K2039/521;;A61K2039/54;;A61K2039/55505;;A61K2039/55511;;C07K14/33;;C07K16/1282;;C07K2317/76;;C12N9/1051;;G01N33/56911;;G01N2333/33;;G01N2469/20</t>
  </si>
  <si>
    <t>A61K39/00;;A61K39/02;;A61K39/08;;C07K14/33;;C07K16/12</t>
  </si>
  <si>
    <t>https://lens.org/100-529-662-306-750</t>
  </si>
  <si>
    <t>112-950-304-863-64X</t>
  </si>
  <si>
    <t>EP 1940807 B1</t>
  </si>
  <si>
    <t>CARBAMOYLBENZOTRIAZOLE DERIVATIVES AS INHIBITORS OF LIPASES AND PHOSPHOLIPASES</t>
  </si>
  <si>
    <t>C07D249/18;;A61P3/00;;A61P3/06;;A61P3/08;;A61P3/10;;A61P9/10;;A61P43/00;;C07D403/12;;C07D405/12;;C07D409/12;;C07D409/14;;C07D249/18;;A61K31/4192;;C07D403/12;;C07D409/12;;C07D249/18;;C07D403/12;;C07D405/12;;C07D409/12;;C07D409/14</t>
  </si>
  <si>
    <t>C07D249/18;;A61K31/4192;;A61P3/00;;C07D403/12;;C07D405/12;;C07D409/12;;C07D409/14</t>
  </si>
  <si>
    <t>https://lens.org/112-950-304-863-64X</t>
  </si>
  <si>
    <t>195-297-506-909-572</t>
  </si>
  <si>
    <t>EP 1758985 B1</t>
  </si>
  <si>
    <t>SANOFI PASTEUR VAXDESIGN CORP;;WHITEHEAD BIOMEDICAL INST;;SINAI SCHOOL MEDICINE;;SCRIPPS RESEARCH INST;;MASSACHUSETTS INST TECHNOLOGY</t>
  </si>
  <si>
    <t>MASSACHUSETTS INSTITUTE OF TECHNOLOGY (2011-12-07);;MOUNT SINAI SCHOOL OF MEDICINE OF NEW YORK UNIVERS (2011-12-07);;THE SCRIPPS RESEARCH INSTITUTE (2011-12-07);;SANOFI PASTEUR VAXDESIGN CORPORATION (2011-12-07);;THE WHITEHEAD INSTITUTE FOR BIOMEDICAL RESEARCH (2011-12-07);;VAXDESIGN CORPORATION (2010-06-02)</t>
  </si>
  <si>
    <t>ARTIFICIAL IMMUNE SYSTEM: METHODS FOR MAKING AND USE</t>
  </si>
  <si>
    <t>C12N5/0697;;C12N2501/21;;C12N2502/11;;C12N2502/28;;C12N2503/04;;C12N2533/50;;C12N2533/54;;C12N2535/10;;G01N33/5047;;G01N33/5064;;G01N33/5088</t>
  </si>
  <si>
    <t>C12N5/071;;G01N33/50</t>
  </si>
  <si>
    <t>https://lens.org/195-297-506-909-572</t>
  </si>
  <si>
    <t>166-645-679-704-360</t>
  </si>
  <si>
    <t>EP 2240441 B1</t>
  </si>
  <si>
    <t>PROCESS FOR THE PREPARATION OF 6-SUBSTITUTED-1-(2H)-ISOQUINOLINONES</t>
  </si>
  <si>
    <t>C07D401/12;;C07D205/04;;C07D207/12;;C07D211/42;;C07D211/46;;C07D401/12;;C07D205/04;;C07D207/12;;C07D211/42;;C07D211/46</t>
  </si>
  <si>
    <t>C07D205/04;;C07D207/12;;C07D211/42;;C07D211/46;;C07D401/12</t>
  </si>
  <si>
    <t>https://lens.org/166-645-679-704-360</t>
  </si>
  <si>
    <t>019-613-191-098-188</t>
  </si>
  <si>
    <t>EP 2877207 A1</t>
  </si>
  <si>
    <t>VACCINE COMPOSITIONS FOR PREVENTION AGAINST DENGUE VIRUS INFECTION</t>
  </si>
  <si>
    <t>A61K39/12;;A61K2039/5252;;A61K2039/5254;;A61K2039/5258;;A61K2039/53;;A61K2039/70;;A61P31/14;;C12N2770/24134;;Y02A50/30;;A61K39/12;;A61K39/295;;A61K2039/5252;;A61K2039/5254;;A61P31/12;;C12N2770/24134;;A61K39/12;;A61K2039/5252;;A61K2039/5254;;A61K2039/5258;;A61K2039/53;;A61K2039/70;;C12N7/00;;C12N2770/24134;;Y02A50/30</t>
  </si>
  <si>
    <t>A61K39/12;;A61K39/295</t>
  </si>
  <si>
    <t>https://lens.org/019-613-191-098-188</t>
  </si>
  <si>
    <t>105-992-908-569-865</t>
  </si>
  <si>
    <t>EP 2321315 B1</t>
  </si>
  <si>
    <t>SUBSTITUTED ALKYL PYRIMIDIN-4-ONE DERIVATIVES</t>
  </si>
  <si>
    <t>C07D471/04;;A61K31/517;;A61K31/519;;A61P3/04;;A61P3/10;;A61P9/00;;A61P9/10;;A61P13/12;;A61P17/00;;A61P17/02;;A61P17/14;;A61P19/08;;A61P21/02;;A61P25/00;;A61P25/02;;A61P25/16;;A61P25/18;;A61P25/24;;A61P25/28;;A61P27/02;;A61P27/06;;A61P33/06;;A61P35/00;;A61P35/02;;A61P43/00;;C07D487/04;;Y02A50/30;;C07D471/04;;A61K31/519;;C07D401/04;;C07D471/04;;A61K31/517;;A61K31/519;;C07D487/04;;Y02A50/30</t>
  </si>
  <si>
    <t>https://lens.org/105-992-908-569-865</t>
  </si>
  <si>
    <t>153-281-582-088-382</t>
  </si>
  <si>
    <t>EP 2651390 B1</t>
  </si>
  <si>
    <t>SANOFI (2015-10-14)</t>
  </si>
  <si>
    <t>ZOLPIDEM-BASED ORODISPERSIBLE PHARMACEUTICAL TABLET</t>
  </si>
  <si>
    <t>A61K9/0007;;A61K9/0056;;A61K9/2009;;A61K9/2081;;A61K9/5026;;A61K31/437;;A61K33/10;;A61P25/00;;A61P25/20;;A61K47/02;;A61K9/0007;;A61K9/0056;;A61K9/2009;;A61K9/2081;;A61K9/5026;;A61K31/437;;A61K33/10</t>
  </si>
  <si>
    <t>A61K9/46;;A61K9/00;;A61K9/20;;A61K9/50;;A61K31/437;;A61K33/10;;A61K47/02</t>
  </si>
  <si>
    <t>https://lens.org/153-281-582-088-382</t>
  </si>
  <si>
    <t>088-537-388-695-294</t>
  </si>
  <si>
    <t>EP 1841772 B1</t>
  </si>
  <si>
    <t>TETRAHYDROFURANE DERIVATIVES FOR USE AS INHIBITORS OF MATRIX METALLOPROTEINASES</t>
  </si>
  <si>
    <t>C07D491/04;;A61P1/02;;A61P9/00;;A61P9/04;;A61P9/10;;A61P17/02;;A61P19/00;;A61P19/02;;A61P19/04;;A61P29/00;;A61P31/04;;A61P35/00;;A61P43/00;;C07D491/048;;A61K31/4355;;A61K31/55;;C07D491/04</t>
  </si>
  <si>
    <t>C07D491/044;;A61K31/4355;;A61K31/436;;A61P19/00</t>
  </si>
  <si>
    <t>https://lens.org/088-537-388-695-294</t>
  </si>
  <si>
    <t>061-733-817-334-63X</t>
  </si>
  <si>
    <t>EP 2315781 B1</t>
  </si>
  <si>
    <t>FGF-R4 RECEPTOR-SPECIFIC ANTAGONISTS</t>
  </si>
  <si>
    <t>A61K2039/505;;C07K16/2863;;C07K16/303;;C07K2317/92;;C07K2319/30;;C07K2317/73;;C07K2317/76;;A61P1/18;;A61P35/00;;A61P43/00;;A61P7/00;;A61P9/00;;C07K16/28;;C12N15/11;;A61K39/395;;C07K16/2863;;C07K2317/92;;C07K2317/76;;C07K16/303;;A61K2039/505;;C07K2317/73;;C07K2319/30</t>
  </si>
  <si>
    <t>C07K16/28;;A61K39/00;;A61K39/395;;A61P35/00;;C07K16/30;;C12N5/18;;C12N15/13</t>
  </si>
  <si>
    <t>https://lens.org/061-733-817-334-63X</t>
  </si>
  <si>
    <t>015-788-037-211-153</t>
  </si>
  <si>
    <t>EP 2303846 B1</t>
  </si>
  <si>
    <t>SUBSTITUTED ISOQUINOLINES AND ISOQUINOLINONES AS RHO KINASE INHIBITORS</t>
  </si>
  <si>
    <t>C07D217/24;;A61P1/16;;A61P3/00;;A61P3/06;;A61P3/10;;A61P5/00;;A61P7/00;;A61P7/02;;A61P9/00;;A61P9/04;;A61P9/10;;A61P9/12;;A61P11/00;;A61P11/06;;A61P13/00;;A61P13/08;;A61P13/12;;A61P15/00;;A61P15/10;;A61P19/00;;A61P25/00;;A61P25/04;;A61P25/08;;A61P25/28;;A61P27/00;;A61P27/02;;A61P27/06;;A61P29/00;;A61P31/04;;A61P31/18;;A61P35/00;;A61P37/00;;C07D217/24</t>
  </si>
  <si>
    <t>C07D217/24;;A61K31/472;;A61P9/00;;A61P25/00;;A61P27/00;;A61P37/00</t>
  </si>
  <si>
    <t>https://lens.org/015-788-037-211-153</t>
  </si>
  <si>
    <t>003-617-274-532-880</t>
  </si>
  <si>
    <t>EP 1999112 B1</t>
  </si>
  <si>
    <t>SUBSTITUTED 2-AMINO-4-PHENYL-DIHYDROQUINOLINES, METHOD FOR THE PRODUCTION THEREOF, USE THEREOF AS MEDICAMENTS, AND MEDICAMENTS CONTAINING THEM</t>
  </si>
  <si>
    <t>C07D215/38;;A61P1/00;;A61P1/04;;A61P1/16;;A61P3/06;;A61P3/10;;A61P7/02;;A61P9/00;;A61P9/10;;A61P9/12;;A61P11/00;;A61P13/12;;A61P25/00;;A61P25/08;;A61P25/18;;A61P25/20;;A61P25/22;;A61P25/24;;A61P25/28;;A61P31/00;;A61P33/02;;A61P33/06;;A61P37/06;;A61P41/00;;C07D215/38;;A61K31/47;;C07D215/38</t>
  </si>
  <si>
    <t>C07D215/38;;A61K31/47;;A61P1/16;;A61P13/12</t>
  </si>
  <si>
    <t>https://lens.org/003-617-274-532-880</t>
  </si>
  <si>
    <t>078-105-407-894-36X</t>
  </si>
  <si>
    <t>EP 2675503 B1</t>
  </si>
  <si>
    <t>A61M5/2033;;A61M5/31501;;A61M5/3157;;A61M5/3202;;A61M5/3204;;A61M5/3257;;A61M5/326;;A61M5/46;;A61M5/5086;;A61M2005/2013;;A61M2005/206;;A61M2005/2073;;A61M2005/208;;A61M2005/3247;;A61M2205/581;;A61M2205/582;;F04C2270/0421;;Y10T403/32501;;A61M5/32;;A61M5/20;;A61M5/2033;;A61M5/31501;;A61M5/2033;;A61M5/20;;A61M5/2429;;A61M5/31501;;A61M5/31511;;A61M5/3157;;A61M5/3158;;A61M5/3202;;A61M5/3204;;A61M5/3257;;A61M5/326;;A61M5/46;;A61M5/5086;;A61M2005/2013;;A61M2005/206;;A61M2005/2073;;A61M2005/208;;A61M2005/3247;;A61M2205/581;;A61M2205/582;;A61M2205/583;;F04C2270/0421;;Y10T403/32501</t>
  </si>
  <si>
    <t>https://lens.org/078-105-407-894-36X</t>
  </si>
  <si>
    <t>030-628-518-339-191</t>
  </si>
  <si>
    <t>EP 2430049 B1</t>
  </si>
  <si>
    <t>HUMANIZED ANTIBODIES SPECIFIC TO THE PROTOFIBRILLAR FORM OF THE BETA-AMYLOID PEPTIDE</t>
  </si>
  <si>
    <t>C07K2317/24;;C07K2317/33;;C07K2317/52;;C07K16/18;;C07H21/04;;A61P25/00;;A61P25/28;;A61K39/3955;;C07K2317/56;;C07K2317/565;;C12N15/63;;C07H21/04;;C12N2015/8518;;C07K2317/24;;C07K2317/33;;C07K2317/52;;C07K16/18;;C07K2317/71;;C07K2317/92</t>
  </si>
  <si>
    <t>C07K16/18;;A61K39/395;;A61P25/28;;G01N33/68</t>
  </si>
  <si>
    <t>https://lens.org/030-628-518-339-191</t>
  </si>
  <si>
    <t>133-084-816-177-268</t>
  </si>
  <si>
    <t>EP 2675502 B1</t>
  </si>
  <si>
    <t>A61M5/2033;;A61M5/31501;;A61M5/3157;;A61M5/3202;;A61M5/3204;;A61M5/3257;;A61M5/326;;A61M5/46;;A61M5/5086;;A61M2005/2013;;A61M2005/206;;A61M2005/2073;;A61M2005/208;;A61M2005/3247;;A61M2205/581;;A61M2205/582;;F04C2270/0421;;Y10T403/32501;;A61M5/32;;A61M5/20;;A61M5/2033;;A61M5/3129;;A61M5/2033;;A61M5/31501;;A61M5/31511;;A61M5/3157;;A61M5/3158;;A61M5/3202;;A61M5/3204;;A61M5/3257;;A61M5/326;;A61M5/46;;A61M5/5086;;A61M2005/2013;;A61M2005/2026;;A61M2005/206;;A61M2005/2073;;A61M2005/208;;A61M2005/3247;;A61M2205/581;;A61M2205/582;;F04C2270/0421;;Y10T403/32501</t>
  </si>
  <si>
    <t>https://lens.org/133-084-816-177-268</t>
  </si>
  <si>
    <t>075-346-122-891-323</t>
  </si>
  <si>
    <t>EP 2675508 B1</t>
  </si>
  <si>
    <t>A61M5/2033;;A61M5/326;;A61M2205/581;;A61M2205/582;;A61M5/32;;A61M5/20;;A61M5/2033;;A61M2205/581;;A61M2205/582;;A61M5/2033;;A61M5/326;;A61M2205/581;;A61M2205/582</t>
  </si>
  <si>
    <t>https://lens.org/075-346-122-891-323</t>
  </si>
  <si>
    <t>128-046-833-278-150</t>
  </si>
  <si>
    <t>EP 2675509 B1</t>
  </si>
  <si>
    <t>A61M5/3157;;A61M5/2033;;A61M5/31501;;A61M5/31536;;A61M5/3158;;A61M5/3202;;A61M5/3204;;A61M5/3257;;A61M5/326;;A61M5/46;;A61M5/5086;;A61M2005/2013;;A61M2005/206;;A61M2005/208;;A61M2005/3247;;A61M2205/581;;A61M2205/582;;F04C2270/0421;;Y10T403/32501;;A61M5/3157;;A61M5/2033;;A61M5/31501;;A61M5/31511;;A61M5/31536;;A61M5/3158;;A61M5/3202;;A61M5/3204;;A61M5/3257;;A61M5/326;;A61M5/46;;A61M5/5086;;A61M2005/2013;;A61M2005/206;;A61M2005/208;;A61M2005/3247;;A61M2205/581;;A61M2205/582;;F04C2270/0421;;Y10T403/32501</t>
  </si>
  <si>
    <t>https://lens.org/128-046-833-278-150</t>
  </si>
  <si>
    <t>084-911-374-833-766</t>
  </si>
  <si>
    <t>EP 2102187 B1</t>
  </si>
  <si>
    <t>SUBSTITUTED ISOQUINOLINE AND ISOQUINOLINONE DERIVATIVES AS INHIBITORS OF RHO-KINASE</t>
  </si>
  <si>
    <t>C07D401/12;;A61P1/04;;A61P1/16;;A61P3/00;;A61P3/10;;A61P5/00;;A61P7/02;;A61P9/00;;A61P9/02;;A61P9/04;;A61P9/10;;A61P9/12;;A61P11/00;;A61P11/06;;A61P13/08;;A61P13/12;;A61P15/00;;A61P15/06;;A61P15/10;;A61P19/08;;A61P25/00;;A61P25/04;;A61P25/28;;A61P27/02;;A61P27/06;;A61P29/00;;A61P31/00;;A61P31/04;;A61P31/18;;A61P35/00;;A61P37/00;;A61P37/06;;A61P43/00;;C07D401/14;;C07D401/14;;A61K31/4725;;C07D217/12;;C07D401/12;;C07D401/14</t>
  </si>
  <si>
    <t>C07D401/12;;A61K31/4725;;A61P9/12;;A61P11/00;;C07D401/14</t>
  </si>
  <si>
    <t>https://lens.org/084-911-374-833-766</t>
  </si>
  <si>
    <t>074-546-004-098-922</t>
  </si>
  <si>
    <t>EP 2675501 B1</t>
  </si>
  <si>
    <t>SANOFI, FR (2025-09-28);;SANOFI; FR (2025-04-11);;SANOFI (2014-03-12)</t>
  </si>
  <si>
    <t>A61M5/3158;;A61M5/2033;;A61M5/31501;;A61M5/31511;;A61M5/3157;;A61M5/3202;;A61M5/3204;;A61M5/3257;;A61M5/326;;A61M5/46;;A61M5/5086;;A61M2005/2013;;A61M2005/206;;A61M2005/208;;A61M2005/3247;;A61M2205/581;;A61M2205/582;;F04C2270/0421;;Y10T403/32501;;A61M5/3158;;A61M5/2033;;A61M5/31501;;A61M5/31511;;A61M5/3157;;A61M5/3202;;A61M5/3204;;A61M5/3257;;A61M5/326;;A61M5/46;;A61M5/5086;;A61M2005/2013;;A61M2005/206;;A61M2005/208;;A61M2005/3247;;A61M2205/581;;A61M2205/582;;F04C2270/0421;;Y10T403/32501</t>
  </si>
  <si>
    <t>https://lens.org/074-546-004-098-922</t>
  </si>
  <si>
    <t>011-201-205-593-031</t>
  </si>
  <si>
    <t>EP 2675505 B1</t>
  </si>
  <si>
    <t>A61M5/46;;A61M5/2033;;A61M5/3157;;A61M5/326;;A61M2205/581;;A61M2205/582;;A61M5/32;;A61M5/20;;A61M5/2033;;A61M5/3157;;A61M5/326;;A61M5/31501;;A61M5/20;;A61M5/2033;;A61M5/3157;;A61M5/3158;;A61M5/322;;A61M5/326;;A61M5/46;;A61M2005/206;;A61M2005/208;;A61M2205/581;;A61M2205/582;;A61M2205/583</t>
  </si>
  <si>
    <t>https://lens.org/011-201-205-593-031</t>
  </si>
  <si>
    <t>188-916-989-264-858</t>
  </si>
  <si>
    <t>EP 2298171 B1</t>
  </si>
  <si>
    <t>Tissue interface on a fluid sampling device</t>
  </si>
  <si>
    <t>A61B5/150832;;A61B5/150022;;A61B5/150152;;A61B5/150167;;A61B5/150175;;A61B5/150427;;A61B5/150503;;A61B5/150748;;A61B5/15117;;A61B5/15123;;A61B5/15146;;A61B5/15151;;A61B5/15161;;A61B5/157</t>
  </si>
  <si>
    <t>A61B5/151;;A61B5/15</t>
  </si>
  <si>
    <t>https://lens.org/188-916-989-264-858</t>
  </si>
  <si>
    <t>141-860-839-428-671</t>
  </si>
  <si>
    <t>EP 2078009 B1</t>
  </si>
  <si>
    <t>NEW FLUORENE DERIVATIVES, COMPOSITIONS CONTAINING THE SAME AND USE THEREOF AS INHIBITORS OF THE PROTEIN CHAPERONE HSP 90</t>
  </si>
  <si>
    <t>C07D403/12;;A61P7/02;;A61P9/00;;A61P9/10;;A61P17/06;;A61P21/02;;A61P25/00;;A61P25/14;;A61P25/16;;A61P25/18;;A61P25/28;;A61P27/02;;A61P31/00;;A61P31/10;;A61P31/12;;A61P31/14;;A61P31/22;;A61P33/02;;A61P33/06;;A61P35/00;;A61P43/00;;C07D401/12;;C07D471/04;;C07D487/04;;C07D401/12;;A61K31/437;;C07D487/04;;C07D403/12;;C07D401/12;;C07D471/04;;C07D487/04</t>
  </si>
  <si>
    <t>C07D401/12;;A61K31/437;;A61K31/506;;A61P25/16;;A61P25/28;;A61P35/00;;C07D403/12;;C07D471/04;;C07D487/04;;C07D519/00</t>
  </si>
  <si>
    <t>https://lens.org/141-860-839-428-671</t>
  </si>
  <si>
    <t>189-486-776-529-022</t>
  </si>
  <si>
    <t>EP 2356455 B1</t>
  </si>
  <si>
    <t>FLUORESCENT NEUTRALIZATION AND ADHERENCE INHIBITION ASSAYS</t>
  </si>
  <si>
    <t>C12Q1/18;;G01N33/56983;;G01N33/6854;;G01N33/502;;A61K49/085;;C07K14/005;;C12Q1/18;;G01N33/56983;;G01N33/6854;;G01N2333/11;;G01N2500/02;;G01N2500/10</t>
  </si>
  <si>
    <t>G01N33/533;;G01N33/569;;G01N33/68</t>
  </si>
  <si>
    <t>https://lens.org/189-486-776-529-022</t>
  </si>
  <si>
    <t>144-055-608-093-445</t>
  </si>
  <si>
    <t>EP 2104497 B1</t>
  </si>
  <si>
    <t>SULFAMIDE DERIVATIVES AS TAFIA INHIBITORS</t>
  </si>
  <si>
    <t>A61K31/4164;;A61K31/17;;A61K31/18;;A61K31/198;;A61K31/223;;A61K31/36;;A61K31/381;;A61K31/40;;A61K31/4184;;A61K31/44;;A61K31/4402;;A61K31/4406;;A61K31/4409;;A61K31/4453;;A61K31/4465;;A61K45/06;;A61P3/04;;A61P3/10;;A61P7/00;;A61P7/02;;A61P9/00;;A61P9/10;;A61P11/00;;A61P19/02;;A61P27/02;;A61P29/00;;A61P35/00;;C07C307/06;;C07D207/06;;C07D209/20;;C07D211/34;;C07D211/58;;C07D213/40;;C07D213/55;;C07D213/73;;C07D235/14;;C07D261/08;;C07D295/185;;C07D317/58;;C07D333/20;;C07D487/08;;A61K31/17;;A61K31/36;;A61K31/4164;;A61K31/4164;;A61K31/17;;A61K31/18;;A61K31/198;;A61K31/223;;A61K31/36;;A61K31/381;;A61K31/40;;A61K31/4184;;A61K31/44;;A61K31/4402;;A61K31/4406;;A61K31/4409;;A61K31/4453;;A61K31/4465;;A61K45/06;;C07C307/06;;C07D207/06;;C07D209/20;;C07D211/34;;C07D211/58;;C07D213/40;;C07D213/55;;C07D213/73;;C07D235/14;;C07D261/08;;C07D295/185;;C07D317/58;;C07D333/20;;C07D487/08</t>
  </si>
  <si>
    <t>A61K31/17;;A61K31/18;;A61K31/198;;A61K31/223;;A61K31/381;;A61K31/40;;A61K31/4164;;A61K31/4184;;A61K31/4402;;A61K31/4406;;A61K31/4409;;A61K31/4453;;A61K31/4465;;A61P7/02;;A61P9/10;;C07C307/06;;C07D211/34;;C07D213/55;;C07D213/74;;C07D295/185</t>
  </si>
  <si>
    <t>https://lens.org/144-055-608-093-445</t>
  </si>
  <si>
    <t>098-280-534-875-499</t>
  </si>
  <si>
    <t>EP 2102198 B1</t>
  </si>
  <si>
    <t>SULFONYL-PHENYL-2H-[1,2,4]OXODIAZOL-5-ONE DERIVATIVES, PROCESSES FOR THEIR PREPARATION AND THEIR USE AS PHARMACEUTICALS</t>
  </si>
  <si>
    <t>C07D413/12;;A61P1/04;;A61P1/18;;A61P3/00;;A61P3/04;;A61P3/06;;A61P3/10;;A61P5/50;;A61P9/04;;A61P9/10;;A61P9/12;;A61P9/14;;A61P11/06;;A61P11/16;;A61P15/00;;A61P17/02;;A61P17/04;;A61P17/06;;A61P17/08;;A61P17/16;;A61P19/02;;A61P19/06;;A61P25/00;;A61P25/02;;A61P25/08;;A61P25/16;;A61P25/28;;A61P27/02;;A61P29/00;;A61P31/12;;A61P35/00;;A61P35/02;;A61P37/00;;A61P43/00;;C07D413/12;;A61K31/4245;;A61K31/4725;;C07D413/12</t>
  </si>
  <si>
    <t>C07D413/12;;A61K31/4245;;A61K31/4725;;A61P3/06</t>
  </si>
  <si>
    <t>https://lens.org/098-280-534-875-499</t>
  </si>
  <si>
    <t>177-021-010-563-205</t>
  </si>
  <si>
    <t>EP 2167487 B1</t>
  </si>
  <si>
    <t>PYRROLE DERIVATIVES AS P2Y12 ANTAGONISTS</t>
  </si>
  <si>
    <t>C07D401/06;;A61P7/02;;A61P9/00;;A61P9/10;;A61P31/04;;A61P43/00;;C07D403/06;;C07D403/14;;C07D405/14;;C07D405/14;;C07D401/06;;C07D403/06;;C07D403/14;;C07D401/06;;C07D403/06;;C07D403/14;;C07D405/14</t>
  </si>
  <si>
    <t>C07D401/06;;C07D403/06;;C07D403/14;;C07D405/14</t>
  </si>
  <si>
    <t>https://lens.org/177-021-010-563-205</t>
  </si>
  <si>
    <t>198-553-637-993-881</t>
  </si>
  <si>
    <t>EP 2830650 A1</t>
  </si>
  <si>
    <t>SANOFI-AVENTIS DEUTSCHLAND GMBH (2016-07-13)</t>
  </si>
  <si>
    <t>BASAL INSULIN THERAPY</t>
  </si>
  <si>
    <t>A61K38/28;;A61P3/06;;A61P3/10;;A61P9/00;;A61P9/10;;A61P13/12;;A61P25/00;;A61P27/02;;A61K38/28;;A61J1/14</t>
  </si>
  <si>
    <t>A61K38/28;;A61P3/10;;A61P9/10</t>
  </si>
  <si>
    <t>https://lens.org/198-553-637-993-881</t>
  </si>
  <si>
    <t>135-542-262-425-298</t>
  </si>
  <si>
    <t>EP 2265324 B1</t>
  </si>
  <si>
    <t>Integrated analyte measurement system</t>
  </si>
  <si>
    <t>A61B5/14532;;A61B5/1486;;A61B5/150022;;A61B5/150152;;A61B5/150167;;A61B5/150175;;A61B5/150259;;A61B5/150419;;A61B5/150503;;A61B5/150572;;A61B5/150702;;A61B5/150946;;A61B5/15113;;A61B5/15123;;A61B5/15151;;A61B5/15161;;A61B5/15176;;A61B5/15182;;A61B5/157;;A61B2562/0295;;A61B5/1411;;A61B5/14532;;A61B5/1486;;A61B5/150022;;A61B5/150152;;A61B5/150167;;A61B5/150175;;A61B5/150259;;A61B5/150419;;A61B5/150503;;A61B5/150572;;A61B5/150702;;A61B5/150946;;A61B5/15113;;A61B5/15123;;A61B5/15146;;A61B5/15151;;A61B5/15161;;A61B5/15176;;A61B5/15182;;A61B5/157;;A61B2562/0295</t>
  </si>
  <si>
    <t>A61N1/30;;A61B5/145;;A61B5/1486;;A61B5/15;;A61B5/151;;A61B5/157</t>
  </si>
  <si>
    <t>https://lens.org/135-542-262-425-298</t>
  </si>
  <si>
    <t>073-590-678-944-023</t>
  </si>
  <si>
    <t>EP 1987042 B1</t>
  </si>
  <si>
    <t>NOVEL AMINO ALCOHOL-SUBSTITUTED ARYLTHIENOPYRIMIDINONES, PROCESS FOR THEIR PREPARATION AND THEIR USE AS MEDICAMENTS</t>
  </si>
  <si>
    <t>C07D495/04;;A61P3/00;;A61P3/04;;A61P3/06;;A61P3/08;;A61P3/10;;C07D519/00;;C07D519/00;;C07D495/04;;C07D519/00</t>
  </si>
  <si>
    <t>https://lens.org/073-590-678-944-023</t>
  </si>
  <si>
    <t>148-171-520-031-585</t>
  </si>
  <si>
    <t>EP 2257219 A4</t>
  </si>
  <si>
    <t>METHOD AND APPARATUS FOR ANALYTE MEASUREMENT TEST TIME</t>
  </si>
  <si>
    <t>C12Q1/006;;A61B5/1486;;G01N27/3273;;A61B5/14532;;A61B5/1468;;A61B5/1486;;A61B5/151;;A61B5/157;;C12Q1/006;;G01N27/3273;;Y10T436/110833</t>
  </si>
  <si>
    <t>A61B5/05;;A61B5/145;;G01N27/32</t>
  </si>
  <si>
    <t>https://lens.org/148-171-520-031-585</t>
  </si>
  <si>
    <t>183-397-630-776-538</t>
  </si>
  <si>
    <t>EP 2341141 B1</t>
  </si>
  <si>
    <t>SANOFI-AVENTIS DEUTSCHLAND GMBH (2015-07-15)</t>
  </si>
  <si>
    <t>Antibodies against recombinant platelet collagen receptor glycoprotein VI</t>
  </si>
  <si>
    <t>A61P7/02;;A61K38/00;;A61P9/08;;A61P9/10;;C07K14/70503;;C07K14/755;;C07K16/2803;;C07K2317/54;;C07K2317/55;;G01N33/86;;G01N2015/018;;G01N2333/4728;;G01N2333/78;;G01N2500/02;;G01N2800/222;;C12N15/11;;C07K14/745;;A61K38/00;;C07K14/70503;;C07K14/755;;C07K16/28;;C07K16/2803;;C07K2317/20;;C07K2317/54;;C07K2317/55;;C07K2317/76;;G01N33/86;;G01N2015/018;;G01N2333/4728;;G01N2333/78;;G01N2500/02;;G01N2800/222</t>
  </si>
  <si>
    <t>A61K38/00;;G01N33/50;;A61K38/17;;A61P7/02;;A61P9/10;;C07K14/705;;C07K14/755;;C07K16/28;;C12N15/09;;C12N15/12;;G01N15/00;;G01N33/15;;G01N33/53;;G01N33/68;;G01N33/86</t>
  </si>
  <si>
    <t>https://lens.org/183-397-630-776-538</t>
  </si>
  <si>
    <t>122-657-787-295-965</t>
  </si>
  <si>
    <t>EP 2238141 B1</t>
  </si>
  <si>
    <t>SANOFI SA;;MITSUBISHI TANABE PHARMA CORP</t>
  </si>
  <si>
    <t>SANOFI (2014-09-03);;MITSUBISHI TANABE PHARMA CORPORATION (2014-09-03)</t>
  </si>
  <si>
    <t>SUBSTITUTED ARYLAMIDE DIAZEPINOPYRIMIDONE DERIVATIVES FOR THE TREATMENT OF NEURODEGENERATIVE DISEASES CAUSED BY ABNORMAL ACTIVITY OF GSK3-BETA</t>
  </si>
  <si>
    <t>C07D487/04;;A61P3/04;;A61P3/10;;A61P9/10;;A61P13/12;;A61P17/14;;A61P19/00;;A61P19/08;;A61P21/02;;A61P25/00;;A61P25/02;;A61P25/16;;A61P25/18;;A61P25/24;;A61P25/28;;A61P27/06;;A61P33/06;;A61P35/00;;A61P35/02;;A61P43/00;;C07D243/08;;C07D403/12;;Y02A50/30;;C07D487/04;;C07D243/08;;C07D403/12</t>
  </si>
  <si>
    <t>C07D487/04;;A61K31/519;;A61P25/00</t>
  </si>
  <si>
    <t>https://lens.org/122-657-787-295-965</t>
  </si>
  <si>
    <t>076-950-390-951-596</t>
  </si>
  <si>
    <t>EP 2328898 B1</t>
  </si>
  <si>
    <t>2-HETEROARYL-PYRROLO[3,4-C]PYRROLE DERIVATIVES AND THEIR USE AS SCD INHIBITORS</t>
  </si>
  <si>
    <t>C07D487/04;;A61P1/04;;A61P3/00;;A61P3/04;;A61P3/06;;A61P3/10;;A61P9/00;;A61P9/10;;A61P11/06;;A61P17/00;;A61P17/10;;A61P19/02;;A61P19/06;;A61P21/00;;A61P25/00;;A61P25/16;;A61P25/18;;A61P25/28;;A61P29/00;;A61P31/12;;A61P31/20;;A61P35/00;;C07D487/04</t>
  </si>
  <si>
    <t>C07D487/04;;A61K31/407</t>
  </si>
  <si>
    <t>https://lens.org/076-950-390-951-596</t>
  </si>
  <si>
    <t>050-042-705-314-878</t>
  </si>
  <si>
    <t>EP 2313376 B1</t>
  </si>
  <si>
    <t>SUBSTITUTED 1-BENZYL-CINNOLIN-4(1H)-ONE DERIVATIVES, PREPARATION THEREOF, AND THERAPEUTIC USE THEREOF</t>
  </si>
  <si>
    <t>C07D237/28;;A61P1/00;;A61P1/04;;A61P1/08;;A61P1/12;;A61P1/16;;A61P3/04;;A61P3/10;;A61P7/06;;A61P9/00;;A61P9/08;;A61P9/10;;A61P9/12;;A61P11/00;;A61P11/02;;A61P11/06;;A61P13/10;;A61P13/12;;A61P15/08;;A61P17/00;;A61P17/06;;A61P19/02;;A61P19/06;;A61P19/08;;A61P19/10;;A61P21/00;;A61P25/00;;A61P25/02;;A61P25/06;;A61P25/08;;A61P25/14;;A61P25/16;;A61P25/18;;A61P25/22;;A61P25/24;;A61P25/28;;A61P27/02;;A61P27/06;;A61P27/14;;A61P29/00;;A61P31/00;;A61P31/04;;A61P31/12;;A61P31/18;;A61P33/00;;A61P35/00;;A61P37/00;;A61P37/02;;A61P37/06;;A61P37/08;;A61P43/00;;C07D405/04;;C07D409/04;;C07D237/28;;A61K31/502;;C07D409/06;;C07D237/28;;C07D405/04;;C07D409/04</t>
  </si>
  <si>
    <t>C07D237/28;;A61K31/502;;A61P25/00;;A61P35/00;;C07D237/36;;C07D405/04;;C07D409/04</t>
  </si>
  <si>
    <t>https://lens.org/050-042-705-314-878</t>
  </si>
  <si>
    <t>196-947-779-714-461</t>
  </si>
  <si>
    <t>EP 2061767 B1</t>
  </si>
  <si>
    <t>Arylaminoaryl-alkyl-substituted imidazolidine-2,4-diones, processes for preparing them, medicaments comprising these compounds, and their use</t>
  </si>
  <si>
    <t>C07D233/72;;A61P3/00;;A61P3/04;;A61P3/06;;A61P3/10;;A61P15/08;;A61P25/18;;A61P25/28;;A61P25/30;;A61P25/32;;A61P25/34;;C07D233/72;;A61K31/4166;;A61K31/4178;;C07D233/72</t>
  </si>
  <si>
    <t>C07D233/72;;A61K31/4166;;A61K31/4178</t>
  </si>
  <si>
    <t>https://lens.org/196-947-779-714-461</t>
  </si>
  <si>
    <t>165-953-348-993-514</t>
  </si>
  <si>
    <t>EP 2262804 B1</t>
  </si>
  <si>
    <t>POLYSUBSTITUTED DERIVATIVES OF 6-HETEROARYL-IMIDAZO[L,2- A] PYRIDINES, AND PREPARATION AND THERAPEUTIC USE THEREOF</t>
  </si>
  <si>
    <t>C07D471/04;;A61P19/00;;A61P19/10;;A61P25/00;;A61P25/02;;A61P25/08;;A61P25/16;;A61P25/18;;A61P25/24;;A61P25/28;;A61P25/30;;A61P29/00;;A61P35/00;;C07F5/025;;C07F7/1804;;C07D471/04;;C07F5/025;;C07F7/1804</t>
  </si>
  <si>
    <t>C07D471/04;;A61K31/437;;A61P19/00;;A61P25/00;;A61P35/00;;C07D213/28;;C07D233/56</t>
  </si>
  <si>
    <t>https://lens.org/165-953-348-993-514</t>
  </si>
  <si>
    <t>166-857-001-481-209</t>
  </si>
  <si>
    <t>EP 2430006 B1</t>
  </si>
  <si>
    <t>CYCLOPENTA[C]PYRROLE-2-CARBOXYLATE DERIVATIVES, PREPARATION THEREOF, AND THERAPEUTIC USE THEREOF</t>
  </si>
  <si>
    <t>C07D417/14;;A61P1/00;;A61P1/04;;A61P1/08;;A61P3/04;;A61P9/00;;A61P9/10;;A61P11/00;;A61P13/00;;A61P13/10;;A61P13/12;;A61P19/10;;A61P25/00;;A61P25/04;;A61P25/08;;A61P25/20;;A61P25/28;;A61P27/02;;A61P29/00;;A61P31/04;;A61P31/12;;A61P33/00;;A61P35/00;;A61P37/00;;A61P37/08;;A61P43/00;;C07D277/64;;C07D285/06;;C07D403/12;;C07D413/14;;C07D417/12;;C07D417/14;;A61K31/425;;C07D277/64;;C07D417/14;;C07D277/64;;C07D285/06;;C07D403/12;;C07D413/14;;C07D417/12</t>
  </si>
  <si>
    <t>C07D277/64;;A61K31/403;;A61P29/00;;C07D285/06;;C07D403/12;;C07D413/14;;C07D417/12;;C07D417/14</t>
  </si>
  <si>
    <t>https://lens.org/166-857-001-481-209</t>
  </si>
  <si>
    <t>141-374-526-060-112</t>
  </si>
  <si>
    <t>EP 1937648 B1</t>
  </si>
  <si>
    <t>DIACYL INDAZOL DERIVATIVES AS LIPASE AND PHOSPHOLIPASE INHIBITORS</t>
  </si>
  <si>
    <t>C07D231/56;;A61P1/00;;A61P1/18;;A61P3/00;;A61P3/06;;A61P3/08;;A61P3/10;;A61P5/50;;A61P7/02;;A61P9/00;;A61P9/04;;A61P9/08;;A61P9/10;;A61P9/12;;A61P11/00;;A61P11/06;;A61P11/16;;A61P17/00;;A61P17/02;;A61P17/04;;A61P17/06;;A61P17/12;;A61P19/02;;A61P19/06;;A61P25/00;;A61P25/16;;A61P25/28;;A61P27/02;;A61P29/00;;A61P35/00;;A61P43/00;;C07D401/14;;C07D471/04;;C07D495/04;;C07D231/56;;A61K31/416;;C07D231/56;;C07D401/14;;C07D471/04;;C07D495/04</t>
  </si>
  <si>
    <t>C07D231/56;;A61K31/416;;A61P3/10</t>
  </si>
  <si>
    <t>https://lens.org/141-374-526-060-112</t>
  </si>
  <si>
    <t>177-014-002-904-211</t>
  </si>
  <si>
    <t>EP 1791524 B1</t>
  </si>
  <si>
    <t>SANOFI, FR (2017-09-25);;SANOFI (2012-05-02)</t>
  </si>
  <si>
    <t>PHARMACEUTICAL COMPOSITION COMPRISING A SOLID DISPERSION WITH A POLYMER MATRIX CONTAINING A CONTINUOUS POLYDEXTROSE PHASE AND A CONTINUOUS PHASE OF A POLYMER OTHER THAN POLYDEXTROSE</t>
  </si>
  <si>
    <t>A61K9/205;;A61K9/2027;;A61K9/2095;;A61K47/36;;A61K9/20;;A61K9/205;;A61K9/2027;;A61K9/2095</t>
  </si>
  <si>
    <t>A61K9/10;;A61K9/20;;A61K47/36</t>
  </si>
  <si>
    <t>https://lens.org/177-014-002-904-211</t>
  </si>
  <si>
    <t>018-885-454-145-533</t>
  </si>
  <si>
    <t>EP 2268645 B1</t>
  </si>
  <si>
    <t>SUBSTITUTED DIHYDRO, TRIHYDRO AND TETRAHYDRO CYCLOALKYLOXAZOLOPYRIMIDINONES, PREPARATION AND USE THEREOF AS ALLOSTERIC MODULATORS OF MGLUR</t>
  </si>
  <si>
    <t>C07D498/04;;A61P25/00;;A61P25/04;;A61P25/06;;A61P25/08;;A61P25/18;;A61P25/22;;A61P43/00</t>
  </si>
  <si>
    <t>C07D498/04;;A61K31/519;;A61P25/00</t>
  </si>
  <si>
    <t>https://lens.org/018-885-454-145-533</t>
  </si>
  <si>
    <t>194-764-054-632-755</t>
  </si>
  <si>
    <t>EP 2416777 B1</t>
  </si>
  <si>
    <t>THERAPEUTIC APPLICATIONS IN THE CARDIOVASCULAR FIELD OF QUINAZOLINEDIONE DERIVATIVES</t>
  </si>
  <si>
    <t>A61K31/517;;A61P9/00;;A61P9/06;;A61P9/10;;A61P9/12;;A61P43/00;;A61K31/517;;A61K9/20;;A61K47/36;;A61K31/517</t>
  </si>
  <si>
    <t>A61K31/517;;A61K9/00;;A61P9/00</t>
  </si>
  <si>
    <t>https://lens.org/194-764-054-632-755</t>
  </si>
  <si>
    <t>025-673-957-268-120</t>
  </si>
  <si>
    <t>EP 2262769 B1</t>
  </si>
  <si>
    <t>POLYSUBSTITUTED 2-ARYL-6-PHENYL-IMIDAZO[1,2-A]PYRIDINE DERIVATIVES, AND PREPARATION AND THERAPEUTIC USE THEREOF</t>
  </si>
  <si>
    <t>C07D471/04;;A61P1/04;;A61P3/10;;A61P9/00;;A61P9/10;;A61P11/06;;A61P17/00;;A61P19/00;;A61P19/02;;A61P19/10;;A61P25/00;;A61P25/02;;A61P25/08;;A61P25/14;;A61P25/16;;A61P25/18;;A61P25/24;;A61P25/28;;A61P25/30;;A61P29/00;;A61P35/00;;A61P37/00;;A61P37/08;;C07D213/73;;C07F7/1804;;C07D471/04;;C07D213/73;;C07F7/1804</t>
  </si>
  <si>
    <t>C07D213/28;;A61K31/437;;A61P19/00;;A61P25/00;;A61P35/00;;C07D233/56;;C07D471/04</t>
  </si>
  <si>
    <t>https://lens.org/025-673-957-268-120</t>
  </si>
  <si>
    <t>147-266-015-452-130</t>
  </si>
  <si>
    <t>EP 2238126 B1</t>
  </si>
  <si>
    <t>DERIVATIVES OF TETRAHYDROQUINOXALINE UREA, PREPARATION THEREOF AND THERAPEUTIC APPLICATION THEREOF</t>
  </si>
  <si>
    <t>C07D239/26;;A61P1/16;;A61P3/00;;A61P3/04;;A61P3/06;;A61P3/08;;A61P3/10;;A61P5/50;;A61P9/00;;A61P9/04;;A61P9/10;;A61P9/12;;A61P17/02;;A61P19/10;;A61P25/28;;A61P27/06;;A61P31/00;;A61P37/00;;C07D241/44;;C07D401/10;;C07D401/12;;C07D239/26;;C07D241/44;;C07D401/10;;C07D401/12</t>
  </si>
  <si>
    <t>C07D401/12;;A61K31/495;;A61K31/506;;A61P3/00;;A61P9/12;;A61P25/28;;A61P27/06;;C07D401/10;;C07D417/04</t>
  </si>
  <si>
    <t>https://lens.org/147-266-015-452-130</t>
  </si>
  <si>
    <t>089-534-560-921-621</t>
  </si>
  <si>
    <t>EP 2430012 B1</t>
  </si>
  <si>
    <t>7-AZA-SPIRO[3.5]NONANE-7-CARBOXYLATE DERIVATIVES, PREPARATION THEREOF, AND THERAPEUTIC USE THEREOF</t>
  </si>
  <si>
    <t>C07D263/32;;A61P1/00;;A61P1/04;;A61P1/08;;A61P9/00;;A61P9/10;;A61P13/02;;A61P13/12;;A61P19/08;;A61P19/10;;A61P25/00;;A61P25/02;;A61P25/04;;A61P25/08;;A61P25/20;;A61P25/28;;A61P27/02;;A61P29/00;;A61P31/00;;A61P31/04;;A61P31/12;;A61P33/00;;A61P35/00;;A61P37/00;;A61P37/02;;A61P37/08;;A61P43/00;;C07D209/54;;C07D401/12;;C07D403/12;;C07D413/12;;C07D417/12;;C07D417/12;;A61K31/4523;;C07D401/12;;C07D263/32;;C07D209/54;;C07D401/12;;C07D403/12;;C07D413/12;;C07D417/12</t>
  </si>
  <si>
    <t>C07D401/12;;A61K31/4523;;A61P25/00;;A61P29/00;;C07D413/12;;C07D417/12</t>
  </si>
  <si>
    <t>https://lens.org/089-534-560-921-621</t>
  </si>
  <si>
    <t>026-810-293-919-318</t>
  </si>
  <si>
    <t>EP 2411383 B1</t>
  </si>
  <si>
    <t>DERIVATIVES OF 3-ALKOXY-4,5-DIARYLTHIOPHENE-2-CARBOXAMIDE, PREPARATION THEREOF, AND THERAPEUTIC USE THEREOF</t>
  </si>
  <si>
    <t>C07D409/06;;A61P1/00;;A61P1/04;;A61P1/08;;A61P1/12;;A61P1/16;;A61P3/00;;A61P3/04;;A61P3/06;;A61P3/10;;A61P19/00;;A61P19/02;;A61P19/08;;A61P19/10;;A61P25/00;;A61P25/04;;A61P25/14;;A61P25/16;;A61P25/28;;A61P25/30;;A61P29/00;;A61P35/00;;A61P37/00;;A61P37/02;;C07D409/12;;C07D409/06;;C07D409/12</t>
  </si>
  <si>
    <t>C07D409/06;;A61K31/4535;;A61P25/00;;C07D409/12</t>
  </si>
  <si>
    <t>https://lens.org/026-810-293-919-318</t>
  </si>
  <si>
    <t>158-043-271-440-682</t>
  </si>
  <si>
    <t>EP 2262805 B1</t>
  </si>
  <si>
    <t>POLYSUBSTITUTED DERIVATIVES OF 2-HETEROARYL-6-PHENYL-IMIDAZO[L,2-A] PYRIDINES, AND PREPARATION AND THERAPEUTIC USE THEREOF</t>
  </si>
  <si>
    <t>https://lens.org/158-043-271-440-682</t>
  </si>
  <si>
    <t>151-826-703-263-031</t>
  </si>
  <si>
    <t>EP 2188273 B1</t>
  </si>
  <si>
    <t>SUBSTITUTED TETRA HYDRO NAPHTHALINES, METHOD FOR THEIR MANUFACTURE AND THEIR USE AS DRUGS</t>
  </si>
  <si>
    <t>C07D307/12;;A61P3/00;;A61P3/04;;A61P3/06;;A61P3/08;;A61P3/10;;A61P43/00;;C07D405/12;;A61K31/397;;A61K31/4025;;A61K31/4525;;A61K31/4709;;A61K31/496;;A61K31/5377;;A61K31/541;;A61K31/55;;A61K31/553;;A61K45/06;;C07D307/12</t>
  </si>
  <si>
    <t>C07D307/12;;A61P3/00</t>
  </si>
  <si>
    <t>https://lens.org/151-826-703-263-031</t>
  </si>
  <si>
    <t>058-222-073-254-799</t>
  </si>
  <si>
    <t>EP 2331549 B1</t>
  </si>
  <si>
    <t>METHOD FOR PREPARING 1,6:2,3-DIANHYDRO-BETA-D-MANNOPYRANOSE</t>
  </si>
  <si>
    <t>C07D493/18;;C07D493/18;;C07H19/01;;C07H3/02;;C07D493/18</t>
  </si>
  <si>
    <t>C07D493/18;;C07H19/01</t>
  </si>
  <si>
    <t>https://lens.org/058-222-073-254-799</t>
  </si>
  <si>
    <t>186-560-895-718-305</t>
  </si>
  <si>
    <t>EP 2091920 B1</t>
  </si>
  <si>
    <t>SUBSTITUTED PYRAZOLES, COMPOSITIONS CONTAINING THESE, METHOD OF PRODUCTION AND USE</t>
  </si>
  <si>
    <t>C07C273/18;;A61P35/00;;A61P43/00;;C07D231/38;;C07D231/38;;A61K31/415;;C07C273/18;;C07C273/18;;C07D231/38</t>
  </si>
  <si>
    <t>C07D231/38;;A61K31/415;;A61P35/00</t>
  </si>
  <si>
    <t>https://lens.org/186-560-895-718-305</t>
  </si>
  <si>
    <t>156-530-182-703-562</t>
  </si>
  <si>
    <t>EP 2356108 B1</t>
  </si>
  <si>
    <t>CARBAMATE DERIVATIVES OF ALKYL-HETEROCYCLES, PREPARATION THEREOF AND THERAPEUTIC USE THEREOF</t>
  </si>
  <si>
    <t>C07D417/14;;A61P1/00;;A61P1/08;;A61P3/00;;A61P9/00;;A61P9/10;;A61P11/00;;A61P13/00;;A61P13/02;;A61P13/12;;A61P19/10;;A61P25/00;;A61P25/04;;A61P25/08;;A61P25/20;;A61P27/02;;A61P27/16;;A61P29/00;;A61P31/00;;A61P31/04;;A61P31/12;;A61P33/00;;A61P35/00;;A61P37/00;;A61P37/08;;C07D401/14;;C07D403/14;;C07D407/14;;C07D413/12;;C07D413/14;;C07D413/14;;A61K31/4709;;C07D401/14;;C07D417/14;;C07D417/14;;C07D401/14;;C07D403/14;;C07D407/14;;C07D413/12;;C07D413/14</t>
  </si>
  <si>
    <t>C07D401/14;;A61K31/445;;A61K31/4709;;A61K31/497;;A61K31/498;;A61K31/501;;A61K31/502;;A61K31/506;;A61P25/00;;A61P29/00;;C07D403/14;;C07D407/14;;C07D413/12;;C07D413/14;;C07D417/14</t>
  </si>
  <si>
    <t>https://lens.org/156-530-182-703-562</t>
  </si>
  <si>
    <t>029-266-805-654-097</t>
  </si>
  <si>
    <t>EP 2121612 B1</t>
  </si>
  <si>
    <t>HETEROARYLCYCLOPROPANECARBOXAMIDES AND THEIR USE AS PHARMACEUTICALS</t>
  </si>
  <si>
    <t>C07D213/56;;A61P1/16;;A61P3/00;;A61P3/10;;A61P9/00;;A61P9/04;;A61P9/06;;A61P9/08;;A61P9/10;;A61P9/12;;A61P11/06;;A61P13/12;;A61P15/10;;A61P19/00;;A61P19/10;;A61P25/00;;A61P27/02;;A61P43/00;;C07D271/113;;C07D333/24;;C07D401/12;;C07D413/12;;C07D417/12;;C07D487/08;;C07D213/56;;C07D271/113;;C07D333/24;;C07D401/12;;C07D413/12;;C07D417/12;;C07D487/08</t>
  </si>
  <si>
    <t>C07D213/56;;A61K31/444;;A61P9/08;;C07D271/10;;C07D333/24;;C07D401/12;;C07D413/12;;C07D417/12;;C07D487/08</t>
  </si>
  <si>
    <t>https://lens.org/029-266-805-654-097</t>
  </si>
  <si>
    <t>068-481-169-967-792</t>
  </si>
  <si>
    <t>EP 1773835 B1</t>
  </si>
  <si>
    <t>PYRIDO-PYRIDO-PYRIMIDINE DERIVATIVES, PREPARATION THEREOF, THERAPEUTIC USE THEREOF FOR TREATING CANCER</t>
  </si>
  <si>
    <t>C07D471/04;;A61P35/00;;A61P35/02;;C07D471/04;;A61K31/519;;C07D471/04</t>
  </si>
  <si>
    <t>C07D471/04;;A61K31/519;;C07D417/04</t>
  </si>
  <si>
    <t>https://lens.org/068-481-169-967-792</t>
  </si>
  <si>
    <t>032-368-801-685-430</t>
  </si>
  <si>
    <t>EP 2288607 B1</t>
  </si>
  <si>
    <t>SULFONAMIDES WITH HETEROCYCLE AND OXADIAZOLONE HEADGROUP, PROCESSES FOR THEIR PREPARATION AND THEIR USE AS PHARMACEUTICALS</t>
  </si>
  <si>
    <t>C07D413/14;;A61P3/00;;A61P3/06;;A61P3/08;;A61P3/10;;A61P25/00;;A61P25/28;;C07D413/14</t>
  </si>
  <si>
    <t>C07D413/14;;A61K31/404;;A61K31/4439;;A61P3/00;;A61P25/00</t>
  </si>
  <si>
    <t>https://lens.org/032-368-801-685-430</t>
  </si>
  <si>
    <t>014-397-799-467-804</t>
  </si>
  <si>
    <t>T3</t>
  </si>
  <si>
    <t>DE 60023518 T3</t>
  </si>
  <si>
    <t>SANOFI-AVENTIS DEUTSCHLAND GMBH, 65929 FRANKFURT, (2006-01-05)</t>
  </si>
  <si>
    <t>VERWENDUNG VON RAMIPRIL ZUR PROPHYLAXE VON KONGESTIVEM HERZVERSAGEN</t>
  </si>
  <si>
    <t>A61K31/403;;A61P3/00;;A61P3/10;;A61P7/12;;A61P9/00;;A61P9/02;;A61P9/04;;A61P9/08;;A61P9/10;;A61P9/12;;A61P9/14;;A61P25/28;;A61P43/00;;A61K31/40;;A61K31/519;;A61K31/403;;A61K31/41;;A61K31/4178;;A61K31/4184</t>
  </si>
  <si>
    <t>A61K38/55;;A61K45/00;;A61K31/00;;A61K31/357;;A61K31/401;;A61K31/4025;;A61K31/403;;A61K31/404;;A61K31/41;;A61K31/4166;;A61K31/4178;;A61K31/4184;;A61K31/435;;A61K31/497;;A61K31/519;;A61K31/55;;A61K31/551;;A61K31/554;;A61P3/10;;A61P9/02;;A61P9/04;;A61P9/10;;A61P43/00;;C07D209/52</t>
  </si>
  <si>
    <t>https://lens.org/014-397-799-467-804</t>
  </si>
  <si>
    <t>043-305-869-863-564</t>
  </si>
  <si>
    <t>EP 1863789 B1</t>
  </si>
  <si>
    <t>AMINOCARBONYL-SUBSTITUTED 8-N-BENZIMIDAZOLES, METHOD FOR THEIR PRODUCTION AND THEIR USE AS MEDICAMENTS</t>
  </si>
  <si>
    <t>C07D401/04;;A61P3/04;;A61P3/06;;A61P3/10;;A61P5/24;;A61P9/10;;A61P11/00;;A61P15/10;;A61P17/00;;A61P17/02;;A61P17/06;;A61P19/02;;A61P19/10;;A61P25/00;;A61P25/18;;A61P25/20;;A61P25/22;;A61P25/24;;A61P25/28;;A61P29/00;;A61P31/10;;A61P35/00;;A61P37/02;;A61P43/00;;C07D401/04</t>
  </si>
  <si>
    <t>C07D401/04;;A61K31/4184;;A61P3/10</t>
  </si>
  <si>
    <t>https://lens.org/043-305-869-863-564</t>
  </si>
  <si>
    <t>018-525-334-404-802</t>
  </si>
  <si>
    <t>EP 2086581 B1</t>
  </si>
  <si>
    <t>STABILIZATION OF VACCINES BY LYOPHILIZATION</t>
  </si>
  <si>
    <t>A61K9/19;;A61K39/12;;A61K47/183;;A61K47/26;;A61K47/42;;A61K2039/5254;;A61K2039/70;;C12N2770/24134;;A61K39/12;;A61K9/19;;A61K2039/5254;;A61P1/16;;A61P31/12;;A61P31/14;;A61P31/16;;A61P31/20;;A61P37/04;;C07K14/005;;C12N2770/24122;;C12N2770/24134;;Y02A50/30;;A61K39/12;;A61K9/19;;A61K2039/5254;;C07K14/005;;C12N2770/24122;;C12N2770/24134;;Y02A50/30</t>
  </si>
  <si>
    <t>A61K9/19;;A61K39/12;;C07K14/005</t>
  </si>
  <si>
    <t>https://lens.org/018-525-334-404-802</t>
  </si>
  <si>
    <t>043-685-885-842-111</t>
  </si>
  <si>
    <t>EP 1978865 B1</t>
  </si>
  <si>
    <t>A61B5/15146;;A61B5/150022;;A61B5/150061;;A61B5/150068;;A61B5/150099;;A61B5/150152;;A61B5/150167;;A61B5/150175;;A61B5/150221;;A61B5/150358;;A61B5/150427;;A61B5/150503;;A61B5/150572;;A61B5/15113;;A61B5/15117;;A61B5/15123;;A61B5/15151;;A61B5/15153;;A61B5/15163;;A61B5/15169;;A61B5/15171;;A61B5/15174;;A61B5/15176;;A61B5/15178;;A61B5/15184;;A61B5/15186;;A61B5/157;;A61M2005/005;;A61B5/1411;;A61B5/1427;;A61B5/150022;;A61B5/150061;;A61B5/150068;;A61B5/150099;;A61B5/150152;;A61B5/150167;;A61B5/150175;;A61B5/150221;;A61B5/150358;;A61B5/150427;;A61B5/150503;;A61B5/150572;;A61B5/15113;;A61B5/15117;;A61B5/15123;;A61B5/15146;;A61B5/15151;;A61B5/15153;;A61B5/15163;;A61B5/15169;;A61B5/15171;;A61B5/15174;;A61B5/15176;;A61B5/15178;;A61B5/15184;;A61B5/15186;;A61B5/157;;A61M2005/005</t>
  </si>
  <si>
    <t>A61B5/00</t>
  </si>
  <si>
    <t>https://lens.org/043-685-885-842-111</t>
  </si>
  <si>
    <t>022-772-741-439-634</t>
  </si>
  <si>
    <t>EP 2421864 B1</t>
  </si>
  <si>
    <t>1-PYRAZOLO[4,3-C]ISOQUINOLINE DERIVATIVES, PREPARATION THEREOF AND THERAPEUTIC USE THEREOF</t>
  </si>
  <si>
    <t>C07D471/04;;A61P35/00;;C07D471/04;;A61K31/4745;;A61K31/497;;C07D471/04</t>
  </si>
  <si>
    <t>C07D471/04;;A61K31/4745;;A61P35/00</t>
  </si>
  <si>
    <t>https://lens.org/022-772-741-439-634</t>
  </si>
  <si>
    <t>170-153-900-870-899</t>
  </si>
  <si>
    <t>EP 2040690 B1</t>
  </si>
  <si>
    <t>INHIBITORS OF CXCR2</t>
  </si>
  <si>
    <t>C07D277/64;;A61P1/02;;A61P1/04;;A61P7/02;;A61P9/00;;A61P9/10;;A61P11/00;;A61P11/06;;A61P11/14;;A61P13/12;;A61P15/06;;A61P17/00;;A61P17/04;;A61P17/06;;A61P19/02;;A61P19/10;;A61P21/00;;A61P25/00;;A61P25/28;;A61P27/02;;A61P29/00;;A61P31/04;;A61P31/12;;A61P31/18;;A61P33/06;;A61P35/00;;A61P35/04;;A61P37/06;;A61P37/08;;A61P43/00;;C07C235/66;;C07C2601/10;;C07D307/24;;C07D309/14;;C07D335/02;;C07D409/12;;C07D417/12;;C07D277/64;;C07C235/66;;C07C2601/10;;C07D307/24;;C07D309/14;;C07D335/02;;C07D409/12;;C07D417/12</t>
  </si>
  <si>
    <t>A61K31/195;;A61K31/351;;A61K31/381;;A61K31/382;;A61K31/428;;A61K31/4436;;C07C235/66;;C07D277/64;;C07D307/24;;C07D309/14;;C07D335/02;;C07D407/12;;C07D409/12;;C07D417/12</t>
  </si>
  <si>
    <t>https://lens.org/170-153-900-870-899</t>
  </si>
  <si>
    <t>430</t>
  </si>
  <si>
    <t>077-252-418-963-90X</t>
  </si>
  <si>
    <t>EP 1451185 B1</t>
  </si>
  <si>
    <t>SANOFI-AVENTIS DEUTSCHLAND GMBH (2005-11-02)</t>
  </si>
  <si>
    <t>INDOLE-2-CARBOXAMIDES AS FACTOR XA INHIBITORS</t>
  </si>
  <si>
    <t>C07D413/14;;A61P7/02;;A61P9/00;;A61P9/08;;A61P9/10;;A61P29/00;;A61P43/00;;C04B35/632;;C07D209/22;;C07D401/06;;C07D401/12;;C07D401/14;;C07D403/12;;C07D409/14;;C07D417/14;;C07D413/14;;C07D417/14;;C07D413/14;;C04B35/632;;C07D209/22;;C07D401/06;;C07D401/12;;C07D401/14;;C07D403/12;;C07D409/14;;C07D417/14</t>
  </si>
  <si>
    <t>C07D413/14;;A61K31/404;;A61K31/405;;A61K31/422;;A61K31/4439;;A61K31/454;;A61K31/4545;;A61K31/4725;;A61K31/496;;A61K31/506;;A61K31/517;;A61P7/02;;A61P9/00;;A61P9/08;;A61P9/10;;A61P29/00;;A61P43/00;;C07D209/22;;C07D209/42;;C07D401/06;;C07D401/12;;C07D401/14;;C07D403/12;;C07D409/14;;C07D417/14</t>
  </si>
  <si>
    <t>https://lens.org/077-252-418-963-90X</t>
  </si>
  <si>
    <t>431</t>
  </si>
  <si>
    <t>032-460-596-836-034</t>
  </si>
  <si>
    <t>EP 2373659 B1</t>
  </si>
  <si>
    <t>SUBSTITUTED TETRAHYDROPYRAN SPIRO PYRROLIDINONE AND PIPERIDINONE, PREPARATION AND THERAPEUTIC USE THEREOF</t>
  </si>
  <si>
    <t>C07D491/107;;A61P3/04;;A61P25/00;;A61P25/02;;A61P25/08;;A61P25/14;;A61P25/16;;A61P25/18;;A61P25/20;;A61P25/22;;A61P25/24;;A61P25/28;;A61P43/00;;C07D491/107;;A61K31/407;;A61K45/06;;C07D417/14;;C07D491/107</t>
  </si>
  <si>
    <t>C07D491/107;;A61K31/407;;A61K31/438;;A61P25/00</t>
  </si>
  <si>
    <t>https://lens.org/032-460-596-836-034</t>
  </si>
  <si>
    <t>432</t>
  </si>
  <si>
    <t>066-117-748-116-745</t>
  </si>
  <si>
    <t>EP 2305220 B1</t>
  </si>
  <si>
    <t>INST NAT SANTÉ ET DE LA RECH MÉDICALE INSERM;;SANOFI SA</t>
  </si>
  <si>
    <t>INSTITUT NATIONAL DE LA SANTE ET DE LA RECHERCHE M (2012-05-02);;SANOFI (2012-05-02)</t>
  </si>
  <si>
    <t>Use of antagonists of the CB1 receptor for the manufacture of a composition useful for the treatment of hepatic diseases</t>
  </si>
  <si>
    <t>A61K31/00;;A61K31/415;;A61K31/454;;A61P1/00;;A61P1/06;;A61P1/16;;A61P31/12;;A61P35/00;;A61P43/00;;A61K31/415;;A61K31/454;;A61K38/17;;A61K31/00;;A61K31/415;;A61K31/454</t>
  </si>
  <si>
    <t>A61K31/00;;A61K31/415;;A61K31/454;;A61K38/17;;A61P1/16</t>
  </si>
  <si>
    <t>https://lens.org/066-117-748-116-745</t>
  </si>
  <si>
    <t>433</t>
  </si>
  <si>
    <t>026-005-941-787-172</t>
  </si>
  <si>
    <t>EP 2260306 B1</t>
  </si>
  <si>
    <t>USE OF CATHEPSIN C</t>
  </si>
  <si>
    <t>C12Q1/37;;A61P19/02;;A61P25/04;;A61P29/00;;C12Q1/6883;;C12Q2600/106;;C12Q2600/136;;C12Q2600/158;;G01N33/6896;;G01N2800/2842;;C12Q1/37;;C12Q1/6883;;C12Q2600/106;;C12Q2600/136;;C12Q2600/158;;G01N33/6896;;G01N2800/2842</t>
  </si>
  <si>
    <t>G01N33/68;;C12Q1/37</t>
  </si>
  <si>
    <t>https://lens.org/026-005-941-787-172</t>
  </si>
  <si>
    <t>434</t>
  </si>
  <si>
    <t>040-782-547-367-683</t>
  </si>
  <si>
    <t>EP 2382215 B1</t>
  </si>
  <si>
    <t>DERIVATIVES OF 2-PYRIDIN-2-YL-PYRAZOL-3(2H)-ONE, PREPARATION AND THERAPEUTIC USE THEREOF</t>
  </si>
  <si>
    <t>C07D401/14;;A61P3/10;;A61P7/00;;A61P7/06;;A61P9/00;;A61P9/04;;A61P9/10;;A61P9/12;;A61P13/12;;A61P17/02;;A61P27/02;;A61P27/06;;A61P31/12;;C07D401/04;;C07D403/04;;C07D471/04;;C07D491/052;;C07D495/04;;C07D401/14;;C07D401/04;;C07D403/04;;C07D471/04;;C07D491/052;;C07D495/04</t>
  </si>
  <si>
    <t>C07D471/04;;A61K31/4162;;A61P27/06;;C07D213/72;;C07D213/77;;C07D401/12;;C07D403/04;;C07D405/12;;C07D409/12;;C07D491/04;;C07D495/04;;C07D513/04</t>
  </si>
  <si>
    <t>https://lens.org/040-782-547-367-683</t>
  </si>
  <si>
    <t>435</t>
  </si>
  <si>
    <t>030-576-050-276-188</t>
  </si>
  <si>
    <t>EP 2069362 B1</t>
  </si>
  <si>
    <t>PROCESS FOR PREPARING N-ALKYL NALTREXONE HALIDES</t>
  </si>
  <si>
    <t>C07D489/08;;A61P1/00;;C07D498/08;;C07D489/08</t>
  </si>
  <si>
    <t>C07D498/08</t>
  </si>
  <si>
    <t>https://lens.org/030-576-050-276-188</t>
  </si>
  <si>
    <t>436</t>
  </si>
  <si>
    <t>022-258-298-839-294</t>
  </si>
  <si>
    <t>EP 2752487 A1</t>
  </si>
  <si>
    <t>SANOFI SA;;INST NAT SANTE RECH MED;;UNIVERSITÉ DE MONTPELLIER I;;UNIVERSITÉ MONTPELLIER 2 SCIENCES ET TECH;;CT VAL D AURELLE PAUL LAMARQUE</t>
  </si>
  <si>
    <t>UNIVERSITE DE MONTPELLIER (2015-10-14);;INSTITUT NATIONAL DE LA SANTE ET DE LA RECHERCHE M (2015-10-14);;UNIVERSITE MONTPELLIER 1 (2014-07-16);;UNIVERSITE MONTPELLIER 2 SCIENCES ET TECHNIQUES (2014-07-16);;CENTRE VAL D'AURELLE - PAUL LAMARQUE (2015-10-14);;SANOFI (2015-10-14)</t>
  </si>
  <si>
    <t>Intracellular phenotypic screening</t>
  </si>
  <si>
    <t>C07K16/00;;C07K2317/622;;C07K2317/80;;G01N33/5008;;G01N33/6845;;G01N33/6854;;G01N33/5023;;C07K16/00;;C07K16/18;;C07K2317/565;;C07K2317/622;;C07K2317/80;;G01N33/5008;;G01N33/6845;;G01N33/6854;;G01N2500/02;;G01N2500/10</t>
  </si>
  <si>
    <t>C12N15/10;;G01N33/50;;G01N33/68</t>
  </si>
  <si>
    <t>https://lens.org/022-258-298-839-294</t>
  </si>
  <si>
    <t>437</t>
  </si>
  <si>
    <t>054-972-893-617-281</t>
  </si>
  <si>
    <t>DE 19861320 B4</t>
  </si>
  <si>
    <t>AGILENT TECHNOLOGIES, INC. (N.D.GES.D. STAATES, US (2007-10-04);;SANOFI-AVENTIS DEUTSCHLAND GMBH, DE (2012-08-20)</t>
  </si>
  <si>
    <t>Verfahren zur Blutprobennahme und Analyse</t>
  </si>
  <si>
    <t>A61B5/14532;;A61B5/150022;;A61B5/15019;;A61B5/150412;;A61B5/150748;;A61B5/15109;;A61B5/15117;;A61B5/15153;;A61B5/15174;;A61B5/15194;;A61B5/157;;A61B2562/0295;;A61B5/14532;;A61B5/150022;;A61B5/15019;;A61B5/150412;;A61B5/150748;;A61B5/15109;;A61B5/15117;;A61B5/15153;;A61B5/15174;;A61B5/15194;;A61B5/157;;A61B2562/0295</t>
  </si>
  <si>
    <t>A61M1/00;;A61B5/00;;A61B5/145;;A61B5/15</t>
  </si>
  <si>
    <t>https://lens.org/054-972-893-617-281</t>
  </si>
  <si>
    <t>438</t>
  </si>
  <si>
    <t>168-018-231-216-895</t>
  </si>
  <si>
    <t>EP 2288605 B1</t>
  </si>
  <si>
    <t>ANNELATED PYRROLIDIN SULFONAMIDES WITH OXADIAZOLONE HEADGROUP, PROCESSES FOR THEIR PREPARATION AND THEIR USE AS PHARMACEUTICALS</t>
  </si>
  <si>
    <t>C07D413/14;;A61P3/00;;A61P3/10;;A61P25/00;;C07D471/04</t>
  </si>
  <si>
    <t>C07D413/14;;A61K31/404;;A61K31/437;;A61P3/00;;A61P25/00;;C07D471/04</t>
  </si>
  <si>
    <t>https://lens.org/168-018-231-216-895</t>
  </si>
  <si>
    <t>439</t>
  </si>
  <si>
    <t>107-639-912-390-61X</t>
  </si>
  <si>
    <t>EP 2638046 A4</t>
  </si>
  <si>
    <t>UNIV MICHIGAN;;ASCENTA LICENSING CORP;;SANOFI SA</t>
  </si>
  <si>
    <t>SANOFI (2017-01-18);;THE REGENTS OF THE UNIVERSITY OF MICHIGAN (2017-01-18);;ASCENTA LICENSING CORPORATION (2017-01-18)</t>
  </si>
  <si>
    <t>SPIRO-OXINDOLE MDM2 ANTAGONISTS</t>
  </si>
  <si>
    <t>A61K31/407;;A61K45/06;;A61P17/00;;A61P35/00;;A61P35/02;;C07D487/10;;C07D487/10;;A61K31/407;;A61N5/10;;A61K31/407;;A61K45/06;;C07D487/10</t>
  </si>
  <si>
    <t>C07D487/10;;A61K31/407;;A61P35/00</t>
  </si>
  <si>
    <t>https://lens.org/107-639-912-390-61X</t>
  </si>
  <si>
    <t>440</t>
  </si>
  <si>
    <t>041-185-634-625-135</t>
  </si>
  <si>
    <t>EP 1248763 B1</t>
  </si>
  <si>
    <t>AROMATIC DI-KETO DERIVATIVES AS GLUCOSE-6-PHOSPHATE TRANSLOCASE INHIBITORS</t>
  </si>
  <si>
    <t>C07C65/40;;A61P3/00;;A61P3/10;;A61P43/00;;C07D307/20;;C07D307/20;;C07C65/40;;C07C65/40;;C07D307/20</t>
  </si>
  <si>
    <t>C07C63/42;;A61K31/19;;A61K31/216;;A61K31/341;;A61K31/343;;A61K31/40;;A61P3/10;;A61P43/00;;C07C51/367;;C07C65/40;;C07C66/02;;C07C67/08;;C07C69/95;;C07C231/02;;C07C235/84;;C07D307/20;;C07D493/20</t>
  </si>
  <si>
    <t>https://lens.org/041-185-634-625-135</t>
  </si>
  <si>
    <t>441</t>
  </si>
  <si>
    <t>171-977-772-347-224</t>
  </si>
  <si>
    <t>EP 1874346 B1</t>
  </si>
  <si>
    <t>SANOFI PASTEUR BIOLOGICS CO. (2010-08-18);;SANOFI PASTEUR BIOLOGICS, LLC (2012-08-15)</t>
  </si>
  <si>
    <t>RECOMBINANT FLAVIVIRUS VACCINES</t>
  </si>
  <si>
    <t>C12N7/00;;A61P31/14;;C07K14/005;;C12N2770/24122;;C12N2770/24134;;C12N2770/24162;;C12N7/00;;C07K14/005;;C12N2710/16234;;C12N2770/24122;;C12N2770/24134;;C12N2770/24162;;Y02A50/30</t>
  </si>
  <si>
    <t>A61K39/29;;C07H21/02;;C12P21/06</t>
  </si>
  <si>
    <t>https://lens.org/171-977-772-347-224</t>
  </si>
  <si>
    <t>442</t>
  </si>
  <si>
    <t>113-617-777-424-396</t>
  </si>
  <si>
    <t>EP 2185558 B1</t>
  </si>
  <si>
    <t>TRICYCLIC N-HETEROARYL-CARBOXAMIDE DERIVATIVES, PREPARATION THEREOF AND THERAPEUTIC USE OF SAME</t>
  </si>
  <si>
    <t>C07D471/04;;A61P1/00;;A61P1/04;;A61P3/00;;A61P11/00;;A61P13/00;;A61P15/00;;A61P17/00;;A61P17/04;;A61P17/06;;A61P25/00;;A61P25/04;;A61P25/24;;A61P27/02;;A61P27/14;;A61P29/00;;A61P31/12;;A61P31/22;;A61P43/00;;C07D471/04</t>
  </si>
  <si>
    <t>C07D471/04;;A61K31/437;;A61P1/00;;A61P1/04;;A61P3/00;;A61P11/00;;A61P13/00;;A61P15/00;;A61P17/00;;A61P25/00;;A61P27/14;;A61P29/00;;A61P31/12;;A61P31/22;;C07D211/56;;C07D233/02;;C07D471/14</t>
  </si>
  <si>
    <t>https://lens.org/113-617-777-424-396</t>
  </si>
  <si>
    <t>443</t>
  </si>
  <si>
    <t>175-079-652-808-808</t>
  </si>
  <si>
    <t>EP 2308532 B1</t>
  </si>
  <si>
    <t>Security support device for a syringe and assambly of such a device and a syringe</t>
  </si>
  <si>
    <t>A61M5/326;;A61M2005/3143;;A61M2005/3247;;A61M2005/3261;;A61M2005/3264;;A61M5/3202;;A61M5/31511;;A61M5/3204;;A61M5/326;;A61M2005/3143;;A61M2005/3247;;A61M2005/3261;;A61M2005/3264</t>
  </si>
  <si>
    <t>A61M5/50;;A61G12/00;;A61M5/31;;A61M5/32</t>
  </si>
  <si>
    <t>https://lens.org/175-079-652-808-808</t>
  </si>
  <si>
    <t>444</t>
  </si>
  <si>
    <t>136-666-163-750-870</t>
  </si>
  <si>
    <t>EP 2417111 B1</t>
  </si>
  <si>
    <t>SUBSTITUTED 1-ALKYLCINNOLIN-4(1H)-ONE DERIVATIVES, PREPARATION THEREOF AND THERAPEUTIC APPLICATION OF SAME</t>
  </si>
  <si>
    <t>C07D237/28;;A61P1/00;;A61P3/00;;A61P3/04;;A61P3/10;;A61P9/00;;A61P25/00;;A61P25/04;;A61P25/28;;A61P29/00;;A61P31/00;;A61P35/00;;A61P37/00;;A61P37/08;;A61P43/00;;C07D237/28;;A61K31/502;;C07D237/28</t>
  </si>
  <si>
    <t>C07D237/28;;A61K31/502;;A61P29/00</t>
  </si>
  <si>
    <t>https://lens.org/136-666-163-750-870</t>
  </si>
  <si>
    <t>445</t>
  </si>
  <si>
    <t>082-561-367-177-457</t>
  </si>
  <si>
    <t>EP 1633235 B1</t>
  </si>
  <si>
    <t>A61B5/157;;A61B5/150022;;A61B5/150152;;A61B5/150167;;A61B5/150175;;A61B5/150412;;A61B5/150755;;A61B5/15113;;A61B5/15123;;A61B5/15151;;A61B5/15161;;A61B5/157;;A61B5/150022;;A61B5/150152;;A61B5/150167;;A61B5/150175;;A61B5/150412;;A61B5/150755;;A61B5/15113;;A61B5/15123;;A61B5/15151;;A61B5/15161</t>
  </si>
  <si>
    <t>A61B5/15;;A61B/</t>
  </si>
  <si>
    <t>https://lens.org/082-561-367-177-457</t>
  </si>
  <si>
    <t>446</t>
  </si>
  <si>
    <t>197-487-910-402-319</t>
  </si>
  <si>
    <t>EP 2300462 B1</t>
  </si>
  <si>
    <t>MACROCYCLIC UREA AND SULFAMIDE DERIVATIVES AS INHIBITORS OF TAFIA</t>
  </si>
  <si>
    <t>C07D273/01;;A61K31/395;;A61P3/00;;A61P3/04;;A61P3/10;;A61P7/00;;A61P7/02;;A61P7/04;;A61P9/00;;A61P9/06;;A61P9/10;;A61P11/00;;A61P11/08;;A61P17/02;;A61P19/02;;A61P27/00;;A61P27/02;;A61P29/00;;A61P31/04;;A61P35/00;;A61P35/04;;C07D267/00;;C07D273/02;;C07D413/12;;C07D413/14;;C07D273/01;;A61K31/395;;C07D267/00;;C07D273/02;;C07D413/12;;C07D413/14</t>
  </si>
  <si>
    <t>C07D413/14;;A61K31/553;;A61P7/00;;C07D273/01</t>
  </si>
  <si>
    <t>https://lens.org/197-487-910-402-319</t>
  </si>
  <si>
    <t>447</t>
  </si>
  <si>
    <t>092-307-060-321-994</t>
  </si>
  <si>
    <t>EP 2160387 B1</t>
  </si>
  <si>
    <t>HETEROARYLAMIDE PYRIMIDONE COMPOUNDS</t>
  </si>
  <si>
    <t>C07D403/12;;A61P3/00;;A61P3/04;;A61P3/10;;A61P5/50;;A61P9/10;;A61P13/12;;A61P17/00;;A61P17/02;;A61P17/14;;A61P19/08;;A61P21/02;;A61P25/00;;A61P25/02;;A61P25/16;;A61P25/18;;A61P25/24;;A61P25/28;;A61P27/02;;A61P27/06;;A61P33/06;;A61P35/00;;A61P35/02;;A61P43/00;;C07D239/36;;C07D401/14;;C07D405/14;;C07D409/14;;C07D471/04;;C07D239/36;;A61K31/513;;C07D401/12;;C07D403/12;;C07D239/36;;C07D401/14;;C07D405/14;;C07D409/14;;C07D471/04</t>
  </si>
  <si>
    <t>C07D401/12;;A61K31/513;;A61P3/00;;A61P25/00;;C07D239/36;;C07D403/12;;C07D405/12;;C07D409/12</t>
  </si>
  <si>
    <t>https://lens.org/092-307-060-321-994</t>
  </si>
  <si>
    <t>448</t>
  </si>
  <si>
    <t>129-517-970-795-984</t>
  </si>
  <si>
    <t>EP 2516418 B1</t>
  </si>
  <si>
    <t>SANOFI (2014-05-14)</t>
  </si>
  <si>
    <t>PRODRUGS OF [4[4-(5-AMINOMETHYL-2-FLUORO-PHENYL)-PIPERIDIN-1-YL]-(1H-PYRROLO-PYRIDIN-YL)-METHANONES AND SYNTHESIS THEREOF</t>
  </si>
  <si>
    <t>C07D401/06;;A61P1/02;;A61P1/04;;A61P1/16;;A61P3/10;;A61P9/00;;A61P9/10;;A61P11/00;;A61P11/02;;A61P11/06;;A61P17/00;;A61P19/02;;A61P25/00;;A61P27/02;;A61P29/00;;A61P31/12;;A61P35/00;;A61P37/08;;A61P43/00;;C07D413/14;;A61K31/5377;;C07D413/06;;C07D401/06</t>
  </si>
  <si>
    <t>C07D401/06;;A61K31/454;;A61P29/00</t>
  </si>
  <si>
    <t>https://lens.org/129-517-970-795-984</t>
  </si>
  <si>
    <t>449</t>
  </si>
  <si>
    <t>144-578-063-548-229</t>
  </si>
  <si>
    <t>EP 2435413 B1</t>
  </si>
  <si>
    <t>Process for the preparation of dronedarone intermediates</t>
  </si>
  <si>
    <t>C07D307/80;;A61P9/06;;C07D307/80;;A61K31/343;;C07D307/80</t>
  </si>
  <si>
    <t>C07D307/80</t>
  </si>
  <si>
    <t>https://lens.org/144-578-063-548-229</t>
  </si>
  <si>
    <t>450</t>
  </si>
  <si>
    <t>011-639-767-560-756</t>
  </si>
  <si>
    <t>EP 2393809 B1</t>
  </si>
  <si>
    <t>DERIVATIVES OF AZASPIRANYL-ALKYLCARBAMATES OF 5-MEMBER HETEROCYCLIC COMPOUNDS, PREPARATION THEREOF AND THERAPEUTIC USE THEREOF</t>
  </si>
  <si>
    <t>C07D417/14;;A61P1/00;;A61P1/04;;A61P1/08;;A61P9/00;;A61P9/10;;A61P11/00;;A61P13/00;;A61P13/12;;A61P19/10;;A61P25/00;;A61P25/04;;A61P25/08;;A61P25/20;;A61P25/28;;A61P27/02;;A61P29/00;;A61P31/00;;A61P31/04;;A61P31/12;;A61P33/00;;A61P35/00;;A61P37/00;;A61P37/02;;A61P37/08;;C07D413/14;;C07D417/14;;A61K31/438;;C07D413/14;;C07D417/14;;C07D413/14</t>
  </si>
  <si>
    <t>C07D413/14;;A61K31/438;;A61P1/00;;A61P9/00;;A61P25/00;;A61P29/00;;A61P31/00;;A61P35/00;;A61P37/00;;C07D417/14</t>
  </si>
  <si>
    <t>https://lens.org/011-639-767-560-756</t>
  </si>
  <si>
    <t>451</t>
  </si>
  <si>
    <t>072-737-182-824-084</t>
  </si>
  <si>
    <t>EP 2318402 B1</t>
  </si>
  <si>
    <t>Pyrrolidinyl-alkyl-amide derivatives their preparation and their therapeutic application as CCR3 receptor ligands</t>
  </si>
  <si>
    <t>C07D513/04;;A61P1/04;;A61P11/02;;A61P11/06;;A61P17/00;;A61P17/04;;A61P19/02;;A61P25/00;;A61P27/02;;A61P29/00;;A61P31/18;;A61P37/00;;A61P37/06;;A61P37/08;;A61P43/00;;C07D417/12;;C07D513/04;;C07D417/12</t>
  </si>
  <si>
    <t>C07D417/12;;A61K31/428;;A61K31/429;;A61K31/4353;;A61P1/04;;A61P11/02;;A61P11/06;;A61P17/00;;C07D513/04</t>
  </si>
  <si>
    <t>https://lens.org/072-737-182-824-084</t>
  </si>
  <si>
    <t>452</t>
  </si>
  <si>
    <t>042-950-706-421-134</t>
  </si>
  <si>
    <t>EP 2391611 B1</t>
  </si>
  <si>
    <t>THIADIAZOLE AND OXADIAZOLE DERIVATIVES, PREPARATION THEREOF, AND THERAPEUTIC USE THEREOF</t>
  </si>
  <si>
    <t>C07D271/06;;A61P1/00;;A61P1/04;;A61P1/16;;A61P3/00;;A61P3/04;;A61P3/06;;A61P3/08;;A61P3/10;;A61P9/00;;A61P9/12;;A61P9/14;;A61P17/00;;A61P25/28;;A61P31/18;;A61P35/00;;A61P37/00;;A61P37/02;;A61P43/00;;C07D285/12;;C07D285/135;;A61K31/433;;C07D417/06;;C07D271/06;;C07D285/12</t>
  </si>
  <si>
    <t>C07D271/06;;A61K31/4245;;A61K31/433;;C07D285/12</t>
  </si>
  <si>
    <t>https://lens.org/042-950-706-421-134</t>
  </si>
  <si>
    <t>453</t>
  </si>
  <si>
    <t>112-652-745-989-381</t>
  </si>
  <si>
    <t>EP 2164825 B1</t>
  </si>
  <si>
    <t>DI(HETERO)ARYLCYCLOHEXANE DERIVATIVES, THEIR PREPARATION, THEIR USE AND PHARMACEUTICAL COMPOSITIONS COMPRISING THEM</t>
  </si>
  <si>
    <t>C07D317/46;;A61P9/00;;A61P9/02;;A61P9/04;;A61P9/06;;A61P9/08;;A61P9/10;;A61P25/02;;A61P43/00;;C07B2200/07;;C07C62/32;;C07C62/34;;C07C255/46;;C07C311/08;;C07C317/46;;C07C323/62;;C07C2601/02;;C07C2601/14;;C07D209/18;;C07D213/30;;C07D213/46;;C07D213/55;;C07D213/57;;C07D213/61;;C07D213/64;;C07D215/14;;C07D217/02;;C07D217/16;;C07D231/12;;C07D231/16;;C07D233/60;;C07D233/64;;C07D233/68;;C07D233/84;;C07D233/90;;C07D235/06;;C07D235/16;;C07D249/08;;C07D277/24;;C07D277/30;;C07D305/04;;C07D305/06;;C07D333/24;;C07D401/12;;C07D405/12;;C07D417/04;;C07D471/04;;C07D487/04;;C07D317/46;;C07B2200/07;;C07C62/32;;C07C62/34;;C07C255/46;;C07C311/08;;C07C317/46;;C07C323/62;;C07C2601/02;;C07C2601/14;;C07D209/18;;C07D213/30;;C07D213/46;;C07D213/55;;C07D213/57;;C07D213/61;;C07D213/64;;C07D215/14;;C07D217/02;;C07D217/16;;C07D231/12;;C07D231/16;;C07D233/60;;C07D233/64;;C07D233/68;;C07D233/84;;C07D233/90;;C07D235/06;;C07D235/16;;C07D249/08;;C07D277/24;;C07D277/30;;C07D305/04;;C07D305/06;;C07D333/24;;C07D401/12;;C07D405/12;;C07D417/04;;C07D471/04;;C07D487/04</t>
  </si>
  <si>
    <t>C07C61/22;;A61K31/19;;C07C317/14;;C07C321/28;;C07D213/46;;C07D213/61;;C07D213/64;;C07D215/04;;C07D217/12;;C07D231/12;;C07D239/34;;C07D249/08;;C07D277/24;;C07D333/22;;C07D487/04</t>
  </si>
  <si>
    <t>https://lens.org/112-652-745-989-381</t>
  </si>
  <si>
    <t>454</t>
  </si>
  <si>
    <t>009-669-396-564-103</t>
  </si>
  <si>
    <t>EP 2382205 B1</t>
  </si>
  <si>
    <t>DERIVATIVES OF 2-PYRIDIN-2-YL-PYRAZOL-3(2H)-ONE, PREPARATION AND THERAPEUTIC USE THEREOF AS HIF ACTIVATORS</t>
  </si>
  <si>
    <t>C07D401/04;;A61P3/00;;A61P3/10;;A61P7/00;;A61P7/06;;A61P9/00;;A61P9/04;;A61P9/08;;A61P9/10;;A61P9/12;;A61P13/12;;A61P17/00;;A61P25/00;;A61P27/00;;A61P27/06;;C07D401/14;;C07D409/14;;G01N33/6875;;G01N2500/10;;C07D401/04;;A61K31/4439;;C07D401/14;;C07D409/14;;G01N33/68;;C07D401/04;;C07D401/14;;C07D409/14;;G01N33/6875;;G01N2500/10</t>
  </si>
  <si>
    <t>C07D401/14;;A61K31/4439;;C07D401/04;;C07D409/14;;G01N33/68</t>
  </si>
  <si>
    <t>https://lens.org/009-669-396-564-103</t>
  </si>
  <si>
    <t>455</t>
  </si>
  <si>
    <t>113-961-478-977-532</t>
  </si>
  <si>
    <t>EP 2358665 B1</t>
  </si>
  <si>
    <t>METHOD FOR PREPARING EPLIVANSERIN HEMIFUMARATE</t>
  </si>
  <si>
    <t>C07C249/14;;A61P25/00;;A61P25/20;;A61P43/00;;C07B2200/07;;C07C51/412;;C07C249/14;;C07B2200/07;;C07C51/412</t>
  </si>
  <si>
    <t>C07C249/14;;C07C57/15;;C07C251/58</t>
  </si>
  <si>
    <t>https://lens.org/113-961-478-977-532</t>
  </si>
  <si>
    <t>456</t>
  </si>
  <si>
    <t>135-125-008-071-44X</t>
  </si>
  <si>
    <t>EP 2439193 B1</t>
  </si>
  <si>
    <t>Derivatives of 5,6-bisaryl-2-pyridine-carboxamide, preparation and use thereof in therapeutics as antagonists of urotensin II receptors</t>
  </si>
  <si>
    <t>C07D213/81;;A61P1/08;;A61P3/00;;A61P3/10;;A61P9/00;;A61P9/04;;A61P9/10;;A61P9/12;;A61P9/14;;A61P11/00;;A61P11/06;;A61P13/12;;A61P25/00;;A61P25/18;;A61P25/20;;A61P25/22;;A61P25/24;;A61P25/28;;A61P29/00;;A61P35/00;;A61P43/00;;C07C235/42;;C07D213/82;;C07D241/24;;C07D241/26;;C07D241/28;;C07D401/04;;C07D401/12;;C07D405/04;;C07D405/12;;C07D409/04;;C07D417/04;;A61K31/44;;A61K31/495;;C07D213/60;;C07D213/81;;C07D241/10;;C07D241/28;;C07D401/04;;C07D213/81;;C07C235/42;;C07D213/82;;C07D241/24;;C07D241/26;;C07D241/28;;C07D401/04;;C07D401/12;;C07D405/04;;C07D405/12;;C07D409/04;;C07D417/04</t>
  </si>
  <si>
    <t>C07D213/60;;A61K31/435;;A61P9/00;;C07D241/10;;C07D401/04</t>
  </si>
  <si>
    <t>https://lens.org/135-125-008-071-44X</t>
  </si>
  <si>
    <t>457</t>
  </si>
  <si>
    <t>157-486-189-297-65X</t>
  </si>
  <si>
    <t>EP 2262784 B1</t>
  </si>
  <si>
    <t>INHIBITORS OF THE CHEMOKINE RECEPTOR CXCR3</t>
  </si>
  <si>
    <t>C07D295/033;;A61P1/04;;A61P9/10;;A61P11/00;;A61P11/06;;A61P17/00;;A61P17/06;;A61P19/02;;A61P25/00;;A61P29/00;;A61P35/00;;A61P43/00;;C07D471/20;;C07D295/033;;C07D471/20</t>
  </si>
  <si>
    <t>C07D295/033;;A61K31/495;;A61P29/00;;C07D471/20</t>
  </si>
  <si>
    <t>https://lens.org/157-486-189-297-65X</t>
  </si>
  <si>
    <t>458</t>
  </si>
  <si>
    <t>078-804-792-165-78X</t>
  </si>
  <si>
    <t>EP 2051985 B1</t>
  </si>
  <si>
    <t>PYRAZOLO[4,3-D]THIAZOLE DERIVATIVES, AND PREPARATION AND THERAPUETIC APPLICATION THEREOF</t>
  </si>
  <si>
    <t>C07D513/04;;A61P35/00;;A61P43/00;;C07D513/04</t>
  </si>
  <si>
    <t>C07D513/04;;A61K31/4162;;A61K31/429;;A61P35/00;;C07D231/44;;C07D277/38</t>
  </si>
  <si>
    <t>https://lens.org/078-804-792-165-78X</t>
  </si>
  <si>
    <t>459</t>
  </si>
  <si>
    <t>127-968-923-298-07X</t>
  </si>
  <si>
    <t>EP 2040688 B1</t>
  </si>
  <si>
    <t>NEW CXCR2 INHIBITORS</t>
  </si>
  <si>
    <t>C07D333/16;;A61P1/02;;A61P1/04;;A61P1/16;;A61P1/18;;A61P7/00;;A61P7/02;;A61P9/00;;A61P9/08;;A61P9/10;;A61P9/12;;A61P9/14;;A61P11/00;;A61P11/06;;A61P11/08;;A61P11/10;;A61P11/14;;A61P13/12;;A61P15/06;;A61P17/00;;A61P17/02;;A61P17/04;;A61P17/06;;A61P19/02;;A61P19/06;;A61P19/10;;A61P21/00;;A61P25/00;;A61P25/06;;A61P25/28;;A61P27/02;;A61P27/16;;A61P29/00;;A61P31/04;;A61P31/12;;A61P31/18;;A61P31/22;;A61P33/06;;A61P35/00;;A61P35/04;;A61P37/04;;A61P37/06;;A61P37/08;;A61P39/02;;A61P39/06;;A61P43/00;;C07C233/83;;C07C235/66;;C07C237/48;;C07C311/29;;C07C2601/04;;C07C2601/10;;C07C2601/14;;C07C2602/08;;C07D213/65;;C07D215/26;;C07D233/60;;C07D295/088;;C07D307/24;;C07D333/64;;C07D215/24;;A61K31/166;;C07D333/64;;C07D333/16;;C07C233/83;;C07C235/66;;C07C237/48;;C07C311/29;;C07C2601/04;;C07C2601/10;;C07C2601/14;;C07C2602/08;;C07D213/65;;C07D215/26;;C07D233/60;;C07D295/088;;C07D307/24;;C07D333/64</t>
  </si>
  <si>
    <t>C07C235/66;;C07C233/83;;C07C237/48;;C07C311/29;;C07D213/65;;C07D215/26;;C07D233/60;;C07D295/088;;C07D307/24;;C07D333/16;;C07D333/64</t>
  </si>
  <si>
    <t>https://lens.org/127-968-923-298-07X</t>
  </si>
  <si>
    <t>460</t>
  </si>
  <si>
    <t>137-313-540-247-385</t>
  </si>
  <si>
    <t>EP 2185721 B1</t>
  </si>
  <si>
    <t>CASPASE IMAGING PROBES</t>
  </si>
  <si>
    <t>C12Q1/37;;G01N33/542;;G01N2333/96466;;C12Q1/37;;G01N33/542;;G01N2333/96466;;C12Q1/37;;G01N33/542;;G01N2333/96466</t>
  </si>
  <si>
    <t>C12Q1/37;;G01N33/542</t>
  </si>
  <si>
    <t>https://lens.org/137-313-540-247-385</t>
  </si>
  <si>
    <t>461</t>
  </si>
  <si>
    <t>133-306-054-709-58X</t>
  </si>
  <si>
    <t>EP 2069288 B1</t>
  </si>
  <si>
    <t>TARTRATE DERIVATIVES FOR USE AS COAGULATION FACTOR IXa INHIBITORS</t>
  </si>
  <si>
    <t>C07D217/22;;A61P3/00;;A61P3/10;;A61P7/02;;A61P9/00;;A61P9/06;;A61P9/10;;A61P9/14;;A61P11/00;;A61P17/02;;A61P19/02;;A61P27/02;;A61P29/00;;A61P31/04;;A61P35/00;;A61P35/04;;A61P43/00;;C07C235/16;;C07C257/18;;C07D235/30;;C07D307/60;;C07D307/58;;C07D217/22;;C07C235/16;;C07C257/18;;C07D235/30</t>
  </si>
  <si>
    <t>C07C235/16;;A61K31/165;;A61K31/4184;;A61P7/02;;C07C235/24;;C07C257/18;;C07D217/22;;C07D235/30</t>
  </si>
  <si>
    <t>https://lens.org/133-306-054-709-58X</t>
  </si>
  <si>
    <t>462</t>
  </si>
  <si>
    <t>155-879-313-829-516</t>
  </si>
  <si>
    <t>EP 2173716 B1</t>
  </si>
  <si>
    <t>A PROCESS FOR THE PALLADIUM-CATALYZED COUPLING OF TERMINAL ALKYNES WITH HETEROARYL TOSYLATES AND HETEROARYL BENZENESULFONATES</t>
  </si>
  <si>
    <t>C07D231/12;;C07D213/127;;C07D213/26;;C07D213/30;;C07D215/12;;C07D215/14;;C07D231/56;;C07D239/26;;C07D333/38;;C07D409/06;;C07D471/04;;C07D239/26;;C07D213/127;;C07D213/26;;C07D213/30;;C07D215/12;;C07D215/14;;C07D231/12;;C07D231/56;;C07D333/38;;C07D409/06;;C07D231/12;;C07D213/127;;C07D213/26;;C07D213/30;;C07D215/12;;C07D215/14;;C07D231/56;;C07D239/26;;C07D333/38;;C07D409/06;;C07D471/04</t>
  </si>
  <si>
    <t>C07D213/127;;C07D213/26;;C07D213/30;;C07D215/12;;C07D215/14;;C07D231/12;;C07D231/56;;C07D239/26;;C07D333/24;;C07D333/38;;C07D409/06;;C07D471/04</t>
  </si>
  <si>
    <t>https://lens.org/155-879-313-829-516</t>
  </si>
  <si>
    <t>463</t>
  </si>
  <si>
    <t>136-717-075-025-932</t>
  </si>
  <si>
    <t>EP 2321316 B1</t>
  </si>
  <si>
    <t>SUBSTITUTED PYRIMIDIN-4-ONE DERIVATIVES</t>
  </si>
  <si>
    <t>C07D471/04;;A61P3/04;;A61P3/10;;A61P7/00;;A61P9/00;;A61P9/10;;A61P13/12;;A61P17/00;;A61P17/14;;A61P19/00;;A61P19/08;;A61P21/00;;A61P21/02;;A61P25/00;;A61P25/02;;A61P25/16;;A61P25/18;;A61P25/24;;A61P25/28;;A61P27/00;;A61P27/02;;A61P27/06;;A61P33/06;;A61P35/00;;A61P35/02;;A61P37/00;;Y02A50/30;;C07D471/04;;A61K31/519;;C07D403/04;;C07D471/04</t>
  </si>
  <si>
    <t>https://lens.org/136-717-075-025-932</t>
  </si>
  <si>
    <t>464</t>
  </si>
  <si>
    <t>175-629-651-042-998</t>
  </si>
  <si>
    <t>EP 2376511 B1</t>
  </si>
  <si>
    <t>BICYCLIC DERIVATIVES OF MORPHINE-6-GLUCURONID, PROCESS FOR THEIR PREPARATION AND THEIR APPLICATION IN THERAPY</t>
  </si>
  <si>
    <t>C07H17/08;;A61P25/04;;A61P29/00;;C07H7/06;;C07H13/08;;C07H17/02;;C07D489/02;;C07D487/04;;C07H15/24;;C07H17/00;;C07H17/08;;C07H7/06;;C07H13/08;;C07H17/02</t>
  </si>
  <si>
    <t>C07H15/24;;A61K31/485;;A61K31/519;;A61K31/7042;;A61K31/7064;;A61P25/04;;C07D239/18;;C07D249/14;;C07D487/04;;C07D489/02;;C07H7/06;;C07H17/00</t>
  </si>
  <si>
    <t>https://lens.org/175-629-651-042-998</t>
  </si>
  <si>
    <t>465</t>
  </si>
  <si>
    <t>005-711-180-493-239</t>
  </si>
  <si>
    <t>EP 2528507 B1</t>
  </si>
  <si>
    <t>ANALYTE MEASUREMENT DEVICE WITH A SINGLE SHOT ACTUATOR</t>
  </si>
  <si>
    <t>A61B5/150022;;A61B5/14532;;A61B5/150175;;A61B5/150259;;A61B5/150358;;A61B5/150412;;A61B5/150572;;A61B5/150702;;A61B5/150961;;A61B5/15109;;A61B5/15113;;A61B5/15117;;A61B5/15186;;A61B5/1519;;A61B5/157;;A61B5/151;;A61B5/145;;A61B5/14532;;A61B5/150022;;A61B5/150053;;A61B5/150175;;A61B5/150259;;A61B5/150358;;A61B5/150412;;A61B5/150572;;A61B5/150702;;A61B5/150961;;A61B5/15109;;A61B5/15113;;A61B5/15117;;A61B5/15146;;A61B5/15186;;A61B5/1519;;A61B5/157</t>
  </si>
  <si>
    <t>A61B5/145;;A61B5/15;;A61B5/151;;A61B5/157</t>
  </si>
  <si>
    <t>https://lens.org/005-711-180-493-239</t>
  </si>
  <si>
    <t>466</t>
  </si>
  <si>
    <t>020-098-625-370-68X</t>
  </si>
  <si>
    <t>EP 1838315 B1</t>
  </si>
  <si>
    <t>SUBSTITUTED 4-PHENYLTETRAHYDROISOQUINOLINES, METHODS FOR PRODUCING THEM, THEIR USE AS DRUG, AND DRUG CONTAINING THEM</t>
  </si>
  <si>
    <t>C07D401/10;;A61P1/00;;A61P1/04;;A61P1/06;;A61P1/16;;A61P3/06;;A61P3/10;;A61P7/02;;A61P9/00;;A61P9/04;;A61P9/10;;A61P9/12;;A61P11/00;;A61P11/16;;A61P13/00;;A61P13/12;;A61P25/00;;A61P25/08;;A61P25/18;;A61P25/22;;A61P25/24;;A61P33/00;;A61P33/02;;A61P33/06;;A61P37/06;;C07D217/18;;C07D403/10;;A61K31/4725;;C07D401/10;;C07D417/10;;C07D401/10;;C07D217/18</t>
  </si>
  <si>
    <t>A61K31/47;;A61P9/12;;C07D217/14</t>
  </si>
  <si>
    <t>https://lens.org/020-098-625-370-68X</t>
  </si>
  <si>
    <t>467</t>
  </si>
  <si>
    <t>125-217-588-731-824</t>
  </si>
  <si>
    <t>EP 2376496 B1</t>
  </si>
  <si>
    <t>SYNTHESIS OF MORPHINE-6-GLUCURONIDE OR OF A DERIVATIVE THEREOF</t>
  </si>
  <si>
    <t>C07D489/02;;A61P25/04;;A61P29/00;;C07D489/02</t>
  </si>
  <si>
    <t>C07D489/02;;A61K31/485;;A61K31/70;;A61P25/04;;A61P29/00;;C07H15/24;;C07H17/00;;C07H17/04</t>
  </si>
  <si>
    <t>https://lens.org/125-217-588-731-824</t>
  </si>
  <si>
    <t>468</t>
  </si>
  <si>
    <t>181-513-659-170-292</t>
  </si>
  <si>
    <t>EP 2702413 A1</t>
  </si>
  <si>
    <t>SANOFI BIOTECHNOLOGY (2016-01-06)</t>
  </si>
  <si>
    <t>TEST SYSTEMS AND METHODS FOR IDENTIFYING AND CHARACTERISING LIPID LOWERING DRUGS</t>
  </si>
  <si>
    <t>G01N33/92;;A01K67/0276;;A01K2207/10;;A01K2217/075;;A01K2227/105;;A01K2267/0362;;A01K2267/0393;;G01N2800/32;;A61K49/0008;;A01K67/0276;;A01K2207/10;;A01K2217/075;;A01K2227/105;;A01K2267/0362;;A01K2267/0393;;G01N33/92;;G01N2800/32</t>
  </si>
  <si>
    <t>G01N33/92;;A01K67/027</t>
  </si>
  <si>
    <t>https://lens.org/181-513-659-170-292</t>
  </si>
  <si>
    <t>469</t>
  </si>
  <si>
    <t>158-555-843-071-907</t>
  </si>
  <si>
    <t>EP 2376512 B1</t>
  </si>
  <si>
    <t>DERIVATIVES OF MORPHINE-6-GLUCURONID, PROCESS FOR THEIR PREPARATION AND THEIR USE IN THERAPY</t>
  </si>
  <si>
    <t>C07H13/08;;A61P25/04;;A61P29/00;;C07H17/00;;C07H13/08;;C07D489/02;;C07H7/00;;C07H7/06;;C07H15/24;;C07H17/00;;C07H17/04;;C07H13/08;;C07H17/00</t>
  </si>
  <si>
    <t>C07H15/24;;A61K31/485;;A61K31/70;;A61P25/04;;A61P29/00;;C07D489/02;;C07H7/06;;C07H17/00;;C07H17/04</t>
  </si>
  <si>
    <t>https://lens.org/158-555-843-071-907</t>
  </si>
  <si>
    <t>470</t>
  </si>
  <si>
    <t>102-834-849-633-595</t>
  </si>
  <si>
    <t>EP 2176666 B1</t>
  </si>
  <si>
    <t>NOVEL AS160-LIKE PROTEIN, TEST SYSTEMS, METHODS AND USES INVOLVING IT FOR THE IDENTIFICATION OF DIABETES TYPE 2 THERAPEUTICS</t>
  </si>
  <si>
    <t>G01N33/5035;;G01N33/6893;;G01N2500/04;;G01N2800/042;;G01N33/5035;;G01N33/6893;;G01N2500/04;;G01N2800/042</t>
  </si>
  <si>
    <t>G01N33/68;;G01N33/50</t>
  </si>
  <si>
    <t>https://lens.org/102-834-849-633-595</t>
  </si>
  <si>
    <t>471</t>
  </si>
  <si>
    <t>019-691-847-090-407</t>
  </si>
  <si>
    <t>EP 1572681 B1</t>
  </si>
  <si>
    <t>SANOFI-AVENTIS (2008-05-28);;SANOFI (2012-05-02);;MITSUBISHI TANABE PHARMA CORPORATION (2012-05-02)</t>
  </si>
  <si>
    <t>3-SUBSTITUTED-4-PYRIMIDONE DERIVATIVES</t>
  </si>
  <si>
    <t>C07D401/14;;A61P3/06;;A61P3/10;;A61P17/14;;A61P25/00;;A61P25/16;;A61P25/18;;A61P25/28;;A61P27/02;;A61P27/06;;A61P35/00;;A61P35/02;;A61P43/00;;C07D409/14;;C07D413/14;;C07D401/14;;C07D401/14;;C07D409/14;;C07D413/14</t>
  </si>
  <si>
    <t>C07D401/14;;C07D409/14;;C07D413/14</t>
  </si>
  <si>
    <t>https://lens.org/019-691-847-090-407</t>
  </si>
  <si>
    <t>472</t>
  </si>
  <si>
    <t>193-771-087-834-985</t>
  </si>
  <si>
    <t>EP 2379501 B1</t>
  </si>
  <si>
    <t>IMMUNOGEN, INC., US (2017-09-27);;INMUNOGEN, INC. INMUNOGEN, INC. (2017-10-04);;IMMUNOGEN, INC., WALTHAM, US (2016-07-12);;SANOFI (2012-05-02)</t>
  </si>
  <si>
    <t>METHOD FOR PREPARING ACTIVATED ESTERS</t>
  </si>
  <si>
    <t>C07D207/46;;C07D213/71;;C07D401/12;;C07D207/46;;C07D207/40;;C07D213/71;;C07D401/12;;C07D207/46;;C07D213/71;;C07D401/12</t>
  </si>
  <si>
    <t>C07D207/46;;C07D213/71;;C07D401/12</t>
  </si>
  <si>
    <t>https://lens.org/193-771-087-834-985</t>
  </si>
  <si>
    <t>473</t>
  </si>
  <si>
    <t>039-828-535-369-564</t>
  </si>
  <si>
    <t>EP 2225240 B1</t>
  </si>
  <si>
    <t>Derivatives of 6-heterocyclic-imidazo[1,2-a]pyridine-2-carboxamides, preparation thereof and therapeutic application thereof</t>
  </si>
  <si>
    <t>C07D471/04;;A61P9/00;;A61P19/10;;A61P25/00;;A61P25/08;;A61P25/16;;A61P25/18;;A61P25/24;;A61P25/26;;A61P25/28;;A61P25/30;;A61P29/00;;A61P35/00;;A61P43/00;;C07F7/0814;;C07F7/2208;;C07D471/04;;C07D471/04;;C07F7/0814;;C07F7/2208</t>
  </si>
  <si>
    <t>C07D471/04;;A61K31/437;;A61P9/00;;A61P19/10;;A61P29/00;;A61P35/00;;C07D213/24;;C07D213/30;;C07D213/48;;C07D213/50;;C07D213/53;;C07D213/61;;C07D213/84;;C07D233/70;;C07D233/72;;C07F5/02;;C07F5/04;;C07F7/08;;C07F7/22</t>
  </si>
  <si>
    <t>https://lens.org/039-828-535-369-564</t>
  </si>
  <si>
    <t>474</t>
  </si>
  <si>
    <t>181-133-268-830-324</t>
  </si>
  <si>
    <t>EP 2435398 B1</t>
  </si>
  <si>
    <t>PROCESS FOR THE PRODUCTION OF BENZOFURANS</t>
  </si>
  <si>
    <t>C07D307/80;;A61P9/00;;A61P9/06;;C07C205/45;;C07C205/43;;A61K31/343;;C07D307/80;;C07D307/80;;C07C205/45</t>
  </si>
  <si>
    <t>C07C205/43;;A61K31/343;;A61P9/06;;C07D307/80</t>
  </si>
  <si>
    <t>https://lens.org/181-133-268-830-324</t>
  </si>
  <si>
    <t>475</t>
  </si>
  <si>
    <t>043-033-487-300-268</t>
  </si>
  <si>
    <t>EP 1981889 B1</t>
  </si>
  <si>
    <t>CYTOTOXIC AGENTS COMPRISING NEW TOMAYMYCIN DERIVATIVES AND THEIR THERAPEUTIC USE</t>
  </si>
  <si>
    <t>C07D487/04;;A61P35/00;;A61P35/04;;C07D487/04;;C07D487/04;;A61K31/5517;;C07D487/04</t>
  </si>
  <si>
    <t>https://lens.org/043-033-487-300-268</t>
  </si>
  <si>
    <t>476</t>
  </si>
  <si>
    <t>010-616-777-912-729</t>
  </si>
  <si>
    <t>EP 2288604 B1</t>
  </si>
  <si>
    <t>ANNELATED N-HETEROCYCLIC SULFONAMIDES WITH OXADIAZOLONE HEADGROUP, PROCESSES FOR THEIR PREPARATION AND THEIR USE AS PHARMACEUTICALS</t>
  </si>
  <si>
    <t>C07D413/10;;A61P3/00;;A61P3/06;;A61P3/08;;A61P3/10;;A61P25/00;;A61P25/02;;A61P25/28;;C07D413/12;;C07D413/14;;C07D417/10;;C07D471/04;;C07D498/04;;C07D413/10;;C07D413/12;;C07D413/14;;C07D417/10;;C07D471/04;;C07D498/04</t>
  </si>
  <si>
    <t>C07D413/10;;A61K31/436;;A61K31/4706;;A61K31/4709;;A61K31/5365;;A61K31/5383;;A61P3/00;;A61P25/00;;C07D413/12;;C07D413/14;;C07D417/10;;C07D471/04;;C07D498/04</t>
  </si>
  <si>
    <t>https://lens.org/010-616-777-912-729</t>
  </si>
  <si>
    <t>shire</t>
  </si>
  <si>
    <t>117-120-097-727-598</t>
  </si>
  <si>
    <t>EP 3266457 B1</t>
  </si>
  <si>
    <t>SHIRE HUMAN GENETIC THERAPIES</t>
  </si>
  <si>
    <t>SHIRE HUMAN GENETIC THERAPIES, INC. (2020-12-02)</t>
  </si>
  <si>
    <t>BILE ACID RECYCLING INHIBITORS FOR TREATMENT OF PEDIATRIC CHOLESTATIC LIVER DISEASES</t>
  </si>
  <si>
    <t>A61K45/06;;A61K31/41;;A61K31/495;;A61K31/4965;;A61K31/4985;;A61K31/5377;;A61K31/155;;A61K31/38;;A61K31/554;;C07D281/10;;C07D337/08;;C07D409/10;;C07D487/08;;C07H15/26;;A61K31/7042;;A61P1/10;;A61P1/14;;A61P1/16;;A61P1/18;;A61P13/02;;A61P17/04;;A61P35/00;;A61P3/06;;A61P43/00;;A61P7/00;;A61K31/495;;C07D487/08;;A61P1/16;;A61K31/4995;;A61K31/38;;A61K31/7042;;A61K31/554;;A61K31/155;;A61K45/06;;A61P1/16;;A61P17/04;;A61K31/41;;A61K31/495;;A61K31/4965;;A61K31/4985;;A61K31/5377;;A61K31/155;;A61K31/38;;A61K31/554;;A61P1/16;;A61K31/7042;;A61K31/4436;;A61K31/4995;;A61K45/06;;C07D281/10;;C07D337/08;;C07D409/10;;C07D487/08;;C07H15/26;;A61K9/0053;;A61K9/0056;;A61K9/1611;;A61K9/1617;;A61K9/1623;;A61K9/1635;;A61K9/2009;;A61K9/2013;;A61K9/2018;;A61K9/2027;;A61K9/2054;;A61K9/2059;;A61K9/2081</t>
  </si>
  <si>
    <t>A61K31/495;;A61K31/155;;A61K31/38;;A61K31/41;;A61K31/4436;;A61K31/4965;;A61K31/4985;;A61K31/4995;;A61K31/5377;;A61K31/554;;A61K31/7042;;A61K45/06;;A61P1/16</t>
  </si>
  <si>
    <t>https://lens.org/117-120-097-727-598</t>
  </si>
  <si>
    <t>098-191-536-246-405</t>
  </si>
  <si>
    <t>US 12435146 B2</t>
  </si>
  <si>
    <t>SHIRE HUMAN GENETIC THERAPIES INC (2015-07-02)</t>
  </si>
  <si>
    <t>Anti-Flt-1 antibodies for treating Duchenne muscular dystrophy</t>
  </si>
  <si>
    <t>C07K16/2863;;A61K2039/505;;A61P13/12;;A61P15/00;;A61P21/00;;C07K2317/22;;C07K2317/24;;C07K2317/33;;C07K2317/34;;C07K2317/515;;C07K2317/55;;C07K2317/565;;C07K2317/569;;C07K2317/70;;C07K2317/74;;C07K2317/76;;C07K2317/92;;C07K2317/94;;C07K16/2863;;A61K2039/505;;A61P13/12;;A61P15/00;;A61P21/00;;A61P21/04;;C07K2317/22;;C07K2317/24;;C07K2317/33;;C07K2317/34;;C07K2317/515;;C07K2317/55;;C07K2317/565;;C07K2317/569;;C07K2317/70;;C07K2317/74;;C07K2317/76;;C07K2317/92;;C07K2317/94;;C07K16/2863;;A61K39/39566;;A61K2039/505;;C07K2317/22;;C07K2317/24;;C07K2317/33;;C07K2317/34;;C07K2317/50;;C07K2317/515;;C07K2317/55;;C07K2317/565;;C07K2317/569;;C07K2317/70;;C07K2317/74;;C07K2317/76;;C07K2317/92;;C07K2317/94</t>
  </si>
  <si>
    <t>C07K16/28;;A61K39/00;;A61K39/395</t>
  </si>
  <si>
    <t>https://lens.org/098-191-536-246-405</t>
  </si>
  <si>
    <t>156-646-433-256-475</t>
  </si>
  <si>
    <t>US 2025/0282808 A1</t>
  </si>
  <si>
    <t>SHIRE HUMAN GENETIC THERAPIES INC (2020-06-26);;LUMENA PHARMACEUTICALS LLC (2014-12-12)</t>
  </si>
  <si>
    <t>BILE ACID RECYCLING INHIBITORS FOR TREATMENT OF HYPERCHOLEMIA AND CHOLESTATIC LIVER DISEASE</t>
  </si>
  <si>
    <t>A61K31/4995;;A61K31/38;;A61K31/704;;A61P1/16;;C07H13/12;;A61K31/155;;A61K31/38;;A61K31/40;;A61K31/4436;;A61K31/4453;;A61K31/454;;A61K31/495;;A61K31/4995;;A61K31/5377;;A61K31/554;;A61K31/7028;;A61K31/7042;;A61K45/06;;A61P1/16;;A61P17/04;;C07D207/04;;C07D211/06;;C07D211/08;;C07D281/10;;C07D285/36;;C07D295/13;;C07D337/08;;C07D401/12;;C07D413/12;;C07D487/08;;C07H15/18;;Y02A50/30;;C07H13/12;;A61K31/155;;A61K31/38;;A61K31/40;;A61K31/4436;;A61K31/4453;;A61K31/454;;A61K31/495;;A61K31/4995;;A61K31/5377;;A61K31/554;;A61K31/7028;;A61K31/7042;;A61K45/06;;A61K2300/00;;C07C257/10;;C07C279/12;;C07D207/04;;C07D211/06;;C07D211/08;;C07D281/10;;C07D285/36;;C07D295/13;;C07D337/08;;C07D401/12;;C07D413/12;;C07D487/08;;C07H15/18;;C07H15/26;;A61K31/4995;;A61K31/155;;A61K31/38;;A61K31/554;;A61K31/7042;;A61K45/06;;A61P1/16;;A61P17/04;;C07H13/12;;A61K31/155;;A61K31/38;;A61K31/40;;A61K31/4436;;A61K31/4453;;A61K31/454;;A61K31/495;;A61K31/4995;;A61K31/5377;;A61K31/554;;A61K31/7028;;A61K31/7042;;A61K45/06;;A61P1/16;;A61P43/00;;C07C257/10;;C07C279/12;;C07D207/04;;C07D211/06;;C07D211/08;;C07D281/10;;C07D285/36;;C07D295/13;;C07D337/08;;C07D401/12;;C07D413/12;;C07D487/08;;C07H15/18;;C07H15/26;;Y02A50/30</t>
  </si>
  <si>
    <t>C07H13/12;;A61K31/155;;A61K31/38;;A61K31/40;;A61K31/4436;;A61K31/4453;;A61K31/454;;A61K31/495;;A61K31/4995;;A61K31/5377;;A61K31/554;;A61K31/7028;;A61K31/7042;;A61K45/06;;A61P1/16;;A61P43/00;;C07C257/10;;C07C279/12;;C07D207/04;;C07D211/06;;C07D211/08;;C07D281/10;;C07D285/36;;C07D295/13;;C07D337/08;;C07D401/12;;C07D413/12;;C07D487/08;;C07H15/18;;C07H15/26</t>
  </si>
  <si>
    <t>https://lens.org/156-646-433-256-475</t>
  </si>
  <si>
    <t>124-866-119-002-155</t>
  </si>
  <si>
    <t>US 11634468 B2</t>
  </si>
  <si>
    <t>SHIRE NPS PHARMACEUTICALS INC</t>
  </si>
  <si>
    <t>TAKEDA PHARMACEUTICALS U.S.A. INC (2022-07-28);;SHIRE-NPS PHARMACEUTICALS INC (2021-04-14);;TAKEDA PHARMACEUTICAL COMPANY LIMITED (2023-05-03)</t>
  </si>
  <si>
    <t>Parathyroid hormone variants</t>
  </si>
  <si>
    <t>A61P5/18;;A61K9/0019;;A61K9/08;;A61K38/00;;C07K14/635;;C07K2319/02;;C07K2319/21;;C07K2319/30;;C07K2319/50;;C07K14/635;;A61K9/0019;;A61K9/08;;A61K38/00;;A61P5/18;;C07K1/165;;C07K2319/21;;C07K2319/30;;C12N15/62;;C12N15/85;;C07K14/635;;A61K9/0014;;A61K38/00;;A61P5/18;;C07K1/165;;C07K2319/30</t>
  </si>
  <si>
    <t>C07K14/635;;A61K9/00;;A61K38/00;;A61P5/18;;C07K1/16</t>
  </si>
  <si>
    <t>https://lens.org/124-866-119-002-155</t>
  </si>
  <si>
    <t>073-842-004-223-375</t>
  </si>
  <si>
    <t>US 2023/0038502 A1</t>
  </si>
  <si>
    <t>SHIRE HUMAN GENETIC THERAPIES INC (2022-03-08);;TAKEDA PHARMACEUTICAL COMPANY LIMITED (2022-03-03)</t>
  </si>
  <si>
    <t>ADENO ASSOCIATED VIRAL VECTOR DELIVERY OF ANTIBODIES FOR THE TREATMENT OF DISEASE MEDIATED BY DYSREGULATED PLASMA KALLIKREIN</t>
  </si>
  <si>
    <t>C12N15/86;;A61K39/3955;;A61K2039/5256;;A61K2039/53;;A61P1/00;;A61P1/02;;A61P7/02;;A61P7/10;;A61P9/10;;A61P9/14;;A61P17/02;;A61P19/02;;A61P19/06;;A61P25/00;;A61P25/06;;A61P35/00;;C07K16/40;;C12N7/00;;C12N2750/14121;;C12N2750/14143;;C12N2830/008;;C12N2830/48;;C12N2840/203;;A61K48/0058;;C07K16/40;;C12N2750/14143;;C12N2830/008;;C12N2830/48;;C12N2840/203;;C12N15/86;;A61K48/0058;;C07K16/40;;C12N2750/14143;;C12N2830/008;;C12N2830/48;;C12N2840/203</t>
  </si>
  <si>
    <t>C12N15/86;;A61K48/00;;C07K16/40</t>
  </si>
  <si>
    <t>https://lens.org/073-842-004-223-375</t>
  </si>
  <si>
    <t>196-911-634-871-365</t>
  </si>
  <si>
    <t>US 2023/0043051 A1</t>
  </si>
  <si>
    <t>BAXALTA INNOVATIONS GMBH (2022-07-29);;SHIRE HUMAN GENETIC THERAPIES INC (2022-05-12);;TAKEDA PHARMACEUTICAL COMPANY LIMITED (2022-05-10)</t>
  </si>
  <si>
    <t>ADENO-ASSOCIATED VIRUS VECTORS BASED GENE THERAPY FOR HEREDITARY ANGIOEDEMA</t>
  </si>
  <si>
    <t>C07K14/8121;;A61K48/005;;A61K48/0058;;C12N15/86;;C12N2750/14143;;C12N2830/008;;C12N2830/42;;C12N2830/48;;C12N15/861;;A61P7/10;;C07K14/8121;;C12N2750/14143;;C12N2830/008;;C12N2830/42;;C12N2830/48</t>
  </si>
  <si>
    <t>C12N15/861;;A61P7/10;;C07K14/81</t>
  </si>
  <si>
    <t>https://lens.org/196-911-634-871-365</t>
  </si>
  <si>
    <t>017-444-735-960-964</t>
  </si>
  <si>
    <t>US 2023/0031280 A1</t>
  </si>
  <si>
    <t>TAKEDA PHARMACEUTICALS U.S.A. INC (2022-07-28);;SHIRE-NPS PHARMACEUTICALS INC (2018-07-30);;TAKEDA PHARMACEUTICAL COMPANY LIMITED (2023-12-13)</t>
  </si>
  <si>
    <t>GLP-2 FUSION POLYPEPTIDES AND USES FOR TREATING AND PREVENTING GASTROINTESTINAL CONDITIONS</t>
  </si>
  <si>
    <t>A61P1/00;;A61K38/00;;A61K2039/545;;C07K14/605;;C07K16/00;;C07K2317/92;;C07K2317/94;;C07K2319/02;;C07K2319/30;;C07K2319/31;;C07K14/605;;A61K38/00;;A61K47/68;;A61P1/00</t>
  </si>
  <si>
    <t>C07K14/605;;A61K47/68;;A61P1/00</t>
  </si>
  <si>
    <t>https://lens.org/017-444-735-960-964</t>
  </si>
  <si>
    <t>157-876-401-692-088</t>
  </si>
  <si>
    <t>US 2023/0018417 A1</t>
  </si>
  <si>
    <t>SHIRE HUMAN GENETIC THERAPIES;;UNIV PITTSBURGH COMMONWEALTH SYS HIGHER EDUCATION</t>
  </si>
  <si>
    <t>UNIVERSITY OF PITTSBURGH-OF THE COMMONWEALTH SYSTEM OF HIGHER EDUCATION (2023-10-17);;SHIRE HUMAN GENETIC THERAPIES INC (2022-08-05);;TAKEDA PHARMACEUTICAL COMPANY LIMITED (2022-08-04)</t>
  </si>
  <si>
    <t>Recombinant Heme Oxygenase-1 (HO-1) for the Treatment of Sickle Cell Disease</t>
  </si>
  <si>
    <t>A61K38/44;;A61P7/00;;A61P7/06;;A61K38/44;;C12N9/0071;;C12N15/62;;C12Y114/14</t>
  </si>
  <si>
    <t>A61K38/44;;A61P7/06;;C12N9/02;;C12N15/62</t>
  </si>
  <si>
    <t>https://lens.org/157-876-401-692-088</t>
  </si>
  <si>
    <t>032-071-325-184-100</t>
  </si>
  <si>
    <t>US 11530393 B2</t>
  </si>
  <si>
    <t>SHIRE HUMAN GENETIC THERAPIES;;TAKEDA PHARMACEUTICALS CO</t>
  </si>
  <si>
    <t>SHIRE HUMAN GENETIC THERAPIES INC (2013-04-09);;TAKEDA PHARMACEUTICAL COMPANY LIMITED (2022-07-11)</t>
  </si>
  <si>
    <t>Compositions comprising iduronate-2-sulfatase</t>
  </si>
  <si>
    <t>A61K9/0019;;A61K38/465;;C12N9/16;;C12Y301/06013;;A61K38/095;;A61K38/17;;A61K38/46;;A61P3/00;;A61P25/00;;A61P43/00;;C07K1/00;;C07K14/435;;C07K16/00;;C12Y301/06013;;C12N9/16;;A61K38/465;;A61P25/00;;A61P3/00;;A61P43/00;;C12N9/16;;C12Y301/06013;;A61K38/465;;A61P25/00;;A61P43/00;;A61P3/00;;A61K38/095;;A61K9/0019;;C07K1/00;;A61K38/17;;C07K14/435;;A61K38/46;;C07K16/00;;A61K9/0019;;A61K38/465;;C12N9/16;;C12Y301/06013;;C12N9/16;;A61K38/465;;C12Y301/06013</t>
  </si>
  <si>
    <t>C12N9/16;;A61K38/095;;A61K38/46</t>
  </si>
  <si>
    <t>https://lens.org/032-071-325-184-100</t>
  </si>
  <si>
    <t>126-855-396-218-287</t>
  </si>
  <si>
    <t>US 2022/0088132 A1</t>
  </si>
  <si>
    <t>SHIRE HUMAN GENETIC THERAPIES INC (2019-01-19);;OAK HILL BIO LIMITED (2022-01-28)</t>
  </si>
  <si>
    <t>METHODS AND COMPOSITIONS FOR TREATING CHRONIC LUNG DISEASES</t>
  </si>
  <si>
    <t>A61K9/0019;;A61K9/0053;;A61K38/1754;;A61K38/30;;A61P11/00;;A61P25/00;;A61P27/00;;A61K38/30;;A61P25/00;;A61P11/00;;A61P27/00;;A61K38/1754;;A61K38/1754;;A61K9/0019;;A61P27/00;;A61P11/00;;A61K38/30;;A61P25/00;;A61K9/0053;;A61K38/30;;A61K38/1754;;A61P11/00;;A61K38/30;;A61P11/00;;A61P27/00;;A61P25/00;;A61K9/0019;;A61K9/0053;;A61K38/1754</t>
  </si>
  <si>
    <t>A61K38/17;;A61K38/30;;A61P11/00;;A61P25/00;;A61P27/00</t>
  </si>
  <si>
    <t>https://lens.org/126-855-396-218-287</t>
  </si>
  <si>
    <t>026-271-031-377-424</t>
  </si>
  <si>
    <t>US 2022/0064237 A1</t>
  </si>
  <si>
    <t>SANGAMO THERAPEUTICS INC;;SHIRE HUMAN GENETIC THERAPIES</t>
  </si>
  <si>
    <t>SANGAMO THERAPEUTICS INC (2020-04-17);;SHIRE HUMAN GENETIC THERAPIES INC (2021-07-08);;TAKEDA PHARMACEUTICAL COMPANY LIMITED (2021-02-26)</t>
  </si>
  <si>
    <t>HTT REPRESSORS AND USES THEREOF</t>
  </si>
  <si>
    <t>C07K14/4703;;A61K38/00;;A61K48/005;;A61P25/14;;C07K2319/09;;C07K2319/81;;C12N15/86;;C12N2750/14143;;C07K14/4703;;A61K38/00;;A61K48/005;;A61P25/14;;C07K2319/09;;C07K2319/81;;C12N15/86;;C12N2750/14143</t>
  </si>
  <si>
    <t>C07K14/47;;A61P25/14;;C12N15/86</t>
  </si>
  <si>
    <t>https://lens.org/026-271-031-377-424</t>
  </si>
  <si>
    <t>023-733-715-154-197</t>
  </si>
  <si>
    <t>US 2021/0355187 A1</t>
  </si>
  <si>
    <t>TAKEDA PHARMACEUTICALS U.S.A. INC (2022-07-28);;SHIRE-NPS PHARMACEUTICALS INC (2018-10-29);;TAKEDA PHARMACEUTICAL COMPANY LIMITED (2023-12-13)</t>
  </si>
  <si>
    <t>C07K14/605;;A61K38/00;;A61P1/00;;C07K2319/30;;C07K14/605;;A61K38/26;;A61P1/00;;C07K2319/30;;C12N15/85;;C07K14/605;;A61K38/00;;C07K2319/02;;C07K2319/30</t>
  </si>
  <si>
    <t>C07K14/605</t>
  </si>
  <si>
    <t>https://lens.org/023-733-715-154-197</t>
  </si>
  <si>
    <t>045-943-608-275-552</t>
  </si>
  <si>
    <t>US 2021/0332383 A1</t>
  </si>
  <si>
    <t>SHIRE HUMAN GENETIC THERAPIES INC (2019-12-16);;TAKEDA PHARMACEUTICAL COMPANY LIMITED (2022-02-10)</t>
  </si>
  <si>
    <t>Adeno Associated Virus Vectors for the Treatment of Hunter Disease</t>
  </si>
  <si>
    <t>A61K48/005;;A01K2217/075;;A01K2227/105;;A01K2267/0306;;A61K38/00;;A61K48/0058;;C12N9/16;;C12N15/86;;C12N2750/14143;;C12N2800/22;;C12N2830/008;;C12N2830/42;;C12N2830/48;;C12N2840/203;;C12Y301/06013;;C12N15/86;;A01K2217/075;;A01K2227/105;;A01K2267/0306;;A61K9/0019;;A61K38/00;;A61K48/005;;A61K48/0058;;C12N9/16;;C12N2750/14132;;C12N2750/14143;;C12N2800/22;;C12N2830/008;;C12N2830/42;;C12N2830/48;;C12N2840/203;;C12Y301/06013;;C12N15/86;;A61K9/0019;;A61K38/465;;A61K48/0058;;C12N9/16;;C12N2750/14143;;C12N2800/22;;C12N2830/008;;C12N2830/42;;C12N2830/48;;C12N2840/203;;C12Y301/06013;;C12N15/86;;A61K9/0019;;C12N9/16;;C12N2750/14132;;C12N2750/14143;;C12N2800/22;;C12N2830/008;;C12N2830/48;;C12Y301/06013</t>
  </si>
  <si>
    <t>C12N15/86;;A61K9/00;;C12N9/16</t>
  </si>
  <si>
    <t>https://lens.org/045-943-608-275-552</t>
  </si>
  <si>
    <t>048-912-147-582-775</t>
  </si>
  <si>
    <t>US 2021/0315978 A1</t>
  </si>
  <si>
    <t>TAKEDA PHARMACEUTICALS U.S.A. INC (2022-07-28);;SHIRE-NPS PHARMACEUTICALS INC (2018-08-07);;TAKEDA PHARMACEUTICAL COMPANY LIMITED (2023-05-03)</t>
  </si>
  <si>
    <t>FORMULATIONS FOR IMPROVED STABILITY OF RECOMBINANT HUMAN PARATHYROID HORMONE</t>
  </si>
  <si>
    <t>A61K47/10;;A61K9/0019;;A61K9/19;;A61K38/29;;A61K47/183;;A61K47/26;;A61P19/10;;A61K9/08;;A61K9/0019;;A61K9/19;;A61K38/29;;A61K47/02;;A61K47/10;;A61K47/20;;A61K47/22;;A61K47/26;;A61P19/10;;A61K38/29;;A61K9/0019;;A61K9/19;;A61K47/02;;A61K47/10;;A61K47/12;;A61K47/20;;A61K47/22;;A61K47/26;;A61K47/34</t>
  </si>
  <si>
    <t>A61K38/29;;A61K9/00;;A61K9/19;;A61K47/02;;A61K47/10;;A61K47/12;;A61K47/20;;A61K47/22;;A61K47/26;;A61K47/34</t>
  </si>
  <si>
    <t>https://lens.org/048-912-147-582-775</t>
  </si>
  <si>
    <t>155-688-244-017-562</t>
  </si>
  <si>
    <t>US 2021/0315981 A1</t>
  </si>
  <si>
    <t>SHIRE HUMAN GENETIC THERAPIES INC (2019-01-18);;TAKEDA PHARMACEUTICAL COMPANY LIMITED (2021-02-26)</t>
  </si>
  <si>
    <t>METHODS AND COMPOSITIONS FOR CNS DELIVERY OF ARYLSULFATASE A</t>
  </si>
  <si>
    <t>A61K38/465;;A61P3/00;;A61P25/28;;C12Y301/06001;;A61K38/465;;A61K9/0019;;A61K9/0085;;A61P25/28</t>
  </si>
  <si>
    <t>A61K38/46;;A61K9/00;;A61P25/28</t>
  </si>
  <si>
    <t>https://lens.org/155-688-244-017-562</t>
  </si>
  <si>
    <t>023-900-662-701-921</t>
  </si>
  <si>
    <t>US 11123704 B2</t>
  </si>
  <si>
    <t>SHIRE HUMAN GENETIC THERAPIES INC (2022-06-14);;TAKEDA PHARMACEUTICAL COMPANY LIMITED (2021-02-26)</t>
  </si>
  <si>
    <t>Antibody-resin coupling apparatus and methods</t>
  </si>
  <si>
    <t>B01F25/45;;B01J4/004;;B01J19/18;;B01J19/0066;;B01F27/13;;B01F35/451;;B01F35/712;;B01J19/0066;;B01J8/006;;B01J2208/00805;;B01F2215/0431;;B01F2215/0481;;B01F27/1125;;B01F35/181;;B01F35/71805;;B01F35/7547;;B01F35/52;;B01F27/111;;B01J4/004;;B01D29/01;;B01F2215/0477;;B01J2208/00858;;B01J19/18;;B01J19/26;;B01D29/01;;B01J19/0066;;B01J19/18;;B01J19/26;;B01J20/32;;B01J19/18;;B01J19/0066;;B01J8/006;;B01J2208/00858;;B01D29/01;;B01J2208/00805;;B01F27/13;;B01F35/451;;B01F35/712</t>
  </si>
  <si>
    <t>B01J19/00;;B01D29/01;;B01F27/96;;B01J8/00;;B01J19/18</t>
  </si>
  <si>
    <t>https://lens.org/023-900-662-701-921</t>
  </si>
  <si>
    <t>055-662-382-790-94X</t>
  </si>
  <si>
    <t>US 2021/0283016 A1</t>
  </si>
  <si>
    <t>SHIRE HUMAN GENETIC THERAPIES INC (2018-10-02);;TAKEDA PHARMACEUTICAL COMPANY LIMITED (2021-02-26)</t>
  </si>
  <si>
    <t>MODULAR VIAL ADAPTER</t>
  </si>
  <si>
    <t>A61M5/162;;A61J1/14;;A61J1/20;;A61M39/10;;A61J1/2065;;A61J1/14;;A61J1/1475;;A61J1/20;;A61J1/201;;A61J1/2072;;A61J1/2082;;A61J1/2086;;A61M5/162;;A61M39/10</t>
  </si>
  <si>
    <t>A61J1/20;;A61J1/14;;A61M5/162;;A61M39/10</t>
  </si>
  <si>
    <t>https://lens.org/055-662-382-790-94X</t>
  </si>
  <si>
    <t>085-960-607-750-070</t>
  </si>
  <si>
    <t>US 2021/0275751 A1</t>
  </si>
  <si>
    <t>SHIRE HUMAN GENETIC THERAPIES INC (2018-07-10);;TAKEDA PHARMACEUTICAL COMPANY LIMITED (2021-02-26)</t>
  </si>
  <si>
    <t>SMALL UNIT DOSAGE PLUNGER ROD STOPS</t>
  </si>
  <si>
    <t>A61M5/31505;;A61M5/31501;;A61M5/31515;;A61M5/31548;;A61M5/31578;;A61M5/31595;;A61M5/31501;;A61M5/31505;;A61M5/31515;;A61M5/31548;;A61M5/31578;;A61M5/31595</t>
  </si>
  <si>
    <t>https://lens.org/085-960-607-750-070</t>
  </si>
  <si>
    <t>099-886-113-197-717</t>
  </si>
  <si>
    <t>US 2021/0261672 A1</t>
  </si>
  <si>
    <t>SHIRE HUMAN GENETIC THERAPIES INC (2020-12-21);;THE REGENTS OF THE UNIVERSITY OF COLORADO A BODY CORPORATE (2019-07-29);;TAKEDA PHARMACEUTICAL COMPANY LIMITED (2021-02-26)</t>
  </si>
  <si>
    <t>ANTI-FLT-1 ANTIBODIES IN TREATING BRONCHOPULMONARY DYSPLASIA</t>
  </si>
  <si>
    <t>C07K16/2863;;A61K2039/505;;A61K2039/54;;C07K2317/74;;C07K2317/76;;C07K16/2863;;A61K45/06;;A61K2039/54;;A61K2039/545;;C07K2317/24;;C07K2317/76;;C07K2317/92</t>
  </si>
  <si>
    <t>C07K16/28;;A61K45/06</t>
  </si>
  <si>
    <t>https://lens.org/099-886-113-197-717</t>
  </si>
  <si>
    <t>003-687-305-423-489</t>
  </si>
  <si>
    <t>US 2021/0236607 A1</t>
  </si>
  <si>
    <t>SHIRE VIROPHARMA LLC</t>
  </si>
  <si>
    <t>VIROPHARMA HOLDINGS LIMITED (2014-11-06);;SHIRE PHARMACEUTICALS IRELAND LTD (2015-07-02);;SHIRE VIROPHARMA LLC (2019-12-20);;TAKEDA PHARMACEUTICAL COMPANY LIMITED (2021-03-31)</t>
  </si>
  <si>
    <t>COMPOSITIONS AND METHODS USEFUL FOR THE TREATMENT OF NEUROMYELITIS OPTICA SPECTRUM DISORDERS</t>
  </si>
  <si>
    <t>A61K38/57;;A61K35/16;;A61K38/55;;A61K39/3955;;A61P25/00;;A61P25/28;;A61P37/02;;A61P37/06;;A61P43/00;;C07K16/18;;C07K16/28;;A61K38/57;;A61K35/16;;A61K38/55;;A61K39/3955;;A61K45/06;;C07K16/18;;C07K16/28</t>
  </si>
  <si>
    <t>A61K38/57;;A61K35/16;;A61K38/55;;A61K45/06</t>
  </si>
  <si>
    <t>https://lens.org/003-687-305-423-489</t>
  </si>
  <si>
    <t>106-340-688-483-981</t>
  </si>
  <si>
    <t>US 11059906 B2</t>
  </si>
  <si>
    <t>SHIRE HUMAN GENETIC THERAPIES INC (2016-04-11);;TAKEDA PHARMACEUTICAL COMPANY LIMITED (2021-02-26)</t>
  </si>
  <si>
    <t>Anti-CCL2 and anti-LOXL2 combination therapy for treatment of scleroderma</t>
  </si>
  <si>
    <t>C07K16/40;;A61K2039/505;;A61K2039/507;;A61K2039/54;;A61K2039/545;;A61P1/04;;A61P1/16;;A61P3/04;;A61P9/00;;A61P9/10;;A61P11/00;;A61P11/06;;A61P13/12;;A61P17/00;;A61P17/06;;A61P19/02;;A61P25/08;;A61P25/28;;A61P29/00;;A61P37/02;;A61P43/00;;C07K16/24;;C07K2317/24;;C07K2317/31;;C07K16/40;;A61K2039/505;;A61K2039/507;;A61K2039/54;;A61K2039/545;;C07K16/24;;C07K2317/24;;C07K2317/31;;C07K2317/54;;C07K2317/55;;C07K2317/622;;C07K2317/626;;C07K2317/92</t>
  </si>
  <si>
    <t>C07K16/40;;A61K39/00;;C07K16/24</t>
  </si>
  <si>
    <t>https://lens.org/106-340-688-483-981</t>
  </si>
  <si>
    <t>070-840-166-976-590</t>
  </si>
  <si>
    <t>US 2021/0169986 A1</t>
  </si>
  <si>
    <t>SHIRE-NPS PHARMACEUTICALS INC (2018-03-20);;TAKEDA PHARMACEUTICAL COMPANY LIMITED (2022-07-28)</t>
  </si>
  <si>
    <t>GLP-2 ANALOGS AND PEPTIBODIES FOR ADMINISTRATION BEFORE, DURING OR AFTER SURGERY</t>
  </si>
  <si>
    <t>A61K38/26;;A61P1/14;;A61P3/00;;A61K38/26;;A61P3/00;;A61P1/14;;C07K2319/00;;A61P1/00;;C07K16/00;;A61K47/6811;;C07K14/605;;A61K38/26;;A61K47/6811;;A61P1/00;;C07K14/605;;C07K16/00;;C07K2319/00;;A61K47/6811;;A61P1/00;;A61K38/26</t>
  </si>
  <si>
    <t>A61K38/26;;A61K47/68;;A61P1/00</t>
  </si>
  <si>
    <t>https://lens.org/070-840-166-976-590</t>
  </si>
  <si>
    <t>145-513-944-996-08X</t>
  </si>
  <si>
    <t>US 2021/0163603 A1</t>
  </si>
  <si>
    <t>SHIRE HUMAN GENETIC THERAPIES;;UNIV MINNESOTA</t>
  </si>
  <si>
    <t>REGENTS OF THE UNIVERSITY OF MINNESOTA (2016-01-05);;SHIRE HUMAN GENETIC THERAPIES INC (2015-10-07);;TAKEDA PHARMACEUTICAL COMPANY LIMITED (2021-02-26)</t>
  </si>
  <si>
    <t>ANTI-FLT-1 ANTIBODIES IN TREATING DUCHENNE MUSCULAR DYSTROPHY</t>
  </si>
  <si>
    <t>C07K16/2866;;A61K2039/505;;A61P1/00;;A61P9/00;;A61P11/00;;A61P19/00;;A61P19/02;;A61P21/04;;A61P25/28;;A61P29/00;;C07K2317/33;;C07K2317/76;;C07K16/2863;;A61K2039/505;;C07K16/2866;;C07K2317/33;;C07K2317/54;;C07K2317/55;;C07K2317/76</t>
  </si>
  <si>
    <t>https://lens.org/145-513-944-996-08X</t>
  </si>
  <si>
    <t>148-844-186-905-059</t>
  </si>
  <si>
    <t>US 10967073 B2</t>
  </si>
  <si>
    <t>SHIRE HUMAN GENETIC THERAPIES;;MCLEAN HOSPITAL CORP</t>
  </si>
  <si>
    <t>THE MCLEAN HOSPITAL CORPORATION (2016-06-08);;SHIRE HUMAN GENETIC THERAPIES INC (2016-08-16);;TAKEDA PHARMACEUTICAL COMPANY LIMITED (2021-02-26)</t>
  </si>
  <si>
    <t>Glucocerebrosidase gene therapy for Parkinson's disease</t>
  </si>
  <si>
    <t>A61K48/0058;;A01K2227/105;;A01K2267/0356;;A61K35/76;;A61K38/47;;A61P25/16;;C12N9/2405;;C12N2750/14143;;C12N2750/14171;;C12Y302/01045;;A61K48/0058;;A01K2227/105;;A01K2267/0356;;A61K9/0085;;A61K35/76;;A61K38/47;;A61P25/16;;C12N9/2402;;C12N9/2405;;C12N15/86;;C12N2750/14143;;C12N2750/14171;;C12Y302/01045</t>
  </si>
  <si>
    <t>A61K48/00;;A61K9/00;;A61K35/76;;A61K38/47;;A61P25/16;;C12N9/24;;C12N15/86</t>
  </si>
  <si>
    <t>https://lens.org/148-844-186-905-059</t>
  </si>
  <si>
    <t>000-364-547-112-055</t>
  </si>
  <si>
    <t>US 2021/0098103 A1</t>
  </si>
  <si>
    <t>SHIRE HUMAN GENETIC THERAPIES INC (2018-03-02);;TAKEDA PHARMACEUTICAL COMPANY LIMITED (2021-02-26)</t>
  </si>
  <si>
    <t>DRUG MONITORING TOOL</t>
  </si>
  <si>
    <t>A61K38/37;;A61K38/48;;C07K14/755;;C12N9/64;;G06N7/00;;G16H20/10;;G06N7/01;;G09C5/00;;G16B40/00;;G16B50/00;;G16C20/90;;G16H50/30;;G16H50/50;;A61K38/37;;A61K38/48;;C07K14/755;;C12N9/64;;G06N7/00;;G06N7/01;;G09C5/00;;G16B40/00;;G16B50/00;;G16C20/30;;G16C20/90;;G16H10/60;;G16H20/10;;G16H50/30;;G16H50/50;;H04L9/0637;;G16H20/10;;G06N7/01;;G09C5/00;;G16B40/00;;G16B50/00;;G16C20/30;;G16C20/90;;G16H10/60;;G16H50/30;;H04L9/0637;;G16H20/10;;G06N7/01;;G09C5/00;;G16B40/00;;G16B50/00;;G16C20/30;;G16C20/90;;G16H10/60;;G16H50/30;;G16H50/50;;H04L9/0637</t>
  </si>
  <si>
    <t>G16H20/10;;G06N7/00;;G06V30/224;;G09C5/00;;G16C20/30;;G16H10/60;;G16H50/30;;G16H50/50;;H04L9/06</t>
  </si>
  <si>
    <t>https://lens.org/000-364-547-112-055</t>
  </si>
  <si>
    <t>175-441-684-427-830</t>
  </si>
  <si>
    <t>US 2021/0079022 A1</t>
  </si>
  <si>
    <t>CHARLES RIVER LABORATORIES INC (2021-09-07);;SHIRE HUMAN GENETIC THERAPIES INC (2021-07-09);;BIODURO LLC (2021-07-09);;CHARLES RIVER DISCOVERY RESEARCH SERVICES UK LIMITED (2021-09-06);;TAKEDA PHARMACEUTICAL COMPANY LIMITED (2021-02-26)</t>
  </si>
  <si>
    <t>HETEROARYL PLASMA KALLIKREIN INHIBITORS</t>
  </si>
  <si>
    <t>C07D519/00;;A61P7/10;;A61P29/02;;C07D519/00;;C07D519/00</t>
  </si>
  <si>
    <t>https://lens.org/175-441-684-427-830</t>
  </si>
  <si>
    <t>077-457-289-897-043</t>
  </si>
  <si>
    <t>US 2021/0078999 A1</t>
  </si>
  <si>
    <t>PLASMA KALLIKREIN INHIBITORS AND USES THEREOF</t>
  </si>
  <si>
    <t>C07D471/04;;A61P9/00;;A61P29/00;;C07D471/04;;C07D519/00</t>
  </si>
  <si>
    <t>https://lens.org/077-457-289-897-043</t>
  </si>
  <si>
    <t>150-239-156-439-911</t>
  </si>
  <si>
    <t>US 2021/0040465 A1</t>
  </si>
  <si>
    <t>SHIRE HUMAN GENETIC THERAPIES INC (2019-03-08);;TAKEDA PHARMACEUTICAL COMPANY LIMITED (2021-02-26)</t>
  </si>
  <si>
    <t>AFFINITY PURIFICATION OF GLYCOSIDE-CLEAVING ENZYMES</t>
  </si>
  <si>
    <t>B01J20/3253;;B01J20/286;;B01J20/289;;B01J20/3219;;B01J20/3255;;C07K1/22;;C12N9/2465;;B01J20/286;;B01J20/289;;B01J20/3219;;B01J20/3253;;B01J20/3255;;C12Y302/01022</t>
  </si>
  <si>
    <t>C12N9/40</t>
  </si>
  <si>
    <t>https://lens.org/150-239-156-439-911</t>
  </si>
  <si>
    <t>065-485-746-285-126</t>
  </si>
  <si>
    <t>US 2020/0384089 A1</t>
  </si>
  <si>
    <t>SHIRE HUMAN GENETIC THERAPIES INC (2020-11-04);;TAKEDA PHARMACEUTICAL COMPANY LIMITED (2021-02-26)</t>
  </si>
  <si>
    <t>PURIFIED ARYLSULFATASE A AND COMPOSITONS THEREOF</t>
  </si>
  <si>
    <t>A61K38/465;;A61K9/0019;;A61K9/0085;;A61K47/26;;A61P25/00;;A61P25/28;;A61P43/00;;C12N9/16;;C12Y301/06001;;A61K38/465;;A61K9/0019;;A61K47/26;;A61P25/28;;C12N9/16;;C12Y301/06001;;A61K38/465;;A61K9/0019;;A61K9/0085;;A61K47/26;;A61P25/00;;A61P25/28;;A61P43/00;;C12N9/16;;C12Y301/06001;;A61K38/465;;A61P25/28;;C12Y301/06001</t>
  </si>
  <si>
    <t>A61K38/46;;A61P25/28</t>
  </si>
  <si>
    <t>https://lens.org/065-485-746-285-126</t>
  </si>
  <si>
    <t>073-015-930-656-488</t>
  </si>
  <si>
    <t>US 2020/0376095 A1</t>
  </si>
  <si>
    <t>SHIRE HUMAN GENETIC THERAPIES INC (2015-10-13);;TAKEDA PHARMACEUTICAL COMPANY LIMITED (2021-02-26)</t>
  </si>
  <si>
    <t>MANNOSE-6-PHOSPHATE BEARING PEPTIDES FUSED TO LYSOSOMAL ENZYMES</t>
  </si>
  <si>
    <t>A61K38/43;;A61K38/47;;A61K38/1709;;A61K38/204;;A61K38/30;;A61K38/43;;A61P3/00;;A61P43/00;;C12N9/1288;;C12Y207/08017;;C12Y302/0105;;A61K38/47;;A61K38/1709;;A61K38/204;;A61K38/30;;A61K38/43;;C07K14/4703;;C07K14/4705;;C07K14/5412;;C07K14/65;;C07K2319/06;;C12N9/1288;;C12Y207/08017;;C12Y302/0105</t>
  </si>
  <si>
    <t>A61K38/47;;A61K38/17;;A61K38/20;;A61K38/30;;A61K38/43;;C07K14/47;;C07K14/54;;C07K14/65;;C12N9/12</t>
  </si>
  <si>
    <t>https://lens.org/073-015-930-656-488</t>
  </si>
  <si>
    <t>103-061-812-816-333</t>
  </si>
  <si>
    <t>US 2020/0376093 A1</t>
  </si>
  <si>
    <t>SHIRE HUMAN GENETIC THERAPIES INC (2013-03-04);;TAKEDA PHARMACEUTICAL COMPANY LIMITED (2022-05-09)</t>
  </si>
  <si>
    <t>TREATMENT OF COGNITIVE IMPAIRMENT OF HUNTER SYNDROME BY INTRATHECAL DELIVERY OF IDURONATE-2-SULFATASE</t>
  </si>
  <si>
    <t>A61K38/465;;A61K38/46;;A61P3/00;;C12N9/16;;C12Y301/06013;;A61K38/465;;A61K9/0019;;A61K9/0085;;A61K38/46;;C12N9/16;;C12Y301/06013</t>
  </si>
  <si>
    <t>A61K38/46;;A61K9/00;;C12N9/16</t>
  </si>
  <si>
    <t>https://lens.org/103-061-812-816-333</t>
  </si>
  <si>
    <t>000-235-734-954-193</t>
  </si>
  <si>
    <t>US 2020/0360495 A1</t>
  </si>
  <si>
    <t>SHIRE VIROPHARMA INC</t>
  </si>
  <si>
    <t>VIROPHARMA HOLDINGS LIMITED (2014-10-10);;SHIRE VIROPHARMA LLC (2019-12-20);;TAKEDA PHARMACEUTICAL COMPANY LIMITED (2021-03-31)</t>
  </si>
  <si>
    <t>METHODS OF TREATING ANTIBODY-MEDIATED REJECTION IN ORGAN TRANSPLANT PATIENTS WITH C1-ESTERASE INHIBITOR</t>
  </si>
  <si>
    <t>A61K38/57;;A61K35/16;;A61K38/55;;A61K2039/505;;A61P1/00;;A61P1/04;;A61P1/16;;A61P1/18;;A61P9/00;;A61P11/00;;A61P13/12;;A61P37/00;;A61P37/06;;A61P43/00;;C07K16/00;;A61K35/16;;A61K31/69;;A61K38/55;;A61K38/57;;A61K39/395;;A61K45/06;;A61K2035/122;;A61K2039/505;;A61K2300/00;;A61K38/57;;A61K35/16;;A61K38/55;;A61K45/06;;A61K2035/122;;A61K2039/505;;C07K16/00</t>
  </si>
  <si>
    <t>A61K38/57;;A61K35/16;;A61K38/55;;A61K45/06;;C07K16/00</t>
  </si>
  <si>
    <t>https://lens.org/000-235-734-954-193</t>
  </si>
  <si>
    <t>106-807-085-856-650</t>
  </si>
  <si>
    <t>US 2020/0362041 A1</t>
  </si>
  <si>
    <t>SHIRE HUMAN GENETIC THERAPIES;;UNIV COLORADO REGENTS</t>
  </si>
  <si>
    <t>THE REGENTS OF THE UNIVERSITY OF COLORADO A BODY CORPORATE (2016-05-10);;SHIRE HUMAN GENETIC THERAPIES INC (2018-03-19);;TAKEDA PHARMACEUTICAL COMPANY LIMITED (2021-02-26)</t>
  </si>
  <si>
    <t>C07K16/2863;;A61K2039/505;;A61K2039/54;;C07K2317/74;;C07K2317/76;;C07K16/2863;;A61K31/07;;A61K31/56;;A61K33/00;;A61K2039/505;;A61K2039/54;;A61P11/00;;A61P43/00;;C07K2317/74;;C07K2317/76;;C07K16/2863;;A23L33/10;;A23V2002/00;;A61K9/0012;;A61K9/0019;;A61K9/0053;;A61K9/007;;A61K9/0073;;A61K31/07;;A61K31/56;;A61K33/00;;A61K39/3955;;A61K45/06;;A61K2039/505;;A61K2039/54;;A61K2039/545;;C07K2317/21;;C07K2317/24;;C07K2317/33;;C07K2317/52;;C07K2317/54;;C07K2317/55;;C07K2317/622;;C07K2317/626;;C07K2317/74;;C07K2317/76;;C07K2317/92;;C07K2317/94</t>
  </si>
  <si>
    <t>C07K16/28;;A23L33/10;;A61K9/00;;A61K31/07;;A61K31/56;;A61K33/00;;A61K39/395;;A61K45/06</t>
  </si>
  <si>
    <t>https://lens.org/106-807-085-856-650</t>
  </si>
  <si>
    <t>106-377-324-125-314</t>
  </si>
  <si>
    <t>US 2020/0317667 A1</t>
  </si>
  <si>
    <t>CHARLES RIVER LABORATORIES INC (2019-04-24);;SHIRE HUMAN GENETIC THERAPIES INC (2019-05-22);;BIODURO LLC (2019-05-20);;CHARLES RIVER DISCOVERY RESEARCH SERVICES UK LIMITED (2019-04-24);;TAKEDA PHARMACEUTICAL COMPANY LIMITED (2021-02-26)</t>
  </si>
  <si>
    <t>INHIBITORS OF PLASMA KALLIKREIN AND USES THEREOF</t>
  </si>
  <si>
    <t>C07D471/04;;A61P9/00;;A61P29/00;;C07D519/00;;C07D471/04;;A61K31/437;;A61P7/10;;A61P27/02;;A61P29/00;;C07D471/04;;A61P9/00;;A61P29/00;;C07D519/00</t>
  </si>
  <si>
    <t>C07D471/04;;A61P9/00;;A61P29/00;;C07D519/00</t>
  </si>
  <si>
    <t>https://lens.org/106-377-324-125-314</t>
  </si>
  <si>
    <t>132-384-909-573-073</t>
  </si>
  <si>
    <t>US 2020/0316178 A1</t>
  </si>
  <si>
    <t>SHIRE HUMAN GENETIC THERAPIES INC (2018-03-01);;TAKEDA PHARMACEUTICAL COMPANY LIMITED (2021-02-26)</t>
  </si>
  <si>
    <t>FORMULATIONS COMPRISING GLUCOCEREBROSIDASE AND ISOFAGOMINE</t>
  </si>
  <si>
    <t>A61K9/0019;;A61K9/19;;A61K31/445;;A61K38/47;;A61K47/02;;A61K47/12;;A61K47/26;;A61K2300/00;;C12Y302/01045;;A61K31/445;;A61K9/0019;;A61K47/02;;A61K47/12;;A61K47/26;;A61K9/19;;A61K38/47;;C12Y302/01045;;A61P25/16;;A61P25/28;;A61P3/00;;A61K31/445;;A61K9/19;;C12Y302/01045;;A61K38/47;;A61K47/02;;A61K47/12;;A61K47/26;;A61K9/0019;;A61K2300/00;;A61K31/445;;A61K38/47;;A61K9/08;;A61K9/19;;A61K47/12;;A61K47/02;;A61K47/26;;A61K9/0021;;A61P25/28;;A61P25/16;;A61K2300/00;;C12Y302/01045;;A61K9/0019;;A61K9/19;;A61K31/445;;A61K38/47;;A61K47/02;;A61K47/12;;A61K47/26;;C12Y302/01045</t>
  </si>
  <si>
    <t>A61K31/445;;A61K38/47;;A61K47/02;;A61K47/12;;A61K47/26</t>
  </si>
  <si>
    <t>https://lens.org/132-384-909-573-073</t>
  </si>
  <si>
    <t>179-256-152-837-725</t>
  </si>
  <si>
    <t>US 10760112 B2</t>
  </si>
  <si>
    <t>SHIRE HUMAN GENETIC THERAPIES INC (2017-09-06);;TAKEDA PHARMACEUTICAL COMPANY LIMITED (2021-02-26)</t>
  </si>
  <si>
    <t>Enzymatic activity assays for glucocerebrosidase</t>
  </si>
  <si>
    <t>C12Q1/34;;C12Y302/01045;;G01N2333/924;;C12Q1/40;;C12Q1/34;;C12Y302/01045;;G01N2333/924;;G01N2500/20</t>
  </si>
  <si>
    <t>C12Q1/40;;C12Q1/34</t>
  </si>
  <si>
    <t>https://lens.org/179-256-152-837-725</t>
  </si>
  <si>
    <t>072-779-219-970-225</t>
  </si>
  <si>
    <t>US 2020/0261556 A1</t>
  </si>
  <si>
    <t>SHIRE VIROPHARMA LLC (2019-12-20);;VIROPHARMA BIOLOGICS LLC (2021-06-25)</t>
  </si>
  <si>
    <t>C1-INH COMPOSITIONS AND METHODS FOR THE PREVENTION AND TREATMENT OF DISORDERS ASSOCIATED WITH C1 ESTERASE INHIBITOR DEFICIENCY</t>
  </si>
  <si>
    <t>A61K38/57;;A61K9/0019;;A61K38/1709;;A61K47/02;;A61K47/12;;A61K47/18;;A61K47/183;;A61P31/00;;A61K38/57;;A61K9/0019;;A61K47/02;;A61K47/12;;A61K47/18;;A61K47/22;;A61K47/34;;A61K38/57;;A61K9/0019;;A61K9/0021;;A61K9/08;;A61K35/16;;A61K38/00;;A61K38/1709;;A61K38/55;;A61K47/02;;A61K47/12;;A61K47/18;;A61K47/183;;A61K47/22;;A61K47/34;;A61P31/00;;C07K14/81;;A61K38/57;;A61K9/0019;;A61K9/0021;;A61K47/02;;A61K47/12;;A61K38/57;;A61K9/0019;;A61K9/08;;A61K38/00;;A61K38/1709;;A61K47/02;;A61K47/12;;A61K47/18;;A61K47/183;;A61K47/22;;A61P31/00</t>
  </si>
  <si>
    <t>A61K38/57;;A61K9/00;;A61K9/08;;A61K38/00;;A61K38/17;;A61K47/02;;A61K47/12;;A61K47/18;;A61K47/22;;A61P31/00</t>
  </si>
  <si>
    <t>https://lens.org/072-779-219-970-225</t>
  </si>
  <si>
    <t>003-825-367-105-219</t>
  </si>
  <si>
    <t>US 2020/0247856 A1</t>
  </si>
  <si>
    <t>SHIRE HUMAN GENETIC THERAPIES INC (2019-06-06);;TAKEDA PHARMACEUTICAL COMPANY LIMITED (2021-02-26)</t>
  </si>
  <si>
    <t>RECOMBINANT FOLLISTATIN-FC FUSION PROTEINS AND USE IN TREATING DUCHENNE MUSCULAR DYSTROPHY</t>
  </si>
  <si>
    <t>A61K45/06;;A61K38/00;;A61K39/395;;C07K14/4703;;C07K14/4708;;C07K2319/30;;C07K14/4708;;A61K38/00;;A61K39/395;;A61K45/06;;A61P21/00;;A61P21/04;;C07K14/4703;;C07K2319/30;;C07K14/4703;;A61K38/00;;A61K39/395;;A61K45/06;;A61P21/00;;C07K14/4708;;C07K2319/30;;C07K14/473;;A61K9/0019;;A61K38/00;;A61K39/3955;;A61K2039/505;;A61K2039/545;;A61P21/06;;C07K16/22;;C07K2317/92;;C07K2319/30</t>
  </si>
  <si>
    <t>C07K14/47;;A61K9/00;;A61K39/395;;A61P21/06;;C07K16/22</t>
  </si>
  <si>
    <t>https://lens.org/003-825-367-105-219</t>
  </si>
  <si>
    <t>080-857-018-562-226</t>
  </si>
  <si>
    <t>US 10729746 B2</t>
  </si>
  <si>
    <t>SHIRE HUMAN GENETIC THERAPIES INC (2016-01-22);;TAKEDA PHARMACEUTICAL COMPANY LIMITED (2021-02-26)</t>
  </si>
  <si>
    <t>Recombinant placenta growth factor for treating Duchenne muscular dystrophy</t>
  </si>
  <si>
    <t>C07K14/515;;A61K38/1891;;A61P21/00;;C07K2319/00;;A61K38/18;;A61K38/1866;;C07K14/475;;C07K14/515;;C07K2319/00</t>
  </si>
  <si>
    <t>A61K38/18;;C07K14/475;;C07K14/515</t>
  </si>
  <si>
    <t>https://lens.org/080-857-018-562-226</t>
  </si>
  <si>
    <t>110-386-522-348-964</t>
  </si>
  <si>
    <t>US 2020/0237883 A1</t>
  </si>
  <si>
    <t>SHIRE HUMAN GENETIC THERAPIES INC (2014-08-20);;TAKEDA PHARMACEUTICAL COMPANY LIMITED (2022-07-11)</t>
  </si>
  <si>
    <t>STABLE FORMULATIONS FOR CNS DELIVERY OF ARYLSULFATASE A</t>
  </si>
  <si>
    <t>A61K38/465;;A61K9/0019;;A61K9/0085;;A61K9/19;;A61K38/51;;A61K47/10;;C12Y301/06008;;A61K38/465;;A61K9/0019;;A61K9/0085;;A61K9/19;;A61K38/51;;A61K47/10;;C12Y301/06008</t>
  </si>
  <si>
    <t>A61K38/46;;A61K9/00;;A61K9/19;;A61K38/51;;A61K47/10</t>
  </si>
  <si>
    <t>https://lens.org/110-386-522-348-964</t>
  </si>
  <si>
    <t>051-842-789-425-090</t>
  </si>
  <si>
    <t>US 10723772 B2</t>
  </si>
  <si>
    <t>SHIRE HUMAN GENETIC THERAPIES INC (2015-08-26);;TAKEDA PHARMACEUTICAL COMPANY LIMITED (2021-02-26)</t>
  </si>
  <si>
    <t>Follistatin in treating duchenne muscular dystrophy</t>
  </si>
  <si>
    <t>A61K38/1709;;A61K38/00;;A61P1/00;;A61P1/04;;A61P9/00;;A61P9/10;;A61P11/00;;A61P13/10;;A61P19/02;;A61P19/08;;A61P21/00;;A61P21/06;;A61P25/18;;A61P25/28;;A61P29/00;;C07H21/04;;C07K14/4703;;C07K2319/30;;A61K38/00;;A61K38/1709;;C07H21/04;;C07K14/47;;C07K14/4703;;C07K14/4708;;C07K19/00;;C07K2319/30;;C12N15/63;;C07K14/47;;A61K38/00;;A61K38/1709;;C07H21/04;;C07K14/4703;;C07K14/4708;;C07K19/00;;C07K2319/30;;C12N15/63</t>
  </si>
  <si>
    <t>A61P21/06;;A61K38/00;;A61K38/17;;C07H21/04;;C07K14/47;;C07K19/00;;C12N15/63</t>
  </si>
  <si>
    <t>https://lens.org/051-842-789-425-090</t>
  </si>
  <si>
    <t>129-709-666-233-932</t>
  </si>
  <si>
    <t>US 10695395 B2</t>
  </si>
  <si>
    <t>SHIRE HUMAN GENETIC THERAPIES;;PHOENIX TISSUE REPAIR INC</t>
  </si>
  <si>
    <t>SHIRE HUMAN GENETIC THERAPIES INC (2017-01-16);;PHOENIX TISSUE REPAIR INC (2017-07-21)</t>
  </si>
  <si>
    <t>Collagen 7 compositions and methods of using the same</t>
  </si>
  <si>
    <t>A61K38/39;;A61K47/183;;A61K47/26;;A61P17/02;;A61K8/60;;A61K8/65;;A61K38/39;;A61Q19/08;;C07K14/78;;A61K8/24;;A61K8/44;;A61K8/4993;;A61K8/20;;A61K9/0019;;A61P17/02;;A61K47/10;;A61K47/183;;A61K47/26;;A61K38/014;;A61K8/4993;;A61K8/60;;A61K47/183;;A61K47/26;;A61P17/02;;A61K38/39;;A61Q19/08;;A61K8/20;;C07K14/78;;A61K8/24;;A61K47/10;;A61K9/0019;;A61K8/44;;A61K8/65;;A61Q19/08;;A61K8/65;;A61K8/60;;A61K38/39;;C07K14/78;;A61K8/44;;A61K8/20;;A61K8/4993;;A61K8/24;;A61K9/0019;;A61P17/02;;A61K38/014;;A61K47/10;;A61K47/183;;A61K47/26</t>
  </si>
  <si>
    <t>A61K38/01;;A61K8/20;;A61K8/24;;A61K8/44;;A61K8/49;;A61K8/60;;A61K8/65;;A61K9/00;;A61K38/39;;A61K47/10;;A61K47/18;;A61K47/26;;A61P17/02;;A61Q19/08;;C07K14/78</t>
  </si>
  <si>
    <t>https://lens.org/129-709-666-233-932</t>
  </si>
  <si>
    <t>077-430-827-834-075</t>
  </si>
  <si>
    <t>US 10639356 B2</t>
  </si>
  <si>
    <t>SHIRE HUMAN GENETIC THERAPIES INC (2018-07-17);;TAKEDA PHARMACEUTICAL COMPANY LIMITED (2022-07-11)</t>
  </si>
  <si>
    <t>Treatment of cognitive impairment of mucopolysaccharidosis type IIIA by intrathecal delivery of heparan N-sulfatase</t>
  </si>
  <si>
    <t>A61K38/46;;A61P3/00;;C12Y310/01001;;A61K38/46;;A61K9/0019;;A61P3/00;;C12Y310/01001</t>
  </si>
  <si>
    <t>A61K38/46;;A61K9/00;;A61P3/00</t>
  </si>
  <si>
    <t>https://lens.org/077-430-827-834-075</t>
  </si>
  <si>
    <t>023-437-851-277-726</t>
  </si>
  <si>
    <t>US 10603364 B2</t>
  </si>
  <si>
    <t>SHIRE HUMAN GENETIC THERAPIES INC (2016-02-18);;TAKEDA PHARMACEUTICAL COMPANY LIMITED (2021-02-26)</t>
  </si>
  <si>
    <t>Lysosomal targeting and uses thereof</t>
  </si>
  <si>
    <t>A61K38/47;;A61K47/64;;A61P43/00;;C07K14/475;;C07K16/18;;C07K2319/06;;C12N9/2402;;C12Y302/0105;;A61K38/47;;A61K47/64;;C07K14/475;;C07K14/70571;;C07K16/18;;C07K2319/06;;C12N9/2402;;C12Y302/0105</t>
  </si>
  <si>
    <t>A61K38/47;;A61K47/64;;C07K14/475;;C07K14/705;;C07K16/18;;C12N9/24</t>
  </si>
  <si>
    <t>https://lens.org/023-437-851-277-726</t>
  </si>
  <si>
    <t>025-292-970-237-768</t>
  </si>
  <si>
    <t>US 10578624 B2</t>
  </si>
  <si>
    <t>SHIRE HUMAN GENETIC THERAPIES INC (2016-03-14);;TAKEDA PHARMACEUTICAL COMPANY LIMITED (2021-02-26)</t>
  </si>
  <si>
    <t>Determination of glycosaminoglycan levels by mass spectrometry</t>
  </si>
  <si>
    <t>G01N33/6893;;C12Q1/34;;G01N2400/40;;G01N2800/042;;G01N2800/52;;C12Q1/34;;G01N33/6848;;G01N33/6893;;G01N2400/40;;G01N2560/00;;G01N2800/042;;G01N2800/52;;C12Q1/34;;G01N33/6893;;G01N2400/40;;G01N2800/042;;G01N2800/52;;G01N33/6848;;C12Q1/34;;G01N33/6893;;G01N2400/40;;G01N2560/00;;G01N2800/042;;G01N2800/52</t>
  </si>
  <si>
    <t>G01N33/68;;C12Q1/34;;G01N33/48</t>
  </si>
  <si>
    <t>https://lens.org/025-292-970-237-768</t>
  </si>
  <si>
    <t>114-098-714-755-934</t>
  </si>
  <si>
    <t>US 10556015 B2</t>
  </si>
  <si>
    <t>SHIRE HUMAN GENETIC THERAPIES;;CRITEO S A</t>
  </si>
  <si>
    <t>SHIRE HUMAN GENETIC THERAPIES INC (2016-01-20);;TAKEDA PHARMACEUTICAL COMPANY LIMITED (2021-02-26)</t>
  </si>
  <si>
    <t>Lysosomal targeting of enzymes, and uses thereof</t>
  </si>
  <si>
    <t>A61K47/65;;A61K47/64;;C07K2319/06;;C07K2319/50;;C12N9/2402;;C12N9/6454;;C12N9/96;;C12N15/62;;C12Y302/0102;;C12Y302/0105;;A61K47/65;;A61K47/64;;C07K2319/06;;C07K2319/50;;C12N9/2402;;C12N9/6454;;C12N9/96;;C12N15/62;;C12Y302/0102;;C12Y302/0105</t>
  </si>
  <si>
    <t>A61K47/65;;A61K47/64;;C12N9/24;;C12N9/64;;C12N9/96;;C12N15/62</t>
  </si>
  <si>
    <t>https://lens.org/114-098-714-755-934</t>
  </si>
  <si>
    <t>042-157-468-285-857</t>
  </si>
  <si>
    <t>US 2020/0040317 A1</t>
  </si>
  <si>
    <t>SHIRE HUMAN GENETIC THERAPIES INC (2014-02-20);;TAKEDA PHARMACEUTICAL COMPANY LIMITED (2021-02-26)</t>
  </si>
  <si>
    <t>METHODS FOR PURIFICATION OF ARYLSULFATASE A</t>
  </si>
  <si>
    <t>C12N9/16;;C12Y301/06008;;C12N9/16;;C12Y301/06008</t>
  </si>
  <si>
    <t>C12N9/16</t>
  </si>
  <si>
    <t>https://lens.org/042-157-468-285-857</t>
  </si>
  <si>
    <t>051-866-065-659-170</t>
  </si>
  <si>
    <t>US 2019/0365317 A1</t>
  </si>
  <si>
    <t>SHIRE HUMAN GENETIC THERAPIES INC (2020-12-02);;TAKEDA PHARMACEUTICAL COMPANY LIMITED (2021-02-26)</t>
  </si>
  <si>
    <t>PHYSIOLOGICAL SENSING AND THERAPEUTIC ADMINISTRATION SYSTEM AND METHOD</t>
  </si>
  <si>
    <t>A61B5/4839;;A61B5/0022;;A61B5/0205;;A61B5/1118;;A61B5/14546;;A61B5/7275;;G16H20/10;;G16H40/63;;G16H40/67;;G16H50/70;;G16H70/40;;A61B5/4839;;A61B5/0022;;A61B5/14532;;A61B5/6824;;A61M5/1723;;G16H20/10;;G16H40/63;;G16H50/70</t>
  </si>
  <si>
    <t>A61B5/00;;G16H20/10</t>
  </si>
  <si>
    <t>https://lens.org/051-866-065-659-170</t>
  </si>
  <si>
    <t>151-124-578-456-144</t>
  </si>
  <si>
    <t>US 2019/0350593 A1</t>
  </si>
  <si>
    <t>SHIRE HUMAN GENETIC THERAPIES INC (2018-11-14);;TAKEDA PHARMACEUTICAL COMPANY LIMITED (2021-02-26)</t>
  </si>
  <si>
    <t>SMART TOURNIQUET</t>
  </si>
  <si>
    <t>A61B17/1327;;A61B17/1322;;A61B34/25;;A61B2017/00026;;A61B2017/00115;;A61B2017/00199;;A61B2017/00221;;A61B2090/0803;;A61M5/31568;;A61M5/425;;A61M2205/52;;G16H20/17;;G16H40/63;;A61B17/1322;;A61B17/1327;;A61B2017/00026;;A61B2017/00115;;A61B2017/00199;;A61B2017/00221;;A61B2090/0803;;G16H20/17;;G16H40/63;;A61B17/1322;;A61B34/25;;A61B2017/00026;;A61B2017/00199;;A61B2017/00221;;A61M5/31568;;A61M5/425;;A61M2205/52</t>
  </si>
  <si>
    <t>A61B17/132;;A61B34/00;;A61M5/315;;A61M5/42</t>
  </si>
  <si>
    <t>https://lens.org/151-124-578-456-144</t>
  </si>
  <si>
    <t>091-020-060-999-899</t>
  </si>
  <si>
    <t>EP 2943568 B1</t>
  </si>
  <si>
    <t>TAKEDA PHARMACEUTICAL COMPANY LIMITED, OSAKA-S, JP (2021-08-13);;SHIRE HUMAN GENETIC THERAPIES, INC. (2016-11-23);;TAKEDA PHARMACEUTICAL COMPANY LIMITED (2021-08-03)</t>
  </si>
  <si>
    <t>C12N9/16;;A61P25/00;;A61P25/28;;C12M47/12;;C12Y301/06001;;C12N9/16;;A61K38/465;;C12M47/12;;C12Y301/06001;;C12Y301/06008</t>
  </si>
  <si>
    <t>https://lens.org/091-020-060-999-899</t>
  </si>
  <si>
    <t>190-428-030-467-195</t>
  </si>
  <si>
    <t>US 10415039 B2</t>
  </si>
  <si>
    <t>SHIRE HUMAN GENETIC THERAPIES;;UNIV OF KENTUCKY</t>
  </si>
  <si>
    <t>UNIVERSITY OF KENTUCKY (2013-03-19);;SHIRE HUMAN GENETIC THERAPIES INC (2014-07-14);;TAKEDA PHARMACEUTICAL COMPANY LIMITED (2021-02-26)</t>
  </si>
  <si>
    <t>Antisense oligonucleotide modulators of serotonin receptor 2C and uses thereof</t>
  </si>
  <si>
    <t>C12N15/1138;;C12N2310/11;;C12N2310/315;;C12N2310/321;;C12N2310/322;;C12N2310/3231;;C12N2310/3521;;C12N2320/33;;C12N15/1138;;C12N2310/11;;C12N2310/315;;C12N2310/321;;C12N2310/322;;C12N2310/3231;;C12N2310/3521;;C12N2320/33</t>
  </si>
  <si>
    <t>C12N15/11;;C12N15/113</t>
  </si>
  <si>
    <t>https://lens.org/190-428-030-467-195</t>
  </si>
  <si>
    <t>143-278-790-125-344</t>
  </si>
  <si>
    <t>EP 2830642 B1</t>
  </si>
  <si>
    <t>SHIRE HUMAN GENETIC THERAPIES, INC. (2016-11-23)</t>
  </si>
  <si>
    <t>SUBCUTANEOUS ADMINISTRATION OF IDURONATE- 2-SULFATASE</t>
  </si>
  <si>
    <t>A61K38/465;;A61K38/46;;A61P25/00;;C12Y301/06013;;A61K38/465;;A61K9/0019;;A61K38/46;;C12Y301/06013</t>
  </si>
  <si>
    <t>A61K38/00;;A61K38/43;;A61P25/00</t>
  </si>
  <si>
    <t>https://lens.org/143-278-790-125-344</t>
  </si>
  <si>
    <t>175-884-316-842-03X</t>
  </si>
  <si>
    <t>US 2019/0250070 A1</t>
  </si>
  <si>
    <t>SHIRE HUMAN GENETIC THERAPIES INC (2018-05-03);;TAKEDA PHARMACEUTICAL COMPANY LIMITED (2021-02-26)</t>
  </si>
  <si>
    <t>SYRINGE SCREENING DEVICE</t>
  </si>
  <si>
    <t>A61M5/20;;A61M5/281;;A61M2205/583;;G01M99/00;;G01M99/00;;A61M5/281;;A61M2209/02</t>
  </si>
  <si>
    <t>G01M99/00;;A61M5/28</t>
  </si>
  <si>
    <t>https://lens.org/175-884-316-842-03X</t>
  </si>
  <si>
    <t>114-233-313-335-989</t>
  </si>
  <si>
    <t>US 10245229 B2</t>
  </si>
  <si>
    <t>SHIRE HUMAN GENETIC THERAPIES;;ETHRIS GMBH;;TRANSLATE BIO INC</t>
  </si>
  <si>
    <t>SHIRE HUMAN GENETIC THERAPIES INC (2015-01-21);;ETHRIS GMBH (2013-08-19);;TRANSLATE BIO INC (2016-12-16)</t>
  </si>
  <si>
    <t>Pulmonary delivery of mRNA to non-lung target cells</t>
  </si>
  <si>
    <t>C12N15/88;;A61K31/7088;;A61K48/0075;;A61K2039/53;;A61K2039/544;;A61K2039/6018;;A61P43/00;;A61K9/0073;;A61K31/7088;;A61K48/0075;;A61M15/009;;A61M16/14;;C12N15/88</t>
  </si>
  <si>
    <t>A61K9/127;;A61K9/00;;A61K31/7088;;A61K48/00;;A61M15/00;;A61M16/14;;C12N15/88</t>
  </si>
  <si>
    <t>https://lens.org/114-233-313-335-989</t>
  </si>
  <si>
    <t>043-212-919-566-291</t>
  </si>
  <si>
    <t>US 2019/0085095 A1</t>
  </si>
  <si>
    <t>SHIRE HUMAN GENETIC THERAPIES INC (2019-05-10)</t>
  </si>
  <si>
    <t>ANTI-C5 ANTIBODIES WITH ENHANCED PH SWITCH</t>
  </si>
  <si>
    <t>C07K16/18;;A61K2039/505;;A61P7/04;;C07K16/40;;C07K2317/21;;C07K2317/33;;C07K2317/52;;C07K2317/524;;C07K2317/565;;C07K2317/71;;C07K2317/72;;C07K2317/76;;C07K2317/90;;C07K2317/92;;C12N15/62;;C07K16/36;;A61K2039/505;;A61P7/04;;C07K16/18;;C07K16/40;;C07K2317/21;;C07K2317/33;;C07K2317/52;;C07K2317/524;;C07K2317/565;;C07K2317/71;;C07K2317/72;;C07K2317/76;;C07K2317/90;;C07K2317/92;;C07K2317/94;;C12N15/62</t>
  </si>
  <si>
    <t>C07K16/36;;A61P7/04;;C07K16/40;;C12N15/62</t>
  </si>
  <si>
    <t>https://lens.org/043-212-919-566-291</t>
  </si>
  <si>
    <t>057-836-987-976-456</t>
  </si>
  <si>
    <t>EP 3172226 B1</t>
  </si>
  <si>
    <t>SHIRE HUMAN GENETIC THERAPIES;;FOND TELETHON</t>
  </si>
  <si>
    <t>TAKEDA PHARMACEUTICAL COMPANY LIMITED, OSAKA-S, JP (2021-09-06);;SHIRE HUMAN GENETIC THERAPIES, INC. (2018-09-26);;FONDAZIONE TELETHON, IT (2021-09-06);;FONDAZIONE TELETHON (2018-09-26);;TAKEDA PHARMACEUTICAL COMPANY LIMITED (2021-10-18)</t>
  </si>
  <si>
    <t>CRYSTAL STRUCTURE OF HUMAN FOUR-PHOSPHATE ADAPTOR PROTEIN 2 GLYCOLIPID TRANSFER PROTEIN LIKE DOMAIN</t>
  </si>
  <si>
    <t>C07K14/47;;C07K2319/00;;C12N9/2462;;G16B15/00;;G16B15/20;;C12N9/2462;;C07K14/47;;C07K2299/00;;C07K2319/00;;C12Y302/01017;;G16B5/00;;G16B15/00;;G16B15/20;;C12N9/2462;;C07K14/47;;C07K2299/00;;C07K2319/00;;C12Y302/01017;;G01N33/6803;;G16B5/00;;G16B15/00;;G16B15/20</t>
  </si>
  <si>
    <t>C07K14/47;;G16B15/20</t>
  </si>
  <si>
    <t>https://lens.org/057-836-987-976-456</t>
  </si>
  <si>
    <t>165-459-795-447-706</t>
  </si>
  <si>
    <t>EP 2874649 B1</t>
  </si>
  <si>
    <t>CELLS FOR PRODUCING RECOMBINANT IDURONATE-2-SULFATASE</t>
  </si>
  <si>
    <t>C12N9/16;;C12N15/85;;C12N2800/107;;C12Y301/06013;;A61K38/46;;C12N9/0051;;C12N9/16;;C12N15/85;;C12N2800/107;;C12P21/06;;C12Y108/99;;C12Y301/06013;;C12N9/16;;C12Y301/06013;;C12N9/16;;A61K38/46;;C12N9/0051;;C12N15/85;;C12N2800/107;;C12P21/06;;C12Y108/99;;C12Y301/06013;;C12N15/85;;A61K38/46;;C12N9/0051;;C12N9/16;;C12P21/06;;C12Y108/99;;C12Y301/06013;;C12N9/16;;C12Y301/06013</t>
  </si>
  <si>
    <t>A61K38/46;;C07K1/00;;C12P21/06</t>
  </si>
  <si>
    <t>https://lens.org/165-459-795-447-706</t>
  </si>
  <si>
    <t>178-511-896-664-459</t>
  </si>
  <si>
    <t>US 2018/0362604 A1</t>
  </si>
  <si>
    <t>SHIRE HUMAN GENETIC THERAPIES INC (2018-08-07);;TAKEDA PHARMACEUTICAL COMPANY LIMITED (2021-02-26)</t>
  </si>
  <si>
    <t>Recombinant Follistatin-FC Fusion Proteins and Use in Treating Duchenne Muscular Dystrophy</t>
  </si>
  <si>
    <t>C07K14/4708;;A61K9/0019;;A61K38/1709;;A61K45/06;;A61P21/00;;C07K14/4703;;C07K2319/30;;C07K19/00;;A61K9/0019;;A61K38/1709;;A61K45/06;;A61P21/00;;C07K14/4703;;C07K14/4708;;C07K2319/30</t>
  </si>
  <si>
    <t>C07K14/47;;A61P21/00</t>
  </si>
  <si>
    <t>https://lens.org/178-511-896-664-459</t>
  </si>
  <si>
    <t>168-186-077-884-344</t>
  </si>
  <si>
    <t>EP 2863941 B1</t>
  </si>
  <si>
    <t>TAKEDA PHARMACEUTICAL COMPANY LIMITED, OSAKA-S, JP (2021-08-13);;SHIRE HUMAN GENETIC THERAPIES, INC. (2016-11-23)</t>
  </si>
  <si>
    <t>VELAGLUCERASE FOR TREATING TYPE III GAUCHER DISEASE</t>
  </si>
  <si>
    <t>A61K38/47;;A61K9/0019;;A61P1/16;;A61P3/00;;A61P7/00;;A61P7/06;;A61P9/00;;A61P19/00;;A61P19/08;;A61P25/00;;A61P25/28;;A61P35/00;;A61P43/00;;C12Y302/01045;;G01N33/6854;;G01N2333/924;;G01N2800/044;;G01N2800/52;;A61K38/47;;A61K9/0019;;A61P25/00;;G01N33/564;;G01N33/573;;A61K38/47;;A61K9/0019;;C12Y302/01045;;G01N33/538;;G01N33/6854;;G01N2333/924;;G01N2800/044;;G01N2800/52</t>
  </si>
  <si>
    <t>A61K38/47;;A61K9/00;;A61P3/00;;A61P43/00;;G01N33/538;;G01N33/68</t>
  </si>
  <si>
    <t>https://lens.org/168-186-077-884-344</t>
  </si>
  <si>
    <t>179-209-098-202-128</t>
  </si>
  <si>
    <t>US 2018/0333473 A1</t>
  </si>
  <si>
    <t>Conjugated C1 Esterase Inhibitor and Uses Thereof</t>
  </si>
  <si>
    <t>A61K38/14;;A61K38/55;;A61K47/183;;A61K47/60;;A61K47/61;;C07K14/00;;C07K16/24;;C07K16/28;;A61K38/55;;A61K38/14;;A61K47/60;;A61K47/61;;A61P9/00;;A61P9/10;;A61P17/00;;A61P17/02;;A61P19/00;;A61P19/08;;A61P21/04;;A61P25/00;;A61P25/02;;A61P25/16;;A61P37/02;;A61K38/55;;A61K9/08;;A61K9/19;;A61K38/14;;A61K47/183;;A61K47/60;;A61K47/61;;A61P9/00;;A61P9/10;;A61P17/00;;A61P17/02;;A61P19/00;;A61P19/08;;A61P21/04;;A61P25/00;;A61P25/02;;A61P25/16;;A61P37/02;;C07K14/00;;C07K16/24;;C07K16/28;;A61K47/60;;A61K9/08;;A61K9/19;;A61K38/14;;A61K38/55;;A61K47/61;;C07K16/24;;C07K16/28;;A61K38/55;;A61K38/14;;A61K47/183;;A61K47/60;;A61K47/61;;C07K14/00;;C07K16/24;;C07K16/28</t>
  </si>
  <si>
    <t>A61K38/55;;A61K38/14;;A61K47/18;;A61K47/60;;A61K47/61;;C07K14/00;;C07K16/24;;C07K16/28</t>
  </si>
  <si>
    <t>https://lens.org/179-209-098-202-128</t>
  </si>
  <si>
    <t>085-953-318-198-19X</t>
  </si>
  <si>
    <t>US 2018/0334493 A1</t>
  </si>
  <si>
    <t>SHIRE HUMAN GENETIC THERAPIES INC (2019-02-05);;TAKEDA PHARMACEUTICAL COMPANY LIMITED (2021-02-26)</t>
  </si>
  <si>
    <t>RECOMBINANT HUMAN C1 ESTERASE INHIBITOR AND USES THEREOF</t>
  </si>
  <si>
    <t>C07K14/8121;;A61K38/00;;A61K38/57;;A61P7/10;;A61P9/00;;A61P9/10;;A61P17/02;;A61P21/04;;A61P25/00;;A61P25/16;;A61P27/02;;A61P37/06;;C07K14/8121;;A61K9/19;;A61K38/00;;A61K38/57;;C07K1/18;;C07K14/76;;C07K2319/30;;C07K2319/31;;C07K2319/91</t>
  </si>
  <si>
    <t>C07K14/81;;A61K9/19;;C07K1/18;;C07K14/76</t>
  </si>
  <si>
    <t>https://lens.org/085-953-318-198-19X</t>
  </si>
  <si>
    <t>155-634-735-696-80X</t>
  </si>
  <si>
    <t>US 2018/0215788 A1</t>
  </si>
  <si>
    <t>SHIRE HUMAN GENETIC THERAPIES INC (2018-05-02);;TAKEDA PHARMACEUTICAL COMPANY LIMITED (2021-02-26)</t>
  </si>
  <si>
    <t>Compounds and Compositions for the Treatment of Ophthalmic Disorders</t>
  </si>
  <si>
    <t>A61K38/08;;A61K31/215;;A61K31/216;;A61K31/5377;;A61P27/02;;A61P27/06;;C07K7/06;;A61K9/0048;;A61K31/215;;A61K31/216;;A61K31/5377;;A61K38/08;;A61P27/02;;A61P27/06</t>
  </si>
  <si>
    <t>C07K7/06;;A61K9/00;;A61K31/216;;A61K31/5377;;A61K38/08;;A61P27/02</t>
  </si>
  <si>
    <t>https://lens.org/155-634-735-696-80X</t>
  </si>
  <si>
    <t>174-412-010-631-545</t>
  </si>
  <si>
    <t>US 10023901 B2</t>
  </si>
  <si>
    <t>SHIRE HUMAN GENETIC THERAPIES INC (2014-07-18);;TAKEDA PHARMACEUTICAL COMPANY LIMITED (2022-07-11)</t>
  </si>
  <si>
    <t>Characterization of lysosomal enzymes by capillary zone electrophoresis</t>
  </si>
  <si>
    <t>C12Q1/44;;A61K38/00;;A61P3/00;;C12N9/16;;C12Y301/06014;;G01N33/6803;;C12Q1/44;;A61K38/00;;C12N9/16;;C12Q3/00;;C12Y301/06014;;G01N27/44739;;G01N27/44791;;G01N33/6803</t>
  </si>
  <si>
    <t>C12N9/16;;A61K38/00;;C12Q1/44;;C12Q3/00;;G01N27/447;;G01N33/68</t>
  </si>
  <si>
    <t>https://lens.org/174-412-010-631-545</t>
  </si>
  <si>
    <t>111-340-231-916-768</t>
  </si>
  <si>
    <t>EP 2776553 B1</t>
  </si>
  <si>
    <t>BIOMARKERS FOR SANFILIPPO SYNDROME AND USES THEREOF</t>
  </si>
  <si>
    <t>C12Q1/6883;;C12Q2600/106;;C12Q2600/118;;C12Q2600/158;;G01N33/6893;;G01N2800/04;;A61K38/46;;A61P17/14;;A61P19/00;;A61P21/00;;A61P25/00;;A61P25/14;;A61P25/28;;C12Q1/6883;;C12Q2600/118;;C12Q2600/158;;G01N2333/4753;;G01N2440/14;;G01N2800/2814;;G01N2800/2835;;G01N2800/52;;G01N33/6893;;A61K38/46;;C12Q1/6883;;C12Q2600/118;;C12Q2600/158;;G01N2333/4753;;G01N2400/10;;G01N2440/14;;G01N2800/04;;G01N2800/2814;;G01N2800/2835;;G01N2800/52</t>
  </si>
  <si>
    <t>C12M1/34</t>
  </si>
  <si>
    <t>https://lens.org/111-340-231-916-768</t>
  </si>
  <si>
    <t>106-723-520-696-13X</t>
  </si>
  <si>
    <t>US 2018/0179275 A1</t>
  </si>
  <si>
    <t>SHIRE HUMAN GENETIC THERAPIES INC (2013-07-18)</t>
  </si>
  <si>
    <t>ANTI-CCL2 ANTIBODIES FOR TREATMENT OF SCLERODERMA</t>
  </si>
  <si>
    <t>C07K16/24;;A61K2039/505;;C07K2317/92;;C07K16/24;;A61K2039/505;;A61P1/00;;A61P1/04;;A61P1/16;;A61P1/18;;A61P3/10;;A61P5/00;;A61P5/06;;A61P9/00;;A61P9/02;;A61P9/10;;A61P11/00;;A61P11/06;;A61P13/02;;A61P13/08;;A61P13/12;;A61P17/00;;A61P17/06;;A61P19/02;;A61P19/04;;A61P19/10;;A61P21/00;;A61P25/00;;A61P25/02;;A61P25/20;;A61P25/28;;A61P27/02;;A61P27/16;;A61P29/00;;A61P31/18;;A61P37/00;;A61P37/02;;A61P37/06;;A61P43/00;;C07K2317/92;;C07K16/24;;A61K2039/505;;C07K2317/21;;C07K2317/24;;C07K2317/51;;C07K2317/515;;C07K2317/56;;C07K2317/92</t>
  </si>
  <si>
    <t>C07K16/24;;A61K39/00</t>
  </si>
  <si>
    <t>https://lens.org/106-723-520-696-13X</t>
  </si>
  <si>
    <t>030-455-712-474-968</t>
  </si>
  <si>
    <t>US 9932568 B2</t>
  </si>
  <si>
    <t>SHIRE HUMAN GENETIC THERAPIES INC (2013-12-05)</t>
  </si>
  <si>
    <t>Peptide linkers for polypeptide compositions and methods for using same</t>
  </si>
  <si>
    <t>A61K9/0019;;A61K38/30;;A61K38/465;;A61K38/47;;C07K7/08;;C07K14/65;;C07K2319/01;;C12Y302/0105;;A61K47/65;;C12N9/2402;;A61P3/00;;A61K38/00;;C07K14/00;;A61K9/0019;;A61K38/30;;A61K38/465;;A61K38/47;;C07K7/08;;C07K14/65;;C07K2319/01;;C12Y302/0105;;A61K47/65;;A61K38/00;;C07K2319/35;;C07K2319/74;;C07K14/00;;C12N9/2402</t>
  </si>
  <si>
    <t>C12N9/24;;A61K9/00;;A61K38/00;;A61K38/30;;A61K38/46;;A61K38/47;;A61K47/65;;C07K7/08;;C07K14/00;;C07K14/65</t>
  </si>
  <si>
    <t>https://lens.org/030-455-712-474-968</t>
  </si>
  <si>
    <t>160-261-714-725-482</t>
  </si>
  <si>
    <t>US 9932377 B2</t>
  </si>
  <si>
    <t>SHIRE HUMAN GENETIC THERAPIES INC (2012-07-16);;TAKEDA PHARMACEUTICAL COMPANY LIMITED (2021-02-26)</t>
  </si>
  <si>
    <t>Mitochondrial targeting and therapeutic use thereof</t>
  </si>
  <si>
    <t>A61K38/1709;;A01K2217/075;;A01K2227/105;;A01K2267/0306;;A61K38/00;;A61K47/645;;A61K49/0008;;C07K14/47;;A01K2217/075;;A01K2227/105;;A01K2267/0306;;A61K38/00;;A61K38/1709;;A61K47/645;;A61K49/0008;;C07K7/08;;C07K2319/07;;C07K2319/10</t>
  </si>
  <si>
    <t>C07K14/47;;A61K38/00;;A61K38/17;;A61K47/64;;A61K49/00;;C07K7/08</t>
  </si>
  <si>
    <t>https://lens.org/160-261-714-725-482</t>
  </si>
  <si>
    <t>074-399-051-815-325</t>
  </si>
  <si>
    <t>US 2018/0036386 A1</t>
  </si>
  <si>
    <t>SHIRE HUMAN GENETIC THERAPIES INC (2014-01-24)</t>
  </si>
  <si>
    <t>METHODS AND COMPOSITIONS FOR INTRATHECALLY ADMINISTERED TREATMENT OF MUCUPOLYSACCHARIDOSIS TYPE IIIA</t>
  </si>
  <si>
    <t>A61K38/465;;A61P43/00;;C12Y301/06013;;A61K38/465;;A61K9/0019;;A61K9/0085;;C12Y301/06013</t>
  </si>
  <si>
    <t>A61K38/46;;A61K9/00</t>
  </si>
  <si>
    <t>https://lens.org/074-399-051-815-325</t>
  </si>
  <si>
    <t>144-442-393-092-380</t>
  </si>
  <si>
    <t>US 2018/0009904 A1</t>
  </si>
  <si>
    <t>SHIRE HUMAN GENETIC THERAPIES INC (2017-06-22)</t>
  </si>
  <si>
    <t>LYSOSOMAL TARGETING AND USES THEREOF</t>
  </si>
  <si>
    <t>C07K16/40;;A61K38/00;;C07K2317/21;;C07K2317/622;;C07K2317/76;;C07K2319/00;;C07K2319/33;;C07K2319/50;;C07K2319/70;;C12N9/2402;;C12N9/2405;;C12N9/2408;;C12Y302/0102;;C12Y302/0105;;C12Y304/21061;;C07K16/40;;A61K38/00;;C07K2317/21;;C07K2317/24;;C07K2317/622;;C07K2317/76;;C07K2317/94;;C07K2319/00;;C07K2319/06;;C07K2319/33;;C07K2319/50;;C07K2319/70;;C12N9/2402;;C12N9/2405;;C12N9/2408;;C12Y302/0102;;C12Y302/0105;;C12Y304/21061</t>
  </si>
  <si>
    <t>C07K16/40;;A61K38/00;;C12N9/24;;C12N9/26</t>
  </si>
  <si>
    <t>https://lens.org/144-442-393-092-380</t>
  </si>
  <si>
    <t>090-229-692-250-799</t>
  </si>
  <si>
    <t>US 2017/0362632 A1</t>
  </si>
  <si>
    <t>SHIRE HUMAN GENETIC THERAPIES INC (2017-08-01)</t>
  </si>
  <si>
    <t>ENZYMATIC ACTIVITY ASSAYS FOR I2S</t>
  </si>
  <si>
    <t>C12Q1/34;;G01N2333/916;;C12Q1/34;;G01N2333/916</t>
  </si>
  <si>
    <t>C12Q1/34</t>
  </si>
  <si>
    <t>https://lens.org/090-229-692-250-799</t>
  </si>
  <si>
    <t>159-325-069-011-173</t>
  </si>
  <si>
    <t>US 2017/0267986 A1</t>
  </si>
  <si>
    <t>GENERATION OF MANNOSE-6-PHOSPHATE CONTAINING RECOMBINANT ALPHA-N-ACETYL GLUCOSAMINIDASE</t>
  </si>
  <si>
    <t>C12N9/2402;;A61K38/47;;C12P21/005;;C12Y302/0105;;C12N9/2402;;A61K38/47;;C12P21/005;;C12Y302/0105</t>
  </si>
  <si>
    <t>C12N9/24;;A61K38/47</t>
  </si>
  <si>
    <t>https://lens.org/159-325-069-011-173</t>
  </si>
  <si>
    <t>127-840-001-327-433</t>
  </si>
  <si>
    <t>US 2017/0246319 A1</t>
  </si>
  <si>
    <t>SHIRE HUMAN GENETIC THERAPIES INC (2015-09-18);;TRANSLATE BIO INC (2016-12-16)</t>
  </si>
  <si>
    <t>BIODEGRADABLE LIPIDS FOR DELIVERY OF NUCLEIC ACIDS</t>
  </si>
  <si>
    <t>C07D319/12;;A61K38/1816;;A61K38/4846;;A61K48/0025;;A61K48/005;;C12N15/111;;C12N2310/11;;C12N2310/14;;C12N2310/141;;C12N2320/32;;C12Y304/21022;;A61K48/0033;;A61K9/1272;;A61K38/1816;;A61K38/4846;;A61K48/0025;;A61K48/0041;;A61K48/005;;C07D319/12;;C12N15/111;;C12N2310/11;;C12N2310/14;;C12N2310/141;;C12N2320/32;;C12Y304/21022</t>
  </si>
  <si>
    <t>A61K48/00;;A61K9/127;;A61K38/18;;A61K38/48;;C07D319/12</t>
  </si>
  <si>
    <t>https://lens.org/127-840-001-327-433</t>
  </si>
  <si>
    <t>069-177-451-389-498</t>
  </si>
  <si>
    <t>US 2017/0240501 A1</t>
  </si>
  <si>
    <t>SHIRE HUMAN GENETIC THERAPIES INC (2013-05-11);;TRANSLATE BIO INC (2016-12-16)</t>
  </si>
  <si>
    <t>IONIZABLE CATIONIC LIPIDS</t>
  </si>
  <si>
    <t>A61K9/1271;;A61K9/1272;;C07C211/21;;A61K38/1816;;A61K38/47;;C12Y302/01023;;A61P43/00;;A61K9/1271;;A61K9/1272;;C07C211/21;;C12N15/85;;A61K9/5015;;A61K38/1816;;A61K38/47;;C12Y302/01023</t>
  </si>
  <si>
    <t>C07C211/21;;A61K9/50;;A61K38/18;;A61K38/47;;C12N15/113</t>
  </si>
  <si>
    <t>https://lens.org/069-177-451-389-498</t>
  </si>
  <si>
    <t>033-231-410-047-262</t>
  </si>
  <si>
    <t>US 2017/0219566 A1</t>
  </si>
  <si>
    <t>SHIRE HUMAN GENETIC THERAPIES INC (2014-04-14);;TAKEDA PHARMACEUTICAL COMPANY LIMITED (2021-02-26)</t>
  </si>
  <si>
    <t>SUBSTRATE CLEARANCE ASSAYS FOR LYSOSOMAL ENZYMES</t>
  </si>
  <si>
    <t>G01N33/6893;;C12N9/16;;C12Y301/06;;C12Y301/06013;;G01N2800/7066;;G01N33/5038;;C12N9/16;;C12Q1/44;;C12Y301/06;;C12Y301/06013;;G01N33/60;;G01N33/6893;;G01N2333/916;;G01N2500/10;;G01N2800/7066</t>
  </si>
  <si>
    <t>G01N33/50;;C12N9/16;;C12Q1/44;;G01N33/60</t>
  </si>
  <si>
    <t>https://lens.org/033-231-410-047-262</t>
  </si>
  <si>
    <t>079-472-263-479-837</t>
  </si>
  <si>
    <t>US 9713626 B2</t>
  </si>
  <si>
    <t>SHIRE HUMAN GENETIC THERAPIES;;ETHRIS GMBH;;RANA THERAPEUTICS INC</t>
  </si>
  <si>
    <t>SHIRE HUMAN GENETIC THERAPIES INC (2014-07-14);;ETHRIS GMBH (2014-07-16);;TRANSLATE BIO INC (2016-12-16)</t>
  </si>
  <si>
    <t>CFTR mRNA compositions and related methods and uses</t>
  </si>
  <si>
    <t>A61K31/7105;;C07K14/4712;;C12N15/88;;A61K48/005;;A61K31/7115;;A61K9/0078;;A61K9/5123;;A61K47/6935;;C12N15/63;;C07H21/02;;C07K14/705;;A61K31/713;;C12N9/14;;C12Y306/03049;;A61P11/00;;A61P43/00;;A61K9/0073;;A61K9/0078;;A61K9/127;;A61K9/1271;;A61K9/5123;;A61K31/7105;;A61K31/7115;;A61K31/713;;A61K47/6935;;A61K48/00;;A61K48/005;;C07H21/02;;C07K14/4712;;C07K14/705;;C12N9/14;;C12N15/63;;C12N15/88;;C12Y306/03049;;A61P11/00;;A61P43/00;;C07H21/04;;A61K47/543;;A61K47/6935;;A61K9/5123;;A61K9/0078;;A61K31/7105;;A61K31/7115;;A61K48/005;;C07K14/4712;;C12N15/88;;C07K14/705;;C12N15/63;;C12N15/63;;C07H21/02;;A61K9/127;;A61K31/7105;;C07K14/4712;;C12N15/88;;A61K48/005;;A61K31/7115;;A61K9/0078;;A61K9/5123;;A61K47/6935;;C07H21/04;;C07K14/705;;A61K9/0073;;A61K9/1271;;A61K31/713;;C12N9/14;;C12Y306/03049;;A61K48/00</t>
  </si>
  <si>
    <t>A61K9/127;;A61K9/00;;A61K9/51;;A61K31/7105;;A61K31/7115;;A61K31/713;;A61K48/00;;C07H21/02;;C07H21/04;;C07K14/47;;C07K14/705;;C12N9/14;;C12N15/63;;C12N15/88</t>
  </si>
  <si>
    <t>https://lens.org/079-472-263-479-837</t>
  </si>
  <si>
    <t>110-834-561-041-208</t>
  </si>
  <si>
    <t>US 2017/0202929 A1</t>
  </si>
  <si>
    <t>SHIRE HUMAN GENETIC THERAPIES INC (2015-09-24)</t>
  </si>
  <si>
    <t>LIPOPROTEIN LIPASE FOR TREATMENT OF HYPERTRIGLYCERIDEMIC-RELATED CONDITIONS INCLUDING ACUTE PANCREATITIS</t>
  </si>
  <si>
    <t>A61K38/465;;A61P3/06;;C12N9/20;;C12Y301/01034;;A61K38/465;;A61K9/0019;;A61K9/08;;A61K9/19;;C12N9/20;;C12Y301/01034</t>
  </si>
  <si>
    <t>A61K38/46;;A61K9/00;;A61K9/08;;A61K9/19;;C12N9/20</t>
  </si>
  <si>
    <t>https://lens.org/110-834-561-041-208</t>
  </si>
  <si>
    <t>093-742-112-489-987</t>
  </si>
  <si>
    <t>US 9676837 B2</t>
  </si>
  <si>
    <t>VISWANATHAN MALINI;;DESOUZA MARK;;SHIRE HUMAN GENETIC THERAPIES</t>
  </si>
  <si>
    <t>SHIRE HUMAN GENETIC THERAPIES INC (2014-09-10);;PHOENIX TISSUE REPAIR INC (2017-07-21)</t>
  </si>
  <si>
    <t>Collagen 7 and related methods</t>
  </si>
  <si>
    <t>C07K14/78;;A61K38/00;;C12N9/1081;;C12N9/485;;C12N15/85;;C12N2800/22;;C12P21/02;;C12Y304/13009;;C07K14/78;;A61K38/00;;C12N9/0071;;C12N9/1048;;C12N9/1081;;C12N9/485;;C12N15/85;;C12N2800/22;;C12P21/02;;C12Y114/11002;;C12Y304/13009</t>
  </si>
  <si>
    <t>C07K14/78;;A61K38/00;;C12N9/02;;C12N9/10;;C12N9/48;;C12N15/85;;C12P21/02</t>
  </si>
  <si>
    <t>https://lens.org/093-742-112-489-987</t>
  </si>
  <si>
    <t>133-755-244-906-959</t>
  </si>
  <si>
    <t>US 2017/0159093 A1</t>
  </si>
  <si>
    <t>SHIRE HUMAN GENETIC THERAPIES INC (2016-12-12);;TRANSLATE BIO INC (2016-12-16)</t>
  </si>
  <si>
    <t>MODIFICATION OF RNA-RELATED ENZYMES FOR ENHANCED PRODUCTION</t>
  </si>
  <si>
    <t>C12P19/34;;C12N9/1241;;C12N15/70;;C12Y207/0705;;C07K2319/95;;C07K2319/35;;C12N9/1241;;C07K2319/35;;C12Y207/0705;;C12N15/62;;C12N9/1241;;C07K2319/35;;C12Y207/0705;;C07K14/47;;C07K2319/95;;C12N15/62;;C12P19/34</t>
  </si>
  <si>
    <t>C12P19/34;;C07K14/47;;C12N9/12;;C12N15/62</t>
  </si>
  <si>
    <t>https://lens.org/133-755-244-906-959</t>
  </si>
  <si>
    <t>186-682-178-223-735</t>
  </si>
  <si>
    <t>US 2017/0143848 A1</t>
  </si>
  <si>
    <t>SHIRE HUMAN GENETIC THERAPIES INC (2015-06-02);;TRANSLATE BIO INC (2016-12-16)</t>
  </si>
  <si>
    <t>MRNA THERAPY FOR THE TREATMENT OF OCULAR DISEASES</t>
  </si>
  <si>
    <t>A61K48/005;;A61K48/0075;;A61K48/0066;;A61K9/0048;;A61K9/127;;A61K9/51;;A61K48/005;;A61K48/0075</t>
  </si>
  <si>
    <t>A61K48/00;;A61K9/00;;A61K9/127;;A61K9/51</t>
  </si>
  <si>
    <t>https://lens.org/186-682-178-223-735</t>
  </si>
  <si>
    <t>058-296-386-485-856</t>
  </si>
  <si>
    <t>US 9629804 B2</t>
  </si>
  <si>
    <t>SHIRE HUMAN GENETIC THERAPIES;;MASSACHUSETTS INST TECHNOLOGY</t>
  </si>
  <si>
    <t>MASSACHUSETTS INSTITUTE OF TECHNOLOGY (2015-01-23);;SHIRE HUMAN GENETIC THERAPIES INC (2015-01-30);;TRANSLATE BIO INC (2016-12-16)</t>
  </si>
  <si>
    <t>Lipid formulations for delivery of messenger RNA</t>
  </si>
  <si>
    <t>A61K9/0019;;A61K9/0073;;A61K9/12;;A61K9/1272;;A61K38/1709;;A61K38/177;;A61K38/4846;;A61K38/53;;A61K48/0033;;A61K48/005;;A61P7/04;;A61P25/02;;A61K48/0033;;A61K9/0019;;A61K9/0073;;A61K9/12;;A61K9/1272;;A61K38/1709;;A61K38/177;;A61K38/4846;;A61K38/53;;A61K48/005;;A61K9/1272;;A61K38/1709;;A61K38/177;;A61K38/4846;;A61K38/53;;A61K48/00;;A61K48/0033;;A61K48/005</t>
  </si>
  <si>
    <t>A61K31/497;;A61K9/127;;A61K38/17;;A61K38/48;;A61K38/53;;A61K48/00</t>
  </si>
  <si>
    <t>https://lens.org/058-296-386-485-856</t>
  </si>
  <si>
    <t>029-371-109-187-119</t>
  </si>
  <si>
    <t>US 9597413 B2</t>
  </si>
  <si>
    <t>SHIRE HUMAN GENETIC THERAPIES INC (2014-07-09);;TRANSLATE BIO INC (2016-12-16)</t>
  </si>
  <si>
    <t>Pulmonary delivery of mRNA</t>
  </si>
  <si>
    <t>A61K38/1816;;A61K38/57;;A61K48/00;;A61K31/713;;A61K9/0019;;A61K9/0073;;A61K9/1271;;A61K9/1272;;C07K14/505;;C07K14/8125;;C12N9/2465;;C12N9/644;;C12N15/52;;C12Y302/01022;;C12Y304/21022;;A61P1/16;;A61P3/00;;A61P5/00;;A61P7/06;;C12N15/88;;A61K48/0041;;A61K48/005;;A61K48/0083;;A61K9/0019;;A61K9/0073;;A61K9/1271;;A61K9/1272;;A61K9/5123;;A61K31/713;;A61K38/1816;;A61K38/47;;A61K38/4846;;A61K38/57;;A61K48/00;;A61K48/0008;;A61K48/0075;;A61K48/0091;;A61P1/16;;A61P3/00;;A61P5/00;;A61P7/06;;C07K14/505;;C07K14/8125;;C12N9/2465;;C12N9/644;;C12N15/52;;C12N15/85;;C12Y302/01022;;C12Y304/21022;;A61P43/00;;A61K48/0008;;A61K9/1271;;A61K38/1816;;A61K38/47;;A61K38/4846;;A61K38/57;;A61K48/00;;A61K31/713;;A61K9/0019;;A61K9/0073;;A61K9/1271;;A61K9/1272;;C07K14/505;;C07K14/8125;;C12N9/2465;;C12N9/644;;C12N15/52;;C12N15/85;;A61K48/0008;;A61K9/5123;;A61K48/0075;;A61K48/0091;;C12Y302/01022;;C12Y304/21022</t>
  </si>
  <si>
    <t>C12N15/85;;A61K9/00;;A61K9/127;;A61K31/713;;A61K38/18;;A61K38/47;;A61K38/48;;A61K38/57;;A61K48/00;;C07K14/505;;C07K14/81;;C12N9/40;;C12N9/64;;C12N15/52</t>
  </si>
  <si>
    <t>https://lens.org/029-371-109-187-119</t>
  </si>
  <si>
    <t>072-028-170-621-915</t>
  </si>
  <si>
    <t>US 2017/0073648 A1</t>
  </si>
  <si>
    <t>SHIRE HUMAN GENETIC THERAPIES INC (2014-11-06);;TRANSLATE BIO INC (2016-12-16)</t>
  </si>
  <si>
    <t>MRNA THERAPY FOR PHENYLKETONURIA</t>
  </si>
  <si>
    <t>A61K48/005;;A61P3/00;;A61P13/02;;A61P25/00;;A61K48/0033;;A61K48/005;;A61K38/44;;C12N9/0071;;C12Y114/16001;;A61P13/02;;A61P25/00;;A61P3/00;;A61K38/44;;A61K9/1272;;C12N9/0071;;A61K48/00;;C12Y114/16001;;A61K48/0033;;A61K48/005</t>
  </si>
  <si>
    <t>C12N9/02;;A61K9/127</t>
  </si>
  <si>
    <t>https://lens.org/072-028-170-621-915</t>
  </si>
  <si>
    <t>063-572-212-715-956</t>
  </si>
  <si>
    <t>US 9562904 B2</t>
  </si>
  <si>
    <t>SHIRE HUMAN GENETIC THERAPIES INC (2015-07-01);;TAKEDA PHARMACEUTICAL COMPANY LIMITED (2021-02-26)</t>
  </si>
  <si>
    <t>Competition based-detection assays</t>
  </si>
  <si>
    <t>G01N33/573;;G01N2333/42;;G01N2333/916;;G01N2400/10;;G01N33/573;;G01N2333/42;;G01N2333/914;;G01N2333/916;;G01N2400/10</t>
  </si>
  <si>
    <t>G01N33/573</t>
  </si>
  <si>
    <t>https://lens.org/063-572-212-715-956</t>
  </si>
  <si>
    <t>119-485-924-085-205</t>
  </si>
  <si>
    <t>US 2016/0324940 A1</t>
  </si>
  <si>
    <t>SHIRE HUMAN GENETIC THERAPIES INC (2016-07-15);;TRANSLATE BIO INC (2016-12-16)</t>
  </si>
  <si>
    <t>MRNA THERAPY FOR POMPE DISEASE</t>
  </si>
  <si>
    <t>A61K9/0019;;A61K9/127;;A61K9/1271;;A61K9/1272;;A61K31/7105;;C12Y302/0102;;C12N9/2465;;A61K38/47;;A61K47/22;;A61P1/16;;A61P21/00;;A61P3/00;;A61P39/02;;A61P9/00;;A61K9/0019;;A61K9/127;;A61K9/1271;;A61K9/1272;;A61K31/7105;;C12Y302/0102;;C12N9/2465;;A61K48/0058;;A61K38/47;;A61K47/22;;A61K48/0033</t>
  </si>
  <si>
    <t>A61K38/47;;A61K9/00;;A61K9/127;;A61K47/22;;A61K48/00</t>
  </si>
  <si>
    <t>https://lens.org/119-485-924-085-205</t>
  </si>
  <si>
    <t>087-234-985-671-624</t>
  </si>
  <si>
    <t>EP 3060303 A1</t>
  </si>
  <si>
    <t>SHIRE HUMAN GENETIC THERAPIES, INC. (2016-11-23);;TRANSLATE BIO, INC. (2018-06-27)</t>
  </si>
  <si>
    <t>MRNA THERAPY FOR ARGININOSUCCINATE SYNTHETASE DEFICIENCY</t>
  </si>
  <si>
    <t>A61K31/7105;;A61K9/5123;;A61K48/005;;A61K38/53;;C12N9/93;;A61K9/1272;;C12Y603/04005;;A61P3/00;;A61K38/53;;C12N9/93;;A61K9/1272;;A61K48/00;;C12Y603/04005;;A61K9/5123;;A61K31/7105;;A61K48/005</t>
  </si>
  <si>
    <t>A61P3/00;;A61K9/127;;A61K31/7105;;A61K48/00</t>
  </si>
  <si>
    <t>https://lens.org/087-234-985-671-624</t>
  </si>
  <si>
    <t>155-667-546-191-643</t>
  </si>
  <si>
    <t>EP 3060671 A1</t>
  </si>
  <si>
    <t>SHIRE HUMAN GENETIC THERAPIES, INC. (2016-11-23);;TRANSLATE BIO, INC. (2022-06-22)</t>
  </si>
  <si>
    <t>CNS DELIVERY OF MRNA AND USES THEREOF</t>
  </si>
  <si>
    <t>A61K38/1709;;A61P21/00;;A61P25/00;;A61P25/28;;A61P43/00;;C12N15/88;;A61K9/1272;;A61K38/1709;;A61K48/0033;;A61K48/005;;A61P25/00;;C07H21/02;;C12N15/88</t>
  </si>
  <si>
    <t>C12N15/88;;A61K38/00</t>
  </si>
  <si>
    <t>https://lens.org/155-667-546-191-643</t>
  </si>
  <si>
    <t>001-310-444-659-376</t>
  </si>
  <si>
    <t>EP 2968308 A4</t>
  </si>
  <si>
    <t>METHODS OF TREATING B2-BRADYKININ RECEPTOR MEDIATED ANGIOEDEMA</t>
  </si>
  <si>
    <t>A61K31/4709;;A61K9/0053;;A61K9/14;;A61K9/1652;;A61K31/185;;A61K31/47;;A61K45/06;;A61K47/10;;A61K47/22;;A61P7/10;;A61P9/00;;A61P17/00;;A61K31/4709;;A61K9/0053;;A61K9/10;;A61K9/14;;A61K9/1652;;A61K31/185;;A61K31/47;;A61K45/06;;A61K47/10;;A61K47/22;;A61K47/38</t>
  </si>
  <si>
    <t>A61K31/47;;A61P17/00;;C07D413/00</t>
  </si>
  <si>
    <t>https://lens.org/001-310-444-659-376</t>
  </si>
  <si>
    <t>153-847-202-514-82X</t>
  </si>
  <si>
    <t>EP 2809796 A4</t>
  </si>
  <si>
    <t>ASSAYS FOR DETECTION OF GLYCOSAMINOGLYCANS</t>
  </si>
  <si>
    <t>C12Q1/37;;G01N2400/40;;C12Q1/37;;G01N2400/40;;G01N2500/20;;G01N2800/04</t>
  </si>
  <si>
    <t>C12Q1/56;;C08B37/10</t>
  </si>
  <si>
    <t>https://lens.org/153-847-202-514-82X</t>
  </si>
  <si>
    <t>046-516-130-901-584</t>
  </si>
  <si>
    <t>US 2016/0184458 A1</t>
  </si>
  <si>
    <t>SHIRE HUMAN GENETIC THERAPIES INC (2014-05-14);;TRANSLATE BIO INC (2016-12-16)</t>
  </si>
  <si>
    <t>MRNA THERAPEUTIC COMPOSITIONS AND USE TO TREAT DISEASES AND DISORDERS</t>
  </si>
  <si>
    <t>A61K48/0075;;C07K2319/30;;C12N15/00;;C12N15/88;;A61K48/0075;;A61K48/0033;;A61K48/005;;A61K48/0066;;C07K2319/30;;C12N15/00;;C12N15/88</t>
  </si>
  <si>
    <t>A61K48/00</t>
  </si>
  <si>
    <t>https://lens.org/046-516-130-901-584</t>
  </si>
  <si>
    <t>102-420-214-961-771</t>
  </si>
  <si>
    <t>US 2016/0158354 A1</t>
  </si>
  <si>
    <t>SHIRE HUMAN GENETIC THERAPIES INC (2016-02-12);;TRANSLATE BIO INC (2016-12-16)</t>
  </si>
  <si>
    <t>Messenger RNA Therapy for Treatment of Articular Disease</t>
  </si>
  <si>
    <t>A61K38/177;;A61K48/0025;;A61K48/005;;A61P3/00;;A61P17/06;;A61P19/02;;A61P19/04;;A61P19/06;;A61P29/00;;C07K16/00;;A61K39/3955;;A61K9/1272;;A61K38/177;;A61K48/00;;A61K48/0025;;A61K48/005;;A61K48/0075;;C07K16/00</t>
  </si>
  <si>
    <t>A61K39/395;;A61K9/127;;A61K38/17</t>
  </si>
  <si>
    <t>https://lens.org/102-420-214-961-771</t>
  </si>
  <si>
    <t>071-786-612-145-562</t>
  </si>
  <si>
    <t>US 2016/0151409 A1</t>
  </si>
  <si>
    <t>SHIRE HUMAN GENETIC THERAPIES INC (2014-05-30);;TRANSLATE BIO INC (2016-12-16)</t>
  </si>
  <si>
    <t>SYNERGISTIC ENHANCEMENT OF THE DELIVERY OF NUCLEIC ACIDS VIA BLENDED FORMULATIONS</t>
  </si>
  <si>
    <t>A61K9/0019;;A61K9/0085;;A61K9/1271;;A61K9/1272;;A61K48/0025;;A61K48/0033;;A61K31/7105;;G01N33/543;;A61K9/0019;;A61K9/0085;;A61K9/1271;;A61K9/1272;;A61K48/0025;;A61K48/0033;;A61K9/145;;A61K9/146;;A61K31/7105</t>
  </si>
  <si>
    <t>A61K31/7105;;A61K9/14</t>
  </si>
  <si>
    <t>https://lens.org/071-786-612-145-562</t>
  </si>
  <si>
    <t>151-932-573-220-541</t>
  </si>
  <si>
    <t>US 2016/0130324 A1</t>
  </si>
  <si>
    <t>SHIRE HUMAN GENETIC THERAPIES INC (2016-04-12)</t>
  </si>
  <si>
    <t>C1 Inhibitor Fusion Proteins and Uses Thereof</t>
  </si>
  <si>
    <t>C07K14/8121;;C07K14/765;;C07K2319/00;;C07K2319/30;;C07K2319/31;;C07K14/8121;;A61P7/10;;A61P9/00;;A61P17/02;;A61P21/04;;A61P25/00;;A61P25/16;;A61P27/02;;A61P37/06;;A61P43/00;;C07K2317/52;;C07K2319/00;;C07K2319/31;;C07K14/70535;;A61K38/1774;;A61K38/385;;A61K38/55;;A61K47/6803;;C07K14/765;;C07K2317/52;;C07K2319/00;;C07K2319/30;;C07K2319/31;;C07K14/8121;;C07K14/765;;C07K2317/52;;C07K2319/00;;C07K2319/30;;C07K2319/31</t>
  </si>
  <si>
    <t>C07K14/81;;C07K14/765</t>
  </si>
  <si>
    <t>https://lens.org/151-932-573-220-541</t>
  </si>
  <si>
    <t>080-740-945-161-467</t>
  </si>
  <si>
    <t>US 2016/0122727 A1</t>
  </si>
  <si>
    <t>SHIRE HUMAN GENETIC THERAPIES INC (2015-11-13);;TRANSLATE BIO INC (2016-12-16)</t>
  </si>
  <si>
    <t>MESSENGER RNA BASED VIRAL PRODUCTION</t>
  </si>
  <si>
    <t>C12N15/86;;A61K38/43;;A61K48/00;;C12N2740/15052;;C12N2750/14152;;C12N7/00;;A61K35/76;;A61K38/43;;A61K48/00;;C12N15/86;;C12N2740/10033;;C12N2740/10041;;C12N2740/10052;;C12N2740/15052;;C12N2750/14133;;C12N2750/14141;;C12N2750/14152;;C12N2800/40;;C12N2999/007</t>
  </si>
  <si>
    <t>C12N7/00;;A61K35/76;;A61K38/43;;C12N15/86</t>
  </si>
  <si>
    <t>https://lens.org/080-740-945-161-467</t>
  </si>
  <si>
    <t>016-067-062-479-262</t>
  </si>
  <si>
    <t>EP 2830596 A4</t>
  </si>
  <si>
    <t>LIPID-DERIVED NEUTRAL NANOPARTICLES</t>
  </si>
  <si>
    <t>A61K9/1277;;A61K9/1271;;A61K9/1272;;A61K38/44;;C12N15/111;;C12N2310/11;;C12N2310/14;;C12N2310/141;;C12N2310/16;;C12N2310/3515;;C12N2320/32;;C12Y113/12007;;A61K9/1277;;A61K9/1271;;A61K9/1272;;A61K38/44;;A61K47/28;;A61K48/00;;C12N15/111;;C12N2310/11;;C12N2310/14;;C12N2310/141;;C12N2310/16;;C12N2310/3515;;C12N2320/32;;C12Y113/12007</t>
  </si>
  <si>
    <t>A61K9/127;;C12N15/11;;C12N15/88;;G01N33/92</t>
  </si>
  <si>
    <t>https://lens.org/016-067-062-479-262</t>
  </si>
  <si>
    <t>098-594-420-945-93X</t>
  </si>
  <si>
    <t>US 2016/0038432 A1</t>
  </si>
  <si>
    <t>SHIRE HUMAN GENETIC THERAPIES INC (2015-09-10);;TRANSLATE BIO INC (2016-12-16)</t>
  </si>
  <si>
    <t>ENCAPSULATION OF MESSENGER RNA</t>
  </si>
  <si>
    <t>A61K9/1271;;A61K9/1272;;A61K9/1277;;A61K31/713;;A61K9/1271;;A61K9/1272;;A61K9/1277;;A61K31/713;;A61K9/1271;;A61K9/1272;;A61K9/1277;;A61K9/5015;;A61K9/5089;;A61K31/713</t>
  </si>
  <si>
    <t>A61K9/50;;A61K31/713</t>
  </si>
  <si>
    <t>https://lens.org/098-594-420-945-93X</t>
  </si>
  <si>
    <t>102-749-100-852-124</t>
  </si>
  <si>
    <t>US 2016/0040154 A1</t>
  </si>
  <si>
    <t>SHIRE HUMAN GENETIC THERAPIES INC (2015-11-06);;TRANSLATE BIO INC (2016-12-16)</t>
  </si>
  <si>
    <t>METHODS FOR PURIFICATION OF MESSENGER RNA</t>
  </si>
  <si>
    <t>C12N15/1017;;C07H21/02;;A61P43/00;;C12P19/34;;C07H21/02;;C12N15/10;;C12N15/1017;;C12N15/1017;;C07H21/02;;C12N15/10</t>
  </si>
  <si>
    <t>C07H21/02;;C12N15/10</t>
  </si>
  <si>
    <t>https://lens.org/102-749-100-852-124</t>
  </si>
  <si>
    <t>081-389-170-439-910</t>
  </si>
  <si>
    <t>US 2016/0032356 A1</t>
  </si>
  <si>
    <t>QUANTITATIVE ASSESSMENT FOR CAP EFFICIENCY OF MESSENGER RNA</t>
  </si>
  <si>
    <t>C12Q1/6823;;C12N9/0069;;C12Y113/12007;;C12Q1/68;;C07K14/505;;C12N9/0069;;C12Q1/6823;;C12Y113/12007</t>
  </si>
  <si>
    <t>C12Q1/68;;C07K14/505;;C12N9/02</t>
  </si>
  <si>
    <t>https://lens.org/081-389-170-439-910</t>
  </si>
  <si>
    <t>195-345-663-557-113</t>
  </si>
  <si>
    <t>US 2016/0031928 A1</t>
  </si>
  <si>
    <t>SHIRE HUMAN GENETIC THERAPIES INC (2013-04-08);;TRANSLATE BIO INC (2016-12-16)</t>
  </si>
  <si>
    <t>RIBONUCLEIC ACIDs WITH 4'-THIO-MODIFIED NUCLEOTIDES AND RELATED METHODS</t>
  </si>
  <si>
    <t>A61P43/00;;C12N15/67;;C07H21/02;;A61K9/1271;;A61K9/1272;;C12N15/67;;C12N2310/3515</t>
  </si>
  <si>
    <t>C07H21/02</t>
  </si>
  <si>
    <t>https://lens.org/195-345-663-557-113</t>
  </si>
  <si>
    <t>191-786-397-905-696</t>
  </si>
  <si>
    <t>US 2016/0031981 A1</t>
  </si>
  <si>
    <t>SHIRE HUMAN GENETIC THERAPIES INC (2014-05-16);;TRANSLATE BIO INC (2016-12-16)</t>
  </si>
  <si>
    <t>METHODS AND COMPOSITIONS FOR DELIVERING MRNA CODED ANTIBODIES</t>
  </si>
  <si>
    <t>C07K16/22;;C12N15/88;;A61K9/0019;;A61K9/1271;;A61K9/1272;;A61K47/6911;;C07K16/24;;A61P35/00;;A61P37/04;;A61P37/06;;A61P9/00;;A61K2039/505;;C07K16/22;;C12N15/88;;A61K9/0019;;A61K9/1271;;A61K9/1272;;A61K47/6911;;C07K16/24;;A61K9/127;;C07K2317/14</t>
  </si>
  <si>
    <t>A61K9/00;;C07K16/24;;A61K9/127;;C07K16/22</t>
  </si>
  <si>
    <t>https://lens.org/191-786-397-905-696</t>
  </si>
  <si>
    <t>016-730-386-984-175</t>
  </si>
  <si>
    <t>EP 2971098 A1</t>
  </si>
  <si>
    <t>C12Q1/6804;;C12Q1/6804</t>
  </si>
  <si>
    <t>C12Q1/68</t>
  </si>
  <si>
    <t>https://lens.org/016-730-386-984-175</t>
  </si>
  <si>
    <t>041-586-482-811-234</t>
  </si>
  <si>
    <t>US 2015/0376220 A1</t>
  </si>
  <si>
    <t>SHIRE HUMAN GENETIC THERAPIES INC (2015-09-11);;TRANSLATE BIO INC (2016-12-16)</t>
  </si>
  <si>
    <t>C07H21/00;;C12N15/1017;;C07H1/06;;C07H21/02;;C07H1/06;;C07H21/00;;C12N15/1017;;C07H21/02;;C07H21/00;;C12N15/1017;;C07H1/06;;C07H21/02</t>
  </si>
  <si>
    <t>C07H1/06;;C07H21/02</t>
  </si>
  <si>
    <t>https://lens.org/041-586-482-811-234</t>
  </si>
  <si>
    <t>098-577-869-559-233</t>
  </si>
  <si>
    <t>US 2015/0376144 A1</t>
  </si>
  <si>
    <t>STEREOCHEMICALLY ENRICHED COMPOSITIONS FOR DELIVERY OF NUCLEIC ACIDS</t>
  </si>
  <si>
    <t>C07D241/08;;A61K9/1271;;A61K9/1272;;A61K31/495;;A61K31/7088;;A61K31/7105;;A61K47/22;;A61P43/00;;C07D241/08;;A61K9/1271;;A61K9/1272;;A61K31/7088;;A61K31/7105;;A61K47/22;;C07D241/08;;A61K9/1271;;A61K9/1272;;A61K31/495;;A61K31/7088;;A61K31/7105;;A61K47/22</t>
  </si>
  <si>
    <t>C07D241/08;;A61K9/127;;A61K31/7088;;A61K47/22</t>
  </si>
  <si>
    <t>https://lens.org/098-577-869-559-233</t>
  </si>
  <si>
    <t>128-768-841-163-964</t>
  </si>
  <si>
    <t>US 2015/0366997 A1</t>
  </si>
  <si>
    <t>SHIRE HUMAN GENETIC THERAPIES;;SHIRE HUMAN GENETICS THERAPIES INC</t>
  </si>
  <si>
    <t>SHIRE HUMAN GENETIC THERAPIES INC (2014-02-07);;TRANSLATE BIO INC (2016-12-16)</t>
  </si>
  <si>
    <t>COMPOSITIONS AND METHODS FOR mRNA DELIVERY</t>
  </si>
  <si>
    <t>A61K9/5123;;A61K9/0019;;A61K9/19;;A61K31/7088;;A61P11/00;;C07K14/505;;C07K14/8125;;C12N9/2465;;C12N9/644;;C12N15/88;;C12Y302/01022;;C12Y304/21022;;A61K48/0008;;A61K47/14;;A61K47/24;;A61K47/28;;C12N15/88</t>
  </si>
  <si>
    <t>A61K48/00;;A61K47/14;;A61K47/24;;A61K47/28</t>
  </si>
  <si>
    <t>https://lens.org/128-768-841-163-964</t>
  </si>
  <si>
    <t>107-801-653-718-512</t>
  </si>
  <si>
    <t>US 2015/0267192 A1</t>
  </si>
  <si>
    <t>SHIRE HUMAN GENETIC THERAPIES INC (2013-08-28);;TRANSLATE BIO INC (2016-12-16)</t>
  </si>
  <si>
    <t>NUCLEASE RESISTANT POLYNUCLEOTIDES AND USES THEREOF</t>
  </si>
  <si>
    <t>C12N15/111;;C07H21/00;;C07H21/02;;C12N2320/51;;C12P21/02;;C12N15/111;;C07H21/00;;C07H21/02;;C07K14/505;;C12N2310/3519;;C12N2320/51;;C12P21/02</t>
  </si>
  <si>
    <t>C12N15/11;;C07K14/505</t>
  </si>
  <si>
    <t>https://lens.org/107-801-653-718-512</t>
  </si>
  <si>
    <t>197-778-711-782-590</t>
  </si>
  <si>
    <t>US 2015/0010898 A1</t>
  </si>
  <si>
    <t>SHIRE HUMAN GENETIC THERAPIES INC (2014-07-16)</t>
  </si>
  <si>
    <t>METHODS FOR PREPARATION OF CULTURE MEDIA</t>
  </si>
  <si>
    <t>C12N9/16;;C12N5/0018;;C12N2500/60;;C12N2511/00;;C12P21/02;;C12Y301/06001;;C12N9/16;;C12N5/0018;;C12N2500/60;;C12N2511/00;;C12P21/02;;C12Y301/06001</t>
  </si>
  <si>
    <t>https://lens.org/197-778-711-782-590</t>
  </si>
  <si>
    <t>033-346-411-803-162</t>
  </si>
  <si>
    <t>US 2014/0288160 A1</t>
  </si>
  <si>
    <t>GUILD BRAYDON CHARLES;;HEARTLEIN MICHAEL;;DEROSA FRANK;;ZHANG JERRY CHI;;SHIRE HUMAN GENETIC THERAPIES</t>
  </si>
  <si>
    <t>SHIRE HUMAN GENETIC THERAPIES INC (2014-03-22);;TRANSLATE BIO INC (2016-12-16)</t>
  </si>
  <si>
    <t>CLEAVABLE LIPIDS</t>
  </si>
  <si>
    <t>C07J43/003;;A61K9/1271;;A61K9/1272;;A61K9/19;;A61K31/7088;;A61K47/20;;A61K47/22;;A61K47/28;;A61K48/0033;;A61K48/005;;C07C323/27;;C07C323/44;;C07D233/64;;C07J41/0055;;C12N15/88;;C12Y201/03003;;C12Y203/01;;C12Y207/08015;;C12Y301/06;;C12Y302/01022;;C12Y302/01035;;C12Y302/01046;;C12Y302/01076;;C12Y305/03001;;A61K9/19;;A61K9/1271;;A61K9/1272;;A61K9/5123;;A61K31/7105;;A61K38/45;;A61K38/465;;A61K38/47;;A61K38/50;;A61P3/00;;A61P7/04;;A61P21/02;;A61P25/00;;A61P25/14;;A61P25/16;;A61P35/00;;A61P35/02;;A61P43/00;;C07C323/25;;C07C323/44;;C07D233/64;;C07J41/0055;;C07J43/003;;C12N15/88;;C12Y201/03003;;C12Y203/01;;C12Y207/08015;;C12Y301/06;;C12Y302/01022;;C12Y302/01035;;C12Y302/01046;;C12Y302/01076;;C12Y305/03001;;A61K9/19;;A61K9/1271;;A61K9/1272;;A61K9/5123;;A61K31/7088;;A61K38/45;;A61K38/465;;A61K38/47;;A61K38/50;;C07C323/25;;C07C323/27;;C07C323/44;;C07D233/64;;C07J41/0055;;C07J43/003;;C12N15/88;;C12Y201/03003;;C12Y203/01;;C12Y207/08015;;C12Y301/06;;C12Y302/01022;;C12Y302/01035;;C12Y302/01046;;C12Y302/01076;;C12Y305/03001</t>
  </si>
  <si>
    <t>A61K9/19;;A61K31/7088;;C07C323/27;;C07J41/00;;C07J43/00</t>
  </si>
  <si>
    <t>https://lens.org/033-346-411-803-162</t>
  </si>
  <si>
    <t>105-842-040-579-511</t>
  </si>
  <si>
    <t>US 2014/0057296 A1</t>
  </si>
  <si>
    <t>RUIZ JUAN;;SELLOS-MOURA MARCIA;;SHIRE HUMAN GENETIC THERAPIES</t>
  </si>
  <si>
    <t>SHIRE HUMAN GENETIC THERAPIES INC (2012-05-05)</t>
  </si>
  <si>
    <t>ASSAYS FOR ANTIBODIES WHICH BIND TO THERAPEUTIC AGENTS</t>
  </si>
  <si>
    <t>G01N33/6854;;G01N33/6854</t>
  </si>
  <si>
    <t>https://lens.org/105-842-040-579-511</t>
  </si>
  <si>
    <t>049-979-921-659-456</t>
  </si>
  <si>
    <t>US 2014/0004097 A1</t>
  </si>
  <si>
    <t>SHIRE HUMAN GENETIC THERAPIES INC (2013-04-09)</t>
  </si>
  <si>
    <t>METHOD OF PRODUCING RECOMBINANT IDURONATE-2-SULFATASE</t>
  </si>
  <si>
    <t>C12N9/16;;A61P3/00;;A61P43/00;;C12Y301/06013;;C12N9/16;;A61K38/465;;C12N2500/32;;C12N2500/40;;C12N2500/44;;C12N2500/60;;C12N2523/00;;C12P21/00;;C12Y108/99;;C12Y301/06013;;C12N9/16;;C12Y301/06013</t>
  </si>
  <si>
    <t>https://lens.org/049-979-921-659-456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</si>
</sst>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0.0;[Red]\(#,##0.0\);\-"/>
    <numFmt numFmtId="166" formatCode="0.0&quot;%&quot;;[Red]\(0.0&quot;%&quot;\);\-"/>
    <numFmt numFmtId="167" formatCode="#,##0;[Red]\(#,##0\);\-"/>
    <numFmt numFmtId="168" formatCode="0.000"/>
    <numFmt numFmtId="169" formatCode="0;[Red]\(0\);\-"/>
    <numFmt numFmtId="170" formatCode="yyyy\-mm\-dd"/>
  </numFmts>
  <fonts count="6">
    <font>
      <sz val="11"/>
      <name val="Carlito"/>
    </font>
    <font>
      <b/>
      <sz val="11"/>
      <color rgb="FFFFFFFF"/>
      <name val="Carlito"/>
    </font>
    <font>
      <sz val="11"/>
      <color rgb="FF0000FF"/>
      <name val="Carlito"/>
    </font>
    <font>
      <sz val="11"/>
      <color rgb="FF000000"/>
      <name val="Carlito"/>
    </font>
    <font>
      <sz val="11"/>
      <color rgb="FF008000"/>
      <name val="Carlito"/>
    </font>
    <font>
      <b/>
      <sz val="14"/>
      <color rgb="FFFFFFFF"/>
      <name val="Carlito"/>
    </font>
  </fonts>
  <fills count="8">
    <fill>
      <patternFill patternType="none"/>
    </fill>
    <fill>
      <patternFill patternType="gray125"/>
    </fill>
    <fill>
      <patternFill patternType="solid">
        <fgColor rgb="FF0B1F3A"/>
      </patternFill>
    </fill>
    <fill>
      <patternFill patternType="solid">
        <fgColor rgb="FF1F6E8C"/>
      </patternFill>
    </fill>
    <fill>
      <patternFill patternType="solid">
        <fgColor rgb="FF17365D"/>
      </patternFill>
    </fill>
    <fill>
      <patternFill patternType="solid">
        <fgColor rgb="FF1F4E78"/>
      </patternFill>
    </fill>
    <fill>
      <patternFill patternType="solid">
        <fgColor rgb="FF17365D"/>
      </patternFill>
    </fill>
    <fill>
      <patternFill patternType="solid">
        <fgColor rgb="FF1F4E78"/>
      </patternFill>
    </fill>
  </fills>
  <borders count="1">
    <border>
      <left/>
      <right/>
      <top/>
      <bottom/>
      <diagonal/>
    </border>
  </borders>
  <cellStyleXfs count="1">
    <xf numFmtId="0" fontId="0" fillId="0" borderId="0"/>
  </cellStyleXfs>
  <cellXfs count="33">
    <xf numFmtId="0" fontId="0" fillId="0" borderId="0" xfId="0"/>
    <xf numFmtId="0" fontId="1" fillId="3" borderId="0" xfId="0" applyFont="1" applyFill="1" applyAlignment="1">
      <alignment horizontal="center" vertical="center" wrapText="1"/>
    </xf>
    <xf numFmtId="0" fontId="2" fillId="0" borderId="0" xfId="0" applyFont="1" applyAlignment="1">
      <alignment vertical="top"/>
    </xf>
    <xf numFmtId="0" fontId="3" fillId="0" borderId="0" xfId="0" applyFont="1" applyAlignment="1">
      <alignment vertical="top"/>
    </xf>
    <xf numFmtId="0" fontId="2" fillId="0" borderId="0" xfId="0" applyFont="1" applyAlignment="1">
      <alignment vertical="top" wrapText="1"/>
    </xf>
    <xf numFmtId="164" fontId="2" fillId="0" borderId="0" xfId="0" applyNumberFormat="1" applyFont="1" applyAlignment="1">
      <alignment vertical="top"/>
    </xf>
    <xf numFmtId="165" fontId="2" fillId="0" borderId="0" xfId="0" applyNumberFormat="1" applyFont="1" applyAlignment="1">
      <alignment vertical="top"/>
    </xf>
    <xf numFmtId="166" fontId="2" fillId="0" borderId="0" xfId="0" applyNumberFormat="1" applyFont="1" applyAlignment="1">
      <alignment vertical="top"/>
    </xf>
    <xf numFmtId="167" fontId="2" fillId="0" borderId="0" xfId="0" applyNumberFormat="1" applyFont="1" applyAlignment="1">
      <alignment vertical="top"/>
    </xf>
    <xf numFmtId="168" fontId="3" fillId="0" borderId="0" xfId="0" applyNumberFormat="1" applyFont="1" applyAlignment="1">
      <alignment vertical="top"/>
    </xf>
    <xf numFmtId="168" fontId="2" fillId="0" borderId="0" xfId="0" applyNumberFormat="1" applyFont="1" applyAlignment="1">
      <alignment vertical="top"/>
    </xf>
    <xf numFmtId="166" fontId="3" fillId="0" borderId="0" xfId="0" applyNumberFormat="1" applyFont="1" applyAlignment="1">
      <alignment vertical="top"/>
    </xf>
    <xf numFmtId="165" fontId="3" fillId="0" borderId="0" xfId="0" applyNumberFormat="1" applyFont="1" applyAlignment="1">
      <alignment vertical="top"/>
    </xf>
    <xf numFmtId="0" fontId="1" fillId="2" borderId="0" xfId="0" applyFont="1" applyFill="1" applyAlignment="1">
      <alignment wrapText="1"/>
    </xf>
    <xf numFmtId="0" fontId="1" fillId="2" borderId="0" xfId="0" applyFont="1" applyFill="1" applyAlignment="1">
      <alignment horizontal="center" vertical="center" wrapText="1"/>
    </xf>
    <xf numFmtId="0" fontId="2" fillId="0" borderId="0" xfId="0" applyFont="1"/>
    <xf numFmtId="0" fontId="4" fillId="0" borderId="0" xfId="0" applyFont="1"/>
    <xf numFmtId="165" fontId="4" fillId="0" borderId="0" xfId="0" applyNumberFormat="1" applyFont="1"/>
    <xf numFmtId="166" fontId="4" fillId="0" borderId="0" xfId="0" applyNumberFormat="1" applyFont="1"/>
    <xf numFmtId="0" fontId="0" fillId="0" borderId="0" xfId="0" applyAlignment="1">
      <alignment wrapText="1"/>
    </xf>
    <xf numFmtId="0" fontId="1" fillId="5" borderId="0" xfId="0" applyFont="1" applyFill="1" applyAlignment="1">
      <alignment horizontal="center" vertical="center" wrapText="1"/>
    </xf>
    <xf numFmtId="0" fontId="2" fillId="0" borderId="0" xfId="0" applyFont="1" applyAlignment="1">
      <alignment wrapText="1"/>
    </xf>
    <xf numFmtId="1" fontId="2" fillId="0" borderId="0" xfId="0" applyNumberFormat="1" applyFont="1" applyAlignment="1">
      <alignment wrapText="1"/>
    </xf>
    <xf numFmtId="165" fontId="2" fillId="0" borderId="0" xfId="0" applyNumberFormat="1" applyFont="1" applyAlignment="1">
      <alignment wrapText="1"/>
    </xf>
    <xf numFmtId="166" fontId="2" fillId="0" borderId="0" xfId="0" applyNumberFormat="1" applyFont="1" applyAlignment="1">
      <alignment wrapText="1"/>
    </xf>
    <xf numFmtId="164" fontId="0" fillId="0" borderId="0" xfId="0" applyNumberFormat="1"/>
    <xf numFmtId="0" fontId="1" fillId="7" borderId="0" xfId="0" applyFont="1" applyFill="1" applyAlignment="1">
      <alignment horizontal="center" vertical="center" wrapText="1"/>
    </xf>
    <xf numFmtId="169" fontId="2" fillId="0" borderId="0" xfId="0" applyNumberFormat="1" applyFont="1" applyAlignment="1">
      <alignment wrapText="1"/>
    </xf>
    <xf numFmtId="170" fontId="2" fillId="0" borderId="0" xfId="0" applyNumberFormat="1" applyFont="1" applyAlignment="1">
      <alignment wrapText="1"/>
    </xf>
    <xf numFmtId="0" fontId="0" fillId="0" borderId="0" xfId="0"/>
    <xf numFmtId="0" fontId="1" fillId="2" borderId="0" xfId="0" applyFont="1" applyFill="1" applyAlignment="1">
      <alignment horizontal="left" vertical="center"/>
    </xf>
    <xf numFmtId="0" fontId="5" fillId="4" borderId="0" xfId="0" applyFont="1" applyFill="1" applyAlignment="1">
      <alignment horizontal="left" vertical="center" wrapText="1"/>
    </xf>
    <xf numFmtId="0" fontId="5" fillId="6" borderId="0" xfId="0" applyFont="1" applyFill="1" applyAlignment="1">
      <alignment horizontal="left" vertical="center"/>
    </xf>
  </cellXfs>
  <cellStyles count="1">
    <cellStyle name="Normal" xfId="0" builtinId="0"/>
  </cellStyles>
  <dxfs count="4">
    <dxf>
      <font>
        <color rgb="FF9C6500"/>
      </font>
      <fill>
        <patternFill patternType="solid">
          <bgColor rgb="FFFCE5CD"/>
        </patternFill>
      </fill>
    </dxf>
    <dxf>
      <font>
        <b/>
      </font>
      <fill>
        <patternFill>
          <bgColor rgb="FFE2F0D9"/>
        </patternFill>
      </fill>
    </dxf>
    <dxf>
      <fill>
        <patternFill>
          <bgColor rgb="FFFCE4D6"/>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TDealsTable" displayName="TRTDealsTable" ref="A2:FI44">
  <tableColumns count="165">
    <tableColumn id="1" xr3:uid="{00000000-0010-0000-0000-000001000000}" name="Deal_ID"/>
    <tableColumn id="2" xr3:uid="{00000000-0010-0000-0000-000002000000}" name="Source_Row"/>
    <tableColumn id="3" xr3:uid="{00000000-0010-0000-0000-000003000000}" name="Initial_Group"/>
    <tableColumn id="4" xr3:uid="{00000000-0010-0000-0000-000004000000}" name="Initial_Treatment_Indicator"/>
    <tableColumn id="5" xr3:uid="{00000000-0010-0000-0000-000005000000}" name="Source_File"/>
    <tableColumn id="6" xr3:uid="{00000000-0010-0000-0000-000006000000}" name="Cross_File_Key"/>
    <tableColumn id="7" xr3:uid="{00000000-0010-0000-0000-000007000000}" name="Overlap_Flag"/>
    <tableColumn id="8" xr3:uid="{00000000-0010-0000-0000-000008000000}" name="Duplicate_Flag"/>
    <tableColumn id="9" xr3:uid="{00000000-0010-0000-0000-000009000000}" name="Multiple_Deal_Acquirer"/>
    <tableColumn id="10" xr3:uid="{00000000-0010-0000-0000-00000A000000}" name="Acquirer_Deal_Count_in_File"/>
    <tableColumn id="11" xr3:uid="{00000000-0010-0000-0000-00000B000000}" name="Manual_Review_Status"/>
    <tableColumn id="12" xr3:uid="{00000000-0010-0000-0000-00000C000000}" name="Initial_Control_Transfer_Status"/>
    <tableColumn id="13" xr3:uid="{00000000-0010-0000-0000-00000D000000}" name="Main_DiD_Decision"/>
    <tableColumn id="14" xr3:uid="{00000000-0010-0000-0000-00000E000000}" name="Exclusion_Reason"/>
    <tableColumn id="15" xr3:uid="{00000000-0010-0000-0000-00000F000000}" name="Announced_Date"/>
    <tableColumn id="16" xr3:uid="{00000000-0010-0000-0000-000010000000}" name="Completion_Date"/>
    <tableColumn id="17" xr3:uid="{00000000-0010-0000-0000-000011000000}" name="Completion_Year"/>
    <tableColumn id="18" xr3:uid="{00000000-0010-0000-0000-000012000000}" name="Completion_Quarter"/>
    <tableColumn id="19" xr3:uid="{00000000-0010-0000-0000-000013000000}" name="Deal_Status"/>
    <tableColumn id="20" xr3:uid="{00000000-0010-0000-0000-000014000000}" name="Deal_Headline"/>
    <tableColumn id="21" xr3:uid="{00000000-0010-0000-0000-000015000000}" name="Deal_Type_Level_1"/>
    <tableColumn id="22" xr3:uid="{00000000-0010-0000-0000-000016000000}" name="Deal_Subtype_Level_2"/>
    <tableColumn id="23" xr3:uid="{00000000-0010-0000-0000-000017000000}" name="Deal_Subtype_Level_3"/>
    <tableColumn id="24" xr3:uid="{00000000-0010-0000-0000-000018000000}" name="Deal_Country_s"/>
    <tableColumn id="25" xr3:uid="{00000000-0010-0000-0000-000019000000}" name="Deal_Subcategory"/>
    <tableColumn id="26" xr3:uid="{00000000-0010-0000-0000-00001A000000}" name="Financial_Advisors"/>
    <tableColumn id="27" xr3:uid="{00000000-0010-0000-0000-00001B000000}" name="Legal_Advisors"/>
    <tableColumn id="28" xr3:uid="{00000000-0010-0000-0000-00001C000000}" name="Acquirer_Raw"/>
    <tableColumn id="29" xr3:uid="{00000000-0010-0000-0000-00001D000000}" name="Acquirer_Normalized"/>
    <tableColumn id="30" xr3:uid="{00000000-0010-0000-0000-00001E000000}" name="Target_Raw"/>
    <tableColumn id="31" xr3:uid="{00000000-0010-0000-0000-00001F000000}" name="Target_Normalized"/>
    <tableColumn id="32" xr3:uid="{00000000-0010-0000-0000-000020000000}" name="Deal_Value_USD_m"/>
    <tableColumn id="33" xr3:uid="{00000000-0010-0000-0000-000021000000}" name="Deal_Value_Raw"/>
    <tableColumn id="34" xr3:uid="{00000000-0010-0000-0000-000022000000}" name="Description"/>
    <tableColumn id="35" xr3:uid="{00000000-0010-0000-0000-000023000000}" name="Deal_Rationale"/>
    <tableColumn id="36" xr3:uid="{00000000-0010-0000-0000-000024000000}" name="Acquirer_Country"/>
    <tableColumn id="37" xr3:uid="{00000000-0010-0000-0000-000025000000}" name="Target_Country"/>
    <tableColumn id="38" xr3:uid="{00000000-0010-0000-0000-000026000000}" name="Cross_Border_Flag"/>
    <tableColumn id="39" xr3:uid="{00000000-0010-0000-0000-000027000000}" name="Acquirer_Listed"/>
    <tableColumn id="40" xr3:uid="{00000000-0010-0000-0000-000028000000}" name="Bloomberg_Ticker"/>
    <tableColumn id="41" xr3:uid="{00000000-0010-0000-0000-000029000000}" name="ISIN"/>
    <tableColumn id="42" xr3:uid="{00000000-0010-0000-0000-00002A000000}" name="LEI"/>
    <tableColumn id="43" xr3:uid="{00000000-0010-0000-0000-00002B000000}" name="Acquirer_Parent_Mapping"/>
    <tableColumn id="44" xr3:uid="{00000000-0010-0000-0000-00002C000000}" name="Target_Parent_Mapping"/>
    <tableColumn id="45" xr3:uid="{00000000-0010-0000-0000-00002D000000}" name="Patent_Search_Acquirer_Names"/>
    <tableColumn id="46" xr3:uid="{00000000-0010-0000-0000-00002E000000}" name="Patent_Search_Target_Names"/>
    <tableColumn id="47" xr3:uid="{00000000-0010-0000-0000-00002F000000}" name="Final_Classification"/>
    <tableColumn id="48" xr3:uid="{00000000-0010-0000-0000-000030000000}" name="Classification_Confidence"/>
    <tableColumn id="49" xr3:uid="{00000000-0010-0000-0000-000031000000}" name="Patent_Evidence"/>
    <tableColumn id="50" xr3:uid="{00000000-0010-0000-0000-000032000000}" name="Pipeline_Evidence"/>
    <tableColumn id="51" xr3:uid="{00000000-0010-0000-0000-000033000000}" name="Platform_Evidence"/>
    <tableColumn id="52" xr3:uid="{00000000-0010-0000-0000-000034000000}" name="R_and_D_Evidence"/>
    <tableColumn id="53" xr3:uid="{00000000-0010-0000-0000-000035000000}" name="Commercial_or_Geographic_Evidence"/>
    <tableColumn id="54" xr3:uid="{00000000-0010-0000-0000-000036000000}" name="Mixed_Motive_Flag"/>
    <tableColumn id="55" xr3:uid="{00000000-0010-0000-0000-000037000000}" name="Classification_Notes"/>
    <tableColumn id="56" xr3:uid="{00000000-0010-0000-0000-000038000000}" name="Deal_Validation_Source_URL"/>
    <tableColumn id="57" xr3:uid="{00000000-0010-0000-0000-000039000000}" name="Financial_Currency"/>
    <tableColumn id="58" xr3:uid="{00000000-0010-0000-0000-00003A000000}" name="Financial_Data_Status"/>
    <tableColumn id="59" xr3:uid="{00000000-0010-0000-0000-00003B000000}" name="Patent_Data_Status"/>
    <tableColumn id="60" xr3:uid="{00000000-0010-0000-0000-00003C000000}" name="Patent_Entity_Scope"/>
    <tableColumn id="61" xr3:uid="{00000000-0010-0000-0000-00003D000000}" name="Calendar_Year_t-3"/>
    <tableColumn id="62" xr3:uid="{00000000-0010-0000-0000-00003E000000}" name="Calendar_Year_t-2"/>
    <tableColumn id="63" xr3:uid="{00000000-0010-0000-0000-00003F000000}" name="Calendar_Year_t-1"/>
    <tableColumn id="64" xr3:uid="{00000000-0010-0000-0000-000040000000}" name="Calendar_Year_t0"/>
    <tableColumn id="65" xr3:uid="{00000000-0010-0000-0000-000041000000}" name="Calendar_Year_t+1"/>
    <tableColumn id="66" xr3:uid="{00000000-0010-0000-0000-000042000000}" name="Calendar_Year_t+2"/>
    <tableColumn id="67" xr3:uid="{00000000-0010-0000-0000-000043000000}" name="Calendar_Year_t+3"/>
    <tableColumn id="68" xr3:uid="{00000000-0010-0000-0000-000044000000}" name="Revenue_m_t-3"/>
    <tableColumn id="69" xr3:uid="{00000000-0010-0000-0000-000045000000}" name="Revenue_m_t-2"/>
    <tableColumn id="70" xr3:uid="{00000000-0010-0000-0000-000046000000}" name="Revenue_m_t-1"/>
    <tableColumn id="71" xr3:uid="{00000000-0010-0000-0000-000047000000}" name="Revenue_m_t0"/>
    <tableColumn id="72" xr3:uid="{00000000-0010-0000-0000-000048000000}" name="Revenue_m_t+1"/>
    <tableColumn id="73" xr3:uid="{00000000-0010-0000-0000-000049000000}" name="Revenue_m_t+2"/>
    <tableColumn id="74" xr3:uid="{00000000-0010-0000-0000-00004A000000}" name="Revenue_m_t+3"/>
    <tableColumn id="75" xr3:uid="{00000000-0010-0000-0000-00004B000000}" name="Operating_Income_m_t-3"/>
    <tableColumn id="76" xr3:uid="{00000000-0010-0000-0000-00004C000000}" name="Operating_Income_m_t-2"/>
    <tableColumn id="77" xr3:uid="{00000000-0010-0000-0000-00004D000000}" name="Operating_Income_m_t-1"/>
    <tableColumn id="78" xr3:uid="{00000000-0010-0000-0000-00004E000000}" name="Operating_Income_m_t0"/>
    <tableColumn id="79" xr3:uid="{00000000-0010-0000-0000-00004F000000}" name="Operating_Income_m_t+1"/>
    <tableColumn id="80" xr3:uid="{00000000-0010-0000-0000-000050000000}" name="Operating_Income_m_t+2"/>
    <tableColumn id="81" xr3:uid="{00000000-0010-0000-0000-000051000000}" name="Operating_Income_m_t+3"/>
    <tableColumn id="82" xr3:uid="{00000000-0010-0000-0000-000052000000}" name="Net_Income_m_t-3"/>
    <tableColumn id="83" xr3:uid="{00000000-0010-0000-0000-000053000000}" name="Net_Income_m_t-2"/>
    <tableColumn id="84" xr3:uid="{00000000-0010-0000-0000-000054000000}" name="Net_Income_m_t-1"/>
    <tableColumn id="85" xr3:uid="{00000000-0010-0000-0000-000055000000}" name="Net_Income_m_t0"/>
    <tableColumn id="86" xr3:uid="{00000000-0010-0000-0000-000056000000}" name="Net_Income_m_t+1"/>
    <tableColumn id="87" xr3:uid="{00000000-0010-0000-0000-000057000000}" name="Net_Income_m_t+2"/>
    <tableColumn id="88" xr3:uid="{00000000-0010-0000-0000-000058000000}" name="Net_Income_m_t+3"/>
    <tableColumn id="89" xr3:uid="{00000000-0010-0000-0000-000059000000}" name="Total_Assets_m_t-3"/>
    <tableColumn id="90" xr3:uid="{00000000-0010-0000-0000-00005A000000}" name="Total_Assets_m_t-2"/>
    <tableColumn id="91" xr3:uid="{00000000-0010-0000-0000-00005B000000}" name="Total_Assets_m_t-1"/>
    <tableColumn id="92" xr3:uid="{00000000-0010-0000-0000-00005C000000}" name="Total_Assets_m_t0"/>
    <tableColumn id="93" xr3:uid="{00000000-0010-0000-0000-00005D000000}" name="Total_Assets_m_t+1"/>
    <tableColumn id="94" xr3:uid="{00000000-0010-0000-0000-00005E000000}" name="Total_Assets_m_t+2"/>
    <tableColumn id="95" xr3:uid="{00000000-0010-0000-0000-00005F000000}" name="Total_Assets_m_t+3"/>
    <tableColumn id="96" xr3:uid="{00000000-0010-0000-0000-000060000000}" name="Total_Debt_m_t-3"/>
    <tableColumn id="97" xr3:uid="{00000000-0010-0000-0000-000061000000}" name="Total_Debt_m_t-2"/>
    <tableColumn id="98" xr3:uid="{00000000-0010-0000-0000-000062000000}" name="Total_Debt_m_t-1"/>
    <tableColumn id="99" xr3:uid="{00000000-0010-0000-0000-000063000000}" name="Total_Debt_m_t0"/>
    <tableColumn id="100" xr3:uid="{00000000-0010-0000-0000-000064000000}" name="Total_Debt_m_t+1"/>
    <tableColumn id="101" xr3:uid="{00000000-0010-0000-0000-000065000000}" name="Total_Debt_m_t+2"/>
    <tableColumn id="102" xr3:uid="{00000000-0010-0000-0000-000066000000}" name="Total_Debt_m_t+3"/>
    <tableColumn id="103" xr3:uid="{00000000-0010-0000-0000-000067000000}" name="R_and_D_Expense_m_t-3"/>
    <tableColumn id="104" xr3:uid="{00000000-0010-0000-0000-000068000000}" name="R_and_D_Expense_m_t-2"/>
    <tableColumn id="105" xr3:uid="{00000000-0010-0000-0000-000069000000}" name="R_and_D_Expense_m_t-1"/>
    <tableColumn id="106" xr3:uid="{00000000-0010-0000-0000-00006A000000}" name="R_and_D_Expense_m_t0"/>
    <tableColumn id="107" xr3:uid="{00000000-0010-0000-0000-00006B000000}" name="R_and_D_Expense_m_t+1"/>
    <tableColumn id="108" xr3:uid="{00000000-0010-0000-0000-00006C000000}" name="R_and_D_Expense_m_t+2"/>
    <tableColumn id="109" xr3:uid="{00000000-0010-0000-0000-00006D000000}" name="R_and_D_Expense_m_t+3"/>
    <tableColumn id="110" xr3:uid="{00000000-0010-0000-0000-00006E000000}" name="ROA_pct_t-3"/>
    <tableColumn id="111" xr3:uid="{00000000-0010-0000-0000-00006F000000}" name="ROA_pct_t-2"/>
    <tableColumn id="112" xr3:uid="{00000000-0010-0000-0000-000070000000}" name="ROA_pct_t-1"/>
    <tableColumn id="113" xr3:uid="{00000000-0010-0000-0000-000071000000}" name="ROA_pct_t0"/>
    <tableColumn id="114" xr3:uid="{00000000-0010-0000-0000-000072000000}" name="ROA_pct_t+1"/>
    <tableColumn id="115" xr3:uid="{00000000-0010-0000-0000-000073000000}" name="ROA_pct_t+2"/>
    <tableColumn id="116" xr3:uid="{00000000-0010-0000-0000-000074000000}" name="ROA_pct_t+3"/>
    <tableColumn id="117" xr3:uid="{00000000-0010-0000-0000-000075000000}" name="Operating_Margin_pct_t-3"/>
    <tableColumn id="118" xr3:uid="{00000000-0010-0000-0000-000076000000}" name="Operating_Margin_pct_t-2"/>
    <tableColumn id="119" xr3:uid="{00000000-0010-0000-0000-000077000000}" name="Operating_Margin_pct_t-1"/>
    <tableColumn id="120" xr3:uid="{00000000-0010-0000-0000-000078000000}" name="Operating_Margin_pct_t0"/>
    <tableColumn id="121" xr3:uid="{00000000-0010-0000-0000-000079000000}" name="Operating_Margin_pct_t+1"/>
    <tableColumn id="122" xr3:uid="{00000000-0010-0000-0000-00007A000000}" name="Operating_Margin_pct_t+2"/>
    <tableColumn id="123" xr3:uid="{00000000-0010-0000-0000-00007B000000}" name="Operating_Margin_pct_t+3"/>
    <tableColumn id="124" xr3:uid="{00000000-0010-0000-0000-00007C000000}" name="Leverage_pct_t-3"/>
    <tableColumn id="125" xr3:uid="{00000000-0010-0000-0000-00007D000000}" name="Leverage_pct_t-2"/>
    <tableColumn id="126" xr3:uid="{00000000-0010-0000-0000-00007E000000}" name="Leverage_pct_t-1"/>
    <tableColumn id="127" xr3:uid="{00000000-0010-0000-0000-00007F000000}" name="Leverage_pct_t0"/>
    <tableColumn id="128" xr3:uid="{00000000-0010-0000-0000-000080000000}" name="Leverage_pct_t+1"/>
    <tableColumn id="129" xr3:uid="{00000000-0010-0000-0000-000081000000}" name="Leverage_pct_t+2"/>
    <tableColumn id="130" xr3:uid="{00000000-0010-0000-0000-000082000000}" name="Leverage_pct_t+3"/>
    <tableColumn id="131" xr3:uid="{00000000-0010-0000-0000-000083000000}" name="Patent_Family_Count_t-3"/>
    <tableColumn id="132" xr3:uid="{00000000-0010-0000-0000-000084000000}" name="Patent_Family_Count_t-2"/>
    <tableColumn id="133" xr3:uid="{00000000-0010-0000-0000-000085000000}" name="Patent_Family_Count_t-1"/>
    <tableColumn id="134" xr3:uid="{00000000-0010-0000-0000-000086000000}" name="Patent_Family_Count_t0"/>
    <tableColumn id="135" xr3:uid="{00000000-0010-0000-0000-000087000000}" name="Patent_Family_Count_t+1"/>
    <tableColumn id="136" xr3:uid="{00000000-0010-0000-0000-000088000000}" name="Patent_Family_Count_t+2"/>
    <tableColumn id="137" xr3:uid="{00000000-0010-0000-0000-000089000000}" name="Patent_Family_Count_t+3"/>
    <tableColumn id="138" xr3:uid="{00000000-0010-0000-0000-00008A000000}" name="Citation_Weighted_Output_t-3"/>
    <tableColumn id="139" xr3:uid="{00000000-0010-0000-0000-00008B000000}" name="Citation_Weighted_Output_t-2"/>
    <tableColumn id="140" xr3:uid="{00000000-0010-0000-0000-00008C000000}" name="Citation_Weighted_Output_t-1"/>
    <tableColumn id="141" xr3:uid="{00000000-0010-0000-0000-00008D000000}" name="Citation_Weighted_Output_t0"/>
    <tableColumn id="142" xr3:uid="{00000000-0010-0000-0000-00008E000000}" name="Citation_Weighted_Output_t+1"/>
    <tableColumn id="143" xr3:uid="{00000000-0010-0000-0000-00008F000000}" name="Citation_Weighted_Output_t+2"/>
    <tableColumn id="144" xr3:uid="{00000000-0010-0000-0000-000090000000}" name="Citation_Weighted_Output_t+3"/>
    <tableColumn id="145" xr3:uid="{00000000-0010-0000-0000-000091000000}" name="Acquirer_PreDeal_Patent_Stock"/>
    <tableColumn id="146" xr3:uid="{00000000-0010-0000-0000-000092000000}" name="Target_PreDeal_Patent_Stock"/>
    <tableColumn id="147" xr3:uid="{00000000-0010-0000-0000-000093000000}" name="Relative_Knowledge_Base_Size"/>
    <tableColumn id="148" xr3:uid="{00000000-0010-0000-0000-000094000000}" name="Technological_Relatedness_Cosine"/>
    <tableColumn id="149" xr3:uid="{00000000-0010-0000-0000-000095000000}" name="Inventor_Location_Available"/>
    <tableColumn id="150" xr3:uid="{00000000-0010-0000-0000-000096000000}" name="Cross_Border_Relocation_Testable"/>
    <tableColumn id="151" xr3:uid="{00000000-0010-0000-0000-000097000000}" name="Pre_Avg_ROA"/>
    <tableColumn id="152" xr3:uid="{00000000-0010-0000-0000-000098000000}" name="Post_Avg_ROA"/>
    <tableColumn id="153" xr3:uid="{00000000-0010-0000-0000-000099000000}" name="Delta_ROA"/>
    <tableColumn id="154" xr3:uid="{00000000-0010-0000-0000-00009A000000}" name="Pre_Avg_Operating_Margin"/>
    <tableColumn id="155" xr3:uid="{00000000-0010-0000-0000-00009B000000}" name="Post_Avg_Operating_Margin"/>
    <tableColumn id="156" xr3:uid="{00000000-0010-0000-0000-00009C000000}" name="Delta_Operating_Margin"/>
    <tableColumn id="157" xr3:uid="{00000000-0010-0000-0000-00009D000000}" name="Pre_Avg_Patent_Families"/>
    <tableColumn id="158" xr3:uid="{00000000-0010-0000-0000-00009E000000}" name="Post_Avg_Patent_Families"/>
    <tableColumn id="159" xr3:uid="{00000000-0010-0000-0000-00009F000000}" name="Delta_Patent_Families"/>
    <tableColumn id="160" xr3:uid="{00000000-0010-0000-0000-0000A0000000}" name="Pre_Avg_Citation_Weighted"/>
    <tableColumn id="161" xr3:uid="{00000000-0010-0000-0000-0000A1000000}" name="Post_Avg_Citation_Weighted"/>
    <tableColumn id="162" xr3:uid="{00000000-0010-0000-0000-0000A2000000}" name="Delta_Citation_Weighted"/>
    <tableColumn id="163" xr3:uid="{00000000-0010-0000-0000-0000A3000000}" name="Complete_Financial_Window"/>
    <tableColumn id="164" xr3:uid="{00000000-0010-0000-0000-0000A4000000}" name="Complete_Patent_Window"/>
    <tableColumn id="165" xr3:uid="{00000000-0010-0000-0000-0000A5000000}" name="Data_Ready_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TPanelTable" displayName="TRTPanelTable" ref="A1:W295">
  <tableColumns count="23">
    <tableColumn id="1" xr3:uid="{00000000-0010-0000-0100-000001000000}" name="Deal_ID"/>
    <tableColumn id="2" xr3:uid="{00000000-0010-0000-0100-000002000000}" name="Initial_Group"/>
    <tableColumn id="5" xr3:uid="{00000000-0010-0000-0100-000005000000}" name="Initial_Treatment"/>
    <tableColumn id="8" xr3:uid="{00000000-0010-0000-0100-000008000000}" name="Acquirer"/>
    <tableColumn id="9" xr3:uid="{00000000-0010-0000-0100-000009000000}" name="Target"/>
    <tableColumn id="10" xr3:uid="{00000000-0010-0000-0100-00000A000000}" name="Completion_Year"/>
    <tableColumn id="11" xr3:uid="{00000000-0010-0000-0100-00000B000000}" name="Relative_Year"/>
    <tableColumn id="12" xr3:uid="{00000000-0010-0000-0100-00000C000000}" name="Calendar_Year"/>
    <tableColumn id="13" xr3:uid="{00000000-0010-0000-0100-00000D000000}" name="Post_Excluding_t0"/>
    <tableColumn id="14" xr3:uid="{00000000-0010-0000-0100-00000E000000}" name="Post_Including_t0"/>
    <tableColumn id="15" xr3:uid="{00000000-0010-0000-0100-00000F000000}" name="Treatment_x_Post"/>
    <tableColumn id="16" xr3:uid="{00000000-0010-0000-0100-000010000000}" name="Revenue_m"/>
    <tableColumn id="17" xr3:uid="{00000000-0010-0000-0100-000011000000}" name="Operating_Income_m"/>
    <tableColumn id="18" xr3:uid="{00000000-0010-0000-0100-000012000000}" name="Net_Income_m"/>
    <tableColumn id="19" xr3:uid="{00000000-0010-0000-0100-000013000000}" name="Total_Assets_m"/>
    <tableColumn id="20" xr3:uid="{00000000-0010-0000-0100-000014000000}" name="Total_Debt_m"/>
    <tableColumn id="21" xr3:uid="{00000000-0010-0000-0100-000015000000}" name="R_and_D_Expense_m"/>
    <tableColumn id="22" xr3:uid="{00000000-0010-0000-0100-000016000000}" name="ROA_pct"/>
    <tableColumn id="23" xr3:uid="{00000000-0010-0000-0100-000017000000}" name="Operating_Margin_pct"/>
    <tableColumn id="24" xr3:uid="{00000000-0010-0000-0100-000018000000}" name="Leverage_pct"/>
    <tableColumn id="25" xr3:uid="{00000000-0010-0000-0100-000019000000}" name="Patent_Family_Count"/>
    <tableColumn id="26" xr3:uid="{00000000-0010-0000-0100-00001A000000}" name="Citation_Weighted_Output"/>
    <tableColumn id="28" xr3:uid="{00000000-0010-0000-0100-00001C000000}" name="Deal_Value_USD_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TVariableDictionary" displayName="TRTVariableDictionary" ref="A1:H23">
  <tableColumns count="8">
    <tableColumn id="1" xr3:uid="{00000000-0010-0000-0200-000001000000}" name="Variable"/>
    <tableColumn id="2" xr3:uid="{00000000-0010-0000-0200-000002000000}" name="Sheet"/>
    <tableColumn id="3" xr3:uid="{00000000-0010-0000-0200-000003000000}" name="Role"/>
    <tableColumn id="4" xr3:uid="{00000000-0010-0000-0200-000004000000}" name="Definition / Formula"/>
    <tableColumn id="5" xr3:uid="{00000000-0010-0000-0200-000005000000}" name="Source"/>
    <tableColumn id="6" xr3:uid="{00000000-0010-0000-0200-000006000000}" name="Timing / Unit"/>
    <tableColumn id="7" xr3:uid="{00000000-0010-0000-0200-000007000000}" name="Required for"/>
    <tableColumn id="8" xr3:uid="{00000000-0010-0000-0200-000008000000}" name="Data-entry ru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I47"/>
  <sheetViews>
    <sheetView topLeftCell="AI1" workbookViewId="0">
      <selection sqref="A1:N1"/>
    </sheetView>
  </sheetViews>
  <sheetFormatPr defaultRowHeight="14"/>
  <cols>
    <col min="1" max="1" width="13" customWidth="1"/>
    <col min="2" max="2" width="10" customWidth="1"/>
    <col min="3" max="3" width="18" customWidth="1"/>
    <col min="4" max="4" width="12" customWidth="1"/>
    <col min="5" max="5" width="26" customWidth="1"/>
    <col min="6" max="6" width="32" customWidth="1"/>
    <col min="7" max="8" width="11" customWidth="1"/>
    <col min="9" max="9" width="13" customWidth="1"/>
    <col min="10" max="10" width="12" customWidth="1"/>
    <col min="11" max="11" width="15" customWidth="1"/>
    <col min="12" max="12" width="22" customWidth="1"/>
    <col min="13" max="13" width="14" customWidth="1"/>
    <col min="14" max="14" width="25" customWidth="1"/>
    <col min="15" max="16" width="13" customWidth="1"/>
    <col min="17" max="17" width="11" customWidth="1"/>
    <col min="18" max="18" width="12" customWidth="1"/>
    <col min="19" max="19" width="11" customWidth="1"/>
    <col min="20" max="20" width="38" customWidth="1"/>
    <col min="21" max="21" width="20" customWidth="1"/>
    <col min="22" max="23" width="18" customWidth="1"/>
    <col min="24" max="24" width="22" customWidth="1"/>
    <col min="25" max="25" width="18" customWidth="1"/>
    <col min="26" max="27" width="32" customWidth="1"/>
    <col min="28" max="28" width="28" customWidth="1"/>
    <col min="29" max="29" width="24" customWidth="1"/>
    <col min="30" max="30" width="28" customWidth="1"/>
    <col min="31" max="31" width="24" customWidth="1"/>
    <col min="32" max="33" width="14" customWidth="1"/>
    <col min="34" max="35" width="42" customWidth="1"/>
    <col min="36" max="37" width="16" customWidth="1"/>
    <col min="38" max="38" width="14" customWidth="1"/>
    <col min="39" max="39" width="13" customWidth="1"/>
    <col min="40" max="41" width="15" customWidth="1"/>
    <col min="42" max="42" width="22" customWidth="1"/>
    <col min="43" max="44" width="24" customWidth="1"/>
    <col min="45" max="46" width="28" customWidth="1"/>
    <col min="47" max="47" width="30" customWidth="1"/>
    <col min="48" max="48" width="18" customWidth="1"/>
    <col min="49" max="52" width="14" customWidth="1"/>
    <col min="53" max="53" width="18" customWidth="1"/>
    <col min="54" max="54" width="14" customWidth="1"/>
    <col min="55" max="55" width="32" customWidth="1"/>
    <col min="56" max="56" width="34" customWidth="1"/>
    <col min="57" max="57" width="14" customWidth="1"/>
    <col min="58" max="59" width="16" customWidth="1"/>
    <col min="60" max="60" width="18" customWidth="1"/>
    <col min="61" max="144" width="13" customWidth="1"/>
    <col min="145" max="149" width="16" customWidth="1"/>
    <col min="150" max="150" width="18" customWidth="1"/>
    <col min="151" max="165" width="13" customWidth="1"/>
  </cols>
  <sheetData>
    <row r="1" spans="1:165" ht="16" customHeight="1">
      <c r="A1" s="30" t="s">
        <v>3</v>
      </c>
      <c r="B1" s="29"/>
      <c r="C1" s="29"/>
      <c r="D1" s="29"/>
      <c r="E1" s="29"/>
      <c r="F1" s="29"/>
      <c r="G1" s="29"/>
      <c r="H1" s="29"/>
      <c r="I1" s="29"/>
      <c r="J1" s="29"/>
      <c r="K1" s="29"/>
      <c r="L1" s="29"/>
      <c r="M1" s="29"/>
      <c r="N1" s="29"/>
      <c r="O1" s="30" t="s">
        <v>4</v>
      </c>
      <c r="P1" s="29"/>
      <c r="Q1" s="29"/>
      <c r="R1" s="29"/>
      <c r="S1" s="29"/>
      <c r="T1" s="29"/>
      <c r="U1" s="29"/>
      <c r="V1" s="29"/>
      <c r="W1" s="29"/>
      <c r="X1" s="29"/>
      <c r="Y1" s="29"/>
      <c r="Z1" s="29"/>
      <c r="AA1" s="29"/>
      <c r="AB1" s="29"/>
      <c r="AC1" s="29"/>
      <c r="AD1" s="29"/>
      <c r="AE1" s="29"/>
      <c r="AF1" s="29"/>
      <c r="AG1" s="29"/>
      <c r="AH1" s="29"/>
      <c r="AI1" s="29"/>
      <c r="AJ1" s="30" t="s">
        <v>5</v>
      </c>
      <c r="AK1" s="29"/>
      <c r="AL1" s="29"/>
      <c r="AM1" s="29"/>
      <c r="AN1" s="29"/>
      <c r="AO1" s="29"/>
      <c r="AP1" s="29"/>
      <c r="AQ1" s="29"/>
      <c r="AR1" s="29"/>
      <c r="AS1" s="29"/>
      <c r="AT1" s="29"/>
      <c r="AU1" s="29"/>
      <c r="AV1" s="29"/>
      <c r="AW1" s="29"/>
      <c r="AX1" s="29"/>
      <c r="AY1" s="29"/>
      <c r="AZ1" s="29"/>
      <c r="BA1" s="29"/>
      <c r="BB1" s="29"/>
      <c r="BC1" s="29"/>
      <c r="BD1" s="29"/>
      <c r="BE1" s="29"/>
      <c r="BF1" s="29"/>
      <c r="BG1" s="29"/>
      <c r="BH1" s="29"/>
      <c r="BI1" s="30" t="s">
        <v>6</v>
      </c>
      <c r="BJ1" s="29"/>
      <c r="BK1" s="29"/>
      <c r="BL1" s="29"/>
      <c r="BM1" s="29"/>
      <c r="BN1" s="29"/>
      <c r="BO1" s="29"/>
      <c r="BP1" s="30" t="s">
        <v>7</v>
      </c>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30" t="s">
        <v>8</v>
      </c>
      <c r="EB1" s="29"/>
      <c r="EC1" s="29"/>
      <c r="ED1" s="29"/>
      <c r="EE1" s="29"/>
      <c r="EF1" s="29"/>
      <c r="EG1" s="29"/>
      <c r="EH1" s="29"/>
      <c r="EI1" s="29"/>
      <c r="EJ1" s="29"/>
      <c r="EK1" s="29"/>
      <c r="EL1" s="29"/>
      <c r="EM1" s="29"/>
      <c r="EN1" s="29"/>
      <c r="EO1" s="30" t="s">
        <v>9</v>
      </c>
      <c r="EP1" s="29"/>
      <c r="EQ1" s="29"/>
      <c r="ER1" s="29"/>
      <c r="ES1" s="29"/>
      <c r="ET1" s="29"/>
      <c r="EU1" s="30" t="s">
        <v>10</v>
      </c>
      <c r="EV1" s="29"/>
      <c r="EW1" s="29"/>
      <c r="EX1" s="29"/>
      <c r="EY1" s="29"/>
      <c r="EZ1" s="29"/>
      <c r="FA1" s="29"/>
      <c r="FB1" s="29"/>
      <c r="FC1" s="29"/>
      <c r="FD1" s="29"/>
      <c r="FE1" s="29"/>
      <c r="FF1" s="29"/>
      <c r="FG1" s="29"/>
      <c r="FH1" s="29"/>
      <c r="FI1" s="29"/>
    </row>
    <row r="2" spans="1:165" ht="32" customHeight="1">
      <c r="A2" s="1" t="s">
        <v>11</v>
      </c>
      <c r="B2" s="1" t="s">
        <v>12</v>
      </c>
      <c r="C2" s="1" t="s">
        <v>13</v>
      </c>
      <c r="D2" s="1" t="s">
        <v>14</v>
      </c>
      <c r="E2" s="1" t="s">
        <v>15</v>
      </c>
      <c r="F2" s="1" t="s">
        <v>16</v>
      </c>
      <c r="G2" s="1" t="s">
        <v>17</v>
      </c>
      <c r="H2" s="1" t="s">
        <v>18</v>
      </c>
      <c r="I2" s="1" t="s">
        <v>19</v>
      </c>
      <c r="J2" s="1" t="s">
        <v>20</v>
      </c>
      <c r="K2" s="1" t="s">
        <v>21</v>
      </c>
      <c r="L2" s="1" t="s">
        <v>22</v>
      </c>
      <c r="M2" s="1" t="s">
        <v>23</v>
      </c>
      <c r="N2" s="1" t="s">
        <v>24</v>
      </c>
      <c r="O2" s="1" t="s">
        <v>25</v>
      </c>
      <c r="P2" s="1" t="s">
        <v>26</v>
      </c>
      <c r="Q2" s="1" t="s">
        <v>27</v>
      </c>
      <c r="R2" s="1" t="s">
        <v>28</v>
      </c>
      <c r="S2" s="1" t="s">
        <v>29</v>
      </c>
      <c r="T2" s="1" t="s">
        <v>30</v>
      </c>
      <c r="U2" s="1" t="s">
        <v>31</v>
      </c>
      <c r="V2" s="1" t="s">
        <v>32</v>
      </c>
      <c r="W2" s="1" t="s">
        <v>33</v>
      </c>
      <c r="X2" s="1" t="s">
        <v>34</v>
      </c>
      <c r="Y2" s="1" t="s">
        <v>35</v>
      </c>
      <c r="Z2" s="1" t="s">
        <v>36</v>
      </c>
      <c r="AA2" s="1" t="s">
        <v>37</v>
      </c>
      <c r="AB2" s="1" t="s">
        <v>38</v>
      </c>
      <c r="AC2" s="1" t="s">
        <v>39</v>
      </c>
      <c r="AD2" s="1" t="s">
        <v>40</v>
      </c>
      <c r="AE2" s="1" t="s">
        <v>41</v>
      </c>
      <c r="AF2" s="1" t="s">
        <v>42</v>
      </c>
      <c r="AG2" s="1" t="s">
        <v>43</v>
      </c>
      <c r="AH2" s="1" t="s">
        <v>44</v>
      </c>
      <c r="AI2" s="1" t="s">
        <v>45</v>
      </c>
      <c r="AJ2" s="1" t="s">
        <v>46</v>
      </c>
      <c r="AK2" s="1" t="s">
        <v>47</v>
      </c>
      <c r="AL2" s="1" t="s">
        <v>48</v>
      </c>
      <c r="AM2" s="1" t="s">
        <v>49</v>
      </c>
      <c r="AN2" s="1" t="s">
        <v>50</v>
      </c>
      <c r="AO2" s="1" t="s">
        <v>51</v>
      </c>
      <c r="AP2" s="1" t="s">
        <v>52</v>
      </c>
      <c r="AQ2" s="1" t="s">
        <v>53</v>
      </c>
      <c r="AR2" s="1" t="s">
        <v>54</v>
      </c>
      <c r="AS2" s="1" t="s">
        <v>55</v>
      </c>
      <c r="AT2" s="1" t="s">
        <v>56</v>
      </c>
      <c r="AU2" s="1" t="s">
        <v>57</v>
      </c>
      <c r="AV2" s="1" t="s">
        <v>58</v>
      </c>
      <c r="AW2" s="1" t="s">
        <v>59</v>
      </c>
      <c r="AX2" s="1" t="s">
        <v>60</v>
      </c>
      <c r="AY2" s="1" t="s">
        <v>61</v>
      </c>
      <c r="AZ2" s="1" t="s">
        <v>62</v>
      </c>
      <c r="BA2" s="1" t="s">
        <v>63</v>
      </c>
      <c r="BB2" s="1" t="s">
        <v>64</v>
      </c>
      <c r="BC2" s="1" t="s">
        <v>65</v>
      </c>
      <c r="BD2" s="1" t="s">
        <v>66</v>
      </c>
      <c r="BE2" s="1" t="s">
        <v>67</v>
      </c>
      <c r="BF2" s="1" t="s">
        <v>68</v>
      </c>
      <c r="BG2" s="1" t="s">
        <v>69</v>
      </c>
      <c r="BH2" s="1" t="s">
        <v>70</v>
      </c>
      <c r="BI2" s="1" t="s">
        <v>71</v>
      </c>
      <c r="BJ2" s="1" t="s">
        <v>72</v>
      </c>
      <c r="BK2" s="1" t="s">
        <v>73</v>
      </c>
      <c r="BL2" s="1" t="s">
        <v>74</v>
      </c>
      <c r="BM2" s="1" t="s">
        <v>75</v>
      </c>
      <c r="BN2" s="1" t="s">
        <v>76</v>
      </c>
      <c r="BO2" s="1" t="s">
        <v>77</v>
      </c>
      <c r="BP2" s="1" t="s">
        <v>78</v>
      </c>
      <c r="BQ2" s="1" t="s">
        <v>79</v>
      </c>
      <c r="BR2" s="1" t="s">
        <v>80</v>
      </c>
      <c r="BS2" s="1" t="s">
        <v>81</v>
      </c>
      <c r="BT2" s="1" t="s">
        <v>82</v>
      </c>
      <c r="BU2" s="1" t="s">
        <v>83</v>
      </c>
      <c r="BV2" s="1" t="s">
        <v>84</v>
      </c>
      <c r="BW2" s="1" t="s">
        <v>85</v>
      </c>
      <c r="BX2" s="1" t="s">
        <v>86</v>
      </c>
      <c r="BY2" s="1" t="s">
        <v>87</v>
      </c>
      <c r="BZ2" s="1" t="s">
        <v>88</v>
      </c>
      <c r="CA2" s="1" t="s">
        <v>89</v>
      </c>
      <c r="CB2" s="1" t="s">
        <v>90</v>
      </c>
      <c r="CC2" s="1" t="s">
        <v>91</v>
      </c>
      <c r="CD2" s="1" t="s">
        <v>92</v>
      </c>
      <c r="CE2" s="1" t="s">
        <v>93</v>
      </c>
      <c r="CF2" s="1" t="s">
        <v>94</v>
      </c>
      <c r="CG2" s="1" t="s">
        <v>95</v>
      </c>
      <c r="CH2" s="1" t="s">
        <v>96</v>
      </c>
      <c r="CI2" s="1" t="s">
        <v>97</v>
      </c>
      <c r="CJ2" s="1" t="s">
        <v>98</v>
      </c>
      <c r="CK2" s="1" t="s">
        <v>99</v>
      </c>
      <c r="CL2" s="1" t="s">
        <v>100</v>
      </c>
      <c r="CM2" s="1" t="s">
        <v>101</v>
      </c>
      <c r="CN2" s="1" t="s">
        <v>102</v>
      </c>
      <c r="CO2" s="1" t="s">
        <v>103</v>
      </c>
      <c r="CP2" s="1" t="s">
        <v>104</v>
      </c>
      <c r="CQ2" s="1" t="s">
        <v>105</v>
      </c>
      <c r="CR2" s="1" t="s">
        <v>106</v>
      </c>
      <c r="CS2" s="1" t="s">
        <v>107</v>
      </c>
      <c r="CT2" s="1" t="s">
        <v>108</v>
      </c>
      <c r="CU2" s="1" t="s">
        <v>109</v>
      </c>
      <c r="CV2" s="1" t="s">
        <v>110</v>
      </c>
      <c r="CW2" s="1" t="s">
        <v>111</v>
      </c>
      <c r="CX2" s="1" t="s">
        <v>112</v>
      </c>
      <c r="CY2" s="1" t="s">
        <v>113</v>
      </c>
      <c r="CZ2" s="1" t="s">
        <v>114</v>
      </c>
      <c r="DA2" s="1" t="s">
        <v>115</v>
      </c>
      <c r="DB2" s="1" t="s">
        <v>116</v>
      </c>
      <c r="DC2" s="1" t="s">
        <v>117</v>
      </c>
      <c r="DD2" s="1" t="s">
        <v>118</v>
      </c>
      <c r="DE2" s="1" t="s">
        <v>119</v>
      </c>
      <c r="DF2" s="1" t="s">
        <v>120</v>
      </c>
      <c r="DG2" s="1" t="s">
        <v>121</v>
      </c>
      <c r="DH2" s="1" t="s">
        <v>122</v>
      </c>
      <c r="DI2" s="1" t="s">
        <v>123</v>
      </c>
      <c r="DJ2" s="1" t="s">
        <v>124</v>
      </c>
      <c r="DK2" s="1" t="s">
        <v>125</v>
      </c>
      <c r="DL2" s="1" t="s">
        <v>126</v>
      </c>
      <c r="DM2" s="1" t="s">
        <v>127</v>
      </c>
      <c r="DN2" s="1" t="s">
        <v>128</v>
      </c>
      <c r="DO2" s="1" t="s">
        <v>129</v>
      </c>
      <c r="DP2" s="1" t="s">
        <v>130</v>
      </c>
      <c r="DQ2" s="1" t="s">
        <v>131</v>
      </c>
      <c r="DR2" s="1" t="s">
        <v>132</v>
      </c>
      <c r="DS2" s="1" t="s">
        <v>133</v>
      </c>
      <c r="DT2" s="1" t="s">
        <v>134</v>
      </c>
      <c r="DU2" s="1" t="s">
        <v>135</v>
      </c>
      <c r="DV2" s="1" t="s">
        <v>136</v>
      </c>
      <c r="DW2" s="1" t="s">
        <v>137</v>
      </c>
      <c r="DX2" s="1" t="s">
        <v>138</v>
      </c>
      <c r="DY2" s="1" t="s">
        <v>139</v>
      </c>
      <c r="DZ2" s="1" t="s">
        <v>140</v>
      </c>
      <c r="EA2" s="1" t="s">
        <v>141</v>
      </c>
      <c r="EB2" s="1" t="s">
        <v>142</v>
      </c>
      <c r="EC2" s="1" t="s">
        <v>143</v>
      </c>
      <c r="ED2" s="1" t="s">
        <v>144</v>
      </c>
      <c r="EE2" s="1" t="s">
        <v>145</v>
      </c>
      <c r="EF2" s="1" t="s">
        <v>146</v>
      </c>
      <c r="EG2" s="1" t="s">
        <v>147</v>
      </c>
      <c r="EH2" s="1" t="s">
        <v>148</v>
      </c>
      <c r="EI2" s="1" t="s">
        <v>149</v>
      </c>
      <c r="EJ2" s="1" t="s">
        <v>150</v>
      </c>
      <c r="EK2" s="1" t="s">
        <v>151</v>
      </c>
      <c r="EL2" s="1" t="s">
        <v>152</v>
      </c>
      <c r="EM2" s="1" t="s">
        <v>153</v>
      </c>
      <c r="EN2" s="1" t="s">
        <v>154</v>
      </c>
      <c r="EO2" s="1" t="s">
        <v>155</v>
      </c>
      <c r="EP2" s="1" t="s">
        <v>156</v>
      </c>
      <c r="EQ2" s="1" t="s">
        <v>157</v>
      </c>
      <c r="ER2" s="1" t="s">
        <v>158</v>
      </c>
      <c r="ES2" s="1" t="s">
        <v>159</v>
      </c>
      <c r="ET2" s="1" t="s">
        <v>160</v>
      </c>
      <c r="EU2" s="1" t="s">
        <v>161</v>
      </c>
      <c r="EV2" s="1" t="s">
        <v>162</v>
      </c>
      <c r="EW2" s="1" t="s">
        <v>163</v>
      </c>
      <c r="EX2" s="1" t="s">
        <v>164</v>
      </c>
      <c r="EY2" s="1" t="s">
        <v>165</v>
      </c>
      <c r="EZ2" s="1" t="s">
        <v>166</v>
      </c>
      <c r="FA2" s="1" t="s">
        <v>167</v>
      </c>
      <c r="FB2" s="1" t="s">
        <v>168</v>
      </c>
      <c r="FC2" s="1" t="s">
        <v>169</v>
      </c>
      <c r="FD2" s="1" t="s">
        <v>170</v>
      </c>
      <c r="FE2" s="1" t="s">
        <v>171</v>
      </c>
      <c r="FF2" s="1" t="s">
        <v>172</v>
      </c>
      <c r="FG2" s="1" t="s">
        <v>173</v>
      </c>
      <c r="FH2" s="1" t="s">
        <v>174</v>
      </c>
      <c r="FI2" s="1" t="s">
        <v>175</v>
      </c>
    </row>
    <row r="3" spans="1:165" ht="16" customHeight="1">
      <c r="A3" s="2" t="s">
        <v>176</v>
      </c>
      <c r="B3" s="2">
        <v>12</v>
      </c>
      <c r="C3" s="2" t="s">
        <v>177</v>
      </c>
      <c r="D3" s="2">
        <v>1</v>
      </c>
      <c r="E3" s="2" t="s">
        <v>178</v>
      </c>
      <c r="F3" s="2" t="s">
        <v>179</v>
      </c>
      <c r="G3" s="2" t="s">
        <v>180</v>
      </c>
      <c r="H3" s="2" t="s">
        <v>181</v>
      </c>
      <c r="I3" s="2" t="s">
        <v>181</v>
      </c>
      <c r="J3" s="2">
        <v>1</v>
      </c>
      <c r="K3" s="2" t="s">
        <v>182</v>
      </c>
      <c r="L3" s="2" t="s">
        <v>183</v>
      </c>
      <c r="M3" s="2" t="s">
        <v>184</v>
      </c>
      <c r="N3" s="2"/>
      <c r="O3" s="5">
        <v>43924</v>
      </c>
      <c r="P3" s="5">
        <v>43986</v>
      </c>
      <c r="Q3" s="2">
        <v>2020</v>
      </c>
      <c r="R3" s="2" t="s">
        <v>185</v>
      </c>
      <c r="S3" s="2" t="s">
        <v>186</v>
      </c>
      <c r="T3" s="4" t="s">
        <v>187</v>
      </c>
      <c r="U3" s="2" t="s">
        <v>188</v>
      </c>
      <c r="V3" s="2" t="s">
        <v>189</v>
      </c>
      <c r="W3" s="2" t="s">
        <v>0</v>
      </c>
      <c r="X3" s="2" t="s">
        <v>190</v>
      </c>
      <c r="Y3" s="2" t="s">
        <v>0</v>
      </c>
      <c r="Z3" s="4" t="s">
        <v>191</v>
      </c>
      <c r="AA3" s="4" t="s">
        <v>192</v>
      </c>
      <c r="AB3" s="2" t="s">
        <v>193</v>
      </c>
      <c r="AC3" s="2" t="s">
        <v>194</v>
      </c>
      <c r="AD3" s="2" t="s">
        <v>195</v>
      </c>
      <c r="AE3" s="2" t="s">
        <v>196</v>
      </c>
      <c r="AF3" s="6"/>
      <c r="AG3" s="2" t="s">
        <v>197</v>
      </c>
      <c r="AH3" s="4" t="s">
        <v>198</v>
      </c>
      <c r="AI3" s="4" t="s">
        <v>199</v>
      </c>
      <c r="AJ3" s="2"/>
      <c r="AK3" s="2"/>
      <c r="AL3" s="2" t="s">
        <v>200</v>
      </c>
      <c r="AM3" s="2" t="s">
        <v>200</v>
      </c>
      <c r="AN3" s="2"/>
      <c r="AO3" s="2"/>
      <c r="AP3" s="2"/>
      <c r="AQ3" s="2"/>
      <c r="AR3" s="2"/>
      <c r="AS3" s="2" t="s">
        <v>193</v>
      </c>
      <c r="AT3" s="2" t="s">
        <v>195</v>
      </c>
      <c r="AU3" s="2" t="s">
        <v>201</v>
      </c>
      <c r="AV3" s="2" t="s">
        <v>202</v>
      </c>
      <c r="AW3" s="2" t="s">
        <v>200</v>
      </c>
      <c r="AX3" s="2" t="s">
        <v>200</v>
      </c>
      <c r="AY3" s="2" t="s">
        <v>200</v>
      </c>
      <c r="AZ3" s="2" t="s">
        <v>200</v>
      </c>
      <c r="BA3" s="2" t="s">
        <v>200</v>
      </c>
      <c r="BB3" s="2" t="s">
        <v>200</v>
      </c>
      <c r="BC3" s="4"/>
      <c r="BD3" s="2"/>
      <c r="BE3" s="2"/>
      <c r="BF3" s="2" t="s">
        <v>203</v>
      </c>
      <c r="BG3" s="2" t="s">
        <v>203</v>
      </c>
      <c r="BH3" s="2" t="s">
        <v>204</v>
      </c>
      <c r="BI3" s="2">
        <f t="shared" ref="BI3:BI11" si="0">IF($Q3="","",$Q3-3)</f>
        <v>2017</v>
      </c>
      <c r="BJ3" s="2">
        <f t="shared" ref="BJ3:BJ11" si="1">IF($Q3="","",$Q3-2)</f>
        <v>2018</v>
      </c>
      <c r="BK3" s="2">
        <f t="shared" ref="BK3:BK11" si="2">IF($Q3="","",$Q3-1)</f>
        <v>2019</v>
      </c>
      <c r="BL3" s="2">
        <f t="shared" ref="BL3:BL11" si="3">IF($Q3="","",$Q3+0)</f>
        <v>2020</v>
      </c>
      <c r="BM3" s="2">
        <f t="shared" ref="BM3:BM11" si="4">IF($Q3="","",$Q3+1)</f>
        <v>2021</v>
      </c>
      <c r="BN3" s="2">
        <f t="shared" ref="BN3:BN11" si="5">IF($Q3="","",$Q3+2)</f>
        <v>2022</v>
      </c>
      <c r="BO3" s="2">
        <f t="shared" ref="BO3:BO11" si="6">IF($Q3="","",$Q3+3)</f>
        <v>2023</v>
      </c>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7"/>
      <c r="DG3" s="7"/>
      <c r="DH3" s="7"/>
      <c r="DI3" s="7"/>
      <c r="DJ3" s="7"/>
      <c r="DK3" s="7"/>
      <c r="DL3" s="7"/>
      <c r="DM3" s="7"/>
      <c r="DN3" s="7"/>
      <c r="DO3" s="7"/>
      <c r="DP3" s="7"/>
      <c r="DQ3" s="7"/>
      <c r="DR3" s="7"/>
      <c r="DS3" s="7"/>
      <c r="DT3" s="7"/>
      <c r="DU3" s="7"/>
      <c r="DV3" s="7"/>
      <c r="DW3" s="7"/>
      <c r="DX3" s="7"/>
      <c r="DY3" s="7"/>
      <c r="DZ3" s="7"/>
      <c r="EA3" s="8"/>
      <c r="EB3" s="8"/>
      <c r="EC3" s="8"/>
      <c r="ED3" s="8"/>
      <c r="EE3" s="8"/>
      <c r="EF3" s="8"/>
      <c r="EG3" s="8"/>
      <c r="EH3" s="8"/>
      <c r="EI3" s="8"/>
      <c r="EJ3" s="8"/>
      <c r="EK3" s="8"/>
      <c r="EL3" s="8"/>
      <c r="EM3" s="8"/>
      <c r="EN3" s="8"/>
      <c r="EO3" s="8"/>
      <c r="EP3" s="8"/>
      <c r="EQ3" s="9" t="str">
        <f t="shared" ref="EQ3:EQ47" si="7">IF(OR($EO3="",$EP3="",$EO3=0),"",$EP3/$EO3)</f>
        <v/>
      </c>
      <c r="ER3" s="10"/>
      <c r="ES3" s="2" t="s">
        <v>200</v>
      </c>
      <c r="ET3" s="2" t="s">
        <v>200</v>
      </c>
      <c r="EU3" s="11" t="str">
        <f t="shared" ref="EU3:EU47" si="8">IF(COUNT($DF3,$DG3,$DH3)=0,"",AVERAGE($DF3,$DG3,$DH3))</f>
        <v/>
      </c>
      <c r="EV3" s="11" t="str">
        <f t="shared" ref="EV3:EV47" si="9">IF(COUNT($DJ3,$DK3,$DL3)=0,"",AVERAGE($DJ3,$DK3,$DL3))</f>
        <v/>
      </c>
      <c r="EW3" s="11" t="str">
        <f t="shared" ref="EW3:EW47" si="10">IF(OR($EU3="",$EV3=""),"",$EV3-$EU3)</f>
        <v/>
      </c>
      <c r="EX3" s="11" t="str">
        <f t="shared" ref="EX3:EX47" si="11">IF(COUNT($DM3,$DN3,$DO3)=0,"",AVERAGE($DM3,$DN3,$DO3))</f>
        <v/>
      </c>
      <c r="EY3" s="11" t="str">
        <f t="shared" ref="EY3:EY47" si="12">IF(COUNT($DQ3,$DR3,$DS3)=0,"",AVERAGE($DQ3,$DR3,$DS3))</f>
        <v/>
      </c>
      <c r="EZ3" s="11" t="str">
        <f t="shared" ref="EZ3:EZ47" si="13">IF(OR($EX3="",$EY3=""),"",$EY3-$EX3)</f>
        <v/>
      </c>
      <c r="FA3" s="12" t="str">
        <f t="shared" ref="FA3:FA47" si="14">IF(COUNT($EA3,$EB3,$EC3)=0,"",AVERAGE($EA3,$EB3,$EC3))</f>
        <v/>
      </c>
      <c r="FB3" s="12" t="str">
        <f t="shared" ref="FB3:FB47" si="15">IF(COUNT($EE3,$EF3,$EG3)=0,"",AVERAGE($EE3,$EF3,$EG3))</f>
        <v/>
      </c>
      <c r="FC3" s="12" t="str">
        <f t="shared" ref="FC3:FC47" si="16">IF(OR($FA3="",$FB3=""),"",$FB3-$FA3)</f>
        <v/>
      </c>
      <c r="FD3" s="12" t="str">
        <f t="shared" ref="FD3:FD47" si="17">IF(COUNT($EH3,$EI3,$EJ3)=0,"",AVERAGE($EH3,$EI3,$EJ3))</f>
        <v/>
      </c>
      <c r="FE3" s="12" t="str">
        <f t="shared" ref="FE3:FE47" si="18">IF(COUNT($EL3,$EM3,$EN3)=0,"",AVERAGE($EL3,$EM3,$EN3))</f>
        <v/>
      </c>
      <c r="FF3" s="12" t="str">
        <f t="shared" ref="FF3:FF47" si="19">IF(OR($FD3="",$FE3=""),"",$FE3-$FD3)</f>
        <v/>
      </c>
      <c r="FG3" s="3" t="str">
        <f t="shared" ref="FG3:FG47" si="20">IF(COUNT($DF3,$DG3,$DH3,$DJ3,$DK3,$DL3,$DM3,$DN3,$DO3,$DQ3,$DR3,$DS3)=12,"Yes","No")</f>
        <v>No</v>
      </c>
      <c r="FH3" s="3" t="str">
        <f t="shared" ref="FH3:FH47" si="21">IF(COUNT($EA3,$EB3,$EC3,$EE3,$EF3,$EG3,$EH3,$EI3,$EJ3,$EL3,$EM3,$EN3)=12,"Yes","No")</f>
        <v>No</v>
      </c>
      <c r="FI3" s="3" t="str">
        <f t="shared" ref="FI3:FI47" si="22">IF(AND($M3="Include",OR($FG3="Yes",$FH3="Yes")),"Ready","Not ready")</f>
        <v>Not ready</v>
      </c>
    </row>
    <row r="4" spans="1:165" ht="16" customHeight="1">
      <c r="A4" s="2" t="s">
        <v>205</v>
      </c>
      <c r="B4" s="2">
        <v>13</v>
      </c>
      <c r="C4" s="2" t="s">
        <v>177</v>
      </c>
      <c r="D4" s="2">
        <v>1</v>
      </c>
      <c r="E4" s="2" t="s">
        <v>178</v>
      </c>
      <c r="F4" s="2" t="s">
        <v>206</v>
      </c>
      <c r="G4" s="2" t="s">
        <v>180</v>
      </c>
      <c r="H4" s="2" t="s">
        <v>181</v>
      </c>
      <c r="I4" s="2" t="s">
        <v>181</v>
      </c>
      <c r="J4" s="2">
        <v>1</v>
      </c>
      <c r="K4" s="2" t="s">
        <v>182</v>
      </c>
      <c r="L4" s="2" t="s">
        <v>183</v>
      </c>
      <c r="M4" s="2" t="s">
        <v>184</v>
      </c>
      <c r="N4" s="2"/>
      <c r="O4" s="5">
        <v>43822</v>
      </c>
      <c r="P4" s="5">
        <v>43861</v>
      </c>
      <c r="Q4" s="2">
        <v>2020</v>
      </c>
      <c r="R4" s="2" t="s">
        <v>207</v>
      </c>
      <c r="S4" s="2" t="s">
        <v>186</v>
      </c>
      <c r="T4" s="4" t="s">
        <v>208</v>
      </c>
      <c r="U4" s="2" t="s">
        <v>188</v>
      </c>
      <c r="V4" s="2" t="s">
        <v>189</v>
      </c>
      <c r="W4" s="2" t="s">
        <v>0</v>
      </c>
      <c r="X4" s="2" t="s">
        <v>209</v>
      </c>
      <c r="Y4" s="2" t="s">
        <v>0</v>
      </c>
      <c r="Z4" s="4" t="s">
        <v>210</v>
      </c>
      <c r="AA4" s="4" t="s">
        <v>211</v>
      </c>
      <c r="AB4" s="2" t="s">
        <v>212</v>
      </c>
      <c r="AC4" s="2" t="s">
        <v>213</v>
      </c>
      <c r="AD4" s="2" t="s">
        <v>214</v>
      </c>
      <c r="AE4" s="2" t="s">
        <v>215</v>
      </c>
      <c r="AF4" s="6">
        <v>354</v>
      </c>
      <c r="AG4" s="2">
        <v>354</v>
      </c>
      <c r="AH4" s="4" t="s">
        <v>216</v>
      </c>
      <c r="AI4" s="4" t="s">
        <v>217</v>
      </c>
      <c r="AJ4" s="2"/>
      <c r="AK4" s="2"/>
      <c r="AL4" s="2" t="s">
        <v>200</v>
      </c>
      <c r="AM4" s="2" t="s">
        <v>200</v>
      </c>
      <c r="AN4" s="2"/>
      <c r="AO4" s="2"/>
      <c r="AP4" s="2"/>
      <c r="AQ4" s="2"/>
      <c r="AR4" s="2"/>
      <c r="AS4" s="2" t="s">
        <v>212</v>
      </c>
      <c r="AT4" s="2" t="s">
        <v>214</v>
      </c>
      <c r="AU4" s="2" t="s">
        <v>201</v>
      </c>
      <c r="AV4" s="2" t="s">
        <v>202</v>
      </c>
      <c r="AW4" s="2" t="s">
        <v>200</v>
      </c>
      <c r="AX4" s="2" t="s">
        <v>200</v>
      </c>
      <c r="AY4" s="2" t="s">
        <v>200</v>
      </c>
      <c r="AZ4" s="2" t="s">
        <v>200</v>
      </c>
      <c r="BA4" s="2" t="s">
        <v>200</v>
      </c>
      <c r="BB4" s="2" t="s">
        <v>200</v>
      </c>
      <c r="BC4" s="4"/>
      <c r="BD4" s="2"/>
      <c r="BE4" s="2"/>
      <c r="BF4" s="2" t="s">
        <v>203</v>
      </c>
      <c r="BG4" s="2" t="s">
        <v>203</v>
      </c>
      <c r="BH4" s="2" t="s">
        <v>204</v>
      </c>
      <c r="BI4" s="2">
        <f t="shared" si="0"/>
        <v>2017</v>
      </c>
      <c r="BJ4" s="2">
        <f t="shared" si="1"/>
        <v>2018</v>
      </c>
      <c r="BK4" s="2">
        <f t="shared" si="2"/>
        <v>2019</v>
      </c>
      <c r="BL4" s="2">
        <f t="shared" si="3"/>
        <v>2020</v>
      </c>
      <c r="BM4" s="2">
        <f t="shared" si="4"/>
        <v>2021</v>
      </c>
      <c r="BN4" s="2">
        <f t="shared" si="5"/>
        <v>2022</v>
      </c>
      <c r="BO4" s="2">
        <f t="shared" si="6"/>
        <v>2023</v>
      </c>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7"/>
      <c r="DG4" s="7"/>
      <c r="DH4" s="7"/>
      <c r="DI4" s="7"/>
      <c r="DJ4" s="7"/>
      <c r="DK4" s="7"/>
      <c r="DL4" s="7"/>
      <c r="DM4" s="7"/>
      <c r="DN4" s="7"/>
      <c r="DO4" s="7"/>
      <c r="DP4" s="7"/>
      <c r="DQ4" s="7"/>
      <c r="DR4" s="7"/>
      <c r="DS4" s="7"/>
      <c r="DT4" s="7"/>
      <c r="DU4" s="7"/>
      <c r="DV4" s="7"/>
      <c r="DW4" s="7"/>
      <c r="DX4" s="7"/>
      <c r="DY4" s="7"/>
      <c r="DZ4" s="7"/>
      <c r="EA4" s="8"/>
      <c r="EB4" s="8"/>
      <c r="EC4" s="8"/>
      <c r="ED4" s="8"/>
      <c r="EE4" s="8"/>
      <c r="EF4" s="8"/>
      <c r="EG4" s="8"/>
      <c r="EH4" s="8"/>
      <c r="EI4" s="8"/>
      <c r="EJ4" s="8"/>
      <c r="EK4" s="8"/>
      <c r="EL4" s="8"/>
      <c r="EM4" s="8"/>
      <c r="EN4" s="8"/>
      <c r="EO4" s="8"/>
      <c r="EP4" s="8"/>
      <c r="EQ4" s="9" t="str">
        <f t="shared" si="7"/>
        <v/>
      </c>
      <c r="ER4" s="10"/>
      <c r="ES4" s="2" t="s">
        <v>200</v>
      </c>
      <c r="ET4" s="2" t="s">
        <v>200</v>
      </c>
      <c r="EU4" s="11" t="str">
        <f t="shared" si="8"/>
        <v/>
      </c>
      <c r="EV4" s="11" t="str">
        <f t="shared" si="9"/>
        <v/>
      </c>
      <c r="EW4" s="11" t="str">
        <f t="shared" si="10"/>
        <v/>
      </c>
      <c r="EX4" s="11" t="str">
        <f t="shared" si="11"/>
        <v/>
      </c>
      <c r="EY4" s="11" t="str">
        <f t="shared" si="12"/>
        <v/>
      </c>
      <c r="EZ4" s="11" t="str">
        <f t="shared" si="13"/>
        <v/>
      </c>
      <c r="FA4" s="12" t="str">
        <f t="shared" si="14"/>
        <v/>
      </c>
      <c r="FB4" s="12" t="str">
        <f t="shared" si="15"/>
        <v/>
      </c>
      <c r="FC4" s="12" t="str">
        <f t="shared" si="16"/>
        <v/>
      </c>
      <c r="FD4" s="12" t="str">
        <f t="shared" si="17"/>
        <v/>
      </c>
      <c r="FE4" s="12" t="str">
        <f t="shared" si="18"/>
        <v/>
      </c>
      <c r="FF4" s="12" t="str">
        <f t="shared" si="19"/>
        <v/>
      </c>
      <c r="FG4" s="3" t="str">
        <f t="shared" si="20"/>
        <v>No</v>
      </c>
      <c r="FH4" s="3" t="str">
        <f t="shared" si="21"/>
        <v>No</v>
      </c>
      <c r="FI4" s="3" t="str">
        <f t="shared" si="22"/>
        <v>Not ready</v>
      </c>
    </row>
    <row r="5" spans="1:165" ht="16" customHeight="1">
      <c r="A5" s="2" t="s">
        <v>218</v>
      </c>
      <c r="B5" s="2">
        <v>14</v>
      </c>
      <c r="C5" s="2" t="s">
        <v>177</v>
      </c>
      <c r="D5" s="2">
        <v>1</v>
      </c>
      <c r="E5" s="2" t="s">
        <v>178</v>
      </c>
      <c r="F5" s="2" t="s">
        <v>219</v>
      </c>
      <c r="G5" s="2" t="s">
        <v>180</v>
      </c>
      <c r="H5" s="2" t="s">
        <v>181</v>
      </c>
      <c r="I5" s="2" t="s">
        <v>181</v>
      </c>
      <c r="J5" s="2">
        <v>1</v>
      </c>
      <c r="K5" s="2" t="s">
        <v>182</v>
      </c>
      <c r="L5" s="2" t="s">
        <v>183</v>
      </c>
      <c r="M5" s="2" t="s">
        <v>184</v>
      </c>
      <c r="N5" s="2"/>
      <c r="O5" s="5">
        <v>43593</v>
      </c>
      <c r="P5" s="5">
        <v>43647</v>
      </c>
      <c r="Q5" s="2">
        <v>2019</v>
      </c>
      <c r="R5" s="2" t="s">
        <v>220</v>
      </c>
      <c r="S5" s="2" t="s">
        <v>186</v>
      </c>
      <c r="T5" s="4" t="s">
        <v>221</v>
      </c>
      <c r="U5" s="2" t="s">
        <v>188</v>
      </c>
      <c r="V5" s="2" t="s">
        <v>189</v>
      </c>
      <c r="W5" s="2" t="s">
        <v>0</v>
      </c>
      <c r="X5" s="2" t="s">
        <v>222</v>
      </c>
      <c r="Y5" s="2" t="s">
        <v>0</v>
      </c>
      <c r="Z5" s="4" t="s">
        <v>223</v>
      </c>
      <c r="AA5" s="4" t="s">
        <v>224</v>
      </c>
      <c r="AB5" s="2" t="s">
        <v>225</v>
      </c>
      <c r="AC5" s="2" t="s">
        <v>226</v>
      </c>
      <c r="AD5" s="2" t="s">
        <v>227</v>
      </c>
      <c r="AE5" s="2" t="s">
        <v>228</v>
      </c>
      <c r="AF5" s="6">
        <v>810</v>
      </c>
      <c r="AG5" s="2">
        <v>810</v>
      </c>
      <c r="AH5" s="4" t="s">
        <v>229</v>
      </c>
      <c r="AI5" s="4" t="s">
        <v>230</v>
      </c>
      <c r="AJ5" s="2"/>
      <c r="AK5" s="2"/>
      <c r="AL5" s="2" t="s">
        <v>200</v>
      </c>
      <c r="AM5" s="2" t="s">
        <v>200</v>
      </c>
      <c r="AN5" s="2"/>
      <c r="AO5" s="2"/>
      <c r="AP5" s="2"/>
      <c r="AQ5" s="2"/>
      <c r="AR5" s="2"/>
      <c r="AS5" s="2" t="s">
        <v>225</v>
      </c>
      <c r="AT5" s="2" t="s">
        <v>227</v>
      </c>
      <c r="AU5" s="2" t="s">
        <v>201</v>
      </c>
      <c r="AV5" s="2" t="s">
        <v>202</v>
      </c>
      <c r="AW5" s="2" t="s">
        <v>200</v>
      </c>
      <c r="AX5" s="2" t="s">
        <v>200</v>
      </c>
      <c r="AY5" s="2" t="s">
        <v>200</v>
      </c>
      <c r="AZ5" s="2" t="s">
        <v>200</v>
      </c>
      <c r="BA5" s="2" t="s">
        <v>200</v>
      </c>
      <c r="BB5" s="2" t="s">
        <v>200</v>
      </c>
      <c r="BC5" s="4"/>
      <c r="BD5" s="2"/>
      <c r="BE5" s="2"/>
      <c r="BF5" s="2" t="s">
        <v>203</v>
      </c>
      <c r="BG5" s="2" t="s">
        <v>203</v>
      </c>
      <c r="BH5" s="2" t="s">
        <v>204</v>
      </c>
      <c r="BI5" s="2">
        <f t="shared" si="0"/>
        <v>2016</v>
      </c>
      <c r="BJ5" s="2">
        <f t="shared" si="1"/>
        <v>2017</v>
      </c>
      <c r="BK5" s="2">
        <f t="shared" si="2"/>
        <v>2018</v>
      </c>
      <c r="BL5" s="2">
        <f t="shared" si="3"/>
        <v>2019</v>
      </c>
      <c r="BM5" s="2">
        <f t="shared" si="4"/>
        <v>2020</v>
      </c>
      <c r="BN5" s="2">
        <f t="shared" si="5"/>
        <v>2021</v>
      </c>
      <c r="BO5" s="2">
        <f t="shared" si="6"/>
        <v>2022</v>
      </c>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7"/>
      <c r="DG5" s="7"/>
      <c r="DH5" s="7"/>
      <c r="DI5" s="7"/>
      <c r="DJ5" s="7"/>
      <c r="DK5" s="7"/>
      <c r="DL5" s="7"/>
      <c r="DM5" s="7"/>
      <c r="DN5" s="7"/>
      <c r="DO5" s="7"/>
      <c r="DP5" s="7"/>
      <c r="DQ5" s="7"/>
      <c r="DR5" s="7"/>
      <c r="DS5" s="7"/>
      <c r="DT5" s="7"/>
      <c r="DU5" s="7"/>
      <c r="DV5" s="7"/>
      <c r="DW5" s="7"/>
      <c r="DX5" s="7"/>
      <c r="DY5" s="7"/>
      <c r="DZ5" s="7"/>
      <c r="EA5" s="8"/>
      <c r="EB5" s="8"/>
      <c r="EC5" s="8"/>
      <c r="ED5" s="8"/>
      <c r="EE5" s="8"/>
      <c r="EF5" s="8"/>
      <c r="EG5" s="8"/>
      <c r="EH5" s="8"/>
      <c r="EI5" s="8"/>
      <c r="EJ5" s="8"/>
      <c r="EK5" s="8"/>
      <c r="EL5" s="8"/>
      <c r="EM5" s="8"/>
      <c r="EN5" s="8"/>
      <c r="EO5" s="8"/>
      <c r="EP5" s="8"/>
      <c r="EQ5" s="9" t="str">
        <f t="shared" si="7"/>
        <v/>
      </c>
      <c r="ER5" s="10"/>
      <c r="ES5" s="2" t="s">
        <v>200</v>
      </c>
      <c r="ET5" s="2" t="s">
        <v>200</v>
      </c>
      <c r="EU5" s="11" t="str">
        <f t="shared" si="8"/>
        <v/>
      </c>
      <c r="EV5" s="11" t="str">
        <f t="shared" si="9"/>
        <v/>
      </c>
      <c r="EW5" s="11" t="str">
        <f t="shared" si="10"/>
        <v/>
      </c>
      <c r="EX5" s="11" t="str">
        <f t="shared" si="11"/>
        <v/>
      </c>
      <c r="EY5" s="11" t="str">
        <f t="shared" si="12"/>
        <v/>
      </c>
      <c r="EZ5" s="11" t="str">
        <f t="shared" si="13"/>
        <v/>
      </c>
      <c r="FA5" s="12" t="str">
        <f t="shared" si="14"/>
        <v/>
      </c>
      <c r="FB5" s="12" t="str">
        <f t="shared" si="15"/>
        <v/>
      </c>
      <c r="FC5" s="12" t="str">
        <f t="shared" si="16"/>
        <v/>
      </c>
      <c r="FD5" s="12" t="str">
        <f t="shared" si="17"/>
        <v/>
      </c>
      <c r="FE5" s="12" t="str">
        <f t="shared" si="18"/>
        <v/>
      </c>
      <c r="FF5" s="12" t="str">
        <f t="shared" si="19"/>
        <v/>
      </c>
      <c r="FG5" s="3" t="str">
        <f t="shared" si="20"/>
        <v>No</v>
      </c>
      <c r="FH5" s="3" t="str">
        <f t="shared" si="21"/>
        <v>No</v>
      </c>
      <c r="FI5" s="3" t="str">
        <f t="shared" si="22"/>
        <v>Not ready</v>
      </c>
    </row>
    <row r="6" spans="1:165" ht="16" customHeight="1">
      <c r="A6" s="2" t="s">
        <v>231</v>
      </c>
      <c r="B6" s="2">
        <v>15</v>
      </c>
      <c r="C6" s="2" t="s">
        <v>177</v>
      </c>
      <c r="D6" s="2">
        <v>1</v>
      </c>
      <c r="E6" s="2" t="s">
        <v>178</v>
      </c>
      <c r="F6" s="2" t="s">
        <v>232</v>
      </c>
      <c r="G6" s="2" t="s">
        <v>180</v>
      </c>
      <c r="H6" s="2" t="s">
        <v>181</v>
      </c>
      <c r="I6" s="2" t="s">
        <v>181</v>
      </c>
      <c r="J6" s="2">
        <v>1</v>
      </c>
      <c r="K6" s="2" t="s">
        <v>182</v>
      </c>
      <c r="L6" s="2" t="s">
        <v>233</v>
      </c>
      <c r="M6" s="2" t="s">
        <v>184</v>
      </c>
      <c r="N6" s="2"/>
      <c r="O6" s="5">
        <v>43566</v>
      </c>
      <c r="P6" s="5">
        <v>43566</v>
      </c>
      <c r="Q6" s="2">
        <v>2019</v>
      </c>
      <c r="R6" s="2" t="s">
        <v>220</v>
      </c>
      <c r="S6" s="2" t="s">
        <v>186</v>
      </c>
      <c r="T6" s="4" t="s">
        <v>234</v>
      </c>
      <c r="U6" s="2" t="s">
        <v>188</v>
      </c>
      <c r="V6" s="2" t="s">
        <v>235</v>
      </c>
      <c r="W6" s="2"/>
      <c r="X6" s="2" t="s">
        <v>236</v>
      </c>
      <c r="Y6" s="2"/>
      <c r="Z6" s="4"/>
      <c r="AA6" s="4"/>
      <c r="AB6" s="2" t="s">
        <v>237</v>
      </c>
      <c r="AC6" s="2" t="s">
        <v>238</v>
      </c>
      <c r="AD6" s="2" t="s">
        <v>239</v>
      </c>
      <c r="AE6" s="2" t="s">
        <v>240</v>
      </c>
      <c r="AF6" s="6"/>
      <c r="AG6" s="2" t="s">
        <v>197</v>
      </c>
      <c r="AH6" s="4" t="s">
        <v>241</v>
      </c>
      <c r="AI6" s="4" t="s">
        <v>242</v>
      </c>
      <c r="AJ6" s="2"/>
      <c r="AK6" s="2"/>
      <c r="AL6" s="2" t="s">
        <v>200</v>
      </c>
      <c r="AM6" s="2" t="s">
        <v>200</v>
      </c>
      <c r="AN6" s="2"/>
      <c r="AO6" s="2"/>
      <c r="AP6" s="2"/>
      <c r="AQ6" s="2"/>
      <c r="AR6" s="2"/>
      <c r="AS6" s="2" t="s">
        <v>237</v>
      </c>
      <c r="AT6" s="2" t="s">
        <v>239</v>
      </c>
      <c r="AU6" s="2" t="s">
        <v>201</v>
      </c>
      <c r="AV6" s="2" t="s">
        <v>202</v>
      </c>
      <c r="AW6" s="2" t="s">
        <v>200</v>
      </c>
      <c r="AX6" s="2" t="s">
        <v>200</v>
      </c>
      <c r="AY6" s="2" t="s">
        <v>200</v>
      </c>
      <c r="AZ6" s="2" t="s">
        <v>200</v>
      </c>
      <c r="BA6" s="2" t="s">
        <v>200</v>
      </c>
      <c r="BB6" s="2" t="s">
        <v>200</v>
      </c>
      <c r="BC6" s="4"/>
      <c r="BD6" s="2"/>
      <c r="BE6" s="2"/>
      <c r="BF6" s="2" t="s">
        <v>203</v>
      </c>
      <c r="BG6" s="2" t="s">
        <v>203</v>
      </c>
      <c r="BH6" s="2" t="s">
        <v>204</v>
      </c>
      <c r="BI6" s="2">
        <f t="shared" si="0"/>
        <v>2016</v>
      </c>
      <c r="BJ6" s="2">
        <f t="shared" si="1"/>
        <v>2017</v>
      </c>
      <c r="BK6" s="2">
        <f t="shared" si="2"/>
        <v>2018</v>
      </c>
      <c r="BL6" s="2">
        <f t="shared" si="3"/>
        <v>2019</v>
      </c>
      <c r="BM6" s="2">
        <f t="shared" si="4"/>
        <v>2020</v>
      </c>
      <c r="BN6" s="2">
        <f t="shared" si="5"/>
        <v>2021</v>
      </c>
      <c r="BO6" s="2">
        <f t="shared" si="6"/>
        <v>2022</v>
      </c>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7"/>
      <c r="DG6" s="7"/>
      <c r="DH6" s="7"/>
      <c r="DI6" s="7"/>
      <c r="DJ6" s="7"/>
      <c r="DK6" s="7"/>
      <c r="DL6" s="7"/>
      <c r="DM6" s="7"/>
      <c r="DN6" s="7"/>
      <c r="DO6" s="7"/>
      <c r="DP6" s="7"/>
      <c r="DQ6" s="7"/>
      <c r="DR6" s="7"/>
      <c r="DS6" s="7"/>
      <c r="DT6" s="7"/>
      <c r="DU6" s="7"/>
      <c r="DV6" s="7"/>
      <c r="DW6" s="7"/>
      <c r="DX6" s="7"/>
      <c r="DY6" s="7"/>
      <c r="DZ6" s="7"/>
      <c r="EA6" s="8"/>
      <c r="EB6" s="8"/>
      <c r="EC6" s="8"/>
      <c r="ED6" s="8"/>
      <c r="EE6" s="8"/>
      <c r="EF6" s="8"/>
      <c r="EG6" s="8"/>
      <c r="EH6" s="8"/>
      <c r="EI6" s="8"/>
      <c r="EJ6" s="8"/>
      <c r="EK6" s="8"/>
      <c r="EL6" s="8"/>
      <c r="EM6" s="8"/>
      <c r="EN6" s="8"/>
      <c r="EO6" s="8"/>
      <c r="EP6" s="8"/>
      <c r="EQ6" s="9" t="str">
        <f t="shared" si="7"/>
        <v/>
      </c>
      <c r="ER6" s="10"/>
      <c r="ES6" s="2" t="s">
        <v>200</v>
      </c>
      <c r="ET6" s="2" t="s">
        <v>200</v>
      </c>
      <c r="EU6" s="11" t="str">
        <f t="shared" si="8"/>
        <v/>
      </c>
      <c r="EV6" s="11" t="str">
        <f t="shared" si="9"/>
        <v/>
      </c>
      <c r="EW6" s="11" t="str">
        <f t="shared" si="10"/>
        <v/>
      </c>
      <c r="EX6" s="11" t="str">
        <f t="shared" si="11"/>
        <v/>
      </c>
      <c r="EY6" s="11" t="str">
        <f t="shared" si="12"/>
        <v/>
      </c>
      <c r="EZ6" s="11" t="str">
        <f t="shared" si="13"/>
        <v/>
      </c>
      <c r="FA6" s="12" t="str">
        <f t="shared" si="14"/>
        <v/>
      </c>
      <c r="FB6" s="12" t="str">
        <f t="shared" si="15"/>
        <v/>
      </c>
      <c r="FC6" s="12" t="str">
        <f t="shared" si="16"/>
        <v/>
      </c>
      <c r="FD6" s="12" t="str">
        <f t="shared" si="17"/>
        <v/>
      </c>
      <c r="FE6" s="12" t="str">
        <f t="shared" si="18"/>
        <v/>
      </c>
      <c r="FF6" s="12" t="str">
        <f t="shared" si="19"/>
        <v/>
      </c>
      <c r="FG6" s="3" t="str">
        <f t="shared" si="20"/>
        <v>No</v>
      </c>
      <c r="FH6" s="3" t="str">
        <f t="shared" si="21"/>
        <v>No</v>
      </c>
      <c r="FI6" s="3" t="str">
        <f t="shared" si="22"/>
        <v>Not ready</v>
      </c>
    </row>
    <row r="7" spans="1:165" ht="16" customHeight="1">
      <c r="A7" s="2" t="s">
        <v>243</v>
      </c>
      <c r="B7" s="2">
        <v>16</v>
      </c>
      <c r="C7" s="2" t="s">
        <v>177</v>
      </c>
      <c r="D7" s="2">
        <v>1</v>
      </c>
      <c r="E7" s="2" t="s">
        <v>178</v>
      </c>
      <c r="F7" s="2" t="s">
        <v>244</v>
      </c>
      <c r="G7" s="2" t="s">
        <v>180</v>
      </c>
      <c r="H7" s="2" t="s">
        <v>181</v>
      </c>
      <c r="I7" s="2" t="s">
        <v>181</v>
      </c>
      <c r="J7" s="2">
        <v>1</v>
      </c>
      <c r="K7" s="2" t="s">
        <v>182</v>
      </c>
      <c r="L7" s="2" t="s">
        <v>183</v>
      </c>
      <c r="M7" s="2" t="s">
        <v>184</v>
      </c>
      <c r="N7" s="2"/>
      <c r="O7" s="5">
        <v>43557</v>
      </c>
      <c r="P7" s="5">
        <v>43557</v>
      </c>
      <c r="Q7" s="2">
        <v>2019</v>
      </c>
      <c r="R7" s="2" t="s">
        <v>220</v>
      </c>
      <c r="S7" s="2" t="s">
        <v>186</v>
      </c>
      <c r="T7" s="4" t="s">
        <v>245</v>
      </c>
      <c r="U7" s="2" t="s">
        <v>188</v>
      </c>
      <c r="V7" s="2" t="s">
        <v>189</v>
      </c>
      <c r="W7" s="2" t="s">
        <v>0</v>
      </c>
      <c r="X7" s="2" t="s">
        <v>246</v>
      </c>
      <c r="Y7" s="2" t="s">
        <v>0</v>
      </c>
      <c r="Z7" s="4"/>
      <c r="AA7" s="4"/>
      <c r="AB7" s="2" t="s">
        <v>247</v>
      </c>
      <c r="AC7" s="2" t="s">
        <v>248</v>
      </c>
      <c r="AD7" s="2" t="s">
        <v>249</v>
      </c>
      <c r="AE7" s="2" t="s">
        <v>250</v>
      </c>
      <c r="AF7" s="6"/>
      <c r="AG7" s="2" t="s">
        <v>197</v>
      </c>
      <c r="AH7" s="4" t="s">
        <v>251</v>
      </c>
      <c r="AI7" s="4" t="s">
        <v>252</v>
      </c>
      <c r="AJ7" s="2"/>
      <c r="AK7" s="2"/>
      <c r="AL7" s="2" t="s">
        <v>200</v>
      </c>
      <c r="AM7" s="2" t="s">
        <v>200</v>
      </c>
      <c r="AN7" s="2"/>
      <c r="AO7" s="2"/>
      <c r="AP7" s="2"/>
      <c r="AQ7" s="2"/>
      <c r="AR7" s="2"/>
      <c r="AS7" s="2" t="s">
        <v>247</v>
      </c>
      <c r="AT7" s="2" t="s">
        <v>249</v>
      </c>
      <c r="AU7" s="2" t="s">
        <v>201</v>
      </c>
      <c r="AV7" s="2" t="s">
        <v>202</v>
      </c>
      <c r="AW7" s="2" t="s">
        <v>200</v>
      </c>
      <c r="AX7" s="2" t="s">
        <v>200</v>
      </c>
      <c r="AY7" s="2" t="s">
        <v>200</v>
      </c>
      <c r="AZ7" s="2" t="s">
        <v>200</v>
      </c>
      <c r="BA7" s="2" t="s">
        <v>200</v>
      </c>
      <c r="BB7" s="2" t="s">
        <v>200</v>
      </c>
      <c r="BC7" s="4"/>
      <c r="BD7" s="2"/>
      <c r="BE7" s="2"/>
      <c r="BF7" s="2" t="s">
        <v>203</v>
      </c>
      <c r="BG7" s="2" t="s">
        <v>203</v>
      </c>
      <c r="BH7" s="2" t="s">
        <v>204</v>
      </c>
      <c r="BI7" s="2">
        <f t="shared" si="0"/>
        <v>2016</v>
      </c>
      <c r="BJ7" s="2">
        <f t="shared" si="1"/>
        <v>2017</v>
      </c>
      <c r="BK7" s="2">
        <f t="shared" si="2"/>
        <v>2018</v>
      </c>
      <c r="BL7" s="2">
        <f t="shared" si="3"/>
        <v>2019</v>
      </c>
      <c r="BM7" s="2">
        <f t="shared" si="4"/>
        <v>2020</v>
      </c>
      <c r="BN7" s="2">
        <f t="shared" si="5"/>
        <v>2021</v>
      </c>
      <c r="BO7" s="2">
        <f t="shared" si="6"/>
        <v>2022</v>
      </c>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7"/>
      <c r="DG7" s="7"/>
      <c r="DH7" s="7"/>
      <c r="DI7" s="7"/>
      <c r="DJ7" s="7"/>
      <c r="DK7" s="7"/>
      <c r="DL7" s="7"/>
      <c r="DM7" s="7"/>
      <c r="DN7" s="7"/>
      <c r="DO7" s="7"/>
      <c r="DP7" s="7"/>
      <c r="DQ7" s="7"/>
      <c r="DR7" s="7"/>
      <c r="DS7" s="7"/>
      <c r="DT7" s="7"/>
      <c r="DU7" s="7"/>
      <c r="DV7" s="7"/>
      <c r="DW7" s="7"/>
      <c r="DX7" s="7"/>
      <c r="DY7" s="7"/>
      <c r="DZ7" s="7"/>
      <c r="EA7" s="8"/>
      <c r="EB7" s="8"/>
      <c r="EC7" s="8"/>
      <c r="ED7" s="8"/>
      <c r="EE7" s="8"/>
      <c r="EF7" s="8"/>
      <c r="EG7" s="8"/>
      <c r="EH7" s="8"/>
      <c r="EI7" s="8"/>
      <c r="EJ7" s="8"/>
      <c r="EK7" s="8"/>
      <c r="EL7" s="8"/>
      <c r="EM7" s="8"/>
      <c r="EN7" s="8"/>
      <c r="EO7" s="8"/>
      <c r="EP7" s="8"/>
      <c r="EQ7" s="9" t="str">
        <f t="shared" si="7"/>
        <v/>
      </c>
      <c r="ER7" s="10"/>
      <c r="ES7" s="2" t="s">
        <v>200</v>
      </c>
      <c r="ET7" s="2" t="s">
        <v>200</v>
      </c>
      <c r="EU7" s="11" t="str">
        <f t="shared" si="8"/>
        <v/>
      </c>
      <c r="EV7" s="11" t="str">
        <f t="shared" si="9"/>
        <v/>
      </c>
      <c r="EW7" s="11" t="str">
        <f t="shared" si="10"/>
        <v/>
      </c>
      <c r="EX7" s="11" t="str">
        <f t="shared" si="11"/>
        <v/>
      </c>
      <c r="EY7" s="11" t="str">
        <f t="shared" si="12"/>
        <v/>
      </c>
      <c r="EZ7" s="11" t="str">
        <f t="shared" si="13"/>
        <v/>
      </c>
      <c r="FA7" s="12" t="str">
        <f t="shared" si="14"/>
        <v/>
      </c>
      <c r="FB7" s="12" t="str">
        <f t="shared" si="15"/>
        <v/>
      </c>
      <c r="FC7" s="12" t="str">
        <f t="shared" si="16"/>
        <v/>
      </c>
      <c r="FD7" s="12" t="str">
        <f t="shared" si="17"/>
        <v/>
      </c>
      <c r="FE7" s="12" t="str">
        <f t="shared" si="18"/>
        <v/>
      </c>
      <c r="FF7" s="12" t="str">
        <f t="shared" si="19"/>
        <v/>
      </c>
      <c r="FG7" s="3" t="str">
        <f t="shared" si="20"/>
        <v>No</v>
      </c>
      <c r="FH7" s="3" t="str">
        <f t="shared" si="21"/>
        <v>No</v>
      </c>
      <c r="FI7" s="3" t="str">
        <f t="shared" si="22"/>
        <v>Not ready</v>
      </c>
    </row>
    <row r="8" spans="1:165" ht="16" customHeight="1">
      <c r="A8" s="2" t="s">
        <v>253</v>
      </c>
      <c r="B8" s="2">
        <v>17</v>
      </c>
      <c r="C8" s="2" t="s">
        <v>177</v>
      </c>
      <c r="D8" s="2">
        <v>1</v>
      </c>
      <c r="E8" s="2" t="s">
        <v>178</v>
      </c>
      <c r="F8" s="2" t="s">
        <v>254</v>
      </c>
      <c r="G8" s="2" t="s">
        <v>180</v>
      </c>
      <c r="H8" s="2" t="s">
        <v>181</v>
      </c>
      <c r="I8" s="2" t="s">
        <v>181</v>
      </c>
      <c r="J8" s="2">
        <v>1</v>
      </c>
      <c r="K8" s="2" t="s">
        <v>182</v>
      </c>
      <c r="L8" s="2" t="s">
        <v>183</v>
      </c>
      <c r="M8" s="2" t="s">
        <v>184</v>
      </c>
      <c r="N8" s="2"/>
      <c r="O8" s="5">
        <v>43424</v>
      </c>
      <c r="P8" s="5">
        <v>43696</v>
      </c>
      <c r="Q8" s="2">
        <v>2019</v>
      </c>
      <c r="R8" s="2" t="s">
        <v>255</v>
      </c>
      <c r="S8" s="2" t="s">
        <v>186</v>
      </c>
      <c r="T8" s="4" t="s">
        <v>256</v>
      </c>
      <c r="U8" s="2" t="s">
        <v>188</v>
      </c>
      <c r="V8" s="2" t="s">
        <v>189</v>
      </c>
      <c r="W8" s="2" t="s">
        <v>0</v>
      </c>
      <c r="X8" s="2" t="s">
        <v>257</v>
      </c>
      <c r="Y8" s="2" t="s">
        <v>0</v>
      </c>
      <c r="Z8" s="4" t="s">
        <v>258</v>
      </c>
      <c r="AA8" s="4" t="s">
        <v>259</v>
      </c>
      <c r="AB8" s="2" t="s">
        <v>260</v>
      </c>
      <c r="AC8" s="2" t="s">
        <v>261</v>
      </c>
      <c r="AD8" s="2" t="s">
        <v>262</v>
      </c>
      <c r="AE8" s="2" t="s">
        <v>263</v>
      </c>
      <c r="AF8" s="6">
        <v>4239</v>
      </c>
      <c r="AG8" s="2">
        <v>4239</v>
      </c>
      <c r="AH8" s="4" t="s">
        <v>264</v>
      </c>
      <c r="AI8" s="4" t="s">
        <v>265</v>
      </c>
      <c r="AJ8" s="2"/>
      <c r="AK8" s="2"/>
      <c r="AL8" s="2" t="s">
        <v>200</v>
      </c>
      <c r="AM8" s="2" t="s">
        <v>200</v>
      </c>
      <c r="AN8" s="2"/>
      <c r="AO8" s="2"/>
      <c r="AP8" s="2"/>
      <c r="AQ8" s="2"/>
      <c r="AR8" s="2"/>
      <c r="AS8" s="2" t="s">
        <v>260</v>
      </c>
      <c r="AT8" s="2" t="s">
        <v>262</v>
      </c>
      <c r="AU8" s="2" t="s">
        <v>201</v>
      </c>
      <c r="AV8" s="2" t="s">
        <v>202</v>
      </c>
      <c r="AW8" s="2" t="s">
        <v>200</v>
      </c>
      <c r="AX8" s="2" t="s">
        <v>200</v>
      </c>
      <c r="AY8" s="2" t="s">
        <v>200</v>
      </c>
      <c r="AZ8" s="2" t="s">
        <v>200</v>
      </c>
      <c r="BA8" s="2" t="s">
        <v>200</v>
      </c>
      <c r="BB8" s="2" t="s">
        <v>200</v>
      </c>
      <c r="BC8" s="4"/>
      <c r="BD8" s="2"/>
      <c r="BE8" s="2"/>
      <c r="BF8" s="2" t="s">
        <v>203</v>
      </c>
      <c r="BG8" s="2" t="s">
        <v>203</v>
      </c>
      <c r="BH8" s="2" t="s">
        <v>204</v>
      </c>
      <c r="BI8" s="2">
        <f t="shared" si="0"/>
        <v>2016</v>
      </c>
      <c r="BJ8" s="2">
        <f t="shared" si="1"/>
        <v>2017</v>
      </c>
      <c r="BK8" s="2">
        <f t="shared" si="2"/>
        <v>2018</v>
      </c>
      <c r="BL8" s="2">
        <f t="shared" si="3"/>
        <v>2019</v>
      </c>
      <c r="BM8" s="2">
        <f t="shared" si="4"/>
        <v>2020</v>
      </c>
      <c r="BN8" s="2">
        <f t="shared" si="5"/>
        <v>2021</v>
      </c>
      <c r="BO8" s="2">
        <f t="shared" si="6"/>
        <v>2022</v>
      </c>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7"/>
      <c r="DG8" s="7"/>
      <c r="DH8" s="7"/>
      <c r="DI8" s="7"/>
      <c r="DJ8" s="7"/>
      <c r="DK8" s="7"/>
      <c r="DL8" s="7"/>
      <c r="DM8" s="7"/>
      <c r="DN8" s="7"/>
      <c r="DO8" s="7"/>
      <c r="DP8" s="7"/>
      <c r="DQ8" s="7"/>
      <c r="DR8" s="7"/>
      <c r="DS8" s="7"/>
      <c r="DT8" s="7"/>
      <c r="DU8" s="7"/>
      <c r="DV8" s="7"/>
      <c r="DW8" s="7"/>
      <c r="DX8" s="7"/>
      <c r="DY8" s="7"/>
      <c r="DZ8" s="7"/>
      <c r="EA8" s="8"/>
      <c r="EB8" s="8"/>
      <c r="EC8" s="8"/>
      <c r="ED8" s="8"/>
      <c r="EE8" s="8"/>
      <c r="EF8" s="8"/>
      <c r="EG8" s="8"/>
      <c r="EH8" s="8"/>
      <c r="EI8" s="8"/>
      <c r="EJ8" s="8"/>
      <c r="EK8" s="8"/>
      <c r="EL8" s="8"/>
      <c r="EM8" s="8"/>
      <c r="EN8" s="8"/>
      <c r="EO8" s="8"/>
      <c r="EP8" s="8"/>
      <c r="EQ8" s="9" t="str">
        <f t="shared" si="7"/>
        <v/>
      </c>
      <c r="ER8" s="10"/>
      <c r="ES8" s="2" t="s">
        <v>200</v>
      </c>
      <c r="ET8" s="2" t="s">
        <v>200</v>
      </c>
      <c r="EU8" s="11" t="str">
        <f t="shared" si="8"/>
        <v/>
      </c>
      <c r="EV8" s="11" t="str">
        <f t="shared" si="9"/>
        <v/>
      </c>
      <c r="EW8" s="11" t="str">
        <f t="shared" si="10"/>
        <v/>
      </c>
      <c r="EX8" s="11" t="str">
        <f t="shared" si="11"/>
        <v/>
      </c>
      <c r="EY8" s="11" t="str">
        <f t="shared" si="12"/>
        <v/>
      </c>
      <c r="EZ8" s="11" t="str">
        <f t="shared" si="13"/>
        <v/>
      </c>
      <c r="FA8" s="12" t="str">
        <f t="shared" si="14"/>
        <v/>
      </c>
      <c r="FB8" s="12" t="str">
        <f t="shared" si="15"/>
        <v/>
      </c>
      <c r="FC8" s="12" t="str">
        <f t="shared" si="16"/>
        <v/>
      </c>
      <c r="FD8" s="12" t="str">
        <f t="shared" si="17"/>
        <v/>
      </c>
      <c r="FE8" s="12" t="str">
        <f t="shared" si="18"/>
        <v/>
      </c>
      <c r="FF8" s="12" t="str">
        <f t="shared" si="19"/>
        <v/>
      </c>
      <c r="FG8" s="3" t="str">
        <f t="shared" si="20"/>
        <v>No</v>
      </c>
      <c r="FH8" s="3" t="str">
        <f t="shared" si="21"/>
        <v>No</v>
      </c>
      <c r="FI8" s="3" t="str">
        <f t="shared" si="22"/>
        <v>Not ready</v>
      </c>
    </row>
    <row r="9" spans="1:165" ht="16" customHeight="1">
      <c r="A9" s="2" t="s">
        <v>266</v>
      </c>
      <c r="B9" s="2">
        <v>18</v>
      </c>
      <c r="C9" s="2" t="s">
        <v>177</v>
      </c>
      <c r="D9" s="2">
        <v>1</v>
      </c>
      <c r="E9" s="2" t="s">
        <v>178</v>
      </c>
      <c r="F9" s="2" t="s">
        <v>267</v>
      </c>
      <c r="G9" s="2" t="s">
        <v>180</v>
      </c>
      <c r="H9" s="2" t="s">
        <v>181</v>
      </c>
      <c r="I9" s="2" t="s">
        <v>181</v>
      </c>
      <c r="J9" s="2">
        <v>1</v>
      </c>
      <c r="K9" s="2" t="s">
        <v>182</v>
      </c>
      <c r="L9" s="2" t="s">
        <v>268</v>
      </c>
      <c r="M9" s="2" t="s">
        <v>184</v>
      </c>
      <c r="N9" s="2"/>
      <c r="O9" s="5">
        <v>43409</v>
      </c>
      <c r="P9" s="5">
        <v>43474</v>
      </c>
      <c r="Q9" s="2">
        <v>2019</v>
      </c>
      <c r="R9" s="2" t="s">
        <v>255</v>
      </c>
      <c r="S9" s="2" t="s">
        <v>186</v>
      </c>
      <c r="T9" s="4" t="s">
        <v>269</v>
      </c>
      <c r="U9" s="2" t="s">
        <v>188</v>
      </c>
      <c r="V9" s="2" t="s">
        <v>189</v>
      </c>
      <c r="W9" s="2" t="s">
        <v>1</v>
      </c>
      <c r="X9" s="2" t="s">
        <v>270</v>
      </c>
      <c r="Y9" s="2" t="s">
        <v>1</v>
      </c>
      <c r="Z9" s="4"/>
      <c r="AA9" s="4"/>
      <c r="AB9" s="2" t="s">
        <v>271</v>
      </c>
      <c r="AC9" s="2" t="s">
        <v>272</v>
      </c>
      <c r="AD9" s="2" t="s">
        <v>273</v>
      </c>
      <c r="AE9" s="2" t="s">
        <v>274</v>
      </c>
      <c r="AF9" s="6">
        <v>28</v>
      </c>
      <c r="AG9" s="2">
        <v>28</v>
      </c>
      <c r="AH9" s="4" t="s">
        <v>275</v>
      </c>
      <c r="AI9" s="4" t="s">
        <v>276</v>
      </c>
      <c r="AJ9" s="2"/>
      <c r="AK9" s="2"/>
      <c r="AL9" s="2" t="s">
        <v>200</v>
      </c>
      <c r="AM9" s="2" t="s">
        <v>200</v>
      </c>
      <c r="AN9" s="2"/>
      <c r="AO9" s="2"/>
      <c r="AP9" s="2"/>
      <c r="AQ9" s="2"/>
      <c r="AR9" s="2"/>
      <c r="AS9" s="2" t="s">
        <v>271</v>
      </c>
      <c r="AT9" s="2" t="s">
        <v>273</v>
      </c>
      <c r="AU9" s="2" t="s">
        <v>201</v>
      </c>
      <c r="AV9" s="2" t="s">
        <v>202</v>
      </c>
      <c r="AW9" s="2" t="s">
        <v>200</v>
      </c>
      <c r="AX9" s="2" t="s">
        <v>200</v>
      </c>
      <c r="AY9" s="2" t="s">
        <v>200</v>
      </c>
      <c r="AZ9" s="2" t="s">
        <v>200</v>
      </c>
      <c r="BA9" s="2" t="s">
        <v>200</v>
      </c>
      <c r="BB9" s="2" t="s">
        <v>200</v>
      </c>
      <c r="BC9" s="4"/>
      <c r="BD9" s="2"/>
      <c r="BE9" s="2"/>
      <c r="BF9" s="2" t="s">
        <v>203</v>
      </c>
      <c r="BG9" s="2" t="s">
        <v>203</v>
      </c>
      <c r="BH9" s="2" t="s">
        <v>204</v>
      </c>
      <c r="BI9" s="2">
        <f t="shared" si="0"/>
        <v>2016</v>
      </c>
      <c r="BJ9" s="2">
        <f t="shared" si="1"/>
        <v>2017</v>
      </c>
      <c r="BK9" s="2">
        <f t="shared" si="2"/>
        <v>2018</v>
      </c>
      <c r="BL9" s="2">
        <f t="shared" si="3"/>
        <v>2019</v>
      </c>
      <c r="BM9" s="2">
        <f t="shared" si="4"/>
        <v>2020</v>
      </c>
      <c r="BN9" s="2">
        <f t="shared" si="5"/>
        <v>2021</v>
      </c>
      <c r="BO9" s="2">
        <f t="shared" si="6"/>
        <v>2022</v>
      </c>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7"/>
      <c r="DG9" s="7"/>
      <c r="DH9" s="7"/>
      <c r="DI9" s="7"/>
      <c r="DJ9" s="7"/>
      <c r="DK9" s="7"/>
      <c r="DL9" s="7"/>
      <c r="DM9" s="7"/>
      <c r="DN9" s="7"/>
      <c r="DO9" s="7"/>
      <c r="DP9" s="7"/>
      <c r="DQ9" s="7"/>
      <c r="DR9" s="7"/>
      <c r="DS9" s="7"/>
      <c r="DT9" s="7"/>
      <c r="DU9" s="7"/>
      <c r="DV9" s="7"/>
      <c r="DW9" s="7"/>
      <c r="DX9" s="7"/>
      <c r="DY9" s="7"/>
      <c r="DZ9" s="7"/>
      <c r="EA9" s="8"/>
      <c r="EB9" s="8"/>
      <c r="EC9" s="8"/>
      <c r="ED9" s="8"/>
      <c r="EE9" s="8"/>
      <c r="EF9" s="8"/>
      <c r="EG9" s="8"/>
      <c r="EH9" s="8"/>
      <c r="EI9" s="8"/>
      <c r="EJ9" s="8"/>
      <c r="EK9" s="8"/>
      <c r="EL9" s="8"/>
      <c r="EM9" s="8"/>
      <c r="EN9" s="8"/>
      <c r="EO9" s="8"/>
      <c r="EP9" s="8"/>
      <c r="EQ9" s="9" t="str">
        <f t="shared" si="7"/>
        <v/>
      </c>
      <c r="ER9" s="10"/>
      <c r="ES9" s="2" t="s">
        <v>200</v>
      </c>
      <c r="ET9" s="2" t="s">
        <v>200</v>
      </c>
      <c r="EU9" s="11" t="str">
        <f t="shared" si="8"/>
        <v/>
      </c>
      <c r="EV9" s="11" t="str">
        <f t="shared" si="9"/>
        <v/>
      </c>
      <c r="EW9" s="11" t="str">
        <f t="shared" si="10"/>
        <v/>
      </c>
      <c r="EX9" s="11" t="str">
        <f t="shared" si="11"/>
        <v/>
      </c>
      <c r="EY9" s="11" t="str">
        <f t="shared" si="12"/>
        <v/>
      </c>
      <c r="EZ9" s="11" t="str">
        <f t="shared" si="13"/>
        <v/>
      </c>
      <c r="FA9" s="12" t="str">
        <f t="shared" si="14"/>
        <v/>
      </c>
      <c r="FB9" s="12" t="str">
        <f t="shared" si="15"/>
        <v/>
      </c>
      <c r="FC9" s="12" t="str">
        <f t="shared" si="16"/>
        <v/>
      </c>
      <c r="FD9" s="12" t="str">
        <f t="shared" si="17"/>
        <v/>
      </c>
      <c r="FE9" s="12" t="str">
        <f t="shared" si="18"/>
        <v/>
      </c>
      <c r="FF9" s="12" t="str">
        <f t="shared" si="19"/>
        <v/>
      </c>
      <c r="FG9" s="3" t="str">
        <f t="shared" si="20"/>
        <v>No</v>
      </c>
      <c r="FH9" s="3" t="str">
        <f t="shared" si="21"/>
        <v>No</v>
      </c>
      <c r="FI9" s="3" t="str">
        <f t="shared" si="22"/>
        <v>Not ready</v>
      </c>
    </row>
    <row r="10" spans="1:165" ht="16" customHeight="1">
      <c r="A10" s="2" t="s">
        <v>277</v>
      </c>
      <c r="B10" s="2">
        <v>19</v>
      </c>
      <c r="C10" s="2" t="s">
        <v>177</v>
      </c>
      <c r="D10" s="2">
        <v>1</v>
      </c>
      <c r="E10" s="2" t="s">
        <v>178</v>
      </c>
      <c r="F10" s="2" t="s">
        <v>278</v>
      </c>
      <c r="G10" s="2" t="s">
        <v>180</v>
      </c>
      <c r="H10" s="2" t="s">
        <v>181</v>
      </c>
      <c r="I10" s="2" t="s">
        <v>181</v>
      </c>
      <c r="J10" s="2">
        <v>1</v>
      </c>
      <c r="K10" s="2" t="s">
        <v>182</v>
      </c>
      <c r="L10" s="2" t="s">
        <v>279</v>
      </c>
      <c r="M10" s="2" t="s">
        <v>184</v>
      </c>
      <c r="N10" s="2"/>
      <c r="O10" s="5">
        <v>43363</v>
      </c>
      <c r="P10" s="5">
        <v>43363</v>
      </c>
      <c r="Q10" s="2">
        <v>2018</v>
      </c>
      <c r="R10" s="2" t="s">
        <v>280</v>
      </c>
      <c r="S10" s="2" t="s">
        <v>186</v>
      </c>
      <c r="T10" s="4" t="s">
        <v>281</v>
      </c>
      <c r="U10" s="2" t="s">
        <v>188</v>
      </c>
      <c r="V10" s="2" t="s">
        <v>189</v>
      </c>
      <c r="W10" s="2" t="s">
        <v>2</v>
      </c>
      <c r="X10" s="2" t="s">
        <v>257</v>
      </c>
      <c r="Y10" s="2" t="s">
        <v>2</v>
      </c>
      <c r="Z10" s="4"/>
      <c r="AA10" s="4"/>
      <c r="AB10" s="2" t="s">
        <v>282</v>
      </c>
      <c r="AC10" s="2" t="s">
        <v>283</v>
      </c>
      <c r="AD10" s="2" t="s">
        <v>284</v>
      </c>
      <c r="AE10" s="2" t="s">
        <v>285</v>
      </c>
      <c r="AF10" s="6"/>
      <c r="AG10" s="2" t="s">
        <v>197</v>
      </c>
      <c r="AH10" s="4" t="s">
        <v>286</v>
      </c>
      <c r="AI10" s="4" t="s">
        <v>287</v>
      </c>
      <c r="AJ10" s="2"/>
      <c r="AK10" s="2"/>
      <c r="AL10" s="2" t="s">
        <v>200</v>
      </c>
      <c r="AM10" s="2" t="s">
        <v>200</v>
      </c>
      <c r="AN10" s="2"/>
      <c r="AO10" s="2"/>
      <c r="AP10" s="2"/>
      <c r="AQ10" s="2"/>
      <c r="AR10" s="2"/>
      <c r="AS10" s="2" t="s">
        <v>282</v>
      </c>
      <c r="AT10" s="2" t="s">
        <v>284</v>
      </c>
      <c r="AU10" s="2" t="s">
        <v>201</v>
      </c>
      <c r="AV10" s="2" t="s">
        <v>202</v>
      </c>
      <c r="AW10" s="2" t="s">
        <v>200</v>
      </c>
      <c r="AX10" s="2" t="s">
        <v>200</v>
      </c>
      <c r="AY10" s="2" t="s">
        <v>200</v>
      </c>
      <c r="AZ10" s="2" t="s">
        <v>200</v>
      </c>
      <c r="BA10" s="2" t="s">
        <v>200</v>
      </c>
      <c r="BB10" s="2" t="s">
        <v>200</v>
      </c>
      <c r="BC10" s="4"/>
      <c r="BD10" s="2"/>
      <c r="BE10" s="2"/>
      <c r="BF10" s="2" t="s">
        <v>203</v>
      </c>
      <c r="BG10" s="2" t="s">
        <v>203</v>
      </c>
      <c r="BH10" s="2" t="s">
        <v>204</v>
      </c>
      <c r="BI10" s="2">
        <f t="shared" si="0"/>
        <v>2015</v>
      </c>
      <c r="BJ10" s="2">
        <f t="shared" si="1"/>
        <v>2016</v>
      </c>
      <c r="BK10" s="2">
        <f t="shared" si="2"/>
        <v>2017</v>
      </c>
      <c r="BL10" s="2">
        <f t="shared" si="3"/>
        <v>2018</v>
      </c>
      <c r="BM10" s="2">
        <f t="shared" si="4"/>
        <v>2019</v>
      </c>
      <c r="BN10" s="2">
        <f t="shared" si="5"/>
        <v>2020</v>
      </c>
      <c r="BO10" s="2">
        <f t="shared" si="6"/>
        <v>2021</v>
      </c>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7"/>
      <c r="DG10" s="7"/>
      <c r="DH10" s="7"/>
      <c r="DI10" s="7"/>
      <c r="DJ10" s="7"/>
      <c r="DK10" s="7"/>
      <c r="DL10" s="7"/>
      <c r="DM10" s="7"/>
      <c r="DN10" s="7"/>
      <c r="DO10" s="7"/>
      <c r="DP10" s="7"/>
      <c r="DQ10" s="7"/>
      <c r="DR10" s="7"/>
      <c r="DS10" s="7"/>
      <c r="DT10" s="7"/>
      <c r="DU10" s="7"/>
      <c r="DV10" s="7"/>
      <c r="DW10" s="7"/>
      <c r="DX10" s="7"/>
      <c r="DY10" s="7"/>
      <c r="DZ10" s="7"/>
      <c r="EA10" s="8"/>
      <c r="EB10" s="8"/>
      <c r="EC10" s="8"/>
      <c r="ED10" s="8"/>
      <c r="EE10" s="8"/>
      <c r="EF10" s="8"/>
      <c r="EG10" s="8"/>
      <c r="EH10" s="8"/>
      <c r="EI10" s="8"/>
      <c r="EJ10" s="8"/>
      <c r="EK10" s="8"/>
      <c r="EL10" s="8"/>
      <c r="EM10" s="8"/>
      <c r="EN10" s="8"/>
      <c r="EO10" s="8"/>
      <c r="EP10" s="8"/>
      <c r="EQ10" s="9" t="str">
        <f t="shared" si="7"/>
        <v/>
      </c>
      <c r="ER10" s="10"/>
      <c r="ES10" s="2" t="s">
        <v>200</v>
      </c>
      <c r="ET10" s="2" t="s">
        <v>200</v>
      </c>
      <c r="EU10" s="11" t="str">
        <f t="shared" si="8"/>
        <v/>
      </c>
      <c r="EV10" s="11" t="str">
        <f t="shared" si="9"/>
        <v/>
      </c>
      <c r="EW10" s="11" t="str">
        <f t="shared" si="10"/>
        <v/>
      </c>
      <c r="EX10" s="11" t="str">
        <f t="shared" si="11"/>
        <v/>
      </c>
      <c r="EY10" s="11" t="str">
        <f t="shared" si="12"/>
        <v/>
      </c>
      <c r="EZ10" s="11" t="str">
        <f t="shared" si="13"/>
        <v/>
      </c>
      <c r="FA10" s="12" t="str">
        <f t="shared" si="14"/>
        <v/>
      </c>
      <c r="FB10" s="12" t="str">
        <f t="shared" si="15"/>
        <v/>
      </c>
      <c r="FC10" s="12" t="str">
        <f t="shared" si="16"/>
        <v/>
      </c>
      <c r="FD10" s="12" t="str">
        <f t="shared" si="17"/>
        <v/>
      </c>
      <c r="FE10" s="12" t="str">
        <f t="shared" si="18"/>
        <v/>
      </c>
      <c r="FF10" s="12" t="str">
        <f t="shared" si="19"/>
        <v/>
      </c>
      <c r="FG10" s="3" t="str">
        <f t="shared" si="20"/>
        <v>No</v>
      </c>
      <c r="FH10" s="3" t="str">
        <f t="shared" si="21"/>
        <v>No</v>
      </c>
      <c r="FI10" s="3" t="str">
        <f t="shared" si="22"/>
        <v>Not ready</v>
      </c>
    </row>
    <row r="11" spans="1:165" ht="16" customHeight="1">
      <c r="A11" s="2" t="s">
        <v>288</v>
      </c>
      <c r="B11" s="2">
        <v>20</v>
      </c>
      <c r="C11" s="2" t="s">
        <v>177</v>
      </c>
      <c r="D11" s="2">
        <v>1</v>
      </c>
      <c r="E11" s="2" t="s">
        <v>178</v>
      </c>
      <c r="F11" s="2" t="s">
        <v>289</v>
      </c>
      <c r="G11" s="2" t="s">
        <v>180</v>
      </c>
      <c r="H11" s="2" t="s">
        <v>181</v>
      </c>
      <c r="I11" s="2" t="s">
        <v>181</v>
      </c>
      <c r="J11" s="2">
        <v>1</v>
      </c>
      <c r="K11" s="2" t="s">
        <v>182</v>
      </c>
      <c r="L11" s="2" t="s">
        <v>183</v>
      </c>
      <c r="M11" s="2" t="s">
        <v>184</v>
      </c>
      <c r="N11" s="2"/>
      <c r="O11" s="5">
        <v>43354</v>
      </c>
      <c r="P11" s="5">
        <v>43354</v>
      </c>
      <c r="Q11" s="2">
        <v>2018</v>
      </c>
      <c r="R11" s="2" t="s">
        <v>280</v>
      </c>
      <c r="S11" s="2" t="s">
        <v>186</v>
      </c>
      <c r="T11" s="4" t="s">
        <v>290</v>
      </c>
      <c r="U11" s="2" t="s">
        <v>188</v>
      </c>
      <c r="V11" s="2" t="s">
        <v>189</v>
      </c>
      <c r="W11" s="2" t="s">
        <v>0</v>
      </c>
      <c r="X11" s="2" t="s">
        <v>291</v>
      </c>
      <c r="Y11" s="2" t="s">
        <v>0</v>
      </c>
      <c r="Z11" s="4"/>
      <c r="AA11" s="4"/>
      <c r="AB11" s="2" t="s">
        <v>292</v>
      </c>
      <c r="AC11" s="2" t="s">
        <v>293</v>
      </c>
      <c r="AD11" s="2" t="s">
        <v>294</v>
      </c>
      <c r="AE11" s="2" t="s">
        <v>295</v>
      </c>
      <c r="AF11" s="6">
        <v>10</v>
      </c>
      <c r="AG11" s="2">
        <v>10</v>
      </c>
      <c r="AH11" s="4" t="s">
        <v>296</v>
      </c>
      <c r="AI11" s="4" t="s">
        <v>297</v>
      </c>
      <c r="AJ11" s="2"/>
      <c r="AK11" s="2"/>
      <c r="AL11" s="2" t="s">
        <v>200</v>
      </c>
      <c r="AM11" s="2" t="s">
        <v>200</v>
      </c>
      <c r="AN11" s="2"/>
      <c r="AO11" s="2"/>
      <c r="AP11" s="2"/>
      <c r="AQ11" s="2"/>
      <c r="AR11" s="2"/>
      <c r="AS11" s="2" t="s">
        <v>292</v>
      </c>
      <c r="AT11" s="2" t="s">
        <v>294</v>
      </c>
      <c r="AU11" s="2" t="s">
        <v>201</v>
      </c>
      <c r="AV11" s="2" t="s">
        <v>202</v>
      </c>
      <c r="AW11" s="2" t="s">
        <v>200</v>
      </c>
      <c r="AX11" s="2" t="s">
        <v>200</v>
      </c>
      <c r="AY11" s="2" t="s">
        <v>200</v>
      </c>
      <c r="AZ11" s="2" t="s">
        <v>200</v>
      </c>
      <c r="BA11" s="2" t="s">
        <v>200</v>
      </c>
      <c r="BB11" s="2" t="s">
        <v>200</v>
      </c>
      <c r="BC11" s="4"/>
      <c r="BD11" s="2"/>
      <c r="BE11" s="2"/>
      <c r="BF11" s="2" t="s">
        <v>203</v>
      </c>
      <c r="BG11" s="2" t="s">
        <v>203</v>
      </c>
      <c r="BH11" s="2" t="s">
        <v>204</v>
      </c>
      <c r="BI11" s="2">
        <f t="shared" si="0"/>
        <v>2015</v>
      </c>
      <c r="BJ11" s="2">
        <f t="shared" si="1"/>
        <v>2016</v>
      </c>
      <c r="BK11" s="2">
        <f t="shared" si="2"/>
        <v>2017</v>
      </c>
      <c r="BL11" s="2">
        <f t="shared" si="3"/>
        <v>2018</v>
      </c>
      <c r="BM11" s="2">
        <f t="shared" si="4"/>
        <v>2019</v>
      </c>
      <c r="BN11" s="2">
        <f t="shared" si="5"/>
        <v>2020</v>
      </c>
      <c r="BO11" s="2">
        <f t="shared" si="6"/>
        <v>2021</v>
      </c>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7"/>
      <c r="DG11" s="7"/>
      <c r="DH11" s="7"/>
      <c r="DI11" s="7"/>
      <c r="DJ11" s="7"/>
      <c r="DK11" s="7"/>
      <c r="DL11" s="7"/>
      <c r="DM11" s="7"/>
      <c r="DN11" s="7"/>
      <c r="DO11" s="7"/>
      <c r="DP11" s="7"/>
      <c r="DQ11" s="7"/>
      <c r="DR11" s="7"/>
      <c r="DS11" s="7"/>
      <c r="DT11" s="7"/>
      <c r="DU11" s="7"/>
      <c r="DV11" s="7"/>
      <c r="DW11" s="7"/>
      <c r="DX11" s="7"/>
      <c r="DY11" s="7"/>
      <c r="DZ11" s="7"/>
      <c r="EA11" s="8"/>
      <c r="EB11" s="8"/>
      <c r="EC11" s="8"/>
      <c r="ED11" s="8"/>
      <c r="EE11" s="8"/>
      <c r="EF11" s="8"/>
      <c r="EG11" s="8"/>
      <c r="EH11" s="8"/>
      <c r="EI11" s="8"/>
      <c r="EJ11" s="8"/>
      <c r="EK11" s="8"/>
      <c r="EL11" s="8"/>
      <c r="EM11" s="8"/>
      <c r="EN11" s="8"/>
      <c r="EO11" s="8"/>
      <c r="EP11" s="8"/>
      <c r="EQ11" s="9" t="str">
        <f t="shared" si="7"/>
        <v/>
      </c>
      <c r="ER11" s="10"/>
      <c r="ES11" s="2" t="s">
        <v>200</v>
      </c>
      <c r="ET11" s="2" t="s">
        <v>200</v>
      </c>
      <c r="EU11" s="11" t="str">
        <f t="shared" si="8"/>
        <v/>
      </c>
      <c r="EV11" s="11" t="str">
        <f t="shared" si="9"/>
        <v/>
      </c>
      <c r="EW11" s="11" t="str">
        <f t="shared" si="10"/>
        <v/>
      </c>
      <c r="EX11" s="11" t="str">
        <f t="shared" si="11"/>
        <v/>
      </c>
      <c r="EY11" s="11" t="str">
        <f t="shared" si="12"/>
        <v/>
      </c>
      <c r="EZ11" s="11" t="str">
        <f t="shared" si="13"/>
        <v/>
      </c>
      <c r="FA11" s="12" t="str">
        <f t="shared" si="14"/>
        <v/>
      </c>
      <c r="FB11" s="12" t="str">
        <f t="shared" si="15"/>
        <v/>
      </c>
      <c r="FC11" s="12" t="str">
        <f t="shared" si="16"/>
        <v/>
      </c>
      <c r="FD11" s="12" t="str">
        <f t="shared" si="17"/>
        <v/>
      </c>
      <c r="FE11" s="12" t="str">
        <f t="shared" si="18"/>
        <v/>
      </c>
      <c r="FF11" s="12" t="str">
        <f t="shared" si="19"/>
        <v/>
      </c>
      <c r="FG11" s="3" t="str">
        <f t="shared" si="20"/>
        <v>No</v>
      </c>
      <c r="FH11" s="3" t="str">
        <f t="shared" si="21"/>
        <v>No</v>
      </c>
      <c r="FI11" s="3" t="str">
        <f t="shared" si="22"/>
        <v>Not ready</v>
      </c>
    </row>
    <row r="12" spans="1:165" ht="16" customHeight="1">
      <c r="A12" s="2" t="s">
        <v>298</v>
      </c>
      <c r="B12" s="2">
        <v>21</v>
      </c>
      <c r="C12" s="2" t="s">
        <v>177</v>
      </c>
      <c r="D12" s="2">
        <v>1</v>
      </c>
      <c r="E12" s="2" t="s">
        <v>178</v>
      </c>
      <c r="F12" s="2" t="s">
        <v>299</v>
      </c>
      <c r="G12" s="2" t="s">
        <v>180</v>
      </c>
      <c r="H12" s="2" t="s">
        <v>181</v>
      </c>
      <c r="I12" s="2" t="s">
        <v>181</v>
      </c>
      <c r="J12" s="2">
        <v>1</v>
      </c>
      <c r="K12" s="2" t="s">
        <v>182</v>
      </c>
      <c r="L12" s="2" t="s">
        <v>183</v>
      </c>
      <c r="M12" s="2" t="s">
        <v>184</v>
      </c>
      <c r="N12" s="2"/>
      <c r="O12" s="5">
        <v>43129</v>
      </c>
      <c r="P12" s="5">
        <v>43270</v>
      </c>
      <c r="Q12" s="2">
        <v>2018</v>
      </c>
      <c r="R12" s="2" t="s">
        <v>300</v>
      </c>
      <c r="S12" s="2" t="s">
        <v>186</v>
      </c>
      <c r="T12" s="4" t="s">
        <v>301</v>
      </c>
      <c r="U12" s="2" t="s">
        <v>188</v>
      </c>
      <c r="V12" s="2" t="s">
        <v>189</v>
      </c>
      <c r="W12" s="2" t="s">
        <v>0</v>
      </c>
      <c r="X12" s="2" t="s">
        <v>246</v>
      </c>
      <c r="Y12" s="2" t="s">
        <v>0</v>
      </c>
      <c r="Z12" s="4" t="s">
        <v>302</v>
      </c>
      <c r="AA12" s="4" t="s">
        <v>303</v>
      </c>
      <c r="AB12" s="2" t="s">
        <v>304</v>
      </c>
      <c r="AC12" s="2" t="s">
        <v>305</v>
      </c>
      <c r="AD12" s="2" t="s">
        <v>306</v>
      </c>
      <c r="AE12" s="2" t="s">
        <v>307</v>
      </c>
      <c r="AF12" s="6">
        <v>4847</v>
      </c>
      <c r="AG12" s="2">
        <v>4847</v>
      </c>
      <c r="AH12" s="4" t="s">
        <v>308</v>
      </c>
      <c r="AI12" s="4" t="s">
        <v>309</v>
      </c>
      <c r="AJ12" s="2"/>
      <c r="AK12" s="2"/>
      <c r="AL12" s="2" t="s">
        <v>200</v>
      </c>
      <c r="AM12" s="2" t="s">
        <v>180</v>
      </c>
      <c r="AN12" s="2" t="s">
        <v>310</v>
      </c>
      <c r="AO12" s="2"/>
      <c r="AP12" s="2"/>
      <c r="AQ12" s="2"/>
      <c r="AR12" s="2"/>
      <c r="AS12" s="2" t="s">
        <v>304</v>
      </c>
      <c r="AT12" s="2" t="s">
        <v>306</v>
      </c>
      <c r="AU12" s="2" t="s">
        <v>201</v>
      </c>
      <c r="AV12" s="2" t="s">
        <v>202</v>
      </c>
      <c r="AW12" s="2" t="s">
        <v>311</v>
      </c>
      <c r="AX12" s="2" t="s">
        <v>200</v>
      </c>
      <c r="AY12" s="2" t="s">
        <v>200</v>
      </c>
      <c r="AZ12" s="2" t="s">
        <v>200</v>
      </c>
      <c r="BA12" s="2" t="s">
        <v>200</v>
      </c>
      <c r="BB12" s="2" t="s">
        <v>200</v>
      </c>
      <c r="BC12" s="4"/>
      <c r="BD12" s="2"/>
      <c r="BE12" s="2" t="s">
        <v>312</v>
      </c>
      <c r="BF12" s="2" t="s">
        <v>313</v>
      </c>
      <c r="BG12" s="2" t="s">
        <v>314</v>
      </c>
      <c r="BH12" s="2" t="s">
        <v>315</v>
      </c>
      <c r="BI12" s="2">
        <v>2015</v>
      </c>
      <c r="BJ12" s="2">
        <v>2016</v>
      </c>
      <c r="BK12" s="2">
        <v>2017</v>
      </c>
      <c r="BL12" s="2">
        <v>2018</v>
      </c>
      <c r="BM12" s="2">
        <v>2019</v>
      </c>
      <c r="BN12" s="2">
        <v>2020</v>
      </c>
      <c r="BO12" s="2">
        <v>2021</v>
      </c>
      <c r="BP12" s="6">
        <v>34861</v>
      </c>
      <c r="BQ12" s="6">
        <v>34708</v>
      </c>
      <c r="BR12" s="6">
        <v>36221</v>
      </c>
      <c r="BS12" s="6">
        <v>35677</v>
      </c>
      <c r="BT12" s="6">
        <v>37631</v>
      </c>
      <c r="BU12" s="6">
        <v>37369</v>
      </c>
      <c r="BV12" s="6">
        <v>39175</v>
      </c>
      <c r="BW12" s="6">
        <v>7085</v>
      </c>
      <c r="BX12" s="6">
        <v>7489</v>
      </c>
      <c r="BY12" s="6">
        <v>7112</v>
      </c>
      <c r="BZ12" s="6">
        <v>5845</v>
      </c>
      <c r="CA12" s="6">
        <v>6882</v>
      </c>
      <c r="CB12" s="6">
        <v>7583</v>
      </c>
      <c r="CC12" s="6">
        <v>8729</v>
      </c>
      <c r="CD12" s="6">
        <v>4287</v>
      </c>
      <c r="CE12" s="6">
        <v>4709</v>
      </c>
      <c r="CF12" s="6">
        <v>8416</v>
      </c>
      <c r="CG12" s="6">
        <v>4306</v>
      </c>
      <c r="CH12" s="6">
        <v>2754</v>
      </c>
      <c r="CI12" s="6">
        <v>12294</v>
      </c>
      <c r="CJ12" s="6">
        <v>6223</v>
      </c>
      <c r="CK12" s="6">
        <v>102321</v>
      </c>
      <c r="CL12" s="6">
        <v>104672</v>
      </c>
      <c r="CM12" s="6">
        <v>99813</v>
      </c>
      <c r="CN12" s="6">
        <v>111408</v>
      </c>
      <c r="CO12" s="6">
        <v>112630</v>
      </c>
      <c r="CP12" s="6">
        <v>114413</v>
      </c>
      <c r="CQ12" s="6">
        <v>120242</v>
      </c>
      <c r="CR12" s="6">
        <v>16589</v>
      </c>
      <c r="CS12" s="6">
        <v>18589</v>
      </c>
      <c r="CT12" s="6">
        <v>15601</v>
      </c>
      <c r="CU12" s="6">
        <v>24640</v>
      </c>
      <c r="CV12" s="6">
        <v>25933</v>
      </c>
      <c r="CW12" s="6">
        <v>23675</v>
      </c>
      <c r="CX12" s="6">
        <v>22414</v>
      </c>
      <c r="CY12" s="6">
        <v>5082</v>
      </c>
      <c r="CZ12" s="6">
        <v>5172</v>
      </c>
      <c r="DA12" s="6">
        <v>5472</v>
      </c>
      <c r="DB12" s="6">
        <v>5894</v>
      </c>
      <c r="DC12" s="6">
        <v>6020</v>
      </c>
      <c r="DD12" s="6">
        <v>5530</v>
      </c>
      <c r="DE12" s="6">
        <v>5692</v>
      </c>
      <c r="DF12" s="7">
        <v>4.2931999999999997</v>
      </c>
      <c r="DG12" s="7">
        <v>4.5499000000000001</v>
      </c>
      <c r="DH12" s="7">
        <v>8.2314000000000007</v>
      </c>
      <c r="DI12" s="7">
        <v>4.0772000000000004</v>
      </c>
      <c r="DJ12" s="7">
        <v>2.4584999999999999</v>
      </c>
      <c r="DK12" s="7">
        <v>10.829700000000001</v>
      </c>
      <c r="DL12" s="7">
        <v>5.3040000000000003</v>
      </c>
      <c r="DM12" s="7">
        <v>16.413799999999998</v>
      </c>
      <c r="DN12" s="7">
        <v>18.825600000000001</v>
      </c>
      <c r="DO12" s="7">
        <v>16.023900000000001</v>
      </c>
      <c r="DP12" s="7">
        <v>13.1065</v>
      </c>
      <c r="DQ12" s="7">
        <v>8.1076999999999995</v>
      </c>
      <c r="DR12" s="7">
        <v>37.766599999999997</v>
      </c>
      <c r="DS12" s="7">
        <v>20.742799999999999</v>
      </c>
      <c r="DT12" s="7">
        <v>16.212700000000002</v>
      </c>
      <c r="DU12" s="7">
        <v>17.7593</v>
      </c>
      <c r="DV12" s="7">
        <v>15.6302</v>
      </c>
      <c r="DW12" s="7">
        <v>22.116900000000001</v>
      </c>
      <c r="DX12" s="7">
        <v>23.024899999999999</v>
      </c>
      <c r="DY12" s="7">
        <v>20.692599999999999</v>
      </c>
      <c r="DZ12" s="7">
        <v>18.640699999999999</v>
      </c>
      <c r="EA12" s="8">
        <v>15</v>
      </c>
      <c r="EB12" s="8">
        <v>28</v>
      </c>
      <c r="EC12" s="8">
        <v>36</v>
      </c>
      <c r="ED12" s="8">
        <v>38</v>
      </c>
      <c r="EE12" s="8">
        <v>42</v>
      </c>
      <c r="EF12" s="8">
        <v>20</v>
      </c>
      <c r="EG12" s="8">
        <v>13</v>
      </c>
      <c r="EH12" s="8">
        <v>9</v>
      </c>
      <c r="EI12" s="8">
        <v>4</v>
      </c>
      <c r="EJ12" s="8">
        <v>0</v>
      </c>
      <c r="EK12" s="8">
        <v>1</v>
      </c>
      <c r="EL12" s="8">
        <v>4</v>
      </c>
      <c r="EM12" s="8">
        <v>1</v>
      </c>
      <c r="EN12" s="8">
        <v>0</v>
      </c>
      <c r="EO12" s="8">
        <v>79</v>
      </c>
      <c r="EP12" s="8"/>
      <c r="EQ12" s="9" t="str">
        <f t="shared" si="7"/>
        <v/>
      </c>
      <c r="ER12" s="10"/>
      <c r="ES12" s="2" t="s">
        <v>181</v>
      </c>
      <c r="ET12" s="2" t="s">
        <v>181</v>
      </c>
      <c r="EU12" s="11">
        <f t="shared" si="8"/>
        <v>5.6915000000000004</v>
      </c>
      <c r="EV12" s="11">
        <f t="shared" si="9"/>
        <v>6.1973999999999991</v>
      </c>
      <c r="EW12" s="11">
        <f t="shared" si="10"/>
        <v>0.50589999999999868</v>
      </c>
      <c r="EX12" s="11">
        <f t="shared" si="11"/>
        <v>17.087766666666667</v>
      </c>
      <c r="EY12" s="11">
        <f t="shared" si="12"/>
        <v>22.205699999999997</v>
      </c>
      <c r="EZ12" s="11">
        <f t="shared" si="13"/>
        <v>5.1179333333333297</v>
      </c>
      <c r="FA12" s="12">
        <f t="shared" si="14"/>
        <v>26.333333333333332</v>
      </c>
      <c r="FB12" s="12">
        <f t="shared" si="15"/>
        <v>25</v>
      </c>
      <c r="FC12" s="12">
        <f t="shared" si="16"/>
        <v>-1.3333333333333321</v>
      </c>
      <c r="FD12" s="12">
        <f t="shared" si="17"/>
        <v>4.333333333333333</v>
      </c>
      <c r="FE12" s="12">
        <f t="shared" si="18"/>
        <v>1.6666666666666667</v>
      </c>
      <c r="FF12" s="12">
        <f t="shared" si="19"/>
        <v>-2.6666666666666661</v>
      </c>
      <c r="FG12" s="3" t="str">
        <f t="shared" si="20"/>
        <v>Yes</v>
      </c>
      <c r="FH12" s="3" t="str">
        <f t="shared" si="21"/>
        <v>Yes</v>
      </c>
      <c r="FI12" s="3" t="str">
        <f t="shared" si="22"/>
        <v>Not ready</v>
      </c>
    </row>
    <row r="13" spans="1:165" ht="16" customHeight="1">
      <c r="A13" s="2" t="s">
        <v>316</v>
      </c>
      <c r="B13" s="2">
        <v>22</v>
      </c>
      <c r="C13" s="2" t="s">
        <v>177</v>
      </c>
      <c r="D13" s="2">
        <v>1</v>
      </c>
      <c r="E13" s="2" t="s">
        <v>178</v>
      </c>
      <c r="F13" s="2" t="s">
        <v>317</v>
      </c>
      <c r="G13" s="2" t="s">
        <v>180</v>
      </c>
      <c r="H13" s="2" t="s">
        <v>181</v>
      </c>
      <c r="I13" s="2" t="s">
        <v>181</v>
      </c>
      <c r="J13" s="2">
        <v>1</v>
      </c>
      <c r="K13" s="2" t="s">
        <v>182</v>
      </c>
      <c r="L13" s="2" t="s">
        <v>183</v>
      </c>
      <c r="M13" s="2" t="s">
        <v>184</v>
      </c>
      <c r="N13" s="2"/>
      <c r="O13" s="5">
        <v>43105</v>
      </c>
      <c r="P13" s="5">
        <v>43312</v>
      </c>
      <c r="Q13" s="2">
        <v>2018</v>
      </c>
      <c r="R13" s="2" t="s">
        <v>300</v>
      </c>
      <c r="S13" s="2" t="s">
        <v>186</v>
      </c>
      <c r="T13" s="4" t="s">
        <v>318</v>
      </c>
      <c r="U13" s="2" t="s">
        <v>188</v>
      </c>
      <c r="V13" s="2" t="s">
        <v>189</v>
      </c>
      <c r="W13" s="2" t="s">
        <v>0</v>
      </c>
      <c r="X13" s="2" t="s">
        <v>246</v>
      </c>
      <c r="Y13" s="2" t="s">
        <v>0</v>
      </c>
      <c r="Z13" s="4" t="s">
        <v>319</v>
      </c>
      <c r="AA13" s="4" t="s">
        <v>320</v>
      </c>
      <c r="AB13" s="2" t="s">
        <v>321</v>
      </c>
      <c r="AC13" s="2" t="s">
        <v>322</v>
      </c>
      <c r="AD13" s="2" t="s">
        <v>323</v>
      </c>
      <c r="AE13" s="2" t="s">
        <v>324</v>
      </c>
      <c r="AF13" s="6">
        <v>626</v>
      </c>
      <c r="AG13" s="2">
        <v>626</v>
      </c>
      <c r="AH13" s="4" t="s">
        <v>325</v>
      </c>
      <c r="AI13" s="4" t="s">
        <v>326</v>
      </c>
      <c r="AJ13" s="2"/>
      <c r="AK13" s="2"/>
      <c r="AL13" s="2" t="s">
        <v>200</v>
      </c>
      <c r="AM13" s="2" t="s">
        <v>200</v>
      </c>
      <c r="AN13" s="2"/>
      <c r="AO13" s="2"/>
      <c r="AP13" s="2"/>
      <c r="AQ13" s="2"/>
      <c r="AR13" s="2"/>
      <c r="AS13" s="2" t="s">
        <v>321</v>
      </c>
      <c r="AT13" s="2" t="s">
        <v>323</v>
      </c>
      <c r="AU13" s="2" t="s">
        <v>201</v>
      </c>
      <c r="AV13" s="2" t="s">
        <v>202</v>
      </c>
      <c r="AW13" s="2" t="s">
        <v>200</v>
      </c>
      <c r="AX13" s="2" t="s">
        <v>200</v>
      </c>
      <c r="AY13" s="2" t="s">
        <v>200</v>
      </c>
      <c r="AZ13" s="2" t="s">
        <v>200</v>
      </c>
      <c r="BA13" s="2" t="s">
        <v>200</v>
      </c>
      <c r="BB13" s="2" t="s">
        <v>200</v>
      </c>
      <c r="BC13" s="4"/>
      <c r="BD13" s="2"/>
      <c r="BE13" s="2"/>
      <c r="BF13" s="2" t="s">
        <v>203</v>
      </c>
      <c r="BG13" s="2" t="s">
        <v>203</v>
      </c>
      <c r="BH13" s="2" t="s">
        <v>204</v>
      </c>
      <c r="BI13" s="2">
        <f t="shared" ref="BI13:BI29" si="23">IF($Q13="","",$Q13-3)</f>
        <v>2015</v>
      </c>
      <c r="BJ13" s="2">
        <f t="shared" ref="BJ13:BJ29" si="24">IF($Q13="","",$Q13-2)</f>
        <v>2016</v>
      </c>
      <c r="BK13" s="2">
        <f t="shared" ref="BK13:BK29" si="25">IF($Q13="","",$Q13-1)</f>
        <v>2017</v>
      </c>
      <c r="BL13" s="2">
        <f t="shared" ref="BL13:BL29" si="26">IF($Q13="","",$Q13+0)</f>
        <v>2018</v>
      </c>
      <c r="BM13" s="2">
        <f t="shared" ref="BM13:BM29" si="27">IF($Q13="","",$Q13+1)</f>
        <v>2019</v>
      </c>
      <c r="BN13" s="2">
        <f t="shared" ref="BN13:BN29" si="28">IF($Q13="","",$Q13+2)</f>
        <v>2020</v>
      </c>
      <c r="BO13" s="2">
        <f t="shared" ref="BO13:BO29" si="29">IF($Q13="","",$Q13+3)</f>
        <v>2021</v>
      </c>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7"/>
      <c r="DG13" s="7"/>
      <c r="DH13" s="7"/>
      <c r="DI13" s="7"/>
      <c r="DJ13" s="7"/>
      <c r="DK13" s="7"/>
      <c r="DL13" s="7"/>
      <c r="DM13" s="7"/>
      <c r="DN13" s="7"/>
      <c r="DO13" s="7"/>
      <c r="DP13" s="7"/>
      <c r="DQ13" s="7"/>
      <c r="DR13" s="7"/>
      <c r="DS13" s="7"/>
      <c r="DT13" s="7"/>
      <c r="DU13" s="7"/>
      <c r="DV13" s="7"/>
      <c r="DW13" s="7"/>
      <c r="DX13" s="7"/>
      <c r="DY13" s="7"/>
      <c r="DZ13" s="7"/>
      <c r="EA13" s="8"/>
      <c r="EB13" s="8"/>
      <c r="EC13" s="8"/>
      <c r="ED13" s="8"/>
      <c r="EE13" s="8"/>
      <c r="EF13" s="8"/>
      <c r="EG13" s="8"/>
      <c r="EH13" s="8"/>
      <c r="EI13" s="8"/>
      <c r="EJ13" s="8"/>
      <c r="EK13" s="8"/>
      <c r="EL13" s="8"/>
      <c r="EM13" s="8"/>
      <c r="EN13" s="8"/>
      <c r="EO13" s="8"/>
      <c r="EP13" s="8"/>
      <c r="EQ13" s="9" t="str">
        <f t="shared" si="7"/>
        <v/>
      </c>
      <c r="ER13" s="10"/>
      <c r="ES13" s="2" t="s">
        <v>200</v>
      </c>
      <c r="ET13" s="2" t="s">
        <v>200</v>
      </c>
      <c r="EU13" s="11" t="str">
        <f t="shared" si="8"/>
        <v/>
      </c>
      <c r="EV13" s="11" t="str">
        <f t="shared" si="9"/>
        <v/>
      </c>
      <c r="EW13" s="11" t="str">
        <f t="shared" si="10"/>
        <v/>
      </c>
      <c r="EX13" s="11" t="str">
        <f t="shared" si="11"/>
        <v/>
      </c>
      <c r="EY13" s="11" t="str">
        <f t="shared" si="12"/>
        <v/>
      </c>
      <c r="EZ13" s="11" t="str">
        <f t="shared" si="13"/>
        <v/>
      </c>
      <c r="FA13" s="12" t="str">
        <f t="shared" si="14"/>
        <v/>
      </c>
      <c r="FB13" s="12" t="str">
        <f t="shared" si="15"/>
        <v/>
      </c>
      <c r="FC13" s="12" t="str">
        <f t="shared" si="16"/>
        <v/>
      </c>
      <c r="FD13" s="12" t="str">
        <f t="shared" si="17"/>
        <v/>
      </c>
      <c r="FE13" s="12" t="str">
        <f t="shared" si="18"/>
        <v/>
      </c>
      <c r="FF13" s="12" t="str">
        <f t="shared" si="19"/>
        <v/>
      </c>
      <c r="FG13" s="3" t="str">
        <f t="shared" si="20"/>
        <v>No</v>
      </c>
      <c r="FH13" s="3" t="str">
        <f t="shared" si="21"/>
        <v>No</v>
      </c>
      <c r="FI13" s="3" t="str">
        <f t="shared" si="22"/>
        <v>Not ready</v>
      </c>
    </row>
    <row r="14" spans="1:165" ht="16" customHeight="1">
      <c r="A14" s="2" t="s">
        <v>327</v>
      </c>
      <c r="B14" s="2">
        <v>23</v>
      </c>
      <c r="C14" s="2" t="s">
        <v>177</v>
      </c>
      <c r="D14" s="2">
        <v>1</v>
      </c>
      <c r="E14" s="2" t="s">
        <v>178</v>
      </c>
      <c r="F14" s="2" t="s">
        <v>328</v>
      </c>
      <c r="G14" s="2" t="s">
        <v>180</v>
      </c>
      <c r="H14" s="2" t="s">
        <v>181</v>
      </c>
      <c r="I14" s="2" t="s">
        <v>181</v>
      </c>
      <c r="J14" s="2">
        <v>1</v>
      </c>
      <c r="K14" s="2" t="s">
        <v>182</v>
      </c>
      <c r="L14" s="2" t="s">
        <v>279</v>
      </c>
      <c r="M14" s="2" t="s">
        <v>184</v>
      </c>
      <c r="N14" s="2"/>
      <c r="O14" s="5">
        <v>42923</v>
      </c>
      <c r="P14" s="5">
        <v>42923</v>
      </c>
      <c r="Q14" s="2">
        <v>2017</v>
      </c>
      <c r="R14" s="2" t="s">
        <v>329</v>
      </c>
      <c r="S14" s="2" t="s">
        <v>186</v>
      </c>
      <c r="T14" s="4" t="s">
        <v>330</v>
      </c>
      <c r="U14" s="2" t="s">
        <v>188</v>
      </c>
      <c r="V14" s="2" t="s">
        <v>189</v>
      </c>
      <c r="W14" s="2" t="s">
        <v>2</v>
      </c>
      <c r="X14" s="2" t="s">
        <v>190</v>
      </c>
      <c r="Y14" s="2" t="s">
        <v>2</v>
      </c>
      <c r="Z14" s="4"/>
      <c r="AA14" s="4"/>
      <c r="AB14" s="2" t="s">
        <v>331</v>
      </c>
      <c r="AC14" s="2" t="s">
        <v>332</v>
      </c>
      <c r="AD14" s="2" t="s">
        <v>333</v>
      </c>
      <c r="AE14" s="2" t="s">
        <v>334</v>
      </c>
      <c r="AF14" s="6"/>
      <c r="AG14" s="2" t="s">
        <v>197</v>
      </c>
      <c r="AH14" s="4" t="s">
        <v>335</v>
      </c>
      <c r="AI14" s="4" t="s">
        <v>336</v>
      </c>
      <c r="AJ14" s="2"/>
      <c r="AK14" s="2"/>
      <c r="AL14" s="2" t="s">
        <v>200</v>
      </c>
      <c r="AM14" s="2" t="s">
        <v>200</v>
      </c>
      <c r="AN14" s="2"/>
      <c r="AO14" s="2"/>
      <c r="AP14" s="2"/>
      <c r="AQ14" s="2"/>
      <c r="AR14" s="2"/>
      <c r="AS14" s="2" t="s">
        <v>331</v>
      </c>
      <c r="AT14" s="2" t="s">
        <v>333</v>
      </c>
      <c r="AU14" s="2" t="s">
        <v>201</v>
      </c>
      <c r="AV14" s="2" t="s">
        <v>202</v>
      </c>
      <c r="AW14" s="2" t="s">
        <v>200</v>
      </c>
      <c r="AX14" s="2" t="s">
        <v>200</v>
      </c>
      <c r="AY14" s="2" t="s">
        <v>200</v>
      </c>
      <c r="AZ14" s="2" t="s">
        <v>200</v>
      </c>
      <c r="BA14" s="2" t="s">
        <v>200</v>
      </c>
      <c r="BB14" s="2" t="s">
        <v>200</v>
      </c>
      <c r="BC14" s="4"/>
      <c r="BD14" s="2"/>
      <c r="BE14" s="2"/>
      <c r="BF14" s="2" t="s">
        <v>203</v>
      </c>
      <c r="BG14" s="2" t="s">
        <v>203</v>
      </c>
      <c r="BH14" s="2" t="s">
        <v>204</v>
      </c>
      <c r="BI14" s="2">
        <f t="shared" si="23"/>
        <v>2014</v>
      </c>
      <c r="BJ14" s="2">
        <f t="shared" si="24"/>
        <v>2015</v>
      </c>
      <c r="BK14" s="2">
        <f t="shared" si="25"/>
        <v>2016</v>
      </c>
      <c r="BL14" s="2">
        <f t="shared" si="26"/>
        <v>2017</v>
      </c>
      <c r="BM14" s="2">
        <f t="shared" si="27"/>
        <v>2018</v>
      </c>
      <c r="BN14" s="2">
        <f t="shared" si="28"/>
        <v>2019</v>
      </c>
      <c r="BO14" s="2">
        <f t="shared" si="29"/>
        <v>2020</v>
      </c>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7"/>
      <c r="DG14" s="7"/>
      <c r="DH14" s="7"/>
      <c r="DI14" s="7"/>
      <c r="DJ14" s="7"/>
      <c r="DK14" s="7"/>
      <c r="DL14" s="7"/>
      <c r="DM14" s="7"/>
      <c r="DN14" s="7"/>
      <c r="DO14" s="7"/>
      <c r="DP14" s="7"/>
      <c r="DQ14" s="7"/>
      <c r="DR14" s="7"/>
      <c r="DS14" s="7"/>
      <c r="DT14" s="7"/>
      <c r="DU14" s="7"/>
      <c r="DV14" s="7"/>
      <c r="DW14" s="7"/>
      <c r="DX14" s="7"/>
      <c r="DY14" s="7"/>
      <c r="DZ14" s="7"/>
      <c r="EA14" s="8"/>
      <c r="EB14" s="8"/>
      <c r="EC14" s="8"/>
      <c r="ED14" s="8"/>
      <c r="EE14" s="8"/>
      <c r="EF14" s="8"/>
      <c r="EG14" s="8"/>
      <c r="EH14" s="8"/>
      <c r="EI14" s="8"/>
      <c r="EJ14" s="8"/>
      <c r="EK14" s="8"/>
      <c r="EL14" s="8"/>
      <c r="EM14" s="8"/>
      <c r="EN14" s="8"/>
      <c r="EO14" s="8"/>
      <c r="EP14" s="8"/>
      <c r="EQ14" s="9" t="str">
        <f t="shared" si="7"/>
        <v/>
      </c>
      <c r="ER14" s="10"/>
      <c r="ES14" s="2" t="s">
        <v>200</v>
      </c>
      <c r="ET14" s="2" t="s">
        <v>200</v>
      </c>
      <c r="EU14" s="11" t="str">
        <f t="shared" si="8"/>
        <v/>
      </c>
      <c r="EV14" s="11" t="str">
        <f t="shared" si="9"/>
        <v/>
      </c>
      <c r="EW14" s="11" t="str">
        <f t="shared" si="10"/>
        <v/>
      </c>
      <c r="EX14" s="11" t="str">
        <f t="shared" si="11"/>
        <v/>
      </c>
      <c r="EY14" s="11" t="str">
        <f t="shared" si="12"/>
        <v/>
      </c>
      <c r="EZ14" s="11" t="str">
        <f t="shared" si="13"/>
        <v/>
      </c>
      <c r="FA14" s="12" t="str">
        <f t="shared" si="14"/>
        <v/>
      </c>
      <c r="FB14" s="12" t="str">
        <f t="shared" si="15"/>
        <v/>
      </c>
      <c r="FC14" s="12" t="str">
        <f t="shared" si="16"/>
        <v/>
      </c>
      <c r="FD14" s="12" t="str">
        <f t="shared" si="17"/>
        <v/>
      </c>
      <c r="FE14" s="12" t="str">
        <f t="shared" si="18"/>
        <v/>
      </c>
      <c r="FF14" s="12" t="str">
        <f t="shared" si="19"/>
        <v/>
      </c>
      <c r="FG14" s="3" t="str">
        <f t="shared" si="20"/>
        <v>No</v>
      </c>
      <c r="FH14" s="3" t="str">
        <f t="shared" si="21"/>
        <v>No</v>
      </c>
      <c r="FI14" s="3" t="str">
        <f t="shared" si="22"/>
        <v>Not ready</v>
      </c>
    </row>
    <row r="15" spans="1:165" ht="16" customHeight="1">
      <c r="A15" s="2" t="s">
        <v>337</v>
      </c>
      <c r="B15" s="2">
        <v>24</v>
      </c>
      <c r="C15" s="2" t="s">
        <v>177</v>
      </c>
      <c r="D15" s="2">
        <v>1</v>
      </c>
      <c r="E15" s="2" t="s">
        <v>178</v>
      </c>
      <c r="F15" s="2" t="s">
        <v>338</v>
      </c>
      <c r="G15" s="2" t="s">
        <v>181</v>
      </c>
      <c r="H15" s="2" t="s">
        <v>181</v>
      </c>
      <c r="I15" s="2" t="s">
        <v>181</v>
      </c>
      <c r="J15" s="2">
        <v>1</v>
      </c>
      <c r="K15" s="2" t="s">
        <v>182</v>
      </c>
      <c r="L15" s="2" t="s">
        <v>183</v>
      </c>
      <c r="M15" s="2" t="s">
        <v>184</v>
      </c>
      <c r="N15" s="2"/>
      <c r="O15" s="5">
        <v>42906</v>
      </c>
      <c r="P15" s="5">
        <v>42906</v>
      </c>
      <c r="Q15" s="2">
        <v>2017</v>
      </c>
      <c r="R15" s="2" t="s">
        <v>339</v>
      </c>
      <c r="S15" s="2" t="s">
        <v>186</v>
      </c>
      <c r="T15" s="4" t="s">
        <v>340</v>
      </c>
      <c r="U15" s="2" t="s">
        <v>188</v>
      </c>
      <c r="V15" s="2" t="s">
        <v>189</v>
      </c>
      <c r="W15" s="2" t="s">
        <v>0</v>
      </c>
      <c r="X15" s="2" t="s">
        <v>257</v>
      </c>
      <c r="Y15" s="2" t="s">
        <v>0</v>
      </c>
      <c r="Z15" s="4"/>
      <c r="AA15" s="4"/>
      <c r="AB15" s="2" t="s">
        <v>341</v>
      </c>
      <c r="AC15" s="2" t="s">
        <v>342</v>
      </c>
      <c r="AD15" s="2" t="s">
        <v>343</v>
      </c>
      <c r="AE15" s="2" t="s">
        <v>344</v>
      </c>
      <c r="AF15" s="6"/>
      <c r="AG15" s="2" t="s">
        <v>197</v>
      </c>
      <c r="AH15" s="4" t="s">
        <v>345</v>
      </c>
      <c r="AI15" s="4" t="s">
        <v>346</v>
      </c>
      <c r="AJ15" s="2"/>
      <c r="AK15" s="2"/>
      <c r="AL15" s="2" t="s">
        <v>200</v>
      </c>
      <c r="AM15" s="2" t="s">
        <v>200</v>
      </c>
      <c r="AN15" s="2"/>
      <c r="AO15" s="2"/>
      <c r="AP15" s="2"/>
      <c r="AQ15" s="2"/>
      <c r="AR15" s="2"/>
      <c r="AS15" s="2" t="s">
        <v>341</v>
      </c>
      <c r="AT15" s="2" t="s">
        <v>343</v>
      </c>
      <c r="AU15" s="2" t="s">
        <v>201</v>
      </c>
      <c r="AV15" s="2" t="s">
        <v>202</v>
      </c>
      <c r="AW15" s="2" t="s">
        <v>200</v>
      </c>
      <c r="AX15" s="2" t="s">
        <v>200</v>
      </c>
      <c r="AY15" s="2" t="s">
        <v>200</v>
      </c>
      <c r="AZ15" s="2" t="s">
        <v>200</v>
      </c>
      <c r="BA15" s="2" t="s">
        <v>200</v>
      </c>
      <c r="BB15" s="2" t="s">
        <v>200</v>
      </c>
      <c r="BC15" s="4"/>
      <c r="BD15" s="2"/>
      <c r="BE15" s="2"/>
      <c r="BF15" s="2" t="s">
        <v>203</v>
      </c>
      <c r="BG15" s="2" t="s">
        <v>203</v>
      </c>
      <c r="BH15" s="2" t="s">
        <v>204</v>
      </c>
      <c r="BI15" s="2">
        <f t="shared" si="23"/>
        <v>2014</v>
      </c>
      <c r="BJ15" s="2">
        <f t="shared" si="24"/>
        <v>2015</v>
      </c>
      <c r="BK15" s="2">
        <f t="shared" si="25"/>
        <v>2016</v>
      </c>
      <c r="BL15" s="2">
        <f t="shared" si="26"/>
        <v>2017</v>
      </c>
      <c r="BM15" s="2">
        <f t="shared" si="27"/>
        <v>2018</v>
      </c>
      <c r="BN15" s="2">
        <f t="shared" si="28"/>
        <v>2019</v>
      </c>
      <c r="BO15" s="2">
        <f t="shared" si="29"/>
        <v>2020</v>
      </c>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7"/>
      <c r="DG15" s="7"/>
      <c r="DH15" s="7"/>
      <c r="DI15" s="7"/>
      <c r="DJ15" s="7"/>
      <c r="DK15" s="7"/>
      <c r="DL15" s="7"/>
      <c r="DM15" s="7"/>
      <c r="DN15" s="7"/>
      <c r="DO15" s="7"/>
      <c r="DP15" s="7"/>
      <c r="DQ15" s="7"/>
      <c r="DR15" s="7"/>
      <c r="DS15" s="7"/>
      <c r="DT15" s="7"/>
      <c r="DU15" s="7"/>
      <c r="DV15" s="7"/>
      <c r="DW15" s="7"/>
      <c r="DX15" s="7"/>
      <c r="DY15" s="7"/>
      <c r="DZ15" s="7"/>
      <c r="EA15" s="8"/>
      <c r="EB15" s="8"/>
      <c r="EC15" s="8"/>
      <c r="ED15" s="8"/>
      <c r="EE15" s="8"/>
      <c r="EF15" s="8"/>
      <c r="EG15" s="8"/>
      <c r="EH15" s="8"/>
      <c r="EI15" s="8"/>
      <c r="EJ15" s="8"/>
      <c r="EK15" s="8"/>
      <c r="EL15" s="8"/>
      <c r="EM15" s="8"/>
      <c r="EN15" s="8"/>
      <c r="EO15" s="8"/>
      <c r="EP15" s="8"/>
      <c r="EQ15" s="9" t="str">
        <f t="shared" si="7"/>
        <v/>
      </c>
      <c r="ER15" s="10"/>
      <c r="ES15" s="2" t="s">
        <v>200</v>
      </c>
      <c r="ET15" s="2" t="s">
        <v>200</v>
      </c>
      <c r="EU15" s="11" t="str">
        <f t="shared" si="8"/>
        <v/>
      </c>
      <c r="EV15" s="11" t="str">
        <f t="shared" si="9"/>
        <v/>
      </c>
      <c r="EW15" s="11" t="str">
        <f t="shared" si="10"/>
        <v/>
      </c>
      <c r="EX15" s="11" t="str">
        <f t="shared" si="11"/>
        <v/>
      </c>
      <c r="EY15" s="11" t="str">
        <f t="shared" si="12"/>
        <v/>
      </c>
      <c r="EZ15" s="11" t="str">
        <f t="shared" si="13"/>
        <v/>
      </c>
      <c r="FA15" s="12" t="str">
        <f t="shared" si="14"/>
        <v/>
      </c>
      <c r="FB15" s="12" t="str">
        <f t="shared" si="15"/>
        <v/>
      </c>
      <c r="FC15" s="12" t="str">
        <f t="shared" si="16"/>
        <v/>
      </c>
      <c r="FD15" s="12" t="str">
        <f t="shared" si="17"/>
        <v/>
      </c>
      <c r="FE15" s="12" t="str">
        <f t="shared" si="18"/>
        <v/>
      </c>
      <c r="FF15" s="12" t="str">
        <f t="shared" si="19"/>
        <v/>
      </c>
      <c r="FG15" s="3" t="str">
        <f t="shared" si="20"/>
        <v>No</v>
      </c>
      <c r="FH15" s="3" t="str">
        <f t="shared" si="21"/>
        <v>No</v>
      </c>
      <c r="FI15" s="3" t="str">
        <f t="shared" si="22"/>
        <v>Not ready</v>
      </c>
    </row>
    <row r="16" spans="1:165" ht="16" customHeight="1">
      <c r="A16" s="2" t="s">
        <v>347</v>
      </c>
      <c r="B16" s="2">
        <v>25</v>
      </c>
      <c r="C16" s="2" t="s">
        <v>177</v>
      </c>
      <c r="D16" s="2">
        <v>1</v>
      </c>
      <c r="E16" s="2" t="s">
        <v>178</v>
      </c>
      <c r="F16" s="2" t="s">
        <v>348</v>
      </c>
      <c r="G16" s="2" t="s">
        <v>180</v>
      </c>
      <c r="H16" s="2" t="s">
        <v>181</v>
      </c>
      <c r="I16" s="2" t="s">
        <v>181</v>
      </c>
      <c r="J16" s="2">
        <v>1</v>
      </c>
      <c r="K16" s="2" t="s">
        <v>182</v>
      </c>
      <c r="L16" s="2" t="s">
        <v>183</v>
      </c>
      <c r="M16" s="2" t="s">
        <v>184</v>
      </c>
      <c r="N16" s="2"/>
      <c r="O16" s="5">
        <v>42828</v>
      </c>
      <c r="P16" s="5">
        <v>42871</v>
      </c>
      <c r="Q16" s="2">
        <v>2017</v>
      </c>
      <c r="R16" s="2" t="s">
        <v>339</v>
      </c>
      <c r="S16" s="2" t="s">
        <v>186</v>
      </c>
      <c r="T16" s="4" t="s">
        <v>349</v>
      </c>
      <c r="U16" s="2" t="s">
        <v>188</v>
      </c>
      <c r="V16" s="2" t="s">
        <v>189</v>
      </c>
      <c r="W16" s="2" t="s">
        <v>0</v>
      </c>
      <c r="X16" s="2" t="s">
        <v>246</v>
      </c>
      <c r="Y16" s="2" t="s">
        <v>0</v>
      </c>
      <c r="Z16" s="4"/>
      <c r="AA16" s="4" t="s">
        <v>350</v>
      </c>
      <c r="AB16" s="2" t="s">
        <v>351</v>
      </c>
      <c r="AC16" s="2" t="s">
        <v>352</v>
      </c>
      <c r="AD16" s="2" t="s">
        <v>353</v>
      </c>
      <c r="AE16" s="2" t="s">
        <v>354</v>
      </c>
      <c r="AF16" s="6">
        <v>852</v>
      </c>
      <c r="AG16" s="2">
        <v>852</v>
      </c>
      <c r="AH16" s="4" t="s">
        <v>355</v>
      </c>
      <c r="AI16" s="4" t="s">
        <v>356</v>
      </c>
      <c r="AJ16" s="2"/>
      <c r="AK16" s="2"/>
      <c r="AL16" s="2" t="s">
        <v>200</v>
      </c>
      <c r="AM16" s="2" t="s">
        <v>200</v>
      </c>
      <c r="AN16" s="2"/>
      <c r="AO16" s="2"/>
      <c r="AP16" s="2"/>
      <c r="AQ16" s="2"/>
      <c r="AR16" s="2"/>
      <c r="AS16" s="2" t="s">
        <v>351</v>
      </c>
      <c r="AT16" s="2" t="s">
        <v>353</v>
      </c>
      <c r="AU16" s="2" t="s">
        <v>201</v>
      </c>
      <c r="AV16" s="2" t="s">
        <v>202</v>
      </c>
      <c r="AW16" s="2" t="s">
        <v>200</v>
      </c>
      <c r="AX16" s="2" t="s">
        <v>200</v>
      </c>
      <c r="AY16" s="2" t="s">
        <v>200</v>
      </c>
      <c r="AZ16" s="2" t="s">
        <v>200</v>
      </c>
      <c r="BA16" s="2" t="s">
        <v>200</v>
      </c>
      <c r="BB16" s="2" t="s">
        <v>200</v>
      </c>
      <c r="BC16" s="4"/>
      <c r="BD16" s="2"/>
      <c r="BE16" s="2"/>
      <c r="BF16" s="2" t="s">
        <v>203</v>
      </c>
      <c r="BG16" s="2" t="s">
        <v>203</v>
      </c>
      <c r="BH16" s="2" t="s">
        <v>204</v>
      </c>
      <c r="BI16" s="2">
        <f t="shared" si="23"/>
        <v>2014</v>
      </c>
      <c r="BJ16" s="2">
        <f t="shared" si="24"/>
        <v>2015</v>
      </c>
      <c r="BK16" s="2">
        <f t="shared" si="25"/>
        <v>2016</v>
      </c>
      <c r="BL16" s="2">
        <f t="shared" si="26"/>
        <v>2017</v>
      </c>
      <c r="BM16" s="2">
        <f t="shared" si="27"/>
        <v>2018</v>
      </c>
      <c r="BN16" s="2">
        <f t="shared" si="28"/>
        <v>2019</v>
      </c>
      <c r="BO16" s="2">
        <f t="shared" si="29"/>
        <v>2020</v>
      </c>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7"/>
      <c r="DG16" s="7"/>
      <c r="DH16" s="7"/>
      <c r="DI16" s="7"/>
      <c r="DJ16" s="7"/>
      <c r="DK16" s="7"/>
      <c r="DL16" s="7"/>
      <c r="DM16" s="7"/>
      <c r="DN16" s="7"/>
      <c r="DO16" s="7"/>
      <c r="DP16" s="7"/>
      <c r="DQ16" s="7"/>
      <c r="DR16" s="7"/>
      <c r="DS16" s="7"/>
      <c r="DT16" s="7"/>
      <c r="DU16" s="7"/>
      <c r="DV16" s="7"/>
      <c r="DW16" s="7"/>
      <c r="DX16" s="7"/>
      <c r="DY16" s="7"/>
      <c r="DZ16" s="7"/>
      <c r="EA16" s="8"/>
      <c r="EB16" s="8"/>
      <c r="EC16" s="8"/>
      <c r="ED16" s="8"/>
      <c r="EE16" s="8"/>
      <c r="EF16" s="8"/>
      <c r="EG16" s="8"/>
      <c r="EH16" s="8"/>
      <c r="EI16" s="8"/>
      <c r="EJ16" s="8"/>
      <c r="EK16" s="8"/>
      <c r="EL16" s="8"/>
      <c r="EM16" s="8"/>
      <c r="EN16" s="8"/>
      <c r="EO16" s="8"/>
      <c r="EP16" s="8"/>
      <c r="EQ16" s="9" t="str">
        <f t="shared" si="7"/>
        <v/>
      </c>
      <c r="ER16" s="10"/>
      <c r="ES16" s="2" t="s">
        <v>200</v>
      </c>
      <c r="ET16" s="2" t="s">
        <v>200</v>
      </c>
      <c r="EU16" s="11" t="str">
        <f t="shared" si="8"/>
        <v/>
      </c>
      <c r="EV16" s="11" t="str">
        <f t="shared" si="9"/>
        <v/>
      </c>
      <c r="EW16" s="11" t="str">
        <f t="shared" si="10"/>
        <v/>
      </c>
      <c r="EX16" s="11" t="str">
        <f t="shared" si="11"/>
        <v/>
      </c>
      <c r="EY16" s="11" t="str">
        <f t="shared" si="12"/>
        <v/>
      </c>
      <c r="EZ16" s="11" t="str">
        <f t="shared" si="13"/>
        <v/>
      </c>
      <c r="FA16" s="12" t="str">
        <f t="shared" si="14"/>
        <v/>
      </c>
      <c r="FB16" s="12" t="str">
        <f t="shared" si="15"/>
        <v/>
      </c>
      <c r="FC16" s="12" t="str">
        <f t="shared" si="16"/>
        <v/>
      </c>
      <c r="FD16" s="12" t="str">
        <f t="shared" si="17"/>
        <v/>
      </c>
      <c r="FE16" s="12" t="str">
        <f t="shared" si="18"/>
        <v/>
      </c>
      <c r="FF16" s="12" t="str">
        <f t="shared" si="19"/>
        <v/>
      </c>
      <c r="FG16" s="3" t="str">
        <f t="shared" si="20"/>
        <v>No</v>
      </c>
      <c r="FH16" s="3" t="str">
        <f t="shared" si="21"/>
        <v>No</v>
      </c>
      <c r="FI16" s="3" t="str">
        <f t="shared" si="22"/>
        <v>Not ready</v>
      </c>
    </row>
    <row r="17" spans="1:165" ht="16" customHeight="1">
      <c r="A17" s="2" t="s">
        <v>357</v>
      </c>
      <c r="B17" s="2">
        <v>26</v>
      </c>
      <c r="C17" s="2" t="s">
        <v>177</v>
      </c>
      <c r="D17" s="2">
        <v>1</v>
      </c>
      <c r="E17" s="2" t="s">
        <v>178</v>
      </c>
      <c r="F17" s="2" t="s">
        <v>358</v>
      </c>
      <c r="G17" s="2" t="s">
        <v>180</v>
      </c>
      <c r="H17" s="2" t="s">
        <v>181</v>
      </c>
      <c r="I17" s="2" t="s">
        <v>181</v>
      </c>
      <c r="J17" s="2">
        <v>1</v>
      </c>
      <c r="K17" s="2" t="s">
        <v>182</v>
      </c>
      <c r="L17" s="2" t="s">
        <v>183</v>
      </c>
      <c r="M17" s="2" t="s">
        <v>184</v>
      </c>
      <c r="N17" s="2"/>
      <c r="O17" s="5">
        <v>42824</v>
      </c>
      <c r="P17" s="5">
        <v>42871</v>
      </c>
      <c r="Q17" s="2">
        <v>2017</v>
      </c>
      <c r="R17" s="2" t="s">
        <v>359</v>
      </c>
      <c r="S17" s="2" t="s">
        <v>186</v>
      </c>
      <c r="T17" s="4" t="s">
        <v>360</v>
      </c>
      <c r="U17" s="2" t="s">
        <v>188</v>
      </c>
      <c r="V17" s="2" t="s">
        <v>189</v>
      </c>
      <c r="W17" s="2" t="s">
        <v>0</v>
      </c>
      <c r="X17" s="2" t="s">
        <v>222</v>
      </c>
      <c r="Y17" s="2" t="s">
        <v>0</v>
      </c>
      <c r="Z17" s="4" t="s">
        <v>361</v>
      </c>
      <c r="AA17" s="4" t="s">
        <v>362</v>
      </c>
      <c r="AB17" s="2" t="s">
        <v>363</v>
      </c>
      <c r="AC17" s="2" t="s">
        <v>364</v>
      </c>
      <c r="AD17" s="2" t="s">
        <v>365</v>
      </c>
      <c r="AE17" s="2" t="s">
        <v>366</v>
      </c>
      <c r="AF17" s="6">
        <v>435</v>
      </c>
      <c r="AG17" s="2">
        <v>435</v>
      </c>
      <c r="AH17" s="4" t="s">
        <v>367</v>
      </c>
      <c r="AI17" s="4" t="s">
        <v>368</v>
      </c>
      <c r="AJ17" s="2"/>
      <c r="AK17" s="2"/>
      <c r="AL17" s="2" t="s">
        <v>200</v>
      </c>
      <c r="AM17" s="2" t="s">
        <v>200</v>
      </c>
      <c r="AN17" s="2"/>
      <c r="AO17" s="2"/>
      <c r="AP17" s="2"/>
      <c r="AQ17" s="2"/>
      <c r="AR17" s="2"/>
      <c r="AS17" s="2" t="s">
        <v>363</v>
      </c>
      <c r="AT17" s="2" t="s">
        <v>365</v>
      </c>
      <c r="AU17" s="2" t="s">
        <v>201</v>
      </c>
      <c r="AV17" s="2" t="s">
        <v>202</v>
      </c>
      <c r="AW17" s="2" t="s">
        <v>200</v>
      </c>
      <c r="AX17" s="2" t="s">
        <v>200</v>
      </c>
      <c r="AY17" s="2" t="s">
        <v>200</v>
      </c>
      <c r="AZ17" s="2" t="s">
        <v>200</v>
      </c>
      <c r="BA17" s="2" t="s">
        <v>200</v>
      </c>
      <c r="BB17" s="2" t="s">
        <v>200</v>
      </c>
      <c r="BC17" s="4"/>
      <c r="BD17" s="2"/>
      <c r="BE17" s="2"/>
      <c r="BF17" s="2" t="s">
        <v>203</v>
      </c>
      <c r="BG17" s="2" t="s">
        <v>203</v>
      </c>
      <c r="BH17" s="2" t="s">
        <v>204</v>
      </c>
      <c r="BI17" s="2">
        <f t="shared" si="23"/>
        <v>2014</v>
      </c>
      <c r="BJ17" s="2">
        <f t="shared" si="24"/>
        <v>2015</v>
      </c>
      <c r="BK17" s="2">
        <f t="shared" si="25"/>
        <v>2016</v>
      </c>
      <c r="BL17" s="2">
        <f t="shared" si="26"/>
        <v>2017</v>
      </c>
      <c r="BM17" s="2">
        <f t="shared" si="27"/>
        <v>2018</v>
      </c>
      <c r="BN17" s="2">
        <f t="shared" si="28"/>
        <v>2019</v>
      </c>
      <c r="BO17" s="2">
        <f t="shared" si="29"/>
        <v>2020</v>
      </c>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7"/>
      <c r="DG17" s="7"/>
      <c r="DH17" s="7"/>
      <c r="DI17" s="7"/>
      <c r="DJ17" s="7"/>
      <c r="DK17" s="7"/>
      <c r="DL17" s="7"/>
      <c r="DM17" s="7"/>
      <c r="DN17" s="7"/>
      <c r="DO17" s="7"/>
      <c r="DP17" s="7"/>
      <c r="DQ17" s="7"/>
      <c r="DR17" s="7"/>
      <c r="DS17" s="7"/>
      <c r="DT17" s="7"/>
      <c r="DU17" s="7"/>
      <c r="DV17" s="7"/>
      <c r="DW17" s="7"/>
      <c r="DX17" s="7"/>
      <c r="DY17" s="7"/>
      <c r="DZ17" s="7"/>
      <c r="EA17" s="8"/>
      <c r="EB17" s="8"/>
      <c r="EC17" s="8"/>
      <c r="ED17" s="8"/>
      <c r="EE17" s="8"/>
      <c r="EF17" s="8"/>
      <c r="EG17" s="8"/>
      <c r="EH17" s="8"/>
      <c r="EI17" s="8"/>
      <c r="EJ17" s="8"/>
      <c r="EK17" s="8"/>
      <c r="EL17" s="8"/>
      <c r="EM17" s="8"/>
      <c r="EN17" s="8"/>
      <c r="EO17" s="8"/>
      <c r="EP17" s="8"/>
      <c r="EQ17" s="9" t="str">
        <f t="shared" si="7"/>
        <v/>
      </c>
      <c r="ER17" s="10"/>
      <c r="ES17" s="2" t="s">
        <v>200</v>
      </c>
      <c r="ET17" s="2" t="s">
        <v>200</v>
      </c>
      <c r="EU17" s="11" t="str">
        <f t="shared" si="8"/>
        <v/>
      </c>
      <c r="EV17" s="11" t="str">
        <f t="shared" si="9"/>
        <v/>
      </c>
      <c r="EW17" s="11" t="str">
        <f t="shared" si="10"/>
        <v/>
      </c>
      <c r="EX17" s="11" t="str">
        <f t="shared" si="11"/>
        <v/>
      </c>
      <c r="EY17" s="11" t="str">
        <f t="shared" si="12"/>
        <v/>
      </c>
      <c r="EZ17" s="11" t="str">
        <f t="shared" si="13"/>
        <v/>
      </c>
      <c r="FA17" s="12" t="str">
        <f t="shared" si="14"/>
        <v/>
      </c>
      <c r="FB17" s="12" t="str">
        <f t="shared" si="15"/>
        <v/>
      </c>
      <c r="FC17" s="12" t="str">
        <f t="shared" si="16"/>
        <v/>
      </c>
      <c r="FD17" s="12" t="str">
        <f t="shared" si="17"/>
        <v/>
      </c>
      <c r="FE17" s="12" t="str">
        <f t="shared" si="18"/>
        <v/>
      </c>
      <c r="FF17" s="12" t="str">
        <f t="shared" si="19"/>
        <v/>
      </c>
      <c r="FG17" s="3" t="str">
        <f t="shared" si="20"/>
        <v>No</v>
      </c>
      <c r="FH17" s="3" t="str">
        <f t="shared" si="21"/>
        <v>No</v>
      </c>
      <c r="FI17" s="3" t="str">
        <f t="shared" si="22"/>
        <v>Not ready</v>
      </c>
    </row>
    <row r="18" spans="1:165" ht="16" customHeight="1">
      <c r="A18" s="2" t="s">
        <v>369</v>
      </c>
      <c r="B18" s="2">
        <v>27</v>
      </c>
      <c r="C18" s="2" t="s">
        <v>177</v>
      </c>
      <c r="D18" s="2">
        <v>1</v>
      </c>
      <c r="E18" s="2" t="s">
        <v>178</v>
      </c>
      <c r="F18" s="2" t="s">
        <v>370</v>
      </c>
      <c r="G18" s="2" t="s">
        <v>180</v>
      </c>
      <c r="H18" s="2" t="s">
        <v>181</v>
      </c>
      <c r="I18" s="2" t="s">
        <v>181</v>
      </c>
      <c r="J18" s="2">
        <v>1</v>
      </c>
      <c r="K18" s="2" t="s">
        <v>182</v>
      </c>
      <c r="L18" s="2" t="s">
        <v>183</v>
      </c>
      <c r="M18" s="2" t="s">
        <v>184</v>
      </c>
      <c r="N18" s="2"/>
      <c r="O18" s="5">
        <v>42817</v>
      </c>
      <c r="P18" s="5">
        <v>42817</v>
      </c>
      <c r="Q18" s="2">
        <v>2017</v>
      </c>
      <c r="R18" s="2" t="s">
        <v>359</v>
      </c>
      <c r="S18" s="2" t="s">
        <v>186</v>
      </c>
      <c r="T18" s="4" t="s">
        <v>371</v>
      </c>
      <c r="U18" s="2" t="s">
        <v>188</v>
      </c>
      <c r="V18" s="2" t="s">
        <v>189</v>
      </c>
      <c r="W18" s="2" t="s">
        <v>0</v>
      </c>
      <c r="X18" s="2" t="s">
        <v>257</v>
      </c>
      <c r="Y18" s="2" t="s">
        <v>0</v>
      </c>
      <c r="Z18" s="4"/>
      <c r="AA18" s="4" t="s">
        <v>372</v>
      </c>
      <c r="AB18" s="2" t="s">
        <v>373</v>
      </c>
      <c r="AC18" s="2" t="s">
        <v>374</v>
      </c>
      <c r="AD18" s="2" t="s">
        <v>375</v>
      </c>
      <c r="AE18" s="2" t="s">
        <v>376</v>
      </c>
      <c r="AF18" s="6">
        <v>6</v>
      </c>
      <c r="AG18" s="2">
        <v>6</v>
      </c>
      <c r="AH18" s="4" t="s">
        <v>377</v>
      </c>
      <c r="AI18" s="4" t="s">
        <v>378</v>
      </c>
      <c r="AJ18" s="2"/>
      <c r="AK18" s="2"/>
      <c r="AL18" s="2" t="s">
        <v>200</v>
      </c>
      <c r="AM18" s="2" t="s">
        <v>200</v>
      </c>
      <c r="AN18" s="2"/>
      <c r="AO18" s="2"/>
      <c r="AP18" s="2"/>
      <c r="AQ18" s="2"/>
      <c r="AR18" s="2"/>
      <c r="AS18" s="2" t="s">
        <v>373</v>
      </c>
      <c r="AT18" s="2" t="s">
        <v>375</v>
      </c>
      <c r="AU18" s="2" t="s">
        <v>201</v>
      </c>
      <c r="AV18" s="2" t="s">
        <v>202</v>
      </c>
      <c r="AW18" s="2" t="s">
        <v>200</v>
      </c>
      <c r="AX18" s="2" t="s">
        <v>200</v>
      </c>
      <c r="AY18" s="2" t="s">
        <v>200</v>
      </c>
      <c r="AZ18" s="2" t="s">
        <v>200</v>
      </c>
      <c r="BA18" s="2" t="s">
        <v>200</v>
      </c>
      <c r="BB18" s="2" t="s">
        <v>200</v>
      </c>
      <c r="BC18" s="4"/>
      <c r="BD18" s="2"/>
      <c r="BE18" s="2"/>
      <c r="BF18" s="2" t="s">
        <v>203</v>
      </c>
      <c r="BG18" s="2" t="s">
        <v>203</v>
      </c>
      <c r="BH18" s="2" t="s">
        <v>204</v>
      </c>
      <c r="BI18" s="2">
        <f t="shared" si="23"/>
        <v>2014</v>
      </c>
      <c r="BJ18" s="2">
        <f t="shared" si="24"/>
        <v>2015</v>
      </c>
      <c r="BK18" s="2">
        <f t="shared" si="25"/>
        <v>2016</v>
      </c>
      <c r="BL18" s="2">
        <f t="shared" si="26"/>
        <v>2017</v>
      </c>
      <c r="BM18" s="2">
        <f t="shared" si="27"/>
        <v>2018</v>
      </c>
      <c r="BN18" s="2">
        <f t="shared" si="28"/>
        <v>2019</v>
      </c>
      <c r="BO18" s="2">
        <f t="shared" si="29"/>
        <v>2020</v>
      </c>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7"/>
      <c r="DG18" s="7"/>
      <c r="DH18" s="7"/>
      <c r="DI18" s="7"/>
      <c r="DJ18" s="7"/>
      <c r="DK18" s="7"/>
      <c r="DL18" s="7"/>
      <c r="DM18" s="7"/>
      <c r="DN18" s="7"/>
      <c r="DO18" s="7"/>
      <c r="DP18" s="7"/>
      <c r="DQ18" s="7"/>
      <c r="DR18" s="7"/>
      <c r="DS18" s="7"/>
      <c r="DT18" s="7"/>
      <c r="DU18" s="7"/>
      <c r="DV18" s="7"/>
      <c r="DW18" s="7"/>
      <c r="DX18" s="7"/>
      <c r="DY18" s="7"/>
      <c r="DZ18" s="7"/>
      <c r="EA18" s="8"/>
      <c r="EB18" s="8"/>
      <c r="EC18" s="8"/>
      <c r="ED18" s="8"/>
      <c r="EE18" s="8"/>
      <c r="EF18" s="8"/>
      <c r="EG18" s="8"/>
      <c r="EH18" s="8"/>
      <c r="EI18" s="8"/>
      <c r="EJ18" s="8"/>
      <c r="EK18" s="8"/>
      <c r="EL18" s="8"/>
      <c r="EM18" s="8"/>
      <c r="EN18" s="8"/>
      <c r="EO18" s="8"/>
      <c r="EP18" s="8"/>
      <c r="EQ18" s="9" t="str">
        <f t="shared" si="7"/>
        <v/>
      </c>
      <c r="ER18" s="10"/>
      <c r="ES18" s="2" t="s">
        <v>200</v>
      </c>
      <c r="ET18" s="2" t="s">
        <v>200</v>
      </c>
      <c r="EU18" s="11" t="str">
        <f t="shared" si="8"/>
        <v/>
      </c>
      <c r="EV18" s="11" t="str">
        <f t="shared" si="9"/>
        <v/>
      </c>
      <c r="EW18" s="11" t="str">
        <f t="shared" si="10"/>
        <v/>
      </c>
      <c r="EX18" s="11" t="str">
        <f t="shared" si="11"/>
        <v/>
      </c>
      <c r="EY18" s="11" t="str">
        <f t="shared" si="12"/>
        <v/>
      </c>
      <c r="EZ18" s="11" t="str">
        <f t="shared" si="13"/>
        <v/>
      </c>
      <c r="FA18" s="12" t="str">
        <f t="shared" si="14"/>
        <v/>
      </c>
      <c r="FB18" s="12" t="str">
        <f t="shared" si="15"/>
        <v/>
      </c>
      <c r="FC18" s="12" t="str">
        <f t="shared" si="16"/>
        <v/>
      </c>
      <c r="FD18" s="12" t="str">
        <f t="shared" si="17"/>
        <v/>
      </c>
      <c r="FE18" s="12" t="str">
        <f t="shared" si="18"/>
        <v/>
      </c>
      <c r="FF18" s="12" t="str">
        <f t="shared" si="19"/>
        <v/>
      </c>
      <c r="FG18" s="3" t="str">
        <f t="shared" si="20"/>
        <v>No</v>
      </c>
      <c r="FH18" s="3" t="str">
        <f t="shared" si="21"/>
        <v>No</v>
      </c>
      <c r="FI18" s="3" t="str">
        <f t="shared" si="22"/>
        <v>Not ready</v>
      </c>
    </row>
    <row r="19" spans="1:165" ht="16" customHeight="1">
      <c r="A19" s="2" t="s">
        <v>379</v>
      </c>
      <c r="B19" s="2">
        <v>28</v>
      </c>
      <c r="C19" s="2" t="s">
        <v>177</v>
      </c>
      <c r="D19" s="2">
        <v>1</v>
      </c>
      <c r="E19" s="2" t="s">
        <v>178</v>
      </c>
      <c r="F19" s="2" t="s">
        <v>380</v>
      </c>
      <c r="G19" s="2" t="s">
        <v>181</v>
      </c>
      <c r="H19" s="2" t="s">
        <v>181</v>
      </c>
      <c r="I19" s="2" t="s">
        <v>181</v>
      </c>
      <c r="J19" s="2">
        <v>1</v>
      </c>
      <c r="K19" s="2" t="s">
        <v>182</v>
      </c>
      <c r="L19" s="2" t="s">
        <v>279</v>
      </c>
      <c r="M19" s="2" t="s">
        <v>184</v>
      </c>
      <c r="N19" s="2"/>
      <c r="O19" s="5">
        <v>42783</v>
      </c>
      <c r="P19" s="5">
        <v>42796</v>
      </c>
      <c r="Q19" s="2">
        <v>2017</v>
      </c>
      <c r="R19" s="2" t="s">
        <v>359</v>
      </c>
      <c r="S19" s="2" t="s">
        <v>186</v>
      </c>
      <c r="T19" s="4" t="s">
        <v>381</v>
      </c>
      <c r="U19" s="2" t="s">
        <v>188</v>
      </c>
      <c r="V19" s="2" t="s">
        <v>189</v>
      </c>
      <c r="W19" s="2" t="s">
        <v>2</v>
      </c>
      <c r="X19" s="2" t="s">
        <v>382</v>
      </c>
      <c r="Y19" s="2" t="s">
        <v>2</v>
      </c>
      <c r="Z19" s="4" t="s">
        <v>383</v>
      </c>
      <c r="AA19" s="4" t="s">
        <v>384</v>
      </c>
      <c r="AB19" s="2" t="s">
        <v>385</v>
      </c>
      <c r="AC19" s="2" t="s">
        <v>386</v>
      </c>
      <c r="AD19" s="2" t="s">
        <v>387</v>
      </c>
      <c r="AE19" s="2" t="s">
        <v>388</v>
      </c>
      <c r="AF19" s="6"/>
      <c r="AG19" s="2" t="s">
        <v>197</v>
      </c>
      <c r="AH19" s="4" t="s">
        <v>389</v>
      </c>
      <c r="AI19" s="4"/>
      <c r="AJ19" s="2"/>
      <c r="AK19" s="2"/>
      <c r="AL19" s="2" t="s">
        <v>200</v>
      </c>
      <c r="AM19" s="2" t="s">
        <v>200</v>
      </c>
      <c r="AN19" s="2"/>
      <c r="AO19" s="2"/>
      <c r="AP19" s="2"/>
      <c r="AQ19" s="2"/>
      <c r="AR19" s="2"/>
      <c r="AS19" s="2" t="s">
        <v>385</v>
      </c>
      <c r="AT19" s="2" t="s">
        <v>387</v>
      </c>
      <c r="AU19" s="2" t="s">
        <v>201</v>
      </c>
      <c r="AV19" s="2" t="s">
        <v>202</v>
      </c>
      <c r="AW19" s="2" t="s">
        <v>200</v>
      </c>
      <c r="AX19" s="2" t="s">
        <v>200</v>
      </c>
      <c r="AY19" s="2" t="s">
        <v>200</v>
      </c>
      <c r="AZ19" s="2" t="s">
        <v>200</v>
      </c>
      <c r="BA19" s="2" t="s">
        <v>200</v>
      </c>
      <c r="BB19" s="2" t="s">
        <v>200</v>
      </c>
      <c r="BC19" s="4"/>
      <c r="BD19" s="2"/>
      <c r="BE19" s="2"/>
      <c r="BF19" s="2" t="s">
        <v>203</v>
      </c>
      <c r="BG19" s="2" t="s">
        <v>203</v>
      </c>
      <c r="BH19" s="2" t="s">
        <v>204</v>
      </c>
      <c r="BI19" s="2">
        <f t="shared" si="23"/>
        <v>2014</v>
      </c>
      <c r="BJ19" s="2">
        <f t="shared" si="24"/>
        <v>2015</v>
      </c>
      <c r="BK19" s="2">
        <f t="shared" si="25"/>
        <v>2016</v>
      </c>
      <c r="BL19" s="2">
        <f t="shared" si="26"/>
        <v>2017</v>
      </c>
      <c r="BM19" s="2">
        <f t="shared" si="27"/>
        <v>2018</v>
      </c>
      <c r="BN19" s="2">
        <f t="shared" si="28"/>
        <v>2019</v>
      </c>
      <c r="BO19" s="2">
        <f t="shared" si="29"/>
        <v>2020</v>
      </c>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7"/>
      <c r="DG19" s="7"/>
      <c r="DH19" s="7"/>
      <c r="DI19" s="7"/>
      <c r="DJ19" s="7"/>
      <c r="DK19" s="7"/>
      <c r="DL19" s="7"/>
      <c r="DM19" s="7"/>
      <c r="DN19" s="7"/>
      <c r="DO19" s="7"/>
      <c r="DP19" s="7"/>
      <c r="DQ19" s="7"/>
      <c r="DR19" s="7"/>
      <c r="DS19" s="7"/>
      <c r="DT19" s="7"/>
      <c r="DU19" s="7"/>
      <c r="DV19" s="7"/>
      <c r="DW19" s="7"/>
      <c r="DX19" s="7"/>
      <c r="DY19" s="7"/>
      <c r="DZ19" s="7"/>
      <c r="EA19" s="8"/>
      <c r="EB19" s="8"/>
      <c r="EC19" s="8"/>
      <c r="ED19" s="8"/>
      <c r="EE19" s="8"/>
      <c r="EF19" s="8"/>
      <c r="EG19" s="8"/>
      <c r="EH19" s="8"/>
      <c r="EI19" s="8"/>
      <c r="EJ19" s="8"/>
      <c r="EK19" s="8"/>
      <c r="EL19" s="8"/>
      <c r="EM19" s="8"/>
      <c r="EN19" s="8"/>
      <c r="EO19" s="8"/>
      <c r="EP19" s="8"/>
      <c r="EQ19" s="9" t="str">
        <f t="shared" si="7"/>
        <v/>
      </c>
      <c r="ER19" s="10"/>
      <c r="ES19" s="2" t="s">
        <v>200</v>
      </c>
      <c r="ET19" s="2" t="s">
        <v>200</v>
      </c>
      <c r="EU19" s="11" t="str">
        <f t="shared" si="8"/>
        <v/>
      </c>
      <c r="EV19" s="11" t="str">
        <f t="shared" si="9"/>
        <v/>
      </c>
      <c r="EW19" s="11" t="str">
        <f t="shared" si="10"/>
        <v/>
      </c>
      <c r="EX19" s="11" t="str">
        <f t="shared" si="11"/>
        <v/>
      </c>
      <c r="EY19" s="11" t="str">
        <f t="shared" si="12"/>
        <v/>
      </c>
      <c r="EZ19" s="11" t="str">
        <f t="shared" si="13"/>
        <v/>
      </c>
      <c r="FA19" s="12" t="str">
        <f t="shared" si="14"/>
        <v/>
      </c>
      <c r="FB19" s="12" t="str">
        <f t="shared" si="15"/>
        <v/>
      </c>
      <c r="FC19" s="12" t="str">
        <f t="shared" si="16"/>
        <v/>
      </c>
      <c r="FD19" s="12" t="str">
        <f t="shared" si="17"/>
        <v/>
      </c>
      <c r="FE19" s="12" t="str">
        <f t="shared" si="18"/>
        <v/>
      </c>
      <c r="FF19" s="12" t="str">
        <f t="shared" si="19"/>
        <v/>
      </c>
      <c r="FG19" s="3" t="str">
        <f t="shared" si="20"/>
        <v>No</v>
      </c>
      <c r="FH19" s="3" t="str">
        <f t="shared" si="21"/>
        <v>No</v>
      </c>
      <c r="FI19" s="3" t="str">
        <f t="shared" si="22"/>
        <v>Not ready</v>
      </c>
    </row>
    <row r="20" spans="1:165" ht="16" customHeight="1">
      <c r="A20" s="2" t="s">
        <v>390</v>
      </c>
      <c r="B20" s="2">
        <v>29</v>
      </c>
      <c r="C20" s="2" t="s">
        <v>177</v>
      </c>
      <c r="D20" s="2">
        <v>1</v>
      </c>
      <c r="E20" s="2" t="s">
        <v>178</v>
      </c>
      <c r="F20" s="2" t="s">
        <v>391</v>
      </c>
      <c r="G20" s="2" t="s">
        <v>180</v>
      </c>
      <c r="H20" s="2" t="s">
        <v>181</v>
      </c>
      <c r="I20" s="2" t="s">
        <v>181</v>
      </c>
      <c r="J20" s="2">
        <v>1</v>
      </c>
      <c r="K20" s="2" t="s">
        <v>182</v>
      </c>
      <c r="L20" s="2" t="s">
        <v>183</v>
      </c>
      <c r="M20" s="2" t="s">
        <v>184</v>
      </c>
      <c r="N20" s="2"/>
      <c r="O20" s="5">
        <v>42742</v>
      </c>
      <c r="P20" s="5">
        <v>42853</v>
      </c>
      <c r="Q20" s="2">
        <v>2017</v>
      </c>
      <c r="R20" s="2" t="s">
        <v>359</v>
      </c>
      <c r="S20" s="2" t="s">
        <v>186</v>
      </c>
      <c r="T20" s="4" t="s">
        <v>392</v>
      </c>
      <c r="U20" s="2" t="s">
        <v>188</v>
      </c>
      <c r="V20" s="2" t="s">
        <v>189</v>
      </c>
      <c r="W20" s="2" t="s">
        <v>0</v>
      </c>
      <c r="X20" s="2" t="s">
        <v>393</v>
      </c>
      <c r="Y20" s="2" t="s">
        <v>0</v>
      </c>
      <c r="Z20" s="4"/>
      <c r="AA20" s="4"/>
      <c r="AB20" s="2" t="s">
        <v>394</v>
      </c>
      <c r="AC20" s="2" t="s">
        <v>395</v>
      </c>
      <c r="AD20" s="2" t="s">
        <v>396</v>
      </c>
      <c r="AE20" s="2" t="s">
        <v>397</v>
      </c>
      <c r="AF20" s="6">
        <v>143</v>
      </c>
      <c r="AG20" s="2">
        <v>143</v>
      </c>
      <c r="AH20" s="4" t="s">
        <v>398</v>
      </c>
      <c r="AI20" s="4" t="s">
        <v>399</v>
      </c>
      <c r="AJ20" s="2"/>
      <c r="AK20" s="2"/>
      <c r="AL20" s="2" t="s">
        <v>200</v>
      </c>
      <c r="AM20" s="2" t="s">
        <v>200</v>
      </c>
      <c r="AN20" s="2"/>
      <c r="AO20" s="2"/>
      <c r="AP20" s="2"/>
      <c r="AQ20" s="2"/>
      <c r="AR20" s="2"/>
      <c r="AS20" s="2" t="s">
        <v>394</v>
      </c>
      <c r="AT20" s="2" t="s">
        <v>396</v>
      </c>
      <c r="AU20" s="2" t="s">
        <v>201</v>
      </c>
      <c r="AV20" s="2" t="s">
        <v>202</v>
      </c>
      <c r="AW20" s="2" t="s">
        <v>200</v>
      </c>
      <c r="AX20" s="2" t="s">
        <v>200</v>
      </c>
      <c r="AY20" s="2" t="s">
        <v>200</v>
      </c>
      <c r="AZ20" s="2" t="s">
        <v>200</v>
      </c>
      <c r="BA20" s="2" t="s">
        <v>200</v>
      </c>
      <c r="BB20" s="2" t="s">
        <v>200</v>
      </c>
      <c r="BC20" s="4"/>
      <c r="BD20" s="2"/>
      <c r="BE20" s="2"/>
      <c r="BF20" s="2" t="s">
        <v>203</v>
      </c>
      <c r="BG20" s="2" t="s">
        <v>203</v>
      </c>
      <c r="BH20" s="2" t="s">
        <v>204</v>
      </c>
      <c r="BI20" s="2">
        <f t="shared" si="23"/>
        <v>2014</v>
      </c>
      <c r="BJ20" s="2">
        <f t="shared" si="24"/>
        <v>2015</v>
      </c>
      <c r="BK20" s="2">
        <f t="shared" si="25"/>
        <v>2016</v>
      </c>
      <c r="BL20" s="2">
        <f t="shared" si="26"/>
        <v>2017</v>
      </c>
      <c r="BM20" s="2">
        <f t="shared" si="27"/>
        <v>2018</v>
      </c>
      <c r="BN20" s="2">
        <f t="shared" si="28"/>
        <v>2019</v>
      </c>
      <c r="BO20" s="2">
        <f t="shared" si="29"/>
        <v>2020</v>
      </c>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7"/>
      <c r="DG20" s="7"/>
      <c r="DH20" s="7"/>
      <c r="DI20" s="7"/>
      <c r="DJ20" s="7"/>
      <c r="DK20" s="7"/>
      <c r="DL20" s="7"/>
      <c r="DM20" s="7"/>
      <c r="DN20" s="7"/>
      <c r="DO20" s="7"/>
      <c r="DP20" s="7"/>
      <c r="DQ20" s="7"/>
      <c r="DR20" s="7"/>
      <c r="DS20" s="7"/>
      <c r="DT20" s="7"/>
      <c r="DU20" s="7"/>
      <c r="DV20" s="7"/>
      <c r="DW20" s="7"/>
      <c r="DX20" s="7"/>
      <c r="DY20" s="7"/>
      <c r="DZ20" s="7"/>
      <c r="EA20" s="8"/>
      <c r="EB20" s="8"/>
      <c r="EC20" s="8"/>
      <c r="ED20" s="8"/>
      <c r="EE20" s="8"/>
      <c r="EF20" s="8"/>
      <c r="EG20" s="8"/>
      <c r="EH20" s="8"/>
      <c r="EI20" s="8"/>
      <c r="EJ20" s="8"/>
      <c r="EK20" s="8"/>
      <c r="EL20" s="8"/>
      <c r="EM20" s="8"/>
      <c r="EN20" s="8"/>
      <c r="EO20" s="8"/>
      <c r="EP20" s="8"/>
      <c r="EQ20" s="9" t="str">
        <f t="shared" si="7"/>
        <v/>
      </c>
      <c r="ER20" s="10"/>
      <c r="ES20" s="2" t="s">
        <v>200</v>
      </c>
      <c r="ET20" s="2" t="s">
        <v>200</v>
      </c>
      <c r="EU20" s="11" t="str">
        <f t="shared" si="8"/>
        <v/>
      </c>
      <c r="EV20" s="11" t="str">
        <f t="shared" si="9"/>
        <v/>
      </c>
      <c r="EW20" s="11" t="str">
        <f t="shared" si="10"/>
        <v/>
      </c>
      <c r="EX20" s="11" t="str">
        <f t="shared" si="11"/>
        <v/>
      </c>
      <c r="EY20" s="11" t="str">
        <f t="shared" si="12"/>
        <v/>
      </c>
      <c r="EZ20" s="11" t="str">
        <f t="shared" si="13"/>
        <v/>
      </c>
      <c r="FA20" s="12" t="str">
        <f t="shared" si="14"/>
        <v/>
      </c>
      <c r="FB20" s="12" t="str">
        <f t="shared" si="15"/>
        <v/>
      </c>
      <c r="FC20" s="12" t="str">
        <f t="shared" si="16"/>
        <v/>
      </c>
      <c r="FD20" s="12" t="str">
        <f t="shared" si="17"/>
        <v/>
      </c>
      <c r="FE20" s="12" t="str">
        <f t="shared" si="18"/>
        <v/>
      </c>
      <c r="FF20" s="12" t="str">
        <f t="shared" si="19"/>
        <v/>
      </c>
      <c r="FG20" s="3" t="str">
        <f t="shared" si="20"/>
        <v>No</v>
      </c>
      <c r="FH20" s="3" t="str">
        <f t="shared" si="21"/>
        <v>No</v>
      </c>
      <c r="FI20" s="3" t="str">
        <f t="shared" si="22"/>
        <v>Not ready</v>
      </c>
    </row>
    <row r="21" spans="1:165" ht="16" customHeight="1">
      <c r="A21" s="2" t="s">
        <v>400</v>
      </c>
      <c r="B21" s="2">
        <v>30</v>
      </c>
      <c r="C21" s="2" t="s">
        <v>177</v>
      </c>
      <c r="D21" s="2">
        <v>1</v>
      </c>
      <c r="E21" s="2" t="s">
        <v>178</v>
      </c>
      <c r="F21" s="2" t="s">
        <v>401</v>
      </c>
      <c r="G21" s="2" t="s">
        <v>180</v>
      </c>
      <c r="H21" s="2" t="s">
        <v>181</v>
      </c>
      <c r="I21" s="2" t="s">
        <v>181</v>
      </c>
      <c r="J21" s="2">
        <v>1</v>
      </c>
      <c r="K21" s="2" t="s">
        <v>182</v>
      </c>
      <c r="L21" s="2" t="s">
        <v>233</v>
      </c>
      <c r="M21" s="2" t="s">
        <v>184</v>
      </c>
      <c r="N21" s="2"/>
      <c r="O21" s="5">
        <v>42726</v>
      </c>
      <c r="P21" s="5">
        <v>42794</v>
      </c>
      <c r="Q21" s="2">
        <v>2017</v>
      </c>
      <c r="R21" s="2" t="s">
        <v>402</v>
      </c>
      <c r="S21" s="2" t="s">
        <v>186</v>
      </c>
      <c r="T21" s="4" t="s">
        <v>403</v>
      </c>
      <c r="U21" s="2" t="s">
        <v>188</v>
      </c>
      <c r="V21" s="2" t="s">
        <v>235</v>
      </c>
      <c r="W21" s="2"/>
      <c r="X21" s="2" t="s">
        <v>404</v>
      </c>
      <c r="Y21" s="2"/>
      <c r="Z21" s="4" t="s">
        <v>405</v>
      </c>
      <c r="AA21" s="4" t="s">
        <v>406</v>
      </c>
      <c r="AB21" s="2" t="s">
        <v>407</v>
      </c>
      <c r="AC21" s="2" t="s">
        <v>408</v>
      </c>
      <c r="AD21" s="2" t="s">
        <v>409</v>
      </c>
      <c r="AE21" s="2" t="s">
        <v>410</v>
      </c>
      <c r="AF21" s="6">
        <v>156</v>
      </c>
      <c r="AG21" s="2">
        <v>156</v>
      </c>
      <c r="AH21" s="4" t="s">
        <v>411</v>
      </c>
      <c r="AI21" s="4" t="s">
        <v>412</v>
      </c>
      <c r="AJ21" s="2"/>
      <c r="AK21" s="2"/>
      <c r="AL21" s="2" t="s">
        <v>200</v>
      </c>
      <c r="AM21" s="2" t="s">
        <v>200</v>
      </c>
      <c r="AN21" s="2"/>
      <c r="AO21" s="2"/>
      <c r="AP21" s="2"/>
      <c r="AQ21" s="2"/>
      <c r="AR21" s="2"/>
      <c r="AS21" s="2" t="s">
        <v>407</v>
      </c>
      <c r="AT21" s="2" t="s">
        <v>409</v>
      </c>
      <c r="AU21" s="2" t="s">
        <v>201</v>
      </c>
      <c r="AV21" s="2" t="s">
        <v>202</v>
      </c>
      <c r="AW21" s="2" t="s">
        <v>200</v>
      </c>
      <c r="AX21" s="2" t="s">
        <v>200</v>
      </c>
      <c r="AY21" s="2" t="s">
        <v>200</v>
      </c>
      <c r="AZ21" s="2" t="s">
        <v>200</v>
      </c>
      <c r="BA21" s="2" t="s">
        <v>200</v>
      </c>
      <c r="BB21" s="2" t="s">
        <v>200</v>
      </c>
      <c r="BC21" s="4"/>
      <c r="BD21" s="2"/>
      <c r="BE21" s="2"/>
      <c r="BF21" s="2" t="s">
        <v>203</v>
      </c>
      <c r="BG21" s="2" t="s">
        <v>203</v>
      </c>
      <c r="BH21" s="2" t="s">
        <v>204</v>
      </c>
      <c r="BI21" s="2">
        <f t="shared" si="23"/>
        <v>2014</v>
      </c>
      <c r="BJ21" s="2">
        <f t="shared" si="24"/>
        <v>2015</v>
      </c>
      <c r="BK21" s="2">
        <f t="shared" si="25"/>
        <v>2016</v>
      </c>
      <c r="BL21" s="2">
        <f t="shared" si="26"/>
        <v>2017</v>
      </c>
      <c r="BM21" s="2">
        <f t="shared" si="27"/>
        <v>2018</v>
      </c>
      <c r="BN21" s="2">
        <f t="shared" si="28"/>
        <v>2019</v>
      </c>
      <c r="BO21" s="2">
        <f t="shared" si="29"/>
        <v>2020</v>
      </c>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7"/>
      <c r="DG21" s="7"/>
      <c r="DH21" s="7"/>
      <c r="DI21" s="7"/>
      <c r="DJ21" s="7"/>
      <c r="DK21" s="7"/>
      <c r="DL21" s="7"/>
      <c r="DM21" s="7"/>
      <c r="DN21" s="7"/>
      <c r="DO21" s="7"/>
      <c r="DP21" s="7"/>
      <c r="DQ21" s="7"/>
      <c r="DR21" s="7"/>
      <c r="DS21" s="7"/>
      <c r="DT21" s="7"/>
      <c r="DU21" s="7"/>
      <c r="DV21" s="7"/>
      <c r="DW21" s="7"/>
      <c r="DX21" s="7"/>
      <c r="DY21" s="7"/>
      <c r="DZ21" s="7"/>
      <c r="EA21" s="8"/>
      <c r="EB21" s="8"/>
      <c r="EC21" s="8"/>
      <c r="ED21" s="8"/>
      <c r="EE21" s="8"/>
      <c r="EF21" s="8"/>
      <c r="EG21" s="8"/>
      <c r="EH21" s="8"/>
      <c r="EI21" s="8"/>
      <c r="EJ21" s="8"/>
      <c r="EK21" s="8"/>
      <c r="EL21" s="8"/>
      <c r="EM21" s="8"/>
      <c r="EN21" s="8"/>
      <c r="EO21" s="8"/>
      <c r="EP21" s="8"/>
      <c r="EQ21" s="9" t="str">
        <f t="shared" si="7"/>
        <v/>
      </c>
      <c r="ER21" s="10"/>
      <c r="ES21" s="2" t="s">
        <v>200</v>
      </c>
      <c r="ET21" s="2" t="s">
        <v>200</v>
      </c>
      <c r="EU21" s="11" t="str">
        <f t="shared" si="8"/>
        <v/>
      </c>
      <c r="EV21" s="11" t="str">
        <f t="shared" si="9"/>
        <v/>
      </c>
      <c r="EW21" s="11" t="str">
        <f t="shared" si="10"/>
        <v/>
      </c>
      <c r="EX21" s="11" t="str">
        <f t="shared" si="11"/>
        <v/>
      </c>
      <c r="EY21" s="11" t="str">
        <f t="shared" si="12"/>
        <v/>
      </c>
      <c r="EZ21" s="11" t="str">
        <f t="shared" si="13"/>
        <v/>
      </c>
      <c r="FA21" s="12" t="str">
        <f t="shared" si="14"/>
        <v/>
      </c>
      <c r="FB21" s="12" t="str">
        <f t="shared" si="15"/>
        <v/>
      </c>
      <c r="FC21" s="12" t="str">
        <f t="shared" si="16"/>
        <v/>
      </c>
      <c r="FD21" s="12" t="str">
        <f t="shared" si="17"/>
        <v/>
      </c>
      <c r="FE21" s="12" t="str">
        <f t="shared" si="18"/>
        <v/>
      </c>
      <c r="FF21" s="12" t="str">
        <f t="shared" si="19"/>
        <v/>
      </c>
      <c r="FG21" s="3" t="str">
        <f t="shared" si="20"/>
        <v>No</v>
      </c>
      <c r="FH21" s="3" t="str">
        <f t="shared" si="21"/>
        <v>No</v>
      </c>
      <c r="FI21" s="3" t="str">
        <f t="shared" si="22"/>
        <v>Not ready</v>
      </c>
    </row>
    <row r="22" spans="1:165" ht="16" customHeight="1">
      <c r="A22" s="2" t="s">
        <v>413</v>
      </c>
      <c r="B22" s="2">
        <v>31</v>
      </c>
      <c r="C22" s="2" t="s">
        <v>177</v>
      </c>
      <c r="D22" s="2">
        <v>1</v>
      </c>
      <c r="E22" s="2" t="s">
        <v>178</v>
      </c>
      <c r="F22" s="2" t="s">
        <v>414</v>
      </c>
      <c r="G22" s="2" t="s">
        <v>180</v>
      </c>
      <c r="H22" s="2" t="s">
        <v>181</v>
      </c>
      <c r="I22" s="2" t="s">
        <v>180</v>
      </c>
      <c r="J22" s="2">
        <v>2</v>
      </c>
      <c r="K22" s="2" t="s">
        <v>182</v>
      </c>
      <c r="L22" s="2" t="s">
        <v>279</v>
      </c>
      <c r="M22" s="2" t="s">
        <v>184</v>
      </c>
      <c r="N22" s="2"/>
      <c r="O22" s="5">
        <v>42704</v>
      </c>
      <c r="P22" s="5">
        <v>42704</v>
      </c>
      <c r="Q22" s="2">
        <v>2016</v>
      </c>
      <c r="R22" s="2" t="s">
        <v>402</v>
      </c>
      <c r="S22" s="2" t="s">
        <v>186</v>
      </c>
      <c r="T22" s="4" t="s">
        <v>415</v>
      </c>
      <c r="U22" s="2" t="s">
        <v>188</v>
      </c>
      <c r="V22" s="2" t="s">
        <v>189</v>
      </c>
      <c r="W22" s="2" t="s">
        <v>2</v>
      </c>
      <c r="X22" s="2" t="s">
        <v>416</v>
      </c>
      <c r="Y22" s="2" t="s">
        <v>2</v>
      </c>
      <c r="Z22" s="4"/>
      <c r="AA22" s="4"/>
      <c r="AB22" s="2" t="s">
        <v>417</v>
      </c>
      <c r="AC22" s="2" t="s">
        <v>418</v>
      </c>
      <c r="AD22" s="2" t="s">
        <v>419</v>
      </c>
      <c r="AE22" s="2" t="s">
        <v>420</v>
      </c>
      <c r="AF22" s="6">
        <v>0</v>
      </c>
      <c r="AG22" s="2">
        <v>0</v>
      </c>
      <c r="AH22" s="4" t="s">
        <v>421</v>
      </c>
      <c r="AI22" s="4" t="s">
        <v>422</v>
      </c>
      <c r="AJ22" s="2"/>
      <c r="AK22" s="2"/>
      <c r="AL22" s="2" t="s">
        <v>200</v>
      </c>
      <c r="AM22" s="2" t="s">
        <v>200</v>
      </c>
      <c r="AN22" s="2"/>
      <c r="AO22" s="2"/>
      <c r="AP22" s="2"/>
      <c r="AQ22" s="2"/>
      <c r="AR22" s="2"/>
      <c r="AS22" s="2" t="s">
        <v>417</v>
      </c>
      <c r="AT22" s="2" t="s">
        <v>419</v>
      </c>
      <c r="AU22" s="2" t="s">
        <v>201</v>
      </c>
      <c r="AV22" s="2" t="s">
        <v>202</v>
      </c>
      <c r="AW22" s="2" t="s">
        <v>200</v>
      </c>
      <c r="AX22" s="2" t="s">
        <v>200</v>
      </c>
      <c r="AY22" s="2" t="s">
        <v>200</v>
      </c>
      <c r="AZ22" s="2" t="s">
        <v>200</v>
      </c>
      <c r="BA22" s="2" t="s">
        <v>200</v>
      </c>
      <c r="BB22" s="2" t="s">
        <v>200</v>
      </c>
      <c r="BC22" s="4"/>
      <c r="BD22" s="2"/>
      <c r="BE22" s="2"/>
      <c r="BF22" s="2" t="s">
        <v>203</v>
      </c>
      <c r="BG22" s="2" t="s">
        <v>203</v>
      </c>
      <c r="BH22" s="2" t="s">
        <v>204</v>
      </c>
      <c r="BI22" s="2">
        <f t="shared" si="23"/>
        <v>2013</v>
      </c>
      <c r="BJ22" s="2">
        <f t="shared" si="24"/>
        <v>2014</v>
      </c>
      <c r="BK22" s="2">
        <f t="shared" si="25"/>
        <v>2015</v>
      </c>
      <c r="BL22" s="2">
        <f t="shared" si="26"/>
        <v>2016</v>
      </c>
      <c r="BM22" s="2">
        <f t="shared" si="27"/>
        <v>2017</v>
      </c>
      <c r="BN22" s="2">
        <f t="shared" si="28"/>
        <v>2018</v>
      </c>
      <c r="BO22" s="2">
        <f t="shared" si="29"/>
        <v>2019</v>
      </c>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7"/>
      <c r="DG22" s="7"/>
      <c r="DH22" s="7"/>
      <c r="DI22" s="7"/>
      <c r="DJ22" s="7"/>
      <c r="DK22" s="7"/>
      <c r="DL22" s="7"/>
      <c r="DM22" s="7"/>
      <c r="DN22" s="7"/>
      <c r="DO22" s="7"/>
      <c r="DP22" s="7"/>
      <c r="DQ22" s="7"/>
      <c r="DR22" s="7"/>
      <c r="DS22" s="7"/>
      <c r="DT22" s="7"/>
      <c r="DU22" s="7"/>
      <c r="DV22" s="7"/>
      <c r="DW22" s="7"/>
      <c r="DX22" s="7"/>
      <c r="DY22" s="7"/>
      <c r="DZ22" s="7"/>
      <c r="EA22" s="8"/>
      <c r="EB22" s="8"/>
      <c r="EC22" s="8"/>
      <c r="ED22" s="8"/>
      <c r="EE22" s="8"/>
      <c r="EF22" s="8"/>
      <c r="EG22" s="8"/>
      <c r="EH22" s="8"/>
      <c r="EI22" s="8"/>
      <c r="EJ22" s="8"/>
      <c r="EK22" s="8"/>
      <c r="EL22" s="8"/>
      <c r="EM22" s="8"/>
      <c r="EN22" s="8"/>
      <c r="EO22" s="8"/>
      <c r="EP22" s="8"/>
      <c r="EQ22" s="9" t="str">
        <f t="shared" si="7"/>
        <v/>
      </c>
      <c r="ER22" s="10"/>
      <c r="ES22" s="2" t="s">
        <v>200</v>
      </c>
      <c r="ET22" s="2" t="s">
        <v>200</v>
      </c>
      <c r="EU22" s="11" t="str">
        <f t="shared" si="8"/>
        <v/>
      </c>
      <c r="EV22" s="11" t="str">
        <f t="shared" si="9"/>
        <v/>
      </c>
      <c r="EW22" s="11" t="str">
        <f t="shared" si="10"/>
        <v/>
      </c>
      <c r="EX22" s="11" t="str">
        <f t="shared" si="11"/>
        <v/>
      </c>
      <c r="EY22" s="11" t="str">
        <f t="shared" si="12"/>
        <v/>
      </c>
      <c r="EZ22" s="11" t="str">
        <f t="shared" si="13"/>
        <v/>
      </c>
      <c r="FA22" s="12" t="str">
        <f t="shared" si="14"/>
        <v/>
      </c>
      <c r="FB22" s="12" t="str">
        <f t="shared" si="15"/>
        <v/>
      </c>
      <c r="FC22" s="12" t="str">
        <f t="shared" si="16"/>
        <v/>
      </c>
      <c r="FD22" s="12" t="str">
        <f t="shared" si="17"/>
        <v/>
      </c>
      <c r="FE22" s="12" t="str">
        <f t="shared" si="18"/>
        <v/>
      </c>
      <c r="FF22" s="12" t="str">
        <f t="shared" si="19"/>
        <v/>
      </c>
      <c r="FG22" s="3" t="str">
        <f t="shared" si="20"/>
        <v>No</v>
      </c>
      <c r="FH22" s="3" t="str">
        <f t="shared" si="21"/>
        <v>No</v>
      </c>
      <c r="FI22" s="3" t="str">
        <f t="shared" si="22"/>
        <v>Not ready</v>
      </c>
    </row>
    <row r="23" spans="1:165" ht="16" customHeight="1">
      <c r="A23" s="2" t="s">
        <v>423</v>
      </c>
      <c r="B23" s="2">
        <v>32</v>
      </c>
      <c r="C23" s="2" t="s">
        <v>177</v>
      </c>
      <c r="D23" s="2">
        <v>1</v>
      </c>
      <c r="E23" s="2" t="s">
        <v>178</v>
      </c>
      <c r="F23" s="2" t="s">
        <v>424</v>
      </c>
      <c r="G23" s="2" t="s">
        <v>180</v>
      </c>
      <c r="H23" s="2" t="s">
        <v>181</v>
      </c>
      <c r="I23" s="2" t="s">
        <v>181</v>
      </c>
      <c r="J23" s="2">
        <v>1</v>
      </c>
      <c r="K23" s="2" t="s">
        <v>182</v>
      </c>
      <c r="L23" s="2" t="s">
        <v>268</v>
      </c>
      <c r="M23" s="2" t="s">
        <v>184</v>
      </c>
      <c r="N23" s="2"/>
      <c r="O23" s="5">
        <v>42562</v>
      </c>
      <c r="P23" s="5">
        <v>42562</v>
      </c>
      <c r="Q23" s="2">
        <v>2016</v>
      </c>
      <c r="R23" s="2" t="s">
        <v>425</v>
      </c>
      <c r="S23" s="2" t="s">
        <v>186</v>
      </c>
      <c r="T23" s="4" t="s">
        <v>426</v>
      </c>
      <c r="U23" s="2" t="s">
        <v>188</v>
      </c>
      <c r="V23" s="2" t="s">
        <v>189</v>
      </c>
      <c r="W23" s="2" t="s">
        <v>1</v>
      </c>
      <c r="X23" s="2" t="s">
        <v>257</v>
      </c>
      <c r="Y23" s="2" t="s">
        <v>1</v>
      </c>
      <c r="Z23" s="4"/>
      <c r="AA23" s="4"/>
      <c r="AB23" s="2" t="s">
        <v>427</v>
      </c>
      <c r="AC23" s="2" t="s">
        <v>428</v>
      </c>
      <c r="AD23" s="2" t="s">
        <v>429</v>
      </c>
      <c r="AE23" s="2" t="s">
        <v>430</v>
      </c>
      <c r="AF23" s="6"/>
      <c r="AG23" s="2" t="s">
        <v>197</v>
      </c>
      <c r="AH23" s="4" t="s">
        <v>431</v>
      </c>
      <c r="AI23" s="4" t="s">
        <v>432</v>
      </c>
      <c r="AJ23" s="2"/>
      <c r="AK23" s="2"/>
      <c r="AL23" s="2" t="s">
        <v>200</v>
      </c>
      <c r="AM23" s="2" t="s">
        <v>200</v>
      </c>
      <c r="AN23" s="2"/>
      <c r="AO23" s="2"/>
      <c r="AP23" s="2"/>
      <c r="AQ23" s="2"/>
      <c r="AR23" s="2"/>
      <c r="AS23" s="2" t="s">
        <v>427</v>
      </c>
      <c r="AT23" s="2" t="s">
        <v>429</v>
      </c>
      <c r="AU23" s="2" t="s">
        <v>201</v>
      </c>
      <c r="AV23" s="2" t="s">
        <v>202</v>
      </c>
      <c r="AW23" s="2" t="s">
        <v>200</v>
      </c>
      <c r="AX23" s="2" t="s">
        <v>200</v>
      </c>
      <c r="AY23" s="2" t="s">
        <v>200</v>
      </c>
      <c r="AZ23" s="2" t="s">
        <v>200</v>
      </c>
      <c r="BA23" s="2" t="s">
        <v>200</v>
      </c>
      <c r="BB23" s="2" t="s">
        <v>200</v>
      </c>
      <c r="BC23" s="4"/>
      <c r="BD23" s="2"/>
      <c r="BE23" s="2"/>
      <c r="BF23" s="2" t="s">
        <v>203</v>
      </c>
      <c r="BG23" s="2" t="s">
        <v>203</v>
      </c>
      <c r="BH23" s="2" t="s">
        <v>204</v>
      </c>
      <c r="BI23" s="2">
        <f t="shared" si="23"/>
        <v>2013</v>
      </c>
      <c r="BJ23" s="2">
        <f t="shared" si="24"/>
        <v>2014</v>
      </c>
      <c r="BK23" s="2">
        <f t="shared" si="25"/>
        <v>2015</v>
      </c>
      <c r="BL23" s="2">
        <f t="shared" si="26"/>
        <v>2016</v>
      </c>
      <c r="BM23" s="2">
        <f t="shared" si="27"/>
        <v>2017</v>
      </c>
      <c r="BN23" s="2">
        <f t="shared" si="28"/>
        <v>2018</v>
      </c>
      <c r="BO23" s="2">
        <f t="shared" si="29"/>
        <v>2019</v>
      </c>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7"/>
      <c r="DG23" s="7"/>
      <c r="DH23" s="7"/>
      <c r="DI23" s="7"/>
      <c r="DJ23" s="7"/>
      <c r="DK23" s="7"/>
      <c r="DL23" s="7"/>
      <c r="DM23" s="7"/>
      <c r="DN23" s="7"/>
      <c r="DO23" s="7"/>
      <c r="DP23" s="7"/>
      <c r="DQ23" s="7"/>
      <c r="DR23" s="7"/>
      <c r="DS23" s="7"/>
      <c r="DT23" s="7"/>
      <c r="DU23" s="7"/>
      <c r="DV23" s="7"/>
      <c r="DW23" s="7"/>
      <c r="DX23" s="7"/>
      <c r="DY23" s="7"/>
      <c r="DZ23" s="7"/>
      <c r="EA23" s="8"/>
      <c r="EB23" s="8"/>
      <c r="EC23" s="8"/>
      <c r="ED23" s="8"/>
      <c r="EE23" s="8"/>
      <c r="EF23" s="8"/>
      <c r="EG23" s="8"/>
      <c r="EH23" s="8"/>
      <c r="EI23" s="8"/>
      <c r="EJ23" s="8"/>
      <c r="EK23" s="8"/>
      <c r="EL23" s="8"/>
      <c r="EM23" s="8"/>
      <c r="EN23" s="8"/>
      <c r="EO23" s="8"/>
      <c r="EP23" s="8"/>
      <c r="EQ23" s="9" t="str">
        <f t="shared" si="7"/>
        <v/>
      </c>
      <c r="ER23" s="10"/>
      <c r="ES23" s="2" t="s">
        <v>200</v>
      </c>
      <c r="ET23" s="2" t="s">
        <v>200</v>
      </c>
      <c r="EU23" s="11" t="str">
        <f t="shared" si="8"/>
        <v/>
      </c>
      <c r="EV23" s="11" t="str">
        <f t="shared" si="9"/>
        <v/>
      </c>
      <c r="EW23" s="11" t="str">
        <f t="shared" si="10"/>
        <v/>
      </c>
      <c r="EX23" s="11" t="str">
        <f t="shared" si="11"/>
        <v/>
      </c>
      <c r="EY23" s="11" t="str">
        <f t="shared" si="12"/>
        <v/>
      </c>
      <c r="EZ23" s="11" t="str">
        <f t="shared" si="13"/>
        <v/>
      </c>
      <c r="FA23" s="12" t="str">
        <f t="shared" si="14"/>
        <v/>
      </c>
      <c r="FB23" s="12" t="str">
        <f t="shared" si="15"/>
        <v/>
      </c>
      <c r="FC23" s="12" t="str">
        <f t="shared" si="16"/>
        <v/>
      </c>
      <c r="FD23" s="12" t="str">
        <f t="shared" si="17"/>
        <v/>
      </c>
      <c r="FE23" s="12" t="str">
        <f t="shared" si="18"/>
        <v/>
      </c>
      <c r="FF23" s="12" t="str">
        <f t="shared" si="19"/>
        <v/>
      </c>
      <c r="FG23" s="3" t="str">
        <f t="shared" si="20"/>
        <v>No</v>
      </c>
      <c r="FH23" s="3" t="str">
        <f t="shared" si="21"/>
        <v>No</v>
      </c>
      <c r="FI23" s="3" t="str">
        <f t="shared" si="22"/>
        <v>Not ready</v>
      </c>
    </row>
    <row r="24" spans="1:165" ht="16" customHeight="1">
      <c r="A24" s="2" t="s">
        <v>433</v>
      </c>
      <c r="B24" s="2">
        <v>33</v>
      </c>
      <c r="C24" s="2" t="s">
        <v>177</v>
      </c>
      <c r="D24" s="2">
        <v>1</v>
      </c>
      <c r="E24" s="2" t="s">
        <v>178</v>
      </c>
      <c r="F24" s="2" t="s">
        <v>434</v>
      </c>
      <c r="G24" s="2" t="s">
        <v>180</v>
      </c>
      <c r="H24" s="2" t="s">
        <v>181</v>
      </c>
      <c r="I24" s="2" t="s">
        <v>181</v>
      </c>
      <c r="J24" s="2">
        <v>1</v>
      </c>
      <c r="K24" s="2" t="s">
        <v>182</v>
      </c>
      <c r="L24" s="2" t="s">
        <v>183</v>
      </c>
      <c r="M24" s="2" t="s">
        <v>184</v>
      </c>
      <c r="N24" s="2"/>
      <c r="O24" s="5">
        <v>42536</v>
      </c>
      <c r="P24" s="5">
        <v>42696</v>
      </c>
      <c r="Q24" s="2">
        <v>2016</v>
      </c>
      <c r="R24" s="2" t="s">
        <v>435</v>
      </c>
      <c r="S24" s="2" t="s">
        <v>186</v>
      </c>
      <c r="T24" s="4" t="s">
        <v>436</v>
      </c>
      <c r="U24" s="2" t="s">
        <v>188</v>
      </c>
      <c r="V24" s="2" t="s">
        <v>189</v>
      </c>
      <c r="W24" s="2" t="s">
        <v>0</v>
      </c>
      <c r="X24" s="2" t="s">
        <v>257</v>
      </c>
      <c r="Y24" s="2" t="s">
        <v>0</v>
      </c>
      <c r="Z24" s="4" t="s">
        <v>437</v>
      </c>
      <c r="AA24" s="4" t="s">
        <v>438</v>
      </c>
      <c r="AB24" s="2" t="s">
        <v>439</v>
      </c>
      <c r="AC24" s="2" t="s">
        <v>440</v>
      </c>
      <c r="AD24" s="2" t="s">
        <v>441</v>
      </c>
      <c r="AE24" s="2" t="s">
        <v>440</v>
      </c>
      <c r="AF24" s="6"/>
      <c r="AG24" s="2" t="s">
        <v>197</v>
      </c>
      <c r="AH24" s="4" t="s">
        <v>442</v>
      </c>
      <c r="AI24" s="4" t="s">
        <v>443</v>
      </c>
      <c r="AJ24" s="2"/>
      <c r="AK24" s="2"/>
      <c r="AL24" s="2" t="s">
        <v>200</v>
      </c>
      <c r="AM24" s="2" t="s">
        <v>200</v>
      </c>
      <c r="AN24" s="2"/>
      <c r="AO24" s="2"/>
      <c r="AP24" s="2"/>
      <c r="AQ24" s="2"/>
      <c r="AR24" s="2"/>
      <c r="AS24" s="2" t="s">
        <v>439</v>
      </c>
      <c r="AT24" s="2" t="s">
        <v>441</v>
      </c>
      <c r="AU24" s="2" t="s">
        <v>201</v>
      </c>
      <c r="AV24" s="2" t="s">
        <v>202</v>
      </c>
      <c r="AW24" s="2" t="s">
        <v>200</v>
      </c>
      <c r="AX24" s="2" t="s">
        <v>200</v>
      </c>
      <c r="AY24" s="2" t="s">
        <v>200</v>
      </c>
      <c r="AZ24" s="2" t="s">
        <v>200</v>
      </c>
      <c r="BA24" s="2" t="s">
        <v>200</v>
      </c>
      <c r="BB24" s="2" t="s">
        <v>200</v>
      </c>
      <c r="BC24" s="4"/>
      <c r="BD24" s="2"/>
      <c r="BE24" s="2"/>
      <c r="BF24" s="2" t="s">
        <v>203</v>
      </c>
      <c r="BG24" s="2" t="s">
        <v>203</v>
      </c>
      <c r="BH24" s="2" t="s">
        <v>204</v>
      </c>
      <c r="BI24" s="2">
        <f t="shared" si="23"/>
        <v>2013</v>
      </c>
      <c r="BJ24" s="2">
        <f t="shared" si="24"/>
        <v>2014</v>
      </c>
      <c r="BK24" s="2">
        <f t="shared" si="25"/>
        <v>2015</v>
      </c>
      <c r="BL24" s="2">
        <f t="shared" si="26"/>
        <v>2016</v>
      </c>
      <c r="BM24" s="2">
        <f t="shared" si="27"/>
        <v>2017</v>
      </c>
      <c r="BN24" s="2">
        <f t="shared" si="28"/>
        <v>2018</v>
      </c>
      <c r="BO24" s="2">
        <f t="shared" si="29"/>
        <v>2019</v>
      </c>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7"/>
      <c r="DG24" s="7"/>
      <c r="DH24" s="7"/>
      <c r="DI24" s="7"/>
      <c r="DJ24" s="7"/>
      <c r="DK24" s="7"/>
      <c r="DL24" s="7"/>
      <c r="DM24" s="7"/>
      <c r="DN24" s="7"/>
      <c r="DO24" s="7"/>
      <c r="DP24" s="7"/>
      <c r="DQ24" s="7"/>
      <c r="DR24" s="7"/>
      <c r="DS24" s="7"/>
      <c r="DT24" s="7"/>
      <c r="DU24" s="7"/>
      <c r="DV24" s="7"/>
      <c r="DW24" s="7"/>
      <c r="DX24" s="7"/>
      <c r="DY24" s="7"/>
      <c r="DZ24" s="7"/>
      <c r="EA24" s="8"/>
      <c r="EB24" s="8"/>
      <c r="EC24" s="8"/>
      <c r="ED24" s="8"/>
      <c r="EE24" s="8"/>
      <c r="EF24" s="8"/>
      <c r="EG24" s="8"/>
      <c r="EH24" s="8"/>
      <c r="EI24" s="8"/>
      <c r="EJ24" s="8"/>
      <c r="EK24" s="8"/>
      <c r="EL24" s="8"/>
      <c r="EM24" s="8"/>
      <c r="EN24" s="8"/>
      <c r="EO24" s="8"/>
      <c r="EP24" s="8"/>
      <c r="EQ24" s="9" t="str">
        <f t="shared" si="7"/>
        <v/>
      </c>
      <c r="ER24" s="10"/>
      <c r="ES24" s="2" t="s">
        <v>200</v>
      </c>
      <c r="ET24" s="2" t="s">
        <v>200</v>
      </c>
      <c r="EU24" s="11" t="str">
        <f t="shared" si="8"/>
        <v/>
      </c>
      <c r="EV24" s="11" t="str">
        <f t="shared" si="9"/>
        <v/>
      </c>
      <c r="EW24" s="11" t="str">
        <f t="shared" si="10"/>
        <v/>
      </c>
      <c r="EX24" s="11" t="str">
        <f t="shared" si="11"/>
        <v/>
      </c>
      <c r="EY24" s="11" t="str">
        <f t="shared" si="12"/>
        <v/>
      </c>
      <c r="EZ24" s="11" t="str">
        <f t="shared" si="13"/>
        <v/>
      </c>
      <c r="FA24" s="12" t="str">
        <f t="shared" si="14"/>
        <v/>
      </c>
      <c r="FB24" s="12" t="str">
        <f t="shared" si="15"/>
        <v/>
      </c>
      <c r="FC24" s="12" t="str">
        <f t="shared" si="16"/>
        <v/>
      </c>
      <c r="FD24" s="12" t="str">
        <f t="shared" si="17"/>
        <v/>
      </c>
      <c r="FE24" s="12" t="str">
        <f t="shared" si="18"/>
        <v/>
      </c>
      <c r="FF24" s="12" t="str">
        <f t="shared" si="19"/>
        <v/>
      </c>
      <c r="FG24" s="3" t="str">
        <f t="shared" si="20"/>
        <v>No</v>
      </c>
      <c r="FH24" s="3" t="str">
        <f t="shared" si="21"/>
        <v>No</v>
      </c>
      <c r="FI24" s="3" t="str">
        <f t="shared" si="22"/>
        <v>Not ready</v>
      </c>
    </row>
    <row r="25" spans="1:165" ht="16" customHeight="1">
      <c r="A25" s="2" t="s">
        <v>444</v>
      </c>
      <c r="B25" s="2">
        <v>34</v>
      </c>
      <c r="C25" s="2" t="s">
        <v>177</v>
      </c>
      <c r="D25" s="2">
        <v>1</v>
      </c>
      <c r="E25" s="2" t="s">
        <v>178</v>
      </c>
      <c r="F25" s="2" t="s">
        <v>445</v>
      </c>
      <c r="G25" s="2" t="s">
        <v>180</v>
      </c>
      <c r="H25" s="2" t="s">
        <v>181</v>
      </c>
      <c r="I25" s="2" t="s">
        <v>181</v>
      </c>
      <c r="J25" s="2">
        <v>1</v>
      </c>
      <c r="K25" s="2" t="s">
        <v>182</v>
      </c>
      <c r="L25" s="2" t="s">
        <v>183</v>
      </c>
      <c r="M25" s="2" t="s">
        <v>184</v>
      </c>
      <c r="N25" s="2"/>
      <c r="O25" s="5">
        <v>42495</v>
      </c>
      <c r="P25" s="5">
        <v>42562</v>
      </c>
      <c r="Q25" s="2">
        <v>2016</v>
      </c>
      <c r="R25" s="2" t="s">
        <v>435</v>
      </c>
      <c r="S25" s="2" t="s">
        <v>186</v>
      </c>
      <c r="T25" s="4" t="s">
        <v>446</v>
      </c>
      <c r="U25" s="2" t="s">
        <v>188</v>
      </c>
      <c r="V25" s="2" t="s">
        <v>189</v>
      </c>
      <c r="W25" s="2" t="s">
        <v>0</v>
      </c>
      <c r="X25" s="2" t="s">
        <v>382</v>
      </c>
      <c r="Y25" s="2" t="s">
        <v>0</v>
      </c>
      <c r="Z25" s="4" t="s">
        <v>447</v>
      </c>
      <c r="AA25" s="4" t="s">
        <v>448</v>
      </c>
      <c r="AB25" s="2" t="s">
        <v>449</v>
      </c>
      <c r="AC25" s="2" t="s">
        <v>450</v>
      </c>
      <c r="AD25" s="2" t="s">
        <v>451</v>
      </c>
      <c r="AE25" s="2" t="s">
        <v>452</v>
      </c>
      <c r="AF25" s="6">
        <v>358</v>
      </c>
      <c r="AG25" s="2">
        <v>358</v>
      </c>
      <c r="AH25" s="4" t="s">
        <v>453</v>
      </c>
      <c r="AI25" s="4" t="s">
        <v>454</v>
      </c>
      <c r="AJ25" s="2"/>
      <c r="AK25" s="2"/>
      <c r="AL25" s="2" t="s">
        <v>200</v>
      </c>
      <c r="AM25" s="2" t="s">
        <v>200</v>
      </c>
      <c r="AN25" s="2"/>
      <c r="AO25" s="2"/>
      <c r="AP25" s="2"/>
      <c r="AQ25" s="2"/>
      <c r="AR25" s="2"/>
      <c r="AS25" s="2" t="s">
        <v>449</v>
      </c>
      <c r="AT25" s="2" t="s">
        <v>451</v>
      </c>
      <c r="AU25" s="2" t="s">
        <v>201</v>
      </c>
      <c r="AV25" s="2" t="s">
        <v>202</v>
      </c>
      <c r="AW25" s="2" t="s">
        <v>200</v>
      </c>
      <c r="AX25" s="2" t="s">
        <v>200</v>
      </c>
      <c r="AY25" s="2" t="s">
        <v>200</v>
      </c>
      <c r="AZ25" s="2" t="s">
        <v>200</v>
      </c>
      <c r="BA25" s="2" t="s">
        <v>200</v>
      </c>
      <c r="BB25" s="2" t="s">
        <v>200</v>
      </c>
      <c r="BC25" s="4"/>
      <c r="BD25" s="2"/>
      <c r="BE25" s="2"/>
      <c r="BF25" s="2" t="s">
        <v>203</v>
      </c>
      <c r="BG25" s="2" t="s">
        <v>203</v>
      </c>
      <c r="BH25" s="2" t="s">
        <v>204</v>
      </c>
      <c r="BI25" s="2">
        <f t="shared" si="23"/>
        <v>2013</v>
      </c>
      <c r="BJ25" s="2">
        <f t="shared" si="24"/>
        <v>2014</v>
      </c>
      <c r="BK25" s="2">
        <f t="shared" si="25"/>
        <v>2015</v>
      </c>
      <c r="BL25" s="2">
        <f t="shared" si="26"/>
        <v>2016</v>
      </c>
      <c r="BM25" s="2">
        <f t="shared" si="27"/>
        <v>2017</v>
      </c>
      <c r="BN25" s="2">
        <f t="shared" si="28"/>
        <v>2018</v>
      </c>
      <c r="BO25" s="2">
        <f t="shared" si="29"/>
        <v>2019</v>
      </c>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7"/>
      <c r="DG25" s="7"/>
      <c r="DH25" s="7"/>
      <c r="DI25" s="7"/>
      <c r="DJ25" s="7"/>
      <c r="DK25" s="7"/>
      <c r="DL25" s="7"/>
      <c r="DM25" s="7"/>
      <c r="DN25" s="7"/>
      <c r="DO25" s="7"/>
      <c r="DP25" s="7"/>
      <c r="DQ25" s="7"/>
      <c r="DR25" s="7"/>
      <c r="DS25" s="7"/>
      <c r="DT25" s="7"/>
      <c r="DU25" s="7"/>
      <c r="DV25" s="7"/>
      <c r="DW25" s="7"/>
      <c r="DX25" s="7"/>
      <c r="DY25" s="7"/>
      <c r="DZ25" s="7"/>
      <c r="EA25" s="8"/>
      <c r="EB25" s="8"/>
      <c r="EC25" s="8"/>
      <c r="ED25" s="8"/>
      <c r="EE25" s="8"/>
      <c r="EF25" s="8"/>
      <c r="EG25" s="8"/>
      <c r="EH25" s="8"/>
      <c r="EI25" s="8"/>
      <c r="EJ25" s="8"/>
      <c r="EK25" s="8"/>
      <c r="EL25" s="8"/>
      <c r="EM25" s="8"/>
      <c r="EN25" s="8"/>
      <c r="EO25" s="8"/>
      <c r="EP25" s="8"/>
      <c r="EQ25" s="9" t="str">
        <f t="shared" si="7"/>
        <v/>
      </c>
      <c r="ER25" s="10"/>
      <c r="ES25" s="2" t="s">
        <v>200</v>
      </c>
      <c r="ET25" s="2" t="s">
        <v>200</v>
      </c>
      <c r="EU25" s="11" t="str">
        <f t="shared" si="8"/>
        <v/>
      </c>
      <c r="EV25" s="11" t="str">
        <f t="shared" si="9"/>
        <v/>
      </c>
      <c r="EW25" s="11" t="str">
        <f t="shared" si="10"/>
        <v/>
      </c>
      <c r="EX25" s="11" t="str">
        <f t="shared" si="11"/>
        <v/>
      </c>
      <c r="EY25" s="11" t="str">
        <f t="shared" si="12"/>
        <v/>
      </c>
      <c r="EZ25" s="11" t="str">
        <f t="shared" si="13"/>
        <v/>
      </c>
      <c r="FA25" s="12" t="str">
        <f t="shared" si="14"/>
        <v/>
      </c>
      <c r="FB25" s="12" t="str">
        <f t="shared" si="15"/>
        <v/>
      </c>
      <c r="FC25" s="12" t="str">
        <f t="shared" si="16"/>
        <v/>
      </c>
      <c r="FD25" s="12" t="str">
        <f t="shared" si="17"/>
        <v/>
      </c>
      <c r="FE25" s="12" t="str">
        <f t="shared" si="18"/>
        <v/>
      </c>
      <c r="FF25" s="12" t="str">
        <f t="shared" si="19"/>
        <v/>
      </c>
      <c r="FG25" s="3" t="str">
        <f t="shared" si="20"/>
        <v>No</v>
      </c>
      <c r="FH25" s="3" t="str">
        <f t="shared" si="21"/>
        <v>No</v>
      </c>
      <c r="FI25" s="3" t="str">
        <f t="shared" si="22"/>
        <v>Not ready</v>
      </c>
    </row>
    <row r="26" spans="1:165" ht="16" customHeight="1">
      <c r="A26" s="2" t="s">
        <v>455</v>
      </c>
      <c r="B26" s="2">
        <v>35</v>
      </c>
      <c r="C26" s="2" t="s">
        <v>177</v>
      </c>
      <c r="D26" s="2">
        <v>1</v>
      </c>
      <c r="E26" s="2" t="s">
        <v>178</v>
      </c>
      <c r="F26" s="2" t="s">
        <v>456</v>
      </c>
      <c r="G26" s="2" t="s">
        <v>180</v>
      </c>
      <c r="H26" s="2" t="s">
        <v>181</v>
      </c>
      <c r="I26" s="2" t="s">
        <v>180</v>
      </c>
      <c r="J26" s="2">
        <v>2</v>
      </c>
      <c r="K26" s="2" t="s">
        <v>182</v>
      </c>
      <c r="L26" s="2" t="s">
        <v>183</v>
      </c>
      <c r="M26" s="2" t="s">
        <v>184</v>
      </c>
      <c r="N26" s="2"/>
      <c r="O26" s="5">
        <v>42445</v>
      </c>
      <c r="P26" s="5">
        <v>42531</v>
      </c>
      <c r="Q26" s="2">
        <v>2016</v>
      </c>
      <c r="R26" s="2" t="s">
        <v>457</v>
      </c>
      <c r="S26" s="2" t="s">
        <v>186</v>
      </c>
      <c r="T26" s="4" t="s">
        <v>458</v>
      </c>
      <c r="U26" s="2" t="s">
        <v>188</v>
      </c>
      <c r="V26" s="2" t="s">
        <v>189</v>
      </c>
      <c r="W26" s="2" t="s">
        <v>0</v>
      </c>
      <c r="X26" s="2" t="s">
        <v>257</v>
      </c>
      <c r="Y26" s="2" t="s">
        <v>0</v>
      </c>
      <c r="Z26" s="4" t="s">
        <v>459</v>
      </c>
      <c r="AA26" s="4"/>
      <c r="AB26" s="2" t="s">
        <v>460</v>
      </c>
      <c r="AC26" s="2" t="s">
        <v>461</v>
      </c>
      <c r="AD26" s="2" t="s">
        <v>462</v>
      </c>
      <c r="AE26" s="2" t="s">
        <v>463</v>
      </c>
      <c r="AF26" s="6">
        <v>627</v>
      </c>
      <c r="AG26" s="2">
        <v>627</v>
      </c>
      <c r="AH26" s="4" t="s">
        <v>464</v>
      </c>
      <c r="AI26" s="4" t="s">
        <v>465</v>
      </c>
      <c r="AJ26" s="2"/>
      <c r="AK26" s="2"/>
      <c r="AL26" s="2" t="s">
        <v>200</v>
      </c>
      <c r="AM26" s="2" t="s">
        <v>200</v>
      </c>
      <c r="AN26" s="2"/>
      <c r="AO26" s="2"/>
      <c r="AP26" s="2"/>
      <c r="AQ26" s="2"/>
      <c r="AR26" s="2"/>
      <c r="AS26" s="2" t="s">
        <v>460</v>
      </c>
      <c r="AT26" s="2" t="s">
        <v>462</v>
      </c>
      <c r="AU26" s="2" t="s">
        <v>201</v>
      </c>
      <c r="AV26" s="2" t="s">
        <v>202</v>
      </c>
      <c r="AW26" s="2" t="s">
        <v>200</v>
      </c>
      <c r="AX26" s="2" t="s">
        <v>200</v>
      </c>
      <c r="AY26" s="2" t="s">
        <v>200</v>
      </c>
      <c r="AZ26" s="2" t="s">
        <v>200</v>
      </c>
      <c r="BA26" s="2" t="s">
        <v>200</v>
      </c>
      <c r="BB26" s="2" t="s">
        <v>200</v>
      </c>
      <c r="BC26" s="4"/>
      <c r="BD26" s="2"/>
      <c r="BE26" s="2"/>
      <c r="BF26" s="2" t="s">
        <v>203</v>
      </c>
      <c r="BG26" s="2" t="s">
        <v>203</v>
      </c>
      <c r="BH26" s="2" t="s">
        <v>204</v>
      </c>
      <c r="BI26" s="2">
        <f t="shared" si="23"/>
        <v>2013</v>
      </c>
      <c r="BJ26" s="2">
        <f t="shared" si="24"/>
        <v>2014</v>
      </c>
      <c r="BK26" s="2">
        <f t="shared" si="25"/>
        <v>2015</v>
      </c>
      <c r="BL26" s="2">
        <f t="shared" si="26"/>
        <v>2016</v>
      </c>
      <c r="BM26" s="2">
        <f t="shared" si="27"/>
        <v>2017</v>
      </c>
      <c r="BN26" s="2">
        <f t="shared" si="28"/>
        <v>2018</v>
      </c>
      <c r="BO26" s="2">
        <f t="shared" si="29"/>
        <v>2019</v>
      </c>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7"/>
      <c r="DG26" s="7"/>
      <c r="DH26" s="7"/>
      <c r="DI26" s="7"/>
      <c r="DJ26" s="7"/>
      <c r="DK26" s="7"/>
      <c r="DL26" s="7"/>
      <c r="DM26" s="7"/>
      <c r="DN26" s="7"/>
      <c r="DO26" s="7"/>
      <c r="DP26" s="7"/>
      <c r="DQ26" s="7"/>
      <c r="DR26" s="7"/>
      <c r="DS26" s="7"/>
      <c r="DT26" s="7"/>
      <c r="DU26" s="7"/>
      <c r="DV26" s="7"/>
      <c r="DW26" s="7"/>
      <c r="DX26" s="7"/>
      <c r="DY26" s="7"/>
      <c r="DZ26" s="7"/>
      <c r="EA26" s="8"/>
      <c r="EB26" s="8"/>
      <c r="EC26" s="8"/>
      <c r="ED26" s="8"/>
      <c r="EE26" s="8"/>
      <c r="EF26" s="8"/>
      <c r="EG26" s="8"/>
      <c r="EH26" s="8"/>
      <c r="EI26" s="8"/>
      <c r="EJ26" s="8"/>
      <c r="EK26" s="8"/>
      <c r="EL26" s="8"/>
      <c r="EM26" s="8"/>
      <c r="EN26" s="8"/>
      <c r="EO26" s="8"/>
      <c r="EP26" s="8"/>
      <c r="EQ26" s="9" t="str">
        <f t="shared" si="7"/>
        <v/>
      </c>
      <c r="ER26" s="10"/>
      <c r="ES26" s="2" t="s">
        <v>200</v>
      </c>
      <c r="ET26" s="2" t="s">
        <v>200</v>
      </c>
      <c r="EU26" s="11" t="str">
        <f t="shared" si="8"/>
        <v/>
      </c>
      <c r="EV26" s="11" t="str">
        <f t="shared" si="9"/>
        <v/>
      </c>
      <c r="EW26" s="11" t="str">
        <f t="shared" si="10"/>
        <v/>
      </c>
      <c r="EX26" s="11" t="str">
        <f t="shared" si="11"/>
        <v/>
      </c>
      <c r="EY26" s="11" t="str">
        <f t="shared" si="12"/>
        <v/>
      </c>
      <c r="EZ26" s="11" t="str">
        <f t="shared" si="13"/>
        <v/>
      </c>
      <c r="FA26" s="12" t="str">
        <f t="shared" si="14"/>
        <v/>
      </c>
      <c r="FB26" s="12" t="str">
        <f t="shared" si="15"/>
        <v/>
      </c>
      <c r="FC26" s="12" t="str">
        <f t="shared" si="16"/>
        <v/>
      </c>
      <c r="FD26" s="12" t="str">
        <f t="shared" si="17"/>
        <v/>
      </c>
      <c r="FE26" s="12" t="str">
        <f t="shared" si="18"/>
        <v/>
      </c>
      <c r="FF26" s="12" t="str">
        <f t="shared" si="19"/>
        <v/>
      </c>
      <c r="FG26" s="3" t="str">
        <f t="shared" si="20"/>
        <v>No</v>
      </c>
      <c r="FH26" s="3" t="str">
        <f t="shared" si="21"/>
        <v>No</v>
      </c>
      <c r="FI26" s="3" t="str">
        <f t="shared" si="22"/>
        <v>Not ready</v>
      </c>
    </row>
    <row r="27" spans="1:165" ht="16" customHeight="1">
      <c r="A27" s="2" t="s">
        <v>466</v>
      </c>
      <c r="B27" s="2">
        <v>36</v>
      </c>
      <c r="C27" s="2" t="s">
        <v>177</v>
      </c>
      <c r="D27" s="2">
        <v>1</v>
      </c>
      <c r="E27" s="2" t="s">
        <v>178</v>
      </c>
      <c r="F27" s="2" t="s">
        <v>467</v>
      </c>
      <c r="G27" s="2" t="s">
        <v>180</v>
      </c>
      <c r="H27" s="2" t="s">
        <v>181</v>
      </c>
      <c r="I27" s="2" t="s">
        <v>180</v>
      </c>
      <c r="J27" s="2">
        <v>2</v>
      </c>
      <c r="K27" s="2" t="s">
        <v>182</v>
      </c>
      <c r="L27" s="2" t="s">
        <v>233</v>
      </c>
      <c r="M27" s="2" t="s">
        <v>184</v>
      </c>
      <c r="N27" s="2"/>
      <c r="O27" s="5">
        <v>42445</v>
      </c>
      <c r="P27" s="5">
        <v>42531</v>
      </c>
      <c r="Q27" s="2">
        <v>2016</v>
      </c>
      <c r="R27" s="2" t="s">
        <v>457</v>
      </c>
      <c r="S27" s="2" t="s">
        <v>186</v>
      </c>
      <c r="T27" s="4" t="s">
        <v>468</v>
      </c>
      <c r="U27" s="2" t="s">
        <v>188</v>
      </c>
      <c r="V27" s="2" t="s">
        <v>235</v>
      </c>
      <c r="W27" s="2"/>
      <c r="X27" s="2" t="s">
        <v>257</v>
      </c>
      <c r="Y27" s="2"/>
      <c r="Z27" s="4" t="s">
        <v>469</v>
      </c>
      <c r="AA27" s="4"/>
      <c r="AB27" s="2" t="s">
        <v>470</v>
      </c>
      <c r="AC27" s="2" t="s">
        <v>461</v>
      </c>
      <c r="AD27" s="2" t="s">
        <v>471</v>
      </c>
      <c r="AE27" s="2" t="s">
        <v>472</v>
      </c>
      <c r="AF27" s="6">
        <v>627</v>
      </c>
      <c r="AG27" s="2">
        <v>627</v>
      </c>
      <c r="AH27" s="4" t="s">
        <v>473</v>
      </c>
      <c r="AI27" s="4" t="s">
        <v>474</v>
      </c>
      <c r="AJ27" s="2"/>
      <c r="AK27" s="2"/>
      <c r="AL27" s="2" t="s">
        <v>200</v>
      </c>
      <c r="AM27" s="2" t="s">
        <v>200</v>
      </c>
      <c r="AN27" s="2"/>
      <c r="AO27" s="2"/>
      <c r="AP27" s="2"/>
      <c r="AQ27" s="2"/>
      <c r="AR27" s="2"/>
      <c r="AS27" s="2" t="s">
        <v>470</v>
      </c>
      <c r="AT27" s="2" t="s">
        <v>471</v>
      </c>
      <c r="AU27" s="2" t="s">
        <v>201</v>
      </c>
      <c r="AV27" s="2" t="s">
        <v>202</v>
      </c>
      <c r="AW27" s="2" t="s">
        <v>200</v>
      </c>
      <c r="AX27" s="2" t="s">
        <v>200</v>
      </c>
      <c r="AY27" s="2" t="s">
        <v>200</v>
      </c>
      <c r="AZ27" s="2" t="s">
        <v>200</v>
      </c>
      <c r="BA27" s="2" t="s">
        <v>200</v>
      </c>
      <c r="BB27" s="2" t="s">
        <v>200</v>
      </c>
      <c r="BC27" s="4"/>
      <c r="BD27" s="2"/>
      <c r="BE27" s="2"/>
      <c r="BF27" s="2" t="s">
        <v>203</v>
      </c>
      <c r="BG27" s="2" t="s">
        <v>203</v>
      </c>
      <c r="BH27" s="2" t="s">
        <v>204</v>
      </c>
      <c r="BI27" s="2">
        <f t="shared" si="23"/>
        <v>2013</v>
      </c>
      <c r="BJ27" s="2">
        <f t="shared" si="24"/>
        <v>2014</v>
      </c>
      <c r="BK27" s="2">
        <f t="shared" si="25"/>
        <v>2015</v>
      </c>
      <c r="BL27" s="2">
        <f t="shared" si="26"/>
        <v>2016</v>
      </c>
      <c r="BM27" s="2">
        <f t="shared" si="27"/>
        <v>2017</v>
      </c>
      <c r="BN27" s="2">
        <f t="shared" si="28"/>
        <v>2018</v>
      </c>
      <c r="BO27" s="2">
        <f t="shared" si="29"/>
        <v>2019</v>
      </c>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7"/>
      <c r="DG27" s="7"/>
      <c r="DH27" s="7"/>
      <c r="DI27" s="7"/>
      <c r="DJ27" s="7"/>
      <c r="DK27" s="7"/>
      <c r="DL27" s="7"/>
      <c r="DM27" s="7"/>
      <c r="DN27" s="7"/>
      <c r="DO27" s="7"/>
      <c r="DP27" s="7"/>
      <c r="DQ27" s="7"/>
      <c r="DR27" s="7"/>
      <c r="DS27" s="7"/>
      <c r="DT27" s="7"/>
      <c r="DU27" s="7"/>
      <c r="DV27" s="7"/>
      <c r="DW27" s="7"/>
      <c r="DX27" s="7"/>
      <c r="DY27" s="7"/>
      <c r="DZ27" s="7"/>
      <c r="EA27" s="8"/>
      <c r="EB27" s="8"/>
      <c r="EC27" s="8"/>
      <c r="ED27" s="8"/>
      <c r="EE27" s="8"/>
      <c r="EF27" s="8"/>
      <c r="EG27" s="8"/>
      <c r="EH27" s="8"/>
      <c r="EI27" s="8"/>
      <c r="EJ27" s="8"/>
      <c r="EK27" s="8"/>
      <c r="EL27" s="8"/>
      <c r="EM27" s="8"/>
      <c r="EN27" s="8"/>
      <c r="EO27" s="8"/>
      <c r="EP27" s="8"/>
      <c r="EQ27" s="9" t="str">
        <f t="shared" si="7"/>
        <v/>
      </c>
      <c r="ER27" s="10"/>
      <c r="ES27" s="2" t="s">
        <v>200</v>
      </c>
      <c r="ET27" s="2" t="s">
        <v>200</v>
      </c>
      <c r="EU27" s="11" t="str">
        <f t="shared" si="8"/>
        <v/>
      </c>
      <c r="EV27" s="11" t="str">
        <f t="shared" si="9"/>
        <v/>
      </c>
      <c r="EW27" s="11" t="str">
        <f t="shared" si="10"/>
        <v/>
      </c>
      <c r="EX27" s="11" t="str">
        <f t="shared" si="11"/>
        <v/>
      </c>
      <c r="EY27" s="11" t="str">
        <f t="shared" si="12"/>
        <v/>
      </c>
      <c r="EZ27" s="11" t="str">
        <f t="shared" si="13"/>
        <v/>
      </c>
      <c r="FA27" s="12" t="str">
        <f t="shared" si="14"/>
        <v/>
      </c>
      <c r="FB27" s="12" t="str">
        <f t="shared" si="15"/>
        <v/>
      </c>
      <c r="FC27" s="12" t="str">
        <f t="shared" si="16"/>
        <v/>
      </c>
      <c r="FD27" s="12" t="str">
        <f t="shared" si="17"/>
        <v/>
      </c>
      <c r="FE27" s="12" t="str">
        <f t="shared" si="18"/>
        <v/>
      </c>
      <c r="FF27" s="12" t="str">
        <f t="shared" si="19"/>
        <v/>
      </c>
      <c r="FG27" s="3" t="str">
        <f t="shared" si="20"/>
        <v>No</v>
      </c>
      <c r="FH27" s="3" t="str">
        <f t="shared" si="21"/>
        <v>No</v>
      </c>
      <c r="FI27" s="3" t="str">
        <f t="shared" si="22"/>
        <v>Not ready</v>
      </c>
    </row>
    <row r="28" spans="1:165" ht="16" customHeight="1">
      <c r="A28" s="2" t="s">
        <v>475</v>
      </c>
      <c r="B28" s="2">
        <v>37</v>
      </c>
      <c r="C28" s="2" t="s">
        <v>177</v>
      </c>
      <c r="D28" s="2">
        <v>1</v>
      </c>
      <c r="E28" s="2" t="s">
        <v>178</v>
      </c>
      <c r="F28" s="2" t="s">
        <v>476</v>
      </c>
      <c r="G28" s="2" t="s">
        <v>180</v>
      </c>
      <c r="H28" s="2" t="s">
        <v>181</v>
      </c>
      <c r="I28" s="2" t="s">
        <v>181</v>
      </c>
      <c r="J28" s="2">
        <v>1</v>
      </c>
      <c r="K28" s="2" t="s">
        <v>182</v>
      </c>
      <c r="L28" s="2" t="s">
        <v>233</v>
      </c>
      <c r="M28" s="2" t="s">
        <v>184</v>
      </c>
      <c r="N28" s="2"/>
      <c r="O28" s="5">
        <v>42359</v>
      </c>
      <c r="P28" s="5">
        <v>42569</v>
      </c>
      <c r="Q28" s="2">
        <v>2016</v>
      </c>
      <c r="R28" s="2" t="s">
        <v>477</v>
      </c>
      <c r="S28" s="2" t="s">
        <v>186</v>
      </c>
      <c r="T28" s="4" t="s">
        <v>478</v>
      </c>
      <c r="U28" s="2" t="s">
        <v>188</v>
      </c>
      <c r="V28" s="2" t="s">
        <v>235</v>
      </c>
      <c r="W28" s="2"/>
      <c r="X28" s="2" t="s">
        <v>222</v>
      </c>
      <c r="Y28" s="2"/>
      <c r="Z28" s="4" t="s">
        <v>479</v>
      </c>
      <c r="AA28" s="4" t="s">
        <v>480</v>
      </c>
      <c r="AB28" s="2" t="s">
        <v>481</v>
      </c>
      <c r="AC28" s="2" t="s">
        <v>482</v>
      </c>
      <c r="AD28" s="2" t="s">
        <v>483</v>
      </c>
      <c r="AE28" s="2" t="s">
        <v>484</v>
      </c>
      <c r="AF28" s="6"/>
      <c r="AG28" s="2" t="s">
        <v>197</v>
      </c>
      <c r="AH28" s="4" t="s">
        <v>485</v>
      </c>
      <c r="AI28" s="4" t="s">
        <v>486</v>
      </c>
      <c r="AJ28" s="2"/>
      <c r="AK28" s="2"/>
      <c r="AL28" s="2" t="s">
        <v>200</v>
      </c>
      <c r="AM28" s="2" t="s">
        <v>200</v>
      </c>
      <c r="AN28" s="2"/>
      <c r="AO28" s="2"/>
      <c r="AP28" s="2"/>
      <c r="AQ28" s="2"/>
      <c r="AR28" s="2"/>
      <c r="AS28" s="2" t="s">
        <v>481</v>
      </c>
      <c r="AT28" s="2" t="s">
        <v>483</v>
      </c>
      <c r="AU28" s="2" t="s">
        <v>201</v>
      </c>
      <c r="AV28" s="2" t="s">
        <v>202</v>
      </c>
      <c r="AW28" s="2" t="s">
        <v>200</v>
      </c>
      <c r="AX28" s="2" t="s">
        <v>200</v>
      </c>
      <c r="AY28" s="2" t="s">
        <v>200</v>
      </c>
      <c r="AZ28" s="2" t="s">
        <v>200</v>
      </c>
      <c r="BA28" s="2" t="s">
        <v>200</v>
      </c>
      <c r="BB28" s="2" t="s">
        <v>200</v>
      </c>
      <c r="BC28" s="4"/>
      <c r="BD28" s="2"/>
      <c r="BE28" s="2"/>
      <c r="BF28" s="2" t="s">
        <v>203</v>
      </c>
      <c r="BG28" s="2" t="s">
        <v>203</v>
      </c>
      <c r="BH28" s="2" t="s">
        <v>204</v>
      </c>
      <c r="BI28" s="2">
        <f t="shared" si="23"/>
        <v>2013</v>
      </c>
      <c r="BJ28" s="2">
        <f t="shared" si="24"/>
        <v>2014</v>
      </c>
      <c r="BK28" s="2">
        <f t="shared" si="25"/>
        <v>2015</v>
      </c>
      <c r="BL28" s="2">
        <f t="shared" si="26"/>
        <v>2016</v>
      </c>
      <c r="BM28" s="2">
        <f t="shared" si="27"/>
        <v>2017</v>
      </c>
      <c r="BN28" s="2">
        <f t="shared" si="28"/>
        <v>2018</v>
      </c>
      <c r="BO28" s="2">
        <f t="shared" si="29"/>
        <v>2019</v>
      </c>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7"/>
      <c r="DG28" s="7"/>
      <c r="DH28" s="7"/>
      <c r="DI28" s="7"/>
      <c r="DJ28" s="7"/>
      <c r="DK28" s="7"/>
      <c r="DL28" s="7"/>
      <c r="DM28" s="7"/>
      <c r="DN28" s="7"/>
      <c r="DO28" s="7"/>
      <c r="DP28" s="7"/>
      <c r="DQ28" s="7"/>
      <c r="DR28" s="7"/>
      <c r="DS28" s="7"/>
      <c r="DT28" s="7"/>
      <c r="DU28" s="7"/>
      <c r="DV28" s="7"/>
      <c r="DW28" s="7"/>
      <c r="DX28" s="7"/>
      <c r="DY28" s="7"/>
      <c r="DZ28" s="7"/>
      <c r="EA28" s="8"/>
      <c r="EB28" s="8"/>
      <c r="EC28" s="8"/>
      <c r="ED28" s="8"/>
      <c r="EE28" s="8"/>
      <c r="EF28" s="8"/>
      <c r="EG28" s="8"/>
      <c r="EH28" s="8"/>
      <c r="EI28" s="8"/>
      <c r="EJ28" s="8"/>
      <c r="EK28" s="8"/>
      <c r="EL28" s="8"/>
      <c r="EM28" s="8"/>
      <c r="EN28" s="8"/>
      <c r="EO28" s="8"/>
      <c r="EP28" s="8"/>
      <c r="EQ28" s="9" t="str">
        <f t="shared" si="7"/>
        <v/>
      </c>
      <c r="ER28" s="10"/>
      <c r="ES28" s="2" t="s">
        <v>200</v>
      </c>
      <c r="ET28" s="2" t="s">
        <v>200</v>
      </c>
      <c r="EU28" s="11" t="str">
        <f t="shared" si="8"/>
        <v/>
      </c>
      <c r="EV28" s="11" t="str">
        <f t="shared" si="9"/>
        <v/>
      </c>
      <c r="EW28" s="11" t="str">
        <f t="shared" si="10"/>
        <v/>
      </c>
      <c r="EX28" s="11" t="str">
        <f t="shared" si="11"/>
        <v/>
      </c>
      <c r="EY28" s="11" t="str">
        <f t="shared" si="12"/>
        <v/>
      </c>
      <c r="EZ28" s="11" t="str">
        <f t="shared" si="13"/>
        <v/>
      </c>
      <c r="FA28" s="12" t="str">
        <f t="shared" si="14"/>
        <v/>
      </c>
      <c r="FB28" s="12" t="str">
        <f t="shared" si="15"/>
        <v/>
      </c>
      <c r="FC28" s="12" t="str">
        <f t="shared" si="16"/>
        <v/>
      </c>
      <c r="FD28" s="12" t="str">
        <f t="shared" si="17"/>
        <v/>
      </c>
      <c r="FE28" s="12" t="str">
        <f t="shared" si="18"/>
        <v/>
      </c>
      <c r="FF28" s="12" t="str">
        <f t="shared" si="19"/>
        <v/>
      </c>
      <c r="FG28" s="3" t="str">
        <f t="shared" si="20"/>
        <v>No</v>
      </c>
      <c r="FH28" s="3" t="str">
        <f t="shared" si="21"/>
        <v>No</v>
      </c>
      <c r="FI28" s="3" t="str">
        <f t="shared" si="22"/>
        <v>Not ready</v>
      </c>
    </row>
    <row r="29" spans="1:165" ht="16" customHeight="1">
      <c r="A29" s="2" t="s">
        <v>487</v>
      </c>
      <c r="B29" s="2">
        <v>38</v>
      </c>
      <c r="C29" s="2" t="s">
        <v>177</v>
      </c>
      <c r="D29" s="2">
        <v>1</v>
      </c>
      <c r="E29" s="2" t="s">
        <v>178</v>
      </c>
      <c r="F29" s="2" t="s">
        <v>488</v>
      </c>
      <c r="G29" s="2" t="s">
        <v>180</v>
      </c>
      <c r="H29" s="2" t="s">
        <v>181</v>
      </c>
      <c r="I29" s="2" t="s">
        <v>180</v>
      </c>
      <c r="J29" s="2">
        <v>2</v>
      </c>
      <c r="K29" s="2" t="s">
        <v>182</v>
      </c>
      <c r="L29" s="2" t="s">
        <v>279</v>
      </c>
      <c r="M29" s="2" t="s">
        <v>184</v>
      </c>
      <c r="N29" s="2"/>
      <c r="O29" s="5">
        <v>42339</v>
      </c>
      <c r="P29" s="5">
        <v>42339</v>
      </c>
      <c r="Q29" s="2">
        <v>2015</v>
      </c>
      <c r="R29" s="2" t="s">
        <v>477</v>
      </c>
      <c r="S29" s="2" t="s">
        <v>186</v>
      </c>
      <c r="T29" s="4" t="s">
        <v>489</v>
      </c>
      <c r="U29" s="2" t="s">
        <v>188</v>
      </c>
      <c r="V29" s="2" t="s">
        <v>189</v>
      </c>
      <c r="W29" s="2" t="s">
        <v>2</v>
      </c>
      <c r="X29" s="2" t="s">
        <v>416</v>
      </c>
      <c r="Y29" s="2" t="s">
        <v>2</v>
      </c>
      <c r="Z29" s="4"/>
      <c r="AA29" s="4"/>
      <c r="AB29" s="2" t="s">
        <v>417</v>
      </c>
      <c r="AC29" s="2" t="s">
        <v>418</v>
      </c>
      <c r="AD29" s="2" t="s">
        <v>419</v>
      </c>
      <c r="AE29" s="2" t="s">
        <v>420</v>
      </c>
      <c r="AF29" s="6">
        <v>0</v>
      </c>
      <c r="AG29" s="2">
        <v>0</v>
      </c>
      <c r="AH29" s="4" t="s">
        <v>490</v>
      </c>
      <c r="AI29" s="4" t="s">
        <v>422</v>
      </c>
      <c r="AJ29" s="2"/>
      <c r="AK29" s="2"/>
      <c r="AL29" s="2" t="s">
        <v>200</v>
      </c>
      <c r="AM29" s="2" t="s">
        <v>200</v>
      </c>
      <c r="AN29" s="2"/>
      <c r="AO29" s="2"/>
      <c r="AP29" s="2"/>
      <c r="AQ29" s="2"/>
      <c r="AR29" s="2"/>
      <c r="AS29" s="2" t="s">
        <v>417</v>
      </c>
      <c r="AT29" s="2" t="s">
        <v>419</v>
      </c>
      <c r="AU29" s="2" t="s">
        <v>201</v>
      </c>
      <c r="AV29" s="2" t="s">
        <v>202</v>
      </c>
      <c r="AW29" s="2" t="s">
        <v>200</v>
      </c>
      <c r="AX29" s="2" t="s">
        <v>200</v>
      </c>
      <c r="AY29" s="2" t="s">
        <v>200</v>
      </c>
      <c r="AZ29" s="2" t="s">
        <v>200</v>
      </c>
      <c r="BA29" s="2" t="s">
        <v>200</v>
      </c>
      <c r="BB29" s="2" t="s">
        <v>200</v>
      </c>
      <c r="BC29" s="4"/>
      <c r="BD29" s="2"/>
      <c r="BE29" s="2"/>
      <c r="BF29" s="2" t="s">
        <v>203</v>
      </c>
      <c r="BG29" s="2" t="s">
        <v>203</v>
      </c>
      <c r="BH29" s="2" t="s">
        <v>204</v>
      </c>
      <c r="BI29" s="2">
        <f t="shared" si="23"/>
        <v>2012</v>
      </c>
      <c r="BJ29" s="2">
        <f t="shared" si="24"/>
        <v>2013</v>
      </c>
      <c r="BK29" s="2">
        <f t="shared" si="25"/>
        <v>2014</v>
      </c>
      <c r="BL29" s="2">
        <f t="shared" si="26"/>
        <v>2015</v>
      </c>
      <c r="BM29" s="2">
        <f t="shared" si="27"/>
        <v>2016</v>
      </c>
      <c r="BN29" s="2">
        <f t="shared" si="28"/>
        <v>2017</v>
      </c>
      <c r="BO29" s="2">
        <f t="shared" si="29"/>
        <v>2018</v>
      </c>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7"/>
      <c r="DG29" s="7"/>
      <c r="DH29" s="7"/>
      <c r="DI29" s="7"/>
      <c r="DJ29" s="7"/>
      <c r="DK29" s="7"/>
      <c r="DL29" s="7"/>
      <c r="DM29" s="7"/>
      <c r="DN29" s="7"/>
      <c r="DO29" s="7"/>
      <c r="DP29" s="7"/>
      <c r="DQ29" s="7"/>
      <c r="DR29" s="7"/>
      <c r="DS29" s="7"/>
      <c r="DT29" s="7"/>
      <c r="DU29" s="7"/>
      <c r="DV29" s="7"/>
      <c r="DW29" s="7"/>
      <c r="DX29" s="7"/>
      <c r="DY29" s="7"/>
      <c r="DZ29" s="7"/>
      <c r="EA29" s="8"/>
      <c r="EB29" s="8"/>
      <c r="EC29" s="8"/>
      <c r="ED29" s="8"/>
      <c r="EE29" s="8"/>
      <c r="EF29" s="8"/>
      <c r="EG29" s="8"/>
      <c r="EH29" s="8"/>
      <c r="EI29" s="8"/>
      <c r="EJ29" s="8"/>
      <c r="EK29" s="8"/>
      <c r="EL29" s="8"/>
      <c r="EM29" s="8"/>
      <c r="EN29" s="8"/>
      <c r="EO29" s="8"/>
      <c r="EP29" s="8"/>
      <c r="EQ29" s="9" t="str">
        <f t="shared" si="7"/>
        <v/>
      </c>
      <c r="ER29" s="10"/>
      <c r="ES29" s="2" t="s">
        <v>200</v>
      </c>
      <c r="ET29" s="2" t="s">
        <v>200</v>
      </c>
      <c r="EU29" s="11" t="str">
        <f t="shared" si="8"/>
        <v/>
      </c>
      <c r="EV29" s="11" t="str">
        <f t="shared" si="9"/>
        <v/>
      </c>
      <c r="EW29" s="11" t="str">
        <f t="shared" si="10"/>
        <v/>
      </c>
      <c r="EX29" s="11" t="str">
        <f t="shared" si="11"/>
        <v/>
      </c>
      <c r="EY29" s="11" t="str">
        <f t="shared" si="12"/>
        <v/>
      </c>
      <c r="EZ29" s="11" t="str">
        <f t="shared" si="13"/>
        <v/>
      </c>
      <c r="FA29" s="12" t="str">
        <f t="shared" si="14"/>
        <v/>
      </c>
      <c r="FB29" s="12" t="str">
        <f t="shared" si="15"/>
        <v/>
      </c>
      <c r="FC29" s="12" t="str">
        <f t="shared" si="16"/>
        <v/>
      </c>
      <c r="FD29" s="12" t="str">
        <f t="shared" si="17"/>
        <v/>
      </c>
      <c r="FE29" s="12" t="str">
        <f t="shared" si="18"/>
        <v/>
      </c>
      <c r="FF29" s="12" t="str">
        <f t="shared" si="19"/>
        <v/>
      </c>
      <c r="FG29" s="3" t="str">
        <f t="shared" si="20"/>
        <v>No</v>
      </c>
      <c r="FH29" s="3" t="str">
        <f t="shared" si="21"/>
        <v>No</v>
      </c>
      <c r="FI29" s="3" t="str">
        <f t="shared" si="22"/>
        <v>Not ready</v>
      </c>
    </row>
    <row r="30" spans="1:165" ht="16" customHeight="1">
      <c r="A30" s="2" t="s">
        <v>491</v>
      </c>
      <c r="B30" s="2">
        <v>39</v>
      </c>
      <c r="C30" s="2" t="s">
        <v>177</v>
      </c>
      <c r="D30" s="2">
        <v>1</v>
      </c>
      <c r="E30" s="2" t="s">
        <v>178</v>
      </c>
      <c r="F30" s="2" t="s">
        <v>492</v>
      </c>
      <c r="G30" s="2" t="s">
        <v>180</v>
      </c>
      <c r="H30" s="2" t="s">
        <v>181</v>
      </c>
      <c r="I30" s="2" t="s">
        <v>181</v>
      </c>
      <c r="J30" s="2">
        <v>1</v>
      </c>
      <c r="K30" s="2" t="s">
        <v>182</v>
      </c>
      <c r="L30" s="2" t="s">
        <v>183</v>
      </c>
      <c r="M30" s="2" t="s">
        <v>184</v>
      </c>
      <c r="N30" s="2"/>
      <c r="O30" s="5">
        <v>42271</v>
      </c>
      <c r="P30" s="5">
        <v>42307</v>
      </c>
      <c r="Q30" s="2">
        <v>2015</v>
      </c>
      <c r="R30" s="2" t="s">
        <v>493</v>
      </c>
      <c r="S30" s="2" t="s">
        <v>186</v>
      </c>
      <c r="T30" s="4" t="s">
        <v>494</v>
      </c>
      <c r="U30" s="2" t="s">
        <v>188</v>
      </c>
      <c r="V30" s="2" t="s">
        <v>189</v>
      </c>
      <c r="W30" s="2" t="s">
        <v>0</v>
      </c>
      <c r="X30" s="2" t="s">
        <v>495</v>
      </c>
      <c r="Y30" s="2" t="s">
        <v>0</v>
      </c>
      <c r="Z30" s="4"/>
      <c r="AA30" s="4" t="s">
        <v>496</v>
      </c>
      <c r="AB30" s="2" t="s">
        <v>497</v>
      </c>
      <c r="AC30" s="2" t="s">
        <v>498</v>
      </c>
      <c r="AD30" s="2" t="s">
        <v>499</v>
      </c>
      <c r="AE30" s="2" t="s">
        <v>500</v>
      </c>
      <c r="AF30" s="6">
        <v>32</v>
      </c>
      <c r="AG30" s="2">
        <v>32</v>
      </c>
      <c r="AH30" s="4" t="s">
        <v>501</v>
      </c>
      <c r="AI30" s="4" t="s">
        <v>502</v>
      </c>
      <c r="AJ30" s="2"/>
      <c r="AK30" s="2"/>
      <c r="AL30" s="2" t="s">
        <v>200</v>
      </c>
      <c r="AM30" s="2" t="s">
        <v>180</v>
      </c>
      <c r="AN30" s="2" t="s">
        <v>503</v>
      </c>
      <c r="AO30" s="2"/>
      <c r="AP30" s="2"/>
      <c r="AQ30" s="2"/>
      <c r="AR30" s="2"/>
      <c r="AS30" s="2" t="s">
        <v>497</v>
      </c>
      <c r="AT30" s="2" t="s">
        <v>499</v>
      </c>
      <c r="AU30" s="2" t="s">
        <v>201</v>
      </c>
      <c r="AV30" s="2" t="s">
        <v>202</v>
      </c>
      <c r="AW30" s="2" t="s">
        <v>311</v>
      </c>
      <c r="AX30" s="2" t="s">
        <v>200</v>
      </c>
      <c r="AY30" s="2" t="s">
        <v>200</v>
      </c>
      <c r="AZ30" s="2" t="s">
        <v>200</v>
      </c>
      <c r="BA30" s="2" t="s">
        <v>200</v>
      </c>
      <c r="BB30" s="2" t="s">
        <v>200</v>
      </c>
      <c r="BC30" s="4"/>
      <c r="BD30" s="2"/>
      <c r="BE30" s="2" t="s">
        <v>312</v>
      </c>
      <c r="BF30" s="2" t="s">
        <v>504</v>
      </c>
      <c r="BG30" s="2" t="s">
        <v>505</v>
      </c>
      <c r="BH30" s="2" t="s">
        <v>506</v>
      </c>
      <c r="BI30" s="2">
        <v>2012</v>
      </c>
      <c r="BJ30" s="2">
        <v>2013</v>
      </c>
      <c r="BK30" s="2">
        <v>2014</v>
      </c>
      <c r="BL30" s="2">
        <v>2015</v>
      </c>
      <c r="BM30" s="2">
        <v>2016</v>
      </c>
      <c r="BN30" s="2">
        <v>2017</v>
      </c>
      <c r="BO30" s="2">
        <v>2018</v>
      </c>
      <c r="BP30" s="6"/>
      <c r="BQ30" s="6">
        <v>0.62360000000000004</v>
      </c>
      <c r="BR30" s="6">
        <v>10.0952</v>
      </c>
      <c r="BS30" s="6">
        <v>65.791499999999999</v>
      </c>
      <c r="BT30" s="6">
        <v>45.813600000000001</v>
      </c>
      <c r="BU30" s="6">
        <v>15.2911</v>
      </c>
      <c r="BV30" s="6">
        <v>12.7858</v>
      </c>
      <c r="BW30" s="6"/>
      <c r="BX30" s="6">
        <v>-10.9476</v>
      </c>
      <c r="BY30" s="6">
        <v>-14.4148</v>
      </c>
      <c r="BZ30" s="6">
        <v>-12.2281</v>
      </c>
      <c r="CA30" s="6">
        <v>-64.961299999999994</v>
      </c>
      <c r="CB30" s="6">
        <v>-94.424700000000001</v>
      </c>
      <c r="CC30" s="6">
        <v>-82.516300000000001</v>
      </c>
      <c r="CD30" s="6"/>
      <c r="CE30" s="6"/>
      <c r="CF30" s="6">
        <v>-12.8284</v>
      </c>
      <c r="CG30" s="6">
        <v>-35.3474</v>
      </c>
      <c r="CH30" s="6">
        <v>-82.394199999999998</v>
      </c>
      <c r="CI30" s="6">
        <v>-81.4833</v>
      </c>
      <c r="CJ30" s="6">
        <v>-80.811999999999998</v>
      </c>
      <c r="CK30" s="6"/>
      <c r="CL30" s="6">
        <v>7.1650999999999998</v>
      </c>
      <c r="CM30" s="6">
        <v>104.514</v>
      </c>
      <c r="CN30" s="6">
        <v>443.42439999999999</v>
      </c>
      <c r="CO30" s="6">
        <v>415.86329999999998</v>
      </c>
      <c r="CP30" s="6">
        <v>370.26119999999997</v>
      </c>
      <c r="CQ30" s="6">
        <v>312.17599999999999</v>
      </c>
      <c r="CR30" s="6"/>
      <c r="CS30" s="6">
        <v>9.4198000000000004</v>
      </c>
      <c r="CT30" s="6">
        <v>0</v>
      </c>
      <c r="CU30" s="6">
        <v>0</v>
      </c>
      <c r="CV30" s="6">
        <v>0</v>
      </c>
      <c r="CW30" s="6">
        <v>0</v>
      </c>
      <c r="CX30" s="6">
        <v>0</v>
      </c>
      <c r="CY30" s="6"/>
      <c r="CZ30" s="6">
        <v>8.0488</v>
      </c>
      <c r="DA30" s="6">
        <v>17.7286</v>
      </c>
      <c r="DB30" s="6">
        <v>52.872799999999998</v>
      </c>
      <c r="DC30" s="6">
        <v>79.293599999999998</v>
      </c>
      <c r="DD30" s="6">
        <v>79.282600000000002</v>
      </c>
      <c r="DE30" s="6">
        <v>64.268600000000006</v>
      </c>
      <c r="DF30" s="7"/>
      <c r="DG30" s="7"/>
      <c r="DH30" s="7">
        <v>-24.957799999999999</v>
      </c>
      <c r="DI30" s="7">
        <v>-12.8916</v>
      </c>
      <c r="DJ30" s="7">
        <v>-19.805399999999999</v>
      </c>
      <c r="DK30" s="7">
        <v>-20.7896</v>
      </c>
      <c r="DL30" s="7">
        <v>-23.761099999999999</v>
      </c>
      <c r="DM30" s="7"/>
      <c r="DN30" s="7">
        <v>-1755.5555999999999</v>
      </c>
      <c r="DO30" s="7">
        <v>-142.78890000000001</v>
      </c>
      <c r="DP30" s="7">
        <v>-18.586200000000002</v>
      </c>
      <c r="DQ30" s="7">
        <v>-141.79480000000001</v>
      </c>
      <c r="DR30" s="7">
        <v>-617.51260000000002</v>
      </c>
      <c r="DS30" s="7">
        <v>-671.83669999999995</v>
      </c>
      <c r="DT30" s="7"/>
      <c r="DU30" s="7">
        <v>131.4676</v>
      </c>
      <c r="DV30" s="7">
        <v>0</v>
      </c>
      <c r="DW30" s="7">
        <v>0</v>
      </c>
      <c r="DX30" s="7">
        <v>0</v>
      </c>
      <c r="DY30" s="7">
        <v>0</v>
      </c>
      <c r="DZ30" s="7">
        <v>0</v>
      </c>
      <c r="EA30" s="8"/>
      <c r="EB30" s="8"/>
      <c r="EC30" s="8"/>
      <c r="ED30" s="8">
        <v>2</v>
      </c>
      <c r="EE30" s="8">
        <v>1</v>
      </c>
      <c r="EF30" s="8">
        <v>2</v>
      </c>
      <c r="EG30" s="8">
        <v>1</v>
      </c>
      <c r="EH30" s="8"/>
      <c r="EI30" s="8"/>
      <c r="EJ30" s="8"/>
      <c r="EK30" s="8">
        <v>3</v>
      </c>
      <c r="EL30" s="8">
        <v>0</v>
      </c>
      <c r="EM30" s="8">
        <v>0</v>
      </c>
      <c r="EN30" s="8">
        <v>0</v>
      </c>
      <c r="EO30" s="8"/>
      <c r="EP30" s="8"/>
      <c r="EQ30" s="9" t="str">
        <f t="shared" si="7"/>
        <v/>
      </c>
      <c r="ER30" s="10"/>
      <c r="ES30" s="2" t="s">
        <v>181</v>
      </c>
      <c r="ET30" s="2" t="s">
        <v>181</v>
      </c>
      <c r="EU30" s="11">
        <f t="shared" si="8"/>
        <v>-24.957799999999999</v>
      </c>
      <c r="EV30" s="11">
        <f t="shared" si="9"/>
        <v>-21.452033333333333</v>
      </c>
      <c r="EW30" s="11">
        <f t="shared" si="10"/>
        <v>3.5057666666666663</v>
      </c>
      <c r="EX30" s="11">
        <f t="shared" si="11"/>
        <v>-949.17224999999996</v>
      </c>
      <c r="EY30" s="11">
        <f t="shared" si="12"/>
        <v>-477.04803333333331</v>
      </c>
      <c r="EZ30" s="11">
        <f t="shared" si="13"/>
        <v>472.12421666666665</v>
      </c>
      <c r="FA30" s="12" t="str">
        <f t="shared" si="14"/>
        <v/>
      </c>
      <c r="FB30" s="12">
        <f t="shared" si="15"/>
        <v>1.3333333333333333</v>
      </c>
      <c r="FC30" s="12" t="str">
        <f t="shared" si="16"/>
        <v/>
      </c>
      <c r="FD30" s="12" t="str">
        <f t="shared" si="17"/>
        <v/>
      </c>
      <c r="FE30" s="12">
        <f t="shared" si="18"/>
        <v>0</v>
      </c>
      <c r="FF30" s="12" t="str">
        <f t="shared" si="19"/>
        <v/>
      </c>
      <c r="FG30" s="3" t="str">
        <f t="shared" si="20"/>
        <v>No</v>
      </c>
      <c r="FH30" s="3" t="str">
        <f t="shared" si="21"/>
        <v>No</v>
      </c>
      <c r="FI30" s="3" t="str">
        <f t="shared" si="22"/>
        <v>Not ready</v>
      </c>
    </row>
    <row r="31" spans="1:165" ht="16" customHeight="1">
      <c r="A31" s="2" t="s">
        <v>507</v>
      </c>
      <c r="B31" s="2">
        <v>40</v>
      </c>
      <c r="C31" s="2" t="s">
        <v>177</v>
      </c>
      <c r="D31" s="2">
        <v>1</v>
      </c>
      <c r="E31" s="2" t="s">
        <v>178</v>
      </c>
      <c r="F31" s="2" t="s">
        <v>508</v>
      </c>
      <c r="G31" s="2" t="s">
        <v>180</v>
      </c>
      <c r="H31" s="2" t="s">
        <v>181</v>
      </c>
      <c r="I31" s="2" t="s">
        <v>181</v>
      </c>
      <c r="J31" s="2">
        <v>1</v>
      </c>
      <c r="K31" s="2" t="s">
        <v>182</v>
      </c>
      <c r="L31" s="2" t="s">
        <v>233</v>
      </c>
      <c r="M31" s="2" t="s">
        <v>184</v>
      </c>
      <c r="N31" s="2"/>
      <c r="O31" s="5">
        <v>42255</v>
      </c>
      <c r="P31" s="5">
        <v>42255</v>
      </c>
      <c r="Q31" s="2">
        <v>2015</v>
      </c>
      <c r="R31" s="2" t="s">
        <v>493</v>
      </c>
      <c r="S31" s="2" t="s">
        <v>186</v>
      </c>
      <c r="T31" s="4" t="s">
        <v>509</v>
      </c>
      <c r="U31" s="2" t="s">
        <v>188</v>
      </c>
      <c r="V31" s="2" t="s">
        <v>235</v>
      </c>
      <c r="W31" s="2"/>
      <c r="X31" s="2" t="s">
        <v>510</v>
      </c>
      <c r="Y31" s="2"/>
      <c r="Z31" s="4"/>
      <c r="AA31" s="4"/>
      <c r="AB31" s="2" t="s">
        <v>511</v>
      </c>
      <c r="AC31" s="2" t="s">
        <v>512</v>
      </c>
      <c r="AD31" s="2" t="s">
        <v>513</v>
      </c>
      <c r="AE31" s="2" t="s">
        <v>514</v>
      </c>
      <c r="AF31" s="6"/>
      <c r="AG31" s="2" t="s">
        <v>197</v>
      </c>
      <c r="AH31" s="4" t="s">
        <v>515</v>
      </c>
      <c r="AI31" s="4" t="s">
        <v>516</v>
      </c>
      <c r="AJ31" s="2"/>
      <c r="AK31" s="2"/>
      <c r="AL31" s="2" t="s">
        <v>200</v>
      </c>
      <c r="AM31" s="2" t="s">
        <v>200</v>
      </c>
      <c r="AN31" s="2"/>
      <c r="AO31" s="2"/>
      <c r="AP31" s="2"/>
      <c r="AQ31" s="2"/>
      <c r="AR31" s="2"/>
      <c r="AS31" s="2" t="s">
        <v>511</v>
      </c>
      <c r="AT31" s="2" t="s">
        <v>513</v>
      </c>
      <c r="AU31" s="2" t="s">
        <v>201</v>
      </c>
      <c r="AV31" s="2" t="s">
        <v>202</v>
      </c>
      <c r="AW31" s="2" t="s">
        <v>200</v>
      </c>
      <c r="AX31" s="2" t="s">
        <v>200</v>
      </c>
      <c r="AY31" s="2" t="s">
        <v>200</v>
      </c>
      <c r="AZ31" s="2" t="s">
        <v>200</v>
      </c>
      <c r="BA31" s="2" t="s">
        <v>200</v>
      </c>
      <c r="BB31" s="2" t="s">
        <v>200</v>
      </c>
      <c r="BC31" s="4"/>
      <c r="BD31" s="2"/>
      <c r="BE31" s="2"/>
      <c r="BF31" s="2" t="s">
        <v>203</v>
      </c>
      <c r="BG31" s="2" t="s">
        <v>203</v>
      </c>
      <c r="BH31" s="2" t="s">
        <v>204</v>
      </c>
      <c r="BI31" s="2">
        <f>IF($Q31="","",$Q31-3)</f>
        <v>2012</v>
      </c>
      <c r="BJ31" s="2">
        <f>IF($Q31="","",$Q31-2)</f>
        <v>2013</v>
      </c>
      <c r="BK31" s="2">
        <f>IF($Q31="","",$Q31-1)</f>
        <v>2014</v>
      </c>
      <c r="BL31" s="2">
        <f>IF($Q31="","",$Q31+0)</f>
        <v>2015</v>
      </c>
      <c r="BM31" s="2">
        <f>IF($Q31="","",$Q31+1)</f>
        <v>2016</v>
      </c>
      <c r="BN31" s="2">
        <f>IF($Q31="","",$Q31+2)</f>
        <v>2017</v>
      </c>
      <c r="BO31" s="2">
        <f>IF($Q31="","",$Q31+3)</f>
        <v>2018</v>
      </c>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7"/>
      <c r="DG31" s="7"/>
      <c r="DH31" s="7"/>
      <c r="DI31" s="7"/>
      <c r="DJ31" s="7"/>
      <c r="DK31" s="7"/>
      <c r="DL31" s="7"/>
      <c r="DM31" s="7"/>
      <c r="DN31" s="7"/>
      <c r="DO31" s="7"/>
      <c r="DP31" s="7"/>
      <c r="DQ31" s="7"/>
      <c r="DR31" s="7"/>
      <c r="DS31" s="7"/>
      <c r="DT31" s="7"/>
      <c r="DU31" s="7"/>
      <c r="DV31" s="7"/>
      <c r="DW31" s="7"/>
      <c r="DX31" s="7"/>
      <c r="DY31" s="7"/>
      <c r="DZ31" s="7"/>
      <c r="EA31" s="8"/>
      <c r="EB31" s="8"/>
      <c r="EC31" s="8"/>
      <c r="ED31" s="8"/>
      <c r="EE31" s="8"/>
      <c r="EF31" s="8"/>
      <c r="EG31" s="8"/>
      <c r="EH31" s="8"/>
      <c r="EI31" s="8"/>
      <c r="EJ31" s="8"/>
      <c r="EK31" s="8"/>
      <c r="EL31" s="8"/>
      <c r="EM31" s="8"/>
      <c r="EN31" s="8"/>
      <c r="EO31" s="8"/>
      <c r="EP31" s="8"/>
      <c r="EQ31" s="9" t="str">
        <f t="shared" si="7"/>
        <v/>
      </c>
      <c r="ER31" s="10"/>
      <c r="ES31" s="2" t="s">
        <v>200</v>
      </c>
      <c r="ET31" s="2" t="s">
        <v>200</v>
      </c>
      <c r="EU31" s="11" t="str">
        <f t="shared" si="8"/>
        <v/>
      </c>
      <c r="EV31" s="11" t="str">
        <f t="shared" si="9"/>
        <v/>
      </c>
      <c r="EW31" s="11" t="str">
        <f t="shared" si="10"/>
        <v/>
      </c>
      <c r="EX31" s="11" t="str">
        <f t="shared" si="11"/>
        <v/>
      </c>
      <c r="EY31" s="11" t="str">
        <f t="shared" si="12"/>
        <v/>
      </c>
      <c r="EZ31" s="11" t="str">
        <f t="shared" si="13"/>
        <v/>
      </c>
      <c r="FA31" s="12" t="str">
        <f t="shared" si="14"/>
        <v/>
      </c>
      <c r="FB31" s="12" t="str">
        <f t="shared" si="15"/>
        <v/>
      </c>
      <c r="FC31" s="12" t="str">
        <f t="shared" si="16"/>
        <v/>
      </c>
      <c r="FD31" s="12" t="str">
        <f t="shared" si="17"/>
        <v/>
      </c>
      <c r="FE31" s="12" t="str">
        <f t="shared" si="18"/>
        <v/>
      </c>
      <c r="FF31" s="12" t="str">
        <f t="shared" si="19"/>
        <v/>
      </c>
      <c r="FG31" s="3" t="str">
        <f t="shared" si="20"/>
        <v>No</v>
      </c>
      <c r="FH31" s="3" t="str">
        <f t="shared" si="21"/>
        <v>No</v>
      </c>
      <c r="FI31" s="3" t="str">
        <f t="shared" si="22"/>
        <v>Not ready</v>
      </c>
    </row>
    <row r="32" spans="1:165" ht="16" customHeight="1">
      <c r="A32" s="2" t="s">
        <v>517</v>
      </c>
      <c r="B32" s="2">
        <v>41</v>
      </c>
      <c r="C32" s="2" t="s">
        <v>177</v>
      </c>
      <c r="D32" s="2">
        <v>1</v>
      </c>
      <c r="E32" s="2" t="s">
        <v>178</v>
      </c>
      <c r="F32" s="2" t="s">
        <v>518</v>
      </c>
      <c r="G32" s="2" t="s">
        <v>180</v>
      </c>
      <c r="H32" s="2" t="s">
        <v>181</v>
      </c>
      <c r="I32" s="2" t="s">
        <v>181</v>
      </c>
      <c r="J32" s="2">
        <v>1</v>
      </c>
      <c r="K32" s="2" t="s">
        <v>182</v>
      </c>
      <c r="L32" s="2" t="s">
        <v>183</v>
      </c>
      <c r="M32" s="2" t="s">
        <v>184</v>
      </c>
      <c r="N32" s="2"/>
      <c r="O32" s="5">
        <v>42242</v>
      </c>
      <c r="P32" s="5">
        <v>42242</v>
      </c>
      <c r="Q32" s="2">
        <v>2015</v>
      </c>
      <c r="R32" s="2" t="s">
        <v>493</v>
      </c>
      <c r="S32" s="2" t="s">
        <v>186</v>
      </c>
      <c r="T32" s="4" t="s">
        <v>519</v>
      </c>
      <c r="U32" s="2" t="s">
        <v>188</v>
      </c>
      <c r="V32" s="2" t="s">
        <v>189</v>
      </c>
      <c r="W32" s="2" t="s">
        <v>0</v>
      </c>
      <c r="X32" s="2" t="s">
        <v>520</v>
      </c>
      <c r="Y32" s="2" t="s">
        <v>0</v>
      </c>
      <c r="Z32" s="4"/>
      <c r="AA32" s="4"/>
      <c r="AB32" s="2" t="s">
        <v>521</v>
      </c>
      <c r="AC32" s="2" t="s">
        <v>522</v>
      </c>
      <c r="AD32" s="2" t="s">
        <v>523</v>
      </c>
      <c r="AE32" s="2" t="s">
        <v>524</v>
      </c>
      <c r="AF32" s="6">
        <v>20</v>
      </c>
      <c r="AG32" s="2">
        <v>20</v>
      </c>
      <c r="AH32" s="4" t="s">
        <v>525</v>
      </c>
      <c r="AI32" s="4" t="s">
        <v>526</v>
      </c>
      <c r="AJ32" s="2"/>
      <c r="AK32" s="2"/>
      <c r="AL32" s="2" t="s">
        <v>200</v>
      </c>
      <c r="AM32" s="2" t="s">
        <v>200</v>
      </c>
      <c r="AN32" s="2"/>
      <c r="AO32" s="2"/>
      <c r="AP32" s="2"/>
      <c r="AQ32" s="2"/>
      <c r="AR32" s="2"/>
      <c r="AS32" s="2" t="s">
        <v>521</v>
      </c>
      <c r="AT32" s="2" t="s">
        <v>523</v>
      </c>
      <c r="AU32" s="2" t="s">
        <v>201</v>
      </c>
      <c r="AV32" s="2" t="s">
        <v>202</v>
      </c>
      <c r="AW32" s="2" t="s">
        <v>200</v>
      </c>
      <c r="AX32" s="2" t="s">
        <v>200</v>
      </c>
      <c r="AY32" s="2" t="s">
        <v>200</v>
      </c>
      <c r="AZ32" s="2" t="s">
        <v>200</v>
      </c>
      <c r="BA32" s="2" t="s">
        <v>200</v>
      </c>
      <c r="BB32" s="2" t="s">
        <v>200</v>
      </c>
      <c r="BC32" s="4"/>
      <c r="BD32" s="2"/>
      <c r="BE32" s="2"/>
      <c r="BF32" s="2" t="s">
        <v>203</v>
      </c>
      <c r="BG32" s="2" t="s">
        <v>203</v>
      </c>
      <c r="BH32" s="2" t="s">
        <v>204</v>
      </c>
      <c r="BI32" s="2">
        <f>IF($Q32="","",$Q32-3)</f>
        <v>2012</v>
      </c>
      <c r="BJ32" s="2">
        <f>IF($Q32="","",$Q32-2)</f>
        <v>2013</v>
      </c>
      <c r="BK32" s="2">
        <f>IF($Q32="","",$Q32-1)</f>
        <v>2014</v>
      </c>
      <c r="BL32" s="2">
        <f>IF($Q32="","",$Q32+0)</f>
        <v>2015</v>
      </c>
      <c r="BM32" s="2">
        <f>IF($Q32="","",$Q32+1)</f>
        <v>2016</v>
      </c>
      <c r="BN32" s="2">
        <f>IF($Q32="","",$Q32+2)</f>
        <v>2017</v>
      </c>
      <c r="BO32" s="2">
        <f>IF($Q32="","",$Q32+3)</f>
        <v>2018</v>
      </c>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7"/>
      <c r="DG32" s="7"/>
      <c r="DH32" s="7"/>
      <c r="DI32" s="7"/>
      <c r="DJ32" s="7"/>
      <c r="DK32" s="7"/>
      <c r="DL32" s="7"/>
      <c r="DM32" s="7"/>
      <c r="DN32" s="7"/>
      <c r="DO32" s="7"/>
      <c r="DP32" s="7"/>
      <c r="DQ32" s="7"/>
      <c r="DR32" s="7"/>
      <c r="DS32" s="7"/>
      <c r="DT32" s="7"/>
      <c r="DU32" s="7"/>
      <c r="DV32" s="7"/>
      <c r="DW32" s="7"/>
      <c r="DX32" s="7"/>
      <c r="DY32" s="7"/>
      <c r="DZ32" s="7"/>
      <c r="EA32" s="8"/>
      <c r="EB32" s="8"/>
      <c r="EC32" s="8"/>
      <c r="ED32" s="8"/>
      <c r="EE32" s="8"/>
      <c r="EF32" s="8"/>
      <c r="EG32" s="8"/>
      <c r="EH32" s="8"/>
      <c r="EI32" s="8"/>
      <c r="EJ32" s="8"/>
      <c r="EK32" s="8"/>
      <c r="EL32" s="8"/>
      <c r="EM32" s="8"/>
      <c r="EN32" s="8"/>
      <c r="EO32" s="8"/>
      <c r="EP32" s="8"/>
      <c r="EQ32" s="9" t="str">
        <f t="shared" si="7"/>
        <v/>
      </c>
      <c r="ER32" s="10"/>
      <c r="ES32" s="2" t="s">
        <v>200</v>
      </c>
      <c r="ET32" s="2" t="s">
        <v>200</v>
      </c>
      <c r="EU32" s="11" t="str">
        <f t="shared" si="8"/>
        <v/>
      </c>
      <c r="EV32" s="11" t="str">
        <f t="shared" si="9"/>
        <v/>
      </c>
      <c r="EW32" s="11" t="str">
        <f t="shared" si="10"/>
        <v/>
      </c>
      <c r="EX32" s="11" t="str">
        <f t="shared" si="11"/>
        <v/>
      </c>
      <c r="EY32" s="11" t="str">
        <f t="shared" si="12"/>
        <v/>
      </c>
      <c r="EZ32" s="11" t="str">
        <f t="shared" si="13"/>
        <v/>
      </c>
      <c r="FA32" s="12" t="str">
        <f t="shared" si="14"/>
        <v/>
      </c>
      <c r="FB32" s="12" t="str">
        <f t="shared" si="15"/>
        <v/>
      </c>
      <c r="FC32" s="12" t="str">
        <f t="shared" si="16"/>
        <v/>
      </c>
      <c r="FD32" s="12" t="str">
        <f t="shared" si="17"/>
        <v/>
      </c>
      <c r="FE32" s="12" t="str">
        <f t="shared" si="18"/>
        <v/>
      </c>
      <c r="FF32" s="12" t="str">
        <f t="shared" si="19"/>
        <v/>
      </c>
      <c r="FG32" s="3" t="str">
        <f t="shared" si="20"/>
        <v>No</v>
      </c>
      <c r="FH32" s="3" t="str">
        <f t="shared" si="21"/>
        <v>No</v>
      </c>
      <c r="FI32" s="3" t="str">
        <f t="shared" si="22"/>
        <v>Not ready</v>
      </c>
    </row>
    <row r="33" spans="1:165" ht="16" customHeight="1">
      <c r="A33" s="2" t="s">
        <v>527</v>
      </c>
      <c r="B33" s="2">
        <v>42</v>
      </c>
      <c r="C33" s="2" t="s">
        <v>177</v>
      </c>
      <c r="D33" s="2">
        <v>1</v>
      </c>
      <c r="E33" s="2" t="s">
        <v>178</v>
      </c>
      <c r="F33" s="2" t="s">
        <v>528</v>
      </c>
      <c r="G33" s="2" t="s">
        <v>180</v>
      </c>
      <c r="H33" s="2" t="s">
        <v>181</v>
      </c>
      <c r="I33" s="2" t="s">
        <v>181</v>
      </c>
      <c r="J33" s="2">
        <v>1</v>
      </c>
      <c r="K33" s="2" t="s">
        <v>182</v>
      </c>
      <c r="L33" s="2" t="s">
        <v>268</v>
      </c>
      <c r="M33" s="2" t="s">
        <v>184</v>
      </c>
      <c r="N33" s="2"/>
      <c r="O33" s="5">
        <v>42215</v>
      </c>
      <c r="P33" s="5">
        <v>42216</v>
      </c>
      <c r="Q33" s="2">
        <v>2015</v>
      </c>
      <c r="R33" s="2" t="s">
        <v>493</v>
      </c>
      <c r="S33" s="2" t="s">
        <v>186</v>
      </c>
      <c r="T33" s="4" t="s">
        <v>529</v>
      </c>
      <c r="U33" s="2" t="s">
        <v>188</v>
      </c>
      <c r="V33" s="2" t="s">
        <v>189</v>
      </c>
      <c r="W33" s="2" t="s">
        <v>1</v>
      </c>
      <c r="X33" s="2" t="s">
        <v>209</v>
      </c>
      <c r="Y33" s="2" t="s">
        <v>1</v>
      </c>
      <c r="Z33" s="4"/>
      <c r="AA33" s="4"/>
      <c r="AB33" s="2" t="s">
        <v>323</v>
      </c>
      <c r="AC33" s="2" t="s">
        <v>324</v>
      </c>
      <c r="AD33" s="2" t="s">
        <v>530</v>
      </c>
      <c r="AE33" s="2" t="s">
        <v>531</v>
      </c>
      <c r="AF33" s="6">
        <v>7</v>
      </c>
      <c r="AG33" s="2">
        <v>7</v>
      </c>
      <c r="AH33" s="4" t="s">
        <v>532</v>
      </c>
      <c r="AI33" s="4" t="s">
        <v>533</v>
      </c>
      <c r="AJ33" s="2"/>
      <c r="AK33" s="2"/>
      <c r="AL33" s="2" t="s">
        <v>200</v>
      </c>
      <c r="AM33" s="2" t="s">
        <v>200</v>
      </c>
      <c r="AN33" s="2"/>
      <c r="AO33" s="2"/>
      <c r="AP33" s="2"/>
      <c r="AQ33" s="2"/>
      <c r="AR33" s="2"/>
      <c r="AS33" s="2" t="s">
        <v>323</v>
      </c>
      <c r="AT33" s="2" t="s">
        <v>530</v>
      </c>
      <c r="AU33" s="2" t="s">
        <v>201</v>
      </c>
      <c r="AV33" s="2" t="s">
        <v>202</v>
      </c>
      <c r="AW33" s="2" t="s">
        <v>200</v>
      </c>
      <c r="AX33" s="2" t="s">
        <v>200</v>
      </c>
      <c r="AY33" s="2" t="s">
        <v>200</v>
      </c>
      <c r="AZ33" s="2" t="s">
        <v>200</v>
      </c>
      <c r="BA33" s="2" t="s">
        <v>200</v>
      </c>
      <c r="BB33" s="2" t="s">
        <v>200</v>
      </c>
      <c r="BC33" s="4"/>
      <c r="BD33" s="2"/>
      <c r="BE33" s="2"/>
      <c r="BF33" s="2" t="s">
        <v>203</v>
      </c>
      <c r="BG33" s="2" t="s">
        <v>203</v>
      </c>
      <c r="BH33" s="2" t="s">
        <v>204</v>
      </c>
      <c r="BI33" s="2">
        <f>IF($Q33="","",$Q33-3)</f>
        <v>2012</v>
      </c>
      <c r="BJ33" s="2">
        <f>IF($Q33="","",$Q33-2)</f>
        <v>2013</v>
      </c>
      <c r="BK33" s="2">
        <f>IF($Q33="","",$Q33-1)</f>
        <v>2014</v>
      </c>
      <c r="BL33" s="2">
        <f>IF($Q33="","",$Q33+0)</f>
        <v>2015</v>
      </c>
      <c r="BM33" s="2">
        <f>IF($Q33="","",$Q33+1)</f>
        <v>2016</v>
      </c>
      <c r="BN33" s="2">
        <f>IF($Q33="","",$Q33+2)</f>
        <v>2017</v>
      </c>
      <c r="BO33" s="2">
        <f>IF($Q33="","",$Q33+3)</f>
        <v>2018</v>
      </c>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7"/>
      <c r="DG33" s="7"/>
      <c r="DH33" s="7"/>
      <c r="DI33" s="7"/>
      <c r="DJ33" s="7"/>
      <c r="DK33" s="7"/>
      <c r="DL33" s="7"/>
      <c r="DM33" s="7"/>
      <c r="DN33" s="7"/>
      <c r="DO33" s="7"/>
      <c r="DP33" s="7"/>
      <c r="DQ33" s="7"/>
      <c r="DR33" s="7"/>
      <c r="DS33" s="7"/>
      <c r="DT33" s="7"/>
      <c r="DU33" s="7"/>
      <c r="DV33" s="7"/>
      <c r="DW33" s="7"/>
      <c r="DX33" s="7"/>
      <c r="DY33" s="7"/>
      <c r="DZ33" s="7"/>
      <c r="EA33" s="8"/>
      <c r="EB33" s="8"/>
      <c r="EC33" s="8"/>
      <c r="ED33" s="8"/>
      <c r="EE33" s="8"/>
      <c r="EF33" s="8"/>
      <c r="EG33" s="8"/>
      <c r="EH33" s="8"/>
      <c r="EI33" s="8"/>
      <c r="EJ33" s="8"/>
      <c r="EK33" s="8"/>
      <c r="EL33" s="8"/>
      <c r="EM33" s="8"/>
      <c r="EN33" s="8"/>
      <c r="EO33" s="8"/>
      <c r="EP33" s="8"/>
      <c r="EQ33" s="9" t="str">
        <f t="shared" si="7"/>
        <v/>
      </c>
      <c r="ER33" s="10"/>
      <c r="ES33" s="2" t="s">
        <v>200</v>
      </c>
      <c r="ET33" s="2" t="s">
        <v>200</v>
      </c>
      <c r="EU33" s="11" t="str">
        <f t="shared" si="8"/>
        <v/>
      </c>
      <c r="EV33" s="11" t="str">
        <f t="shared" si="9"/>
        <v/>
      </c>
      <c r="EW33" s="11" t="str">
        <f t="shared" si="10"/>
        <v/>
      </c>
      <c r="EX33" s="11" t="str">
        <f t="shared" si="11"/>
        <v/>
      </c>
      <c r="EY33" s="11" t="str">
        <f t="shared" si="12"/>
        <v/>
      </c>
      <c r="EZ33" s="11" t="str">
        <f t="shared" si="13"/>
        <v/>
      </c>
      <c r="FA33" s="12" t="str">
        <f t="shared" si="14"/>
        <v/>
      </c>
      <c r="FB33" s="12" t="str">
        <f t="shared" si="15"/>
        <v/>
      </c>
      <c r="FC33" s="12" t="str">
        <f t="shared" si="16"/>
        <v/>
      </c>
      <c r="FD33" s="12" t="str">
        <f t="shared" si="17"/>
        <v/>
      </c>
      <c r="FE33" s="12" t="str">
        <f t="shared" si="18"/>
        <v/>
      </c>
      <c r="FF33" s="12" t="str">
        <f t="shared" si="19"/>
        <v/>
      </c>
      <c r="FG33" s="3" t="str">
        <f t="shared" si="20"/>
        <v>No</v>
      </c>
      <c r="FH33" s="3" t="str">
        <f t="shared" si="21"/>
        <v>No</v>
      </c>
      <c r="FI33" s="3" t="str">
        <f t="shared" si="22"/>
        <v>Not ready</v>
      </c>
    </row>
    <row r="34" spans="1:165" ht="16" customHeight="1">
      <c r="A34" s="2" t="s">
        <v>534</v>
      </c>
      <c r="B34" s="2">
        <v>43</v>
      </c>
      <c r="C34" s="2" t="s">
        <v>177</v>
      </c>
      <c r="D34" s="2">
        <v>1</v>
      </c>
      <c r="E34" s="2" t="s">
        <v>178</v>
      </c>
      <c r="F34" s="2" t="s">
        <v>535</v>
      </c>
      <c r="G34" s="2" t="s">
        <v>180</v>
      </c>
      <c r="H34" s="2" t="s">
        <v>181</v>
      </c>
      <c r="I34" s="2" t="s">
        <v>181</v>
      </c>
      <c r="J34" s="2">
        <v>1</v>
      </c>
      <c r="K34" s="2" t="s">
        <v>182</v>
      </c>
      <c r="L34" s="2" t="s">
        <v>183</v>
      </c>
      <c r="M34" s="2" t="s">
        <v>184</v>
      </c>
      <c r="N34" s="2"/>
      <c r="O34" s="5">
        <v>42015</v>
      </c>
      <c r="P34" s="5">
        <v>42369</v>
      </c>
      <c r="Q34" s="2">
        <v>2015</v>
      </c>
      <c r="R34" s="2" t="s">
        <v>536</v>
      </c>
      <c r="S34" s="2" t="s">
        <v>186</v>
      </c>
      <c r="T34" s="4" t="s">
        <v>537</v>
      </c>
      <c r="U34" s="2" t="s">
        <v>188</v>
      </c>
      <c r="V34" s="2" t="s">
        <v>189</v>
      </c>
      <c r="W34" s="2" t="s">
        <v>0</v>
      </c>
      <c r="X34" s="2" t="s">
        <v>270</v>
      </c>
      <c r="Y34" s="2" t="s">
        <v>0</v>
      </c>
      <c r="Z34" s="4"/>
      <c r="AA34" s="4"/>
      <c r="AB34" s="2" t="s">
        <v>538</v>
      </c>
      <c r="AC34" s="2" t="s">
        <v>539</v>
      </c>
      <c r="AD34" s="2" t="s">
        <v>540</v>
      </c>
      <c r="AE34" s="2" t="s">
        <v>541</v>
      </c>
      <c r="AF34" s="6"/>
      <c r="AG34" s="2" t="s">
        <v>197</v>
      </c>
      <c r="AH34" s="4" t="s">
        <v>542</v>
      </c>
      <c r="AI34" s="4" t="s">
        <v>543</v>
      </c>
      <c r="AJ34" s="2"/>
      <c r="AK34" s="2"/>
      <c r="AL34" s="2" t="s">
        <v>200</v>
      </c>
      <c r="AM34" s="2" t="s">
        <v>200</v>
      </c>
      <c r="AN34" s="2"/>
      <c r="AO34" s="2"/>
      <c r="AP34" s="2"/>
      <c r="AQ34" s="2"/>
      <c r="AR34" s="2"/>
      <c r="AS34" s="2" t="s">
        <v>538</v>
      </c>
      <c r="AT34" s="2" t="s">
        <v>540</v>
      </c>
      <c r="AU34" s="2" t="s">
        <v>201</v>
      </c>
      <c r="AV34" s="2" t="s">
        <v>202</v>
      </c>
      <c r="AW34" s="2" t="s">
        <v>200</v>
      </c>
      <c r="AX34" s="2" t="s">
        <v>200</v>
      </c>
      <c r="AY34" s="2" t="s">
        <v>200</v>
      </c>
      <c r="AZ34" s="2" t="s">
        <v>200</v>
      </c>
      <c r="BA34" s="2" t="s">
        <v>200</v>
      </c>
      <c r="BB34" s="2" t="s">
        <v>200</v>
      </c>
      <c r="BC34" s="4"/>
      <c r="BD34" s="2"/>
      <c r="BE34" s="2"/>
      <c r="BF34" s="2" t="s">
        <v>203</v>
      </c>
      <c r="BG34" s="2" t="s">
        <v>203</v>
      </c>
      <c r="BH34" s="2" t="s">
        <v>204</v>
      </c>
      <c r="BI34" s="2">
        <f>IF($Q34="","",$Q34-3)</f>
        <v>2012</v>
      </c>
      <c r="BJ34" s="2">
        <f>IF($Q34="","",$Q34-2)</f>
        <v>2013</v>
      </c>
      <c r="BK34" s="2">
        <f>IF($Q34="","",$Q34-1)</f>
        <v>2014</v>
      </c>
      <c r="BL34" s="2">
        <f>IF($Q34="","",$Q34+0)</f>
        <v>2015</v>
      </c>
      <c r="BM34" s="2">
        <f>IF($Q34="","",$Q34+1)</f>
        <v>2016</v>
      </c>
      <c r="BN34" s="2">
        <f>IF($Q34="","",$Q34+2)</f>
        <v>2017</v>
      </c>
      <c r="BO34" s="2">
        <f>IF($Q34="","",$Q34+3)</f>
        <v>2018</v>
      </c>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7"/>
      <c r="DG34" s="7"/>
      <c r="DH34" s="7"/>
      <c r="DI34" s="7"/>
      <c r="DJ34" s="7"/>
      <c r="DK34" s="7"/>
      <c r="DL34" s="7"/>
      <c r="DM34" s="7"/>
      <c r="DN34" s="7"/>
      <c r="DO34" s="7"/>
      <c r="DP34" s="7"/>
      <c r="DQ34" s="7"/>
      <c r="DR34" s="7"/>
      <c r="DS34" s="7"/>
      <c r="DT34" s="7"/>
      <c r="DU34" s="7"/>
      <c r="DV34" s="7"/>
      <c r="DW34" s="7"/>
      <c r="DX34" s="7"/>
      <c r="DY34" s="7"/>
      <c r="DZ34" s="7"/>
      <c r="EA34" s="8"/>
      <c r="EB34" s="8"/>
      <c r="EC34" s="8"/>
      <c r="ED34" s="8"/>
      <c r="EE34" s="8"/>
      <c r="EF34" s="8"/>
      <c r="EG34" s="8"/>
      <c r="EH34" s="8"/>
      <c r="EI34" s="8"/>
      <c r="EJ34" s="8"/>
      <c r="EK34" s="8"/>
      <c r="EL34" s="8"/>
      <c r="EM34" s="8"/>
      <c r="EN34" s="8"/>
      <c r="EO34" s="8"/>
      <c r="EP34" s="8"/>
      <c r="EQ34" s="9" t="str">
        <f t="shared" si="7"/>
        <v/>
      </c>
      <c r="ER34" s="10"/>
      <c r="ES34" s="2" t="s">
        <v>200</v>
      </c>
      <c r="ET34" s="2" t="s">
        <v>200</v>
      </c>
      <c r="EU34" s="11" t="str">
        <f t="shared" si="8"/>
        <v/>
      </c>
      <c r="EV34" s="11" t="str">
        <f t="shared" si="9"/>
        <v/>
      </c>
      <c r="EW34" s="11" t="str">
        <f t="shared" si="10"/>
        <v/>
      </c>
      <c r="EX34" s="11" t="str">
        <f t="shared" si="11"/>
        <v/>
      </c>
      <c r="EY34" s="11" t="str">
        <f t="shared" si="12"/>
        <v/>
      </c>
      <c r="EZ34" s="11" t="str">
        <f t="shared" si="13"/>
        <v/>
      </c>
      <c r="FA34" s="12" t="str">
        <f t="shared" si="14"/>
        <v/>
      </c>
      <c r="FB34" s="12" t="str">
        <f t="shared" si="15"/>
        <v/>
      </c>
      <c r="FC34" s="12" t="str">
        <f t="shared" si="16"/>
        <v/>
      </c>
      <c r="FD34" s="12" t="str">
        <f t="shared" si="17"/>
        <v/>
      </c>
      <c r="FE34" s="12" t="str">
        <f t="shared" si="18"/>
        <v/>
      </c>
      <c r="FF34" s="12" t="str">
        <f t="shared" si="19"/>
        <v/>
      </c>
      <c r="FG34" s="3" t="str">
        <f t="shared" si="20"/>
        <v>No</v>
      </c>
      <c r="FH34" s="3" t="str">
        <f t="shared" si="21"/>
        <v>No</v>
      </c>
      <c r="FI34" s="3" t="str">
        <f t="shared" si="22"/>
        <v>Not ready</v>
      </c>
    </row>
    <row r="35" spans="1:165" ht="16" customHeight="1">
      <c r="A35" s="2" t="s">
        <v>544</v>
      </c>
      <c r="B35" s="2">
        <v>44</v>
      </c>
      <c r="C35" s="2" t="s">
        <v>177</v>
      </c>
      <c r="D35" s="2">
        <v>1</v>
      </c>
      <c r="E35" s="2" t="s">
        <v>178</v>
      </c>
      <c r="F35" s="2" t="s">
        <v>545</v>
      </c>
      <c r="G35" s="2" t="s">
        <v>180</v>
      </c>
      <c r="H35" s="2" t="s">
        <v>181</v>
      </c>
      <c r="I35" s="2" t="s">
        <v>181</v>
      </c>
      <c r="J35" s="2">
        <v>1</v>
      </c>
      <c r="K35" s="2" t="s">
        <v>182</v>
      </c>
      <c r="L35" s="2" t="s">
        <v>183</v>
      </c>
      <c r="M35" s="2" t="s">
        <v>184</v>
      </c>
      <c r="N35" s="2"/>
      <c r="O35" s="5">
        <v>41914</v>
      </c>
      <c r="P35" s="5">
        <v>41914</v>
      </c>
      <c r="Q35" s="2">
        <v>2014</v>
      </c>
      <c r="R35" s="2" t="s">
        <v>546</v>
      </c>
      <c r="S35" s="2" t="s">
        <v>186</v>
      </c>
      <c r="T35" s="4" t="s">
        <v>547</v>
      </c>
      <c r="U35" s="2" t="s">
        <v>188</v>
      </c>
      <c r="V35" s="2" t="s">
        <v>189</v>
      </c>
      <c r="W35" s="2" t="s">
        <v>0</v>
      </c>
      <c r="X35" s="2" t="s">
        <v>416</v>
      </c>
      <c r="Y35" s="2" t="s">
        <v>0</v>
      </c>
      <c r="Z35" s="4"/>
      <c r="AA35" s="4"/>
      <c r="AB35" s="2" t="s">
        <v>548</v>
      </c>
      <c r="AC35" s="2" t="s">
        <v>549</v>
      </c>
      <c r="AD35" s="2" t="s">
        <v>550</v>
      </c>
      <c r="AE35" s="2" t="s">
        <v>551</v>
      </c>
      <c r="AF35" s="6"/>
      <c r="AG35" s="2" t="s">
        <v>197</v>
      </c>
      <c r="AH35" s="4" t="s">
        <v>552</v>
      </c>
      <c r="AI35" s="4" t="s">
        <v>553</v>
      </c>
      <c r="AJ35" s="2"/>
      <c r="AK35" s="2"/>
      <c r="AL35" s="2" t="s">
        <v>200</v>
      </c>
      <c r="AM35" s="2" t="s">
        <v>200</v>
      </c>
      <c r="AN35" s="2"/>
      <c r="AO35" s="2"/>
      <c r="AP35" s="2"/>
      <c r="AQ35" s="2"/>
      <c r="AR35" s="2"/>
      <c r="AS35" s="2" t="s">
        <v>548</v>
      </c>
      <c r="AT35" s="2" t="s">
        <v>550</v>
      </c>
      <c r="AU35" s="2" t="s">
        <v>201</v>
      </c>
      <c r="AV35" s="2" t="s">
        <v>202</v>
      </c>
      <c r="AW35" s="2" t="s">
        <v>200</v>
      </c>
      <c r="AX35" s="2" t="s">
        <v>200</v>
      </c>
      <c r="AY35" s="2" t="s">
        <v>200</v>
      </c>
      <c r="AZ35" s="2" t="s">
        <v>200</v>
      </c>
      <c r="BA35" s="2" t="s">
        <v>200</v>
      </c>
      <c r="BB35" s="2" t="s">
        <v>200</v>
      </c>
      <c r="BC35" s="4"/>
      <c r="BD35" s="2"/>
      <c r="BE35" s="2"/>
      <c r="BF35" s="2" t="s">
        <v>203</v>
      </c>
      <c r="BG35" s="2" t="s">
        <v>203</v>
      </c>
      <c r="BH35" s="2" t="s">
        <v>204</v>
      </c>
      <c r="BI35" s="2">
        <f>IF($Q35="","",$Q35-3)</f>
        <v>2011</v>
      </c>
      <c r="BJ35" s="2">
        <f>IF($Q35="","",$Q35-2)</f>
        <v>2012</v>
      </c>
      <c r="BK35" s="2">
        <f>IF($Q35="","",$Q35-1)</f>
        <v>2013</v>
      </c>
      <c r="BL35" s="2">
        <f>IF($Q35="","",$Q35+0)</f>
        <v>2014</v>
      </c>
      <c r="BM35" s="2">
        <f>IF($Q35="","",$Q35+1)</f>
        <v>2015</v>
      </c>
      <c r="BN35" s="2">
        <f>IF($Q35="","",$Q35+2)</f>
        <v>2016</v>
      </c>
      <c r="BO35" s="2">
        <f>IF($Q35="","",$Q35+3)</f>
        <v>2017</v>
      </c>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7"/>
      <c r="DG35" s="7"/>
      <c r="DH35" s="7"/>
      <c r="DI35" s="7"/>
      <c r="DJ35" s="7"/>
      <c r="DK35" s="7"/>
      <c r="DL35" s="7"/>
      <c r="DM35" s="7"/>
      <c r="DN35" s="7"/>
      <c r="DO35" s="7"/>
      <c r="DP35" s="7"/>
      <c r="DQ35" s="7"/>
      <c r="DR35" s="7"/>
      <c r="DS35" s="7"/>
      <c r="DT35" s="7"/>
      <c r="DU35" s="7"/>
      <c r="DV35" s="7"/>
      <c r="DW35" s="7"/>
      <c r="DX35" s="7"/>
      <c r="DY35" s="7"/>
      <c r="DZ35" s="7"/>
      <c r="EA35" s="8"/>
      <c r="EB35" s="8"/>
      <c r="EC35" s="8"/>
      <c r="ED35" s="8"/>
      <c r="EE35" s="8"/>
      <c r="EF35" s="8"/>
      <c r="EG35" s="8"/>
      <c r="EH35" s="8"/>
      <c r="EI35" s="8"/>
      <c r="EJ35" s="8"/>
      <c r="EK35" s="8"/>
      <c r="EL35" s="8"/>
      <c r="EM35" s="8"/>
      <c r="EN35" s="8"/>
      <c r="EO35" s="8"/>
      <c r="EP35" s="8"/>
      <c r="EQ35" s="9" t="str">
        <f t="shared" si="7"/>
        <v/>
      </c>
      <c r="ER35" s="10"/>
      <c r="ES35" s="2" t="s">
        <v>200</v>
      </c>
      <c r="ET35" s="2" t="s">
        <v>200</v>
      </c>
      <c r="EU35" s="11" t="str">
        <f t="shared" si="8"/>
        <v/>
      </c>
      <c r="EV35" s="11" t="str">
        <f t="shared" si="9"/>
        <v/>
      </c>
      <c r="EW35" s="11" t="str">
        <f t="shared" si="10"/>
        <v/>
      </c>
      <c r="EX35" s="11" t="str">
        <f t="shared" si="11"/>
        <v/>
      </c>
      <c r="EY35" s="11" t="str">
        <f t="shared" si="12"/>
        <v/>
      </c>
      <c r="EZ35" s="11" t="str">
        <f t="shared" si="13"/>
        <v/>
      </c>
      <c r="FA35" s="12" t="str">
        <f t="shared" si="14"/>
        <v/>
      </c>
      <c r="FB35" s="12" t="str">
        <f t="shared" si="15"/>
        <v/>
      </c>
      <c r="FC35" s="12" t="str">
        <f t="shared" si="16"/>
        <v/>
      </c>
      <c r="FD35" s="12" t="str">
        <f t="shared" si="17"/>
        <v/>
      </c>
      <c r="FE35" s="12" t="str">
        <f t="shared" si="18"/>
        <v/>
      </c>
      <c r="FF35" s="12" t="str">
        <f t="shared" si="19"/>
        <v/>
      </c>
      <c r="FG35" s="3" t="str">
        <f t="shared" si="20"/>
        <v>No</v>
      </c>
      <c r="FH35" s="3" t="str">
        <f t="shared" si="21"/>
        <v>No</v>
      </c>
      <c r="FI35" s="3" t="str">
        <f t="shared" si="22"/>
        <v>Not ready</v>
      </c>
    </row>
    <row r="36" spans="1:165" ht="16" customHeight="1">
      <c r="A36" s="2" t="s">
        <v>554</v>
      </c>
      <c r="B36" s="2">
        <v>45</v>
      </c>
      <c r="C36" s="2" t="s">
        <v>177</v>
      </c>
      <c r="D36" s="2">
        <v>1</v>
      </c>
      <c r="E36" s="2" t="s">
        <v>178</v>
      </c>
      <c r="F36" s="2" t="s">
        <v>555</v>
      </c>
      <c r="G36" s="2" t="s">
        <v>180</v>
      </c>
      <c r="H36" s="2" t="s">
        <v>181</v>
      </c>
      <c r="I36" s="2" t="s">
        <v>181</v>
      </c>
      <c r="J36" s="2">
        <v>1</v>
      </c>
      <c r="K36" s="2" t="s">
        <v>182</v>
      </c>
      <c r="L36" s="2" t="s">
        <v>183</v>
      </c>
      <c r="M36" s="2" t="s">
        <v>184</v>
      </c>
      <c r="N36" s="2"/>
      <c r="O36" s="5">
        <v>41898</v>
      </c>
      <c r="P36" s="5">
        <v>41908</v>
      </c>
      <c r="Q36" s="2">
        <v>2014</v>
      </c>
      <c r="R36" s="2" t="s">
        <v>556</v>
      </c>
      <c r="S36" s="2" t="s">
        <v>186</v>
      </c>
      <c r="T36" s="4" t="s">
        <v>557</v>
      </c>
      <c r="U36" s="2" t="s">
        <v>188</v>
      </c>
      <c r="V36" s="2" t="s">
        <v>189</v>
      </c>
      <c r="W36" s="2" t="s">
        <v>0</v>
      </c>
      <c r="X36" s="2" t="s">
        <v>291</v>
      </c>
      <c r="Y36" s="2" t="s">
        <v>0</v>
      </c>
      <c r="Z36" s="4" t="s">
        <v>558</v>
      </c>
      <c r="AA36" s="4"/>
      <c r="AB36" s="2" t="s">
        <v>559</v>
      </c>
      <c r="AC36" s="2" t="s">
        <v>560</v>
      </c>
      <c r="AD36" s="2" t="s">
        <v>561</v>
      </c>
      <c r="AE36" s="2" t="s">
        <v>562</v>
      </c>
      <c r="AF36" s="6">
        <v>6</v>
      </c>
      <c r="AG36" s="2">
        <v>6</v>
      </c>
      <c r="AH36" s="4" t="s">
        <v>563</v>
      </c>
      <c r="AI36" s="4" t="s">
        <v>564</v>
      </c>
      <c r="AJ36" s="2"/>
      <c r="AK36" s="2"/>
      <c r="AL36" s="2" t="s">
        <v>200</v>
      </c>
      <c r="AM36" s="2" t="s">
        <v>180</v>
      </c>
      <c r="AN36" s="2" t="s">
        <v>565</v>
      </c>
      <c r="AO36" s="2"/>
      <c r="AP36" s="2"/>
      <c r="AQ36" s="2"/>
      <c r="AR36" s="2"/>
      <c r="AS36" s="2" t="s">
        <v>559</v>
      </c>
      <c r="AT36" s="2" t="s">
        <v>561</v>
      </c>
      <c r="AU36" s="2" t="s">
        <v>201</v>
      </c>
      <c r="AV36" s="2" t="s">
        <v>202</v>
      </c>
      <c r="AW36" s="2" t="s">
        <v>311</v>
      </c>
      <c r="AX36" s="2" t="s">
        <v>200</v>
      </c>
      <c r="AY36" s="2" t="s">
        <v>200</v>
      </c>
      <c r="AZ36" s="2" t="s">
        <v>200</v>
      </c>
      <c r="BA36" s="2" t="s">
        <v>200</v>
      </c>
      <c r="BB36" s="2" t="s">
        <v>200</v>
      </c>
      <c r="BC36" s="4"/>
      <c r="BD36" s="2"/>
      <c r="BE36" s="2" t="s">
        <v>312</v>
      </c>
      <c r="BF36" s="2" t="s">
        <v>504</v>
      </c>
      <c r="BG36" s="2" t="s">
        <v>566</v>
      </c>
      <c r="BH36" s="2" t="s">
        <v>567</v>
      </c>
      <c r="BI36" s="2">
        <v>2011</v>
      </c>
      <c r="BJ36" s="2">
        <v>2012</v>
      </c>
      <c r="BK36" s="2">
        <v>2013</v>
      </c>
      <c r="BL36" s="2">
        <v>2014</v>
      </c>
      <c r="BM36" s="2">
        <v>2015</v>
      </c>
      <c r="BN36" s="2">
        <v>2016</v>
      </c>
      <c r="BO36" s="2">
        <v>2017</v>
      </c>
      <c r="BP36" s="6">
        <v>0</v>
      </c>
      <c r="BQ36" s="6">
        <v>7.6139999999999999</v>
      </c>
      <c r="BR36" s="6">
        <v>0.436</v>
      </c>
      <c r="BS36" s="6">
        <v>5.9820000000000002</v>
      </c>
      <c r="BT36" s="6">
        <v>6.7000000000000004E-2</v>
      </c>
      <c r="BU36" s="6">
        <v>1.6E-2</v>
      </c>
      <c r="BV36" s="6">
        <v>15.08</v>
      </c>
      <c r="BW36" s="6">
        <v>-13.183999999999999</v>
      </c>
      <c r="BX36" s="6">
        <v>-6.6189999999999998</v>
      </c>
      <c r="BY36" s="6">
        <v>-14.224</v>
      </c>
      <c r="BZ36" s="6">
        <v>-20.920999999999999</v>
      </c>
      <c r="CA36" s="6">
        <v>-19.638999999999999</v>
      </c>
      <c r="CB36" s="6">
        <v>-6.9290000000000003</v>
      </c>
      <c r="CC36" s="6">
        <v>-17.533999999999999</v>
      </c>
      <c r="CD36" s="6">
        <v>-16.635000000000002</v>
      </c>
      <c r="CE36" s="6">
        <v>-10.247</v>
      </c>
      <c r="CF36" s="6">
        <v>-18.145</v>
      </c>
      <c r="CG36" s="6">
        <v>-23.158000000000001</v>
      </c>
      <c r="CH36" s="6">
        <v>-27.939</v>
      </c>
      <c r="CI36" s="6">
        <v>-19.035</v>
      </c>
      <c r="CJ36" s="6">
        <v>-3.6179999999999999</v>
      </c>
      <c r="CK36" s="6">
        <v>95.828999999999994</v>
      </c>
      <c r="CL36" s="6">
        <v>84.147000000000006</v>
      </c>
      <c r="CM36" s="6">
        <v>72.177999999999997</v>
      </c>
      <c r="CN36" s="6">
        <v>150.041</v>
      </c>
      <c r="CO36" s="6">
        <v>163.34800000000001</v>
      </c>
      <c r="CP36" s="6">
        <v>148.74799999999999</v>
      </c>
      <c r="CQ36" s="6">
        <v>152.25200000000001</v>
      </c>
      <c r="CR36" s="6">
        <v>8.2000000000000003E-2</v>
      </c>
      <c r="CS36" s="6">
        <v>0.157</v>
      </c>
      <c r="CT36" s="6">
        <v>0.152</v>
      </c>
      <c r="CU36" s="6">
        <v>16.538</v>
      </c>
      <c r="CV36" s="6">
        <v>3.9409999999999998</v>
      </c>
      <c r="CW36" s="6">
        <v>0.98499999999999999</v>
      </c>
      <c r="CX36" s="6">
        <v>0.05</v>
      </c>
      <c r="CY36" s="6">
        <v>8.9979999999999993</v>
      </c>
      <c r="CZ36" s="6">
        <v>6.4710000000000001</v>
      </c>
      <c r="DA36" s="6">
        <v>3.6850000000000001</v>
      </c>
      <c r="DB36" s="6">
        <v>4.4320000000000004</v>
      </c>
      <c r="DC36" s="6">
        <v>6.1589999999999998</v>
      </c>
      <c r="DD36" s="6">
        <v>12.167999999999999</v>
      </c>
      <c r="DE36" s="6">
        <v>9.75</v>
      </c>
      <c r="DF36" s="7">
        <v>-15.9369</v>
      </c>
      <c r="DG36" s="7">
        <v>-11.3871</v>
      </c>
      <c r="DH36" s="7">
        <v>-23.214500000000001</v>
      </c>
      <c r="DI36" s="7">
        <v>-20.842500000000001</v>
      </c>
      <c r="DJ36" s="7">
        <v>-17.830200000000001</v>
      </c>
      <c r="DK36" s="7">
        <v>-12.1982</v>
      </c>
      <c r="DL36" s="7">
        <v>-2.4039999999999999</v>
      </c>
      <c r="DM36" s="7"/>
      <c r="DN36" s="7">
        <v>-114.8805</v>
      </c>
      <c r="DO36" s="7">
        <v>-2537.8440000000001</v>
      </c>
      <c r="DP36" s="7">
        <v>-360.53160000000003</v>
      </c>
      <c r="DQ36" s="7">
        <v>-30931.3433</v>
      </c>
      <c r="DR36" s="7">
        <v>-48650</v>
      </c>
      <c r="DS36" s="7">
        <v>-122.7984</v>
      </c>
      <c r="DT36" s="7">
        <v>8.5599999999999996E-2</v>
      </c>
      <c r="DU36" s="7">
        <v>0.18659999999999999</v>
      </c>
      <c r="DV36" s="7">
        <v>0.21060000000000001</v>
      </c>
      <c r="DW36" s="7">
        <v>11.0223</v>
      </c>
      <c r="DX36" s="7">
        <v>2.4125999999999999</v>
      </c>
      <c r="DY36" s="7">
        <v>0.66220000000000001</v>
      </c>
      <c r="DZ36" s="7">
        <v>3.2800000000000003E-2</v>
      </c>
      <c r="EA36" s="8">
        <v>2</v>
      </c>
      <c r="EB36" s="8">
        <v>3</v>
      </c>
      <c r="EC36" s="8">
        <v>4</v>
      </c>
      <c r="ED36" s="8">
        <v>3</v>
      </c>
      <c r="EE36" s="8">
        <v>2</v>
      </c>
      <c r="EF36" s="8">
        <v>1</v>
      </c>
      <c r="EG36" s="8">
        <v>0</v>
      </c>
      <c r="EH36" s="8">
        <v>8</v>
      </c>
      <c r="EI36" s="8">
        <v>7</v>
      </c>
      <c r="EJ36" s="8">
        <v>1</v>
      </c>
      <c r="EK36" s="8">
        <v>0</v>
      </c>
      <c r="EL36" s="8">
        <v>0</v>
      </c>
      <c r="EM36" s="8">
        <v>0</v>
      </c>
      <c r="EN36" s="8">
        <v>0</v>
      </c>
      <c r="EO36" s="8">
        <v>9</v>
      </c>
      <c r="EP36" s="8"/>
      <c r="EQ36" s="9" t="str">
        <f t="shared" si="7"/>
        <v/>
      </c>
      <c r="ER36" s="10"/>
      <c r="ES36" s="2" t="s">
        <v>181</v>
      </c>
      <c r="ET36" s="2" t="s">
        <v>181</v>
      </c>
      <c r="EU36" s="11">
        <f t="shared" si="8"/>
        <v>-16.846166666666665</v>
      </c>
      <c r="EV36" s="11">
        <f t="shared" si="9"/>
        <v>-10.8108</v>
      </c>
      <c r="EW36" s="11">
        <f t="shared" si="10"/>
        <v>6.0353666666666648</v>
      </c>
      <c r="EX36" s="11">
        <f t="shared" si="11"/>
        <v>-1326.3622500000001</v>
      </c>
      <c r="EY36" s="11">
        <f t="shared" si="12"/>
        <v>-26568.047233333335</v>
      </c>
      <c r="EZ36" s="11">
        <f t="shared" si="13"/>
        <v>-25241.684983333333</v>
      </c>
      <c r="FA36" s="12">
        <f t="shared" si="14"/>
        <v>3</v>
      </c>
      <c r="FB36" s="12">
        <f t="shared" si="15"/>
        <v>1</v>
      </c>
      <c r="FC36" s="12">
        <f t="shared" si="16"/>
        <v>-2</v>
      </c>
      <c r="FD36" s="12">
        <f t="shared" si="17"/>
        <v>5.333333333333333</v>
      </c>
      <c r="FE36" s="12">
        <f t="shared" si="18"/>
        <v>0</v>
      </c>
      <c r="FF36" s="12">
        <f t="shared" si="19"/>
        <v>-5.333333333333333</v>
      </c>
      <c r="FG36" s="3" t="str">
        <f t="shared" si="20"/>
        <v>No</v>
      </c>
      <c r="FH36" s="3" t="str">
        <f t="shared" si="21"/>
        <v>Yes</v>
      </c>
      <c r="FI36" s="3" t="str">
        <f t="shared" si="22"/>
        <v>Not ready</v>
      </c>
    </row>
    <row r="37" spans="1:165" ht="16" customHeight="1">
      <c r="A37" s="2" t="s">
        <v>568</v>
      </c>
      <c r="B37" s="2">
        <v>46</v>
      </c>
      <c r="C37" s="2" t="s">
        <v>177</v>
      </c>
      <c r="D37" s="2">
        <v>1</v>
      </c>
      <c r="E37" s="2" t="s">
        <v>178</v>
      </c>
      <c r="F37" s="2" t="s">
        <v>569</v>
      </c>
      <c r="G37" s="2" t="s">
        <v>180</v>
      </c>
      <c r="H37" s="2" t="s">
        <v>181</v>
      </c>
      <c r="I37" s="2" t="s">
        <v>181</v>
      </c>
      <c r="J37" s="2">
        <v>1</v>
      </c>
      <c r="K37" s="2" t="s">
        <v>182</v>
      </c>
      <c r="L37" s="2" t="s">
        <v>268</v>
      </c>
      <c r="M37" s="2" t="s">
        <v>184</v>
      </c>
      <c r="N37" s="2"/>
      <c r="O37" s="5">
        <v>41687</v>
      </c>
      <c r="P37" s="5">
        <v>41687</v>
      </c>
      <c r="Q37" s="2">
        <v>2014</v>
      </c>
      <c r="R37" s="2" t="s">
        <v>570</v>
      </c>
      <c r="S37" s="2" t="s">
        <v>186</v>
      </c>
      <c r="T37" s="4" t="s">
        <v>571</v>
      </c>
      <c r="U37" s="2" t="s">
        <v>188</v>
      </c>
      <c r="V37" s="2" t="s">
        <v>189</v>
      </c>
      <c r="W37" s="2" t="s">
        <v>1</v>
      </c>
      <c r="X37" s="2" t="s">
        <v>572</v>
      </c>
      <c r="Y37" s="2" t="s">
        <v>1</v>
      </c>
      <c r="Z37" s="4"/>
      <c r="AA37" s="4"/>
      <c r="AB37" s="2" t="s">
        <v>573</v>
      </c>
      <c r="AC37" s="2" t="s">
        <v>574</v>
      </c>
      <c r="AD37" s="2" t="s">
        <v>575</v>
      </c>
      <c r="AE37" s="2" t="s">
        <v>576</v>
      </c>
      <c r="AF37" s="6"/>
      <c r="AG37" s="2" t="s">
        <v>197</v>
      </c>
      <c r="AH37" s="4" t="s">
        <v>577</v>
      </c>
      <c r="AI37" s="4" t="s">
        <v>578</v>
      </c>
      <c r="AJ37" s="2"/>
      <c r="AK37" s="2"/>
      <c r="AL37" s="2" t="s">
        <v>200</v>
      </c>
      <c r="AM37" s="2" t="s">
        <v>200</v>
      </c>
      <c r="AN37" s="2"/>
      <c r="AO37" s="2"/>
      <c r="AP37" s="2"/>
      <c r="AQ37" s="2"/>
      <c r="AR37" s="2"/>
      <c r="AS37" s="2" t="s">
        <v>573</v>
      </c>
      <c r="AT37" s="2" t="s">
        <v>575</v>
      </c>
      <c r="AU37" s="2" t="s">
        <v>201</v>
      </c>
      <c r="AV37" s="2" t="s">
        <v>202</v>
      </c>
      <c r="AW37" s="2" t="s">
        <v>200</v>
      </c>
      <c r="AX37" s="2" t="s">
        <v>200</v>
      </c>
      <c r="AY37" s="2" t="s">
        <v>200</v>
      </c>
      <c r="AZ37" s="2" t="s">
        <v>200</v>
      </c>
      <c r="BA37" s="2" t="s">
        <v>200</v>
      </c>
      <c r="BB37" s="2" t="s">
        <v>200</v>
      </c>
      <c r="BC37" s="4"/>
      <c r="BD37" s="2"/>
      <c r="BE37" s="2"/>
      <c r="BF37" s="2" t="s">
        <v>203</v>
      </c>
      <c r="BG37" s="2" t="s">
        <v>203</v>
      </c>
      <c r="BH37" s="2" t="s">
        <v>204</v>
      </c>
      <c r="BI37" s="2">
        <f>IF($Q37="","",$Q37-3)</f>
        <v>2011</v>
      </c>
      <c r="BJ37" s="2">
        <f>IF($Q37="","",$Q37-2)</f>
        <v>2012</v>
      </c>
      <c r="BK37" s="2">
        <f>IF($Q37="","",$Q37-1)</f>
        <v>2013</v>
      </c>
      <c r="BL37" s="2">
        <f>IF($Q37="","",$Q37+0)</f>
        <v>2014</v>
      </c>
      <c r="BM37" s="2">
        <f>IF($Q37="","",$Q37+1)</f>
        <v>2015</v>
      </c>
      <c r="BN37" s="2">
        <f>IF($Q37="","",$Q37+2)</f>
        <v>2016</v>
      </c>
      <c r="BO37" s="2">
        <f>IF($Q37="","",$Q37+3)</f>
        <v>2017</v>
      </c>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7"/>
      <c r="DG37" s="7"/>
      <c r="DH37" s="7"/>
      <c r="DI37" s="7"/>
      <c r="DJ37" s="7"/>
      <c r="DK37" s="7"/>
      <c r="DL37" s="7"/>
      <c r="DM37" s="7"/>
      <c r="DN37" s="7"/>
      <c r="DO37" s="7"/>
      <c r="DP37" s="7"/>
      <c r="DQ37" s="7"/>
      <c r="DR37" s="7"/>
      <c r="DS37" s="7"/>
      <c r="DT37" s="7"/>
      <c r="DU37" s="7"/>
      <c r="DV37" s="7"/>
      <c r="DW37" s="7"/>
      <c r="DX37" s="7"/>
      <c r="DY37" s="7"/>
      <c r="DZ37" s="7"/>
      <c r="EA37" s="8"/>
      <c r="EB37" s="8"/>
      <c r="EC37" s="8"/>
      <c r="ED37" s="8"/>
      <c r="EE37" s="8"/>
      <c r="EF37" s="8"/>
      <c r="EG37" s="8"/>
      <c r="EH37" s="8"/>
      <c r="EI37" s="8"/>
      <c r="EJ37" s="8"/>
      <c r="EK37" s="8"/>
      <c r="EL37" s="8"/>
      <c r="EM37" s="8"/>
      <c r="EN37" s="8"/>
      <c r="EO37" s="8"/>
      <c r="EP37" s="8"/>
      <c r="EQ37" s="9" t="str">
        <f t="shared" si="7"/>
        <v/>
      </c>
      <c r="ER37" s="10"/>
      <c r="ES37" s="2" t="s">
        <v>200</v>
      </c>
      <c r="ET37" s="2" t="s">
        <v>200</v>
      </c>
      <c r="EU37" s="11" t="str">
        <f t="shared" si="8"/>
        <v/>
      </c>
      <c r="EV37" s="11" t="str">
        <f t="shared" si="9"/>
        <v/>
      </c>
      <c r="EW37" s="11" t="str">
        <f t="shared" si="10"/>
        <v/>
      </c>
      <c r="EX37" s="11" t="str">
        <f t="shared" si="11"/>
        <v/>
      </c>
      <c r="EY37" s="11" t="str">
        <f t="shared" si="12"/>
        <v/>
      </c>
      <c r="EZ37" s="11" t="str">
        <f t="shared" si="13"/>
        <v/>
      </c>
      <c r="FA37" s="12" t="str">
        <f t="shared" si="14"/>
        <v/>
      </c>
      <c r="FB37" s="12" t="str">
        <f t="shared" si="15"/>
        <v/>
      </c>
      <c r="FC37" s="12" t="str">
        <f t="shared" si="16"/>
        <v/>
      </c>
      <c r="FD37" s="12" t="str">
        <f t="shared" si="17"/>
        <v/>
      </c>
      <c r="FE37" s="12" t="str">
        <f t="shared" si="18"/>
        <v/>
      </c>
      <c r="FF37" s="12" t="str">
        <f t="shared" si="19"/>
        <v/>
      </c>
      <c r="FG37" s="3" t="str">
        <f t="shared" si="20"/>
        <v>No</v>
      </c>
      <c r="FH37" s="3" t="str">
        <f t="shared" si="21"/>
        <v>No</v>
      </c>
      <c r="FI37" s="3" t="str">
        <f t="shared" si="22"/>
        <v>Not ready</v>
      </c>
    </row>
    <row r="38" spans="1:165" ht="16" customHeight="1">
      <c r="A38" s="2" t="s">
        <v>579</v>
      </c>
      <c r="B38" s="2">
        <v>47</v>
      </c>
      <c r="C38" s="2" t="s">
        <v>177</v>
      </c>
      <c r="D38" s="2">
        <v>1</v>
      </c>
      <c r="E38" s="2" t="s">
        <v>178</v>
      </c>
      <c r="F38" s="2" t="s">
        <v>580</v>
      </c>
      <c r="G38" s="2" t="s">
        <v>180</v>
      </c>
      <c r="H38" s="2" t="s">
        <v>181</v>
      </c>
      <c r="I38" s="2" t="s">
        <v>181</v>
      </c>
      <c r="J38" s="2">
        <v>1</v>
      </c>
      <c r="K38" s="2" t="s">
        <v>182</v>
      </c>
      <c r="L38" s="2" t="s">
        <v>183</v>
      </c>
      <c r="M38" s="2" t="s">
        <v>184</v>
      </c>
      <c r="N38" s="2"/>
      <c r="O38" s="5">
        <v>41596</v>
      </c>
      <c r="P38" s="5">
        <v>41596</v>
      </c>
      <c r="Q38" s="2">
        <v>2013</v>
      </c>
      <c r="R38" s="2" t="s">
        <v>581</v>
      </c>
      <c r="S38" s="2" t="s">
        <v>186</v>
      </c>
      <c r="T38" s="4" t="s">
        <v>582</v>
      </c>
      <c r="U38" s="2" t="s">
        <v>188</v>
      </c>
      <c r="V38" s="2" t="s">
        <v>189</v>
      </c>
      <c r="W38" s="2" t="s">
        <v>0</v>
      </c>
      <c r="X38" s="2" t="s">
        <v>222</v>
      </c>
      <c r="Y38" s="2" t="s">
        <v>0</v>
      </c>
      <c r="Z38" s="4"/>
      <c r="AA38" s="4"/>
      <c r="AB38" s="2" t="s">
        <v>583</v>
      </c>
      <c r="AC38" s="2" t="s">
        <v>584</v>
      </c>
      <c r="AD38" s="2" t="s">
        <v>585</v>
      </c>
      <c r="AE38" s="2" t="s">
        <v>586</v>
      </c>
      <c r="AF38" s="6">
        <v>23</v>
      </c>
      <c r="AG38" s="2">
        <v>23</v>
      </c>
      <c r="AH38" s="4" t="s">
        <v>587</v>
      </c>
      <c r="AI38" s="4" t="s">
        <v>588</v>
      </c>
      <c r="AJ38" s="2"/>
      <c r="AK38" s="2"/>
      <c r="AL38" s="2" t="s">
        <v>200</v>
      </c>
      <c r="AM38" s="2" t="s">
        <v>200</v>
      </c>
      <c r="AN38" s="2"/>
      <c r="AO38" s="2"/>
      <c r="AP38" s="2"/>
      <c r="AQ38" s="2"/>
      <c r="AR38" s="2"/>
      <c r="AS38" s="2" t="s">
        <v>583</v>
      </c>
      <c r="AT38" s="2" t="s">
        <v>585</v>
      </c>
      <c r="AU38" s="2" t="s">
        <v>201</v>
      </c>
      <c r="AV38" s="2" t="s">
        <v>202</v>
      </c>
      <c r="AW38" s="2" t="s">
        <v>200</v>
      </c>
      <c r="AX38" s="2" t="s">
        <v>200</v>
      </c>
      <c r="AY38" s="2" t="s">
        <v>200</v>
      </c>
      <c r="AZ38" s="2" t="s">
        <v>200</v>
      </c>
      <c r="BA38" s="2" t="s">
        <v>200</v>
      </c>
      <c r="BB38" s="2" t="s">
        <v>200</v>
      </c>
      <c r="BC38" s="4"/>
      <c r="BD38" s="2"/>
      <c r="BE38" s="2"/>
      <c r="BF38" s="2" t="s">
        <v>203</v>
      </c>
      <c r="BG38" s="2" t="s">
        <v>203</v>
      </c>
      <c r="BH38" s="2" t="s">
        <v>204</v>
      </c>
      <c r="BI38" s="2">
        <f>IF($Q38="","",$Q38-3)</f>
        <v>2010</v>
      </c>
      <c r="BJ38" s="2">
        <f>IF($Q38="","",$Q38-2)</f>
        <v>2011</v>
      </c>
      <c r="BK38" s="2">
        <f>IF($Q38="","",$Q38-1)</f>
        <v>2012</v>
      </c>
      <c r="BL38" s="2">
        <f>IF($Q38="","",$Q38+0)</f>
        <v>2013</v>
      </c>
      <c r="BM38" s="2">
        <f>IF($Q38="","",$Q38+1)</f>
        <v>2014</v>
      </c>
      <c r="BN38" s="2">
        <f>IF($Q38="","",$Q38+2)</f>
        <v>2015</v>
      </c>
      <c r="BO38" s="2">
        <f>IF($Q38="","",$Q38+3)</f>
        <v>2016</v>
      </c>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7"/>
      <c r="DG38" s="7"/>
      <c r="DH38" s="7"/>
      <c r="DI38" s="7"/>
      <c r="DJ38" s="7"/>
      <c r="DK38" s="7"/>
      <c r="DL38" s="7"/>
      <c r="DM38" s="7"/>
      <c r="DN38" s="7"/>
      <c r="DO38" s="7"/>
      <c r="DP38" s="7"/>
      <c r="DQ38" s="7"/>
      <c r="DR38" s="7"/>
      <c r="DS38" s="7"/>
      <c r="DT38" s="7"/>
      <c r="DU38" s="7"/>
      <c r="DV38" s="7"/>
      <c r="DW38" s="7"/>
      <c r="DX38" s="7"/>
      <c r="DY38" s="7"/>
      <c r="DZ38" s="7"/>
      <c r="EA38" s="8"/>
      <c r="EB38" s="8"/>
      <c r="EC38" s="8"/>
      <c r="ED38" s="8"/>
      <c r="EE38" s="8"/>
      <c r="EF38" s="8"/>
      <c r="EG38" s="8"/>
      <c r="EH38" s="8"/>
      <c r="EI38" s="8"/>
      <c r="EJ38" s="8"/>
      <c r="EK38" s="8"/>
      <c r="EL38" s="8"/>
      <c r="EM38" s="8"/>
      <c r="EN38" s="8"/>
      <c r="EO38" s="8"/>
      <c r="EP38" s="8"/>
      <c r="EQ38" s="9" t="str">
        <f t="shared" si="7"/>
        <v/>
      </c>
      <c r="ER38" s="10"/>
      <c r="ES38" s="2" t="s">
        <v>200</v>
      </c>
      <c r="ET38" s="2" t="s">
        <v>200</v>
      </c>
      <c r="EU38" s="11" t="str">
        <f t="shared" si="8"/>
        <v/>
      </c>
      <c r="EV38" s="11" t="str">
        <f t="shared" si="9"/>
        <v/>
      </c>
      <c r="EW38" s="11" t="str">
        <f t="shared" si="10"/>
        <v/>
      </c>
      <c r="EX38" s="11" t="str">
        <f t="shared" si="11"/>
        <v/>
      </c>
      <c r="EY38" s="11" t="str">
        <f t="shared" si="12"/>
        <v/>
      </c>
      <c r="EZ38" s="11" t="str">
        <f t="shared" si="13"/>
        <v/>
      </c>
      <c r="FA38" s="12" t="str">
        <f t="shared" si="14"/>
        <v/>
      </c>
      <c r="FB38" s="12" t="str">
        <f t="shared" si="15"/>
        <v/>
      </c>
      <c r="FC38" s="12" t="str">
        <f t="shared" si="16"/>
        <v/>
      </c>
      <c r="FD38" s="12" t="str">
        <f t="shared" si="17"/>
        <v/>
      </c>
      <c r="FE38" s="12" t="str">
        <f t="shared" si="18"/>
        <v/>
      </c>
      <c r="FF38" s="12" t="str">
        <f t="shared" si="19"/>
        <v/>
      </c>
      <c r="FG38" s="3" t="str">
        <f t="shared" si="20"/>
        <v>No</v>
      </c>
      <c r="FH38" s="3" t="str">
        <f t="shared" si="21"/>
        <v>No</v>
      </c>
      <c r="FI38" s="3" t="str">
        <f t="shared" si="22"/>
        <v>Not ready</v>
      </c>
    </row>
    <row r="39" spans="1:165" ht="16" customHeight="1">
      <c r="A39" s="2" t="s">
        <v>589</v>
      </c>
      <c r="B39" s="2">
        <v>48</v>
      </c>
      <c r="C39" s="2" t="s">
        <v>177</v>
      </c>
      <c r="D39" s="2">
        <v>1</v>
      </c>
      <c r="E39" s="2" t="s">
        <v>178</v>
      </c>
      <c r="F39" s="2" t="s">
        <v>590</v>
      </c>
      <c r="G39" s="2" t="s">
        <v>181</v>
      </c>
      <c r="H39" s="2" t="s">
        <v>181</v>
      </c>
      <c r="I39" s="2" t="s">
        <v>181</v>
      </c>
      <c r="J39" s="2">
        <v>1</v>
      </c>
      <c r="K39" s="2" t="s">
        <v>182</v>
      </c>
      <c r="L39" s="2" t="s">
        <v>183</v>
      </c>
      <c r="M39" s="2" t="s">
        <v>184</v>
      </c>
      <c r="N39" s="2"/>
      <c r="O39" s="5">
        <v>41481</v>
      </c>
      <c r="P39" s="5">
        <v>41481</v>
      </c>
      <c r="Q39" s="2">
        <v>2013</v>
      </c>
      <c r="R39" s="2" t="s">
        <v>591</v>
      </c>
      <c r="S39" s="2" t="s">
        <v>186</v>
      </c>
      <c r="T39" s="4" t="s">
        <v>592</v>
      </c>
      <c r="U39" s="2" t="s">
        <v>188</v>
      </c>
      <c r="V39" s="2" t="s">
        <v>189</v>
      </c>
      <c r="W39" s="2" t="s">
        <v>0</v>
      </c>
      <c r="X39" s="2" t="s">
        <v>257</v>
      </c>
      <c r="Y39" s="2" t="s">
        <v>0</v>
      </c>
      <c r="Z39" s="4"/>
      <c r="AA39" s="4"/>
      <c r="AB39" s="2" t="s">
        <v>593</v>
      </c>
      <c r="AC39" s="2" t="s">
        <v>594</v>
      </c>
      <c r="AD39" s="2" t="s">
        <v>595</v>
      </c>
      <c r="AE39" s="2" t="s">
        <v>596</v>
      </c>
      <c r="AF39" s="6"/>
      <c r="AG39" s="2" t="s">
        <v>197</v>
      </c>
      <c r="AH39" s="4" t="s">
        <v>597</v>
      </c>
      <c r="AI39" s="4" t="s">
        <v>598</v>
      </c>
      <c r="AJ39" s="2"/>
      <c r="AK39" s="2"/>
      <c r="AL39" s="2" t="s">
        <v>200</v>
      </c>
      <c r="AM39" s="2" t="s">
        <v>200</v>
      </c>
      <c r="AN39" s="2"/>
      <c r="AO39" s="2"/>
      <c r="AP39" s="2"/>
      <c r="AQ39" s="2"/>
      <c r="AR39" s="2"/>
      <c r="AS39" s="2" t="s">
        <v>593</v>
      </c>
      <c r="AT39" s="2" t="s">
        <v>595</v>
      </c>
      <c r="AU39" s="2" t="s">
        <v>201</v>
      </c>
      <c r="AV39" s="2" t="s">
        <v>202</v>
      </c>
      <c r="AW39" s="2" t="s">
        <v>200</v>
      </c>
      <c r="AX39" s="2" t="s">
        <v>200</v>
      </c>
      <c r="AY39" s="2" t="s">
        <v>200</v>
      </c>
      <c r="AZ39" s="2" t="s">
        <v>200</v>
      </c>
      <c r="BA39" s="2" t="s">
        <v>200</v>
      </c>
      <c r="BB39" s="2" t="s">
        <v>200</v>
      </c>
      <c r="BC39" s="4"/>
      <c r="BD39" s="2"/>
      <c r="BE39" s="2"/>
      <c r="BF39" s="2" t="s">
        <v>203</v>
      </c>
      <c r="BG39" s="2" t="s">
        <v>203</v>
      </c>
      <c r="BH39" s="2" t="s">
        <v>204</v>
      </c>
      <c r="BI39" s="2">
        <f>IF($Q39="","",$Q39-3)</f>
        <v>2010</v>
      </c>
      <c r="BJ39" s="2">
        <f>IF($Q39="","",$Q39-2)</f>
        <v>2011</v>
      </c>
      <c r="BK39" s="2">
        <f>IF($Q39="","",$Q39-1)</f>
        <v>2012</v>
      </c>
      <c r="BL39" s="2">
        <f>IF($Q39="","",$Q39+0)</f>
        <v>2013</v>
      </c>
      <c r="BM39" s="2">
        <f>IF($Q39="","",$Q39+1)</f>
        <v>2014</v>
      </c>
      <c r="BN39" s="2">
        <f>IF($Q39="","",$Q39+2)</f>
        <v>2015</v>
      </c>
      <c r="BO39" s="2">
        <f>IF($Q39="","",$Q39+3)</f>
        <v>2016</v>
      </c>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7"/>
      <c r="DG39" s="7"/>
      <c r="DH39" s="7"/>
      <c r="DI39" s="7"/>
      <c r="DJ39" s="7"/>
      <c r="DK39" s="7"/>
      <c r="DL39" s="7"/>
      <c r="DM39" s="7"/>
      <c r="DN39" s="7"/>
      <c r="DO39" s="7"/>
      <c r="DP39" s="7"/>
      <c r="DQ39" s="7"/>
      <c r="DR39" s="7"/>
      <c r="DS39" s="7"/>
      <c r="DT39" s="7"/>
      <c r="DU39" s="7"/>
      <c r="DV39" s="7"/>
      <c r="DW39" s="7"/>
      <c r="DX39" s="7"/>
      <c r="DY39" s="7"/>
      <c r="DZ39" s="7"/>
      <c r="EA39" s="8"/>
      <c r="EB39" s="8"/>
      <c r="EC39" s="8"/>
      <c r="ED39" s="8"/>
      <c r="EE39" s="8"/>
      <c r="EF39" s="8"/>
      <c r="EG39" s="8"/>
      <c r="EH39" s="8"/>
      <c r="EI39" s="8"/>
      <c r="EJ39" s="8"/>
      <c r="EK39" s="8"/>
      <c r="EL39" s="8"/>
      <c r="EM39" s="8"/>
      <c r="EN39" s="8"/>
      <c r="EO39" s="8"/>
      <c r="EP39" s="8"/>
      <c r="EQ39" s="9" t="str">
        <f t="shared" si="7"/>
        <v/>
      </c>
      <c r="ER39" s="10"/>
      <c r="ES39" s="2" t="s">
        <v>200</v>
      </c>
      <c r="ET39" s="2" t="s">
        <v>200</v>
      </c>
      <c r="EU39" s="11" t="str">
        <f t="shared" si="8"/>
        <v/>
      </c>
      <c r="EV39" s="11" t="str">
        <f t="shared" si="9"/>
        <v/>
      </c>
      <c r="EW39" s="11" t="str">
        <f t="shared" si="10"/>
        <v/>
      </c>
      <c r="EX39" s="11" t="str">
        <f t="shared" si="11"/>
        <v/>
      </c>
      <c r="EY39" s="11" t="str">
        <f t="shared" si="12"/>
        <v/>
      </c>
      <c r="EZ39" s="11" t="str">
        <f t="shared" si="13"/>
        <v/>
      </c>
      <c r="FA39" s="12" t="str">
        <f t="shared" si="14"/>
        <v/>
      </c>
      <c r="FB39" s="12" t="str">
        <f t="shared" si="15"/>
        <v/>
      </c>
      <c r="FC39" s="12" t="str">
        <f t="shared" si="16"/>
        <v/>
      </c>
      <c r="FD39" s="12" t="str">
        <f t="shared" si="17"/>
        <v/>
      </c>
      <c r="FE39" s="12" t="str">
        <f t="shared" si="18"/>
        <v/>
      </c>
      <c r="FF39" s="12" t="str">
        <f t="shared" si="19"/>
        <v/>
      </c>
      <c r="FG39" s="3" t="str">
        <f t="shared" si="20"/>
        <v>No</v>
      </c>
      <c r="FH39" s="3" t="str">
        <f t="shared" si="21"/>
        <v>No</v>
      </c>
      <c r="FI39" s="3" t="str">
        <f t="shared" si="22"/>
        <v>Not ready</v>
      </c>
    </row>
    <row r="40" spans="1:165" ht="16" customHeight="1">
      <c r="A40" s="2" t="s">
        <v>599</v>
      </c>
      <c r="B40" s="2">
        <v>49</v>
      </c>
      <c r="C40" s="2" t="s">
        <v>177</v>
      </c>
      <c r="D40" s="2">
        <v>1</v>
      </c>
      <c r="E40" s="2" t="s">
        <v>178</v>
      </c>
      <c r="F40" s="2" t="s">
        <v>600</v>
      </c>
      <c r="G40" s="2" t="s">
        <v>180</v>
      </c>
      <c r="H40" s="2" t="s">
        <v>181</v>
      </c>
      <c r="I40" s="2" t="s">
        <v>181</v>
      </c>
      <c r="J40" s="2">
        <v>1</v>
      </c>
      <c r="K40" s="2" t="s">
        <v>182</v>
      </c>
      <c r="L40" s="2" t="s">
        <v>268</v>
      </c>
      <c r="M40" s="2" t="s">
        <v>184</v>
      </c>
      <c r="N40" s="2"/>
      <c r="O40" s="5">
        <v>41423</v>
      </c>
      <c r="P40" s="5">
        <v>41423</v>
      </c>
      <c r="Q40" s="2">
        <v>2013</v>
      </c>
      <c r="R40" s="2" t="s">
        <v>601</v>
      </c>
      <c r="S40" s="2" t="s">
        <v>186</v>
      </c>
      <c r="T40" s="4" t="s">
        <v>602</v>
      </c>
      <c r="U40" s="2" t="s">
        <v>188</v>
      </c>
      <c r="V40" s="2" t="s">
        <v>189</v>
      </c>
      <c r="W40" s="2" t="s">
        <v>1</v>
      </c>
      <c r="X40" s="2" t="s">
        <v>382</v>
      </c>
      <c r="Y40" s="2" t="s">
        <v>1</v>
      </c>
      <c r="Z40" s="4"/>
      <c r="AA40" s="4"/>
      <c r="AB40" s="2" t="s">
        <v>603</v>
      </c>
      <c r="AC40" s="2" t="s">
        <v>604</v>
      </c>
      <c r="AD40" s="2" t="s">
        <v>605</v>
      </c>
      <c r="AE40" s="2" t="s">
        <v>606</v>
      </c>
      <c r="AF40" s="6">
        <v>325</v>
      </c>
      <c r="AG40" s="2">
        <v>325</v>
      </c>
      <c r="AH40" s="4" t="s">
        <v>607</v>
      </c>
      <c r="AI40" s="4" t="s">
        <v>608</v>
      </c>
      <c r="AJ40" s="2"/>
      <c r="AK40" s="2"/>
      <c r="AL40" s="2" t="s">
        <v>200</v>
      </c>
      <c r="AM40" s="2" t="s">
        <v>180</v>
      </c>
      <c r="AN40" s="2" t="s">
        <v>609</v>
      </c>
      <c r="AO40" s="2"/>
      <c r="AP40" s="2"/>
      <c r="AQ40" s="2"/>
      <c r="AR40" s="2"/>
      <c r="AS40" s="2" t="s">
        <v>603</v>
      </c>
      <c r="AT40" s="2" t="s">
        <v>605</v>
      </c>
      <c r="AU40" s="2" t="s">
        <v>201</v>
      </c>
      <c r="AV40" s="2" t="s">
        <v>202</v>
      </c>
      <c r="AW40" s="2" t="s">
        <v>311</v>
      </c>
      <c r="AX40" s="2" t="s">
        <v>200</v>
      </c>
      <c r="AY40" s="2" t="s">
        <v>200</v>
      </c>
      <c r="AZ40" s="2" t="s">
        <v>200</v>
      </c>
      <c r="BA40" s="2" t="s">
        <v>200</v>
      </c>
      <c r="BB40" s="2" t="s">
        <v>200</v>
      </c>
      <c r="BC40" s="4"/>
      <c r="BD40" s="2"/>
      <c r="BE40" s="2" t="s">
        <v>312</v>
      </c>
      <c r="BF40" s="2" t="s">
        <v>313</v>
      </c>
      <c r="BG40" s="2" t="s">
        <v>610</v>
      </c>
      <c r="BH40" s="2" t="s">
        <v>611</v>
      </c>
      <c r="BI40" s="2">
        <v>2010</v>
      </c>
      <c r="BJ40" s="2">
        <v>2011</v>
      </c>
      <c r="BK40" s="2">
        <v>2012</v>
      </c>
      <c r="BL40" s="2">
        <v>2013</v>
      </c>
      <c r="BM40" s="2">
        <v>2014</v>
      </c>
      <c r="BN40" s="2">
        <v>2015</v>
      </c>
      <c r="BO40" s="2">
        <v>2016</v>
      </c>
      <c r="BP40" s="6">
        <v>33112.480900000002</v>
      </c>
      <c r="BQ40" s="6">
        <v>31564.124599999999</v>
      </c>
      <c r="BR40" s="6">
        <v>32595.1901</v>
      </c>
      <c r="BS40" s="6">
        <v>31221.027999999998</v>
      </c>
      <c r="BT40" s="6">
        <v>28547.647099999998</v>
      </c>
      <c r="BU40" s="6">
        <v>32954.9709</v>
      </c>
      <c r="BV40" s="6">
        <v>34143.305899999999</v>
      </c>
      <c r="BW40" s="6">
        <v>6050.5618000000004</v>
      </c>
      <c r="BX40" s="6">
        <v>9666.2034000000003</v>
      </c>
      <c r="BY40" s="6">
        <v>9646.2327000000005</v>
      </c>
      <c r="BZ40" s="6">
        <v>8845.0745000000006</v>
      </c>
      <c r="CA40" s="6">
        <v>7446.5109000000002</v>
      </c>
      <c r="CB40" s="6">
        <v>7646.7434000000003</v>
      </c>
      <c r="CC40" s="6">
        <v>9044.8114000000005</v>
      </c>
      <c r="CD40" s="6">
        <v>1905.6704</v>
      </c>
      <c r="CE40" s="6">
        <v>6063.4191000000001</v>
      </c>
      <c r="CF40" s="6">
        <v>5548.2487000000001</v>
      </c>
      <c r="CG40" s="6">
        <v>6403.2260999999999</v>
      </c>
      <c r="CH40" s="6">
        <v>3419.8607000000002</v>
      </c>
      <c r="CI40" s="6">
        <v>11601.670599999999</v>
      </c>
      <c r="CJ40" s="6">
        <v>1116.5225</v>
      </c>
      <c r="CK40" s="6">
        <v>49259.908000000003</v>
      </c>
      <c r="CL40" s="6">
        <v>49159.700599999996</v>
      </c>
      <c r="CM40" s="6">
        <v>51052.087699999996</v>
      </c>
      <c r="CN40" s="6">
        <v>50561.801099999997</v>
      </c>
      <c r="CO40" s="6">
        <v>52345.721599999997</v>
      </c>
      <c r="CP40" s="6">
        <v>72471.320099999997</v>
      </c>
      <c r="CQ40" s="6">
        <v>69152.834499999997</v>
      </c>
      <c r="CR40" s="6">
        <v>17613.653999999999</v>
      </c>
      <c r="CS40" s="6">
        <v>17831.759999999998</v>
      </c>
      <c r="CT40" s="6">
        <v>22524.898399999998</v>
      </c>
      <c r="CU40" s="6">
        <v>21919.404600000002</v>
      </c>
      <c r="CV40" s="6">
        <v>24187.892899999999</v>
      </c>
      <c r="CW40" s="6">
        <v>22552.5389</v>
      </c>
      <c r="CX40" s="6">
        <v>21993.225600000002</v>
      </c>
      <c r="CY40" s="6">
        <v>4623.0583999999999</v>
      </c>
      <c r="CZ40" s="6">
        <v>4396.8720999999996</v>
      </c>
      <c r="DA40" s="6">
        <v>4419.8540000000003</v>
      </c>
      <c r="DB40" s="6">
        <v>4119.2203</v>
      </c>
      <c r="DC40" s="6">
        <v>3952.1975000000002</v>
      </c>
      <c r="DD40" s="6">
        <v>4321.3536999999997</v>
      </c>
      <c r="DE40" s="6">
        <v>4295.9180999999999</v>
      </c>
      <c r="DF40" s="7">
        <v>3.8405</v>
      </c>
      <c r="DG40" s="7">
        <v>12.629899999999999</v>
      </c>
      <c r="DH40" s="7">
        <v>10.8986</v>
      </c>
      <c r="DI40" s="7">
        <v>13.0099</v>
      </c>
      <c r="DJ40" s="7">
        <v>6.6620999999999997</v>
      </c>
      <c r="DK40" s="7">
        <v>17.900700000000001</v>
      </c>
      <c r="DL40" s="7">
        <v>1.6209</v>
      </c>
      <c r="DM40" s="7">
        <v>13.535500000000001</v>
      </c>
      <c r="DN40" s="7">
        <v>28.5975</v>
      </c>
      <c r="DO40" s="7">
        <v>27.849900000000002</v>
      </c>
      <c r="DP40" s="7">
        <v>26.670400000000001</v>
      </c>
      <c r="DQ40" s="7">
        <v>15.556800000000001</v>
      </c>
      <c r="DR40" s="7">
        <v>43.343200000000003</v>
      </c>
      <c r="DS40" s="7">
        <v>9.5054999999999996</v>
      </c>
      <c r="DT40" s="7">
        <v>35.756599999999999</v>
      </c>
      <c r="DU40" s="7">
        <v>36.273099999999999</v>
      </c>
      <c r="DV40" s="7">
        <v>44.121400000000001</v>
      </c>
      <c r="DW40" s="7">
        <v>43.351700000000001</v>
      </c>
      <c r="DX40" s="7">
        <v>46.207999999999998</v>
      </c>
      <c r="DY40" s="7">
        <v>31.119299999999999</v>
      </c>
      <c r="DZ40" s="7">
        <v>31.803799999999999</v>
      </c>
      <c r="EA40" s="8"/>
      <c r="EB40" s="8">
        <v>1</v>
      </c>
      <c r="EC40" s="8">
        <v>0</v>
      </c>
      <c r="ED40" s="8">
        <v>7</v>
      </c>
      <c r="EE40" s="8">
        <v>1</v>
      </c>
      <c r="EF40" s="8">
        <v>2</v>
      </c>
      <c r="EG40" s="8">
        <v>6</v>
      </c>
      <c r="EH40" s="8"/>
      <c r="EI40" s="8">
        <v>0</v>
      </c>
      <c r="EJ40" s="8">
        <v>0</v>
      </c>
      <c r="EK40" s="8">
        <v>37</v>
      </c>
      <c r="EL40" s="8">
        <v>0</v>
      </c>
      <c r="EM40" s="8">
        <v>1</v>
      </c>
      <c r="EN40" s="8">
        <v>18</v>
      </c>
      <c r="EO40" s="8"/>
      <c r="EP40" s="8"/>
      <c r="EQ40" s="9" t="str">
        <f t="shared" si="7"/>
        <v/>
      </c>
      <c r="ER40" s="10"/>
      <c r="ES40" s="2" t="s">
        <v>181</v>
      </c>
      <c r="ET40" s="2" t="s">
        <v>181</v>
      </c>
      <c r="EU40" s="11">
        <f t="shared" si="8"/>
        <v>9.1229999999999993</v>
      </c>
      <c r="EV40" s="11">
        <f t="shared" si="9"/>
        <v>8.7279</v>
      </c>
      <c r="EW40" s="11">
        <f t="shared" si="10"/>
        <v>-0.39509999999999934</v>
      </c>
      <c r="EX40" s="11">
        <f t="shared" si="11"/>
        <v>23.327633333333335</v>
      </c>
      <c r="EY40" s="11">
        <f t="shared" si="12"/>
        <v>22.801833333333335</v>
      </c>
      <c r="EZ40" s="11">
        <f t="shared" si="13"/>
        <v>-0.52580000000000027</v>
      </c>
      <c r="FA40" s="12">
        <f t="shared" si="14"/>
        <v>0.5</v>
      </c>
      <c r="FB40" s="12">
        <f t="shared" si="15"/>
        <v>3</v>
      </c>
      <c r="FC40" s="12">
        <f t="shared" si="16"/>
        <v>2.5</v>
      </c>
      <c r="FD40" s="12">
        <f t="shared" si="17"/>
        <v>0</v>
      </c>
      <c r="FE40" s="12">
        <f t="shared" si="18"/>
        <v>6.333333333333333</v>
      </c>
      <c r="FF40" s="12">
        <f t="shared" si="19"/>
        <v>6.333333333333333</v>
      </c>
      <c r="FG40" s="3" t="str">
        <f t="shared" si="20"/>
        <v>Yes</v>
      </c>
      <c r="FH40" s="3" t="str">
        <f t="shared" si="21"/>
        <v>No</v>
      </c>
      <c r="FI40" s="3" t="str">
        <f t="shared" si="22"/>
        <v>Not ready</v>
      </c>
    </row>
    <row r="41" spans="1:165" ht="16" customHeight="1">
      <c r="A41" s="2" t="s">
        <v>612</v>
      </c>
      <c r="B41" s="2">
        <v>50</v>
      </c>
      <c r="C41" s="2" t="s">
        <v>177</v>
      </c>
      <c r="D41" s="2">
        <v>1</v>
      </c>
      <c r="E41" s="2" t="s">
        <v>178</v>
      </c>
      <c r="F41" s="2" t="s">
        <v>613</v>
      </c>
      <c r="G41" s="2" t="s">
        <v>180</v>
      </c>
      <c r="H41" s="2" t="s">
        <v>181</v>
      </c>
      <c r="I41" s="2" t="s">
        <v>181</v>
      </c>
      <c r="J41" s="2">
        <v>1</v>
      </c>
      <c r="K41" s="2" t="s">
        <v>182</v>
      </c>
      <c r="L41" s="2" t="s">
        <v>268</v>
      </c>
      <c r="M41" s="2" t="s">
        <v>184</v>
      </c>
      <c r="N41" s="2"/>
      <c r="O41" s="5">
        <v>41326</v>
      </c>
      <c r="P41" s="5">
        <v>41326</v>
      </c>
      <c r="Q41" s="2">
        <v>2013</v>
      </c>
      <c r="R41" s="2" t="s">
        <v>614</v>
      </c>
      <c r="S41" s="2" t="s">
        <v>186</v>
      </c>
      <c r="T41" s="4" t="s">
        <v>615</v>
      </c>
      <c r="U41" s="2" t="s">
        <v>188</v>
      </c>
      <c r="V41" s="2" t="s">
        <v>189</v>
      </c>
      <c r="W41" s="2" t="s">
        <v>1</v>
      </c>
      <c r="X41" s="2" t="s">
        <v>190</v>
      </c>
      <c r="Y41" s="2" t="s">
        <v>1</v>
      </c>
      <c r="Z41" s="4"/>
      <c r="AA41" s="4"/>
      <c r="AB41" s="2" t="s">
        <v>616</v>
      </c>
      <c r="AC41" s="2" t="s">
        <v>617</v>
      </c>
      <c r="AD41" s="2" t="s">
        <v>618</v>
      </c>
      <c r="AE41" s="2" t="s">
        <v>619</v>
      </c>
      <c r="AF41" s="6"/>
      <c r="AG41" s="2" t="s">
        <v>197</v>
      </c>
      <c r="AH41" s="4" t="s">
        <v>620</v>
      </c>
      <c r="AI41" s="4" t="s">
        <v>621</v>
      </c>
      <c r="AJ41" s="2"/>
      <c r="AK41" s="2"/>
      <c r="AL41" s="2" t="s">
        <v>200</v>
      </c>
      <c r="AM41" s="2" t="s">
        <v>180</v>
      </c>
      <c r="AN41" s="2" t="s">
        <v>622</v>
      </c>
      <c r="AO41" s="2"/>
      <c r="AP41" s="2"/>
      <c r="AQ41" s="2"/>
      <c r="AR41" s="2"/>
      <c r="AS41" s="2" t="s">
        <v>616</v>
      </c>
      <c r="AT41" s="2" t="s">
        <v>618</v>
      </c>
      <c r="AU41" s="2" t="s">
        <v>201</v>
      </c>
      <c r="AV41" s="2" t="s">
        <v>202</v>
      </c>
      <c r="AW41" s="2" t="s">
        <v>311</v>
      </c>
      <c r="AX41" s="2" t="s">
        <v>200</v>
      </c>
      <c r="AY41" s="2" t="s">
        <v>200</v>
      </c>
      <c r="AZ41" s="2" t="s">
        <v>200</v>
      </c>
      <c r="BA41" s="2" t="s">
        <v>200</v>
      </c>
      <c r="BB41" s="2" t="s">
        <v>200</v>
      </c>
      <c r="BC41" s="4"/>
      <c r="BD41" s="2"/>
      <c r="BE41" s="2" t="s">
        <v>312</v>
      </c>
      <c r="BF41" s="2" t="s">
        <v>313</v>
      </c>
      <c r="BG41" s="2" t="s">
        <v>623</v>
      </c>
      <c r="BH41" s="2" t="s">
        <v>624</v>
      </c>
      <c r="BI41" s="2">
        <v>2010</v>
      </c>
      <c r="BJ41" s="2">
        <v>2011</v>
      </c>
      <c r="BK41" s="2">
        <v>2012</v>
      </c>
      <c r="BL41" s="2">
        <v>2013</v>
      </c>
      <c r="BM41" s="2">
        <v>2014</v>
      </c>
      <c r="BN41" s="2">
        <v>2015</v>
      </c>
      <c r="BO41" s="2">
        <v>2016</v>
      </c>
      <c r="BP41" s="6">
        <v>680.33299999999997</v>
      </c>
      <c r="BQ41" s="6">
        <v>828.93399999999997</v>
      </c>
      <c r="BR41" s="6">
        <v>1043.963</v>
      </c>
      <c r="BS41" s="6">
        <v>1225.5719999999999</v>
      </c>
      <c r="BT41" s="6">
        <v>1410.2270000000001</v>
      </c>
      <c r="BU41" s="6">
        <v>1950.0740000000001</v>
      </c>
      <c r="BV41" s="6">
        <v>2536.6080000000002</v>
      </c>
      <c r="BW41" s="6">
        <v>61.970999999999997</v>
      </c>
      <c r="BX41" s="6">
        <v>91.366</v>
      </c>
      <c r="BY41" s="6">
        <v>124.738</v>
      </c>
      <c r="BZ41" s="6">
        <v>151.279</v>
      </c>
      <c r="CA41" s="6">
        <v>174.39</v>
      </c>
      <c r="CB41" s="6">
        <v>235.358</v>
      </c>
      <c r="CC41" s="6">
        <v>317.94600000000003</v>
      </c>
      <c r="CD41" s="6">
        <v>23.4</v>
      </c>
      <c r="CE41" s="6">
        <v>55.406999999999996</v>
      </c>
      <c r="CF41" s="6">
        <v>65.924000000000007</v>
      </c>
      <c r="CG41" s="6">
        <v>72.180000000000007</v>
      </c>
      <c r="CH41" s="6">
        <v>79.103999999999999</v>
      </c>
      <c r="CI41" s="6">
        <v>87.316000000000003</v>
      </c>
      <c r="CJ41" s="6">
        <v>173.99700000000001</v>
      </c>
      <c r="CK41" s="6">
        <v>736.16099999999994</v>
      </c>
      <c r="CL41" s="6">
        <v>1074.575</v>
      </c>
      <c r="CM41" s="6">
        <v>1159.096</v>
      </c>
      <c r="CN41" s="6">
        <v>1497.0160000000001</v>
      </c>
      <c r="CO41" s="6">
        <v>1873.19</v>
      </c>
      <c r="CP41" s="6">
        <v>3699.8330000000001</v>
      </c>
      <c r="CQ41" s="6">
        <v>4129.415</v>
      </c>
      <c r="CR41" s="6">
        <v>276.71800000000002</v>
      </c>
      <c r="CS41" s="6">
        <v>434.67699999999996</v>
      </c>
      <c r="CT41" s="6">
        <v>435.11899999999997</v>
      </c>
      <c r="CU41" s="6">
        <v>684.10299999999995</v>
      </c>
      <c r="CV41" s="6">
        <v>710.23199999999997</v>
      </c>
      <c r="CW41" s="6">
        <v>1710.0330000000001</v>
      </c>
      <c r="CX41" s="6">
        <v>1383.8779999999999</v>
      </c>
      <c r="CY41" s="6"/>
      <c r="CZ41" s="6"/>
      <c r="DA41" s="6"/>
      <c r="DB41" s="6"/>
      <c r="DC41" s="6"/>
      <c r="DD41" s="6">
        <v>0</v>
      </c>
      <c r="DE41" s="6">
        <v>0</v>
      </c>
      <c r="DF41" s="7">
        <v>13.152699999999999</v>
      </c>
      <c r="DG41" s="7">
        <v>13.426</v>
      </c>
      <c r="DH41" s="7">
        <v>5.9027493305862855</v>
      </c>
      <c r="DI41" s="7">
        <v>5.4350117766118302</v>
      </c>
      <c r="DJ41" s="7">
        <v>4.6943124544909116</v>
      </c>
      <c r="DK41" s="7">
        <v>3.133523762597068</v>
      </c>
      <c r="DL41" s="7">
        <v>4.4447946980348565</v>
      </c>
      <c r="DM41" s="7">
        <v>108.03440000000001</v>
      </c>
      <c r="DN41" s="7">
        <v>108.3867</v>
      </c>
      <c r="DO41" s="7">
        <v>11.948507753627283</v>
      </c>
      <c r="DP41" s="7">
        <v>12.343542443854789</v>
      </c>
      <c r="DQ41" s="7">
        <v>12.366094252911056</v>
      </c>
      <c r="DR41" s="7">
        <v>12.069183015618894</v>
      </c>
      <c r="DS41" s="7">
        <v>12.534297770881428</v>
      </c>
      <c r="DT41" s="7">
        <v>37.589331681520761</v>
      </c>
      <c r="DU41" s="7">
        <v>40.45106204778633</v>
      </c>
      <c r="DV41" s="7">
        <v>37.539513551940473</v>
      </c>
      <c r="DW41" s="7">
        <v>45.697774773282305</v>
      </c>
      <c r="DX41" s="7">
        <v>37.915641232336277</v>
      </c>
      <c r="DY41" s="7">
        <v>46.219194217684965</v>
      </c>
      <c r="DZ41" s="7">
        <v>33.512688843334949</v>
      </c>
      <c r="EA41" s="8"/>
      <c r="EB41" s="8"/>
      <c r="EC41" s="8"/>
      <c r="ED41" s="8"/>
      <c r="EE41" s="8"/>
      <c r="EF41" s="8"/>
      <c r="EG41" s="8"/>
      <c r="EH41" s="8"/>
      <c r="EI41" s="8"/>
      <c r="EJ41" s="8"/>
      <c r="EK41" s="8"/>
      <c r="EL41" s="8"/>
      <c r="EM41" s="8"/>
      <c r="EN41" s="8"/>
      <c r="EO41" s="8"/>
      <c r="EP41" s="8"/>
      <c r="EQ41" s="9" t="str">
        <f t="shared" si="7"/>
        <v/>
      </c>
      <c r="ER41" s="10"/>
      <c r="ES41" s="2" t="s">
        <v>181</v>
      </c>
      <c r="ET41" s="2" t="s">
        <v>181</v>
      </c>
      <c r="EU41" s="11">
        <f t="shared" si="8"/>
        <v>10.827149776862095</v>
      </c>
      <c r="EV41" s="11">
        <f t="shared" si="9"/>
        <v>4.0908769717076119</v>
      </c>
      <c r="EW41" s="11">
        <f t="shared" si="10"/>
        <v>-6.7362728051544831</v>
      </c>
      <c r="EX41" s="11">
        <f t="shared" si="11"/>
        <v>76.123202584542426</v>
      </c>
      <c r="EY41" s="11">
        <f t="shared" si="12"/>
        <v>12.323191679803793</v>
      </c>
      <c r="EZ41" s="11">
        <f t="shared" si="13"/>
        <v>-63.800010904738635</v>
      </c>
      <c r="FA41" s="12" t="str">
        <f t="shared" si="14"/>
        <v/>
      </c>
      <c r="FB41" s="12" t="str">
        <f t="shared" si="15"/>
        <v/>
      </c>
      <c r="FC41" s="12" t="str">
        <f t="shared" si="16"/>
        <v/>
      </c>
      <c r="FD41" s="12" t="str">
        <f t="shared" si="17"/>
        <v/>
      </c>
      <c r="FE41" s="12" t="str">
        <f t="shared" si="18"/>
        <v/>
      </c>
      <c r="FF41" s="12" t="str">
        <f t="shared" si="19"/>
        <v/>
      </c>
      <c r="FG41" s="3" t="str">
        <f t="shared" si="20"/>
        <v>Yes</v>
      </c>
      <c r="FH41" s="3" t="str">
        <f t="shared" si="21"/>
        <v>No</v>
      </c>
      <c r="FI41" s="3" t="str">
        <f t="shared" si="22"/>
        <v>Not ready</v>
      </c>
    </row>
    <row r="42" spans="1:165" ht="16" customHeight="1">
      <c r="A42" s="2" t="s">
        <v>625</v>
      </c>
      <c r="B42" s="2">
        <v>51</v>
      </c>
      <c r="C42" s="2" t="s">
        <v>177</v>
      </c>
      <c r="D42" s="2">
        <v>1</v>
      </c>
      <c r="E42" s="2" t="s">
        <v>178</v>
      </c>
      <c r="F42" s="2" t="s">
        <v>626</v>
      </c>
      <c r="G42" s="2" t="s">
        <v>180</v>
      </c>
      <c r="H42" s="2" t="s">
        <v>181</v>
      </c>
      <c r="I42" s="2" t="s">
        <v>181</v>
      </c>
      <c r="J42" s="2">
        <v>1</v>
      </c>
      <c r="K42" s="2" t="s">
        <v>182</v>
      </c>
      <c r="L42" s="2" t="s">
        <v>268</v>
      </c>
      <c r="M42" s="2" t="s">
        <v>184</v>
      </c>
      <c r="N42" s="2"/>
      <c r="O42" s="5">
        <v>41289</v>
      </c>
      <c r="P42" s="5">
        <v>41274</v>
      </c>
      <c r="Q42" s="2">
        <v>2012</v>
      </c>
      <c r="R42" s="2" t="s">
        <v>614</v>
      </c>
      <c r="S42" s="2" t="s">
        <v>186</v>
      </c>
      <c r="T42" s="4" t="s">
        <v>627</v>
      </c>
      <c r="U42" s="2" t="s">
        <v>188</v>
      </c>
      <c r="V42" s="2" t="s">
        <v>189</v>
      </c>
      <c r="W42" s="2" t="s">
        <v>1</v>
      </c>
      <c r="X42" s="2" t="s">
        <v>628</v>
      </c>
      <c r="Y42" s="2" t="s">
        <v>1</v>
      </c>
      <c r="Z42" s="4"/>
      <c r="AA42" s="4"/>
      <c r="AB42" s="2" t="s">
        <v>629</v>
      </c>
      <c r="AC42" s="2" t="s">
        <v>630</v>
      </c>
      <c r="AD42" s="2" t="s">
        <v>631</v>
      </c>
      <c r="AE42" s="2" t="s">
        <v>632</v>
      </c>
      <c r="AF42" s="6"/>
      <c r="AG42" s="2" t="s">
        <v>197</v>
      </c>
      <c r="AH42" s="4" t="s">
        <v>633</v>
      </c>
      <c r="AI42" s="4" t="s">
        <v>634</v>
      </c>
      <c r="AJ42" s="2"/>
      <c r="AK42" s="2"/>
      <c r="AL42" s="2" t="s">
        <v>200</v>
      </c>
      <c r="AM42" s="2" t="s">
        <v>200</v>
      </c>
      <c r="AN42" s="2"/>
      <c r="AO42" s="2"/>
      <c r="AP42" s="2"/>
      <c r="AQ42" s="2"/>
      <c r="AR42" s="2"/>
      <c r="AS42" s="2" t="s">
        <v>629</v>
      </c>
      <c r="AT42" s="2" t="s">
        <v>631</v>
      </c>
      <c r="AU42" s="2" t="s">
        <v>201</v>
      </c>
      <c r="AV42" s="2" t="s">
        <v>202</v>
      </c>
      <c r="AW42" s="2" t="s">
        <v>200</v>
      </c>
      <c r="AX42" s="2" t="s">
        <v>200</v>
      </c>
      <c r="AY42" s="2" t="s">
        <v>200</v>
      </c>
      <c r="AZ42" s="2" t="s">
        <v>200</v>
      </c>
      <c r="BA42" s="2" t="s">
        <v>200</v>
      </c>
      <c r="BB42" s="2" t="s">
        <v>200</v>
      </c>
      <c r="BC42" s="4"/>
      <c r="BD42" s="2"/>
      <c r="BE42" s="2"/>
      <c r="BF42" s="2" t="s">
        <v>203</v>
      </c>
      <c r="BG42" s="2" t="s">
        <v>203</v>
      </c>
      <c r="BH42" s="2" t="s">
        <v>204</v>
      </c>
      <c r="BI42" s="2">
        <f>IF($Q42="","",$Q42-3)</f>
        <v>2009</v>
      </c>
      <c r="BJ42" s="2">
        <f>IF($Q42="","",$Q42-2)</f>
        <v>2010</v>
      </c>
      <c r="BK42" s="2">
        <f>IF($Q42="","",$Q42-1)</f>
        <v>2011</v>
      </c>
      <c r="BL42" s="2">
        <f>IF($Q42="","",$Q42+0)</f>
        <v>2012</v>
      </c>
      <c r="BM42" s="2">
        <f>IF($Q42="","",$Q42+1)</f>
        <v>2013</v>
      </c>
      <c r="BN42" s="2">
        <f>IF($Q42="","",$Q42+2)</f>
        <v>2014</v>
      </c>
      <c r="BO42" s="2">
        <f>IF($Q42="","",$Q42+3)</f>
        <v>2015</v>
      </c>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7"/>
      <c r="DG42" s="7"/>
      <c r="DH42" s="7"/>
      <c r="DI42" s="7"/>
      <c r="DJ42" s="7"/>
      <c r="DK42" s="7"/>
      <c r="DL42" s="7"/>
      <c r="DM42" s="7"/>
      <c r="DN42" s="7"/>
      <c r="DO42" s="7"/>
      <c r="DP42" s="7"/>
      <c r="DQ42" s="7"/>
      <c r="DR42" s="7"/>
      <c r="DS42" s="7"/>
      <c r="DT42" s="7"/>
      <c r="DU42" s="7"/>
      <c r="DV42" s="7"/>
      <c r="DW42" s="7"/>
      <c r="DX42" s="7"/>
      <c r="DY42" s="7"/>
      <c r="DZ42" s="7"/>
      <c r="EA42" s="8"/>
      <c r="EB42" s="8"/>
      <c r="EC42" s="8"/>
      <c r="ED42" s="8"/>
      <c r="EE42" s="8"/>
      <c r="EF42" s="8"/>
      <c r="EG42" s="8"/>
      <c r="EH42" s="8"/>
      <c r="EI42" s="8"/>
      <c r="EJ42" s="8"/>
      <c r="EK42" s="8"/>
      <c r="EL42" s="8"/>
      <c r="EM42" s="8"/>
      <c r="EN42" s="8"/>
      <c r="EO42" s="8"/>
      <c r="EP42" s="8"/>
      <c r="EQ42" s="9" t="str">
        <f t="shared" si="7"/>
        <v/>
      </c>
      <c r="ER42" s="10"/>
      <c r="ES42" s="2" t="s">
        <v>200</v>
      </c>
      <c r="ET42" s="2" t="s">
        <v>200</v>
      </c>
      <c r="EU42" s="11" t="str">
        <f t="shared" si="8"/>
        <v/>
      </c>
      <c r="EV42" s="11" t="str">
        <f t="shared" si="9"/>
        <v/>
      </c>
      <c r="EW42" s="11" t="str">
        <f t="shared" si="10"/>
        <v/>
      </c>
      <c r="EX42" s="11" t="str">
        <f t="shared" si="11"/>
        <v/>
      </c>
      <c r="EY42" s="11" t="str">
        <f t="shared" si="12"/>
        <v/>
      </c>
      <c r="EZ42" s="11" t="str">
        <f t="shared" si="13"/>
        <v/>
      </c>
      <c r="FA42" s="12" t="str">
        <f t="shared" si="14"/>
        <v/>
      </c>
      <c r="FB42" s="12" t="str">
        <f t="shared" si="15"/>
        <v/>
      </c>
      <c r="FC42" s="12" t="str">
        <f t="shared" si="16"/>
        <v/>
      </c>
      <c r="FD42" s="12" t="str">
        <f t="shared" si="17"/>
        <v/>
      </c>
      <c r="FE42" s="12" t="str">
        <f t="shared" si="18"/>
        <v/>
      </c>
      <c r="FF42" s="12" t="str">
        <f t="shared" si="19"/>
        <v/>
      </c>
      <c r="FG42" s="3" t="str">
        <f t="shared" si="20"/>
        <v>No</v>
      </c>
      <c r="FH42" s="3" t="str">
        <f t="shared" si="21"/>
        <v>No</v>
      </c>
      <c r="FI42" s="3" t="str">
        <f t="shared" si="22"/>
        <v>Not ready</v>
      </c>
    </row>
    <row r="43" spans="1:165" ht="16" customHeight="1">
      <c r="A43" s="2" t="s">
        <v>635</v>
      </c>
      <c r="B43" s="2">
        <v>52</v>
      </c>
      <c r="C43" s="2" t="s">
        <v>177</v>
      </c>
      <c r="D43" s="2">
        <v>1</v>
      </c>
      <c r="E43" s="2" t="s">
        <v>178</v>
      </c>
      <c r="F43" s="2" t="s">
        <v>636</v>
      </c>
      <c r="G43" s="2" t="s">
        <v>180</v>
      </c>
      <c r="H43" s="2" t="s">
        <v>181</v>
      </c>
      <c r="I43" s="2" t="s">
        <v>181</v>
      </c>
      <c r="J43" s="2">
        <v>1</v>
      </c>
      <c r="K43" s="2" t="s">
        <v>182</v>
      </c>
      <c r="L43" s="2" t="s">
        <v>268</v>
      </c>
      <c r="M43" s="2" t="s">
        <v>184</v>
      </c>
      <c r="N43" s="2"/>
      <c r="O43" s="5">
        <v>41110</v>
      </c>
      <c r="P43" s="5">
        <v>41110</v>
      </c>
      <c r="Q43" s="2">
        <v>2012</v>
      </c>
      <c r="R43" s="2" t="s">
        <v>637</v>
      </c>
      <c r="S43" s="2" t="s">
        <v>186</v>
      </c>
      <c r="T43" s="4" t="s">
        <v>638</v>
      </c>
      <c r="U43" s="2" t="s">
        <v>188</v>
      </c>
      <c r="V43" s="2" t="s">
        <v>189</v>
      </c>
      <c r="W43" s="2" t="s">
        <v>1</v>
      </c>
      <c r="X43" s="2" t="s">
        <v>257</v>
      </c>
      <c r="Y43" s="2" t="s">
        <v>1</v>
      </c>
      <c r="Z43" s="4"/>
      <c r="AA43" s="4"/>
      <c r="AB43" s="2" t="s">
        <v>639</v>
      </c>
      <c r="AC43" s="2" t="s">
        <v>640</v>
      </c>
      <c r="AD43" s="2" t="s">
        <v>641</v>
      </c>
      <c r="AE43" s="2" t="s">
        <v>642</v>
      </c>
      <c r="AF43" s="6"/>
      <c r="AG43" s="2" t="s">
        <v>197</v>
      </c>
      <c r="AH43" s="4" t="s">
        <v>643</v>
      </c>
      <c r="AI43" s="4" t="s">
        <v>644</v>
      </c>
      <c r="AJ43" s="2"/>
      <c r="AK43" s="2"/>
      <c r="AL43" s="2" t="s">
        <v>200</v>
      </c>
      <c r="AM43" s="2" t="s">
        <v>200</v>
      </c>
      <c r="AN43" s="2"/>
      <c r="AO43" s="2"/>
      <c r="AP43" s="2"/>
      <c r="AQ43" s="2"/>
      <c r="AR43" s="2"/>
      <c r="AS43" s="2" t="s">
        <v>639</v>
      </c>
      <c r="AT43" s="2" t="s">
        <v>641</v>
      </c>
      <c r="AU43" s="2" t="s">
        <v>201</v>
      </c>
      <c r="AV43" s="2" t="s">
        <v>202</v>
      </c>
      <c r="AW43" s="2" t="s">
        <v>200</v>
      </c>
      <c r="AX43" s="2" t="s">
        <v>200</v>
      </c>
      <c r="AY43" s="2" t="s">
        <v>200</v>
      </c>
      <c r="AZ43" s="2" t="s">
        <v>200</v>
      </c>
      <c r="BA43" s="2" t="s">
        <v>200</v>
      </c>
      <c r="BB43" s="2" t="s">
        <v>200</v>
      </c>
      <c r="BC43" s="4"/>
      <c r="BD43" s="2"/>
      <c r="BE43" s="2"/>
      <c r="BF43" s="2" t="s">
        <v>203</v>
      </c>
      <c r="BG43" s="2" t="s">
        <v>203</v>
      </c>
      <c r="BH43" s="2" t="s">
        <v>204</v>
      </c>
      <c r="BI43" s="2">
        <f>IF($Q43="","",$Q43-3)</f>
        <v>2009</v>
      </c>
      <c r="BJ43" s="2">
        <f>IF($Q43="","",$Q43-2)</f>
        <v>2010</v>
      </c>
      <c r="BK43" s="2">
        <f>IF($Q43="","",$Q43-1)</f>
        <v>2011</v>
      </c>
      <c r="BL43" s="2">
        <f>IF($Q43="","",$Q43+0)</f>
        <v>2012</v>
      </c>
      <c r="BM43" s="2">
        <f>IF($Q43="","",$Q43+1)</f>
        <v>2013</v>
      </c>
      <c r="BN43" s="2">
        <f>IF($Q43="","",$Q43+2)</f>
        <v>2014</v>
      </c>
      <c r="BO43" s="2">
        <f>IF($Q43="","",$Q43+3)</f>
        <v>2015</v>
      </c>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7"/>
      <c r="DG43" s="7"/>
      <c r="DH43" s="7"/>
      <c r="DI43" s="7"/>
      <c r="DJ43" s="7"/>
      <c r="DK43" s="7"/>
      <c r="DL43" s="7"/>
      <c r="DM43" s="7"/>
      <c r="DN43" s="7"/>
      <c r="DO43" s="7"/>
      <c r="DP43" s="7"/>
      <c r="DQ43" s="7"/>
      <c r="DR43" s="7"/>
      <c r="DS43" s="7"/>
      <c r="DT43" s="7"/>
      <c r="DU43" s="7"/>
      <c r="DV43" s="7"/>
      <c r="DW43" s="7"/>
      <c r="DX43" s="7"/>
      <c r="DY43" s="7"/>
      <c r="DZ43" s="7"/>
      <c r="EA43" s="8"/>
      <c r="EB43" s="8"/>
      <c r="EC43" s="8"/>
      <c r="ED43" s="8"/>
      <c r="EE43" s="8"/>
      <c r="EF43" s="8"/>
      <c r="EG43" s="8"/>
      <c r="EH43" s="8"/>
      <c r="EI43" s="8"/>
      <c r="EJ43" s="8"/>
      <c r="EK43" s="8"/>
      <c r="EL43" s="8"/>
      <c r="EM43" s="8"/>
      <c r="EN43" s="8"/>
      <c r="EO43" s="8"/>
      <c r="EP43" s="8"/>
      <c r="EQ43" s="9" t="str">
        <f t="shared" si="7"/>
        <v/>
      </c>
      <c r="ER43" s="10"/>
      <c r="ES43" s="2" t="s">
        <v>200</v>
      </c>
      <c r="ET43" s="2" t="s">
        <v>200</v>
      </c>
      <c r="EU43" s="11" t="str">
        <f t="shared" si="8"/>
        <v/>
      </c>
      <c r="EV43" s="11" t="str">
        <f t="shared" si="9"/>
        <v/>
      </c>
      <c r="EW43" s="11" t="str">
        <f t="shared" si="10"/>
        <v/>
      </c>
      <c r="EX43" s="11" t="str">
        <f t="shared" si="11"/>
        <v/>
      </c>
      <c r="EY43" s="11" t="str">
        <f t="shared" si="12"/>
        <v/>
      </c>
      <c r="EZ43" s="11" t="str">
        <f t="shared" si="13"/>
        <v/>
      </c>
      <c r="FA43" s="12" t="str">
        <f t="shared" si="14"/>
        <v/>
      </c>
      <c r="FB43" s="12" t="str">
        <f t="shared" si="15"/>
        <v/>
      </c>
      <c r="FC43" s="12" t="str">
        <f t="shared" si="16"/>
        <v/>
      </c>
      <c r="FD43" s="12" t="str">
        <f t="shared" si="17"/>
        <v/>
      </c>
      <c r="FE43" s="12" t="str">
        <f t="shared" si="18"/>
        <v/>
      </c>
      <c r="FF43" s="12" t="str">
        <f t="shared" si="19"/>
        <v/>
      </c>
      <c r="FG43" s="3" t="str">
        <f t="shared" si="20"/>
        <v>No</v>
      </c>
      <c r="FH43" s="3" t="str">
        <f t="shared" si="21"/>
        <v>No</v>
      </c>
      <c r="FI43" s="3" t="str">
        <f t="shared" si="22"/>
        <v>Not ready</v>
      </c>
    </row>
    <row r="44" spans="1:165" ht="16" customHeight="1">
      <c r="A44" s="2" t="s">
        <v>645</v>
      </c>
      <c r="B44" s="2">
        <v>53</v>
      </c>
      <c r="C44" s="2" t="s">
        <v>177</v>
      </c>
      <c r="D44" s="2">
        <v>1</v>
      </c>
      <c r="E44" s="2" t="s">
        <v>178</v>
      </c>
      <c r="F44" s="2" t="s">
        <v>646</v>
      </c>
      <c r="G44" s="2" t="s">
        <v>180</v>
      </c>
      <c r="H44" s="2" t="s">
        <v>181</v>
      </c>
      <c r="I44" s="2" t="s">
        <v>181</v>
      </c>
      <c r="J44" s="2">
        <v>1</v>
      </c>
      <c r="K44" s="2" t="s">
        <v>182</v>
      </c>
      <c r="L44" s="2" t="s">
        <v>183</v>
      </c>
      <c r="M44" s="2" t="s">
        <v>184</v>
      </c>
      <c r="N44" s="2"/>
      <c r="O44" s="5">
        <v>41046</v>
      </c>
      <c r="P44" s="5">
        <v>41081</v>
      </c>
      <c r="Q44" s="2">
        <v>2012</v>
      </c>
      <c r="R44" s="2" t="s">
        <v>647</v>
      </c>
      <c r="S44" s="2" t="s">
        <v>186</v>
      </c>
      <c r="T44" s="4" t="s">
        <v>648</v>
      </c>
      <c r="U44" s="2" t="s">
        <v>188</v>
      </c>
      <c r="V44" s="2" t="s">
        <v>189</v>
      </c>
      <c r="W44" s="2" t="s">
        <v>0</v>
      </c>
      <c r="X44" s="2" t="s">
        <v>190</v>
      </c>
      <c r="Y44" s="2" t="s">
        <v>0</v>
      </c>
      <c r="Z44" s="4" t="s">
        <v>649</v>
      </c>
      <c r="AA44" s="4" t="s">
        <v>650</v>
      </c>
      <c r="AB44" s="2" t="s">
        <v>651</v>
      </c>
      <c r="AC44" s="2" t="s">
        <v>652</v>
      </c>
      <c r="AD44" s="2" t="s">
        <v>653</v>
      </c>
      <c r="AE44" s="2" t="s">
        <v>654</v>
      </c>
      <c r="AF44" s="6">
        <v>2200</v>
      </c>
      <c r="AG44" s="2">
        <v>2200</v>
      </c>
      <c r="AH44" s="4" t="s">
        <v>655</v>
      </c>
      <c r="AI44" s="4" t="s">
        <v>656</v>
      </c>
      <c r="AJ44" s="2"/>
      <c r="AK44" s="2"/>
      <c r="AL44" s="2" t="s">
        <v>200</v>
      </c>
      <c r="AM44" s="2" t="s">
        <v>200</v>
      </c>
      <c r="AN44" s="2"/>
      <c r="AO44" s="2"/>
      <c r="AP44" s="2"/>
      <c r="AQ44" s="2"/>
      <c r="AR44" s="2"/>
      <c r="AS44" s="2" t="s">
        <v>651</v>
      </c>
      <c r="AT44" s="2" t="s">
        <v>653</v>
      </c>
      <c r="AU44" s="2" t="s">
        <v>201</v>
      </c>
      <c r="AV44" s="2" t="s">
        <v>202</v>
      </c>
      <c r="AW44" s="2" t="s">
        <v>200</v>
      </c>
      <c r="AX44" s="2" t="s">
        <v>200</v>
      </c>
      <c r="AY44" s="2" t="s">
        <v>200</v>
      </c>
      <c r="AZ44" s="2" t="s">
        <v>200</v>
      </c>
      <c r="BA44" s="2" t="s">
        <v>200</v>
      </c>
      <c r="BB44" s="2" t="s">
        <v>200</v>
      </c>
      <c r="BC44" s="4"/>
      <c r="BD44" s="2"/>
      <c r="BE44" s="2"/>
      <c r="BF44" s="2" t="s">
        <v>203</v>
      </c>
      <c r="BG44" s="2" t="s">
        <v>203</v>
      </c>
      <c r="BH44" s="2" t="s">
        <v>204</v>
      </c>
      <c r="BI44" s="2">
        <f>IF($Q44="","",$Q44-3)</f>
        <v>2009</v>
      </c>
      <c r="BJ44" s="2">
        <f>IF($Q44="","",$Q44-2)</f>
        <v>2010</v>
      </c>
      <c r="BK44" s="2">
        <f>IF($Q44="","",$Q44-1)</f>
        <v>2011</v>
      </c>
      <c r="BL44" s="2">
        <f>IF($Q44="","",$Q44+0)</f>
        <v>2012</v>
      </c>
      <c r="BM44" s="2">
        <f>IF($Q44="","",$Q44+1)</f>
        <v>2013</v>
      </c>
      <c r="BN44" s="2">
        <f>IF($Q44="","",$Q44+2)</f>
        <v>2014</v>
      </c>
      <c r="BO44" s="2">
        <f>IF($Q44="","",$Q44+3)</f>
        <v>2015</v>
      </c>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7"/>
      <c r="DG44" s="7"/>
      <c r="DH44" s="7"/>
      <c r="DI44" s="7"/>
      <c r="DJ44" s="7"/>
      <c r="DK44" s="7"/>
      <c r="DL44" s="7"/>
      <c r="DM44" s="7"/>
      <c r="DN44" s="7"/>
      <c r="DO44" s="7"/>
      <c r="DP44" s="7"/>
      <c r="DQ44" s="7"/>
      <c r="DR44" s="7"/>
      <c r="DS44" s="7"/>
      <c r="DT44" s="7"/>
      <c r="DU44" s="7"/>
      <c r="DV44" s="7"/>
      <c r="DW44" s="7"/>
      <c r="DX44" s="7"/>
      <c r="DY44" s="7"/>
      <c r="DZ44" s="7"/>
      <c r="EA44" s="8"/>
      <c r="EB44" s="8"/>
      <c r="EC44" s="8"/>
      <c r="ED44" s="8"/>
      <c r="EE44" s="8"/>
      <c r="EF44" s="8"/>
      <c r="EG44" s="8"/>
      <c r="EH44" s="8"/>
      <c r="EI44" s="8"/>
      <c r="EJ44" s="8"/>
      <c r="EK44" s="8"/>
      <c r="EL44" s="8"/>
      <c r="EM44" s="8"/>
      <c r="EN44" s="8"/>
      <c r="EO44" s="8"/>
      <c r="EP44" s="8"/>
      <c r="EQ44" s="9" t="str">
        <f t="shared" si="7"/>
        <v/>
      </c>
      <c r="ER44" s="10"/>
      <c r="ES44" s="2" t="s">
        <v>200</v>
      </c>
      <c r="ET44" s="2" t="s">
        <v>200</v>
      </c>
      <c r="EU44" s="11" t="str">
        <f t="shared" si="8"/>
        <v/>
      </c>
      <c r="EV44" s="11" t="str">
        <f t="shared" si="9"/>
        <v/>
      </c>
      <c r="EW44" s="11" t="str">
        <f t="shared" si="10"/>
        <v/>
      </c>
      <c r="EX44" s="11" t="str">
        <f t="shared" si="11"/>
        <v/>
      </c>
      <c r="EY44" s="11" t="str">
        <f t="shared" si="12"/>
        <v/>
      </c>
      <c r="EZ44" s="11" t="str">
        <f t="shared" si="13"/>
        <v/>
      </c>
      <c r="FA44" s="12" t="str">
        <f t="shared" si="14"/>
        <v/>
      </c>
      <c r="FB44" s="12" t="str">
        <f t="shared" si="15"/>
        <v/>
      </c>
      <c r="FC44" s="12" t="str">
        <f t="shared" si="16"/>
        <v/>
      </c>
      <c r="FD44" s="12" t="str">
        <f t="shared" si="17"/>
        <v/>
      </c>
      <c r="FE44" s="12" t="str">
        <f t="shared" si="18"/>
        <v/>
      </c>
      <c r="FF44" s="12" t="str">
        <f t="shared" si="19"/>
        <v/>
      </c>
      <c r="FG44" s="3" t="str">
        <f t="shared" si="20"/>
        <v>No</v>
      </c>
      <c r="FH44" s="3" t="str">
        <f t="shared" si="21"/>
        <v>No</v>
      </c>
      <c r="FI44" s="3" t="str">
        <f t="shared" si="22"/>
        <v>Not ready</v>
      </c>
    </row>
    <row r="45" spans="1:165">
      <c r="A45" t="s">
        <v>657</v>
      </c>
      <c r="B45">
        <v>253</v>
      </c>
      <c r="C45" t="s">
        <v>658</v>
      </c>
      <c r="D45">
        <v>1</v>
      </c>
      <c r="E45" t="s">
        <v>659</v>
      </c>
      <c r="F45" t="s">
        <v>660</v>
      </c>
      <c r="G45" t="s">
        <v>181</v>
      </c>
      <c r="H45" t="s">
        <v>181</v>
      </c>
      <c r="I45" t="s">
        <v>181</v>
      </c>
      <c r="J45">
        <v>1</v>
      </c>
      <c r="K45" t="s">
        <v>661</v>
      </c>
      <c r="L45" t="s">
        <v>268</v>
      </c>
      <c r="M45" t="s">
        <v>184</v>
      </c>
      <c r="O45" s="25">
        <v>41981</v>
      </c>
      <c r="P45" s="25">
        <v>41981</v>
      </c>
      <c r="Q45">
        <v>2014</v>
      </c>
      <c r="R45" t="s">
        <v>546</v>
      </c>
      <c r="S45" t="s">
        <v>186</v>
      </c>
      <c r="T45" t="s">
        <v>662</v>
      </c>
      <c r="U45" t="s">
        <v>188</v>
      </c>
      <c r="V45" t="s">
        <v>189</v>
      </c>
      <c r="W45" t="s">
        <v>1</v>
      </c>
      <c r="X45" t="s">
        <v>257</v>
      </c>
      <c r="Y45" t="s">
        <v>1</v>
      </c>
      <c r="Z45" t="s">
        <v>663</v>
      </c>
      <c r="AA45" t="s">
        <v>664</v>
      </c>
      <c r="AB45" t="s">
        <v>665</v>
      </c>
      <c r="AC45" t="s">
        <v>666</v>
      </c>
      <c r="AD45" t="s">
        <v>667</v>
      </c>
      <c r="AE45" t="s">
        <v>668</v>
      </c>
      <c r="AG45" t="s">
        <v>197</v>
      </c>
      <c r="AH45" t="s">
        <v>669</v>
      </c>
      <c r="AI45" t="s">
        <v>670</v>
      </c>
      <c r="AL45" t="s">
        <v>200</v>
      </c>
      <c r="AM45" t="s">
        <v>180</v>
      </c>
      <c r="AN45" t="s">
        <v>671</v>
      </c>
      <c r="AQ45" t="s">
        <v>665</v>
      </c>
      <c r="AR45" t="s">
        <v>667</v>
      </c>
      <c r="AS45" t="s">
        <v>665</v>
      </c>
      <c r="AT45" t="s">
        <v>667</v>
      </c>
      <c r="AU45" t="s">
        <v>201</v>
      </c>
      <c r="AV45" t="s">
        <v>202</v>
      </c>
      <c r="AW45" t="s">
        <v>200</v>
      </c>
      <c r="AX45" t="s">
        <v>200</v>
      </c>
      <c r="AY45" t="s">
        <v>200</v>
      </c>
      <c r="AZ45" t="s">
        <v>200</v>
      </c>
      <c r="BA45" s="15" t="s">
        <v>200</v>
      </c>
      <c r="BB45" s="15" t="s">
        <v>200</v>
      </c>
      <c r="BC45" s="15" t="s">
        <v>672</v>
      </c>
      <c r="BD45" s="15"/>
      <c r="BE45" s="15" t="s">
        <v>312</v>
      </c>
      <c r="BF45" s="15" t="s">
        <v>504</v>
      </c>
      <c r="BG45" s="15" t="s">
        <v>203</v>
      </c>
      <c r="BH45" s="15" t="s">
        <v>204</v>
      </c>
      <c r="BI45" s="15">
        <v>2011</v>
      </c>
      <c r="BJ45" s="15">
        <v>2012</v>
      </c>
      <c r="BK45" s="15">
        <v>2013</v>
      </c>
      <c r="BL45" s="15">
        <v>2014</v>
      </c>
      <c r="BM45" s="15">
        <v>2015</v>
      </c>
      <c r="BN45" s="15">
        <v>2016</v>
      </c>
      <c r="BO45" s="15">
        <v>2017</v>
      </c>
      <c r="BP45" s="15">
        <v>0</v>
      </c>
      <c r="BQ45" s="15">
        <v>0</v>
      </c>
      <c r="BR45" s="15">
        <v>0.17319999999999999</v>
      </c>
      <c r="BS45" s="15">
        <v>0.1948</v>
      </c>
      <c r="BT45" s="15">
        <v>1.8940999999999999</v>
      </c>
      <c r="BU45" s="15">
        <v>8.4755000000000003</v>
      </c>
      <c r="BV45" s="15">
        <v>8.6742000000000008</v>
      </c>
      <c r="BW45" s="15">
        <v>-4.4786999999999999</v>
      </c>
      <c r="BX45" s="15">
        <v>-4.9427000000000003</v>
      </c>
      <c r="BY45" s="15">
        <v>-5.2995000000000001</v>
      </c>
      <c r="BZ45" s="15">
        <v>-10.749700000000001</v>
      </c>
      <c r="CA45" s="15">
        <v>-14.5055</v>
      </c>
      <c r="CB45" s="15">
        <v>-23.434699999999999</v>
      </c>
      <c r="CC45" s="15">
        <v>-18.369</v>
      </c>
      <c r="CD45" s="15">
        <v>-4.7172999999999998</v>
      </c>
      <c r="CE45" s="15">
        <v>-4.9255000000000004</v>
      </c>
      <c r="CF45" s="15">
        <v>-4.8106999999999998</v>
      </c>
      <c r="CG45" s="15">
        <v>-10.946999999999999</v>
      </c>
      <c r="CH45" s="15">
        <v>-13.911799999999999</v>
      </c>
      <c r="CI45" s="15">
        <v>-24.683499999999999</v>
      </c>
      <c r="CJ45" s="15">
        <v>-18.339300000000001</v>
      </c>
      <c r="CK45" s="15">
        <v>6.4058000000000002</v>
      </c>
      <c r="CL45" s="15">
        <v>2.7334999999999998</v>
      </c>
      <c r="CM45" s="15">
        <v>6.2160000000000002</v>
      </c>
      <c r="CN45" s="15">
        <v>60.087299999999999</v>
      </c>
      <c r="CO45" s="15">
        <v>86.837900000000005</v>
      </c>
      <c r="CP45" s="15">
        <v>66.353099999999998</v>
      </c>
      <c r="CQ45" s="15">
        <v>55.373899999999999</v>
      </c>
      <c r="CR45" s="15">
        <v>5.8733000000000004</v>
      </c>
      <c r="CS45" s="15">
        <v>6.7074999999999996</v>
      </c>
      <c r="CT45" s="15">
        <v>4.0450999999999997</v>
      </c>
      <c r="CU45" s="15">
        <v>2.5482999999999998</v>
      </c>
      <c r="CV45" s="15">
        <v>2.6440999999999999</v>
      </c>
      <c r="CW45" s="15">
        <v>2.5259</v>
      </c>
      <c r="CX45" s="15">
        <v>7.3638000000000003</v>
      </c>
      <c r="CY45" s="15">
        <v>1.5582</v>
      </c>
      <c r="CZ45" s="15">
        <v>2.036</v>
      </c>
      <c r="DA45" s="15">
        <v>2.2675000000000001</v>
      </c>
      <c r="DB45" s="15">
        <v>6.7491000000000003</v>
      </c>
      <c r="DC45" s="15">
        <v>8.1550999999999991</v>
      </c>
      <c r="DD45" s="15">
        <v>8.1829000000000001</v>
      </c>
      <c r="DE45" s="15">
        <v>11.627599999999999</v>
      </c>
      <c r="DF45" s="15">
        <v>-73.641075275531549</v>
      </c>
      <c r="DG45" s="15">
        <v>-105.4661</v>
      </c>
      <c r="DH45" s="15">
        <v>-110.453</v>
      </c>
      <c r="DI45" s="15">
        <v>-34.037500000000001</v>
      </c>
      <c r="DJ45" s="15">
        <v>-18.245000000000001</v>
      </c>
      <c r="DK45" s="15">
        <v>-33.400100000000002</v>
      </c>
      <c r="DL45" s="15">
        <v>-30.334299999999999</v>
      </c>
      <c r="DM45" s="15"/>
      <c r="DN45" s="15"/>
      <c r="DO45" s="15">
        <v>-3060.5441999999998</v>
      </c>
      <c r="DP45" s="15">
        <v>-6170.0636999999997</v>
      </c>
      <c r="DQ45" s="15">
        <v>-939.49090000000001</v>
      </c>
      <c r="DR45" s="15">
        <v>-441.35489999999999</v>
      </c>
      <c r="DS45" s="15">
        <v>-231.86359999999999</v>
      </c>
      <c r="DT45">
        <v>91.686899999999994</v>
      </c>
      <c r="DU45">
        <v>245.38499999999999</v>
      </c>
      <c r="DV45">
        <v>65.075400000000002</v>
      </c>
      <c r="DW45">
        <v>4.2409999999999997</v>
      </c>
      <c r="DX45">
        <v>3.0449000000000002</v>
      </c>
      <c r="DY45">
        <v>3.8067000000000002</v>
      </c>
      <c r="DZ45">
        <v>13.298400000000001</v>
      </c>
      <c r="EA45" s="15"/>
      <c r="EB45" s="15"/>
      <c r="EC45" s="15"/>
      <c r="ED45" s="15"/>
      <c r="EE45" s="15"/>
      <c r="EF45" s="15"/>
      <c r="EG45" s="15"/>
      <c r="EH45" s="15"/>
      <c r="EI45" s="15"/>
      <c r="EJ45" s="15"/>
      <c r="EK45" s="15"/>
      <c r="EL45" s="15"/>
      <c r="EM45" s="15"/>
      <c r="EN45" s="15"/>
      <c r="EO45" s="15"/>
      <c r="EP45" s="15"/>
      <c r="EQ45" t="str">
        <f t="shared" si="7"/>
        <v/>
      </c>
      <c r="ES45" t="s">
        <v>200</v>
      </c>
      <c r="ET45" t="s">
        <v>200</v>
      </c>
      <c r="EU45">
        <f t="shared" si="8"/>
        <v>-96.520058425177183</v>
      </c>
      <c r="EV45">
        <f t="shared" si="9"/>
        <v>-27.326466666666665</v>
      </c>
      <c r="EW45">
        <f t="shared" si="10"/>
        <v>69.193591758510522</v>
      </c>
      <c r="EX45">
        <f t="shared" si="11"/>
        <v>-3060.5441999999998</v>
      </c>
      <c r="EY45">
        <f t="shared" si="12"/>
        <v>-537.56979999999999</v>
      </c>
      <c r="EZ45">
        <f t="shared" si="13"/>
        <v>2522.9744000000001</v>
      </c>
      <c r="FA45" t="str">
        <f t="shared" si="14"/>
        <v/>
      </c>
      <c r="FB45" t="str">
        <f t="shared" si="15"/>
        <v/>
      </c>
      <c r="FC45" t="str">
        <f t="shared" si="16"/>
        <v/>
      </c>
      <c r="FD45" t="str">
        <f t="shared" si="17"/>
        <v/>
      </c>
      <c r="FE45" t="str">
        <f t="shared" si="18"/>
        <v/>
      </c>
      <c r="FF45" t="str">
        <f t="shared" si="19"/>
        <v/>
      </c>
      <c r="FG45" t="str">
        <f t="shared" si="20"/>
        <v>No</v>
      </c>
      <c r="FH45" t="str">
        <f t="shared" si="21"/>
        <v>No</v>
      </c>
      <c r="FI45" t="str">
        <f t="shared" si="22"/>
        <v>Not ready</v>
      </c>
    </row>
    <row r="46" spans="1:165">
      <c r="A46" t="s">
        <v>673</v>
      </c>
      <c r="B46">
        <v>39</v>
      </c>
      <c r="C46" t="s">
        <v>658</v>
      </c>
      <c r="D46">
        <v>1</v>
      </c>
      <c r="E46" t="s">
        <v>659</v>
      </c>
      <c r="F46" t="s">
        <v>674</v>
      </c>
      <c r="G46" t="s">
        <v>181</v>
      </c>
      <c r="H46" t="s">
        <v>181</v>
      </c>
      <c r="I46" t="s">
        <v>181</v>
      </c>
      <c r="J46">
        <v>1</v>
      </c>
      <c r="K46" t="s">
        <v>661</v>
      </c>
      <c r="L46" t="s">
        <v>183</v>
      </c>
      <c r="M46" t="s">
        <v>184</v>
      </c>
      <c r="O46" s="25">
        <v>43838</v>
      </c>
      <c r="P46" s="25">
        <v>43868</v>
      </c>
      <c r="Q46">
        <v>2020</v>
      </c>
      <c r="R46" t="s">
        <v>675</v>
      </c>
      <c r="S46" t="s">
        <v>186</v>
      </c>
      <c r="T46" t="s">
        <v>676</v>
      </c>
      <c r="U46" t="s">
        <v>188</v>
      </c>
      <c r="V46" t="s">
        <v>189</v>
      </c>
      <c r="W46" t="s">
        <v>0</v>
      </c>
      <c r="X46" t="s">
        <v>270</v>
      </c>
      <c r="Y46" t="s">
        <v>0</v>
      </c>
      <c r="Z46" t="s">
        <v>677</v>
      </c>
      <c r="AA46" t="s">
        <v>678</v>
      </c>
      <c r="AB46" t="s">
        <v>679</v>
      </c>
      <c r="AC46" t="s">
        <v>680</v>
      </c>
      <c r="AD46" t="s">
        <v>681</v>
      </c>
      <c r="AE46" t="s">
        <v>682</v>
      </c>
      <c r="AG46" t="s">
        <v>197</v>
      </c>
      <c r="AH46" t="s">
        <v>683</v>
      </c>
      <c r="AI46" t="s">
        <v>684</v>
      </c>
      <c r="AL46" t="s">
        <v>200</v>
      </c>
      <c r="AM46" t="s">
        <v>180</v>
      </c>
      <c r="AN46" t="s">
        <v>685</v>
      </c>
      <c r="AQ46" t="s">
        <v>679</v>
      </c>
      <c r="AR46" t="s">
        <v>681</v>
      </c>
      <c r="AS46" t="s">
        <v>679</v>
      </c>
      <c r="AT46" t="s">
        <v>681</v>
      </c>
      <c r="AU46" t="s">
        <v>201</v>
      </c>
      <c r="AV46" t="s">
        <v>202</v>
      </c>
      <c r="AW46" s="15" t="s">
        <v>311</v>
      </c>
      <c r="AX46" t="s">
        <v>200</v>
      </c>
      <c r="AY46" t="s">
        <v>200</v>
      </c>
      <c r="AZ46" t="s">
        <v>200</v>
      </c>
      <c r="BA46" s="15" t="s">
        <v>200</v>
      </c>
      <c r="BB46" s="15" t="s">
        <v>200</v>
      </c>
      <c r="BC46" s="15" t="s">
        <v>672</v>
      </c>
      <c r="BD46" s="15"/>
      <c r="BE46" s="15" t="s">
        <v>312</v>
      </c>
      <c r="BF46" s="15" t="s">
        <v>504</v>
      </c>
      <c r="BG46" s="15" t="s">
        <v>686</v>
      </c>
      <c r="BH46" s="15" t="s">
        <v>687</v>
      </c>
      <c r="BI46" s="15">
        <v>2017</v>
      </c>
      <c r="BJ46" s="15">
        <v>2018</v>
      </c>
      <c r="BK46" s="15">
        <v>2019</v>
      </c>
      <c r="BL46" s="15">
        <v>2020</v>
      </c>
      <c r="BM46" s="15">
        <v>2021</v>
      </c>
      <c r="BN46" s="15">
        <v>2022</v>
      </c>
      <c r="BO46" s="15">
        <v>2023</v>
      </c>
      <c r="BP46" s="15"/>
      <c r="BQ46" s="15"/>
      <c r="BR46" s="15"/>
      <c r="BS46" s="15"/>
      <c r="BT46" s="15"/>
      <c r="BU46" s="15"/>
      <c r="BV46" s="15"/>
      <c r="BW46" s="15">
        <v>19.808800000000002</v>
      </c>
      <c r="BX46" s="15">
        <v>12.674300000000001</v>
      </c>
      <c r="BY46" s="15">
        <v>166.85579999999999</v>
      </c>
      <c r="BZ46" s="15">
        <v>-23.230399999999999</v>
      </c>
      <c r="CA46" s="15">
        <v>46.584000000000003</v>
      </c>
      <c r="CB46" s="15"/>
      <c r="CC46" s="15"/>
      <c r="CD46" s="15"/>
      <c r="CE46" s="15"/>
      <c r="CF46" s="15"/>
      <c r="CG46" s="15"/>
      <c r="CH46" s="15"/>
      <c r="CI46" s="15"/>
      <c r="CJ46" s="15"/>
      <c r="CK46" s="15">
        <v>458.87169999999998</v>
      </c>
      <c r="CL46" s="15">
        <v>538.64840000000004</v>
      </c>
      <c r="CM46" s="15">
        <v>890.95429999999999</v>
      </c>
      <c r="CN46" s="15">
        <v>851.72580000000005</v>
      </c>
      <c r="CO46" s="15">
        <v>779.86900000000003</v>
      </c>
      <c r="CP46" s="15"/>
      <c r="CQ46" s="15"/>
      <c r="CR46" s="15">
        <v>0</v>
      </c>
      <c r="CS46" s="15">
        <v>17.118500000000001</v>
      </c>
      <c r="CT46" s="15">
        <v>23.5852</v>
      </c>
      <c r="CU46" s="15">
        <v>30.006900000000002</v>
      </c>
      <c r="CV46" s="15">
        <v>2.1000000000000001E-2</v>
      </c>
      <c r="CW46" s="15"/>
      <c r="CX46" s="15"/>
      <c r="CY46" s="15"/>
      <c r="CZ46" s="15"/>
      <c r="DA46" s="15"/>
      <c r="DB46" s="15"/>
      <c r="DC46" s="15"/>
      <c r="DD46" s="15"/>
      <c r="DE46" s="15"/>
      <c r="DF46" s="15">
        <v>4.4884000000000004</v>
      </c>
      <c r="DG46" s="15">
        <v>3.2538999999999998</v>
      </c>
      <c r="DH46" s="15">
        <v>23.6081</v>
      </c>
      <c r="DI46" s="15">
        <v>7.5956000000000001</v>
      </c>
      <c r="DJ46" s="15">
        <v>5.2351999999999999</v>
      </c>
      <c r="DK46" s="15"/>
      <c r="DL46" s="15"/>
      <c r="DM46" s="15">
        <v>91.178100000000001</v>
      </c>
      <c r="DN46" s="15">
        <v>76.127399999999994</v>
      </c>
      <c r="DO46" s="15">
        <v>95.7042</v>
      </c>
      <c r="DP46" s="15">
        <v>-357.39139999999998</v>
      </c>
      <c r="DQ46" s="15">
        <v>85.714299999999994</v>
      </c>
      <c r="DR46" s="15"/>
      <c r="DS46" s="15"/>
      <c r="DT46">
        <v>0</v>
      </c>
      <c r="DU46">
        <v>3.1779999999999999</v>
      </c>
      <c r="DV46">
        <v>2.6472000000000002</v>
      </c>
      <c r="DW46">
        <v>3.5230999999999999</v>
      </c>
      <c r="DX46">
        <v>2.7000000000000001E-3</v>
      </c>
      <c r="EA46" s="15">
        <v>8</v>
      </c>
      <c r="EB46" s="15">
        <v>5</v>
      </c>
      <c r="EC46" s="15">
        <v>3</v>
      </c>
      <c r="ED46" s="15">
        <v>1</v>
      </c>
      <c r="EE46" s="15">
        <v>1</v>
      </c>
      <c r="EF46" s="15"/>
      <c r="EG46" s="15"/>
      <c r="EH46" s="15">
        <v>0</v>
      </c>
      <c r="EI46" s="15">
        <v>0</v>
      </c>
      <c r="EJ46" s="15">
        <v>0</v>
      </c>
      <c r="EK46" s="15">
        <v>0</v>
      </c>
      <c r="EL46" s="15">
        <v>0</v>
      </c>
      <c r="EM46" s="15"/>
      <c r="EN46" s="15"/>
      <c r="EO46" s="15">
        <v>16</v>
      </c>
      <c r="EP46" s="15"/>
      <c r="EQ46" t="str">
        <f t="shared" si="7"/>
        <v/>
      </c>
      <c r="ES46" s="15" t="s">
        <v>181</v>
      </c>
      <c r="ET46" s="15" t="s">
        <v>181</v>
      </c>
      <c r="EU46">
        <f t="shared" si="8"/>
        <v>10.450133333333333</v>
      </c>
      <c r="EV46">
        <f t="shared" si="9"/>
        <v>5.2351999999999999</v>
      </c>
      <c r="EW46">
        <f t="shared" si="10"/>
        <v>-5.2149333333333336</v>
      </c>
      <c r="EX46">
        <f t="shared" si="11"/>
        <v>87.669899999999998</v>
      </c>
      <c r="EY46">
        <f t="shared" si="12"/>
        <v>85.714299999999994</v>
      </c>
      <c r="EZ46">
        <f t="shared" si="13"/>
        <v>-1.955600000000004</v>
      </c>
      <c r="FA46">
        <f t="shared" si="14"/>
        <v>5.333333333333333</v>
      </c>
      <c r="FB46">
        <f t="shared" si="15"/>
        <v>1</v>
      </c>
      <c r="FC46">
        <f t="shared" si="16"/>
        <v>-4.333333333333333</v>
      </c>
      <c r="FD46">
        <f t="shared" si="17"/>
        <v>0</v>
      </c>
      <c r="FE46">
        <f t="shared" si="18"/>
        <v>0</v>
      </c>
      <c r="FF46">
        <f t="shared" si="19"/>
        <v>0</v>
      </c>
      <c r="FG46" t="str">
        <f t="shared" si="20"/>
        <v>No</v>
      </c>
      <c r="FH46" t="str">
        <f t="shared" si="21"/>
        <v>No</v>
      </c>
      <c r="FI46" t="str">
        <f t="shared" si="22"/>
        <v>Not ready</v>
      </c>
    </row>
    <row r="47" spans="1:165">
      <c r="A47" t="s">
        <v>688</v>
      </c>
      <c r="B47">
        <v>299</v>
      </c>
      <c r="C47" t="s">
        <v>658</v>
      </c>
      <c r="D47">
        <v>1</v>
      </c>
      <c r="E47" t="s">
        <v>659</v>
      </c>
      <c r="F47" t="s">
        <v>689</v>
      </c>
      <c r="G47" t="s">
        <v>181</v>
      </c>
      <c r="H47" t="s">
        <v>181</v>
      </c>
      <c r="I47" t="s">
        <v>181</v>
      </c>
      <c r="J47">
        <v>1</v>
      </c>
      <c r="K47" t="s">
        <v>661</v>
      </c>
      <c r="L47" t="s">
        <v>268</v>
      </c>
      <c r="M47" t="s">
        <v>184</v>
      </c>
      <c r="O47" s="25">
        <v>41345</v>
      </c>
      <c r="P47" s="25">
        <v>41345</v>
      </c>
      <c r="Q47">
        <v>2013</v>
      </c>
      <c r="R47" t="s">
        <v>614</v>
      </c>
      <c r="S47" t="s">
        <v>186</v>
      </c>
      <c r="T47" t="s">
        <v>690</v>
      </c>
      <c r="U47" t="s">
        <v>188</v>
      </c>
      <c r="V47" t="s">
        <v>189</v>
      </c>
      <c r="W47" t="s">
        <v>1</v>
      </c>
      <c r="X47" t="s">
        <v>416</v>
      </c>
      <c r="Y47" t="s">
        <v>1</v>
      </c>
      <c r="Z47" t="s">
        <v>691</v>
      </c>
      <c r="AA47" t="s">
        <v>692</v>
      </c>
      <c r="AB47" t="s">
        <v>693</v>
      </c>
      <c r="AC47" t="s">
        <v>694</v>
      </c>
      <c r="AD47" t="s">
        <v>695</v>
      </c>
      <c r="AE47" t="s">
        <v>696</v>
      </c>
      <c r="AG47" t="s">
        <v>197</v>
      </c>
      <c r="AH47" t="s">
        <v>697</v>
      </c>
      <c r="AI47" t="s">
        <v>698</v>
      </c>
      <c r="AL47" t="s">
        <v>200</v>
      </c>
      <c r="AM47" t="s">
        <v>180</v>
      </c>
      <c r="AN47" t="s">
        <v>699</v>
      </c>
      <c r="AQ47" t="s">
        <v>693</v>
      </c>
      <c r="AR47" t="s">
        <v>695</v>
      </c>
      <c r="AS47" t="s">
        <v>693</v>
      </c>
      <c r="AT47" t="s">
        <v>695</v>
      </c>
      <c r="AU47" t="s">
        <v>201</v>
      </c>
      <c r="AV47" t="s">
        <v>202</v>
      </c>
      <c r="AW47" s="15" t="s">
        <v>311</v>
      </c>
      <c r="AX47" t="s">
        <v>200</v>
      </c>
      <c r="AY47" t="s">
        <v>200</v>
      </c>
      <c r="AZ47" t="s">
        <v>200</v>
      </c>
      <c r="BA47" s="15" t="s">
        <v>200</v>
      </c>
      <c r="BB47" s="15" t="s">
        <v>200</v>
      </c>
      <c r="BC47" s="15" t="s">
        <v>672</v>
      </c>
      <c r="BD47" s="15"/>
      <c r="BE47" s="15" t="s">
        <v>700</v>
      </c>
      <c r="BF47" s="15" t="s">
        <v>313</v>
      </c>
      <c r="BG47" s="15" t="s">
        <v>701</v>
      </c>
      <c r="BH47" s="15" t="s">
        <v>702</v>
      </c>
      <c r="BI47" s="15">
        <v>2010</v>
      </c>
      <c r="BJ47" s="15">
        <v>2011</v>
      </c>
      <c r="BK47" s="15">
        <v>2012</v>
      </c>
      <c r="BL47" s="15">
        <v>2013</v>
      </c>
      <c r="BM47" s="15">
        <v>2014</v>
      </c>
      <c r="BN47" s="15">
        <v>2015</v>
      </c>
      <c r="BO47" s="15">
        <v>2016</v>
      </c>
      <c r="BP47" s="15">
        <v>3471.1</v>
      </c>
      <c r="BQ47" s="15">
        <v>4263.3999999999996</v>
      </c>
      <c r="BR47" s="15">
        <v>4681.2</v>
      </c>
      <c r="BS47" s="15">
        <v>4934.3</v>
      </c>
      <c r="BT47" s="15">
        <v>6022.1</v>
      </c>
      <c r="BU47" s="15">
        <v>6416.7</v>
      </c>
      <c r="BV47" s="15">
        <v>11396.6</v>
      </c>
      <c r="BW47" s="15">
        <v>794.1</v>
      </c>
      <c r="BX47" s="15">
        <v>1109.2</v>
      </c>
      <c r="BY47" s="15">
        <v>949.2</v>
      </c>
      <c r="BZ47" s="15">
        <v>1733.5</v>
      </c>
      <c r="CA47" s="15">
        <v>1698</v>
      </c>
      <c r="CB47" s="15">
        <v>1419.5</v>
      </c>
      <c r="CC47" s="15">
        <v>962.9</v>
      </c>
      <c r="CD47" s="15">
        <v>588</v>
      </c>
      <c r="CE47" s="15">
        <v>865</v>
      </c>
      <c r="CF47" s="15">
        <v>745.4</v>
      </c>
      <c r="CG47" s="15">
        <v>665.1</v>
      </c>
      <c r="CH47" s="15">
        <v>3405.5</v>
      </c>
      <c r="CI47" s="15">
        <v>1303.4000000000001</v>
      </c>
      <c r="CJ47" s="15">
        <v>327.39999999999998</v>
      </c>
      <c r="CK47" s="15">
        <v>5387.6</v>
      </c>
      <c r="CL47" s="15">
        <v>6380.2</v>
      </c>
      <c r="CM47" s="15">
        <v>7317.2</v>
      </c>
      <c r="CN47" s="15">
        <v>8323</v>
      </c>
      <c r="CO47" s="15">
        <v>13632.1</v>
      </c>
      <c r="CP47" s="15">
        <v>16609.8</v>
      </c>
      <c r="CQ47" s="15">
        <v>67035.399999999994</v>
      </c>
      <c r="CR47" s="15">
        <v>1107.9000000000001</v>
      </c>
      <c r="CS47" s="15">
        <v>1100</v>
      </c>
      <c r="CT47" s="15">
        <v>1100</v>
      </c>
      <c r="CU47" s="15">
        <v>0</v>
      </c>
      <c r="CV47" s="15">
        <v>850</v>
      </c>
      <c r="CW47" s="15">
        <v>1581.4</v>
      </c>
      <c r="CX47" s="15">
        <v>22967.8</v>
      </c>
      <c r="CY47" s="15">
        <v>661.5</v>
      </c>
      <c r="CZ47" s="15">
        <v>754.7</v>
      </c>
      <c r="DA47" s="15">
        <v>894.3</v>
      </c>
      <c r="DB47" s="15">
        <v>913.5</v>
      </c>
      <c r="DC47" s="15">
        <v>762.7</v>
      </c>
      <c r="DD47" s="15">
        <v>905.8</v>
      </c>
      <c r="DE47" s="15">
        <v>1430.9</v>
      </c>
      <c r="DF47" s="15">
        <v>11.75</v>
      </c>
      <c r="DG47" s="15">
        <v>14.7</v>
      </c>
      <c r="DH47" s="15">
        <v>10.88</v>
      </c>
      <c r="DI47" s="15">
        <v>8.51</v>
      </c>
      <c r="DJ47" s="15">
        <v>31.02</v>
      </c>
      <c r="DK47" s="15">
        <v>8.6199999999999992</v>
      </c>
      <c r="DL47" s="15">
        <v>0.78</v>
      </c>
      <c r="DM47" s="15">
        <v>22.88</v>
      </c>
      <c r="DN47" s="15">
        <v>26.02</v>
      </c>
      <c r="DO47" s="15">
        <v>20.28</v>
      </c>
      <c r="DP47" s="15">
        <v>35.130000000000003</v>
      </c>
      <c r="DQ47" s="15">
        <v>28.2</v>
      </c>
      <c r="DR47" s="15">
        <v>22.12</v>
      </c>
      <c r="DS47" s="15">
        <v>8.4499999999999993</v>
      </c>
      <c r="DT47">
        <v>20.5639</v>
      </c>
      <c r="DU47">
        <v>17.2408</v>
      </c>
      <c r="DV47">
        <v>15.033099999999999</v>
      </c>
      <c r="DW47">
        <v>0</v>
      </c>
      <c r="DX47">
        <v>6.2352999999999996</v>
      </c>
      <c r="DY47">
        <v>9.5208999999999993</v>
      </c>
      <c r="DZ47">
        <v>34.2622</v>
      </c>
      <c r="EA47" s="15"/>
      <c r="EB47" s="15">
        <v>15</v>
      </c>
      <c r="EC47" s="15">
        <v>13</v>
      </c>
      <c r="ED47" s="15">
        <v>23</v>
      </c>
      <c r="EE47" s="15">
        <v>18</v>
      </c>
      <c r="EF47" s="15">
        <v>8</v>
      </c>
      <c r="EG47" s="15">
        <v>6</v>
      </c>
      <c r="EH47" s="15"/>
      <c r="EI47" s="15">
        <v>159</v>
      </c>
      <c r="EJ47" s="15">
        <v>241</v>
      </c>
      <c r="EK47" s="15">
        <v>416</v>
      </c>
      <c r="EL47" s="15">
        <v>245</v>
      </c>
      <c r="EM47" s="15">
        <v>20</v>
      </c>
      <c r="EN47" s="15">
        <v>22</v>
      </c>
      <c r="EO47" s="15"/>
      <c r="EP47" s="15"/>
      <c r="EQ47" t="str">
        <f t="shared" si="7"/>
        <v/>
      </c>
      <c r="ES47" s="15" t="s">
        <v>181</v>
      </c>
      <c r="ET47" s="15" t="s">
        <v>181</v>
      </c>
      <c r="EU47">
        <f t="shared" si="8"/>
        <v>12.443333333333333</v>
      </c>
      <c r="EV47">
        <f t="shared" si="9"/>
        <v>13.473333333333334</v>
      </c>
      <c r="EW47">
        <f t="shared" si="10"/>
        <v>1.0300000000000011</v>
      </c>
      <c r="EX47">
        <f t="shared" si="11"/>
        <v>23.060000000000002</v>
      </c>
      <c r="EY47">
        <f t="shared" si="12"/>
        <v>19.59</v>
      </c>
      <c r="EZ47">
        <f t="shared" si="13"/>
        <v>-3.4700000000000024</v>
      </c>
      <c r="FA47">
        <f t="shared" si="14"/>
        <v>14</v>
      </c>
      <c r="FB47">
        <f t="shared" si="15"/>
        <v>10.666666666666666</v>
      </c>
      <c r="FC47">
        <f t="shared" si="16"/>
        <v>-3.3333333333333339</v>
      </c>
      <c r="FD47">
        <f t="shared" si="17"/>
        <v>200</v>
      </c>
      <c r="FE47">
        <f t="shared" si="18"/>
        <v>95.666666666666671</v>
      </c>
      <c r="FF47">
        <f t="shared" si="19"/>
        <v>-104.33333333333333</v>
      </c>
      <c r="FG47" t="str">
        <f t="shared" si="20"/>
        <v>Yes</v>
      </c>
      <c r="FH47" t="str">
        <f t="shared" si="21"/>
        <v>No</v>
      </c>
      <c r="FI47" t="str">
        <f t="shared" si="22"/>
        <v>Not ready</v>
      </c>
    </row>
  </sheetData>
  <mergeCells count="8">
    <mergeCell ref="EA1:EN1"/>
    <mergeCell ref="EO1:ET1"/>
    <mergeCell ref="EU1:FI1"/>
    <mergeCell ref="A1:N1"/>
    <mergeCell ref="O1:AI1"/>
    <mergeCell ref="AJ1:BH1"/>
    <mergeCell ref="BI1:BO1"/>
    <mergeCell ref="BP1:DZ1"/>
  </mergeCells>
  <conditionalFormatting sqref="G3:G44">
    <cfRule type="expression" dxfId="3" priority="1">
      <formula>G3="Yes"</formula>
    </cfRule>
  </conditionalFormatting>
  <conditionalFormatting sqref="H3:H44">
    <cfRule type="expression" dxfId="2" priority="2">
      <formula>H3="Yes"</formula>
    </cfRule>
  </conditionalFormatting>
  <conditionalFormatting sqref="FI3:FI44">
    <cfRule type="expression" dxfId="1" priority="3">
      <formula>FI3="Ready"</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7">
        <x14:dataValidation type="list" xr:uid="{00000000-0002-0000-0200-000000000000}">
          <x14:formula1>
            <xm:f>#REF!</xm:f>
          </x14:formula1>
          <xm:sqref>K3:K44</xm:sqref>
        </x14:dataValidation>
        <x14:dataValidation type="list" xr:uid="{00000000-0002-0000-0200-000001000000}">
          <x14:formula1>
            <xm:f>#REF!</xm:f>
          </x14:formula1>
          <xm:sqref>AU3:AU44</xm:sqref>
        </x14:dataValidation>
        <x14:dataValidation type="list" xr:uid="{00000000-0002-0000-0200-000002000000}">
          <x14:formula1>
            <xm:f>#REF!</xm:f>
          </x14:formula1>
          <xm:sqref>AV3:AV44</xm:sqref>
        </x14:dataValidation>
        <x14:dataValidation type="list" xr:uid="{00000000-0002-0000-0200-000003000000}">
          <x14:formula1>
            <xm:f>#REF!</xm:f>
          </x14:formula1>
          <xm:sqref>ES3:ET44 AW3:BB44 AL3:AM44</xm:sqref>
        </x14:dataValidation>
        <x14:dataValidation type="list" xr:uid="{00000000-0002-0000-0200-00000B000000}">
          <x14:formula1>
            <xm:f>#REF!</xm:f>
          </x14:formula1>
          <xm:sqref>BF3:BG44</xm:sqref>
        </x14:dataValidation>
        <x14:dataValidation type="list" xr:uid="{00000000-0002-0000-0200-00000D000000}">
          <x14:formula1>
            <xm:f>#REF!</xm:f>
          </x14:formula1>
          <xm:sqref>M3:M44</xm:sqref>
        </x14:dataValidation>
        <x14:dataValidation type="list" xr:uid="{00000000-0002-0000-0200-00000E000000}">
          <x14:formula1>
            <xm:f>#REF!</xm:f>
          </x14:formula1>
          <xm:sqref>BH3:BH44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16"/>
  <sheetViews>
    <sheetView topLeftCell="T1" workbookViewId="0">
      <selection activeCell="X1" sqref="X1:Z1048576"/>
    </sheetView>
  </sheetViews>
  <sheetFormatPr defaultRowHeight="14"/>
  <cols>
    <col min="1" max="1" width="13" customWidth="1"/>
    <col min="2" max="2" width="18" customWidth="1"/>
    <col min="3" max="3" width="13" customWidth="1"/>
    <col min="4" max="5" width="25" customWidth="1"/>
    <col min="6" max="23" width="13" customWidth="1"/>
  </cols>
  <sheetData>
    <row r="1" spans="1:23" ht="28" customHeight="1">
      <c r="A1" s="14" t="s">
        <v>11</v>
      </c>
      <c r="B1" s="14" t="s">
        <v>13</v>
      </c>
      <c r="C1" s="14" t="s">
        <v>703</v>
      </c>
      <c r="D1" s="14" t="s">
        <v>704</v>
      </c>
      <c r="E1" s="14" t="s">
        <v>705</v>
      </c>
      <c r="F1" s="14" t="s">
        <v>27</v>
      </c>
      <c r="G1" s="14" t="s">
        <v>706</v>
      </c>
      <c r="H1" s="14" t="s">
        <v>707</v>
      </c>
      <c r="I1" s="14" t="s">
        <v>708</v>
      </c>
      <c r="J1" s="14" t="s">
        <v>709</v>
      </c>
      <c r="K1" s="14" t="s">
        <v>710</v>
      </c>
      <c r="L1" s="14" t="s">
        <v>711</v>
      </c>
      <c r="M1" s="14" t="s">
        <v>712</v>
      </c>
      <c r="N1" s="14" t="s">
        <v>713</v>
      </c>
      <c r="O1" s="14" t="s">
        <v>714</v>
      </c>
      <c r="P1" s="14" t="s">
        <v>715</v>
      </c>
      <c r="Q1" s="14" t="s">
        <v>716</v>
      </c>
      <c r="R1" s="14" t="s">
        <v>717</v>
      </c>
      <c r="S1" s="14" t="s">
        <v>718</v>
      </c>
      <c r="T1" s="14" t="s">
        <v>719</v>
      </c>
      <c r="U1" s="14" t="s">
        <v>720</v>
      </c>
      <c r="V1" s="14" t="s">
        <v>721</v>
      </c>
      <c r="W1" s="14" t="s">
        <v>42</v>
      </c>
    </row>
    <row r="2" spans="1:23" ht="13.4" customHeight="1">
      <c r="A2" s="15" t="s">
        <v>176</v>
      </c>
      <c r="B2" s="15" t="s">
        <v>177</v>
      </c>
      <c r="C2" s="15">
        <v>1</v>
      </c>
      <c r="D2" s="15" t="s">
        <v>193</v>
      </c>
      <c r="E2" s="15" t="s">
        <v>195</v>
      </c>
      <c r="F2" s="15">
        <v>2020</v>
      </c>
      <c r="G2" s="15">
        <v>-3</v>
      </c>
      <c r="H2" s="15">
        <v>2017</v>
      </c>
      <c r="I2" s="15">
        <v>0</v>
      </c>
      <c r="J2" s="15">
        <v>0</v>
      </c>
      <c r="K2" s="16" t="e">
        <f>IF(#REF!="","",#REF!*$I2)</f>
        <v>#REF!</v>
      </c>
      <c r="L2" s="17" t="str">
        <f>IF(ISBLANK(Deal_Master_Wide!$BP$3),"",Deal_Master_Wide!$BP$3)</f>
        <v/>
      </c>
      <c r="M2" s="17" t="str">
        <f>IF(ISBLANK(Deal_Master_Wide!$BW$3),"",Deal_Master_Wide!$BW$3)</f>
        <v/>
      </c>
      <c r="N2" s="17" t="str">
        <f>IF(ISBLANK(Deal_Master_Wide!$CD$3),"",Deal_Master_Wide!$CD$3)</f>
        <v/>
      </c>
      <c r="O2" s="17" t="str">
        <f>IF(ISBLANK(Deal_Master_Wide!$CK$3),"",Deal_Master_Wide!$CK$3)</f>
        <v/>
      </c>
      <c r="P2" s="17" t="str">
        <f>IF(ISBLANK(Deal_Master_Wide!$CR$3),"",Deal_Master_Wide!$CR$3)</f>
        <v/>
      </c>
      <c r="Q2" s="17" t="str">
        <f>IF(ISBLANK(Deal_Master_Wide!$CY$3),"",Deal_Master_Wide!$CY$3)</f>
        <v/>
      </c>
      <c r="R2" s="18" t="str">
        <f>IF(ISBLANK(Deal_Master_Wide!$DF$3),"",Deal_Master_Wide!$DF$3)</f>
        <v/>
      </c>
      <c r="S2" s="18" t="str">
        <f>IF(ISBLANK(Deal_Master_Wide!$DM$3),"",Deal_Master_Wide!$DM$3)</f>
        <v/>
      </c>
      <c r="T2" s="18" t="str">
        <f>IF(ISBLANK(Deal_Master_Wide!$DT$3),"",Deal_Master_Wide!$DT$3)</f>
        <v/>
      </c>
      <c r="U2" s="17" t="str">
        <f>IF(ISBLANK(Deal_Master_Wide!$EA$3),"",Deal_Master_Wide!$EA$3)</f>
        <v/>
      </c>
      <c r="V2" s="17" t="str">
        <f>IF(ISBLANK(Deal_Master_Wide!$EH$3),"",Deal_Master_Wide!$EH$3)</f>
        <v/>
      </c>
      <c r="W2" s="17" t="str">
        <f>IF(ISBLANK(Deal_Master_Wide!$AF$3),"",Deal_Master_Wide!$AF$3)</f>
        <v/>
      </c>
    </row>
    <row r="3" spans="1:23" ht="13.4" customHeight="1">
      <c r="A3" s="15" t="s">
        <v>176</v>
      </c>
      <c r="B3" s="15" t="s">
        <v>177</v>
      </c>
      <c r="C3" s="15">
        <v>1</v>
      </c>
      <c r="D3" s="15" t="s">
        <v>193</v>
      </c>
      <c r="E3" s="15" t="s">
        <v>195</v>
      </c>
      <c r="F3" s="15">
        <v>2020</v>
      </c>
      <c r="G3" s="15">
        <v>-2</v>
      </c>
      <c r="H3" s="15">
        <v>2018</v>
      </c>
      <c r="I3" s="15">
        <v>0</v>
      </c>
      <c r="J3" s="15">
        <v>0</v>
      </c>
      <c r="K3" s="16" t="e">
        <f>IF(#REF!="","",#REF!*$I3)</f>
        <v>#REF!</v>
      </c>
      <c r="L3" s="17" t="str">
        <f>IF(ISBLANK(Deal_Master_Wide!$BQ$3),"",Deal_Master_Wide!$BQ$3)</f>
        <v/>
      </c>
      <c r="M3" s="17" t="str">
        <f>IF(ISBLANK(Deal_Master_Wide!$BX$3),"",Deal_Master_Wide!$BX$3)</f>
        <v/>
      </c>
      <c r="N3" s="17" t="str">
        <f>IF(ISBLANK(Deal_Master_Wide!$CE$3),"",Deal_Master_Wide!$CE$3)</f>
        <v/>
      </c>
      <c r="O3" s="17" t="str">
        <f>IF(ISBLANK(Deal_Master_Wide!$CL$3),"",Deal_Master_Wide!$CL$3)</f>
        <v/>
      </c>
      <c r="P3" s="17" t="str">
        <f>IF(ISBLANK(Deal_Master_Wide!$CS$3),"",Deal_Master_Wide!$CS$3)</f>
        <v/>
      </c>
      <c r="Q3" s="17" t="str">
        <f>IF(ISBLANK(Deal_Master_Wide!$CZ$3),"",Deal_Master_Wide!$CZ$3)</f>
        <v/>
      </c>
      <c r="R3" s="18" t="str">
        <f>IF(ISBLANK(Deal_Master_Wide!$DG$3),"",Deal_Master_Wide!$DG$3)</f>
        <v/>
      </c>
      <c r="S3" s="18" t="str">
        <f>IF(ISBLANK(Deal_Master_Wide!$DN$3),"",Deal_Master_Wide!$DN$3)</f>
        <v/>
      </c>
      <c r="T3" s="18" t="str">
        <f>IF(ISBLANK(Deal_Master_Wide!$DU$3),"",Deal_Master_Wide!$DU$3)</f>
        <v/>
      </c>
      <c r="U3" s="17" t="str">
        <f>IF(ISBLANK(Deal_Master_Wide!$EB$3),"",Deal_Master_Wide!$EB$3)</f>
        <v/>
      </c>
      <c r="V3" s="17" t="str">
        <f>IF(ISBLANK(Deal_Master_Wide!$EI$3),"",Deal_Master_Wide!$EI$3)</f>
        <v/>
      </c>
      <c r="W3" s="17" t="str">
        <f>IF(ISBLANK(Deal_Master_Wide!$AF$3),"",Deal_Master_Wide!$AF$3)</f>
        <v/>
      </c>
    </row>
    <row r="4" spans="1:23" ht="13.4" customHeight="1">
      <c r="A4" s="15" t="s">
        <v>176</v>
      </c>
      <c r="B4" s="15" t="s">
        <v>177</v>
      </c>
      <c r="C4" s="15">
        <v>1</v>
      </c>
      <c r="D4" s="15" t="s">
        <v>193</v>
      </c>
      <c r="E4" s="15" t="s">
        <v>195</v>
      </c>
      <c r="F4" s="15">
        <v>2020</v>
      </c>
      <c r="G4" s="15">
        <v>-1</v>
      </c>
      <c r="H4" s="15">
        <v>2019</v>
      </c>
      <c r="I4" s="15">
        <v>0</v>
      </c>
      <c r="J4" s="15">
        <v>0</v>
      </c>
      <c r="K4" s="16" t="e">
        <f>IF(#REF!="","",#REF!*$I4)</f>
        <v>#REF!</v>
      </c>
      <c r="L4" s="17" t="str">
        <f>IF(ISBLANK(Deal_Master_Wide!$BR$3),"",Deal_Master_Wide!$BR$3)</f>
        <v/>
      </c>
      <c r="M4" s="17" t="str">
        <f>IF(ISBLANK(Deal_Master_Wide!$BY$3),"",Deal_Master_Wide!$BY$3)</f>
        <v/>
      </c>
      <c r="N4" s="17" t="str">
        <f>IF(ISBLANK(Deal_Master_Wide!$CF$3),"",Deal_Master_Wide!$CF$3)</f>
        <v/>
      </c>
      <c r="O4" s="17" t="str">
        <f>IF(ISBLANK(Deal_Master_Wide!$CM$3),"",Deal_Master_Wide!$CM$3)</f>
        <v/>
      </c>
      <c r="P4" s="17" t="str">
        <f>IF(ISBLANK(Deal_Master_Wide!$CT$3),"",Deal_Master_Wide!$CT$3)</f>
        <v/>
      </c>
      <c r="Q4" s="17" t="str">
        <f>IF(ISBLANK(Deal_Master_Wide!$DA$3),"",Deal_Master_Wide!$DA$3)</f>
        <v/>
      </c>
      <c r="R4" s="18" t="str">
        <f>IF(ISBLANK(Deal_Master_Wide!$DH$3),"",Deal_Master_Wide!$DH$3)</f>
        <v/>
      </c>
      <c r="S4" s="18" t="str">
        <f>IF(ISBLANK(Deal_Master_Wide!$DO$3),"",Deal_Master_Wide!$DO$3)</f>
        <v/>
      </c>
      <c r="T4" s="18" t="str">
        <f>IF(ISBLANK(Deal_Master_Wide!$DV$3),"",Deal_Master_Wide!$DV$3)</f>
        <v/>
      </c>
      <c r="U4" s="17" t="str">
        <f>IF(ISBLANK(Deal_Master_Wide!$EC$3),"",Deal_Master_Wide!$EC$3)</f>
        <v/>
      </c>
      <c r="V4" s="17" t="str">
        <f>IF(ISBLANK(Deal_Master_Wide!$EJ$3),"",Deal_Master_Wide!$EJ$3)</f>
        <v/>
      </c>
      <c r="W4" s="17" t="str">
        <f>IF(ISBLANK(Deal_Master_Wide!$AF$3),"",Deal_Master_Wide!$AF$3)</f>
        <v/>
      </c>
    </row>
    <row r="5" spans="1:23" ht="13.4" customHeight="1">
      <c r="A5" s="15" t="s">
        <v>176</v>
      </c>
      <c r="B5" s="15" t="s">
        <v>177</v>
      </c>
      <c r="C5" s="15">
        <v>1</v>
      </c>
      <c r="D5" s="15" t="s">
        <v>193</v>
      </c>
      <c r="E5" s="15" t="s">
        <v>195</v>
      </c>
      <c r="F5" s="15">
        <v>2020</v>
      </c>
      <c r="G5" s="15">
        <v>0</v>
      </c>
      <c r="H5" s="15">
        <v>2020</v>
      </c>
      <c r="I5" s="15">
        <v>0</v>
      </c>
      <c r="J5" s="15">
        <v>1</v>
      </c>
      <c r="K5" s="16" t="e">
        <f>IF(#REF!="","",#REF!*$I5)</f>
        <v>#REF!</v>
      </c>
      <c r="L5" s="17" t="str">
        <f>IF(ISBLANK(Deal_Master_Wide!$BS$3),"",Deal_Master_Wide!$BS$3)</f>
        <v/>
      </c>
      <c r="M5" s="17" t="str">
        <f>IF(ISBLANK(Deal_Master_Wide!$BZ$3),"",Deal_Master_Wide!$BZ$3)</f>
        <v/>
      </c>
      <c r="N5" s="17" t="str">
        <f>IF(ISBLANK(Deal_Master_Wide!$CG$3),"",Deal_Master_Wide!$CG$3)</f>
        <v/>
      </c>
      <c r="O5" s="17" t="str">
        <f>IF(ISBLANK(Deal_Master_Wide!$CN$3),"",Deal_Master_Wide!$CN$3)</f>
        <v/>
      </c>
      <c r="P5" s="17" t="str">
        <f>IF(ISBLANK(Deal_Master_Wide!$CU$3),"",Deal_Master_Wide!$CU$3)</f>
        <v/>
      </c>
      <c r="Q5" s="17" t="str">
        <f>IF(ISBLANK(Deal_Master_Wide!$DB$3),"",Deal_Master_Wide!$DB$3)</f>
        <v/>
      </c>
      <c r="R5" s="18" t="str">
        <f>IF(ISBLANK(Deal_Master_Wide!$DI$3),"",Deal_Master_Wide!$DI$3)</f>
        <v/>
      </c>
      <c r="S5" s="18" t="str">
        <f>IF(ISBLANK(Deal_Master_Wide!$DP$3),"",Deal_Master_Wide!$DP$3)</f>
        <v/>
      </c>
      <c r="T5" s="18" t="str">
        <f>IF(ISBLANK(Deal_Master_Wide!$DW$3),"",Deal_Master_Wide!$DW$3)</f>
        <v/>
      </c>
      <c r="U5" s="17" t="str">
        <f>IF(ISBLANK(Deal_Master_Wide!$ED$3),"",Deal_Master_Wide!$ED$3)</f>
        <v/>
      </c>
      <c r="V5" s="17" t="str">
        <f>IF(ISBLANK(Deal_Master_Wide!$EK$3),"",Deal_Master_Wide!$EK$3)</f>
        <v/>
      </c>
      <c r="W5" s="17" t="str">
        <f>IF(ISBLANK(Deal_Master_Wide!$AF$3),"",Deal_Master_Wide!$AF$3)</f>
        <v/>
      </c>
    </row>
    <row r="6" spans="1:23" ht="13.4" customHeight="1">
      <c r="A6" s="15" t="s">
        <v>176</v>
      </c>
      <c r="B6" s="15" t="s">
        <v>177</v>
      </c>
      <c r="C6" s="15">
        <v>1</v>
      </c>
      <c r="D6" s="15" t="s">
        <v>193</v>
      </c>
      <c r="E6" s="15" t="s">
        <v>195</v>
      </c>
      <c r="F6" s="15">
        <v>2020</v>
      </c>
      <c r="G6" s="15">
        <v>1</v>
      </c>
      <c r="H6" s="15">
        <v>2021</v>
      </c>
      <c r="I6" s="15">
        <v>1</v>
      </c>
      <c r="J6" s="15">
        <v>1</v>
      </c>
      <c r="K6" s="16" t="e">
        <f>IF(#REF!="","",#REF!*$I6)</f>
        <v>#REF!</v>
      </c>
      <c r="L6" s="17" t="str">
        <f>IF(ISBLANK(Deal_Master_Wide!$BT$3),"",Deal_Master_Wide!$BT$3)</f>
        <v/>
      </c>
      <c r="M6" s="17" t="str">
        <f>IF(ISBLANK(Deal_Master_Wide!$CA$3),"",Deal_Master_Wide!$CA$3)</f>
        <v/>
      </c>
      <c r="N6" s="17" t="str">
        <f>IF(ISBLANK(Deal_Master_Wide!$CH$3),"",Deal_Master_Wide!$CH$3)</f>
        <v/>
      </c>
      <c r="O6" s="17" t="str">
        <f>IF(ISBLANK(Deal_Master_Wide!$CO$3),"",Deal_Master_Wide!$CO$3)</f>
        <v/>
      </c>
      <c r="P6" s="17" t="str">
        <f>IF(ISBLANK(Deal_Master_Wide!$CV$3),"",Deal_Master_Wide!$CV$3)</f>
        <v/>
      </c>
      <c r="Q6" s="17" t="str">
        <f>IF(ISBLANK(Deal_Master_Wide!$DC$3),"",Deal_Master_Wide!$DC$3)</f>
        <v/>
      </c>
      <c r="R6" s="18" t="str">
        <f>IF(ISBLANK(Deal_Master_Wide!$DJ$3),"",Deal_Master_Wide!$DJ$3)</f>
        <v/>
      </c>
      <c r="S6" s="18" t="str">
        <f>IF(ISBLANK(Deal_Master_Wide!$DQ$3),"",Deal_Master_Wide!$DQ$3)</f>
        <v/>
      </c>
      <c r="T6" s="18" t="str">
        <f>IF(ISBLANK(Deal_Master_Wide!$DX$3),"",Deal_Master_Wide!$DX$3)</f>
        <v/>
      </c>
      <c r="U6" s="17" t="str">
        <f>IF(ISBLANK(Deal_Master_Wide!$EE$3),"",Deal_Master_Wide!$EE$3)</f>
        <v/>
      </c>
      <c r="V6" s="17" t="str">
        <f>IF(ISBLANK(Deal_Master_Wide!$EL$3),"",Deal_Master_Wide!$EL$3)</f>
        <v/>
      </c>
      <c r="W6" s="17" t="str">
        <f>IF(ISBLANK(Deal_Master_Wide!$AF$3),"",Deal_Master_Wide!$AF$3)</f>
        <v/>
      </c>
    </row>
    <row r="7" spans="1:23" ht="13.4" customHeight="1">
      <c r="A7" s="15" t="s">
        <v>176</v>
      </c>
      <c r="B7" s="15" t="s">
        <v>177</v>
      </c>
      <c r="C7" s="15">
        <v>1</v>
      </c>
      <c r="D7" s="15" t="s">
        <v>193</v>
      </c>
      <c r="E7" s="15" t="s">
        <v>195</v>
      </c>
      <c r="F7" s="15">
        <v>2020</v>
      </c>
      <c r="G7" s="15">
        <v>2</v>
      </c>
      <c r="H7" s="15">
        <v>2022</v>
      </c>
      <c r="I7" s="15">
        <v>1</v>
      </c>
      <c r="J7" s="15">
        <v>1</v>
      </c>
      <c r="K7" s="16" t="e">
        <f>IF(#REF!="","",#REF!*$I7)</f>
        <v>#REF!</v>
      </c>
      <c r="L7" s="17" t="str">
        <f>IF(ISBLANK(Deal_Master_Wide!$BU$3),"",Deal_Master_Wide!$BU$3)</f>
        <v/>
      </c>
      <c r="M7" s="17" t="str">
        <f>IF(ISBLANK(Deal_Master_Wide!$CB$3),"",Deal_Master_Wide!$CB$3)</f>
        <v/>
      </c>
      <c r="N7" s="17" t="str">
        <f>IF(ISBLANK(Deal_Master_Wide!$CI$3),"",Deal_Master_Wide!$CI$3)</f>
        <v/>
      </c>
      <c r="O7" s="17" t="str">
        <f>IF(ISBLANK(Deal_Master_Wide!$CP$3),"",Deal_Master_Wide!$CP$3)</f>
        <v/>
      </c>
      <c r="P7" s="17" t="str">
        <f>IF(ISBLANK(Deal_Master_Wide!$CW$3),"",Deal_Master_Wide!$CW$3)</f>
        <v/>
      </c>
      <c r="Q7" s="17" t="str">
        <f>IF(ISBLANK(Deal_Master_Wide!$DD$3),"",Deal_Master_Wide!$DD$3)</f>
        <v/>
      </c>
      <c r="R7" s="18" t="str">
        <f>IF(ISBLANK(Deal_Master_Wide!$DK$3),"",Deal_Master_Wide!$DK$3)</f>
        <v/>
      </c>
      <c r="S7" s="18" t="str">
        <f>IF(ISBLANK(Deal_Master_Wide!$DR$3),"",Deal_Master_Wide!$DR$3)</f>
        <v/>
      </c>
      <c r="T7" s="18" t="str">
        <f>IF(ISBLANK(Deal_Master_Wide!$DY$3),"",Deal_Master_Wide!$DY$3)</f>
        <v/>
      </c>
      <c r="U7" s="17" t="str">
        <f>IF(ISBLANK(Deal_Master_Wide!$EF$3),"",Deal_Master_Wide!$EF$3)</f>
        <v/>
      </c>
      <c r="V7" s="17" t="str">
        <f>IF(ISBLANK(Deal_Master_Wide!$EM$3),"",Deal_Master_Wide!$EM$3)</f>
        <v/>
      </c>
      <c r="W7" s="17" t="str">
        <f>IF(ISBLANK(Deal_Master_Wide!$AF$3),"",Deal_Master_Wide!$AF$3)</f>
        <v/>
      </c>
    </row>
    <row r="8" spans="1:23" ht="13.4" customHeight="1">
      <c r="A8" s="15" t="s">
        <v>176</v>
      </c>
      <c r="B8" s="15" t="s">
        <v>177</v>
      </c>
      <c r="C8" s="15">
        <v>1</v>
      </c>
      <c r="D8" s="15" t="s">
        <v>193</v>
      </c>
      <c r="E8" s="15" t="s">
        <v>195</v>
      </c>
      <c r="F8" s="15">
        <v>2020</v>
      </c>
      <c r="G8" s="15">
        <v>3</v>
      </c>
      <c r="H8" s="15">
        <v>2023</v>
      </c>
      <c r="I8" s="15">
        <v>1</v>
      </c>
      <c r="J8" s="15">
        <v>1</v>
      </c>
      <c r="K8" s="16" t="e">
        <f>IF(#REF!="","",#REF!*$I8)</f>
        <v>#REF!</v>
      </c>
      <c r="L8" s="17" t="str">
        <f>IF(ISBLANK(Deal_Master_Wide!$BV$3),"",Deal_Master_Wide!$BV$3)</f>
        <v/>
      </c>
      <c r="M8" s="17" t="str">
        <f>IF(ISBLANK(Deal_Master_Wide!$CC$3),"",Deal_Master_Wide!$CC$3)</f>
        <v/>
      </c>
      <c r="N8" s="17" t="str">
        <f>IF(ISBLANK(Deal_Master_Wide!$CJ$3),"",Deal_Master_Wide!$CJ$3)</f>
        <v/>
      </c>
      <c r="O8" s="17" t="str">
        <f>IF(ISBLANK(Deal_Master_Wide!$CQ$3),"",Deal_Master_Wide!$CQ$3)</f>
        <v/>
      </c>
      <c r="P8" s="17" t="str">
        <f>IF(ISBLANK(Deal_Master_Wide!$CX$3),"",Deal_Master_Wide!$CX$3)</f>
        <v/>
      </c>
      <c r="Q8" s="17" t="str">
        <f>IF(ISBLANK(Deal_Master_Wide!$DE$3),"",Deal_Master_Wide!$DE$3)</f>
        <v/>
      </c>
      <c r="R8" s="18" t="str">
        <f>IF(ISBLANK(Deal_Master_Wide!$DL$3),"",Deal_Master_Wide!$DL$3)</f>
        <v/>
      </c>
      <c r="S8" s="18" t="str">
        <f>IF(ISBLANK(Deal_Master_Wide!$DS$3),"",Deal_Master_Wide!$DS$3)</f>
        <v/>
      </c>
      <c r="T8" s="18" t="str">
        <f>IF(ISBLANK(Deal_Master_Wide!$DZ$3),"",Deal_Master_Wide!$DZ$3)</f>
        <v/>
      </c>
      <c r="U8" s="17" t="str">
        <f>IF(ISBLANK(Deal_Master_Wide!$EG$3),"",Deal_Master_Wide!$EG$3)</f>
        <v/>
      </c>
      <c r="V8" s="17" t="str">
        <f>IF(ISBLANK(Deal_Master_Wide!$EN$3),"",Deal_Master_Wide!$EN$3)</f>
        <v/>
      </c>
      <c r="W8" s="17" t="str">
        <f>IF(ISBLANK(Deal_Master_Wide!$AF$3),"",Deal_Master_Wide!$AF$3)</f>
        <v/>
      </c>
    </row>
    <row r="9" spans="1:23" ht="13.4" customHeight="1">
      <c r="A9" s="15" t="s">
        <v>205</v>
      </c>
      <c r="B9" s="15" t="s">
        <v>177</v>
      </c>
      <c r="C9" s="15">
        <v>1</v>
      </c>
      <c r="D9" s="15" t="s">
        <v>212</v>
      </c>
      <c r="E9" s="15" t="s">
        <v>214</v>
      </c>
      <c r="F9" s="15">
        <v>2020</v>
      </c>
      <c r="G9" s="15">
        <v>-3</v>
      </c>
      <c r="H9" s="15">
        <v>2017</v>
      </c>
      <c r="I9" s="15">
        <v>0</v>
      </c>
      <c r="J9" s="15">
        <v>0</v>
      </c>
      <c r="K9" s="16" t="e">
        <f>IF(#REF!="","",#REF!*$I9)</f>
        <v>#REF!</v>
      </c>
      <c r="L9" s="17" t="str">
        <f>IF(ISBLANK(Deal_Master_Wide!$BP$4),"",Deal_Master_Wide!$BP$4)</f>
        <v/>
      </c>
      <c r="M9" s="17" t="str">
        <f>IF(ISBLANK(Deal_Master_Wide!$BW$4),"",Deal_Master_Wide!$BW$4)</f>
        <v/>
      </c>
      <c r="N9" s="17" t="str">
        <f>IF(ISBLANK(Deal_Master_Wide!$CD$4),"",Deal_Master_Wide!$CD$4)</f>
        <v/>
      </c>
      <c r="O9" s="17" t="str">
        <f>IF(ISBLANK(Deal_Master_Wide!$CK$4),"",Deal_Master_Wide!$CK$4)</f>
        <v/>
      </c>
      <c r="P9" s="17" t="str">
        <f>IF(ISBLANK(Deal_Master_Wide!$CR$4),"",Deal_Master_Wide!$CR$4)</f>
        <v/>
      </c>
      <c r="Q9" s="17" t="str">
        <f>IF(ISBLANK(Deal_Master_Wide!$CY$4),"",Deal_Master_Wide!$CY$4)</f>
        <v/>
      </c>
      <c r="R9" s="18" t="str">
        <f>IF(ISBLANK(Deal_Master_Wide!$DF$4),"",Deal_Master_Wide!$DF$4)</f>
        <v/>
      </c>
      <c r="S9" s="18" t="str">
        <f>IF(ISBLANK(Deal_Master_Wide!$DM$4),"",Deal_Master_Wide!$DM$4)</f>
        <v/>
      </c>
      <c r="T9" s="18" t="str">
        <f>IF(ISBLANK(Deal_Master_Wide!$DT$4),"",Deal_Master_Wide!$DT$4)</f>
        <v/>
      </c>
      <c r="U9" s="17" t="str">
        <f>IF(ISBLANK(Deal_Master_Wide!$EA$4),"",Deal_Master_Wide!$EA$4)</f>
        <v/>
      </c>
      <c r="V9" s="17" t="str">
        <f>IF(ISBLANK(Deal_Master_Wide!$EH$4),"",Deal_Master_Wide!$EH$4)</f>
        <v/>
      </c>
      <c r="W9" s="17">
        <f>IF(ISBLANK(Deal_Master_Wide!$AF$4),"",Deal_Master_Wide!$AF$4)</f>
        <v>354</v>
      </c>
    </row>
    <row r="10" spans="1:23" ht="13.4" customHeight="1">
      <c r="A10" s="15" t="s">
        <v>205</v>
      </c>
      <c r="B10" s="15" t="s">
        <v>177</v>
      </c>
      <c r="C10" s="15">
        <v>1</v>
      </c>
      <c r="D10" s="15" t="s">
        <v>212</v>
      </c>
      <c r="E10" s="15" t="s">
        <v>214</v>
      </c>
      <c r="F10" s="15">
        <v>2020</v>
      </c>
      <c r="G10" s="15">
        <v>-2</v>
      </c>
      <c r="H10" s="15">
        <v>2018</v>
      </c>
      <c r="I10" s="15">
        <v>0</v>
      </c>
      <c r="J10" s="15">
        <v>0</v>
      </c>
      <c r="K10" s="16" t="e">
        <f>IF(#REF!="","",#REF!*$I10)</f>
        <v>#REF!</v>
      </c>
      <c r="L10" s="17" t="str">
        <f>IF(ISBLANK(Deal_Master_Wide!$BQ$4),"",Deal_Master_Wide!$BQ$4)</f>
        <v/>
      </c>
      <c r="M10" s="17" t="str">
        <f>IF(ISBLANK(Deal_Master_Wide!$BX$4),"",Deal_Master_Wide!$BX$4)</f>
        <v/>
      </c>
      <c r="N10" s="17" t="str">
        <f>IF(ISBLANK(Deal_Master_Wide!$CE$4),"",Deal_Master_Wide!$CE$4)</f>
        <v/>
      </c>
      <c r="O10" s="17" t="str">
        <f>IF(ISBLANK(Deal_Master_Wide!$CL$4),"",Deal_Master_Wide!$CL$4)</f>
        <v/>
      </c>
      <c r="P10" s="17" t="str">
        <f>IF(ISBLANK(Deal_Master_Wide!$CS$4),"",Deal_Master_Wide!$CS$4)</f>
        <v/>
      </c>
      <c r="Q10" s="17" t="str">
        <f>IF(ISBLANK(Deal_Master_Wide!$CZ$4),"",Deal_Master_Wide!$CZ$4)</f>
        <v/>
      </c>
      <c r="R10" s="18" t="str">
        <f>IF(ISBLANK(Deal_Master_Wide!$DG$4),"",Deal_Master_Wide!$DG$4)</f>
        <v/>
      </c>
      <c r="S10" s="18" t="str">
        <f>IF(ISBLANK(Deal_Master_Wide!$DN$4),"",Deal_Master_Wide!$DN$4)</f>
        <v/>
      </c>
      <c r="T10" s="18" t="str">
        <f>IF(ISBLANK(Deal_Master_Wide!$DU$4),"",Deal_Master_Wide!$DU$4)</f>
        <v/>
      </c>
      <c r="U10" s="17" t="str">
        <f>IF(ISBLANK(Deal_Master_Wide!$EB$4),"",Deal_Master_Wide!$EB$4)</f>
        <v/>
      </c>
      <c r="V10" s="17" t="str">
        <f>IF(ISBLANK(Deal_Master_Wide!$EI$4),"",Deal_Master_Wide!$EI$4)</f>
        <v/>
      </c>
      <c r="W10" s="17">
        <f>IF(ISBLANK(Deal_Master_Wide!$AF$4),"",Deal_Master_Wide!$AF$4)</f>
        <v>354</v>
      </c>
    </row>
    <row r="11" spans="1:23" ht="13.4" customHeight="1">
      <c r="A11" s="15" t="s">
        <v>205</v>
      </c>
      <c r="B11" s="15" t="s">
        <v>177</v>
      </c>
      <c r="C11" s="15">
        <v>1</v>
      </c>
      <c r="D11" s="15" t="s">
        <v>212</v>
      </c>
      <c r="E11" s="15" t="s">
        <v>214</v>
      </c>
      <c r="F11" s="15">
        <v>2020</v>
      </c>
      <c r="G11" s="15">
        <v>-1</v>
      </c>
      <c r="H11" s="15">
        <v>2019</v>
      </c>
      <c r="I11" s="15">
        <v>0</v>
      </c>
      <c r="J11" s="15">
        <v>0</v>
      </c>
      <c r="K11" s="16" t="e">
        <f>IF(#REF!="","",#REF!*$I11)</f>
        <v>#REF!</v>
      </c>
      <c r="L11" s="17" t="str">
        <f>IF(ISBLANK(Deal_Master_Wide!$BR$4),"",Deal_Master_Wide!$BR$4)</f>
        <v/>
      </c>
      <c r="M11" s="17" t="str">
        <f>IF(ISBLANK(Deal_Master_Wide!$BY$4),"",Deal_Master_Wide!$BY$4)</f>
        <v/>
      </c>
      <c r="N11" s="17" t="str">
        <f>IF(ISBLANK(Deal_Master_Wide!$CF$4),"",Deal_Master_Wide!$CF$4)</f>
        <v/>
      </c>
      <c r="O11" s="17" t="str">
        <f>IF(ISBLANK(Deal_Master_Wide!$CM$4),"",Deal_Master_Wide!$CM$4)</f>
        <v/>
      </c>
      <c r="P11" s="17" t="str">
        <f>IF(ISBLANK(Deal_Master_Wide!$CT$4),"",Deal_Master_Wide!$CT$4)</f>
        <v/>
      </c>
      <c r="Q11" s="17" t="str">
        <f>IF(ISBLANK(Deal_Master_Wide!$DA$4),"",Deal_Master_Wide!$DA$4)</f>
        <v/>
      </c>
      <c r="R11" s="18" t="str">
        <f>IF(ISBLANK(Deal_Master_Wide!$DH$4),"",Deal_Master_Wide!$DH$4)</f>
        <v/>
      </c>
      <c r="S11" s="18" t="str">
        <f>IF(ISBLANK(Deal_Master_Wide!$DO$4),"",Deal_Master_Wide!$DO$4)</f>
        <v/>
      </c>
      <c r="T11" s="18" t="str">
        <f>IF(ISBLANK(Deal_Master_Wide!$DV$4),"",Deal_Master_Wide!$DV$4)</f>
        <v/>
      </c>
      <c r="U11" s="17" t="str">
        <f>IF(ISBLANK(Deal_Master_Wide!$EC$4),"",Deal_Master_Wide!$EC$4)</f>
        <v/>
      </c>
      <c r="V11" s="17" t="str">
        <f>IF(ISBLANK(Deal_Master_Wide!$EJ$4),"",Deal_Master_Wide!$EJ$4)</f>
        <v/>
      </c>
      <c r="W11" s="17">
        <f>IF(ISBLANK(Deal_Master_Wide!$AF$4),"",Deal_Master_Wide!$AF$4)</f>
        <v>354</v>
      </c>
    </row>
    <row r="12" spans="1:23" ht="13.4" customHeight="1">
      <c r="A12" s="15" t="s">
        <v>205</v>
      </c>
      <c r="B12" s="15" t="s">
        <v>177</v>
      </c>
      <c r="C12" s="15">
        <v>1</v>
      </c>
      <c r="D12" s="15" t="s">
        <v>212</v>
      </c>
      <c r="E12" s="15" t="s">
        <v>214</v>
      </c>
      <c r="F12" s="15">
        <v>2020</v>
      </c>
      <c r="G12" s="15">
        <v>0</v>
      </c>
      <c r="H12" s="15">
        <v>2020</v>
      </c>
      <c r="I12" s="15">
        <v>0</v>
      </c>
      <c r="J12" s="15">
        <v>1</v>
      </c>
      <c r="K12" s="16" t="e">
        <f>IF(#REF!="","",#REF!*$I12)</f>
        <v>#REF!</v>
      </c>
      <c r="L12" s="17" t="str">
        <f>IF(ISBLANK(Deal_Master_Wide!$BS$4),"",Deal_Master_Wide!$BS$4)</f>
        <v/>
      </c>
      <c r="M12" s="17" t="str">
        <f>IF(ISBLANK(Deal_Master_Wide!$BZ$4),"",Deal_Master_Wide!$BZ$4)</f>
        <v/>
      </c>
      <c r="N12" s="17" t="str">
        <f>IF(ISBLANK(Deal_Master_Wide!$CG$4),"",Deal_Master_Wide!$CG$4)</f>
        <v/>
      </c>
      <c r="O12" s="17" t="str">
        <f>IF(ISBLANK(Deal_Master_Wide!$CN$4),"",Deal_Master_Wide!$CN$4)</f>
        <v/>
      </c>
      <c r="P12" s="17" t="str">
        <f>IF(ISBLANK(Deal_Master_Wide!$CU$4),"",Deal_Master_Wide!$CU$4)</f>
        <v/>
      </c>
      <c r="Q12" s="17" t="str">
        <f>IF(ISBLANK(Deal_Master_Wide!$DB$4),"",Deal_Master_Wide!$DB$4)</f>
        <v/>
      </c>
      <c r="R12" s="18" t="str">
        <f>IF(ISBLANK(Deal_Master_Wide!$DI$4),"",Deal_Master_Wide!$DI$4)</f>
        <v/>
      </c>
      <c r="S12" s="18" t="str">
        <f>IF(ISBLANK(Deal_Master_Wide!$DP$4),"",Deal_Master_Wide!$DP$4)</f>
        <v/>
      </c>
      <c r="T12" s="18" t="str">
        <f>IF(ISBLANK(Deal_Master_Wide!$DW$4),"",Deal_Master_Wide!$DW$4)</f>
        <v/>
      </c>
      <c r="U12" s="17" t="str">
        <f>IF(ISBLANK(Deal_Master_Wide!$ED$4),"",Deal_Master_Wide!$ED$4)</f>
        <v/>
      </c>
      <c r="V12" s="17" t="str">
        <f>IF(ISBLANK(Deal_Master_Wide!$EK$4),"",Deal_Master_Wide!$EK$4)</f>
        <v/>
      </c>
      <c r="W12" s="17">
        <f>IF(ISBLANK(Deal_Master_Wide!$AF$4),"",Deal_Master_Wide!$AF$4)</f>
        <v>354</v>
      </c>
    </row>
    <row r="13" spans="1:23" ht="13.4" customHeight="1">
      <c r="A13" s="15" t="s">
        <v>205</v>
      </c>
      <c r="B13" s="15" t="s">
        <v>177</v>
      </c>
      <c r="C13" s="15">
        <v>1</v>
      </c>
      <c r="D13" s="15" t="s">
        <v>212</v>
      </c>
      <c r="E13" s="15" t="s">
        <v>214</v>
      </c>
      <c r="F13" s="15">
        <v>2020</v>
      </c>
      <c r="G13" s="15">
        <v>1</v>
      </c>
      <c r="H13" s="15">
        <v>2021</v>
      </c>
      <c r="I13" s="15">
        <v>1</v>
      </c>
      <c r="J13" s="15">
        <v>1</v>
      </c>
      <c r="K13" s="16" t="e">
        <f>IF(#REF!="","",#REF!*$I13)</f>
        <v>#REF!</v>
      </c>
      <c r="L13" s="17" t="str">
        <f>IF(ISBLANK(Deal_Master_Wide!$BT$4),"",Deal_Master_Wide!$BT$4)</f>
        <v/>
      </c>
      <c r="M13" s="17" t="str">
        <f>IF(ISBLANK(Deal_Master_Wide!$CA$4),"",Deal_Master_Wide!$CA$4)</f>
        <v/>
      </c>
      <c r="N13" s="17" t="str">
        <f>IF(ISBLANK(Deal_Master_Wide!$CH$4),"",Deal_Master_Wide!$CH$4)</f>
        <v/>
      </c>
      <c r="O13" s="17" t="str">
        <f>IF(ISBLANK(Deal_Master_Wide!$CO$4),"",Deal_Master_Wide!$CO$4)</f>
        <v/>
      </c>
      <c r="P13" s="17" t="str">
        <f>IF(ISBLANK(Deal_Master_Wide!$CV$4),"",Deal_Master_Wide!$CV$4)</f>
        <v/>
      </c>
      <c r="Q13" s="17" t="str">
        <f>IF(ISBLANK(Deal_Master_Wide!$DC$4),"",Deal_Master_Wide!$DC$4)</f>
        <v/>
      </c>
      <c r="R13" s="18" t="str">
        <f>IF(ISBLANK(Deal_Master_Wide!$DJ$4),"",Deal_Master_Wide!$DJ$4)</f>
        <v/>
      </c>
      <c r="S13" s="18" t="str">
        <f>IF(ISBLANK(Deal_Master_Wide!$DQ$4),"",Deal_Master_Wide!$DQ$4)</f>
        <v/>
      </c>
      <c r="T13" s="18" t="str">
        <f>IF(ISBLANK(Deal_Master_Wide!$DX$4),"",Deal_Master_Wide!$DX$4)</f>
        <v/>
      </c>
      <c r="U13" s="17" t="str">
        <f>IF(ISBLANK(Deal_Master_Wide!$EE$4),"",Deal_Master_Wide!$EE$4)</f>
        <v/>
      </c>
      <c r="V13" s="17" t="str">
        <f>IF(ISBLANK(Deal_Master_Wide!$EL$4),"",Deal_Master_Wide!$EL$4)</f>
        <v/>
      </c>
      <c r="W13" s="17">
        <f>IF(ISBLANK(Deal_Master_Wide!$AF$4),"",Deal_Master_Wide!$AF$4)</f>
        <v>354</v>
      </c>
    </row>
    <row r="14" spans="1:23" ht="13.4" customHeight="1">
      <c r="A14" s="15" t="s">
        <v>205</v>
      </c>
      <c r="B14" s="15" t="s">
        <v>177</v>
      </c>
      <c r="C14" s="15">
        <v>1</v>
      </c>
      <c r="D14" s="15" t="s">
        <v>212</v>
      </c>
      <c r="E14" s="15" t="s">
        <v>214</v>
      </c>
      <c r="F14" s="15">
        <v>2020</v>
      </c>
      <c r="G14" s="15">
        <v>2</v>
      </c>
      <c r="H14" s="15">
        <v>2022</v>
      </c>
      <c r="I14" s="15">
        <v>1</v>
      </c>
      <c r="J14" s="15">
        <v>1</v>
      </c>
      <c r="K14" s="16" t="e">
        <f>IF(#REF!="","",#REF!*$I14)</f>
        <v>#REF!</v>
      </c>
      <c r="L14" s="17" t="str">
        <f>IF(ISBLANK(Deal_Master_Wide!$BU$4),"",Deal_Master_Wide!$BU$4)</f>
        <v/>
      </c>
      <c r="M14" s="17" t="str">
        <f>IF(ISBLANK(Deal_Master_Wide!$CB$4),"",Deal_Master_Wide!$CB$4)</f>
        <v/>
      </c>
      <c r="N14" s="17" t="str">
        <f>IF(ISBLANK(Deal_Master_Wide!$CI$4),"",Deal_Master_Wide!$CI$4)</f>
        <v/>
      </c>
      <c r="O14" s="17" t="str">
        <f>IF(ISBLANK(Deal_Master_Wide!$CP$4),"",Deal_Master_Wide!$CP$4)</f>
        <v/>
      </c>
      <c r="P14" s="17" t="str">
        <f>IF(ISBLANK(Deal_Master_Wide!$CW$4),"",Deal_Master_Wide!$CW$4)</f>
        <v/>
      </c>
      <c r="Q14" s="17" t="str">
        <f>IF(ISBLANK(Deal_Master_Wide!$DD$4),"",Deal_Master_Wide!$DD$4)</f>
        <v/>
      </c>
      <c r="R14" s="18" t="str">
        <f>IF(ISBLANK(Deal_Master_Wide!$DK$4),"",Deal_Master_Wide!$DK$4)</f>
        <v/>
      </c>
      <c r="S14" s="18" t="str">
        <f>IF(ISBLANK(Deal_Master_Wide!$DR$4),"",Deal_Master_Wide!$DR$4)</f>
        <v/>
      </c>
      <c r="T14" s="18" t="str">
        <f>IF(ISBLANK(Deal_Master_Wide!$DY$4),"",Deal_Master_Wide!$DY$4)</f>
        <v/>
      </c>
      <c r="U14" s="17" t="str">
        <f>IF(ISBLANK(Deal_Master_Wide!$EF$4),"",Deal_Master_Wide!$EF$4)</f>
        <v/>
      </c>
      <c r="V14" s="17" t="str">
        <f>IF(ISBLANK(Deal_Master_Wide!$EM$4),"",Deal_Master_Wide!$EM$4)</f>
        <v/>
      </c>
      <c r="W14" s="17">
        <f>IF(ISBLANK(Deal_Master_Wide!$AF$4),"",Deal_Master_Wide!$AF$4)</f>
        <v>354</v>
      </c>
    </row>
    <row r="15" spans="1:23" ht="13.4" customHeight="1">
      <c r="A15" s="15" t="s">
        <v>205</v>
      </c>
      <c r="B15" s="15" t="s">
        <v>177</v>
      </c>
      <c r="C15" s="15">
        <v>1</v>
      </c>
      <c r="D15" s="15" t="s">
        <v>212</v>
      </c>
      <c r="E15" s="15" t="s">
        <v>214</v>
      </c>
      <c r="F15" s="15">
        <v>2020</v>
      </c>
      <c r="G15" s="15">
        <v>3</v>
      </c>
      <c r="H15" s="15">
        <v>2023</v>
      </c>
      <c r="I15" s="15">
        <v>1</v>
      </c>
      <c r="J15" s="15">
        <v>1</v>
      </c>
      <c r="K15" s="16" t="e">
        <f>IF(#REF!="","",#REF!*$I15)</f>
        <v>#REF!</v>
      </c>
      <c r="L15" s="17" t="str">
        <f>IF(ISBLANK(Deal_Master_Wide!$BV$4),"",Deal_Master_Wide!$BV$4)</f>
        <v/>
      </c>
      <c r="M15" s="17" t="str">
        <f>IF(ISBLANK(Deal_Master_Wide!$CC$4),"",Deal_Master_Wide!$CC$4)</f>
        <v/>
      </c>
      <c r="N15" s="17" t="str">
        <f>IF(ISBLANK(Deal_Master_Wide!$CJ$4),"",Deal_Master_Wide!$CJ$4)</f>
        <v/>
      </c>
      <c r="O15" s="17" t="str">
        <f>IF(ISBLANK(Deal_Master_Wide!$CQ$4),"",Deal_Master_Wide!$CQ$4)</f>
        <v/>
      </c>
      <c r="P15" s="17" t="str">
        <f>IF(ISBLANK(Deal_Master_Wide!$CX$4),"",Deal_Master_Wide!$CX$4)</f>
        <v/>
      </c>
      <c r="Q15" s="17" t="str">
        <f>IF(ISBLANK(Deal_Master_Wide!$DE$4),"",Deal_Master_Wide!$DE$4)</f>
        <v/>
      </c>
      <c r="R15" s="18" t="str">
        <f>IF(ISBLANK(Deal_Master_Wide!$DL$4),"",Deal_Master_Wide!$DL$4)</f>
        <v/>
      </c>
      <c r="S15" s="18" t="str">
        <f>IF(ISBLANK(Deal_Master_Wide!$DS$4),"",Deal_Master_Wide!$DS$4)</f>
        <v/>
      </c>
      <c r="T15" s="18" t="str">
        <f>IF(ISBLANK(Deal_Master_Wide!$DZ$4),"",Deal_Master_Wide!$DZ$4)</f>
        <v/>
      </c>
      <c r="U15" s="17" t="str">
        <f>IF(ISBLANK(Deal_Master_Wide!$EG$4),"",Deal_Master_Wide!$EG$4)</f>
        <v/>
      </c>
      <c r="V15" s="17" t="str">
        <f>IF(ISBLANK(Deal_Master_Wide!$EN$4),"",Deal_Master_Wide!$EN$4)</f>
        <v/>
      </c>
      <c r="W15" s="17">
        <f>IF(ISBLANK(Deal_Master_Wide!$AF$4),"",Deal_Master_Wide!$AF$4)</f>
        <v>354</v>
      </c>
    </row>
    <row r="16" spans="1:23" ht="13.4" customHeight="1">
      <c r="A16" s="15" t="s">
        <v>218</v>
      </c>
      <c r="B16" s="15" t="s">
        <v>177</v>
      </c>
      <c r="C16" s="15">
        <v>1</v>
      </c>
      <c r="D16" s="15" t="s">
        <v>225</v>
      </c>
      <c r="E16" s="15" t="s">
        <v>227</v>
      </c>
      <c r="F16" s="15">
        <v>2019</v>
      </c>
      <c r="G16" s="15">
        <v>-3</v>
      </c>
      <c r="H16" s="15">
        <v>2016</v>
      </c>
      <c r="I16" s="15">
        <v>0</v>
      </c>
      <c r="J16" s="15">
        <v>0</v>
      </c>
      <c r="K16" s="16" t="e">
        <f>IF(#REF!="","",#REF!*$I16)</f>
        <v>#REF!</v>
      </c>
      <c r="L16" s="17" t="str">
        <f>IF(ISBLANK(Deal_Master_Wide!$BP$5),"",Deal_Master_Wide!$BP$5)</f>
        <v/>
      </c>
      <c r="M16" s="17" t="str">
        <f>IF(ISBLANK(Deal_Master_Wide!$BW$5),"",Deal_Master_Wide!$BW$5)</f>
        <v/>
      </c>
      <c r="N16" s="17" t="str">
        <f>IF(ISBLANK(Deal_Master_Wide!$CD$5),"",Deal_Master_Wide!$CD$5)</f>
        <v/>
      </c>
      <c r="O16" s="17" t="str">
        <f>IF(ISBLANK(Deal_Master_Wide!$CK$5),"",Deal_Master_Wide!$CK$5)</f>
        <v/>
      </c>
      <c r="P16" s="17" t="str">
        <f>IF(ISBLANK(Deal_Master_Wide!$CR$5),"",Deal_Master_Wide!$CR$5)</f>
        <v/>
      </c>
      <c r="Q16" s="17" t="str">
        <f>IF(ISBLANK(Deal_Master_Wide!$CY$5),"",Deal_Master_Wide!$CY$5)</f>
        <v/>
      </c>
      <c r="R16" s="18" t="str">
        <f>IF(ISBLANK(Deal_Master_Wide!$DF$5),"",Deal_Master_Wide!$DF$5)</f>
        <v/>
      </c>
      <c r="S16" s="18" t="str">
        <f>IF(ISBLANK(Deal_Master_Wide!$DM$5),"",Deal_Master_Wide!$DM$5)</f>
        <v/>
      </c>
      <c r="T16" s="18" t="str">
        <f>IF(ISBLANK(Deal_Master_Wide!$DT$5),"",Deal_Master_Wide!$DT$5)</f>
        <v/>
      </c>
      <c r="U16" s="17" t="str">
        <f>IF(ISBLANK(Deal_Master_Wide!$EA$5),"",Deal_Master_Wide!$EA$5)</f>
        <v/>
      </c>
      <c r="V16" s="17" t="str">
        <f>IF(ISBLANK(Deal_Master_Wide!$EH$5),"",Deal_Master_Wide!$EH$5)</f>
        <v/>
      </c>
      <c r="W16" s="17">
        <f>IF(ISBLANK(Deal_Master_Wide!$AF$5),"",Deal_Master_Wide!$AF$5)</f>
        <v>810</v>
      </c>
    </row>
    <row r="17" spans="1:23" ht="13.4" customHeight="1">
      <c r="A17" s="15" t="s">
        <v>218</v>
      </c>
      <c r="B17" s="15" t="s">
        <v>177</v>
      </c>
      <c r="C17" s="15">
        <v>1</v>
      </c>
      <c r="D17" s="15" t="s">
        <v>225</v>
      </c>
      <c r="E17" s="15" t="s">
        <v>227</v>
      </c>
      <c r="F17" s="15">
        <v>2019</v>
      </c>
      <c r="G17" s="15">
        <v>-2</v>
      </c>
      <c r="H17" s="15">
        <v>2017</v>
      </c>
      <c r="I17" s="15">
        <v>0</v>
      </c>
      <c r="J17" s="15">
        <v>0</v>
      </c>
      <c r="K17" s="16" t="e">
        <f>IF(#REF!="","",#REF!*$I17)</f>
        <v>#REF!</v>
      </c>
      <c r="L17" s="17" t="str">
        <f>IF(ISBLANK(Deal_Master_Wide!$BQ$5),"",Deal_Master_Wide!$BQ$5)</f>
        <v/>
      </c>
      <c r="M17" s="17" t="str">
        <f>IF(ISBLANK(Deal_Master_Wide!$BX$5),"",Deal_Master_Wide!$BX$5)</f>
        <v/>
      </c>
      <c r="N17" s="17" t="str">
        <f>IF(ISBLANK(Deal_Master_Wide!$CE$5),"",Deal_Master_Wide!$CE$5)</f>
        <v/>
      </c>
      <c r="O17" s="17" t="str">
        <f>IF(ISBLANK(Deal_Master_Wide!$CL$5),"",Deal_Master_Wide!$CL$5)</f>
        <v/>
      </c>
      <c r="P17" s="17" t="str">
        <f>IF(ISBLANK(Deal_Master_Wide!$CS$5),"",Deal_Master_Wide!$CS$5)</f>
        <v/>
      </c>
      <c r="Q17" s="17" t="str">
        <f>IF(ISBLANK(Deal_Master_Wide!$CZ$5),"",Deal_Master_Wide!$CZ$5)</f>
        <v/>
      </c>
      <c r="R17" s="18" t="str">
        <f>IF(ISBLANK(Deal_Master_Wide!$DG$5),"",Deal_Master_Wide!$DG$5)</f>
        <v/>
      </c>
      <c r="S17" s="18" t="str">
        <f>IF(ISBLANK(Deal_Master_Wide!$DN$5),"",Deal_Master_Wide!$DN$5)</f>
        <v/>
      </c>
      <c r="T17" s="18" t="str">
        <f>IF(ISBLANK(Deal_Master_Wide!$DU$5),"",Deal_Master_Wide!$DU$5)</f>
        <v/>
      </c>
      <c r="U17" s="17" t="str">
        <f>IF(ISBLANK(Deal_Master_Wide!$EB$5),"",Deal_Master_Wide!$EB$5)</f>
        <v/>
      </c>
      <c r="V17" s="17" t="str">
        <f>IF(ISBLANK(Deal_Master_Wide!$EI$5),"",Deal_Master_Wide!$EI$5)</f>
        <v/>
      </c>
      <c r="W17" s="17">
        <f>IF(ISBLANK(Deal_Master_Wide!$AF$5),"",Deal_Master_Wide!$AF$5)</f>
        <v>810</v>
      </c>
    </row>
    <row r="18" spans="1:23" ht="13.4" customHeight="1">
      <c r="A18" s="15" t="s">
        <v>218</v>
      </c>
      <c r="B18" s="15" t="s">
        <v>177</v>
      </c>
      <c r="C18" s="15">
        <v>1</v>
      </c>
      <c r="D18" s="15" t="s">
        <v>225</v>
      </c>
      <c r="E18" s="15" t="s">
        <v>227</v>
      </c>
      <c r="F18" s="15">
        <v>2019</v>
      </c>
      <c r="G18" s="15">
        <v>-1</v>
      </c>
      <c r="H18" s="15">
        <v>2018</v>
      </c>
      <c r="I18" s="15">
        <v>0</v>
      </c>
      <c r="J18" s="15">
        <v>0</v>
      </c>
      <c r="K18" s="16" t="e">
        <f>IF(#REF!="","",#REF!*$I18)</f>
        <v>#REF!</v>
      </c>
      <c r="L18" s="17" t="str">
        <f>IF(ISBLANK(Deal_Master_Wide!$BR$5),"",Deal_Master_Wide!$BR$5)</f>
        <v/>
      </c>
      <c r="M18" s="17" t="str">
        <f>IF(ISBLANK(Deal_Master_Wide!$BY$5),"",Deal_Master_Wide!$BY$5)</f>
        <v/>
      </c>
      <c r="N18" s="17" t="str">
        <f>IF(ISBLANK(Deal_Master_Wide!$CF$5),"",Deal_Master_Wide!$CF$5)</f>
        <v/>
      </c>
      <c r="O18" s="17" t="str">
        <f>IF(ISBLANK(Deal_Master_Wide!$CM$5),"",Deal_Master_Wide!$CM$5)</f>
        <v/>
      </c>
      <c r="P18" s="17" t="str">
        <f>IF(ISBLANK(Deal_Master_Wide!$CT$5),"",Deal_Master_Wide!$CT$5)</f>
        <v/>
      </c>
      <c r="Q18" s="17" t="str">
        <f>IF(ISBLANK(Deal_Master_Wide!$DA$5),"",Deal_Master_Wide!$DA$5)</f>
        <v/>
      </c>
      <c r="R18" s="18" t="str">
        <f>IF(ISBLANK(Deal_Master_Wide!$DH$5),"",Deal_Master_Wide!$DH$5)</f>
        <v/>
      </c>
      <c r="S18" s="18" t="str">
        <f>IF(ISBLANK(Deal_Master_Wide!$DO$5),"",Deal_Master_Wide!$DO$5)</f>
        <v/>
      </c>
      <c r="T18" s="18" t="str">
        <f>IF(ISBLANK(Deal_Master_Wide!$DV$5),"",Deal_Master_Wide!$DV$5)</f>
        <v/>
      </c>
      <c r="U18" s="17" t="str">
        <f>IF(ISBLANK(Deal_Master_Wide!$EC$5),"",Deal_Master_Wide!$EC$5)</f>
        <v/>
      </c>
      <c r="V18" s="17" t="str">
        <f>IF(ISBLANK(Deal_Master_Wide!$EJ$5),"",Deal_Master_Wide!$EJ$5)</f>
        <v/>
      </c>
      <c r="W18" s="17">
        <f>IF(ISBLANK(Deal_Master_Wide!$AF$5),"",Deal_Master_Wide!$AF$5)</f>
        <v>810</v>
      </c>
    </row>
    <row r="19" spans="1:23" ht="13.4" customHeight="1">
      <c r="A19" s="15" t="s">
        <v>218</v>
      </c>
      <c r="B19" s="15" t="s">
        <v>177</v>
      </c>
      <c r="C19" s="15">
        <v>1</v>
      </c>
      <c r="D19" s="15" t="s">
        <v>225</v>
      </c>
      <c r="E19" s="15" t="s">
        <v>227</v>
      </c>
      <c r="F19" s="15">
        <v>2019</v>
      </c>
      <c r="G19" s="15">
        <v>0</v>
      </c>
      <c r="H19" s="15">
        <v>2019</v>
      </c>
      <c r="I19" s="15">
        <v>0</v>
      </c>
      <c r="J19" s="15">
        <v>1</v>
      </c>
      <c r="K19" s="16" t="e">
        <f>IF(#REF!="","",#REF!*$I19)</f>
        <v>#REF!</v>
      </c>
      <c r="L19" s="17" t="str">
        <f>IF(ISBLANK(Deal_Master_Wide!$BS$5),"",Deal_Master_Wide!$BS$5)</f>
        <v/>
      </c>
      <c r="M19" s="17" t="str">
        <f>IF(ISBLANK(Deal_Master_Wide!$BZ$5),"",Deal_Master_Wide!$BZ$5)</f>
        <v/>
      </c>
      <c r="N19" s="17" t="str">
        <f>IF(ISBLANK(Deal_Master_Wide!$CG$5),"",Deal_Master_Wide!$CG$5)</f>
        <v/>
      </c>
      <c r="O19" s="17" t="str">
        <f>IF(ISBLANK(Deal_Master_Wide!$CN$5),"",Deal_Master_Wide!$CN$5)</f>
        <v/>
      </c>
      <c r="P19" s="17" t="str">
        <f>IF(ISBLANK(Deal_Master_Wide!$CU$5),"",Deal_Master_Wide!$CU$5)</f>
        <v/>
      </c>
      <c r="Q19" s="17" t="str">
        <f>IF(ISBLANK(Deal_Master_Wide!$DB$5),"",Deal_Master_Wide!$DB$5)</f>
        <v/>
      </c>
      <c r="R19" s="18" t="str">
        <f>IF(ISBLANK(Deal_Master_Wide!$DI$5),"",Deal_Master_Wide!$DI$5)</f>
        <v/>
      </c>
      <c r="S19" s="18" t="str">
        <f>IF(ISBLANK(Deal_Master_Wide!$DP$5),"",Deal_Master_Wide!$DP$5)</f>
        <v/>
      </c>
      <c r="T19" s="18" t="str">
        <f>IF(ISBLANK(Deal_Master_Wide!$DW$5),"",Deal_Master_Wide!$DW$5)</f>
        <v/>
      </c>
      <c r="U19" s="17" t="str">
        <f>IF(ISBLANK(Deal_Master_Wide!$ED$5),"",Deal_Master_Wide!$ED$5)</f>
        <v/>
      </c>
      <c r="V19" s="17" t="str">
        <f>IF(ISBLANK(Deal_Master_Wide!$EK$5),"",Deal_Master_Wide!$EK$5)</f>
        <v/>
      </c>
      <c r="W19" s="17">
        <f>IF(ISBLANK(Deal_Master_Wide!$AF$5),"",Deal_Master_Wide!$AF$5)</f>
        <v>810</v>
      </c>
    </row>
    <row r="20" spans="1:23" ht="13.4" customHeight="1">
      <c r="A20" s="15" t="s">
        <v>218</v>
      </c>
      <c r="B20" s="15" t="s">
        <v>177</v>
      </c>
      <c r="C20" s="15">
        <v>1</v>
      </c>
      <c r="D20" s="15" t="s">
        <v>225</v>
      </c>
      <c r="E20" s="15" t="s">
        <v>227</v>
      </c>
      <c r="F20" s="15">
        <v>2019</v>
      </c>
      <c r="G20" s="15">
        <v>1</v>
      </c>
      <c r="H20" s="15">
        <v>2020</v>
      </c>
      <c r="I20" s="15">
        <v>1</v>
      </c>
      <c r="J20" s="15">
        <v>1</v>
      </c>
      <c r="K20" s="16" t="e">
        <f>IF(#REF!="","",#REF!*$I20)</f>
        <v>#REF!</v>
      </c>
      <c r="L20" s="17" t="str">
        <f>IF(ISBLANK(Deal_Master_Wide!$BT$5),"",Deal_Master_Wide!$BT$5)</f>
        <v/>
      </c>
      <c r="M20" s="17" t="str">
        <f>IF(ISBLANK(Deal_Master_Wide!$CA$5),"",Deal_Master_Wide!$CA$5)</f>
        <v/>
      </c>
      <c r="N20" s="17" t="str">
        <f>IF(ISBLANK(Deal_Master_Wide!$CH$5),"",Deal_Master_Wide!$CH$5)</f>
        <v/>
      </c>
      <c r="O20" s="17" t="str">
        <f>IF(ISBLANK(Deal_Master_Wide!$CO$5),"",Deal_Master_Wide!$CO$5)</f>
        <v/>
      </c>
      <c r="P20" s="17" t="str">
        <f>IF(ISBLANK(Deal_Master_Wide!$CV$5),"",Deal_Master_Wide!$CV$5)</f>
        <v/>
      </c>
      <c r="Q20" s="17" t="str">
        <f>IF(ISBLANK(Deal_Master_Wide!$DC$5),"",Deal_Master_Wide!$DC$5)</f>
        <v/>
      </c>
      <c r="R20" s="18" t="str">
        <f>IF(ISBLANK(Deal_Master_Wide!$DJ$5),"",Deal_Master_Wide!$DJ$5)</f>
        <v/>
      </c>
      <c r="S20" s="18" t="str">
        <f>IF(ISBLANK(Deal_Master_Wide!$DQ$5),"",Deal_Master_Wide!$DQ$5)</f>
        <v/>
      </c>
      <c r="T20" s="18" t="str">
        <f>IF(ISBLANK(Deal_Master_Wide!$DX$5),"",Deal_Master_Wide!$DX$5)</f>
        <v/>
      </c>
      <c r="U20" s="17" t="str">
        <f>IF(ISBLANK(Deal_Master_Wide!$EE$5),"",Deal_Master_Wide!$EE$5)</f>
        <v/>
      </c>
      <c r="V20" s="17" t="str">
        <f>IF(ISBLANK(Deal_Master_Wide!$EL$5),"",Deal_Master_Wide!$EL$5)</f>
        <v/>
      </c>
      <c r="W20" s="17">
        <f>IF(ISBLANK(Deal_Master_Wide!$AF$5),"",Deal_Master_Wide!$AF$5)</f>
        <v>810</v>
      </c>
    </row>
    <row r="21" spans="1:23" ht="13.4" customHeight="1">
      <c r="A21" s="15" t="s">
        <v>218</v>
      </c>
      <c r="B21" s="15" t="s">
        <v>177</v>
      </c>
      <c r="C21" s="15">
        <v>1</v>
      </c>
      <c r="D21" s="15" t="s">
        <v>225</v>
      </c>
      <c r="E21" s="15" t="s">
        <v>227</v>
      </c>
      <c r="F21" s="15">
        <v>2019</v>
      </c>
      <c r="G21" s="15">
        <v>2</v>
      </c>
      <c r="H21" s="15">
        <v>2021</v>
      </c>
      <c r="I21" s="15">
        <v>1</v>
      </c>
      <c r="J21" s="15">
        <v>1</v>
      </c>
      <c r="K21" s="16" t="e">
        <f>IF(#REF!="","",#REF!*$I21)</f>
        <v>#REF!</v>
      </c>
      <c r="L21" s="17" t="str">
        <f>IF(ISBLANK(Deal_Master_Wide!$BU$5),"",Deal_Master_Wide!$BU$5)</f>
        <v/>
      </c>
      <c r="M21" s="17" t="str">
        <f>IF(ISBLANK(Deal_Master_Wide!$CB$5),"",Deal_Master_Wide!$CB$5)</f>
        <v/>
      </c>
      <c r="N21" s="17" t="str">
        <f>IF(ISBLANK(Deal_Master_Wide!$CI$5),"",Deal_Master_Wide!$CI$5)</f>
        <v/>
      </c>
      <c r="O21" s="17" t="str">
        <f>IF(ISBLANK(Deal_Master_Wide!$CP$5),"",Deal_Master_Wide!$CP$5)</f>
        <v/>
      </c>
      <c r="P21" s="17" t="str">
        <f>IF(ISBLANK(Deal_Master_Wide!$CW$5),"",Deal_Master_Wide!$CW$5)</f>
        <v/>
      </c>
      <c r="Q21" s="17" t="str">
        <f>IF(ISBLANK(Deal_Master_Wide!$DD$5),"",Deal_Master_Wide!$DD$5)</f>
        <v/>
      </c>
      <c r="R21" s="18" t="str">
        <f>IF(ISBLANK(Deal_Master_Wide!$DK$5),"",Deal_Master_Wide!$DK$5)</f>
        <v/>
      </c>
      <c r="S21" s="18" t="str">
        <f>IF(ISBLANK(Deal_Master_Wide!$DR$5),"",Deal_Master_Wide!$DR$5)</f>
        <v/>
      </c>
      <c r="T21" s="18" t="str">
        <f>IF(ISBLANK(Deal_Master_Wide!$DY$5),"",Deal_Master_Wide!$DY$5)</f>
        <v/>
      </c>
      <c r="U21" s="17" t="str">
        <f>IF(ISBLANK(Deal_Master_Wide!$EF$5),"",Deal_Master_Wide!$EF$5)</f>
        <v/>
      </c>
      <c r="V21" s="17" t="str">
        <f>IF(ISBLANK(Deal_Master_Wide!$EM$5),"",Deal_Master_Wide!$EM$5)</f>
        <v/>
      </c>
      <c r="W21" s="17">
        <f>IF(ISBLANK(Deal_Master_Wide!$AF$5),"",Deal_Master_Wide!$AF$5)</f>
        <v>810</v>
      </c>
    </row>
    <row r="22" spans="1:23" ht="13.4" customHeight="1">
      <c r="A22" s="15" t="s">
        <v>218</v>
      </c>
      <c r="B22" s="15" t="s">
        <v>177</v>
      </c>
      <c r="C22" s="15">
        <v>1</v>
      </c>
      <c r="D22" s="15" t="s">
        <v>225</v>
      </c>
      <c r="E22" s="15" t="s">
        <v>227</v>
      </c>
      <c r="F22" s="15">
        <v>2019</v>
      </c>
      <c r="G22" s="15">
        <v>3</v>
      </c>
      <c r="H22" s="15">
        <v>2022</v>
      </c>
      <c r="I22" s="15">
        <v>1</v>
      </c>
      <c r="J22" s="15">
        <v>1</v>
      </c>
      <c r="K22" s="16" t="e">
        <f>IF(#REF!="","",#REF!*$I22)</f>
        <v>#REF!</v>
      </c>
      <c r="L22" s="17" t="str">
        <f>IF(ISBLANK(Deal_Master_Wide!$BV$5),"",Deal_Master_Wide!$BV$5)</f>
        <v/>
      </c>
      <c r="M22" s="17" t="str">
        <f>IF(ISBLANK(Deal_Master_Wide!$CC$5),"",Deal_Master_Wide!$CC$5)</f>
        <v/>
      </c>
      <c r="N22" s="17" t="str">
        <f>IF(ISBLANK(Deal_Master_Wide!$CJ$5),"",Deal_Master_Wide!$CJ$5)</f>
        <v/>
      </c>
      <c r="O22" s="17" t="str">
        <f>IF(ISBLANK(Deal_Master_Wide!$CQ$5),"",Deal_Master_Wide!$CQ$5)</f>
        <v/>
      </c>
      <c r="P22" s="17" t="str">
        <f>IF(ISBLANK(Deal_Master_Wide!$CX$5),"",Deal_Master_Wide!$CX$5)</f>
        <v/>
      </c>
      <c r="Q22" s="17" t="str">
        <f>IF(ISBLANK(Deal_Master_Wide!$DE$5),"",Deal_Master_Wide!$DE$5)</f>
        <v/>
      </c>
      <c r="R22" s="18" t="str">
        <f>IF(ISBLANK(Deal_Master_Wide!$DL$5),"",Deal_Master_Wide!$DL$5)</f>
        <v/>
      </c>
      <c r="S22" s="18" t="str">
        <f>IF(ISBLANK(Deal_Master_Wide!$DS$5),"",Deal_Master_Wide!$DS$5)</f>
        <v/>
      </c>
      <c r="T22" s="18" t="str">
        <f>IF(ISBLANK(Deal_Master_Wide!$DZ$5),"",Deal_Master_Wide!$DZ$5)</f>
        <v/>
      </c>
      <c r="U22" s="17" t="str">
        <f>IF(ISBLANK(Deal_Master_Wide!$EG$5),"",Deal_Master_Wide!$EG$5)</f>
        <v/>
      </c>
      <c r="V22" s="17" t="str">
        <f>IF(ISBLANK(Deal_Master_Wide!$EN$5),"",Deal_Master_Wide!$EN$5)</f>
        <v/>
      </c>
      <c r="W22" s="17">
        <f>IF(ISBLANK(Deal_Master_Wide!$AF$5),"",Deal_Master_Wide!$AF$5)</f>
        <v>810</v>
      </c>
    </row>
    <row r="23" spans="1:23" ht="13.4" customHeight="1">
      <c r="A23" s="15" t="s">
        <v>231</v>
      </c>
      <c r="B23" s="15" t="s">
        <v>177</v>
      </c>
      <c r="C23" s="15">
        <v>1</v>
      </c>
      <c r="D23" s="15" t="s">
        <v>237</v>
      </c>
      <c r="E23" s="15" t="s">
        <v>239</v>
      </c>
      <c r="F23" s="15">
        <v>2019</v>
      </c>
      <c r="G23" s="15">
        <v>-3</v>
      </c>
      <c r="H23" s="15">
        <v>2016</v>
      </c>
      <c r="I23" s="15">
        <v>0</v>
      </c>
      <c r="J23" s="15">
        <v>0</v>
      </c>
      <c r="K23" s="16" t="e">
        <f>IF(#REF!="","",#REF!*$I23)</f>
        <v>#REF!</v>
      </c>
      <c r="L23" s="17" t="str">
        <f>IF(ISBLANK(Deal_Master_Wide!$BP$6),"",Deal_Master_Wide!$BP$6)</f>
        <v/>
      </c>
      <c r="M23" s="17" t="str">
        <f>IF(ISBLANK(Deal_Master_Wide!$BW$6),"",Deal_Master_Wide!$BW$6)</f>
        <v/>
      </c>
      <c r="N23" s="17" t="str">
        <f>IF(ISBLANK(Deal_Master_Wide!$CD$6),"",Deal_Master_Wide!$CD$6)</f>
        <v/>
      </c>
      <c r="O23" s="17" t="str">
        <f>IF(ISBLANK(Deal_Master_Wide!$CK$6),"",Deal_Master_Wide!$CK$6)</f>
        <v/>
      </c>
      <c r="P23" s="17" t="str">
        <f>IF(ISBLANK(Deal_Master_Wide!$CR$6),"",Deal_Master_Wide!$CR$6)</f>
        <v/>
      </c>
      <c r="Q23" s="17" t="str">
        <f>IF(ISBLANK(Deal_Master_Wide!$CY$6),"",Deal_Master_Wide!$CY$6)</f>
        <v/>
      </c>
      <c r="R23" s="18" t="str">
        <f>IF(ISBLANK(Deal_Master_Wide!$DF$6),"",Deal_Master_Wide!$DF$6)</f>
        <v/>
      </c>
      <c r="S23" s="18" t="str">
        <f>IF(ISBLANK(Deal_Master_Wide!$DM$6),"",Deal_Master_Wide!$DM$6)</f>
        <v/>
      </c>
      <c r="T23" s="18" t="str">
        <f>IF(ISBLANK(Deal_Master_Wide!$DT$6),"",Deal_Master_Wide!$DT$6)</f>
        <v/>
      </c>
      <c r="U23" s="17" t="str">
        <f>IF(ISBLANK(Deal_Master_Wide!$EA$6),"",Deal_Master_Wide!$EA$6)</f>
        <v/>
      </c>
      <c r="V23" s="17" t="str">
        <f>IF(ISBLANK(Deal_Master_Wide!$EH$6),"",Deal_Master_Wide!$EH$6)</f>
        <v/>
      </c>
      <c r="W23" s="17" t="str">
        <f>IF(ISBLANK(Deal_Master_Wide!$AF$6),"",Deal_Master_Wide!$AF$6)</f>
        <v/>
      </c>
    </row>
    <row r="24" spans="1:23" ht="13.4" customHeight="1">
      <c r="A24" s="15" t="s">
        <v>231</v>
      </c>
      <c r="B24" s="15" t="s">
        <v>177</v>
      </c>
      <c r="C24" s="15">
        <v>1</v>
      </c>
      <c r="D24" s="15" t="s">
        <v>237</v>
      </c>
      <c r="E24" s="15" t="s">
        <v>239</v>
      </c>
      <c r="F24" s="15">
        <v>2019</v>
      </c>
      <c r="G24" s="15">
        <v>-2</v>
      </c>
      <c r="H24" s="15">
        <v>2017</v>
      </c>
      <c r="I24" s="15">
        <v>0</v>
      </c>
      <c r="J24" s="15">
        <v>0</v>
      </c>
      <c r="K24" s="16" t="e">
        <f>IF(#REF!="","",#REF!*$I24)</f>
        <v>#REF!</v>
      </c>
      <c r="L24" s="17" t="str">
        <f>IF(ISBLANK(Deal_Master_Wide!$BQ$6),"",Deal_Master_Wide!$BQ$6)</f>
        <v/>
      </c>
      <c r="M24" s="17" t="str">
        <f>IF(ISBLANK(Deal_Master_Wide!$BX$6),"",Deal_Master_Wide!$BX$6)</f>
        <v/>
      </c>
      <c r="N24" s="17" t="str">
        <f>IF(ISBLANK(Deal_Master_Wide!$CE$6),"",Deal_Master_Wide!$CE$6)</f>
        <v/>
      </c>
      <c r="O24" s="17" t="str">
        <f>IF(ISBLANK(Deal_Master_Wide!$CL$6),"",Deal_Master_Wide!$CL$6)</f>
        <v/>
      </c>
      <c r="P24" s="17" t="str">
        <f>IF(ISBLANK(Deal_Master_Wide!$CS$6),"",Deal_Master_Wide!$CS$6)</f>
        <v/>
      </c>
      <c r="Q24" s="17" t="str">
        <f>IF(ISBLANK(Deal_Master_Wide!$CZ$6),"",Deal_Master_Wide!$CZ$6)</f>
        <v/>
      </c>
      <c r="R24" s="18" t="str">
        <f>IF(ISBLANK(Deal_Master_Wide!$DG$6),"",Deal_Master_Wide!$DG$6)</f>
        <v/>
      </c>
      <c r="S24" s="18" t="str">
        <f>IF(ISBLANK(Deal_Master_Wide!$DN$6),"",Deal_Master_Wide!$DN$6)</f>
        <v/>
      </c>
      <c r="T24" s="18" t="str">
        <f>IF(ISBLANK(Deal_Master_Wide!$DU$6),"",Deal_Master_Wide!$DU$6)</f>
        <v/>
      </c>
      <c r="U24" s="17" t="str">
        <f>IF(ISBLANK(Deal_Master_Wide!$EB$6),"",Deal_Master_Wide!$EB$6)</f>
        <v/>
      </c>
      <c r="V24" s="17" t="str">
        <f>IF(ISBLANK(Deal_Master_Wide!$EI$6),"",Deal_Master_Wide!$EI$6)</f>
        <v/>
      </c>
      <c r="W24" s="17" t="str">
        <f>IF(ISBLANK(Deal_Master_Wide!$AF$6),"",Deal_Master_Wide!$AF$6)</f>
        <v/>
      </c>
    </row>
    <row r="25" spans="1:23" ht="13.4" customHeight="1">
      <c r="A25" s="15" t="s">
        <v>231</v>
      </c>
      <c r="B25" s="15" t="s">
        <v>177</v>
      </c>
      <c r="C25" s="15">
        <v>1</v>
      </c>
      <c r="D25" s="15" t="s">
        <v>237</v>
      </c>
      <c r="E25" s="15" t="s">
        <v>239</v>
      </c>
      <c r="F25" s="15">
        <v>2019</v>
      </c>
      <c r="G25" s="15">
        <v>-1</v>
      </c>
      <c r="H25" s="15">
        <v>2018</v>
      </c>
      <c r="I25" s="15">
        <v>0</v>
      </c>
      <c r="J25" s="15">
        <v>0</v>
      </c>
      <c r="K25" s="16" t="e">
        <f>IF(#REF!="","",#REF!*$I25)</f>
        <v>#REF!</v>
      </c>
      <c r="L25" s="17" t="str">
        <f>IF(ISBLANK(Deal_Master_Wide!$BR$6),"",Deal_Master_Wide!$BR$6)</f>
        <v/>
      </c>
      <c r="M25" s="17" t="str">
        <f>IF(ISBLANK(Deal_Master_Wide!$BY$6),"",Deal_Master_Wide!$BY$6)</f>
        <v/>
      </c>
      <c r="N25" s="17" t="str">
        <f>IF(ISBLANK(Deal_Master_Wide!$CF$6),"",Deal_Master_Wide!$CF$6)</f>
        <v/>
      </c>
      <c r="O25" s="17" t="str">
        <f>IF(ISBLANK(Deal_Master_Wide!$CM$6),"",Deal_Master_Wide!$CM$6)</f>
        <v/>
      </c>
      <c r="P25" s="17" t="str">
        <f>IF(ISBLANK(Deal_Master_Wide!$CT$6),"",Deal_Master_Wide!$CT$6)</f>
        <v/>
      </c>
      <c r="Q25" s="17" t="str">
        <f>IF(ISBLANK(Deal_Master_Wide!$DA$6),"",Deal_Master_Wide!$DA$6)</f>
        <v/>
      </c>
      <c r="R25" s="18" t="str">
        <f>IF(ISBLANK(Deal_Master_Wide!$DH$6),"",Deal_Master_Wide!$DH$6)</f>
        <v/>
      </c>
      <c r="S25" s="18" t="str">
        <f>IF(ISBLANK(Deal_Master_Wide!$DO$6),"",Deal_Master_Wide!$DO$6)</f>
        <v/>
      </c>
      <c r="T25" s="18" t="str">
        <f>IF(ISBLANK(Deal_Master_Wide!$DV$6),"",Deal_Master_Wide!$DV$6)</f>
        <v/>
      </c>
      <c r="U25" s="17" t="str">
        <f>IF(ISBLANK(Deal_Master_Wide!$EC$6),"",Deal_Master_Wide!$EC$6)</f>
        <v/>
      </c>
      <c r="V25" s="17" t="str">
        <f>IF(ISBLANK(Deal_Master_Wide!$EJ$6),"",Deal_Master_Wide!$EJ$6)</f>
        <v/>
      </c>
      <c r="W25" s="17" t="str">
        <f>IF(ISBLANK(Deal_Master_Wide!$AF$6),"",Deal_Master_Wide!$AF$6)</f>
        <v/>
      </c>
    </row>
    <row r="26" spans="1:23" ht="13.4" customHeight="1">
      <c r="A26" s="15" t="s">
        <v>231</v>
      </c>
      <c r="B26" s="15" t="s">
        <v>177</v>
      </c>
      <c r="C26" s="15">
        <v>1</v>
      </c>
      <c r="D26" s="15" t="s">
        <v>237</v>
      </c>
      <c r="E26" s="15" t="s">
        <v>239</v>
      </c>
      <c r="F26" s="15">
        <v>2019</v>
      </c>
      <c r="G26" s="15">
        <v>0</v>
      </c>
      <c r="H26" s="15">
        <v>2019</v>
      </c>
      <c r="I26" s="15">
        <v>0</v>
      </c>
      <c r="J26" s="15">
        <v>1</v>
      </c>
      <c r="K26" s="16" t="e">
        <f>IF(#REF!="","",#REF!*$I26)</f>
        <v>#REF!</v>
      </c>
      <c r="L26" s="17" t="str">
        <f>IF(ISBLANK(Deal_Master_Wide!$BS$6),"",Deal_Master_Wide!$BS$6)</f>
        <v/>
      </c>
      <c r="M26" s="17" t="str">
        <f>IF(ISBLANK(Deal_Master_Wide!$BZ$6),"",Deal_Master_Wide!$BZ$6)</f>
        <v/>
      </c>
      <c r="N26" s="17" t="str">
        <f>IF(ISBLANK(Deal_Master_Wide!$CG$6),"",Deal_Master_Wide!$CG$6)</f>
        <v/>
      </c>
      <c r="O26" s="17" t="str">
        <f>IF(ISBLANK(Deal_Master_Wide!$CN$6),"",Deal_Master_Wide!$CN$6)</f>
        <v/>
      </c>
      <c r="P26" s="17" t="str">
        <f>IF(ISBLANK(Deal_Master_Wide!$CU$6),"",Deal_Master_Wide!$CU$6)</f>
        <v/>
      </c>
      <c r="Q26" s="17" t="str">
        <f>IF(ISBLANK(Deal_Master_Wide!$DB$6),"",Deal_Master_Wide!$DB$6)</f>
        <v/>
      </c>
      <c r="R26" s="18" t="str">
        <f>IF(ISBLANK(Deal_Master_Wide!$DI$6),"",Deal_Master_Wide!$DI$6)</f>
        <v/>
      </c>
      <c r="S26" s="18" t="str">
        <f>IF(ISBLANK(Deal_Master_Wide!$DP$6),"",Deal_Master_Wide!$DP$6)</f>
        <v/>
      </c>
      <c r="T26" s="18" t="str">
        <f>IF(ISBLANK(Deal_Master_Wide!$DW$6),"",Deal_Master_Wide!$DW$6)</f>
        <v/>
      </c>
      <c r="U26" s="17" t="str">
        <f>IF(ISBLANK(Deal_Master_Wide!$ED$6),"",Deal_Master_Wide!$ED$6)</f>
        <v/>
      </c>
      <c r="V26" s="17" t="str">
        <f>IF(ISBLANK(Deal_Master_Wide!$EK$6),"",Deal_Master_Wide!$EK$6)</f>
        <v/>
      </c>
      <c r="W26" s="17" t="str">
        <f>IF(ISBLANK(Deal_Master_Wide!$AF$6),"",Deal_Master_Wide!$AF$6)</f>
        <v/>
      </c>
    </row>
    <row r="27" spans="1:23" ht="13.4" customHeight="1">
      <c r="A27" s="15" t="s">
        <v>231</v>
      </c>
      <c r="B27" s="15" t="s">
        <v>177</v>
      </c>
      <c r="C27" s="15">
        <v>1</v>
      </c>
      <c r="D27" s="15" t="s">
        <v>237</v>
      </c>
      <c r="E27" s="15" t="s">
        <v>239</v>
      </c>
      <c r="F27" s="15">
        <v>2019</v>
      </c>
      <c r="G27" s="15">
        <v>1</v>
      </c>
      <c r="H27" s="15">
        <v>2020</v>
      </c>
      <c r="I27" s="15">
        <v>1</v>
      </c>
      <c r="J27" s="15">
        <v>1</v>
      </c>
      <c r="K27" s="16" t="e">
        <f>IF(#REF!="","",#REF!*$I27)</f>
        <v>#REF!</v>
      </c>
      <c r="L27" s="17" t="str">
        <f>IF(ISBLANK(Deal_Master_Wide!$BT$6),"",Deal_Master_Wide!$BT$6)</f>
        <v/>
      </c>
      <c r="M27" s="17" t="str">
        <f>IF(ISBLANK(Deal_Master_Wide!$CA$6),"",Deal_Master_Wide!$CA$6)</f>
        <v/>
      </c>
      <c r="N27" s="17" t="str">
        <f>IF(ISBLANK(Deal_Master_Wide!$CH$6),"",Deal_Master_Wide!$CH$6)</f>
        <v/>
      </c>
      <c r="O27" s="17" t="str">
        <f>IF(ISBLANK(Deal_Master_Wide!$CO$6),"",Deal_Master_Wide!$CO$6)</f>
        <v/>
      </c>
      <c r="P27" s="17" t="str">
        <f>IF(ISBLANK(Deal_Master_Wide!$CV$6),"",Deal_Master_Wide!$CV$6)</f>
        <v/>
      </c>
      <c r="Q27" s="17" t="str">
        <f>IF(ISBLANK(Deal_Master_Wide!$DC$6),"",Deal_Master_Wide!$DC$6)</f>
        <v/>
      </c>
      <c r="R27" s="18" t="str">
        <f>IF(ISBLANK(Deal_Master_Wide!$DJ$6),"",Deal_Master_Wide!$DJ$6)</f>
        <v/>
      </c>
      <c r="S27" s="18" t="str">
        <f>IF(ISBLANK(Deal_Master_Wide!$DQ$6),"",Deal_Master_Wide!$DQ$6)</f>
        <v/>
      </c>
      <c r="T27" s="18" t="str">
        <f>IF(ISBLANK(Deal_Master_Wide!$DX$6),"",Deal_Master_Wide!$DX$6)</f>
        <v/>
      </c>
      <c r="U27" s="17" t="str">
        <f>IF(ISBLANK(Deal_Master_Wide!$EE$6),"",Deal_Master_Wide!$EE$6)</f>
        <v/>
      </c>
      <c r="V27" s="17" t="str">
        <f>IF(ISBLANK(Deal_Master_Wide!$EL$6),"",Deal_Master_Wide!$EL$6)</f>
        <v/>
      </c>
      <c r="W27" s="17" t="str">
        <f>IF(ISBLANK(Deal_Master_Wide!$AF$6),"",Deal_Master_Wide!$AF$6)</f>
        <v/>
      </c>
    </row>
    <row r="28" spans="1:23" ht="13.4" customHeight="1">
      <c r="A28" s="15" t="s">
        <v>231</v>
      </c>
      <c r="B28" s="15" t="s">
        <v>177</v>
      </c>
      <c r="C28" s="15">
        <v>1</v>
      </c>
      <c r="D28" s="15" t="s">
        <v>237</v>
      </c>
      <c r="E28" s="15" t="s">
        <v>239</v>
      </c>
      <c r="F28" s="15">
        <v>2019</v>
      </c>
      <c r="G28" s="15">
        <v>2</v>
      </c>
      <c r="H28" s="15">
        <v>2021</v>
      </c>
      <c r="I28" s="15">
        <v>1</v>
      </c>
      <c r="J28" s="15">
        <v>1</v>
      </c>
      <c r="K28" s="16" t="e">
        <f>IF(#REF!="","",#REF!*$I28)</f>
        <v>#REF!</v>
      </c>
      <c r="L28" s="17" t="str">
        <f>IF(ISBLANK(Deal_Master_Wide!$BU$6),"",Deal_Master_Wide!$BU$6)</f>
        <v/>
      </c>
      <c r="M28" s="17" t="str">
        <f>IF(ISBLANK(Deal_Master_Wide!$CB$6),"",Deal_Master_Wide!$CB$6)</f>
        <v/>
      </c>
      <c r="N28" s="17" t="str">
        <f>IF(ISBLANK(Deal_Master_Wide!$CI$6),"",Deal_Master_Wide!$CI$6)</f>
        <v/>
      </c>
      <c r="O28" s="17" t="str">
        <f>IF(ISBLANK(Deal_Master_Wide!$CP$6),"",Deal_Master_Wide!$CP$6)</f>
        <v/>
      </c>
      <c r="P28" s="17" t="str">
        <f>IF(ISBLANK(Deal_Master_Wide!$CW$6),"",Deal_Master_Wide!$CW$6)</f>
        <v/>
      </c>
      <c r="Q28" s="17" t="str">
        <f>IF(ISBLANK(Deal_Master_Wide!$DD$6),"",Deal_Master_Wide!$DD$6)</f>
        <v/>
      </c>
      <c r="R28" s="18" t="str">
        <f>IF(ISBLANK(Deal_Master_Wide!$DK$6),"",Deal_Master_Wide!$DK$6)</f>
        <v/>
      </c>
      <c r="S28" s="18" t="str">
        <f>IF(ISBLANK(Deal_Master_Wide!$DR$6),"",Deal_Master_Wide!$DR$6)</f>
        <v/>
      </c>
      <c r="T28" s="18" t="str">
        <f>IF(ISBLANK(Deal_Master_Wide!$DY$6),"",Deal_Master_Wide!$DY$6)</f>
        <v/>
      </c>
      <c r="U28" s="17" t="str">
        <f>IF(ISBLANK(Deal_Master_Wide!$EF$6),"",Deal_Master_Wide!$EF$6)</f>
        <v/>
      </c>
      <c r="V28" s="17" t="str">
        <f>IF(ISBLANK(Deal_Master_Wide!$EM$6),"",Deal_Master_Wide!$EM$6)</f>
        <v/>
      </c>
      <c r="W28" s="17" t="str">
        <f>IF(ISBLANK(Deal_Master_Wide!$AF$6),"",Deal_Master_Wide!$AF$6)</f>
        <v/>
      </c>
    </row>
    <row r="29" spans="1:23" ht="13.4" customHeight="1">
      <c r="A29" s="15" t="s">
        <v>231</v>
      </c>
      <c r="B29" s="15" t="s">
        <v>177</v>
      </c>
      <c r="C29" s="15">
        <v>1</v>
      </c>
      <c r="D29" s="15" t="s">
        <v>237</v>
      </c>
      <c r="E29" s="15" t="s">
        <v>239</v>
      </c>
      <c r="F29" s="15">
        <v>2019</v>
      </c>
      <c r="G29" s="15">
        <v>3</v>
      </c>
      <c r="H29" s="15">
        <v>2022</v>
      </c>
      <c r="I29" s="15">
        <v>1</v>
      </c>
      <c r="J29" s="15">
        <v>1</v>
      </c>
      <c r="K29" s="16" t="e">
        <f>IF(#REF!="","",#REF!*$I29)</f>
        <v>#REF!</v>
      </c>
      <c r="L29" s="17" t="str">
        <f>IF(ISBLANK(Deal_Master_Wide!$BV$6),"",Deal_Master_Wide!$BV$6)</f>
        <v/>
      </c>
      <c r="M29" s="17" t="str">
        <f>IF(ISBLANK(Deal_Master_Wide!$CC$6),"",Deal_Master_Wide!$CC$6)</f>
        <v/>
      </c>
      <c r="N29" s="17" t="str">
        <f>IF(ISBLANK(Deal_Master_Wide!$CJ$6),"",Deal_Master_Wide!$CJ$6)</f>
        <v/>
      </c>
      <c r="O29" s="17" t="str">
        <f>IF(ISBLANK(Deal_Master_Wide!$CQ$6),"",Deal_Master_Wide!$CQ$6)</f>
        <v/>
      </c>
      <c r="P29" s="17" t="str">
        <f>IF(ISBLANK(Deal_Master_Wide!$CX$6),"",Deal_Master_Wide!$CX$6)</f>
        <v/>
      </c>
      <c r="Q29" s="17" t="str">
        <f>IF(ISBLANK(Deal_Master_Wide!$DE$6),"",Deal_Master_Wide!$DE$6)</f>
        <v/>
      </c>
      <c r="R29" s="18" t="str">
        <f>IF(ISBLANK(Deal_Master_Wide!$DL$6),"",Deal_Master_Wide!$DL$6)</f>
        <v/>
      </c>
      <c r="S29" s="18" t="str">
        <f>IF(ISBLANK(Deal_Master_Wide!$DS$6),"",Deal_Master_Wide!$DS$6)</f>
        <v/>
      </c>
      <c r="T29" s="18" t="str">
        <f>IF(ISBLANK(Deal_Master_Wide!$DZ$6),"",Deal_Master_Wide!$DZ$6)</f>
        <v/>
      </c>
      <c r="U29" s="17" t="str">
        <f>IF(ISBLANK(Deal_Master_Wide!$EG$6),"",Deal_Master_Wide!$EG$6)</f>
        <v/>
      </c>
      <c r="V29" s="17" t="str">
        <f>IF(ISBLANK(Deal_Master_Wide!$EN$6),"",Deal_Master_Wide!$EN$6)</f>
        <v/>
      </c>
      <c r="W29" s="17" t="str">
        <f>IF(ISBLANK(Deal_Master_Wide!$AF$6),"",Deal_Master_Wide!$AF$6)</f>
        <v/>
      </c>
    </row>
    <row r="30" spans="1:23" ht="13.4" customHeight="1">
      <c r="A30" s="15" t="s">
        <v>243</v>
      </c>
      <c r="B30" s="15" t="s">
        <v>177</v>
      </c>
      <c r="C30" s="15">
        <v>1</v>
      </c>
      <c r="D30" s="15" t="s">
        <v>247</v>
      </c>
      <c r="E30" s="15" t="s">
        <v>249</v>
      </c>
      <c r="F30" s="15">
        <v>2019</v>
      </c>
      <c r="G30" s="15">
        <v>-3</v>
      </c>
      <c r="H30" s="15">
        <v>2016</v>
      </c>
      <c r="I30" s="15">
        <v>0</v>
      </c>
      <c r="J30" s="15">
        <v>0</v>
      </c>
      <c r="K30" s="16" t="e">
        <f>IF(#REF!="","",#REF!*$I30)</f>
        <v>#REF!</v>
      </c>
      <c r="L30" s="17" t="str">
        <f>IF(ISBLANK(Deal_Master_Wide!$BP$7),"",Deal_Master_Wide!$BP$7)</f>
        <v/>
      </c>
      <c r="M30" s="17" t="str">
        <f>IF(ISBLANK(Deal_Master_Wide!$BW$7),"",Deal_Master_Wide!$BW$7)</f>
        <v/>
      </c>
      <c r="N30" s="17" t="str">
        <f>IF(ISBLANK(Deal_Master_Wide!$CD$7),"",Deal_Master_Wide!$CD$7)</f>
        <v/>
      </c>
      <c r="O30" s="17" t="str">
        <f>IF(ISBLANK(Deal_Master_Wide!$CK$7),"",Deal_Master_Wide!$CK$7)</f>
        <v/>
      </c>
      <c r="P30" s="17" t="str">
        <f>IF(ISBLANK(Deal_Master_Wide!$CR$7),"",Deal_Master_Wide!$CR$7)</f>
        <v/>
      </c>
      <c r="Q30" s="17" t="str">
        <f>IF(ISBLANK(Deal_Master_Wide!$CY$7),"",Deal_Master_Wide!$CY$7)</f>
        <v/>
      </c>
      <c r="R30" s="18" t="str">
        <f>IF(ISBLANK(Deal_Master_Wide!$DF$7),"",Deal_Master_Wide!$DF$7)</f>
        <v/>
      </c>
      <c r="S30" s="18" t="str">
        <f>IF(ISBLANK(Deal_Master_Wide!$DM$7),"",Deal_Master_Wide!$DM$7)</f>
        <v/>
      </c>
      <c r="T30" s="18" t="str">
        <f>IF(ISBLANK(Deal_Master_Wide!$DT$7),"",Deal_Master_Wide!$DT$7)</f>
        <v/>
      </c>
      <c r="U30" s="17" t="str">
        <f>IF(ISBLANK(Deal_Master_Wide!$EA$7),"",Deal_Master_Wide!$EA$7)</f>
        <v/>
      </c>
      <c r="V30" s="17" t="str">
        <f>IF(ISBLANK(Deal_Master_Wide!$EH$7),"",Deal_Master_Wide!$EH$7)</f>
        <v/>
      </c>
      <c r="W30" s="17" t="str">
        <f>IF(ISBLANK(Deal_Master_Wide!$AF$7),"",Deal_Master_Wide!$AF$7)</f>
        <v/>
      </c>
    </row>
    <row r="31" spans="1:23" ht="13.4" customHeight="1">
      <c r="A31" s="15" t="s">
        <v>243</v>
      </c>
      <c r="B31" s="15" t="s">
        <v>177</v>
      </c>
      <c r="C31" s="15">
        <v>1</v>
      </c>
      <c r="D31" s="15" t="s">
        <v>247</v>
      </c>
      <c r="E31" s="15" t="s">
        <v>249</v>
      </c>
      <c r="F31" s="15">
        <v>2019</v>
      </c>
      <c r="G31" s="15">
        <v>-2</v>
      </c>
      <c r="H31" s="15">
        <v>2017</v>
      </c>
      <c r="I31" s="15">
        <v>0</v>
      </c>
      <c r="J31" s="15">
        <v>0</v>
      </c>
      <c r="K31" s="16" t="e">
        <f>IF(#REF!="","",#REF!*$I31)</f>
        <v>#REF!</v>
      </c>
      <c r="L31" s="17" t="str">
        <f>IF(ISBLANK(Deal_Master_Wide!$BQ$7),"",Deal_Master_Wide!$BQ$7)</f>
        <v/>
      </c>
      <c r="M31" s="17" t="str">
        <f>IF(ISBLANK(Deal_Master_Wide!$BX$7),"",Deal_Master_Wide!$BX$7)</f>
        <v/>
      </c>
      <c r="N31" s="17" t="str">
        <f>IF(ISBLANK(Deal_Master_Wide!$CE$7),"",Deal_Master_Wide!$CE$7)</f>
        <v/>
      </c>
      <c r="O31" s="17" t="str">
        <f>IF(ISBLANK(Deal_Master_Wide!$CL$7),"",Deal_Master_Wide!$CL$7)</f>
        <v/>
      </c>
      <c r="P31" s="17" t="str">
        <f>IF(ISBLANK(Deal_Master_Wide!$CS$7),"",Deal_Master_Wide!$CS$7)</f>
        <v/>
      </c>
      <c r="Q31" s="17" t="str">
        <f>IF(ISBLANK(Deal_Master_Wide!$CZ$7),"",Deal_Master_Wide!$CZ$7)</f>
        <v/>
      </c>
      <c r="R31" s="18" t="str">
        <f>IF(ISBLANK(Deal_Master_Wide!$DG$7),"",Deal_Master_Wide!$DG$7)</f>
        <v/>
      </c>
      <c r="S31" s="18" t="str">
        <f>IF(ISBLANK(Deal_Master_Wide!$DN$7),"",Deal_Master_Wide!$DN$7)</f>
        <v/>
      </c>
      <c r="T31" s="18" t="str">
        <f>IF(ISBLANK(Deal_Master_Wide!$DU$7),"",Deal_Master_Wide!$DU$7)</f>
        <v/>
      </c>
      <c r="U31" s="17" t="str">
        <f>IF(ISBLANK(Deal_Master_Wide!$EB$7),"",Deal_Master_Wide!$EB$7)</f>
        <v/>
      </c>
      <c r="V31" s="17" t="str">
        <f>IF(ISBLANK(Deal_Master_Wide!$EI$7),"",Deal_Master_Wide!$EI$7)</f>
        <v/>
      </c>
      <c r="W31" s="17" t="str">
        <f>IF(ISBLANK(Deal_Master_Wide!$AF$7),"",Deal_Master_Wide!$AF$7)</f>
        <v/>
      </c>
    </row>
    <row r="32" spans="1:23" ht="13.4" customHeight="1">
      <c r="A32" s="15" t="s">
        <v>243</v>
      </c>
      <c r="B32" s="15" t="s">
        <v>177</v>
      </c>
      <c r="C32" s="15">
        <v>1</v>
      </c>
      <c r="D32" s="15" t="s">
        <v>247</v>
      </c>
      <c r="E32" s="15" t="s">
        <v>249</v>
      </c>
      <c r="F32" s="15">
        <v>2019</v>
      </c>
      <c r="G32" s="15">
        <v>-1</v>
      </c>
      <c r="H32" s="15">
        <v>2018</v>
      </c>
      <c r="I32" s="15">
        <v>0</v>
      </c>
      <c r="J32" s="15">
        <v>0</v>
      </c>
      <c r="K32" s="16" t="e">
        <f>IF(#REF!="","",#REF!*$I32)</f>
        <v>#REF!</v>
      </c>
      <c r="L32" s="17" t="str">
        <f>IF(ISBLANK(Deal_Master_Wide!$BR$7),"",Deal_Master_Wide!$BR$7)</f>
        <v/>
      </c>
      <c r="M32" s="17" t="str">
        <f>IF(ISBLANK(Deal_Master_Wide!$BY$7),"",Deal_Master_Wide!$BY$7)</f>
        <v/>
      </c>
      <c r="N32" s="17" t="str">
        <f>IF(ISBLANK(Deal_Master_Wide!$CF$7),"",Deal_Master_Wide!$CF$7)</f>
        <v/>
      </c>
      <c r="O32" s="17" t="str">
        <f>IF(ISBLANK(Deal_Master_Wide!$CM$7),"",Deal_Master_Wide!$CM$7)</f>
        <v/>
      </c>
      <c r="P32" s="17" t="str">
        <f>IF(ISBLANK(Deal_Master_Wide!$CT$7),"",Deal_Master_Wide!$CT$7)</f>
        <v/>
      </c>
      <c r="Q32" s="17" t="str">
        <f>IF(ISBLANK(Deal_Master_Wide!$DA$7),"",Deal_Master_Wide!$DA$7)</f>
        <v/>
      </c>
      <c r="R32" s="18" t="str">
        <f>IF(ISBLANK(Deal_Master_Wide!$DH$7),"",Deal_Master_Wide!$DH$7)</f>
        <v/>
      </c>
      <c r="S32" s="18" t="str">
        <f>IF(ISBLANK(Deal_Master_Wide!$DO$7),"",Deal_Master_Wide!$DO$7)</f>
        <v/>
      </c>
      <c r="T32" s="18" t="str">
        <f>IF(ISBLANK(Deal_Master_Wide!$DV$7),"",Deal_Master_Wide!$DV$7)</f>
        <v/>
      </c>
      <c r="U32" s="17" t="str">
        <f>IF(ISBLANK(Deal_Master_Wide!$EC$7),"",Deal_Master_Wide!$EC$7)</f>
        <v/>
      </c>
      <c r="V32" s="17" t="str">
        <f>IF(ISBLANK(Deal_Master_Wide!$EJ$7),"",Deal_Master_Wide!$EJ$7)</f>
        <v/>
      </c>
      <c r="W32" s="17" t="str">
        <f>IF(ISBLANK(Deal_Master_Wide!$AF$7),"",Deal_Master_Wide!$AF$7)</f>
        <v/>
      </c>
    </row>
    <row r="33" spans="1:23" ht="13.4" customHeight="1">
      <c r="A33" s="15" t="s">
        <v>243</v>
      </c>
      <c r="B33" s="15" t="s">
        <v>177</v>
      </c>
      <c r="C33" s="15">
        <v>1</v>
      </c>
      <c r="D33" s="15" t="s">
        <v>247</v>
      </c>
      <c r="E33" s="15" t="s">
        <v>249</v>
      </c>
      <c r="F33" s="15">
        <v>2019</v>
      </c>
      <c r="G33" s="15">
        <v>0</v>
      </c>
      <c r="H33" s="15">
        <v>2019</v>
      </c>
      <c r="I33" s="15">
        <v>0</v>
      </c>
      <c r="J33" s="15">
        <v>1</v>
      </c>
      <c r="K33" s="16" t="e">
        <f>IF(#REF!="","",#REF!*$I33)</f>
        <v>#REF!</v>
      </c>
      <c r="L33" s="17" t="str">
        <f>IF(ISBLANK(Deal_Master_Wide!$BS$7),"",Deal_Master_Wide!$BS$7)</f>
        <v/>
      </c>
      <c r="M33" s="17" t="str">
        <f>IF(ISBLANK(Deal_Master_Wide!$BZ$7),"",Deal_Master_Wide!$BZ$7)</f>
        <v/>
      </c>
      <c r="N33" s="17" t="str">
        <f>IF(ISBLANK(Deal_Master_Wide!$CG$7),"",Deal_Master_Wide!$CG$7)</f>
        <v/>
      </c>
      <c r="O33" s="17" t="str">
        <f>IF(ISBLANK(Deal_Master_Wide!$CN$7),"",Deal_Master_Wide!$CN$7)</f>
        <v/>
      </c>
      <c r="P33" s="17" t="str">
        <f>IF(ISBLANK(Deal_Master_Wide!$CU$7),"",Deal_Master_Wide!$CU$7)</f>
        <v/>
      </c>
      <c r="Q33" s="17" t="str">
        <f>IF(ISBLANK(Deal_Master_Wide!$DB$7),"",Deal_Master_Wide!$DB$7)</f>
        <v/>
      </c>
      <c r="R33" s="18" t="str">
        <f>IF(ISBLANK(Deal_Master_Wide!$DI$7),"",Deal_Master_Wide!$DI$7)</f>
        <v/>
      </c>
      <c r="S33" s="18" t="str">
        <f>IF(ISBLANK(Deal_Master_Wide!$DP$7),"",Deal_Master_Wide!$DP$7)</f>
        <v/>
      </c>
      <c r="T33" s="18" t="str">
        <f>IF(ISBLANK(Deal_Master_Wide!$DW$7),"",Deal_Master_Wide!$DW$7)</f>
        <v/>
      </c>
      <c r="U33" s="17" t="str">
        <f>IF(ISBLANK(Deal_Master_Wide!$ED$7),"",Deal_Master_Wide!$ED$7)</f>
        <v/>
      </c>
      <c r="V33" s="17" t="str">
        <f>IF(ISBLANK(Deal_Master_Wide!$EK$7),"",Deal_Master_Wide!$EK$7)</f>
        <v/>
      </c>
      <c r="W33" s="17" t="str">
        <f>IF(ISBLANK(Deal_Master_Wide!$AF$7),"",Deal_Master_Wide!$AF$7)</f>
        <v/>
      </c>
    </row>
    <row r="34" spans="1:23" ht="13.4" customHeight="1">
      <c r="A34" s="15" t="s">
        <v>243</v>
      </c>
      <c r="B34" s="15" t="s">
        <v>177</v>
      </c>
      <c r="C34" s="15">
        <v>1</v>
      </c>
      <c r="D34" s="15" t="s">
        <v>247</v>
      </c>
      <c r="E34" s="15" t="s">
        <v>249</v>
      </c>
      <c r="F34" s="15">
        <v>2019</v>
      </c>
      <c r="G34" s="15">
        <v>1</v>
      </c>
      <c r="H34" s="15">
        <v>2020</v>
      </c>
      <c r="I34" s="15">
        <v>1</v>
      </c>
      <c r="J34" s="15">
        <v>1</v>
      </c>
      <c r="K34" s="16" t="e">
        <f>IF(#REF!="","",#REF!*$I34)</f>
        <v>#REF!</v>
      </c>
      <c r="L34" s="17" t="str">
        <f>IF(ISBLANK(Deal_Master_Wide!$BT$7),"",Deal_Master_Wide!$BT$7)</f>
        <v/>
      </c>
      <c r="M34" s="17" t="str">
        <f>IF(ISBLANK(Deal_Master_Wide!$CA$7),"",Deal_Master_Wide!$CA$7)</f>
        <v/>
      </c>
      <c r="N34" s="17" t="str">
        <f>IF(ISBLANK(Deal_Master_Wide!$CH$7),"",Deal_Master_Wide!$CH$7)</f>
        <v/>
      </c>
      <c r="O34" s="17" t="str">
        <f>IF(ISBLANK(Deal_Master_Wide!$CO$7),"",Deal_Master_Wide!$CO$7)</f>
        <v/>
      </c>
      <c r="P34" s="17" t="str">
        <f>IF(ISBLANK(Deal_Master_Wide!$CV$7),"",Deal_Master_Wide!$CV$7)</f>
        <v/>
      </c>
      <c r="Q34" s="17" t="str">
        <f>IF(ISBLANK(Deal_Master_Wide!$DC$7),"",Deal_Master_Wide!$DC$7)</f>
        <v/>
      </c>
      <c r="R34" s="18" t="str">
        <f>IF(ISBLANK(Deal_Master_Wide!$DJ$7),"",Deal_Master_Wide!$DJ$7)</f>
        <v/>
      </c>
      <c r="S34" s="18" t="str">
        <f>IF(ISBLANK(Deal_Master_Wide!$DQ$7),"",Deal_Master_Wide!$DQ$7)</f>
        <v/>
      </c>
      <c r="T34" s="18" t="str">
        <f>IF(ISBLANK(Deal_Master_Wide!$DX$7),"",Deal_Master_Wide!$DX$7)</f>
        <v/>
      </c>
      <c r="U34" s="17" t="str">
        <f>IF(ISBLANK(Deal_Master_Wide!$EE$7),"",Deal_Master_Wide!$EE$7)</f>
        <v/>
      </c>
      <c r="V34" s="17" t="str">
        <f>IF(ISBLANK(Deal_Master_Wide!$EL$7),"",Deal_Master_Wide!$EL$7)</f>
        <v/>
      </c>
      <c r="W34" s="17" t="str">
        <f>IF(ISBLANK(Deal_Master_Wide!$AF$7),"",Deal_Master_Wide!$AF$7)</f>
        <v/>
      </c>
    </row>
    <row r="35" spans="1:23" ht="13.4" customHeight="1">
      <c r="A35" s="15" t="s">
        <v>243</v>
      </c>
      <c r="B35" s="15" t="s">
        <v>177</v>
      </c>
      <c r="C35" s="15">
        <v>1</v>
      </c>
      <c r="D35" s="15" t="s">
        <v>247</v>
      </c>
      <c r="E35" s="15" t="s">
        <v>249</v>
      </c>
      <c r="F35" s="15">
        <v>2019</v>
      </c>
      <c r="G35" s="15">
        <v>2</v>
      </c>
      <c r="H35" s="15">
        <v>2021</v>
      </c>
      <c r="I35" s="15">
        <v>1</v>
      </c>
      <c r="J35" s="15">
        <v>1</v>
      </c>
      <c r="K35" s="16" t="e">
        <f>IF(#REF!="","",#REF!*$I35)</f>
        <v>#REF!</v>
      </c>
      <c r="L35" s="17" t="str">
        <f>IF(ISBLANK(Deal_Master_Wide!$BU$7),"",Deal_Master_Wide!$BU$7)</f>
        <v/>
      </c>
      <c r="M35" s="17" t="str">
        <f>IF(ISBLANK(Deal_Master_Wide!$CB$7),"",Deal_Master_Wide!$CB$7)</f>
        <v/>
      </c>
      <c r="N35" s="17" t="str">
        <f>IF(ISBLANK(Deal_Master_Wide!$CI$7),"",Deal_Master_Wide!$CI$7)</f>
        <v/>
      </c>
      <c r="O35" s="17" t="str">
        <f>IF(ISBLANK(Deal_Master_Wide!$CP$7),"",Deal_Master_Wide!$CP$7)</f>
        <v/>
      </c>
      <c r="P35" s="17" t="str">
        <f>IF(ISBLANK(Deal_Master_Wide!$CW$7),"",Deal_Master_Wide!$CW$7)</f>
        <v/>
      </c>
      <c r="Q35" s="17" t="str">
        <f>IF(ISBLANK(Deal_Master_Wide!$DD$7),"",Deal_Master_Wide!$DD$7)</f>
        <v/>
      </c>
      <c r="R35" s="18" t="str">
        <f>IF(ISBLANK(Deal_Master_Wide!$DK$7),"",Deal_Master_Wide!$DK$7)</f>
        <v/>
      </c>
      <c r="S35" s="18" t="str">
        <f>IF(ISBLANK(Deal_Master_Wide!$DR$7),"",Deal_Master_Wide!$DR$7)</f>
        <v/>
      </c>
      <c r="T35" s="18" t="str">
        <f>IF(ISBLANK(Deal_Master_Wide!$DY$7),"",Deal_Master_Wide!$DY$7)</f>
        <v/>
      </c>
      <c r="U35" s="17" t="str">
        <f>IF(ISBLANK(Deal_Master_Wide!$EF$7),"",Deal_Master_Wide!$EF$7)</f>
        <v/>
      </c>
      <c r="V35" s="17" t="str">
        <f>IF(ISBLANK(Deal_Master_Wide!$EM$7),"",Deal_Master_Wide!$EM$7)</f>
        <v/>
      </c>
      <c r="W35" s="17" t="str">
        <f>IF(ISBLANK(Deal_Master_Wide!$AF$7),"",Deal_Master_Wide!$AF$7)</f>
        <v/>
      </c>
    </row>
    <row r="36" spans="1:23" ht="13.4" customHeight="1">
      <c r="A36" s="15" t="s">
        <v>243</v>
      </c>
      <c r="B36" s="15" t="s">
        <v>177</v>
      </c>
      <c r="C36" s="15">
        <v>1</v>
      </c>
      <c r="D36" s="15" t="s">
        <v>247</v>
      </c>
      <c r="E36" s="15" t="s">
        <v>249</v>
      </c>
      <c r="F36" s="15">
        <v>2019</v>
      </c>
      <c r="G36" s="15">
        <v>3</v>
      </c>
      <c r="H36" s="15">
        <v>2022</v>
      </c>
      <c r="I36" s="15">
        <v>1</v>
      </c>
      <c r="J36" s="15">
        <v>1</v>
      </c>
      <c r="K36" s="16" t="e">
        <f>IF(#REF!="","",#REF!*$I36)</f>
        <v>#REF!</v>
      </c>
      <c r="L36" s="17" t="str">
        <f>IF(ISBLANK(Deal_Master_Wide!$BV$7),"",Deal_Master_Wide!$BV$7)</f>
        <v/>
      </c>
      <c r="M36" s="17" t="str">
        <f>IF(ISBLANK(Deal_Master_Wide!$CC$7),"",Deal_Master_Wide!$CC$7)</f>
        <v/>
      </c>
      <c r="N36" s="17" t="str">
        <f>IF(ISBLANK(Deal_Master_Wide!$CJ$7),"",Deal_Master_Wide!$CJ$7)</f>
        <v/>
      </c>
      <c r="O36" s="17" t="str">
        <f>IF(ISBLANK(Deal_Master_Wide!$CQ$7),"",Deal_Master_Wide!$CQ$7)</f>
        <v/>
      </c>
      <c r="P36" s="17" t="str">
        <f>IF(ISBLANK(Deal_Master_Wide!$CX$7),"",Deal_Master_Wide!$CX$7)</f>
        <v/>
      </c>
      <c r="Q36" s="17" t="str">
        <f>IF(ISBLANK(Deal_Master_Wide!$DE$7),"",Deal_Master_Wide!$DE$7)</f>
        <v/>
      </c>
      <c r="R36" s="18" t="str">
        <f>IF(ISBLANK(Deal_Master_Wide!$DL$7),"",Deal_Master_Wide!$DL$7)</f>
        <v/>
      </c>
      <c r="S36" s="18" t="str">
        <f>IF(ISBLANK(Deal_Master_Wide!$DS$7),"",Deal_Master_Wide!$DS$7)</f>
        <v/>
      </c>
      <c r="T36" s="18" t="str">
        <f>IF(ISBLANK(Deal_Master_Wide!$DZ$7),"",Deal_Master_Wide!$DZ$7)</f>
        <v/>
      </c>
      <c r="U36" s="17" t="str">
        <f>IF(ISBLANK(Deal_Master_Wide!$EG$7),"",Deal_Master_Wide!$EG$7)</f>
        <v/>
      </c>
      <c r="V36" s="17" t="str">
        <f>IF(ISBLANK(Deal_Master_Wide!$EN$7),"",Deal_Master_Wide!$EN$7)</f>
        <v/>
      </c>
      <c r="W36" s="17" t="str">
        <f>IF(ISBLANK(Deal_Master_Wide!$AF$7),"",Deal_Master_Wide!$AF$7)</f>
        <v/>
      </c>
    </row>
    <row r="37" spans="1:23" ht="13.4" customHeight="1">
      <c r="A37" s="15" t="s">
        <v>253</v>
      </c>
      <c r="B37" s="15" t="s">
        <v>177</v>
      </c>
      <c r="C37" s="15">
        <v>1</v>
      </c>
      <c r="D37" s="15" t="s">
        <v>260</v>
      </c>
      <c r="E37" s="15" t="s">
        <v>262</v>
      </c>
      <c r="F37" s="15">
        <v>2019</v>
      </c>
      <c r="G37" s="15">
        <v>-3</v>
      </c>
      <c r="H37" s="15">
        <v>2016</v>
      </c>
      <c r="I37" s="15">
        <v>0</v>
      </c>
      <c r="J37" s="15">
        <v>0</v>
      </c>
      <c r="K37" s="16" t="e">
        <f>IF(#REF!="","",#REF!*$I37)</f>
        <v>#REF!</v>
      </c>
      <c r="L37" s="17" t="str">
        <f>IF(ISBLANK(Deal_Master_Wide!$BP$8),"",Deal_Master_Wide!$BP$8)</f>
        <v/>
      </c>
      <c r="M37" s="17" t="str">
        <f>IF(ISBLANK(Deal_Master_Wide!$BW$8),"",Deal_Master_Wide!$BW$8)</f>
        <v/>
      </c>
      <c r="N37" s="17" t="str">
        <f>IF(ISBLANK(Deal_Master_Wide!$CD$8),"",Deal_Master_Wide!$CD$8)</f>
        <v/>
      </c>
      <c r="O37" s="17" t="str">
        <f>IF(ISBLANK(Deal_Master_Wide!$CK$8),"",Deal_Master_Wide!$CK$8)</f>
        <v/>
      </c>
      <c r="P37" s="17" t="str">
        <f>IF(ISBLANK(Deal_Master_Wide!$CR$8),"",Deal_Master_Wide!$CR$8)</f>
        <v/>
      </c>
      <c r="Q37" s="17" t="str">
        <f>IF(ISBLANK(Deal_Master_Wide!$CY$8),"",Deal_Master_Wide!$CY$8)</f>
        <v/>
      </c>
      <c r="R37" s="18" t="str">
        <f>IF(ISBLANK(Deal_Master_Wide!$DF$8),"",Deal_Master_Wide!$DF$8)</f>
        <v/>
      </c>
      <c r="S37" s="18" t="str">
        <f>IF(ISBLANK(Deal_Master_Wide!$DM$8),"",Deal_Master_Wide!$DM$8)</f>
        <v/>
      </c>
      <c r="T37" s="18" t="str">
        <f>IF(ISBLANK(Deal_Master_Wide!$DT$8),"",Deal_Master_Wide!$DT$8)</f>
        <v/>
      </c>
      <c r="U37" s="17" t="str">
        <f>IF(ISBLANK(Deal_Master_Wide!$EA$8),"",Deal_Master_Wide!$EA$8)</f>
        <v/>
      </c>
      <c r="V37" s="17" t="str">
        <f>IF(ISBLANK(Deal_Master_Wide!$EH$8),"",Deal_Master_Wide!$EH$8)</f>
        <v/>
      </c>
      <c r="W37" s="17">
        <f>IF(ISBLANK(Deal_Master_Wide!$AF$8),"",Deal_Master_Wide!$AF$8)</f>
        <v>4239</v>
      </c>
    </row>
    <row r="38" spans="1:23" ht="13.4" customHeight="1">
      <c r="A38" s="15" t="s">
        <v>253</v>
      </c>
      <c r="B38" s="15" t="s">
        <v>177</v>
      </c>
      <c r="C38" s="15">
        <v>1</v>
      </c>
      <c r="D38" s="15" t="s">
        <v>260</v>
      </c>
      <c r="E38" s="15" t="s">
        <v>262</v>
      </c>
      <c r="F38" s="15">
        <v>2019</v>
      </c>
      <c r="G38" s="15">
        <v>-2</v>
      </c>
      <c r="H38" s="15">
        <v>2017</v>
      </c>
      <c r="I38" s="15">
        <v>0</v>
      </c>
      <c r="J38" s="15">
        <v>0</v>
      </c>
      <c r="K38" s="16" t="e">
        <f>IF(#REF!="","",#REF!*$I38)</f>
        <v>#REF!</v>
      </c>
      <c r="L38" s="17" t="str">
        <f>IF(ISBLANK(Deal_Master_Wide!$BQ$8),"",Deal_Master_Wide!$BQ$8)</f>
        <v/>
      </c>
      <c r="M38" s="17" t="str">
        <f>IF(ISBLANK(Deal_Master_Wide!$BX$8),"",Deal_Master_Wide!$BX$8)</f>
        <v/>
      </c>
      <c r="N38" s="17" t="str">
        <f>IF(ISBLANK(Deal_Master_Wide!$CE$8),"",Deal_Master_Wide!$CE$8)</f>
        <v/>
      </c>
      <c r="O38" s="17" t="str">
        <f>IF(ISBLANK(Deal_Master_Wide!$CL$8),"",Deal_Master_Wide!$CL$8)</f>
        <v/>
      </c>
      <c r="P38" s="17" t="str">
        <f>IF(ISBLANK(Deal_Master_Wide!$CS$8),"",Deal_Master_Wide!$CS$8)</f>
        <v/>
      </c>
      <c r="Q38" s="17" t="str">
        <f>IF(ISBLANK(Deal_Master_Wide!$CZ$8),"",Deal_Master_Wide!$CZ$8)</f>
        <v/>
      </c>
      <c r="R38" s="18" t="str">
        <f>IF(ISBLANK(Deal_Master_Wide!$DG$8),"",Deal_Master_Wide!$DG$8)</f>
        <v/>
      </c>
      <c r="S38" s="18" t="str">
        <f>IF(ISBLANK(Deal_Master_Wide!$DN$8),"",Deal_Master_Wide!$DN$8)</f>
        <v/>
      </c>
      <c r="T38" s="18" t="str">
        <f>IF(ISBLANK(Deal_Master_Wide!$DU$8),"",Deal_Master_Wide!$DU$8)</f>
        <v/>
      </c>
      <c r="U38" s="17" t="str">
        <f>IF(ISBLANK(Deal_Master_Wide!$EB$8),"",Deal_Master_Wide!$EB$8)</f>
        <v/>
      </c>
      <c r="V38" s="17" t="str">
        <f>IF(ISBLANK(Deal_Master_Wide!$EI$8),"",Deal_Master_Wide!$EI$8)</f>
        <v/>
      </c>
      <c r="W38" s="17">
        <f>IF(ISBLANK(Deal_Master_Wide!$AF$8),"",Deal_Master_Wide!$AF$8)</f>
        <v>4239</v>
      </c>
    </row>
    <row r="39" spans="1:23" ht="13.4" customHeight="1">
      <c r="A39" s="15" t="s">
        <v>253</v>
      </c>
      <c r="B39" s="15" t="s">
        <v>177</v>
      </c>
      <c r="C39" s="15">
        <v>1</v>
      </c>
      <c r="D39" s="15" t="s">
        <v>260</v>
      </c>
      <c r="E39" s="15" t="s">
        <v>262</v>
      </c>
      <c r="F39" s="15">
        <v>2019</v>
      </c>
      <c r="G39" s="15">
        <v>-1</v>
      </c>
      <c r="H39" s="15">
        <v>2018</v>
      </c>
      <c r="I39" s="15">
        <v>0</v>
      </c>
      <c r="J39" s="15">
        <v>0</v>
      </c>
      <c r="K39" s="16" t="e">
        <f>IF(#REF!="","",#REF!*$I39)</f>
        <v>#REF!</v>
      </c>
      <c r="L39" s="17" t="str">
        <f>IF(ISBLANK(Deal_Master_Wide!$BR$8),"",Deal_Master_Wide!$BR$8)</f>
        <v/>
      </c>
      <c r="M39" s="17" t="str">
        <f>IF(ISBLANK(Deal_Master_Wide!$BY$8),"",Deal_Master_Wide!$BY$8)</f>
        <v/>
      </c>
      <c r="N39" s="17" t="str">
        <f>IF(ISBLANK(Deal_Master_Wide!$CF$8),"",Deal_Master_Wide!$CF$8)</f>
        <v/>
      </c>
      <c r="O39" s="17" t="str">
        <f>IF(ISBLANK(Deal_Master_Wide!$CM$8),"",Deal_Master_Wide!$CM$8)</f>
        <v/>
      </c>
      <c r="P39" s="17" t="str">
        <f>IF(ISBLANK(Deal_Master_Wide!$CT$8),"",Deal_Master_Wide!$CT$8)</f>
        <v/>
      </c>
      <c r="Q39" s="17" t="str">
        <f>IF(ISBLANK(Deal_Master_Wide!$DA$8),"",Deal_Master_Wide!$DA$8)</f>
        <v/>
      </c>
      <c r="R39" s="18" t="str">
        <f>IF(ISBLANK(Deal_Master_Wide!$DH$8),"",Deal_Master_Wide!$DH$8)</f>
        <v/>
      </c>
      <c r="S39" s="18" t="str">
        <f>IF(ISBLANK(Deal_Master_Wide!$DO$8),"",Deal_Master_Wide!$DO$8)</f>
        <v/>
      </c>
      <c r="T39" s="18" t="str">
        <f>IF(ISBLANK(Deal_Master_Wide!$DV$8),"",Deal_Master_Wide!$DV$8)</f>
        <v/>
      </c>
      <c r="U39" s="17" t="str">
        <f>IF(ISBLANK(Deal_Master_Wide!$EC$8),"",Deal_Master_Wide!$EC$8)</f>
        <v/>
      </c>
      <c r="V39" s="17" t="str">
        <f>IF(ISBLANK(Deal_Master_Wide!$EJ$8),"",Deal_Master_Wide!$EJ$8)</f>
        <v/>
      </c>
      <c r="W39" s="17">
        <f>IF(ISBLANK(Deal_Master_Wide!$AF$8),"",Deal_Master_Wide!$AF$8)</f>
        <v>4239</v>
      </c>
    </row>
    <row r="40" spans="1:23" ht="13.4" customHeight="1">
      <c r="A40" s="15" t="s">
        <v>253</v>
      </c>
      <c r="B40" s="15" t="s">
        <v>177</v>
      </c>
      <c r="C40" s="15">
        <v>1</v>
      </c>
      <c r="D40" s="15" t="s">
        <v>260</v>
      </c>
      <c r="E40" s="15" t="s">
        <v>262</v>
      </c>
      <c r="F40" s="15">
        <v>2019</v>
      </c>
      <c r="G40" s="15">
        <v>0</v>
      </c>
      <c r="H40" s="15">
        <v>2019</v>
      </c>
      <c r="I40" s="15">
        <v>0</v>
      </c>
      <c r="J40" s="15">
        <v>1</v>
      </c>
      <c r="K40" s="16" t="e">
        <f>IF(#REF!="","",#REF!*$I40)</f>
        <v>#REF!</v>
      </c>
      <c r="L40" s="17" t="str">
        <f>IF(ISBLANK(Deal_Master_Wide!$BS$8),"",Deal_Master_Wide!$BS$8)</f>
        <v/>
      </c>
      <c r="M40" s="17" t="str">
        <f>IF(ISBLANK(Deal_Master_Wide!$BZ$8),"",Deal_Master_Wide!$BZ$8)</f>
        <v/>
      </c>
      <c r="N40" s="17" t="str">
        <f>IF(ISBLANK(Deal_Master_Wide!$CG$8),"",Deal_Master_Wide!$CG$8)</f>
        <v/>
      </c>
      <c r="O40" s="17" t="str">
        <f>IF(ISBLANK(Deal_Master_Wide!$CN$8),"",Deal_Master_Wide!$CN$8)</f>
        <v/>
      </c>
      <c r="P40" s="17" t="str">
        <f>IF(ISBLANK(Deal_Master_Wide!$CU$8),"",Deal_Master_Wide!$CU$8)</f>
        <v/>
      </c>
      <c r="Q40" s="17" t="str">
        <f>IF(ISBLANK(Deal_Master_Wide!$DB$8),"",Deal_Master_Wide!$DB$8)</f>
        <v/>
      </c>
      <c r="R40" s="18" t="str">
        <f>IF(ISBLANK(Deal_Master_Wide!$DI$8),"",Deal_Master_Wide!$DI$8)</f>
        <v/>
      </c>
      <c r="S40" s="18" t="str">
        <f>IF(ISBLANK(Deal_Master_Wide!$DP$8),"",Deal_Master_Wide!$DP$8)</f>
        <v/>
      </c>
      <c r="T40" s="18" t="str">
        <f>IF(ISBLANK(Deal_Master_Wide!$DW$8),"",Deal_Master_Wide!$DW$8)</f>
        <v/>
      </c>
      <c r="U40" s="17" t="str">
        <f>IF(ISBLANK(Deal_Master_Wide!$ED$8),"",Deal_Master_Wide!$ED$8)</f>
        <v/>
      </c>
      <c r="V40" s="17" t="str">
        <f>IF(ISBLANK(Deal_Master_Wide!$EK$8),"",Deal_Master_Wide!$EK$8)</f>
        <v/>
      </c>
      <c r="W40" s="17">
        <f>IF(ISBLANK(Deal_Master_Wide!$AF$8),"",Deal_Master_Wide!$AF$8)</f>
        <v>4239</v>
      </c>
    </row>
    <row r="41" spans="1:23" ht="13.4" customHeight="1">
      <c r="A41" s="15" t="s">
        <v>253</v>
      </c>
      <c r="B41" s="15" t="s">
        <v>177</v>
      </c>
      <c r="C41" s="15">
        <v>1</v>
      </c>
      <c r="D41" s="15" t="s">
        <v>260</v>
      </c>
      <c r="E41" s="15" t="s">
        <v>262</v>
      </c>
      <c r="F41" s="15">
        <v>2019</v>
      </c>
      <c r="G41" s="15">
        <v>1</v>
      </c>
      <c r="H41" s="15">
        <v>2020</v>
      </c>
      <c r="I41" s="15">
        <v>1</v>
      </c>
      <c r="J41" s="15">
        <v>1</v>
      </c>
      <c r="K41" s="16" t="e">
        <f>IF(#REF!="","",#REF!*$I41)</f>
        <v>#REF!</v>
      </c>
      <c r="L41" s="17" t="str">
        <f>IF(ISBLANK(Deal_Master_Wide!$BT$8),"",Deal_Master_Wide!$BT$8)</f>
        <v/>
      </c>
      <c r="M41" s="17" t="str">
        <f>IF(ISBLANK(Deal_Master_Wide!$CA$8),"",Deal_Master_Wide!$CA$8)</f>
        <v/>
      </c>
      <c r="N41" s="17" t="str">
        <f>IF(ISBLANK(Deal_Master_Wide!$CH$8),"",Deal_Master_Wide!$CH$8)</f>
        <v/>
      </c>
      <c r="O41" s="17" t="str">
        <f>IF(ISBLANK(Deal_Master_Wide!$CO$8),"",Deal_Master_Wide!$CO$8)</f>
        <v/>
      </c>
      <c r="P41" s="17" t="str">
        <f>IF(ISBLANK(Deal_Master_Wide!$CV$8),"",Deal_Master_Wide!$CV$8)</f>
        <v/>
      </c>
      <c r="Q41" s="17" t="str">
        <f>IF(ISBLANK(Deal_Master_Wide!$DC$8),"",Deal_Master_Wide!$DC$8)</f>
        <v/>
      </c>
      <c r="R41" s="18" t="str">
        <f>IF(ISBLANK(Deal_Master_Wide!$DJ$8),"",Deal_Master_Wide!$DJ$8)</f>
        <v/>
      </c>
      <c r="S41" s="18" t="str">
        <f>IF(ISBLANK(Deal_Master_Wide!$DQ$8),"",Deal_Master_Wide!$DQ$8)</f>
        <v/>
      </c>
      <c r="T41" s="18" t="str">
        <f>IF(ISBLANK(Deal_Master_Wide!$DX$8),"",Deal_Master_Wide!$DX$8)</f>
        <v/>
      </c>
      <c r="U41" s="17" t="str">
        <f>IF(ISBLANK(Deal_Master_Wide!$EE$8),"",Deal_Master_Wide!$EE$8)</f>
        <v/>
      </c>
      <c r="V41" s="17" t="str">
        <f>IF(ISBLANK(Deal_Master_Wide!$EL$8),"",Deal_Master_Wide!$EL$8)</f>
        <v/>
      </c>
      <c r="W41" s="17">
        <f>IF(ISBLANK(Deal_Master_Wide!$AF$8),"",Deal_Master_Wide!$AF$8)</f>
        <v>4239</v>
      </c>
    </row>
    <row r="42" spans="1:23" ht="13.4" customHeight="1">
      <c r="A42" s="15" t="s">
        <v>253</v>
      </c>
      <c r="B42" s="15" t="s">
        <v>177</v>
      </c>
      <c r="C42" s="15">
        <v>1</v>
      </c>
      <c r="D42" s="15" t="s">
        <v>260</v>
      </c>
      <c r="E42" s="15" t="s">
        <v>262</v>
      </c>
      <c r="F42" s="15">
        <v>2019</v>
      </c>
      <c r="G42" s="15">
        <v>2</v>
      </c>
      <c r="H42" s="15">
        <v>2021</v>
      </c>
      <c r="I42" s="15">
        <v>1</v>
      </c>
      <c r="J42" s="15">
        <v>1</v>
      </c>
      <c r="K42" s="16" t="e">
        <f>IF(#REF!="","",#REF!*$I42)</f>
        <v>#REF!</v>
      </c>
      <c r="L42" s="17" t="str">
        <f>IF(ISBLANK(Deal_Master_Wide!$BU$8),"",Deal_Master_Wide!$BU$8)</f>
        <v/>
      </c>
      <c r="M42" s="17" t="str">
        <f>IF(ISBLANK(Deal_Master_Wide!$CB$8),"",Deal_Master_Wide!$CB$8)</f>
        <v/>
      </c>
      <c r="N42" s="17" t="str">
        <f>IF(ISBLANK(Deal_Master_Wide!$CI$8),"",Deal_Master_Wide!$CI$8)</f>
        <v/>
      </c>
      <c r="O42" s="17" t="str">
        <f>IF(ISBLANK(Deal_Master_Wide!$CP$8),"",Deal_Master_Wide!$CP$8)</f>
        <v/>
      </c>
      <c r="P42" s="17" t="str">
        <f>IF(ISBLANK(Deal_Master_Wide!$CW$8),"",Deal_Master_Wide!$CW$8)</f>
        <v/>
      </c>
      <c r="Q42" s="17" t="str">
        <f>IF(ISBLANK(Deal_Master_Wide!$DD$8),"",Deal_Master_Wide!$DD$8)</f>
        <v/>
      </c>
      <c r="R42" s="18" t="str">
        <f>IF(ISBLANK(Deal_Master_Wide!$DK$8),"",Deal_Master_Wide!$DK$8)</f>
        <v/>
      </c>
      <c r="S42" s="18" t="str">
        <f>IF(ISBLANK(Deal_Master_Wide!$DR$8),"",Deal_Master_Wide!$DR$8)</f>
        <v/>
      </c>
      <c r="T42" s="18" t="str">
        <f>IF(ISBLANK(Deal_Master_Wide!$DY$8),"",Deal_Master_Wide!$DY$8)</f>
        <v/>
      </c>
      <c r="U42" s="17" t="str">
        <f>IF(ISBLANK(Deal_Master_Wide!$EF$8),"",Deal_Master_Wide!$EF$8)</f>
        <v/>
      </c>
      <c r="V42" s="17" t="str">
        <f>IF(ISBLANK(Deal_Master_Wide!$EM$8),"",Deal_Master_Wide!$EM$8)</f>
        <v/>
      </c>
      <c r="W42" s="17">
        <f>IF(ISBLANK(Deal_Master_Wide!$AF$8),"",Deal_Master_Wide!$AF$8)</f>
        <v>4239</v>
      </c>
    </row>
    <row r="43" spans="1:23" ht="13.4" customHeight="1">
      <c r="A43" s="15" t="s">
        <v>253</v>
      </c>
      <c r="B43" s="15" t="s">
        <v>177</v>
      </c>
      <c r="C43" s="15">
        <v>1</v>
      </c>
      <c r="D43" s="15" t="s">
        <v>260</v>
      </c>
      <c r="E43" s="15" t="s">
        <v>262</v>
      </c>
      <c r="F43" s="15">
        <v>2019</v>
      </c>
      <c r="G43" s="15">
        <v>3</v>
      </c>
      <c r="H43" s="15">
        <v>2022</v>
      </c>
      <c r="I43" s="15">
        <v>1</v>
      </c>
      <c r="J43" s="15">
        <v>1</v>
      </c>
      <c r="K43" s="16" t="e">
        <f>IF(#REF!="","",#REF!*$I43)</f>
        <v>#REF!</v>
      </c>
      <c r="L43" s="17" t="str">
        <f>IF(ISBLANK(Deal_Master_Wide!$BV$8),"",Deal_Master_Wide!$BV$8)</f>
        <v/>
      </c>
      <c r="M43" s="17" t="str">
        <f>IF(ISBLANK(Deal_Master_Wide!$CC$8),"",Deal_Master_Wide!$CC$8)</f>
        <v/>
      </c>
      <c r="N43" s="17" t="str">
        <f>IF(ISBLANK(Deal_Master_Wide!$CJ$8),"",Deal_Master_Wide!$CJ$8)</f>
        <v/>
      </c>
      <c r="O43" s="17" t="str">
        <f>IF(ISBLANK(Deal_Master_Wide!$CQ$8),"",Deal_Master_Wide!$CQ$8)</f>
        <v/>
      </c>
      <c r="P43" s="17" t="str">
        <f>IF(ISBLANK(Deal_Master_Wide!$CX$8),"",Deal_Master_Wide!$CX$8)</f>
        <v/>
      </c>
      <c r="Q43" s="17" t="str">
        <f>IF(ISBLANK(Deal_Master_Wide!$DE$8),"",Deal_Master_Wide!$DE$8)</f>
        <v/>
      </c>
      <c r="R43" s="18" t="str">
        <f>IF(ISBLANK(Deal_Master_Wide!$DL$8),"",Deal_Master_Wide!$DL$8)</f>
        <v/>
      </c>
      <c r="S43" s="18" t="str">
        <f>IF(ISBLANK(Deal_Master_Wide!$DS$8),"",Deal_Master_Wide!$DS$8)</f>
        <v/>
      </c>
      <c r="T43" s="18" t="str">
        <f>IF(ISBLANK(Deal_Master_Wide!$DZ$8),"",Deal_Master_Wide!$DZ$8)</f>
        <v/>
      </c>
      <c r="U43" s="17" t="str">
        <f>IF(ISBLANK(Deal_Master_Wide!$EG$8),"",Deal_Master_Wide!$EG$8)</f>
        <v/>
      </c>
      <c r="V43" s="17" t="str">
        <f>IF(ISBLANK(Deal_Master_Wide!$EN$8),"",Deal_Master_Wide!$EN$8)</f>
        <v/>
      </c>
      <c r="W43" s="17">
        <f>IF(ISBLANK(Deal_Master_Wide!$AF$8),"",Deal_Master_Wide!$AF$8)</f>
        <v>4239</v>
      </c>
    </row>
    <row r="44" spans="1:23" ht="13.4" customHeight="1">
      <c r="A44" s="15" t="s">
        <v>266</v>
      </c>
      <c r="B44" s="15" t="s">
        <v>177</v>
      </c>
      <c r="C44" s="15">
        <v>1</v>
      </c>
      <c r="D44" s="15" t="s">
        <v>271</v>
      </c>
      <c r="E44" s="15" t="s">
        <v>273</v>
      </c>
      <c r="F44" s="15">
        <v>2019</v>
      </c>
      <c r="G44" s="15">
        <v>-3</v>
      </c>
      <c r="H44" s="15">
        <v>2016</v>
      </c>
      <c r="I44" s="15">
        <v>0</v>
      </c>
      <c r="J44" s="15">
        <v>0</v>
      </c>
      <c r="K44" s="16" t="e">
        <f>IF(#REF!="","",#REF!*$I44)</f>
        <v>#REF!</v>
      </c>
      <c r="L44" s="17" t="str">
        <f>IF(ISBLANK(Deal_Master_Wide!$BP$9),"",Deal_Master_Wide!$BP$9)</f>
        <v/>
      </c>
      <c r="M44" s="17" t="str">
        <f>IF(ISBLANK(Deal_Master_Wide!$BW$9),"",Deal_Master_Wide!$BW$9)</f>
        <v/>
      </c>
      <c r="N44" s="17" t="str">
        <f>IF(ISBLANK(Deal_Master_Wide!$CD$9),"",Deal_Master_Wide!$CD$9)</f>
        <v/>
      </c>
      <c r="O44" s="17" t="str">
        <f>IF(ISBLANK(Deal_Master_Wide!$CK$9),"",Deal_Master_Wide!$CK$9)</f>
        <v/>
      </c>
      <c r="P44" s="17" t="str">
        <f>IF(ISBLANK(Deal_Master_Wide!$CR$9),"",Deal_Master_Wide!$CR$9)</f>
        <v/>
      </c>
      <c r="Q44" s="17" t="str">
        <f>IF(ISBLANK(Deal_Master_Wide!$CY$9),"",Deal_Master_Wide!$CY$9)</f>
        <v/>
      </c>
      <c r="R44" s="18" t="str">
        <f>IF(ISBLANK(Deal_Master_Wide!$DF$9),"",Deal_Master_Wide!$DF$9)</f>
        <v/>
      </c>
      <c r="S44" s="18" t="str">
        <f>IF(ISBLANK(Deal_Master_Wide!$DM$9),"",Deal_Master_Wide!$DM$9)</f>
        <v/>
      </c>
      <c r="T44" s="18" t="str">
        <f>IF(ISBLANK(Deal_Master_Wide!$DT$9),"",Deal_Master_Wide!$DT$9)</f>
        <v/>
      </c>
      <c r="U44" s="17" t="str">
        <f>IF(ISBLANK(Deal_Master_Wide!$EA$9),"",Deal_Master_Wide!$EA$9)</f>
        <v/>
      </c>
      <c r="V44" s="17" t="str">
        <f>IF(ISBLANK(Deal_Master_Wide!$EH$9),"",Deal_Master_Wide!$EH$9)</f>
        <v/>
      </c>
      <c r="W44" s="17">
        <f>IF(ISBLANK(Deal_Master_Wide!$AF$9),"",Deal_Master_Wide!$AF$9)</f>
        <v>28</v>
      </c>
    </row>
    <row r="45" spans="1:23" ht="13.4" customHeight="1">
      <c r="A45" s="15" t="s">
        <v>266</v>
      </c>
      <c r="B45" s="15" t="s">
        <v>177</v>
      </c>
      <c r="C45" s="15">
        <v>1</v>
      </c>
      <c r="D45" s="15" t="s">
        <v>271</v>
      </c>
      <c r="E45" s="15" t="s">
        <v>273</v>
      </c>
      <c r="F45" s="15">
        <v>2019</v>
      </c>
      <c r="G45" s="15">
        <v>-2</v>
      </c>
      <c r="H45" s="15">
        <v>2017</v>
      </c>
      <c r="I45" s="15">
        <v>0</v>
      </c>
      <c r="J45" s="15">
        <v>0</v>
      </c>
      <c r="K45" s="16" t="e">
        <f>IF(#REF!="","",#REF!*$I45)</f>
        <v>#REF!</v>
      </c>
      <c r="L45" s="17" t="str">
        <f>IF(ISBLANK(Deal_Master_Wide!$BQ$9),"",Deal_Master_Wide!$BQ$9)</f>
        <v/>
      </c>
      <c r="M45" s="17" t="str">
        <f>IF(ISBLANK(Deal_Master_Wide!$BX$9),"",Deal_Master_Wide!$BX$9)</f>
        <v/>
      </c>
      <c r="N45" s="17" t="str">
        <f>IF(ISBLANK(Deal_Master_Wide!$CE$9),"",Deal_Master_Wide!$CE$9)</f>
        <v/>
      </c>
      <c r="O45" s="17" t="str">
        <f>IF(ISBLANK(Deal_Master_Wide!$CL$9),"",Deal_Master_Wide!$CL$9)</f>
        <v/>
      </c>
      <c r="P45" s="17" t="str">
        <f>IF(ISBLANK(Deal_Master_Wide!$CS$9),"",Deal_Master_Wide!$CS$9)</f>
        <v/>
      </c>
      <c r="Q45" s="17" t="str">
        <f>IF(ISBLANK(Deal_Master_Wide!$CZ$9),"",Deal_Master_Wide!$CZ$9)</f>
        <v/>
      </c>
      <c r="R45" s="18" t="str">
        <f>IF(ISBLANK(Deal_Master_Wide!$DG$9),"",Deal_Master_Wide!$DG$9)</f>
        <v/>
      </c>
      <c r="S45" s="18" t="str">
        <f>IF(ISBLANK(Deal_Master_Wide!$DN$9),"",Deal_Master_Wide!$DN$9)</f>
        <v/>
      </c>
      <c r="T45" s="18" t="str">
        <f>IF(ISBLANK(Deal_Master_Wide!$DU$9),"",Deal_Master_Wide!$DU$9)</f>
        <v/>
      </c>
      <c r="U45" s="17" t="str">
        <f>IF(ISBLANK(Deal_Master_Wide!$EB$9),"",Deal_Master_Wide!$EB$9)</f>
        <v/>
      </c>
      <c r="V45" s="17" t="str">
        <f>IF(ISBLANK(Deal_Master_Wide!$EI$9),"",Deal_Master_Wide!$EI$9)</f>
        <v/>
      </c>
      <c r="W45" s="17">
        <f>IF(ISBLANK(Deal_Master_Wide!$AF$9),"",Deal_Master_Wide!$AF$9)</f>
        <v>28</v>
      </c>
    </row>
    <row r="46" spans="1:23" ht="13.4" customHeight="1">
      <c r="A46" s="15" t="s">
        <v>266</v>
      </c>
      <c r="B46" s="15" t="s">
        <v>177</v>
      </c>
      <c r="C46" s="15">
        <v>1</v>
      </c>
      <c r="D46" s="15" t="s">
        <v>271</v>
      </c>
      <c r="E46" s="15" t="s">
        <v>273</v>
      </c>
      <c r="F46" s="15">
        <v>2019</v>
      </c>
      <c r="G46" s="15">
        <v>-1</v>
      </c>
      <c r="H46" s="15">
        <v>2018</v>
      </c>
      <c r="I46" s="15">
        <v>0</v>
      </c>
      <c r="J46" s="15">
        <v>0</v>
      </c>
      <c r="K46" s="16" t="e">
        <f>IF(#REF!="","",#REF!*$I46)</f>
        <v>#REF!</v>
      </c>
      <c r="L46" s="17" t="str">
        <f>IF(ISBLANK(Deal_Master_Wide!$BR$9),"",Deal_Master_Wide!$BR$9)</f>
        <v/>
      </c>
      <c r="M46" s="17" t="str">
        <f>IF(ISBLANK(Deal_Master_Wide!$BY$9),"",Deal_Master_Wide!$BY$9)</f>
        <v/>
      </c>
      <c r="N46" s="17" t="str">
        <f>IF(ISBLANK(Deal_Master_Wide!$CF$9),"",Deal_Master_Wide!$CF$9)</f>
        <v/>
      </c>
      <c r="O46" s="17" t="str">
        <f>IF(ISBLANK(Deal_Master_Wide!$CM$9),"",Deal_Master_Wide!$CM$9)</f>
        <v/>
      </c>
      <c r="P46" s="17" t="str">
        <f>IF(ISBLANK(Deal_Master_Wide!$CT$9),"",Deal_Master_Wide!$CT$9)</f>
        <v/>
      </c>
      <c r="Q46" s="17" t="str">
        <f>IF(ISBLANK(Deal_Master_Wide!$DA$9),"",Deal_Master_Wide!$DA$9)</f>
        <v/>
      </c>
      <c r="R46" s="18" t="str">
        <f>IF(ISBLANK(Deal_Master_Wide!$DH$9),"",Deal_Master_Wide!$DH$9)</f>
        <v/>
      </c>
      <c r="S46" s="18" t="str">
        <f>IF(ISBLANK(Deal_Master_Wide!$DO$9),"",Deal_Master_Wide!$DO$9)</f>
        <v/>
      </c>
      <c r="T46" s="18" t="str">
        <f>IF(ISBLANK(Deal_Master_Wide!$DV$9),"",Deal_Master_Wide!$DV$9)</f>
        <v/>
      </c>
      <c r="U46" s="17" t="str">
        <f>IF(ISBLANK(Deal_Master_Wide!$EC$9),"",Deal_Master_Wide!$EC$9)</f>
        <v/>
      </c>
      <c r="V46" s="17" t="str">
        <f>IF(ISBLANK(Deal_Master_Wide!$EJ$9),"",Deal_Master_Wide!$EJ$9)</f>
        <v/>
      </c>
      <c r="W46" s="17">
        <f>IF(ISBLANK(Deal_Master_Wide!$AF$9),"",Deal_Master_Wide!$AF$9)</f>
        <v>28</v>
      </c>
    </row>
    <row r="47" spans="1:23" ht="13.4" customHeight="1">
      <c r="A47" s="15" t="s">
        <v>266</v>
      </c>
      <c r="B47" s="15" t="s">
        <v>177</v>
      </c>
      <c r="C47" s="15">
        <v>1</v>
      </c>
      <c r="D47" s="15" t="s">
        <v>271</v>
      </c>
      <c r="E47" s="15" t="s">
        <v>273</v>
      </c>
      <c r="F47" s="15">
        <v>2019</v>
      </c>
      <c r="G47" s="15">
        <v>0</v>
      </c>
      <c r="H47" s="15">
        <v>2019</v>
      </c>
      <c r="I47" s="15">
        <v>0</v>
      </c>
      <c r="J47" s="15">
        <v>1</v>
      </c>
      <c r="K47" s="16" t="e">
        <f>IF(#REF!="","",#REF!*$I47)</f>
        <v>#REF!</v>
      </c>
      <c r="L47" s="17" t="str">
        <f>IF(ISBLANK(Deal_Master_Wide!$BS$9),"",Deal_Master_Wide!$BS$9)</f>
        <v/>
      </c>
      <c r="M47" s="17" t="str">
        <f>IF(ISBLANK(Deal_Master_Wide!$BZ$9),"",Deal_Master_Wide!$BZ$9)</f>
        <v/>
      </c>
      <c r="N47" s="17" t="str">
        <f>IF(ISBLANK(Deal_Master_Wide!$CG$9),"",Deal_Master_Wide!$CG$9)</f>
        <v/>
      </c>
      <c r="O47" s="17" t="str">
        <f>IF(ISBLANK(Deal_Master_Wide!$CN$9),"",Deal_Master_Wide!$CN$9)</f>
        <v/>
      </c>
      <c r="P47" s="17" t="str">
        <f>IF(ISBLANK(Deal_Master_Wide!$CU$9),"",Deal_Master_Wide!$CU$9)</f>
        <v/>
      </c>
      <c r="Q47" s="17" t="str">
        <f>IF(ISBLANK(Deal_Master_Wide!$DB$9),"",Deal_Master_Wide!$DB$9)</f>
        <v/>
      </c>
      <c r="R47" s="18" t="str">
        <f>IF(ISBLANK(Deal_Master_Wide!$DI$9),"",Deal_Master_Wide!$DI$9)</f>
        <v/>
      </c>
      <c r="S47" s="18" t="str">
        <f>IF(ISBLANK(Deal_Master_Wide!$DP$9),"",Deal_Master_Wide!$DP$9)</f>
        <v/>
      </c>
      <c r="T47" s="18" t="str">
        <f>IF(ISBLANK(Deal_Master_Wide!$DW$9),"",Deal_Master_Wide!$DW$9)</f>
        <v/>
      </c>
      <c r="U47" s="17" t="str">
        <f>IF(ISBLANK(Deal_Master_Wide!$ED$9),"",Deal_Master_Wide!$ED$9)</f>
        <v/>
      </c>
      <c r="V47" s="17" t="str">
        <f>IF(ISBLANK(Deal_Master_Wide!$EK$9),"",Deal_Master_Wide!$EK$9)</f>
        <v/>
      </c>
      <c r="W47" s="17">
        <f>IF(ISBLANK(Deal_Master_Wide!$AF$9),"",Deal_Master_Wide!$AF$9)</f>
        <v>28</v>
      </c>
    </row>
    <row r="48" spans="1:23" ht="13.4" customHeight="1">
      <c r="A48" s="15" t="s">
        <v>266</v>
      </c>
      <c r="B48" s="15" t="s">
        <v>177</v>
      </c>
      <c r="C48" s="15">
        <v>1</v>
      </c>
      <c r="D48" s="15" t="s">
        <v>271</v>
      </c>
      <c r="E48" s="15" t="s">
        <v>273</v>
      </c>
      <c r="F48" s="15">
        <v>2019</v>
      </c>
      <c r="G48" s="15">
        <v>1</v>
      </c>
      <c r="H48" s="15">
        <v>2020</v>
      </c>
      <c r="I48" s="15">
        <v>1</v>
      </c>
      <c r="J48" s="15">
        <v>1</v>
      </c>
      <c r="K48" s="16" t="e">
        <f>IF(#REF!="","",#REF!*$I48)</f>
        <v>#REF!</v>
      </c>
      <c r="L48" s="17" t="str">
        <f>IF(ISBLANK(Deal_Master_Wide!$BT$9),"",Deal_Master_Wide!$BT$9)</f>
        <v/>
      </c>
      <c r="M48" s="17" t="str">
        <f>IF(ISBLANK(Deal_Master_Wide!$CA$9),"",Deal_Master_Wide!$CA$9)</f>
        <v/>
      </c>
      <c r="N48" s="17" t="str">
        <f>IF(ISBLANK(Deal_Master_Wide!$CH$9),"",Deal_Master_Wide!$CH$9)</f>
        <v/>
      </c>
      <c r="O48" s="17" t="str">
        <f>IF(ISBLANK(Deal_Master_Wide!$CO$9),"",Deal_Master_Wide!$CO$9)</f>
        <v/>
      </c>
      <c r="P48" s="17" t="str">
        <f>IF(ISBLANK(Deal_Master_Wide!$CV$9),"",Deal_Master_Wide!$CV$9)</f>
        <v/>
      </c>
      <c r="Q48" s="17" t="str">
        <f>IF(ISBLANK(Deal_Master_Wide!$DC$9),"",Deal_Master_Wide!$DC$9)</f>
        <v/>
      </c>
      <c r="R48" s="18" t="str">
        <f>IF(ISBLANK(Deal_Master_Wide!$DJ$9),"",Deal_Master_Wide!$DJ$9)</f>
        <v/>
      </c>
      <c r="S48" s="18" t="str">
        <f>IF(ISBLANK(Deal_Master_Wide!$DQ$9),"",Deal_Master_Wide!$DQ$9)</f>
        <v/>
      </c>
      <c r="T48" s="18" t="str">
        <f>IF(ISBLANK(Deal_Master_Wide!$DX$9),"",Deal_Master_Wide!$DX$9)</f>
        <v/>
      </c>
      <c r="U48" s="17" t="str">
        <f>IF(ISBLANK(Deal_Master_Wide!$EE$9),"",Deal_Master_Wide!$EE$9)</f>
        <v/>
      </c>
      <c r="V48" s="17" t="str">
        <f>IF(ISBLANK(Deal_Master_Wide!$EL$9),"",Deal_Master_Wide!$EL$9)</f>
        <v/>
      </c>
      <c r="W48" s="17">
        <f>IF(ISBLANK(Deal_Master_Wide!$AF$9),"",Deal_Master_Wide!$AF$9)</f>
        <v>28</v>
      </c>
    </row>
    <row r="49" spans="1:23" ht="13.4" customHeight="1">
      <c r="A49" s="15" t="s">
        <v>266</v>
      </c>
      <c r="B49" s="15" t="s">
        <v>177</v>
      </c>
      <c r="C49" s="15">
        <v>1</v>
      </c>
      <c r="D49" s="15" t="s">
        <v>271</v>
      </c>
      <c r="E49" s="15" t="s">
        <v>273</v>
      </c>
      <c r="F49" s="15">
        <v>2019</v>
      </c>
      <c r="G49" s="15">
        <v>2</v>
      </c>
      <c r="H49" s="15">
        <v>2021</v>
      </c>
      <c r="I49" s="15">
        <v>1</v>
      </c>
      <c r="J49" s="15">
        <v>1</v>
      </c>
      <c r="K49" s="16" t="e">
        <f>IF(#REF!="","",#REF!*$I49)</f>
        <v>#REF!</v>
      </c>
      <c r="L49" s="17" t="str">
        <f>IF(ISBLANK(Deal_Master_Wide!$BU$9),"",Deal_Master_Wide!$BU$9)</f>
        <v/>
      </c>
      <c r="M49" s="17" t="str">
        <f>IF(ISBLANK(Deal_Master_Wide!$CB$9),"",Deal_Master_Wide!$CB$9)</f>
        <v/>
      </c>
      <c r="N49" s="17" t="str">
        <f>IF(ISBLANK(Deal_Master_Wide!$CI$9),"",Deal_Master_Wide!$CI$9)</f>
        <v/>
      </c>
      <c r="O49" s="17" t="str">
        <f>IF(ISBLANK(Deal_Master_Wide!$CP$9),"",Deal_Master_Wide!$CP$9)</f>
        <v/>
      </c>
      <c r="P49" s="17" t="str">
        <f>IF(ISBLANK(Deal_Master_Wide!$CW$9),"",Deal_Master_Wide!$CW$9)</f>
        <v/>
      </c>
      <c r="Q49" s="17" t="str">
        <f>IF(ISBLANK(Deal_Master_Wide!$DD$9),"",Deal_Master_Wide!$DD$9)</f>
        <v/>
      </c>
      <c r="R49" s="18" t="str">
        <f>IF(ISBLANK(Deal_Master_Wide!$DK$9),"",Deal_Master_Wide!$DK$9)</f>
        <v/>
      </c>
      <c r="S49" s="18" t="str">
        <f>IF(ISBLANK(Deal_Master_Wide!$DR$9),"",Deal_Master_Wide!$DR$9)</f>
        <v/>
      </c>
      <c r="T49" s="18" t="str">
        <f>IF(ISBLANK(Deal_Master_Wide!$DY$9),"",Deal_Master_Wide!$DY$9)</f>
        <v/>
      </c>
      <c r="U49" s="17" t="str">
        <f>IF(ISBLANK(Deal_Master_Wide!$EF$9),"",Deal_Master_Wide!$EF$9)</f>
        <v/>
      </c>
      <c r="V49" s="17" t="str">
        <f>IF(ISBLANK(Deal_Master_Wide!$EM$9),"",Deal_Master_Wide!$EM$9)</f>
        <v/>
      </c>
      <c r="W49" s="17">
        <f>IF(ISBLANK(Deal_Master_Wide!$AF$9),"",Deal_Master_Wide!$AF$9)</f>
        <v>28</v>
      </c>
    </row>
    <row r="50" spans="1:23" ht="13.4" customHeight="1">
      <c r="A50" s="15" t="s">
        <v>266</v>
      </c>
      <c r="B50" s="15" t="s">
        <v>177</v>
      </c>
      <c r="C50" s="15">
        <v>1</v>
      </c>
      <c r="D50" s="15" t="s">
        <v>271</v>
      </c>
      <c r="E50" s="15" t="s">
        <v>273</v>
      </c>
      <c r="F50" s="15">
        <v>2019</v>
      </c>
      <c r="G50" s="15">
        <v>3</v>
      </c>
      <c r="H50" s="15">
        <v>2022</v>
      </c>
      <c r="I50" s="15">
        <v>1</v>
      </c>
      <c r="J50" s="15">
        <v>1</v>
      </c>
      <c r="K50" s="16" t="e">
        <f>IF(#REF!="","",#REF!*$I50)</f>
        <v>#REF!</v>
      </c>
      <c r="L50" s="17" t="str">
        <f>IF(ISBLANK(Deal_Master_Wide!$BV$9),"",Deal_Master_Wide!$BV$9)</f>
        <v/>
      </c>
      <c r="M50" s="17" t="str">
        <f>IF(ISBLANK(Deal_Master_Wide!$CC$9),"",Deal_Master_Wide!$CC$9)</f>
        <v/>
      </c>
      <c r="N50" s="17" t="str">
        <f>IF(ISBLANK(Deal_Master_Wide!$CJ$9),"",Deal_Master_Wide!$CJ$9)</f>
        <v/>
      </c>
      <c r="O50" s="17" t="str">
        <f>IF(ISBLANK(Deal_Master_Wide!$CQ$9),"",Deal_Master_Wide!$CQ$9)</f>
        <v/>
      </c>
      <c r="P50" s="17" t="str">
        <f>IF(ISBLANK(Deal_Master_Wide!$CX$9),"",Deal_Master_Wide!$CX$9)</f>
        <v/>
      </c>
      <c r="Q50" s="17" t="str">
        <f>IF(ISBLANK(Deal_Master_Wide!$DE$9),"",Deal_Master_Wide!$DE$9)</f>
        <v/>
      </c>
      <c r="R50" s="18" t="str">
        <f>IF(ISBLANK(Deal_Master_Wide!$DL$9),"",Deal_Master_Wide!$DL$9)</f>
        <v/>
      </c>
      <c r="S50" s="18" t="str">
        <f>IF(ISBLANK(Deal_Master_Wide!$DS$9),"",Deal_Master_Wide!$DS$9)</f>
        <v/>
      </c>
      <c r="T50" s="18" t="str">
        <f>IF(ISBLANK(Deal_Master_Wide!$DZ$9),"",Deal_Master_Wide!$DZ$9)</f>
        <v/>
      </c>
      <c r="U50" s="17" t="str">
        <f>IF(ISBLANK(Deal_Master_Wide!$EG$9),"",Deal_Master_Wide!$EG$9)</f>
        <v/>
      </c>
      <c r="V50" s="17" t="str">
        <f>IF(ISBLANK(Deal_Master_Wide!$EN$9),"",Deal_Master_Wide!$EN$9)</f>
        <v/>
      </c>
      <c r="W50" s="17">
        <f>IF(ISBLANK(Deal_Master_Wide!$AF$9),"",Deal_Master_Wide!$AF$9)</f>
        <v>28</v>
      </c>
    </row>
    <row r="51" spans="1:23" ht="13.4" customHeight="1">
      <c r="A51" s="15" t="s">
        <v>277</v>
      </c>
      <c r="B51" s="15" t="s">
        <v>177</v>
      </c>
      <c r="C51" s="15">
        <v>1</v>
      </c>
      <c r="D51" s="15" t="s">
        <v>282</v>
      </c>
      <c r="E51" s="15" t="s">
        <v>284</v>
      </c>
      <c r="F51" s="15">
        <v>2018</v>
      </c>
      <c r="G51" s="15">
        <v>-3</v>
      </c>
      <c r="H51" s="15">
        <v>2015</v>
      </c>
      <c r="I51" s="15">
        <v>0</v>
      </c>
      <c r="J51" s="15">
        <v>0</v>
      </c>
      <c r="K51" s="16" t="e">
        <f>IF(#REF!="","",#REF!*$I51)</f>
        <v>#REF!</v>
      </c>
      <c r="L51" s="17" t="str">
        <f>IF(ISBLANK(Deal_Master_Wide!$BP$10),"",Deal_Master_Wide!$BP$10)</f>
        <v/>
      </c>
      <c r="M51" s="17" t="str">
        <f>IF(ISBLANK(Deal_Master_Wide!$BW$10),"",Deal_Master_Wide!$BW$10)</f>
        <v/>
      </c>
      <c r="N51" s="17" t="str">
        <f>IF(ISBLANK(Deal_Master_Wide!$CD$10),"",Deal_Master_Wide!$CD$10)</f>
        <v/>
      </c>
      <c r="O51" s="17" t="str">
        <f>IF(ISBLANK(Deal_Master_Wide!$CK$10),"",Deal_Master_Wide!$CK$10)</f>
        <v/>
      </c>
      <c r="P51" s="17" t="str">
        <f>IF(ISBLANK(Deal_Master_Wide!$CR$10),"",Deal_Master_Wide!$CR$10)</f>
        <v/>
      </c>
      <c r="Q51" s="17" t="str">
        <f>IF(ISBLANK(Deal_Master_Wide!$CY$10),"",Deal_Master_Wide!$CY$10)</f>
        <v/>
      </c>
      <c r="R51" s="18" t="str">
        <f>IF(ISBLANK(Deal_Master_Wide!$DF$10),"",Deal_Master_Wide!$DF$10)</f>
        <v/>
      </c>
      <c r="S51" s="18" t="str">
        <f>IF(ISBLANK(Deal_Master_Wide!$DM$10),"",Deal_Master_Wide!$DM$10)</f>
        <v/>
      </c>
      <c r="T51" s="18" t="str">
        <f>IF(ISBLANK(Deal_Master_Wide!$DT$10),"",Deal_Master_Wide!$DT$10)</f>
        <v/>
      </c>
      <c r="U51" s="17" t="str">
        <f>IF(ISBLANK(Deal_Master_Wide!$EA$10),"",Deal_Master_Wide!$EA$10)</f>
        <v/>
      </c>
      <c r="V51" s="17" t="str">
        <f>IF(ISBLANK(Deal_Master_Wide!$EH$10),"",Deal_Master_Wide!$EH$10)</f>
        <v/>
      </c>
      <c r="W51" s="17" t="str">
        <f>IF(ISBLANK(Deal_Master_Wide!$AF$10),"",Deal_Master_Wide!$AF$10)</f>
        <v/>
      </c>
    </row>
    <row r="52" spans="1:23" ht="13.4" customHeight="1">
      <c r="A52" s="15" t="s">
        <v>277</v>
      </c>
      <c r="B52" s="15" t="s">
        <v>177</v>
      </c>
      <c r="C52" s="15">
        <v>1</v>
      </c>
      <c r="D52" s="15" t="s">
        <v>282</v>
      </c>
      <c r="E52" s="15" t="s">
        <v>284</v>
      </c>
      <c r="F52" s="15">
        <v>2018</v>
      </c>
      <c r="G52" s="15">
        <v>-2</v>
      </c>
      <c r="H52" s="15">
        <v>2016</v>
      </c>
      <c r="I52" s="15">
        <v>0</v>
      </c>
      <c r="J52" s="15">
        <v>0</v>
      </c>
      <c r="K52" s="16" t="e">
        <f>IF(#REF!="","",#REF!*$I52)</f>
        <v>#REF!</v>
      </c>
      <c r="L52" s="17" t="str">
        <f>IF(ISBLANK(Deal_Master_Wide!$BQ$10),"",Deal_Master_Wide!$BQ$10)</f>
        <v/>
      </c>
      <c r="M52" s="17" t="str">
        <f>IF(ISBLANK(Deal_Master_Wide!$BX$10),"",Deal_Master_Wide!$BX$10)</f>
        <v/>
      </c>
      <c r="N52" s="17" t="str">
        <f>IF(ISBLANK(Deal_Master_Wide!$CE$10),"",Deal_Master_Wide!$CE$10)</f>
        <v/>
      </c>
      <c r="O52" s="17" t="str">
        <f>IF(ISBLANK(Deal_Master_Wide!$CL$10),"",Deal_Master_Wide!$CL$10)</f>
        <v/>
      </c>
      <c r="P52" s="17" t="str">
        <f>IF(ISBLANK(Deal_Master_Wide!$CS$10),"",Deal_Master_Wide!$CS$10)</f>
        <v/>
      </c>
      <c r="Q52" s="17" t="str">
        <f>IF(ISBLANK(Deal_Master_Wide!$CZ$10),"",Deal_Master_Wide!$CZ$10)</f>
        <v/>
      </c>
      <c r="R52" s="18" t="str">
        <f>IF(ISBLANK(Deal_Master_Wide!$DG$10),"",Deal_Master_Wide!$DG$10)</f>
        <v/>
      </c>
      <c r="S52" s="18" t="str">
        <f>IF(ISBLANK(Deal_Master_Wide!$DN$10),"",Deal_Master_Wide!$DN$10)</f>
        <v/>
      </c>
      <c r="T52" s="18" t="str">
        <f>IF(ISBLANK(Deal_Master_Wide!$DU$10),"",Deal_Master_Wide!$DU$10)</f>
        <v/>
      </c>
      <c r="U52" s="17" t="str">
        <f>IF(ISBLANK(Deal_Master_Wide!$EB$10),"",Deal_Master_Wide!$EB$10)</f>
        <v/>
      </c>
      <c r="V52" s="17" t="str">
        <f>IF(ISBLANK(Deal_Master_Wide!$EI$10),"",Deal_Master_Wide!$EI$10)</f>
        <v/>
      </c>
      <c r="W52" s="17" t="str">
        <f>IF(ISBLANK(Deal_Master_Wide!$AF$10),"",Deal_Master_Wide!$AF$10)</f>
        <v/>
      </c>
    </row>
    <row r="53" spans="1:23" ht="13.4" customHeight="1">
      <c r="A53" s="15" t="s">
        <v>277</v>
      </c>
      <c r="B53" s="15" t="s">
        <v>177</v>
      </c>
      <c r="C53" s="15">
        <v>1</v>
      </c>
      <c r="D53" s="15" t="s">
        <v>282</v>
      </c>
      <c r="E53" s="15" t="s">
        <v>284</v>
      </c>
      <c r="F53" s="15">
        <v>2018</v>
      </c>
      <c r="G53" s="15">
        <v>-1</v>
      </c>
      <c r="H53" s="15">
        <v>2017</v>
      </c>
      <c r="I53" s="15">
        <v>0</v>
      </c>
      <c r="J53" s="15">
        <v>0</v>
      </c>
      <c r="K53" s="16" t="e">
        <f>IF(#REF!="","",#REF!*$I53)</f>
        <v>#REF!</v>
      </c>
      <c r="L53" s="17" t="str">
        <f>IF(ISBLANK(Deal_Master_Wide!$BR$10),"",Deal_Master_Wide!$BR$10)</f>
        <v/>
      </c>
      <c r="M53" s="17" t="str">
        <f>IF(ISBLANK(Deal_Master_Wide!$BY$10),"",Deal_Master_Wide!$BY$10)</f>
        <v/>
      </c>
      <c r="N53" s="17" t="str">
        <f>IF(ISBLANK(Deal_Master_Wide!$CF$10),"",Deal_Master_Wide!$CF$10)</f>
        <v/>
      </c>
      <c r="O53" s="17" t="str">
        <f>IF(ISBLANK(Deal_Master_Wide!$CM$10),"",Deal_Master_Wide!$CM$10)</f>
        <v/>
      </c>
      <c r="P53" s="17" t="str">
        <f>IF(ISBLANK(Deal_Master_Wide!$CT$10),"",Deal_Master_Wide!$CT$10)</f>
        <v/>
      </c>
      <c r="Q53" s="17" t="str">
        <f>IF(ISBLANK(Deal_Master_Wide!$DA$10),"",Deal_Master_Wide!$DA$10)</f>
        <v/>
      </c>
      <c r="R53" s="18" t="str">
        <f>IF(ISBLANK(Deal_Master_Wide!$DH$10),"",Deal_Master_Wide!$DH$10)</f>
        <v/>
      </c>
      <c r="S53" s="18" t="str">
        <f>IF(ISBLANK(Deal_Master_Wide!$DO$10),"",Deal_Master_Wide!$DO$10)</f>
        <v/>
      </c>
      <c r="T53" s="18" t="str">
        <f>IF(ISBLANK(Deal_Master_Wide!$DV$10),"",Deal_Master_Wide!$DV$10)</f>
        <v/>
      </c>
      <c r="U53" s="17" t="str">
        <f>IF(ISBLANK(Deal_Master_Wide!$EC$10),"",Deal_Master_Wide!$EC$10)</f>
        <v/>
      </c>
      <c r="V53" s="17" t="str">
        <f>IF(ISBLANK(Deal_Master_Wide!$EJ$10),"",Deal_Master_Wide!$EJ$10)</f>
        <v/>
      </c>
      <c r="W53" s="17" t="str">
        <f>IF(ISBLANK(Deal_Master_Wide!$AF$10),"",Deal_Master_Wide!$AF$10)</f>
        <v/>
      </c>
    </row>
    <row r="54" spans="1:23" ht="13.4" customHeight="1">
      <c r="A54" s="15" t="s">
        <v>277</v>
      </c>
      <c r="B54" s="15" t="s">
        <v>177</v>
      </c>
      <c r="C54" s="15">
        <v>1</v>
      </c>
      <c r="D54" s="15" t="s">
        <v>282</v>
      </c>
      <c r="E54" s="15" t="s">
        <v>284</v>
      </c>
      <c r="F54" s="15">
        <v>2018</v>
      </c>
      <c r="G54" s="15">
        <v>0</v>
      </c>
      <c r="H54" s="15">
        <v>2018</v>
      </c>
      <c r="I54" s="15">
        <v>0</v>
      </c>
      <c r="J54" s="15">
        <v>1</v>
      </c>
      <c r="K54" s="16" t="e">
        <f>IF(#REF!="","",#REF!*$I54)</f>
        <v>#REF!</v>
      </c>
      <c r="L54" s="17" t="str">
        <f>IF(ISBLANK(Deal_Master_Wide!$BS$10),"",Deal_Master_Wide!$BS$10)</f>
        <v/>
      </c>
      <c r="M54" s="17" t="str">
        <f>IF(ISBLANK(Deal_Master_Wide!$BZ$10),"",Deal_Master_Wide!$BZ$10)</f>
        <v/>
      </c>
      <c r="N54" s="17" t="str">
        <f>IF(ISBLANK(Deal_Master_Wide!$CG$10),"",Deal_Master_Wide!$CG$10)</f>
        <v/>
      </c>
      <c r="O54" s="17" t="str">
        <f>IF(ISBLANK(Deal_Master_Wide!$CN$10),"",Deal_Master_Wide!$CN$10)</f>
        <v/>
      </c>
      <c r="P54" s="17" t="str">
        <f>IF(ISBLANK(Deal_Master_Wide!$CU$10),"",Deal_Master_Wide!$CU$10)</f>
        <v/>
      </c>
      <c r="Q54" s="17" t="str">
        <f>IF(ISBLANK(Deal_Master_Wide!$DB$10),"",Deal_Master_Wide!$DB$10)</f>
        <v/>
      </c>
      <c r="R54" s="18" t="str">
        <f>IF(ISBLANK(Deal_Master_Wide!$DI$10),"",Deal_Master_Wide!$DI$10)</f>
        <v/>
      </c>
      <c r="S54" s="18" t="str">
        <f>IF(ISBLANK(Deal_Master_Wide!$DP$10),"",Deal_Master_Wide!$DP$10)</f>
        <v/>
      </c>
      <c r="T54" s="18" t="str">
        <f>IF(ISBLANK(Deal_Master_Wide!$DW$10),"",Deal_Master_Wide!$DW$10)</f>
        <v/>
      </c>
      <c r="U54" s="17" t="str">
        <f>IF(ISBLANK(Deal_Master_Wide!$ED$10),"",Deal_Master_Wide!$ED$10)</f>
        <v/>
      </c>
      <c r="V54" s="17" t="str">
        <f>IF(ISBLANK(Deal_Master_Wide!$EK$10),"",Deal_Master_Wide!$EK$10)</f>
        <v/>
      </c>
      <c r="W54" s="17" t="str">
        <f>IF(ISBLANK(Deal_Master_Wide!$AF$10),"",Deal_Master_Wide!$AF$10)</f>
        <v/>
      </c>
    </row>
    <row r="55" spans="1:23" ht="13.4" customHeight="1">
      <c r="A55" s="15" t="s">
        <v>277</v>
      </c>
      <c r="B55" s="15" t="s">
        <v>177</v>
      </c>
      <c r="C55" s="15">
        <v>1</v>
      </c>
      <c r="D55" s="15" t="s">
        <v>282</v>
      </c>
      <c r="E55" s="15" t="s">
        <v>284</v>
      </c>
      <c r="F55" s="15">
        <v>2018</v>
      </c>
      <c r="G55" s="15">
        <v>1</v>
      </c>
      <c r="H55" s="15">
        <v>2019</v>
      </c>
      <c r="I55" s="15">
        <v>1</v>
      </c>
      <c r="J55" s="15">
        <v>1</v>
      </c>
      <c r="K55" s="16" t="e">
        <f>IF(#REF!="","",#REF!*$I55)</f>
        <v>#REF!</v>
      </c>
      <c r="L55" s="17" t="str">
        <f>IF(ISBLANK(Deal_Master_Wide!$BT$10),"",Deal_Master_Wide!$BT$10)</f>
        <v/>
      </c>
      <c r="M55" s="17" t="str">
        <f>IF(ISBLANK(Deal_Master_Wide!$CA$10),"",Deal_Master_Wide!$CA$10)</f>
        <v/>
      </c>
      <c r="N55" s="17" t="str">
        <f>IF(ISBLANK(Deal_Master_Wide!$CH$10),"",Deal_Master_Wide!$CH$10)</f>
        <v/>
      </c>
      <c r="O55" s="17" t="str">
        <f>IF(ISBLANK(Deal_Master_Wide!$CO$10),"",Deal_Master_Wide!$CO$10)</f>
        <v/>
      </c>
      <c r="P55" s="17" t="str">
        <f>IF(ISBLANK(Deal_Master_Wide!$CV$10),"",Deal_Master_Wide!$CV$10)</f>
        <v/>
      </c>
      <c r="Q55" s="17" t="str">
        <f>IF(ISBLANK(Deal_Master_Wide!$DC$10),"",Deal_Master_Wide!$DC$10)</f>
        <v/>
      </c>
      <c r="R55" s="18" t="str">
        <f>IF(ISBLANK(Deal_Master_Wide!$DJ$10),"",Deal_Master_Wide!$DJ$10)</f>
        <v/>
      </c>
      <c r="S55" s="18" t="str">
        <f>IF(ISBLANK(Deal_Master_Wide!$DQ$10),"",Deal_Master_Wide!$DQ$10)</f>
        <v/>
      </c>
      <c r="T55" s="18" t="str">
        <f>IF(ISBLANK(Deal_Master_Wide!$DX$10),"",Deal_Master_Wide!$DX$10)</f>
        <v/>
      </c>
      <c r="U55" s="17" t="str">
        <f>IF(ISBLANK(Deal_Master_Wide!$EE$10),"",Deal_Master_Wide!$EE$10)</f>
        <v/>
      </c>
      <c r="V55" s="17" t="str">
        <f>IF(ISBLANK(Deal_Master_Wide!$EL$10),"",Deal_Master_Wide!$EL$10)</f>
        <v/>
      </c>
      <c r="W55" s="17" t="str">
        <f>IF(ISBLANK(Deal_Master_Wide!$AF$10),"",Deal_Master_Wide!$AF$10)</f>
        <v/>
      </c>
    </row>
    <row r="56" spans="1:23" ht="13.4" customHeight="1">
      <c r="A56" s="15" t="s">
        <v>277</v>
      </c>
      <c r="B56" s="15" t="s">
        <v>177</v>
      </c>
      <c r="C56" s="15">
        <v>1</v>
      </c>
      <c r="D56" s="15" t="s">
        <v>282</v>
      </c>
      <c r="E56" s="15" t="s">
        <v>284</v>
      </c>
      <c r="F56" s="15">
        <v>2018</v>
      </c>
      <c r="G56" s="15">
        <v>2</v>
      </c>
      <c r="H56" s="15">
        <v>2020</v>
      </c>
      <c r="I56" s="15">
        <v>1</v>
      </c>
      <c r="J56" s="15">
        <v>1</v>
      </c>
      <c r="K56" s="16" t="e">
        <f>IF(#REF!="","",#REF!*$I56)</f>
        <v>#REF!</v>
      </c>
      <c r="L56" s="17" t="str">
        <f>IF(ISBLANK(Deal_Master_Wide!$BU$10),"",Deal_Master_Wide!$BU$10)</f>
        <v/>
      </c>
      <c r="M56" s="17" t="str">
        <f>IF(ISBLANK(Deal_Master_Wide!$CB$10),"",Deal_Master_Wide!$CB$10)</f>
        <v/>
      </c>
      <c r="N56" s="17" t="str">
        <f>IF(ISBLANK(Deal_Master_Wide!$CI$10),"",Deal_Master_Wide!$CI$10)</f>
        <v/>
      </c>
      <c r="O56" s="17" t="str">
        <f>IF(ISBLANK(Deal_Master_Wide!$CP$10),"",Deal_Master_Wide!$CP$10)</f>
        <v/>
      </c>
      <c r="P56" s="17" t="str">
        <f>IF(ISBLANK(Deal_Master_Wide!$CW$10),"",Deal_Master_Wide!$CW$10)</f>
        <v/>
      </c>
      <c r="Q56" s="17" t="str">
        <f>IF(ISBLANK(Deal_Master_Wide!$DD$10),"",Deal_Master_Wide!$DD$10)</f>
        <v/>
      </c>
      <c r="R56" s="18" t="str">
        <f>IF(ISBLANK(Deal_Master_Wide!$DK$10),"",Deal_Master_Wide!$DK$10)</f>
        <v/>
      </c>
      <c r="S56" s="18" t="str">
        <f>IF(ISBLANK(Deal_Master_Wide!$DR$10),"",Deal_Master_Wide!$DR$10)</f>
        <v/>
      </c>
      <c r="T56" s="18" t="str">
        <f>IF(ISBLANK(Deal_Master_Wide!$DY$10),"",Deal_Master_Wide!$DY$10)</f>
        <v/>
      </c>
      <c r="U56" s="17" t="str">
        <f>IF(ISBLANK(Deal_Master_Wide!$EF$10),"",Deal_Master_Wide!$EF$10)</f>
        <v/>
      </c>
      <c r="V56" s="17" t="str">
        <f>IF(ISBLANK(Deal_Master_Wide!$EM$10),"",Deal_Master_Wide!$EM$10)</f>
        <v/>
      </c>
      <c r="W56" s="17" t="str">
        <f>IF(ISBLANK(Deal_Master_Wide!$AF$10),"",Deal_Master_Wide!$AF$10)</f>
        <v/>
      </c>
    </row>
    <row r="57" spans="1:23" ht="13.4" customHeight="1">
      <c r="A57" s="15" t="s">
        <v>277</v>
      </c>
      <c r="B57" s="15" t="s">
        <v>177</v>
      </c>
      <c r="C57" s="15">
        <v>1</v>
      </c>
      <c r="D57" s="15" t="s">
        <v>282</v>
      </c>
      <c r="E57" s="15" t="s">
        <v>284</v>
      </c>
      <c r="F57" s="15">
        <v>2018</v>
      </c>
      <c r="G57" s="15">
        <v>3</v>
      </c>
      <c r="H57" s="15">
        <v>2021</v>
      </c>
      <c r="I57" s="15">
        <v>1</v>
      </c>
      <c r="J57" s="15">
        <v>1</v>
      </c>
      <c r="K57" s="16" t="e">
        <f>IF(#REF!="","",#REF!*$I57)</f>
        <v>#REF!</v>
      </c>
      <c r="L57" s="17" t="str">
        <f>IF(ISBLANK(Deal_Master_Wide!$BV$10),"",Deal_Master_Wide!$BV$10)</f>
        <v/>
      </c>
      <c r="M57" s="17" t="str">
        <f>IF(ISBLANK(Deal_Master_Wide!$CC$10),"",Deal_Master_Wide!$CC$10)</f>
        <v/>
      </c>
      <c r="N57" s="17" t="str">
        <f>IF(ISBLANK(Deal_Master_Wide!$CJ$10),"",Deal_Master_Wide!$CJ$10)</f>
        <v/>
      </c>
      <c r="O57" s="17" t="str">
        <f>IF(ISBLANK(Deal_Master_Wide!$CQ$10),"",Deal_Master_Wide!$CQ$10)</f>
        <v/>
      </c>
      <c r="P57" s="17" t="str">
        <f>IF(ISBLANK(Deal_Master_Wide!$CX$10),"",Deal_Master_Wide!$CX$10)</f>
        <v/>
      </c>
      <c r="Q57" s="17" t="str">
        <f>IF(ISBLANK(Deal_Master_Wide!$DE$10),"",Deal_Master_Wide!$DE$10)</f>
        <v/>
      </c>
      <c r="R57" s="18" t="str">
        <f>IF(ISBLANK(Deal_Master_Wide!$DL$10),"",Deal_Master_Wide!$DL$10)</f>
        <v/>
      </c>
      <c r="S57" s="18" t="str">
        <f>IF(ISBLANK(Deal_Master_Wide!$DS$10),"",Deal_Master_Wide!$DS$10)</f>
        <v/>
      </c>
      <c r="T57" s="18" t="str">
        <f>IF(ISBLANK(Deal_Master_Wide!$DZ$10),"",Deal_Master_Wide!$DZ$10)</f>
        <v/>
      </c>
      <c r="U57" s="17" t="str">
        <f>IF(ISBLANK(Deal_Master_Wide!$EG$10),"",Deal_Master_Wide!$EG$10)</f>
        <v/>
      </c>
      <c r="V57" s="17" t="str">
        <f>IF(ISBLANK(Deal_Master_Wide!$EN$10),"",Deal_Master_Wide!$EN$10)</f>
        <v/>
      </c>
      <c r="W57" s="17" t="str">
        <f>IF(ISBLANK(Deal_Master_Wide!$AF$10),"",Deal_Master_Wide!$AF$10)</f>
        <v/>
      </c>
    </row>
    <row r="58" spans="1:23" ht="13.4" customHeight="1">
      <c r="A58" s="15" t="s">
        <v>288</v>
      </c>
      <c r="B58" s="15" t="s">
        <v>177</v>
      </c>
      <c r="C58" s="15">
        <v>1</v>
      </c>
      <c r="D58" s="15" t="s">
        <v>292</v>
      </c>
      <c r="E58" s="15" t="s">
        <v>294</v>
      </c>
      <c r="F58" s="15">
        <v>2018</v>
      </c>
      <c r="G58" s="15">
        <v>-3</v>
      </c>
      <c r="H58" s="15">
        <v>2015</v>
      </c>
      <c r="I58" s="15">
        <v>0</v>
      </c>
      <c r="J58" s="15">
        <v>0</v>
      </c>
      <c r="K58" s="16" t="e">
        <f>IF(#REF!="","",#REF!*$I58)</f>
        <v>#REF!</v>
      </c>
      <c r="L58" s="17" t="str">
        <f>IF(ISBLANK(Deal_Master_Wide!$BP$11),"",Deal_Master_Wide!$BP$11)</f>
        <v/>
      </c>
      <c r="M58" s="17" t="str">
        <f>IF(ISBLANK(Deal_Master_Wide!$BW$11),"",Deal_Master_Wide!$BW$11)</f>
        <v/>
      </c>
      <c r="N58" s="17" t="str">
        <f>IF(ISBLANK(Deal_Master_Wide!$CD$11),"",Deal_Master_Wide!$CD$11)</f>
        <v/>
      </c>
      <c r="O58" s="17" t="str">
        <f>IF(ISBLANK(Deal_Master_Wide!$CK$11),"",Deal_Master_Wide!$CK$11)</f>
        <v/>
      </c>
      <c r="P58" s="17" t="str">
        <f>IF(ISBLANK(Deal_Master_Wide!$CR$11),"",Deal_Master_Wide!$CR$11)</f>
        <v/>
      </c>
      <c r="Q58" s="17" t="str">
        <f>IF(ISBLANK(Deal_Master_Wide!$CY$11),"",Deal_Master_Wide!$CY$11)</f>
        <v/>
      </c>
      <c r="R58" s="18" t="str">
        <f>IF(ISBLANK(Deal_Master_Wide!$DF$11),"",Deal_Master_Wide!$DF$11)</f>
        <v/>
      </c>
      <c r="S58" s="18" t="str">
        <f>IF(ISBLANK(Deal_Master_Wide!$DM$11),"",Deal_Master_Wide!$DM$11)</f>
        <v/>
      </c>
      <c r="T58" s="18" t="str">
        <f>IF(ISBLANK(Deal_Master_Wide!$DT$11),"",Deal_Master_Wide!$DT$11)</f>
        <v/>
      </c>
      <c r="U58" s="17" t="str">
        <f>IF(ISBLANK(Deal_Master_Wide!$EA$11),"",Deal_Master_Wide!$EA$11)</f>
        <v/>
      </c>
      <c r="V58" s="17" t="str">
        <f>IF(ISBLANK(Deal_Master_Wide!$EH$11),"",Deal_Master_Wide!$EH$11)</f>
        <v/>
      </c>
      <c r="W58" s="17">
        <f>IF(ISBLANK(Deal_Master_Wide!$AF$11),"",Deal_Master_Wide!$AF$11)</f>
        <v>10</v>
      </c>
    </row>
    <row r="59" spans="1:23" ht="13.4" customHeight="1">
      <c r="A59" s="15" t="s">
        <v>288</v>
      </c>
      <c r="B59" s="15" t="s">
        <v>177</v>
      </c>
      <c r="C59" s="15">
        <v>1</v>
      </c>
      <c r="D59" s="15" t="s">
        <v>292</v>
      </c>
      <c r="E59" s="15" t="s">
        <v>294</v>
      </c>
      <c r="F59" s="15">
        <v>2018</v>
      </c>
      <c r="G59" s="15">
        <v>-2</v>
      </c>
      <c r="H59" s="15">
        <v>2016</v>
      </c>
      <c r="I59" s="15">
        <v>0</v>
      </c>
      <c r="J59" s="15">
        <v>0</v>
      </c>
      <c r="K59" s="16" t="e">
        <f>IF(#REF!="","",#REF!*$I59)</f>
        <v>#REF!</v>
      </c>
      <c r="L59" s="17" t="str">
        <f>IF(ISBLANK(Deal_Master_Wide!$BQ$11),"",Deal_Master_Wide!$BQ$11)</f>
        <v/>
      </c>
      <c r="M59" s="17" t="str">
        <f>IF(ISBLANK(Deal_Master_Wide!$BX$11),"",Deal_Master_Wide!$BX$11)</f>
        <v/>
      </c>
      <c r="N59" s="17" t="str">
        <f>IF(ISBLANK(Deal_Master_Wide!$CE$11),"",Deal_Master_Wide!$CE$11)</f>
        <v/>
      </c>
      <c r="O59" s="17" t="str">
        <f>IF(ISBLANK(Deal_Master_Wide!$CL$11),"",Deal_Master_Wide!$CL$11)</f>
        <v/>
      </c>
      <c r="P59" s="17" t="str">
        <f>IF(ISBLANK(Deal_Master_Wide!$CS$11),"",Deal_Master_Wide!$CS$11)</f>
        <v/>
      </c>
      <c r="Q59" s="17" t="str">
        <f>IF(ISBLANK(Deal_Master_Wide!$CZ$11),"",Deal_Master_Wide!$CZ$11)</f>
        <v/>
      </c>
      <c r="R59" s="18" t="str">
        <f>IF(ISBLANK(Deal_Master_Wide!$DG$11),"",Deal_Master_Wide!$DG$11)</f>
        <v/>
      </c>
      <c r="S59" s="18" t="str">
        <f>IF(ISBLANK(Deal_Master_Wide!$DN$11),"",Deal_Master_Wide!$DN$11)</f>
        <v/>
      </c>
      <c r="T59" s="18" t="str">
        <f>IF(ISBLANK(Deal_Master_Wide!$DU$11),"",Deal_Master_Wide!$DU$11)</f>
        <v/>
      </c>
      <c r="U59" s="17" t="str">
        <f>IF(ISBLANK(Deal_Master_Wide!$EB$11),"",Deal_Master_Wide!$EB$11)</f>
        <v/>
      </c>
      <c r="V59" s="17" t="str">
        <f>IF(ISBLANK(Deal_Master_Wide!$EI$11),"",Deal_Master_Wide!$EI$11)</f>
        <v/>
      </c>
      <c r="W59" s="17">
        <f>IF(ISBLANK(Deal_Master_Wide!$AF$11),"",Deal_Master_Wide!$AF$11)</f>
        <v>10</v>
      </c>
    </row>
    <row r="60" spans="1:23" ht="13.4" customHeight="1">
      <c r="A60" s="15" t="s">
        <v>288</v>
      </c>
      <c r="B60" s="15" t="s">
        <v>177</v>
      </c>
      <c r="C60" s="15">
        <v>1</v>
      </c>
      <c r="D60" s="15" t="s">
        <v>292</v>
      </c>
      <c r="E60" s="15" t="s">
        <v>294</v>
      </c>
      <c r="F60" s="15">
        <v>2018</v>
      </c>
      <c r="G60" s="15">
        <v>-1</v>
      </c>
      <c r="H60" s="15">
        <v>2017</v>
      </c>
      <c r="I60" s="15">
        <v>0</v>
      </c>
      <c r="J60" s="15">
        <v>0</v>
      </c>
      <c r="K60" s="16" t="e">
        <f>IF(#REF!="","",#REF!*$I60)</f>
        <v>#REF!</v>
      </c>
      <c r="L60" s="17" t="str">
        <f>IF(ISBLANK(Deal_Master_Wide!$BR$11),"",Deal_Master_Wide!$BR$11)</f>
        <v/>
      </c>
      <c r="M60" s="17" t="str">
        <f>IF(ISBLANK(Deal_Master_Wide!$BY$11),"",Deal_Master_Wide!$BY$11)</f>
        <v/>
      </c>
      <c r="N60" s="17" t="str">
        <f>IF(ISBLANK(Deal_Master_Wide!$CF$11),"",Deal_Master_Wide!$CF$11)</f>
        <v/>
      </c>
      <c r="O60" s="17" t="str">
        <f>IF(ISBLANK(Deal_Master_Wide!$CM$11),"",Deal_Master_Wide!$CM$11)</f>
        <v/>
      </c>
      <c r="P60" s="17" t="str">
        <f>IF(ISBLANK(Deal_Master_Wide!$CT$11),"",Deal_Master_Wide!$CT$11)</f>
        <v/>
      </c>
      <c r="Q60" s="17" t="str">
        <f>IF(ISBLANK(Deal_Master_Wide!$DA$11),"",Deal_Master_Wide!$DA$11)</f>
        <v/>
      </c>
      <c r="R60" s="18" t="str">
        <f>IF(ISBLANK(Deal_Master_Wide!$DH$11),"",Deal_Master_Wide!$DH$11)</f>
        <v/>
      </c>
      <c r="S60" s="18" t="str">
        <f>IF(ISBLANK(Deal_Master_Wide!$DO$11),"",Deal_Master_Wide!$DO$11)</f>
        <v/>
      </c>
      <c r="T60" s="18" t="str">
        <f>IF(ISBLANK(Deal_Master_Wide!$DV$11),"",Deal_Master_Wide!$DV$11)</f>
        <v/>
      </c>
      <c r="U60" s="17" t="str">
        <f>IF(ISBLANK(Deal_Master_Wide!$EC$11),"",Deal_Master_Wide!$EC$11)</f>
        <v/>
      </c>
      <c r="V60" s="17" t="str">
        <f>IF(ISBLANK(Deal_Master_Wide!$EJ$11),"",Deal_Master_Wide!$EJ$11)</f>
        <v/>
      </c>
      <c r="W60" s="17">
        <f>IF(ISBLANK(Deal_Master_Wide!$AF$11),"",Deal_Master_Wide!$AF$11)</f>
        <v>10</v>
      </c>
    </row>
    <row r="61" spans="1:23" ht="13.4" customHeight="1">
      <c r="A61" s="15" t="s">
        <v>288</v>
      </c>
      <c r="B61" s="15" t="s">
        <v>177</v>
      </c>
      <c r="C61" s="15">
        <v>1</v>
      </c>
      <c r="D61" s="15" t="s">
        <v>292</v>
      </c>
      <c r="E61" s="15" t="s">
        <v>294</v>
      </c>
      <c r="F61" s="15">
        <v>2018</v>
      </c>
      <c r="G61" s="15">
        <v>0</v>
      </c>
      <c r="H61" s="15">
        <v>2018</v>
      </c>
      <c r="I61" s="15">
        <v>0</v>
      </c>
      <c r="J61" s="15">
        <v>1</v>
      </c>
      <c r="K61" s="16" t="e">
        <f>IF(#REF!="","",#REF!*$I61)</f>
        <v>#REF!</v>
      </c>
      <c r="L61" s="17" t="str">
        <f>IF(ISBLANK(Deal_Master_Wide!$BS$11),"",Deal_Master_Wide!$BS$11)</f>
        <v/>
      </c>
      <c r="M61" s="17" t="str">
        <f>IF(ISBLANK(Deal_Master_Wide!$BZ$11),"",Deal_Master_Wide!$BZ$11)</f>
        <v/>
      </c>
      <c r="N61" s="17" t="str">
        <f>IF(ISBLANK(Deal_Master_Wide!$CG$11),"",Deal_Master_Wide!$CG$11)</f>
        <v/>
      </c>
      <c r="O61" s="17" t="str">
        <f>IF(ISBLANK(Deal_Master_Wide!$CN$11),"",Deal_Master_Wide!$CN$11)</f>
        <v/>
      </c>
      <c r="P61" s="17" t="str">
        <f>IF(ISBLANK(Deal_Master_Wide!$CU$11),"",Deal_Master_Wide!$CU$11)</f>
        <v/>
      </c>
      <c r="Q61" s="17" t="str">
        <f>IF(ISBLANK(Deal_Master_Wide!$DB$11),"",Deal_Master_Wide!$DB$11)</f>
        <v/>
      </c>
      <c r="R61" s="18" t="str">
        <f>IF(ISBLANK(Deal_Master_Wide!$DI$11),"",Deal_Master_Wide!$DI$11)</f>
        <v/>
      </c>
      <c r="S61" s="18" t="str">
        <f>IF(ISBLANK(Deal_Master_Wide!$DP$11),"",Deal_Master_Wide!$DP$11)</f>
        <v/>
      </c>
      <c r="T61" s="18" t="str">
        <f>IF(ISBLANK(Deal_Master_Wide!$DW$11),"",Deal_Master_Wide!$DW$11)</f>
        <v/>
      </c>
      <c r="U61" s="17" t="str">
        <f>IF(ISBLANK(Deal_Master_Wide!$ED$11),"",Deal_Master_Wide!$ED$11)</f>
        <v/>
      </c>
      <c r="V61" s="17" t="str">
        <f>IF(ISBLANK(Deal_Master_Wide!$EK$11),"",Deal_Master_Wide!$EK$11)</f>
        <v/>
      </c>
      <c r="W61" s="17">
        <f>IF(ISBLANK(Deal_Master_Wide!$AF$11),"",Deal_Master_Wide!$AF$11)</f>
        <v>10</v>
      </c>
    </row>
    <row r="62" spans="1:23" ht="13.4" customHeight="1">
      <c r="A62" s="15" t="s">
        <v>288</v>
      </c>
      <c r="B62" s="15" t="s">
        <v>177</v>
      </c>
      <c r="C62" s="15">
        <v>1</v>
      </c>
      <c r="D62" s="15" t="s">
        <v>292</v>
      </c>
      <c r="E62" s="15" t="s">
        <v>294</v>
      </c>
      <c r="F62" s="15">
        <v>2018</v>
      </c>
      <c r="G62" s="15">
        <v>1</v>
      </c>
      <c r="H62" s="15">
        <v>2019</v>
      </c>
      <c r="I62" s="15">
        <v>1</v>
      </c>
      <c r="J62" s="15">
        <v>1</v>
      </c>
      <c r="K62" s="16" t="e">
        <f>IF(#REF!="","",#REF!*$I62)</f>
        <v>#REF!</v>
      </c>
      <c r="L62" s="17" t="str">
        <f>IF(ISBLANK(Deal_Master_Wide!$BT$11),"",Deal_Master_Wide!$BT$11)</f>
        <v/>
      </c>
      <c r="M62" s="17" t="str">
        <f>IF(ISBLANK(Deal_Master_Wide!$CA$11),"",Deal_Master_Wide!$CA$11)</f>
        <v/>
      </c>
      <c r="N62" s="17" t="str">
        <f>IF(ISBLANK(Deal_Master_Wide!$CH$11),"",Deal_Master_Wide!$CH$11)</f>
        <v/>
      </c>
      <c r="O62" s="17" t="str">
        <f>IF(ISBLANK(Deal_Master_Wide!$CO$11),"",Deal_Master_Wide!$CO$11)</f>
        <v/>
      </c>
      <c r="P62" s="17" t="str">
        <f>IF(ISBLANK(Deal_Master_Wide!$CV$11),"",Deal_Master_Wide!$CV$11)</f>
        <v/>
      </c>
      <c r="Q62" s="17" t="str">
        <f>IF(ISBLANK(Deal_Master_Wide!$DC$11),"",Deal_Master_Wide!$DC$11)</f>
        <v/>
      </c>
      <c r="R62" s="18" t="str">
        <f>IF(ISBLANK(Deal_Master_Wide!$DJ$11),"",Deal_Master_Wide!$DJ$11)</f>
        <v/>
      </c>
      <c r="S62" s="18" t="str">
        <f>IF(ISBLANK(Deal_Master_Wide!$DQ$11),"",Deal_Master_Wide!$DQ$11)</f>
        <v/>
      </c>
      <c r="T62" s="18" t="str">
        <f>IF(ISBLANK(Deal_Master_Wide!$DX$11),"",Deal_Master_Wide!$DX$11)</f>
        <v/>
      </c>
      <c r="U62" s="17" t="str">
        <f>IF(ISBLANK(Deal_Master_Wide!$EE$11),"",Deal_Master_Wide!$EE$11)</f>
        <v/>
      </c>
      <c r="V62" s="17" t="str">
        <f>IF(ISBLANK(Deal_Master_Wide!$EL$11),"",Deal_Master_Wide!$EL$11)</f>
        <v/>
      </c>
      <c r="W62" s="17">
        <f>IF(ISBLANK(Deal_Master_Wide!$AF$11),"",Deal_Master_Wide!$AF$11)</f>
        <v>10</v>
      </c>
    </row>
    <row r="63" spans="1:23" ht="13.4" customHeight="1">
      <c r="A63" s="15" t="s">
        <v>288</v>
      </c>
      <c r="B63" s="15" t="s">
        <v>177</v>
      </c>
      <c r="C63" s="15">
        <v>1</v>
      </c>
      <c r="D63" s="15" t="s">
        <v>292</v>
      </c>
      <c r="E63" s="15" t="s">
        <v>294</v>
      </c>
      <c r="F63" s="15">
        <v>2018</v>
      </c>
      <c r="G63" s="15">
        <v>2</v>
      </c>
      <c r="H63" s="15">
        <v>2020</v>
      </c>
      <c r="I63" s="15">
        <v>1</v>
      </c>
      <c r="J63" s="15">
        <v>1</v>
      </c>
      <c r="K63" s="16" t="e">
        <f>IF(#REF!="","",#REF!*$I63)</f>
        <v>#REF!</v>
      </c>
      <c r="L63" s="17" t="str">
        <f>IF(ISBLANK(Deal_Master_Wide!$BU$11),"",Deal_Master_Wide!$BU$11)</f>
        <v/>
      </c>
      <c r="M63" s="17" t="str">
        <f>IF(ISBLANK(Deal_Master_Wide!$CB$11),"",Deal_Master_Wide!$CB$11)</f>
        <v/>
      </c>
      <c r="N63" s="17" t="str">
        <f>IF(ISBLANK(Deal_Master_Wide!$CI$11),"",Deal_Master_Wide!$CI$11)</f>
        <v/>
      </c>
      <c r="O63" s="17" t="str">
        <f>IF(ISBLANK(Deal_Master_Wide!$CP$11),"",Deal_Master_Wide!$CP$11)</f>
        <v/>
      </c>
      <c r="P63" s="17" t="str">
        <f>IF(ISBLANK(Deal_Master_Wide!$CW$11),"",Deal_Master_Wide!$CW$11)</f>
        <v/>
      </c>
      <c r="Q63" s="17" t="str">
        <f>IF(ISBLANK(Deal_Master_Wide!$DD$11),"",Deal_Master_Wide!$DD$11)</f>
        <v/>
      </c>
      <c r="R63" s="18" t="str">
        <f>IF(ISBLANK(Deal_Master_Wide!$DK$11),"",Deal_Master_Wide!$DK$11)</f>
        <v/>
      </c>
      <c r="S63" s="18" t="str">
        <f>IF(ISBLANK(Deal_Master_Wide!$DR$11),"",Deal_Master_Wide!$DR$11)</f>
        <v/>
      </c>
      <c r="T63" s="18" t="str">
        <f>IF(ISBLANK(Deal_Master_Wide!$DY$11),"",Deal_Master_Wide!$DY$11)</f>
        <v/>
      </c>
      <c r="U63" s="17" t="str">
        <f>IF(ISBLANK(Deal_Master_Wide!$EF$11),"",Deal_Master_Wide!$EF$11)</f>
        <v/>
      </c>
      <c r="V63" s="17" t="str">
        <f>IF(ISBLANK(Deal_Master_Wide!$EM$11),"",Deal_Master_Wide!$EM$11)</f>
        <v/>
      </c>
      <c r="W63" s="17">
        <f>IF(ISBLANK(Deal_Master_Wide!$AF$11),"",Deal_Master_Wide!$AF$11)</f>
        <v>10</v>
      </c>
    </row>
    <row r="64" spans="1:23" ht="13.4" customHeight="1">
      <c r="A64" s="15" t="s">
        <v>288</v>
      </c>
      <c r="B64" s="15" t="s">
        <v>177</v>
      </c>
      <c r="C64" s="15">
        <v>1</v>
      </c>
      <c r="D64" s="15" t="s">
        <v>292</v>
      </c>
      <c r="E64" s="15" t="s">
        <v>294</v>
      </c>
      <c r="F64" s="15">
        <v>2018</v>
      </c>
      <c r="G64" s="15">
        <v>3</v>
      </c>
      <c r="H64" s="15">
        <v>2021</v>
      </c>
      <c r="I64" s="15">
        <v>1</v>
      </c>
      <c r="J64" s="15">
        <v>1</v>
      </c>
      <c r="K64" s="16" t="e">
        <f>IF(#REF!="","",#REF!*$I64)</f>
        <v>#REF!</v>
      </c>
      <c r="L64" s="17" t="str">
        <f>IF(ISBLANK(Deal_Master_Wide!$BV$11),"",Deal_Master_Wide!$BV$11)</f>
        <v/>
      </c>
      <c r="M64" s="17" t="str">
        <f>IF(ISBLANK(Deal_Master_Wide!$CC$11),"",Deal_Master_Wide!$CC$11)</f>
        <v/>
      </c>
      <c r="N64" s="17" t="str">
        <f>IF(ISBLANK(Deal_Master_Wide!$CJ$11),"",Deal_Master_Wide!$CJ$11)</f>
        <v/>
      </c>
      <c r="O64" s="17" t="str">
        <f>IF(ISBLANK(Deal_Master_Wide!$CQ$11),"",Deal_Master_Wide!$CQ$11)</f>
        <v/>
      </c>
      <c r="P64" s="17" t="str">
        <f>IF(ISBLANK(Deal_Master_Wide!$CX$11),"",Deal_Master_Wide!$CX$11)</f>
        <v/>
      </c>
      <c r="Q64" s="17" t="str">
        <f>IF(ISBLANK(Deal_Master_Wide!$DE$11),"",Deal_Master_Wide!$DE$11)</f>
        <v/>
      </c>
      <c r="R64" s="18" t="str">
        <f>IF(ISBLANK(Deal_Master_Wide!$DL$11),"",Deal_Master_Wide!$DL$11)</f>
        <v/>
      </c>
      <c r="S64" s="18" t="str">
        <f>IF(ISBLANK(Deal_Master_Wide!$DS$11),"",Deal_Master_Wide!$DS$11)</f>
        <v/>
      </c>
      <c r="T64" s="18" t="str">
        <f>IF(ISBLANK(Deal_Master_Wide!$DZ$11),"",Deal_Master_Wide!$DZ$11)</f>
        <v/>
      </c>
      <c r="U64" s="17" t="str">
        <f>IF(ISBLANK(Deal_Master_Wide!$EG$11),"",Deal_Master_Wide!$EG$11)</f>
        <v/>
      </c>
      <c r="V64" s="17" t="str">
        <f>IF(ISBLANK(Deal_Master_Wide!$EN$11),"",Deal_Master_Wide!$EN$11)</f>
        <v/>
      </c>
      <c r="W64" s="17">
        <f>IF(ISBLANK(Deal_Master_Wide!$AF$11),"",Deal_Master_Wide!$AF$11)</f>
        <v>10</v>
      </c>
    </row>
    <row r="65" spans="1:23" ht="13.4" customHeight="1">
      <c r="A65" s="15" t="s">
        <v>298</v>
      </c>
      <c r="B65" s="15" t="s">
        <v>177</v>
      </c>
      <c r="C65" s="15">
        <v>1</v>
      </c>
      <c r="D65" s="15" t="s">
        <v>304</v>
      </c>
      <c r="E65" s="15" t="s">
        <v>306</v>
      </c>
      <c r="F65" s="15">
        <v>2018</v>
      </c>
      <c r="G65" s="15">
        <v>-3</v>
      </c>
      <c r="H65" s="15">
        <v>2015</v>
      </c>
      <c r="I65" s="15">
        <v>0</v>
      </c>
      <c r="J65" s="15">
        <v>0</v>
      </c>
      <c r="K65" s="16" t="e">
        <f>IF(#REF!="","",#REF!*$I65)</f>
        <v>#REF!</v>
      </c>
      <c r="L65" s="17">
        <f>IF(ISBLANK(Deal_Master_Wide!$BP$12),"",Deal_Master_Wide!$BP$12)</f>
        <v>34861</v>
      </c>
      <c r="M65" s="17">
        <f>IF(ISBLANK(Deal_Master_Wide!$BW$12),"",Deal_Master_Wide!$BW$12)</f>
        <v>7085</v>
      </c>
      <c r="N65" s="17">
        <f>IF(ISBLANK(Deal_Master_Wide!$CD$12),"",Deal_Master_Wide!$CD$12)</f>
        <v>4287</v>
      </c>
      <c r="O65" s="17">
        <f>IF(ISBLANK(Deal_Master_Wide!$CK$12),"",Deal_Master_Wide!$CK$12)</f>
        <v>102321</v>
      </c>
      <c r="P65" s="17">
        <f>IF(ISBLANK(Deal_Master_Wide!$CR$12),"",Deal_Master_Wide!$CR$12)</f>
        <v>16589</v>
      </c>
      <c r="Q65" s="17">
        <f>IF(ISBLANK(Deal_Master_Wide!$CY$12),"",Deal_Master_Wide!$CY$12)</f>
        <v>5082</v>
      </c>
      <c r="R65" s="18">
        <f>IF(ISBLANK(Deal_Master_Wide!$DF$12),"",Deal_Master_Wide!$DF$12)</f>
        <v>4.2931999999999997</v>
      </c>
      <c r="S65" s="18">
        <f>IF(ISBLANK(Deal_Master_Wide!$DM$12),"",Deal_Master_Wide!$DM$12)</f>
        <v>16.413799999999998</v>
      </c>
      <c r="T65" s="18">
        <f>IF(ISBLANK(Deal_Master_Wide!$DT$12),"",Deal_Master_Wide!$DT$12)</f>
        <v>16.212700000000002</v>
      </c>
      <c r="U65" s="17">
        <f>IF(ISBLANK(Deal_Master_Wide!$EA$12),"",Deal_Master_Wide!$EA$12)</f>
        <v>15</v>
      </c>
      <c r="V65" s="17">
        <f>IF(ISBLANK(Deal_Master_Wide!$EH$12),"",Deal_Master_Wide!$EH$12)</f>
        <v>9</v>
      </c>
      <c r="W65" s="17">
        <f>IF(ISBLANK(Deal_Master_Wide!$AF$12),"",Deal_Master_Wide!$AF$12)</f>
        <v>4847</v>
      </c>
    </row>
    <row r="66" spans="1:23" ht="13.4" customHeight="1">
      <c r="A66" s="15" t="s">
        <v>298</v>
      </c>
      <c r="B66" s="15" t="s">
        <v>177</v>
      </c>
      <c r="C66" s="15">
        <v>1</v>
      </c>
      <c r="D66" s="15" t="s">
        <v>304</v>
      </c>
      <c r="E66" s="15" t="s">
        <v>306</v>
      </c>
      <c r="F66" s="15">
        <v>2018</v>
      </c>
      <c r="G66" s="15">
        <v>-2</v>
      </c>
      <c r="H66" s="15">
        <v>2016</v>
      </c>
      <c r="I66" s="15">
        <v>0</v>
      </c>
      <c r="J66" s="15">
        <v>0</v>
      </c>
      <c r="K66" s="16" t="e">
        <f>IF(#REF!="","",#REF!*$I66)</f>
        <v>#REF!</v>
      </c>
      <c r="L66" s="17">
        <f>IF(ISBLANK(Deal_Master_Wide!$BQ$12),"",Deal_Master_Wide!$BQ$12)</f>
        <v>34708</v>
      </c>
      <c r="M66" s="17">
        <f>IF(ISBLANK(Deal_Master_Wide!$BX$12),"",Deal_Master_Wide!$BX$12)</f>
        <v>7489</v>
      </c>
      <c r="N66" s="17">
        <f>IF(ISBLANK(Deal_Master_Wide!$CE$12),"",Deal_Master_Wide!$CE$12)</f>
        <v>4709</v>
      </c>
      <c r="O66" s="17">
        <f>IF(ISBLANK(Deal_Master_Wide!$CL$12),"",Deal_Master_Wide!$CL$12)</f>
        <v>104672</v>
      </c>
      <c r="P66" s="17">
        <f>IF(ISBLANK(Deal_Master_Wide!$CS$12),"",Deal_Master_Wide!$CS$12)</f>
        <v>18589</v>
      </c>
      <c r="Q66" s="17">
        <f>IF(ISBLANK(Deal_Master_Wide!$CZ$12),"",Deal_Master_Wide!$CZ$12)</f>
        <v>5172</v>
      </c>
      <c r="R66" s="18">
        <f>IF(ISBLANK(Deal_Master_Wide!$DG$12),"",Deal_Master_Wide!$DG$12)</f>
        <v>4.5499000000000001</v>
      </c>
      <c r="S66" s="18">
        <f>IF(ISBLANK(Deal_Master_Wide!$DN$12),"",Deal_Master_Wide!$DN$12)</f>
        <v>18.825600000000001</v>
      </c>
      <c r="T66" s="18">
        <f>IF(ISBLANK(Deal_Master_Wide!$DU$12),"",Deal_Master_Wide!$DU$12)</f>
        <v>17.7593</v>
      </c>
      <c r="U66" s="17">
        <f>IF(ISBLANK(Deal_Master_Wide!$EB$12),"",Deal_Master_Wide!$EB$12)</f>
        <v>28</v>
      </c>
      <c r="V66" s="17">
        <f>IF(ISBLANK(Deal_Master_Wide!$EI$12),"",Deal_Master_Wide!$EI$12)</f>
        <v>4</v>
      </c>
      <c r="W66" s="17">
        <f>IF(ISBLANK(Deal_Master_Wide!$AF$12),"",Deal_Master_Wide!$AF$12)</f>
        <v>4847</v>
      </c>
    </row>
    <row r="67" spans="1:23" ht="13.4" customHeight="1">
      <c r="A67" s="15" t="s">
        <v>298</v>
      </c>
      <c r="B67" s="15" t="s">
        <v>177</v>
      </c>
      <c r="C67" s="15">
        <v>1</v>
      </c>
      <c r="D67" s="15" t="s">
        <v>304</v>
      </c>
      <c r="E67" s="15" t="s">
        <v>306</v>
      </c>
      <c r="F67" s="15">
        <v>2018</v>
      </c>
      <c r="G67" s="15">
        <v>-1</v>
      </c>
      <c r="H67" s="15">
        <v>2017</v>
      </c>
      <c r="I67" s="15">
        <v>0</v>
      </c>
      <c r="J67" s="15">
        <v>0</v>
      </c>
      <c r="K67" s="16" t="e">
        <f>IF(#REF!="","",#REF!*$I67)</f>
        <v>#REF!</v>
      </c>
      <c r="L67" s="17">
        <f>IF(ISBLANK(Deal_Master_Wide!$BR$12),"",Deal_Master_Wide!$BR$12)</f>
        <v>36221</v>
      </c>
      <c r="M67" s="17">
        <f>IF(ISBLANK(Deal_Master_Wide!$BY$12),"",Deal_Master_Wide!$BY$12)</f>
        <v>7112</v>
      </c>
      <c r="N67" s="17">
        <f>IF(ISBLANK(Deal_Master_Wide!$CF$12),"",Deal_Master_Wide!$CF$12)</f>
        <v>8416</v>
      </c>
      <c r="O67" s="17">
        <f>IF(ISBLANK(Deal_Master_Wide!$CM$12),"",Deal_Master_Wide!$CM$12)</f>
        <v>99813</v>
      </c>
      <c r="P67" s="17">
        <f>IF(ISBLANK(Deal_Master_Wide!$CT$12),"",Deal_Master_Wide!$CT$12)</f>
        <v>15601</v>
      </c>
      <c r="Q67" s="17">
        <f>IF(ISBLANK(Deal_Master_Wide!$DA$12),"",Deal_Master_Wide!$DA$12)</f>
        <v>5472</v>
      </c>
      <c r="R67" s="18">
        <f>IF(ISBLANK(Deal_Master_Wide!$DH$12),"",Deal_Master_Wide!$DH$12)</f>
        <v>8.2314000000000007</v>
      </c>
      <c r="S67" s="18">
        <f>IF(ISBLANK(Deal_Master_Wide!$DO$12),"",Deal_Master_Wide!$DO$12)</f>
        <v>16.023900000000001</v>
      </c>
      <c r="T67" s="18">
        <f>IF(ISBLANK(Deal_Master_Wide!$DV$12),"",Deal_Master_Wide!$DV$12)</f>
        <v>15.6302</v>
      </c>
      <c r="U67" s="17">
        <f>IF(ISBLANK(Deal_Master_Wide!$EC$12),"",Deal_Master_Wide!$EC$12)</f>
        <v>36</v>
      </c>
      <c r="V67" s="17">
        <f>IF(ISBLANK(Deal_Master_Wide!$EJ$12),"",Deal_Master_Wide!$EJ$12)</f>
        <v>0</v>
      </c>
      <c r="W67" s="17">
        <f>IF(ISBLANK(Deal_Master_Wide!$AF$12),"",Deal_Master_Wide!$AF$12)</f>
        <v>4847</v>
      </c>
    </row>
    <row r="68" spans="1:23" ht="13.4" customHeight="1">
      <c r="A68" s="15" t="s">
        <v>298</v>
      </c>
      <c r="B68" s="15" t="s">
        <v>177</v>
      </c>
      <c r="C68" s="15">
        <v>1</v>
      </c>
      <c r="D68" s="15" t="s">
        <v>304</v>
      </c>
      <c r="E68" s="15" t="s">
        <v>306</v>
      </c>
      <c r="F68" s="15">
        <v>2018</v>
      </c>
      <c r="G68" s="15">
        <v>0</v>
      </c>
      <c r="H68" s="15">
        <v>2018</v>
      </c>
      <c r="I68" s="15">
        <v>0</v>
      </c>
      <c r="J68" s="15">
        <v>1</v>
      </c>
      <c r="K68" s="16" t="e">
        <f>IF(#REF!="","",#REF!*$I68)</f>
        <v>#REF!</v>
      </c>
      <c r="L68" s="17">
        <f>IF(ISBLANK(Deal_Master_Wide!$BS$12),"",Deal_Master_Wide!$BS$12)</f>
        <v>35677</v>
      </c>
      <c r="M68" s="17">
        <f>IF(ISBLANK(Deal_Master_Wide!$BZ$12),"",Deal_Master_Wide!$BZ$12)</f>
        <v>5845</v>
      </c>
      <c r="N68" s="17">
        <f>IF(ISBLANK(Deal_Master_Wide!$CG$12),"",Deal_Master_Wide!$CG$12)</f>
        <v>4306</v>
      </c>
      <c r="O68" s="17">
        <f>IF(ISBLANK(Deal_Master_Wide!$CN$12),"",Deal_Master_Wide!$CN$12)</f>
        <v>111408</v>
      </c>
      <c r="P68" s="17">
        <f>IF(ISBLANK(Deal_Master_Wide!$CU$12),"",Deal_Master_Wide!$CU$12)</f>
        <v>24640</v>
      </c>
      <c r="Q68" s="17">
        <f>IF(ISBLANK(Deal_Master_Wide!$DB$12),"",Deal_Master_Wide!$DB$12)</f>
        <v>5894</v>
      </c>
      <c r="R68" s="18">
        <f>IF(ISBLANK(Deal_Master_Wide!$DI$12),"",Deal_Master_Wide!$DI$12)</f>
        <v>4.0772000000000004</v>
      </c>
      <c r="S68" s="18">
        <f>IF(ISBLANK(Deal_Master_Wide!$DP$12),"",Deal_Master_Wide!$DP$12)</f>
        <v>13.1065</v>
      </c>
      <c r="T68" s="18">
        <f>IF(ISBLANK(Deal_Master_Wide!$DW$12),"",Deal_Master_Wide!$DW$12)</f>
        <v>22.116900000000001</v>
      </c>
      <c r="U68" s="17">
        <f>IF(ISBLANK(Deal_Master_Wide!$ED$12),"",Deal_Master_Wide!$ED$12)</f>
        <v>38</v>
      </c>
      <c r="V68" s="17">
        <f>IF(ISBLANK(Deal_Master_Wide!$EK$12),"",Deal_Master_Wide!$EK$12)</f>
        <v>1</v>
      </c>
      <c r="W68" s="17">
        <f>IF(ISBLANK(Deal_Master_Wide!$AF$12),"",Deal_Master_Wide!$AF$12)</f>
        <v>4847</v>
      </c>
    </row>
    <row r="69" spans="1:23" ht="13.4" customHeight="1">
      <c r="A69" s="15" t="s">
        <v>298</v>
      </c>
      <c r="B69" s="15" t="s">
        <v>177</v>
      </c>
      <c r="C69" s="15">
        <v>1</v>
      </c>
      <c r="D69" s="15" t="s">
        <v>304</v>
      </c>
      <c r="E69" s="15" t="s">
        <v>306</v>
      </c>
      <c r="F69" s="15">
        <v>2018</v>
      </c>
      <c r="G69" s="15">
        <v>1</v>
      </c>
      <c r="H69" s="15">
        <v>2019</v>
      </c>
      <c r="I69" s="15">
        <v>1</v>
      </c>
      <c r="J69" s="15">
        <v>1</v>
      </c>
      <c r="K69" s="16" t="e">
        <f>IF(#REF!="","",#REF!*$I69)</f>
        <v>#REF!</v>
      </c>
      <c r="L69" s="17">
        <f>IF(ISBLANK(Deal_Master_Wide!$BT$12),"",Deal_Master_Wide!$BT$12)</f>
        <v>37631</v>
      </c>
      <c r="M69" s="17">
        <f>IF(ISBLANK(Deal_Master_Wide!$CA$12),"",Deal_Master_Wide!$CA$12)</f>
        <v>6882</v>
      </c>
      <c r="N69" s="17">
        <f>IF(ISBLANK(Deal_Master_Wide!$CH$12),"",Deal_Master_Wide!$CH$12)</f>
        <v>2754</v>
      </c>
      <c r="O69" s="17">
        <f>IF(ISBLANK(Deal_Master_Wide!$CO$12),"",Deal_Master_Wide!$CO$12)</f>
        <v>112630</v>
      </c>
      <c r="P69" s="17">
        <f>IF(ISBLANK(Deal_Master_Wide!$CV$12),"",Deal_Master_Wide!$CV$12)</f>
        <v>25933</v>
      </c>
      <c r="Q69" s="17">
        <f>IF(ISBLANK(Deal_Master_Wide!$DC$12),"",Deal_Master_Wide!$DC$12)</f>
        <v>6020</v>
      </c>
      <c r="R69" s="18">
        <f>IF(ISBLANK(Deal_Master_Wide!$DJ$12),"",Deal_Master_Wide!$DJ$12)</f>
        <v>2.4584999999999999</v>
      </c>
      <c r="S69" s="18">
        <f>IF(ISBLANK(Deal_Master_Wide!$DQ$12),"",Deal_Master_Wide!$DQ$12)</f>
        <v>8.1076999999999995</v>
      </c>
      <c r="T69" s="18">
        <f>IF(ISBLANK(Deal_Master_Wide!$DX$12),"",Deal_Master_Wide!$DX$12)</f>
        <v>23.024899999999999</v>
      </c>
      <c r="U69" s="17">
        <f>IF(ISBLANK(Deal_Master_Wide!$EE$12),"",Deal_Master_Wide!$EE$12)</f>
        <v>42</v>
      </c>
      <c r="V69" s="17">
        <f>IF(ISBLANK(Deal_Master_Wide!$EL$12),"",Deal_Master_Wide!$EL$12)</f>
        <v>4</v>
      </c>
      <c r="W69" s="17">
        <f>IF(ISBLANK(Deal_Master_Wide!$AF$12),"",Deal_Master_Wide!$AF$12)</f>
        <v>4847</v>
      </c>
    </row>
    <row r="70" spans="1:23" ht="13.4" customHeight="1">
      <c r="A70" s="15" t="s">
        <v>298</v>
      </c>
      <c r="B70" s="15" t="s">
        <v>177</v>
      </c>
      <c r="C70" s="15">
        <v>1</v>
      </c>
      <c r="D70" s="15" t="s">
        <v>304</v>
      </c>
      <c r="E70" s="15" t="s">
        <v>306</v>
      </c>
      <c r="F70" s="15">
        <v>2018</v>
      </c>
      <c r="G70" s="15">
        <v>2</v>
      </c>
      <c r="H70" s="15">
        <v>2020</v>
      </c>
      <c r="I70" s="15">
        <v>1</v>
      </c>
      <c r="J70" s="15">
        <v>1</v>
      </c>
      <c r="K70" s="16" t="e">
        <f>IF(#REF!="","",#REF!*$I70)</f>
        <v>#REF!</v>
      </c>
      <c r="L70" s="17">
        <f>IF(ISBLANK(Deal_Master_Wide!$BU$12),"",Deal_Master_Wide!$BU$12)</f>
        <v>37369</v>
      </c>
      <c r="M70" s="17">
        <f>IF(ISBLANK(Deal_Master_Wide!$CB$12),"",Deal_Master_Wide!$CB$12)</f>
        <v>7583</v>
      </c>
      <c r="N70" s="17">
        <f>IF(ISBLANK(Deal_Master_Wide!$CI$12),"",Deal_Master_Wide!$CI$12)</f>
        <v>12294</v>
      </c>
      <c r="O70" s="17">
        <f>IF(ISBLANK(Deal_Master_Wide!$CP$12),"",Deal_Master_Wide!$CP$12)</f>
        <v>114413</v>
      </c>
      <c r="P70" s="17">
        <f>IF(ISBLANK(Deal_Master_Wide!$CW$12),"",Deal_Master_Wide!$CW$12)</f>
        <v>23675</v>
      </c>
      <c r="Q70" s="17">
        <f>IF(ISBLANK(Deal_Master_Wide!$DD$12),"",Deal_Master_Wide!$DD$12)</f>
        <v>5530</v>
      </c>
      <c r="R70" s="18">
        <f>IF(ISBLANK(Deal_Master_Wide!$DK$12),"",Deal_Master_Wide!$DK$12)</f>
        <v>10.829700000000001</v>
      </c>
      <c r="S70" s="18">
        <f>IF(ISBLANK(Deal_Master_Wide!$DR$12),"",Deal_Master_Wide!$DR$12)</f>
        <v>37.766599999999997</v>
      </c>
      <c r="T70" s="18">
        <f>IF(ISBLANK(Deal_Master_Wide!$DY$12),"",Deal_Master_Wide!$DY$12)</f>
        <v>20.692599999999999</v>
      </c>
      <c r="U70" s="17">
        <f>IF(ISBLANK(Deal_Master_Wide!$EF$12),"",Deal_Master_Wide!$EF$12)</f>
        <v>20</v>
      </c>
      <c r="V70" s="17">
        <f>IF(ISBLANK(Deal_Master_Wide!$EM$12),"",Deal_Master_Wide!$EM$12)</f>
        <v>1</v>
      </c>
      <c r="W70" s="17">
        <f>IF(ISBLANK(Deal_Master_Wide!$AF$12),"",Deal_Master_Wide!$AF$12)</f>
        <v>4847</v>
      </c>
    </row>
    <row r="71" spans="1:23" ht="13.4" customHeight="1">
      <c r="A71" s="15" t="s">
        <v>298</v>
      </c>
      <c r="B71" s="15" t="s">
        <v>177</v>
      </c>
      <c r="C71" s="15">
        <v>1</v>
      </c>
      <c r="D71" s="15" t="s">
        <v>304</v>
      </c>
      <c r="E71" s="15" t="s">
        <v>306</v>
      </c>
      <c r="F71" s="15">
        <v>2018</v>
      </c>
      <c r="G71" s="15">
        <v>3</v>
      </c>
      <c r="H71" s="15">
        <v>2021</v>
      </c>
      <c r="I71" s="15">
        <v>1</v>
      </c>
      <c r="J71" s="15">
        <v>1</v>
      </c>
      <c r="K71" s="16" t="e">
        <f>IF(#REF!="","",#REF!*$I71)</f>
        <v>#REF!</v>
      </c>
      <c r="L71" s="17">
        <f>IF(ISBLANK(Deal_Master_Wide!$BV$12),"",Deal_Master_Wide!$BV$12)</f>
        <v>39175</v>
      </c>
      <c r="M71" s="17">
        <f>IF(ISBLANK(Deal_Master_Wide!$CC$12),"",Deal_Master_Wide!$CC$12)</f>
        <v>8729</v>
      </c>
      <c r="N71" s="17">
        <f>IF(ISBLANK(Deal_Master_Wide!$CJ$12),"",Deal_Master_Wide!$CJ$12)</f>
        <v>6223</v>
      </c>
      <c r="O71" s="17">
        <f>IF(ISBLANK(Deal_Master_Wide!$CQ$12),"",Deal_Master_Wide!$CQ$12)</f>
        <v>120242</v>
      </c>
      <c r="P71" s="17">
        <f>IF(ISBLANK(Deal_Master_Wide!$CX$12),"",Deal_Master_Wide!$CX$12)</f>
        <v>22414</v>
      </c>
      <c r="Q71" s="17">
        <f>IF(ISBLANK(Deal_Master_Wide!$DE$12),"",Deal_Master_Wide!$DE$12)</f>
        <v>5692</v>
      </c>
      <c r="R71" s="18">
        <f>IF(ISBLANK(Deal_Master_Wide!$DL$12),"",Deal_Master_Wide!$DL$12)</f>
        <v>5.3040000000000003</v>
      </c>
      <c r="S71" s="18">
        <f>IF(ISBLANK(Deal_Master_Wide!$DS$12),"",Deal_Master_Wide!$DS$12)</f>
        <v>20.742799999999999</v>
      </c>
      <c r="T71" s="18">
        <f>IF(ISBLANK(Deal_Master_Wide!$DZ$12),"",Deal_Master_Wide!$DZ$12)</f>
        <v>18.640699999999999</v>
      </c>
      <c r="U71" s="17">
        <f>IF(ISBLANK(Deal_Master_Wide!$EG$12),"",Deal_Master_Wide!$EG$12)</f>
        <v>13</v>
      </c>
      <c r="V71" s="17">
        <f>IF(ISBLANK(Deal_Master_Wide!$EN$12),"",Deal_Master_Wide!$EN$12)</f>
        <v>0</v>
      </c>
      <c r="W71" s="17">
        <f>IF(ISBLANK(Deal_Master_Wide!$AF$12),"",Deal_Master_Wide!$AF$12)</f>
        <v>4847</v>
      </c>
    </row>
    <row r="72" spans="1:23" ht="13.4" customHeight="1">
      <c r="A72" s="15" t="s">
        <v>316</v>
      </c>
      <c r="B72" s="15" t="s">
        <v>177</v>
      </c>
      <c r="C72" s="15">
        <v>1</v>
      </c>
      <c r="D72" s="15" t="s">
        <v>321</v>
      </c>
      <c r="E72" s="15" t="s">
        <v>323</v>
      </c>
      <c r="F72" s="15">
        <v>2018</v>
      </c>
      <c r="G72" s="15">
        <v>-3</v>
      </c>
      <c r="H72" s="15">
        <v>2015</v>
      </c>
      <c r="I72" s="15">
        <v>0</v>
      </c>
      <c r="J72" s="15">
        <v>0</v>
      </c>
      <c r="K72" s="16" t="e">
        <f>IF(#REF!="","",#REF!*$I72)</f>
        <v>#REF!</v>
      </c>
      <c r="L72" s="17" t="str">
        <f>IF(ISBLANK(Deal_Master_Wide!$BP$13),"",Deal_Master_Wide!$BP$13)</f>
        <v/>
      </c>
      <c r="M72" s="17" t="str">
        <f>IF(ISBLANK(Deal_Master_Wide!$BW$13),"",Deal_Master_Wide!$BW$13)</f>
        <v/>
      </c>
      <c r="N72" s="17" t="str">
        <f>IF(ISBLANK(Deal_Master_Wide!$CD$13),"",Deal_Master_Wide!$CD$13)</f>
        <v/>
      </c>
      <c r="O72" s="17" t="str">
        <f>IF(ISBLANK(Deal_Master_Wide!$CK$13),"",Deal_Master_Wide!$CK$13)</f>
        <v/>
      </c>
      <c r="P72" s="17" t="str">
        <f>IF(ISBLANK(Deal_Master_Wide!$CR$13),"",Deal_Master_Wide!$CR$13)</f>
        <v/>
      </c>
      <c r="Q72" s="17" t="str">
        <f>IF(ISBLANK(Deal_Master_Wide!$CY$13),"",Deal_Master_Wide!$CY$13)</f>
        <v/>
      </c>
      <c r="R72" s="18" t="str">
        <f>IF(ISBLANK(Deal_Master_Wide!$DF$13),"",Deal_Master_Wide!$DF$13)</f>
        <v/>
      </c>
      <c r="S72" s="18" t="str">
        <f>IF(ISBLANK(Deal_Master_Wide!$DM$13),"",Deal_Master_Wide!$DM$13)</f>
        <v/>
      </c>
      <c r="T72" s="18" t="str">
        <f>IF(ISBLANK(Deal_Master_Wide!$DT$13),"",Deal_Master_Wide!$DT$13)</f>
        <v/>
      </c>
      <c r="U72" s="17" t="str">
        <f>IF(ISBLANK(Deal_Master_Wide!$EA$13),"",Deal_Master_Wide!$EA$13)</f>
        <v/>
      </c>
      <c r="V72" s="17" t="str">
        <f>IF(ISBLANK(Deal_Master_Wide!$EH$13),"",Deal_Master_Wide!$EH$13)</f>
        <v/>
      </c>
      <c r="W72" s="17">
        <f>IF(ISBLANK(Deal_Master_Wide!$AF$13),"",Deal_Master_Wide!$AF$13)</f>
        <v>626</v>
      </c>
    </row>
    <row r="73" spans="1:23" ht="13.4" customHeight="1">
      <c r="A73" s="15" t="s">
        <v>316</v>
      </c>
      <c r="B73" s="15" t="s">
        <v>177</v>
      </c>
      <c r="C73" s="15">
        <v>1</v>
      </c>
      <c r="D73" s="15" t="s">
        <v>321</v>
      </c>
      <c r="E73" s="15" t="s">
        <v>323</v>
      </c>
      <c r="F73" s="15">
        <v>2018</v>
      </c>
      <c r="G73" s="15">
        <v>-2</v>
      </c>
      <c r="H73" s="15">
        <v>2016</v>
      </c>
      <c r="I73" s="15">
        <v>0</v>
      </c>
      <c r="J73" s="15">
        <v>0</v>
      </c>
      <c r="K73" s="16" t="e">
        <f>IF(#REF!="","",#REF!*$I73)</f>
        <v>#REF!</v>
      </c>
      <c r="L73" s="17" t="str">
        <f>IF(ISBLANK(Deal_Master_Wide!$BQ$13),"",Deal_Master_Wide!$BQ$13)</f>
        <v/>
      </c>
      <c r="M73" s="17" t="str">
        <f>IF(ISBLANK(Deal_Master_Wide!$BX$13),"",Deal_Master_Wide!$BX$13)</f>
        <v/>
      </c>
      <c r="N73" s="17" t="str">
        <f>IF(ISBLANK(Deal_Master_Wide!$CE$13),"",Deal_Master_Wide!$CE$13)</f>
        <v/>
      </c>
      <c r="O73" s="17" t="str">
        <f>IF(ISBLANK(Deal_Master_Wide!$CL$13),"",Deal_Master_Wide!$CL$13)</f>
        <v/>
      </c>
      <c r="P73" s="17" t="str">
        <f>IF(ISBLANK(Deal_Master_Wide!$CS$13),"",Deal_Master_Wide!$CS$13)</f>
        <v/>
      </c>
      <c r="Q73" s="17" t="str">
        <f>IF(ISBLANK(Deal_Master_Wide!$CZ$13),"",Deal_Master_Wide!$CZ$13)</f>
        <v/>
      </c>
      <c r="R73" s="18" t="str">
        <f>IF(ISBLANK(Deal_Master_Wide!$DG$13),"",Deal_Master_Wide!$DG$13)</f>
        <v/>
      </c>
      <c r="S73" s="18" t="str">
        <f>IF(ISBLANK(Deal_Master_Wide!$DN$13),"",Deal_Master_Wide!$DN$13)</f>
        <v/>
      </c>
      <c r="T73" s="18" t="str">
        <f>IF(ISBLANK(Deal_Master_Wide!$DU$13),"",Deal_Master_Wide!$DU$13)</f>
        <v/>
      </c>
      <c r="U73" s="17" t="str">
        <f>IF(ISBLANK(Deal_Master_Wide!$EB$13),"",Deal_Master_Wide!$EB$13)</f>
        <v/>
      </c>
      <c r="V73" s="17" t="str">
        <f>IF(ISBLANK(Deal_Master_Wide!$EI$13),"",Deal_Master_Wide!$EI$13)</f>
        <v/>
      </c>
      <c r="W73" s="17">
        <f>IF(ISBLANK(Deal_Master_Wide!$AF$13),"",Deal_Master_Wide!$AF$13)</f>
        <v>626</v>
      </c>
    </row>
    <row r="74" spans="1:23" ht="13.4" customHeight="1">
      <c r="A74" s="15" t="s">
        <v>316</v>
      </c>
      <c r="B74" s="15" t="s">
        <v>177</v>
      </c>
      <c r="C74" s="15">
        <v>1</v>
      </c>
      <c r="D74" s="15" t="s">
        <v>321</v>
      </c>
      <c r="E74" s="15" t="s">
        <v>323</v>
      </c>
      <c r="F74" s="15">
        <v>2018</v>
      </c>
      <c r="G74" s="15">
        <v>-1</v>
      </c>
      <c r="H74" s="15">
        <v>2017</v>
      </c>
      <c r="I74" s="15">
        <v>0</v>
      </c>
      <c r="J74" s="15">
        <v>0</v>
      </c>
      <c r="K74" s="16" t="e">
        <f>IF(#REF!="","",#REF!*$I74)</f>
        <v>#REF!</v>
      </c>
      <c r="L74" s="17" t="str">
        <f>IF(ISBLANK(Deal_Master_Wide!$BR$13),"",Deal_Master_Wide!$BR$13)</f>
        <v/>
      </c>
      <c r="M74" s="17" t="str">
        <f>IF(ISBLANK(Deal_Master_Wide!$BY$13),"",Deal_Master_Wide!$BY$13)</f>
        <v/>
      </c>
      <c r="N74" s="17" t="str">
        <f>IF(ISBLANK(Deal_Master_Wide!$CF$13),"",Deal_Master_Wide!$CF$13)</f>
        <v/>
      </c>
      <c r="O74" s="17" t="str">
        <f>IF(ISBLANK(Deal_Master_Wide!$CM$13),"",Deal_Master_Wide!$CM$13)</f>
        <v/>
      </c>
      <c r="P74" s="17" t="str">
        <f>IF(ISBLANK(Deal_Master_Wide!$CT$13),"",Deal_Master_Wide!$CT$13)</f>
        <v/>
      </c>
      <c r="Q74" s="17" t="str">
        <f>IF(ISBLANK(Deal_Master_Wide!$DA$13),"",Deal_Master_Wide!$DA$13)</f>
        <v/>
      </c>
      <c r="R74" s="18" t="str">
        <f>IF(ISBLANK(Deal_Master_Wide!$DH$13),"",Deal_Master_Wide!$DH$13)</f>
        <v/>
      </c>
      <c r="S74" s="18" t="str">
        <f>IF(ISBLANK(Deal_Master_Wide!$DO$13),"",Deal_Master_Wide!$DO$13)</f>
        <v/>
      </c>
      <c r="T74" s="18" t="str">
        <f>IF(ISBLANK(Deal_Master_Wide!$DV$13),"",Deal_Master_Wide!$DV$13)</f>
        <v/>
      </c>
      <c r="U74" s="17" t="str">
        <f>IF(ISBLANK(Deal_Master_Wide!$EC$13),"",Deal_Master_Wide!$EC$13)</f>
        <v/>
      </c>
      <c r="V74" s="17" t="str">
        <f>IF(ISBLANK(Deal_Master_Wide!$EJ$13),"",Deal_Master_Wide!$EJ$13)</f>
        <v/>
      </c>
      <c r="W74" s="17">
        <f>IF(ISBLANK(Deal_Master_Wide!$AF$13),"",Deal_Master_Wide!$AF$13)</f>
        <v>626</v>
      </c>
    </row>
    <row r="75" spans="1:23" ht="13.4" customHeight="1">
      <c r="A75" s="15" t="s">
        <v>316</v>
      </c>
      <c r="B75" s="15" t="s">
        <v>177</v>
      </c>
      <c r="C75" s="15">
        <v>1</v>
      </c>
      <c r="D75" s="15" t="s">
        <v>321</v>
      </c>
      <c r="E75" s="15" t="s">
        <v>323</v>
      </c>
      <c r="F75" s="15">
        <v>2018</v>
      </c>
      <c r="G75" s="15">
        <v>0</v>
      </c>
      <c r="H75" s="15">
        <v>2018</v>
      </c>
      <c r="I75" s="15">
        <v>0</v>
      </c>
      <c r="J75" s="15">
        <v>1</v>
      </c>
      <c r="K75" s="16" t="e">
        <f>IF(#REF!="","",#REF!*$I75)</f>
        <v>#REF!</v>
      </c>
      <c r="L75" s="17" t="str">
        <f>IF(ISBLANK(Deal_Master_Wide!$BS$13),"",Deal_Master_Wide!$BS$13)</f>
        <v/>
      </c>
      <c r="M75" s="17" t="str">
        <f>IF(ISBLANK(Deal_Master_Wide!$BZ$13),"",Deal_Master_Wide!$BZ$13)</f>
        <v/>
      </c>
      <c r="N75" s="17" t="str">
        <f>IF(ISBLANK(Deal_Master_Wide!$CG$13),"",Deal_Master_Wide!$CG$13)</f>
        <v/>
      </c>
      <c r="O75" s="17" t="str">
        <f>IF(ISBLANK(Deal_Master_Wide!$CN$13),"",Deal_Master_Wide!$CN$13)</f>
        <v/>
      </c>
      <c r="P75" s="17" t="str">
        <f>IF(ISBLANK(Deal_Master_Wide!$CU$13),"",Deal_Master_Wide!$CU$13)</f>
        <v/>
      </c>
      <c r="Q75" s="17" t="str">
        <f>IF(ISBLANK(Deal_Master_Wide!$DB$13),"",Deal_Master_Wide!$DB$13)</f>
        <v/>
      </c>
      <c r="R75" s="18" t="str">
        <f>IF(ISBLANK(Deal_Master_Wide!$DI$13),"",Deal_Master_Wide!$DI$13)</f>
        <v/>
      </c>
      <c r="S75" s="18" t="str">
        <f>IF(ISBLANK(Deal_Master_Wide!$DP$13),"",Deal_Master_Wide!$DP$13)</f>
        <v/>
      </c>
      <c r="T75" s="18" t="str">
        <f>IF(ISBLANK(Deal_Master_Wide!$DW$13),"",Deal_Master_Wide!$DW$13)</f>
        <v/>
      </c>
      <c r="U75" s="17" t="str">
        <f>IF(ISBLANK(Deal_Master_Wide!$ED$13),"",Deal_Master_Wide!$ED$13)</f>
        <v/>
      </c>
      <c r="V75" s="17" t="str">
        <f>IF(ISBLANK(Deal_Master_Wide!$EK$13),"",Deal_Master_Wide!$EK$13)</f>
        <v/>
      </c>
      <c r="W75" s="17">
        <f>IF(ISBLANK(Deal_Master_Wide!$AF$13),"",Deal_Master_Wide!$AF$13)</f>
        <v>626</v>
      </c>
    </row>
    <row r="76" spans="1:23" ht="13.4" customHeight="1">
      <c r="A76" s="15" t="s">
        <v>316</v>
      </c>
      <c r="B76" s="15" t="s">
        <v>177</v>
      </c>
      <c r="C76" s="15">
        <v>1</v>
      </c>
      <c r="D76" s="15" t="s">
        <v>321</v>
      </c>
      <c r="E76" s="15" t="s">
        <v>323</v>
      </c>
      <c r="F76" s="15">
        <v>2018</v>
      </c>
      <c r="G76" s="15">
        <v>1</v>
      </c>
      <c r="H76" s="15">
        <v>2019</v>
      </c>
      <c r="I76" s="15">
        <v>1</v>
      </c>
      <c r="J76" s="15">
        <v>1</v>
      </c>
      <c r="K76" s="16" t="e">
        <f>IF(#REF!="","",#REF!*$I76)</f>
        <v>#REF!</v>
      </c>
      <c r="L76" s="17" t="str">
        <f>IF(ISBLANK(Deal_Master_Wide!$BT$13),"",Deal_Master_Wide!$BT$13)</f>
        <v/>
      </c>
      <c r="M76" s="17" t="str">
        <f>IF(ISBLANK(Deal_Master_Wide!$CA$13),"",Deal_Master_Wide!$CA$13)</f>
        <v/>
      </c>
      <c r="N76" s="17" t="str">
        <f>IF(ISBLANK(Deal_Master_Wide!$CH$13),"",Deal_Master_Wide!$CH$13)</f>
        <v/>
      </c>
      <c r="O76" s="17" t="str">
        <f>IF(ISBLANK(Deal_Master_Wide!$CO$13),"",Deal_Master_Wide!$CO$13)</f>
        <v/>
      </c>
      <c r="P76" s="17" t="str">
        <f>IF(ISBLANK(Deal_Master_Wide!$CV$13),"",Deal_Master_Wide!$CV$13)</f>
        <v/>
      </c>
      <c r="Q76" s="17" t="str">
        <f>IF(ISBLANK(Deal_Master_Wide!$DC$13),"",Deal_Master_Wide!$DC$13)</f>
        <v/>
      </c>
      <c r="R76" s="18" t="str">
        <f>IF(ISBLANK(Deal_Master_Wide!$DJ$13),"",Deal_Master_Wide!$DJ$13)</f>
        <v/>
      </c>
      <c r="S76" s="18" t="str">
        <f>IF(ISBLANK(Deal_Master_Wide!$DQ$13),"",Deal_Master_Wide!$DQ$13)</f>
        <v/>
      </c>
      <c r="T76" s="18" t="str">
        <f>IF(ISBLANK(Deal_Master_Wide!$DX$13),"",Deal_Master_Wide!$DX$13)</f>
        <v/>
      </c>
      <c r="U76" s="17" t="str">
        <f>IF(ISBLANK(Deal_Master_Wide!$EE$13),"",Deal_Master_Wide!$EE$13)</f>
        <v/>
      </c>
      <c r="V76" s="17" t="str">
        <f>IF(ISBLANK(Deal_Master_Wide!$EL$13),"",Deal_Master_Wide!$EL$13)</f>
        <v/>
      </c>
      <c r="W76" s="17">
        <f>IF(ISBLANK(Deal_Master_Wide!$AF$13),"",Deal_Master_Wide!$AF$13)</f>
        <v>626</v>
      </c>
    </row>
    <row r="77" spans="1:23" ht="13.4" customHeight="1">
      <c r="A77" s="15" t="s">
        <v>316</v>
      </c>
      <c r="B77" s="15" t="s">
        <v>177</v>
      </c>
      <c r="C77" s="15">
        <v>1</v>
      </c>
      <c r="D77" s="15" t="s">
        <v>321</v>
      </c>
      <c r="E77" s="15" t="s">
        <v>323</v>
      </c>
      <c r="F77" s="15">
        <v>2018</v>
      </c>
      <c r="G77" s="15">
        <v>2</v>
      </c>
      <c r="H77" s="15">
        <v>2020</v>
      </c>
      <c r="I77" s="15">
        <v>1</v>
      </c>
      <c r="J77" s="15">
        <v>1</v>
      </c>
      <c r="K77" s="16" t="e">
        <f>IF(#REF!="","",#REF!*$I77)</f>
        <v>#REF!</v>
      </c>
      <c r="L77" s="17" t="str">
        <f>IF(ISBLANK(Deal_Master_Wide!$BU$13),"",Deal_Master_Wide!$BU$13)</f>
        <v/>
      </c>
      <c r="M77" s="17" t="str">
        <f>IF(ISBLANK(Deal_Master_Wide!$CB$13),"",Deal_Master_Wide!$CB$13)</f>
        <v/>
      </c>
      <c r="N77" s="17" t="str">
        <f>IF(ISBLANK(Deal_Master_Wide!$CI$13),"",Deal_Master_Wide!$CI$13)</f>
        <v/>
      </c>
      <c r="O77" s="17" t="str">
        <f>IF(ISBLANK(Deal_Master_Wide!$CP$13),"",Deal_Master_Wide!$CP$13)</f>
        <v/>
      </c>
      <c r="P77" s="17" t="str">
        <f>IF(ISBLANK(Deal_Master_Wide!$CW$13),"",Deal_Master_Wide!$CW$13)</f>
        <v/>
      </c>
      <c r="Q77" s="17" t="str">
        <f>IF(ISBLANK(Deal_Master_Wide!$DD$13),"",Deal_Master_Wide!$DD$13)</f>
        <v/>
      </c>
      <c r="R77" s="18" t="str">
        <f>IF(ISBLANK(Deal_Master_Wide!$DK$13),"",Deal_Master_Wide!$DK$13)</f>
        <v/>
      </c>
      <c r="S77" s="18" t="str">
        <f>IF(ISBLANK(Deal_Master_Wide!$DR$13),"",Deal_Master_Wide!$DR$13)</f>
        <v/>
      </c>
      <c r="T77" s="18" t="str">
        <f>IF(ISBLANK(Deal_Master_Wide!$DY$13),"",Deal_Master_Wide!$DY$13)</f>
        <v/>
      </c>
      <c r="U77" s="17" t="str">
        <f>IF(ISBLANK(Deal_Master_Wide!$EF$13),"",Deal_Master_Wide!$EF$13)</f>
        <v/>
      </c>
      <c r="V77" s="17" t="str">
        <f>IF(ISBLANK(Deal_Master_Wide!$EM$13),"",Deal_Master_Wide!$EM$13)</f>
        <v/>
      </c>
      <c r="W77" s="17">
        <f>IF(ISBLANK(Deal_Master_Wide!$AF$13),"",Deal_Master_Wide!$AF$13)</f>
        <v>626</v>
      </c>
    </row>
    <row r="78" spans="1:23" ht="13.4" customHeight="1">
      <c r="A78" s="15" t="s">
        <v>316</v>
      </c>
      <c r="B78" s="15" t="s">
        <v>177</v>
      </c>
      <c r="C78" s="15">
        <v>1</v>
      </c>
      <c r="D78" s="15" t="s">
        <v>321</v>
      </c>
      <c r="E78" s="15" t="s">
        <v>323</v>
      </c>
      <c r="F78" s="15">
        <v>2018</v>
      </c>
      <c r="G78" s="15">
        <v>3</v>
      </c>
      <c r="H78" s="15">
        <v>2021</v>
      </c>
      <c r="I78" s="15">
        <v>1</v>
      </c>
      <c r="J78" s="15">
        <v>1</v>
      </c>
      <c r="K78" s="16" t="e">
        <f>IF(#REF!="","",#REF!*$I78)</f>
        <v>#REF!</v>
      </c>
      <c r="L78" s="17" t="str">
        <f>IF(ISBLANK(Deal_Master_Wide!$BV$13),"",Deal_Master_Wide!$BV$13)</f>
        <v/>
      </c>
      <c r="M78" s="17" t="str">
        <f>IF(ISBLANK(Deal_Master_Wide!$CC$13),"",Deal_Master_Wide!$CC$13)</f>
        <v/>
      </c>
      <c r="N78" s="17" t="str">
        <f>IF(ISBLANK(Deal_Master_Wide!$CJ$13),"",Deal_Master_Wide!$CJ$13)</f>
        <v/>
      </c>
      <c r="O78" s="17" t="str">
        <f>IF(ISBLANK(Deal_Master_Wide!$CQ$13),"",Deal_Master_Wide!$CQ$13)</f>
        <v/>
      </c>
      <c r="P78" s="17" t="str">
        <f>IF(ISBLANK(Deal_Master_Wide!$CX$13),"",Deal_Master_Wide!$CX$13)</f>
        <v/>
      </c>
      <c r="Q78" s="17" t="str">
        <f>IF(ISBLANK(Deal_Master_Wide!$DE$13),"",Deal_Master_Wide!$DE$13)</f>
        <v/>
      </c>
      <c r="R78" s="18" t="str">
        <f>IF(ISBLANK(Deal_Master_Wide!$DL$13),"",Deal_Master_Wide!$DL$13)</f>
        <v/>
      </c>
      <c r="S78" s="18" t="str">
        <f>IF(ISBLANK(Deal_Master_Wide!$DS$13),"",Deal_Master_Wide!$DS$13)</f>
        <v/>
      </c>
      <c r="T78" s="18" t="str">
        <f>IF(ISBLANK(Deal_Master_Wide!$DZ$13),"",Deal_Master_Wide!$DZ$13)</f>
        <v/>
      </c>
      <c r="U78" s="17" t="str">
        <f>IF(ISBLANK(Deal_Master_Wide!$EG$13),"",Deal_Master_Wide!$EG$13)</f>
        <v/>
      </c>
      <c r="V78" s="17" t="str">
        <f>IF(ISBLANK(Deal_Master_Wide!$EN$13),"",Deal_Master_Wide!$EN$13)</f>
        <v/>
      </c>
      <c r="W78" s="17">
        <f>IF(ISBLANK(Deal_Master_Wide!$AF$13),"",Deal_Master_Wide!$AF$13)</f>
        <v>626</v>
      </c>
    </row>
    <row r="79" spans="1:23" ht="13.4" customHeight="1">
      <c r="A79" s="15" t="s">
        <v>327</v>
      </c>
      <c r="B79" s="15" t="s">
        <v>177</v>
      </c>
      <c r="C79" s="15">
        <v>1</v>
      </c>
      <c r="D79" s="15" t="s">
        <v>331</v>
      </c>
      <c r="E79" s="15" t="s">
        <v>333</v>
      </c>
      <c r="F79" s="15">
        <v>2017</v>
      </c>
      <c r="G79" s="15">
        <v>-3</v>
      </c>
      <c r="H79" s="15">
        <v>2014</v>
      </c>
      <c r="I79" s="15">
        <v>0</v>
      </c>
      <c r="J79" s="15">
        <v>0</v>
      </c>
      <c r="K79" s="16" t="e">
        <f>IF(#REF!="","",#REF!*$I79)</f>
        <v>#REF!</v>
      </c>
      <c r="L79" s="17" t="str">
        <f>IF(ISBLANK(Deal_Master_Wide!$BP$14),"",Deal_Master_Wide!$BP$14)</f>
        <v/>
      </c>
      <c r="M79" s="17" t="str">
        <f>IF(ISBLANK(Deal_Master_Wide!$BW$14),"",Deal_Master_Wide!$BW$14)</f>
        <v/>
      </c>
      <c r="N79" s="17" t="str">
        <f>IF(ISBLANK(Deal_Master_Wide!$CD$14),"",Deal_Master_Wide!$CD$14)</f>
        <v/>
      </c>
      <c r="O79" s="17" t="str">
        <f>IF(ISBLANK(Deal_Master_Wide!$CK$14),"",Deal_Master_Wide!$CK$14)</f>
        <v/>
      </c>
      <c r="P79" s="17" t="str">
        <f>IF(ISBLANK(Deal_Master_Wide!$CR$14),"",Deal_Master_Wide!$CR$14)</f>
        <v/>
      </c>
      <c r="Q79" s="17" t="str">
        <f>IF(ISBLANK(Deal_Master_Wide!$CY$14),"",Deal_Master_Wide!$CY$14)</f>
        <v/>
      </c>
      <c r="R79" s="18" t="str">
        <f>IF(ISBLANK(Deal_Master_Wide!$DF$14),"",Deal_Master_Wide!$DF$14)</f>
        <v/>
      </c>
      <c r="S79" s="18" t="str">
        <f>IF(ISBLANK(Deal_Master_Wide!$DM$14),"",Deal_Master_Wide!$DM$14)</f>
        <v/>
      </c>
      <c r="T79" s="18" t="str">
        <f>IF(ISBLANK(Deal_Master_Wide!$DT$14),"",Deal_Master_Wide!$DT$14)</f>
        <v/>
      </c>
      <c r="U79" s="17" t="str">
        <f>IF(ISBLANK(Deal_Master_Wide!$EA$14),"",Deal_Master_Wide!$EA$14)</f>
        <v/>
      </c>
      <c r="V79" s="17" t="str">
        <f>IF(ISBLANK(Deal_Master_Wide!$EH$14),"",Deal_Master_Wide!$EH$14)</f>
        <v/>
      </c>
      <c r="W79" s="17" t="str">
        <f>IF(ISBLANK(Deal_Master_Wide!$AF$14),"",Deal_Master_Wide!$AF$14)</f>
        <v/>
      </c>
    </row>
    <row r="80" spans="1:23" ht="13.4" customHeight="1">
      <c r="A80" s="15" t="s">
        <v>327</v>
      </c>
      <c r="B80" s="15" t="s">
        <v>177</v>
      </c>
      <c r="C80" s="15">
        <v>1</v>
      </c>
      <c r="D80" s="15" t="s">
        <v>331</v>
      </c>
      <c r="E80" s="15" t="s">
        <v>333</v>
      </c>
      <c r="F80" s="15">
        <v>2017</v>
      </c>
      <c r="G80" s="15">
        <v>-2</v>
      </c>
      <c r="H80" s="15">
        <v>2015</v>
      </c>
      <c r="I80" s="15">
        <v>0</v>
      </c>
      <c r="J80" s="15">
        <v>0</v>
      </c>
      <c r="K80" s="16" t="e">
        <f>IF(#REF!="","",#REF!*$I80)</f>
        <v>#REF!</v>
      </c>
      <c r="L80" s="17" t="str">
        <f>IF(ISBLANK(Deal_Master_Wide!$BQ$14),"",Deal_Master_Wide!$BQ$14)</f>
        <v/>
      </c>
      <c r="M80" s="17" t="str">
        <f>IF(ISBLANK(Deal_Master_Wide!$BX$14),"",Deal_Master_Wide!$BX$14)</f>
        <v/>
      </c>
      <c r="N80" s="17" t="str">
        <f>IF(ISBLANK(Deal_Master_Wide!$CE$14),"",Deal_Master_Wide!$CE$14)</f>
        <v/>
      </c>
      <c r="O80" s="17" t="str">
        <f>IF(ISBLANK(Deal_Master_Wide!$CL$14),"",Deal_Master_Wide!$CL$14)</f>
        <v/>
      </c>
      <c r="P80" s="17" t="str">
        <f>IF(ISBLANK(Deal_Master_Wide!$CS$14),"",Deal_Master_Wide!$CS$14)</f>
        <v/>
      </c>
      <c r="Q80" s="17" t="str">
        <f>IF(ISBLANK(Deal_Master_Wide!$CZ$14),"",Deal_Master_Wide!$CZ$14)</f>
        <v/>
      </c>
      <c r="R80" s="18" t="str">
        <f>IF(ISBLANK(Deal_Master_Wide!$DG$14),"",Deal_Master_Wide!$DG$14)</f>
        <v/>
      </c>
      <c r="S80" s="18" t="str">
        <f>IF(ISBLANK(Deal_Master_Wide!$DN$14),"",Deal_Master_Wide!$DN$14)</f>
        <v/>
      </c>
      <c r="T80" s="18" t="str">
        <f>IF(ISBLANK(Deal_Master_Wide!$DU$14),"",Deal_Master_Wide!$DU$14)</f>
        <v/>
      </c>
      <c r="U80" s="17" t="str">
        <f>IF(ISBLANK(Deal_Master_Wide!$EB$14),"",Deal_Master_Wide!$EB$14)</f>
        <v/>
      </c>
      <c r="V80" s="17" t="str">
        <f>IF(ISBLANK(Deal_Master_Wide!$EI$14),"",Deal_Master_Wide!$EI$14)</f>
        <v/>
      </c>
      <c r="W80" s="17" t="str">
        <f>IF(ISBLANK(Deal_Master_Wide!$AF$14),"",Deal_Master_Wide!$AF$14)</f>
        <v/>
      </c>
    </row>
    <row r="81" spans="1:23" ht="13.4" customHeight="1">
      <c r="A81" s="15" t="s">
        <v>327</v>
      </c>
      <c r="B81" s="15" t="s">
        <v>177</v>
      </c>
      <c r="C81" s="15">
        <v>1</v>
      </c>
      <c r="D81" s="15" t="s">
        <v>331</v>
      </c>
      <c r="E81" s="15" t="s">
        <v>333</v>
      </c>
      <c r="F81" s="15">
        <v>2017</v>
      </c>
      <c r="G81" s="15">
        <v>-1</v>
      </c>
      <c r="H81" s="15">
        <v>2016</v>
      </c>
      <c r="I81" s="15">
        <v>0</v>
      </c>
      <c r="J81" s="15">
        <v>0</v>
      </c>
      <c r="K81" s="16" t="e">
        <f>IF(#REF!="","",#REF!*$I81)</f>
        <v>#REF!</v>
      </c>
      <c r="L81" s="17" t="str">
        <f>IF(ISBLANK(Deal_Master_Wide!$BR$14),"",Deal_Master_Wide!$BR$14)</f>
        <v/>
      </c>
      <c r="M81" s="17" t="str">
        <f>IF(ISBLANK(Deal_Master_Wide!$BY$14),"",Deal_Master_Wide!$BY$14)</f>
        <v/>
      </c>
      <c r="N81" s="17" t="str">
        <f>IF(ISBLANK(Deal_Master_Wide!$CF$14),"",Deal_Master_Wide!$CF$14)</f>
        <v/>
      </c>
      <c r="O81" s="17" t="str">
        <f>IF(ISBLANK(Deal_Master_Wide!$CM$14),"",Deal_Master_Wide!$CM$14)</f>
        <v/>
      </c>
      <c r="P81" s="17" t="str">
        <f>IF(ISBLANK(Deal_Master_Wide!$CT$14),"",Deal_Master_Wide!$CT$14)</f>
        <v/>
      </c>
      <c r="Q81" s="17" t="str">
        <f>IF(ISBLANK(Deal_Master_Wide!$DA$14),"",Deal_Master_Wide!$DA$14)</f>
        <v/>
      </c>
      <c r="R81" s="18" t="str">
        <f>IF(ISBLANK(Deal_Master_Wide!$DH$14),"",Deal_Master_Wide!$DH$14)</f>
        <v/>
      </c>
      <c r="S81" s="18" t="str">
        <f>IF(ISBLANK(Deal_Master_Wide!$DO$14),"",Deal_Master_Wide!$DO$14)</f>
        <v/>
      </c>
      <c r="T81" s="18" t="str">
        <f>IF(ISBLANK(Deal_Master_Wide!$DV$14),"",Deal_Master_Wide!$DV$14)</f>
        <v/>
      </c>
      <c r="U81" s="17" t="str">
        <f>IF(ISBLANK(Deal_Master_Wide!$EC$14),"",Deal_Master_Wide!$EC$14)</f>
        <v/>
      </c>
      <c r="V81" s="17" t="str">
        <f>IF(ISBLANK(Deal_Master_Wide!$EJ$14),"",Deal_Master_Wide!$EJ$14)</f>
        <v/>
      </c>
      <c r="W81" s="17" t="str">
        <f>IF(ISBLANK(Deal_Master_Wide!$AF$14),"",Deal_Master_Wide!$AF$14)</f>
        <v/>
      </c>
    </row>
    <row r="82" spans="1:23" ht="13.4" customHeight="1">
      <c r="A82" s="15" t="s">
        <v>327</v>
      </c>
      <c r="B82" s="15" t="s">
        <v>177</v>
      </c>
      <c r="C82" s="15">
        <v>1</v>
      </c>
      <c r="D82" s="15" t="s">
        <v>331</v>
      </c>
      <c r="E82" s="15" t="s">
        <v>333</v>
      </c>
      <c r="F82" s="15">
        <v>2017</v>
      </c>
      <c r="G82" s="15">
        <v>0</v>
      </c>
      <c r="H82" s="15">
        <v>2017</v>
      </c>
      <c r="I82" s="15">
        <v>0</v>
      </c>
      <c r="J82" s="15">
        <v>1</v>
      </c>
      <c r="K82" s="16" t="e">
        <f>IF(#REF!="","",#REF!*$I82)</f>
        <v>#REF!</v>
      </c>
      <c r="L82" s="17" t="str">
        <f>IF(ISBLANK(Deal_Master_Wide!$BS$14),"",Deal_Master_Wide!$BS$14)</f>
        <v/>
      </c>
      <c r="M82" s="17" t="str">
        <f>IF(ISBLANK(Deal_Master_Wide!$BZ$14),"",Deal_Master_Wide!$BZ$14)</f>
        <v/>
      </c>
      <c r="N82" s="17" t="str">
        <f>IF(ISBLANK(Deal_Master_Wide!$CG$14),"",Deal_Master_Wide!$CG$14)</f>
        <v/>
      </c>
      <c r="O82" s="17" t="str">
        <f>IF(ISBLANK(Deal_Master_Wide!$CN$14),"",Deal_Master_Wide!$CN$14)</f>
        <v/>
      </c>
      <c r="P82" s="17" t="str">
        <f>IF(ISBLANK(Deal_Master_Wide!$CU$14),"",Deal_Master_Wide!$CU$14)</f>
        <v/>
      </c>
      <c r="Q82" s="17" t="str">
        <f>IF(ISBLANK(Deal_Master_Wide!$DB$14),"",Deal_Master_Wide!$DB$14)</f>
        <v/>
      </c>
      <c r="R82" s="18" t="str">
        <f>IF(ISBLANK(Deal_Master_Wide!$DI$14),"",Deal_Master_Wide!$DI$14)</f>
        <v/>
      </c>
      <c r="S82" s="18" t="str">
        <f>IF(ISBLANK(Deal_Master_Wide!$DP$14),"",Deal_Master_Wide!$DP$14)</f>
        <v/>
      </c>
      <c r="T82" s="18" t="str">
        <f>IF(ISBLANK(Deal_Master_Wide!$DW$14),"",Deal_Master_Wide!$DW$14)</f>
        <v/>
      </c>
      <c r="U82" s="17" t="str">
        <f>IF(ISBLANK(Deal_Master_Wide!$ED$14),"",Deal_Master_Wide!$ED$14)</f>
        <v/>
      </c>
      <c r="V82" s="17" t="str">
        <f>IF(ISBLANK(Deal_Master_Wide!$EK$14),"",Deal_Master_Wide!$EK$14)</f>
        <v/>
      </c>
      <c r="W82" s="17" t="str">
        <f>IF(ISBLANK(Deal_Master_Wide!$AF$14),"",Deal_Master_Wide!$AF$14)</f>
        <v/>
      </c>
    </row>
    <row r="83" spans="1:23" ht="13.4" customHeight="1">
      <c r="A83" s="15" t="s">
        <v>327</v>
      </c>
      <c r="B83" s="15" t="s">
        <v>177</v>
      </c>
      <c r="C83" s="15">
        <v>1</v>
      </c>
      <c r="D83" s="15" t="s">
        <v>331</v>
      </c>
      <c r="E83" s="15" t="s">
        <v>333</v>
      </c>
      <c r="F83" s="15">
        <v>2017</v>
      </c>
      <c r="G83" s="15">
        <v>1</v>
      </c>
      <c r="H83" s="15">
        <v>2018</v>
      </c>
      <c r="I83" s="15">
        <v>1</v>
      </c>
      <c r="J83" s="15">
        <v>1</v>
      </c>
      <c r="K83" s="16" t="e">
        <f>IF(#REF!="","",#REF!*$I83)</f>
        <v>#REF!</v>
      </c>
      <c r="L83" s="17" t="str">
        <f>IF(ISBLANK(Deal_Master_Wide!$BT$14),"",Deal_Master_Wide!$BT$14)</f>
        <v/>
      </c>
      <c r="M83" s="17" t="str">
        <f>IF(ISBLANK(Deal_Master_Wide!$CA$14),"",Deal_Master_Wide!$CA$14)</f>
        <v/>
      </c>
      <c r="N83" s="17" t="str">
        <f>IF(ISBLANK(Deal_Master_Wide!$CH$14),"",Deal_Master_Wide!$CH$14)</f>
        <v/>
      </c>
      <c r="O83" s="17" t="str">
        <f>IF(ISBLANK(Deal_Master_Wide!$CO$14),"",Deal_Master_Wide!$CO$14)</f>
        <v/>
      </c>
      <c r="P83" s="17" t="str">
        <f>IF(ISBLANK(Deal_Master_Wide!$CV$14),"",Deal_Master_Wide!$CV$14)</f>
        <v/>
      </c>
      <c r="Q83" s="17" t="str">
        <f>IF(ISBLANK(Deal_Master_Wide!$DC$14),"",Deal_Master_Wide!$DC$14)</f>
        <v/>
      </c>
      <c r="R83" s="18" t="str">
        <f>IF(ISBLANK(Deal_Master_Wide!$DJ$14),"",Deal_Master_Wide!$DJ$14)</f>
        <v/>
      </c>
      <c r="S83" s="18" t="str">
        <f>IF(ISBLANK(Deal_Master_Wide!$DQ$14),"",Deal_Master_Wide!$DQ$14)</f>
        <v/>
      </c>
      <c r="T83" s="18" t="str">
        <f>IF(ISBLANK(Deal_Master_Wide!$DX$14),"",Deal_Master_Wide!$DX$14)</f>
        <v/>
      </c>
      <c r="U83" s="17" t="str">
        <f>IF(ISBLANK(Deal_Master_Wide!$EE$14),"",Deal_Master_Wide!$EE$14)</f>
        <v/>
      </c>
      <c r="V83" s="17" t="str">
        <f>IF(ISBLANK(Deal_Master_Wide!$EL$14),"",Deal_Master_Wide!$EL$14)</f>
        <v/>
      </c>
      <c r="W83" s="17" t="str">
        <f>IF(ISBLANK(Deal_Master_Wide!$AF$14),"",Deal_Master_Wide!$AF$14)</f>
        <v/>
      </c>
    </row>
    <row r="84" spans="1:23" ht="13.4" customHeight="1">
      <c r="A84" s="15" t="s">
        <v>327</v>
      </c>
      <c r="B84" s="15" t="s">
        <v>177</v>
      </c>
      <c r="C84" s="15">
        <v>1</v>
      </c>
      <c r="D84" s="15" t="s">
        <v>331</v>
      </c>
      <c r="E84" s="15" t="s">
        <v>333</v>
      </c>
      <c r="F84" s="15">
        <v>2017</v>
      </c>
      <c r="G84" s="15">
        <v>2</v>
      </c>
      <c r="H84" s="15">
        <v>2019</v>
      </c>
      <c r="I84" s="15">
        <v>1</v>
      </c>
      <c r="J84" s="15">
        <v>1</v>
      </c>
      <c r="K84" s="16" t="e">
        <f>IF(#REF!="","",#REF!*$I84)</f>
        <v>#REF!</v>
      </c>
      <c r="L84" s="17" t="str">
        <f>IF(ISBLANK(Deal_Master_Wide!$BU$14),"",Deal_Master_Wide!$BU$14)</f>
        <v/>
      </c>
      <c r="M84" s="17" t="str">
        <f>IF(ISBLANK(Deal_Master_Wide!$CB$14),"",Deal_Master_Wide!$CB$14)</f>
        <v/>
      </c>
      <c r="N84" s="17" t="str">
        <f>IF(ISBLANK(Deal_Master_Wide!$CI$14),"",Deal_Master_Wide!$CI$14)</f>
        <v/>
      </c>
      <c r="O84" s="17" t="str">
        <f>IF(ISBLANK(Deal_Master_Wide!$CP$14),"",Deal_Master_Wide!$CP$14)</f>
        <v/>
      </c>
      <c r="P84" s="17" t="str">
        <f>IF(ISBLANK(Deal_Master_Wide!$CW$14),"",Deal_Master_Wide!$CW$14)</f>
        <v/>
      </c>
      <c r="Q84" s="17" t="str">
        <f>IF(ISBLANK(Deal_Master_Wide!$DD$14),"",Deal_Master_Wide!$DD$14)</f>
        <v/>
      </c>
      <c r="R84" s="18" t="str">
        <f>IF(ISBLANK(Deal_Master_Wide!$DK$14),"",Deal_Master_Wide!$DK$14)</f>
        <v/>
      </c>
      <c r="S84" s="18" t="str">
        <f>IF(ISBLANK(Deal_Master_Wide!$DR$14),"",Deal_Master_Wide!$DR$14)</f>
        <v/>
      </c>
      <c r="T84" s="18" t="str">
        <f>IF(ISBLANK(Deal_Master_Wide!$DY$14),"",Deal_Master_Wide!$DY$14)</f>
        <v/>
      </c>
      <c r="U84" s="17" t="str">
        <f>IF(ISBLANK(Deal_Master_Wide!$EF$14),"",Deal_Master_Wide!$EF$14)</f>
        <v/>
      </c>
      <c r="V84" s="17" t="str">
        <f>IF(ISBLANK(Deal_Master_Wide!$EM$14),"",Deal_Master_Wide!$EM$14)</f>
        <v/>
      </c>
      <c r="W84" s="17" t="str">
        <f>IF(ISBLANK(Deal_Master_Wide!$AF$14),"",Deal_Master_Wide!$AF$14)</f>
        <v/>
      </c>
    </row>
    <row r="85" spans="1:23" ht="13.4" customHeight="1">
      <c r="A85" s="15" t="s">
        <v>327</v>
      </c>
      <c r="B85" s="15" t="s">
        <v>177</v>
      </c>
      <c r="C85" s="15">
        <v>1</v>
      </c>
      <c r="D85" s="15" t="s">
        <v>331</v>
      </c>
      <c r="E85" s="15" t="s">
        <v>333</v>
      </c>
      <c r="F85" s="15">
        <v>2017</v>
      </c>
      <c r="G85" s="15">
        <v>3</v>
      </c>
      <c r="H85" s="15">
        <v>2020</v>
      </c>
      <c r="I85" s="15">
        <v>1</v>
      </c>
      <c r="J85" s="15">
        <v>1</v>
      </c>
      <c r="K85" s="16" t="e">
        <f>IF(#REF!="","",#REF!*$I85)</f>
        <v>#REF!</v>
      </c>
      <c r="L85" s="17" t="str">
        <f>IF(ISBLANK(Deal_Master_Wide!$BV$14),"",Deal_Master_Wide!$BV$14)</f>
        <v/>
      </c>
      <c r="M85" s="17" t="str">
        <f>IF(ISBLANK(Deal_Master_Wide!$CC$14),"",Deal_Master_Wide!$CC$14)</f>
        <v/>
      </c>
      <c r="N85" s="17" t="str">
        <f>IF(ISBLANK(Deal_Master_Wide!$CJ$14),"",Deal_Master_Wide!$CJ$14)</f>
        <v/>
      </c>
      <c r="O85" s="17" t="str">
        <f>IF(ISBLANK(Deal_Master_Wide!$CQ$14),"",Deal_Master_Wide!$CQ$14)</f>
        <v/>
      </c>
      <c r="P85" s="17" t="str">
        <f>IF(ISBLANK(Deal_Master_Wide!$CX$14),"",Deal_Master_Wide!$CX$14)</f>
        <v/>
      </c>
      <c r="Q85" s="17" t="str">
        <f>IF(ISBLANK(Deal_Master_Wide!$DE$14),"",Deal_Master_Wide!$DE$14)</f>
        <v/>
      </c>
      <c r="R85" s="18" t="str">
        <f>IF(ISBLANK(Deal_Master_Wide!$DL$14),"",Deal_Master_Wide!$DL$14)</f>
        <v/>
      </c>
      <c r="S85" s="18" t="str">
        <f>IF(ISBLANK(Deal_Master_Wide!$DS$14),"",Deal_Master_Wide!$DS$14)</f>
        <v/>
      </c>
      <c r="T85" s="18" t="str">
        <f>IF(ISBLANK(Deal_Master_Wide!$DZ$14),"",Deal_Master_Wide!$DZ$14)</f>
        <v/>
      </c>
      <c r="U85" s="17" t="str">
        <f>IF(ISBLANK(Deal_Master_Wide!$EG$14),"",Deal_Master_Wide!$EG$14)</f>
        <v/>
      </c>
      <c r="V85" s="17" t="str">
        <f>IF(ISBLANK(Deal_Master_Wide!$EN$14),"",Deal_Master_Wide!$EN$14)</f>
        <v/>
      </c>
      <c r="W85" s="17" t="str">
        <f>IF(ISBLANK(Deal_Master_Wide!$AF$14),"",Deal_Master_Wide!$AF$14)</f>
        <v/>
      </c>
    </row>
    <row r="86" spans="1:23" ht="13.4" customHeight="1">
      <c r="A86" s="15" t="s">
        <v>337</v>
      </c>
      <c r="B86" s="15" t="s">
        <v>177</v>
      </c>
      <c r="C86" s="15">
        <v>1</v>
      </c>
      <c r="D86" s="15" t="s">
        <v>341</v>
      </c>
      <c r="E86" s="15" t="s">
        <v>343</v>
      </c>
      <c r="F86" s="15">
        <v>2017</v>
      </c>
      <c r="G86" s="15">
        <v>-3</v>
      </c>
      <c r="H86" s="15">
        <v>2014</v>
      </c>
      <c r="I86" s="15">
        <v>0</v>
      </c>
      <c r="J86" s="15">
        <v>0</v>
      </c>
      <c r="K86" s="16" t="e">
        <f>IF(#REF!="","",#REF!*$I86)</f>
        <v>#REF!</v>
      </c>
      <c r="L86" s="17" t="str">
        <f>IF(ISBLANK(Deal_Master_Wide!$BP$15),"",Deal_Master_Wide!$BP$15)</f>
        <v/>
      </c>
      <c r="M86" s="17" t="str">
        <f>IF(ISBLANK(Deal_Master_Wide!$BW$15),"",Deal_Master_Wide!$BW$15)</f>
        <v/>
      </c>
      <c r="N86" s="17" t="str">
        <f>IF(ISBLANK(Deal_Master_Wide!$CD$15),"",Deal_Master_Wide!$CD$15)</f>
        <v/>
      </c>
      <c r="O86" s="17" t="str">
        <f>IF(ISBLANK(Deal_Master_Wide!$CK$15),"",Deal_Master_Wide!$CK$15)</f>
        <v/>
      </c>
      <c r="P86" s="17" t="str">
        <f>IF(ISBLANK(Deal_Master_Wide!$CR$15),"",Deal_Master_Wide!$CR$15)</f>
        <v/>
      </c>
      <c r="Q86" s="17" t="str">
        <f>IF(ISBLANK(Deal_Master_Wide!$CY$15),"",Deal_Master_Wide!$CY$15)</f>
        <v/>
      </c>
      <c r="R86" s="18" t="str">
        <f>IF(ISBLANK(Deal_Master_Wide!$DF$15),"",Deal_Master_Wide!$DF$15)</f>
        <v/>
      </c>
      <c r="S86" s="18" t="str">
        <f>IF(ISBLANK(Deal_Master_Wide!$DM$15),"",Deal_Master_Wide!$DM$15)</f>
        <v/>
      </c>
      <c r="T86" s="18" t="str">
        <f>IF(ISBLANK(Deal_Master_Wide!$DT$15),"",Deal_Master_Wide!$DT$15)</f>
        <v/>
      </c>
      <c r="U86" s="17" t="str">
        <f>IF(ISBLANK(Deal_Master_Wide!$EA$15),"",Deal_Master_Wide!$EA$15)</f>
        <v/>
      </c>
      <c r="V86" s="17" t="str">
        <f>IF(ISBLANK(Deal_Master_Wide!$EH$15),"",Deal_Master_Wide!$EH$15)</f>
        <v/>
      </c>
      <c r="W86" s="17" t="str">
        <f>IF(ISBLANK(Deal_Master_Wide!$AF$15),"",Deal_Master_Wide!$AF$15)</f>
        <v/>
      </c>
    </row>
    <row r="87" spans="1:23" ht="13.4" customHeight="1">
      <c r="A87" s="15" t="s">
        <v>337</v>
      </c>
      <c r="B87" s="15" t="s">
        <v>177</v>
      </c>
      <c r="C87" s="15">
        <v>1</v>
      </c>
      <c r="D87" s="15" t="s">
        <v>341</v>
      </c>
      <c r="E87" s="15" t="s">
        <v>343</v>
      </c>
      <c r="F87" s="15">
        <v>2017</v>
      </c>
      <c r="G87" s="15">
        <v>-2</v>
      </c>
      <c r="H87" s="15">
        <v>2015</v>
      </c>
      <c r="I87" s="15">
        <v>0</v>
      </c>
      <c r="J87" s="15">
        <v>0</v>
      </c>
      <c r="K87" s="16" t="e">
        <f>IF(#REF!="","",#REF!*$I87)</f>
        <v>#REF!</v>
      </c>
      <c r="L87" s="17" t="str">
        <f>IF(ISBLANK(Deal_Master_Wide!$BQ$15),"",Deal_Master_Wide!$BQ$15)</f>
        <v/>
      </c>
      <c r="M87" s="17" t="str">
        <f>IF(ISBLANK(Deal_Master_Wide!$BX$15),"",Deal_Master_Wide!$BX$15)</f>
        <v/>
      </c>
      <c r="N87" s="17" t="str">
        <f>IF(ISBLANK(Deal_Master_Wide!$CE$15),"",Deal_Master_Wide!$CE$15)</f>
        <v/>
      </c>
      <c r="O87" s="17" t="str">
        <f>IF(ISBLANK(Deal_Master_Wide!$CL$15),"",Deal_Master_Wide!$CL$15)</f>
        <v/>
      </c>
      <c r="P87" s="17" t="str">
        <f>IF(ISBLANK(Deal_Master_Wide!$CS$15),"",Deal_Master_Wide!$CS$15)</f>
        <v/>
      </c>
      <c r="Q87" s="17" t="str">
        <f>IF(ISBLANK(Deal_Master_Wide!$CZ$15),"",Deal_Master_Wide!$CZ$15)</f>
        <v/>
      </c>
      <c r="R87" s="18" t="str">
        <f>IF(ISBLANK(Deal_Master_Wide!$DG$15),"",Deal_Master_Wide!$DG$15)</f>
        <v/>
      </c>
      <c r="S87" s="18" t="str">
        <f>IF(ISBLANK(Deal_Master_Wide!$DN$15),"",Deal_Master_Wide!$DN$15)</f>
        <v/>
      </c>
      <c r="T87" s="18" t="str">
        <f>IF(ISBLANK(Deal_Master_Wide!$DU$15),"",Deal_Master_Wide!$DU$15)</f>
        <v/>
      </c>
      <c r="U87" s="17" t="str">
        <f>IF(ISBLANK(Deal_Master_Wide!$EB$15),"",Deal_Master_Wide!$EB$15)</f>
        <v/>
      </c>
      <c r="V87" s="17" t="str">
        <f>IF(ISBLANK(Deal_Master_Wide!$EI$15),"",Deal_Master_Wide!$EI$15)</f>
        <v/>
      </c>
      <c r="W87" s="17" t="str">
        <f>IF(ISBLANK(Deal_Master_Wide!$AF$15),"",Deal_Master_Wide!$AF$15)</f>
        <v/>
      </c>
    </row>
    <row r="88" spans="1:23" ht="13.4" customHeight="1">
      <c r="A88" s="15" t="s">
        <v>337</v>
      </c>
      <c r="B88" s="15" t="s">
        <v>177</v>
      </c>
      <c r="C88" s="15">
        <v>1</v>
      </c>
      <c r="D88" s="15" t="s">
        <v>341</v>
      </c>
      <c r="E88" s="15" t="s">
        <v>343</v>
      </c>
      <c r="F88" s="15">
        <v>2017</v>
      </c>
      <c r="G88" s="15">
        <v>-1</v>
      </c>
      <c r="H88" s="15">
        <v>2016</v>
      </c>
      <c r="I88" s="15">
        <v>0</v>
      </c>
      <c r="J88" s="15">
        <v>0</v>
      </c>
      <c r="K88" s="16" t="e">
        <f>IF(#REF!="","",#REF!*$I88)</f>
        <v>#REF!</v>
      </c>
      <c r="L88" s="17" t="str">
        <f>IF(ISBLANK(Deal_Master_Wide!$BR$15),"",Deal_Master_Wide!$BR$15)</f>
        <v/>
      </c>
      <c r="M88" s="17" t="str">
        <f>IF(ISBLANK(Deal_Master_Wide!$BY$15),"",Deal_Master_Wide!$BY$15)</f>
        <v/>
      </c>
      <c r="N88" s="17" t="str">
        <f>IF(ISBLANK(Deal_Master_Wide!$CF$15),"",Deal_Master_Wide!$CF$15)</f>
        <v/>
      </c>
      <c r="O88" s="17" t="str">
        <f>IF(ISBLANK(Deal_Master_Wide!$CM$15),"",Deal_Master_Wide!$CM$15)</f>
        <v/>
      </c>
      <c r="P88" s="17" t="str">
        <f>IF(ISBLANK(Deal_Master_Wide!$CT$15),"",Deal_Master_Wide!$CT$15)</f>
        <v/>
      </c>
      <c r="Q88" s="17" t="str">
        <f>IF(ISBLANK(Deal_Master_Wide!$DA$15),"",Deal_Master_Wide!$DA$15)</f>
        <v/>
      </c>
      <c r="R88" s="18" t="str">
        <f>IF(ISBLANK(Deal_Master_Wide!$DH$15),"",Deal_Master_Wide!$DH$15)</f>
        <v/>
      </c>
      <c r="S88" s="18" t="str">
        <f>IF(ISBLANK(Deal_Master_Wide!$DO$15),"",Deal_Master_Wide!$DO$15)</f>
        <v/>
      </c>
      <c r="T88" s="18" t="str">
        <f>IF(ISBLANK(Deal_Master_Wide!$DV$15),"",Deal_Master_Wide!$DV$15)</f>
        <v/>
      </c>
      <c r="U88" s="17" t="str">
        <f>IF(ISBLANK(Deal_Master_Wide!$EC$15),"",Deal_Master_Wide!$EC$15)</f>
        <v/>
      </c>
      <c r="V88" s="17" t="str">
        <f>IF(ISBLANK(Deal_Master_Wide!$EJ$15),"",Deal_Master_Wide!$EJ$15)</f>
        <v/>
      </c>
      <c r="W88" s="17" t="str">
        <f>IF(ISBLANK(Deal_Master_Wide!$AF$15),"",Deal_Master_Wide!$AF$15)</f>
        <v/>
      </c>
    </row>
    <row r="89" spans="1:23" ht="13.4" customHeight="1">
      <c r="A89" s="15" t="s">
        <v>337</v>
      </c>
      <c r="B89" s="15" t="s">
        <v>177</v>
      </c>
      <c r="C89" s="15">
        <v>1</v>
      </c>
      <c r="D89" s="15" t="s">
        <v>341</v>
      </c>
      <c r="E89" s="15" t="s">
        <v>343</v>
      </c>
      <c r="F89" s="15">
        <v>2017</v>
      </c>
      <c r="G89" s="15">
        <v>0</v>
      </c>
      <c r="H89" s="15">
        <v>2017</v>
      </c>
      <c r="I89" s="15">
        <v>0</v>
      </c>
      <c r="J89" s="15">
        <v>1</v>
      </c>
      <c r="K89" s="16" t="e">
        <f>IF(#REF!="","",#REF!*$I89)</f>
        <v>#REF!</v>
      </c>
      <c r="L89" s="17" t="str">
        <f>IF(ISBLANK(Deal_Master_Wide!$BS$15),"",Deal_Master_Wide!$BS$15)</f>
        <v/>
      </c>
      <c r="M89" s="17" t="str">
        <f>IF(ISBLANK(Deal_Master_Wide!$BZ$15),"",Deal_Master_Wide!$BZ$15)</f>
        <v/>
      </c>
      <c r="N89" s="17" t="str">
        <f>IF(ISBLANK(Deal_Master_Wide!$CG$15),"",Deal_Master_Wide!$CG$15)</f>
        <v/>
      </c>
      <c r="O89" s="17" t="str">
        <f>IF(ISBLANK(Deal_Master_Wide!$CN$15),"",Deal_Master_Wide!$CN$15)</f>
        <v/>
      </c>
      <c r="P89" s="17" t="str">
        <f>IF(ISBLANK(Deal_Master_Wide!$CU$15),"",Deal_Master_Wide!$CU$15)</f>
        <v/>
      </c>
      <c r="Q89" s="17" t="str">
        <f>IF(ISBLANK(Deal_Master_Wide!$DB$15),"",Deal_Master_Wide!$DB$15)</f>
        <v/>
      </c>
      <c r="R89" s="18" t="str">
        <f>IF(ISBLANK(Deal_Master_Wide!$DI$15),"",Deal_Master_Wide!$DI$15)</f>
        <v/>
      </c>
      <c r="S89" s="18" t="str">
        <f>IF(ISBLANK(Deal_Master_Wide!$DP$15),"",Deal_Master_Wide!$DP$15)</f>
        <v/>
      </c>
      <c r="T89" s="18" t="str">
        <f>IF(ISBLANK(Deal_Master_Wide!$DW$15),"",Deal_Master_Wide!$DW$15)</f>
        <v/>
      </c>
      <c r="U89" s="17" t="str">
        <f>IF(ISBLANK(Deal_Master_Wide!$ED$15),"",Deal_Master_Wide!$ED$15)</f>
        <v/>
      </c>
      <c r="V89" s="17" t="str">
        <f>IF(ISBLANK(Deal_Master_Wide!$EK$15),"",Deal_Master_Wide!$EK$15)</f>
        <v/>
      </c>
      <c r="W89" s="17" t="str">
        <f>IF(ISBLANK(Deal_Master_Wide!$AF$15),"",Deal_Master_Wide!$AF$15)</f>
        <v/>
      </c>
    </row>
    <row r="90" spans="1:23" ht="13.4" customHeight="1">
      <c r="A90" s="15" t="s">
        <v>337</v>
      </c>
      <c r="B90" s="15" t="s">
        <v>177</v>
      </c>
      <c r="C90" s="15">
        <v>1</v>
      </c>
      <c r="D90" s="15" t="s">
        <v>341</v>
      </c>
      <c r="E90" s="15" t="s">
        <v>343</v>
      </c>
      <c r="F90" s="15">
        <v>2017</v>
      </c>
      <c r="G90" s="15">
        <v>1</v>
      </c>
      <c r="H90" s="15">
        <v>2018</v>
      </c>
      <c r="I90" s="15">
        <v>1</v>
      </c>
      <c r="J90" s="15">
        <v>1</v>
      </c>
      <c r="K90" s="16" t="e">
        <f>IF(#REF!="","",#REF!*$I90)</f>
        <v>#REF!</v>
      </c>
      <c r="L90" s="17" t="str">
        <f>IF(ISBLANK(Deal_Master_Wide!$BT$15),"",Deal_Master_Wide!$BT$15)</f>
        <v/>
      </c>
      <c r="M90" s="17" t="str">
        <f>IF(ISBLANK(Deal_Master_Wide!$CA$15),"",Deal_Master_Wide!$CA$15)</f>
        <v/>
      </c>
      <c r="N90" s="17" t="str">
        <f>IF(ISBLANK(Deal_Master_Wide!$CH$15),"",Deal_Master_Wide!$CH$15)</f>
        <v/>
      </c>
      <c r="O90" s="17" t="str">
        <f>IF(ISBLANK(Deal_Master_Wide!$CO$15),"",Deal_Master_Wide!$CO$15)</f>
        <v/>
      </c>
      <c r="P90" s="17" t="str">
        <f>IF(ISBLANK(Deal_Master_Wide!$CV$15),"",Deal_Master_Wide!$CV$15)</f>
        <v/>
      </c>
      <c r="Q90" s="17" t="str">
        <f>IF(ISBLANK(Deal_Master_Wide!$DC$15),"",Deal_Master_Wide!$DC$15)</f>
        <v/>
      </c>
      <c r="R90" s="18" t="str">
        <f>IF(ISBLANK(Deal_Master_Wide!$DJ$15),"",Deal_Master_Wide!$DJ$15)</f>
        <v/>
      </c>
      <c r="S90" s="18" t="str">
        <f>IF(ISBLANK(Deal_Master_Wide!$DQ$15),"",Deal_Master_Wide!$DQ$15)</f>
        <v/>
      </c>
      <c r="T90" s="18" t="str">
        <f>IF(ISBLANK(Deal_Master_Wide!$DX$15),"",Deal_Master_Wide!$DX$15)</f>
        <v/>
      </c>
      <c r="U90" s="17" t="str">
        <f>IF(ISBLANK(Deal_Master_Wide!$EE$15),"",Deal_Master_Wide!$EE$15)</f>
        <v/>
      </c>
      <c r="V90" s="17" t="str">
        <f>IF(ISBLANK(Deal_Master_Wide!$EL$15),"",Deal_Master_Wide!$EL$15)</f>
        <v/>
      </c>
      <c r="W90" s="17" t="str">
        <f>IF(ISBLANK(Deal_Master_Wide!$AF$15),"",Deal_Master_Wide!$AF$15)</f>
        <v/>
      </c>
    </row>
    <row r="91" spans="1:23" ht="13.4" customHeight="1">
      <c r="A91" s="15" t="s">
        <v>337</v>
      </c>
      <c r="B91" s="15" t="s">
        <v>177</v>
      </c>
      <c r="C91" s="15">
        <v>1</v>
      </c>
      <c r="D91" s="15" t="s">
        <v>341</v>
      </c>
      <c r="E91" s="15" t="s">
        <v>343</v>
      </c>
      <c r="F91" s="15">
        <v>2017</v>
      </c>
      <c r="G91" s="15">
        <v>2</v>
      </c>
      <c r="H91" s="15">
        <v>2019</v>
      </c>
      <c r="I91" s="15">
        <v>1</v>
      </c>
      <c r="J91" s="15">
        <v>1</v>
      </c>
      <c r="K91" s="16" t="e">
        <f>IF(#REF!="","",#REF!*$I91)</f>
        <v>#REF!</v>
      </c>
      <c r="L91" s="17" t="str">
        <f>IF(ISBLANK(Deal_Master_Wide!$BU$15),"",Deal_Master_Wide!$BU$15)</f>
        <v/>
      </c>
      <c r="M91" s="17" t="str">
        <f>IF(ISBLANK(Deal_Master_Wide!$CB$15),"",Deal_Master_Wide!$CB$15)</f>
        <v/>
      </c>
      <c r="N91" s="17" t="str">
        <f>IF(ISBLANK(Deal_Master_Wide!$CI$15),"",Deal_Master_Wide!$CI$15)</f>
        <v/>
      </c>
      <c r="O91" s="17" t="str">
        <f>IF(ISBLANK(Deal_Master_Wide!$CP$15),"",Deal_Master_Wide!$CP$15)</f>
        <v/>
      </c>
      <c r="P91" s="17" t="str">
        <f>IF(ISBLANK(Deal_Master_Wide!$CW$15),"",Deal_Master_Wide!$CW$15)</f>
        <v/>
      </c>
      <c r="Q91" s="17" t="str">
        <f>IF(ISBLANK(Deal_Master_Wide!$DD$15),"",Deal_Master_Wide!$DD$15)</f>
        <v/>
      </c>
      <c r="R91" s="18" t="str">
        <f>IF(ISBLANK(Deal_Master_Wide!$DK$15),"",Deal_Master_Wide!$DK$15)</f>
        <v/>
      </c>
      <c r="S91" s="18" t="str">
        <f>IF(ISBLANK(Deal_Master_Wide!$DR$15),"",Deal_Master_Wide!$DR$15)</f>
        <v/>
      </c>
      <c r="T91" s="18" t="str">
        <f>IF(ISBLANK(Deal_Master_Wide!$DY$15),"",Deal_Master_Wide!$DY$15)</f>
        <v/>
      </c>
      <c r="U91" s="17" t="str">
        <f>IF(ISBLANK(Deal_Master_Wide!$EF$15),"",Deal_Master_Wide!$EF$15)</f>
        <v/>
      </c>
      <c r="V91" s="17" t="str">
        <f>IF(ISBLANK(Deal_Master_Wide!$EM$15),"",Deal_Master_Wide!$EM$15)</f>
        <v/>
      </c>
      <c r="W91" s="17" t="str">
        <f>IF(ISBLANK(Deal_Master_Wide!$AF$15),"",Deal_Master_Wide!$AF$15)</f>
        <v/>
      </c>
    </row>
    <row r="92" spans="1:23" ht="13.4" customHeight="1">
      <c r="A92" s="15" t="s">
        <v>337</v>
      </c>
      <c r="B92" s="15" t="s">
        <v>177</v>
      </c>
      <c r="C92" s="15">
        <v>1</v>
      </c>
      <c r="D92" s="15" t="s">
        <v>341</v>
      </c>
      <c r="E92" s="15" t="s">
        <v>343</v>
      </c>
      <c r="F92" s="15">
        <v>2017</v>
      </c>
      <c r="G92" s="15">
        <v>3</v>
      </c>
      <c r="H92" s="15">
        <v>2020</v>
      </c>
      <c r="I92" s="15">
        <v>1</v>
      </c>
      <c r="J92" s="15">
        <v>1</v>
      </c>
      <c r="K92" s="16" t="e">
        <f>IF(#REF!="","",#REF!*$I92)</f>
        <v>#REF!</v>
      </c>
      <c r="L92" s="17" t="str">
        <f>IF(ISBLANK(Deal_Master_Wide!$BV$15),"",Deal_Master_Wide!$BV$15)</f>
        <v/>
      </c>
      <c r="M92" s="17" t="str">
        <f>IF(ISBLANK(Deal_Master_Wide!$CC$15),"",Deal_Master_Wide!$CC$15)</f>
        <v/>
      </c>
      <c r="N92" s="17" t="str">
        <f>IF(ISBLANK(Deal_Master_Wide!$CJ$15),"",Deal_Master_Wide!$CJ$15)</f>
        <v/>
      </c>
      <c r="O92" s="17" t="str">
        <f>IF(ISBLANK(Deal_Master_Wide!$CQ$15),"",Deal_Master_Wide!$CQ$15)</f>
        <v/>
      </c>
      <c r="P92" s="17" t="str">
        <f>IF(ISBLANK(Deal_Master_Wide!$CX$15),"",Deal_Master_Wide!$CX$15)</f>
        <v/>
      </c>
      <c r="Q92" s="17" t="str">
        <f>IF(ISBLANK(Deal_Master_Wide!$DE$15),"",Deal_Master_Wide!$DE$15)</f>
        <v/>
      </c>
      <c r="R92" s="18" t="str">
        <f>IF(ISBLANK(Deal_Master_Wide!$DL$15),"",Deal_Master_Wide!$DL$15)</f>
        <v/>
      </c>
      <c r="S92" s="18" t="str">
        <f>IF(ISBLANK(Deal_Master_Wide!$DS$15),"",Deal_Master_Wide!$DS$15)</f>
        <v/>
      </c>
      <c r="T92" s="18" t="str">
        <f>IF(ISBLANK(Deal_Master_Wide!$DZ$15),"",Deal_Master_Wide!$DZ$15)</f>
        <v/>
      </c>
      <c r="U92" s="17" t="str">
        <f>IF(ISBLANK(Deal_Master_Wide!$EG$15),"",Deal_Master_Wide!$EG$15)</f>
        <v/>
      </c>
      <c r="V92" s="17" t="str">
        <f>IF(ISBLANK(Deal_Master_Wide!$EN$15),"",Deal_Master_Wide!$EN$15)</f>
        <v/>
      </c>
      <c r="W92" s="17" t="str">
        <f>IF(ISBLANK(Deal_Master_Wide!$AF$15),"",Deal_Master_Wide!$AF$15)</f>
        <v/>
      </c>
    </row>
    <row r="93" spans="1:23" ht="13.4" customHeight="1">
      <c r="A93" s="15" t="s">
        <v>347</v>
      </c>
      <c r="B93" s="15" t="s">
        <v>177</v>
      </c>
      <c r="C93" s="15">
        <v>1</v>
      </c>
      <c r="D93" s="15" t="s">
        <v>351</v>
      </c>
      <c r="E93" s="15" t="s">
        <v>353</v>
      </c>
      <c r="F93" s="15">
        <v>2017</v>
      </c>
      <c r="G93" s="15">
        <v>-3</v>
      </c>
      <c r="H93" s="15">
        <v>2014</v>
      </c>
      <c r="I93" s="15">
        <v>0</v>
      </c>
      <c r="J93" s="15">
        <v>0</v>
      </c>
      <c r="K93" s="16" t="e">
        <f>IF(#REF!="","",#REF!*$I93)</f>
        <v>#REF!</v>
      </c>
      <c r="L93" s="17" t="str">
        <f>IF(ISBLANK(Deal_Master_Wide!$BP$16),"",Deal_Master_Wide!$BP$16)</f>
        <v/>
      </c>
      <c r="M93" s="17" t="str">
        <f>IF(ISBLANK(Deal_Master_Wide!$BW$16),"",Deal_Master_Wide!$BW$16)</f>
        <v/>
      </c>
      <c r="N93" s="17" t="str">
        <f>IF(ISBLANK(Deal_Master_Wide!$CD$16),"",Deal_Master_Wide!$CD$16)</f>
        <v/>
      </c>
      <c r="O93" s="17" t="str">
        <f>IF(ISBLANK(Deal_Master_Wide!$CK$16),"",Deal_Master_Wide!$CK$16)</f>
        <v/>
      </c>
      <c r="P93" s="17" t="str">
        <f>IF(ISBLANK(Deal_Master_Wide!$CR$16),"",Deal_Master_Wide!$CR$16)</f>
        <v/>
      </c>
      <c r="Q93" s="17" t="str">
        <f>IF(ISBLANK(Deal_Master_Wide!$CY$16),"",Deal_Master_Wide!$CY$16)</f>
        <v/>
      </c>
      <c r="R93" s="18" t="str">
        <f>IF(ISBLANK(Deal_Master_Wide!$DF$16),"",Deal_Master_Wide!$DF$16)</f>
        <v/>
      </c>
      <c r="S93" s="18" t="str">
        <f>IF(ISBLANK(Deal_Master_Wide!$DM$16),"",Deal_Master_Wide!$DM$16)</f>
        <v/>
      </c>
      <c r="T93" s="18" t="str">
        <f>IF(ISBLANK(Deal_Master_Wide!$DT$16),"",Deal_Master_Wide!$DT$16)</f>
        <v/>
      </c>
      <c r="U93" s="17" t="str">
        <f>IF(ISBLANK(Deal_Master_Wide!$EA$16),"",Deal_Master_Wide!$EA$16)</f>
        <v/>
      </c>
      <c r="V93" s="17" t="str">
        <f>IF(ISBLANK(Deal_Master_Wide!$EH$16),"",Deal_Master_Wide!$EH$16)</f>
        <v/>
      </c>
      <c r="W93" s="17">
        <f>IF(ISBLANK(Deal_Master_Wide!$AF$16),"",Deal_Master_Wide!$AF$16)</f>
        <v>852</v>
      </c>
    </row>
    <row r="94" spans="1:23" ht="13.4" customHeight="1">
      <c r="A94" s="15" t="s">
        <v>347</v>
      </c>
      <c r="B94" s="15" t="s">
        <v>177</v>
      </c>
      <c r="C94" s="15">
        <v>1</v>
      </c>
      <c r="D94" s="15" t="s">
        <v>351</v>
      </c>
      <c r="E94" s="15" t="s">
        <v>353</v>
      </c>
      <c r="F94" s="15">
        <v>2017</v>
      </c>
      <c r="G94" s="15">
        <v>-2</v>
      </c>
      <c r="H94" s="15">
        <v>2015</v>
      </c>
      <c r="I94" s="15">
        <v>0</v>
      </c>
      <c r="J94" s="15">
        <v>0</v>
      </c>
      <c r="K94" s="16" t="e">
        <f>IF(#REF!="","",#REF!*$I94)</f>
        <v>#REF!</v>
      </c>
      <c r="L94" s="17" t="str">
        <f>IF(ISBLANK(Deal_Master_Wide!$BQ$16),"",Deal_Master_Wide!$BQ$16)</f>
        <v/>
      </c>
      <c r="M94" s="17" t="str">
        <f>IF(ISBLANK(Deal_Master_Wide!$BX$16),"",Deal_Master_Wide!$BX$16)</f>
        <v/>
      </c>
      <c r="N94" s="17" t="str">
        <f>IF(ISBLANK(Deal_Master_Wide!$CE$16),"",Deal_Master_Wide!$CE$16)</f>
        <v/>
      </c>
      <c r="O94" s="17" t="str">
        <f>IF(ISBLANK(Deal_Master_Wide!$CL$16),"",Deal_Master_Wide!$CL$16)</f>
        <v/>
      </c>
      <c r="P94" s="17" t="str">
        <f>IF(ISBLANK(Deal_Master_Wide!$CS$16),"",Deal_Master_Wide!$CS$16)</f>
        <v/>
      </c>
      <c r="Q94" s="17" t="str">
        <f>IF(ISBLANK(Deal_Master_Wide!$CZ$16),"",Deal_Master_Wide!$CZ$16)</f>
        <v/>
      </c>
      <c r="R94" s="18" t="str">
        <f>IF(ISBLANK(Deal_Master_Wide!$DG$16),"",Deal_Master_Wide!$DG$16)</f>
        <v/>
      </c>
      <c r="S94" s="18" t="str">
        <f>IF(ISBLANK(Deal_Master_Wide!$DN$16),"",Deal_Master_Wide!$DN$16)</f>
        <v/>
      </c>
      <c r="T94" s="18" t="str">
        <f>IF(ISBLANK(Deal_Master_Wide!$DU$16),"",Deal_Master_Wide!$DU$16)</f>
        <v/>
      </c>
      <c r="U94" s="17" t="str">
        <f>IF(ISBLANK(Deal_Master_Wide!$EB$16),"",Deal_Master_Wide!$EB$16)</f>
        <v/>
      </c>
      <c r="V94" s="17" t="str">
        <f>IF(ISBLANK(Deal_Master_Wide!$EI$16),"",Deal_Master_Wide!$EI$16)</f>
        <v/>
      </c>
      <c r="W94" s="17">
        <f>IF(ISBLANK(Deal_Master_Wide!$AF$16),"",Deal_Master_Wide!$AF$16)</f>
        <v>852</v>
      </c>
    </row>
    <row r="95" spans="1:23" ht="13.4" customHeight="1">
      <c r="A95" s="15" t="s">
        <v>347</v>
      </c>
      <c r="B95" s="15" t="s">
        <v>177</v>
      </c>
      <c r="C95" s="15">
        <v>1</v>
      </c>
      <c r="D95" s="15" t="s">
        <v>351</v>
      </c>
      <c r="E95" s="15" t="s">
        <v>353</v>
      </c>
      <c r="F95" s="15">
        <v>2017</v>
      </c>
      <c r="G95" s="15">
        <v>-1</v>
      </c>
      <c r="H95" s="15">
        <v>2016</v>
      </c>
      <c r="I95" s="15">
        <v>0</v>
      </c>
      <c r="J95" s="15">
        <v>0</v>
      </c>
      <c r="K95" s="16" t="e">
        <f>IF(#REF!="","",#REF!*$I95)</f>
        <v>#REF!</v>
      </c>
      <c r="L95" s="17" t="str">
        <f>IF(ISBLANK(Deal_Master_Wide!$BR$16),"",Deal_Master_Wide!$BR$16)</f>
        <v/>
      </c>
      <c r="M95" s="17" t="str">
        <f>IF(ISBLANK(Deal_Master_Wide!$BY$16),"",Deal_Master_Wide!$BY$16)</f>
        <v/>
      </c>
      <c r="N95" s="17" t="str">
        <f>IF(ISBLANK(Deal_Master_Wide!$CF$16),"",Deal_Master_Wide!$CF$16)</f>
        <v/>
      </c>
      <c r="O95" s="17" t="str">
        <f>IF(ISBLANK(Deal_Master_Wide!$CM$16),"",Deal_Master_Wide!$CM$16)</f>
        <v/>
      </c>
      <c r="P95" s="17" t="str">
        <f>IF(ISBLANK(Deal_Master_Wide!$CT$16),"",Deal_Master_Wide!$CT$16)</f>
        <v/>
      </c>
      <c r="Q95" s="17" t="str">
        <f>IF(ISBLANK(Deal_Master_Wide!$DA$16),"",Deal_Master_Wide!$DA$16)</f>
        <v/>
      </c>
      <c r="R95" s="18" t="str">
        <f>IF(ISBLANK(Deal_Master_Wide!$DH$16),"",Deal_Master_Wide!$DH$16)</f>
        <v/>
      </c>
      <c r="S95" s="18" t="str">
        <f>IF(ISBLANK(Deal_Master_Wide!$DO$16),"",Deal_Master_Wide!$DO$16)</f>
        <v/>
      </c>
      <c r="T95" s="18" t="str">
        <f>IF(ISBLANK(Deal_Master_Wide!$DV$16),"",Deal_Master_Wide!$DV$16)</f>
        <v/>
      </c>
      <c r="U95" s="17" t="str">
        <f>IF(ISBLANK(Deal_Master_Wide!$EC$16),"",Deal_Master_Wide!$EC$16)</f>
        <v/>
      </c>
      <c r="V95" s="17" t="str">
        <f>IF(ISBLANK(Deal_Master_Wide!$EJ$16),"",Deal_Master_Wide!$EJ$16)</f>
        <v/>
      </c>
      <c r="W95" s="17">
        <f>IF(ISBLANK(Deal_Master_Wide!$AF$16),"",Deal_Master_Wide!$AF$16)</f>
        <v>852</v>
      </c>
    </row>
    <row r="96" spans="1:23" ht="13.4" customHeight="1">
      <c r="A96" s="15" t="s">
        <v>347</v>
      </c>
      <c r="B96" s="15" t="s">
        <v>177</v>
      </c>
      <c r="C96" s="15">
        <v>1</v>
      </c>
      <c r="D96" s="15" t="s">
        <v>351</v>
      </c>
      <c r="E96" s="15" t="s">
        <v>353</v>
      </c>
      <c r="F96" s="15">
        <v>2017</v>
      </c>
      <c r="G96" s="15">
        <v>0</v>
      </c>
      <c r="H96" s="15">
        <v>2017</v>
      </c>
      <c r="I96" s="15">
        <v>0</v>
      </c>
      <c r="J96" s="15">
        <v>1</v>
      </c>
      <c r="K96" s="16" t="e">
        <f>IF(#REF!="","",#REF!*$I96)</f>
        <v>#REF!</v>
      </c>
      <c r="L96" s="17" t="str">
        <f>IF(ISBLANK(Deal_Master_Wide!$BS$16),"",Deal_Master_Wide!$BS$16)</f>
        <v/>
      </c>
      <c r="M96" s="17" t="str">
        <f>IF(ISBLANK(Deal_Master_Wide!$BZ$16),"",Deal_Master_Wide!$BZ$16)</f>
        <v/>
      </c>
      <c r="N96" s="17" t="str">
        <f>IF(ISBLANK(Deal_Master_Wide!$CG$16),"",Deal_Master_Wide!$CG$16)</f>
        <v/>
      </c>
      <c r="O96" s="17" t="str">
        <f>IF(ISBLANK(Deal_Master_Wide!$CN$16),"",Deal_Master_Wide!$CN$16)</f>
        <v/>
      </c>
      <c r="P96" s="17" t="str">
        <f>IF(ISBLANK(Deal_Master_Wide!$CU$16),"",Deal_Master_Wide!$CU$16)</f>
        <v/>
      </c>
      <c r="Q96" s="17" t="str">
        <f>IF(ISBLANK(Deal_Master_Wide!$DB$16),"",Deal_Master_Wide!$DB$16)</f>
        <v/>
      </c>
      <c r="R96" s="18" t="str">
        <f>IF(ISBLANK(Deal_Master_Wide!$DI$16),"",Deal_Master_Wide!$DI$16)</f>
        <v/>
      </c>
      <c r="S96" s="18" t="str">
        <f>IF(ISBLANK(Deal_Master_Wide!$DP$16),"",Deal_Master_Wide!$DP$16)</f>
        <v/>
      </c>
      <c r="T96" s="18" t="str">
        <f>IF(ISBLANK(Deal_Master_Wide!$DW$16),"",Deal_Master_Wide!$DW$16)</f>
        <v/>
      </c>
      <c r="U96" s="17" t="str">
        <f>IF(ISBLANK(Deal_Master_Wide!$ED$16),"",Deal_Master_Wide!$ED$16)</f>
        <v/>
      </c>
      <c r="V96" s="17" t="str">
        <f>IF(ISBLANK(Deal_Master_Wide!$EK$16),"",Deal_Master_Wide!$EK$16)</f>
        <v/>
      </c>
      <c r="W96" s="17">
        <f>IF(ISBLANK(Deal_Master_Wide!$AF$16),"",Deal_Master_Wide!$AF$16)</f>
        <v>852</v>
      </c>
    </row>
    <row r="97" spans="1:23" ht="13.4" customHeight="1">
      <c r="A97" s="15" t="s">
        <v>347</v>
      </c>
      <c r="B97" s="15" t="s">
        <v>177</v>
      </c>
      <c r="C97" s="15">
        <v>1</v>
      </c>
      <c r="D97" s="15" t="s">
        <v>351</v>
      </c>
      <c r="E97" s="15" t="s">
        <v>353</v>
      </c>
      <c r="F97" s="15">
        <v>2017</v>
      </c>
      <c r="G97" s="15">
        <v>1</v>
      </c>
      <c r="H97" s="15">
        <v>2018</v>
      </c>
      <c r="I97" s="15">
        <v>1</v>
      </c>
      <c r="J97" s="15">
        <v>1</v>
      </c>
      <c r="K97" s="16" t="e">
        <f>IF(#REF!="","",#REF!*$I97)</f>
        <v>#REF!</v>
      </c>
      <c r="L97" s="17" t="str">
        <f>IF(ISBLANK(Deal_Master_Wide!$BT$16),"",Deal_Master_Wide!$BT$16)</f>
        <v/>
      </c>
      <c r="M97" s="17" t="str">
        <f>IF(ISBLANK(Deal_Master_Wide!$CA$16),"",Deal_Master_Wide!$CA$16)</f>
        <v/>
      </c>
      <c r="N97" s="17" t="str">
        <f>IF(ISBLANK(Deal_Master_Wide!$CH$16),"",Deal_Master_Wide!$CH$16)</f>
        <v/>
      </c>
      <c r="O97" s="17" t="str">
        <f>IF(ISBLANK(Deal_Master_Wide!$CO$16),"",Deal_Master_Wide!$CO$16)</f>
        <v/>
      </c>
      <c r="P97" s="17" t="str">
        <f>IF(ISBLANK(Deal_Master_Wide!$CV$16),"",Deal_Master_Wide!$CV$16)</f>
        <v/>
      </c>
      <c r="Q97" s="17" t="str">
        <f>IF(ISBLANK(Deal_Master_Wide!$DC$16),"",Deal_Master_Wide!$DC$16)</f>
        <v/>
      </c>
      <c r="R97" s="18" t="str">
        <f>IF(ISBLANK(Deal_Master_Wide!$DJ$16),"",Deal_Master_Wide!$DJ$16)</f>
        <v/>
      </c>
      <c r="S97" s="18" t="str">
        <f>IF(ISBLANK(Deal_Master_Wide!$DQ$16),"",Deal_Master_Wide!$DQ$16)</f>
        <v/>
      </c>
      <c r="T97" s="18" t="str">
        <f>IF(ISBLANK(Deal_Master_Wide!$DX$16),"",Deal_Master_Wide!$DX$16)</f>
        <v/>
      </c>
      <c r="U97" s="17" t="str">
        <f>IF(ISBLANK(Deal_Master_Wide!$EE$16),"",Deal_Master_Wide!$EE$16)</f>
        <v/>
      </c>
      <c r="V97" s="17" t="str">
        <f>IF(ISBLANK(Deal_Master_Wide!$EL$16),"",Deal_Master_Wide!$EL$16)</f>
        <v/>
      </c>
      <c r="W97" s="17">
        <f>IF(ISBLANK(Deal_Master_Wide!$AF$16),"",Deal_Master_Wide!$AF$16)</f>
        <v>852</v>
      </c>
    </row>
    <row r="98" spans="1:23" ht="13.4" customHeight="1">
      <c r="A98" s="15" t="s">
        <v>347</v>
      </c>
      <c r="B98" s="15" t="s">
        <v>177</v>
      </c>
      <c r="C98" s="15">
        <v>1</v>
      </c>
      <c r="D98" s="15" t="s">
        <v>351</v>
      </c>
      <c r="E98" s="15" t="s">
        <v>353</v>
      </c>
      <c r="F98" s="15">
        <v>2017</v>
      </c>
      <c r="G98" s="15">
        <v>2</v>
      </c>
      <c r="H98" s="15">
        <v>2019</v>
      </c>
      <c r="I98" s="15">
        <v>1</v>
      </c>
      <c r="J98" s="15">
        <v>1</v>
      </c>
      <c r="K98" s="16" t="e">
        <f>IF(#REF!="","",#REF!*$I98)</f>
        <v>#REF!</v>
      </c>
      <c r="L98" s="17" t="str">
        <f>IF(ISBLANK(Deal_Master_Wide!$BU$16),"",Deal_Master_Wide!$BU$16)</f>
        <v/>
      </c>
      <c r="M98" s="17" t="str">
        <f>IF(ISBLANK(Deal_Master_Wide!$CB$16),"",Deal_Master_Wide!$CB$16)</f>
        <v/>
      </c>
      <c r="N98" s="17" t="str">
        <f>IF(ISBLANK(Deal_Master_Wide!$CI$16),"",Deal_Master_Wide!$CI$16)</f>
        <v/>
      </c>
      <c r="O98" s="17" t="str">
        <f>IF(ISBLANK(Deal_Master_Wide!$CP$16),"",Deal_Master_Wide!$CP$16)</f>
        <v/>
      </c>
      <c r="P98" s="17" t="str">
        <f>IF(ISBLANK(Deal_Master_Wide!$CW$16),"",Deal_Master_Wide!$CW$16)</f>
        <v/>
      </c>
      <c r="Q98" s="17" t="str">
        <f>IF(ISBLANK(Deal_Master_Wide!$DD$16),"",Deal_Master_Wide!$DD$16)</f>
        <v/>
      </c>
      <c r="R98" s="18" t="str">
        <f>IF(ISBLANK(Deal_Master_Wide!$DK$16),"",Deal_Master_Wide!$DK$16)</f>
        <v/>
      </c>
      <c r="S98" s="18" t="str">
        <f>IF(ISBLANK(Deal_Master_Wide!$DR$16),"",Deal_Master_Wide!$DR$16)</f>
        <v/>
      </c>
      <c r="T98" s="18" t="str">
        <f>IF(ISBLANK(Deal_Master_Wide!$DY$16),"",Deal_Master_Wide!$DY$16)</f>
        <v/>
      </c>
      <c r="U98" s="17" t="str">
        <f>IF(ISBLANK(Deal_Master_Wide!$EF$16),"",Deal_Master_Wide!$EF$16)</f>
        <v/>
      </c>
      <c r="V98" s="17" t="str">
        <f>IF(ISBLANK(Deal_Master_Wide!$EM$16),"",Deal_Master_Wide!$EM$16)</f>
        <v/>
      </c>
      <c r="W98" s="17">
        <f>IF(ISBLANK(Deal_Master_Wide!$AF$16),"",Deal_Master_Wide!$AF$16)</f>
        <v>852</v>
      </c>
    </row>
    <row r="99" spans="1:23" ht="13.4" customHeight="1">
      <c r="A99" s="15" t="s">
        <v>347</v>
      </c>
      <c r="B99" s="15" t="s">
        <v>177</v>
      </c>
      <c r="C99" s="15">
        <v>1</v>
      </c>
      <c r="D99" s="15" t="s">
        <v>351</v>
      </c>
      <c r="E99" s="15" t="s">
        <v>353</v>
      </c>
      <c r="F99" s="15">
        <v>2017</v>
      </c>
      <c r="G99" s="15">
        <v>3</v>
      </c>
      <c r="H99" s="15">
        <v>2020</v>
      </c>
      <c r="I99" s="15">
        <v>1</v>
      </c>
      <c r="J99" s="15">
        <v>1</v>
      </c>
      <c r="K99" s="16" t="e">
        <f>IF(#REF!="","",#REF!*$I99)</f>
        <v>#REF!</v>
      </c>
      <c r="L99" s="17" t="str">
        <f>IF(ISBLANK(Deal_Master_Wide!$BV$16),"",Deal_Master_Wide!$BV$16)</f>
        <v/>
      </c>
      <c r="M99" s="17" t="str">
        <f>IF(ISBLANK(Deal_Master_Wide!$CC$16),"",Deal_Master_Wide!$CC$16)</f>
        <v/>
      </c>
      <c r="N99" s="17" t="str">
        <f>IF(ISBLANK(Deal_Master_Wide!$CJ$16),"",Deal_Master_Wide!$CJ$16)</f>
        <v/>
      </c>
      <c r="O99" s="17" t="str">
        <f>IF(ISBLANK(Deal_Master_Wide!$CQ$16),"",Deal_Master_Wide!$CQ$16)</f>
        <v/>
      </c>
      <c r="P99" s="17" t="str">
        <f>IF(ISBLANK(Deal_Master_Wide!$CX$16),"",Deal_Master_Wide!$CX$16)</f>
        <v/>
      </c>
      <c r="Q99" s="17" t="str">
        <f>IF(ISBLANK(Deal_Master_Wide!$DE$16),"",Deal_Master_Wide!$DE$16)</f>
        <v/>
      </c>
      <c r="R99" s="18" t="str">
        <f>IF(ISBLANK(Deal_Master_Wide!$DL$16),"",Deal_Master_Wide!$DL$16)</f>
        <v/>
      </c>
      <c r="S99" s="18" t="str">
        <f>IF(ISBLANK(Deal_Master_Wide!$DS$16),"",Deal_Master_Wide!$DS$16)</f>
        <v/>
      </c>
      <c r="T99" s="18" t="str">
        <f>IF(ISBLANK(Deal_Master_Wide!$DZ$16),"",Deal_Master_Wide!$DZ$16)</f>
        <v/>
      </c>
      <c r="U99" s="17" t="str">
        <f>IF(ISBLANK(Deal_Master_Wide!$EG$16),"",Deal_Master_Wide!$EG$16)</f>
        <v/>
      </c>
      <c r="V99" s="17" t="str">
        <f>IF(ISBLANK(Deal_Master_Wide!$EN$16),"",Deal_Master_Wide!$EN$16)</f>
        <v/>
      </c>
      <c r="W99" s="17">
        <f>IF(ISBLANK(Deal_Master_Wide!$AF$16),"",Deal_Master_Wide!$AF$16)</f>
        <v>852</v>
      </c>
    </row>
    <row r="100" spans="1:23" ht="13.4" customHeight="1">
      <c r="A100" s="15" t="s">
        <v>357</v>
      </c>
      <c r="B100" s="15" t="s">
        <v>177</v>
      </c>
      <c r="C100" s="15">
        <v>1</v>
      </c>
      <c r="D100" s="15" t="s">
        <v>363</v>
      </c>
      <c r="E100" s="15" t="s">
        <v>365</v>
      </c>
      <c r="F100" s="15">
        <v>2017</v>
      </c>
      <c r="G100" s="15">
        <v>-3</v>
      </c>
      <c r="H100" s="15">
        <v>2014</v>
      </c>
      <c r="I100" s="15">
        <v>0</v>
      </c>
      <c r="J100" s="15">
        <v>0</v>
      </c>
      <c r="K100" s="16" t="e">
        <f>IF(#REF!="","",#REF!*$I100)</f>
        <v>#REF!</v>
      </c>
      <c r="L100" s="17" t="str">
        <f>IF(ISBLANK(Deal_Master_Wide!$BP$17),"",Deal_Master_Wide!$BP$17)</f>
        <v/>
      </c>
      <c r="M100" s="17" t="str">
        <f>IF(ISBLANK(Deal_Master_Wide!$BW$17),"",Deal_Master_Wide!$BW$17)</f>
        <v/>
      </c>
      <c r="N100" s="17" t="str">
        <f>IF(ISBLANK(Deal_Master_Wide!$CD$17),"",Deal_Master_Wide!$CD$17)</f>
        <v/>
      </c>
      <c r="O100" s="17" t="str">
        <f>IF(ISBLANK(Deal_Master_Wide!$CK$17),"",Deal_Master_Wide!$CK$17)</f>
        <v/>
      </c>
      <c r="P100" s="17" t="str">
        <f>IF(ISBLANK(Deal_Master_Wide!$CR$17),"",Deal_Master_Wide!$CR$17)</f>
        <v/>
      </c>
      <c r="Q100" s="17" t="str">
        <f>IF(ISBLANK(Deal_Master_Wide!$CY$17),"",Deal_Master_Wide!$CY$17)</f>
        <v/>
      </c>
      <c r="R100" s="18" t="str">
        <f>IF(ISBLANK(Deal_Master_Wide!$DF$17),"",Deal_Master_Wide!$DF$17)</f>
        <v/>
      </c>
      <c r="S100" s="18" t="str">
        <f>IF(ISBLANK(Deal_Master_Wide!$DM$17),"",Deal_Master_Wide!$DM$17)</f>
        <v/>
      </c>
      <c r="T100" s="18" t="str">
        <f>IF(ISBLANK(Deal_Master_Wide!$DT$17),"",Deal_Master_Wide!$DT$17)</f>
        <v/>
      </c>
      <c r="U100" s="17" t="str">
        <f>IF(ISBLANK(Deal_Master_Wide!$EA$17),"",Deal_Master_Wide!$EA$17)</f>
        <v/>
      </c>
      <c r="V100" s="17" t="str">
        <f>IF(ISBLANK(Deal_Master_Wide!$EH$17),"",Deal_Master_Wide!$EH$17)</f>
        <v/>
      </c>
      <c r="W100" s="17">
        <f>IF(ISBLANK(Deal_Master_Wide!$AF$17),"",Deal_Master_Wide!$AF$17)</f>
        <v>435</v>
      </c>
    </row>
    <row r="101" spans="1:23" ht="13.4" customHeight="1">
      <c r="A101" s="15" t="s">
        <v>357</v>
      </c>
      <c r="B101" s="15" t="s">
        <v>177</v>
      </c>
      <c r="C101" s="15">
        <v>1</v>
      </c>
      <c r="D101" s="15" t="s">
        <v>363</v>
      </c>
      <c r="E101" s="15" t="s">
        <v>365</v>
      </c>
      <c r="F101" s="15">
        <v>2017</v>
      </c>
      <c r="G101" s="15">
        <v>-2</v>
      </c>
      <c r="H101" s="15">
        <v>2015</v>
      </c>
      <c r="I101" s="15">
        <v>0</v>
      </c>
      <c r="J101" s="15">
        <v>0</v>
      </c>
      <c r="K101" s="16" t="e">
        <f>IF(#REF!="","",#REF!*$I101)</f>
        <v>#REF!</v>
      </c>
      <c r="L101" s="17" t="str">
        <f>IF(ISBLANK(Deal_Master_Wide!$BQ$17),"",Deal_Master_Wide!$BQ$17)</f>
        <v/>
      </c>
      <c r="M101" s="17" t="str">
        <f>IF(ISBLANK(Deal_Master_Wide!$BX$17),"",Deal_Master_Wide!$BX$17)</f>
        <v/>
      </c>
      <c r="N101" s="17" t="str">
        <f>IF(ISBLANK(Deal_Master_Wide!$CE$17),"",Deal_Master_Wide!$CE$17)</f>
        <v/>
      </c>
      <c r="O101" s="17" t="str">
        <f>IF(ISBLANK(Deal_Master_Wide!$CL$17),"",Deal_Master_Wide!$CL$17)</f>
        <v/>
      </c>
      <c r="P101" s="17" t="str">
        <f>IF(ISBLANK(Deal_Master_Wide!$CS$17),"",Deal_Master_Wide!$CS$17)</f>
        <v/>
      </c>
      <c r="Q101" s="17" t="str">
        <f>IF(ISBLANK(Deal_Master_Wide!$CZ$17),"",Deal_Master_Wide!$CZ$17)</f>
        <v/>
      </c>
      <c r="R101" s="18" t="str">
        <f>IF(ISBLANK(Deal_Master_Wide!$DG$17),"",Deal_Master_Wide!$DG$17)</f>
        <v/>
      </c>
      <c r="S101" s="18" t="str">
        <f>IF(ISBLANK(Deal_Master_Wide!$DN$17),"",Deal_Master_Wide!$DN$17)</f>
        <v/>
      </c>
      <c r="T101" s="18" t="str">
        <f>IF(ISBLANK(Deal_Master_Wide!$DU$17),"",Deal_Master_Wide!$DU$17)</f>
        <v/>
      </c>
      <c r="U101" s="17" t="str">
        <f>IF(ISBLANK(Deal_Master_Wide!$EB$17),"",Deal_Master_Wide!$EB$17)</f>
        <v/>
      </c>
      <c r="V101" s="17" t="str">
        <f>IF(ISBLANK(Deal_Master_Wide!$EI$17),"",Deal_Master_Wide!$EI$17)</f>
        <v/>
      </c>
      <c r="W101" s="17">
        <f>IF(ISBLANK(Deal_Master_Wide!$AF$17),"",Deal_Master_Wide!$AF$17)</f>
        <v>435</v>
      </c>
    </row>
    <row r="102" spans="1:23" ht="13.4" customHeight="1">
      <c r="A102" s="15" t="s">
        <v>357</v>
      </c>
      <c r="B102" s="15" t="s">
        <v>177</v>
      </c>
      <c r="C102" s="15">
        <v>1</v>
      </c>
      <c r="D102" s="15" t="s">
        <v>363</v>
      </c>
      <c r="E102" s="15" t="s">
        <v>365</v>
      </c>
      <c r="F102" s="15">
        <v>2017</v>
      </c>
      <c r="G102" s="15">
        <v>-1</v>
      </c>
      <c r="H102" s="15">
        <v>2016</v>
      </c>
      <c r="I102" s="15">
        <v>0</v>
      </c>
      <c r="J102" s="15">
        <v>0</v>
      </c>
      <c r="K102" s="16" t="e">
        <f>IF(#REF!="","",#REF!*$I102)</f>
        <v>#REF!</v>
      </c>
      <c r="L102" s="17" t="str">
        <f>IF(ISBLANK(Deal_Master_Wide!$BR$17),"",Deal_Master_Wide!$BR$17)</f>
        <v/>
      </c>
      <c r="M102" s="17" t="str">
        <f>IF(ISBLANK(Deal_Master_Wide!$BY$17),"",Deal_Master_Wide!$BY$17)</f>
        <v/>
      </c>
      <c r="N102" s="17" t="str">
        <f>IF(ISBLANK(Deal_Master_Wide!$CF$17),"",Deal_Master_Wide!$CF$17)</f>
        <v/>
      </c>
      <c r="O102" s="17" t="str">
        <f>IF(ISBLANK(Deal_Master_Wide!$CM$17),"",Deal_Master_Wide!$CM$17)</f>
        <v/>
      </c>
      <c r="P102" s="17" t="str">
        <f>IF(ISBLANK(Deal_Master_Wide!$CT$17),"",Deal_Master_Wide!$CT$17)</f>
        <v/>
      </c>
      <c r="Q102" s="17" t="str">
        <f>IF(ISBLANK(Deal_Master_Wide!$DA$17),"",Deal_Master_Wide!$DA$17)</f>
        <v/>
      </c>
      <c r="R102" s="18" t="str">
        <f>IF(ISBLANK(Deal_Master_Wide!$DH$17),"",Deal_Master_Wide!$DH$17)</f>
        <v/>
      </c>
      <c r="S102" s="18" t="str">
        <f>IF(ISBLANK(Deal_Master_Wide!$DO$17),"",Deal_Master_Wide!$DO$17)</f>
        <v/>
      </c>
      <c r="T102" s="18" t="str">
        <f>IF(ISBLANK(Deal_Master_Wide!$DV$17),"",Deal_Master_Wide!$DV$17)</f>
        <v/>
      </c>
      <c r="U102" s="17" t="str">
        <f>IF(ISBLANK(Deal_Master_Wide!$EC$17),"",Deal_Master_Wide!$EC$17)</f>
        <v/>
      </c>
      <c r="V102" s="17" t="str">
        <f>IF(ISBLANK(Deal_Master_Wide!$EJ$17),"",Deal_Master_Wide!$EJ$17)</f>
        <v/>
      </c>
      <c r="W102" s="17">
        <f>IF(ISBLANK(Deal_Master_Wide!$AF$17),"",Deal_Master_Wide!$AF$17)</f>
        <v>435</v>
      </c>
    </row>
    <row r="103" spans="1:23" ht="13.4" customHeight="1">
      <c r="A103" s="15" t="s">
        <v>357</v>
      </c>
      <c r="B103" s="15" t="s">
        <v>177</v>
      </c>
      <c r="C103" s="15">
        <v>1</v>
      </c>
      <c r="D103" s="15" t="s">
        <v>363</v>
      </c>
      <c r="E103" s="15" t="s">
        <v>365</v>
      </c>
      <c r="F103" s="15">
        <v>2017</v>
      </c>
      <c r="G103" s="15">
        <v>0</v>
      </c>
      <c r="H103" s="15">
        <v>2017</v>
      </c>
      <c r="I103" s="15">
        <v>0</v>
      </c>
      <c r="J103" s="15">
        <v>1</v>
      </c>
      <c r="K103" s="16" t="e">
        <f>IF(#REF!="","",#REF!*$I103)</f>
        <v>#REF!</v>
      </c>
      <c r="L103" s="17" t="str">
        <f>IF(ISBLANK(Deal_Master_Wide!$BS$17),"",Deal_Master_Wide!$BS$17)</f>
        <v/>
      </c>
      <c r="M103" s="17" t="str">
        <f>IF(ISBLANK(Deal_Master_Wide!$BZ$17),"",Deal_Master_Wide!$BZ$17)</f>
        <v/>
      </c>
      <c r="N103" s="17" t="str">
        <f>IF(ISBLANK(Deal_Master_Wide!$CG$17),"",Deal_Master_Wide!$CG$17)</f>
        <v/>
      </c>
      <c r="O103" s="17" t="str">
        <f>IF(ISBLANK(Deal_Master_Wide!$CN$17),"",Deal_Master_Wide!$CN$17)</f>
        <v/>
      </c>
      <c r="P103" s="17" t="str">
        <f>IF(ISBLANK(Deal_Master_Wide!$CU$17),"",Deal_Master_Wide!$CU$17)</f>
        <v/>
      </c>
      <c r="Q103" s="17" t="str">
        <f>IF(ISBLANK(Deal_Master_Wide!$DB$17),"",Deal_Master_Wide!$DB$17)</f>
        <v/>
      </c>
      <c r="R103" s="18" t="str">
        <f>IF(ISBLANK(Deal_Master_Wide!$DI$17),"",Deal_Master_Wide!$DI$17)</f>
        <v/>
      </c>
      <c r="S103" s="18" t="str">
        <f>IF(ISBLANK(Deal_Master_Wide!$DP$17),"",Deal_Master_Wide!$DP$17)</f>
        <v/>
      </c>
      <c r="T103" s="18" t="str">
        <f>IF(ISBLANK(Deal_Master_Wide!$DW$17),"",Deal_Master_Wide!$DW$17)</f>
        <v/>
      </c>
      <c r="U103" s="17" t="str">
        <f>IF(ISBLANK(Deal_Master_Wide!$ED$17),"",Deal_Master_Wide!$ED$17)</f>
        <v/>
      </c>
      <c r="V103" s="17" t="str">
        <f>IF(ISBLANK(Deal_Master_Wide!$EK$17),"",Deal_Master_Wide!$EK$17)</f>
        <v/>
      </c>
      <c r="W103" s="17">
        <f>IF(ISBLANK(Deal_Master_Wide!$AF$17),"",Deal_Master_Wide!$AF$17)</f>
        <v>435</v>
      </c>
    </row>
    <row r="104" spans="1:23" ht="13.4" customHeight="1">
      <c r="A104" s="15" t="s">
        <v>357</v>
      </c>
      <c r="B104" s="15" t="s">
        <v>177</v>
      </c>
      <c r="C104" s="15">
        <v>1</v>
      </c>
      <c r="D104" s="15" t="s">
        <v>363</v>
      </c>
      <c r="E104" s="15" t="s">
        <v>365</v>
      </c>
      <c r="F104" s="15">
        <v>2017</v>
      </c>
      <c r="G104" s="15">
        <v>1</v>
      </c>
      <c r="H104" s="15">
        <v>2018</v>
      </c>
      <c r="I104" s="15">
        <v>1</v>
      </c>
      <c r="J104" s="15">
        <v>1</v>
      </c>
      <c r="K104" s="16" t="e">
        <f>IF(#REF!="","",#REF!*$I104)</f>
        <v>#REF!</v>
      </c>
      <c r="L104" s="17" t="str">
        <f>IF(ISBLANK(Deal_Master_Wide!$BT$17),"",Deal_Master_Wide!$BT$17)</f>
        <v/>
      </c>
      <c r="M104" s="17" t="str">
        <f>IF(ISBLANK(Deal_Master_Wide!$CA$17),"",Deal_Master_Wide!$CA$17)</f>
        <v/>
      </c>
      <c r="N104" s="17" t="str">
        <f>IF(ISBLANK(Deal_Master_Wide!$CH$17),"",Deal_Master_Wide!$CH$17)</f>
        <v/>
      </c>
      <c r="O104" s="17" t="str">
        <f>IF(ISBLANK(Deal_Master_Wide!$CO$17),"",Deal_Master_Wide!$CO$17)</f>
        <v/>
      </c>
      <c r="P104" s="17" t="str">
        <f>IF(ISBLANK(Deal_Master_Wide!$CV$17),"",Deal_Master_Wide!$CV$17)</f>
        <v/>
      </c>
      <c r="Q104" s="17" t="str">
        <f>IF(ISBLANK(Deal_Master_Wide!$DC$17),"",Deal_Master_Wide!$DC$17)</f>
        <v/>
      </c>
      <c r="R104" s="18" t="str">
        <f>IF(ISBLANK(Deal_Master_Wide!$DJ$17),"",Deal_Master_Wide!$DJ$17)</f>
        <v/>
      </c>
      <c r="S104" s="18" t="str">
        <f>IF(ISBLANK(Deal_Master_Wide!$DQ$17),"",Deal_Master_Wide!$DQ$17)</f>
        <v/>
      </c>
      <c r="T104" s="18" t="str">
        <f>IF(ISBLANK(Deal_Master_Wide!$DX$17),"",Deal_Master_Wide!$DX$17)</f>
        <v/>
      </c>
      <c r="U104" s="17" t="str">
        <f>IF(ISBLANK(Deal_Master_Wide!$EE$17),"",Deal_Master_Wide!$EE$17)</f>
        <v/>
      </c>
      <c r="V104" s="17" t="str">
        <f>IF(ISBLANK(Deal_Master_Wide!$EL$17),"",Deal_Master_Wide!$EL$17)</f>
        <v/>
      </c>
      <c r="W104" s="17">
        <f>IF(ISBLANK(Deal_Master_Wide!$AF$17),"",Deal_Master_Wide!$AF$17)</f>
        <v>435</v>
      </c>
    </row>
    <row r="105" spans="1:23" ht="13.4" customHeight="1">
      <c r="A105" s="15" t="s">
        <v>357</v>
      </c>
      <c r="B105" s="15" t="s">
        <v>177</v>
      </c>
      <c r="C105" s="15">
        <v>1</v>
      </c>
      <c r="D105" s="15" t="s">
        <v>363</v>
      </c>
      <c r="E105" s="15" t="s">
        <v>365</v>
      </c>
      <c r="F105" s="15">
        <v>2017</v>
      </c>
      <c r="G105" s="15">
        <v>2</v>
      </c>
      <c r="H105" s="15">
        <v>2019</v>
      </c>
      <c r="I105" s="15">
        <v>1</v>
      </c>
      <c r="J105" s="15">
        <v>1</v>
      </c>
      <c r="K105" s="16" t="e">
        <f>IF(#REF!="","",#REF!*$I105)</f>
        <v>#REF!</v>
      </c>
      <c r="L105" s="17" t="str">
        <f>IF(ISBLANK(Deal_Master_Wide!$BU$17),"",Deal_Master_Wide!$BU$17)</f>
        <v/>
      </c>
      <c r="M105" s="17" t="str">
        <f>IF(ISBLANK(Deal_Master_Wide!$CB$17),"",Deal_Master_Wide!$CB$17)</f>
        <v/>
      </c>
      <c r="N105" s="17" t="str">
        <f>IF(ISBLANK(Deal_Master_Wide!$CI$17),"",Deal_Master_Wide!$CI$17)</f>
        <v/>
      </c>
      <c r="O105" s="17" t="str">
        <f>IF(ISBLANK(Deal_Master_Wide!$CP$17),"",Deal_Master_Wide!$CP$17)</f>
        <v/>
      </c>
      <c r="P105" s="17" t="str">
        <f>IF(ISBLANK(Deal_Master_Wide!$CW$17),"",Deal_Master_Wide!$CW$17)</f>
        <v/>
      </c>
      <c r="Q105" s="17" t="str">
        <f>IF(ISBLANK(Deal_Master_Wide!$DD$17),"",Deal_Master_Wide!$DD$17)</f>
        <v/>
      </c>
      <c r="R105" s="18" t="str">
        <f>IF(ISBLANK(Deal_Master_Wide!$DK$17),"",Deal_Master_Wide!$DK$17)</f>
        <v/>
      </c>
      <c r="S105" s="18" t="str">
        <f>IF(ISBLANK(Deal_Master_Wide!$DR$17),"",Deal_Master_Wide!$DR$17)</f>
        <v/>
      </c>
      <c r="T105" s="18" t="str">
        <f>IF(ISBLANK(Deal_Master_Wide!$DY$17),"",Deal_Master_Wide!$DY$17)</f>
        <v/>
      </c>
      <c r="U105" s="17" t="str">
        <f>IF(ISBLANK(Deal_Master_Wide!$EF$17),"",Deal_Master_Wide!$EF$17)</f>
        <v/>
      </c>
      <c r="V105" s="17" t="str">
        <f>IF(ISBLANK(Deal_Master_Wide!$EM$17),"",Deal_Master_Wide!$EM$17)</f>
        <v/>
      </c>
      <c r="W105" s="17">
        <f>IF(ISBLANK(Deal_Master_Wide!$AF$17),"",Deal_Master_Wide!$AF$17)</f>
        <v>435</v>
      </c>
    </row>
    <row r="106" spans="1:23" ht="13.4" customHeight="1">
      <c r="A106" s="15" t="s">
        <v>357</v>
      </c>
      <c r="B106" s="15" t="s">
        <v>177</v>
      </c>
      <c r="C106" s="15">
        <v>1</v>
      </c>
      <c r="D106" s="15" t="s">
        <v>363</v>
      </c>
      <c r="E106" s="15" t="s">
        <v>365</v>
      </c>
      <c r="F106" s="15">
        <v>2017</v>
      </c>
      <c r="G106" s="15">
        <v>3</v>
      </c>
      <c r="H106" s="15">
        <v>2020</v>
      </c>
      <c r="I106" s="15">
        <v>1</v>
      </c>
      <c r="J106" s="15">
        <v>1</v>
      </c>
      <c r="K106" s="16" t="e">
        <f>IF(#REF!="","",#REF!*$I106)</f>
        <v>#REF!</v>
      </c>
      <c r="L106" s="17" t="str">
        <f>IF(ISBLANK(Deal_Master_Wide!$BV$17),"",Deal_Master_Wide!$BV$17)</f>
        <v/>
      </c>
      <c r="M106" s="17" t="str">
        <f>IF(ISBLANK(Deal_Master_Wide!$CC$17),"",Deal_Master_Wide!$CC$17)</f>
        <v/>
      </c>
      <c r="N106" s="17" t="str">
        <f>IF(ISBLANK(Deal_Master_Wide!$CJ$17),"",Deal_Master_Wide!$CJ$17)</f>
        <v/>
      </c>
      <c r="O106" s="17" t="str">
        <f>IF(ISBLANK(Deal_Master_Wide!$CQ$17),"",Deal_Master_Wide!$CQ$17)</f>
        <v/>
      </c>
      <c r="P106" s="17" t="str">
        <f>IF(ISBLANK(Deal_Master_Wide!$CX$17),"",Deal_Master_Wide!$CX$17)</f>
        <v/>
      </c>
      <c r="Q106" s="17" t="str">
        <f>IF(ISBLANK(Deal_Master_Wide!$DE$17),"",Deal_Master_Wide!$DE$17)</f>
        <v/>
      </c>
      <c r="R106" s="18" t="str">
        <f>IF(ISBLANK(Deal_Master_Wide!$DL$17),"",Deal_Master_Wide!$DL$17)</f>
        <v/>
      </c>
      <c r="S106" s="18" t="str">
        <f>IF(ISBLANK(Deal_Master_Wide!$DS$17),"",Deal_Master_Wide!$DS$17)</f>
        <v/>
      </c>
      <c r="T106" s="18" t="str">
        <f>IF(ISBLANK(Deal_Master_Wide!$DZ$17),"",Deal_Master_Wide!$DZ$17)</f>
        <v/>
      </c>
      <c r="U106" s="17" t="str">
        <f>IF(ISBLANK(Deal_Master_Wide!$EG$17),"",Deal_Master_Wide!$EG$17)</f>
        <v/>
      </c>
      <c r="V106" s="17" t="str">
        <f>IF(ISBLANK(Deal_Master_Wide!$EN$17),"",Deal_Master_Wide!$EN$17)</f>
        <v/>
      </c>
      <c r="W106" s="17">
        <f>IF(ISBLANK(Deal_Master_Wide!$AF$17),"",Deal_Master_Wide!$AF$17)</f>
        <v>435</v>
      </c>
    </row>
    <row r="107" spans="1:23" ht="13.4" customHeight="1">
      <c r="A107" s="15" t="s">
        <v>369</v>
      </c>
      <c r="B107" s="15" t="s">
        <v>177</v>
      </c>
      <c r="C107" s="15">
        <v>1</v>
      </c>
      <c r="D107" s="15" t="s">
        <v>373</v>
      </c>
      <c r="E107" s="15" t="s">
        <v>375</v>
      </c>
      <c r="F107" s="15">
        <v>2017</v>
      </c>
      <c r="G107" s="15">
        <v>-3</v>
      </c>
      <c r="H107" s="15">
        <v>2014</v>
      </c>
      <c r="I107" s="15">
        <v>0</v>
      </c>
      <c r="J107" s="15">
        <v>0</v>
      </c>
      <c r="K107" s="16" t="e">
        <f>IF(#REF!="","",#REF!*$I107)</f>
        <v>#REF!</v>
      </c>
      <c r="L107" s="17" t="str">
        <f>IF(ISBLANK(Deal_Master_Wide!$BP$18),"",Deal_Master_Wide!$BP$18)</f>
        <v/>
      </c>
      <c r="M107" s="17" t="str">
        <f>IF(ISBLANK(Deal_Master_Wide!$BW$18),"",Deal_Master_Wide!$BW$18)</f>
        <v/>
      </c>
      <c r="N107" s="17" t="str">
        <f>IF(ISBLANK(Deal_Master_Wide!$CD$18),"",Deal_Master_Wide!$CD$18)</f>
        <v/>
      </c>
      <c r="O107" s="17" t="str">
        <f>IF(ISBLANK(Deal_Master_Wide!$CK$18),"",Deal_Master_Wide!$CK$18)</f>
        <v/>
      </c>
      <c r="P107" s="17" t="str">
        <f>IF(ISBLANK(Deal_Master_Wide!$CR$18),"",Deal_Master_Wide!$CR$18)</f>
        <v/>
      </c>
      <c r="Q107" s="17" t="str">
        <f>IF(ISBLANK(Deal_Master_Wide!$CY$18),"",Deal_Master_Wide!$CY$18)</f>
        <v/>
      </c>
      <c r="R107" s="18" t="str">
        <f>IF(ISBLANK(Deal_Master_Wide!$DF$18),"",Deal_Master_Wide!$DF$18)</f>
        <v/>
      </c>
      <c r="S107" s="18" t="str">
        <f>IF(ISBLANK(Deal_Master_Wide!$DM$18),"",Deal_Master_Wide!$DM$18)</f>
        <v/>
      </c>
      <c r="T107" s="18" t="str">
        <f>IF(ISBLANK(Deal_Master_Wide!$DT$18),"",Deal_Master_Wide!$DT$18)</f>
        <v/>
      </c>
      <c r="U107" s="17" t="str">
        <f>IF(ISBLANK(Deal_Master_Wide!$EA$18),"",Deal_Master_Wide!$EA$18)</f>
        <v/>
      </c>
      <c r="V107" s="17" t="str">
        <f>IF(ISBLANK(Deal_Master_Wide!$EH$18),"",Deal_Master_Wide!$EH$18)</f>
        <v/>
      </c>
      <c r="W107" s="17">
        <f>IF(ISBLANK(Deal_Master_Wide!$AF$18),"",Deal_Master_Wide!$AF$18)</f>
        <v>6</v>
      </c>
    </row>
    <row r="108" spans="1:23" ht="13.4" customHeight="1">
      <c r="A108" s="15" t="s">
        <v>369</v>
      </c>
      <c r="B108" s="15" t="s">
        <v>177</v>
      </c>
      <c r="C108" s="15">
        <v>1</v>
      </c>
      <c r="D108" s="15" t="s">
        <v>373</v>
      </c>
      <c r="E108" s="15" t="s">
        <v>375</v>
      </c>
      <c r="F108" s="15">
        <v>2017</v>
      </c>
      <c r="G108" s="15">
        <v>-2</v>
      </c>
      <c r="H108" s="15">
        <v>2015</v>
      </c>
      <c r="I108" s="15">
        <v>0</v>
      </c>
      <c r="J108" s="15">
        <v>0</v>
      </c>
      <c r="K108" s="16" t="e">
        <f>IF(#REF!="","",#REF!*$I108)</f>
        <v>#REF!</v>
      </c>
      <c r="L108" s="17" t="str">
        <f>IF(ISBLANK(Deal_Master_Wide!$BQ$18),"",Deal_Master_Wide!$BQ$18)</f>
        <v/>
      </c>
      <c r="M108" s="17" t="str">
        <f>IF(ISBLANK(Deal_Master_Wide!$BX$18),"",Deal_Master_Wide!$BX$18)</f>
        <v/>
      </c>
      <c r="N108" s="17" t="str">
        <f>IF(ISBLANK(Deal_Master_Wide!$CE$18),"",Deal_Master_Wide!$CE$18)</f>
        <v/>
      </c>
      <c r="O108" s="17" t="str">
        <f>IF(ISBLANK(Deal_Master_Wide!$CL$18),"",Deal_Master_Wide!$CL$18)</f>
        <v/>
      </c>
      <c r="P108" s="17" t="str">
        <f>IF(ISBLANK(Deal_Master_Wide!$CS$18),"",Deal_Master_Wide!$CS$18)</f>
        <v/>
      </c>
      <c r="Q108" s="17" t="str">
        <f>IF(ISBLANK(Deal_Master_Wide!$CZ$18),"",Deal_Master_Wide!$CZ$18)</f>
        <v/>
      </c>
      <c r="R108" s="18" t="str">
        <f>IF(ISBLANK(Deal_Master_Wide!$DG$18),"",Deal_Master_Wide!$DG$18)</f>
        <v/>
      </c>
      <c r="S108" s="18" t="str">
        <f>IF(ISBLANK(Deal_Master_Wide!$DN$18),"",Deal_Master_Wide!$DN$18)</f>
        <v/>
      </c>
      <c r="T108" s="18" t="str">
        <f>IF(ISBLANK(Deal_Master_Wide!$DU$18),"",Deal_Master_Wide!$DU$18)</f>
        <v/>
      </c>
      <c r="U108" s="17" t="str">
        <f>IF(ISBLANK(Deal_Master_Wide!$EB$18),"",Deal_Master_Wide!$EB$18)</f>
        <v/>
      </c>
      <c r="V108" s="17" t="str">
        <f>IF(ISBLANK(Deal_Master_Wide!$EI$18),"",Deal_Master_Wide!$EI$18)</f>
        <v/>
      </c>
      <c r="W108" s="17">
        <f>IF(ISBLANK(Deal_Master_Wide!$AF$18),"",Deal_Master_Wide!$AF$18)</f>
        <v>6</v>
      </c>
    </row>
    <row r="109" spans="1:23" ht="13.4" customHeight="1">
      <c r="A109" s="15" t="s">
        <v>369</v>
      </c>
      <c r="B109" s="15" t="s">
        <v>177</v>
      </c>
      <c r="C109" s="15">
        <v>1</v>
      </c>
      <c r="D109" s="15" t="s">
        <v>373</v>
      </c>
      <c r="E109" s="15" t="s">
        <v>375</v>
      </c>
      <c r="F109" s="15">
        <v>2017</v>
      </c>
      <c r="G109" s="15">
        <v>-1</v>
      </c>
      <c r="H109" s="15">
        <v>2016</v>
      </c>
      <c r="I109" s="15">
        <v>0</v>
      </c>
      <c r="J109" s="15">
        <v>0</v>
      </c>
      <c r="K109" s="16" t="e">
        <f>IF(#REF!="","",#REF!*$I109)</f>
        <v>#REF!</v>
      </c>
      <c r="L109" s="17" t="str">
        <f>IF(ISBLANK(Deal_Master_Wide!$BR$18),"",Deal_Master_Wide!$BR$18)</f>
        <v/>
      </c>
      <c r="M109" s="17" t="str">
        <f>IF(ISBLANK(Deal_Master_Wide!$BY$18),"",Deal_Master_Wide!$BY$18)</f>
        <v/>
      </c>
      <c r="N109" s="17" t="str">
        <f>IF(ISBLANK(Deal_Master_Wide!$CF$18),"",Deal_Master_Wide!$CF$18)</f>
        <v/>
      </c>
      <c r="O109" s="17" t="str">
        <f>IF(ISBLANK(Deal_Master_Wide!$CM$18),"",Deal_Master_Wide!$CM$18)</f>
        <v/>
      </c>
      <c r="P109" s="17" t="str">
        <f>IF(ISBLANK(Deal_Master_Wide!$CT$18),"",Deal_Master_Wide!$CT$18)</f>
        <v/>
      </c>
      <c r="Q109" s="17" t="str">
        <f>IF(ISBLANK(Deal_Master_Wide!$DA$18),"",Deal_Master_Wide!$DA$18)</f>
        <v/>
      </c>
      <c r="R109" s="18" t="str">
        <f>IF(ISBLANK(Deal_Master_Wide!$DH$18),"",Deal_Master_Wide!$DH$18)</f>
        <v/>
      </c>
      <c r="S109" s="18" t="str">
        <f>IF(ISBLANK(Deal_Master_Wide!$DO$18),"",Deal_Master_Wide!$DO$18)</f>
        <v/>
      </c>
      <c r="T109" s="18" t="str">
        <f>IF(ISBLANK(Deal_Master_Wide!$DV$18),"",Deal_Master_Wide!$DV$18)</f>
        <v/>
      </c>
      <c r="U109" s="17" t="str">
        <f>IF(ISBLANK(Deal_Master_Wide!$EC$18),"",Deal_Master_Wide!$EC$18)</f>
        <v/>
      </c>
      <c r="V109" s="17" t="str">
        <f>IF(ISBLANK(Deal_Master_Wide!$EJ$18),"",Deal_Master_Wide!$EJ$18)</f>
        <v/>
      </c>
      <c r="W109" s="17">
        <f>IF(ISBLANK(Deal_Master_Wide!$AF$18),"",Deal_Master_Wide!$AF$18)</f>
        <v>6</v>
      </c>
    </row>
    <row r="110" spans="1:23" ht="13.4" customHeight="1">
      <c r="A110" s="15" t="s">
        <v>369</v>
      </c>
      <c r="B110" s="15" t="s">
        <v>177</v>
      </c>
      <c r="C110" s="15">
        <v>1</v>
      </c>
      <c r="D110" s="15" t="s">
        <v>373</v>
      </c>
      <c r="E110" s="15" t="s">
        <v>375</v>
      </c>
      <c r="F110" s="15">
        <v>2017</v>
      </c>
      <c r="G110" s="15">
        <v>0</v>
      </c>
      <c r="H110" s="15">
        <v>2017</v>
      </c>
      <c r="I110" s="15">
        <v>0</v>
      </c>
      <c r="J110" s="15">
        <v>1</v>
      </c>
      <c r="K110" s="16" t="e">
        <f>IF(#REF!="","",#REF!*$I110)</f>
        <v>#REF!</v>
      </c>
      <c r="L110" s="17" t="str">
        <f>IF(ISBLANK(Deal_Master_Wide!$BS$18),"",Deal_Master_Wide!$BS$18)</f>
        <v/>
      </c>
      <c r="M110" s="17" t="str">
        <f>IF(ISBLANK(Deal_Master_Wide!$BZ$18),"",Deal_Master_Wide!$BZ$18)</f>
        <v/>
      </c>
      <c r="N110" s="17" t="str">
        <f>IF(ISBLANK(Deal_Master_Wide!$CG$18),"",Deal_Master_Wide!$CG$18)</f>
        <v/>
      </c>
      <c r="O110" s="17" t="str">
        <f>IF(ISBLANK(Deal_Master_Wide!$CN$18),"",Deal_Master_Wide!$CN$18)</f>
        <v/>
      </c>
      <c r="P110" s="17" t="str">
        <f>IF(ISBLANK(Deal_Master_Wide!$CU$18),"",Deal_Master_Wide!$CU$18)</f>
        <v/>
      </c>
      <c r="Q110" s="17" t="str">
        <f>IF(ISBLANK(Deal_Master_Wide!$DB$18),"",Deal_Master_Wide!$DB$18)</f>
        <v/>
      </c>
      <c r="R110" s="18" t="str">
        <f>IF(ISBLANK(Deal_Master_Wide!$DI$18),"",Deal_Master_Wide!$DI$18)</f>
        <v/>
      </c>
      <c r="S110" s="18" t="str">
        <f>IF(ISBLANK(Deal_Master_Wide!$DP$18),"",Deal_Master_Wide!$DP$18)</f>
        <v/>
      </c>
      <c r="T110" s="18" t="str">
        <f>IF(ISBLANK(Deal_Master_Wide!$DW$18),"",Deal_Master_Wide!$DW$18)</f>
        <v/>
      </c>
      <c r="U110" s="17" t="str">
        <f>IF(ISBLANK(Deal_Master_Wide!$ED$18),"",Deal_Master_Wide!$ED$18)</f>
        <v/>
      </c>
      <c r="V110" s="17" t="str">
        <f>IF(ISBLANK(Deal_Master_Wide!$EK$18),"",Deal_Master_Wide!$EK$18)</f>
        <v/>
      </c>
      <c r="W110" s="17">
        <f>IF(ISBLANK(Deal_Master_Wide!$AF$18),"",Deal_Master_Wide!$AF$18)</f>
        <v>6</v>
      </c>
    </row>
    <row r="111" spans="1:23" ht="13.4" customHeight="1">
      <c r="A111" s="15" t="s">
        <v>369</v>
      </c>
      <c r="B111" s="15" t="s">
        <v>177</v>
      </c>
      <c r="C111" s="15">
        <v>1</v>
      </c>
      <c r="D111" s="15" t="s">
        <v>373</v>
      </c>
      <c r="E111" s="15" t="s">
        <v>375</v>
      </c>
      <c r="F111" s="15">
        <v>2017</v>
      </c>
      <c r="G111" s="15">
        <v>1</v>
      </c>
      <c r="H111" s="15">
        <v>2018</v>
      </c>
      <c r="I111" s="15">
        <v>1</v>
      </c>
      <c r="J111" s="15">
        <v>1</v>
      </c>
      <c r="K111" s="16" t="e">
        <f>IF(#REF!="","",#REF!*$I111)</f>
        <v>#REF!</v>
      </c>
      <c r="L111" s="17" t="str">
        <f>IF(ISBLANK(Deal_Master_Wide!$BT$18),"",Deal_Master_Wide!$BT$18)</f>
        <v/>
      </c>
      <c r="M111" s="17" t="str">
        <f>IF(ISBLANK(Deal_Master_Wide!$CA$18),"",Deal_Master_Wide!$CA$18)</f>
        <v/>
      </c>
      <c r="N111" s="17" t="str">
        <f>IF(ISBLANK(Deal_Master_Wide!$CH$18),"",Deal_Master_Wide!$CH$18)</f>
        <v/>
      </c>
      <c r="O111" s="17" t="str">
        <f>IF(ISBLANK(Deal_Master_Wide!$CO$18),"",Deal_Master_Wide!$CO$18)</f>
        <v/>
      </c>
      <c r="P111" s="17" t="str">
        <f>IF(ISBLANK(Deal_Master_Wide!$CV$18),"",Deal_Master_Wide!$CV$18)</f>
        <v/>
      </c>
      <c r="Q111" s="17" t="str">
        <f>IF(ISBLANK(Deal_Master_Wide!$DC$18),"",Deal_Master_Wide!$DC$18)</f>
        <v/>
      </c>
      <c r="R111" s="18" t="str">
        <f>IF(ISBLANK(Deal_Master_Wide!$DJ$18),"",Deal_Master_Wide!$DJ$18)</f>
        <v/>
      </c>
      <c r="S111" s="18" t="str">
        <f>IF(ISBLANK(Deal_Master_Wide!$DQ$18),"",Deal_Master_Wide!$DQ$18)</f>
        <v/>
      </c>
      <c r="T111" s="18" t="str">
        <f>IF(ISBLANK(Deal_Master_Wide!$DX$18),"",Deal_Master_Wide!$DX$18)</f>
        <v/>
      </c>
      <c r="U111" s="17" t="str">
        <f>IF(ISBLANK(Deal_Master_Wide!$EE$18),"",Deal_Master_Wide!$EE$18)</f>
        <v/>
      </c>
      <c r="V111" s="17" t="str">
        <f>IF(ISBLANK(Deal_Master_Wide!$EL$18),"",Deal_Master_Wide!$EL$18)</f>
        <v/>
      </c>
      <c r="W111" s="17">
        <f>IF(ISBLANK(Deal_Master_Wide!$AF$18),"",Deal_Master_Wide!$AF$18)</f>
        <v>6</v>
      </c>
    </row>
    <row r="112" spans="1:23" ht="13.4" customHeight="1">
      <c r="A112" s="15" t="s">
        <v>369</v>
      </c>
      <c r="B112" s="15" t="s">
        <v>177</v>
      </c>
      <c r="C112" s="15">
        <v>1</v>
      </c>
      <c r="D112" s="15" t="s">
        <v>373</v>
      </c>
      <c r="E112" s="15" t="s">
        <v>375</v>
      </c>
      <c r="F112" s="15">
        <v>2017</v>
      </c>
      <c r="G112" s="15">
        <v>2</v>
      </c>
      <c r="H112" s="15">
        <v>2019</v>
      </c>
      <c r="I112" s="15">
        <v>1</v>
      </c>
      <c r="J112" s="15">
        <v>1</v>
      </c>
      <c r="K112" s="16" t="e">
        <f>IF(#REF!="","",#REF!*$I112)</f>
        <v>#REF!</v>
      </c>
      <c r="L112" s="17" t="str">
        <f>IF(ISBLANK(Deal_Master_Wide!$BU$18),"",Deal_Master_Wide!$BU$18)</f>
        <v/>
      </c>
      <c r="M112" s="17" t="str">
        <f>IF(ISBLANK(Deal_Master_Wide!$CB$18),"",Deal_Master_Wide!$CB$18)</f>
        <v/>
      </c>
      <c r="N112" s="17" t="str">
        <f>IF(ISBLANK(Deal_Master_Wide!$CI$18),"",Deal_Master_Wide!$CI$18)</f>
        <v/>
      </c>
      <c r="O112" s="17" t="str">
        <f>IF(ISBLANK(Deal_Master_Wide!$CP$18),"",Deal_Master_Wide!$CP$18)</f>
        <v/>
      </c>
      <c r="P112" s="17" t="str">
        <f>IF(ISBLANK(Deal_Master_Wide!$CW$18),"",Deal_Master_Wide!$CW$18)</f>
        <v/>
      </c>
      <c r="Q112" s="17" t="str">
        <f>IF(ISBLANK(Deal_Master_Wide!$DD$18),"",Deal_Master_Wide!$DD$18)</f>
        <v/>
      </c>
      <c r="R112" s="18" t="str">
        <f>IF(ISBLANK(Deal_Master_Wide!$DK$18),"",Deal_Master_Wide!$DK$18)</f>
        <v/>
      </c>
      <c r="S112" s="18" t="str">
        <f>IF(ISBLANK(Deal_Master_Wide!$DR$18),"",Deal_Master_Wide!$DR$18)</f>
        <v/>
      </c>
      <c r="T112" s="18" t="str">
        <f>IF(ISBLANK(Deal_Master_Wide!$DY$18),"",Deal_Master_Wide!$DY$18)</f>
        <v/>
      </c>
      <c r="U112" s="17" t="str">
        <f>IF(ISBLANK(Deal_Master_Wide!$EF$18),"",Deal_Master_Wide!$EF$18)</f>
        <v/>
      </c>
      <c r="V112" s="17" t="str">
        <f>IF(ISBLANK(Deal_Master_Wide!$EM$18),"",Deal_Master_Wide!$EM$18)</f>
        <v/>
      </c>
      <c r="W112" s="17">
        <f>IF(ISBLANK(Deal_Master_Wide!$AF$18),"",Deal_Master_Wide!$AF$18)</f>
        <v>6</v>
      </c>
    </row>
    <row r="113" spans="1:23" ht="13.4" customHeight="1">
      <c r="A113" s="15" t="s">
        <v>369</v>
      </c>
      <c r="B113" s="15" t="s">
        <v>177</v>
      </c>
      <c r="C113" s="15">
        <v>1</v>
      </c>
      <c r="D113" s="15" t="s">
        <v>373</v>
      </c>
      <c r="E113" s="15" t="s">
        <v>375</v>
      </c>
      <c r="F113" s="15">
        <v>2017</v>
      </c>
      <c r="G113" s="15">
        <v>3</v>
      </c>
      <c r="H113" s="15">
        <v>2020</v>
      </c>
      <c r="I113" s="15">
        <v>1</v>
      </c>
      <c r="J113" s="15">
        <v>1</v>
      </c>
      <c r="K113" s="16" t="e">
        <f>IF(#REF!="","",#REF!*$I113)</f>
        <v>#REF!</v>
      </c>
      <c r="L113" s="17" t="str">
        <f>IF(ISBLANK(Deal_Master_Wide!$BV$18),"",Deal_Master_Wide!$BV$18)</f>
        <v/>
      </c>
      <c r="M113" s="17" t="str">
        <f>IF(ISBLANK(Deal_Master_Wide!$CC$18),"",Deal_Master_Wide!$CC$18)</f>
        <v/>
      </c>
      <c r="N113" s="17" t="str">
        <f>IF(ISBLANK(Deal_Master_Wide!$CJ$18),"",Deal_Master_Wide!$CJ$18)</f>
        <v/>
      </c>
      <c r="O113" s="17" t="str">
        <f>IF(ISBLANK(Deal_Master_Wide!$CQ$18),"",Deal_Master_Wide!$CQ$18)</f>
        <v/>
      </c>
      <c r="P113" s="17" t="str">
        <f>IF(ISBLANK(Deal_Master_Wide!$CX$18),"",Deal_Master_Wide!$CX$18)</f>
        <v/>
      </c>
      <c r="Q113" s="17" t="str">
        <f>IF(ISBLANK(Deal_Master_Wide!$DE$18),"",Deal_Master_Wide!$DE$18)</f>
        <v/>
      </c>
      <c r="R113" s="18" t="str">
        <f>IF(ISBLANK(Deal_Master_Wide!$DL$18),"",Deal_Master_Wide!$DL$18)</f>
        <v/>
      </c>
      <c r="S113" s="18" t="str">
        <f>IF(ISBLANK(Deal_Master_Wide!$DS$18),"",Deal_Master_Wide!$DS$18)</f>
        <v/>
      </c>
      <c r="T113" s="18" t="str">
        <f>IF(ISBLANK(Deal_Master_Wide!$DZ$18),"",Deal_Master_Wide!$DZ$18)</f>
        <v/>
      </c>
      <c r="U113" s="17" t="str">
        <f>IF(ISBLANK(Deal_Master_Wide!$EG$18),"",Deal_Master_Wide!$EG$18)</f>
        <v/>
      </c>
      <c r="V113" s="17" t="str">
        <f>IF(ISBLANK(Deal_Master_Wide!$EN$18),"",Deal_Master_Wide!$EN$18)</f>
        <v/>
      </c>
      <c r="W113" s="17">
        <f>IF(ISBLANK(Deal_Master_Wide!$AF$18),"",Deal_Master_Wide!$AF$18)</f>
        <v>6</v>
      </c>
    </row>
    <row r="114" spans="1:23" ht="13.4" customHeight="1">
      <c r="A114" s="15" t="s">
        <v>379</v>
      </c>
      <c r="B114" s="15" t="s">
        <v>177</v>
      </c>
      <c r="C114" s="15">
        <v>1</v>
      </c>
      <c r="D114" s="15" t="s">
        <v>385</v>
      </c>
      <c r="E114" s="15" t="s">
        <v>387</v>
      </c>
      <c r="F114" s="15">
        <v>2017</v>
      </c>
      <c r="G114" s="15">
        <v>-3</v>
      </c>
      <c r="H114" s="15">
        <v>2014</v>
      </c>
      <c r="I114" s="15">
        <v>0</v>
      </c>
      <c r="J114" s="15">
        <v>0</v>
      </c>
      <c r="K114" s="16" t="e">
        <f>IF(#REF!="","",#REF!*$I114)</f>
        <v>#REF!</v>
      </c>
      <c r="L114" s="17" t="str">
        <f>IF(ISBLANK(Deal_Master_Wide!$BP$19),"",Deal_Master_Wide!$BP$19)</f>
        <v/>
      </c>
      <c r="M114" s="17" t="str">
        <f>IF(ISBLANK(Deal_Master_Wide!$BW$19),"",Deal_Master_Wide!$BW$19)</f>
        <v/>
      </c>
      <c r="N114" s="17" t="str">
        <f>IF(ISBLANK(Deal_Master_Wide!$CD$19),"",Deal_Master_Wide!$CD$19)</f>
        <v/>
      </c>
      <c r="O114" s="17" t="str">
        <f>IF(ISBLANK(Deal_Master_Wide!$CK$19),"",Deal_Master_Wide!$CK$19)</f>
        <v/>
      </c>
      <c r="P114" s="17" t="str">
        <f>IF(ISBLANK(Deal_Master_Wide!$CR$19),"",Deal_Master_Wide!$CR$19)</f>
        <v/>
      </c>
      <c r="Q114" s="17" t="str">
        <f>IF(ISBLANK(Deal_Master_Wide!$CY$19),"",Deal_Master_Wide!$CY$19)</f>
        <v/>
      </c>
      <c r="R114" s="18" t="str">
        <f>IF(ISBLANK(Deal_Master_Wide!$DF$19),"",Deal_Master_Wide!$DF$19)</f>
        <v/>
      </c>
      <c r="S114" s="18" t="str">
        <f>IF(ISBLANK(Deal_Master_Wide!$DM$19),"",Deal_Master_Wide!$DM$19)</f>
        <v/>
      </c>
      <c r="T114" s="18" t="str">
        <f>IF(ISBLANK(Deal_Master_Wide!$DT$19),"",Deal_Master_Wide!$DT$19)</f>
        <v/>
      </c>
      <c r="U114" s="17" t="str">
        <f>IF(ISBLANK(Deal_Master_Wide!$EA$19),"",Deal_Master_Wide!$EA$19)</f>
        <v/>
      </c>
      <c r="V114" s="17" t="str">
        <f>IF(ISBLANK(Deal_Master_Wide!$EH$19),"",Deal_Master_Wide!$EH$19)</f>
        <v/>
      </c>
      <c r="W114" s="17" t="str">
        <f>IF(ISBLANK(Deal_Master_Wide!$AF$19),"",Deal_Master_Wide!$AF$19)</f>
        <v/>
      </c>
    </row>
    <row r="115" spans="1:23" ht="13.4" customHeight="1">
      <c r="A115" s="15" t="s">
        <v>379</v>
      </c>
      <c r="B115" s="15" t="s">
        <v>177</v>
      </c>
      <c r="C115" s="15">
        <v>1</v>
      </c>
      <c r="D115" s="15" t="s">
        <v>385</v>
      </c>
      <c r="E115" s="15" t="s">
        <v>387</v>
      </c>
      <c r="F115" s="15">
        <v>2017</v>
      </c>
      <c r="G115" s="15">
        <v>-2</v>
      </c>
      <c r="H115" s="15">
        <v>2015</v>
      </c>
      <c r="I115" s="15">
        <v>0</v>
      </c>
      <c r="J115" s="15">
        <v>0</v>
      </c>
      <c r="K115" s="16" t="e">
        <f>IF(#REF!="","",#REF!*$I115)</f>
        <v>#REF!</v>
      </c>
      <c r="L115" s="17" t="str">
        <f>IF(ISBLANK(Deal_Master_Wide!$BQ$19),"",Deal_Master_Wide!$BQ$19)</f>
        <v/>
      </c>
      <c r="M115" s="17" t="str">
        <f>IF(ISBLANK(Deal_Master_Wide!$BX$19),"",Deal_Master_Wide!$BX$19)</f>
        <v/>
      </c>
      <c r="N115" s="17" t="str">
        <f>IF(ISBLANK(Deal_Master_Wide!$CE$19),"",Deal_Master_Wide!$CE$19)</f>
        <v/>
      </c>
      <c r="O115" s="17" t="str">
        <f>IF(ISBLANK(Deal_Master_Wide!$CL$19),"",Deal_Master_Wide!$CL$19)</f>
        <v/>
      </c>
      <c r="P115" s="17" t="str">
        <f>IF(ISBLANK(Deal_Master_Wide!$CS$19),"",Deal_Master_Wide!$CS$19)</f>
        <v/>
      </c>
      <c r="Q115" s="17" t="str">
        <f>IF(ISBLANK(Deal_Master_Wide!$CZ$19),"",Deal_Master_Wide!$CZ$19)</f>
        <v/>
      </c>
      <c r="R115" s="18" t="str">
        <f>IF(ISBLANK(Deal_Master_Wide!$DG$19),"",Deal_Master_Wide!$DG$19)</f>
        <v/>
      </c>
      <c r="S115" s="18" t="str">
        <f>IF(ISBLANK(Deal_Master_Wide!$DN$19),"",Deal_Master_Wide!$DN$19)</f>
        <v/>
      </c>
      <c r="T115" s="18" t="str">
        <f>IF(ISBLANK(Deal_Master_Wide!$DU$19),"",Deal_Master_Wide!$DU$19)</f>
        <v/>
      </c>
      <c r="U115" s="17" t="str">
        <f>IF(ISBLANK(Deal_Master_Wide!$EB$19),"",Deal_Master_Wide!$EB$19)</f>
        <v/>
      </c>
      <c r="V115" s="17" t="str">
        <f>IF(ISBLANK(Deal_Master_Wide!$EI$19),"",Deal_Master_Wide!$EI$19)</f>
        <v/>
      </c>
      <c r="W115" s="17" t="str">
        <f>IF(ISBLANK(Deal_Master_Wide!$AF$19),"",Deal_Master_Wide!$AF$19)</f>
        <v/>
      </c>
    </row>
    <row r="116" spans="1:23" ht="13.4" customHeight="1">
      <c r="A116" s="15" t="s">
        <v>379</v>
      </c>
      <c r="B116" s="15" t="s">
        <v>177</v>
      </c>
      <c r="C116" s="15">
        <v>1</v>
      </c>
      <c r="D116" s="15" t="s">
        <v>385</v>
      </c>
      <c r="E116" s="15" t="s">
        <v>387</v>
      </c>
      <c r="F116" s="15">
        <v>2017</v>
      </c>
      <c r="G116" s="15">
        <v>-1</v>
      </c>
      <c r="H116" s="15">
        <v>2016</v>
      </c>
      <c r="I116" s="15">
        <v>0</v>
      </c>
      <c r="J116" s="15">
        <v>0</v>
      </c>
      <c r="K116" s="16" t="e">
        <f>IF(#REF!="","",#REF!*$I116)</f>
        <v>#REF!</v>
      </c>
      <c r="L116" s="17" t="str">
        <f>IF(ISBLANK(Deal_Master_Wide!$BR$19),"",Deal_Master_Wide!$BR$19)</f>
        <v/>
      </c>
      <c r="M116" s="17" t="str">
        <f>IF(ISBLANK(Deal_Master_Wide!$BY$19),"",Deal_Master_Wide!$BY$19)</f>
        <v/>
      </c>
      <c r="N116" s="17" t="str">
        <f>IF(ISBLANK(Deal_Master_Wide!$CF$19),"",Deal_Master_Wide!$CF$19)</f>
        <v/>
      </c>
      <c r="O116" s="17" t="str">
        <f>IF(ISBLANK(Deal_Master_Wide!$CM$19),"",Deal_Master_Wide!$CM$19)</f>
        <v/>
      </c>
      <c r="P116" s="17" t="str">
        <f>IF(ISBLANK(Deal_Master_Wide!$CT$19),"",Deal_Master_Wide!$CT$19)</f>
        <v/>
      </c>
      <c r="Q116" s="17" t="str">
        <f>IF(ISBLANK(Deal_Master_Wide!$DA$19),"",Deal_Master_Wide!$DA$19)</f>
        <v/>
      </c>
      <c r="R116" s="18" t="str">
        <f>IF(ISBLANK(Deal_Master_Wide!$DH$19),"",Deal_Master_Wide!$DH$19)</f>
        <v/>
      </c>
      <c r="S116" s="18" t="str">
        <f>IF(ISBLANK(Deal_Master_Wide!$DO$19),"",Deal_Master_Wide!$DO$19)</f>
        <v/>
      </c>
      <c r="T116" s="18" t="str">
        <f>IF(ISBLANK(Deal_Master_Wide!$DV$19),"",Deal_Master_Wide!$DV$19)</f>
        <v/>
      </c>
      <c r="U116" s="17" t="str">
        <f>IF(ISBLANK(Deal_Master_Wide!$EC$19),"",Deal_Master_Wide!$EC$19)</f>
        <v/>
      </c>
      <c r="V116" s="17" t="str">
        <f>IF(ISBLANK(Deal_Master_Wide!$EJ$19),"",Deal_Master_Wide!$EJ$19)</f>
        <v/>
      </c>
      <c r="W116" s="17" t="str">
        <f>IF(ISBLANK(Deal_Master_Wide!$AF$19),"",Deal_Master_Wide!$AF$19)</f>
        <v/>
      </c>
    </row>
    <row r="117" spans="1:23" ht="13.4" customHeight="1">
      <c r="A117" s="15" t="s">
        <v>379</v>
      </c>
      <c r="B117" s="15" t="s">
        <v>177</v>
      </c>
      <c r="C117" s="15">
        <v>1</v>
      </c>
      <c r="D117" s="15" t="s">
        <v>385</v>
      </c>
      <c r="E117" s="15" t="s">
        <v>387</v>
      </c>
      <c r="F117" s="15">
        <v>2017</v>
      </c>
      <c r="G117" s="15">
        <v>0</v>
      </c>
      <c r="H117" s="15">
        <v>2017</v>
      </c>
      <c r="I117" s="15">
        <v>0</v>
      </c>
      <c r="J117" s="15">
        <v>1</v>
      </c>
      <c r="K117" s="16" t="e">
        <f>IF(#REF!="","",#REF!*$I117)</f>
        <v>#REF!</v>
      </c>
      <c r="L117" s="17" t="str">
        <f>IF(ISBLANK(Deal_Master_Wide!$BS$19),"",Deal_Master_Wide!$BS$19)</f>
        <v/>
      </c>
      <c r="M117" s="17" t="str">
        <f>IF(ISBLANK(Deal_Master_Wide!$BZ$19),"",Deal_Master_Wide!$BZ$19)</f>
        <v/>
      </c>
      <c r="N117" s="17" t="str">
        <f>IF(ISBLANK(Deal_Master_Wide!$CG$19),"",Deal_Master_Wide!$CG$19)</f>
        <v/>
      </c>
      <c r="O117" s="17" t="str">
        <f>IF(ISBLANK(Deal_Master_Wide!$CN$19),"",Deal_Master_Wide!$CN$19)</f>
        <v/>
      </c>
      <c r="P117" s="17" t="str">
        <f>IF(ISBLANK(Deal_Master_Wide!$CU$19),"",Deal_Master_Wide!$CU$19)</f>
        <v/>
      </c>
      <c r="Q117" s="17" t="str">
        <f>IF(ISBLANK(Deal_Master_Wide!$DB$19),"",Deal_Master_Wide!$DB$19)</f>
        <v/>
      </c>
      <c r="R117" s="18" t="str">
        <f>IF(ISBLANK(Deal_Master_Wide!$DI$19),"",Deal_Master_Wide!$DI$19)</f>
        <v/>
      </c>
      <c r="S117" s="18" t="str">
        <f>IF(ISBLANK(Deal_Master_Wide!$DP$19),"",Deal_Master_Wide!$DP$19)</f>
        <v/>
      </c>
      <c r="T117" s="18" t="str">
        <f>IF(ISBLANK(Deal_Master_Wide!$DW$19),"",Deal_Master_Wide!$DW$19)</f>
        <v/>
      </c>
      <c r="U117" s="17" t="str">
        <f>IF(ISBLANK(Deal_Master_Wide!$ED$19),"",Deal_Master_Wide!$ED$19)</f>
        <v/>
      </c>
      <c r="V117" s="17" t="str">
        <f>IF(ISBLANK(Deal_Master_Wide!$EK$19),"",Deal_Master_Wide!$EK$19)</f>
        <v/>
      </c>
      <c r="W117" s="17" t="str">
        <f>IF(ISBLANK(Deal_Master_Wide!$AF$19),"",Deal_Master_Wide!$AF$19)</f>
        <v/>
      </c>
    </row>
    <row r="118" spans="1:23" ht="13.4" customHeight="1">
      <c r="A118" s="15" t="s">
        <v>379</v>
      </c>
      <c r="B118" s="15" t="s">
        <v>177</v>
      </c>
      <c r="C118" s="15">
        <v>1</v>
      </c>
      <c r="D118" s="15" t="s">
        <v>385</v>
      </c>
      <c r="E118" s="15" t="s">
        <v>387</v>
      </c>
      <c r="F118" s="15">
        <v>2017</v>
      </c>
      <c r="G118" s="15">
        <v>1</v>
      </c>
      <c r="H118" s="15">
        <v>2018</v>
      </c>
      <c r="I118" s="15">
        <v>1</v>
      </c>
      <c r="J118" s="15">
        <v>1</v>
      </c>
      <c r="K118" s="16" t="e">
        <f>IF(#REF!="","",#REF!*$I118)</f>
        <v>#REF!</v>
      </c>
      <c r="L118" s="17" t="str">
        <f>IF(ISBLANK(Deal_Master_Wide!$BT$19),"",Deal_Master_Wide!$BT$19)</f>
        <v/>
      </c>
      <c r="M118" s="17" t="str">
        <f>IF(ISBLANK(Deal_Master_Wide!$CA$19),"",Deal_Master_Wide!$CA$19)</f>
        <v/>
      </c>
      <c r="N118" s="17" t="str">
        <f>IF(ISBLANK(Deal_Master_Wide!$CH$19),"",Deal_Master_Wide!$CH$19)</f>
        <v/>
      </c>
      <c r="O118" s="17" t="str">
        <f>IF(ISBLANK(Deal_Master_Wide!$CO$19),"",Deal_Master_Wide!$CO$19)</f>
        <v/>
      </c>
      <c r="P118" s="17" t="str">
        <f>IF(ISBLANK(Deal_Master_Wide!$CV$19),"",Deal_Master_Wide!$CV$19)</f>
        <v/>
      </c>
      <c r="Q118" s="17" t="str">
        <f>IF(ISBLANK(Deal_Master_Wide!$DC$19),"",Deal_Master_Wide!$DC$19)</f>
        <v/>
      </c>
      <c r="R118" s="18" t="str">
        <f>IF(ISBLANK(Deal_Master_Wide!$DJ$19),"",Deal_Master_Wide!$DJ$19)</f>
        <v/>
      </c>
      <c r="S118" s="18" t="str">
        <f>IF(ISBLANK(Deal_Master_Wide!$DQ$19),"",Deal_Master_Wide!$DQ$19)</f>
        <v/>
      </c>
      <c r="T118" s="18" t="str">
        <f>IF(ISBLANK(Deal_Master_Wide!$DX$19),"",Deal_Master_Wide!$DX$19)</f>
        <v/>
      </c>
      <c r="U118" s="17" t="str">
        <f>IF(ISBLANK(Deal_Master_Wide!$EE$19),"",Deal_Master_Wide!$EE$19)</f>
        <v/>
      </c>
      <c r="V118" s="17" t="str">
        <f>IF(ISBLANK(Deal_Master_Wide!$EL$19),"",Deal_Master_Wide!$EL$19)</f>
        <v/>
      </c>
      <c r="W118" s="17" t="str">
        <f>IF(ISBLANK(Deal_Master_Wide!$AF$19),"",Deal_Master_Wide!$AF$19)</f>
        <v/>
      </c>
    </row>
    <row r="119" spans="1:23" ht="13.4" customHeight="1">
      <c r="A119" s="15" t="s">
        <v>379</v>
      </c>
      <c r="B119" s="15" t="s">
        <v>177</v>
      </c>
      <c r="C119" s="15">
        <v>1</v>
      </c>
      <c r="D119" s="15" t="s">
        <v>385</v>
      </c>
      <c r="E119" s="15" t="s">
        <v>387</v>
      </c>
      <c r="F119" s="15">
        <v>2017</v>
      </c>
      <c r="G119" s="15">
        <v>2</v>
      </c>
      <c r="H119" s="15">
        <v>2019</v>
      </c>
      <c r="I119" s="15">
        <v>1</v>
      </c>
      <c r="J119" s="15">
        <v>1</v>
      </c>
      <c r="K119" s="16" t="e">
        <f>IF(#REF!="","",#REF!*$I119)</f>
        <v>#REF!</v>
      </c>
      <c r="L119" s="17" t="str">
        <f>IF(ISBLANK(Deal_Master_Wide!$BU$19),"",Deal_Master_Wide!$BU$19)</f>
        <v/>
      </c>
      <c r="M119" s="17" t="str">
        <f>IF(ISBLANK(Deal_Master_Wide!$CB$19),"",Deal_Master_Wide!$CB$19)</f>
        <v/>
      </c>
      <c r="N119" s="17" t="str">
        <f>IF(ISBLANK(Deal_Master_Wide!$CI$19),"",Deal_Master_Wide!$CI$19)</f>
        <v/>
      </c>
      <c r="O119" s="17" t="str">
        <f>IF(ISBLANK(Deal_Master_Wide!$CP$19),"",Deal_Master_Wide!$CP$19)</f>
        <v/>
      </c>
      <c r="P119" s="17" t="str">
        <f>IF(ISBLANK(Deal_Master_Wide!$CW$19),"",Deal_Master_Wide!$CW$19)</f>
        <v/>
      </c>
      <c r="Q119" s="17" t="str">
        <f>IF(ISBLANK(Deal_Master_Wide!$DD$19),"",Deal_Master_Wide!$DD$19)</f>
        <v/>
      </c>
      <c r="R119" s="18" t="str">
        <f>IF(ISBLANK(Deal_Master_Wide!$DK$19),"",Deal_Master_Wide!$DK$19)</f>
        <v/>
      </c>
      <c r="S119" s="18" t="str">
        <f>IF(ISBLANK(Deal_Master_Wide!$DR$19),"",Deal_Master_Wide!$DR$19)</f>
        <v/>
      </c>
      <c r="T119" s="18" t="str">
        <f>IF(ISBLANK(Deal_Master_Wide!$DY$19),"",Deal_Master_Wide!$DY$19)</f>
        <v/>
      </c>
      <c r="U119" s="17" t="str">
        <f>IF(ISBLANK(Deal_Master_Wide!$EF$19),"",Deal_Master_Wide!$EF$19)</f>
        <v/>
      </c>
      <c r="V119" s="17" t="str">
        <f>IF(ISBLANK(Deal_Master_Wide!$EM$19),"",Deal_Master_Wide!$EM$19)</f>
        <v/>
      </c>
      <c r="W119" s="17" t="str">
        <f>IF(ISBLANK(Deal_Master_Wide!$AF$19),"",Deal_Master_Wide!$AF$19)</f>
        <v/>
      </c>
    </row>
    <row r="120" spans="1:23" ht="13.4" customHeight="1">
      <c r="A120" s="15" t="s">
        <v>379</v>
      </c>
      <c r="B120" s="15" t="s">
        <v>177</v>
      </c>
      <c r="C120" s="15">
        <v>1</v>
      </c>
      <c r="D120" s="15" t="s">
        <v>385</v>
      </c>
      <c r="E120" s="15" t="s">
        <v>387</v>
      </c>
      <c r="F120" s="15">
        <v>2017</v>
      </c>
      <c r="G120" s="15">
        <v>3</v>
      </c>
      <c r="H120" s="15">
        <v>2020</v>
      </c>
      <c r="I120" s="15">
        <v>1</v>
      </c>
      <c r="J120" s="15">
        <v>1</v>
      </c>
      <c r="K120" s="16" t="e">
        <f>IF(#REF!="","",#REF!*$I120)</f>
        <v>#REF!</v>
      </c>
      <c r="L120" s="17" t="str">
        <f>IF(ISBLANK(Deal_Master_Wide!$BV$19),"",Deal_Master_Wide!$BV$19)</f>
        <v/>
      </c>
      <c r="M120" s="17" t="str">
        <f>IF(ISBLANK(Deal_Master_Wide!$CC$19),"",Deal_Master_Wide!$CC$19)</f>
        <v/>
      </c>
      <c r="N120" s="17" t="str">
        <f>IF(ISBLANK(Deal_Master_Wide!$CJ$19),"",Deal_Master_Wide!$CJ$19)</f>
        <v/>
      </c>
      <c r="O120" s="17" t="str">
        <f>IF(ISBLANK(Deal_Master_Wide!$CQ$19),"",Deal_Master_Wide!$CQ$19)</f>
        <v/>
      </c>
      <c r="P120" s="17" t="str">
        <f>IF(ISBLANK(Deal_Master_Wide!$CX$19),"",Deal_Master_Wide!$CX$19)</f>
        <v/>
      </c>
      <c r="Q120" s="17" t="str">
        <f>IF(ISBLANK(Deal_Master_Wide!$DE$19),"",Deal_Master_Wide!$DE$19)</f>
        <v/>
      </c>
      <c r="R120" s="18" t="str">
        <f>IF(ISBLANK(Deal_Master_Wide!$DL$19),"",Deal_Master_Wide!$DL$19)</f>
        <v/>
      </c>
      <c r="S120" s="18" t="str">
        <f>IF(ISBLANK(Deal_Master_Wide!$DS$19),"",Deal_Master_Wide!$DS$19)</f>
        <v/>
      </c>
      <c r="T120" s="18" t="str">
        <f>IF(ISBLANK(Deal_Master_Wide!$DZ$19),"",Deal_Master_Wide!$DZ$19)</f>
        <v/>
      </c>
      <c r="U120" s="17" t="str">
        <f>IF(ISBLANK(Deal_Master_Wide!$EG$19),"",Deal_Master_Wide!$EG$19)</f>
        <v/>
      </c>
      <c r="V120" s="17" t="str">
        <f>IF(ISBLANK(Deal_Master_Wide!$EN$19),"",Deal_Master_Wide!$EN$19)</f>
        <v/>
      </c>
      <c r="W120" s="17" t="str">
        <f>IF(ISBLANK(Deal_Master_Wide!$AF$19),"",Deal_Master_Wide!$AF$19)</f>
        <v/>
      </c>
    </row>
    <row r="121" spans="1:23" ht="13.4" customHeight="1">
      <c r="A121" s="15" t="s">
        <v>390</v>
      </c>
      <c r="B121" s="15" t="s">
        <v>177</v>
      </c>
      <c r="C121" s="15">
        <v>1</v>
      </c>
      <c r="D121" s="15" t="s">
        <v>394</v>
      </c>
      <c r="E121" s="15" t="s">
        <v>396</v>
      </c>
      <c r="F121" s="15">
        <v>2017</v>
      </c>
      <c r="G121" s="15">
        <v>-3</v>
      </c>
      <c r="H121" s="15">
        <v>2014</v>
      </c>
      <c r="I121" s="15">
        <v>0</v>
      </c>
      <c r="J121" s="15">
        <v>0</v>
      </c>
      <c r="K121" s="16" t="e">
        <f>IF(#REF!="","",#REF!*$I121)</f>
        <v>#REF!</v>
      </c>
      <c r="L121" s="17" t="str">
        <f>IF(ISBLANK(Deal_Master_Wide!$BP$20),"",Deal_Master_Wide!$BP$20)</f>
        <v/>
      </c>
      <c r="M121" s="17" t="str">
        <f>IF(ISBLANK(Deal_Master_Wide!$BW$20),"",Deal_Master_Wide!$BW$20)</f>
        <v/>
      </c>
      <c r="N121" s="17" t="str">
        <f>IF(ISBLANK(Deal_Master_Wide!$CD$20),"",Deal_Master_Wide!$CD$20)</f>
        <v/>
      </c>
      <c r="O121" s="17" t="str">
        <f>IF(ISBLANK(Deal_Master_Wide!$CK$20),"",Deal_Master_Wide!$CK$20)</f>
        <v/>
      </c>
      <c r="P121" s="17" t="str">
        <f>IF(ISBLANK(Deal_Master_Wide!$CR$20),"",Deal_Master_Wide!$CR$20)</f>
        <v/>
      </c>
      <c r="Q121" s="17" t="str">
        <f>IF(ISBLANK(Deal_Master_Wide!$CY$20),"",Deal_Master_Wide!$CY$20)</f>
        <v/>
      </c>
      <c r="R121" s="18" t="str">
        <f>IF(ISBLANK(Deal_Master_Wide!$DF$20),"",Deal_Master_Wide!$DF$20)</f>
        <v/>
      </c>
      <c r="S121" s="18" t="str">
        <f>IF(ISBLANK(Deal_Master_Wide!$DM$20),"",Deal_Master_Wide!$DM$20)</f>
        <v/>
      </c>
      <c r="T121" s="18" t="str">
        <f>IF(ISBLANK(Deal_Master_Wide!$DT$20),"",Deal_Master_Wide!$DT$20)</f>
        <v/>
      </c>
      <c r="U121" s="17" t="str">
        <f>IF(ISBLANK(Deal_Master_Wide!$EA$20),"",Deal_Master_Wide!$EA$20)</f>
        <v/>
      </c>
      <c r="V121" s="17" t="str">
        <f>IF(ISBLANK(Deal_Master_Wide!$EH$20),"",Deal_Master_Wide!$EH$20)</f>
        <v/>
      </c>
      <c r="W121" s="17">
        <f>IF(ISBLANK(Deal_Master_Wide!$AF$20),"",Deal_Master_Wide!$AF$20)</f>
        <v>143</v>
      </c>
    </row>
    <row r="122" spans="1:23" ht="13.4" customHeight="1">
      <c r="A122" s="15" t="s">
        <v>390</v>
      </c>
      <c r="B122" s="15" t="s">
        <v>177</v>
      </c>
      <c r="C122" s="15">
        <v>1</v>
      </c>
      <c r="D122" s="15" t="s">
        <v>394</v>
      </c>
      <c r="E122" s="15" t="s">
        <v>396</v>
      </c>
      <c r="F122" s="15">
        <v>2017</v>
      </c>
      <c r="G122" s="15">
        <v>-2</v>
      </c>
      <c r="H122" s="15">
        <v>2015</v>
      </c>
      <c r="I122" s="15">
        <v>0</v>
      </c>
      <c r="J122" s="15">
        <v>0</v>
      </c>
      <c r="K122" s="16" t="e">
        <f>IF(#REF!="","",#REF!*$I122)</f>
        <v>#REF!</v>
      </c>
      <c r="L122" s="17" t="str">
        <f>IF(ISBLANK(Deal_Master_Wide!$BQ$20),"",Deal_Master_Wide!$BQ$20)</f>
        <v/>
      </c>
      <c r="M122" s="17" t="str">
        <f>IF(ISBLANK(Deal_Master_Wide!$BX$20),"",Deal_Master_Wide!$BX$20)</f>
        <v/>
      </c>
      <c r="N122" s="17" t="str">
        <f>IF(ISBLANK(Deal_Master_Wide!$CE$20),"",Deal_Master_Wide!$CE$20)</f>
        <v/>
      </c>
      <c r="O122" s="17" t="str">
        <f>IF(ISBLANK(Deal_Master_Wide!$CL$20),"",Deal_Master_Wide!$CL$20)</f>
        <v/>
      </c>
      <c r="P122" s="17" t="str">
        <f>IF(ISBLANK(Deal_Master_Wide!$CS$20),"",Deal_Master_Wide!$CS$20)</f>
        <v/>
      </c>
      <c r="Q122" s="17" t="str">
        <f>IF(ISBLANK(Deal_Master_Wide!$CZ$20),"",Deal_Master_Wide!$CZ$20)</f>
        <v/>
      </c>
      <c r="R122" s="18" t="str">
        <f>IF(ISBLANK(Deal_Master_Wide!$DG$20),"",Deal_Master_Wide!$DG$20)</f>
        <v/>
      </c>
      <c r="S122" s="18" t="str">
        <f>IF(ISBLANK(Deal_Master_Wide!$DN$20),"",Deal_Master_Wide!$DN$20)</f>
        <v/>
      </c>
      <c r="T122" s="18" t="str">
        <f>IF(ISBLANK(Deal_Master_Wide!$DU$20),"",Deal_Master_Wide!$DU$20)</f>
        <v/>
      </c>
      <c r="U122" s="17" t="str">
        <f>IF(ISBLANK(Deal_Master_Wide!$EB$20),"",Deal_Master_Wide!$EB$20)</f>
        <v/>
      </c>
      <c r="V122" s="17" t="str">
        <f>IF(ISBLANK(Deal_Master_Wide!$EI$20),"",Deal_Master_Wide!$EI$20)</f>
        <v/>
      </c>
      <c r="W122" s="17">
        <f>IF(ISBLANK(Deal_Master_Wide!$AF$20),"",Deal_Master_Wide!$AF$20)</f>
        <v>143</v>
      </c>
    </row>
    <row r="123" spans="1:23" ht="13.4" customHeight="1">
      <c r="A123" s="15" t="s">
        <v>390</v>
      </c>
      <c r="B123" s="15" t="s">
        <v>177</v>
      </c>
      <c r="C123" s="15">
        <v>1</v>
      </c>
      <c r="D123" s="15" t="s">
        <v>394</v>
      </c>
      <c r="E123" s="15" t="s">
        <v>396</v>
      </c>
      <c r="F123" s="15">
        <v>2017</v>
      </c>
      <c r="G123" s="15">
        <v>-1</v>
      </c>
      <c r="H123" s="15">
        <v>2016</v>
      </c>
      <c r="I123" s="15">
        <v>0</v>
      </c>
      <c r="J123" s="15">
        <v>0</v>
      </c>
      <c r="K123" s="16" t="e">
        <f>IF(#REF!="","",#REF!*$I123)</f>
        <v>#REF!</v>
      </c>
      <c r="L123" s="17" t="str">
        <f>IF(ISBLANK(Deal_Master_Wide!$BR$20),"",Deal_Master_Wide!$BR$20)</f>
        <v/>
      </c>
      <c r="M123" s="17" t="str">
        <f>IF(ISBLANK(Deal_Master_Wide!$BY$20),"",Deal_Master_Wide!$BY$20)</f>
        <v/>
      </c>
      <c r="N123" s="17" t="str">
        <f>IF(ISBLANK(Deal_Master_Wide!$CF$20),"",Deal_Master_Wide!$CF$20)</f>
        <v/>
      </c>
      <c r="O123" s="17" t="str">
        <f>IF(ISBLANK(Deal_Master_Wide!$CM$20),"",Deal_Master_Wide!$CM$20)</f>
        <v/>
      </c>
      <c r="P123" s="17" t="str">
        <f>IF(ISBLANK(Deal_Master_Wide!$CT$20),"",Deal_Master_Wide!$CT$20)</f>
        <v/>
      </c>
      <c r="Q123" s="17" t="str">
        <f>IF(ISBLANK(Deal_Master_Wide!$DA$20),"",Deal_Master_Wide!$DA$20)</f>
        <v/>
      </c>
      <c r="R123" s="18" t="str">
        <f>IF(ISBLANK(Deal_Master_Wide!$DH$20),"",Deal_Master_Wide!$DH$20)</f>
        <v/>
      </c>
      <c r="S123" s="18" t="str">
        <f>IF(ISBLANK(Deal_Master_Wide!$DO$20),"",Deal_Master_Wide!$DO$20)</f>
        <v/>
      </c>
      <c r="T123" s="18" t="str">
        <f>IF(ISBLANK(Deal_Master_Wide!$DV$20),"",Deal_Master_Wide!$DV$20)</f>
        <v/>
      </c>
      <c r="U123" s="17" t="str">
        <f>IF(ISBLANK(Deal_Master_Wide!$EC$20),"",Deal_Master_Wide!$EC$20)</f>
        <v/>
      </c>
      <c r="V123" s="17" t="str">
        <f>IF(ISBLANK(Deal_Master_Wide!$EJ$20),"",Deal_Master_Wide!$EJ$20)</f>
        <v/>
      </c>
      <c r="W123" s="17">
        <f>IF(ISBLANK(Deal_Master_Wide!$AF$20),"",Deal_Master_Wide!$AF$20)</f>
        <v>143</v>
      </c>
    </row>
    <row r="124" spans="1:23" ht="13.4" customHeight="1">
      <c r="A124" s="15" t="s">
        <v>390</v>
      </c>
      <c r="B124" s="15" t="s">
        <v>177</v>
      </c>
      <c r="C124" s="15">
        <v>1</v>
      </c>
      <c r="D124" s="15" t="s">
        <v>394</v>
      </c>
      <c r="E124" s="15" t="s">
        <v>396</v>
      </c>
      <c r="F124" s="15">
        <v>2017</v>
      </c>
      <c r="G124" s="15">
        <v>0</v>
      </c>
      <c r="H124" s="15">
        <v>2017</v>
      </c>
      <c r="I124" s="15">
        <v>0</v>
      </c>
      <c r="J124" s="15">
        <v>1</v>
      </c>
      <c r="K124" s="16" t="e">
        <f>IF(#REF!="","",#REF!*$I124)</f>
        <v>#REF!</v>
      </c>
      <c r="L124" s="17" t="str">
        <f>IF(ISBLANK(Deal_Master_Wide!$BS$20),"",Deal_Master_Wide!$BS$20)</f>
        <v/>
      </c>
      <c r="M124" s="17" t="str">
        <f>IF(ISBLANK(Deal_Master_Wide!$BZ$20),"",Deal_Master_Wide!$BZ$20)</f>
        <v/>
      </c>
      <c r="N124" s="17" t="str">
        <f>IF(ISBLANK(Deal_Master_Wide!$CG$20),"",Deal_Master_Wide!$CG$20)</f>
        <v/>
      </c>
      <c r="O124" s="17" t="str">
        <f>IF(ISBLANK(Deal_Master_Wide!$CN$20),"",Deal_Master_Wide!$CN$20)</f>
        <v/>
      </c>
      <c r="P124" s="17" t="str">
        <f>IF(ISBLANK(Deal_Master_Wide!$CU$20),"",Deal_Master_Wide!$CU$20)</f>
        <v/>
      </c>
      <c r="Q124" s="17" t="str">
        <f>IF(ISBLANK(Deal_Master_Wide!$DB$20),"",Deal_Master_Wide!$DB$20)</f>
        <v/>
      </c>
      <c r="R124" s="18" t="str">
        <f>IF(ISBLANK(Deal_Master_Wide!$DI$20),"",Deal_Master_Wide!$DI$20)</f>
        <v/>
      </c>
      <c r="S124" s="18" t="str">
        <f>IF(ISBLANK(Deal_Master_Wide!$DP$20),"",Deal_Master_Wide!$DP$20)</f>
        <v/>
      </c>
      <c r="T124" s="18" t="str">
        <f>IF(ISBLANK(Deal_Master_Wide!$DW$20),"",Deal_Master_Wide!$DW$20)</f>
        <v/>
      </c>
      <c r="U124" s="17" t="str">
        <f>IF(ISBLANK(Deal_Master_Wide!$ED$20),"",Deal_Master_Wide!$ED$20)</f>
        <v/>
      </c>
      <c r="V124" s="17" t="str">
        <f>IF(ISBLANK(Deal_Master_Wide!$EK$20),"",Deal_Master_Wide!$EK$20)</f>
        <v/>
      </c>
      <c r="W124" s="17">
        <f>IF(ISBLANK(Deal_Master_Wide!$AF$20),"",Deal_Master_Wide!$AF$20)</f>
        <v>143</v>
      </c>
    </row>
    <row r="125" spans="1:23" ht="13.4" customHeight="1">
      <c r="A125" s="15" t="s">
        <v>390</v>
      </c>
      <c r="B125" s="15" t="s">
        <v>177</v>
      </c>
      <c r="C125" s="15">
        <v>1</v>
      </c>
      <c r="D125" s="15" t="s">
        <v>394</v>
      </c>
      <c r="E125" s="15" t="s">
        <v>396</v>
      </c>
      <c r="F125" s="15">
        <v>2017</v>
      </c>
      <c r="G125" s="15">
        <v>1</v>
      </c>
      <c r="H125" s="15">
        <v>2018</v>
      </c>
      <c r="I125" s="15">
        <v>1</v>
      </c>
      <c r="J125" s="15">
        <v>1</v>
      </c>
      <c r="K125" s="16" t="e">
        <f>IF(#REF!="","",#REF!*$I125)</f>
        <v>#REF!</v>
      </c>
      <c r="L125" s="17" t="str">
        <f>IF(ISBLANK(Deal_Master_Wide!$BT$20),"",Deal_Master_Wide!$BT$20)</f>
        <v/>
      </c>
      <c r="M125" s="17" t="str">
        <f>IF(ISBLANK(Deal_Master_Wide!$CA$20),"",Deal_Master_Wide!$CA$20)</f>
        <v/>
      </c>
      <c r="N125" s="17" t="str">
        <f>IF(ISBLANK(Deal_Master_Wide!$CH$20),"",Deal_Master_Wide!$CH$20)</f>
        <v/>
      </c>
      <c r="O125" s="17" t="str">
        <f>IF(ISBLANK(Deal_Master_Wide!$CO$20),"",Deal_Master_Wide!$CO$20)</f>
        <v/>
      </c>
      <c r="P125" s="17" t="str">
        <f>IF(ISBLANK(Deal_Master_Wide!$CV$20),"",Deal_Master_Wide!$CV$20)</f>
        <v/>
      </c>
      <c r="Q125" s="17" t="str">
        <f>IF(ISBLANK(Deal_Master_Wide!$DC$20),"",Deal_Master_Wide!$DC$20)</f>
        <v/>
      </c>
      <c r="R125" s="18" t="str">
        <f>IF(ISBLANK(Deal_Master_Wide!$DJ$20),"",Deal_Master_Wide!$DJ$20)</f>
        <v/>
      </c>
      <c r="S125" s="18" t="str">
        <f>IF(ISBLANK(Deal_Master_Wide!$DQ$20),"",Deal_Master_Wide!$DQ$20)</f>
        <v/>
      </c>
      <c r="T125" s="18" t="str">
        <f>IF(ISBLANK(Deal_Master_Wide!$DX$20),"",Deal_Master_Wide!$DX$20)</f>
        <v/>
      </c>
      <c r="U125" s="17" t="str">
        <f>IF(ISBLANK(Deal_Master_Wide!$EE$20),"",Deal_Master_Wide!$EE$20)</f>
        <v/>
      </c>
      <c r="V125" s="17" t="str">
        <f>IF(ISBLANK(Deal_Master_Wide!$EL$20),"",Deal_Master_Wide!$EL$20)</f>
        <v/>
      </c>
      <c r="W125" s="17">
        <f>IF(ISBLANK(Deal_Master_Wide!$AF$20),"",Deal_Master_Wide!$AF$20)</f>
        <v>143</v>
      </c>
    </row>
    <row r="126" spans="1:23" ht="13.4" customHeight="1">
      <c r="A126" s="15" t="s">
        <v>390</v>
      </c>
      <c r="B126" s="15" t="s">
        <v>177</v>
      </c>
      <c r="C126" s="15">
        <v>1</v>
      </c>
      <c r="D126" s="15" t="s">
        <v>394</v>
      </c>
      <c r="E126" s="15" t="s">
        <v>396</v>
      </c>
      <c r="F126" s="15">
        <v>2017</v>
      </c>
      <c r="G126" s="15">
        <v>2</v>
      </c>
      <c r="H126" s="15">
        <v>2019</v>
      </c>
      <c r="I126" s="15">
        <v>1</v>
      </c>
      <c r="J126" s="15">
        <v>1</v>
      </c>
      <c r="K126" s="16" t="e">
        <f>IF(#REF!="","",#REF!*$I126)</f>
        <v>#REF!</v>
      </c>
      <c r="L126" s="17" t="str">
        <f>IF(ISBLANK(Deal_Master_Wide!$BU$20),"",Deal_Master_Wide!$BU$20)</f>
        <v/>
      </c>
      <c r="M126" s="17" t="str">
        <f>IF(ISBLANK(Deal_Master_Wide!$CB$20),"",Deal_Master_Wide!$CB$20)</f>
        <v/>
      </c>
      <c r="N126" s="17" t="str">
        <f>IF(ISBLANK(Deal_Master_Wide!$CI$20),"",Deal_Master_Wide!$CI$20)</f>
        <v/>
      </c>
      <c r="O126" s="17" t="str">
        <f>IF(ISBLANK(Deal_Master_Wide!$CP$20),"",Deal_Master_Wide!$CP$20)</f>
        <v/>
      </c>
      <c r="P126" s="17" t="str">
        <f>IF(ISBLANK(Deal_Master_Wide!$CW$20),"",Deal_Master_Wide!$CW$20)</f>
        <v/>
      </c>
      <c r="Q126" s="17" t="str">
        <f>IF(ISBLANK(Deal_Master_Wide!$DD$20),"",Deal_Master_Wide!$DD$20)</f>
        <v/>
      </c>
      <c r="R126" s="18" t="str">
        <f>IF(ISBLANK(Deal_Master_Wide!$DK$20),"",Deal_Master_Wide!$DK$20)</f>
        <v/>
      </c>
      <c r="S126" s="18" t="str">
        <f>IF(ISBLANK(Deal_Master_Wide!$DR$20),"",Deal_Master_Wide!$DR$20)</f>
        <v/>
      </c>
      <c r="T126" s="18" t="str">
        <f>IF(ISBLANK(Deal_Master_Wide!$DY$20),"",Deal_Master_Wide!$DY$20)</f>
        <v/>
      </c>
      <c r="U126" s="17" t="str">
        <f>IF(ISBLANK(Deal_Master_Wide!$EF$20),"",Deal_Master_Wide!$EF$20)</f>
        <v/>
      </c>
      <c r="V126" s="17" t="str">
        <f>IF(ISBLANK(Deal_Master_Wide!$EM$20),"",Deal_Master_Wide!$EM$20)</f>
        <v/>
      </c>
      <c r="W126" s="17">
        <f>IF(ISBLANK(Deal_Master_Wide!$AF$20),"",Deal_Master_Wide!$AF$20)</f>
        <v>143</v>
      </c>
    </row>
    <row r="127" spans="1:23" ht="13.4" customHeight="1">
      <c r="A127" s="15" t="s">
        <v>390</v>
      </c>
      <c r="B127" s="15" t="s">
        <v>177</v>
      </c>
      <c r="C127" s="15">
        <v>1</v>
      </c>
      <c r="D127" s="15" t="s">
        <v>394</v>
      </c>
      <c r="E127" s="15" t="s">
        <v>396</v>
      </c>
      <c r="F127" s="15">
        <v>2017</v>
      </c>
      <c r="G127" s="15">
        <v>3</v>
      </c>
      <c r="H127" s="15">
        <v>2020</v>
      </c>
      <c r="I127" s="15">
        <v>1</v>
      </c>
      <c r="J127" s="15">
        <v>1</v>
      </c>
      <c r="K127" s="16" t="e">
        <f>IF(#REF!="","",#REF!*$I127)</f>
        <v>#REF!</v>
      </c>
      <c r="L127" s="17" t="str">
        <f>IF(ISBLANK(Deal_Master_Wide!$BV$20),"",Deal_Master_Wide!$BV$20)</f>
        <v/>
      </c>
      <c r="M127" s="17" t="str">
        <f>IF(ISBLANK(Deal_Master_Wide!$CC$20),"",Deal_Master_Wide!$CC$20)</f>
        <v/>
      </c>
      <c r="N127" s="17" t="str">
        <f>IF(ISBLANK(Deal_Master_Wide!$CJ$20),"",Deal_Master_Wide!$CJ$20)</f>
        <v/>
      </c>
      <c r="O127" s="17" t="str">
        <f>IF(ISBLANK(Deal_Master_Wide!$CQ$20),"",Deal_Master_Wide!$CQ$20)</f>
        <v/>
      </c>
      <c r="P127" s="17" t="str">
        <f>IF(ISBLANK(Deal_Master_Wide!$CX$20),"",Deal_Master_Wide!$CX$20)</f>
        <v/>
      </c>
      <c r="Q127" s="17" t="str">
        <f>IF(ISBLANK(Deal_Master_Wide!$DE$20),"",Deal_Master_Wide!$DE$20)</f>
        <v/>
      </c>
      <c r="R127" s="18" t="str">
        <f>IF(ISBLANK(Deal_Master_Wide!$DL$20),"",Deal_Master_Wide!$DL$20)</f>
        <v/>
      </c>
      <c r="S127" s="18" t="str">
        <f>IF(ISBLANK(Deal_Master_Wide!$DS$20),"",Deal_Master_Wide!$DS$20)</f>
        <v/>
      </c>
      <c r="T127" s="18" t="str">
        <f>IF(ISBLANK(Deal_Master_Wide!$DZ$20),"",Deal_Master_Wide!$DZ$20)</f>
        <v/>
      </c>
      <c r="U127" s="17" t="str">
        <f>IF(ISBLANK(Deal_Master_Wide!$EG$20),"",Deal_Master_Wide!$EG$20)</f>
        <v/>
      </c>
      <c r="V127" s="17" t="str">
        <f>IF(ISBLANK(Deal_Master_Wide!$EN$20),"",Deal_Master_Wide!$EN$20)</f>
        <v/>
      </c>
      <c r="W127" s="17">
        <f>IF(ISBLANK(Deal_Master_Wide!$AF$20),"",Deal_Master_Wide!$AF$20)</f>
        <v>143</v>
      </c>
    </row>
    <row r="128" spans="1:23" ht="13.4" customHeight="1">
      <c r="A128" s="15" t="s">
        <v>400</v>
      </c>
      <c r="B128" s="15" t="s">
        <v>177</v>
      </c>
      <c r="C128" s="15">
        <v>1</v>
      </c>
      <c r="D128" s="15" t="s">
        <v>407</v>
      </c>
      <c r="E128" s="15" t="s">
        <v>409</v>
      </c>
      <c r="F128" s="15">
        <v>2017</v>
      </c>
      <c r="G128" s="15">
        <v>-3</v>
      </c>
      <c r="H128" s="15">
        <v>2014</v>
      </c>
      <c r="I128" s="15">
        <v>0</v>
      </c>
      <c r="J128" s="15">
        <v>0</v>
      </c>
      <c r="K128" s="16" t="e">
        <f>IF(#REF!="","",#REF!*$I128)</f>
        <v>#REF!</v>
      </c>
      <c r="L128" s="17" t="str">
        <f>IF(ISBLANK(Deal_Master_Wide!$BP$21),"",Deal_Master_Wide!$BP$21)</f>
        <v/>
      </c>
      <c r="M128" s="17" t="str">
        <f>IF(ISBLANK(Deal_Master_Wide!$BW$21),"",Deal_Master_Wide!$BW$21)</f>
        <v/>
      </c>
      <c r="N128" s="17" t="str">
        <f>IF(ISBLANK(Deal_Master_Wide!$CD$21),"",Deal_Master_Wide!$CD$21)</f>
        <v/>
      </c>
      <c r="O128" s="17" t="str">
        <f>IF(ISBLANK(Deal_Master_Wide!$CK$21),"",Deal_Master_Wide!$CK$21)</f>
        <v/>
      </c>
      <c r="P128" s="17" t="str">
        <f>IF(ISBLANK(Deal_Master_Wide!$CR$21),"",Deal_Master_Wide!$CR$21)</f>
        <v/>
      </c>
      <c r="Q128" s="17" t="str">
        <f>IF(ISBLANK(Deal_Master_Wide!$CY$21),"",Deal_Master_Wide!$CY$21)</f>
        <v/>
      </c>
      <c r="R128" s="18" t="str">
        <f>IF(ISBLANK(Deal_Master_Wide!$DF$21),"",Deal_Master_Wide!$DF$21)</f>
        <v/>
      </c>
      <c r="S128" s="18" t="str">
        <f>IF(ISBLANK(Deal_Master_Wide!$DM$21),"",Deal_Master_Wide!$DM$21)</f>
        <v/>
      </c>
      <c r="T128" s="18" t="str">
        <f>IF(ISBLANK(Deal_Master_Wide!$DT$21),"",Deal_Master_Wide!$DT$21)</f>
        <v/>
      </c>
      <c r="U128" s="17" t="str">
        <f>IF(ISBLANK(Deal_Master_Wide!$EA$21),"",Deal_Master_Wide!$EA$21)</f>
        <v/>
      </c>
      <c r="V128" s="17" t="str">
        <f>IF(ISBLANK(Deal_Master_Wide!$EH$21),"",Deal_Master_Wide!$EH$21)</f>
        <v/>
      </c>
      <c r="W128" s="17">
        <f>IF(ISBLANK(Deal_Master_Wide!$AF$21),"",Deal_Master_Wide!$AF$21)</f>
        <v>156</v>
      </c>
    </row>
    <row r="129" spans="1:23" ht="13.4" customHeight="1">
      <c r="A129" s="15" t="s">
        <v>400</v>
      </c>
      <c r="B129" s="15" t="s">
        <v>177</v>
      </c>
      <c r="C129" s="15">
        <v>1</v>
      </c>
      <c r="D129" s="15" t="s">
        <v>407</v>
      </c>
      <c r="E129" s="15" t="s">
        <v>409</v>
      </c>
      <c r="F129" s="15">
        <v>2017</v>
      </c>
      <c r="G129" s="15">
        <v>-2</v>
      </c>
      <c r="H129" s="15">
        <v>2015</v>
      </c>
      <c r="I129" s="15">
        <v>0</v>
      </c>
      <c r="J129" s="15">
        <v>0</v>
      </c>
      <c r="K129" s="16" t="e">
        <f>IF(#REF!="","",#REF!*$I129)</f>
        <v>#REF!</v>
      </c>
      <c r="L129" s="17" t="str">
        <f>IF(ISBLANK(Deal_Master_Wide!$BQ$21),"",Deal_Master_Wide!$BQ$21)</f>
        <v/>
      </c>
      <c r="M129" s="17" t="str">
        <f>IF(ISBLANK(Deal_Master_Wide!$BX$21),"",Deal_Master_Wide!$BX$21)</f>
        <v/>
      </c>
      <c r="N129" s="17" t="str">
        <f>IF(ISBLANK(Deal_Master_Wide!$CE$21),"",Deal_Master_Wide!$CE$21)</f>
        <v/>
      </c>
      <c r="O129" s="17" t="str">
        <f>IF(ISBLANK(Deal_Master_Wide!$CL$21),"",Deal_Master_Wide!$CL$21)</f>
        <v/>
      </c>
      <c r="P129" s="17" t="str">
        <f>IF(ISBLANK(Deal_Master_Wide!$CS$21),"",Deal_Master_Wide!$CS$21)</f>
        <v/>
      </c>
      <c r="Q129" s="17" t="str">
        <f>IF(ISBLANK(Deal_Master_Wide!$CZ$21),"",Deal_Master_Wide!$CZ$21)</f>
        <v/>
      </c>
      <c r="R129" s="18" t="str">
        <f>IF(ISBLANK(Deal_Master_Wide!$DG$21),"",Deal_Master_Wide!$DG$21)</f>
        <v/>
      </c>
      <c r="S129" s="18" t="str">
        <f>IF(ISBLANK(Deal_Master_Wide!$DN$21),"",Deal_Master_Wide!$DN$21)</f>
        <v/>
      </c>
      <c r="T129" s="18" t="str">
        <f>IF(ISBLANK(Deal_Master_Wide!$DU$21),"",Deal_Master_Wide!$DU$21)</f>
        <v/>
      </c>
      <c r="U129" s="17" t="str">
        <f>IF(ISBLANK(Deal_Master_Wide!$EB$21),"",Deal_Master_Wide!$EB$21)</f>
        <v/>
      </c>
      <c r="V129" s="17" t="str">
        <f>IF(ISBLANK(Deal_Master_Wide!$EI$21),"",Deal_Master_Wide!$EI$21)</f>
        <v/>
      </c>
      <c r="W129" s="17">
        <f>IF(ISBLANK(Deal_Master_Wide!$AF$21),"",Deal_Master_Wide!$AF$21)</f>
        <v>156</v>
      </c>
    </row>
    <row r="130" spans="1:23" ht="13.4" customHeight="1">
      <c r="A130" s="15" t="s">
        <v>400</v>
      </c>
      <c r="B130" s="15" t="s">
        <v>177</v>
      </c>
      <c r="C130" s="15">
        <v>1</v>
      </c>
      <c r="D130" s="15" t="s">
        <v>407</v>
      </c>
      <c r="E130" s="15" t="s">
        <v>409</v>
      </c>
      <c r="F130" s="15">
        <v>2017</v>
      </c>
      <c r="G130" s="15">
        <v>-1</v>
      </c>
      <c r="H130" s="15">
        <v>2016</v>
      </c>
      <c r="I130" s="15">
        <v>0</v>
      </c>
      <c r="J130" s="15">
        <v>0</v>
      </c>
      <c r="K130" s="16" t="e">
        <f>IF(#REF!="","",#REF!*$I130)</f>
        <v>#REF!</v>
      </c>
      <c r="L130" s="17" t="str">
        <f>IF(ISBLANK(Deal_Master_Wide!$BR$21),"",Deal_Master_Wide!$BR$21)</f>
        <v/>
      </c>
      <c r="M130" s="17" t="str">
        <f>IF(ISBLANK(Deal_Master_Wide!$BY$21),"",Deal_Master_Wide!$BY$21)</f>
        <v/>
      </c>
      <c r="N130" s="17" t="str">
        <f>IF(ISBLANK(Deal_Master_Wide!$CF$21),"",Deal_Master_Wide!$CF$21)</f>
        <v/>
      </c>
      <c r="O130" s="17" t="str">
        <f>IF(ISBLANK(Deal_Master_Wide!$CM$21),"",Deal_Master_Wide!$CM$21)</f>
        <v/>
      </c>
      <c r="P130" s="17" t="str">
        <f>IF(ISBLANK(Deal_Master_Wide!$CT$21),"",Deal_Master_Wide!$CT$21)</f>
        <v/>
      </c>
      <c r="Q130" s="17" t="str">
        <f>IF(ISBLANK(Deal_Master_Wide!$DA$21),"",Deal_Master_Wide!$DA$21)</f>
        <v/>
      </c>
      <c r="R130" s="18" t="str">
        <f>IF(ISBLANK(Deal_Master_Wide!$DH$21),"",Deal_Master_Wide!$DH$21)</f>
        <v/>
      </c>
      <c r="S130" s="18" t="str">
        <f>IF(ISBLANK(Deal_Master_Wide!$DO$21),"",Deal_Master_Wide!$DO$21)</f>
        <v/>
      </c>
      <c r="T130" s="18" t="str">
        <f>IF(ISBLANK(Deal_Master_Wide!$DV$21),"",Deal_Master_Wide!$DV$21)</f>
        <v/>
      </c>
      <c r="U130" s="17" t="str">
        <f>IF(ISBLANK(Deal_Master_Wide!$EC$21),"",Deal_Master_Wide!$EC$21)</f>
        <v/>
      </c>
      <c r="V130" s="17" t="str">
        <f>IF(ISBLANK(Deal_Master_Wide!$EJ$21),"",Deal_Master_Wide!$EJ$21)</f>
        <v/>
      </c>
      <c r="W130" s="17">
        <f>IF(ISBLANK(Deal_Master_Wide!$AF$21),"",Deal_Master_Wide!$AF$21)</f>
        <v>156</v>
      </c>
    </row>
    <row r="131" spans="1:23" ht="13.4" customHeight="1">
      <c r="A131" s="15" t="s">
        <v>400</v>
      </c>
      <c r="B131" s="15" t="s">
        <v>177</v>
      </c>
      <c r="C131" s="15">
        <v>1</v>
      </c>
      <c r="D131" s="15" t="s">
        <v>407</v>
      </c>
      <c r="E131" s="15" t="s">
        <v>409</v>
      </c>
      <c r="F131" s="15">
        <v>2017</v>
      </c>
      <c r="G131" s="15">
        <v>0</v>
      </c>
      <c r="H131" s="15">
        <v>2017</v>
      </c>
      <c r="I131" s="15">
        <v>0</v>
      </c>
      <c r="J131" s="15">
        <v>1</v>
      </c>
      <c r="K131" s="16" t="e">
        <f>IF(#REF!="","",#REF!*$I131)</f>
        <v>#REF!</v>
      </c>
      <c r="L131" s="17" t="str">
        <f>IF(ISBLANK(Deal_Master_Wide!$BS$21),"",Deal_Master_Wide!$BS$21)</f>
        <v/>
      </c>
      <c r="M131" s="17" t="str">
        <f>IF(ISBLANK(Deal_Master_Wide!$BZ$21),"",Deal_Master_Wide!$BZ$21)</f>
        <v/>
      </c>
      <c r="N131" s="17" t="str">
        <f>IF(ISBLANK(Deal_Master_Wide!$CG$21),"",Deal_Master_Wide!$CG$21)</f>
        <v/>
      </c>
      <c r="O131" s="17" t="str">
        <f>IF(ISBLANK(Deal_Master_Wide!$CN$21),"",Deal_Master_Wide!$CN$21)</f>
        <v/>
      </c>
      <c r="P131" s="17" t="str">
        <f>IF(ISBLANK(Deal_Master_Wide!$CU$21),"",Deal_Master_Wide!$CU$21)</f>
        <v/>
      </c>
      <c r="Q131" s="17" t="str">
        <f>IF(ISBLANK(Deal_Master_Wide!$DB$21),"",Deal_Master_Wide!$DB$21)</f>
        <v/>
      </c>
      <c r="R131" s="18" t="str">
        <f>IF(ISBLANK(Deal_Master_Wide!$DI$21),"",Deal_Master_Wide!$DI$21)</f>
        <v/>
      </c>
      <c r="S131" s="18" t="str">
        <f>IF(ISBLANK(Deal_Master_Wide!$DP$21),"",Deal_Master_Wide!$DP$21)</f>
        <v/>
      </c>
      <c r="T131" s="18" t="str">
        <f>IF(ISBLANK(Deal_Master_Wide!$DW$21),"",Deal_Master_Wide!$DW$21)</f>
        <v/>
      </c>
      <c r="U131" s="17" t="str">
        <f>IF(ISBLANK(Deal_Master_Wide!$ED$21),"",Deal_Master_Wide!$ED$21)</f>
        <v/>
      </c>
      <c r="V131" s="17" t="str">
        <f>IF(ISBLANK(Deal_Master_Wide!$EK$21),"",Deal_Master_Wide!$EK$21)</f>
        <v/>
      </c>
      <c r="W131" s="17">
        <f>IF(ISBLANK(Deal_Master_Wide!$AF$21),"",Deal_Master_Wide!$AF$21)</f>
        <v>156</v>
      </c>
    </row>
    <row r="132" spans="1:23" ht="13.4" customHeight="1">
      <c r="A132" s="15" t="s">
        <v>400</v>
      </c>
      <c r="B132" s="15" t="s">
        <v>177</v>
      </c>
      <c r="C132" s="15">
        <v>1</v>
      </c>
      <c r="D132" s="15" t="s">
        <v>407</v>
      </c>
      <c r="E132" s="15" t="s">
        <v>409</v>
      </c>
      <c r="F132" s="15">
        <v>2017</v>
      </c>
      <c r="G132" s="15">
        <v>1</v>
      </c>
      <c r="H132" s="15">
        <v>2018</v>
      </c>
      <c r="I132" s="15">
        <v>1</v>
      </c>
      <c r="J132" s="15">
        <v>1</v>
      </c>
      <c r="K132" s="16" t="e">
        <f>IF(#REF!="","",#REF!*$I132)</f>
        <v>#REF!</v>
      </c>
      <c r="L132" s="17" t="str">
        <f>IF(ISBLANK(Deal_Master_Wide!$BT$21),"",Deal_Master_Wide!$BT$21)</f>
        <v/>
      </c>
      <c r="M132" s="17" t="str">
        <f>IF(ISBLANK(Deal_Master_Wide!$CA$21),"",Deal_Master_Wide!$CA$21)</f>
        <v/>
      </c>
      <c r="N132" s="17" t="str">
        <f>IF(ISBLANK(Deal_Master_Wide!$CH$21),"",Deal_Master_Wide!$CH$21)</f>
        <v/>
      </c>
      <c r="O132" s="17" t="str">
        <f>IF(ISBLANK(Deal_Master_Wide!$CO$21),"",Deal_Master_Wide!$CO$21)</f>
        <v/>
      </c>
      <c r="P132" s="17" t="str">
        <f>IF(ISBLANK(Deal_Master_Wide!$CV$21),"",Deal_Master_Wide!$CV$21)</f>
        <v/>
      </c>
      <c r="Q132" s="17" t="str">
        <f>IF(ISBLANK(Deal_Master_Wide!$DC$21),"",Deal_Master_Wide!$DC$21)</f>
        <v/>
      </c>
      <c r="R132" s="18" t="str">
        <f>IF(ISBLANK(Deal_Master_Wide!$DJ$21),"",Deal_Master_Wide!$DJ$21)</f>
        <v/>
      </c>
      <c r="S132" s="18" t="str">
        <f>IF(ISBLANK(Deal_Master_Wide!$DQ$21),"",Deal_Master_Wide!$DQ$21)</f>
        <v/>
      </c>
      <c r="T132" s="18" t="str">
        <f>IF(ISBLANK(Deal_Master_Wide!$DX$21),"",Deal_Master_Wide!$DX$21)</f>
        <v/>
      </c>
      <c r="U132" s="17" t="str">
        <f>IF(ISBLANK(Deal_Master_Wide!$EE$21),"",Deal_Master_Wide!$EE$21)</f>
        <v/>
      </c>
      <c r="V132" s="17" t="str">
        <f>IF(ISBLANK(Deal_Master_Wide!$EL$21),"",Deal_Master_Wide!$EL$21)</f>
        <v/>
      </c>
      <c r="W132" s="17">
        <f>IF(ISBLANK(Deal_Master_Wide!$AF$21),"",Deal_Master_Wide!$AF$21)</f>
        <v>156</v>
      </c>
    </row>
    <row r="133" spans="1:23" ht="13.4" customHeight="1">
      <c r="A133" s="15" t="s">
        <v>400</v>
      </c>
      <c r="B133" s="15" t="s">
        <v>177</v>
      </c>
      <c r="C133" s="15">
        <v>1</v>
      </c>
      <c r="D133" s="15" t="s">
        <v>407</v>
      </c>
      <c r="E133" s="15" t="s">
        <v>409</v>
      </c>
      <c r="F133" s="15">
        <v>2017</v>
      </c>
      <c r="G133" s="15">
        <v>2</v>
      </c>
      <c r="H133" s="15">
        <v>2019</v>
      </c>
      <c r="I133" s="15">
        <v>1</v>
      </c>
      <c r="J133" s="15">
        <v>1</v>
      </c>
      <c r="K133" s="16" t="e">
        <f>IF(#REF!="","",#REF!*$I133)</f>
        <v>#REF!</v>
      </c>
      <c r="L133" s="17" t="str">
        <f>IF(ISBLANK(Deal_Master_Wide!$BU$21),"",Deal_Master_Wide!$BU$21)</f>
        <v/>
      </c>
      <c r="M133" s="17" t="str">
        <f>IF(ISBLANK(Deal_Master_Wide!$CB$21),"",Deal_Master_Wide!$CB$21)</f>
        <v/>
      </c>
      <c r="N133" s="17" t="str">
        <f>IF(ISBLANK(Deal_Master_Wide!$CI$21),"",Deal_Master_Wide!$CI$21)</f>
        <v/>
      </c>
      <c r="O133" s="17" t="str">
        <f>IF(ISBLANK(Deal_Master_Wide!$CP$21),"",Deal_Master_Wide!$CP$21)</f>
        <v/>
      </c>
      <c r="P133" s="17" t="str">
        <f>IF(ISBLANK(Deal_Master_Wide!$CW$21),"",Deal_Master_Wide!$CW$21)</f>
        <v/>
      </c>
      <c r="Q133" s="17" t="str">
        <f>IF(ISBLANK(Deal_Master_Wide!$DD$21),"",Deal_Master_Wide!$DD$21)</f>
        <v/>
      </c>
      <c r="R133" s="18" t="str">
        <f>IF(ISBLANK(Deal_Master_Wide!$DK$21),"",Deal_Master_Wide!$DK$21)</f>
        <v/>
      </c>
      <c r="S133" s="18" t="str">
        <f>IF(ISBLANK(Deal_Master_Wide!$DR$21),"",Deal_Master_Wide!$DR$21)</f>
        <v/>
      </c>
      <c r="T133" s="18" t="str">
        <f>IF(ISBLANK(Deal_Master_Wide!$DY$21),"",Deal_Master_Wide!$DY$21)</f>
        <v/>
      </c>
      <c r="U133" s="17" t="str">
        <f>IF(ISBLANK(Deal_Master_Wide!$EF$21),"",Deal_Master_Wide!$EF$21)</f>
        <v/>
      </c>
      <c r="V133" s="17" t="str">
        <f>IF(ISBLANK(Deal_Master_Wide!$EM$21),"",Deal_Master_Wide!$EM$21)</f>
        <v/>
      </c>
      <c r="W133" s="17">
        <f>IF(ISBLANK(Deal_Master_Wide!$AF$21),"",Deal_Master_Wide!$AF$21)</f>
        <v>156</v>
      </c>
    </row>
    <row r="134" spans="1:23" ht="13.4" customHeight="1">
      <c r="A134" s="15" t="s">
        <v>400</v>
      </c>
      <c r="B134" s="15" t="s">
        <v>177</v>
      </c>
      <c r="C134" s="15">
        <v>1</v>
      </c>
      <c r="D134" s="15" t="s">
        <v>407</v>
      </c>
      <c r="E134" s="15" t="s">
        <v>409</v>
      </c>
      <c r="F134" s="15">
        <v>2017</v>
      </c>
      <c r="G134" s="15">
        <v>3</v>
      </c>
      <c r="H134" s="15">
        <v>2020</v>
      </c>
      <c r="I134" s="15">
        <v>1</v>
      </c>
      <c r="J134" s="15">
        <v>1</v>
      </c>
      <c r="K134" s="16" t="e">
        <f>IF(#REF!="","",#REF!*$I134)</f>
        <v>#REF!</v>
      </c>
      <c r="L134" s="17" t="str">
        <f>IF(ISBLANK(Deal_Master_Wide!$BV$21),"",Deal_Master_Wide!$BV$21)</f>
        <v/>
      </c>
      <c r="M134" s="17" t="str">
        <f>IF(ISBLANK(Deal_Master_Wide!$CC$21),"",Deal_Master_Wide!$CC$21)</f>
        <v/>
      </c>
      <c r="N134" s="17" t="str">
        <f>IF(ISBLANK(Deal_Master_Wide!$CJ$21),"",Deal_Master_Wide!$CJ$21)</f>
        <v/>
      </c>
      <c r="O134" s="17" t="str">
        <f>IF(ISBLANK(Deal_Master_Wide!$CQ$21),"",Deal_Master_Wide!$CQ$21)</f>
        <v/>
      </c>
      <c r="P134" s="17" t="str">
        <f>IF(ISBLANK(Deal_Master_Wide!$CX$21),"",Deal_Master_Wide!$CX$21)</f>
        <v/>
      </c>
      <c r="Q134" s="17" t="str">
        <f>IF(ISBLANK(Deal_Master_Wide!$DE$21),"",Deal_Master_Wide!$DE$21)</f>
        <v/>
      </c>
      <c r="R134" s="18" t="str">
        <f>IF(ISBLANK(Deal_Master_Wide!$DL$21),"",Deal_Master_Wide!$DL$21)</f>
        <v/>
      </c>
      <c r="S134" s="18" t="str">
        <f>IF(ISBLANK(Deal_Master_Wide!$DS$21),"",Deal_Master_Wide!$DS$21)</f>
        <v/>
      </c>
      <c r="T134" s="18" t="str">
        <f>IF(ISBLANK(Deal_Master_Wide!$DZ$21),"",Deal_Master_Wide!$DZ$21)</f>
        <v/>
      </c>
      <c r="U134" s="17" t="str">
        <f>IF(ISBLANK(Deal_Master_Wide!$EG$21),"",Deal_Master_Wide!$EG$21)</f>
        <v/>
      </c>
      <c r="V134" s="17" t="str">
        <f>IF(ISBLANK(Deal_Master_Wide!$EN$21),"",Deal_Master_Wide!$EN$21)</f>
        <v/>
      </c>
      <c r="W134" s="17">
        <f>IF(ISBLANK(Deal_Master_Wide!$AF$21),"",Deal_Master_Wide!$AF$21)</f>
        <v>156</v>
      </c>
    </row>
    <row r="135" spans="1:23" ht="13.4" customHeight="1">
      <c r="A135" s="15" t="s">
        <v>413</v>
      </c>
      <c r="B135" s="15" t="s">
        <v>177</v>
      </c>
      <c r="C135" s="15">
        <v>1</v>
      </c>
      <c r="D135" s="15" t="s">
        <v>417</v>
      </c>
      <c r="E135" s="15" t="s">
        <v>419</v>
      </c>
      <c r="F135" s="15">
        <v>2016</v>
      </c>
      <c r="G135" s="15">
        <v>-3</v>
      </c>
      <c r="H135" s="15">
        <v>2013</v>
      </c>
      <c r="I135" s="15">
        <v>0</v>
      </c>
      <c r="J135" s="15">
        <v>0</v>
      </c>
      <c r="K135" s="16" t="e">
        <f>IF(#REF!="","",#REF!*$I135)</f>
        <v>#REF!</v>
      </c>
      <c r="L135" s="17" t="str">
        <f>IF(ISBLANK(Deal_Master_Wide!$BP$22),"",Deal_Master_Wide!$BP$22)</f>
        <v/>
      </c>
      <c r="M135" s="17" t="str">
        <f>IF(ISBLANK(Deal_Master_Wide!$BW$22),"",Deal_Master_Wide!$BW$22)</f>
        <v/>
      </c>
      <c r="N135" s="17" t="str">
        <f>IF(ISBLANK(Deal_Master_Wide!$CD$22),"",Deal_Master_Wide!$CD$22)</f>
        <v/>
      </c>
      <c r="O135" s="17" t="str">
        <f>IF(ISBLANK(Deal_Master_Wide!$CK$22),"",Deal_Master_Wide!$CK$22)</f>
        <v/>
      </c>
      <c r="P135" s="17" t="str">
        <f>IF(ISBLANK(Deal_Master_Wide!$CR$22),"",Deal_Master_Wide!$CR$22)</f>
        <v/>
      </c>
      <c r="Q135" s="17" t="str">
        <f>IF(ISBLANK(Deal_Master_Wide!$CY$22),"",Deal_Master_Wide!$CY$22)</f>
        <v/>
      </c>
      <c r="R135" s="18" t="str">
        <f>IF(ISBLANK(Deal_Master_Wide!$DF$22),"",Deal_Master_Wide!$DF$22)</f>
        <v/>
      </c>
      <c r="S135" s="18" t="str">
        <f>IF(ISBLANK(Deal_Master_Wide!$DM$22),"",Deal_Master_Wide!$DM$22)</f>
        <v/>
      </c>
      <c r="T135" s="18" t="str">
        <f>IF(ISBLANK(Deal_Master_Wide!$DT$22),"",Deal_Master_Wide!$DT$22)</f>
        <v/>
      </c>
      <c r="U135" s="17" t="str">
        <f>IF(ISBLANK(Deal_Master_Wide!$EA$22),"",Deal_Master_Wide!$EA$22)</f>
        <v/>
      </c>
      <c r="V135" s="17" t="str">
        <f>IF(ISBLANK(Deal_Master_Wide!$EH$22),"",Deal_Master_Wide!$EH$22)</f>
        <v/>
      </c>
      <c r="W135" s="17">
        <f>IF(ISBLANK(Deal_Master_Wide!$AF$22),"",Deal_Master_Wide!$AF$22)</f>
        <v>0</v>
      </c>
    </row>
    <row r="136" spans="1:23" ht="13.4" customHeight="1">
      <c r="A136" s="15" t="s">
        <v>413</v>
      </c>
      <c r="B136" s="15" t="s">
        <v>177</v>
      </c>
      <c r="C136" s="15">
        <v>1</v>
      </c>
      <c r="D136" s="15" t="s">
        <v>417</v>
      </c>
      <c r="E136" s="15" t="s">
        <v>419</v>
      </c>
      <c r="F136" s="15">
        <v>2016</v>
      </c>
      <c r="G136" s="15">
        <v>-2</v>
      </c>
      <c r="H136" s="15">
        <v>2014</v>
      </c>
      <c r="I136" s="15">
        <v>0</v>
      </c>
      <c r="J136" s="15">
        <v>0</v>
      </c>
      <c r="K136" s="16" t="e">
        <f>IF(#REF!="","",#REF!*$I136)</f>
        <v>#REF!</v>
      </c>
      <c r="L136" s="17" t="str">
        <f>IF(ISBLANK(Deal_Master_Wide!$BQ$22),"",Deal_Master_Wide!$BQ$22)</f>
        <v/>
      </c>
      <c r="M136" s="17" t="str">
        <f>IF(ISBLANK(Deal_Master_Wide!$BX$22),"",Deal_Master_Wide!$BX$22)</f>
        <v/>
      </c>
      <c r="N136" s="17" t="str">
        <f>IF(ISBLANK(Deal_Master_Wide!$CE$22),"",Deal_Master_Wide!$CE$22)</f>
        <v/>
      </c>
      <c r="O136" s="17" t="str">
        <f>IF(ISBLANK(Deal_Master_Wide!$CL$22),"",Deal_Master_Wide!$CL$22)</f>
        <v/>
      </c>
      <c r="P136" s="17" t="str">
        <f>IF(ISBLANK(Deal_Master_Wide!$CS$22),"",Deal_Master_Wide!$CS$22)</f>
        <v/>
      </c>
      <c r="Q136" s="17" t="str">
        <f>IF(ISBLANK(Deal_Master_Wide!$CZ$22),"",Deal_Master_Wide!$CZ$22)</f>
        <v/>
      </c>
      <c r="R136" s="18" t="str">
        <f>IF(ISBLANK(Deal_Master_Wide!$DG$22),"",Deal_Master_Wide!$DG$22)</f>
        <v/>
      </c>
      <c r="S136" s="18" t="str">
        <f>IF(ISBLANK(Deal_Master_Wide!$DN$22),"",Deal_Master_Wide!$DN$22)</f>
        <v/>
      </c>
      <c r="T136" s="18" t="str">
        <f>IF(ISBLANK(Deal_Master_Wide!$DU$22),"",Deal_Master_Wide!$DU$22)</f>
        <v/>
      </c>
      <c r="U136" s="17" t="str">
        <f>IF(ISBLANK(Deal_Master_Wide!$EB$22),"",Deal_Master_Wide!$EB$22)</f>
        <v/>
      </c>
      <c r="V136" s="17" t="str">
        <f>IF(ISBLANK(Deal_Master_Wide!$EI$22),"",Deal_Master_Wide!$EI$22)</f>
        <v/>
      </c>
      <c r="W136" s="17">
        <f>IF(ISBLANK(Deal_Master_Wide!$AF$22),"",Deal_Master_Wide!$AF$22)</f>
        <v>0</v>
      </c>
    </row>
    <row r="137" spans="1:23" ht="13.4" customHeight="1">
      <c r="A137" s="15" t="s">
        <v>413</v>
      </c>
      <c r="B137" s="15" t="s">
        <v>177</v>
      </c>
      <c r="C137" s="15">
        <v>1</v>
      </c>
      <c r="D137" s="15" t="s">
        <v>417</v>
      </c>
      <c r="E137" s="15" t="s">
        <v>419</v>
      </c>
      <c r="F137" s="15">
        <v>2016</v>
      </c>
      <c r="G137" s="15">
        <v>-1</v>
      </c>
      <c r="H137" s="15">
        <v>2015</v>
      </c>
      <c r="I137" s="15">
        <v>0</v>
      </c>
      <c r="J137" s="15">
        <v>0</v>
      </c>
      <c r="K137" s="16" t="e">
        <f>IF(#REF!="","",#REF!*$I137)</f>
        <v>#REF!</v>
      </c>
      <c r="L137" s="17" t="str">
        <f>IF(ISBLANK(Deal_Master_Wide!$BR$22),"",Deal_Master_Wide!$BR$22)</f>
        <v/>
      </c>
      <c r="M137" s="17" t="str">
        <f>IF(ISBLANK(Deal_Master_Wide!$BY$22),"",Deal_Master_Wide!$BY$22)</f>
        <v/>
      </c>
      <c r="N137" s="17" t="str">
        <f>IF(ISBLANK(Deal_Master_Wide!$CF$22),"",Deal_Master_Wide!$CF$22)</f>
        <v/>
      </c>
      <c r="O137" s="17" t="str">
        <f>IF(ISBLANK(Deal_Master_Wide!$CM$22),"",Deal_Master_Wide!$CM$22)</f>
        <v/>
      </c>
      <c r="P137" s="17" t="str">
        <f>IF(ISBLANK(Deal_Master_Wide!$CT$22),"",Deal_Master_Wide!$CT$22)</f>
        <v/>
      </c>
      <c r="Q137" s="17" t="str">
        <f>IF(ISBLANK(Deal_Master_Wide!$DA$22),"",Deal_Master_Wide!$DA$22)</f>
        <v/>
      </c>
      <c r="R137" s="18" t="str">
        <f>IF(ISBLANK(Deal_Master_Wide!$DH$22),"",Deal_Master_Wide!$DH$22)</f>
        <v/>
      </c>
      <c r="S137" s="18" t="str">
        <f>IF(ISBLANK(Deal_Master_Wide!$DO$22),"",Deal_Master_Wide!$DO$22)</f>
        <v/>
      </c>
      <c r="T137" s="18" t="str">
        <f>IF(ISBLANK(Deal_Master_Wide!$DV$22),"",Deal_Master_Wide!$DV$22)</f>
        <v/>
      </c>
      <c r="U137" s="17" t="str">
        <f>IF(ISBLANK(Deal_Master_Wide!$EC$22),"",Deal_Master_Wide!$EC$22)</f>
        <v/>
      </c>
      <c r="V137" s="17" t="str">
        <f>IF(ISBLANK(Deal_Master_Wide!$EJ$22),"",Deal_Master_Wide!$EJ$22)</f>
        <v/>
      </c>
      <c r="W137" s="17">
        <f>IF(ISBLANK(Deal_Master_Wide!$AF$22),"",Deal_Master_Wide!$AF$22)</f>
        <v>0</v>
      </c>
    </row>
    <row r="138" spans="1:23" ht="13.4" customHeight="1">
      <c r="A138" s="15" t="s">
        <v>413</v>
      </c>
      <c r="B138" s="15" t="s">
        <v>177</v>
      </c>
      <c r="C138" s="15">
        <v>1</v>
      </c>
      <c r="D138" s="15" t="s">
        <v>417</v>
      </c>
      <c r="E138" s="15" t="s">
        <v>419</v>
      </c>
      <c r="F138" s="15">
        <v>2016</v>
      </c>
      <c r="G138" s="15">
        <v>0</v>
      </c>
      <c r="H138" s="15">
        <v>2016</v>
      </c>
      <c r="I138" s="15">
        <v>0</v>
      </c>
      <c r="J138" s="15">
        <v>1</v>
      </c>
      <c r="K138" s="16" t="e">
        <f>IF(#REF!="","",#REF!*$I138)</f>
        <v>#REF!</v>
      </c>
      <c r="L138" s="17" t="str">
        <f>IF(ISBLANK(Deal_Master_Wide!$BS$22),"",Deal_Master_Wide!$BS$22)</f>
        <v/>
      </c>
      <c r="M138" s="17" t="str">
        <f>IF(ISBLANK(Deal_Master_Wide!$BZ$22),"",Deal_Master_Wide!$BZ$22)</f>
        <v/>
      </c>
      <c r="N138" s="17" t="str">
        <f>IF(ISBLANK(Deal_Master_Wide!$CG$22),"",Deal_Master_Wide!$CG$22)</f>
        <v/>
      </c>
      <c r="O138" s="17" t="str">
        <f>IF(ISBLANK(Deal_Master_Wide!$CN$22),"",Deal_Master_Wide!$CN$22)</f>
        <v/>
      </c>
      <c r="P138" s="17" t="str">
        <f>IF(ISBLANK(Deal_Master_Wide!$CU$22),"",Deal_Master_Wide!$CU$22)</f>
        <v/>
      </c>
      <c r="Q138" s="17" t="str">
        <f>IF(ISBLANK(Deal_Master_Wide!$DB$22),"",Deal_Master_Wide!$DB$22)</f>
        <v/>
      </c>
      <c r="R138" s="18" t="str">
        <f>IF(ISBLANK(Deal_Master_Wide!$DI$22),"",Deal_Master_Wide!$DI$22)</f>
        <v/>
      </c>
      <c r="S138" s="18" t="str">
        <f>IF(ISBLANK(Deal_Master_Wide!$DP$22),"",Deal_Master_Wide!$DP$22)</f>
        <v/>
      </c>
      <c r="T138" s="18" t="str">
        <f>IF(ISBLANK(Deal_Master_Wide!$DW$22),"",Deal_Master_Wide!$DW$22)</f>
        <v/>
      </c>
      <c r="U138" s="17" t="str">
        <f>IF(ISBLANK(Deal_Master_Wide!$ED$22),"",Deal_Master_Wide!$ED$22)</f>
        <v/>
      </c>
      <c r="V138" s="17" t="str">
        <f>IF(ISBLANK(Deal_Master_Wide!$EK$22),"",Deal_Master_Wide!$EK$22)</f>
        <v/>
      </c>
      <c r="W138" s="17">
        <f>IF(ISBLANK(Deal_Master_Wide!$AF$22),"",Deal_Master_Wide!$AF$22)</f>
        <v>0</v>
      </c>
    </row>
    <row r="139" spans="1:23" ht="13.4" customHeight="1">
      <c r="A139" s="15" t="s">
        <v>413</v>
      </c>
      <c r="B139" s="15" t="s">
        <v>177</v>
      </c>
      <c r="C139" s="15">
        <v>1</v>
      </c>
      <c r="D139" s="15" t="s">
        <v>417</v>
      </c>
      <c r="E139" s="15" t="s">
        <v>419</v>
      </c>
      <c r="F139" s="15">
        <v>2016</v>
      </c>
      <c r="G139" s="15">
        <v>1</v>
      </c>
      <c r="H139" s="15">
        <v>2017</v>
      </c>
      <c r="I139" s="15">
        <v>1</v>
      </c>
      <c r="J139" s="15">
        <v>1</v>
      </c>
      <c r="K139" s="16" t="e">
        <f>IF(#REF!="","",#REF!*$I139)</f>
        <v>#REF!</v>
      </c>
      <c r="L139" s="17" t="str">
        <f>IF(ISBLANK(Deal_Master_Wide!$BT$22),"",Deal_Master_Wide!$BT$22)</f>
        <v/>
      </c>
      <c r="M139" s="17" t="str">
        <f>IF(ISBLANK(Deal_Master_Wide!$CA$22),"",Deal_Master_Wide!$CA$22)</f>
        <v/>
      </c>
      <c r="N139" s="17" t="str">
        <f>IF(ISBLANK(Deal_Master_Wide!$CH$22),"",Deal_Master_Wide!$CH$22)</f>
        <v/>
      </c>
      <c r="O139" s="17" t="str">
        <f>IF(ISBLANK(Deal_Master_Wide!$CO$22),"",Deal_Master_Wide!$CO$22)</f>
        <v/>
      </c>
      <c r="P139" s="17" t="str">
        <f>IF(ISBLANK(Deal_Master_Wide!$CV$22),"",Deal_Master_Wide!$CV$22)</f>
        <v/>
      </c>
      <c r="Q139" s="17" t="str">
        <f>IF(ISBLANK(Deal_Master_Wide!$DC$22),"",Deal_Master_Wide!$DC$22)</f>
        <v/>
      </c>
      <c r="R139" s="18" t="str">
        <f>IF(ISBLANK(Deal_Master_Wide!$DJ$22),"",Deal_Master_Wide!$DJ$22)</f>
        <v/>
      </c>
      <c r="S139" s="18" t="str">
        <f>IF(ISBLANK(Deal_Master_Wide!$DQ$22),"",Deal_Master_Wide!$DQ$22)</f>
        <v/>
      </c>
      <c r="T139" s="18" t="str">
        <f>IF(ISBLANK(Deal_Master_Wide!$DX$22),"",Deal_Master_Wide!$DX$22)</f>
        <v/>
      </c>
      <c r="U139" s="17" t="str">
        <f>IF(ISBLANK(Deal_Master_Wide!$EE$22),"",Deal_Master_Wide!$EE$22)</f>
        <v/>
      </c>
      <c r="V139" s="17" t="str">
        <f>IF(ISBLANK(Deal_Master_Wide!$EL$22),"",Deal_Master_Wide!$EL$22)</f>
        <v/>
      </c>
      <c r="W139" s="17">
        <f>IF(ISBLANK(Deal_Master_Wide!$AF$22),"",Deal_Master_Wide!$AF$22)</f>
        <v>0</v>
      </c>
    </row>
    <row r="140" spans="1:23" ht="13.4" customHeight="1">
      <c r="A140" s="15" t="s">
        <v>413</v>
      </c>
      <c r="B140" s="15" t="s">
        <v>177</v>
      </c>
      <c r="C140" s="15">
        <v>1</v>
      </c>
      <c r="D140" s="15" t="s">
        <v>417</v>
      </c>
      <c r="E140" s="15" t="s">
        <v>419</v>
      </c>
      <c r="F140" s="15">
        <v>2016</v>
      </c>
      <c r="G140" s="15">
        <v>2</v>
      </c>
      <c r="H140" s="15">
        <v>2018</v>
      </c>
      <c r="I140" s="15">
        <v>1</v>
      </c>
      <c r="J140" s="15">
        <v>1</v>
      </c>
      <c r="K140" s="16" t="e">
        <f>IF(#REF!="","",#REF!*$I140)</f>
        <v>#REF!</v>
      </c>
      <c r="L140" s="17" t="str">
        <f>IF(ISBLANK(Deal_Master_Wide!$BU$22),"",Deal_Master_Wide!$BU$22)</f>
        <v/>
      </c>
      <c r="M140" s="17" t="str">
        <f>IF(ISBLANK(Deal_Master_Wide!$CB$22),"",Deal_Master_Wide!$CB$22)</f>
        <v/>
      </c>
      <c r="N140" s="17" t="str">
        <f>IF(ISBLANK(Deal_Master_Wide!$CI$22),"",Deal_Master_Wide!$CI$22)</f>
        <v/>
      </c>
      <c r="O140" s="17" t="str">
        <f>IF(ISBLANK(Deal_Master_Wide!$CP$22),"",Deal_Master_Wide!$CP$22)</f>
        <v/>
      </c>
      <c r="P140" s="17" t="str">
        <f>IF(ISBLANK(Deal_Master_Wide!$CW$22),"",Deal_Master_Wide!$CW$22)</f>
        <v/>
      </c>
      <c r="Q140" s="17" t="str">
        <f>IF(ISBLANK(Deal_Master_Wide!$DD$22),"",Deal_Master_Wide!$DD$22)</f>
        <v/>
      </c>
      <c r="R140" s="18" t="str">
        <f>IF(ISBLANK(Deal_Master_Wide!$DK$22),"",Deal_Master_Wide!$DK$22)</f>
        <v/>
      </c>
      <c r="S140" s="18" t="str">
        <f>IF(ISBLANK(Deal_Master_Wide!$DR$22),"",Deal_Master_Wide!$DR$22)</f>
        <v/>
      </c>
      <c r="T140" s="18" t="str">
        <f>IF(ISBLANK(Deal_Master_Wide!$DY$22),"",Deal_Master_Wide!$DY$22)</f>
        <v/>
      </c>
      <c r="U140" s="17" t="str">
        <f>IF(ISBLANK(Deal_Master_Wide!$EF$22),"",Deal_Master_Wide!$EF$22)</f>
        <v/>
      </c>
      <c r="V140" s="17" t="str">
        <f>IF(ISBLANK(Deal_Master_Wide!$EM$22),"",Deal_Master_Wide!$EM$22)</f>
        <v/>
      </c>
      <c r="W140" s="17">
        <f>IF(ISBLANK(Deal_Master_Wide!$AF$22),"",Deal_Master_Wide!$AF$22)</f>
        <v>0</v>
      </c>
    </row>
    <row r="141" spans="1:23" ht="13.4" customHeight="1">
      <c r="A141" s="15" t="s">
        <v>413</v>
      </c>
      <c r="B141" s="15" t="s">
        <v>177</v>
      </c>
      <c r="C141" s="15">
        <v>1</v>
      </c>
      <c r="D141" s="15" t="s">
        <v>417</v>
      </c>
      <c r="E141" s="15" t="s">
        <v>419</v>
      </c>
      <c r="F141" s="15">
        <v>2016</v>
      </c>
      <c r="G141" s="15">
        <v>3</v>
      </c>
      <c r="H141" s="15">
        <v>2019</v>
      </c>
      <c r="I141" s="15">
        <v>1</v>
      </c>
      <c r="J141" s="15">
        <v>1</v>
      </c>
      <c r="K141" s="16" t="e">
        <f>IF(#REF!="","",#REF!*$I141)</f>
        <v>#REF!</v>
      </c>
      <c r="L141" s="17" t="str">
        <f>IF(ISBLANK(Deal_Master_Wide!$BV$22),"",Deal_Master_Wide!$BV$22)</f>
        <v/>
      </c>
      <c r="M141" s="17" t="str">
        <f>IF(ISBLANK(Deal_Master_Wide!$CC$22),"",Deal_Master_Wide!$CC$22)</f>
        <v/>
      </c>
      <c r="N141" s="17" t="str">
        <f>IF(ISBLANK(Deal_Master_Wide!$CJ$22),"",Deal_Master_Wide!$CJ$22)</f>
        <v/>
      </c>
      <c r="O141" s="17" t="str">
        <f>IF(ISBLANK(Deal_Master_Wide!$CQ$22),"",Deal_Master_Wide!$CQ$22)</f>
        <v/>
      </c>
      <c r="P141" s="17" t="str">
        <f>IF(ISBLANK(Deal_Master_Wide!$CX$22),"",Deal_Master_Wide!$CX$22)</f>
        <v/>
      </c>
      <c r="Q141" s="17" t="str">
        <f>IF(ISBLANK(Deal_Master_Wide!$DE$22),"",Deal_Master_Wide!$DE$22)</f>
        <v/>
      </c>
      <c r="R141" s="18" t="str">
        <f>IF(ISBLANK(Deal_Master_Wide!$DL$22),"",Deal_Master_Wide!$DL$22)</f>
        <v/>
      </c>
      <c r="S141" s="18" t="str">
        <f>IF(ISBLANK(Deal_Master_Wide!$DS$22),"",Deal_Master_Wide!$DS$22)</f>
        <v/>
      </c>
      <c r="T141" s="18" t="str">
        <f>IF(ISBLANK(Deal_Master_Wide!$DZ$22),"",Deal_Master_Wide!$DZ$22)</f>
        <v/>
      </c>
      <c r="U141" s="17" t="str">
        <f>IF(ISBLANK(Deal_Master_Wide!$EG$22),"",Deal_Master_Wide!$EG$22)</f>
        <v/>
      </c>
      <c r="V141" s="17" t="str">
        <f>IF(ISBLANK(Deal_Master_Wide!$EN$22),"",Deal_Master_Wide!$EN$22)</f>
        <v/>
      </c>
      <c r="W141" s="17">
        <f>IF(ISBLANK(Deal_Master_Wide!$AF$22),"",Deal_Master_Wide!$AF$22)</f>
        <v>0</v>
      </c>
    </row>
    <row r="142" spans="1:23" ht="13.4" customHeight="1">
      <c r="A142" s="15" t="s">
        <v>423</v>
      </c>
      <c r="B142" s="15" t="s">
        <v>177</v>
      </c>
      <c r="C142" s="15">
        <v>1</v>
      </c>
      <c r="D142" s="15" t="s">
        <v>427</v>
      </c>
      <c r="E142" s="15" t="s">
        <v>429</v>
      </c>
      <c r="F142" s="15">
        <v>2016</v>
      </c>
      <c r="G142" s="15">
        <v>-3</v>
      </c>
      <c r="H142" s="15">
        <v>2013</v>
      </c>
      <c r="I142" s="15">
        <v>0</v>
      </c>
      <c r="J142" s="15">
        <v>0</v>
      </c>
      <c r="K142" s="16" t="e">
        <f>IF(#REF!="","",#REF!*$I142)</f>
        <v>#REF!</v>
      </c>
      <c r="L142" s="17" t="str">
        <f>IF(ISBLANK(Deal_Master_Wide!$BP$23),"",Deal_Master_Wide!$BP$23)</f>
        <v/>
      </c>
      <c r="M142" s="17" t="str">
        <f>IF(ISBLANK(Deal_Master_Wide!$BW$23),"",Deal_Master_Wide!$BW$23)</f>
        <v/>
      </c>
      <c r="N142" s="17" t="str">
        <f>IF(ISBLANK(Deal_Master_Wide!$CD$23),"",Deal_Master_Wide!$CD$23)</f>
        <v/>
      </c>
      <c r="O142" s="17" t="str">
        <f>IF(ISBLANK(Deal_Master_Wide!$CK$23),"",Deal_Master_Wide!$CK$23)</f>
        <v/>
      </c>
      <c r="P142" s="17" t="str">
        <f>IF(ISBLANK(Deal_Master_Wide!$CR$23),"",Deal_Master_Wide!$CR$23)</f>
        <v/>
      </c>
      <c r="Q142" s="17" t="str">
        <f>IF(ISBLANK(Deal_Master_Wide!$CY$23),"",Deal_Master_Wide!$CY$23)</f>
        <v/>
      </c>
      <c r="R142" s="18" t="str">
        <f>IF(ISBLANK(Deal_Master_Wide!$DF$23),"",Deal_Master_Wide!$DF$23)</f>
        <v/>
      </c>
      <c r="S142" s="18" t="str">
        <f>IF(ISBLANK(Deal_Master_Wide!$DM$23),"",Deal_Master_Wide!$DM$23)</f>
        <v/>
      </c>
      <c r="T142" s="18" t="str">
        <f>IF(ISBLANK(Deal_Master_Wide!$DT$23),"",Deal_Master_Wide!$DT$23)</f>
        <v/>
      </c>
      <c r="U142" s="17" t="str">
        <f>IF(ISBLANK(Deal_Master_Wide!$EA$23),"",Deal_Master_Wide!$EA$23)</f>
        <v/>
      </c>
      <c r="V142" s="17" t="str">
        <f>IF(ISBLANK(Deal_Master_Wide!$EH$23),"",Deal_Master_Wide!$EH$23)</f>
        <v/>
      </c>
      <c r="W142" s="17" t="str">
        <f>IF(ISBLANK(Deal_Master_Wide!$AF$23),"",Deal_Master_Wide!$AF$23)</f>
        <v/>
      </c>
    </row>
    <row r="143" spans="1:23" ht="13.4" customHeight="1">
      <c r="A143" s="15" t="s">
        <v>423</v>
      </c>
      <c r="B143" s="15" t="s">
        <v>177</v>
      </c>
      <c r="C143" s="15">
        <v>1</v>
      </c>
      <c r="D143" s="15" t="s">
        <v>427</v>
      </c>
      <c r="E143" s="15" t="s">
        <v>429</v>
      </c>
      <c r="F143" s="15">
        <v>2016</v>
      </c>
      <c r="G143" s="15">
        <v>-2</v>
      </c>
      <c r="H143" s="15">
        <v>2014</v>
      </c>
      <c r="I143" s="15">
        <v>0</v>
      </c>
      <c r="J143" s="15">
        <v>0</v>
      </c>
      <c r="K143" s="16" t="e">
        <f>IF(#REF!="","",#REF!*$I143)</f>
        <v>#REF!</v>
      </c>
      <c r="L143" s="17" t="str">
        <f>IF(ISBLANK(Deal_Master_Wide!$BQ$23),"",Deal_Master_Wide!$BQ$23)</f>
        <v/>
      </c>
      <c r="M143" s="17" t="str">
        <f>IF(ISBLANK(Deal_Master_Wide!$BX$23),"",Deal_Master_Wide!$BX$23)</f>
        <v/>
      </c>
      <c r="N143" s="17" t="str">
        <f>IF(ISBLANK(Deal_Master_Wide!$CE$23),"",Deal_Master_Wide!$CE$23)</f>
        <v/>
      </c>
      <c r="O143" s="17" t="str">
        <f>IF(ISBLANK(Deal_Master_Wide!$CL$23),"",Deal_Master_Wide!$CL$23)</f>
        <v/>
      </c>
      <c r="P143" s="17" t="str">
        <f>IF(ISBLANK(Deal_Master_Wide!$CS$23),"",Deal_Master_Wide!$CS$23)</f>
        <v/>
      </c>
      <c r="Q143" s="17" t="str">
        <f>IF(ISBLANK(Deal_Master_Wide!$CZ$23),"",Deal_Master_Wide!$CZ$23)</f>
        <v/>
      </c>
      <c r="R143" s="18" t="str">
        <f>IF(ISBLANK(Deal_Master_Wide!$DG$23),"",Deal_Master_Wide!$DG$23)</f>
        <v/>
      </c>
      <c r="S143" s="18" t="str">
        <f>IF(ISBLANK(Deal_Master_Wide!$DN$23),"",Deal_Master_Wide!$DN$23)</f>
        <v/>
      </c>
      <c r="T143" s="18" t="str">
        <f>IF(ISBLANK(Deal_Master_Wide!$DU$23),"",Deal_Master_Wide!$DU$23)</f>
        <v/>
      </c>
      <c r="U143" s="17" t="str">
        <f>IF(ISBLANK(Deal_Master_Wide!$EB$23),"",Deal_Master_Wide!$EB$23)</f>
        <v/>
      </c>
      <c r="V143" s="17" t="str">
        <f>IF(ISBLANK(Deal_Master_Wide!$EI$23),"",Deal_Master_Wide!$EI$23)</f>
        <v/>
      </c>
      <c r="W143" s="17" t="str">
        <f>IF(ISBLANK(Deal_Master_Wide!$AF$23),"",Deal_Master_Wide!$AF$23)</f>
        <v/>
      </c>
    </row>
    <row r="144" spans="1:23" ht="13.4" customHeight="1">
      <c r="A144" s="15" t="s">
        <v>423</v>
      </c>
      <c r="B144" s="15" t="s">
        <v>177</v>
      </c>
      <c r="C144" s="15">
        <v>1</v>
      </c>
      <c r="D144" s="15" t="s">
        <v>427</v>
      </c>
      <c r="E144" s="15" t="s">
        <v>429</v>
      </c>
      <c r="F144" s="15">
        <v>2016</v>
      </c>
      <c r="G144" s="15">
        <v>-1</v>
      </c>
      <c r="H144" s="15">
        <v>2015</v>
      </c>
      <c r="I144" s="15">
        <v>0</v>
      </c>
      <c r="J144" s="15">
        <v>0</v>
      </c>
      <c r="K144" s="16" t="e">
        <f>IF(#REF!="","",#REF!*$I144)</f>
        <v>#REF!</v>
      </c>
      <c r="L144" s="17" t="str">
        <f>IF(ISBLANK(Deal_Master_Wide!$BR$23),"",Deal_Master_Wide!$BR$23)</f>
        <v/>
      </c>
      <c r="M144" s="17" t="str">
        <f>IF(ISBLANK(Deal_Master_Wide!$BY$23),"",Deal_Master_Wide!$BY$23)</f>
        <v/>
      </c>
      <c r="N144" s="17" t="str">
        <f>IF(ISBLANK(Deal_Master_Wide!$CF$23),"",Deal_Master_Wide!$CF$23)</f>
        <v/>
      </c>
      <c r="O144" s="17" t="str">
        <f>IF(ISBLANK(Deal_Master_Wide!$CM$23),"",Deal_Master_Wide!$CM$23)</f>
        <v/>
      </c>
      <c r="P144" s="17" t="str">
        <f>IF(ISBLANK(Deal_Master_Wide!$CT$23),"",Deal_Master_Wide!$CT$23)</f>
        <v/>
      </c>
      <c r="Q144" s="17" t="str">
        <f>IF(ISBLANK(Deal_Master_Wide!$DA$23),"",Deal_Master_Wide!$DA$23)</f>
        <v/>
      </c>
      <c r="R144" s="18" t="str">
        <f>IF(ISBLANK(Deal_Master_Wide!$DH$23),"",Deal_Master_Wide!$DH$23)</f>
        <v/>
      </c>
      <c r="S144" s="18" t="str">
        <f>IF(ISBLANK(Deal_Master_Wide!$DO$23),"",Deal_Master_Wide!$DO$23)</f>
        <v/>
      </c>
      <c r="T144" s="18" t="str">
        <f>IF(ISBLANK(Deal_Master_Wide!$DV$23),"",Deal_Master_Wide!$DV$23)</f>
        <v/>
      </c>
      <c r="U144" s="17" t="str">
        <f>IF(ISBLANK(Deal_Master_Wide!$EC$23),"",Deal_Master_Wide!$EC$23)</f>
        <v/>
      </c>
      <c r="V144" s="17" t="str">
        <f>IF(ISBLANK(Deal_Master_Wide!$EJ$23),"",Deal_Master_Wide!$EJ$23)</f>
        <v/>
      </c>
      <c r="W144" s="17" t="str">
        <f>IF(ISBLANK(Deal_Master_Wide!$AF$23),"",Deal_Master_Wide!$AF$23)</f>
        <v/>
      </c>
    </row>
    <row r="145" spans="1:23" ht="13.4" customHeight="1">
      <c r="A145" s="15" t="s">
        <v>423</v>
      </c>
      <c r="B145" s="15" t="s">
        <v>177</v>
      </c>
      <c r="C145" s="15">
        <v>1</v>
      </c>
      <c r="D145" s="15" t="s">
        <v>427</v>
      </c>
      <c r="E145" s="15" t="s">
        <v>429</v>
      </c>
      <c r="F145" s="15">
        <v>2016</v>
      </c>
      <c r="G145" s="15">
        <v>0</v>
      </c>
      <c r="H145" s="15">
        <v>2016</v>
      </c>
      <c r="I145" s="15">
        <v>0</v>
      </c>
      <c r="J145" s="15">
        <v>1</v>
      </c>
      <c r="K145" s="16" t="e">
        <f>IF(#REF!="","",#REF!*$I145)</f>
        <v>#REF!</v>
      </c>
      <c r="L145" s="17" t="str">
        <f>IF(ISBLANK(Deal_Master_Wide!$BS$23),"",Deal_Master_Wide!$BS$23)</f>
        <v/>
      </c>
      <c r="M145" s="17" t="str">
        <f>IF(ISBLANK(Deal_Master_Wide!$BZ$23),"",Deal_Master_Wide!$BZ$23)</f>
        <v/>
      </c>
      <c r="N145" s="17" t="str">
        <f>IF(ISBLANK(Deal_Master_Wide!$CG$23),"",Deal_Master_Wide!$CG$23)</f>
        <v/>
      </c>
      <c r="O145" s="17" t="str">
        <f>IF(ISBLANK(Deal_Master_Wide!$CN$23),"",Deal_Master_Wide!$CN$23)</f>
        <v/>
      </c>
      <c r="P145" s="17" t="str">
        <f>IF(ISBLANK(Deal_Master_Wide!$CU$23),"",Deal_Master_Wide!$CU$23)</f>
        <v/>
      </c>
      <c r="Q145" s="17" t="str">
        <f>IF(ISBLANK(Deal_Master_Wide!$DB$23),"",Deal_Master_Wide!$DB$23)</f>
        <v/>
      </c>
      <c r="R145" s="18" t="str">
        <f>IF(ISBLANK(Deal_Master_Wide!$DI$23),"",Deal_Master_Wide!$DI$23)</f>
        <v/>
      </c>
      <c r="S145" s="18" t="str">
        <f>IF(ISBLANK(Deal_Master_Wide!$DP$23),"",Deal_Master_Wide!$DP$23)</f>
        <v/>
      </c>
      <c r="T145" s="18" t="str">
        <f>IF(ISBLANK(Deal_Master_Wide!$DW$23),"",Deal_Master_Wide!$DW$23)</f>
        <v/>
      </c>
      <c r="U145" s="17" t="str">
        <f>IF(ISBLANK(Deal_Master_Wide!$ED$23),"",Deal_Master_Wide!$ED$23)</f>
        <v/>
      </c>
      <c r="V145" s="17" t="str">
        <f>IF(ISBLANK(Deal_Master_Wide!$EK$23),"",Deal_Master_Wide!$EK$23)</f>
        <v/>
      </c>
      <c r="W145" s="17" t="str">
        <f>IF(ISBLANK(Deal_Master_Wide!$AF$23),"",Deal_Master_Wide!$AF$23)</f>
        <v/>
      </c>
    </row>
    <row r="146" spans="1:23" ht="13.4" customHeight="1">
      <c r="A146" s="15" t="s">
        <v>423</v>
      </c>
      <c r="B146" s="15" t="s">
        <v>177</v>
      </c>
      <c r="C146" s="15">
        <v>1</v>
      </c>
      <c r="D146" s="15" t="s">
        <v>427</v>
      </c>
      <c r="E146" s="15" t="s">
        <v>429</v>
      </c>
      <c r="F146" s="15">
        <v>2016</v>
      </c>
      <c r="G146" s="15">
        <v>1</v>
      </c>
      <c r="H146" s="15">
        <v>2017</v>
      </c>
      <c r="I146" s="15">
        <v>1</v>
      </c>
      <c r="J146" s="15">
        <v>1</v>
      </c>
      <c r="K146" s="16" t="e">
        <f>IF(#REF!="","",#REF!*$I146)</f>
        <v>#REF!</v>
      </c>
      <c r="L146" s="17" t="str">
        <f>IF(ISBLANK(Deal_Master_Wide!$BT$23),"",Deal_Master_Wide!$BT$23)</f>
        <v/>
      </c>
      <c r="M146" s="17" t="str">
        <f>IF(ISBLANK(Deal_Master_Wide!$CA$23),"",Deal_Master_Wide!$CA$23)</f>
        <v/>
      </c>
      <c r="N146" s="17" t="str">
        <f>IF(ISBLANK(Deal_Master_Wide!$CH$23),"",Deal_Master_Wide!$CH$23)</f>
        <v/>
      </c>
      <c r="O146" s="17" t="str">
        <f>IF(ISBLANK(Deal_Master_Wide!$CO$23),"",Deal_Master_Wide!$CO$23)</f>
        <v/>
      </c>
      <c r="P146" s="17" t="str">
        <f>IF(ISBLANK(Deal_Master_Wide!$CV$23),"",Deal_Master_Wide!$CV$23)</f>
        <v/>
      </c>
      <c r="Q146" s="17" t="str">
        <f>IF(ISBLANK(Deal_Master_Wide!$DC$23),"",Deal_Master_Wide!$DC$23)</f>
        <v/>
      </c>
      <c r="R146" s="18" t="str">
        <f>IF(ISBLANK(Deal_Master_Wide!$DJ$23),"",Deal_Master_Wide!$DJ$23)</f>
        <v/>
      </c>
      <c r="S146" s="18" t="str">
        <f>IF(ISBLANK(Deal_Master_Wide!$DQ$23),"",Deal_Master_Wide!$DQ$23)</f>
        <v/>
      </c>
      <c r="T146" s="18" t="str">
        <f>IF(ISBLANK(Deal_Master_Wide!$DX$23),"",Deal_Master_Wide!$DX$23)</f>
        <v/>
      </c>
      <c r="U146" s="17" t="str">
        <f>IF(ISBLANK(Deal_Master_Wide!$EE$23),"",Deal_Master_Wide!$EE$23)</f>
        <v/>
      </c>
      <c r="V146" s="17" t="str">
        <f>IF(ISBLANK(Deal_Master_Wide!$EL$23),"",Deal_Master_Wide!$EL$23)</f>
        <v/>
      </c>
      <c r="W146" s="17" t="str">
        <f>IF(ISBLANK(Deal_Master_Wide!$AF$23),"",Deal_Master_Wide!$AF$23)</f>
        <v/>
      </c>
    </row>
    <row r="147" spans="1:23" ht="13.4" customHeight="1">
      <c r="A147" s="15" t="s">
        <v>423</v>
      </c>
      <c r="B147" s="15" t="s">
        <v>177</v>
      </c>
      <c r="C147" s="15">
        <v>1</v>
      </c>
      <c r="D147" s="15" t="s">
        <v>427</v>
      </c>
      <c r="E147" s="15" t="s">
        <v>429</v>
      </c>
      <c r="F147" s="15">
        <v>2016</v>
      </c>
      <c r="G147" s="15">
        <v>2</v>
      </c>
      <c r="H147" s="15">
        <v>2018</v>
      </c>
      <c r="I147" s="15">
        <v>1</v>
      </c>
      <c r="J147" s="15">
        <v>1</v>
      </c>
      <c r="K147" s="16" t="e">
        <f>IF(#REF!="","",#REF!*$I147)</f>
        <v>#REF!</v>
      </c>
      <c r="L147" s="17" t="str">
        <f>IF(ISBLANK(Deal_Master_Wide!$BU$23),"",Deal_Master_Wide!$BU$23)</f>
        <v/>
      </c>
      <c r="M147" s="17" t="str">
        <f>IF(ISBLANK(Deal_Master_Wide!$CB$23),"",Deal_Master_Wide!$CB$23)</f>
        <v/>
      </c>
      <c r="N147" s="17" t="str">
        <f>IF(ISBLANK(Deal_Master_Wide!$CI$23),"",Deal_Master_Wide!$CI$23)</f>
        <v/>
      </c>
      <c r="O147" s="17" t="str">
        <f>IF(ISBLANK(Deal_Master_Wide!$CP$23),"",Deal_Master_Wide!$CP$23)</f>
        <v/>
      </c>
      <c r="P147" s="17" t="str">
        <f>IF(ISBLANK(Deal_Master_Wide!$CW$23),"",Deal_Master_Wide!$CW$23)</f>
        <v/>
      </c>
      <c r="Q147" s="17" t="str">
        <f>IF(ISBLANK(Deal_Master_Wide!$DD$23),"",Deal_Master_Wide!$DD$23)</f>
        <v/>
      </c>
      <c r="R147" s="18" t="str">
        <f>IF(ISBLANK(Deal_Master_Wide!$DK$23),"",Deal_Master_Wide!$DK$23)</f>
        <v/>
      </c>
      <c r="S147" s="18" t="str">
        <f>IF(ISBLANK(Deal_Master_Wide!$DR$23),"",Deal_Master_Wide!$DR$23)</f>
        <v/>
      </c>
      <c r="T147" s="18" t="str">
        <f>IF(ISBLANK(Deal_Master_Wide!$DY$23),"",Deal_Master_Wide!$DY$23)</f>
        <v/>
      </c>
      <c r="U147" s="17" t="str">
        <f>IF(ISBLANK(Deal_Master_Wide!$EF$23),"",Deal_Master_Wide!$EF$23)</f>
        <v/>
      </c>
      <c r="V147" s="17" t="str">
        <f>IF(ISBLANK(Deal_Master_Wide!$EM$23),"",Deal_Master_Wide!$EM$23)</f>
        <v/>
      </c>
      <c r="W147" s="17" t="str">
        <f>IF(ISBLANK(Deal_Master_Wide!$AF$23),"",Deal_Master_Wide!$AF$23)</f>
        <v/>
      </c>
    </row>
    <row r="148" spans="1:23" ht="13.4" customHeight="1">
      <c r="A148" s="15" t="s">
        <v>423</v>
      </c>
      <c r="B148" s="15" t="s">
        <v>177</v>
      </c>
      <c r="C148" s="15">
        <v>1</v>
      </c>
      <c r="D148" s="15" t="s">
        <v>427</v>
      </c>
      <c r="E148" s="15" t="s">
        <v>429</v>
      </c>
      <c r="F148" s="15">
        <v>2016</v>
      </c>
      <c r="G148" s="15">
        <v>3</v>
      </c>
      <c r="H148" s="15">
        <v>2019</v>
      </c>
      <c r="I148" s="15">
        <v>1</v>
      </c>
      <c r="J148" s="15">
        <v>1</v>
      </c>
      <c r="K148" s="16" t="e">
        <f>IF(#REF!="","",#REF!*$I148)</f>
        <v>#REF!</v>
      </c>
      <c r="L148" s="17" t="str">
        <f>IF(ISBLANK(Deal_Master_Wide!$BV$23),"",Deal_Master_Wide!$BV$23)</f>
        <v/>
      </c>
      <c r="M148" s="17" t="str">
        <f>IF(ISBLANK(Deal_Master_Wide!$CC$23),"",Deal_Master_Wide!$CC$23)</f>
        <v/>
      </c>
      <c r="N148" s="17" t="str">
        <f>IF(ISBLANK(Deal_Master_Wide!$CJ$23),"",Deal_Master_Wide!$CJ$23)</f>
        <v/>
      </c>
      <c r="O148" s="17" t="str">
        <f>IF(ISBLANK(Deal_Master_Wide!$CQ$23),"",Deal_Master_Wide!$CQ$23)</f>
        <v/>
      </c>
      <c r="P148" s="17" t="str">
        <f>IF(ISBLANK(Deal_Master_Wide!$CX$23),"",Deal_Master_Wide!$CX$23)</f>
        <v/>
      </c>
      <c r="Q148" s="17" t="str">
        <f>IF(ISBLANK(Deal_Master_Wide!$DE$23),"",Deal_Master_Wide!$DE$23)</f>
        <v/>
      </c>
      <c r="R148" s="18" t="str">
        <f>IF(ISBLANK(Deal_Master_Wide!$DL$23),"",Deal_Master_Wide!$DL$23)</f>
        <v/>
      </c>
      <c r="S148" s="18" t="str">
        <f>IF(ISBLANK(Deal_Master_Wide!$DS$23),"",Deal_Master_Wide!$DS$23)</f>
        <v/>
      </c>
      <c r="T148" s="18" t="str">
        <f>IF(ISBLANK(Deal_Master_Wide!$DZ$23),"",Deal_Master_Wide!$DZ$23)</f>
        <v/>
      </c>
      <c r="U148" s="17" t="str">
        <f>IF(ISBLANK(Deal_Master_Wide!$EG$23),"",Deal_Master_Wide!$EG$23)</f>
        <v/>
      </c>
      <c r="V148" s="17" t="str">
        <f>IF(ISBLANK(Deal_Master_Wide!$EN$23),"",Deal_Master_Wide!$EN$23)</f>
        <v/>
      </c>
      <c r="W148" s="17" t="str">
        <f>IF(ISBLANK(Deal_Master_Wide!$AF$23),"",Deal_Master_Wide!$AF$23)</f>
        <v/>
      </c>
    </row>
    <row r="149" spans="1:23" ht="13.4" customHeight="1">
      <c r="A149" s="15" t="s">
        <v>433</v>
      </c>
      <c r="B149" s="15" t="s">
        <v>177</v>
      </c>
      <c r="C149" s="15">
        <v>1</v>
      </c>
      <c r="D149" s="15" t="s">
        <v>439</v>
      </c>
      <c r="E149" s="15" t="s">
        <v>441</v>
      </c>
      <c r="F149" s="15">
        <v>2016</v>
      </c>
      <c r="G149" s="15">
        <v>-3</v>
      </c>
      <c r="H149" s="15">
        <v>2013</v>
      </c>
      <c r="I149" s="15">
        <v>0</v>
      </c>
      <c r="J149" s="15">
        <v>0</v>
      </c>
      <c r="K149" s="16" t="e">
        <f>IF(#REF!="","",#REF!*$I149)</f>
        <v>#REF!</v>
      </c>
      <c r="L149" s="17" t="str">
        <f>IF(ISBLANK(Deal_Master_Wide!$BP$24),"",Deal_Master_Wide!$BP$24)</f>
        <v/>
      </c>
      <c r="M149" s="17" t="str">
        <f>IF(ISBLANK(Deal_Master_Wide!$BW$24),"",Deal_Master_Wide!$BW$24)</f>
        <v/>
      </c>
      <c r="N149" s="17" t="str">
        <f>IF(ISBLANK(Deal_Master_Wide!$CD$24),"",Deal_Master_Wide!$CD$24)</f>
        <v/>
      </c>
      <c r="O149" s="17" t="str">
        <f>IF(ISBLANK(Deal_Master_Wide!$CK$24),"",Deal_Master_Wide!$CK$24)</f>
        <v/>
      </c>
      <c r="P149" s="17" t="str">
        <f>IF(ISBLANK(Deal_Master_Wide!$CR$24),"",Deal_Master_Wide!$CR$24)</f>
        <v/>
      </c>
      <c r="Q149" s="17" t="str">
        <f>IF(ISBLANK(Deal_Master_Wide!$CY$24),"",Deal_Master_Wide!$CY$24)</f>
        <v/>
      </c>
      <c r="R149" s="18" t="str">
        <f>IF(ISBLANK(Deal_Master_Wide!$DF$24),"",Deal_Master_Wide!$DF$24)</f>
        <v/>
      </c>
      <c r="S149" s="18" t="str">
        <f>IF(ISBLANK(Deal_Master_Wide!$DM$24),"",Deal_Master_Wide!$DM$24)</f>
        <v/>
      </c>
      <c r="T149" s="18" t="str">
        <f>IF(ISBLANK(Deal_Master_Wide!$DT$24),"",Deal_Master_Wide!$DT$24)</f>
        <v/>
      </c>
      <c r="U149" s="17" t="str">
        <f>IF(ISBLANK(Deal_Master_Wide!$EA$24),"",Deal_Master_Wide!$EA$24)</f>
        <v/>
      </c>
      <c r="V149" s="17" t="str">
        <f>IF(ISBLANK(Deal_Master_Wide!$EH$24),"",Deal_Master_Wide!$EH$24)</f>
        <v/>
      </c>
      <c r="W149" s="17" t="str">
        <f>IF(ISBLANK(Deal_Master_Wide!$AF$24),"",Deal_Master_Wide!$AF$24)</f>
        <v/>
      </c>
    </row>
    <row r="150" spans="1:23" ht="13.4" customHeight="1">
      <c r="A150" s="15" t="s">
        <v>433</v>
      </c>
      <c r="B150" s="15" t="s">
        <v>177</v>
      </c>
      <c r="C150" s="15">
        <v>1</v>
      </c>
      <c r="D150" s="15" t="s">
        <v>439</v>
      </c>
      <c r="E150" s="15" t="s">
        <v>441</v>
      </c>
      <c r="F150" s="15">
        <v>2016</v>
      </c>
      <c r="G150" s="15">
        <v>-2</v>
      </c>
      <c r="H150" s="15">
        <v>2014</v>
      </c>
      <c r="I150" s="15">
        <v>0</v>
      </c>
      <c r="J150" s="15">
        <v>0</v>
      </c>
      <c r="K150" s="16" t="e">
        <f>IF(#REF!="","",#REF!*$I150)</f>
        <v>#REF!</v>
      </c>
      <c r="L150" s="17" t="str">
        <f>IF(ISBLANK(Deal_Master_Wide!$BQ$24),"",Deal_Master_Wide!$BQ$24)</f>
        <v/>
      </c>
      <c r="M150" s="17" t="str">
        <f>IF(ISBLANK(Deal_Master_Wide!$BX$24),"",Deal_Master_Wide!$BX$24)</f>
        <v/>
      </c>
      <c r="N150" s="17" t="str">
        <f>IF(ISBLANK(Deal_Master_Wide!$CE$24),"",Deal_Master_Wide!$CE$24)</f>
        <v/>
      </c>
      <c r="O150" s="17" t="str">
        <f>IF(ISBLANK(Deal_Master_Wide!$CL$24),"",Deal_Master_Wide!$CL$24)</f>
        <v/>
      </c>
      <c r="P150" s="17" t="str">
        <f>IF(ISBLANK(Deal_Master_Wide!$CS$24),"",Deal_Master_Wide!$CS$24)</f>
        <v/>
      </c>
      <c r="Q150" s="17" t="str">
        <f>IF(ISBLANK(Deal_Master_Wide!$CZ$24),"",Deal_Master_Wide!$CZ$24)</f>
        <v/>
      </c>
      <c r="R150" s="18" t="str">
        <f>IF(ISBLANK(Deal_Master_Wide!$DG$24),"",Deal_Master_Wide!$DG$24)</f>
        <v/>
      </c>
      <c r="S150" s="18" t="str">
        <f>IF(ISBLANK(Deal_Master_Wide!$DN$24),"",Deal_Master_Wide!$DN$24)</f>
        <v/>
      </c>
      <c r="T150" s="18" t="str">
        <f>IF(ISBLANK(Deal_Master_Wide!$DU$24),"",Deal_Master_Wide!$DU$24)</f>
        <v/>
      </c>
      <c r="U150" s="17" t="str">
        <f>IF(ISBLANK(Deal_Master_Wide!$EB$24),"",Deal_Master_Wide!$EB$24)</f>
        <v/>
      </c>
      <c r="V150" s="17" t="str">
        <f>IF(ISBLANK(Deal_Master_Wide!$EI$24),"",Deal_Master_Wide!$EI$24)</f>
        <v/>
      </c>
      <c r="W150" s="17" t="str">
        <f>IF(ISBLANK(Deal_Master_Wide!$AF$24),"",Deal_Master_Wide!$AF$24)</f>
        <v/>
      </c>
    </row>
    <row r="151" spans="1:23" ht="13.4" customHeight="1">
      <c r="A151" s="15" t="s">
        <v>433</v>
      </c>
      <c r="B151" s="15" t="s">
        <v>177</v>
      </c>
      <c r="C151" s="15">
        <v>1</v>
      </c>
      <c r="D151" s="15" t="s">
        <v>439</v>
      </c>
      <c r="E151" s="15" t="s">
        <v>441</v>
      </c>
      <c r="F151" s="15">
        <v>2016</v>
      </c>
      <c r="G151" s="15">
        <v>-1</v>
      </c>
      <c r="H151" s="15">
        <v>2015</v>
      </c>
      <c r="I151" s="15">
        <v>0</v>
      </c>
      <c r="J151" s="15">
        <v>0</v>
      </c>
      <c r="K151" s="16" t="e">
        <f>IF(#REF!="","",#REF!*$I151)</f>
        <v>#REF!</v>
      </c>
      <c r="L151" s="17" t="str">
        <f>IF(ISBLANK(Deal_Master_Wide!$BR$24),"",Deal_Master_Wide!$BR$24)</f>
        <v/>
      </c>
      <c r="M151" s="17" t="str">
        <f>IF(ISBLANK(Deal_Master_Wide!$BY$24),"",Deal_Master_Wide!$BY$24)</f>
        <v/>
      </c>
      <c r="N151" s="17" t="str">
        <f>IF(ISBLANK(Deal_Master_Wide!$CF$24),"",Deal_Master_Wide!$CF$24)</f>
        <v/>
      </c>
      <c r="O151" s="17" t="str">
        <f>IF(ISBLANK(Deal_Master_Wide!$CM$24),"",Deal_Master_Wide!$CM$24)</f>
        <v/>
      </c>
      <c r="P151" s="17" t="str">
        <f>IF(ISBLANK(Deal_Master_Wide!$CT$24),"",Deal_Master_Wide!$CT$24)</f>
        <v/>
      </c>
      <c r="Q151" s="17" t="str">
        <f>IF(ISBLANK(Deal_Master_Wide!$DA$24),"",Deal_Master_Wide!$DA$24)</f>
        <v/>
      </c>
      <c r="R151" s="18" t="str">
        <f>IF(ISBLANK(Deal_Master_Wide!$DH$24),"",Deal_Master_Wide!$DH$24)</f>
        <v/>
      </c>
      <c r="S151" s="18" t="str">
        <f>IF(ISBLANK(Deal_Master_Wide!$DO$24),"",Deal_Master_Wide!$DO$24)</f>
        <v/>
      </c>
      <c r="T151" s="18" t="str">
        <f>IF(ISBLANK(Deal_Master_Wide!$DV$24),"",Deal_Master_Wide!$DV$24)</f>
        <v/>
      </c>
      <c r="U151" s="17" t="str">
        <f>IF(ISBLANK(Deal_Master_Wide!$EC$24),"",Deal_Master_Wide!$EC$24)</f>
        <v/>
      </c>
      <c r="V151" s="17" t="str">
        <f>IF(ISBLANK(Deal_Master_Wide!$EJ$24),"",Deal_Master_Wide!$EJ$24)</f>
        <v/>
      </c>
      <c r="W151" s="17" t="str">
        <f>IF(ISBLANK(Deal_Master_Wide!$AF$24),"",Deal_Master_Wide!$AF$24)</f>
        <v/>
      </c>
    </row>
    <row r="152" spans="1:23" ht="13.4" customHeight="1">
      <c r="A152" s="15" t="s">
        <v>433</v>
      </c>
      <c r="B152" s="15" t="s">
        <v>177</v>
      </c>
      <c r="C152" s="15">
        <v>1</v>
      </c>
      <c r="D152" s="15" t="s">
        <v>439</v>
      </c>
      <c r="E152" s="15" t="s">
        <v>441</v>
      </c>
      <c r="F152" s="15">
        <v>2016</v>
      </c>
      <c r="G152" s="15">
        <v>0</v>
      </c>
      <c r="H152" s="15">
        <v>2016</v>
      </c>
      <c r="I152" s="15">
        <v>0</v>
      </c>
      <c r="J152" s="15">
        <v>1</v>
      </c>
      <c r="K152" s="16" t="e">
        <f>IF(#REF!="","",#REF!*$I152)</f>
        <v>#REF!</v>
      </c>
      <c r="L152" s="17" t="str">
        <f>IF(ISBLANK(Deal_Master_Wide!$BS$24),"",Deal_Master_Wide!$BS$24)</f>
        <v/>
      </c>
      <c r="M152" s="17" t="str">
        <f>IF(ISBLANK(Deal_Master_Wide!$BZ$24),"",Deal_Master_Wide!$BZ$24)</f>
        <v/>
      </c>
      <c r="N152" s="17" t="str">
        <f>IF(ISBLANK(Deal_Master_Wide!$CG$24),"",Deal_Master_Wide!$CG$24)</f>
        <v/>
      </c>
      <c r="O152" s="17" t="str">
        <f>IF(ISBLANK(Deal_Master_Wide!$CN$24),"",Deal_Master_Wide!$CN$24)</f>
        <v/>
      </c>
      <c r="P152" s="17" t="str">
        <f>IF(ISBLANK(Deal_Master_Wide!$CU$24),"",Deal_Master_Wide!$CU$24)</f>
        <v/>
      </c>
      <c r="Q152" s="17" t="str">
        <f>IF(ISBLANK(Deal_Master_Wide!$DB$24),"",Deal_Master_Wide!$DB$24)</f>
        <v/>
      </c>
      <c r="R152" s="18" t="str">
        <f>IF(ISBLANK(Deal_Master_Wide!$DI$24),"",Deal_Master_Wide!$DI$24)</f>
        <v/>
      </c>
      <c r="S152" s="18" t="str">
        <f>IF(ISBLANK(Deal_Master_Wide!$DP$24),"",Deal_Master_Wide!$DP$24)</f>
        <v/>
      </c>
      <c r="T152" s="18" t="str">
        <f>IF(ISBLANK(Deal_Master_Wide!$DW$24),"",Deal_Master_Wide!$DW$24)</f>
        <v/>
      </c>
      <c r="U152" s="17" t="str">
        <f>IF(ISBLANK(Deal_Master_Wide!$ED$24),"",Deal_Master_Wide!$ED$24)</f>
        <v/>
      </c>
      <c r="V152" s="17" t="str">
        <f>IF(ISBLANK(Deal_Master_Wide!$EK$24),"",Deal_Master_Wide!$EK$24)</f>
        <v/>
      </c>
      <c r="W152" s="17" t="str">
        <f>IF(ISBLANK(Deal_Master_Wide!$AF$24),"",Deal_Master_Wide!$AF$24)</f>
        <v/>
      </c>
    </row>
    <row r="153" spans="1:23" ht="13.4" customHeight="1">
      <c r="A153" s="15" t="s">
        <v>433</v>
      </c>
      <c r="B153" s="15" t="s">
        <v>177</v>
      </c>
      <c r="C153" s="15">
        <v>1</v>
      </c>
      <c r="D153" s="15" t="s">
        <v>439</v>
      </c>
      <c r="E153" s="15" t="s">
        <v>441</v>
      </c>
      <c r="F153" s="15">
        <v>2016</v>
      </c>
      <c r="G153" s="15">
        <v>1</v>
      </c>
      <c r="H153" s="15">
        <v>2017</v>
      </c>
      <c r="I153" s="15">
        <v>1</v>
      </c>
      <c r="J153" s="15">
        <v>1</v>
      </c>
      <c r="K153" s="16" t="e">
        <f>IF(#REF!="","",#REF!*$I153)</f>
        <v>#REF!</v>
      </c>
      <c r="L153" s="17" t="str">
        <f>IF(ISBLANK(Deal_Master_Wide!$BT$24),"",Deal_Master_Wide!$BT$24)</f>
        <v/>
      </c>
      <c r="M153" s="17" t="str">
        <f>IF(ISBLANK(Deal_Master_Wide!$CA$24),"",Deal_Master_Wide!$CA$24)</f>
        <v/>
      </c>
      <c r="N153" s="17" t="str">
        <f>IF(ISBLANK(Deal_Master_Wide!$CH$24),"",Deal_Master_Wide!$CH$24)</f>
        <v/>
      </c>
      <c r="O153" s="17" t="str">
        <f>IF(ISBLANK(Deal_Master_Wide!$CO$24),"",Deal_Master_Wide!$CO$24)</f>
        <v/>
      </c>
      <c r="P153" s="17" t="str">
        <f>IF(ISBLANK(Deal_Master_Wide!$CV$24),"",Deal_Master_Wide!$CV$24)</f>
        <v/>
      </c>
      <c r="Q153" s="17" t="str">
        <f>IF(ISBLANK(Deal_Master_Wide!$DC$24),"",Deal_Master_Wide!$DC$24)</f>
        <v/>
      </c>
      <c r="R153" s="18" t="str">
        <f>IF(ISBLANK(Deal_Master_Wide!$DJ$24),"",Deal_Master_Wide!$DJ$24)</f>
        <v/>
      </c>
      <c r="S153" s="18" t="str">
        <f>IF(ISBLANK(Deal_Master_Wide!$DQ$24),"",Deal_Master_Wide!$DQ$24)</f>
        <v/>
      </c>
      <c r="T153" s="18" t="str">
        <f>IF(ISBLANK(Deal_Master_Wide!$DX$24),"",Deal_Master_Wide!$DX$24)</f>
        <v/>
      </c>
      <c r="U153" s="17" t="str">
        <f>IF(ISBLANK(Deal_Master_Wide!$EE$24),"",Deal_Master_Wide!$EE$24)</f>
        <v/>
      </c>
      <c r="V153" s="17" t="str">
        <f>IF(ISBLANK(Deal_Master_Wide!$EL$24),"",Deal_Master_Wide!$EL$24)</f>
        <v/>
      </c>
      <c r="W153" s="17" t="str">
        <f>IF(ISBLANK(Deal_Master_Wide!$AF$24),"",Deal_Master_Wide!$AF$24)</f>
        <v/>
      </c>
    </row>
    <row r="154" spans="1:23" ht="13.4" customHeight="1">
      <c r="A154" s="15" t="s">
        <v>433</v>
      </c>
      <c r="B154" s="15" t="s">
        <v>177</v>
      </c>
      <c r="C154" s="15">
        <v>1</v>
      </c>
      <c r="D154" s="15" t="s">
        <v>439</v>
      </c>
      <c r="E154" s="15" t="s">
        <v>441</v>
      </c>
      <c r="F154" s="15">
        <v>2016</v>
      </c>
      <c r="G154" s="15">
        <v>2</v>
      </c>
      <c r="H154" s="15">
        <v>2018</v>
      </c>
      <c r="I154" s="15">
        <v>1</v>
      </c>
      <c r="J154" s="15">
        <v>1</v>
      </c>
      <c r="K154" s="16" t="e">
        <f>IF(#REF!="","",#REF!*$I154)</f>
        <v>#REF!</v>
      </c>
      <c r="L154" s="17" t="str">
        <f>IF(ISBLANK(Deal_Master_Wide!$BU$24),"",Deal_Master_Wide!$BU$24)</f>
        <v/>
      </c>
      <c r="M154" s="17" t="str">
        <f>IF(ISBLANK(Deal_Master_Wide!$CB$24),"",Deal_Master_Wide!$CB$24)</f>
        <v/>
      </c>
      <c r="N154" s="17" t="str">
        <f>IF(ISBLANK(Deal_Master_Wide!$CI$24),"",Deal_Master_Wide!$CI$24)</f>
        <v/>
      </c>
      <c r="O154" s="17" t="str">
        <f>IF(ISBLANK(Deal_Master_Wide!$CP$24),"",Deal_Master_Wide!$CP$24)</f>
        <v/>
      </c>
      <c r="P154" s="17" t="str">
        <f>IF(ISBLANK(Deal_Master_Wide!$CW$24),"",Deal_Master_Wide!$CW$24)</f>
        <v/>
      </c>
      <c r="Q154" s="17" t="str">
        <f>IF(ISBLANK(Deal_Master_Wide!$DD$24),"",Deal_Master_Wide!$DD$24)</f>
        <v/>
      </c>
      <c r="R154" s="18" t="str">
        <f>IF(ISBLANK(Deal_Master_Wide!$DK$24),"",Deal_Master_Wide!$DK$24)</f>
        <v/>
      </c>
      <c r="S154" s="18" t="str">
        <f>IF(ISBLANK(Deal_Master_Wide!$DR$24),"",Deal_Master_Wide!$DR$24)</f>
        <v/>
      </c>
      <c r="T154" s="18" t="str">
        <f>IF(ISBLANK(Deal_Master_Wide!$DY$24),"",Deal_Master_Wide!$DY$24)</f>
        <v/>
      </c>
      <c r="U154" s="17" t="str">
        <f>IF(ISBLANK(Deal_Master_Wide!$EF$24),"",Deal_Master_Wide!$EF$24)</f>
        <v/>
      </c>
      <c r="V154" s="17" t="str">
        <f>IF(ISBLANK(Deal_Master_Wide!$EM$24),"",Deal_Master_Wide!$EM$24)</f>
        <v/>
      </c>
      <c r="W154" s="17" t="str">
        <f>IF(ISBLANK(Deal_Master_Wide!$AF$24),"",Deal_Master_Wide!$AF$24)</f>
        <v/>
      </c>
    </row>
    <row r="155" spans="1:23" ht="13.4" customHeight="1">
      <c r="A155" s="15" t="s">
        <v>433</v>
      </c>
      <c r="B155" s="15" t="s">
        <v>177</v>
      </c>
      <c r="C155" s="15">
        <v>1</v>
      </c>
      <c r="D155" s="15" t="s">
        <v>439</v>
      </c>
      <c r="E155" s="15" t="s">
        <v>441</v>
      </c>
      <c r="F155" s="15">
        <v>2016</v>
      </c>
      <c r="G155" s="15">
        <v>3</v>
      </c>
      <c r="H155" s="15">
        <v>2019</v>
      </c>
      <c r="I155" s="15">
        <v>1</v>
      </c>
      <c r="J155" s="15">
        <v>1</v>
      </c>
      <c r="K155" s="16" t="e">
        <f>IF(#REF!="","",#REF!*$I155)</f>
        <v>#REF!</v>
      </c>
      <c r="L155" s="17" t="str">
        <f>IF(ISBLANK(Deal_Master_Wide!$BV$24),"",Deal_Master_Wide!$BV$24)</f>
        <v/>
      </c>
      <c r="M155" s="17" t="str">
        <f>IF(ISBLANK(Deal_Master_Wide!$CC$24),"",Deal_Master_Wide!$CC$24)</f>
        <v/>
      </c>
      <c r="N155" s="17" t="str">
        <f>IF(ISBLANK(Deal_Master_Wide!$CJ$24),"",Deal_Master_Wide!$CJ$24)</f>
        <v/>
      </c>
      <c r="O155" s="17" t="str">
        <f>IF(ISBLANK(Deal_Master_Wide!$CQ$24),"",Deal_Master_Wide!$CQ$24)</f>
        <v/>
      </c>
      <c r="P155" s="17" t="str">
        <f>IF(ISBLANK(Deal_Master_Wide!$CX$24),"",Deal_Master_Wide!$CX$24)</f>
        <v/>
      </c>
      <c r="Q155" s="17" t="str">
        <f>IF(ISBLANK(Deal_Master_Wide!$DE$24),"",Deal_Master_Wide!$DE$24)</f>
        <v/>
      </c>
      <c r="R155" s="18" t="str">
        <f>IF(ISBLANK(Deal_Master_Wide!$DL$24),"",Deal_Master_Wide!$DL$24)</f>
        <v/>
      </c>
      <c r="S155" s="18" t="str">
        <f>IF(ISBLANK(Deal_Master_Wide!$DS$24),"",Deal_Master_Wide!$DS$24)</f>
        <v/>
      </c>
      <c r="T155" s="18" t="str">
        <f>IF(ISBLANK(Deal_Master_Wide!$DZ$24),"",Deal_Master_Wide!$DZ$24)</f>
        <v/>
      </c>
      <c r="U155" s="17" t="str">
        <f>IF(ISBLANK(Deal_Master_Wide!$EG$24),"",Deal_Master_Wide!$EG$24)</f>
        <v/>
      </c>
      <c r="V155" s="17" t="str">
        <f>IF(ISBLANK(Deal_Master_Wide!$EN$24),"",Deal_Master_Wide!$EN$24)</f>
        <v/>
      </c>
      <c r="W155" s="17" t="str">
        <f>IF(ISBLANK(Deal_Master_Wide!$AF$24),"",Deal_Master_Wide!$AF$24)</f>
        <v/>
      </c>
    </row>
    <row r="156" spans="1:23" ht="13.4" customHeight="1">
      <c r="A156" s="15" t="s">
        <v>444</v>
      </c>
      <c r="B156" s="15" t="s">
        <v>177</v>
      </c>
      <c r="C156" s="15">
        <v>1</v>
      </c>
      <c r="D156" s="15" t="s">
        <v>449</v>
      </c>
      <c r="E156" s="15" t="s">
        <v>451</v>
      </c>
      <c r="F156" s="15">
        <v>2016</v>
      </c>
      <c r="G156" s="15">
        <v>-3</v>
      </c>
      <c r="H156" s="15">
        <v>2013</v>
      </c>
      <c r="I156" s="15">
        <v>0</v>
      </c>
      <c r="J156" s="15">
        <v>0</v>
      </c>
      <c r="K156" s="16" t="e">
        <f>IF(#REF!="","",#REF!*$I156)</f>
        <v>#REF!</v>
      </c>
      <c r="L156" s="17" t="str">
        <f>IF(ISBLANK(Deal_Master_Wide!$BP$25),"",Deal_Master_Wide!$BP$25)</f>
        <v/>
      </c>
      <c r="M156" s="17" t="str">
        <f>IF(ISBLANK(Deal_Master_Wide!$BW$25),"",Deal_Master_Wide!$BW$25)</f>
        <v/>
      </c>
      <c r="N156" s="17" t="str">
        <f>IF(ISBLANK(Deal_Master_Wide!$CD$25),"",Deal_Master_Wide!$CD$25)</f>
        <v/>
      </c>
      <c r="O156" s="17" t="str">
        <f>IF(ISBLANK(Deal_Master_Wide!$CK$25),"",Deal_Master_Wide!$CK$25)</f>
        <v/>
      </c>
      <c r="P156" s="17" t="str">
        <f>IF(ISBLANK(Deal_Master_Wide!$CR$25),"",Deal_Master_Wide!$CR$25)</f>
        <v/>
      </c>
      <c r="Q156" s="17" t="str">
        <f>IF(ISBLANK(Deal_Master_Wide!$CY$25),"",Deal_Master_Wide!$CY$25)</f>
        <v/>
      </c>
      <c r="R156" s="18" t="str">
        <f>IF(ISBLANK(Deal_Master_Wide!$DF$25),"",Deal_Master_Wide!$DF$25)</f>
        <v/>
      </c>
      <c r="S156" s="18" t="str">
        <f>IF(ISBLANK(Deal_Master_Wide!$DM$25),"",Deal_Master_Wide!$DM$25)</f>
        <v/>
      </c>
      <c r="T156" s="18" t="str">
        <f>IF(ISBLANK(Deal_Master_Wide!$DT$25),"",Deal_Master_Wide!$DT$25)</f>
        <v/>
      </c>
      <c r="U156" s="17" t="str">
        <f>IF(ISBLANK(Deal_Master_Wide!$EA$25),"",Deal_Master_Wide!$EA$25)</f>
        <v/>
      </c>
      <c r="V156" s="17" t="str">
        <f>IF(ISBLANK(Deal_Master_Wide!$EH$25),"",Deal_Master_Wide!$EH$25)</f>
        <v/>
      </c>
      <c r="W156" s="17">
        <f>IF(ISBLANK(Deal_Master_Wide!$AF$25),"",Deal_Master_Wide!$AF$25)</f>
        <v>358</v>
      </c>
    </row>
    <row r="157" spans="1:23" ht="13.4" customHeight="1">
      <c r="A157" s="15" t="s">
        <v>444</v>
      </c>
      <c r="B157" s="15" t="s">
        <v>177</v>
      </c>
      <c r="C157" s="15">
        <v>1</v>
      </c>
      <c r="D157" s="15" t="s">
        <v>449</v>
      </c>
      <c r="E157" s="15" t="s">
        <v>451</v>
      </c>
      <c r="F157" s="15">
        <v>2016</v>
      </c>
      <c r="G157" s="15">
        <v>-2</v>
      </c>
      <c r="H157" s="15">
        <v>2014</v>
      </c>
      <c r="I157" s="15">
        <v>0</v>
      </c>
      <c r="J157" s="15">
        <v>0</v>
      </c>
      <c r="K157" s="16" t="e">
        <f>IF(#REF!="","",#REF!*$I157)</f>
        <v>#REF!</v>
      </c>
      <c r="L157" s="17" t="str">
        <f>IF(ISBLANK(Deal_Master_Wide!$BQ$25),"",Deal_Master_Wide!$BQ$25)</f>
        <v/>
      </c>
      <c r="M157" s="17" t="str">
        <f>IF(ISBLANK(Deal_Master_Wide!$BX$25),"",Deal_Master_Wide!$BX$25)</f>
        <v/>
      </c>
      <c r="N157" s="17" t="str">
        <f>IF(ISBLANK(Deal_Master_Wide!$CE$25),"",Deal_Master_Wide!$CE$25)</f>
        <v/>
      </c>
      <c r="O157" s="17" t="str">
        <f>IF(ISBLANK(Deal_Master_Wide!$CL$25),"",Deal_Master_Wide!$CL$25)</f>
        <v/>
      </c>
      <c r="P157" s="17" t="str">
        <f>IF(ISBLANK(Deal_Master_Wide!$CS$25),"",Deal_Master_Wide!$CS$25)</f>
        <v/>
      </c>
      <c r="Q157" s="17" t="str">
        <f>IF(ISBLANK(Deal_Master_Wide!$CZ$25),"",Deal_Master_Wide!$CZ$25)</f>
        <v/>
      </c>
      <c r="R157" s="18" t="str">
        <f>IF(ISBLANK(Deal_Master_Wide!$DG$25),"",Deal_Master_Wide!$DG$25)</f>
        <v/>
      </c>
      <c r="S157" s="18" t="str">
        <f>IF(ISBLANK(Deal_Master_Wide!$DN$25),"",Deal_Master_Wide!$DN$25)</f>
        <v/>
      </c>
      <c r="T157" s="18" t="str">
        <f>IF(ISBLANK(Deal_Master_Wide!$DU$25),"",Deal_Master_Wide!$DU$25)</f>
        <v/>
      </c>
      <c r="U157" s="17" t="str">
        <f>IF(ISBLANK(Deal_Master_Wide!$EB$25),"",Deal_Master_Wide!$EB$25)</f>
        <v/>
      </c>
      <c r="V157" s="17" t="str">
        <f>IF(ISBLANK(Deal_Master_Wide!$EI$25),"",Deal_Master_Wide!$EI$25)</f>
        <v/>
      </c>
      <c r="W157" s="17">
        <f>IF(ISBLANK(Deal_Master_Wide!$AF$25),"",Deal_Master_Wide!$AF$25)</f>
        <v>358</v>
      </c>
    </row>
    <row r="158" spans="1:23" ht="13.4" customHeight="1">
      <c r="A158" s="15" t="s">
        <v>444</v>
      </c>
      <c r="B158" s="15" t="s">
        <v>177</v>
      </c>
      <c r="C158" s="15">
        <v>1</v>
      </c>
      <c r="D158" s="15" t="s">
        <v>449</v>
      </c>
      <c r="E158" s="15" t="s">
        <v>451</v>
      </c>
      <c r="F158" s="15">
        <v>2016</v>
      </c>
      <c r="G158" s="15">
        <v>-1</v>
      </c>
      <c r="H158" s="15">
        <v>2015</v>
      </c>
      <c r="I158" s="15">
        <v>0</v>
      </c>
      <c r="J158" s="15">
        <v>0</v>
      </c>
      <c r="K158" s="16" t="e">
        <f>IF(#REF!="","",#REF!*$I158)</f>
        <v>#REF!</v>
      </c>
      <c r="L158" s="17" t="str">
        <f>IF(ISBLANK(Deal_Master_Wide!$BR$25),"",Deal_Master_Wide!$BR$25)</f>
        <v/>
      </c>
      <c r="M158" s="17" t="str">
        <f>IF(ISBLANK(Deal_Master_Wide!$BY$25),"",Deal_Master_Wide!$BY$25)</f>
        <v/>
      </c>
      <c r="N158" s="17" t="str">
        <f>IF(ISBLANK(Deal_Master_Wide!$CF$25),"",Deal_Master_Wide!$CF$25)</f>
        <v/>
      </c>
      <c r="O158" s="17" t="str">
        <f>IF(ISBLANK(Deal_Master_Wide!$CM$25),"",Deal_Master_Wide!$CM$25)</f>
        <v/>
      </c>
      <c r="P158" s="17" t="str">
        <f>IF(ISBLANK(Deal_Master_Wide!$CT$25),"",Deal_Master_Wide!$CT$25)</f>
        <v/>
      </c>
      <c r="Q158" s="17" t="str">
        <f>IF(ISBLANK(Deal_Master_Wide!$DA$25),"",Deal_Master_Wide!$DA$25)</f>
        <v/>
      </c>
      <c r="R158" s="18" t="str">
        <f>IF(ISBLANK(Deal_Master_Wide!$DH$25),"",Deal_Master_Wide!$DH$25)</f>
        <v/>
      </c>
      <c r="S158" s="18" t="str">
        <f>IF(ISBLANK(Deal_Master_Wide!$DO$25),"",Deal_Master_Wide!$DO$25)</f>
        <v/>
      </c>
      <c r="T158" s="18" t="str">
        <f>IF(ISBLANK(Deal_Master_Wide!$DV$25),"",Deal_Master_Wide!$DV$25)</f>
        <v/>
      </c>
      <c r="U158" s="17" t="str">
        <f>IF(ISBLANK(Deal_Master_Wide!$EC$25),"",Deal_Master_Wide!$EC$25)</f>
        <v/>
      </c>
      <c r="V158" s="17" t="str">
        <f>IF(ISBLANK(Deal_Master_Wide!$EJ$25),"",Deal_Master_Wide!$EJ$25)</f>
        <v/>
      </c>
      <c r="W158" s="17">
        <f>IF(ISBLANK(Deal_Master_Wide!$AF$25),"",Deal_Master_Wide!$AF$25)</f>
        <v>358</v>
      </c>
    </row>
    <row r="159" spans="1:23" ht="13.4" customHeight="1">
      <c r="A159" s="15" t="s">
        <v>444</v>
      </c>
      <c r="B159" s="15" t="s">
        <v>177</v>
      </c>
      <c r="C159" s="15">
        <v>1</v>
      </c>
      <c r="D159" s="15" t="s">
        <v>449</v>
      </c>
      <c r="E159" s="15" t="s">
        <v>451</v>
      </c>
      <c r="F159" s="15">
        <v>2016</v>
      </c>
      <c r="G159" s="15">
        <v>0</v>
      </c>
      <c r="H159" s="15">
        <v>2016</v>
      </c>
      <c r="I159" s="15">
        <v>0</v>
      </c>
      <c r="J159" s="15">
        <v>1</v>
      </c>
      <c r="K159" s="16" t="e">
        <f>IF(#REF!="","",#REF!*$I159)</f>
        <v>#REF!</v>
      </c>
      <c r="L159" s="17" t="str">
        <f>IF(ISBLANK(Deal_Master_Wide!$BS$25),"",Deal_Master_Wide!$BS$25)</f>
        <v/>
      </c>
      <c r="M159" s="17" t="str">
        <f>IF(ISBLANK(Deal_Master_Wide!$BZ$25),"",Deal_Master_Wide!$BZ$25)</f>
        <v/>
      </c>
      <c r="N159" s="17" t="str">
        <f>IF(ISBLANK(Deal_Master_Wide!$CG$25),"",Deal_Master_Wide!$CG$25)</f>
        <v/>
      </c>
      <c r="O159" s="17" t="str">
        <f>IF(ISBLANK(Deal_Master_Wide!$CN$25),"",Deal_Master_Wide!$CN$25)</f>
        <v/>
      </c>
      <c r="P159" s="17" t="str">
        <f>IF(ISBLANK(Deal_Master_Wide!$CU$25),"",Deal_Master_Wide!$CU$25)</f>
        <v/>
      </c>
      <c r="Q159" s="17" t="str">
        <f>IF(ISBLANK(Deal_Master_Wide!$DB$25),"",Deal_Master_Wide!$DB$25)</f>
        <v/>
      </c>
      <c r="R159" s="18" t="str">
        <f>IF(ISBLANK(Deal_Master_Wide!$DI$25),"",Deal_Master_Wide!$DI$25)</f>
        <v/>
      </c>
      <c r="S159" s="18" t="str">
        <f>IF(ISBLANK(Deal_Master_Wide!$DP$25),"",Deal_Master_Wide!$DP$25)</f>
        <v/>
      </c>
      <c r="T159" s="18" t="str">
        <f>IF(ISBLANK(Deal_Master_Wide!$DW$25),"",Deal_Master_Wide!$DW$25)</f>
        <v/>
      </c>
      <c r="U159" s="17" t="str">
        <f>IF(ISBLANK(Deal_Master_Wide!$ED$25),"",Deal_Master_Wide!$ED$25)</f>
        <v/>
      </c>
      <c r="V159" s="17" t="str">
        <f>IF(ISBLANK(Deal_Master_Wide!$EK$25),"",Deal_Master_Wide!$EK$25)</f>
        <v/>
      </c>
      <c r="W159" s="17">
        <f>IF(ISBLANK(Deal_Master_Wide!$AF$25),"",Deal_Master_Wide!$AF$25)</f>
        <v>358</v>
      </c>
    </row>
    <row r="160" spans="1:23" ht="13.4" customHeight="1">
      <c r="A160" s="15" t="s">
        <v>444</v>
      </c>
      <c r="B160" s="15" t="s">
        <v>177</v>
      </c>
      <c r="C160" s="15">
        <v>1</v>
      </c>
      <c r="D160" s="15" t="s">
        <v>449</v>
      </c>
      <c r="E160" s="15" t="s">
        <v>451</v>
      </c>
      <c r="F160" s="15">
        <v>2016</v>
      </c>
      <c r="G160" s="15">
        <v>1</v>
      </c>
      <c r="H160" s="15">
        <v>2017</v>
      </c>
      <c r="I160" s="15">
        <v>1</v>
      </c>
      <c r="J160" s="15">
        <v>1</v>
      </c>
      <c r="K160" s="16" t="e">
        <f>IF(#REF!="","",#REF!*$I160)</f>
        <v>#REF!</v>
      </c>
      <c r="L160" s="17" t="str">
        <f>IF(ISBLANK(Deal_Master_Wide!$BT$25),"",Deal_Master_Wide!$BT$25)</f>
        <v/>
      </c>
      <c r="M160" s="17" t="str">
        <f>IF(ISBLANK(Deal_Master_Wide!$CA$25),"",Deal_Master_Wide!$CA$25)</f>
        <v/>
      </c>
      <c r="N160" s="17" t="str">
        <f>IF(ISBLANK(Deal_Master_Wide!$CH$25),"",Deal_Master_Wide!$CH$25)</f>
        <v/>
      </c>
      <c r="O160" s="17" t="str">
        <f>IF(ISBLANK(Deal_Master_Wide!$CO$25),"",Deal_Master_Wide!$CO$25)</f>
        <v/>
      </c>
      <c r="P160" s="17" t="str">
        <f>IF(ISBLANK(Deal_Master_Wide!$CV$25),"",Deal_Master_Wide!$CV$25)</f>
        <v/>
      </c>
      <c r="Q160" s="17" t="str">
        <f>IF(ISBLANK(Deal_Master_Wide!$DC$25),"",Deal_Master_Wide!$DC$25)</f>
        <v/>
      </c>
      <c r="R160" s="18" t="str">
        <f>IF(ISBLANK(Deal_Master_Wide!$DJ$25),"",Deal_Master_Wide!$DJ$25)</f>
        <v/>
      </c>
      <c r="S160" s="18" t="str">
        <f>IF(ISBLANK(Deal_Master_Wide!$DQ$25),"",Deal_Master_Wide!$DQ$25)</f>
        <v/>
      </c>
      <c r="T160" s="18" t="str">
        <f>IF(ISBLANK(Deal_Master_Wide!$DX$25),"",Deal_Master_Wide!$DX$25)</f>
        <v/>
      </c>
      <c r="U160" s="17" t="str">
        <f>IF(ISBLANK(Deal_Master_Wide!$EE$25),"",Deal_Master_Wide!$EE$25)</f>
        <v/>
      </c>
      <c r="V160" s="17" t="str">
        <f>IF(ISBLANK(Deal_Master_Wide!$EL$25),"",Deal_Master_Wide!$EL$25)</f>
        <v/>
      </c>
      <c r="W160" s="17">
        <f>IF(ISBLANK(Deal_Master_Wide!$AF$25),"",Deal_Master_Wide!$AF$25)</f>
        <v>358</v>
      </c>
    </row>
    <row r="161" spans="1:23" ht="13.4" customHeight="1">
      <c r="A161" s="15" t="s">
        <v>444</v>
      </c>
      <c r="B161" s="15" t="s">
        <v>177</v>
      </c>
      <c r="C161" s="15">
        <v>1</v>
      </c>
      <c r="D161" s="15" t="s">
        <v>449</v>
      </c>
      <c r="E161" s="15" t="s">
        <v>451</v>
      </c>
      <c r="F161" s="15">
        <v>2016</v>
      </c>
      <c r="G161" s="15">
        <v>2</v>
      </c>
      <c r="H161" s="15">
        <v>2018</v>
      </c>
      <c r="I161" s="15">
        <v>1</v>
      </c>
      <c r="J161" s="15">
        <v>1</v>
      </c>
      <c r="K161" s="16" t="e">
        <f>IF(#REF!="","",#REF!*$I161)</f>
        <v>#REF!</v>
      </c>
      <c r="L161" s="17" t="str">
        <f>IF(ISBLANK(Deal_Master_Wide!$BU$25),"",Deal_Master_Wide!$BU$25)</f>
        <v/>
      </c>
      <c r="M161" s="17" t="str">
        <f>IF(ISBLANK(Deal_Master_Wide!$CB$25),"",Deal_Master_Wide!$CB$25)</f>
        <v/>
      </c>
      <c r="N161" s="17" t="str">
        <f>IF(ISBLANK(Deal_Master_Wide!$CI$25),"",Deal_Master_Wide!$CI$25)</f>
        <v/>
      </c>
      <c r="O161" s="17" t="str">
        <f>IF(ISBLANK(Deal_Master_Wide!$CP$25),"",Deal_Master_Wide!$CP$25)</f>
        <v/>
      </c>
      <c r="P161" s="17" t="str">
        <f>IF(ISBLANK(Deal_Master_Wide!$CW$25),"",Deal_Master_Wide!$CW$25)</f>
        <v/>
      </c>
      <c r="Q161" s="17" t="str">
        <f>IF(ISBLANK(Deal_Master_Wide!$DD$25),"",Deal_Master_Wide!$DD$25)</f>
        <v/>
      </c>
      <c r="R161" s="18" t="str">
        <f>IF(ISBLANK(Deal_Master_Wide!$DK$25),"",Deal_Master_Wide!$DK$25)</f>
        <v/>
      </c>
      <c r="S161" s="18" t="str">
        <f>IF(ISBLANK(Deal_Master_Wide!$DR$25),"",Deal_Master_Wide!$DR$25)</f>
        <v/>
      </c>
      <c r="T161" s="18" t="str">
        <f>IF(ISBLANK(Deal_Master_Wide!$DY$25),"",Deal_Master_Wide!$DY$25)</f>
        <v/>
      </c>
      <c r="U161" s="17" t="str">
        <f>IF(ISBLANK(Deal_Master_Wide!$EF$25),"",Deal_Master_Wide!$EF$25)</f>
        <v/>
      </c>
      <c r="V161" s="17" t="str">
        <f>IF(ISBLANK(Deal_Master_Wide!$EM$25),"",Deal_Master_Wide!$EM$25)</f>
        <v/>
      </c>
      <c r="W161" s="17">
        <f>IF(ISBLANK(Deal_Master_Wide!$AF$25),"",Deal_Master_Wide!$AF$25)</f>
        <v>358</v>
      </c>
    </row>
    <row r="162" spans="1:23" ht="13.4" customHeight="1">
      <c r="A162" s="15" t="s">
        <v>444</v>
      </c>
      <c r="B162" s="15" t="s">
        <v>177</v>
      </c>
      <c r="C162" s="15">
        <v>1</v>
      </c>
      <c r="D162" s="15" t="s">
        <v>449</v>
      </c>
      <c r="E162" s="15" t="s">
        <v>451</v>
      </c>
      <c r="F162" s="15">
        <v>2016</v>
      </c>
      <c r="G162" s="15">
        <v>3</v>
      </c>
      <c r="H162" s="15">
        <v>2019</v>
      </c>
      <c r="I162" s="15">
        <v>1</v>
      </c>
      <c r="J162" s="15">
        <v>1</v>
      </c>
      <c r="K162" s="16" t="e">
        <f>IF(#REF!="","",#REF!*$I162)</f>
        <v>#REF!</v>
      </c>
      <c r="L162" s="17" t="str">
        <f>IF(ISBLANK(Deal_Master_Wide!$BV$25),"",Deal_Master_Wide!$BV$25)</f>
        <v/>
      </c>
      <c r="M162" s="17" t="str">
        <f>IF(ISBLANK(Deal_Master_Wide!$CC$25),"",Deal_Master_Wide!$CC$25)</f>
        <v/>
      </c>
      <c r="N162" s="17" t="str">
        <f>IF(ISBLANK(Deal_Master_Wide!$CJ$25),"",Deal_Master_Wide!$CJ$25)</f>
        <v/>
      </c>
      <c r="O162" s="17" t="str">
        <f>IF(ISBLANK(Deal_Master_Wide!$CQ$25),"",Deal_Master_Wide!$CQ$25)</f>
        <v/>
      </c>
      <c r="P162" s="17" t="str">
        <f>IF(ISBLANK(Deal_Master_Wide!$CX$25),"",Deal_Master_Wide!$CX$25)</f>
        <v/>
      </c>
      <c r="Q162" s="17" t="str">
        <f>IF(ISBLANK(Deal_Master_Wide!$DE$25),"",Deal_Master_Wide!$DE$25)</f>
        <v/>
      </c>
      <c r="R162" s="18" t="str">
        <f>IF(ISBLANK(Deal_Master_Wide!$DL$25),"",Deal_Master_Wide!$DL$25)</f>
        <v/>
      </c>
      <c r="S162" s="18" t="str">
        <f>IF(ISBLANK(Deal_Master_Wide!$DS$25),"",Deal_Master_Wide!$DS$25)</f>
        <v/>
      </c>
      <c r="T162" s="18" t="str">
        <f>IF(ISBLANK(Deal_Master_Wide!$DZ$25),"",Deal_Master_Wide!$DZ$25)</f>
        <v/>
      </c>
      <c r="U162" s="17" t="str">
        <f>IF(ISBLANK(Deal_Master_Wide!$EG$25),"",Deal_Master_Wide!$EG$25)</f>
        <v/>
      </c>
      <c r="V162" s="17" t="str">
        <f>IF(ISBLANK(Deal_Master_Wide!$EN$25),"",Deal_Master_Wide!$EN$25)</f>
        <v/>
      </c>
      <c r="W162" s="17">
        <f>IF(ISBLANK(Deal_Master_Wide!$AF$25),"",Deal_Master_Wide!$AF$25)</f>
        <v>358</v>
      </c>
    </row>
    <row r="163" spans="1:23" ht="13.4" customHeight="1">
      <c r="A163" s="15" t="s">
        <v>455</v>
      </c>
      <c r="B163" s="15" t="s">
        <v>177</v>
      </c>
      <c r="C163" s="15">
        <v>1</v>
      </c>
      <c r="D163" s="15" t="s">
        <v>460</v>
      </c>
      <c r="E163" s="15" t="s">
        <v>462</v>
      </c>
      <c r="F163" s="15">
        <v>2016</v>
      </c>
      <c r="G163" s="15">
        <v>-3</v>
      </c>
      <c r="H163" s="15">
        <v>2013</v>
      </c>
      <c r="I163" s="15">
        <v>0</v>
      </c>
      <c r="J163" s="15">
        <v>0</v>
      </c>
      <c r="K163" s="16" t="e">
        <f>IF(#REF!="","",#REF!*$I163)</f>
        <v>#REF!</v>
      </c>
      <c r="L163" s="17" t="str">
        <f>IF(ISBLANK(Deal_Master_Wide!$BP$26),"",Deal_Master_Wide!$BP$26)</f>
        <v/>
      </c>
      <c r="M163" s="17" t="str">
        <f>IF(ISBLANK(Deal_Master_Wide!$BW$26),"",Deal_Master_Wide!$BW$26)</f>
        <v/>
      </c>
      <c r="N163" s="17" t="str">
        <f>IF(ISBLANK(Deal_Master_Wide!$CD$26),"",Deal_Master_Wide!$CD$26)</f>
        <v/>
      </c>
      <c r="O163" s="17" t="str">
        <f>IF(ISBLANK(Deal_Master_Wide!$CK$26),"",Deal_Master_Wide!$CK$26)</f>
        <v/>
      </c>
      <c r="P163" s="17" t="str">
        <f>IF(ISBLANK(Deal_Master_Wide!$CR$26),"",Deal_Master_Wide!$CR$26)</f>
        <v/>
      </c>
      <c r="Q163" s="17" t="str">
        <f>IF(ISBLANK(Deal_Master_Wide!$CY$26),"",Deal_Master_Wide!$CY$26)</f>
        <v/>
      </c>
      <c r="R163" s="18" t="str">
        <f>IF(ISBLANK(Deal_Master_Wide!$DF$26),"",Deal_Master_Wide!$DF$26)</f>
        <v/>
      </c>
      <c r="S163" s="18" t="str">
        <f>IF(ISBLANK(Deal_Master_Wide!$DM$26),"",Deal_Master_Wide!$DM$26)</f>
        <v/>
      </c>
      <c r="T163" s="18" t="str">
        <f>IF(ISBLANK(Deal_Master_Wide!$DT$26),"",Deal_Master_Wide!$DT$26)</f>
        <v/>
      </c>
      <c r="U163" s="17" t="str">
        <f>IF(ISBLANK(Deal_Master_Wide!$EA$26),"",Deal_Master_Wide!$EA$26)</f>
        <v/>
      </c>
      <c r="V163" s="17" t="str">
        <f>IF(ISBLANK(Deal_Master_Wide!$EH$26),"",Deal_Master_Wide!$EH$26)</f>
        <v/>
      </c>
      <c r="W163" s="17">
        <f>IF(ISBLANK(Deal_Master_Wide!$AF$26),"",Deal_Master_Wide!$AF$26)</f>
        <v>627</v>
      </c>
    </row>
    <row r="164" spans="1:23" ht="13.4" customHeight="1">
      <c r="A164" s="15" t="s">
        <v>455</v>
      </c>
      <c r="B164" s="15" t="s">
        <v>177</v>
      </c>
      <c r="C164" s="15">
        <v>1</v>
      </c>
      <c r="D164" s="15" t="s">
        <v>460</v>
      </c>
      <c r="E164" s="15" t="s">
        <v>462</v>
      </c>
      <c r="F164" s="15">
        <v>2016</v>
      </c>
      <c r="G164" s="15">
        <v>-2</v>
      </c>
      <c r="H164" s="15">
        <v>2014</v>
      </c>
      <c r="I164" s="15">
        <v>0</v>
      </c>
      <c r="J164" s="15">
        <v>0</v>
      </c>
      <c r="K164" s="16" t="e">
        <f>IF(#REF!="","",#REF!*$I164)</f>
        <v>#REF!</v>
      </c>
      <c r="L164" s="17" t="str">
        <f>IF(ISBLANK(Deal_Master_Wide!$BQ$26),"",Deal_Master_Wide!$BQ$26)</f>
        <v/>
      </c>
      <c r="M164" s="17" t="str">
        <f>IF(ISBLANK(Deal_Master_Wide!$BX$26),"",Deal_Master_Wide!$BX$26)</f>
        <v/>
      </c>
      <c r="N164" s="17" t="str">
        <f>IF(ISBLANK(Deal_Master_Wide!$CE$26),"",Deal_Master_Wide!$CE$26)</f>
        <v/>
      </c>
      <c r="O164" s="17" t="str">
        <f>IF(ISBLANK(Deal_Master_Wide!$CL$26),"",Deal_Master_Wide!$CL$26)</f>
        <v/>
      </c>
      <c r="P164" s="17" t="str">
        <f>IF(ISBLANK(Deal_Master_Wide!$CS$26),"",Deal_Master_Wide!$CS$26)</f>
        <v/>
      </c>
      <c r="Q164" s="17" t="str">
        <f>IF(ISBLANK(Deal_Master_Wide!$CZ$26),"",Deal_Master_Wide!$CZ$26)</f>
        <v/>
      </c>
      <c r="R164" s="18" t="str">
        <f>IF(ISBLANK(Deal_Master_Wide!$DG$26),"",Deal_Master_Wide!$DG$26)</f>
        <v/>
      </c>
      <c r="S164" s="18" t="str">
        <f>IF(ISBLANK(Deal_Master_Wide!$DN$26),"",Deal_Master_Wide!$DN$26)</f>
        <v/>
      </c>
      <c r="T164" s="18" t="str">
        <f>IF(ISBLANK(Deal_Master_Wide!$DU$26),"",Deal_Master_Wide!$DU$26)</f>
        <v/>
      </c>
      <c r="U164" s="17" t="str">
        <f>IF(ISBLANK(Deal_Master_Wide!$EB$26),"",Deal_Master_Wide!$EB$26)</f>
        <v/>
      </c>
      <c r="V164" s="17" t="str">
        <f>IF(ISBLANK(Deal_Master_Wide!$EI$26),"",Deal_Master_Wide!$EI$26)</f>
        <v/>
      </c>
      <c r="W164" s="17">
        <f>IF(ISBLANK(Deal_Master_Wide!$AF$26),"",Deal_Master_Wide!$AF$26)</f>
        <v>627</v>
      </c>
    </row>
    <row r="165" spans="1:23" ht="13.4" customHeight="1">
      <c r="A165" s="15" t="s">
        <v>455</v>
      </c>
      <c r="B165" s="15" t="s">
        <v>177</v>
      </c>
      <c r="C165" s="15">
        <v>1</v>
      </c>
      <c r="D165" s="15" t="s">
        <v>460</v>
      </c>
      <c r="E165" s="15" t="s">
        <v>462</v>
      </c>
      <c r="F165" s="15">
        <v>2016</v>
      </c>
      <c r="G165" s="15">
        <v>-1</v>
      </c>
      <c r="H165" s="15">
        <v>2015</v>
      </c>
      <c r="I165" s="15">
        <v>0</v>
      </c>
      <c r="J165" s="15">
        <v>0</v>
      </c>
      <c r="K165" s="16" t="e">
        <f>IF(#REF!="","",#REF!*$I165)</f>
        <v>#REF!</v>
      </c>
      <c r="L165" s="17" t="str">
        <f>IF(ISBLANK(Deal_Master_Wide!$BR$26),"",Deal_Master_Wide!$BR$26)</f>
        <v/>
      </c>
      <c r="M165" s="17" t="str">
        <f>IF(ISBLANK(Deal_Master_Wide!$BY$26),"",Deal_Master_Wide!$BY$26)</f>
        <v/>
      </c>
      <c r="N165" s="17" t="str">
        <f>IF(ISBLANK(Deal_Master_Wide!$CF$26),"",Deal_Master_Wide!$CF$26)</f>
        <v/>
      </c>
      <c r="O165" s="17" t="str">
        <f>IF(ISBLANK(Deal_Master_Wide!$CM$26),"",Deal_Master_Wide!$CM$26)</f>
        <v/>
      </c>
      <c r="P165" s="17" t="str">
        <f>IF(ISBLANK(Deal_Master_Wide!$CT$26),"",Deal_Master_Wide!$CT$26)</f>
        <v/>
      </c>
      <c r="Q165" s="17" t="str">
        <f>IF(ISBLANK(Deal_Master_Wide!$DA$26),"",Deal_Master_Wide!$DA$26)</f>
        <v/>
      </c>
      <c r="R165" s="18" t="str">
        <f>IF(ISBLANK(Deal_Master_Wide!$DH$26),"",Deal_Master_Wide!$DH$26)</f>
        <v/>
      </c>
      <c r="S165" s="18" t="str">
        <f>IF(ISBLANK(Deal_Master_Wide!$DO$26),"",Deal_Master_Wide!$DO$26)</f>
        <v/>
      </c>
      <c r="T165" s="18" t="str">
        <f>IF(ISBLANK(Deal_Master_Wide!$DV$26),"",Deal_Master_Wide!$DV$26)</f>
        <v/>
      </c>
      <c r="U165" s="17" t="str">
        <f>IF(ISBLANK(Deal_Master_Wide!$EC$26),"",Deal_Master_Wide!$EC$26)</f>
        <v/>
      </c>
      <c r="V165" s="17" t="str">
        <f>IF(ISBLANK(Deal_Master_Wide!$EJ$26),"",Deal_Master_Wide!$EJ$26)</f>
        <v/>
      </c>
      <c r="W165" s="17">
        <f>IF(ISBLANK(Deal_Master_Wide!$AF$26),"",Deal_Master_Wide!$AF$26)</f>
        <v>627</v>
      </c>
    </row>
    <row r="166" spans="1:23" ht="13.4" customHeight="1">
      <c r="A166" s="15" t="s">
        <v>455</v>
      </c>
      <c r="B166" s="15" t="s">
        <v>177</v>
      </c>
      <c r="C166" s="15">
        <v>1</v>
      </c>
      <c r="D166" s="15" t="s">
        <v>460</v>
      </c>
      <c r="E166" s="15" t="s">
        <v>462</v>
      </c>
      <c r="F166" s="15">
        <v>2016</v>
      </c>
      <c r="G166" s="15">
        <v>0</v>
      </c>
      <c r="H166" s="15">
        <v>2016</v>
      </c>
      <c r="I166" s="15">
        <v>0</v>
      </c>
      <c r="J166" s="15">
        <v>1</v>
      </c>
      <c r="K166" s="16" t="e">
        <f>IF(#REF!="","",#REF!*$I166)</f>
        <v>#REF!</v>
      </c>
      <c r="L166" s="17" t="str">
        <f>IF(ISBLANK(Deal_Master_Wide!$BS$26),"",Deal_Master_Wide!$BS$26)</f>
        <v/>
      </c>
      <c r="M166" s="17" t="str">
        <f>IF(ISBLANK(Deal_Master_Wide!$BZ$26),"",Deal_Master_Wide!$BZ$26)</f>
        <v/>
      </c>
      <c r="N166" s="17" t="str">
        <f>IF(ISBLANK(Deal_Master_Wide!$CG$26),"",Deal_Master_Wide!$CG$26)</f>
        <v/>
      </c>
      <c r="O166" s="17" t="str">
        <f>IF(ISBLANK(Deal_Master_Wide!$CN$26),"",Deal_Master_Wide!$CN$26)</f>
        <v/>
      </c>
      <c r="P166" s="17" t="str">
        <f>IF(ISBLANK(Deal_Master_Wide!$CU$26),"",Deal_Master_Wide!$CU$26)</f>
        <v/>
      </c>
      <c r="Q166" s="17" t="str">
        <f>IF(ISBLANK(Deal_Master_Wide!$DB$26),"",Deal_Master_Wide!$DB$26)</f>
        <v/>
      </c>
      <c r="R166" s="18" t="str">
        <f>IF(ISBLANK(Deal_Master_Wide!$DI$26),"",Deal_Master_Wide!$DI$26)</f>
        <v/>
      </c>
      <c r="S166" s="18" t="str">
        <f>IF(ISBLANK(Deal_Master_Wide!$DP$26),"",Deal_Master_Wide!$DP$26)</f>
        <v/>
      </c>
      <c r="T166" s="18" t="str">
        <f>IF(ISBLANK(Deal_Master_Wide!$DW$26),"",Deal_Master_Wide!$DW$26)</f>
        <v/>
      </c>
      <c r="U166" s="17" t="str">
        <f>IF(ISBLANK(Deal_Master_Wide!$ED$26),"",Deal_Master_Wide!$ED$26)</f>
        <v/>
      </c>
      <c r="V166" s="17" t="str">
        <f>IF(ISBLANK(Deal_Master_Wide!$EK$26),"",Deal_Master_Wide!$EK$26)</f>
        <v/>
      </c>
      <c r="W166" s="17">
        <f>IF(ISBLANK(Deal_Master_Wide!$AF$26),"",Deal_Master_Wide!$AF$26)</f>
        <v>627</v>
      </c>
    </row>
    <row r="167" spans="1:23" ht="13.4" customHeight="1">
      <c r="A167" s="15" t="s">
        <v>455</v>
      </c>
      <c r="B167" s="15" t="s">
        <v>177</v>
      </c>
      <c r="C167" s="15">
        <v>1</v>
      </c>
      <c r="D167" s="15" t="s">
        <v>460</v>
      </c>
      <c r="E167" s="15" t="s">
        <v>462</v>
      </c>
      <c r="F167" s="15">
        <v>2016</v>
      </c>
      <c r="G167" s="15">
        <v>1</v>
      </c>
      <c r="H167" s="15">
        <v>2017</v>
      </c>
      <c r="I167" s="15">
        <v>1</v>
      </c>
      <c r="J167" s="15">
        <v>1</v>
      </c>
      <c r="K167" s="16" t="e">
        <f>IF(#REF!="","",#REF!*$I167)</f>
        <v>#REF!</v>
      </c>
      <c r="L167" s="17" t="str">
        <f>IF(ISBLANK(Deal_Master_Wide!$BT$26),"",Deal_Master_Wide!$BT$26)</f>
        <v/>
      </c>
      <c r="M167" s="17" t="str">
        <f>IF(ISBLANK(Deal_Master_Wide!$CA$26),"",Deal_Master_Wide!$CA$26)</f>
        <v/>
      </c>
      <c r="N167" s="17" t="str">
        <f>IF(ISBLANK(Deal_Master_Wide!$CH$26),"",Deal_Master_Wide!$CH$26)</f>
        <v/>
      </c>
      <c r="O167" s="17" t="str">
        <f>IF(ISBLANK(Deal_Master_Wide!$CO$26),"",Deal_Master_Wide!$CO$26)</f>
        <v/>
      </c>
      <c r="P167" s="17" t="str">
        <f>IF(ISBLANK(Deal_Master_Wide!$CV$26),"",Deal_Master_Wide!$CV$26)</f>
        <v/>
      </c>
      <c r="Q167" s="17" t="str">
        <f>IF(ISBLANK(Deal_Master_Wide!$DC$26),"",Deal_Master_Wide!$DC$26)</f>
        <v/>
      </c>
      <c r="R167" s="18" t="str">
        <f>IF(ISBLANK(Deal_Master_Wide!$DJ$26),"",Deal_Master_Wide!$DJ$26)</f>
        <v/>
      </c>
      <c r="S167" s="18" t="str">
        <f>IF(ISBLANK(Deal_Master_Wide!$DQ$26),"",Deal_Master_Wide!$DQ$26)</f>
        <v/>
      </c>
      <c r="T167" s="18" t="str">
        <f>IF(ISBLANK(Deal_Master_Wide!$DX$26),"",Deal_Master_Wide!$DX$26)</f>
        <v/>
      </c>
      <c r="U167" s="17" t="str">
        <f>IF(ISBLANK(Deal_Master_Wide!$EE$26),"",Deal_Master_Wide!$EE$26)</f>
        <v/>
      </c>
      <c r="V167" s="17" t="str">
        <f>IF(ISBLANK(Deal_Master_Wide!$EL$26),"",Deal_Master_Wide!$EL$26)</f>
        <v/>
      </c>
      <c r="W167" s="17">
        <f>IF(ISBLANK(Deal_Master_Wide!$AF$26),"",Deal_Master_Wide!$AF$26)</f>
        <v>627</v>
      </c>
    </row>
    <row r="168" spans="1:23" ht="13.4" customHeight="1">
      <c r="A168" s="15" t="s">
        <v>455</v>
      </c>
      <c r="B168" s="15" t="s">
        <v>177</v>
      </c>
      <c r="C168" s="15">
        <v>1</v>
      </c>
      <c r="D168" s="15" t="s">
        <v>460</v>
      </c>
      <c r="E168" s="15" t="s">
        <v>462</v>
      </c>
      <c r="F168" s="15">
        <v>2016</v>
      </c>
      <c r="G168" s="15">
        <v>2</v>
      </c>
      <c r="H168" s="15">
        <v>2018</v>
      </c>
      <c r="I168" s="15">
        <v>1</v>
      </c>
      <c r="J168" s="15">
        <v>1</v>
      </c>
      <c r="K168" s="16" t="e">
        <f>IF(#REF!="","",#REF!*$I168)</f>
        <v>#REF!</v>
      </c>
      <c r="L168" s="17" t="str">
        <f>IF(ISBLANK(Deal_Master_Wide!$BU$26),"",Deal_Master_Wide!$BU$26)</f>
        <v/>
      </c>
      <c r="M168" s="17" t="str">
        <f>IF(ISBLANK(Deal_Master_Wide!$CB$26),"",Deal_Master_Wide!$CB$26)</f>
        <v/>
      </c>
      <c r="N168" s="17" t="str">
        <f>IF(ISBLANK(Deal_Master_Wide!$CI$26),"",Deal_Master_Wide!$CI$26)</f>
        <v/>
      </c>
      <c r="O168" s="17" t="str">
        <f>IF(ISBLANK(Deal_Master_Wide!$CP$26),"",Deal_Master_Wide!$CP$26)</f>
        <v/>
      </c>
      <c r="P168" s="17" t="str">
        <f>IF(ISBLANK(Deal_Master_Wide!$CW$26),"",Deal_Master_Wide!$CW$26)</f>
        <v/>
      </c>
      <c r="Q168" s="17" t="str">
        <f>IF(ISBLANK(Deal_Master_Wide!$DD$26),"",Deal_Master_Wide!$DD$26)</f>
        <v/>
      </c>
      <c r="R168" s="18" t="str">
        <f>IF(ISBLANK(Deal_Master_Wide!$DK$26),"",Deal_Master_Wide!$DK$26)</f>
        <v/>
      </c>
      <c r="S168" s="18" t="str">
        <f>IF(ISBLANK(Deal_Master_Wide!$DR$26),"",Deal_Master_Wide!$DR$26)</f>
        <v/>
      </c>
      <c r="T168" s="18" t="str">
        <f>IF(ISBLANK(Deal_Master_Wide!$DY$26),"",Deal_Master_Wide!$DY$26)</f>
        <v/>
      </c>
      <c r="U168" s="17" t="str">
        <f>IF(ISBLANK(Deal_Master_Wide!$EF$26),"",Deal_Master_Wide!$EF$26)</f>
        <v/>
      </c>
      <c r="V168" s="17" t="str">
        <f>IF(ISBLANK(Deal_Master_Wide!$EM$26),"",Deal_Master_Wide!$EM$26)</f>
        <v/>
      </c>
      <c r="W168" s="17">
        <f>IF(ISBLANK(Deal_Master_Wide!$AF$26),"",Deal_Master_Wide!$AF$26)</f>
        <v>627</v>
      </c>
    </row>
    <row r="169" spans="1:23" ht="13.4" customHeight="1">
      <c r="A169" s="15" t="s">
        <v>455</v>
      </c>
      <c r="B169" s="15" t="s">
        <v>177</v>
      </c>
      <c r="C169" s="15">
        <v>1</v>
      </c>
      <c r="D169" s="15" t="s">
        <v>460</v>
      </c>
      <c r="E169" s="15" t="s">
        <v>462</v>
      </c>
      <c r="F169" s="15">
        <v>2016</v>
      </c>
      <c r="G169" s="15">
        <v>3</v>
      </c>
      <c r="H169" s="15">
        <v>2019</v>
      </c>
      <c r="I169" s="15">
        <v>1</v>
      </c>
      <c r="J169" s="15">
        <v>1</v>
      </c>
      <c r="K169" s="16" t="e">
        <f>IF(#REF!="","",#REF!*$I169)</f>
        <v>#REF!</v>
      </c>
      <c r="L169" s="17" t="str">
        <f>IF(ISBLANK(Deal_Master_Wide!$BV$26),"",Deal_Master_Wide!$BV$26)</f>
        <v/>
      </c>
      <c r="M169" s="17" t="str">
        <f>IF(ISBLANK(Deal_Master_Wide!$CC$26),"",Deal_Master_Wide!$CC$26)</f>
        <v/>
      </c>
      <c r="N169" s="17" t="str">
        <f>IF(ISBLANK(Deal_Master_Wide!$CJ$26),"",Deal_Master_Wide!$CJ$26)</f>
        <v/>
      </c>
      <c r="O169" s="17" t="str">
        <f>IF(ISBLANK(Deal_Master_Wide!$CQ$26),"",Deal_Master_Wide!$CQ$26)</f>
        <v/>
      </c>
      <c r="P169" s="17" t="str">
        <f>IF(ISBLANK(Deal_Master_Wide!$CX$26),"",Deal_Master_Wide!$CX$26)</f>
        <v/>
      </c>
      <c r="Q169" s="17" t="str">
        <f>IF(ISBLANK(Deal_Master_Wide!$DE$26),"",Deal_Master_Wide!$DE$26)</f>
        <v/>
      </c>
      <c r="R169" s="18" t="str">
        <f>IF(ISBLANK(Deal_Master_Wide!$DL$26),"",Deal_Master_Wide!$DL$26)</f>
        <v/>
      </c>
      <c r="S169" s="18" t="str">
        <f>IF(ISBLANK(Deal_Master_Wide!$DS$26),"",Deal_Master_Wide!$DS$26)</f>
        <v/>
      </c>
      <c r="T169" s="18" t="str">
        <f>IF(ISBLANK(Deal_Master_Wide!$DZ$26),"",Deal_Master_Wide!$DZ$26)</f>
        <v/>
      </c>
      <c r="U169" s="17" t="str">
        <f>IF(ISBLANK(Deal_Master_Wide!$EG$26),"",Deal_Master_Wide!$EG$26)</f>
        <v/>
      </c>
      <c r="V169" s="17" t="str">
        <f>IF(ISBLANK(Deal_Master_Wide!$EN$26),"",Deal_Master_Wide!$EN$26)</f>
        <v/>
      </c>
      <c r="W169" s="17">
        <f>IF(ISBLANK(Deal_Master_Wide!$AF$26),"",Deal_Master_Wide!$AF$26)</f>
        <v>627</v>
      </c>
    </row>
    <row r="170" spans="1:23" ht="13.4" customHeight="1">
      <c r="A170" s="15" t="s">
        <v>466</v>
      </c>
      <c r="B170" s="15" t="s">
        <v>177</v>
      </c>
      <c r="C170" s="15">
        <v>1</v>
      </c>
      <c r="D170" s="15" t="s">
        <v>470</v>
      </c>
      <c r="E170" s="15" t="s">
        <v>471</v>
      </c>
      <c r="F170" s="15">
        <v>2016</v>
      </c>
      <c r="G170" s="15">
        <v>-3</v>
      </c>
      <c r="H170" s="15">
        <v>2013</v>
      </c>
      <c r="I170" s="15">
        <v>0</v>
      </c>
      <c r="J170" s="15">
        <v>0</v>
      </c>
      <c r="K170" s="16" t="e">
        <f>IF(#REF!="","",#REF!*$I170)</f>
        <v>#REF!</v>
      </c>
      <c r="L170" s="17" t="str">
        <f>IF(ISBLANK(Deal_Master_Wide!$BP$27),"",Deal_Master_Wide!$BP$27)</f>
        <v/>
      </c>
      <c r="M170" s="17" t="str">
        <f>IF(ISBLANK(Deal_Master_Wide!$BW$27),"",Deal_Master_Wide!$BW$27)</f>
        <v/>
      </c>
      <c r="N170" s="17" t="str">
        <f>IF(ISBLANK(Deal_Master_Wide!$CD$27),"",Deal_Master_Wide!$CD$27)</f>
        <v/>
      </c>
      <c r="O170" s="17" t="str">
        <f>IF(ISBLANK(Deal_Master_Wide!$CK$27),"",Deal_Master_Wide!$CK$27)</f>
        <v/>
      </c>
      <c r="P170" s="17" t="str">
        <f>IF(ISBLANK(Deal_Master_Wide!$CR$27),"",Deal_Master_Wide!$CR$27)</f>
        <v/>
      </c>
      <c r="Q170" s="17" t="str">
        <f>IF(ISBLANK(Deal_Master_Wide!$CY$27),"",Deal_Master_Wide!$CY$27)</f>
        <v/>
      </c>
      <c r="R170" s="18" t="str">
        <f>IF(ISBLANK(Deal_Master_Wide!$DF$27),"",Deal_Master_Wide!$DF$27)</f>
        <v/>
      </c>
      <c r="S170" s="18" t="str">
        <f>IF(ISBLANK(Deal_Master_Wide!$DM$27),"",Deal_Master_Wide!$DM$27)</f>
        <v/>
      </c>
      <c r="T170" s="18" t="str">
        <f>IF(ISBLANK(Deal_Master_Wide!$DT$27),"",Deal_Master_Wide!$DT$27)</f>
        <v/>
      </c>
      <c r="U170" s="17" t="str">
        <f>IF(ISBLANK(Deal_Master_Wide!$EA$27),"",Deal_Master_Wide!$EA$27)</f>
        <v/>
      </c>
      <c r="V170" s="17" t="str">
        <f>IF(ISBLANK(Deal_Master_Wide!$EH$27),"",Deal_Master_Wide!$EH$27)</f>
        <v/>
      </c>
      <c r="W170" s="17">
        <f>IF(ISBLANK(Deal_Master_Wide!$AF$27),"",Deal_Master_Wide!$AF$27)</f>
        <v>627</v>
      </c>
    </row>
    <row r="171" spans="1:23" ht="13.4" customHeight="1">
      <c r="A171" s="15" t="s">
        <v>466</v>
      </c>
      <c r="B171" s="15" t="s">
        <v>177</v>
      </c>
      <c r="C171" s="15">
        <v>1</v>
      </c>
      <c r="D171" s="15" t="s">
        <v>470</v>
      </c>
      <c r="E171" s="15" t="s">
        <v>471</v>
      </c>
      <c r="F171" s="15">
        <v>2016</v>
      </c>
      <c r="G171" s="15">
        <v>-2</v>
      </c>
      <c r="H171" s="15">
        <v>2014</v>
      </c>
      <c r="I171" s="15">
        <v>0</v>
      </c>
      <c r="J171" s="15">
        <v>0</v>
      </c>
      <c r="K171" s="16" t="e">
        <f>IF(#REF!="","",#REF!*$I171)</f>
        <v>#REF!</v>
      </c>
      <c r="L171" s="17" t="str">
        <f>IF(ISBLANK(Deal_Master_Wide!$BQ$27),"",Deal_Master_Wide!$BQ$27)</f>
        <v/>
      </c>
      <c r="M171" s="17" t="str">
        <f>IF(ISBLANK(Deal_Master_Wide!$BX$27),"",Deal_Master_Wide!$BX$27)</f>
        <v/>
      </c>
      <c r="N171" s="17" t="str">
        <f>IF(ISBLANK(Deal_Master_Wide!$CE$27),"",Deal_Master_Wide!$CE$27)</f>
        <v/>
      </c>
      <c r="O171" s="17" t="str">
        <f>IF(ISBLANK(Deal_Master_Wide!$CL$27),"",Deal_Master_Wide!$CL$27)</f>
        <v/>
      </c>
      <c r="P171" s="17" t="str">
        <f>IF(ISBLANK(Deal_Master_Wide!$CS$27),"",Deal_Master_Wide!$CS$27)</f>
        <v/>
      </c>
      <c r="Q171" s="17" t="str">
        <f>IF(ISBLANK(Deal_Master_Wide!$CZ$27),"",Deal_Master_Wide!$CZ$27)</f>
        <v/>
      </c>
      <c r="R171" s="18" t="str">
        <f>IF(ISBLANK(Deal_Master_Wide!$DG$27),"",Deal_Master_Wide!$DG$27)</f>
        <v/>
      </c>
      <c r="S171" s="18" t="str">
        <f>IF(ISBLANK(Deal_Master_Wide!$DN$27),"",Deal_Master_Wide!$DN$27)</f>
        <v/>
      </c>
      <c r="T171" s="18" t="str">
        <f>IF(ISBLANK(Deal_Master_Wide!$DU$27),"",Deal_Master_Wide!$DU$27)</f>
        <v/>
      </c>
      <c r="U171" s="17" t="str">
        <f>IF(ISBLANK(Deal_Master_Wide!$EB$27),"",Deal_Master_Wide!$EB$27)</f>
        <v/>
      </c>
      <c r="V171" s="17" t="str">
        <f>IF(ISBLANK(Deal_Master_Wide!$EI$27),"",Deal_Master_Wide!$EI$27)</f>
        <v/>
      </c>
      <c r="W171" s="17">
        <f>IF(ISBLANK(Deal_Master_Wide!$AF$27),"",Deal_Master_Wide!$AF$27)</f>
        <v>627</v>
      </c>
    </row>
    <row r="172" spans="1:23" ht="13.4" customHeight="1">
      <c r="A172" s="15" t="s">
        <v>466</v>
      </c>
      <c r="B172" s="15" t="s">
        <v>177</v>
      </c>
      <c r="C172" s="15">
        <v>1</v>
      </c>
      <c r="D172" s="15" t="s">
        <v>470</v>
      </c>
      <c r="E172" s="15" t="s">
        <v>471</v>
      </c>
      <c r="F172" s="15">
        <v>2016</v>
      </c>
      <c r="G172" s="15">
        <v>-1</v>
      </c>
      <c r="H172" s="15">
        <v>2015</v>
      </c>
      <c r="I172" s="15">
        <v>0</v>
      </c>
      <c r="J172" s="15">
        <v>0</v>
      </c>
      <c r="K172" s="16" t="e">
        <f>IF(#REF!="","",#REF!*$I172)</f>
        <v>#REF!</v>
      </c>
      <c r="L172" s="17" t="str">
        <f>IF(ISBLANK(Deal_Master_Wide!$BR$27),"",Deal_Master_Wide!$BR$27)</f>
        <v/>
      </c>
      <c r="M172" s="17" t="str">
        <f>IF(ISBLANK(Deal_Master_Wide!$BY$27),"",Deal_Master_Wide!$BY$27)</f>
        <v/>
      </c>
      <c r="N172" s="17" t="str">
        <f>IF(ISBLANK(Deal_Master_Wide!$CF$27),"",Deal_Master_Wide!$CF$27)</f>
        <v/>
      </c>
      <c r="O172" s="17" t="str">
        <f>IF(ISBLANK(Deal_Master_Wide!$CM$27),"",Deal_Master_Wide!$CM$27)</f>
        <v/>
      </c>
      <c r="P172" s="17" t="str">
        <f>IF(ISBLANK(Deal_Master_Wide!$CT$27),"",Deal_Master_Wide!$CT$27)</f>
        <v/>
      </c>
      <c r="Q172" s="17" t="str">
        <f>IF(ISBLANK(Deal_Master_Wide!$DA$27),"",Deal_Master_Wide!$DA$27)</f>
        <v/>
      </c>
      <c r="R172" s="18" t="str">
        <f>IF(ISBLANK(Deal_Master_Wide!$DH$27),"",Deal_Master_Wide!$DH$27)</f>
        <v/>
      </c>
      <c r="S172" s="18" t="str">
        <f>IF(ISBLANK(Deal_Master_Wide!$DO$27),"",Deal_Master_Wide!$DO$27)</f>
        <v/>
      </c>
      <c r="T172" s="18" t="str">
        <f>IF(ISBLANK(Deal_Master_Wide!$DV$27),"",Deal_Master_Wide!$DV$27)</f>
        <v/>
      </c>
      <c r="U172" s="17" t="str">
        <f>IF(ISBLANK(Deal_Master_Wide!$EC$27),"",Deal_Master_Wide!$EC$27)</f>
        <v/>
      </c>
      <c r="V172" s="17" t="str">
        <f>IF(ISBLANK(Deal_Master_Wide!$EJ$27),"",Deal_Master_Wide!$EJ$27)</f>
        <v/>
      </c>
      <c r="W172" s="17">
        <f>IF(ISBLANK(Deal_Master_Wide!$AF$27),"",Deal_Master_Wide!$AF$27)</f>
        <v>627</v>
      </c>
    </row>
    <row r="173" spans="1:23" ht="13.4" customHeight="1">
      <c r="A173" s="15" t="s">
        <v>466</v>
      </c>
      <c r="B173" s="15" t="s">
        <v>177</v>
      </c>
      <c r="C173" s="15">
        <v>1</v>
      </c>
      <c r="D173" s="15" t="s">
        <v>470</v>
      </c>
      <c r="E173" s="15" t="s">
        <v>471</v>
      </c>
      <c r="F173" s="15">
        <v>2016</v>
      </c>
      <c r="G173" s="15">
        <v>0</v>
      </c>
      <c r="H173" s="15">
        <v>2016</v>
      </c>
      <c r="I173" s="15">
        <v>0</v>
      </c>
      <c r="J173" s="15">
        <v>1</v>
      </c>
      <c r="K173" s="16" t="e">
        <f>IF(#REF!="","",#REF!*$I173)</f>
        <v>#REF!</v>
      </c>
      <c r="L173" s="17" t="str">
        <f>IF(ISBLANK(Deal_Master_Wide!$BS$27),"",Deal_Master_Wide!$BS$27)</f>
        <v/>
      </c>
      <c r="M173" s="17" t="str">
        <f>IF(ISBLANK(Deal_Master_Wide!$BZ$27),"",Deal_Master_Wide!$BZ$27)</f>
        <v/>
      </c>
      <c r="N173" s="17" t="str">
        <f>IF(ISBLANK(Deal_Master_Wide!$CG$27),"",Deal_Master_Wide!$CG$27)</f>
        <v/>
      </c>
      <c r="O173" s="17" t="str">
        <f>IF(ISBLANK(Deal_Master_Wide!$CN$27),"",Deal_Master_Wide!$CN$27)</f>
        <v/>
      </c>
      <c r="P173" s="17" t="str">
        <f>IF(ISBLANK(Deal_Master_Wide!$CU$27),"",Deal_Master_Wide!$CU$27)</f>
        <v/>
      </c>
      <c r="Q173" s="17" t="str">
        <f>IF(ISBLANK(Deal_Master_Wide!$DB$27),"",Deal_Master_Wide!$DB$27)</f>
        <v/>
      </c>
      <c r="R173" s="18" t="str">
        <f>IF(ISBLANK(Deal_Master_Wide!$DI$27),"",Deal_Master_Wide!$DI$27)</f>
        <v/>
      </c>
      <c r="S173" s="18" t="str">
        <f>IF(ISBLANK(Deal_Master_Wide!$DP$27),"",Deal_Master_Wide!$DP$27)</f>
        <v/>
      </c>
      <c r="T173" s="18" t="str">
        <f>IF(ISBLANK(Deal_Master_Wide!$DW$27),"",Deal_Master_Wide!$DW$27)</f>
        <v/>
      </c>
      <c r="U173" s="17" t="str">
        <f>IF(ISBLANK(Deal_Master_Wide!$ED$27),"",Deal_Master_Wide!$ED$27)</f>
        <v/>
      </c>
      <c r="V173" s="17" t="str">
        <f>IF(ISBLANK(Deal_Master_Wide!$EK$27),"",Deal_Master_Wide!$EK$27)</f>
        <v/>
      </c>
      <c r="W173" s="17">
        <f>IF(ISBLANK(Deal_Master_Wide!$AF$27),"",Deal_Master_Wide!$AF$27)</f>
        <v>627</v>
      </c>
    </row>
    <row r="174" spans="1:23" ht="13.4" customHeight="1">
      <c r="A174" s="15" t="s">
        <v>466</v>
      </c>
      <c r="B174" s="15" t="s">
        <v>177</v>
      </c>
      <c r="C174" s="15">
        <v>1</v>
      </c>
      <c r="D174" s="15" t="s">
        <v>470</v>
      </c>
      <c r="E174" s="15" t="s">
        <v>471</v>
      </c>
      <c r="F174" s="15">
        <v>2016</v>
      </c>
      <c r="G174" s="15">
        <v>1</v>
      </c>
      <c r="H174" s="15">
        <v>2017</v>
      </c>
      <c r="I174" s="15">
        <v>1</v>
      </c>
      <c r="J174" s="15">
        <v>1</v>
      </c>
      <c r="K174" s="16" t="e">
        <f>IF(#REF!="","",#REF!*$I174)</f>
        <v>#REF!</v>
      </c>
      <c r="L174" s="17" t="str">
        <f>IF(ISBLANK(Deal_Master_Wide!$BT$27),"",Deal_Master_Wide!$BT$27)</f>
        <v/>
      </c>
      <c r="M174" s="17" t="str">
        <f>IF(ISBLANK(Deal_Master_Wide!$CA$27),"",Deal_Master_Wide!$CA$27)</f>
        <v/>
      </c>
      <c r="N174" s="17" t="str">
        <f>IF(ISBLANK(Deal_Master_Wide!$CH$27),"",Deal_Master_Wide!$CH$27)</f>
        <v/>
      </c>
      <c r="O174" s="17" t="str">
        <f>IF(ISBLANK(Deal_Master_Wide!$CO$27),"",Deal_Master_Wide!$CO$27)</f>
        <v/>
      </c>
      <c r="P174" s="17" t="str">
        <f>IF(ISBLANK(Deal_Master_Wide!$CV$27),"",Deal_Master_Wide!$CV$27)</f>
        <v/>
      </c>
      <c r="Q174" s="17" t="str">
        <f>IF(ISBLANK(Deal_Master_Wide!$DC$27),"",Deal_Master_Wide!$DC$27)</f>
        <v/>
      </c>
      <c r="R174" s="18" t="str">
        <f>IF(ISBLANK(Deal_Master_Wide!$DJ$27),"",Deal_Master_Wide!$DJ$27)</f>
        <v/>
      </c>
      <c r="S174" s="18" t="str">
        <f>IF(ISBLANK(Deal_Master_Wide!$DQ$27),"",Deal_Master_Wide!$DQ$27)</f>
        <v/>
      </c>
      <c r="T174" s="18" t="str">
        <f>IF(ISBLANK(Deal_Master_Wide!$DX$27),"",Deal_Master_Wide!$DX$27)</f>
        <v/>
      </c>
      <c r="U174" s="17" t="str">
        <f>IF(ISBLANK(Deal_Master_Wide!$EE$27),"",Deal_Master_Wide!$EE$27)</f>
        <v/>
      </c>
      <c r="V174" s="17" t="str">
        <f>IF(ISBLANK(Deal_Master_Wide!$EL$27),"",Deal_Master_Wide!$EL$27)</f>
        <v/>
      </c>
      <c r="W174" s="17">
        <f>IF(ISBLANK(Deal_Master_Wide!$AF$27),"",Deal_Master_Wide!$AF$27)</f>
        <v>627</v>
      </c>
    </row>
    <row r="175" spans="1:23" ht="13.4" customHeight="1">
      <c r="A175" s="15" t="s">
        <v>466</v>
      </c>
      <c r="B175" s="15" t="s">
        <v>177</v>
      </c>
      <c r="C175" s="15">
        <v>1</v>
      </c>
      <c r="D175" s="15" t="s">
        <v>470</v>
      </c>
      <c r="E175" s="15" t="s">
        <v>471</v>
      </c>
      <c r="F175" s="15">
        <v>2016</v>
      </c>
      <c r="G175" s="15">
        <v>2</v>
      </c>
      <c r="H175" s="15">
        <v>2018</v>
      </c>
      <c r="I175" s="15">
        <v>1</v>
      </c>
      <c r="J175" s="15">
        <v>1</v>
      </c>
      <c r="K175" s="16" t="e">
        <f>IF(#REF!="","",#REF!*$I175)</f>
        <v>#REF!</v>
      </c>
      <c r="L175" s="17" t="str">
        <f>IF(ISBLANK(Deal_Master_Wide!$BU$27),"",Deal_Master_Wide!$BU$27)</f>
        <v/>
      </c>
      <c r="M175" s="17" t="str">
        <f>IF(ISBLANK(Deal_Master_Wide!$CB$27),"",Deal_Master_Wide!$CB$27)</f>
        <v/>
      </c>
      <c r="N175" s="17" t="str">
        <f>IF(ISBLANK(Deal_Master_Wide!$CI$27),"",Deal_Master_Wide!$CI$27)</f>
        <v/>
      </c>
      <c r="O175" s="17" t="str">
        <f>IF(ISBLANK(Deal_Master_Wide!$CP$27),"",Deal_Master_Wide!$CP$27)</f>
        <v/>
      </c>
      <c r="P175" s="17" t="str">
        <f>IF(ISBLANK(Deal_Master_Wide!$CW$27),"",Deal_Master_Wide!$CW$27)</f>
        <v/>
      </c>
      <c r="Q175" s="17" t="str">
        <f>IF(ISBLANK(Deal_Master_Wide!$DD$27),"",Deal_Master_Wide!$DD$27)</f>
        <v/>
      </c>
      <c r="R175" s="18" t="str">
        <f>IF(ISBLANK(Deal_Master_Wide!$DK$27),"",Deal_Master_Wide!$DK$27)</f>
        <v/>
      </c>
      <c r="S175" s="18" t="str">
        <f>IF(ISBLANK(Deal_Master_Wide!$DR$27),"",Deal_Master_Wide!$DR$27)</f>
        <v/>
      </c>
      <c r="T175" s="18" t="str">
        <f>IF(ISBLANK(Deal_Master_Wide!$DY$27),"",Deal_Master_Wide!$DY$27)</f>
        <v/>
      </c>
      <c r="U175" s="17" t="str">
        <f>IF(ISBLANK(Deal_Master_Wide!$EF$27),"",Deal_Master_Wide!$EF$27)</f>
        <v/>
      </c>
      <c r="V175" s="17" t="str">
        <f>IF(ISBLANK(Deal_Master_Wide!$EM$27),"",Deal_Master_Wide!$EM$27)</f>
        <v/>
      </c>
      <c r="W175" s="17">
        <f>IF(ISBLANK(Deal_Master_Wide!$AF$27),"",Deal_Master_Wide!$AF$27)</f>
        <v>627</v>
      </c>
    </row>
    <row r="176" spans="1:23" ht="13.4" customHeight="1">
      <c r="A176" s="15" t="s">
        <v>466</v>
      </c>
      <c r="B176" s="15" t="s">
        <v>177</v>
      </c>
      <c r="C176" s="15">
        <v>1</v>
      </c>
      <c r="D176" s="15" t="s">
        <v>470</v>
      </c>
      <c r="E176" s="15" t="s">
        <v>471</v>
      </c>
      <c r="F176" s="15">
        <v>2016</v>
      </c>
      <c r="G176" s="15">
        <v>3</v>
      </c>
      <c r="H176" s="15">
        <v>2019</v>
      </c>
      <c r="I176" s="15">
        <v>1</v>
      </c>
      <c r="J176" s="15">
        <v>1</v>
      </c>
      <c r="K176" s="16" t="e">
        <f>IF(#REF!="","",#REF!*$I176)</f>
        <v>#REF!</v>
      </c>
      <c r="L176" s="17" t="str">
        <f>IF(ISBLANK(Deal_Master_Wide!$BV$27),"",Deal_Master_Wide!$BV$27)</f>
        <v/>
      </c>
      <c r="M176" s="17" t="str">
        <f>IF(ISBLANK(Deal_Master_Wide!$CC$27),"",Deal_Master_Wide!$CC$27)</f>
        <v/>
      </c>
      <c r="N176" s="17" t="str">
        <f>IF(ISBLANK(Deal_Master_Wide!$CJ$27),"",Deal_Master_Wide!$CJ$27)</f>
        <v/>
      </c>
      <c r="O176" s="17" t="str">
        <f>IF(ISBLANK(Deal_Master_Wide!$CQ$27),"",Deal_Master_Wide!$CQ$27)</f>
        <v/>
      </c>
      <c r="P176" s="17" t="str">
        <f>IF(ISBLANK(Deal_Master_Wide!$CX$27),"",Deal_Master_Wide!$CX$27)</f>
        <v/>
      </c>
      <c r="Q176" s="17" t="str">
        <f>IF(ISBLANK(Deal_Master_Wide!$DE$27),"",Deal_Master_Wide!$DE$27)</f>
        <v/>
      </c>
      <c r="R176" s="18" t="str">
        <f>IF(ISBLANK(Deal_Master_Wide!$DL$27),"",Deal_Master_Wide!$DL$27)</f>
        <v/>
      </c>
      <c r="S176" s="18" t="str">
        <f>IF(ISBLANK(Deal_Master_Wide!$DS$27),"",Deal_Master_Wide!$DS$27)</f>
        <v/>
      </c>
      <c r="T176" s="18" t="str">
        <f>IF(ISBLANK(Deal_Master_Wide!$DZ$27),"",Deal_Master_Wide!$DZ$27)</f>
        <v/>
      </c>
      <c r="U176" s="17" t="str">
        <f>IF(ISBLANK(Deal_Master_Wide!$EG$27),"",Deal_Master_Wide!$EG$27)</f>
        <v/>
      </c>
      <c r="V176" s="17" t="str">
        <f>IF(ISBLANK(Deal_Master_Wide!$EN$27),"",Deal_Master_Wide!$EN$27)</f>
        <v/>
      </c>
      <c r="W176" s="17">
        <f>IF(ISBLANK(Deal_Master_Wide!$AF$27),"",Deal_Master_Wide!$AF$27)</f>
        <v>627</v>
      </c>
    </row>
    <row r="177" spans="1:23" ht="13.4" customHeight="1">
      <c r="A177" s="15" t="s">
        <v>475</v>
      </c>
      <c r="B177" s="15" t="s">
        <v>177</v>
      </c>
      <c r="C177" s="15">
        <v>1</v>
      </c>
      <c r="D177" s="15" t="s">
        <v>481</v>
      </c>
      <c r="E177" s="15" t="s">
        <v>483</v>
      </c>
      <c r="F177" s="15">
        <v>2016</v>
      </c>
      <c r="G177" s="15">
        <v>-3</v>
      </c>
      <c r="H177" s="15">
        <v>2013</v>
      </c>
      <c r="I177" s="15">
        <v>0</v>
      </c>
      <c r="J177" s="15">
        <v>0</v>
      </c>
      <c r="K177" s="16" t="e">
        <f>IF(#REF!="","",#REF!*$I177)</f>
        <v>#REF!</v>
      </c>
      <c r="L177" s="17" t="str">
        <f>IF(ISBLANK(Deal_Master_Wide!$BP$28),"",Deal_Master_Wide!$BP$28)</f>
        <v/>
      </c>
      <c r="M177" s="17" t="str">
        <f>IF(ISBLANK(Deal_Master_Wide!$BW$28),"",Deal_Master_Wide!$BW$28)</f>
        <v/>
      </c>
      <c r="N177" s="17" t="str">
        <f>IF(ISBLANK(Deal_Master_Wide!$CD$28),"",Deal_Master_Wide!$CD$28)</f>
        <v/>
      </c>
      <c r="O177" s="17" t="str">
        <f>IF(ISBLANK(Deal_Master_Wide!$CK$28),"",Deal_Master_Wide!$CK$28)</f>
        <v/>
      </c>
      <c r="P177" s="17" t="str">
        <f>IF(ISBLANK(Deal_Master_Wide!$CR$28),"",Deal_Master_Wide!$CR$28)</f>
        <v/>
      </c>
      <c r="Q177" s="17" t="str">
        <f>IF(ISBLANK(Deal_Master_Wide!$CY$28),"",Deal_Master_Wide!$CY$28)</f>
        <v/>
      </c>
      <c r="R177" s="18" t="str">
        <f>IF(ISBLANK(Deal_Master_Wide!$DF$28),"",Deal_Master_Wide!$DF$28)</f>
        <v/>
      </c>
      <c r="S177" s="18" t="str">
        <f>IF(ISBLANK(Deal_Master_Wide!$DM$28),"",Deal_Master_Wide!$DM$28)</f>
        <v/>
      </c>
      <c r="T177" s="18" t="str">
        <f>IF(ISBLANK(Deal_Master_Wide!$DT$28),"",Deal_Master_Wide!$DT$28)</f>
        <v/>
      </c>
      <c r="U177" s="17" t="str">
        <f>IF(ISBLANK(Deal_Master_Wide!$EA$28),"",Deal_Master_Wide!$EA$28)</f>
        <v/>
      </c>
      <c r="V177" s="17" t="str">
        <f>IF(ISBLANK(Deal_Master_Wide!$EH$28),"",Deal_Master_Wide!$EH$28)</f>
        <v/>
      </c>
      <c r="W177" s="17" t="str">
        <f>IF(ISBLANK(Deal_Master_Wide!$AF$28),"",Deal_Master_Wide!$AF$28)</f>
        <v/>
      </c>
    </row>
    <row r="178" spans="1:23" ht="13.4" customHeight="1">
      <c r="A178" s="15" t="s">
        <v>475</v>
      </c>
      <c r="B178" s="15" t="s">
        <v>177</v>
      </c>
      <c r="C178" s="15">
        <v>1</v>
      </c>
      <c r="D178" s="15" t="s">
        <v>481</v>
      </c>
      <c r="E178" s="15" t="s">
        <v>483</v>
      </c>
      <c r="F178" s="15">
        <v>2016</v>
      </c>
      <c r="G178" s="15">
        <v>-2</v>
      </c>
      <c r="H178" s="15">
        <v>2014</v>
      </c>
      <c r="I178" s="15">
        <v>0</v>
      </c>
      <c r="J178" s="15">
        <v>0</v>
      </c>
      <c r="K178" s="16" t="e">
        <f>IF(#REF!="","",#REF!*$I178)</f>
        <v>#REF!</v>
      </c>
      <c r="L178" s="17" t="str">
        <f>IF(ISBLANK(Deal_Master_Wide!$BQ$28),"",Deal_Master_Wide!$BQ$28)</f>
        <v/>
      </c>
      <c r="M178" s="17" t="str">
        <f>IF(ISBLANK(Deal_Master_Wide!$BX$28),"",Deal_Master_Wide!$BX$28)</f>
        <v/>
      </c>
      <c r="N178" s="17" t="str">
        <f>IF(ISBLANK(Deal_Master_Wide!$CE$28),"",Deal_Master_Wide!$CE$28)</f>
        <v/>
      </c>
      <c r="O178" s="17" t="str">
        <f>IF(ISBLANK(Deal_Master_Wide!$CL$28),"",Deal_Master_Wide!$CL$28)</f>
        <v/>
      </c>
      <c r="P178" s="17" t="str">
        <f>IF(ISBLANK(Deal_Master_Wide!$CS$28),"",Deal_Master_Wide!$CS$28)</f>
        <v/>
      </c>
      <c r="Q178" s="17" t="str">
        <f>IF(ISBLANK(Deal_Master_Wide!$CZ$28),"",Deal_Master_Wide!$CZ$28)</f>
        <v/>
      </c>
      <c r="R178" s="18" t="str">
        <f>IF(ISBLANK(Deal_Master_Wide!$DG$28),"",Deal_Master_Wide!$DG$28)</f>
        <v/>
      </c>
      <c r="S178" s="18" t="str">
        <f>IF(ISBLANK(Deal_Master_Wide!$DN$28),"",Deal_Master_Wide!$DN$28)</f>
        <v/>
      </c>
      <c r="T178" s="18" t="str">
        <f>IF(ISBLANK(Deal_Master_Wide!$DU$28),"",Deal_Master_Wide!$DU$28)</f>
        <v/>
      </c>
      <c r="U178" s="17" t="str">
        <f>IF(ISBLANK(Deal_Master_Wide!$EB$28),"",Deal_Master_Wide!$EB$28)</f>
        <v/>
      </c>
      <c r="V178" s="17" t="str">
        <f>IF(ISBLANK(Deal_Master_Wide!$EI$28),"",Deal_Master_Wide!$EI$28)</f>
        <v/>
      </c>
      <c r="W178" s="17" t="str">
        <f>IF(ISBLANK(Deal_Master_Wide!$AF$28),"",Deal_Master_Wide!$AF$28)</f>
        <v/>
      </c>
    </row>
    <row r="179" spans="1:23" ht="13.4" customHeight="1">
      <c r="A179" s="15" t="s">
        <v>475</v>
      </c>
      <c r="B179" s="15" t="s">
        <v>177</v>
      </c>
      <c r="C179" s="15">
        <v>1</v>
      </c>
      <c r="D179" s="15" t="s">
        <v>481</v>
      </c>
      <c r="E179" s="15" t="s">
        <v>483</v>
      </c>
      <c r="F179" s="15">
        <v>2016</v>
      </c>
      <c r="G179" s="15">
        <v>-1</v>
      </c>
      <c r="H179" s="15">
        <v>2015</v>
      </c>
      <c r="I179" s="15">
        <v>0</v>
      </c>
      <c r="J179" s="15">
        <v>0</v>
      </c>
      <c r="K179" s="16" t="e">
        <f>IF(#REF!="","",#REF!*$I179)</f>
        <v>#REF!</v>
      </c>
      <c r="L179" s="17" t="str">
        <f>IF(ISBLANK(Deal_Master_Wide!$BR$28),"",Deal_Master_Wide!$BR$28)</f>
        <v/>
      </c>
      <c r="M179" s="17" t="str">
        <f>IF(ISBLANK(Deal_Master_Wide!$BY$28),"",Deal_Master_Wide!$BY$28)</f>
        <v/>
      </c>
      <c r="N179" s="17" t="str">
        <f>IF(ISBLANK(Deal_Master_Wide!$CF$28),"",Deal_Master_Wide!$CF$28)</f>
        <v/>
      </c>
      <c r="O179" s="17" t="str">
        <f>IF(ISBLANK(Deal_Master_Wide!$CM$28),"",Deal_Master_Wide!$CM$28)</f>
        <v/>
      </c>
      <c r="P179" s="17" t="str">
        <f>IF(ISBLANK(Deal_Master_Wide!$CT$28),"",Deal_Master_Wide!$CT$28)</f>
        <v/>
      </c>
      <c r="Q179" s="17" t="str">
        <f>IF(ISBLANK(Deal_Master_Wide!$DA$28),"",Deal_Master_Wide!$DA$28)</f>
        <v/>
      </c>
      <c r="R179" s="18" t="str">
        <f>IF(ISBLANK(Deal_Master_Wide!$DH$28),"",Deal_Master_Wide!$DH$28)</f>
        <v/>
      </c>
      <c r="S179" s="18" t="str">
        <f>IF(ISBLANK(Deal_Master_Wide!$DO$28),"",Deal_Master_Wide!$DO$28)</f>
        <v/>
      </c>
      <c r="T179" s="18" t="str">
        <f>IF(ISBLANK(Deal_Master_Wide!$DV$28),"",Deal_Master_Wide!$DV$28)</f>
        <v/>
      </c>
      <c r="U179" s="17" t="str">
        <f>IF(ISBLANK(Deal_Master_Wide!$EC$28),"",Deal_Master_Wide!$EC$28)</f>
        <v/>
      </c>
      <c r="V179" s="17" t="str">
        <f>IF(ISBLANK(Deal_Master_Wide!$EJ$28),"",Deal_Master_Wide!$EJ$28)</f>
        <v/>
      </c>
      <c r="W179" s="17" t="str">
        <f>IF(ISBLANK(Deal_Master_Wide!$AF$28),"",Deal_Master_Wide!$AF$28)</f>
        <v/>
      </c>
    </row>
    <row r="180" spans="1:23" ht="13.4" customHeight="1">
      <c r="A180" s="15" t="s">
        <v>475</v>
      </c>
      <c r="B180" s="15" t="s">
        <v>177</v>
      </c>
      <c r="C180" s="15">
        <v>1</v>
      </c>
      <c r="D180" s="15" t="s">
        <v>481</v>
      </c>
      <c r="E180" s="15" t="s">
        <v>483</v>
      </c>
      <c r="F180" s="15">
        <v>2016</v>
      </c>
      <c r="G180" s="15">
        <v>0</v>
      </c>
      <c r="H180" s="15">
        <v>2016</v>
      </c>
      <c r="I180" s="15">
        <v>0</v>
      </c>
      <c r="J180" s="15">
        <v>1</v>
      </c>
      <c r="K180" s="16" t="e">
        <f>IF(#REF!="","",#REF!*$I180)</f>
        <v>#REF!</v>
      </c>
      <c r="L180" s="17" t="str">
        <f>IF(ISBLANK(Deal_Master_Wide!$BS$28),"",Deal_Master_Wide!$BS$28)</f>
        <v/>
      </c>
      <c r="M180" s="17" t="str">
        <f>IF(ISBLANK(Deal_Master_Wide!$BZ$28),"",Deal_Master_Wide!$BZ$28)</f>
        <v/>
      </c>
      <c r="N180" s="17" t="str">
        <f>IF(ISBLANK(Deal_Master_Wide!$CG$28),"",Deal_Master_Wide!$CG$28)</f>
        <v/>
      </c>
      <c r="O180" s="17" t="str">
        <f>IF(ISBLANK(Deal_Master_Wide!$CN$28),"",Deal_Master_Wide!$CN$28)</f>
        <v/>
      </c>
      <c r="P180" s="17" t="str">
        <f>IF(ISBLANK(Deal_Master_Wide!$CU$28),"",Deal_Master_Wide!$CU$28)</f>
        <v/>
      </c>
      <c r="Q180" s="17" t="str">
        <f>IF(ISBLANK(Deal_Master_Wide!$DB$28),"",Deal_Master_Wide!$DB$28)</f>
        <v/>
      </c>
      <c r="R180" s="18" t="str">
        <f>IF(ISBLANK(Deal_Master_Wide!$DI$28),"",Deal_Master_Wide!$DI$28)</f>
        <v/>
      </c>
      <c r="S180" s="18" t="str">
        <f>IF(ISBLANK(Deal_Master_Wide!$DP$28),"",Deal_Master_Wide!$DP$28)</f>
        <v/>
      </c>
      <c r="T180" s="18" t="str">
        <f>IF(ISBLANK(Deal_Master_Wide!$DW$28),"",Deal_Master_Wide!$DW$28)</f>
        <v/>
      </c>
      <c r="U180" s="17" t="str">
        <f>IF(ISBLANK(Deal_Master_Wide!$ED$28),"",Deal_Master_Wide!$ED$28)</f>
        <v/>
      </c>
      <c r="V180" s="17" t="str">
        <f>IF(ISBLANK(Deal_Master_Wide!$EK$28),"",Deal_Master_Wide!$EK$28)</f>
        <v/>
      </c>
      <c r="W180" s="17" t="str">
        <f>IF(ISBLANK(Deal_Master_Wide!$AF$28),"",Deal_Master_Wide!$AF$28)</f>
        <v/>
      </c>
    </row>
    <row r="181" spans="1:23" ht="13.4" customHeight="1">
      <c r="A181" s="15" t="s">
        <v>475</v>
      </c>
      <c r="B181" s="15" t="s">
        <v>177</v>
      </c>
      <c r="C181" s="15">
        <v>1</v>
      </c>
      <c r="D181" s="15" t="s">
        <v>481</v>
      </c>
      <c r="E181" s="15" t="s">
        <v>483</v>
      </c>
      <c r="F181" s="15">
        <v>2016</v>
      </c>
      <c r="G181" s="15">
        <v>1</v>
      </c>
      <c r="H181" s="15">
        <v>2017</v>
      </c>
      <c r="I181" s="15">
        <v>1</v>
      </c>
      <c r="J181" s="15">
        <v>1</v>
      </c>
      <c r="K181" s="16" t="e">
        <f>IF(#REF!="","",#REF!*$I181)</f>
        <v>#REF!</v>
      </c>
      <c r="L181" s="17" t="str">
        <f>IF(ISBLANK(Deal_Master_Wide!$BT$28),"",Deal_Master_Wide!$BT$28)</f>
        <v/>
      </c>
      <c r="M181" s="17" t="str">
        <f>IF(ISBLANK(Deal_Master_Wide!$CA$28),"",Deal_Master_Wide!$CA$28)</f>
        <v/>
      </c>
      <c r="N181" s="17" t="str">
        <f>IF(ISBLANK(Deal_Master_Wide!$CH$28),"",Deal_Master_Wide!$CH$28)</f>
        <v/>
      </c>
      <c r="O181" s="17" t="str">
        <f>IF(ISBLANK(Deal_Master_Wide!$CO$28),"",Deal_Master_Wide!$CO$28)</f>
        <v/>
      </c>
      <c r="P181" s="17" t="str">
        <f>IF(ISBLANK(Deal_Master_Wide!$CV$28),"",Deal_Master_Wide!$CV$28)</f>
        <v/>
      </c>
      <c r="Q181" s="17" t="str">
        <f>IF(ISBLANK(Deal_Master_Wide!$DC$28),"",Deal_Master_Wide!$DC$28)</f>
        <v/>
      </c>
      <c r="R181" s="18" t="str">
        <f>IF(ISBLANK(Deal_Master_Wide!$DJ$28),"",Deal_Master_Wide!$DJ$28)</f>
        <v/>
      </c>
      <c r="S181" s="18" t="str">
        <f>IF(ISBLANK(Deal_Master_Wide!$DQ$28),"",Deal_Master_Wide!$DQ$28)</f>
        <v/>
      </c>
      <c r="T181" s="18" t="str">
        <f>IF(ISBLANK(Deal_Master_Wide!$DX$28),"",Deal_Master_Wide!$DX$28)</f>
        <v/>
      </c>
      <c r="U181" s="17" t="str">
        <f>IF(ISBLANK(Deal_Master_Wide!$EE$28),"",Deal_Master_Wide!$EE$28)</f>
        <v/>
      </c>
      <c r="V181" s="17" t="str">
        <f>IF(ISBLANK(Deal_Master_Wide!$EL$28),"",Deal_Master_Wide!$EL$28)</f>
        <v/>
      </c>
      <c r="W181" s="17" t="str">
        <f>IF(ISBLANK(Deal_Master_Wide!$AF$28),"",Deal_Master_Wide!$AF$28)</f>
        <v/>
      </c>
    </row>
    <row r="182" spans="1:23" ht="13.4" customHeight="1">
      <c r="A182" s="15" t="s">
        <v>475</v>
      </c>
      <c r="B182" s="15" t="s">
        <v>177</v>
      </c>
      <c r="C182" s="15">
        <v>1</v>
      </c>
      <c r="D182" s="15" t="s">
        <v>481</v>
      </c>
      <c r="E182" s="15" t="s">
        <v>483</v>
      </c>
      <c r="F182" s="15">
        <v>2016</v>
      </c>
      <c r="G182" s="15">
        <v>2</v>
      </c>
      <c r="H182" s="15">
        <v>2018</v>
      </c>
      <c r="I182" s="15">
        <v>1</v>
      </c>
      <c r="J182" s="15">
        <v>1</v>
      </c>
      <c r="K182" s="16" t="e">
        <f>IF(#REF!="","",#REF!*$I182)</f>
        <v>#REF!</v>
      </c>
      <c r="L182" s="17" t="str">
        <f>IF(ISBLANK(Deal_Master_Wide!$BU$28),"",Deal_Master_Wide!$BU$28)</f>
        <v/>
      </c>
      <c r="M182" s="17" t="str">
        <f>IF(ISBLANK(Deal_Master_Wide!$CB$28),"",Deal_Master_Wide!$CB$28)</f>
        <v/>
      </c>
      <c r="N182" s="17" t="str">
        <f>IF(ISBLANK(Deal_Master_Wide!$CI$28),"",Deal_Master_Wide!$CI$28)</f>
        <v/>
      </c>
      <c r="O182" s="17" t="str">
        <f>IF(ISBLANK(Deal_Master_Wide!$CP$28),"",Deal_Master_Wide!$CP$28)</f>
        <v/>
      </c>
      <c r="P182" s="17" t="str">
        <f>IF(ISBLANK(Deal_Master_Wide!$CW$28),"",Deal_Master_Wide!$CW$28)</f>
        <v/>
      </c>
      <c r="Q182" s="17" t="str">
        <f>IF(ISBLANK(Deal_Master_Wide!$DD$28),"",Deal_Master_Wide!$DD$28)</f>
        <v/>
      </c>
      <c r="R182" s="18" t="str">
        <f>IF(ISBLANK(Deal_Master_Wide!$DK$28),"",Deal_Master_Wide!$DK$28)</f>
        <v/>
      </c>
      <c r="S182" s="18" t="str">
        <f>IF(ISBLANK(Deal_Master_Wide!$DR$28),"",Deal_Master_Wide!$DR$28)</f>
        <v/>
      </c>
      <c r="T182" s="18" t="str">
        <f>IF(ISBLANK(Deal_Master_Wide!$DY$28),"",Deal_Master_Wide!$DY$28)</f>
        <v/>
      </c>
      <c r="U182" s="17" t="str">
        <f>IF(ISBLANK(Deal_Master_Wide!$EF$28),"",Deal_Master_Wide!$EF$28)</f>
        <v/>
      </c>
      <c r="V182" s="17" t="str">
        <f>IF(ISBLANK(Deal_Master_Wide!$EM$28),"",Deal_Master_Wide!$EM$28)</f>
        <v/>
      </c>
      <c r="W182" s="17" t="str">
        <f>IF(ISBLANK(Deal_Master_Wide!$AF$28),"",Deal_Master_Wide!$AF$28)</f>
        <v/>
      </c>
    </row>
    <row r="183" spans="1:23" ht="13.4" customHeight="1">
      <c r="A183" s="15" t="s">
        <v>475</v>
      </c>
      <c r="B183" s="15" t="s">
        <v>177</v>
      </c>
      <c r="C183" s="15">
        <v>1</v>
      </c>
      <c r="D183" s="15" t="s">
        <v>481</v>
      </c>
      <c r="E183" s="15" t="s">
        <v>483</v>
      </c>
      <c r="F183" s="15">
        <v>2016</v>
      </c>
      <c r="G183" s="15">
        <v>3</v>
      </c>
      <c r="H183" s="15">
        <v>2019</v>
      </c>
      <c r="I183" s="15">
        <v>1</v>
      </c>
      <c r="J183" s="15">
        <v>1</v>
      </c>
      <c r="K183" s="16" t="e">
        <f>IF(#REF!="","",#REF!*$I183)</f>
        <v>#REF!</v>
      </c>
      <c r="L183" s="17" t="str">
        <f>IF(ISBLANK(Deal_Master_Wide!$BV$28),"",Deal_Master_Wide!$BV$28)</f>
        <v/>
      </c>
      <c r="M183" s="17" t="str">
        <f>IF(ISBLANK(Deal_Master_Wide!$CC$28),"",Deal_Master_Wide!$CC$28)</f>
        <v/>
      </c>
      <c r="N183" s="17" t="str">
        <f>IF(ISBLANK(Deal_Master_Wide!$CJ$28),"",Deal_Master_Wide!$CJ$28)</f>
        <v/>
      </c>
      <c r="O183" s="17" t="str">
        <f>IF(ISBLANK(Deal_Master_Wide!$CQ$28),"",Deal_Master_Wide!$CQ$28)</f>
        <v/>
      </c>
      <c r="P183" s="17" t="str">
        <f>IF(ISBLANK(Deal_Master_Wide!$CX$28),"",Deal_Master_Wide!$CX$28)</f>
        <v/>
      </c>
      <c r="Q183" s="17" t="str">
        <f>IF(ISBLANK(Deal_Master_Wide!$DE$28),"",Deal_Master_Wide!$DE$28)</f>
        <v/>
      </c>
      <c r="R183" s="18" t="str">
        <f>IF(ISBLANK(Deal_Master_Wide!$DL$28),"",Deal_Master_Wide!$DL$28)</f>
        <v/>
      </c>
      <c r="S183" s="18" t="str">
        <f>IF(ISBLANK(Deal_Master_Wide!$DS$28),"",Deal_Master_Wide!$DS$28)</f>
        <v/>
      </c>
      <c r="T183" s="18" t="str">
        <f>IF(ISBLANK(Deal_Master_Wide!$DZ$28),"",Deal_Master_Wide!$DZ$28)</f>
        <v/>
      </c>
      <c r="U183" s="17" t="str">
        <f>IF(ISBLANK(Deal_Master_Wide!$EG$28),"",Deal_Master_Wide!$EG$28)</f>
        <v/>
      </c>
      <c r="V183" s="17" t="str">
        <f>IF(ISBLANK(Deal_Master_Wide!$EN$28),"",Deal_Master_Wide!$EN$28)</f>
        <v/>
      </c>
      <c r="W183" s="17" t="str">
        <f>IF(ISBLANK(Deal_Master_Wide!$AF$28),"",Deal_Master_Wide!$AF$28)</f>
        <v/>
      </c>
    </row>
    <row r="184" spans="1:23" ht="13.4" customHeight="1">
      <c r="A184" s="15" t="s">
        <v>487</v>
      </c>
      <c r="B184" s="15" t="s">
        <v>177</v>
      </c>
      <c r="C184" s="15">
        <v>1</v>
      </c>
      <c r="D184" s="15" t="s">
        <v>417</v>
      </c>
      <c r="E184" s="15" t="s">
        <v>419</v>
      </c>
      <c r="F184" s="15">
        <v>2015</v>
      </c>
      <c r="G184" s="15">
        <v>-3</v>
      </c>
      <c r="H184" s="15">
        <v>2012</v>
      </c>
      <c r="I184" s="15">
        <v>0</v>
      </c>
      <c r="J184" s="15">
        <v>0</v>
      </c>
      <c r="K184" s="16" t="e">
        <f>IF(#REF!="","",#REF!*$I184)</f>
        <v>#REF!</v>
      </c>
      <c r="L184" s="17" t="str">
        <f>IF(ISBLANK(Deal_Master_Wide!$BP$29),"",Deal_Master_Wide!$BP$29)</f>
        <v/>
      </c>
      <c r="M184" s="17" t="str">
        <f>IF(ISBLANK(Deal_Master_Wide!$BW$29),"",Deal_Master_Wide!$BW$29)</f>
        <v/>
      </c>
      <c r="N184" s="17" t="str">
        <f>IF(ISBLANK(Deal_Master_Wide!$CD$29),"",Deal_Master_Wide!$CD$29)</f>
        <v/>
      </c>
      <c r="O184" s="17" t="str">
        <f>IF(ISBLANK(Deal_Master_Wide!$CK$29),"",Deal_Master_Wide!$CK$29)</f>
        <v/>
      </c>
      <c r="P184" s="17" t="str">
        <f>IF(ISBLANK(Deal_Master_Wide!$CR$29),"",Deal_Master_Wide!$CR$29)</f>
        <v/>
      </c>
      <c r="Q184" s="17" t="str">
        <f>IF(ISBLANK(Deal_Master_Wide!$CY$29),"",Deal_Master_Wide!$CY$29)</f>
        <v/>
      </c>
      <c r="R184" s="18" t="str">
        <f>IF(ISBLANK(Deal_Master_Wide!$DF$29),"",Deal_Master_Wide!$DF$29)</f>
        <v/>
      </c>
      <c r="S184" s="18" t="str">
        <f>IF(ISBLANK(Deal_Master_Wide!$DM$29),"",Deal_Master_Wide!$DM$29)</f>
        <v/>
      </c>
      <c r="T184" s="18" t="str">
        <f>IF(ISBLANK(Deal_Master_Wide!$DT$29),"",Deal_Master_Wide!$DT$29)</f>
        <v/>
      </c>
      <c r="U184" s="17" t="str">
        <f>IF(ISBLANK(Deal_Master_Wide!$EA$29),"",Deal_Master_Wide!$EA$29)</f>
        <v/>
      </c>
      <c r="V184" s="17" t="str">
        <f>IF(ISBLANK(Deal_Master_Wide!$EH$29),"",Deal_Master_Wide!$EH$29)</f>
        <v/>
      </c>
      <c r="W184" s="17">
        <f>IF(ISBLANK(Deal_Master_Wide!$AF$29),"",Deal_Master_Wide!$AF$29)</f>
        <v>0</v>
      </c>
    </row>
    <row r="185" spans="1:23" ht="13.4" customHeight="1">
      <c r="A185" s="15" t="s">
        <v>487</v>
      </c>
      <c r="B185" s="15" t="s">
        <v>177</v>
      </c>
      <c r="C185" s="15">
        <v>1</v>
      </c>
      <c r="D185" s="15" t="s">
        <v>417</v>
      </c>
      <c r="E185" s="15" t="s">
        <v>419</v>
      </c>
      <c r="F185" s="15">
        <v>2015</v>
      </c>
      <c r="G185" s="15">
        <v>-2</v>
      </c>
      <c r="H185" s="15">
        <v>2013</v>
      </c>
      <c r="I185" s="15">
        <v>0</v>
      </c>
      <c r="J185" s="15">
        <v>0</v>
      </c>
      <c r="K185" s="16" t="e">
        <f>IF(#REF!="","",#REF!*$I185)</f>
        <v>#REF!</v>
      </c>
      <c r="L185" s="17" t="str">
        <f>IF(ISBLANK(Deal_Master_Wide!$BQ$29),"",Deal_Master_Wide!$BQ$29)</f>
        <v/>
      </c>
      <c r="M185" s="17" t="str">
        <f>IF(ISBLANK(Deal_Master_Wide!$BX$29),"",Deal_Master_Wide!$BX$29)</f>
        <v/>
      </c>
      <c r="N185" s="17" t="str">
        <f>IF(ISBLANK(Deal_Master_Wide!$CE$29),"",Deal_Master_Wide!$CE$29)</f>
        <v/>
      </c>
      <c r="O185" s="17" t="str">
        <f>IF(ISBLANK(Deal_Master_Wide!$CL$29),"",Deal_Master_Wide!$CL$29)</f>
        <v/>
      </c>
      <c r="P185" s="17" t="str">
        <f>IF(ISBLANK(Deal_Master_Wide!$CS$29),"",Deal_Master_Wide!$CS$29)</f>
        <v/>
      </c>
      <c r="Q185" s="17" t="str">
        <f>IF(ISBLANK(Deal_Master_Wide!$CZ$29),"",Deal_Master_Wide!$CZ$29)</f>
        <v/>
      </c>
      <c r="R185" s="18" t="str">
        <f>IF(ISBLANK(Deal_Master_Wide!$DG$29),"",Deal_Master_Wide!$DG$29)</f>
        <v/>
      </c>
      <c r="S185" s="18" t="str">
        <f>IF(ISBLANK(Deal_Master_Wide!$DN$29),"",Deal_Master_Wide!$DN$29)</f>
        <v/>
      </c>
      <c r="T185" s="18" t="str">
        <f>IF(ISBLANK(Deal_Master_Wide!$DU$29),"",Deal_Master_Wide!$DU$29)</f>
        <v/>
      </c>
      <c r="U185" s="17" t="str">
        <f>IF(ISBLANK(Deal_Master_Wide!$EB$29),"",Deal_Master_Wide!$EB$29)</f>
        <v/>
      </c>
      <c r="V185" s="17" t="str">
        <f>IF(ISBLANK(Deal_Master_Wide!$EI$29),"",Deal_Master_Wide!$EI$29)</f>
        <v/>
      </c>
      <c r="W185" s="17">
        <f>IF(ISBLANK(Deal_Master_Wide!$AF$29),"",Deal_Master_Wide!$AF$29)</f>
        <v>0</v>
      </c>
    </row>
    <row r="186" spans="1:23" ht="13.4" customHeight="1">
      <c r="A186" s="15" t="s">
        <v>487</v>
      </c>
      <c r="B186" s="15" t="s">
        <v>177</v>
      </c>
      <c r="C186" s="15">
        <v>1</v>
      </c>
      <c r="D186" s="15" t="s">
        <v>417</v>
      </c>
      <c r="E186" s="15" t="s">
        <v>419</v>
      </c>
      <c r="F186" s="15">
        <v>2015</v>
      </c>
      <c r="G186" s="15">
        <v>-1</v>
      </c>
      <c r="H186" s="15">
        <v>2014</v>
      </c>
      <c r="I186" s="15">
        <v>0</v>
      </c>
      <c r="J186" s="15">
        <v>0</v>
      </c>
      <c r="K186" s="16" t="e">
        <f>IF(#REF!="","",#REF!*$I186)</f>
        <v>#REF!</v>
      </c>
      <c r="L186" s="17" t="str">
        <f>IF(ISBLANK(Deal_Master_Wide!$BR$29),"",Deal_Master_Wide!$BR$29)</f>
        <v/>
      </c>
      <c r="M186" s="17" t="str">
        <f>IF(ISBLANK(Deal_Master_Wide!$BY$29),"",Deal_Master_Wide!$BY$29)</f>
        <v/>
      </c>
      <c r="N186" s="17" t="str">
        <f>IF(ISBLANK(Deal_Master_Wide!$CF$29),"",Deal_Master_Wide!$CF$29)</f>
        <v/>
      </c>
      <c r="O186" s="17" t="str">
        <f>IF(ISBLANK(Deal_Master_Wide!$CM$29),"",Deal_Master_Wide!$CM$29)</f>
        <v/>
      </c>
      <c r="P186" s="17" t="str">
        <f>IF(ISBLANK(Deal_Master_Wide!$CT$29),"",Deal_Master_Wide!$CT$29)</f>
        <v/>
      </c>
      <c r="Q186" s="17" t="str">
        <f>IF(ISBLANK(Deal_Master_Wide!$DA$29),"",Deal_Master_Wide!$DA$29)</f>
        <v/>
      </c>
      <c r="R186" s="18" t="str">
        <f>IF(ISBLANK(Deal_Master_Wide!$DH$29),"",Deal_Master_Wide!$DH$29)</f>
        <v/>
      </c>
      <c r="S186" s="18" t="str">
        <f>IF(ISBLANK(Deal_Master_Wide!$DO$29),"",Deal_Master_Wide!$DO$29)</f>
        <v/>
      </c>
      <c r="T186" s="18" t="str">
        <f>IF(ISBLANK(Deal_Master_Wide!$DV$29),"",Deal_Master_Wide!$DV$29)</f>
        <v/>
      </c>
      <c r="U186" s="17" t="str">
        <f>IF(ISBLANK(Deal_Master_Wide!$EC$29),"",Deal_Master_Wide!$EC$29)</f>
        <v/>
      </c>
      <c r="V186" s="17" t="str">
        <f>IF(ISBLANK(Deal_Master_Wide!$EJ$29),"",Deal_Master_Wide!$EJ$29)</f>
        <v/>
      </c>
      <c r="W186" s="17">
        <f>IF(ISBLANK(Deal_Master_Wide!$AF$29),"",Deal_Master_Wide!$AF$29)</f>
        <v>0</v>
      </c>
    </row>
    <row r="187" spans="1:23" ht="13.4" customHeight="1">
      <c r="A187" s="15" t="s">
        <v>487</v>
      </c>
      <c r="B187" s="15" t="s">
        <v>177</v>
      </c>
      <c r="C187" s="15">
        <v>1</v>
      </c>
      <c r="D187" s="15" t="s">
        <v>417</v>
      </c>
      <c r="E187" s="15" t="s">
        <v>419</v>
      </c>
      <c r="F187" s="15">
        <v>2015</v>
      </c>
      <c r="G187" s="15">
        <v>0</v>
      </c>
      <c r="H187" s="15">
        <v>2015</v>
      </c>
      <c r="I187" s="15">
        <v>0</v>
      </c>
      <c r="J187" s="15">
        <v>1</v>
      </c>
      <c r="K187" s="16" t="e">
        <f>IF(#REF!="","",#REF!*$I187)</f>
        <v>#REF!</v>
      </c>
      <c r="L187" s="17" t="str">
        <f>IF(ISBLANK(Deal_Master_Wide!$BS$29),"",Deal_Master_Wide!$BS$29)</f>
        <v/>
      </c>
      <c r="M187" s="17" t="str">
        <f>IF(ISBLANK(Deal_Master_Wide!$BZ$29),"",Deal_Master_Wide!$BZ$29)</f>
        <v/>
      </c>
      <c r="N187" s="17" t="str">
        <f>IF(ISBLANK(Deal_Master_Wide!$CG$29),"",Deal_Master_Wide!$CG$29)</f>
        <v/>
      </c>
      <c r="O187" s="17" t="str">
        <f>IF(ISBLANK(Deal_Master_Wide!$CN$29),"",Deal_Master_Wide!$CN$29)</f>
        <v/>
      </c>
      <c r="P187" s="17" t="str">
        <f>IF(ISBLANK(Deal_Master_Wide!$CU$29),"",Deal_Master_Wide!$CU$29)</f>
        <v/>
      </c>
      <c r="Q187" s="17" t="str">
        <f>IF(ISBLANK(Deal_Master_Wide!$DB$29),"",Deal_Master_Wide!$DB$29)</f>
        <v/>
      </c>
      <c r="R187" s="18" t="str">
        <f>IF(ISBLANK(Deal_Master_Wide!$DI$29),"",Deal_Master_Wide!$DI$29)</f>
        <v/>
      </c>
      <c r="S187" s="18" t="str">
        <f>IF(ISBLANK(Deal_Master_Wide!$DP$29),"",Deal_Master_Wide!$DP$29)</f>
        <v/>
      </c>
      <c r="T187" s="18" t="str">
        <f>IF(ISBLANK(Deal_Master_Wide!$DW$29),"",Deal_Master_Wide!$DW$29)</f>
        <v/>
      </c>
      <c r="U187" s="17" t="str">
        <f>IF(ISBLANK(Deal_Master_Wide!$ED$29),"",Deal_Master_Wide!$ED$29)</f>
        <v/>
      </c>
      <c r="V187" s="17" t="str">
        <f>IF(ISBLANK(Deal_Master_Wide!$EK$29),"",Deal_Master_Wide!$EK$29)</f>
        <v/>
      </c>
      <c r="W187" s="17">
        <f>IF(ISBLANK(Deal_Master_Wide!$AF$29),"",Deal_Master_Wide!$AF$29)</f>
        <v>0</v>
      </c>
    </row>
    <row r="188" spans="1:23" ht="13.4" customHeight="1">
      <c r="A188" s="15" t="s">
        <v>487</v>
      </c>
      <c r="B188" s="15" t="s">
        <v>177</v>
      </c>
      <c r="C188" s="15">
        <v>1</v>
      </c>
      <c r="D188" s="15" t="s">
        <v>417</v>
      </c>
      <c r="E188" s="15" t="s">
        <v>419</v>
      </c>
      <c r="F188" s="15">
        <v>2015</v>
      </c>
      <c r="G188" s="15">
        <v>1</v>
      </c>
      <c r="H188" s="15">
        <v>2016</v>
      </c>
      <c r="I188" s="15">
        <v>1</v>
      </c>
      <c r="J188" s="15">
        <v>1</v>
      </c>
      <c r="K188" s="16" t="e">
        <f>IF(#REF!="","",#REF!*$I188)</f>
        <v>#REF!</v>
      </c>
      <c r="L188" s="17" t="str">
        <f>IF(ISBLANK(Deal_Master_Wide!$BT$29),"",Deal_Master_Wide!$BT$29)</f>
        <v/>
      </c>
      <c r="M188" s="17" t="str">
        <f>IF(ISBLANK(Deal_Master_Wide!$CA$29),"",Deal_Master_Wide!$CA$29)</f>
        <v/>
      </c>
      <c r="N188" s="17" t="str">
        <f>IF(ISBLANK(Deal_Master_Wide!$CH$29),"",Deal_Master_Wide!$CH$29)</f>
        <v/>
      </c>
      <c r="O188" s="17" t="str">
        <f>IF(ISBLANK(Deal_Master_Wide!$CO$29),"",Deal_Master_Wide!$CO$29)</f>
        <v/>
      </c>
      <c r="P188" s="17" t="str">
        <f>IF(ISBLANK(Deal_Master_Wide!$CV$29),"",Deal_Master_Wide!$CV$29)</f>
        <v/>
      </c>
      <c r="Q188" s="17" t="str">
        <f>IF(ISBLANK(Deal_Master_Wide!$DC$29),"",Deal_Master_Wide!$DC$29)</f>
        <v/>
      </c>
      <c r="R188" s="18" t="str">
        <f>IF(ISBLANK(Deal_Master_Wide!$DJ$29),"",Deal_Master_Wide!$DJ$29)</f>
        <v/>
      </c>
      <c r="S188" s="18" t="str">
        <f>IF(ISBLANK(Deal_Master_Wide!$DQ$29),"",Deal_Master_Wide!$DQ$29)</f>
        <v/>
      </c>
      <c r="T188" s="18" t="str">
        <f>IF(ISBLANK(Deal_Master_Wide!$DX$29),"",Deal_Master_Wide!$DX$29)</f>
        <v/>
      </c>
      <c r="U188" s="17" t="str">
        <f>IF(ISBLANK(Deal_Master_Wide!$EE$29),"",Deal_Master_Wide!$EE$29)</f>
        <v/>
      </c>
      <c r="V188" s="17" t="str">
        <f>IF(ISBLANK(Deal_Master_Wide!$EL$29),"",Deal_Master_Wide!$EL$29)</f>
        <v/>
      </c>
      <c r="W188" s="17">
        <f>IF(ISBLANK(Deal_Master_Wide!$AF$29),"",Deal_Master_Wide!$AF$29)</f>
        <v>0</v>
      </c>
    </row>
    <row r="189" spans="1:23" ht="13.4" customHeight="1">
      <c r="A189" s="15" t="s">
        <v>487</v>
      </c>
      <c r="B189" s="15" t="s">
        <v>177</v>
      </c>
      <c r="C189" s="15">
        <v>1</v>
      </c>
      <c r="D189" s="15" t="s">
        <v>417</v>
      </c>
      <c r="E189" s="15" t="s">
        <v>419</v>
      </c>
      <c r="F189" s="15">
        <v>2015</v>
      </c>
      <c r="G189" s="15">
        <v>2</v>
      </c>
      <c r="H189" s="15">
        <v>2017</v>
      </c>
      <c r="I189" s="15">
        <v>1</v>
      </c>
      <c r="J189" s="15">
        <v>1</v>
      </c>
      <c r="K189" s="16" t="e">
        <f>IF(#REF!="","",#REF!*$I189)</f>
        <v>#REF!</v>
      </c>
      <c r="L189" s="17" t="str">
        <f>IF(ISBLANK(Deal_Master_Wide!$BU$29),"",Deal_Master_Wide!$BU$29)</f>
        <v/>
      </c>
      <c r="M189" s="17" t="str">
        <f>IF(ISBLANK(Deal_Master_Wide!$CB$29),"",Deal_Master_Wide!$CB$29)</f>
        <v/>
      </c>
      <c r="N189" s="17" t="str">
        <f>IF(ISBLANK(Deal_Master_Wide!$CI$29),"",Deal_Master_Wide!$CI$29)</f>
        <v/>
      </c>
      <c r="O189" s="17" t="str">
        <f>IF(ISBLANK(Deal_Master_Wide!$CP$29),"",Deal_Master_Wide!$CP$29)</f>
        <v/>
      </c>
      <c r="P189" s="17" t="str">
        <f>IF(ISBLANK(Deal_Master_Wide!$CW$29),"",Deal_Master_Wide!$CW$29)</f>
        <v/>
      </c>
      <c r="Q189" s="17" t="str">
        <f>IF(ISBLANK(Deal_Master_Wide!$DD$29),"",Deal_Master_Wide!$DD$29)</f>
        <v/>
      </c>
      <c r="R189" s="18" t="str">
        <f>IF(ISBLANK(Deal_Master_Wide!$DK$29),"",Deal_Master_Wide!$DK$29)</f>
        <v/>
      </c>
      <c r="S189" s="18" t="str">
        <f>IF(ISBLANK(Deal_Master_Wide!$DR$29),"",Deal_Master_Wide!$DR$29)</f>
        <v/>
      </c>
      <c r="T189" s="18" t="str">
        <f>IF(ISBLANK(Deal_Master_Wide!$DY$29),"",Deal_Master_Wide!$DY$29)</f>
        <v/>
      </c>
      <c r="U189" s="17" t="str">
        <f>IF(ISBLANK(Deal_Master_Wide!$EF$29),"",Deal_Master_Wide!$EF$29)</f>
        <v/>
      </c>
      <c r="V189" s="17" t="str">
        <f>IF(ISBLANK(Deal_Master_Wide!$EM$29),"",Deal_Master_Wide!$EM$29)</f>
        <v/>
      </c>
      <c r="W189" s="17">
        <f>IF(ISBLANK(Deal_Master_Wide!$AF$29),"",Deal_Master_Wide!$AF$29)</f>
        <v>0</v>
      </c>
    </row>
    <row r="190" spans="1:23" ht="13.4" customHeight="1">
      <c r="A190" s="15" t="s">
        <v>487</v>
      </c>
      <c r="B190" s="15" t="s">
        <v>177</v>
      </c>
      <c r="C190" s="15">
        <v>1</v>
      </c>
      <c r="D190" s="15" t="s">
        <v>417</v>
      </c>
      <c r="E190" s="15" t="s">
        <v>419</v>
      </c>
      <c r="F190" s="15">
        <v>2015</v>
      </c>
      <c r="G190" s="15">
        <v>3</v>
      </c>
      <c r="H190" s="15">
        <v>2018</v>
      </c>
      <c r="I190" s="15">
        <v>1</v>
      </c>
      <c r="J190" s="15">
        <v>1</v>
      </c>
      <c r="K190" s="16" t="e">
        <f>IF(#REF!="","",#REF!*$I190)</f>
        <v>#REF!</v>
      </c>
      <c r="L190" s="17" t="str">
        <f>IF(ISBLANK(Deal_Master_Wide!$BV$29),"",Deal_Master_Wide!$BV$29)</f>
        <v/>
      </c>
      <c r="M190" s="17" t="str">
        <f>IF(ISBLANK(Deal_Master_Wide!$CC$29),"",Deal_Master_Wide!$CC$29)</f>
        <v/>
      </c>
      <c r="N190" s="17" t="str">
        <f>IF(ISBLANK(Deal_Master_Wide!$CJ$29),"",Deal_Master_Wide!$CJ$29)</f>
        <v/>
      </c>
      <c r="O190" s="17" t="str">
        <f>IF(ISBLANK(Deal_Master_Wide!$CQ$29),"",Deal_Master_Wide!$CQ$29)</f>
        <v/>
      </c>
      <c r="P190" s="17" t="str">
        <f>IF(ISBLANK(Deal_Master_Wide!$CX$29),"",Deal_Master_Wide!$CX$29)</f>
        <v/>
      </c>
      <c r="Q190" s="17" t="str">
        <f>IF(ISBLANK(Deal_Master_Wide!$DE$29),"",Deal_Master_Wide!$DE$29)</f>
        <v/>
      </c>
      <c r="R190" s="18" t="str">
        <f>IF(ISBLANK(Deal_Master_Wide!$DL$29),"",Deal_Master_Wide!$DL$29)</f>
        <v/>
      </c>
      <c r="S190" s="18" t="str">
        <f>IF(ISBLANK(Deal_Master_Wide!$DS$29),"",Deal_Master_Wide!$DS$29)</f>
        <v/>
      </c>
      <c r="T190" s="18" t="str">
        <f>IF(ISBLANK(Deal_Master_Wide!$DZ$29),"",Deal_Master_Wide!$DZ$29)</f>
        <v/>
      </c>
      <c r="U190" s="17" t="str">
        <f>IF(ISBLANK(Deal_Master_Wide!$EG$29),"",Deal_Master_Wide!$EG$29)</f>
        <v/>
      </c>
      <c r="V190" s="17" t="str">
        <f>IF(ISBLANK(Deal_Master_Wide!$EN$29),"",Deal_Master_Wide!$EN$29)</f>
        <v/>
      </c>
      <c r="W190" s="17">
        <f>IF(ISBLANK(Deal_Master_Wide!$AF$29),"",Deal_Master_Wide!$AF$29)</f>
        <v>0</v>
      </c>
    </row>
    <row r="191" spans="1:23" ht="13.4" customHeight="1">
      <c r="A191" s="15" t="s">
        <v>491</v>
      </c>
      <c r="B191" s="15" t="s">
        <v>177</v>
      </c>
      <c r="C191" s="15">
        <v>1</v>
      </c>
      <c r="D191" s="15" t="s">
        <v>497</v>
      </c>
      <c r="E191" s="15" t="s">
        <v>499</v>
      </c>
      <c r="F191" s="15">
        <v>2015</v>
      </c>
      <c r="G191" s="15">
        <v>-3</v>
      </c>
      <c r="H191" s="15">
        <v>2012</v>
      </c>
      <c r="I191" s="15">
        <v>0</v>
      </c>
      <c r="J191" s="15">
        <v>0</v>
      </c>
      <c r="K191" s="16" t="e">
        <f>IF(#REF!="","",#REF!*$I191)</f>
        <v>#REF!</v>
      </c>
      <c r="L191" s="17" t="str">
        <f>IF(ISBLANK(Deal_Master_Wide!$BP$30),"",Deal_Master_Wide!$BP$30)</f>
        <v/>
      </c>
      <c r="M191" s="17" t="str">
        <f>IF(ISBLANK(Deal_Master_Wide!$BW$30),"",Deal_Master_Wide!$BW$30)</f>
        <v/>
      </c>
      <c r="N191" s="17" t="str">
        <f>IF(ISBLANK(Deal_Master_Wide!$CD$30),"",Deal_Master_Wide!$CD$30)</f>
        <v/>
      </c>
      <c r="O191" s="17" t="str">
        <f>IF(ISBLANK(Deal_Master_Wide!$CK$30),"",Deal_Master_Wide!$CK$30)</f>
        <v/>
      </c>
      <c r="P191" s="17" t="str">
        <f>IF(ISBLANK(Deal_Master_Wide!$CR$30),"",Deal_Master_Wide!$CR$30)</f>
        <v/>
      </c>
      <c r="Q191" s="17" t="str">
        <f>IF(ISBLANK(Deal_Master_Wide!$CY$30),"",Deal_Master_Wide!$CY$30)</f>
        <v/>
      </c>
      <c r="R191" s="18" t="str">
        <f>IF(ISBLANK(Deal_Master_Wide!$DF$30),"",Deal_Master_Wide!$DF$30)</f>
        <v/>
      </c>
      <c r="S191" s="18" t="str">
        <f>IF(ISBLANK(Deal_Master_Wide!$DM$30),"",Deal_Master_Wide!$DM$30)</f>
        <v/>
      </c>
      <c r="T191" s="18" t="str">
        <f>IF(ISBLANK(Deal_Master_Wide!$DT$30),"",Deal_Master_Wide!$DT$30)</f>
        <v/>
      </c>
      <c r="U191" s="17" t="str">
        <f>IF(ISBLANK(Deal_Master_Wide!$EA$30),"",Deal_Master_Wide!$EA$30)</f>
        <v/>
      </c>
      <c r="V191" s="17" t="str">
        <f>IF(ISBLANK(Deal_Master_Wide!$EH$30),"",Deal_Master_Wide!$EH$30)</f>
        <v/>
      </c>
      <c r="W191" s="17">
        <f>IF(ISBLANK(Deal_Master_Wide!$AF$30),"",Deal_Master_Wide!$AF$30)</f>
        <v>32</v>
      </c>
    </row>
    <row r="192" spans="1:23" ht="13.4" customHeight="1">
      <c r="A192" s="15" t="s">
        <v>491</v>
      </c>
      <c r="B192" s="15" t="s">
        <v>177</v>
      </c>
      <c r="C192" s="15">
        <v>1</v>
      </c>
      <c r="D192" s="15" t="s">
        <v>497</v>
      </c>
      <c r="E192" s="15" t="s">
        <v>499</v>
      </c>
      <c r="F192" s="15">
        <v>2015</v>
      </c>
      <c r="G192" s="15">
        <v>-2</v>
      </c>
      <c r="H192" s="15">
        <v>2013</v>
      </c>
      <c r="I192" s="15">
        <v>0</v>
      </c>
      <c r="J192" s="15">
        <v>0</v>
      </c>
      <c r="K192" s="16" t="e">
        <f>IF(#REF!="","",#REF!*$I192)</f>
        <v>#REF!</v>
      </c>
      <c r="L192" s="17">
        <f>IF(ISBLANK(Deal_Master_Wide!$BQ$30),"",Deal_Master_Wide!$BQ$30)</f>
        <v>0.62360000000000004</v>
      </c>
      <c r="M192" s="17">
        <f>IF(ISBLANK(Deal_Master_Wide!$BX$30),"",Deal_Master_Wide!$BX$30)</f>
        <v>-10.9476</v>
      </c>
      <c r="N192" s="17" t="str">
        <f>IF(ISBLANK(Deal_Master_Wide!$CE$30),"",Deal_Master_Wide!$CE$30)</f>
        <v/>
      </c>
      <c r="O192" s="17">
        <f>IF(ISBLANK(Deal_Master_Wide!$CL$30),"",Deal_Master_Wide!$CL$30)</f>
        <v>7.1650999999999998</v>
      </c>
      <c r="P192" s="17">
        <f>IF(ISBLANK(Deal_Master_Wide!$CS$30),"",Deal_Master_Wide!$CS$30)</f>
        <v>9.4198000000000004</v>
      </c>
      <c r="Q192" s="17">
        <f>IF(ISBLANK(Deal_Master_Wide!$CZ$30),"",Deal_Master_Wide!$CZ$30)</f>
        <v>8.0488</v>
      </c>
      <c r="R192" s="18" t="str">
        <f>IF(ISBLANK(Deal_Master_Wide!$DG$30),"",Deal_Master_Wide!$DG$30)</f>
        <v/>
      </c>
      <c r="S192" s="18">
        <f>IF(ISBLANK(Deal_Master_Wide!$DN$30),"",Deal_Master_Wide!$DN$30)</f>
        <v>-1755.5555999999999</v>
      </c>
      <c r="T192" s="18">
        <f>IF(ISBLANK(Deal_Master_Wide!$DU$30),"",Deal_Master_Wide!$DU$30)</f>
        <v>131.4676</v>
      </c>
      <c r="U192" s="17" t="str">
        <f>IF(ISBLANK(Deal_Master_Wide!$EB$30),"",Deal_Master_Wide!$EB$30)</f>
        <v/>
      </c>
      <c r="V192" s="17" t="str">
        <f>IF(ISBLANK(Deal_Master_Wide!$EI$30),"",Deal_Master_Wide!$EI$30)</f>
        <v/>
      </c>
      <c r="W192" s="17">
        <f>IF(ISBLANK(Deal_Master_Wide!$AF$30),"",Deal_Master_Wide!$AF$30)</f>
        <v>32</v>
      </c>
    </row>
    <row r="193" spans="1:23" ht="13.4" customHeight="1">
      <c r="A193" s="15" t="s">
        <v>491</v>
      </c>
      <c r="B193" s="15" t="s">
        <v>177</v>
      </c>
      <c r="C193" s="15">
        <v>1</v>
      </c>
      <c r="D193" s="15" t="s">
        <v>497</v>
      </c>
      <c r="E193" s="15" t="s">
        <v>499</v>
      </c>
      <c r="F193" s="15">
        <v>2015</v>
      </c>
      <c r="G193" s="15">
        <v>-1</v>
      </c>
      <c r="H193" s="15">
        <v>2014</v>
      </c>
      <c r="I193" s="15">
        <v>0</v>
      </c>
      <c r="J193" s="15">
        <v>0</v>
      </c>
      <c r="K193" s="16" t="e">
        <f>IF(#REF!="","",#REF!*$I193)</f>
        <v>#REF!</v>
      </c>
      <c r="L193" s="17">
        <f>IF(ISBLANK(Deal_Master_Wide!$BR$30),"",Deal_Master_Wide!$BR$30)</f>
        <v>10.0952</v>
      </c>
      <c r="M193" s="17">
        <f>IF(ISBLANK(Deal_Master_Wide!$BY$30),"",Deal_Master_Wide!$BY$30)</f>
        <v>-14.4148</v>
      </c>
      <c r="N193" s="17">
        <f>IF(ISBLANK(Deal_Master_Wide!$CF$30),"",Deal_Master_Wide!$CF$30)</f>
        <v>-12.8284</v>
      </c>
      <c r="O193" s="17">
        <f>IF(ISBLANK(Deal_Master_Wide!$CM$30),"",Deal_Master_Wide!$CM$30)</f>
        <v>104.514</v>
      </c>
      <c r="P193" s="17">
        <f>IF(ISBLANK(Deal_Master_Wide!$CT$30),"",Deal_Master_Wide!$CT$30)</f>
        <v>0</v>
      </c>
      <c r="Q193" s="17">
        <f>IF(ISBLANK(Deal_Master_Wide!$DA$30),"",Deal_Master_Wide!$DA$30)</f>
        <v>17.7286</v>
      </c>
      <c r="R193" s="18">
        <f>IF(ISBLANK(Deal_Master_Wide!$DH$30),"",Deal_Master_Wide!$DH$30)</f>
        <v>-24.957799999999999</v>
      </c>
      <c r="S193" s="18">
        <f>IF(ISBLANK(Deal_Master_Wide!$DO$30),"",Deal_Master_Wide!$DO$30)</f>
        <v>-142.78890000000001</v>
      </c>
      <c r="T193" s="18">
        <f>IF(ISBLANK(Deal_Master_Wide!$DV$30),"",Deal_Master_Wide!$DV$30)</f>
        <v>0</v>
      </c>
      <c r="U193" s="17" t="str">
        <f>IF(ISBLANK(Deal_Master_Wide!$EC$30),"",Deal_Master_Wide!$EC$30)</f>
        <v/>
      </c>
      <c r="V193" s="17" t="str">
        <f>IF(ISBLANK(Deal_Master_Wide!$EJ$30),"",Deal_Master_Wide!$EJ$30)</f>
        <v/>
      </c>
      <c r="W193" s="17">
        <f>IF(ISBLANK(Deal_Master_Wide!$AF$30),"",Deal_Master_Wide!$AF$30)</f>
        <v>32</v>
      </c>
    </row>
    <row r="194" spans="1:23" ht="13.4" customHeight="1">
      <c r="A194" s="15" t="s">
        <v>491</v>
      </c>
      <c r="B194" s="15" t="s">
        <v>177</v>
      </c>
      <c r="C194" s="15">
        <v>1</v>
      </c>
      <c r="D194" s="15" t="s">
        <v>497</v>
      </c>
      <c r="E194" s="15" t="s">
        <v>499</v>
      </c>
      <c r="F194" s="15">
        <v>2015</v>
      </c>
      <c r="G194" s="15">
        <v>0</v>
      </c>
      <c r="H194" s="15">
        <v>2015</v>
      </c>
      <c r="I194" s="15">
        <v>0</v>
      </c>
      <c r="J194" s="15">
        <v>1</v>
      </c>
      <c r="K194" s="16" t="e">
        <f>IF(#REF!="","",#REF!*$I194)</f>
        <v>#REF!</v>
      </c>
      <c r="L194" s="17">
        <f>IF(ISBLANK(Deal_Master_Wide!$BS$30),"",Deal_Master_Wide!$BS$30)</f>
        <v>65.791499999999999</v>
      </c>
      <c r="M194" s="17">
        <f>IF(ISBLANK(Deal_Master_Wide!$BZ$30),"",Deal_Master_Wide!$BZ$30)</f>
        <v>-12.2281</v>
      </c>
      <c r="N194" s="17">
        <f>IF(ISBLANK(Deal_Master_Wide!$CG$30),"",Deal_Master_Wide!$CG$30)</f>
        <v>-35.3474</v>
      </c>
      <c r="O194" s="17">
        <f>IF(ISBLANK(Deal_Master_Wide!$CN$30),"",Deal_Master_Wide!$CN$30)</f>
        <v>443.42439999999999</v>
      </c>
      <c r="P194" s="17">
        <f>IF(ISBLANK(Deal_Master_Wide!$CU$30),"",Deal_Master_Wide!$CU$30)</f>
        <v>0</v>
      </c>
      <c r="Q194" s="17">
        <f>IF(ISBLANK(Deal_Master_Wide!$DB$30),"",Deal_Master_Wide!$DB$30)</f>
        <v>52.872799999999998</v>
      </c>
      <c r="R194" s="18">
        <f>IF(ISBLANK(Deal_Master_Wide!$DI$30),"",Deal_Master_Wide!$DI$30)</f>
        <v>-12.8916</v>
      </c>
      <c r="S194" s="18">
        <f>IF(ISBLANK(Deal_Master_Wide!$DP$30),"",Deal_Master_Wide!$DP$30)</f>
        <v>-18.586200000000002</v>
      </c>
      <c r="T194" s="18">
        <f>IF(ISBLANK(Deal_Master_Wide!$DW$30),"",Deal_Master_Wide!$DW$30)</f>
        <v>0</v>
      </c>
      <c r="U194" s="17">
        <f>IF(ISBLANK(Deal_Master_Wide!$ED$30),"",Deal_Master_Wide!$ED$30)</f>
        <v>2</v>
      </c>
      <c r="V194" s="17">
        <f>IF(ISBLANK(Deal_Master_Wide!$EK$30),"",Deal_Master_Wide!$EK$30)</f>
        <v>3</v>
      </c>
      <c r="W194" s="17">
        <f>IF(ISBLANK(Deal_Master_Wide!$AF$30),"",Deal_Master_Wide!$AF$30)</f>
        <v>32</v>
      </c>
    </row>
    <row r="195" spans="1:23" ht="13.4" customHeight="1">
      <c r="A195" s="15" t="s">
        <v>491</v>
      </c>
      <c r="B195" s="15" t="s">
        <v>177</v>
      </c>
      <c r="C195" s="15">
        <v>1</v>
      </c>
      <c r="D195" s="15" t="s">
        <v>497</v>
      </c>
      <c r="E195" s="15" t="s">
        <v>499</v>
      </c>
      <c r="F195" s="15">
        <v>2015</v>
      </c>
      <c r="G195" s="15">
        <v>1</v>
      </c>
      <c r="H195" s="15">
        <v>2016</v>
      </c>
      <c r="I195" s="15">
        <v>1</v>
      </c>
      <c r="J195" s="15">
        <v>1</v>
      </c>
      <c r="K195" s="16" t="e">
        <f>IF(#REF!="","",#REF!*$I195)</f>
        <v>#REF!</v>
      </c>
      <c r="L195" s="17">
        <f>IF(ISBLANK(Deal_Master_Wide!$BT$30),"",Deal_Master_Wide!$BT$30)</f>
        <v>45.813600000000001</v>
      </c>
      <c r="M195" s="17">
        <f>IF(ISBLANK(Deal_Master_Wide!$CA$30),"",Deal_Master_Wide!$CA$30)</f>
        <v>-64.961299999999994</v>
      </c>
      <c r="N195" s="17">
        <f>IF(ISBLANK(Deal_Master_Wide!$CH$30),"",Deal_Master_Wide!$CH$30)</f>
        <v>-82.394199999999998</v>
      </c>
      <c r="O195" s="17">
        <f>IF(ISBLANK(Deal_Master_Wide!$CO$30),"",Deal_Master_Wide!$CO$30)</f>
        <v>415.86329999999998</v>
      </c>
      <c r="P195" s="17">
        <f>IF(ISBLANK(Deal_Master_Wide!$CV$30),"",Deal_Master_Wide!$CV$30)</f>
        <v>0</v>
      </c>
      <c r="Q195" s="17">
        <f>IF(ISBLANK(Deal_Master_Wide!$DC$30),"",Deal_Master_Wide!$DC$30)</f>
        <v>79.293599999999998</v>
      </c>
      <c r="R195" s="18">
        <f>IF(ISBLANK(Deal_Master_Wide!$DJ$30),"",Deal_Master_Wide!$DJ$30)</f>
        <v>-19.805399999999999</v>
      </c>
      <c r="S195" s="18">
        <f>IF(ISBLANK(Deal_Master_Wide!$DQ$30),"",Deal_Master_Wide!$DQ$30)</f>
        <v>-141.79480000000001</v>
      </c>
      <c r="T195" s="18">
        <f>IF(ISBLANK(Deal_Master_Wide!$DX$30),"",Deal_Master_Wide!$DX$30)</f>
        <v>0</v>
      </c>
      <c r="U195" s="17">
        <f>IF(ISBLANK(Deal_Master_Wide!$EE$30),"",Deal_Master_Wide!$EE$30)</f>
        <v>1</v>
      </c>
      <c r="V195" s="17">
        <f>IF(ISBLANK(Deal_Master_Wide!$EL$30),"",Deal_Master_Wide!$EL$30)</f>
        <v>0</v>
      </c>
      <c r="W195" s="17">
        <f>IF(ISBLANK(Deal_Master_Wide!$AF$30),"",Deal_Master_Wide!$AF$30)</f>
        <v>32</v>
      </c>
    </row>
    <row r="196" spans="1:23" ht="13.4" customHeight="1">
      <c r="A196" s="15" t="s">
        <v>491</v>
      </c>
      <c r="B196" s="15" t="s">
        <v>177</v>
      </c>
      <c r="C196" s="15">
        <v>1</v>
      </c>
      <c r="D196" s="15" t="s">
        <v>497</v>
      </c>
      <c r="E196" s="15" t="s">
        <v>499</v>
      </c>
      <c r="F196" s="15">
        <v>2015</v>
      </c>
      <c r="G196" s="15">
        <v>2</v>
      </c>
      <c r="H196" s="15">
        <v>2017</v>
      </c>
      <c r="I196" s="15">
        <v>1</v>
      </c>
      <c r="J196" s="15">
        <v>1</v>
      </c>
      <c r="K196" s="16" t="e">
        <f>IF(#REF!="","",#REF!*$I196)</f>
        <v>#REF!</v>
      </c>
      <c r="L196" s="17">
        <f>IF(ISBLANK(Deal_Master_Wide!$BU$30),"",Deal_Master_Wide!$BU$30)</f>
        <v>15.2911</v>
      </c>
      <c r="M196" s="17">
        <f>IF(ISBLANK(Deal_Master_Wide!$CB$30),"",Deal_Master_Wide!$CB$30)</f>
        <v>-94.424700000000001</v>
      </c>
      <c r="N196" s="17">
        <f>IF(ISBLANK(Deal_Master_Wide!$CI$30),"",Deal_Master_Wide!$CI$30)</f>
        <v>-81.4833</v>
      </c>
      <c r="O196" s="17">
        <f>IF(ISBLANK(Deal_Master_Wide!$CP$30),"",Deal_Master_Wide!$CP$30)</f>
        <v>370.26119999999997</v>
      </c>
      <c r="P196" s="17">
        <f>IF(ISBLANK(Deal_Master_Wide!$CW$30),"",Deal_Master_Wide!$CW$30)</f>
        <v>0</v>
      </c>
      <c r="Q196" s="17">
        <f>IF(ISBLANK(Deal_Master_Wide!$DD$30),"",Deal_Master_Wide!$DD$30)</f>
        <v>79.282600000000002</v>
      </c>
      <c r="R196" s="18">
        <f>IF(ISBLANK(Deal_Master_Wide!$DK$30),"",Deal_Master_Wide!$DK$30)</f>
        <v>-20.7896</v>
      </c>
      <c r="S196" s="18">
        <f>IF(ISBLANK(Deal_Master_Wide!$DR$30),"",Deal_Master_Wide!$DR$30)</f>
        <v>-617.51260000000002</v>
      </c>
      <c r="T196" s="18">
        <f>IF(ISBLANK(Deal_Master_Wide!$DY$30),"",Deal_Master_Wide!$DY$30)</f>
        <v>0</v>
      </c>
      <c r="U196" s="17">
        <f>IF(ISBLANK(Deal_Master_Wide!$EF$30),"",Deal_Master_Wide!$EF$30)</f>
        <v>2</v>
      </c>
      <c r="V196" s="17">
        <f>IF(ISBLANK(Deal_Master_Wide!$EM$30),"",Deal_Master_Wide!$EM$30)</f>
        <v>0</v>
      </c>
      <c r="W196" s="17">
        <f>IF(ISBLANK(Deal_Master_Wide!$AF$30),"",Deal_Master_Wide!$AF$30)</f>
        <v>32</v>
      </c>
    </row>
    <row r="197" spans="1:23" ht="13.4" customHeight="1">
      <c r="A197" s="15" t="s">
        <v>491</v>
      </c>
      <c r="B197" s="15" t="s">
        <v>177</v>
      </c>
      <c r="C197" s="15">
        <v>1</v>
      </c>
      <c r="D197" s="15" t="s">
        <v>497</v>
      </c>
      <c r="E197" s="15" t="s">
        <v>499</v>
      </c>
      <c r="F197" s="15">
        <v>2015</v>
      </c>
      <c r="G197" s="15">
        <v>3</v>
      </c>
      <c r="H197" s="15">
        <v>2018</v>
      </c>
      <c r="I197" s="15">
        <v>1</v>
      </c>
      <c r="J197" s="15">
        <v>1</v>
      </c>
      <c r="K197" s="16" t="e">
        <f>IF(#REF!="","",#REF!*$I197)</f>
        <v>#REF!</v>
      </c>
      <c r="L197" s="17">
        <f>IF(ISBLANK(Deal_Master_Wide!$BV$30),"",Deal_Master_Wide!$BV$30)</f>
        <v>12.7858</v>
      </c>
      <c r="M197" s="17">
        <f>IF(ISBLANK(Deal_Master_Wide!$CC$30),"",Deal_Master_Wide!$CC$30)</f>
        <v>-82.516300000000001</v>
      </c>
      <c r="N197" s="17">
        <f>IF(ISBLANK(Deal_Master_Wide!$CJ$30),"",Deal_Master_Wide!$CJ$30)</f>
        <v>-80.811999999999998</v>
      </c>
      <c r="O197" s="17">
        <f>IF(ISBLANK(Deal_Master_Wide!$CQ$30),"",Deal_Master_Wide!$CQ$30)</f>
        <v>312.17599999999999</v>
      </c>
      <c r="P197" s="17">
        <f>IF(ISBLANK(Deal_Master_Wide!$CX$30),"",Deal_Master_Wide!$CX$30)</f>
        <v>0</v>
      </c>
      <c r="Q197" s="17">
        <f>IF(ISBLANK(Deal_Master_Wide!$DE$30),"",Deal_Master_Wide!$DE$30)</f>
        <v>64.268600000000006</v>
      </c>
      <c r="R197" s="18">
        <f>IF(ISBLANK(Deal_Master_Wide!$DL$30),"",Deal_Master_Wide!$DL$30)</f>
        <v>-23.761099999999999</v>
      </c>
      <c r="S197" s="18">
        <f>IF(ISBLANK(Deal_Master_Wide!$DS$30),"",Deal_Master_Wide!$DS$30)</f>
        <v>-671.83669999999995</v>
      </c>
      <c r="T197" s="18">
        <f>IF(ISBLANK(Deal_Master_Wide!$DZ$30),"",Deal_Master_Wide!$DZ$30)</f>
        <v>0</v>
      </c>
      <c r="U197" s="17">
        <f>IF(ISBLANK(Deal_Master_Wide!$EG$30),"",Deal_Master_Wide!$EG$30)</f>
        <v>1</v>
      </c>
      <c r="V197" s="17">
        <f>IF(ISBLANK(Deal_Master_Wide!$EN$30),"",Deal_Master_Wide!$EN$30)</f>
        <v>0</v>
      </c>
      <c r="W197" s="17">
        <f>IF(ISBLANK(Deal_Master_Wide!$AF$30),"",Deal_Master_Wide!$AF$30)</f>
        <v>32</v>
      </c>
    </row>
    <row r="198" spans="1:23" ht="13.4" customHeight="1">
      <c r="A198" s="15" t="s">
        <v>507</v>
      </c>
      <c r="B198" s="15" t="s">
        <v>177</v>
      </c>
      <c r="C198" s="15">
        <v>1</v>
      </c>
      <c r="D198" s="15" t="s">
        <v>511</v>
      </c>
      <c r="E198" s="15" t="s">
        <v>513</v>
      </c>
      <c r="F198" s="15">
        <v>2015</v>
      </c>
      <c r="G198" s="15">
        <v>-3</v>
      </c>
      <c r="H198" s="15">
        <v>2012</v>
      </c>
      <c r="I198" s="15">
        <v>0</v>
      </c>
      <c r="J198" s="15">
        <v>0</v>
      </c>
      <c r="K198" s="16" t="e">
        <f>IF(#REF!="","",#REF!*$I198)</f>
        <v>#REF!</v>
      </c>
      <c r="L198" s="17" t="str">
        <f>IF(ISBLANK(Deal_Master_Wide!$BP$31),"",Deal_Master_Wide!$BP$31)</f>
        <v/>
      </c>
      <c r="M198" s="17" t="str">
        <f>IF(ISBLANK(Deal_Master_Wide!$BW$31),"",Deal_Master_Wide!$BW$31)</f>
        <v/>
      </c>
      <c r="N198" s="17" t="str">
        <f>IF(ISBLANK(Deal_Master_Wide!$CD$31),"",Deal_Master_Wide!$CD$31)</f>
        <v/>
      </c>
      <c r="O198" s="17" t="str">
        <f>IF(ISBLANK(Deal_Master_Wide!$CK$31),"",Deal_Master_Wide!$CK$31)</f>
        <v/>
      </c>
      <c r="P198" s="17" t="str">
        <f>IF(ISBLANK(Deal_Master_Wide!$CR$31),"",Deal_Master_Wide!$CR$31)</f>
        <v/>
      </c>
      <c r="Q198" s="17" t="str">
        <f>IF(ISBLANK(Deal_Master_Wide!$CY$31),"",Deal_Master_Wide!$CY$31)</f>
        <v/>
      </c>
      <c r="R198" s="18" t="str">
        <f>IF(ISBLANK(Deal_Master_Wide!$DF$31),"",Deal_Master_Wide!$DF$31)</f>
        <v/>
      </c>
      <c r="S198" s="18" t="str">
        <f>IF(ISBLANK(Deal_Master_Wide!$DM$31),"",Deal_Master_Wide!$DM$31)</f>
        <v/>
      </c>
      <c r="T198" s="18" t="str">
        <f>IF(ISBLANK(Deal_Master_Wide!$DT$31),"",Deal_Master_Wide!$DT$31)</f>
        <v/>
      </c>
      <c r="U198" s="17" t="str">
        <f>IF(ISBLANK(Deal_Master_Wide!$EA$31),"",Deal_Master_Wide!$EA$31)</f>
        <v/>
      </c>
      <c r="V198" s="17" t="str">
        <f>IF(ISBLANK(Deal_Master_Wide!$EH$31),"",Deal_Master_Wide!$EH$31)</f>
        <v/>
      </c>
      <c r="W198" s="17" t="str">
        <f>IF(ISBLANK(Deal_Master_Wide!$AF$31),"",Deal_Master_Wide!$AF$31)</f>
        <v/>
      </c>
    </row>
    <row r="199" spans="1:23" ht="13.4" customHeight="1">
      <c r="A199" s="15" t="s">
        <v>507</v>
      </c>
      <c r="B199" s="15" t="s">
        <v>177</v>
      </c>
      <c r="C199" s="15">
        <v>1</v>
      </c>
      <c r="D199" s="15" t="s">
        <v>511</v>
      </c>
      <c r="E199" s="15" t="s">
        <v>513</v>
      </c>
      <c r="F199" s="15">
        <v>2015</v>
      </c>
      <c r="G199" s="15">
        <v>-2</v>
      </c>
      <c r="H199" s="15">
        <v>2013</v>
      </c>
      <c r="I199" s="15">
        <v>0</v>
      </c>
      <c r="J199" s="15">
        <v>0</v>
      </c>
      <c r="K199" s="16" t="e">
        <f>IF(#REF!="","",#REF!*$I199)</f>
        <v>#REF!</v>
      </c>
      <c r="L199" s="17" t="str">
        <f>IF(ISBLANK(Deal_Master_Wide!$BQ$31),"",Deal_Master_Wide!$BQ$31)</f>
        <v/>
      </c>
      <c r="M199" s="17" t="str">
        <f>IF(ISBLANK(Deal_Master_Wide!$BX$31),"",Deal_Master_Wide!$BX$31)</f>
        <v/>
      </c>
      <c r="N199" s="17" t="str">
        <f>IF(ISBLANK(Deal_Master_Wide!$CE$31),"",Deal_Master_Wide!$CE$31)</f>
        <v/>
      </c>
      <c r="O199" s="17" t="str">
        <f>IF(ISBLANK(Deal_Master_Wide!$CL$31),"",Deal_Master_Wide!$CL$31)</f>
        <v/>
      </c>
      <c r="P199" s="17" t="str">
        <f>IF(ISBLANK(Deal_Master_Wide!$CS$31),"",Deal_Master_Wide!$CS$31)</f>
        <v/>
      </c>
      <c r="Q199" s="17" t="str">
        <f>IF(ISBLANK(Deal_Master_Wide!$CZ$31),"",Deal_Master_Wide!$CZ$31)</f>
        <v/>
      </c>
      <c r="R199" s="18" t="str">
        <f>IF(ISBLANK(Deal_Master_Wide!$DG$31),"",Deal_Master_Wide!$DG$31)</f>
        <v/>
      </c>
      <c r="S199" s="18" t="str">
        <f>IF(ISBLANK(Deal_Master_Wide!$DN$31),"",Deal_Master_Wide!$DN$31)</f>
        <v/>
      </c>
      <c r="T199" s="18" t="str">
        <f>IF(ISBLANK(Deal_Master_Wide!$DU$31),"",Deal_Master_Wide!$DU$31)</f>
        <v/>
      </c>
      <c r="U199" s="17" t="str">
        <f>IF(ISBLANK(Deal_Master_Wide!$EB$31),"",Deal_Master_Wide!$EB$31)</f>
        <v/>
      </c>
      <c r="V199" s="17" t="str">
        <f>IF(ISBLANK(Deal_Master_Wide!$EI$31),"",Deal_Master_Wide!$EI$31)</f>
        <v/>
      </c>
      <c r="W199" s="17" t="str">
        <f>IF(ISBLANK(Deal_Master_Wide!$AF$31),"",Deal_Master_Wide!$AF$31)</f>
        <v/>
      </c>
    </row>
    <row r="200" spans="1:23" ht="13.4" customHeight="1">
      <c r="A200" s="15" t="s">
        <v>507</v>
      </c>
      <c r="B200" s="15" t="s">
        <v>177</v>
      </c>
      <c r="C200" s="15">
        <v>1</v>
      </c>
      <c r="D200" s="15" t="s">
        <v>511</v>
      </c>
      <c r="E200" s="15" t="s">
        <v>513</v>
      </c>
      <c r="F200" s="15">
        <v>2015</v>
      </c>
      <c r="G200" s="15">
        <v>-1</v>
      </c>
      <c r="H200" s="15">
        <v>2014</v>
      </c>
      <c r="I200" s="15">
        <v>0</v>
      </c>
      <c r="J200" s="15">
        <v>0</v>
      </c>
      <c r="K200" s="16" t="e">
        <f>IF(#REF!="","",#REF!*$I200)</f>
        <v>#REF!</v>
      </c>
      <c r="L200" s="17" t="str">
        <f>IF(ISBLANK(Deal_Master_Wide!$BR$31),"",Deal_Master_Wide!$BR$31)</f>
        <v/>
      </c>
      <c r="M200" s="17" t="str">
        <f>IF(ISBLANK(Deal_Master_Wide!$BY$31),"",Deal_Master_Wide!$BY$31)</f>
        <v/>
      </c>
      <c r="N200" s="17" t="str">
        <f>IF(ISBLANK(Deal_Master_Wide!$CF$31),"",Deal_Master_Wide!$CF$31)</f>
        <v/>
      </c>
      <c r="O200" s="17" t="str">
        <f>IF(ISBLANK(Deal_Master_Wide!$CM$31),"",Deal_Master_Wide!$CM$31)</f>
        <v/>
      </c>
      <c r="P200" s="17" t="str">
        <f>IF(ISBLANK(Deal_Master_Wide!$CT$31),"",Deal_Master_Wide!$CT$31)</f>
        <v/>
      </c>
      <c r="Q200" s="17" t="str">
        <f>IF(ISBLANK(Deal_Master_Wide!$DA$31),"",Deal_Master_Wide!$DA$31)</f>
        <v/>
      </c>
      <c r="R200" s="18" t="str">
        <f>IF(ISBLANK(Deal_Master_Wide!$DH$31),"",Deal_Master_Wide!$DH$31)</f>
        <v/>
      </c>
      <c r="S200" s="18" t="str">
        <f>IF(ISBLANK(Deal_Master_Wide!$DO$31),"",Deal_Master_Wide!$DO$31)</f>
        <v/>
      </c>
      <c r="T200" s="18" t="str">
        <f>IF(ISBLANK(Deal_Master_Wide!$DV$31),"",Deal_Master_Wide!$DV$31)</f>
        <v/>
      </c>
      <c r="U200" s="17" t="str">
        <f>IF(ISBLANK(Deal_Master_Wide!$EC$31),"",Deal_Master_Wide!$EC$31)</f>
        <v/>
      </c>
      <c r="V200" s="17" t="str">
        <f>IF(ISBLANK(Deal_Master_Wide!$EJ$31),"",Deal_Master_Wide!$EJ$31)</f>
        <v/>
      </c>
      <c r="W200" s="17" t="str">
        <f>IF(ISBLANK(Deal_Master_Wide!$AF$31),"",Deal_Master_Wide!$AF$31)</f>
        <v/>
      </c>
    </row>
    <row r="201" spans="1:23" ht="13.4" customHeight="1">
      <c r="A201" s="15" t="s">
        <v>507</v>
      </c>
      <c r="B201" s="15" t="s">
        <v>177</v>
      </c>
      <c r="C201" s="15">
        <v>1</v>
      </c>
      <c r="D201" s="15" t="s">
        <v>511</v>
      </c>
      <c r="E201" s="15" t="s">
        <v>513</v>
      </c>
      <c r="F201" s="15">
        <v>2015</v>
      </c>
      <c r="G201" s="15">
        <v>0</v>
      </c>
      <c r="H201" s="15">
        <v>2015</v>
      </c>
      <c r="I201" s="15">
        <v>0</v>
      </c>
      <c r="J201" s="15">
        <v>1</v>
      </c>
      <c r="K201" s="16" t="e">
        <f>IF(#REF!="","",#REF!*$I201)</f>
        <v>#REF!</v>
      </c>
      <c r="L201" s="17" t="str">
        <f>IF(ISBLANK(Deal_Master_Wide!$BS$31),"",Deal_Master_Wide!$BS$31)</f>
        <v/>
      </c>
      <c r="M201" s="17" t="str">
        <f>IF(ISBLANK(Deal_Master_Wide!$BZ$31),"",Deal_Master_Wide!$BZ$31)</f>
        <v/>
      </c>
      <c r="N201" s="17" t="str">
        <f>IF(ISBLANK(Deal_Master_Wide!$CG$31),"",Deal_Master_Wide!$CG$31)</f>
        <v/>
      </c>
      <c r="O201" s="17" t="str">
        <f>IF(ISBLANK(Deal_Master_Wide!$CN$31),"",Deal_Master_Wide!$CN$31)</f>
        <v/>
      </c>
      <c r="P201" s="17" t="str">
        <f>IF(ISBLANK(Deal_Master_Wide!$CU$31),"",Deal_Master_Wide!$CU$31)</f>
        <v/>
      </c>
      <c r="Q201" s="17" t="str">
        <f>IF(ISBLANK(Deal_Master_Wide!$DB$31),"",Deal_Master_Wide!$DB$31)</f>
        <v/>
      </c>
      <c r="R201" s="18" t="str">
        <f>IF(ISBLANK(Deal_Master_Wide!$DI$31),"",Deal_Master_Wide!$DI$31)</f>
        <v/>
      </c>
      <c r="S201" s="18" t="str">
        <f>IF(ISBLANK(Deal_Master_Wide!$DP$31),"",Deal_Master_Wide!$DP$31)</f>
        <v/>
      </c>
      <c r="T201" s="18" t="str">
        <f>IF(ISBLANK(Deal_Master_Wide!$DW$31),"",Deal_Master_Wide!$DW$31)</f>
        <v/>
      </c>
      <c r="U201" s="17" t="str">
        <f>IF(ISBLANK(Deal_Master_Wide!$ED$31),"",Deal_Master_Wide!$ED$31)</f>
        <v/>
      </c>
      <c r="V201" s="17" t="str">
        <f>IF(ISBLANK(Deal_Master_Wide!$EK$31),"",Deal_Master_Wide!$EK$31)</f>
        <v/>
      </c>
      <c r="W201" s="17" t="str">
        <f>IF(ISBLANK(Deal_Master_Wide!$AF$31),"",Deal_Master_Wide!$AF$31)</f>
        <v/>
      </c>
    </row>
    <row r="202" spans="1:23" ht="13.4" customHeight="1">
      <c r="A202" s="15" t="s">
        <v>507</v>
      </c>
      <c r="B202" s="15" t="s">
        <v>177</v>
      </c>
      <c r="C202" s="15">
        <v>1</v>
      </c>
      <c r="D202" s="15" t="s">
        <v>511</v>
      </c>
      <c r="E202" s="15" t="s">
        <v>513</v>
      </c>
      <c r="F202" s="15">
        <v>2015</v>
      </c>
      <c r="G202" s="15">
        <v>1</v>
      </c>
      <c r="H202" s="15">
        <v>2016</v>
      </c>
      <c r="I202" s="15">
        <v>1</v>
      </c>
      <c r="J202" s="15">
        <v>1</v>
      </c>
      <c r="K202" s="16" t="e">
        <f>IF(#REF!="","",#REF!*$I202)</f>
        <v>#REF!</v>
      </c>
      <c r="L202" s="17" t="str">
        <f>IF(ISBLANK(Deal_Master_Wide!$BT$31),"",Deal_Master_Wide!$BT$31)</f>
        <v/>
      </c>
      <c r="M202" s="17" t="str">
        <f>IF(ISBLANK(Deal_Master_Wide!$CA$31),"",Deal_Master_Wide!$CA$31)</f>
        <v/>
      </c>
      <c r="N202" s="17" t="str">
        <f>IF(ISBLANK(Deal_Master_Wide!$CH$31),"",Deal_Master_Wide!$CH$31)</f>
        <v/>
      </c>
      <c r="O202" s="17" t="str">
        <f>IF(ISBLANK(Deal_Master_Wide!$CO$31),"",Deal_Master_Wide!$CO$31)</f>
        <v/>
      </c>
      <c r="P202" s="17" t="str">
        <f>IF(ISBLANK(Deal_Master_Wide!$CV$31),"",Deal_Master_Wide!$CV$31)</f>
        <v/>
      </c>
      <c r="Q202" s="17" t="str">
        <f>IF(ISBLANK(Deal_Master_Wide!$DC$31),"",Deal_Master_Wide!$DC$31)</f>
        <v/>
      </c>
      <c r="R202" s="18" t="str">
        <f>IF(ISBLANK(Deal_Master_Wide!$DJ$31),"",Deal_Master_Wide!$DJ$31)</f>
        <v/>
      </c>
      <c r="S202" s="18" t="str">
        <f>IF(ISBLANK(Deal_Master_Wide!$DQ$31),"",Deal_Master_Wide!$DQ$31)</f>
        <v/>
      </c>
      <c r="T202" s="18" t="str">
        <f>IF(ISBLANK(Deal_Master_Wide!$DX$31),"",Deal_Master_Wide!$DX$31)</f>
        <v/>
      </c>
      <c r="U202" s="17" t="str">
        <f>IF(ISBLANK(Deal_Master_Wide!$EE$31),"",Deal_Master_Wide!$EE$31)</f>
        <v/>
      </c>
      <c r="V202" s="17" t="str">
        <f>IF(ISBLANK(Deal_Master_Wide!$EL$31),"",Deal_Master_Wide!$EL$31)</f>
        <v/>
      </c>
      <c r="W202" s="17" t="str">
        <f>IF(ISBLANK(Deal_Master_Wide!$AF$31),"",Deal_Master_Wide!$AF$31)</f>
        <v/>
      </c>
    </row>
    <row r="203" spans="1:23" ht="13.4" customHeight="1">
      <c r="A203" s="15" t="s">
        <v>507</v>
      </c>
      <c r="B203" s="15" t="s">
        <v>177</v>
      </c>
      <c r="C203" s="15">
        <v>1</v>
      </c>
      <c r="D203" s="15" t="s">
        <v>511</v>
      </c>
      <c r="E203" s="15" t="s">
        <v>513</v>
      </c>
      <c r="F203" s="15">
        <v>2015</v>
      </c>
      <c r="G203" s="15">
        <v>2</v>
      </c>
      <c r="H203" s="15">
        <v>2017</v>
      </c>
      <c r="I203" s="15">
        <v>1</v>
      </c>
      <c r="J203" s="15">
        <v>1</v>
      </c>
      <c r="K203" s="16" t="e">
        <f>IF(#REF!="","",#REF!*$I203)</f>
        <v>#REF!</v>
      </c>
      <c r="L203" s="17" t="str">
        <f>IF(ISBLANK(Deal_Master_Wide!$BU$31),"",Deal_Master_Wide!$BU$31)</f>
        <v/>
      </c>
      <c r="M203" s="17" t="str">
        <f>IF(ISBLANK(Deal_Master_Wide!$CB$31),"",Deal_Master_Wide!$CB$31)</f>
        <v/>
      </c>
      <c r="N203" s="17" t="str">
        <f>IF(ISBLANK(Deal_Master_Wide!$CI$31),"",Deal_Master_Wide!$CI$31)</f>
        <v/>
      </c>
      <c r="O203" s="17" t="str">
        <f>IF(ISBLANK(Deal_Master_Wide!$CP$31),"",Deal_Master_Wide!$CP$31)</f>
        <v/>
      </c>
      <c r="P203" s="17" t="str">
        <f>IF(ISBLANK(Deal_Master_Wide!$CW$31),"",Deal_Master_Wide!$CW$31)</f>
        <v/>
      </c>
      <c r="Q203" s="17" t="str">
        <f>IF(ISBLANK(Deal_Master_Wide!$DD$31),"",Deal_Master_Wide!$DD$31)</f>
        <v/>
      </c>
      <c r="R203" s="18" t="str">
        <f>IF(ISBLANK(Deal_Master_Wide!$DK$31),"",Deal_Master_Wide!$DK$31)</f>
        <v/>
      </c>
      <c r="S203" s="18" t="str">
        <f>IF(ISBLANK(Deal_Master_Wide!$DR$31),"",Deal_Master_Wide!$DR$31)</f>
        <v/>
      </c>
      <c r="T203" s="18" t="str">
        <f>IF(ISBLANK(Deal_Master_Wide!$DY$31),"",Deal_Master_Wide!$DY$31)</f>
        <v/>
      </c>
      <c r="U203" s="17" t="str">
        <f>IF(ISBLANK(Deal_Master_Wide!$EF$31),"",Deal_Master_Wide!$EF$31)</f>
        <v/>
      </c>
      <c r="V203" s="17" t="str">
        <f>IF(ISBLANK(Deal_Master_Wide!$EM$31),"",Deal_Master_Wide!$EM$31)</f>
        <v/>
      </c>
      <c r="W203" s="17" t="str">
        <f>IF(ISBLANK(Deal_Master_Wide!$AF$31),"",Deal_Master_Wide!$AF$31)</f>
        <v/>
      </c>
    </row>
    <row r="204" spans="1:23" ht="13.4" customHeight="1">
      <c r="A204" s="15" t="s">
        <v>507</v>
      </c>
      <c r="B204" s="15" t="s">
        <v>177</v>
      </c>
      <c r="C204" s="15">
        <v>1</v>
      </c>
      <c r="D204" s="15" t="s">
        <v>511</v>
      </c>
      <c r="E204" s="15" t="s">
        <v>513</v>
      </c>
      <c r="F204" s="15">
        <v>2015</v>
      </c>
      <c r="G204" s="15">
        <v>3</v>
      </c>
      <c r="H204" s="15">
        <v>2018</v>
      </c>
      <c r="I204" s="15">
        <v>1</v>
      </c>
      <c r="J204" s="15">
        <v>1</v>
      </c>
      <c r="K204" s="16" t="e">
        <f>IF(#REF!="","",#REF!*$I204)</f>
        <v>#REF!</v>
      </c>
      <c r="L204" s="17" t="str">
        <f>IF(ISBLANK(Deal_Master_Wide!$BV$31),"",Deal_Master_Wide!$BV$31)</f>
        <v/>
      </c>
      <c r="M204" s="17" t="str">
        <f>IF(ISBLANK(Deal_Master_Wide!$CC$31),"",Deal_Master_Wide!$CC$31)</f>
        <v/>
      </c>
      <c r="N204" s="17" t="str">
        <f>IF(ISBLANK(Deal_Master_Wide!$CJ$31),"",Deal_Master_Wide!$CJ$31)</f>
        <v/>
      </c>
      <c r="O204" s="17" t="str">
        <f>IF(ISBLANK(Deal_Master_Wide!$CQ$31),"",Deal_Master_Wide!$CQ$31)</f>
        <v/>
      </c>
      <c r="P204" s="17" t="str">
        <f>IF(ISBLANK(Deal_Master_Wide!$CX$31),"",Deal_Master_Wide!$CX$31)</f>
        <v/>
      </c>
      <c r="Q204" s="17" t="str">
        <f>IF(ISBLANK(Deal_Master_Wide!$DE$31),"",Deal_Master_Wide!$DE$31)</f>
        <v/>
      </c>
      <c r="R204" s="18" t="str">
        <f>IF(ISBLANK(Deal_Master_Wide!$DL$31),"",Deal_Master_Wide!$DL$31)</f>
        <v/>
      </c>
      <c r="S204" s="18" t="str">
        <f>IF(ISBLANK(Deal_Master_Wide!$DS$31),"",Deal_Master_Wide!$DS$31)</f>
        <v/>
      </c>
      <c r="T204" s="18" t="str">
        <f>IF(ISBLANK(Deal_Master_Wide!$DZ$31),"",Deal_Master_Wide!$DZ$31)</f>
        <v/>
      </c>
      <c r="U204" s="17" t="str">
        <f>IF(ISBLANK(Deal_Master_Wide!$EG$31),"",Deal_Master_Wide!$EG$31)</f>
        <v/>
      </c>
      <c r="V204" s="17" t="str">
        <f>IF(ISBLANK(Deal_Master_Wide!$EN$31),"",Deal_Master_Wide!$EN$31)</f>
        <v/>
      </c>
      <c r="W204" s="17" t="str">
        <f>IF(ISBLANK(Deal_Master_Wide!$AF$31),"",Deal_Master_Wide!$AF$31)</f>
        <v/>
      </c>
    </row>
    <row r="205" spans="1:23" ht="13.4" customHeight="1">
      <c r="A205" s="15" t="s">
        <v>517</v>
      </c>
      <c r="B205" s="15" t="s">
        <v>177</v>
      </c>
      <c r="C205" s="15">
        <v>1</v>
      </c>
      <c r="D205" s="15" t="s">
        <v>521</v>
      </c>
      <c r="E205" s="15" t="s">
        <v>523</v>
      </c>
      <c r="F205" s="15">
        <v>2015</v>
      </c>
      <c r="G205" s="15">
        <v>-3</v>
      </c>
      <c r="H205" s="15">
        <v>2012</v>
      </c>
      <c r="I205" s="15">
        <v>0</v>
      </c>
      <c r="J205" s="15">
        <v>0</v>
      </c>
      <c r="K205" s="16" t="e">
        <f>IF(#REF!="","",#REF!*$I205)</f>
        <v>#REF!</v>
      </c>
      <c r="L205" s="17" t="str">
        <f>IF(ISBLANK(Deal_Master_Wide!$BP$32),"",Deal_Master_Wide!$BP$32)</f>
        <v/>
      </c>
      <c r="M205" s="17" t="str">
        <f>IF(ISBLANK(Deal_Master_Wide!$BW$32),"",Deal_Master_Wide!$BW$32)</f>
        <v/>
      </c>
      <c r="N205" s="17" t="str">
        <f>IF(ISBLANK(Deal_Master_Wide!$CD$32),"",Deal_Master_Wide!$CD$32)</f>
        <v/>
      </c>
      <c r="O205" s="17" t="str">
        <f>IF(ISBLANK(Deal_Master_Wide!$CK$32),"",Deal_Master_Wide!$CK$32)</f>
        <v/>
      </c>
      <c r="P205" s="17" t="str">
        <f>IF(ISBLANK(Deal_Master_Wide!$CR$32),"",Deal_Master_Wide!$CR$32)</f>
        <v/>
      </c>
      <c r="Q205" s="17" t="str">
        <f>IF(ISBLANK(Deal_Master_Wide!$CY$32),"",Deal_Master_Wide!$CY$32)</f>
        <v/>
      </c>
      <c r="R205" s="18" t="str">
        <f>IF(ISBLANK(Deal_Master_Wide!$DF$32),"",Deal_Master_Wide!$DF$32)</f>
        <v/>
      </c>
      <c r="S205" s="18" t="str">
        <f>IF(ISBLANK(Deal_Master_Wide!$DM$32),"",Deal_Master_Wide!$DM$32)</f>
        <v/>
      </c>
      <c r="T205" s="18" t="str">
        <f>IF(ISBLANK(Deal_Master_Wide!$DT$32),"",Deal_Master_Wide!$DT$32)</f>
        <v/>
      </c>
      <c r="U205" s="17" t="str">
        <f>IF(ISBLANK(Deal_Master_Wide!$EA$32),"",Deal_Master_Wide!$EA$32)</f>
        <v/>
      </c>
      <c r="V205" s="17" t="str">
        <f>IF(ISBLANK(Deal_Master_Wide!$EH$32),"",Deal_Master_Wide!$EH$32)</f>
        <v/>
      </c>
      <c r="W205" s="17">
        <f>IF(ISBLANK(Deal_Master_Wide!$AF$32),"",Deal_Master_Wide!$AF$32)</f>
        <v>20</v>
      </c>
    </row>
    <row r="206" spans="1:23" ht="13.4" customHeight="1">
      <c r="A206" s="15" t="s">
        <v>517</v>
      </c>
      <c r="B206" s="15" t="s">
        <v>177</v>
      </c>
      <c r="C206" s="15">
        <v>1</v>
      </c>
      <c r="D206" s="15" t="s">
        <v>521</v>
      </c>
      <c r="E206" s="15" t="s">
        <v>523</v>
      </c>
      <c r="F206" s="15">
        <v>2015</v>
      </c>
      <c r="G206" s="15">
        <v>-2</v>
      </c>
      <c r="H206" s="15">
        <v>2013</v>
      </c>
      <c r="I206" s="15">
        <v>0</v>
      </c>
      <c r="J206" s="15">
        <v>0</v>
      </c>
      <c r="K206" s="16" t="e">
        <f>IF(#REF!="","",#REF!*$I206)</f>
        <v>#REF!</v>
      </c>
      <c r="L206" s="17" t="str">
        <f>IF(ISBLANK(Deal_Master_Wide!$BQ$32),"",Deal_Master_Wide!$BQ$32)</f>
        <v/>
      </c>
      <c r="M206" s="17" t="str">
        <f>IF(ISBLANK(Deal_Master_Wide!$BX$32),"",Deal_Master_Wide!$BX$32)</f>
        <v/>
      </c>
      <c r="N206" s="17" t="str">
        <f>IF(ISBLANK(Deal_Master_Wide!$CE$32),"",Deal_Master_Wide!$CE$32)</f>
        <v/>
      </c>
      <c r="O206" s="17" t="str">
        <f>IF(ISBLANK(Deal_Master_Wide!$CL$32),"",Deal_Master_Wide!$CL$32)</f>
        <v/>
      </c>
      <c r="P206" s="17" t="str">
        <f>IF(ISBLANK(Deal_Master_Wide!$CS$32),"",Deal_Master_Wide!$CS$32)</f>
        <v/>
      </c>
      <c r="Q206" s="17" t="str">
        <f>IF(ISBLANK(Deal_Master_Wide!$CZ$32),"",Deal_Master_Wide!$CZ$32)</f>
        <v/>
      </c>
      <c r="R206" s="18" t="str">
        <f>IF(ISBLANK(Deal_Master_Wide!$DG$32),"",Deal_Master_Wide!$DG$32)</f>
        <v/>
      </c>
      <c r="S206" s="18" t="str">
        <f>IF(ISBLANK(Deal_Master_Wide!$DN$32),"",Deal_Master_Wide!$DN$32)</f>
        <v/>
      </c>
      <c r="T206" s="18" t="str">
        <f>IF(ISBLANK(Deal_Master_Wide!$DU$32),"",Deal_Master_Wide!$DU$32)</f>
        <v/>
      </c>
      <c r="U206" s="17" t="str">
        <f>IF(ISBLANK(Deal_Master_Wide!$EB$32),"",Deal_Master_Wide!$EB$32)</f>
        <v/>
      </c>
      <c r="V206" s="17" t="str">
        <f>IF(ISBLANK(Deal_Master_Wide!$EI$32),"",Deal_Master_Wide!$EI$32)</f>
        <v/>
      </c>
      <c r="W206" s="17">
        <f>IF(ISBLANK(Deal_Master_Wide!$AF$32),"",Deal_Master_Wide!$AF$32)</f>
        <v>20</v>
      </c>
    </row>
    <row r="207" spans="1:23" ht="13.4" customHeight="1">
      <c r="A207" s="15" t="s">
        <v>517</v>
      </c>
      <c r="B207" s="15" t="s">
        <v>177</v>
      </c>
      <c r="C207" s="15">
        <v>1</v>
      </c>
      <c r="D207" s="15" t="s">
        <v>521</v>
      </c>
      <c r="E207" s="15" t="s">
        <v>523</v>
      </c>
      <c r="F207" s="15">
        <v>2015</v>
      </c>
      <c r="G207" s="15">
        <v>-1</v>
      </c>
      <c r="H207" s="15">
        <v>2014</v>
      </c>
      <c r="I207" s="15">
        <v>0</v>
      </c>
      <c r="J207" s="15">
        <v>0</v>
      </c>
      <c r="K207" s="16" t="e">
        <f>IF(#REF!="","",#REF!*$I207)</f>
        <v>#REF!</v>
      </c>
      <c r="L207" s="17" t="str">
        <f>IF(ISBLANK(Deal_Master_Wide!$BR$32),"",Deal_Master_Wide!$BR$32)</f>
        <v/>
      </c>
      <c r="M207" s="17" t="str">
        <f>IF(ISBLANK(Deal_Master_Wide!$BY$32),"",Deal_Master_Wide!$BY$32)</f>
        <v/>
      </c>
      <c r="N207" s="17" t="str">
        <f>IF(ISBLANK(Deal_Master_Wide!$CF$32),"",Deal_Master_Wide!$CF$32)</f>
        <v/>
      </c>
      <c r="O207" s="17" t="str">
        <f>IF(ISBLANK(Deal_Master_Wide!$CM$32),"",Deal_Master_Wide!$CM$32)</f>
        <v/>
      </c>
      <c r="P207" s="17" t="str">
        <f>IF(ISBLANK(Deal_Master_Wide!$CT$32),"",Deal_Master_Wide!$CT$32)</f>
        <v/>
      </c>
      <c r="Q207" s="17" t="str">
        <f>IF(ISBLANK(Deal_Master_Wide!$DA$32),"",Deal_Master_Wide!$DA$32)</f>
        <v/>
      </c>
      <c r="R207" s="18" t="str">
        <f>IF(ISBLANK(Deal_Master_Wide!$DH$32),"",Deal_Master_Wide!$DH$32)</f>
        <v/>
      </c>
      <c r="S207" s="18" t="str">
        <f>IF(ISBLANK(Deal_Master_Wide!$DO$32),"",Deal_Master_Wide!$DO$32)</f>
        <v/>
      </c>
      <c r="T207" s="18" t="str">
        <f>IF(ISBLANK(Deal_Master_Wide!$DV$32),"",Deal_Master_Wide!$DV$32)</f>
        <v/>
      </c>
      <c r="U207" s="17" t="str">
        <f>IF(ISBLANK(Deal_Master_Wide!$EC$32),"",Deal_Master_Wide!$EC$32)</f>
        <v/>
      </c>
      <c r="V207" s="17" t="str">
        <f>IF(ISBLANK(Deal_Master_Wide!$EJ$32),"",Deal_Master_Wide!$EJ$32)</f>
        <v/>
      </c>
      <c r="W207" s="17">
        <f>IF(ISBLANK(Deal_Master_Wide!$AF$32),"",Deal_Master_Wide!$AF$32)</f>
        <v>20</v>
      </c>
    </row>
    <row r="208" spans="1:23" ht="13.4" customHeight="1">
      <c r="A208" s="15" t="s">
        <v>517</v>
      </c>
      <c r="B208" s="15" t="s">
        <v>177</v>
      </c>
      <c r="C208" s="15">
        <v>1</v>
      </c>
      <c r="D208" s="15" t="s">
        <v>521</v>
      </c>
      <c r="E208" s="15" t="s">
        <v>523</v>
      </c>
      <c r="F208" s="15">
        <v>2015</v>
      </c>
      <c r="G208" s="15">
        <v>0</v>
      </c>
      <c r="H208" s="15">
        <v>2015</v>
      </c>
      <c r="I208" s="15">
        <v>0</v>
      </c>
      <c r="J208" s="15">
        <v>1</v>
      </c>
      <c r="K208" s="16" t="e">
        <f>IF(#REF!="","",#REF!*$I208)</f>
        <v>#REF!</v>
      </c>
      <c r="L208" s="17" t="str">
        <f>IF(ISBLANK(Deal_Master_Wide!$BS$32),"",Deal_Master_Wide!$BS$32)</f>
        <v/>
      </c>
      <c r="M208" s="17" t="str">
        <f>IF(ISBLANK(Deal_Master_Wide!$BZ$32),"",Deal_Master_Wide!$BZ$32)</f>
        <v/>
      </c>
      <c r="N208" s="17" t="str">
        <f>IF(ISBLANK(Deal_Master_Wide!$CG$32),"",Deal_Master_Wide!$CG$32)</f>
        <v/>
      </c>
      <c r="O208" s="17" t="str">
        <f>IF(ISBLANK(Deal_Master_Wide!$CN$32),"",Deal_Master_Wide!$CN$32)</f>
        <v/>
      </c>
      <c r="P208" s="17" t="str">
        <f>IF(ISBLANK(Deal_Master_Wide!$CU$32),"",Deal_Master_Wide!$CU$32)</f>
        <v/>
      </c>
      <c r="Q208" s="17" t="str">
        <f>IF(ISBLANK(Deal_Master_Wide!$DB$32),"",Deal_Master_Wide!$DB$32)</f>
        <v/>
      </c>
      <c r="R208" s="18" t="str">
        <f>IF(ISBLANK(Deal_Master_Wide!$DI$32),"",Deal_Master_Wide!$DI$32)</f>
        <v/>
      </c>
      <c r="S208" s="18" t="str">
        <f>IF(ISBLANK(Deal_Master_Wide!$DP$32),"",Deal_Master_Wide!$DP$32)</f>
        <v/>
      </c>
      <c r="T208" s="18" t="str">
        <f>IF(ISBLANK(Deal_Master_Wide!$DW$32),"",Deal_Master_Wide!$DW$32)</f>
        <v/>
      </c>
      <c r="U208" s="17" t="str">
        <f>IF(ISBLANK(Deal_Master_Wide!$ED$32),"",Deal_Master_Wide!$ED$32)</f>
        <v/>
      </c>
      <c r="V208" s="17" t="str">
        <f>IF(ISBLANK(Deal_Master_Wide!$EK$32),"",Deal_Master_Wide!$EK$32)</f>
        <v/>
      </c>
      <c r="W208" s="17">
        <f>IF(ISBLANK(Deal_Master_Wide!$AF$32),"",Deal_Master_Wide!$AF$32)</f>
        <v>20</v>
      </c>
    </row>
    <row r="209" spans="1:23" ht="13.4" customHeight="1">
      <c r="A209" s="15" t="s">
        <v>517</v>
      </c>
      <c r="B209" s="15" t="s">
        <v>177</v>
      </c>
      <c r="C209" s="15">
        <v>1</v>
      </c>
      <c r="D209" s="15" t="s">
        <v>521</v>
      </c>
      <c r="E209" s="15" t="s">
        <v>523</v>
      </c>
      <c r="F209" s="15">
        <v>2015</v>
      </c>
      <c r="G209" s="15">
        <v>1</v>
      </c>
      <c r="H209" s="15">
        <v>2016</v>
      </c>
      <c r="I209" s="15">
        <v>1</v>
      </c>
      <c r="J209" s="15">
        <v>1</v>
      </c>
      <c r="K209" s="16" t="e">
        <f>IF(#REF!="","",#REF!*$I209)</f>
        <v>#REF!</v>
      </c>
      <c r="L209" s="17" t="str">
        <f>IF(ISBLANK(Deal_Master_Wide!$BT$32),"",Deal_Master_Wide!$BT$32)</f>
        <v/>
      </c>
      <c r="M209" s="17" t="str">
        <f>IF(ISBLANK(Deal_Master_Wide!$CA$32),"",Deal_Master_Wide!$CA$32)</f>
        <v/>
      </c>
      <c r="N209" s="17" t="str">
        <f>IF(ISBLANK(Deal_Master_Wide!$CH$32),"",Deal_Master_Wide!$CH$32)</f>
        <v/>
      </c>
      <c r="O209" s="17" t="str">
        <f>IF(ISBLANK(Deal_Master_Wide!$CO$32),"",Deal_Master_Wide!$CO$32)</f>
        <v/>
      </c>
      <c r="P209" s="17" t="str">
        <f>IF(ISBLANK(Deal_Master_Wide!$CV$32),"",Deal_Master_Wide!$CV$32)</f>
        <v/>
      </c>
      <c r="Q209" s="17" t="str">
        <f>IF(ISBLANK(Deal_Master_Wide!$DC$32),"",Deal_Master_Wide!$DC$32)</f>
        <v/>
      </c>
      <c r="R209" s="18" t="str">
        <f>IF(ISBLANK(Deal_Master_Wide!$DJ$32),"",Deal_Master_Wide!$DJ$32)</f>
        <v/>
      </c>
      <c r="S209" s="18" t="str">
        <f>IF(ISBLANK(Deal_Master_Wide!$DQ$32),"",Deal_Master_Wide!$DQ$32)</f>
        <v/>
      </c>
      <c r="T209" s="18" t="str">
        <f>IF(ISBLANK(Deal_Master_Wide!$DX$32),"",Deal_Master_Wide!$DX$32)</f>
        <v/>
      </c>
      <c r="U209" s="17" t="str">
        <f>IF(ISBLANK(Deal_Master_Wide!$EE$32),"",Deal_Master_Wide!$EE$32)</f>
        <v/>
      </c>
      <c r="V209" s="17" t="str">
        <f>IF(ISBLANK(Deal_Master_Wide!$EL$32),"",Deal_Master_Wide!$EL$32)</f>
        <v/>
      </c>
      <c r="W209" s="17">
        <f>IF(ISBLANK(Deal_Master_Wide!$AF$32),"",Deal_Master_Wide!$AF$32)</f>
        <v>20</v>
      </c>
    </row>
    <row r="210" spans="1:23" ht="13.4" customHeight="1">
      <c r="A210" s="15" t="s">
        <v>517</v>
      </c>
      <c r="B210" s="15" t="s">
        <v>177</v>
      </c>
      <c r="C210" s="15">
        <v>1</v>
      </c>
      <c r="D210" s="15" t="s">
        <v>521</v>
      </c>
      <c r="E210" s="15" t="s">
        <v>523</v>
      </c>
      <c r="F210" s="15">
        <v>2015</v>
      </c>
      <c r="G210" s="15">
        <v>2</v>
      </c>
      <c r="H210" s="15">
        <v>2017</v>
      </c>
      <c r="I210" s="15">
        <v>1</v>
      </c>
      <c r="J210" s="15">
        <v>1</v>
      </c>
      <c r="K210" s="16" t="e">
        <f>IF(#REF!="","",#REF!*$I210)</f>
        <v>#REF!</v>
      </c>
      <c r="L210" s="17" t="str">
        <f>IF(ISBLANK(Deal_Master_Wide!$BU$32),"",Deal_Master_Wide!$BU$32)</f>
        <v/>
      </c>
      <c r="M210" s="17" t="str">
        <f>IF(ISBLANK(Deal_Master_Wide!$CB$32),"",Deal_Master_Wide!$CB$32)</f>
        <v/>
      </c>
      <c r="N210" s="17" t="str">
        <f>IF(ISBLANK(Deal_Master_Wide!$CI$32),"",Deal_Master_Wide!$CI$32)</f>
        <v/>
      </c>
      <c r="O210" s="17" t="str">
        <f>IF(ISBLANK(Deal_Master_Wide!$CP$32),"",Deal_Master_Wide!$CP$32)</f>
        <v/>
      </c>
      <c r="P210" s="17" t="str">
        <f>IF(ISBLANK(Deal_Master_Wide!$CW$32),"",Deal_Master_Wide!$CW$32)</f>
        <v/>
      </c>
      <c r="Q210" s="17" t="str">
        <f>IF(ISBLANK(Deal_Master_Wide!$DD$32),"",Deal_Master_Wide!$DD$32)</f>
        <v/>
      </c>
      <c r="R210" s="18" t="str">
        <f>IF(ISBLANK(Deal_Master_Wide!$DK$32),"",Deal_Master_Wide!$DK$32)</f>
        <v/>
      </c>
      <c r="S210" s="18" t="str">
        <f>IF(ISBLANK(Deal_Master_Wide!$DR$32),"",Deal_Master_Wide!$DR$32)</f>
        <v/>
      </c>
      <c r="T210" s="18" t="str">
        <f>IF(ISBLANK(Deal_Master_Wide!$DY$32),"",Deal_Master_Wide!$DY$32)</f>
        <v/>
      </c>
      <c r="U210" s="17" t="str">
        <f>IF(ISBLANK(Deal_Master_Wide!$EF$32),"",Deal_Master_Wide!$EF$32)</f>
        <v/>
      </c>
      <c r="V210" s="17" t="str">
        <f>IF(ISBLANK(Deal_Master_Wide!$EM$32),"",Deal_Master_Wide!$EM$32)</f>
        <v/>
      </c>
      <c r="W210" s="17">
        <f>IF(ISBLANK(Deal_Master_Wide!$AF$32),"",Deal_Master_Wide!$AF$32)</f>
        <v>20</v>
      </c>
    </row>
    <row r="211" spans="1:23" ht="13.4" customHeight="1">
      <c r="A211" s="15" t="s">
        <v>517</v>
      </c>
      <c r="B211" s="15" t="s">
        <v>177</v>
      </c>
      <c r="C211" s="15">
        <v>1</v>
      </c>
      <c r="D211" s="15" t="s">
        <v>521</v>
      </c>
      <c r="E211" s="15" t="s">
        <v>523</v>
      </c>
      <c r="F211" s="15">
        <v>2015</v>
      </c>
      <c r="G211" s="15">
        <v>3</v>
      </c>
      <c r="H211" s="15">
        <v>2018</v>
      </c>
      <c r="I211" s="15">
        <v>1</v>
      </c>
      <c r="J211" s="15">
        <v>1</v>
      </c>
      <c r="K211" s="16" t="e">
        <f>IF(#REF!="","",#REF!*$I211)</f>
        <v>#REF!</v>
      </c>
      <c r="L211" s="17" t="str">
        <f>IF(ISBLANK(Deal_Master_Wide!$BV$32),"",Deal_Master_Wide!$BV$32)</f>
        <v/>
      </c>
      <c r="M211" s="17" t="str">
        <f>IF(ISBLANK(Deal_Master_Wide!$CC$32),"",Deal_Master_Wide!$CC$32)</f>
        <v/>
      </c>
      <c r="N211" s="17" t="str">
        <f>IF(ISBLANK(Deal_Master_Wide!$CJ$32),"",Deal_Master_Wide!$CJ$32)</f>
        <v/>
      </c>
      <c r="O211" s="17" t="str">
        <f>IF(ISBLANK(Deal_Master_Wide!$CQ$32),"",Deal_Master_Wide!$CQ$32)</f>
        <v/>
      </c>
      <c r="P211" s="17" t="str">
        <f>IF(ISBLANK(Deal_Master_Wide!$CX$32),"",Deal_Master_Wide!$CX$32)</f>
        <v/>
      </c>
      <c r="Q211" s="17" t="str">
        <f>IF(ISBLANK(Deal_Master_Wide!$DE$32),"",Deal_Master_Wide!$DE$32)</f>
        <v/>
      </c>
      <c r="R211" s="18" t="str">
        <f>IF(ISBLANK(Deal_Master_Wide!$DL$32),"",Deal_Master_Wide!$DL$32)</f>
        <v/>
      </c>
      <c r="S211" s="18" t="str">
        <f>IF(ISBLANK(Deal_Master_Wide!$DS$32),"",Deal_Master_Wide!$DS$32)</f>
        <v/>
      </c>
      <c r="T211" s="18" t="str">
        <f>IF(ISBLANK(Deal_Master_Wide!$DZ$32),"",Deal_Master_Wide!$DZ$32)</f>
        <v/>
      </c>
      <c r="U211" s="17" t="str">
        <f>IF(ISBLANK(Deal_Master_Wide!$EG$32),"",Deal_Master_Wide!$EG$32)</f>
        <v/>
      </c>
      <c r="V211" s="17" t="str">
        <f>IF(ISBLANK(Deal_Master_Wide!$EN$32),"",Deal_Master_Wide!$EN$32)</f>
        <v/>
      </c>
      <c r="W211" s="17">
        <f>IF(ISBLANK(Deal_Master_Wide!$AF$32),"",Deal_Master_Wide!$AF$32)</f>
        <v>20</v>
      </c>
    </row>
    <row r="212" spans="1:23" ht="13.4" customHeight="1">
      <c r="A212" s="15" t="s">
        <v>527</v>
      </c>
      <c r="B212" s="15" t="s">
        <v>177</v>
      </c>
      <c r="C212" s="15">
        <v>1</v>
      </c>
      <c r="D212" s="15" t="s">
        <v>323</v>
      </c>
      <c r="E212" s="15" t="s">
        <v>530</v>
      </c>
      <c r="F212" s="15">
        <v>2015</v>
      </c>
      <c r="G212" s="15">
        <v>-3</v>
      </c>
      <c r="H212" s="15">
        <v>2012</v>
      </c>
      <c r="I212" s="15">
        <v>0</v>
      </c>
      <c r="J212" s="15">
        <v>0</v>
      </c>
      <c r="K212" s="16" t="e">
        <f>IF(#REF!="","",#REF!*$I212)</f>
        <v>#REF!</v>
      </c>
      <c r="L212" s="17" t="str">
        <f>IF(ISBLANK(Deal_Master_Wide!$BP$33),"",Deal_Master_Wide!$BP$33)</f>
        <v/>
      </c>
      <c r="M212" s="17" t="str">
        <f>IF(ISBLANK(Deal_Master_Wide!$BW$33),"",Deal_Master_Wide!$BW$33)</f>
        <v/>
      </c>
      <c r="N212" s="17" t="str">
        <f>IF(ISBLANK(Deal_Master_Wide!$CD$33),"",Deal_Master_Wide!$CD$33)</f>
        <v/>
      </c>
      <c r="O212" s="17" t="str">
        <f>IF(ISBLANK(Deal_Master_Wide!$CK$33),"",Deal_Master_Wide!$CK$33)</f>
        <v/>
      </c>
      <c r="P212" s="17" t="str">
        <f>IF(ISBLANK(Deal_Master_Wide!$CR$33),"",Deal_Master_Wide!$CR$33)</f>
        <v/>
      </c>
      <c r="Q212" s="17" t="str">
        <f>IF(ISBLANK(Deal_Master_Wide!$CY$33),"",Deal_Master_Wide!$CY$33)</f>
        <v/>
      </c>
      <c r="R212" s="18" t="str">
        <f>IF(ISBLANK(Deal_Master_Wide!$DF$33),"",Deal_Master_Wide!$DF$33)</f>
        <v/>
      </c>
      <c r="S212" s="18" t="str">
        <f>IF(ISBLANK(Deal_Master_Wide!$DM$33),"",Deal_Master_Wide!$DM$33)</f>
        <v/>
      </c>
      <c r="T212" s="18" t="str">
        <f>IF(ISBLANK(Deal_Master_Wide!$DT$33),"",Deal_Master_Wide!$DT$33)</f>
        <v/>
      </c>
      <c r="U212" s="17" t="str">
        <f>IF(ISBLANK(Deal_Master_Wide!$EA$33),"",Deal_Master_Wide!$EA$33)</f>
        <v/>
      </c>
      <c r="V212" s="17" t="str">
        <f>IF(ISBLANK(Deal_Master_Wide!$EH$33),"",Deal_Master_Wide!$EH$33)</f>
        <v/>
      </c>
      <c r="W212" s="17">
        <f>IF(ISBLANK(Deal_Master_Wide!$AF$33),"",Deal_Master_Wide!$AF$33)</f>
        <v>7</v>
      </c>
    </row>
    <row r="213" spans="1:23" ht="13.4" customHeight="1">
      <c r="A213" s="15" t="s">
        <v>527</v>
      </c>
      <c r="B213" s="15" t="s">
        <v>177</v>
      </c>
      <c r="C213" s="15">
        <v>1</v>
      </c>
      <c r="D213" s="15" t="s">
        <v>323</v>
      </c>
      <c r="E213" s="15" t="s">
        <v>530</v>
      </c>
      <c r="F213" s="15">
        <v>2015</v>
      </c>
      <c r="G213" s="15">
        <v>-2</v>
      </c>
      <c r="H213" s="15">
        <v>2013</v>
      </c>
      <c r="I213" s="15">
        <v>0</v>
      </c>
      <c r="J213" s="15">
        <v>0</v>
      </c>
      <c r="K213" s="16" t="e">
        <f>IF(#REF!="","",#REF!*$I213)</f>
        <v>#REF!</v>
      </c>
      <c r="L213" s="17" t="str">
        <f>IF(ISBLANK(Deal_Master_Wide!$BQ$33),"",Deal_Master_Wide!$BQ$33)</f>
        <v/>
      </c>
      <c r="M213" s="17" t="str">
        <f>IF(ISBLANK(Deal_Master_Wide!$BX$33),"",Deal_Master_Wide!$BX$33)</f>
        <v/>
      </c>
      <c r="N213" s="17" t="str">
        <f>IF(ISBLANK(Deal_Master_Wide!$CE$33),"",Deal_Master_Wide!$CE$33)</f>
        <v/>
      </c>
      <c r="O213" s="17" t="str">
        <f>IF(ISBLANK(Deal_Master_Wide!$CL$33),"",Deal_Master_Wide!$CL$33)</f>
        <v/>
      </c>
      <c r="P213" s="17" t="str">
        <f>IF(ISBLANK(Deal_Master_Wide!$CS$33),"",Deal_Master_Wide!$CS$33)</f>
        <v/>
      </c>
      <c r="Q213" s="17" t="str">
        <f>IF(ISBLANK(Deal_Master_Wide!$CZ$33),"",Deal_Master_Wide!$CZ$33)</f>
        <v/>
      </c>
      <c r="R213" s="18" t="str">
        <f>IF(ISBLANK(Deal_Master_Wide!$DG$33),"",Deal_Master_Wide!$DG$33)</f>
        <v/>
      </c>
      <c r="S213" s="18" t="str">
        <f>IF(ISBLANK(Deal_Master_Wide!$DN$33),"",Deal_Master_Wide!$DN$33)</f>
        <v/>
      </c>
      <c r="T213" s="18" t="str">
        <f>IF(ISBLANK(Deal_Master_Wide!$DU$33),"",Deal_Master_Wide!$DU$33)</f>
        <v/>
      </c>
      <c r="U213" s="17" t="str">
        <f>IF(ISBLANK(Deal_Master_Wide!$EB$33),"",Deal_Master_Wide!$EB$33)</f>
        <v/>
      </c>
      <c r="V213" s="17" t="str">
        <f>IF(ISBLANK(Deal_Master_Wide!$EI$33),"",Deal_Master_Wide!$EI$33)</f>
        <v/>
      </c>
      <c r="W213" s="17">
        <f>IF(ISBLANK(Deal_Master_Wide!$AF$33),"",Deal_Master_Wide!$AF$33)</f>
        <v>7</v>
      </c>
    </row>
    <row r="214" spans="1:23" ht="13.4" customHeight="1">
      <c r="A214" s="15" t="s">
        <v>527</v>
      </c>
      <c r="B214" s="15" t="s">
        <v>177</v>
      </c>
      <c r="C214" s="15">
        <v>1</v>
      </c>
      <c r="D214" s="15" t="s">
        <v>323</v>
      </c>
      <c r="E214" s="15" t="s">
        <v>530</v>
      </c>
      <c r="F214" s="15">
        <v>2015</v>
      </c>
      <c r="G214" s="15">
        <v>-1</v>
      </c>
      <c r="H214" s="15">
        <v>2014</v>
      </c>
      <c r="I214" s="15">
        <v>0</v>
      </c>
      <c r="J214" s="15">
        <v>0</v>
      </c>
      <c r="K214" s="16" t="e">
        <f>IF(#REF!="","",#REF!*$I214)</f>
        <v>#REF!</v>
      </c>
      <c r="L214" s="17" t="str">
        <f>IF(ISBLANK(Deal_Master_Wide!$BR$33),"",Deal_Master_Wide!$BR$33)</f>
        <v/>
      </c>
      <c r="M214" s="17" t="str">
        <f>IF(ISBLANK(Deal_Master_Wide!$BY$33),"",Deal_Master_Wide!$BY$33)</f>
        <v/>
      </c>
      <c r="N214" s="17" t="str">
        <f>IF(ISBLANK(Deal_Master_Wide!$CF$33),"",Deal_Master_Wide!$CF$33)</f>
        <v/>
      </c>
      <c r="O214" s="17" t="str">
        <f>IF(ISBLANK(Deal_Master_Wide!$CM$33),"",Deal_Master_Wide!$CM$33)</f>
        <v/>
      </c>
      <c r="P214" s="17" t="str">
        <f>IF(ISBLANK(Deal_Master_Wide!$CT$33),"",Deal_Master_Wide!$CT$33)</f>
        <v/>
      </c>
      <c r="Q214" s="17" t="str">
        <f>IF(ISBLANK(Deal_Master_Wide!$DA$33),"",Deal_Master_Wide!$DA$33)</f>
        <v/>
      </c>
      <c r="R214" s="18" t="str">
        <f>IF(ISBLANK(Deal_Master_Wide!$DH$33),"",Deal_Master_Wide!$DH$33)</f>
        <v/>
      </c>
      <c r="S214" s="18" t="str">
        <f>IF(ISBLANK(Deal_Master_Wide!$DO$33),"",Deal_Master_Wide!$DO$33)</f>
        <v/>
      </c>
      <c r="T214" s="18" t="str">
        <f>IF(ISBLANK(Deal_Master_Wide!$DV$33),"",Deal_Master_Wide!$DV$33)</f>
        <v/>
      </c>
      <c r="U214" s="17" t="str">
        <f>IF(ISBLANK(Deal_Master_Wide!$EC$33),"",Deal_Master_Wide!$EC$33)</f>
        <v/>
      </c>
      <c r="V214" s="17" t="str">
        <f>IF(ISBLANK(Deal_Master_Wide!$EJ$33),"",Deal_Master_Wide!$EJ$33)</f>
        <v/>
      </c>
      <c r="W214" s="17">
        <f>IF(ISBLANK(Deal_Master_Wide!$AF$33),"",Deal_Master_Wide!$AF$33)</f>
        <v>7</v>
      </c>
    </row>
    <row r="215" spans="1:23" ht="13.4" customHeight="1">
      <c r="A215" s="15" t="s">
        <v>527</v>
      </c>
      <c r="B215" s="15" t="s">
        <v>177</v>
      </c>
      <c r="C215" s="15">
        <v>1</v>
      </c>
      <c r="D215" s="15" t="s">
        <v>323</v>
      </c>
      <c r="E215" s="15" t="s">
        <v>530</v>
      </c>
      <c r="F215" s="15">
        <v>2015</v>
      </c>
      <c r="G215" s="15">
        <v>0</v>
      </c>
      <c r="H215" s="15">
        <v>2015</v>
      </c>
      <c r="I215" s="15">
        <v>0</v>
      </c>
      <c r="J215" s="15">
        <v>1</v>
      </c>
      <c r="K215" s="16" t="e">
        <f>IF(#REF!="","",#REF!*$I215)</f>
        <v>#REF!</v>
      </c>
      <c r="L215" s="17" t="str">
        <f>IF(ISBLANK(Deal_Master_Wide!$BS$33),"",Deal_Master_Wide!$BS$33)</f>
        <v/>
      </c>
      <c r="M215" s="17" t="str">
        <f>IF(ISBLANK(Deal_Master_Wide!$BZ$33),"",Deal_Master_Wide!$BZ$33)</f>
        <v/>
      </c>
      <c r="N215" s="17" t="str">
        <f>IF(ISBLANK(Deal_Master_Wide!$CG$33),"",Deal_Master_Wide!$CG$33)</f>
        <v/>
      </c>
      <c r="O215" s="17" t="str">
        <f>IF(ISBLANK(Deal_Master_Wide!$CN$33),"",Deal_Master_Wide!$CN$33)</f>
        <v/>
      </c>
      <c r="P215" s="17" t="str">
        <f>IF(ISBLANK(Deal_Master_Wide!$CU$33),"",Deal_Master_Wide!$CU$33)</f>
        <v/>
      </c>
      <c r="Q215" s="17" t="str">
        <f>IF(ISBLANK(Deal_Master_Wide!$DB$33),"",Deal_Master_Wide!$DB$33)</f>
        <v/>
      </c>
      <c r="R215" s="18" t="str">
        <f>IF(ISBLANK(Deal_Master_Wide!$DI$33),"",Deal_Master_Wide!$DI$33)</f>
        <v/>
      </c>
      <c r="S215" s="18" t="str">
        <f>IF(ISBLANK(Deal_Master_Wide!$DP$33),"",Deal_Master_Wide!$DP$33)</f>
        <v/>
      </c>
      <c r="T215" s="18" t="str">
        <f>IF(ISBLANK(Deal_Master_Wide!$DW$33),"",Deal_Master_Wide!$DW$33)</f>
        <v/>
      </c>
      <c r="U215" s="17" t="str">
        <f>IF(ISBLANK(Deal_Master_Wide!$ED$33),"",Deal_Master_Wide!$ED$33)</f>
        <v/>
      </c>
      <c r="V215" s="17" t="str">
        <f>IF(ISBLANK(Deal_Master_Wide!$EK$33),"",Deal_Master_Wide!$EK$33)</f>
        <v/>
      </c>
      <c r="W215" s="17">
        <f>IF(ISBLANK(Deal_Master_Wide!$AF$33),"",Deal_Master_Wide!$AF$33)</f>
        <v>7</v>
      </c>
    </row>
    <row r="216" spans="1:23" ht="13.4" customHeight="1">
      <c r="A216" s="15" t="s">
        <v>527</v>
      </c>
      <c r="B216" s="15" t="s">
        <v>177</v>
      </c>
      <c r="C216" s="15">
        <v>1</v>
      </c>
      <c r="D216" s="15" t="s">
        <v>323</v>
      </c>
      <c r="E216" s="15" t="s">
        <v>530</v>
      </c>
      <c r="F216" s="15">
        <v>2015</v>
      </c>
      <c r="G216" s="15">
        <v>1</v>
      </c>
      <c r="H216" s="15">
        <v>2016</v>
      </c>
      <c r="I216" s="15">
        <v>1</v>
      </c>
      <c r="J216" s="15">
        <v>1</v>
      </c>
      <c r="K216" s="16" t="e">
        <f>IF(#REF!="","",#REF!*$I216)</f>
        <v>#REF!</v>
      </c>
      <c r="L216" s="17" t="str">
        <f>IF(ISBLANK(Deal_Master_Wide!$BT$33),"",Deal_Master_Wide!$BT$33)</f>
        <v/>
      </c>
      <c r="M216" s="17" t="str">
        <f>IF(ISBLANK(Deal_Master_Wide!$CA$33),"",Deal_Master_Wide!$CA$33)</f>
        <v/>
      </c>
      <c r="N216" s="17" t="str">
        <f>IF(ISBLANK(Deal_Master_Wide!$CH$33),"",Deal_Master_Wide!$CH$33)</f>
        <v/>
      </c>
      <c r="O216" s="17" t="str">
        <f>IF(ISBLANK(Deal_Master_Wide!$CO$33),"",Deal_Master_Wide!$CO$33)</f>
        <v/>
      </c>
      <c r="P216" s="17" t="str">
        <f>IF(ISBLANK(Deal_Master_Wide!$CV$33),"",Deal_Master_Wide!$CV$33)</f>
        <v/>
      </c>
      <c r="Q216" s="17" t="str">
        <f>IF(ISBLANK(Deal_Master_Wide!$DC$33),"",Deal_Master_Wide!$DC$33)</f>
        <v/>
      </c>
      <c r="R216" s="18" t="str">
        <f>IF(ISBLANK(Deal_Master_Wide!$DJ$33),"",Deal_Master_Wide!$DJ$33)</f>
        <v/>
      </c>
      <c r="S216" s="18" t="str">
        <f>IF(ISBLANK(Deal_Master_Wide!$DQ$33),"",Deal_Master_Wide!$DQ$33)</f>
        <v/>
      </c>
      <c r="T216" s="18" t="str">
        <f>IF(ISBLANK(Deal_Master_Wide!$DX$33),"",Deal_Master_Wide!$DX$33)</f>
        <v/>
      </c>
      <c r="U216" s="17" t="str">
        <f>IF(ISBLANK(Deal_Master_Wide!$EE$33),"",Deal_Master_Wide!$EE$33)</f>
        <v/>
      </c>
      <c r="V216" s="17" t="str">
        <f>IF(ISBLANK(Deal_Master_Wide!$EL$33),"",Deal_Master_Wide!$EL$33)</f>
        <v/>
      </c>
      <c r="W216" s="17">
        <f>IF(ISBLANK(Deal_Master_Wide!$AF$33),"",Deal_Master_Wide!$AF$33)</f>
        <v>7</v>
      </c>
    </row>
    <row r="217" spans="1:23" ht="13.4" customHeight="1">
      <c r="A217" s="15" t="s">
        <v>527</v>
      </c>
      <c r="B217" s="15" t="s">
        <v>177</v>
      </c>
      <c r="C217" s="15">
        <v>1</v>
      </c>
      <c r="D217" s="15" t="s">
        <v>323</v>
      </c>
      <c r="E217" s="15" t="s">
        <v>530</v>
      </c>
      <c r="F217" s="15">
        <v>2015</v>
      </c>
      <c r="G217" s="15">
        <v>2</v>
      </c>
      <c r="H217" s="15">
        <v>2017</v>
      </c>
      <c r="I217" s="15">
        <v>1</v>
      </c>
      <c r="J217" s="15">
        <v>1</v>
      </c>
      <c r="K217" s="16" t="e">
        <f>IF(#REF!="","",#REF!*$I217)</f>
        <v>#REF!</v>
      </c>
      <c r="L217" s="17" t="str">
        <f>IF(ISBLANK(Deal_Master_Wide!$BU$33),"",Deal_Master_Wide!$BU$33)</f>
        <v/>
      </c>
      <c r="M217" s="17" t="str">
        <f>IF(ISBLANK(Deal_Master_Wide!$CB$33),"",Deal_Master_Wide!$CB$33)</f>
        <v/>
      </c>
      <c r="N217" s="17" t="str">
        <f>IF(ISBLANK(Deal_Master_Wide!$CI$33),"",Deal_Master_Wide!$CI$33)</f>
        <v/>
      </c>
      <c r="O217" s="17" t="str">
        <f>IF(ISBLANK(Deal_Master_Wide!$CP$33),"",Deal_Master_Wide!$CP$33)</f>
        <v/>
      </c>
      <c r="P217" s="17" t="str">
        <f>IF(ISBLANK(Deal_Master_Wide!$CW$33),"",Deal_Master_Wide!$CW$33)</f>
        <v/>
      </c>
      <c r="Q217" s="17" t="str">
        <f>IF(ISBLANK(Deal_Master_Wide!$DD$33),"",Deal_Master_Wide!$DD$33)</f>
        <v/>
      </c>
      <c r="R217" s="18" t="str">
        <f>IF(ISBLANK(Deal_Master_Wide!$DK$33),"",Deal_Master_Wide!$DK$33)</f>
        <v/>
      </c>
      <c r="S217" s="18" t="str">
        <f>IF(ISBLANK(Deal_Master_Wide!$DR$33),"",Deal_Master_Wide!$DR$33)</f>
        <v/>
      </c>
      <c r="T217" s="18" t="str">
        <f>IF(ISBLANK(Deal_Master_Wide!$DY$33),"",Deal_Master_Wide!$DY$33)</f>
        <v/>
      </c>
      <c r="U217" s="17" t="str">
        <f>IF(ISBLANK(Deal_Master_Wide!$EF$33),"",Deal_Master_Wide!$EF$33)</f>
        <v/>
      </c>
      <c r="V217" s="17" t="str">
        <f>IF(ISBLANK(Deal_Master_Wide!$EM$33),"",Deal_Master_Wide!$EM$33)</f>
        <v/>
      </c>
      <c r="W217" s="17">
        <f>IF(ISBLANK(Deal_Master_Wide!$AF$33),"",Deal_Master_Wide!$AF$33)</f>
        <v>7</v>
      </c>
    </row>
    <row r="218" spans="1:23" ht="13.4" customHeight="1">
      <c r="A218" s="15" t="s">
        <v>527</v>
      </c>
      <c r="B218" s="15" t="s">
        <v>177</v>
      </c>
      <c r="C218" s="15">
        <v>1</v>
      </c>
      <c r="D218" s="15" t="s">
        <v>323</v>
      </c>
      <c r="E218" s="15" t="s">
        <v>530</v>
      </c>
      <c r="F218" s="15">
        <v>2015</v>
      </c>
      <c r="G218" s="15">
        <v>3</v>
      </c>
      <c r="H218" s="15">
        <v>2018</v>
      </c>
      <c r="I218" s="15">
        <v>1</v>
      </c>
      <c r="J218" s="15">
        <v>1</v>
      </c>
      <c r="K218" s="16" t="e">
        <f>IF(#REF!="","",#REF!*$I218)</f>
        <v>#REF!</v>
      </c>
      <c r="L218" s="17" t="str">
        <f>IF(ISBLANK(Deal_Master_Wide!$BV$33),"",Deal_Master_Wide!$BV$33)</f>
        <v/>
      </c>
      <c r="M218" s="17" t="str">
        <f>IF(ISBLANK(Deal_Master_Wide!$CC$33),"",Deal_Master_Wide!$CC$33)</f>
        <v/>
      </c>
      <c r="N218" s="17" t="str">
        <f>IF(ISBLANK(Deal_Master_Wide!$CJ$33),"",Deal_Master_Wide!$CJ$33)</f>
        <v/>
      </c>
      <c r="O218" s="17" t="str">
        <f>IF(ISBLANK(Deal_Master_Wide!$CQ$33),"",Deal_Master_Wide!$CQ$33)</f>
        <v/>
      </c>
      <c r="P218" s="17" t="str">
        <f>IF(ISBLANK(Deal_Master_Wide!$CX$33),"",Deal_Master_Wide!$CX$33)</f>
        <v/>
      </c>
      <c r="Q218" s="17" t="str">
        <f>IF(ISBLANK(Deal_Master_Wide!$DE$33),"",Deal_Master_Wide!$DE$33)</f>
        <v/>
      </c>
      <c r="R218" s="18" t="str">
        <f>IF(ISBLANK(Deal_Master_Wide!$DL$33),"",Deal_Master_Wide!$DL$33)</f>
        <v/>
      </c>
      <c r="S218" s="18" t="str">
        <f>IF(ISBLANK(Deal_Master_Wide!$DS$33),"",Deal_Master_Wide!$DS$33)</f>
        <v/>
      </c>
      <c r="T218" s="18" t="str">
        <f>IF(ISBLANK(Deal_Master_Wide!$DZ$33),"",Deal_Master_Wide!$DZ$33)</f>
        <v/>
      </c>
      <c r="U218" s="17" t="str">
        <f>IF(ISBLANK(Deal_Master_Wide!$EG$33),"",Deal_Master_Wide!$EG$33)</f>
        <v/>
      </c>
      <c r="V218" s="17" t="str">
        <f>IF(ISBLANK(Deal_Master_Wide!$EN$33),"",Deal_Master_Wide!$EN$33)</f>
        <v/>
      </c>
      <c r="W218" s="17">
        <f>IF(ISBLANK(Deal_Master_Wide!$AF$33),"",Deal_Master_Wide!$AF$33)</f>
        <v>7</v>
      </c>
    </row>
    <row r="219" spans="1:23" ht="13.4" customHeight="1">
      <c r="A219" s="15" t="s">
        <v>534</v>
      </c>
      <c r="B219" s="15" t="s">
        <v>177</v>
      </c>
      <c r="C219" s="15">
        <v>1</v>
      </c>
      <c r="D219" s="15" t="s">
        <v>538</v>
      </c>
      <c r="E219" s="15" t="s">
        <v>540</v>
      </c>
      <c r="F219" s="15">
        <v>2015</v>
      </c>
      <c r="G219" s="15">
        <v>-3</v>
      </c>
      <c r="H219" s="15">
        <v>2012</v>
      </c>
      <c r="I219" s="15">
        <v>0</v>
      </c>
      <c r="J219" s="15">
        <v>0</v>
      </c>
      <c r="K219" s="16" t="e">
        <f>IF(#REF!="","",#REF!*$I219)</f>
        <v>#REF!</v>
      </c>
      <c r="L219" s="17" t="str">
        <f>IF(ISBLANK(Deal_Master_Wide!$BP$34),"",Deal_Master_Wide!$BP$34)</f>
        <v/>
      </c>
      <c r="M219" s="17" t="str">
        <f>IF(ISBLANK(Deal_Master_Wide!$BW$34),"",Deal_Master_Wide!$BW$34)</f>
        <v/>
      </c>
      <c r="N219" s="17" t="str">
        <f>IF(ISBLANK(Deal_Master_Wide!$CD$34),"",Deal_Master_Wide!$CD$34)</f>
        <v/>
      </c>
      <c r="O219" s="17" t="str">
        <f>IF(ISBLANK(Deal_Master_Wide!$CK$34),"",Deal_Master_Wide!$CK$34)</f>
        <v/>
      </c>
      <c r="P219" s="17" t="str">
        <f>IF(ISBLANK(Deal_Master_Wide!$CR$34),"",Deal_Master_Wide!$CR$34)</f>
        <v/>
      </c>
      <c r="Q219" s="17" t="str">
        <f>IF(ISBLANK(Deal_Master_Wide!$CY$34),"",Deal_Master_Wide!$CY$34)</f>
        <v/>
      </c>
      <c r="R219" s="18" t="str">
        <f>IF(ISBLANK(Deal_Master_Wide!$DF$34),"",Deal_Master_Wide!$DF$34)</f>
        <v/>
      </c>
      <c r="S219" s="18" t="str">
        <f>IF(ISBLANK(Deal_Master_Wide!$DM$34),"",Deal_Master_Wide!$DM$34)</f>
        <v/>
      </c>
      <c r="T219" s="18" t="str">
        <f>IF(ISBLANK(Deal_Master_Wide!$DT$34),"",Deal_Master_Wide!$DT$34)</f>
        <v/>
      </c>
      <c r="U219" s="17" t="str">
        <f>IF(ISBLANK(Deal_Master_Wide!$EA$34),"",Deal_Master_Wide!$EA$34)</f>
        <v/>
      </c>
      <c r="V219" s="17" t="str">
        <f>IF(ISBLANK(Deal_Master_Wide!$EH$34),"",Deal_Master_Wide!$EH$34)</f>
        <v/>
      </c>
      <c r="W219" s="17" t="str">
        <f>IF(ISBLANK(Deal_Master_Wide!$AF$34),"",Deal_Master_Wide!$AF$34)</f>
        <v/>
      </c>
    </row>
    <row r="220" spans="1:23" ht="13.4" customHeight="1">
      <c r="A220" s="15" t="s">
        <v>534</v>
      </c>
      <c r="B220" s="15" t="s">
        <v>177</v>
      </c>
      <c r="C220" s="15">
        <v>1</v>
      </c>
      <c r="D220" s="15" t="s">
        <v>538</v>
      </c>
      <c r="E220" s="15" t="s">
        <v>540</v>
      </c>
      <c r="F220" s="15">
        <v>2015</v>
      </c>
      <c r="G220" s="15">
        <v>-2</v>
      </c>
      <c r="H220" s="15">
        <v>2013</v>
      </c>
      <c r="I220" s="15">
        <v>0</v>
      </c>
      <c r="J220" s="15">
        <v>0</v>
      </c>
      <c r="K220" s="16" t="e">
        <f>IF(#REF!="","",#REF!*$I220)</f>
        <v>#REF!</v>
      </c>
      <c r="L220" s="17" t="str">
        <f>IF(ISBLANK(Deal_Master_Wide!$BQ$34),"",Deal_Master_Wide!$BQ$34)</f>
        <v/>
      </c>
      <c r="M220" s="17" t="str">
        <f>IF(ISBLANK(Deal_Master_Wide!$BX$34),"",Deal_Master_Wide!$BX$34)</f>
        <v/>
      </c>
      <c r="N220" s="17" t="str">
        <f>IF(ISBLANK(Deal_Master_Wide!$CE$34),"",Deal_Master_Wide!$CE$34)</f>
        <v/>
      </c>
      <c r="O220" s="17" t="str">
        <f>IF(ISBLANK(Deal_Master_Wide!$CL$34),"",Deal_Master_Wide!$CL$34)</f>
        <v/>
      </c>
      <c r="P220" s="17" t="str">
        <f>IF(ISBLANK(Deal_Master_Wide!$CS$34),"",Deal_Master_Wide!$CS$34)</f>
        <v/>
      </c>
      <c r="Q220" s="17" t="str">
        <f>IF(ISBLANK(Deal_Master_Wide!$CZ$34),"",Deal_Master_Wide!$CZ$34)</f>
        <v/>
      </c>
      <c r="R220" s="18" t="str">
        <f>IF(ISBLANK(Deal_Master_Wide!$DG$34),"",Deal_Master_Wide!$DG$34)</f>
        <v/>
      </c>
      <c r="S220" s="18" t="str">
        <f>IF(ISBLANK(Deal_Master_Wide!$DN$34),"",Deal_Master_Wide!$DN$34)</f>
        <v/>
      </c>
      <c r="T220" s="18" t="str">
        <f>IF(ISBLANK(Deal_Master_Wide!$DU$34),"",Deal_Master_Wide!$DU$34)</f>
        <v/>
      </c>
      <c r="U220" s="17" t="str">
        <f>IF(ISBLANK(Deal_Master_Wide!$EB$34),"",Deal_Master_Wide!$EB$34)</f>
        <v/>
      </c>
      <c r="V220" s="17" t="str">
        <f>IF(ISBLANK(Deal_Master_Wide!$EI$34),"",Deal_Master_Wide!$EI$34)</f>
        <v/>
      </c>
      <c r="W220" s="17" t="str">
        <f>IF(ISBLANK(Deal_Master_Wide!$AF$34),"",Deal_Master_Wide!$AF$34)</f>
        <v/>
      </c>
    </row>
    <row r="221" spans="1:23" ht="13.4" customHeight="1">
      <c r="A221" s="15" t="s">
        <v>534</v>
      </c>
      <c r="B221" s="15" t="s">
        <v>177</v>
      </c>
      <c r="C221" s="15">
        <v>1</v>
      </c>
      <c r="D221" s="15" t="s">
        <v>538</v>
      </c>
      <c r="E221" s="15" t="s">
        <v>540</v>
      </c>
      <c r="F221" s="15">
        <v>2015</v>
      </c>
      <c r="G221" s="15">
        <v>-1</v>
      </c>
      <c r="H221" s="15">
        <v>2014</v>
      </c>
      <c r="I221" s="15">
        <v>0</v>
      </c>
      <c r="J221" s="15">
        <v>0</v>
      </c>
      <c r="K221" s="16" t="e">
        <f>IF(#REF!="","",#REF!*$I221)</f>
        <v>#REF!</v>
      </c>
      <c r="L221" s="17" t="str">
        <f>IF(ISBLANK(Deal_Master_Wide!$BR$34),"",Deal_Master_Wide!$BR$34)</f>
        <v/>
      </c>
      <c r="M221" s="17" t="str">
        <f>IF(ISBLANK(Deal_Master_Wide!$BY$34),"",Deal_Master_Wide!$BY$34)</f>
        <v/>
      </c>
      <c r="N221" s="17" t="str">
        <f>IF(ISBLANK(Deal_Master_Wide!$CF$34),"",Deal_Master_Wide!$CF$34)</f>
        <v/>
      </c>
      <c r="O221" s="17" t="str">
        <f>IF(ISBLANK(Deal_Master_Wide!$CM$34),"",Deal_Master_Wide!$CM$34)</f>
        <v/>
      </c>
      <c r="P221" s="17" t="str">
        <f>IF(ISBLANK(Deal_Master_Wide!$CT$34),"",Deal_Master_Wide!$CT$34)</f>
        <v/>
      </c>
      <c r="Q221" s="17" t="str">
        <f>IF(ISBLANK(Deal_Master_Wide!$DA$34),"",Deal_Master_Wide!$DA$34)</f>
        <v/>
      </c>
      <c r="R221" s="18" t="str">
        <f>IF(ISBLANK(Deal_Master_Wide!$DH$34),"",Deal_Master_Wide!$DH$34)</f>
        <v/>
      </c>
      <c r="S221" s="18" t="str">
        <f>IF(ISBLANK(Deal_Master_Wide!$DO$34),"",Deal_Master_Wide!$DO$34)</f>
        <v/>
      </c>
      <c r="T221" s="18" t="str">
        <f>IF(ISBLANK(Deal_Master_Wide!$DV$34),"",Deal_Master_Wide!$DV$34)</f>
        <v/>
      </c>
      <c r="U221" s="17" t="str">
        <f>IF(ISBLANK(Deal_Master_Wide!$EC$34),"",Deal_Master_Wide!$EC$34)</f>
        <v/>
      </c>
      <c r="V221" s="17" t="str">
        <f>IF(ISBLANK(Deal_Master_Wide!$EJ$34),"",Deal_Master_Wide!$EJ$34)</f>
        <v/>
      </c>
      <c r="W221" s="17" t="str">
        <f>IF(ISBLANK(Deal_Master_Wide!$AF$34),"",Deal_Master_Wide!$AF$34)</f>
        <v/>
      </c>
    </row>
    <row r="222" spans="1:23" ht="13.4" customHeight="1">
      <c r="A222" s="15" t="s">
        <v>534</v>
      </c>
      <c r="B222" s="15" t="s">
        <v>177</v>
      </c>
      <c r="C222" s="15">
        <v>1</v>
      </c>
      <c r="D222" s="15" t="s">
        <v>538</v>
      </c>
      <c r="E222" s="15" t="s">
        <v>540</v>
      </c>
      <c r="F222" s="15">
        <v>2015</v>
      </c>
      <c r="G222" s="15">
        <v>0</v>
      </c>
      <c r="H222" s="15">
        <v>2015</v>
      </c>
      <c r="I222" s="15">
        <v>0</v>
      </c>
      <c r="J222" s="15">
        <v>1</v>
      </c>
      <c r="K222" s="16" t="e">
        <f>IF(#REF!="","",#REF!*$I222)</f>
        <v>#REF!</v>
      </c>
      <c r="L222" s="17" t="str">
        <f>IF(ISBLANK(Deal_Master_Wide!$BS$34),"",Deal_Master_Wide!$BS$34)</f>
        <v/>
      </c>
      <c r="M222" s="17" t="str">
        <f>IF(ISBLANK(Deal_Master_Wide!$BZ$34),"",Deal_Master_Wide!$BZ$34)</f>
        <v/>
      </c>
      <c r="N222" s="17" t="str">
        <f>IF(ISBLANK(Deal_Master_Wide!$CG$34),"",Deal_Master_Wide!$CG$34)</f>
        <v/>
      </c>
      <c r="O222" s="17" t="str">
        <f>IF(ISBLANK(Deal_Master_Wide!$CN$34),"",Deal_Master_Wide!$CN$34)</f>
        <v/>
      </c>
      <c r="P222" s="17" t="str">
        <f>IF(ISBLANK(Deal_Master_Wide!$CU$34),"",Deal_Master_Wide!$CU$34)</f>
        <v/>
      </c>
      <c r="Q222" s="17" t="str">
        <f>IF(ISBLANK(Deal_Master_Wide!$DB$34),"",Deal_Master_Wide!$DB$34)</f>
        <v/>
      </c>
      <c r="R222" s="18" t="str">
        <f>IF(ISBLANK(Deal_Master_Wide!$DI$34),"",Deal_Master_Wide!$DI$34)</f>
        <v/>
      </c>
      <c r="S222" s="18" t="str">
        <f>IF(ISBLANK(Deal_Master_Wide!$DP$34),"",Deal_Master_Wide!$DP$34)</f>
        <v/>
      </c>
      <c r="T222" s="18" t="str">
        <f>IF(ISBLANK(Deal_Master_Wide!$DW$34),"",Deal_Master_Wide!$DW$34)</f>
        <v/>
      </c>
      <c r="U222" s="17" t="str">
        <f>IF(ISBLANK(Deal_Master_Wide!$ED$34),"",Deal_Master_Wide!$ED$34)</f>
        <v/>
      </c>
      <c r="V222" s="17" t="str">
        <f>IF(ISBLANK(Deal_Master_Wide!$EK$34),"",Deal_Master_Wide!$EK$34)</f>
        <v/>
      </c>
      <c r="W222" s="17" t="str">
        <f>IF(ISBLANK(Deal_Master_Wide!$AF$34),"",Deal_Master_Wide!$AF$34)</f>
        <v/>
      </c>
    </row>
    <row r="223" spans="1:23" ht="13.4" customHeight="1">
      <c r="A223" s="15" t="s">
        <v>534</v>
      </c>
      <c r="B223" s="15" t="s">
        <v>177</v>
      </c>
      <c r="C223" s="15">
        <v>1</v>
      </c>
      <c r="D223" s="15" t="s">
        <v>538</v>
      </c>
      <c r="E223" s="15" t="s">
        <v>540</v>
      </c>
      <c r="F223" s="15">
        <v>2015</v>
      </c>
      <c r="G223" s="15">
        <v>1</v>
      </c>
      <c r="H223" s="15">
        <v>2016</v>
      </c>
      <c r="I223" s="15">
        <v>1</v>
      </c>
      <c r="J223" s="15">
        <v>1</v>
      </c>
      <c r="K223" s="16" t="e">
        <f>IF(#REF!="","",#REF!*$I223)</f>
        <v>#REF!</v>
      </c>
      <c r="L223" s="17" t="str">
        <f>IF(ISBLANK(Deal_Master_Wide!$BT$34),"",Deal_Master_Wide!$BT$34)</f>
        <v/>
      </c>
      <c r="M223" s="17" t="str">
        <f>IF(ISBLANK(Deal_Master_Wide!$CA$34),"",Deal_Master_Wide!$CA$34)</f>
        <v/>
      </c>
      <c r="N223" s="17" t="str">
        <f>IF(ISBLANK(Deal_Master_Wide!$CH$34),"",Deal_Master_Wide!$CH$34)</f>
        <v/>
      </c>
      <c r="O223" s="17" t="str">
        <f>IF(ISBLANK(Deal_Master_Wide!$CO$34),"",Deal_Master_Wide!$CO$34)</f>
        <v/>
      </c>
      <c r="P223" s="17" t="str">
        <f>IF(ISBLANK(Deal_Master_Wide!$CV$34),"",Deal_Master_Wide!$CV$34)</f>
        <v/>
      </c>
      <c r="Q223" s="17" t="str">
        <f>IF(ISBLANK(Deal_Master_Wide!$DC$34),"",Deal_Master_Wide!$DC$34)</f>
        <v/>
      </c>
      <c r="R223" s="18" t="str">
        <f>IF(ISBLANK(Deal_Master_Wide!$DJ$34),"",Deal_Master_Wide!$DJ$34)</f>
        <v/>
      </c>
      <c r="S223" s="18" t="str">
        <f>IF(ISBLANK(Deal_Master_Wide!$DQ$34),"",Deal_Master_Wide!$DQ$34)</f>
        <v/>
      </c>
      <c r="T223" s="18" t="str">
        <f>IF(ISBLANK(Deal_Master_Wide!$DX$34),"",Deal_Master_Wide!$DX$34)</f>
        <v/>
      </c>
      <c r="U223" s="17" t="str">
        <f>IF(ISBLANK(Deal_Master_Wide!$EE$34),"",Deal_Master_Wide!$EE$34)</f>
        <v/>
      </c>
      <c r="V223" s="17" t="str">
        <f>IF(ISBLANK(Deal_Master_Wide!$EL$34),"",Deal_Master_Wide!$EL$34)</f>
        <v/>
      </c>
      <c r="W223" s="17" t="str">
        <f>IF(ISBLANK(Deal_Master_Wide!$AF$34),"",Deal_Master_Wide!$AF$34)</f>
        <v/>
      </c>
    </row>
    <row r="224" spans="1:23" ht="13.4" customHeight="1">
      <c r="A224" s="15" t="s">
        <v>534</v>
      </c>
      <c r="B224" s="15" t="s">
        <v>177</v>
      </c>
      <c r="C224" s="15">
        <v>1</v>
      </c>
      <c r="D224" s="15" t="s">
        <v>538</v>
      </c>
      <c r="E224" s="15" t="s">
        <v>540</v>
      </c>
      <c r="F224" s="15">
        <v>2015</v>
      </c>
      <c r="G224" s="15">
        <v>2</v>
      </c>
      <c r="H224" s="15">
        <v>2017</v>
      </c>
      <c r="I224" s="15">
        <v>1</v>
      </c>
      <c r="J224" s="15">
        <v>1</v>
      </c>
      <c r="K224" s="16" t="e">
        <f>IF(#REF!="","",#REF!*$I224)</f>
        <v>#REF!</v>
      </c>
      <c r="L224" s="17" t="str">
        <f>IF(ISBLANK(Deal_Master_Wide!$BU$34),"",Deal_Master_Wide!$BU$34)</f>
        <v/>
      </c>
      <c r="M224" s="17" t="str">
        <f>IF(ISBLANK(Deal_Master_Wide!$CB$34),"",Deal_Master_Wide!$CB$34)</f>
        <v/>
      </c>
      <c r="N224" s="17" t="str">
        <f>IF(ISBLANK(Deal_Master_Wide!$CI$34),"",Deal_Master_Wide!$CI$34)</f>
        <v/>
      </c>
      <c r="O224" s="17" t="str">
        <f>IF(ISBLANK(Deal_Master_Wide!$CP$34),"",Deal_Master_Wide!$CP$34)</f>
        <v/>
      </c>
      <c r="P224" s="17" t="str">
        <f>IF(ISBLANK(Deal_Master_Wide!$CW$34),"",Deal_Master_Wide!$CW$34)</f>
        <v/>
      </c>
      <c r="Q224" s="17" t="str">
        <f>IF(ISBLANK(Deal_Master_Wide!$DD$34),"",Deal_Master_Wide!$DD$34)</f>
        <v/>
      </c>
      <c r="R224" s="18" t="str">
        <f>IF(ISBLANK(Deal_Master_Wide!$DK$34),"",Deal_Master_Wide!$DK$34)</f>
        <v/>
      </c>
      <c r="S224" s="18" t="str">
        <f>IF(ISBLANK(Deal_Master_Wide!$DR$34),"",Deal_Master_Wide!$DR$34)</f>
        <v/>
      </c>
      <c r="T224" s="18" t="str">
        <f>IF(ISBLANK(Deal_Master_Wide!$DY$34),"",Deal_Master_Wide!$DY$34)</f>
        <v/>
      </c>
      <c r="U224" s="17" t="str">
        <f>IF(ISBLANK(Deal_Master_Wide!$EF$34),"",Deal_Master_Wide!$EF$34)</f>
        <v/>
      </c>
      <c r="V224" s="17" t="str">
        <f>IF(ISBLANK(Deal_Master_Wide!$EM$34),"",Deal_Master_Wide!$EM$34)</f>
        <v/>
      </c>
      <c r="W224" s="17" t="str">
        <f>IF(ISBLANK(Deal_Master_Wide!$AF$34),"",Deal_Master_Wide!$AF$34)</f>
        <v/>
      </c>
    </row>
    <row r="225" spans="1:23" ht="13.4" customHeight="1">
      <c r="A225" s="15" t="s">
        <v>534</v>
      </c>
      <c r="B225" s="15" t="s">
        <v>177</v>
      </c>
      <c r="C225" s="15">
        <v>1</v>
      </c>
      <c r="D225" s="15" t="s">
        <v>538</v>
      </c>
      <c r="E225" s="15" t="s">
        <v>540</v>
      </c>
      <c r="F225" s="15">
        <v>2015</v>
      </c>
      <c r="G225" s="15">
        <v>3</v>
      </c>
      <c r="H225" s="15">
        <v>2018</v>
      </c>
      <c r="I225" s="15">
        <v>1</v>
      </c>
      <c r="J225" s="15">
        <v>1</v>
      </c>
      <c r="K225" s="16" t="e">
        <f>IF(#REF!="","",#REF!*$I225)</f>
        <v>#REF!</v>
      </c>
      <c r="L225" s="17" t="str">
        <f>IF(ISBLANK(Deal_Master_Wide!$BV$34),"",Deal_Master_Wide!$BV$34)</f>
        <v/>
      </c>
      <c r="M225" s="17" t="str">
        <f>IF(ISBLANK(Deal_Master_Wide!$CC$34),"",Deal_Master_Wide!$CC$34)</f>
        <v/>
      </c>
      <c r="N225" s="17" t="str">
        <f>IF(ISBLANK(Deal_Master_Wide!$CJ$34),"",Deal_Master_Wide!$CJ$34)</f>
        <v/>
      </c>
      <c r="O225" s="17" t="str">
        <f>IF(ISBLANK(Deal_Master_Wide!$CQ$34),"",Deal_Master_Wide!$CQ$34)</f>
        <v/>
      </c>
      <c r="P225" s="17" t="str">
        <f>IF(ISBLANK(Deal_Master_Wide!$CX$34),"",Deal_Master_Wide!$CX$34)</f>
        <v/>
      </c>
      <c r="Q225" s="17" t="str">
        <f>IF(ISBLANK(Deal_Master_Wide!$DE$34),"",Deal_Master_Wide!$DE$34)</f>
        <v/>
      </c>
      <c r="R225" s="18" t="str">
        <f>IF(ISBLANK(Deal_Master_Wide!$DL$34),"",Deal_Master_Wide!$DL$34)</f>
        <v/>
      </c>
      <c r="S225" s="18" t="str">
        <f>IF(ISBLANK(Deal_Master_Wide!$DS$34),"",Deal_Master_Wide!$DS$34)</f>
        <v/>
      </c>
      <c r="T225" s="18" t="str">
        <f>IF(ISBLANK(Deal_Master_Wide!$DZ$34),"",Deal_Master_Wide!$DZ$34)</f>
        <v/>
      </c>
      <c r="U225" s="17" t="str">
        <f>IF(ISBLANK(Deal_Master_Wide!$EG$34),"",Deal_Master_Wide!$EG$34)</f>
        <v/>
      </c>
      <c r="V225" s="17" t="str">
        <f>IF(ISBLANK(Deal_Master_Wide!$EN$34),"",Deal_Master_Wide!$EN$34)</f>
        <v/>
      </c>
      <c r="W225" s="17" t="str">
        <f>IF(ISBLANK(Deal_Master_Wide!$AF$34),"",Deal_Master_Wide!$AF$34)</f>
        <v/>
      </c>
    </row>
    <row r="226" spans="1:23" ht="13.4" customHeight="1">
      <c r="A226" s="15" t="s">
        <v>544</v>
      </c>
      <c r="B226" s="15" t="s">
        <v>177</v>
      </c>
      <c r="C226" s="15">
        <v>1</v>
      </c>
      <c r="D226" s="15" t="s">
        <v>548</v>
      </c>
      <c r="E226" s="15" t="s">
        <v>550</v>
      </c>
      <c r="F226" s="15">
        <v>2014</v>
      </c>
      <c r="G226" s="15">
        <v>-3</v>
      </c>
      <c r="H226" s="15">
        <v>2011</v>
      </c>
      <c r="I226" s="15">
        <v>0</v>
      </c>
      <c r="J226" s="15">
        <v>0</v>
      </c>
      <c r="K226" s="16" t="e">
        <f>IF(#REF!="","",#REF!*$I226)</f>
        <v>#REF!</v>
      </c>
      <c r="L226" s="17" t="str">
        <f>IF(ISBLANK(Deal_Master_Wide!$BP$35),"",Deal_Master_Wide!$BP$35)</f>
        <v/>
      </c>
      <c r="M226" s="17" t="str">
        <f>IF(ISBLANK(Deal_Master_Wide!$BW$35),"",Deal_Master_Wide!$BW$35)</f>
        <v/>
      </c>
      <c r="N226" s="17" t="str">
        <f>IF(ISBLANK(Deal_Master_Wide!$CD$35),"",Deal_Master_Wide!$CD$35)</f>
        <v/>
      </c>
      <c r="O226" s="17" t="str">
        <f>IF(ISBLANK(Deal_Master_Wide!$CK$35),"",Deal_Master_Wide!$CK$35)</f>
        <v/>
      </c>
      <c r="P226" s="17" t="str">
        <f>IF(ISBLANK(Deal_Master_Wide!$CR$35),"",Deal_Master_Wide!$CR$35)</f>
        <v/>
      </c>
      <c r="Q226" s="17" t="str">
        <f>IF(ISBLANK(Deal_Master_Wide!$CY$35),"",Deal_Master_Wide!$CY$35)</f>
        <v/>
      </c>
      <c r="R226" s="18" t="str">
        <f>IF(ISBLANK(Deal_Master_Wide!$DF$35),"",Deal_Master_Wide!$DF$35)</f>
        <v/>
      </c>
      <c r="S226" s="18" t="str">
        <f>IF(ISBLANK(Deal_Master_Wide!$DM$35),"",Deal_Master_Wide!$DM$35)</f>
        <v/>
      </c>
      <c r="T226" s="18" t="str">
        <f>IF(ISBLANK(Deal_Master_Wide!$DT$35),"",Deal_Master_Wide!$DT$35)</f>
        <v/>
      </c>
      <c r="U226" s="17" t="str">
        <f>IF(ISBLANK(Deal_Master_Wide!$EA$35),"",Deal_Master_Wide!$EA$35)</f>
        <v/>
      </c>
      <c r="V226" s="17" t="str">
        <f>IF(ISBLANK(Deal_Master_Wide!$EH$35),"",Deal_Master_Wide!$EH$35)</f>
        <v/>
      </c>
      <c r="W226" s="17" t="str">
        <f>IF(ISBLANK(Deal_Master_Wide!$AF$35),"",Deal_Master_Wide!$AF$35)</f>
        <v/>
      </c>
    </row>
    <row r="227" spans="1:23" ht="13.4" customHeight="1">
      <c r="A227" s="15" t="s">
        <v>544</v>
      </c>
      <c r="B227" s="15" t="s">
        <v>177</v>
      </c>
      <c r="C227" s="15">
        <v>1</v>
      </c>
      <c r="D227" s="15" t="s">
        <v>548</v>
      </c>
      <c r="E227" s="15" t="s">
        <v>550</v>
      </c>
      <c r="F227" s="15">
        <v>2014</v>
      </c>
      <c r="G227" s="15">
        <v>-2</v>
      </c>
      <c r="H227" s="15">
        <v>2012</v>
      </c>
      <c r="I227" s="15">
        <v>0</v>
      </c>
      <c r="J227" s="15">
        <v>0</v>
      </c>
      <c r="K227" s="16" t="e">
        <f>IF(#REF!="","",#REF!*$I227)</f>
        <v>#REF!</v>
      </c>
      <c r="L227" s="17" t="str">
        <f>IF(ISBLANK(Deal_Master_Wide!$BQ$35),"",Deal_Master_Wide!$BQ$35)</f>
        <v/>
      </c>
      <c r="M227" s="17" t="str">
        <f>IF(ISBLANK(Deal_Master_Wide!$BX$35),"",Deal_Master_Wide!$BX$35)</f>
        <v/>
      </c>
      <c r="N227" s="17" t="str">
        <f>IF(ISBLANK(Deal_Master_Wide!$CE$35),"",Deal_Master_Wide!$CE$35)</f>
        <v/>
      </c>
      <c r="O227" s="17" t="str">
        <f>IF(ISBLANK(Deal_Master_Wide!$CL$35),"",Deal_Master_Wide!$CL$35)</f>
        <v/>
      </c>
      <c r="P227" s="17" t="str">
        <f>IF(ISBLANK(Deal_Master_Wide!$CS$35),"",Deal_Master_Wide!$CS$35)</f>
        <v/>
      </c>
      <c r="Q227" s="17" t="str">
        <f>IF(ISBLANK(Deal_Master_Wide!$CZ$35),"",Deal_Master_Wide!$CZ$35)</f>
        <v/>
      </c>
      <c r="R227" s="18" t="str">
        <f>IF(ISBLANK(Deal_Master_Wide!$DG$35),"",Deal_Master_Wide!$DG$35)</f>
        <v/>
      </c>
      <c r="S227" s="18" t="str">
        <f>IF(ISBLANK(Deal_Master_Wide!$DN$35),"",Deal_Master_Wide!$DN$35)</f>
        <v/>
      </c>
      <c r="T227" s="18" t="str">
        <f>IF(ISBLANK(Deal_Master_Wide!$DU$35),"",Deal_Master_Wide!$DU$35)</f>
        <v/>
      </c>
      <c r="U227" s="17" t="str">
        <f>IF(ISBLANK(Deal_Master_Wide!$EB$35),"",Deal_Master_Wide!$EB$35)</f>
        <v/>
      </c>
      <c r="V227" s="17" t="str">
        <f>IF(ISBLANK(Deal_Master_Wide!$EI$35),"",Deal_Master_Wide!$EI$35)</f>
        <v/>
      </c>
      <c r="W227" s="17" t="str">
        <f>IF(ISBLANK(Deal_Master_Wide!$AF$35),"",Deal_Master_Wide!$AF$35)</f>
        <v/>
      </c>
    </row>
    <row r="228" spans="1:23" ht="13.4" customHeight="1">
      <c r="A228" s="15" t="s">
        <v>544</v>
      </c>
      <c r="B228" s="15" t="s">
        <v>177</v>
      </c>
      <c r="C228" s="15">
        <v>1</v>
      </c>
      <c r="D228" s="15" t="s">
        <v>548</v>
      </c>
      <c r="E228" s="15" t="s">
        <v>550</v>
      </c>
      <c r="F228" s="15">
        <v>2014</v>
      </c>
      <c r="G228" s="15">
        <v>-1</v>
      </c>
      <c r="H228" s="15">
        <v>2013</v>
      </c>
      <c r="I228" s="15">
        <v>0</v>
      </c>
      <c r="J228" s="15">
        <v>0</v>
      </c>
      <c r="K228" s="16" t="e">
        <f>IF(#REF!="","",#REF!*$I228)</f>
        <v>#REF!</v>
      </c>
      <c r="L228" s="17" t="str">
        <f>IF(ISBLANK(Deal_Master_Wide!$BR$35),"",Deal_Master_Wide!$BR$35)</f>
        <v/>
      </c>
      <c r="M228" s="17" t="str">
        <f>IF(ISBLANK(Deal_Master_Wide!$BY$35),"",Deal_Master_Wide!$BY$35)</f>
        <v/>
      </c>
      <c r="N228" s="17" t="str">
        <f>IF(ISBLANK(Deal_Master_Wide!$CF$35),"",Deal_Master_Wide!$CF$35)</f>
        <v/>
      </c>
      <c r="O228" s="17" t="str">
        <f>IF(ISBLANK(Deal_Master_Wide!$CM$35),"",Deal_Master_Wide!$CM$35)</f>
        <v/>
      </c>
      <c r="P228" s="17" t="str">
        <f>IF(ISBLANK(Deal_Master_Wide!$CT$35),"",Deal_Master_Wide!$CT$35)</f>
        <v/>
      </c>
      <c r="Q228" s="17" t="str">
        <f>IF(ISBLANK(Deal_Master_Wide!$DA$35),"",Deal_Master_Wide!$DA$35)</f>
        <v/>
      </c>
      <c r="R228" s="18" t="str">
        <f>IF(ISBLANK(Deal_Master_Wide!$DH$35),"",Deal_Master_Wide!$DH$35)</f>
        <v/>
      </c>
      <c r="S228" s="18" t="str">
        <f>IF(ISBLANK(Deal_Master_Wide!$DO$35),"",Deal_Master_Wide!$DO$35)</f>
        <v/>
      </c>
      <c r="T228" s="18" t="str">
        <f>IF(ISBLANK(Deal_Master_Wide!$DV$35),"",Deal_Master_Wide!$DV$35)</f>
        <v/>
      </c>
      <c r="U228" s="17" t="str">
        <f>IF(ISBLANK(Deal_Master_Wide!$EC$35),"",Deal_Master_Wide!$EC$35)</f>
        <v/>
      </c>
      <c r="V228" s="17" t="str">
        <f>IF(ISBLANK(Deal_Master_Wide!$EJ$35),"",Deal_Master_Wide!$EJ$35)</f>
        <v/>
      </c>
      <c r="W228" s="17" t="str">
        <f>IF(ISBLANK(Deal_Master_Wide!$AF$35),"",Deal_Master_Wide!$AF$35)</f>
        <v/>
      </c>
    </row>
    <row r="229" spans="1:23" ht="13.4" customHeight="1">
      <c r="A229" s="15" t="s">
        <v>544</v>
      </c>
      <c r="B229" s="15" t="s">
        <v>177</v>
      </c>
      <c r="C229" s="15">
        <v>1</v>
      </c>
      <c r="D229" s="15" t="s">
        <v>548</v>
      </c>
      <c r="E229" s="15" t="s">
        <v>550</v>
      </c>
      <c r="F229" s="15">
        <v>2014</v>
      </c>
      <c r="G229" s="15">
        <v>0</v>
      </c>
      <c r="H229" s="15">
        <v>2014</v>
      </c>
      <c r="I229" s="15">
        <v>0</v>
      </c>
      <c r="J229" s="15">
        <v>1</v>
      </c>
      <c r="K229" s="16" t="e">
        <f>IF(#REF!="","",#REF!*$I229)</f>
        <v>#REF!</v>
      </c>
      <c r="L229" s="17" t="str">
        <f>IF(ISBLANK(Deal_Master_Wide!$BS$35),"",Deal_Master_Wide!$BS$35)</f>
        <v/>
      </c>
      <c r="M229" s="17" t="str">
        <f>IF(ISBLANK(Deal_Master_Wide!$BZ$35),"",Deal_Master_Wide!$BZ$35)</f>
        <v/>
      </c>
      <c r="N229" s="17" t="str">
        <f>IF(ISBLANK(Deal_Master_Wide!$CG$35),"",Deal_Master_Wide!$CG$35)</f>
        <v/>
      </c>
      <c r="O229" s="17" t="str">
        <f>IF(ISBLANK(Deal_Master_Wide!$CN$35),"",Deal_Master_Wide!$CN$35)</f>
        <v/>
      </c>
      <c r="P229" s="17" t="str">
        <f>IF(ISBLANK(Deal_Master_Wide!$CU$35),"",Deal_Master_Wide!$CU$35)</f>
        <v/>
      </c>
      <c r="Q229" s="17" t="str">
        <f>IF(ISBLANK(Deal_Master_Wide!$DB$35),"",Deal_Master_Wide!$DB$35)</f>
        <v/>
      </c>
      <c r="R229" s="18" t="str">
        <f>IF(ISBLANK(Deal_Master_Wide!$DI$35),"",Deal_Master_Wide!$DI$35)</f>
        <v/>
      </c>
      <c r="S229" s="18" t="str">
        <f>IF(ISBLANK(Deal_Master_Wide!$DP$35),"",Deal_Master_Wide!$DP$35)</f>
        <v/>
      </c>
      <c r="T229" s="18" t="str">
        <f>IF(ISBLANK(Deal_Master_Wide!$DW$35),"",Deal_Master_Wide!$DW$35)</f>
        <v/>
      </c>
      <c r="U229" s="17" t="str">
        <f>IF(ISBLANK(Deal_Master_Wide!$ED$35),"",Deal_Master_Wide!$ED$35)</f>
        <v/>
      </c>
      <c r="V229" s="17" t="str">
        <f>IF(ISBLANK(Deal_Master_Wide!$EK$35),"",Deal_Master_Wide!$EK$35)</f>
        <v/>
      </c>
      <c r="W229" s="17" t="str">
        <f>IF(ISBLANK(Deal_Master_Wide!$AF$35),"",Deal_Master_Wide!$AF$35)</f>
        <v/>
      </c>
    </row>
    <row r="230" spans="1:23" ht="13.4" customHeight="1">
      <c r="A230" s="15" t="s">
        <v>544</v>
      </c>
      <c r="B230" s="15" t="s">
        <v>177</v>
      </c>
      <c r="C230" s="15">
        <v>1</v>
      </c>
      <c r="D230" s="15" t="s">
        <v>548</v>
      </c>
      <c r="E230" s="15" t="s">
        <v>550</v>
      </c>
      <c r="F230" s="15">
        <v>2014</v>
      </c>
      <c r="G230" s="15">
        <v>1</v>
      </c>
      <c r="H230" s="15">
        <v>2015</v>
      </c>
      <c r="I230" s="15">
        <v>1</v>
      </c>
      <c r="J230" s="15">
        <v>1</v>
      </c>
      <c r="K230" s="16" t="e">
        <f>IF(#REF!="","",#REF!*$I230)</f>
        <v>#REF!</v>
      </c>
      <c r="L230" s="17" t="str">
        <f>IF(ISBLANK(Deal_Master_Wide!$BT$35),"",Deal_Master_Wide!$BT$35)</f>
        <v/>
      </c>
      <c r="M230" s="17" t="str">
        <f>IF(ISBLANK(Deal_Master_Wide!$CA$35),"",Deal_Master_Wide!$CA$35)</f>
        <v/>
      </c>
      <c r="N230" s="17" t="str">
        <f>IF(ISBLANK(Deal_Master_Wide!$CH$35),"",Deal_Master_Wide!$CH$35)</f>
        <v/>
      </c>
      <c r="O230" s="17" t="str">
        <f>IF(ISBLANK(Deal_Master_Wide!$CO$35),"",Deal_Master_Wide!$CO$35)</f>
        <v/>
      </c>
      <c r="P230" s="17" t="str">
        <f>IF(ISBLANK(Deal_Master_Wide!$CV$35),"",Deal_Master_Wide!$CV$35)</f>
        <v/>
      </c>
      <c r="Q230" s="17" t="str">
        <f>IF(ISBLANK(Deal_Master_Wide!$DC$35),"",Deal_Master_Wide!$DC$35)</f>
        <v/>
      </c>
      <c r="R230" s="18" t="str">
        <f>IF(ISBLANK(Deal_Master_Wide!$DJ$35),"",Deal_Master_Wide!$DJ$35)</f>
        <v/>
      </c>
      <c r="S230" s="18" t="str">
        <f>IF(ISBLANK(Deal_Master_Wide!$DQ$35),"",Deal_Master_Wide!$DQ$35)</f>
        <v/>
      </c>
      <c r="T230" s="18" t="str">
        <f>IF(ISBLANK(Deal_Master_Wide!$DX$35),"",Deal_Master_Wide!$DX$35)</f>
        <v/>
      </c>
      <c r="U230" s="17" t="str">
        <f>IF(ISBLANK(Deal_Master_Wide!$EE$35),"",Deal_Master_Wide!$EE$35)</f>
        <v/>
      </c>
      <c r="V230" s="17" t="str">
        <f>IF(ISBLANK(Deal_Master_Wide!$EL$35),"",Deal_Master_Wide!$EL$35)</f>
        <v/>
      </c>
      <c r="W230" s="17" t="str">
        <f>IF(ISBLANK(Deal_Master_Wide!$AF$35),"",Deal_Master_Wide!$AF$35)</f>
        <v/>
      </c>
    </row>
    <row r="231" spans="1:23" ht="13.4" customHeight="1">
      <c r="A231" s="15" t="s">
        <v>544</v>
      </c>
      <c r="B231" s="15" t="s">
        <v>177</v>
      </c>
      <c r="C231" s="15">
        <v>1</v>
      </c>
      <c r="D231" s="15" t="s">
        <v>548</v>
      </c>
      <c r="E231" s="15" t="s">
        <v>550</v>
      </c>
      <c r="F231" s="15">
        <v>2014</v>
      </c>
      <c r="G231" s="15">
        <v>2</v>
      </c>
      <c r="H231" s="15">
        <v>2016</v>
      </c>
      <c r="I231" s="15">
        <v>1</v>
      </c>
      <c r="J231" s="15">
        <v>1</v>
      </c>
      <c r="K231" s="16" t="e">
        <f>IF(#REF!="","",#REF!*$I231)</f>
        <v>#REF!</v>
      </c>
      <c r="L231" s="17" t="str">
        <f>IF(ISBLANK(Deal_Master_Wide!$BU$35),"",Deal_Master_Wide!$BU$35)</f>
        <v/>
      </c>
      <c r="M231" s="17" t="str">
        <f>IF(ISBLANK(Deal_Master_Wide!$CB$35),"",Deal_Master_Wide!$CB$35)</f>
        <v/>
      </c>
      <c r="N231" s="17" t="str">
        <f>IF(ISBLANK(Deal_Master_Wide!$CI$35),"",Deal_Master_Wide!$CI$35)</f>
        <v/>
      </c>
      <c r="O231" s="17" t="str">
        <f>IF(ISBLANK(Deal_Master_Wide!$CP$35),"",Deal_Master_Wide!$CP$35)</f>
        <v/>
      </c>
      <c r="P231" s="17" t="str">
        <f>IF(ISBLANK(Deal_Master_Wide!$CW$35),"",Deal_Master_Wide!$CW$35)</f>
        <v/>
      </c>
      <c r="Q231" s="17" t="str">
        <f>IF(ISBLANK(Deal_Master_Wide!$DD$35),"",Deal_Master_Wide!$DD$35)</f>
        <v/>
      </c>
      <c r="R231" s="18" t="str">
        <f>IF(ISBLANK(Deal_Master_Wide!$DK$35),"",Deal_Master_Wide!$DK$35)</f>
        <v/>
      </c>
      <c r="S231" s="18" t="str">
        <f>IF(ISBLANK(Deal_Master_Wide!$DR$35),"",Deal_Master_Wide!$DR$35)</f>
        <v/>
      </c>
      <c r="T231" s="18" t="str">
        <f>IF(ISBLANK(Deal_Master_Wide!$DY$35),"",Deal_Master_Wide!$DY$35)</f>
        <v/>
      </c>
      <c r="U231" s="17" t="str">
        <f>IF(ISBLANK(Deal_Master_Wide!$EF$35),"",Deal_Master_Wide!$EF$35)</f>
        <v/>
      </c>
      <c r="V231" s="17" t="str">
        <f>IF(ISBLANK(Deal_Master_Wide!$EM$35),"",Deal_Master_Wide!$EM$35)</f>
        <v/>
      </c>
      <c r="W231" s="17" t="str">
        <f>IF(ISBLANK(Deal_Master_Wide!$AF$35),"",Deal_Master_Wide!$AF$35)</f>
        <v/>
      </c>
    </row>
    <row r="232" spans="1:23" ht="13.4" customHeight="1">
      <c r="A232" s="15" t="s">
        <v>544</v>
      </c>
      <c r="B232" s="15" t="s">
        <v>177</v>
      </c>
      <c r="C232" s="15">
        <v>1</v>
      </c>
      <c r="D232" s="15" t="s">
        <v>548</v>
      </c>
      <c r="E232" s="15" t="s">
        <v>550</v>
      </c>
      <c r="F232" s="15">
        <v>2014</v>
      </c>
      <c r="G232" s="15">
        <v>3</v>
      </c>
      <c r="H232" s="15">
        <v>2017</v>
      </c>
      <c r="I232" s="15">
        <v>1</v>
      </c>
      <c r="J232" s="15">
        <v>1</v>
      </c>
      <c r="K232" s="16" t="e">
        <f>IF(#REF!="","",#REF!*$I232)</f>
        <v>#REF!</v>
      </c>
      <c r="L232" s="17" t="str">
        <f>IF(ISBLANK(Deal_Master_Wide!$BV$35),"",Deal_Master_Wide!$BV$35)</f>
        <v/>
      </c>
      <c r="M232" s="17" t="str">
        <f>IF(ISBLANK(Deal_Master_Wide!$CC$35),"",Deal_Master_Wide!$CC$35)</f>
        <v/>
      </c>
      <c r="N232" s="17" t="str">
        <f>IF(ISBLANK(Deal_Master_Wide!$CJ$35),"",Deal_Master_Wide!$CJ$35)</f>
        <v/>
      </c>
      <c r="O232" s="17" t="str">
        <f>IF(ISBLANK(Deal_Master_Wide!$CQ$35),"",Deal_Master_Wide!$CQ$35)</f>
        <v/>
      </c>
      <c r="P232" s="17" t="str">
        <f>IF(ISBLANK(Deal_Master_Wide!$CX$35),"",Deal_Master_Wide!$CX$35)</f>
        <v/>
      </c>
      <c r="Q232" s="17" t="str">
        <f>IF(ISBLANK(Deal_Master_Wide!$DE$35),"",Deal_Master_Wide!$DE$35)</f>
        <v/>
      </c>
      <c r="R232" s="18" t="str">
        <f>IF(ISBLANK(Deal_Master_Wide!$DL$35),"",Deal_Master_Wide!$DL$35)</f>
        <v/>
      </c>
      <c r="S232" s="18" t="str">
        <f>IF(ISBLANK(Deal_Master_Wide!$DS$35),"",Deal_Master_Wide!$DS$35)</f>
        <v/>
      </c>
      <c r="T232" s="18" t="str">
        <f>IF(ISBLANK(Deal_Master_Wide!$DZ$35),"",Deal_Master_Wide!$DZ$35)</f>
        <v/>
      </c>
      <c r="U232" s="17" t="str">
        <f>IF(ISBLANK(Deal_Master_Wide!$EG$35),"",Deal_Master_Wide!$EG$35)</f>
        <v/>
      </c>
      <c r="V232" s="17" t="str">
        <f>IF(ISBLANK(Deal_Master_Wide!$EN$35),"",Deal_Master_Wide!$EN$35)</f>
        <v/>
      </c>
      <c r="W232" s="17" t="str">
        <f>IF(ISBLANK(Deal_Master_Wide!$AF$35),"",Deal_Master_Wide!$AF$35)</f>
        <v/>
      </c>
    </row>
    <row r="233" spans="1:23" ht="13.4" customHeight="1">
      <c r="A233" s="15" t="s">
        <v>554</v>
      </c>
      <c r="B233" s="15" t="s">
        <v>177</v>
      </c>
      <c r="C233" s="15">
        <v>1</v>
      </c>
      <c r="D233" s="15" t="s">
        <v>559</v>
      </c>
      <c r="E233" s="15" t="s">
        <v>561</v>
      </c>
      <c r="F233" s="15">
        <v>2014</v>
      </c>
      <c r="G233" s="15">
        <v>-3</v>
      </c>
      <c r="H233" s="15">
        <v>2011</v>
      </c>
      <c r="I233" s="15">
        <v>0</v>
      </c>
      <c r="J233" s="15">
        <v>0</v>
      </c>
      <c r="K233" s="16" t="e">
        <f>IF(#REF!="","",#REF!*$I233)</f>
        <v>#REF!</v>
      </c>
      <c r="L233" s="17">
        <f>IF(ISBLANK(Deal_Master_Wide!$BP$36),"",Deal_Master_Wide!$BP$36)</f>
        <v>0</v>
      </c>
      <c r="M233" s="17">
        <f>IF(ISBLANK(Deal_Master_Wide!$BW$36),"",Deal_Master_Wide!$BW$36)</f>
        <v>-13.183999999999999</v>
      </c>
      <c r="N233" s="17">
        <f>IF(ISBLANK(Deal_Master_Wide!$CD$36),"",Deal_Master_Wide!$CD$36)</f>
        <v>-16.635000000000002</v>
      </c>
      <c r="O233" s="17">
        <f>IF(ISBLANK(Deal_Master_Wide!$CK$36),"",Deal_Master_Wide!$CK$36)</f>
        <v>95.828999999999994</v>
      </c>
      <c r="P233" s="17">
        <f>IF(ISBLANK(Deal_Master_Wide!$CR$36),"",Deal_Master_Wide!$CR$36)</f>
        <v>8.2000000000000003E-2</v>
      </c>
      <c r="Q233" s="17">
        <f>IF(ISBLANK(Deal_Master_Wide!$CY$36),"",Deal_Master_Wide!$CY$36)</f>
        <v>8.9979999999999993</v>
      </c>
      <c r="R233" s="18">
        <f>IF(ISBLANK(Deal_Master_Wide!$DF$36),"",Deal_Master_Wide!$DF$36)</f>
        <v>-15.9369</v>
      </c>
      <c r="S233" s="18" t="str">
        <f>IF(ISBLANK(Deal_Master_Wide!$DM$36),"",Deal_Master_Wide!$DM$36)</f>
        <v/>
      </c>
      <c r="T233" s="18">
        <f>IF(ISBLANK(Deal_Master_Wide!$DT$36),"",Deal_Master_Wide!$DT$36)</f>
        <v>8.5599999999999996E-2</v>
      </c>
      <c r="U233" s="17">
        <f>IF(ISBLANK(Deal_Master_Wide!$EA$36),"",Deal_Master_Wide!$EA$36)</f>
        <v>2</v>
      </c>
      <c r="V233" s="17">
        <f>IF(ISBLANK(Deal_Master_Wide!$EH$36),"",Deal_Master_Wide!$EH$36)</f>
        <v>8</v>
      </c>
      <c r="W233" s="17">
        <f>IF(ISBLANK(Deal_Master_Wide!$AF$36),"",Deal_Master_Wide!$AF$36)</f>
        <v>6</v>
      </c>
    </row>
    <row r="234" spans="1:23" ht="13.4" customHeight="1">
      <c r="A234" s="15" t="s">
        <v>554</v>
      </c>
      <c r="B234" s="15" t="s">
        <v>177</v>
      </c>
      <c r="C234" s="15">
        <v>1</v>
      </c>
      <c r="D234" s="15" t="s">
        <v>559</v>
      </c>
      <c r="E234" s="15" t="s">
        <v>561</v>
      </c>
      <c r="F234" s="15">
        <v>2014</v>
      </c>
      <c r="G234" s="15">
        <v>-2</v>
      </c>
      <c r="H234" s="15">
        <v>2012</v>
      </c>
      <c r="I234" s="15">
        <v>0</v>
      </c>
      <c r="J234" s="15">
        <v>0</v>
      </c>
      <c r="K234" s="16" t="e">
        <f>IF(#REF!="","",#REF!*$I234)</f>
        <v>#REF!</v>
      </c>
      <c r="L234" s="17">
        <f>IF(ISBLANK(Deal_Master_Wide!$BQ$36),"",Deal_Master_Wide!$BQ$36)</f>
        <v>7.6139999999999999</v>
      </c>
      <c r="M234" s="17">
        <f>IF(ISBLANK(Deal_Master_Wide!$BX$36),"",Deal_Master_Wide!$BX$36)</f>
        <v>-6.6189999999999998</v>
      </c>
      <c r="N234" s="17">
        <f>IF(ISBLANK(Deal_Master_Wide!$CE$36),"",Deal_Master_Wide!$CE$36)</f>
        <v>-10.247</v>
      </c>
      <c r="O234" s="17">
        <f>IF(ISBLANK(Deal_Master_Wide!$CL$36),"",Deal_Master_Wide!$CL$36)</f>
        <v>84.147000000000006</v>
      </c>
      <c r="P234" s="17">
        <f>IF(ISBLANK(Deal_Master_Wide!$CS$36),"",Deal_Master_Wide!$CS$36)</f>
        <v>0.157</v>
      </c>
      <c r="Q234" s="17">
        <f>IF(ISBLANK(Deal_Master_Wide!$CZ$36),"",Deal_Master_Wide!$CZ$36)</f>
        <v>6.4710000000000001</v>
      </c>
      <c r="R234" s="18">
        <f>IF(ISBLANK(Deal_Master_Wide!$DG$36),"",Deal_Master_Wide!$DG$36)</f>
        <v>-11.3871</v>
      </c>
      <c r="S234" s="18">
        <f>IF(ISBLANK(Deal_Master_Wide!$DN$36),"",Deal_Master_Wide!$DN$36)</f>
        <v>-114.8805</v>
      </c>
      <c r="T234" s="18">
        <f>IF(ISBLANK(Deal_Master_Wide!$DU$36),"",Deal_Master_Wide!$DU$36)</f>
        <v>0.18659999999999999</v>
      </c>
      <c r="U234" s="17">
        <f>IF(ISBLANK(Deal_Master_Wide!$EB$36),"",Deal_Master_Wide!$EB$36)</f>
        <v>3</v>
      </c>
      <c r="V234" s="17">
        <f>IF(ISBLANK(Deal_Master_Wide!$EI$36),"",Deal_Master_Wide!$EI$36)</f>
        <v>7</v>
      </c>
      <c r="W234" s="17">
        <f>IF(ISBLANK(Deal_Master_Wide!$AF$36),"",Deal_Master_Wide!$AF$36)</f>
        <v>6</v>
      </c>
    </row>
    <row r="235" spans="1:23" ht="13.4" customHeight="1">
      <c r="A235" s="15" t="s">
        <v>554</v>
      </c>
      <c r="B235" s="15" t="s">
        <v>177</v>
      </c>
      <c r="C235" s="15">
        <v>1</v>
      </c>
      <c r="D235" s="15" t="s">
        <v>559</v>
      </c>
      <c r="E235" s="15" t="s">
        <v>561</v>
      </c>
      <c r="F235" s="15">
        <v>2014</v>
      </c>
      <c r="G235" s="15">
        <v>-1</v>
      </c>
      <c r="H235" s="15">
        <v>2013</v>
      </c>
      <c r="I235" s="15">
        <v>0</v>
      </c>
      <c r="J235" s="15">
        <v>0</v>
      </c>
      <c r="K235" s="16" t="e">
        <f>IF(#REF!="","",#REF!*$I235)</f>
        <v>#REF!</v>
      </c>
      <c r="L235" s="17">
        <f>IF(ISBLANK(Deal_Master_Wide!$BR$36),"",Deal_Master_Wide!$BR$36)</f>
        <v>0.436</v>
      </c>
      <c r="M235" s="17">
        <f>IF(ISBLANK(Deal_Master_Wide!$BY$36),"",Deal_Master_Wide!$BY$36)</f>
        <v>-14.224</v>
      </c>
      <c r="N235" s="17">
        <f>IF(ISBLANK(Deal_Master_Wide!$CF$36),"",Deal_Master_Wide!$CF$36)</f>
        <v>-18.145</v>
      </c>
      <c r="O235" s="17">
        <f>IF(ISBLANK(Deal_Master_Wide!$CM$36),"",Deal_Master_Wide!$CM$36)</f>
        <v>72.177999999999997</v>
      </c>
      <c r="P235" s="17">
        <f>IF(ISBLANK(Deal_Master_Wide!$CT$36),"",Deal_Master_Wide!$CT$36)</f>
        <v>0.152</v>
      </c>
      <c r="Q235" s="17">
        <f>IF(ISBLANK(Deal_Master_Wide!$DA$36),"",Deal_Master_Wide!$DA$36)</f>
        <v>3.6850000000000001</v>
      </c>
      <c r="R235" s="18">
        <f>IF(ISBLANK(Deal_Master_Wide!$DH$36),"",Deal_Master_Wide!$DH$36)</f>
        <v>-23.214500000000001</v>
      </c>
      <c r="S235" s="18">
        <f>IF(ISBLANK(Deal_Master_Wide!$DO$36),"",Deal_Master_Wide!$DO$36)</f>
        <v>-2537.8440000000001</v>
      </c>
      <c r="T235" s="18">
        <f>IF(ISBLANK(Deal_Master_Wide!$DV$36),"",Deal_Master_Wide!$DV$36)</f>
        <v>0.21060000000000001</v>
      </c>
      <c r="U235" s="17">
        <f>IF(ISBLANK(Deal_Master_Wide!$EC$36),"",Deal_Master_Wide!$EC$36)</f>
        <v>4</v>
      </c>
      <c r="V235" s="17">
        <f>IF(ISBLANK(Deal_Master_Wide!$EJ$36),"",Deal_Master_Wide!$EJ$36)</f>
        <v>1</v>
      </c>
      <c r="W235" s="17">
        <f>IF(ISBLANK(Deal_Master_Wide!$AF$36),"",Deal_Master_Wide!$AF$36)</f>
        <v>6</v>
      </c>
    </row>
    <row r="236" spans="1:23" ht="13.4" customHeight="1">
      <c r="A236" s="15" t="s">
        <v>554</v>
      </c>
      <c r="B236" s="15" t="s">
        <v>177</v>
      </c>
      <c r="C236" s="15">
        <v>1</v>
      </c>
      <c r="D236" s="15" t="s">
        <v>559</v>
      </c>
      <c r="E236" s="15" t="s">
        <v>561</v>
      </c>
      <c r="F236" s="15">
        <v>2014</v>
      </c>
      <c r="G236" s="15">
        <v>0</v>
      </c>
      <c r="H236" s="15">
        <v>2014</v>
      </c>
      <c r="I236" s="15">
        <v>0</v>
      </c>
      <c r="J236" s="15">
        <v>1</v>
      </c>
      <c r="K236" s="16" t="e">
        <f>IF(#REF!="","",#REF!*$I236)</f>
        <v>#REF!</v>
      </c>
      <c r="L236" s="17">
        <f>IF(ISBLANK(Deal_Master_Wide!$BS$36),"",Deal_Master_Wide!$BS$36)</f>
        <v>5.9820000000000002</v>
      </c>
      <c r="M236" s="17">
        <f>IF(ISBLANK(Deal_Master_Wide!$BZ$36),"",Deal_Master_Wide!$BZ$36)</f>
        <v>-20.920999999999999</v>
      </c>
      <c r="N236" s="17">
        <f>IF(ISBLANK(Deal_Master_Wide!$CG$36),"",Deal_Master_Wide!$CG$36)</f>
        <v>-23.158000000000001</v>
      </c>
      <c r="O236" s="17">
        <f>IF(ISBLANK(Deal_Master_Wide!$CN$36),"",Deal_Master_Wide!$CN$36)</f>
        <v>150.041</v>
      </c>
      <c r="P236" s="17">
        <f>IF(ISBLANK(Deal_Master_Wide!$CU$36),"",Deal_Master_Wide!$CU$36)</f>
        <v>16.538</v>
      </c>
      <c r="Q236" s="17">
        <f>IF(ISBLANK(Deal_Master_Wide!$DB$36),"",Deal_Master_Wide!$DB$36)</f>
        <v>4.4320000000000004</v>
      </c>
      <c r="R236" s="18">
        <f>IF(ISBLANK(Deal_Master_Wide!$DI$36),"",Deal_Master_Wide!$DI$36)</f>
        <v>-20.842500000000001</v>
      </c>
      <c r="S236" s="18">
        <f>IF(ISBLANK(Deal_Master_Wide!$DP$36),"",Deal_Master_Wide!$DP$36)</f>
        <v>-360.53160000000003</v>
      </c>
      <c r="T236" s="18">
        <f>IF(ISBLANK(Deal_Master_Wide!$DW$36),"",Deal_Master_Wide!$DW$36)</f>
        <v>11.0223</v>
      </c>
      <c r="U236" s="17">
        <f>IF(ISBLANK(Deal_Master_Wide!$ED$36),"",Deal_Master_Wide!$ED$36)</f>
        <v>3</v>
      </c>
      <c r="V236" s="17">
        <f>IF(ISBLANK(Deal_Master_Wide!$EK$36),"",Deal_Master_Wide!$EK$36)</f>
        <v>0</v>
      </c>
      <c r="W236" s="17">
        <f>IF(ISBLANK(Deal_Master_Wide!$AF$36),"",Deal_Master_Wide!$AF$36)</f>
        <v>6</v>
      </c>
    </row>
    <row r="237" spans="1:23" ht="13.4" customHeight="1">
      <c r="A237" s="15" t="s">
        <v>554</v>
      </c>
      <c r="B237" s="15" t="s">
        <v>177</v>
      </c>
      <c r="C237" s="15">
        <v>1</v>
      </c>
      <c r="D237" s="15" t="s">
        <v>559</v>
      </c>
      <c r="E237" s="15" t="s">
        <v>561</v>
      </c>
      <c r="F237" s="15">
        <v>2014</v>
      </c>
      <c r="G237" s="15">
        <v>1</v>
      </c>
      <c r="H237" s="15">
        <v>2015</v>
      </c>
      <c r="I237" s="15">
        <v>1</v>
      </c>
      <c r="J237" s="15">
        <v>1</v>
      </c>
      <c r="K237" s="16" t="e">
        <f>IF(#REF!="","",#REF!*$I237)</f>
        <v>#REF!</v>
      </c>
      <c r="L237" s="17">
        <f>IF(ISBLANK(Deal_Master_Wide!$BT$36),"",Deal_Master_Wide!$BT$36)</f>
        <v>6.7000000000000004E-2</v>
      </c>
      <c r="M237" s="17">
        <f>IF(ISBLANK(Deal_Master_Wide!$CA$36),"",Deal_Master_Wide!$CA$36)</f>
        <v>-19.638999999999999</v>
      </c>
      <c r="N237" s="17">
        <f>IF(ISBLANK(Deal_Master_Wide!$CH$36),"",Deal_Master_Wide!$CH$36)</f>
        <v>-27.939</v>
      </c>
      <c r="O237" s="17">
        <f>IF(ISBLANK(Deal_Master_Wide!$CO$36),"",Deal_Master_Wide!$CO$36)</f>
        <v>163.34800000000001</v>
      </c>
      <c r="P237" s="17">
        <f>IF(ISBLANK(Deal_Master_Wide!$CV$36),"",Deal_Master_Wide!$CV$36)</f>
        <v>3.9409999999999998</v>
      </c>
      <c r="Q237" s="17">
        <f>IF(ISBLANK(Deal_Master_Wide!$DC$36),"",Deal_Master_Wide!$DC$36)</f>
        <v>6.1589999999999998</v>
      </c>
      <c r="R237" s="18">
        <f>IF(ISBLANK(Deal_Master_Wide!$DJ$36),"",Deal_Master_Wide!$DJ$36)</f>
        <v>-17.830200000000001</v>
      </c>
      <c r="S237" s="18">
        <f>IF(ISBLANK(Deal_Master_Wide!$DQ$36),"",Deal_Master_Wide!$DQ$36)</f>
        <v>-30931.3433</v>
      </c>
      <c r="T237" s="18">
        <f>IF(ISBLANK(Deal_Master_Wide!$DX$36),"",Deal_Master_Wide!$DX$36)</f>
        <v>2.4125999999999999</v>
      </c>
      <c r="U237" s="17">
        <f>IF(ISBLANK(Deal_Master_Wide!$EE$36),"",Deal_Master_Wide!$EE$36)</f>
        <v>2</v>
      </c>
      <c r="V237" s="17">
        <f>IF(ISBLANK(Deal_Master_Wide!$EL$36),"",Deal_Master_Wide!$EL$36)</f>
        <v>0</v>
      </c>
      <c r="W237" s="17">
        <f>IF(ISBLANK(Deal_Master_Wide!$AF$36),"",Deal_Master_Wide!$AF$36)</f>
        <v>6</v>
      </c>
    </row>
    <row r="238" spans="1:23" ht="13.4" customHeight="1">
      <c r="A238" s="15" t="s">
        <v>554</v>
      </c>
      <c r="B238" s="15" t="s">
        <v>177</v>
      </c>
      <c r="C238" s="15">
        <v>1</v>
      </c>
      <c r="D238" s="15" t="s">
        <v>559</v>
      </c>
      <c r="E238" s="15" t="s">
        <v>561</v>
      </c>
      <c r="F238" s="15">
        <v>2014</v>
      </c>
      <c r="G238" s="15">
        <v>2</v>
      </c>
      <c r="H238" s="15">
        <v>2016</v>
      </c>
      <c r="I238" s="15">
        <v>1</v>
      </c>
      <c r="J238" s="15">
        <v>1</v>
      </c>
      <c r="K238" s="16" t="e">
        <f>IF(#REF!="","",#REF!*$I238)</f>
        <v>#REF!</v>
      </c>
      <c r="L238" s="17">
        <f>IF(ISBLANK(Deal_Master_Wide!$BU$36),"",Deal_Master_Wide!$BU$36)</f>
        <v>1.6E-2</v>
      </c>
      <c r="M238" s="17">
        <f>IF(ISBLANK(Deal_Master_Wide!$CB$36),"",Deal_Master_Wide!$CB$36)</f>
        <v>-6.9290000000000003</v>
      </c>
      <c r="N238" s="17">
        <f>IF(ISBLANK(Deal_Master_Wide!$CI$36),"",Deal_Master_Wide!$CI$36)</f>
        <v>-19.035</v>
      </c>
      <c r="O238" s="17">
        <f>IF(ISBLANK(Deal_Master_Wide!$CP$36),"",Deal_Master_Wide!$CP$36)</f>
        <v>148.74799999999999</v>
      </c>
      <c r="P238" s="17">
        <f>IF(ISBLANK(Deal_Master_Wide!$CW$36),"",Deal_Master_Wide!$CW$36)</f>
        <v>0.98499999999999999</v>
      </c>
      <c r="Q238" s="17">
        <f>IF(ISBLANK(Deal_Master_Wide!$DD$36),"",Deal_Master_Wide!$DD$36)</f>
        <v>12.167999999999999</v>
      </c>
      <c r="R238" s="18">
        <f>IF(ISBLANK(Deal_Master_Wide!$DK$36),"",Deal_Master_Wide!$DK$36)</f>
        <v>-12.1982</v>
      </c>
      <c r="S238" s="18">
        <f>IF(ISBLANK(Deal_Master_Wide!$DR$36),"",Deal_Master_Wide!$DR$36)</f>
        <v>-48650</v>
      </c>
      <c r="T238" s="18">
        <f>IF(ISBLANK(Deal_Master_Wide!$DY$36),"",Deal_Master_Wide!$DY$36)</f>
        <v>0.66220000000000001</v>
      </c>
      <c r="U238" s="17">
        <f>IF(ISBLANK(Deal_Master_Wide!$EF$36),"",Deal_Master_Wide!$EF$36)</f>
        <v>1</v>
      </c>
      <c r="V238" s="17">
        <f>IF(ISBLANK(Deal_Master_Wide!$EM$36),"",Deal_Master_Wide!$EM$36)</f>
        <v>0</v>
      </c>
      <c r="W238" s="17">
        <f>IF(ISBLANK(Deal_Master_Wide!$AF$36),"",Deal_Master_Wide!$AF$36)</f>
        <v>6</v>
      </c>
    </row>
    <row r="239" spans="1:23" ht="13.4" customHeight="1">
      <c r="A239" s="15" t="s">
        <v>554</v>
      </c>
      <c r="B239" s="15" t="s">
        <v>177</v>
      </c>
      <c r="C239" s="15">
        <v>1</v>
      </c>
      <c r="D239" s="15" t="s">
        <v>559</v>
      </c>
      <c r="E239" s="15" t="s">
        <v>561</v>
      </c>
      <c r="F239" s="15">
        <v>2014</v>
      </c>
      <c r="G239" s="15">
        <v>3</v>
      </c>
      <c r="H239" s="15">
        <v>2017</v>
      </c>
      <c r="I239" s="15">
        <v>1</v>
      </c>
      <c r="J239" s="15">
        <v>1</v>
      </c>
      <c r="K239" s="16" t="e">
        <f>IF(#REF!="","",#REF!*$I239)</f>
        <v>#REF!</v>
      </c>
      <c r="L239" s="17">
        <f>IF(ISBLANK(Deal_Master_Wide!$BV$36),"",Deal_Master_Wide!$BV$36)</f>
        <v>15.08</v>
      </c>
      <c r="M239" s="17">
        <f>IF(ISBLANK(Deal_Master_Wide!$CC$36),"",Deal_Master_Wide!$CC$36)</f>
        <v>-17.533999999999999</v>
      </c>
      <c r="N239" s="17">
        <f>IF(ISBLANK(Deal_Master_Wide!$CJ$36),"",Deal_Master_Wide!$CJ$36)</f>
        <v>-3.6179999999999999</v>
      </c>
      <c r="O239" s="17">
        <f>IF(ISBLANK(Deal_Master_Wide!$CQ$36),"",Deal_Master_Wide!$CQ$36)</f>
        <v>152.25200000000001</v>
      </c>
      <c r="P239" s="17">
        <f>IF(ISBLANK(Deal_Master_Wide!$CX$36),"",Deal_Master_Wide!$CX$36)</f>
        <v>0.05</v>
      </c>
      <c r="Q239" s="17">
        <f>IF(ISBLANK(Deal_Master_Wide!$DE$36),"",Deal_Master_Wide!$DE$36)</f>
        <v>9.75</v>
      </c>
      <c r="R239" s="18">
        <f>IF(ISBLANK(Deal_Master_Wide!$DL$36),"",Deal_Master_Wide!$DL$36)</f>
        <v>-2.4039999999999999</v>
      </c>
      <c r="S239" s="18">
        <f>IF(ISBLANK(Deal_Master_Wide!$DS$36),"",Deal_Master_Wide!$DS$36)</f>
        <v>-122.7984</v>
      </c>
      <c r="T239" s="18">
        <f>IF(ISBLANK(Deal_Master_Wide!$DZ$36),"",Deal_Master_Wide!$DZ$36)</f>
        <v>3.2800000000000003E-2</v>
      </c>
      <c r="U239" s="17">
        <f>IF(ISBLANK(Deal_Master_Wide!$EG$36),"",Deal_Master_Wide!$EG$36)</f>
        <v>0</v>
      </c>
      <c r="V239" s="17">
        <f>IF(ISBLANK(Deal_Master_Wide!$EN$36),"",Deal_Master_Wide!$EN$36)</f>
        <v>0</v>
      </c>
      <c r="W239" s="17">
        <f>IF(ISBLANK(Deal_Master_Wide!$AF$36),"",Deal_Master_Wide!$AF$36)</f>
        <v>6</v>
      </c>
    </row>
    <row r="240" spans="1:23" ht="13.4" customHeight="1">
      <c r="A240" s="15" t="s">
        <v>568</v>
      </c>
      <c r="B240" s="15" t="s">
        <v>177</v>
      </c>
      <c r="C240" s="15">
        <v>1</v>
      </c>
      <c r="D240" s="15" t="s">
        <v>573</v>
      </c>
      <c r="E240" s="15" t="s">
        <v>575</v>
      </c>
      <c r="F240" s="15">
        <v>2014</v>
      </c>
      <c r="G240" s="15">
        <v>-3</v>
      </c>
      <c r="H240" s="15">
        <v>2011</v>
      </c>
      <c r="I240" s="15">
        <v>0</v>
      </c>
      <c r="J240" s="15">
        <v>0</v>
      </c>
      <c r="K240" s="16" t="e">
        <f>IF(#REF!="","",#REF!*$I240)</f>
        <v>#REF!</v>
      </c>
      <c r="L240" s="17" t="str">
        <f>IF(ISBLANK(Deal_Master_Wide!$BP$37),"",Deal_Master_Wide!$BP$37)</f>
        <v/>
      </c>
      <c r="M240" s="17" t="str">
        <f>IF(ISBLANK(Deal_Master_Wide!$BW$37),"",Deal_Master_Wide!$BW$37)</f>
        <v/>
      </c>
      <c r="N240" s="17" t="str">
        <f>IF(ISBLANK(Deal_Master_Wide!$CD$37),"",Deal_Master_Wide!$CD$37)</f>
        <v/>
      </c>
      <c r="O240" s="17" t="str">
        <f>IF(ISBLANK(Deal_Master_Wide!$CK$37),"",Deal_Master_Wide!$CK$37)</f>
        <v/>
      </c>
      <c r="P240" s="17" t="str">
        <f>IF(ISBLANK(Deal_Master_Wide!$CR$37),"",Deal_Master_Wide!$CR$37)</f>
        <v/>
      </c>
      <c r="Q240" s="17" t="str">
        <f>IF(ISBLANK(Deal_Master_Wide!$CY$37),"",Deal_Master_Wide!$CY$37)</f>
        <v/>
      </c>
      <c r="R240" s="18" t="str">
        <f>IF(ISBLANK(Deal_Master_Wide!$DF$37),"",Deal_Master_Wide!$DF$37)</f>
        <v/>
      </c>
      <c r="S240" s="18" t="str">
        <f>IF(ISBLANK(Deal_Master_Wide!$DM$37),"",Deal_Master_Wide!$DM$37)</f>
        <v/>
      </c>
      <c r="T240" s="18" t="str">
        <f>IF(ISBLANK(Deal_Master_Wide!$DT$37),"",Deal_Master_Wide!$DT$37)</f>
        <v/>
      </c>
      <c r="U240" s="17" t="str">
        <f>IF(ISBLANK(Deal_Master_Wide!$EA$37),"",Deal_Master_Wide!$EA$37)</f>
        <v/>
      </c>
      <c r="V240" s="17" t="str">
        <f>IF(ISBLANK(Deal_Master_Wide!$EH$37),"",Deal_Master_Wide!$EH$37)</f>
        <v/>
      </c>
      <c r="W240" s="17" t="str">
        <f>IF(ISBLANK(Deal_Master_Wide!$AF$37),"",Deal_Master_Wide!$AF$37)</f>
        <v/>
      </c>
    </row>
    <row r="241" spans="1:23" ht="13.4" customHeight="1">
      <c r="A241" s="15" t="s">
        <v>568</v>
      </c>
      <c r="B241" s="15" t="s">
        <v>177</v>
      </c>
      <c r="C241" s="15">
        <v>1</v>
      </c>
      <c r="D241" s="15" t="s">
        <v>573</v>
      </c>
      <c r="E241" s="15" t="s">
        <v>575</v>
      </c>
      <c r="F241" s="15">
        <v>2014</v>
      </c>
      <c r="G241" s="15">
        <v>-2</v>
      </c>
      <c r="H241" s="15">
        <v>2012</v>
      </c>
      <c r="I241" s="15">
        <v>0</v>
      </c>
      <c r="J241" s="15">
        <v>0</v>
      </c>
      <c r="K241" s="16" t="e">
        <f>IF(#REF!="","",#REF!*$I241)</f>
        <v>#REF!</v>
      </c>
      <c r="L241" s="17" t="str">
        <f>IF(ISBLANK(Deal_Master_Wide!$BQ$37),"",Deal_Master_Wide!$BQ$37)</f>
        <v/>
      </c>
      <c r="M241" s="17" t="str">
        <f>IF(ISBLANK(Deal_Master_Wide!$BX$37),"",Deal_Master_Wide!$BX$37)</f>
        <v/>
      </c>
      <c r="N241" s="17" t="str">
        <f>IF(ISBLANK(Deal_Master_Wide!$CE$37),"",Deal_Master_Wide!$CE$37)</f>
        <v/>
      </c>
      <c r="O241" s="17" t="str">
        <f>IF(ISBLANK(Deal_Master_Wide!$CL$37),"",Deal_Master_Wide!$CL$37)</f>
        <v/>
      </c>
      <c r="P241" s="17" t="str">
        <f>IF(ISBLANK(Deal_Master_Wide!$CS$37),"",Deal_Master_Wide!$CS$37)</f>
        <v/>
      </c>
      <c r="Q241" s="17" t="str">
        <f>IF(ISBLANK(Deal_Master_Wide!$CZ$37),"",Deal_Master_Wide!$CZ$37)</f>
        <v/>
      </c>
      <c r="R241" s="18" t="str">
        <f>IF(ISBLANK(Deal_Master_Wide!$DG$37),"",Deal_Master_Wide!$DG$37)</f>
        <v/>
      </c>
      <c r="S241" s="18" t="str">
        <f>IF(ISBLANK(Deal_Master_Wide!$DN$37),"",Deal_Master_Wide!$DN$37)</f>
        <v/>
      </c>
      <c r="T241" s="18" t="str">
        <f>IF(ISBLANK(Deal_Master_Wide!$DU$37),"",Deal_Master_Wide!$DU$37)</f>
        <v/>
      </c>
      <c r="U241" s="17" t="str">
        <f>IF(ISBLANK(Deal_Master_Wide!$EB$37),"",Deal_Master_Wide!$EB$37)</f>
        <v/>
      </c>
      <c r="V241" s="17" t="str">
        <f>IF(ISBLANK(Deal_Master_Wide!$EI$37),"",Deal_Master_Wide!$EI$37)</f>
        <v/>
      </c>
      <c r="W241" s="17" t="str">
        <f>IF(ISBLANK(Deal_Master_Wide!$AF$37),"",Deal_Master_Wide!$AF$37)</f>
        <v/>
      </c>
    </row>
    <row r="242" spans="1:23" ht="13.4" customHeight="1">
      <c r="A242" s="15" t="s">
        <v>568</v>
      </c>
      <c r="B242" s="15" t="s">
        <v>177</v>
      </c>
      <c r="C242" s="15">
        <v>1</v>
      </c>
      <c r="D242" s="15" t="s">
        <v>573</v>
      </c>
      <c r="E242" s="15" t="s">
        <v>575</v>
      </c>
      <c r="F242" s="15">
        <v>2014</v>
      </c>
      <c r="G242" s="15">
        <v>-1</v>
      </c>
      <c r="H242" s="15">
        <v>2013</v>
      </c>
      <c r="I242" s="15">
        <v>0</v>
      </c>
      <c r="J242" s="15">
        <v>0</v>
      </c>
      <c r="K242" s="16" t="e">
        <f>IF(#REF!="","",#REF!*$I242)</f>
        <v>#REF!</v>
      </c>
      <c r="L242" s="17" t="str">
        <f>IF(ISBLANK(Deal_Master_Wide!$BR$37),"",Deal_Master_Wide!$BR$37)</f>
        <v/>
      </c>
      <c r="M242" s="17" t="str">
        <f>IF(ISBLANK(Deal_Master_Wide!$BY$37),"",Deal_Master_Wide!$BY$37)</f>
        <v/>
      </c>
      <c r="N242" s="17" t="str">
        <f>IF(ISBLANK(Deal_Master_Wide!$CF$37),"",Deal_Master_Wide!$CF$37)</f>
        <v/>
      </c>
      <c r="O242" s="17" t="str">
        <f>IF(ISBLANK(Deal_Master_Wide!$CM$37),"",Deal_Master_Wide!$CM$37)</f>
        <v/>
      </c>
      <c r="P242" s="17" t="str">
        <f>IF(ISBLANK(Deal_Master_Wide!$CT$37),"",Deal_Master_Wide!$CT$37)</f>
        <v/>
      </c>
      <c r="Q242" s="17" t="str">
        <f>IF(ISBLANK(Deal_Master_Wide!$DA$37),"",Deal_Master_Wide!$DA$37)</f>
        <v/>
      </c>
      <c r="R242" s="18" t="str">
        <f>IF(ISBLANK(Deal_Master_Wide!$DH$37),"",Deal_Master_Wide!$DH$37)</f>
        <v/>
      </c>
      <c r="S242" s="18" t="str">
        <f>IF(ISBLANK(Deal_Master_Wide!$DO$37),"",Deal_Master_Wide!$DO$37)</f>
        <v/>
      </c>
      <c r="T242" s="18" t="str">
        <f>IF(ISBLANK(Deal_Master_Wide!$DV$37),"",Deal_Master_Wide!$DV$37)</f>
        <v/>
      </c>
      <c r="U242" s="17" t="str">
        <f>IF(ISBLANK(Deal_Master_Wide!$EC$37),"",Deal_Master_Wide!$EC$37)</f>
        <v/>
      </c>
      <c r="V242" s="17" t="str">
        <f>IF(ISBLANK(Deal_Master_Wide!$EJ$37),"",Deal_Master_Wide!$EJ$37)</f>
        <v/>
      </c>
      <c r="W242" s="17" t="str">
        <f>IF(ISBLANK(Deal_Master_Wide!$AF$37),"",Deal_Master_Wide!$AF$37)</f>
        <v/>
      </c>
    </row>
    <row r="243" spans="1:23" ht="13.4" customHeight="1">
      <c r="A243" s="15" t="s">
        <v>568</v>
      </c>
      <c r="B243" s="15" t="s">
        <v>177</v>
      </c>
      <c r="C243" s="15">
        <v>1</v>
      </c>
      <c r="D243" s="15" t="s">
        <v>573</v>
      </c>
      <c r="E243" s="15" t="s">
        <v>575</v>
      </c>
      <c r="F243" s="15">
        <v>2014</v>
      </c>
      <c r="G243" s="15">
        <v>0</v>
      </c>
      <c r="H243" s="15">
        <v>2014</v>
      </c>
      <c r="I243" s="15">
        <v>0</v>
      </c>
      <c r="J243" s="15">
        <v>1</v>
      </c>
      <c r="K243" s="16" t="e">
        <f>IF(#REF!="","",#REF!*$I243)</f>
        <v>#REF!</v>
      </c>
      <c r="L243" s="17" t="str">
        <f>IF(ISBLANK(Deal_Master_Wide!$BS$37),"",Deal_Master_Wide!$BS$37)</f>
        <v/>
      </c>
      <c r="M243" s="17" t="str">
        <f>IF(ISBLANK(Deal_Master_Wide!$BZ$37),"",Deal_Master_Wide!$BZ$37)</f>
        <v/>
      </c>
      <c r="N243" s="17" t="str">
        <f>IF(ISBLANK(Deal_Master_Wide!$CG$37),"",Deal_Master_Wide!$CG$37)</f>
        <v/>
      </c>
      <c r="O243" s="17" t="str">
        <f>IF(ISBLANK(Deal_Master_Wide!$CN$37),"",Deal_Master_Wide!$CN$37)</f>
        <v/>
      </c>
      <c r="P243" s="17" t="str">
        <f>IF(ISBLANK(Deal_Master_Wide!$CU$37),"",Deal_Master_Wide!$CU$37)</f>
        <v/>
      </c>
      <c r="Q243" s="17" t="str">
        <f>IF(ISBLANK(Deal_Master_Wide!$DB$37),"",Deal_Master_Wide!$DB$37)</f>
        <v/>
      </c>
      <c r="R243" s="18" t="str">
        <f>IF(ISBLANK(Deal_Master_Wide!$DI$37),"",Deal_Master_Wide!$DI$37)</f>
        <v/>
      </c>
      <c r="S243" s="18" t="str">
        <f>IF(ISBLANK(Deal_Master_Wide!$DP$37),"",Deal_Master_Wide!$DP$37)</f>
        <v/>
      </c>
      <c r="T243" s="18" t="str">
        <f>IF(ISBLANK(Deal_Master_Wide!$DW$37),"",Deal_Master_Wide!$DW$37)</f>
        <v/>
      </c>
      <c r="U243" s="17" t="str">
        <f>IF(ISBLANK(Deal_Master_Wide!$ED$37),"",Deal_Master_Wide!$ED$37)</f>
        <v/>
      </c>
      <c r="V243" s="17" t="str">
        <f>IF(ISBLANK(Deal_Master_Wide!$EK$37),"",Deal_Master_Wide!$EK$37)</f>
        <v/>
      </c>
      <c r="W243" s="17" t="str">
        <f>IF(ISBLANK(Deal_Master_Wide!$AF$37),"",Deal_Master_Wide!$AF$37)</f>
        <v/>
      </c>
    </row>
    <row r="244" spans="1:23" ht="13.4" customHeight="1">
      <c r="A244" s="15" t="s">
        <v>568</v>
      </c>
      <c r="B244" s="15" t="s">
        <v>177</v>
      </c>
      <c r="C244" s="15">
        <v>1</v>
      </c>
      <c r="D244" s="15" t="s">
        <v>573</v>
      </c>
      <c r="E244" s="15" t="s">
        <v>575</v>
      </c>
      <c r="F244" s="15">
        <v>2014</v>
      </c>
      <c r="G244" s="15">
        <v>1</v>
      </c>
      <c r="H244" s="15">
        <v>2015</v>
      </c>
      <c r="I244" s="15">
        <v>1</v>
      </c>
      <c r="J244" s="15">
        <v>1</v>
      </c>
      <c r="K244" s="16" t="e">
        <f>IF(#REF!="","",#REF!*$I244)</f>
        <v>#REF!</v>
      </c>
      <c r="L244" s="17" t="str">
        <f>IF(ISBLANK(Deal_Master_Wide!$BT$37),"",Deal_Master_Wide!$BT$37)</f>
        <v/>
      </c>
      <c r="M244" s="17" t="str">
        <f>IF(ISBLANK(Deal_Master_Wide!$CA$37),"",Deal_Master_Wide!$CA$37)</f>
        <v/>
      </c>
      <c r="N244" s="17" t="str">
        <f>IF(ISBLANK(Deal_Master_Wide!$CH$37),"",Deal_Master_Wide!$CH$37)</f>
        <v/>
      </c>
      <c r="O244" s="17" t="str">
        <f>IF(ISBLANK(Deal_Master_Wide!$CO$37),"",Deal_Master_Wide!$CO$37)</f>
        <v/>
      </c>
      <c r="P244" s="17" t="str">
        <f>IF(ISBLANK(Deal_Master_Wide!$CV$37),"",Deal_Master_Wide!$CV$37)</f>
        <v/>
      </c>
      <c r="Q244" s="17" t="str">
        <f>IF(ISBLANK(Deal_Master_Wide!$DC$37),"",Deal_Master_Wide!$DC$37)</f>
        <v/>
      </c>
      <c r="R244" s="18" t="str">
        <f>IF(ISBLANK(Deal_Master_Wide!$DJ$37),"",Deal_Master_Wide!$DJ$37)</f>
        <v/>
      </c>
      <c r="S244" s="18" t="str">
        <f>IF(ISBLANK(Deal_Master_Wide!$DQ$37),"",Deal_Master_Wide!$DQ$37)</f>
        <v/>
      </c>
      <c r="T244" s="18" t="str">
        <f>IF(ISBLANK(Deal_Master_Wide!$DX$37),"",Deal_Master_Wide!$DX$37)</f>
        <v/>
      </c>
      <c r="U244" s="17" t="str">
        <f>IF(ISBLANK(Deal_Master_Wide!$EE$37),"",Deal_Master_Wide!$EE$37)</f>
        <v/>
      </c>
      <c r="V244" s="17" t="str">
        <f>IF(ISBLANK(Deal_Master_Wide!$EL$37),"",Deal_Master_Wide!$EL$37)</f>
        <v/>
      </c>
      <c r="W244" s="17" t="str">
        <f>IF(ISBLANK(Deal_Master_Wide!$AF$37),"",Deal_Master_Wide!$AF$37)</f>
        <v/>
      </c>
    </row>
    <row r="245" spans="1:23" ht="13.4" customHeight="1">
      <c r="A245" s="15" t="s">
        <v>568</v>
      </c>
      <c r="B245" s="15" t="s">
        <v>177</v>
      </c>
      <c r="C245" s="15">
        <v>1</v>
      </c>
      <c r="D245" s="15" t="s">
        <v>573</v>
      </c>
      <c r="E245" s="15" t="s">
        <v>575</v>
      </c>
      <c r="F245" s="15">
        <v>2014</v>
      </c>
      <c r="G245" s="15">
        <v>2</v>
      </c>
      <c r="H245" s="15">
        <v>2016</v>
      </c>
      <c r="I245" s="15">
        <v>1</v>
      </c>
      <c r="J245" s="15">
        <v>1</v>
      </c>
      <c r="K245" s="16" t="e">
        <f>IF(#REF!="","",#REF!*$I245)</f>
        <v>#REF!</v>
      </c>
      <c r="L245" s="17" t="str">
        <f>IF(ISBLANK(Deal_Master_Wide!$BU$37),"",Deal_Master_Wide!$BU$37)</f>
        <v/>
      </c>
      <c r="M245" s="17" t="str">
        <f>IF(ISBLANK(Deal_Master_Wide!$CB$37),"",Deal_Master_Wide!$CB$37)</f>
        <v/>
      </c>
      <c r="N245" s="17" t="str">
        <f>IF(ISBLANK(Deal_Master_Wide!$CI$37),"",Deal_Master_Wide!$CI$37)</f>
        <v/>
      </c>
      <c r="O245" s="17" t="str">
        <f>IF(ISBLANK(Deal_Master_Wide!$CP$37),"",Deal_Master_Wide!$CP$37)</f>
        <v/>
      </c>
      <c r="P245" s="17" t="str">
        <f>IF(ISBLANK(Deal_Master_Wide!$CW$37),"",Deal_Master_Wide!$CW$37)</f>
        <v/>
      </c>
      <c r="Q245" s="17" t="str">
        <f>IF(ISBLANK(Deal_Master_Wide!$DD$37),"",Deal_Master_Wide!$DD$37)</f>
        <v/>
      </c>
      <c r="R245" s="18" t="str">
        <f>IF(ISBLANK(Deal_Master_Wide!$DK$37),"",Deal_Master_Wide!$DK$37)</f>
        <v/>
      </c>
      <c r="S245" s="18" t="str">
        <f>IF(ISBLANK(Deal_Master_Wide!$DR$37),"",Deal_Master_Wide!$DR$37)</f>
        <v/>
      </c>
      <c r="T245" s="18" t="str">
        <f>IF(ISBLANK(Deal_Master_Wide!$DY$37),"",Deal_Master_Wide!$DY$37)</f>
        <v/>
      </c>
      <c r="U245" s="17" t="str">
        <f>IF(ISBLANK(Deal_Master_Wide!$EF$37),"",Deal_Master_Wide!$EF$37)</f>
        <v/>
      </c>
      <c r="V245" s="17" t="str">
        <f>IF(ISBLANK(Deal_Master_Wide!$EM$37),"",Deal_Master_Wide!$EM$37)</f>
        <v/>
      </c>
      <c r="W245" s="17" t="str">
        <f>IF(ISBLANK(Deal_Master_Wide!$AF$37),"",Deal_Master_Wide!$AF$37)</f>
        <v/>
      </c>
    </row>
    <row r="246" spans="1:23" ht="13.4" customHeight="1">
      <c r="A246" s="15" t="s">
        <v>568</v>
      </c>
      <c r="B246" s="15" t="s">
        <v>177</v>
      </c>
      <c r="C246" s="15">
        <v>1</v>
      </c>
      <c r="D246" s="15" t="s">
        <v>573</v>
      </c>
      <c r="E246" s="15" t="s">
        <v>575</v>
      </c>
      <c r="F246" s="15">
        <v>2014</v>
      </c>
      <c r="G246" s="15">
        <v>3</v>
      </c>
      <c r="H246" s="15">
        <v>2017</v>
      </c>
      <c r="I246" s="15">
        <v>1</v>
      </c>
      <c r="J246" s="15">
        <v>1</v>
      </c>
      <c r="K246" s="16" t="e">
        <f>IF(#REF!="","",#REF!*$I246)</f>
        <v>#REF!</v>
      </c>
      <c r="L246" s="17" t="str">
        <f>IF(ISBLANK(Deal_Master_Wide!$BV$37),"",Deal_Master_Wide!$BV$37)</f>
        <v/>
      </c>
      <c r="M246" s="17" t="str">
        <f>IF(ISBLANK(Deal_Master_Wide!$CC$37),"",Deal_Master_Wide!$CC$37)</f>
        <v/>
      </c>
      <c r="N246" s="17" t="str">
        <f>IF(ISBLANK(Deal_Master_Wide!$CJ$37),"",Deal_Master_Wide!$CJ$37)</f>
        <v/>
      </c>
      <c r="O246" s="17" t="str">
        <f>IF(ISBLANK(Deal_Master_Wide!$CQ$37),"",Deal_Master_Wide!$CQ$37)</f>
        <v/>
      </c>
      <c r="P246" s="17" t="str">
        <f>IF(ISBLANK(Deal_Master_Wide!$CX$37),"",Deal_Master_Wide!$CX$37)</f>
        <v/>
      </c>
      <c r="Q246" s="17" t="str">
        <f>IF(ISBLANK(Deal_Master_Wide!$DE$37),"",Deal_Master_Wide!$DE$37)</f>
        <v/>
      </c>
      <c r="R246" s="18" t="str">
        <f>IF(ISBLANK(Deal_Master_Wide!$DL$37),"",Deal_Master_Wide!$DL$37)</f>
        <v/>
      </c>
      <c r="S246" s="18" t="str">
        <f>IF(ISBLANK(Deal_Master_Wide!$DS$37),"",Deal_Master_Wide!$DS$37)</f>
        <v/>
      </c>
      <c r="T246" s="18" t="str">
        <f>IF(ISBLANK(Deal_Master_Wide!$DZ$37),"",Deal_Master_Wide!$DZ$37)</f>
        <v/>
      </c>
      <c r="U246" s="17" t="str">
        <f>IF(ISBLANK(Deal_Master_Wide!$EG$37),"",Deal_Master_Wide!$EG$37)</f>
        <v/>
      </c>
      <c r="V246" s="17" t="str">
        <f>IF(ISBLANK(Deal_Master_Wide!$EN$37),"",Deal_Master_Wide!$EN$37)</f>
        <v/>
      </c>
      <c r="W246" s="17" t="str">
        <f>IF(ISBLANK(Deal_Master_Wide!$AF$37),"",Deal_Master_Wide!$AF$37)</f>
        <v/>
      </c>
    </row>
    <row r="247" spans="1:23" ht="13.4" customHeight="1">
      <c r="A247" s="15" t="s">
        <v>579</v>
      </c>
      <c r="B247" s="15" t="s">
        <v>177</v>
      </c>
      <c r="C247" s="15">
        <v>1</v>
      </c>
      <c r="D247" s="15" t="s">
        <v>583</v>
      </c>
      <c r="E247" s="15" t="s">
        <v>585</v>
      </c>
      <c r="F247" s="15">
        <v>2013</v>
      </c>
      <c r="G247" s="15">
        <v>-3</v>
      </c>
      <c r="H247" s="15">
        <v>2010</v>
      </c>
      <c r="I247" s="15">
        <v>0</v>
      </c>
      <c r="J247" s="15">
        <v>0</v>
      </c>
      <c r="K247" s="16" t="e">
        <f>IF(#REF!="","",#REF!*$I247)</f>
        <v>#REF!</v>
      </c>
      <c r="L247" s="17" t="str">
        <f>IF(ISBLANK(Deal_Master_Wide!$BP$38),"",Deal_Master_Wide!$BP$38)</f>
        <v/>
      </c>
      <c r="M247" s="17" t="str">
        <f>IF(ISBLANK(Deal_Master_Wide!$BW$38),"",Deal_Master_Wide!$BW$38)</f>
        <v/>
      </c>
      <c r="N247" s="17" t="str">
        <f>IF(ISBLANK(Deal_Master_Wide!$CD$38),"",Deal_Master_Wide!$CD$38)</f>
        <v/>
      </c>
      <c r="O247" s="17" t="str">
        <f>IF(ISBLANK(Deal_Master_Wide!$CK$38),"",Deal_Master_Wide!$CK$38)</f>
        <v/>
      </c>
      <c r="P247" s="17" t="str">
        <f>IF(ISBLANK(Deal_Master_Wide!$CR$38),"",Deal_Master_Wide!$CR$38)</f>
        <v/>
      </c>
      <c r="Q247" s="17" t="str">
        <f>IF(ISBLANK(Deal_Master_Wide!$CY$38),"",Deal_Master_Wide!$CY$38)</f>
        <v/>
      </c>
      <c r="R247" s="18" t="str">
        <f>IF(ISBLANK(Deal_Master_Wide!$DF$38),"",Deal_Master_Wide!$DF$38)</f>
        <v/>
      </c>
      <c r="S247" s="18" t="str">
        <f>IF(ISBLANK(Deal_Master_Wide!$DM$38),"",Deal_Master_Wide!$DM$38)</f>
        <v/>
      </c>
      <c r="T247" s="18" t="str">
        <f>IF(ISBLANK(Deal_Master_Wide!$DT$38),"",Deal_Master_Wide!$DT$38)</f>
        <v/>
      </c>
      <c r="U247" s="17" t="str">
        <f>IF(ISBLANK(Deal_Master_Wide!$EA$38),"",Deal_Master_Wide!$EA$38)</f>
        <v/>
      </c>
      <c r="V247" s="17" t="str">
        <f>IF(ISBLANK(Deal_Master_Wide!$EH$38),"",Deal_Master_Wide!$EH$38)</f>
        <v/>
      </c>
      <c r="W247" s="17">
        <f>IF(ISBLANK(Deal_Master_Wide!$AF$38),"",Deal_Master_Wide!$AF$38)</f>
        <v>23</v>
      </c>
    </row>
    <row r="248" spans="1:23" ht="13.4" customHeight="1">
      <c r="A248" s="15" t="s">
        <v>579</v>
      </c>
      <c r="B248" s="15" t="s">
        <v>177</v>
      </c>
      <c r="C248" s="15">
        <v>1</v>
      </c>
      <c r="D248" s="15" t="s">
        <v>583</v>
      </c>
      <c r="E248" s="15" t="s">
        <v>585</v>
      </c>
      <c r="F248" s="15">
        <v>2013</v>
      </c>
      <c r="G248" s="15">
        <v>-2</v>
      </c>
      <c r="H248" s="15">
        <v>2011</v>
      </c>
      <c r="I248" s="15">
        <v>0</v>
      </c>
      <c r="J248" s="15">
        <v>0</v>
      </c>
      <c r="K248" s="16" t="e">
        <f>IF(#REF!="","",#REF!*$I248)</f>
        <v>#REF!</v>
      </c>
      <c r="L248" s="17" t="str">
        <f>IF(ISBLANK(Deal_Master_Wide!$BQ$38),"",Deal_Master_Wide!$BQ$38)</f>
        <v/>
      </c>
      <c r="M248" s="17" t="str">
        <f>IF(ISBLANK(Deal_Master_Wide!$BX$38),"",Deal_Master_Wide!$BX$38)</f>
        <v/>
      </c>
      <c r="N248" s="17" t="str">
        <f>IF(ISBLANK(Deal_Master_Wide!$CE$38),"",Deal_Master_Wide!$CE$38)</f>
        <v/>
      </c>
      <c r="O248" s="17" t="str">
        <f>IF(ISBLANK(Deal_Master_Wide!$CL$38),"",Deal_Master_Wide!$CL$38)</f>
        <v/>
      </c>
      <c r="P248" s="17" t="str">
        <f>IF(ISBLANK(Deal_Master_Wide!$CS$38),"",Deal_Master_Wide!$CS$38)</f>
        <v/>
      </c>
      <c r="Q248" s="17" t="str">
        <f>IF(ISBLANK(Deal_Master_Wide!$CZ$38),"",Deal_Master_Wide!$CZ$38)</f>
        <v/>
      </c>
      <c r="R248" s="18" t="str">
        <f>IF(ISBLANK(Deal_Master_Wide!$DG$38),"",Deal_Master_Wide!$DG$38)</f>
        <v/>
      </c>
      <c r="S248" s="18" t="str">
        <f>IF(ISBLANK(Deal_Master_Wide!$DN$38),"",Deal_Master_Wide!$DN$38)</f>
        <v/>
      </c>
      <c r="T248" s="18" t="str">
        <f>IF(ISBLANK(Deal_Master_Wide!$DU$38),"",Deal_Master_Wide!$DU$38)</f>
        <v/>
      </c>
      <c r="U248" s="17" t="str">
        <f>IF(ISBLANK(Deal_Master_Wide!$EB$38),"",Deal_Master_Wide!$EB$38)</f>
        <v/>
      </c>
      <c r="V248" s="17" t="str">
        <f>IF(ISBLANK(Deal_Master_Wide!$EI$38),"",Deal_Master_Wide!$EI$38)</f>
        <v/>
      </c>
      <c r="W248" s="17">
        <f>IF(ISBLANK(Deal_Master_Wide!$AF$38),"",Deal_Master_Wide!$AF$38)</f>
        <v>23</v>
      </c>
    </row>
    <row r="249" spans="1:23" ht="13.4" customHeight="1">
      <c r="A249" s="15" t="s">
        <v>579</v>
      </c>
      <c r="B249" s="15" t="s">
        <v>177</v>
      </c>
      <c r="C249" s="15">
        <v>1</v>
      </c>
      <c r="D249" s="15" t="s">
        <v>583</v>
      </c>
      <c r="E249" s="15" t="s">
        <v>585</v>
      </c>
      <c r="F249" s="15">
        <v>2013</v>
      </c>
      <c r="G249" s="15">
        <v>-1</v>
      </c>
      <c r="H249" s="15">
        <v>2012</v>
      </c>
      <c r="I249" s="15">
        <v>0</v>
      </c>
      <c r="J249" s="15">
        <v>0</v>
      </c>
      <c r="K249" s="16" t="e">
        <f>IF(#REF!="","",#REF!*$I249)</f>
        <v>#REF!</v>
      </c>
      <c r="L249" s="17" t="str">
        <f>IF(ISBLANK(Deal_Master_Wide!$BR$38),"",Deal_Master_Wide!$BR$38)</f>
        <v/>
      </c>
      <c r="M249" s="17" t="str">
        <f>IF(ISBLANK(Deal_Master_Wide!$BY$38),"",Deal_Master_Wide!$BY$38)</f>
        <v/>
      </c>
      <c r="N249" s="17" t="str">
        <f>IF(ISBLANK(Deal_Master_Wide!$CF$38),"",Deal_Master_Wide!$CF$38)</f>
        <v/>
      </c>
      <c r="O249" s="17" t="str">
        <f>IF(ISBLANK(Deal_Master_Wide!$CM$38),"",Deal_Master_Wide!$CM$38)</f>
        <v/>
      </c>
      <c r="P249" s="17" t="str">
        <f>IF(ISBLANK(Deal_Master_Wide!$CT$38),"",Deal_Master_Wide!$CT$38)</f>
        <v/>
      </c>
      <c r="Q249" s="17" t="str">
        <f>IF(ISBLANK(Deal_Master_Wide!$DA$38),"",Deal_Master_Wide!$DA$38)</f>
        <v/>
      </c>
      <c r="R249" s="18" t="str">
        <f>IF(ISBLANK(Deal_Master_Wide!$DH$38),"",Deal_Master_Wide!$DH$38)</f>
        <v/>
      </c>
      <c r="S249" s="18" t="str">
        <f>IF(ISBLANK(Deal_Master_Wide!$DO$38),"",Deal_Master_Wide!$DO$38)</f>
        <v/>
      </c>
      <c r="T249" s="18" t="str">
        <f>IF(ISBLANK(Deal_Master_Wide!$DV$38),"",Deal_Master_Wide!$DV$38)</f>
        <v/>
      </c>
      <c r="U249" s="17" t="str">
        <f>IF(ISBLANK(Deal_Master_Wide!$EC$38),"",Deal_Master_Wide!$EC$38)</f>
        <v/>
      </c>
      <c r="V249" s="17" t="str">
        <f>IF(ISBLANK(Deal_Master_Wide!$EJ$38),"",Deal_Master_Wide!$EJ$38)</f>
        <v/>
      </c>
      <c r="W249" s="17">
        <f>IF(ISBLANK(Deal_Master_Wide!$AF$38),"",Deal_Master_Wide!$AF$38)</f>
        <v>23</v>
      </c>
    </row>
    <row r="250" spans="1:23" ht="13.4" customHeight="1">
      <c r="A250" s="15" t="s">
        <v>579</v>
      </c>
      <c r="B250" s="15" t="s">
        <v>177</v>
      </c>
      <c r="C250" s="15">
        <v>1</v>
      </c>
      <c r="D250" s="15" t="s">
        <v>583</v>
      </c>
      <c r="E250" s="15" t="s">
        <v>585</v>
      </c>
      <c r="F250" s="15">
        <v>2013</v>
      </c>
      <c r="G250" s="15">
        <v>0</v>
      </c>
      <c r="H250" s="15">
        <v>2013</v>
      </c>
      <c r="I250" s="15">
        <v>0</v>
      </c>
      <c r="J250" s="15">
        <v>1</v>
      </c>
      <c r="K250" s="16" t="e">
        <f>IF(#REF!="","",#REF!*$I250)</f>
        <v>#REF!</v>
      </c>
      <c r="L250" s="17" t="str">
        <f>IF(ISBLANK(Deal_Master_Wide!$BS$38),"",Deal_Master_Wide!$BS$38)</f>
        <v/>
      </c>
      <c r="M250" s="17" t="str">
        <f>IF(ISBLANK(Deal_Master_Wide!$BZ$38),"",Deal_Master_Wide!$BZ$38)</f>
        <v/>
      </c>
      <c r="N250" s="17" t="str">
        <f>IF(ISBLANK(Deal_Master_Wide!$CG$38),"",Deal_Master_Wide!$CG$38)</f>
        <v/>
      </c>
      <c r="O250" s="17" t="str">
        <f>IF(ISBLANK(Deal_Master_Wide!$CN$38),"",Deal_Master_Wide!$CN$38)</f>
        <v/>
      </c>
      <c r="P250" s="17" t="str">
        <f>IF(ISBLANK(Deal_Master_Wide!$CU$38),"",Deal_Master_Wide!$CU$38)</f>
        <v/>
      </c>
      <c r="Q250" s="17" t="str">
        <f>IF(ISBLANK(Deal_Master_Wide!$DB$38),"",Deal_Master_Wide!$DB$38)</f>
        <v/>
      </c>
      <c r="R250" s="18" t="str">
        <f>IF(ISBLANK(Deal_Master_Wide!$DI$38),"",Deal_Master_Wide!$DI$38)</f>
        <v/>
      </c>
      <c r="S250" s="18" t="str">
        <f>IF(ISBLANK(Deal_Master_Wide!$DP$38),"",Deal_Master_Wide!$DP$38)</f>
        <v/>
      </c>
      <c r="T250" s="18" t="str">
        <f>IF(ISBLANK(Deal_Master_Wide!$DW$38),"",Deal_Master_Wide!$DW$38)</f>
        <v/>
      </c>
      <c r="U250" s="17" t="str">
        <f>IF(ISBLANK(Deal_Master_Wide!$ED$38),"",Deal_Master_Wide!$ED$38)</f>
        <v/>
      </c>
      <c r="V250" s="17" t="str">
        <f>IF(ISBLANK(Deal_Master_Wide!$EK$38),"",Deal_Master_Wide!$EK$38)</f>
        <v/>
      </c>
      <c r="W250" s="17">
        <f>IF(ISBLANK(Deal_Master_Wide!$AF$38),"",Deal_Master_Wide!$AF$38)</f>
        <v>23</v>
      </c>
    </row>
    <row r="251" spans="1:23" ht="13.4" customHeight="1">
      <c r="A251" s="15" t="s">
        <v>579</v>
      </c>
      <c r="B251" s="15" t="s">
        <v>177</v>
      </c>
      <c r="C251" s="15">
        <v>1</v>
      </c>
      <c r="D251" s="15" t="s">
        <v>583</v>
      </c>
      <c r="E251" s="15" t="s">
        <v>585</v>
      </c>
      <c r="F251" s="15">
        <v>2013</v>
      </c>
      <c r="G251" s="15">
        <v>1</v>
      </c>
      <c r="H251" s="15">
        <v>2014</v>
      </c>
      <c r="I251" s="15">
        <v>1</v>
      </c>
      <c r="J251" s="15">
        <v>1</v>
      </c>
      <c r="K251" s="16" t="e">
        <f>IF(#REF!="","",#REF!*$I251)</f>
        <v>#REF!</v>
      </c>
      <c r="L251" s="17" t="str">
        <f>IF(ISBLANK(Deal_Master_Wide!$BT$38),"",Deal_Master_Wide!$BT$38)</f>
        <v/>
      </c>
      <c r="M251" s="17" t="str">
        <f>IF(ISBLANK(Deal_Master_Wide!$CA$38),"",Deal_Master_Wide!$CA$38)</f>
        <v/>
      </c>
      <c r="N251" s="17" t="str">
        <f>IF(ISBLANK(Deal_Master_Wide!$CH$38),"",Deal_Master_Wide!$CH$38)</f>
        <v/>
      </c>
      <c r="O251" s="17" t="str">
        <f>IF(ISBLANK(Deal_Master_Wide!$CO$38),"",Deal_Master_Wide!$CO$38)</f>
        <v/>
      </c>
      <c r="P251" s="17" t="str">
        <f>IF(ISBLANK(Deal_Master_Wide!$CV$38),"",Deal_Master_Wide!$CV$38)</f>
        <v/>
      </c>
      <c r="Q251" s="17" t="str">
        <f>IF(ISBLANK(Deal_Master_Wide!$DC$38),"",Deal_Master_Wide!$DC$38)</f>
        <v/>
      </c>
      <c r="R251" s="18" t="str">
        <f>IF(ISBLANK(Deal_Master_Wide!$DJ$38),"",Deal_Master_Wide!$DJ$38)</f>
        <v/>
      </c>
      <c r="S251" s="18" t="str">
        <f>IF(ISBLANK(Deal_Master_Wide!$DQ$38),"",Deal_Master_Wide!$DQ$38)</f>
        <v/>
      </c>
      <c r="T251" s="18" t="str">
        <f>IF(ISBLANK(Deal_Master_Wide!$DX$38),"",Deal_Master_Wide!$DX$38)</f>
        <v/>
      </c>
      <c r="U251" s="17" t="str">
        <f>IF(ISBLANK(Deal_Master_Wide!$EE$38),"",Deal_Master_Wide!$EE$38)</f>
        <v/>
      </c>
      <c r="V251" s="17" t="str">
        <f>IF(ISBLANK(Deal_Master_Wide!$EL$38),"",Deal_Master_Wide!$EL$38)</f>
        <v/>
      </c>
      <c r="W251" s="17">
        <f>IF(ISBLANK(Deal_Master_Wide!$AF$38),"",Deal_Master_Wide!$AF$38)</f>
        <v>23</v>
      </c>
    </row>
    <row r="252" spans="1:23" ht="13.4" customHeight="1">
      <c r="A252" s="15" t="s">
        <v>579</v>
      </c>
      <c r="B252" s="15" t="s">
        <v>177</v>
      </c>
      <c r="C252" s="15">
        <v>1</v>
      </c>
      <c r="D252" s="15" t="s">
        <v>583</v>
      </c>
      <c r="E252" s="15" t="s">
        <v>585</v>
      </c>
      <c r="F252" s="15">
        <v>2013</v>
      </c>
      <c r="G252" s="15">
        <v>2</v>
      </c>
      <c r="H252" s="15">
        <v>2015</v>
      </c>
      <c r="I252" s="15">
        <v>1</v>
      </c>
      <c r="J252" s="15">
        <v>1</v>
      </c>
      <c r="K252" s="16" t="e">
        <f>IF(#REF!="","",#REF!*$I252)</f>
        <v>#REF!</v>
      </c>
      <c r="L252" s="17" t="str">
        <f>IF(ISBLANK(Deal_Master_Wide!$BU$38),"",Deal_Master_Wide!$BU$38)</f>
        <v/>
      </c>
      <c r="M252" s="17" t="str">
        <f>IF(ISBLANK(Deal_Master_Wide!$CB$38),"",Deal_Master_Wide!$CB$38)</f>
        <v/>
      </c>
      <c r="N252" s="17" t="str">
        <f>IF(ISBLANK(Deal_Master_Wide!$CI$38),"",Deal_Master_Wide!$CI$38)</f>
        <v/>
      </c>
      <c r="O252" s="17" t="str">
        <f>IF(ISBLANK(Deal_Master_Wide!$CP$38),"",Deal_Master_Wide!$CP$38)</f>
        <v/>
      </c>
      <c r="P252" s="17" t="str">
        <f>IF(ISBLANK(Deal_Master_Wide!$CW$38),"",Deal_Master_Wide!$CW$38)</f>
        <v/>
      </c>
      <c r="Q252" s="17" t="str">
        <f>IF(ISBLANK(Deal_Master_Wide!$DD$38),"",Deal_Master_Wide!$DD$38)</f>
        <v/>
      </c>
      <c r="R252" s="18" t="str">
        <f>IF(ISBLANK(Deal_Master_Wide!$DK$38),"",Deal_Master_Wide!$DK$38)</f>
        <v/>
      </c>
      <c r="S252" s="18" t="str">
        <f>IF(ISBLANK(Deal_Master_Wide!$DR$38),"",Deal_Master_Wide!$DR$38)</f>
        <v/>
      </c>
      <c r="T252" s="18" t="str">
        <f>IF(ISBLANK(Deal_Master_Wide!$DY$38),"",Deal_Master_Wide!$DY$38)</f>
        <v/>
      </c>
      <c r="U252" s="17" t="str">
        <f>IF(ISBLANK(Deal_Master_Wide!$EF$38),"",Deal_Master_Wide!$EF$38)</f>
        <v/>
      </c>
      <c r="V252" s="17" t="str">
        <f>IF(ISBLANK(Deal_Master_Wide!$EM$38),"",Deal_Master_Wide!$EM$38)</f>
        <v/>
      </c>
      <c r="W252" s="17">
        <f>IF(ISBLANK(Deal_Master_Wide!$AF$38),"",Deal_Master_Wide!$AF$38)</f>
        <v>23</v>
      </c>
    </row>
    <row r="253" spans="1:23" ht="13.4" customHeight="1">
      <c r="A253" s="15" t="s">
        <v>579</v>
      </c>
      <c r="B253" s="15" t="s">
        <v>177</v>
      </c>
      <c r="C253" s="15">
        <v>1</v>
      </c>
      <c r="D253" s="15" t="s">
        <v>583</v>
      </c>
      <c r="E253" s="15" t="s">
        <v>585</v>
      </c>
      <c r="F253" s="15">
        <v>2013</v>
      </c>
      <c r="G253" s="15">
        <v>3</v>
      </c>
      <c r="H253" s="15">
        <v>2016</v>
      </c>
      <c r="I253" s="15">
        <v>1</v>
      </c>
      <c r="J253" s="15">
        <v>1</v>
      </c>
      <c r="K253" s="16" t="e">
        <f>IF(#REF!="","",#REF!*$I253)</f>
        <v>#REF!</v>
      </c>
      <c r="L253" s="17" t="str">
        <f>IF(ISBLANK(Deal_Master_Wide!$BV$38),"",Deal_Master_Wide!$BV$38)</f>
        <v/>
      </c>
      <c r="M253" s="17" t="str">
        <f>IF(ISBLANK(Deal_Master_Wide!$CC$38),"",Deal_Master_Wide!$CC$38)</f>
        <v/>
      </c>
      <c r="N253" s="17" t="str">
        <f>IF(ISBLANK(Deal_Master_Wide!$CJ$38),"",Deal_Master_Wide!$CJ$38)</f>
        <v/>
      </c>
      <c r="O253" s="17" t="str">
        <f>IF(ISBLANK(Deal_Master_Wide!$CQ$38),"",Deal_Master_Wide!$CQ$38)</f>
        <v/>
      </c>
      <c r="P253" s="17" t="str">
        <f>IF(ISBLANK(Deal_Master_Wide!$CX$38),"",Deal_Master_Wide!$CX$38)</f>
        <v/>
      </c>
      <c r="Q253" s="17" t="str">
        <f>IF(ISBLANK(Deal_Master_Wide!$DE$38),"",Deal_Master_Wide!$DE$38)</f>
        <v/>
      </c>
      <c r="R253" s="18" t="str">
        <f>IF(ISBLANK(Deal_Master_Wide!$DL$38),"",Deal_Master_Wide!$DL$38)</f>
        <v/>
      </c>
      <c r="S253" s="18" t="str">
        <f>IF(ISBLANK(Deal_Master_Wide!$DS$38),"",Deal_Master_Wide!$DS$38)</f>
        <v/>
      </c>
      <c r="T253" s="18" t="str">
        <f>IF(ISBLANK(Deal_Master_Wide!$DZ$38),"",Deal_Master_Wide!$DZ$38)</f>
        <v/>
      </c>
      <c r="U253" s="17" t="str">
        <f>IF(ISBLANK(Deal_Master_Wide!$EG$38),"",Deal_Master_Wide!$EG$38)</f>
        <v/>
      </c>
      <c r="V253" s="17" t="str">
        <f>IF(ISBLANK(Deal_Master_Wide!$EN$38),"",Deal_Master_Wide!$EN$38)</f>
        <v/>
      </c>
      <c r="W253" s="17">
        <f>IF(ISBLANK(Deal_Master_Wide!$AF$38),"",Deal_Master_Wide!$AF$38)</f>
        <v>23</v>
      </c>
    </row>
    <row r="254" spans="1:23" ht="13.4" customHeight="1">
      <c r="A254" s="15" t="s">
        <v>589</v>
      </c>
      <c r="B254" s="15" t="s">
        <v>177</v>
      </c>
      <c r="C254" s="15">
        <v>1</v>
      </c>
      <c r="D254" s="15" t="s">
        <v>593</v>
      </c>
      <c r="E254" s="15" t="s">
        <v>595</v>
      </c>
      <c r="F254" s="15">
        <v>2013</v>
      </c>
      <c r="G254" s="15">
        <v>-3</v>
      </c>
      <c r="H254" s="15">
        <v>2010</v>
      </c>
      <c r="I254" s="15">
        <v>0</v>
      </c>
      <c r="J254" s="15">
        <v>0</v>
      </c>
      <c r="K254" s="16" t="e">
        <f>IF(#REF!="","",#REF!*$I254)</f>
        <v>#REF!</v>
      </c>
      <c r="L254" s="17" t="str">
        <f>IF(ISBLANK(Deal_Master_Wide!$BP$39),"",Deal_Master_Wide!$BP$39)</f>
        <v/>
      </c>
      <c r="M254" s="17" t="str">
        <f>IF(ISBLANK(Deal_Master_Wide!$BW$39),"",Deal_Master_Wide!$BW$39)</f>
        <v/>
      </c>
      <c r="N254" s="17" t="str">
        <f>IF(ISBLANK(Deal_Master_Wide!$CD$39),"",Deal_Master_Wide!$CD$39)</f>
        <v/>
      </c>
      <c r="O254" s="17" t="str">
        <f>IF(ISBLANK(Deal_Master_Wide!$CK$39),"",Deal_Master_Wide!$CK$39)</f>
        <v/>
      </c>
      <c r="P254" s="17" t="str">
        <f>IF(ISBLANK(Deal_Master_Wide!$CR$39),"",Deal_Master_Wide!$CR$39)</f>
        <v/>
      </c>
      <c r="Q254" s="17" t="str">
        <f>IF(ISBLANK(Deal_Master_Wide!$CY$39),"",Deal_Master_Wide!$CY$39)</f>
        <v/>
      </c>
      <c r="R254" s="18" t="str">
        <f>IF(ISBLANK(Deal_Master_Wide!$DF$39),"",Deal_Master_Wide!$DF$39)</f>
        <v/>
      </c>
      <c r="S254" s="18" t="str">
        <f>IF(ISBLANK(Deal_Master_Wide!$DM$39),"",Deal_Master_Wide!$DM$39)</f>
        <v/>
      </c>
      <c r="T254" s="18" t="str">
        <f>IF(ISBLANK(Deal_Master_Wide!$DT$39),"",Deal_Master_Wide!$DT$39)</f>
        <v/>
      </c>
      <c r="U254" s="17" t="str">
        <f>IF(ISBLANK(Deal_Master_Wide!$EA$39),"",Deal_Master_Wide!$EA$39)</f>
        <v/>
      </c>
      <c r="V254" s="17" t="str">
        <f>IF(ISBLANK(Deal_Master_Wide!$EH$39),"",Deal_Master_Wide!$EH$39)</f>
        <v/>
      </c>
      <c r="W254" s="17" t="str">
        <f>IF(ISBLANK(Deal_Master_Wide!$AF$39),"",Deal_Master_Wide!$AF$39)</f>
        <v/>
      </c>
    </row>
    <row r="255" spans="1:23" ht="13.4" customHeight="1">
      <c r="A255" s="15" t="s">
        <v>589</v>
      </c>
      <c r="B255" s="15" t="s">
        <v>177</v>
      </c>
      <c r="C255" s="15">
        <v>1</v>
      </c>
      <c r="D255" s="15" t="s">
        <v>593</v>
      </c>
      <c r="E255" s="15" t="s">
        <v>595</v>
      </c>
      <c r="F255" s="15">
        <v>2013</v>
      </c>
      <c r="G255" s="15">
        <v>-2</v>
      </c>
      <c r="H255" s="15">
        <v>2011</v>
      </c>
      <c r="I255" s="15">
        <v>0</v>
      </c>
      <c r="J255" s="15">
        <v>0</v>
      </c>
      <c r="K255" s="16" t="e">
        <f>IF(#REF!="","",#REF!*$I255)</f>
        <v>#REF!</v>
      </c>
      <c r="L255" s="17" t="str">
        <f>IF(ISBLANK(Deal_Master_Wide!$BQ$39),"",Deal_Master_Wide!$BQ$39)</f>
        <v/>
      </c>
      <c r="M255" s="17" t="str">
        <f>IF(ISBLANK(Deal_Master_Wide!$BX$39),"",Deal_Master_Wide!$BX$39)</f>
        <v/>
      </c>
      <c r="N255" s="17" t="str">
        <f>IF(ISBLANK(Deal_Master_Wide!$CE$39),"",Deal_Master_Wide!$CE$39)</f>
        <v/>
      </c>
      <c r="O255" s="17" t="str">
        <f>IF(ISBLANK(Deal_Master_Wide!$CL$39),"",Deal_Master_Wide!$CL$39)</f>
        <v/>
      </c>
      <c r="P255" s="17" t="str">
        <f>IF(ISBLANK(Deal_Master_Wide!$CS$39),"",Deal_Master_Wide!$CS$39)</f>
        <v/>
      </c>
      <c r="Q255" s="17" t="str">
        <f>IF(ISBLANK(Deal_Master_Wide!$CZ$39),"",Deal_Master_Wide!$CZ$39)</f>
        <v/>
      </c>
      <c r="R255" s="18" t="str">
        <f>IF(ISBLANK(Deal_Master_Wide!$DG$39),"",Deal_Master_Wide!$DG$39)</f>
        <v/>
      </c>
      <c r="S255" s="18" t="str">
        <f>IF(ISBLANK(Deal_Master_Wide!$DN$39),"",Deal_Master_Wide!$DN$39)</f>
        <v/>
      </c>
      <c r="T255" s="18" t="str">
        <f>IF(ISBLANK(Deal_Master_Wide!$DU$39),"",Deal_Master_Wide!$DU$39)</f>
        <v/>
      </c>
      <c r="U255" s="17" t="str">
        <f>IF(ISBLANK(Deal_Master_Wide!$EB$39),"",Deal_Master_Wide!$EB$39)</f>
        <v/>
      </c>
      <c r="V255" s="17" t="str">
        <f>IF(ISBLANK(Deal_Master_Wide!$EI$39),"",Deal_Master_Wide!$EI$39)</f>
        <v/>
      </c>
      <c r="W255" s="17" t="str">
        <f>IF(ISBLANK(Deal_Master_Wide!$AF$39),"",Deal_Master_Wide!$AF$39)</f>
        <v/>
      </c>
    </row>
    <row r="256" spans="1:23" ht="13.4" customHeight="1">
      <c r="A256" s="15" t="s">
        <v>589</v>
      </c>
      <c r="B256" s="15" t="s">
        <v>177</v>
      </c>
      <c r="C256" s="15">
        <v>1</v>
      </c>
      <c r="D256" s="15" t="s">
        <v>593</v>
      </c>
      <c r="E256" s="15" t="s">
        <v>595</v>
      </c>
      <c r="F256" s="15">
        <v>2013</v>
      </c>
      <c r="G256" s="15">
        <v>-1</v>
      </c>
      <c r="H256" s="15">
        <v>2012</v>
      </c>
      <c r="I256" s="15">
        <v>0</v>
      </c>
      <c r="J256" s="15">
        <v>0</v>
      </c>
      <c r="K256" s="16" t="e">
        <f>IF(#REF!="","",#REF!*$I256)</f>
        <v>#REF!</v>
      </c>
      <c r="L256" s="17" t="str">
        <f>IF(ISBLANK(Deal_Master_Wide!$BR$39),"",Deal_Master_Wide!$BR$39)</f>
        <v/>
      </c>
      <c r="M256" s="17" t="str">
        <f>IF(ISBLANK(Deal_Master_Wide!$BY$39),"",Deal_Master_Wide!$BY$39)</f>
        <v/>
      </c>
      <c r="N256" s="17" t="str">
        <f>IF(ISBLANK(Deal_Master_Wide!$CF$39),"",Deal_Master_Wide!$CF$39)</f>
        <v/>
      </c>
      <c r="O256" s="17" t="str">
        <f>IF(ISBLANK(Deal_Master_Wide!$CM$39),"",Deal_Master_Wide!$CM$39)</f>
        <v/>
      </c>
      <c r="P256" s="17" t="str">
        <f>IF(ISBLANK(Deal_Master_Wide!$CT$39),"",Deal_Master_Wide!$CT$39)</f>
        <v/>
      </c>
      <c r="Q256" s="17" t="str">
        <f>IF(ISBLANK(Deal_Master_Wide!$DA$39),"",Deal_Master_Wide!$DA$39)</f>
        <v/>
      </c>
      <c r="R256" s="18" t="str">
        <f>IF(ISBLANK(Deal_Master_Wide!$DH$39),"",Deal_Master_Wide!$DH$39)</f>
        <v/>
      </c>
      <c r="S256" s="18" t="str">
        <f>IF(ISBLANK(Deal_Master_Wide!$DO$39),"",Deal_Master_Wide!$DO$39)</f>
        <v/>
      </c>
      <c r="T256" s="18" t="str">
        <f>IF(ISBLANK(Deal_Master_Wide!$DV$39),"",Deal_Master_Wide!$DV$39)</f>
        <v/>
      </c>
      <c r="U256" s="17" t="str">
        <f>IF(ISBLANK(Deal_Master_Wide!$EC$39),"",Deal_Master_Wide!$EC$39)</f>
        <v/>
      </c>
      <c r="V256" s="17" t="str">
        <f>IF(ISBLANK(Deal_Master_Wide!$EJ$39),"",Deal_Master_Wide!$EJ$39)</f>
        <v/>
      </c>
      <c r="W256" s="17" t="str">
        <f>IF(ISBLANK(Deal_Master_Wide!$AF$39),"",Deal_Master_Wide!$AF$39)</f>
        <v/>
      </c>
    </row>
    <row r="257" spans="1:23" ht="13.4" customHeight="1">
      <c r="A257" s="15" t="s">
        <v>589</v>
      </c>
      <c r="B257" s="15" t="s">
        <v>177</v>
      </c>
      <c r="C257" s="15">
        <v>1</v>
      </c>
      <c r="D257" s="15" t="s">
        <v>593</v>
      </c>
      <c r="E257" s="15" t="s">
        <v>595</v>
      </c>
      <c r="F257" s="15">
        <v>2013</v>
      </c>
      <c r="G257" s="15">
        <v>0</v>
      </c>
      <c r="H257" s="15">
        <v>2013</v>
      </c>
      <c r="I257" s="15">
        <v>0</v>
      </c>
      <c r="J257" s="15">
        <v>1</v>
      </c>
      <c r="K257" s="16" t="e">
        <f>IF(#REF!="","",#REF!*$I257)</f>
        <v>#REF!</v>
      </c>
      <c r="L257" s="17" t="str">
        <f>IF(ISBLANK(Deal_Master_Wide!$BS$39),"",Deal_Master_Wide!$BS$39)</f>
        <v/>
      </c>
      <c r="M257" s="17" t="str">
        <f>IF(ISBLANK(Deal_Master_Wide!$BZ$39),"",Deal_Master_Wide!$BZ$39)</f>
        <v/>
      </c>
      <c r="N257" s="17" t="str">
        <f>IF(ISBLANK(Deal_Master_Wide!$CG$39),"",Deal_Master_Wide!$CG$39)</f>
        <v/>
      </c>
      <c r="O257" s="17" t="str">
        <f>IF(ISBLANK(Deal_Master_Wide!$CN$39),"",Deal_Master_Wide!$CN$39)</f>
        <v/>
      </c>
      <c r="P257" s="17" t="str">
        <f>IF(ISBLANK(Deal_Master_Wide!$CU$39),"",Deal_Master_Wide!$CU$39)</f>
        <v/>
      </c>
      <c r="Q257" s="17" t="str">
        <f>IF(ISBLANK(Deal_Master_Wide!$DB$39),"",Deal_Master_Wide!$DB$39)</f>
        <v/>
      </c>
      <c r="R257" s="18" t="str">
        <f>IF(ISBLANK(Deal_Master_Wide!$DI$39),"",Deal_Master_Wide!$DI$39)</f>
        <v/>
      </c>
      <c r="S257" s="18" t="str">
        <f>IF(ISBLANK(Deal_Master_Wide!$DP$39),"",Deal_Master_Wide!$DP$39)</f>
        <v/>
      </c>
      <c r="T257" s="18" t="str">
        <f>IF(ISBLANK(Deal_Master_Wide!$DW$39),"",Deal_Master_Wide!$DW$39)</f>
        <v/>
      </c>
      <c r="U257" s="17" t="str">
        <f>IF(ISBLANK(Deal_Master_Wide!$ED$39),"",Deal_Master_Wide!$ED$39)</f>
        <v/>
      </c>
      <c r="V257" s="17" t="str">
        <f>IF(ISBLANK(Deal_Master_Wide!$EK$39),"",Deal_Master_Wide!$EK$39)</f>
        <v/>
      </c>
      <c r="W257" s="17" t="str">
        <f>IF(ISBLANK(Deal_Master_Wide!$AF$39),"",Deal_Master_Wide!$AF$39)</f>
        <v/>
      </c>
    </row>
    <row r="258" spans="1:23" ht="13.4" customHeight="1">
      <c r="A258" s="15" t="s">
        <v>589</v>
      </c>
      <c r="B258" s="15" t="s">
        <v>177</v>
      </c>
      <c r="C258" s="15">
        <v>1</v>
      </c>
      <c r="D258" s="15" t="s">
        <v>593</v>
      </c>
      <c r="E258" s="15" t="s">
        <v>595</v>
      </c>
      <c r="F258" s="15">
        <v>2013</v>
      </c>
      <c r="G258" s="15">
        <v>1</v>
      </c>
      <c r="H258" s="15">
        <v>2014</v>
      </c>
      <c r="I258" s="15">
        <v>1</v>
      </c>
      <c r="J258" s="15">
        <v>1</v>
      </c>
      <c r="K258" s="16" t="e">
        <f>IF(#REF!="","",#REF!*$I258)</f>
        <v>#REF!</v>
      </c>
      <c r="L258" s="17" t="str">
        <f>IF(ISBLANK(Deal_Master_Wide!$BT$39),"",Deal_Master_Wide!$BT$39)</f>
        <v/>
      </c>
      <c r="M258" s="17" t="str">
        <f>IF(ISBLANK(Deal_Master_Wide!$CA$39),"",Deal_Master_Wide!$CA$39)</f>
        <v/>
      </c>
      <c r="N258" s="17" t="str">
        <f>IF(ISBLANK(Deal_Master_Wide!$CH$39),"",Deal_Master_Wide!$CH$39)</f>
        <v/>
      </c>
      <c r="O258" s="17" t="str">
        <f>IF(ISBLANK(Deal_Master_Wide!$CO$39),"",Deal_Master_Wide!$CO$39)</f>
        <v/>
      </c>
      <c r="P258" s="17" t="str">
        <f>IF(ISBLANK(Deal_Master_Wide!$CV$39),"",Deal_Master_Wide!$CV$39)</f>
        <v/>
      </c>
      <c r="Q258" s="17" t="str">
        <f>IF(ISBLANK(Deal_Master_Wide!$DC$39),"",Deal_Master_Wide!$DC$39)</f>
        <v/>
      </c>
      <c r="R258" s="18" t="str">
        <f>IF(ISBLANK(Deal_Master_Wide!$DJ$39),"",Deal_Master_Wide!$DJ$39)</f>
        <v/>
      </c>
      <c r="S258" s="18" t="str">
        <f>IF(ISBLANK(Deal_Master_Wide!$DQ$39),"",Deal_Master_Wide!$DQ$39)</f>
        <v/>
      </c>
      <c r="T258" s="18" t="str">
        <f>IF(ISBLANK(Deal_Master_Wide!$DX$39),"",Deal_Master_Wide!$DX$39)</f>
        <v/>
      </c>
      <c r="U258" s="17" t="str">
        <f>IF(ISBLANK(Deal_Master_Wide!$EE$39),"",Deal_Master_Wide!$EE$39)</f>
        <v/>
      </c>
      <c r="V258" s="17" t="str">
        <f>IF(ISBLANK(Deal_Master_Wide!$EL$39),"",Deal_Master_Wide!$EL$39)</f>
        <v/>
      </c>
      <c r="W258" s="17" t="str">
        <f>IF(ISBLANK(Deal_Master_Wide!$AF$39),"",Deal_Master_Wide!$AF$39)</f>
        <v/>
      </c>
    </row>
    <row r="259" spans="1:23" ht="13.4" customHeight="1">
      <c r="A259" s="15" t="s">
        <v>589</v>
      </c>
      <c r="B259" s="15" t="s">
        <v>177</v>
      </c>
      <c r="C259" s="15">
        <v>1</v>
      </c>
      <c r="D259" s="15" t="s">
        <v>593</v>
      </c>
      <c r="E259" s="15" t="s">
        <v>595</v>
      </c>
      <c r="F259" s="15">
        <v>2013</v>
      </c>
      <c r="G259" s="15">
        <v>2</v>
      </c>
      <c r="H259" s="15">
        <v>2015</v>
      </c>
      <c r="I259" s="15">
        <v>1</v>
      </c>
      <c r="J259" s="15">
        <v>1</v>
      </c>
      <c r="K259" s="16" t="e">
        <f>IF(#REF!="","",#REF!*$I259)</f>
        <v>#REF!</v>
      </c>
      <c r="L259" s="17" t="str">
        <f>IF(ISBLANK(Deal_Master_Wide!$BU$39),"",Deal_Master_Wide!$BU$39)</f>
        <v/>
      </c>
      <c r="M259" s="17" t="str">
        <f>IF(ISBLANK(Deal_Master_Wide!$CB$39),"",Deal_Master_Wide!$CB$39)</f>
        <v/>
      </c>
      <c r="N259" s="17" t="str">
        <f>IF(ISBLANK(Deal_Master_Wide!$CI$39),"",Deal_Master_Wide!$CI$39)</f>
        <v/>
      </c>
      <c r="O259" s="17" t="str">
        <f>IF(ISBLANK(Deal_Master_Wide!$CP$39),"",Deal_Master_Wide!$CP$39)</f>
        <v/>
      </c>
      <c r="P259" s="17" t="str">
        <f>IF(ISBLANK(Deal_Master_Wide!$CW$39),"",Deal_Master_Wide!$CW$39)</f>
        <v/>
      </c>
      <c r="Q259" s="17" t="str">
        <f>IF(ISBLANK(Deal_Master_Wide!$DD$39),"",Deal_Master_Wide!$DD$39)</f>
        <v/>
      </c>
      <c r="R259" s="18" t="str">
        <f>IF(ISBLANK(Deal_Master_Wide!$DK$39),"",Deal_Master_Wide!$DK$39)</f>
        <v/>
      </c>
      <c r="S259" s="18" t="str">
        <f>IF(ISBLANK(Deal_Master_Wide!$DR$39),"",Deal_Master_Wide!$DR$39)</f>
        <v/>
      </c>
      <c r="T259" s="18" t="str">
        <f>IF(ISBLANK(Deal_Master_Wide!$DY$39),"",Deal_Master_Wide!$DY$39)</f>
        <v/>
      </c>
      <c r="U259" s="17" t="str">
        <f>IF(ISBLANK(Deal_Master_Wide!$EF$39),"",Deal_Master_Wide!$EF$39)</f>
        <v/>
      </c>
      <c r="V259" s="17" t="str">
        <f>IF(ISBLANK(Deal_Master_Wide!$EM$39),"",Deal_Master_Wide!$EM$39)</f>
        <v/>
      </c>
      <c r="W259" s="17" t="str">
        <f>IF(ISBLANK(Deal_Master_Wide!$AF$39),"",Deal_Master_Wide!$AF$39)</f>
        <v/>
      </c>
    </row>
    <row r="260" spans="1:23" ht="13.4" customHeight="1">
      <c r="A260" s="15" t="s">
        <v>589</v>
      </c>
      <c r="B260" s="15" t="s">
        <v>177</v>
      </c>
      <c r="C260" s="15">
        <v>1</v>
      </c>
      <c r="D260" s="15" t="s">
        <v>593</v>
      </c>
      <c r="E260" s="15" t="s">
        <v>595</v>
      </c>
      <c r="F260" s="15">
        <v>2013</v>
      </c>
      <c r="G260" s="15">
        <v>3</v>
      </c>
      <c r="H260" s="15">
        <v>2016</v>
      </c>
      <c r="I260" s="15">
        <v>1</v>
      </c>
      <c r="J260" s="15">
        <v>1</v>
      </c>
      <c r="K260" s="16" t="e">
        <f>IF(#REF!="","",#REF!*$I260)</f>
        <v>#REF!</v>
      </c>
      <c r="L260" s="17" t="str">
        <f>IF(ISBLANK(Deal_Master_Wide!$BV$39),"",Deal_Master_Wide!$BV$39)</f>
        <v/>
      </c>
      <c r="M260" s="17" t="str">
        <f>IF(ISBLANK(Deal_Master_Wide!$CC$39),"",Deal_Master_Wide!$CC$39)</f>
        <v/>
      </c>
      <c r="N260" s="17" t="str">
        <f>IF(ISBLANK(Deal_Master_Wide!$CJ$39),"",Deal_Master_Wide!$CJ$39)</f>
        <v/>
      </c>
      <c r="O260" s="17" t="str">
        <f>IF(ISBLANK(Deal_Master_Wide!$CQ$39),"",Deal_Master_Wide!$CQ$39)</f>
        <v/>
      </c>
      <c r="P260" s="17" t="str">
        <f>IF(ISBLANK(Deal_Master_Wide!$CX$39),"",Deal_Master_Wide!$CX$39)</f>
        <v/>
      </c>
      <c r="Q260" s="17" t="str">
        <f>IF(ISBLANK(Deal_Master_Wide!$DE$39),"",Deal_Master_Wide!$DE$39)</f>
        <v/>
      </c>
      <c r="R260" s="18" t="str">
        <f>IF(ISBLANK(Deal_Master_Wide!$DL$39),"",Deal_Master_Wide!$DL$39)</f>
        <v/>
      </c>
      <c r="S260" s="18" t="str">
        <f>IF(ISBLANK(Deal_Master_Wide!$DS$39),"",Deal_Master_Wide!$DS$39)</f>
        <v/>
      </c>
      <c r="T260" s="18" t="str">
        <f>IF(ISBLANK(Deal_Master_Wide!$DZ$39),"",Deal_Master_Wide!$DZ$39)</f>
        <v/>
      </c>
      <c r="U260" s="17" t="str">
        <f>IF(ISBLANK(Deal_Master_Wide!$EG$39),"",Deal_Master_Wide!$EG$39)</f>
        <v/>
      </c>
      <c r="V260" s="17" t="str">
        <f>IF(ISBLANK(Deal_Master_Wide!$EN$39),"",Deal_Master_Wide!$EN$39)</f>
        <v/>
      </c>
      <c r="W260" s="17" t="str">
        <f>IF(ISBLANK(Deal_Master_Wide!$AF$39),"",Deal_Master_Wide!$AF$39)</f>
        <v/>
      </c>
    </row>
    <row r="261" spans="1:23" ht="13.4" customHeight="1">
      <c r="A261" s="15" t="s">
        <v>599</v>
      </c>
      <c r="B261" s="15" t="s">
        <v>177</v>
      </c>
      <c r="C261" s="15">
        <v>1</v>
      </c>
      <c r="D261" s="15" t="s">
        <v>603</v>
      </c>
      <c r="E261" s="15" t="s">
        <v>605</v>
      </c>
      <c r="F261" s="15">
        <v>2013</v>
      </c>
      <c r="G261" s="15">
        <v>-3</v>
      </c>
      <c r="H261" s="15">
        <v>2010</v>
      </c>
      <c r="I261" s="15">
        <v>0</v>
      </c>
      <c r="J261" s="15">
        <v>0</v>
      </c>
      <c r="K261" s="16" t="e">
        <f>IF(#REF!="","",#REF!*$I261)</f>
        <v>#REF!</v>
      </c>
      <c r="L261" s="17">
        <f>IF(ISBLANK(Deal_Master_Wide!$BP$40),"",Deal_Master_Wide!$BP$40)</f>
        <v>33112.480900000002</v>
      </c>
      <c r="M261" s="17">
        <f>IF(ISBLANK(Deal_Master_Wide!$BW$40),"",Deal_Master_Wide!$BW$40)</f>
        <v>6050.5618000000004</v>
      </c>
      <c r="N261" s="17">
        <f>IF(ISBLANK(Deal_Master_Wide!$CD$40),"",Deal_Master_Wide!$CD$40)</f>
        <v>1905.6704</v>
      </c>
      <c r="O261" s="17">
        <f>IF(ISBLANK(Deal_Master_Wide!$CK$40),"",Deal_Master_Wide!$CK$40)</f>
        <v>49259.908000000003</v>
      </c>
      <c r="P261" s="17">
        <f>IF(ISBLANK(Deal_Master_Wide!$CR$40),"",Deal_Master_Wide!$CR$40)</f>
        <v>17613.653999999999</v>
      </c>
      <c r="Q261" s="17">
        <f>IF(ISBLANK(Deal_Master_Wide!$CY$40),"",Deal_Master_Wide!$CY$40)</f>
        <v>4623.0583999999999</v>
      </c>
      <c r="R261" s="18">
        <f>IF(ISBLANK(Deal_Master_Wide!$DF$40),"",Deal_Master_Wide!$DF$40)</f>
        <v>3.8405</v>
      </c>
      <c r="S261" s="18">
        <f>IF(ISBLANK(Deal_Master_Wide!$DM$40),"",Deal_Master_Wide!$DM$40)</f>
        <v>13.535500000000001</v>
      </c>
      <c r="T261" s="18">
        <f>IF(ISBLANK(Deal_Master_Wide!$DT$40),"",Deal_Master_Wide!$DT$40)</f>
        <v>35.756599999999999</v>
      </c>
      <c r="U261" s="17" t="str">
        <f>IF(ISBLANK(Deal_Master_Wide!$EA$40),"",Deal_Master_Wide!$EA$40)</f>
        <v/>
      </c>
      <c r="V261" s="17" t="str">
        <f>IF(ISBLANK(Deal_Master_Wide!$EH$40),"",Deal_Master_Wide!$EH$40)</f>
        <v/>
      </c>
      <c r="W261" s="17">
        <f>IF(ISBLANK(Deal_Master_Wide!$AF$40),"",Deal_Master_Wide!$AF$40)</f>
        <v>325</v>
      </c>
    </row>
    <row r="262" spans="1:23" ht="13.4" customHeight="1">
      <c r="A262" s="15" t="s">
        <v>599</v>
      </c>
      <c r="B262" s="15" t="s">
        <v>177</v>
      </c>
      <c r="C262" s="15">
        <v>1</v>
      </c>
      <c r="D262" s="15" t="s">
        <v>603</v>
      </c>
      <c r="E262" s="15" t="s">
        <v>605</v>
      </c>
      <c r="F262" s="15">
        <v>2013</v>
      </c>
      <c r="G262" s="15">
        <v>-2</v>
      </c>
      <c r="H262" s="15">
        <v>2011</v>
      </c>
      <c r="I262" s="15">
        <v>0</v>
      </c>
      <c r="J262" s="15">
        <v>0</v>
      </c>
      <c r="K262" s="16" t="e">
        <f>IF(#REF!="","",#REF!*$I262)</f>
        <v>#REF!</v>
      </c>
      <c r="L262" s="17">
        <f>IF(ISBLANK(Deal_Master_Wide!$BQ$40),"",Deal_Master_Wide!$BQ$40)</f>
        <v>31564.124599999999</v>
      </c>
      <c r="M262" s="17">
        <f>IF(ISBLANK(Deal_Master_Wide!$BX$40),"",Deal_Master_Wide!$BX$40)</f>
        <v>9666.2034000000003</v>
      </c>
      <c r="N262" s="17">
        <f>IF(ISBLANK(Deal_Master_Wide!$CE$40),"",Deal_Master_Wide!$CE$40)</f>
        <v>6063.4191000000001</v>
      </c>
      <c r="O262" s="17">
        <f>IF(ISBLANK(Deal_Master_Wide!$CL$40),"",Deal_Master_Wide!$CL$40)</f>
        <v>49159.700599999996</v>
      </c>
      <c r="P262" s="17">
        <f>IF(ISBLANK(Deal_Master_Wide!$CS$40),"",Deal_Master_Wide!$CS$40)</f>
        <v>17831.759999999998</v>
      </c>
      <c r="Q262" s="17">
        <f>IF(ISBLANK(Deal_Master_Wide!$CZ$40),"",Deal_Master_Wide!$CZ$40)</f>
        <v>4396.8720999999996</v>
      </c>
      <c r="R262" s="18">
        <f>IF(ISBLANK(Deal_Master_Wide!$DG$40),"",Deal_Master_Wide!$DG$40)</f>
        <v>12.629899999999999</v>
      </c>
      <c r="S262" s="18">
        <f>IF(ISBLANK(Deal_Master_Wide!$DN$40),"",Deal_Master_Wide!$DN$40)</f>
        <v>28.5975</v>
      </c>
      <c r="T262" s="18">
        <f>IF(ISBLANK(Deal_Master_Wide!$DU$40),"",Deal_Master_Wide!$DU$40)</f>
        <v>36.273099999999999</v>
      </c>
      <c r="U262" s="17">
        <f>IF(ISBLANK(Deal_Master_Wide!$EB$40),"",Deal_Master_Wide!$EB$40)</f>
        <v>1</v>
      </c>
      <c r="V262" s="17">
        <f>IF(ISBLANK(Deal_Master_Wide!$EI$40),"",Deal_Master_Wide!$EI$40)</f>
        <v>0</v>
      </c>
      <c r="W262" s="17">
        <f>IF(ISBLANK(Deal_Master_Wide!$AF$40),"",Deal_Master_Wide!$AF$40)</f>
        <v>325</v>
      </c>
    </row>
    <row r="263" spans="1:23" ht="13.4" customHeight="1">
      <c r="A263" s="15" t="s">
        <v>599</v>
      </c>
      <c r="B263" s="15" t="s">
        <v>177</v>
      </c>
      <c r="C263" s="15">
        <v>1</v>
      </c>
      <c r="D263" s="15" t="s">
        <v>603</v>
      </c>
      <c r="E263" s="15" t="s">
        <v>605</v>
      </c>
      <c r="F263" s="15">
        <v>2013</v>
      </c>
      <c r="G263" s="15">
        <v>-1</v>
      </c>
      <c r="H263" s="15">
        <v>2012</v>
      </c>
      <c r="I263" s="15">
        <v>0</v>
      </c>
      <c r="J263" s="15">
        <v>0</v>
      </c>
      <c r="K263" s="16" t="e">
        <f>IF(#REF!="","",#REF!*$I263)</f>
        <v>#REF!</v>
      </c>
      <c r="L263" s="17">
        <f>IF(ISBLANK(Deal_Master_Wide!$BR$40),"",Deal_Master_Wide!$BR$40)</f>
        <v>32595.1901</v>
      </c>
      <c r="M263" s="17">
        <f>IF(ISBLANK(Deal_Master_Wide!$BY$40),"",Deal_Master_Wide!$BY$40)</f>
        <v>9646.2327000000005</v>
      </c>
      <c r="N263" s="17">
        <f>IF(ISBLANK(Deal_Master_Wide!$CF$40),"",Deal_Master_Wide!$CF$40)</f>
        <v>5548.2487000000001</v>
      </c>
      <c r="O263" s="17">
        <f>IF(ISBLANK(Deal_Master_Wide!$CM$40),"",Deal_Master_Wide!$CM$40)</f>
        <v>51052.087699999996</v>
      </c>
      <c r="P263" s="17">
        <f>IF(ISBLANK(Deal_Master_Wide!$CT$40),"",Deal_Master_Wide!$CT$40)</f>
        <v>22524.898399999998</v>
      </c>
      <c r="Q263" s="17">
        <f>IF(ISBLANK(Deal_Master_Wide!$DA$40),"",Deal_Master_Wide!$DA$40)</f>
        <v>4419.8540000000003</v>
      </c>
      <c r="R263" s="18">
        <f>IF(ISBLANK(Deal_Master_Wide!$DH$40),"",Deal_Master_Wide!$DH$40)</f>
        <v>10.8986</v>
      </c>
      <c r="S263" s="18">
        <f>IF(ISBLANK(Deal_Master_Wide!$DO$40),"",Deal_Master_Wide!$DO$40)</f>
        <v>27.849900000000002</v>
      </c>
      <c r="T263" s="18">
        <f>IF(ISBLANK(Deal_Master_Wide!$DV$40),"",Deal_Master_Wide!$DV$40)</f>
        <v>44.121400000000001</v>
      </c>
      <c r="U263" s="17">
        <f>IF(ISBLANK(Deal_Master_Wide!$EC$40),"",Deal_Master_Wide!$EC$40)</f>
        <v>0</v>
      </c>
      <c r="V263" s="17">
        <f>IF(ISBLANK(Deal_Master_Wide!$EJ$40),"",Deal_Master_Wide!$EJ$40)</f>
        <v>0</v>
      </c>
      <c r="W263" s="17">
        <f>IF(ISBLANK(Deal_Master_Wide!$AF$40),"",Deal_Master_Wide!$AF$40)</f>
        <v>325</v>
      </c>
    </row>
    <row r="264" spans="1:23" ht="13.4" customHeight="1">
      <c r="A264" s="15" t="s">
        <v>599</v>
      </c>
      <c r="B264" s="15" t="s">
        <v>177</v>
      </c>
      <c r="C264" s="15">
        <v>1</v>
      </c>
      <c r="D264" s="15" t="s">
        <v>603</v>
      </c>
      <c r="E264" s="15" t="s">
        <v>605</v>
      </c>
      <c r="F264" s="15">
        <v>2013</v>
      </c>
      <c r="G264" s="15">
        <v>0</v>
      </c>
      <c r="H264" s="15">
        <v>2013</v>
      </c>
      <c r="I264" s="15">
        <v>0</v>
      </c>
      <c r="J264" s="15">
        <v>1</v>
      </c>
      <c r="K264" s="16" t="e">
        <f>IF(#REF!="","",#REF!*$I264)</f>
        <v>#REF!</v>
      </c>
      <c r="L264" s="17">
        <f>IF(ISBLANK(Deal_Master_Wide!$BS$40),"",Deal_Master_Wide!$BS$40)</f>
        <v>31221.027999999998</v>
      </c>
      <c r="M264" s="17">
        <f>IF(ISBLANK(Deal_Master_Wide!$BZ$40),"",Deal_Master_Wide!$BZ$40)</f>
        <v>8845.0745000000006</v>
      </c>
      <c r="N264" s="17">
        <f>IF(ISBLANK(Deal_Master_Wide!$CG$40),"",Deal_Master_Wide!$CG$40)</f>
        <v>6403.2260999999999</v>
      </c>
      <c r="O264" s="17">
        <f>IF(ISBLANK(Deal_Master_Wide!$CN$40),"",Deal_Master_Wide!$CN$40)</f>
        <v>50561.801099999997</v>
      </c>
      <c r="P264" s="17">
        <f>IF(ISBLANK(Deal_Master_Wide!$CU$40),"",Deal_Master_Wide!$CU$40)</f>
        <v>21919.404600000002</v>
      </c>
      <c r="Q264" s="17">
        <f>IF(ISBLANK(Deal_Master_Wide!$DB$40),"",Deal_Master_Wide!$DB$40)</f>
        <v>4119.2203</v>
      </c>
      <c r="R264" s="18">
        <f>IF(ISBLANK(Deal_Master_Wide!$DI$40),"",Deal_Master_Wide!$DI$40)</f>
        <v>13.0099</v>
      </c>
      <c r="S264" s="18">
        <f>IF(ISBLANK(Deal_Master_Wide!$DP$40),"",Deal_Master_Wide!$DP$40)</f>
        <v>26.670400000000001</v>
      </c>
      <c r="T264" s="18">
        <f>IF(ISBLANK(Deal_Master_Wide!$DW$40),"",Deal_Master_Wide!$DW$40)</f>
        <v>43.351700000000001</v>
      </c>
      <c r="U264" s="17">
        <f>IF(ISBLANK(Deal_Master_Wide!$ED$40),"",Deal_Master_Wide!$ED$40)</f>
        <v>7</v>
      </c>
      <c r="V264" s="17">
        <f>IF(ISBLANK(Deal_Master_Wide!$EK$40),"",Deal_Master_Wide!$EK$40)</f>
        <v>37</v>
      </c>
      <c r="W264" s="17">
        <f>IF(ISBLANK(Deal_Master_Wide!$AF$40),"",Deal_Master_Wide!$AF$40)</f>
        <v>325</v>
      </c>
    </row>
    <row r="265" spans="1:23" ht="13.4" customHeight="1">
      <c r="A265" s="15" t="s">
        <v>599</v>
      </c>
      <c r="B265" s="15" t="s">
        <v>177</v>
      </c>
      <c r="C265" s="15">
        <v>1</v>
      </c>
      <c r="D265" s="15" t="s">
        <v>603</v>
      </c>
      <c r="E265" s="15" t="s">
        <v>605</v>
      </c>
      <c r="F265" s="15">
        <v>2013</v>
      </c>
      <c r="G265" s="15">
        <v>1</v>
      </c>
      <c r="H265" s="15">
        <v>2014</v>
      </c>
      <c r="I265" s="15">
        <v>1</v>
      </c>
      <c r="J265" s="15">
        <v>1</v>
      </c>
      <c r="K265" s="16" t="e">
        <f>IF(#REF!="","",#REF!*$I265)</f>
        <v>#REF!</v>
      </c>
      <c r="L265" s="17">
        <f>IF(ISBLANK(Deal_Master_Wide!$BT$40),"",Deal_Master_Wide!$BT$40)</f>
        <v>28547.647099999998</v>
      </c>
      <c r="M265" s="17">
        <f>IF(ISBLANK(Deal_Master_Wide!$CA$40),"",Deal_Master_Wide!$CA$40)</f>
        <v>7446.5109000000002</v>
      </c>
      <c r="N265" s="17">
        <f>IF(ISBLANK(Deal_Master_Wide!$CH$40),"",Deal_Master_Wide!$CH$40)</f>
        <v>3419.8607000000002</v>
      </c>
      <c r="O265" s="17">
        <f>IF(ISBLANK(Deal_Master_Wide!$CO$40),"",Deal_Master_Wide!$CO$40)</f>
        <v>52345.721599999997</v>
      </c>
      <c r="P265" s="17">
        <f>IF(ISBLANK(Deal_Master_Wide!$CV$40),"",Deal_Master_Wide!$CV$40)</f>
        <v>24187.892899999999</v>
      </c>
      <c r="Q265" s="17">
        <f>IF(ISBLANK(Deal_Master_Wide!$DC$40),"",Deal_Master_Wide!$DC$40)</f>
        <v>3952.1975000000002</v>
      </c>
      <c r="R265" s="18">
        <f>IF(ISBLANK(Deal_Master_Wide!$DJ$40),"",Deal_Master_Wide!$DJ$40)</f>
        <v>6.6620999999999997</v>
      </c>
      <c r="S265" s="18">
        <f>IF(ISBLANK(Deal_Master_Wide!$DQ$40),"",Deal_Master_Wide!$DQ$40)</f>
        <v>15.556800000000001</v>
      </c>
      <c r="T265" s="18">
        <f>IF(ISBLANK(Deal_Master_Wide!$DX$40),"",Deal_Master_Wide!$DX$40)</f>
        <v>46.207999999999998</v>
      </c>
      <c r="U265" s="17">
        <f>IF(ISBLANK(Deal_Master_Wide!$EE$40),"",Deal_Master_Wide!$EE$40)</f>
        <v>1</v>
      </c>
      <c r="V265" s="17">
        <f>IF(ISBLANK(Deal_Master_Wide!$EL$40),"",Deal_Master_Wide!$EL$40)</f>
        <v>0</v>
      </c>
      <c r="W265" s="17">
        <f>IF(ISBLANK(Deal_Master_Wide!$AF$40),"",Deal_Master_Wide!$AF$40)</f>
        <v>325</v>
      </c>
    </row>
    <row r="266" spans="1:23" ht="13.4" customHeight="1">
      <c r="A266" s="15" t="s">
        <v>599</v>
      </c>
      <c r="B266" s="15" t="s">
        <v>177</v>
      </c>
      <c r="C266" s="15">
        <v>1</v>
      </c>
      <c r="D266" s="15" t="s">
        <v>603</v>
      </c>
      <c r="E266" s="15" t="s">
        <v>605</v>
      </c>
      <c r="F266" s="15">
        <v>2013</v>
      </c>
      <c r="G266" s="15">
        <v>2</v>
      </c>
      <c r="H266" s="15">
        <v>2015</v>
      </c>
      <c r="I266" s="15">
        <v>1</v>
      </c>
      <c r="J266" s="15">
        <v>1</v>
      </c>
      <c r="K266" s="16" t="e">
        <f>IF(#REF!="","",#REF!*$I266)</f>
        <v>#REF!</v>
      </c>
      <c r="L266" s="17">
        <f>IF(ISBLANK(Deal_Master_Wide!$BU$40),"",Deal_Master_Wide!$BU$40)</f>
        <v>32954.9709</v>
      </c>
      <c r="M266" s="17">
        <f>IF(ISBLANK(Deal_Master_Wide!$CB$40),"",Deal_Master_Wide!$CB$40)</f>
        <v>7646.7434000000003</v>
      </c>
      <c r="N266" s="17">
        <f>IF(ISBLANK(Deal_Master_Wide!$CI$40),"",Deal_Master_Wide!$CI$40)</f>
        <v>11601.670599999999</v>
      </c>
      <c r="O266" s="17">
        <f>IF(ISBLANK(Deal_Master_Wide!$CP$40),"",Deal_Master_Wide!$CP$40)</f>
        <v>72471.320099999997</v>
      </c>
      <c r="P266" s="17">
        <f>IF(ISBLANK(Deal_Master_Wide!$CW$40),"",Deal_Master_Wide!$CW$40)</f>
        <v>22552.5389</v>
      </c>
      <c r="Q266" s="17">
        <f>IF(ISBLANK(Deal_Master_Wide!$DD$40),"",Deal_Master_Wide!$DD$40)</f>
        <v>4321.3536999999997</v>
      </c>
      <c r="R266" s="18">
        <f>IF(ISBLANK(Deal_Master_Wide!$DK$40),"",Deal_Master_Wide!$DK$40)</f>
        <v>17.900700000000001</v>
      </c>
      <c r="S266" s="18">
        <f>IF(ISBLANK(Deal_Master_Wide!$DR$40),"",Deal_Master_Wide!$DR$40)</f>
        <v>43.343200000000003</v>
      </c>
      <c r="T266" s="18">
        <f>IF(ISBLANK(Deal_Master_Wide!$DY$40),"",Deal_Master_Wide!$DY$40)</f>
        <v>31.119299999999999</v>
      </c>
      <c r="U266" s="17">
        <f>IF(ISBLANK(Deal_Master_Wide!$EF$40),"",Deal_Master_Wide!$EF$40)</f>
        <v>2</v>
      </c>
      <c r="V266" s="17">
        <f>IF(ISBLANK(Deal_Master_Wide!$EM$40),"",Deal_Master_Wide!$EM$40)</f>
        <v>1</v>
      </c>
      <c r="W266" s="17">
        <f>IF(ISBLANK(Deal_Master_Wide!$AF$40),"",Deal_Master_Wide!$AF$40)</f>
        <v>325</v>
      </c>
    </row>
    <row r="267" spans="1:23" ht="13.4" customHeight="1">
      <c r="A267" s="15" t="s">
        <v>599</v>
      </c>
      <c r="B267" s="15" t="s">
        <v>177</v>
      </c>
      <c r="C267" s="15">
        <v>1</v>
      </c>
      <c r="D267" s="15" t="s">
        <v>603</v>
      </c>
      <c r="E267" s="15" t="s">
        <v>605</v>
      </c>
      <c r="F267" s="15">
        <v>2013</v>
      </c>
      <c r="G267" s="15">
        <v>3</v>
      </c>
      <c r="H267" s="15">
        <v>2016</v>
      </c>
      <c r="I267" s="15">
        <v>1</v>
      </c>
      <c r="J267" s="15">
        <v>1</v>
      </c>
      <c r="K267" s="16" t="e">
        <f>IF(#REF!="","",#REF!*$I267)</f>
        <v>#REF!</v>
      </c>
      <c r="L267" s="17">
        <f>IF(ISBLANK(Deal_Master_Wide!$BV$40),"",Deal_Master_Wide!$BV$40)</f>
        <v>34143.305899999999</v>
      </c>
      <c r="M267" s="17">
        <f>IF(ISBLANK(Deal_Master_Wide!$CC$40),"",Deal_Master_Wide!$CC$40)</f>
        <v>9044.8114000000005</v>
      </c>
      <c r="N267" s="17">
        <f>IF(ISBLANK(Deal_Master_Wide!$CJ$40),"",Deal_Master_Wide!$CJ$40)</f>
        <v>1116.5225</v>
      </c>
      <c r="O267" s="17">
        <f>IF(ISBLANK(Deal_Master_Wide!$CQ$40),"",Deal_Master_Wide!$CQ$40)</f>
        <v>69152.834499999997</v>
      </c>
      <c r="P267" s="17">
        <f>IF(ISBLANK(Deal_Master_Wide!$CX$40),"",Deal_Master_Wide!$CX$40)</f>
        <v>21993.225600000002</v>
      </c>
      <c r="Q267" s="17">
        <f>IF(ISBLANK(Deal_Master_Wide!$DE$40),"",Deal_Master_Wide!$DE$40)</f>
        <v>4295.9180999999999</v>
      </c>
      <c r="R267" s="18">
        <f>IF(ISBLANK(Deal_Master_Wide!$DL$40),"",Deal_Master_Wide!$DL$40)</f>
        <v>1.6209</v>
      </c>
      <c r="S267" s="18">
        <f>IF(ISBLANK(Deal_Master_Wide!$DS$40),"",Deal_Master_Wide!$DS$40)</f>
        <v>9.5054999999999996</v>
      </c>
      <c r="T267" s="18">
        <f>IF(ISBLANK(Deal_Master_Wide!$DZ$40),"",Deal_Master_Wide!$DZ$40)</f>
        <v>31.803799999999999</v>
      </c>
      <c r="U267" s="17">
        <f>IF(ISBLANK(Deal_Master_Wide!$EG$40),"",Deal_Master_Wide!$EG$40)</f>
        <v>6</v>
      </c>
      <c r="V267" s="17">
        <f>IF(ISBLANK(Deal_Master_Wide!$EN$40),"",Deal_Master_Wide!$EN$40)</f>
        <v>18</v>
      </c>
      <c r="W267" s="17">
        <f>IF(ISBLANK(Deal_Master_Wide!$AF$40),"",Deal_Master_Wide!$AF$40)</f>
        <v>325</v>
      </c>
    </row>
    <row r="268" spans="1:23" ht="13.4" customHeight="1">
      <c r="A268" s="15" t="s">
        <v>612</v>
      </c>
      <c r="B268" s="15" t="s">
        <v>177</v>
      </c>
      <c r="C268" s="15">
        <v>1</v>
      </c>
      <c r="D268" s="15" t="s">
        <v>616</v>
      </c>
      <c r="E268" s="15" t="s">
        <v>618</v>
      </c>
      <c r="F268" s="15">
        <v>2013</v>
      </c>
      <c r="G268" s="15">
        <v>-3</v>
      </c>
      <c r="H268" s="15">
        <v>2010</v>
      </c>
      <c r="I268" s="15">
        <v>0</v>
      </c>
      <c r="J268" s="15">
        <v>0</v>
      </c>
      <c r="K268" s="16" t="e">
        <f>IF(#REF!="","",#REF!*$I268)</f>
        <v>#REF!</v>
      </c>
      <c r="L268" s="17">
        <f>IF(ISBLANK(Deal_Master_Wide!$BP$41),"",Deal_Master_Wide!$BP$41)</f>
        <v>680.33299999999997</v>
      </c>
      <c r="M268" s="17">
        <f>IF(ISBLANK(Deal_Master_Wide!$BW$41),"",Deal_Master_Wide!$BW$41)</f>
        <v>61.970999999999997</v>
      </c>
      <c r="N268" s="17">
        <f>IF(ISBLANK(Deal_Master_Wide!$CD$41),"",Deal_Master_Wide!$CD$41)</f>
        <v>23.4</v>
      </c>
      <c r="O268" s="17">
        <f>IF(ISBLANK(Deal_Master_Wide!$CK$41),"",Deal_Master_Wide!$CK$41)</f>
        <v>736.16099999999994</v>
      </c>
      <c r="P268" s="17">
        <f>IF(ISBLANK(Deal_Master_Wide!$CR$41),"",Deal_Master_Wide!$CR$41)</f>
        <v>276.71800000000002</v>
      </c>
      <c r="Q268" s="17" t="str">
        <f>IF(ISBLANK(Deal_Master_Wide!$CY$41),"",Deal_Master_Wide!$CY$41)</f>
        <v/>
      </c>
      <c r="R268" s="18">
        <f>IF(ISBLANK(Deal_Master_Wide!$DF$41),"",Deal_Master_Wide!$DF$41)</f>
        <v>13.152699999999999</v>
      </c>
      <c r="S268" s="18">
        <f>IF(ISBLANK(Deal_Master_Wide!$DM$41),"",Deal_Master_Wide!$DM$41)</f>
        <v>108.03440000000001</v>
      </c>
      <c r="T268" s="18">
        <f>IF(ISBLANK(Deal_Master_Wide!$DT$41),"",Deal_Master_Wide!$DT$41)</f>
        <v>37.589331681520761</v>
      </c>
      <c r="U268" s="17" t="str">
        <f>IF(ISBLANK(Deal_Master_Wide!$EA$41),"",Deal_Master_Wide!$EA$41)</f>
        <v/>
      </c>
      <c r="V268" s="17" t="str">
        <f>IF(ISBLANK(Deal_Master_Wide!$EH$41),"",Deal_Master_Wide!$EH$41)</f>
        <v/>
      </c>
      <c r="W268" s="17" t="str">
        <f>IF(ISBLANK(Deal_Master_Wide!$AF$41),"",Deal_Master_Wide!$AF$41)</f>
        <v/>
      </c>
    </row>
    <row r="269" spans="1:23" ht="13.4" customHeight="1">
      <c r="A269" s="15" t="s">
        <v>612</v>
      </c>
      <c r="B269" s="15" t="s">
        <v>177</v>
      </c>
      <c r="C269" s="15">
        <v>1</v>
      </c>
      <c r="D269" s="15" t="s">
        <v>616</v>
      </c>
      <c r="E269" s="15" t="s">
        <v>618</v>
      </c>
      <c r="F269" s="15">
        <v>2013</v>
      </c>
      <c r="G269" s="15">
        <v>-2</v>
      </c>
      <c r="H269" s="15">
        <v>2011</v>
      </c>
      <c r="I269" s="15">
        <v>0</v>
      </c>
      <c r="J269" s="15">
        <v>0</v>
      </c>
      <c r="K269" s="16" t="e">
        <f>IF(#REF!="","",#REF!*$I269)</f>
        <v>#REF!</v>
      </c>
      <c r="L269" s="17">
        <f>IF(ISBLANK(Deal_Master_Wide!$BQ$41),"",Deal_Master_Wide!$BQ$41)</f>
        <v>828.93399999999997</v>
      </c>
      <c r="M269" s="17">
        <f>IF(ISBLANK(Deal_Master_Wide!$BX$41),"",Deal_Master_Wide!$BX$41)</f>
        <v>91.366</v>
      </c>
      <c r="N269" s="17">
        <f>IF(ISBLANK(Deal_Master_Wide!$CE$41),"",Deal_Master_Wide!$CE$41)</f>
        <v>55.406999999999996</v>
      </c>
      <c r="O269" s="17">
        <f>IF(ISBLANK(Deal_Master_Wide!$CL$41),"",Deal_Master_Wide!$CL$41)</f>
        <v>1074.575</v>
      </c>
      <c r="P269" s="17">
        <f>IF(ISBLANK(Deal_Master_Wide!$CS$41),"",Deal_Master_Wide!$CS$41)</f>
        <v>434.67699999999996</v>
      </c>
      <c r="Q269" s="17" t="str">
        <f>IF(ISBLANK(Deal_Master_Wide!$CZ$41),"",Deal_Master_Wide!$CZ$41)</f>
        <v/>
      </c>
      <c r="R269" s="18">
        <f>IF(ISBLANK(Deal_Master_Wide!$DG$41),"",Deal_Master_Wide!$DG$41)</f>
        <v>13.426</v>
      </c>
      <c r="S269" s="18">
        <f>IF(ISBLANK(Deal_Master_Wide!$DN$41),"",Deal_Master_Wide!$DN$41)</f>
        <v>108.3867</v>
      </c>
      <c r="T269" s="18">
        <f>IF(ISBLANK(Deal_Master_Wide!$DU$41),"",Deal_Master_Wide!$DU$41)</f>
        <v>40.45106204778633</v>
      </c>
      <c r="U269" s="17" t="str">
        <f>IF(ISBLANK(Deal_Master_Wide!$EB$41),"",Deal_Master_Wide!$EB$41)</f>
        <v/>
      </c>
      <c r="V269" s="17" t="str">
        <f>IF(ISBLANK(Deal_Master_Wide!$EI$41),"",Deal_Master_Wide!$EI$41)</f>
        <v/>
      </c>
      <c r="W269" s="17" t="str">
        <f>IF(ISBLANK(Deal_Master_Wide!$AF$41),"",Deal_Master_Wide!$AF$41)</f>
        <v/>
      </c>
    </row>
    <row r="270" spans="1:23" ht="13.4" customHeight="1">
      <c r="A270" s="15" t="s">
        <v>612</v>
      </c>
      <c r="B270" s="15" t="s">
        <v>177</v>
      </c>
      <c r="C270" s="15">
        <v>1</v>
      </c>
      <c r="D270" s="15" t="s">
        <v>616</v>
      </c>
      <c r="E270" s="15" t="s">
        <v>618</v>
      </c>
      <c r="F270" s="15">
        <v>2013</v>
      </c>
      <c r="G270" s="15">
        <v>-1</v>
      </c>
      <c r="H270" s="15">
        <v>2012</v>
      </c>
      <c r="I270" s="15">
        <v>0</v>
      </c>
      <c r="J270" s="15">
        <v>0</v>
      </c>
      <c r="K270" s="16" t="e">
        <f>IF(#REF!="","",#REF!*$I270)</f>
        <v>#REF!</v>
      </c>
      <c r="L270" s="17">
        <f>IF(ISBLANK(Deal_Master_Wide!$BR$41),"",Deal_Master_Wide!$BR$41)</f>
        <v>1043.963</v>
      </c>
      <c r="M270" s="17">
        <f>IF(ISBLANK(Deal_Master_Wide!$BY$41),"",Deal_Master_Wide!$BY$41)</f>
        <v>124.738</v>
      </c>
      <c r="N270" s="17">
        <f>IF(ISBLANK(Deal_Master_Wide!$CF$41),"",Deal_Master_Wide!$CF$41)</f>
        <v>65.924000000000007</v>
      </c>
      <c r="O270" s="17">
        <f>IF(ISBLANK(Deal_Master_Wide!$CM$41),"",Deal_Master_Wide!$CM$41)</f>
        <v>1159.096</v>
      </c>
      <c r="P270" s="17">
        <f>IF(ISBLANK(Deal_Master_Wide!$CT$41),"",Deal_Master_Wide!$CT$41)</f>
        <v>435.11899999999997</v>
      </c>
      <c r="Q270" s="17" t="str">
        <f>IF(ISBLANK(Deal_Master_Wide!$DA$41),"",Deal_Master_Wide!$DA$41)</f>
        <v/>
      </c>
      <c r="R270" s="18">
        <f>IF(ISBLANK(Deal_Master_Wide!$DH$41),"",Deal_Master_Wide!$DH$41)</f>
        <v>5.9027493305862855</v>
      </c>
      <c r="S270" s="18">
        <f>IF(ISBLANK(Deal_Master_Wide!$DO$41),"",Deal_Master_Wide!$DO$41)</f>
        <v>11.948507753627283</v>
      </c>
      <c r="T270" s="18">
        <f>IF(ISBLANK(Deal_Master_Wide!$DV$41),"",Deal_Master_Wide!$DV$41)</f>
        <v>37.539513551940473</v>
      </c>
      <c r="U270" s="17" t="str">
        <f>IF(ISBLANK(Deal_Master_Wide!$EC$41),"",Deal_Master_Wide!$EC$41)</f>
        <v/>
      </c>
      <c r="V270" s="17" t="str">
        <f>IF(ISBLANK(Deal_Master_Wide!$EJ$41),"",Deal_Master_Wide!$EJ$41)</f>
        <v/>
      </c>
      <c r="W270" s="17" t="str">
        <f>IF(ISBLANK(Deal_Master_Wide!$AF$41),"",Deal_Master_Wide!$AF$41)</f>
        <v/>
      </c>
    </row>
    <row r="271" spans="1:23" ht="13.4" customHeight="1">
      <c r="A271" s="15" t="s">
        <v>612</v>
      </c>
      <c r="B271" s="15" t="s">
        <v>177</v>
      </c>
      <c r="C271" s="15">
        <v>1</v>
      </c>
      <c r="D271" s="15" t="s">
        <v>616</v>
      </c>
      <c r="E271" s="15" t="s">
        <v>618</v>
      </c>
      <c r="F271" s="15">
        <v>2013</v>
      </c>
      <c r="G271" s="15">
        <v>0</v>
      </c>
      <c r="H271" s="15">
        <v>2013</v>
      </c>
      <c r="I271" s="15">
        <v>0</v>
      </c>
      <c r="J271" s="15">
        <v>1</v>
      </c>
      <c r="K271" s="16" t="e">
        <f>IF(#REF!="","",#REF!*$I271)</f>
        <v>#REF!</v>
      </c>
      <c r="L271" s="17">
        <f>IF(ISBLANK(Deal_Master_Wide!$BS$41),"",Deal_Master_Wide!$BS$41)</f>
        <v>1225.5719999999999</v>
      </c>
      <c r="M271" s="17">
        <f>IF(ISBLANK(Deal_Master_Wide!$BZ$41),"",Deal_Master_Wide!$BZ$41)</f>
        <v>151.279</v>
      </c>
      <c r="N271" s="17">
        <f>IF(ISBLANK(Deal_Master_Wide!$CG$41),"",Deal_Master_Wide!$CG$41)</f>
        <v>72.180000000000007</v>
      </c>
      <c r="O271" s="17">
        <f>IF(ISBLANK(Deal_Master_Wide!$CN$41),"",Deal_Master_Wide!$CN$41)</f>
        <v>1497.0160000000001</v>
      </c>
      <c r="P271" s="17">
        <f>IF(ISBLANK(Deal_Master_Wide!$CU$41),"",Deal_Master_Wide!$CU$41)</f>
        <v>684.10299999999995</v>
      </c>
      <c r="Q271" s="17" t="str">
        <f>IF(ISBLANK(Deal_Master_Wide!$DB$41),"",Deal_Master_Wide!$DB$41)</f>
        <v/>
      </c>
      <c r="R271" s="18">
        <f>IF(ISBLANK(Deal_Master_Wide!$DI$41),"",Deal_Master_Wide!$DI$41)</f>
        <v>5.4350117766118302</v>
      </c>
      <c r="S271" s="18">
        <f>IF(ISBLANK(Deal_Master_Wide!$DP$41),"",Deal_Master_Wide!$DP$41)</f>
        <v>12.343542443854789</v>
      </c>
      <c r="T271" s="18">
        <f>IF(ISBLANK(Deal_Master_Wide!$DW$41),"",Deal_Master_Wide!$DW$41)</f>
        <v>45.697774773282305</v>
      </c>
      <c r="U271" s="17" t="str">
        <f>IF(ISBLANK(Deal_Master_Wide!$ED$41),"",Deal_Master_Wide!$ED$41)</f>
        <v/>
      </c>
      <c r="V271" s="17" t="str">
        <f>IF(ISBLANK(Deal_Master_Wide!$EK$41),"",Deal_Master_Wide!$EK$41)</f>
        <v/>
      </c>
      <c r="W271" s="17" t="str">
        <f>IF(ISBLANK(Deal_Master_Wide!$AF$41),"",Deal_Master_Wide!$AF$41)</f>
        <v/>
      </c>
    </row>
    <row r="272" spans="1:23" ht="13.4" customHeight="1">
      <c r="A272" s="15" t="s">
        <v>612</v>
      </c>
      <c r="B272" s="15" t="s">
        <v>177</v>
      </c>
      <c r="C272" s="15">
        <v>1</v>
      </c>
      <c r="D272" s="15" t="s">
        <v>616</v>
      </c>
      <c r="E272" s="15" t="s">
        <v>618</v>
      </c>
      <c r="F272" s="15">
        <v>2013</v>
      </c>
      <c r="G272" s="15">
        <v>1</v>
      </c>
      <c r="H272" s="15">
        <v>2014</v>
      </c>
      <c r="I272" s="15">
        <v>1</v>
      </c>
      <c r="J272" s="15">
        <v>1</v>
      </c>
      <c r="K272" s="16" t="e">
        <f>IF(#REF!="","",#REF!*$I272)</f>
        <v>#REF!</v>
      </c>
      <c r="L272" s="17">
        <f>IF(ISBLANK(Deal_Master_Wide!$BT$41),"",Deal_Master_Wide!$BT$41)</f>
        <v>1410.2270000000001</v>
      </c>
      <c r="M272" s="17">
        <f>IF(ISBLANK(Deal_Master_Wide!$CA$41),"",Deal_Master_Wide!$CA$41)</f>
        <v>174.39</v>
      </c>
      <c r="N272" s="17">
        <f>IF(ISBLANK(Deal_Master_Wide!$CH$41),"",Deal_Master_Wide!$CH$41)</f>
        <v>79.103999999999999</v>
      </c>
      <c r="O272" s="17">
        <f>IF(ISBLANK(Deal_Master_Wide!$CO$41),"",Deal_Master_Wide!$CO$41)</f>
        <v>1873.19</v>
      </c>
      <c r="P272" s="17">
        <f>IF(ISBLANK(Deal_Master_Wide!$CV$41),"",Deal_Master_Wide!$CV$41)</f>
        <v>710.23199999999997</v>
      </c>
      <c r="Q272" s="17" t="str">
        <f>IF(ISBLANK(Deal_Master_Wide!$DC$41),"",Deal_Master_Wide!$DC$41)</f>
        <v/>
      </c>
      <c r="R272" s="18">
        <f>IF(ISBLANK(Deal_Master_Wide!$DJ$41),"",Deal_Master_Wide!$DJ$41)</f>
        <v>4.6943124544909116</v>
      </c>
      <c r="S272" s="18">
        <f>IF(ISBLANK(Deal_Master_Wide!$DQ$41),"",Deal_Master_Wide!$DQ$41)</f>
        <v>12.366094252911056</v>
      </c>
      <c r="T272" s="18">
        <f>IF(ISBLANK(Deal_Master_Wide!$DX$41),"",Deal_Master_Wide!$DX$41)</f>
        <v>37.915641232336277</v>
      </c>
      <c r="U272" s="17" t="str">
        <f>IF(ISBLANK(Deal_Master_Wide!$EE$41),"",Deal_Master_Wide!$EE$41)</f>
        <v/>
      </c>
      <c r="V272" s="17" t="str">
        <f>IF(ISBLANK(Deal_Master_Wide!$EL$41),"",Deal_Master_Wide!$EL$41)</f>
        <v/>
      </c>
      <c r="W272" s="17" t="str">
        <f>IF(ISBLANK(Deal_Master_Wide!$AF$41),"",Deal_Master_Wide!$AF$41)</f>
        <v/>
      </c>
    </row>
    <row r="273" spans="1:23" ht="13.4" customHeight="1">
      <c r="A273" s="15" t="s">
        <v>612</v>
      </c>
      <c r="B273" s="15" t="s">
        <v>177</v>
      </c>
      <c r="C273" s="15">
        <v>1</v>
      </c>
      <c r="D273" s="15" t="s">
        <v>616</v>
      </c>
      <c r="E273" s="15" t="s">
        <v>618</v>
      </c>
      <c r="F273" s="15">
        <v>2013</v>
      </c>
      <c r="G273" s="15">
        <v>2</v>
      </c>
      <c r="H273" s="15">
        <v>2015</v>
      </c>
      <c r="I273" s="15">
        <v>1</v>
      </c>
      <c r="J273" s="15">
        <v>1</v>
      </c>
      <c r="K273" s="16" t="e">
        <f>IF(#REF!="","",#REF!*$I273)</f>
        <v>#REF!</v>
      </c>
      <c r="L273" s="17">
        <f>IF(ISBLANK(Deal_Master_Wide!$BU$41),"",Deal_Master_Wide!$BU$41)</f>
        <v>1950.0740000000001</v>
      </c>
      <c r="M273" s="17">
        <f>IF(ISBLANK(Deal_Master_Wide!$CB$41),"",Deal_Master_Wide!$CB$41)</f>
        <v>235.358</v>
      </c>
      <c r="N273" s="17">
        <f>IF(ISBLANK(Deal_Master_Wide!$CI$41),"",Deal_Master_Wide!$CI$41)</f>
        <v>87.316000000000003</v>
      </c>
      <c r="O273" s="17">
        <f>IF(ISBLANK(Deal_Master_Wide!$CP$41),"",Deal_Master_Wide!$CP$41)</f>
        <v>3699.8330000000001</v>
      </c>
      <c r="P273" s="17">
        <f>IF(ISBLANK(Deal_Master_Wide!$CW$41),"",Deal_Master_Wide!$CW$41)</f>
        <v>1710.0330000000001</v>
      </c>
      <c r="Q273" s="17">
        <f>IF(ISBLANK(Deal_Master_Wide!$DD$41),"",Deal_Master_Wide!$DD$41)</f>
        <v>0</v>
      </c>
      <c r="R273" s="18">
        <f>IF(ISBLANK(Deal_Master_Wide!$DK$41),"",Deal_Master_Wide!$DK$41)</f>
        <v>3.133523762597068</v>
      </c>
      <c r="S273" s="18">
        <f>IF(ISBLANK(Deal_Master_Wide!$DR$41),"",Deal_Master_Wide!$DR$41)</f>
        <v>12.069183015618894</v>
      </c>
      <c r="T273" s="18">
        <f>IF(ISBLANK(Deal_Master_Wide!$DY$41),"",Deal_Master_Wide!$DY$41)</f>
        <v>46.219194217684965</v>
      </c>
      <c r="U273" s="17" t="str">
        <f>IF(ISBLANK(Deal_Master_Wide!$EF$41),"",Deal_Master_Wide!$EF$41)</f>
        <v/>
      </c>
      <c r="V273" s="17" t="str">
        <f>IF(ISBLANK(Deal_Master_Wide!$EM$41),"",Deal_Master_Wide!$EM$41)</f>
        <v/>
      </c>
      <c r="W273" s="17" t="str">
        <f>IF(ISBLANK(Deal_Master_Wide!$AF$41),"",Deal_Master_Wide!$AF$41)</f>
        <v/>
      </c>
    </row>
    <row r="274" spans="1:23" ht="13.4" customHeight="1">
      <c r="A274" s="15" t="s">
        <v>612</v>
      </c>
      <c r="B274" s="15" t="s">
        <v>177</v>
      </c>
      <c r="C274" s="15">
        <v>1</v>
      </c>
      <c r="D274" s="15" t="s">
        <v>616</v>
      </c>
      <c r="E274" s="15" t="s">
        <v>618</v>
      </c>
      <c r="F274" s="15">
        <v>2013</v>
      </c>
      <c r="G274" s="15">
        <v>3</v>
      </c>
      <c r="H274" s="15">
        <v>2016</v>
      </c>
      <c r="I274" s="15">
        <v>1</v>
      </c>
      <c r="J274" s="15">
        <v>1</v>
      </c>
      <c r="K274" s="16" t="e">
        <f>IF(#REF!="","",#REF!*$I274)</f>
        <v>#REF!</v>
      </c>
      <c r="L274" s="17">
        <f>IF(ISBLANK(Deal_Master_Wide!$BV$41),"",Deal_Master_Wide!$BV$41)</f>
        <v>2536.6080000000002</v>
      </c>
      <c r="M274" s="17">
        <f>IF(ISBLANK(Deal_Master_Wide!$CC$41),"",Deal_Master_Wide!$CC$41)</f>
        <v>317.94600000000003</v>
      </c>
      <c r="N274" s="17">
        <f>IF(ISBLANK(Deal_Master_Wide!$CJ$41),"",Deal_Master_Wide!$CJ$41)</f>
        <v>173.99700000000001</v>
      </c>
      <c r="O274" s="17">
        <f>IF(ISBLANK(Deal_Master_Wide!$CQ$41),"",Deal_Master_Wide!$CQ$41)</f>
        <v>4129.415</v>
      </c>
      <c r="P274" s="17">
        <f>IF(ISBLANK(Deal_Master_Wide!$CX$41),"",Deal_Master_Wide!$CX$41)</f>
        <v>1383.8779999999999</v>
      </c>
      <c r="Q274" s="17">
        <f>IF(ISBLANK(Deal_Master_Wide!$DE$41),"",Deal_Master_Wide!$DE$41)</f>
        <v>0</v>
      </c>
      <c r="R274" s="18">
        <f>IF(ISBLANK(Deal_Master_Wide!$DL$41),"",Deal_Master_Wide!$DL$41)</f>
        <v>4.4447946980348565</v>
      </c>
      <c r="S274" s="18">
        <f>IF(ISBLANK(Deal_Master_Wide!$DS$41),"",Deal_Master_Wide!$DS$41)</f>
        <v>12.534297770881428</v>
      </c>
      <c r="T274" s="18">
        <f>IF(ISBLANK(Deal_Master_Wide!$DZ$41),"",Deal_Master_Wide!$DZ$41)</f>
        <v>33.512688843334949</v>
      </c>
      <c r="U274" s="17" t="str">
        <f>IF(ISBLANK(Deal_Master_Wide!$EG$41),"",Deal_Master_Wide!$EG$41)</f>
        <v/>
      </c>
      <c r="V274" s="17" t="str">
        <f>IF(ISBLANK(Deal_Master_Wide!$EN$41),"",Deal_Master_Wide!$EN$41)</f>
        <v/>
      </c>
      <c r="W274" s="17" t="str">
        <f>IF(ISBLANK(Deal_Master_Wide!$AF$41),"",Deal_Master_Wide!$AF$41)</f>
        <v/>
      </c>
    </row>
    <row r="275" spans="1:23" ht="13.4" customHeight="1">
      <c r="A275" s="15" t="s">
        <v>625</v>
      </c>
      <c r="B275" s="15" t="s">
        <v>177</v>
      </c>
      <c r="C275" s="15">
        <v>1</v>
      </c>
      <c r="D275" s="15" t="s">
        <v>629</v>
      </c>
      <c r="E275" s="15" t="s">
        <v>631</v>
      </c>
      <c r="F275" s="15">
        <v>2012</v>
      </c>
      <c r="G275" s="15">
        <v>-3</v>
      </c>
      <c r="H275" s="15">
        <v>2009</v>
      </c>
      <c r="I275" s="15">
        <v>0</v>
      </c>
      <c r="J275" s="15">
        <v>0</v>
      </c>
      <c r="K275" s="16" t="e">
        <f>IF(#REF!="","",#REF!*$I275)</f>
        <v>#REF!</v>
      </c>
      <c r="L275" s="17" t="str">
        <f>IF(ISBLANK(Deal_Master_Wide!$BP$42),"",Deal_Master_Wide!$BP$42)</f>
        <v/>
      </c>
      <c r="M275" s="17" t="str">
        <f>IF(ISBLANK(Deal_Master_Wide!$BW$42),"",Deal_Master_Wide!$BW$42)</f>
        <v/>
      </c>
      <c r="N275" s="17" t="str">
        <f>IF(ISBLANK(Deal_Master_Wide!$CD$42),"",Deal_Master_Wide!$CD$42)</f>
        <v/>
      </c>
      <c r="O275" s="17" t="str">
        <f>IF(ISBLANK(Deal_Master_Wide!$CK$42),"",Deal_Master_Wide!$CK$42)</f>
        <v/>
      </c>
      <c r="P275" s="17" t="str">
        <f>IF(ISBLANK(Deal_Master_Wide!$CR$42),"",Deal_Master_Wide!$CR$42)</f>
        <v/>
      </c>
      <c r="Q275" s="17" t="str">
        <f>IF(ISBLANK(Deal_Master_Wide!$CY$42),"",Deal_Master_Wide!$CY$42)</f>
        <v/>
      </c>
      <c r="R275" s="18" t="str">
        <f>IF(ISBLANK(Deal_Master_Wide!$DF$42),"",Deal_Master_Wide!$DF$42)</f>
        <v/>
      </c>
      <c r="S275" s="18" t="str">
        <f>IF(ISBLANK(Deal_Master_Wide!$DM$42),"",Deal_Master_Wide!$DM$42)</f>
        <v/>
      </c>
      <c r="T275" s="18" t="str">
        <f>IF(ISBLANK(Deal_Master_Wide!$DT$42),"",Deal_Master_Wide!$DT$42)</f>
        <v/>
      </c>
      <c r="U275" s="17" t="str">
        <f>IF(ISBLANK(Deal_Master_Wide!$EA$42),"",Deal_Master_Wide!$EA$42)</f>
        <v/>
      </c>
      <c r="V275" s="17" t="str">
        <f>IF(ISBLANK(Deal_Master_Wide!$EH$42),"",Deal_Master_Wide!$EH$42)</f>
        <v/>
      </c>
      <c r="W275" s="17" t="str">
        <f>IF(ISBLANK(Deal_Master_Wide!$AF$42),"",Deal_Master_Wide!$AF$42)</f>
        <v/>
      </c>
    </row>
    <row r="276" spans="1:23" ht="13.4" customHeight="1">
      <c r="A276" s="15" t="s">
        <v>625</v>
      </c>
      <c r="B276" s="15" t="s">
        <v>177</v>
      </c>
      <c r="C276" s="15">
        <v>1</v>
      </c>
      <c r="D276" s="15" t="s">
        <v>629</v>
      </c>
      <c r="E276" s="15" t="s">
        <v>631</v>
      </c>
      <c r="F276" s="15">
        <v>2012</v>
      </c>
      <c r="G276" s="15">
        <v>-2</v>
      </c>
      <c r="H276" s="15">
        <v>2010</v>
      </c>
      <c r="I276" s="15">
        <v>0</v>
      </c>
      <c r="J276" s="15">
        <v>0</v>
      </c>
      <c r="K276" s="16" t="e">
        <f>IF(#REF!="","",#REF!*$I276)</f>
        <v>#REF!</v>
      </c>
      <c r="L276" s="17" t="str">
        <f>IF(ISBLANK(Deal_Master_Wide!$BQ$42),"",Deal_Master_Wide!$BQ$42)</f>
        <v/>
      </c>
      <c r="M276" s="17" t="str">
        <f>IF(ISBLANK(Deal_Master_Wide!$BX$42),"",Deal_Master_Wide!$BX$42)</f>
        <v/>
      </c>
      <c r="N276" s="17" t="str">
        <f>IF(ISBLANK(Deal_Master_Wide!$CE$42),"",Deal_Master_Wide!$CE$42)</f>
        <v/>
      </c>
      <c r="O276" s="17" t="str">
        <f>IF(ISBLANK(Deal_Master_Wide!$CL$42),"",Deal_Master_Wide!$CL$42)</f>
        <v/>
      </c>
      <c r="P276" s="17" t="str">
        <f>IF(ISBLANK(Deal_Master_Wide!$CS$42),"",Deal_Master_Wide!$CS$42)</f>
        <v/>
      </c>
      <c r="Q276" s="17" t="str">
        <f>IF(ISBLANK(Deal_Master_Wide!$CZ$42),"",Deal_Master_Wide!$CZ$42)</f>
        <v/>
      </c>
      <c r="R276" s="18" t="str">
        <f>IF(ISBLANK(Deal_Master_Wide!$DG$42),"",Deal_Master_Wide!$DG$42)</f>
        <v/>
      </c>
      <c r="S276" s="18" t="str">
        <f>IF(ISBLANK(Deal_Master_Wide!$DN$42),"",Deal_Master_Wide!$DN$42)</f>
        <v/>
      </c>
      <c r="T276" s="18" t="str">
        <f>IF(ISBLANK(Deal_Master_Wide!$DU$42),"",Deal_Master_Wide!$DU$42)</f>
        <v/>
      </c>
      <c r="U276" s="17" t="str">
        <f>IF(ISBLANK(Deal_Master_Wide!$EB$42),"",Deal_Master_Wide!$EB$42)</f>
        <v/>
      </c>
      <c r="V276" s="17" t="str">
        <f>IF(ISBLANK(Deal_Master_Wide!$EI$42),"",Deal_Master_Wide!$EI$42)</f>
        <v/>
      </c>
      <c r="W276" s="17" t="str">
        <f>IF(ISBLANK(Deal_Master_Wide!$AF$42),"",Deal_Master_Wide!$AF$42)</f>
        <v/>
      </c>
    </row>
    <row r="277" spans="1:23" ht="13.4" customHeight="1">
      <c r="A277" s="15" t="s">
        <v>625</v>
      </c>
      <c r="B277" s="15" t="s">
        <v>177</v>
      </c>
      <c r="C277" s="15">
        <v>1</v>
      </c>
      <c r="D277" s="15" t="s">
        <v>629</v>
      </c>
      <c r="E277" s="15" t="s">
        <v>631</v>
      </c>
      <c r="F277" s="15">
        <v>2012</v>
      </c>
      <c r="G277" s="15">
        <v>-1</v>
      </c>
      <c r="H277" s="15">
        <v>2011</v>
      </c>
      <c r="I277" s="15">
        <v>0</v>
      </c>
      <c r="J277" s="15">
        <v>0</v>
      </c>
      <c r="K277" s="16" t="e">
        <f>IF(#REF!="","",#REF!*$I277)</f>
        <v>#REF!</v>
      </c>
      <c r="L277" s="17" t="str">
        <f>IF(ISBLANK(Deal_Master_Wide!$BR$42),"",Deal_Master_Wide!$BR$42)</f>
        <v/>
      </c>
      <c r="M277" s="17" t="str">
        <f>IF(ISBLANK(Deal_Master_Wide!$BY$42),"",Deal_Master_Wide!$BY$42)</f>
        <v/>
      </c>
      <c r="N277" s="17" t="str">
        <f>IF(ISBLANK(Deal_Master_Wide!$CF$42),"",Deal_Master_Wide!$CF$42)</f>
        <v/>
      </c>
      <c r="O277" s="17" t="str">
        <f>IF(ISBLANK(Deal_Master_Wide!$CM$42),"",Deal_Master_Wide!$CM$42)</f>
        <v/>
      </c>
      <c r="P277" s="17" t="str">
        <f>IF(ISBLANK(Deal_Master_Wide!$CT$42),"",Deal_Master_Wide!$CT$42)</f>
        <v/>
      </c>
      <c r="Q277" s="17" t="str">
        <f>IF(ISBLANK(Deal_Master_Wide!$DA$42),"",Deal_Master_Wide!$DA$42)</f>
        <v/>
      </c>
      <c r="R277" s="18" t="str">
        <f>IF(ISBLANK(Deal_Master_Wide!$DH$42),"",Deal_Master_Wide!$DH$42)</f>
        <v/>
      </c>
      <c r="S277" s="18" t="str">
        <f>IF(ISBLANK(Deal_Master_Wide!$DO$42),"",Deal_Master_Wide!$DO$42)</f>
        <v/>
      </c>
      <c r="T277" s="18" t="str">
        <f>IF(ISBLANK(Deal_Master_Wide!$DV$42),"",Deal_Master_Wide!$DV$42)</f>
        <v/>
      </c>
      <c r="U277" s="17" t="str">
        <f>IF(ISBLANK(Deal_Master_Wide!$EC$42),"",Deal_Master_Wide!$EC$42)</f>
        <v/>
      </c>
      <c r="V277" s="17" t="str">
        <f>IF(ISBLANK(Deal_Master_Wide!$EJ$42),"",Deal_Master_Wide!$EJ$42)</f>
        <v/>
      </c>
      <c r="W277" s="17" t="str">
        <f>IF(ISBLANK(Deal_Master_Wide!$AF$42),"",Deal_Master_Wide!$AF$42)</f>
        <v/>
      </c>
    </row>
    <row r="278" spans="1:23" ht="13.4" customHeight="1">
      <c r="A278" s="15" t="s">
        <v>625</v>
      </c>
      <c r="B278" s="15" t="s">
        <v>177</v>
      </c>
      <c r="C278" s="15">
        <v>1</v>
      </c>
      <c r="D278" s="15" t="s">
        <v>629</v>
      </c>
      <c r="E278" s="15" t="s">
        <v>631</v>
      </c>
      <c r="F278" s="15">
        <v>2012</v>
      </c>
      <c r="G278" s="15">
        <v>0</v>
      </c>
      <c r="H278" s="15">
        <v>2012</v>
      </c>
      <c r="I278" s="15">
        <v>0</v>
      </c>
      <c r="J278" s="15">
        <v>1</v>
      </c>
      <c r="K278" s="16" t="e">
        <f>IF(#REF!="","",#REF!*$I278)</f>
        <v>#REF!</v>
      </c>
      <c r="L278" s="17" t="str">
        <f>IF(ISBLANK(Deal_Master_Wide!$BS$42),"",Deal_Master_Wide!$BS$42)</f>
        <v/>
      </c>
      <c r="M278" s="17" t="str">
        <f>IF(ISBLANK(Deal_Master_Wide!$BZ$42),"",Deal_Master_Wide!$BZ$42)</f>
        <v/>
      </c>
      <c r="N278" s="17" t="str">
        <f>IF(ISBLANK(Deal_Master_Wide!$CG$42),"",Deal_Master_Wide!$CG$42)</f>
        <v/>
      </c>
      <c r="O278" s="17" t="str">
        <f>IF(ISBLANK(Deal_Master_Wide!$CN$42),"",Deal_Master_Wide!$CN$42)</f>
        <v/>
      </c>
      <c r="P278" s="17" t="str">
        <f>IF(ISBLANK(Deal_Master_Wide!$CU$42),"",Deal_Master_Wide!$CU$42)</f>
        <v/>
      </c>
      <c r="Q278" s="17" t="str">
        <f>IF(ISBLANK(Deal_Master_Wide!$DB$42),"",Deal_Master_Wide!$DB$42)</f>
        <v/>
      </c>
      <c r="R278" s="18" t="str">
        <f>IF(ISBLANK(Deal_Master_Wide!$DI$42),"",Deal_Master_Wide!$DI$42)</f>
        <v/>
      </c>
      <c r="S278" s="18" t="str">
        <f>IF(ISBLANK(Deal_Master_Wide!$DP$42),"",Deal_Master_Wide!$DP$42)</f>
        <v/>
      </c>
      <c r="T278" s="18" t="str">
        <f>IF(ISBLANK(Deal_Master_Wide!$DW$42),"",Deal_Master_Wide!$DW$42)</f>
        <v/>
      </c>
      <c r="U278" s="17" t="str">
        <f>IF(ISBLANK(Deal_Master_Wide!$ED$42),"",Deal_Master_Wide!$ED$42)</f>
        <v/>
      </c>
      <c r="V278" s="17" t="str">
        <f>IF(ISBLANK(Deal_Master_Wide!$EK$42),"",Deal_Master_Wide!$EK$42)</f>
        <v/>
      </c>
      <c r="W278" s="17" t="str">
        <f>IF(ISBLANK(Deal_Master_Wide!$AF$42),"",Deal_Master_Wide!$AF$42)</f>
        <v/>
      </c>
    </row>
    <row r="279" spans="1:23" ht="13.4" customHeight="1">
      <c r="A279" s="15" t="s">
        <v>625</v>
      </c>
      <c r="B279" s="15" t="s">
        <v>177</v>
      </c>
      <c r="C279" s="15">
        <v>1</v>
      </c>
      <c r="D279" s="15" t="s">
        <v>629</v>
      </c>
      <c r="E279" s="15" t="s">
        <v>631</v>
      </c>
      <c r="F279" s="15">
        <v>2012</v>
      </c>
      <c r="G279" s="15">
        <v>1</v>
      </c>
      <c r="H279" s="15">
        <v>2013</v>
      </c>
      <c r="I279" s="15">
        <v>1</v>
      </c>
      <c r="J279" s="15">
        <v>1</v>
      </c>
      <c r="K279" s="16" t="e">
        <f>IF(#REF!="","",#REF!*$I279)</f>
        <v>#REF!</v>
      </c>
      <c r="L279" s="17" t="str">
        <f>IF(ISBLANK(Deal_Master_Wide!$BT$42),"",Deal_Master_Wide!$BT$42)</f>
        <v/>
      </c>
      <c r="M279" s="17" t="str">
        <f>IF(ISBLANK(Deal_Master_Wide!$CA$42),"",Deal_Master_Wide!$CA$42)</f>
        <v/>
      </c>
      <c r="N279" s="17" t="str">
        <f>IF(ISBLANK(Deal_Master_Wide!$CH$42),"",Deal_Master_Wide!$CH$42)</f>
        <v/>
      </c>
      <c r="O279" s="17" t="str">
        <f>IF(ISBLANK(Deal_Master_Wide!$CO$42),"",Deal_Master_Wide!$CO$42)</f>
        <v/>
      </c>
      <c r="P279" s="17" t="str">
        <f>IF(ISBLANK(Deal_Master_Wide!$CV$42),"",Deal_Master_Wide!$CV$42)</f>
        <v/>
      </c>
      <c r="Q279" s="17" t="str">
        <f>IF(ISBLANK(Deal_Master_Wide!$DC$42),"",Deal_Master_Wide!$DC$42)</f>
        <v/>
      </c>
      <c r="R279" s="18" t="str">
        <f>IF(ISBLANK(Deal_Master_Wide!$DJ$42),"",Deal_Master_Wide!$DJ$42)</f>
        <v/>
      </c>
      <c r="S279" s="18" t="str">
        <f>IF(ISBLANK(Deal_Master_Wide!$DQ$42),"",Deal_Master_Wide!$DQ$42)</f>
        <v/>
      </c>
      <c r="T279" s="18" t="str">
        <f>IF(ISBLANK(Deal_Master_Wide!$DX$42),"",Deal_Master_Wide!$DX$42)</f>
        <v/>
      </c>
      <c r="U279" s="17" t="str">
        <f>IF(ISBLANK(Deal_Master_Wide!$EE$42),"",Deal_Master_Wide!$EE$42)</f>
        <v/>
      </c>
      <c r="V279" s="17" t="str">
        <f>IF(ISBLANK(Deal_Master_Wide!$EL$42),"",Deal_Master_Wide!$EL$42)</f>
        <v/>
      </c>
      <c r="W279" s="17" t="str">
        <f>IF(ISBLANK(Deal_Master_Wide!$AF$42),"",Deal_Master_Wide!$AF$42)</f>
        <v/>
      </c>
    </row>
    <row r="280" spans="1:23" ht="13.4" customHeight="1">
      <c r="A280" s="15" t="s">
        <v>625</v>
      </c>
      <c r="B280" s="15" t="s">
        <v>177</v>
      </c>
      <c r="C280" s="15">
        <v>1</v>
      </c>
      <c r="D280" s="15" t="s">
        <v>629</v>
      </c>
      <c r="E280" s="15" t="s">
        <v>631</v>
      </c>
      <c r="F280" s="15">
        <v>2012</v>
      </c>
      <c r="G280" s="15">
        <v>2</v>
      </c>
      <c r="H280" s="15">
        <v>2014</v>
      </c>
      <c r="I280" s="15">
        <v>1</v>
      </c>
      <c r="J280" s="15">
        <v>1</v>
      </c>
      <c r="K280" s="16" t="e">
        <f>IF(#REF!="","",#REF!*$I280)</f>
        <v>#REF!</v>
      </c>
      <c r="L280" s="17" t="str">
        <f>IF(ISBLANK(Deal_Master_Wide!$BU$42),"",Deal_Master_Wide!$BU$42)</f>
        <v/>
      </c>
      <c r="M280" s="17" t="str">
        <f>IF(ISBLANK(Deal_Master_Wide!$CB$42),"",Deal_Master_Wide!$CB$42)</f>
        <v/>
      </c>
      <c r="N280" s="17" t="str">
        <f>IF(ISBLANK(Deal_Master_Wide!$CI$42),"",Deal_Master_Wide!$CI$42)</f>
        <v/>
      </c>
      <c r="O280" s="17" t="str">
        <f>IF(ISBLANK(Deal_Master_Wide!$CP$42),"",Deal_Master_Wide!$CP$42)</f>
        <v/>
      </c>
      <c r="P280" s="17" t="str">
        <f>IF(ISBLANK(Deal_Master_Wide!$CW$42),"",Deal_Master_Wide!$CW$42)</f>
        <v/>
      </c>
      <c r="Q280" s="17" t="str">
        <f>IF(ISBLANK(Deal_Master_Wide!$DD$42),"",Deal_Master_Wide!$DD$42)</f>
        <v/>
      </c>
      <c r="R280" s="18" t="str">
        <f>IF(ISBLANK(Deal_Master_Wide!$DK$42),"",Deal_Master_Wide!$DK$42)</f>
        <v/>
      </c>
      <c r="S280" s="18" t="str">
        <f>IF(ISBLANK(Deal_Master_Wide!$DR$42),"",Deal_Master_Wide!$DR$42)</f>
        <v/>
      </c>
      <c r="T280" s="18" t="str">
        <f>IF(ISBLANK(Deal_Master_Wide!$DY$42),"",Deal_Master_Wide!$DY$42)</f>
        <v/>
      </c>
      <c r="U280" s="17" t="str">
        <f>IF(ISBLANK(Deal_Master_Wide!$EF$42),"",Deal_Master_Wide!$EF$42)</f>
        <v/>
      </c>
      <c r="V280" s="17" t="str">
        <f>IF(ISBLANK(Deal_Master_Wide!$EM$42),"",Deal_Master_Wide!$EM$42)</f>
        <v/>
      </c>
      <c r="W280" s="17" t="str">
        <f>IF(ISBLANK(Deal_Master_Wide!$AF$42),"",Deal_Master_Wide!$AF$42)</f>
        <v/>
      </c>
    </row>
    <row r="281" spans="1:23" ht="13.4" customHeight="1">
      <c r="A281" s="15" t="s">
        <v>625</v>
      </c>
      <c r="B281" s="15" t="s">
        <v>177</v>
      </c>
      <c r="C281" s="15">
        <v>1</v>
      </c>
      <c r="D281" s="15" t="s">
        <v>629</v>
      </c>
      <c r="E281" s="15" t="s">
        <v>631</v>
      </c>
      <c r="F281" s="15">
        <v>2012</v>
      </c>
      <c r="G281" s="15">
        <v>3</v>
      </c>
      <c r="H281" s="15">
        <v>2015</v>
      </c>
      <c r="I281" s="15">
        <v>1</v>
      </c>
      <c r="J281" s="15">
        <v>1</v>
      </c>
      <c r="K281" s="16" t="e">
        <f>IF(#REF!="","",#REF!*$I281)</f>
        <v>#REF!</v>
      </c>
      <c r="L281" s="17" t="str">
        <f>IF(ISBLANK(Deal_Master_Wide!$BV$42),"",Deal_Master_Wide!$BV$42)</f>
        <v/>
      </c>
      <c r="M281" s="17" t="str">
        <f>IF(ISBLANK(Deal_Master_Wide!$CC$42),"",Deal_Master_Wide!$CC$42)</f>
        <v/>
      </c>
      <c r="N281" s="17" t="str">
        <f>IF(ISBLANK(Deal_Master_Wide!$CJ$42),"",Deal_Master_Wide!$CJ$42)</f>
        <v/>
      </c>
      <c r="O281" s="17" t="str">
        <f>IF(ISBLANK(Deal_Master_Wide!$CQ$42),"",Deal_Master_Wide!$CQ$42)</f>
        <v/>
      </c>
      <c r="P281" s="17" t="str">
        <f>IF(ISBLANK(Deal_Master_Wide!$CX$42),"",Deal_Master_Wide!$CX$42)</f>
        <v/>
      </c>
      <c r="Q281" s="17" t="str">
        <f>IF(ISBLANK(Deal_Master_Wide!$DE$42),"",Deal_Master_Wide!$DE$42)</f>
        <v/>
      </c>
      <c r="R281" s="18" t="str">
        <f>IF(ISBLANK(Deal_Master_Wide!$DL$42),"",Deal_Master_Wide!$DL$42)</f>
        <v/>
      </c>
      <c r="S281" s="18" t="str">
        <f>IF(ISBLANK(Deal_Master_Wide!$DS$42),"",Deal_Master_Wide!$DS$42)</f>
        <v/>
      </c>
      <c r="T281" s="18" t="str">
        <f>IF(ISBLANK(Deal_Master_Wide!$DZ$42),"",Deal_Master_Wide!$DZ$42)</f>
        <v/>
      </c>
      <c r="U281" s="17" t="str">
        <f>IF(ISBLANK(Deal_Master_Wide!$EG$42),"",Deal_Master_Wide!$EG$42)</f>
        <v/>
      </c>
      <c r="V281" s="17" t="str">
        <f>IF(ISBLANK(Deal_Master_Wide!$EN$42),"",Deal_Master_Wide!$EN$42)</f>
        <v/>
      </c>
      <c r="W281" s="17" t="str">
        <f>IF(ISBLANK(Deal_Master_Wide!$AF$42),"",Deal_Master_Wide!$AF$42)</f>
        <v/>
      </c>
    </row>
    <row r="282" spans="1:23" ht="13.4" customHeight="1">
      <c r="A282" s="15" t="s">
        <v>635</v>
      </c>
      <c r="B282" s="15" t="s">
        <v>177</v>
      </c>
      <c r="C282" s="15">
        <v>1</v>
      </c>
      <c r="D282" s="15" t="s">
        <v>639</v>
      </c>
      <c r="E282" s="15" t="s">
        <v>641</v>
      </c>
      <c r="F282" s="15">
        <v>2012</v>
      </c>
      <c r="G282" s="15">
        <v>-3</v>
      </c>
      <c r="H282" s="15">
        <v>2009</v>
      </c>
      <c r="I282" s="15">
        <v>0</v>
      </c>
      <c r="J282" s="15">
        <v>0</v>
      </c>
      <c r="K282" s="16" t="e">
        <f>IF(#REF!="","",#REF!*$I282)</f>
        <v>#REF!</v>
      </c>
      <c r="L282" s="17" t="str">
        <f>IF(ISBLANK(Deal_Master_Wide!$BP$43),"",Deal_Master_Wide!$BP$43)</f>
        <v/>
      </c>
      <c r="M282" s="17" t="str">
        <f>IF(ISBLANK(Deal_Master_Wide!$BW$43),"",Deal_Master_Wide!$BW$43)</f>
        <v/>
      </c>
      <c r="N282" s="17" t="str">
        <f>IF(ISBLANK(Deal_Master_Wide!$CD$43),"",Deal_Master_Wide!$CD$43)</f>
        <v/>
      </c>
      <c r="O282" s="17" t="str">
        <f>IF(ISBLANK(Deal_Master_Wide!$CK$43),"",Deal_Master_Wide!$CK$43)</f>
        <v/>
      </c>
      <c r="P282" s="17" t="str">
        <f>IF(ISBLANK(Deal_Master_Wide!$CR$43),"",Deal_Master_Wide!$CR$43)</f>
        <v/>
      </c>
      <c r="Q282" s="17" t="str">
        <f>IF(ISBLANK(Deal_Master_Wide!$CY$43),"",Deal_Master_Wide!$CY$43)</f>
        <v/>
      </c>
      <c r="R282" s="18" t="str">
        <f>IF(ISBLANK(Deal_Master_Wide!$DF$43),"",Deal_Master_Wide!$DF$43)</f>
        <v/>
      </c>
      <c r="S282" s="18" t="str">
        <f>IF(ISBLANK(Deal_Master_Wide!$DM$43),"",Deal_Master_Wide!$DM$43)</f>
        <v/>
      </c>
      <c r="T282" s="18" t="str">
        <f>IF(ISBLANK(Deal_Master_Wide!$DT$43),"",Deal_Master_Wide!$DT$43)</f>
        <v/>
      </c>
      <c r="U282" s="17" t="str">
        <f>IF(ISBLANK(Deal_Master_Wide!$EA$43),"",Deal_Master_Wide!$EA$43)</f>
        <v/>
      </c>
      <c r="V282" s="17" t="str">
        <f>IF(ISBLANK(Deal_Master_Wide!$EH$43),"",Deal_Master_Wide!$EH$43)</f>
        <v/>
      </c>
      <c r="W282" s="17" t="str">
        <f>IF(ISBLANK(Deal_Master_Wide!$AF$43),"",Deal_Master_Wide!$AF$43)</f>
        <v/>
      </c>
    </row>
    <row r="283" spans="1:23" ht="13.4" customHeight="1">
      <c r="A283" s="15" t="s">
        <v>635</v>
      </c>
      <c r="B283" s="15" t="s">
        <v>177</v>
      </c>
      <c r="C283" s="15">
        <v>1</v>
      </c>
      <c r="D283" s="15" t="s">
        <v>639</v>
      </c>
      <c r="E283" s="15" t="s">
        <v>641</v>
      </c>
      <c r="F283" s="15">
        <v>2012</v>
      </c>
      <c r="G283" s="15">
        <v>-2</v>
      </c>
      <c r="H283" s="15">
        <v>2010</v>
      </c>
      <c r="I283" s="15">
        <v>0</v>
      </c>
      <c r="J283" s="15">
        <v>0</v>
      </c>
      <c r="K283" s="16" t="e">
        <f>IF(#REF!="","",#REF!*$I283)</f>
        <v>#REF!</v>
      </c>
      <c r="L283" s="17" t="str">
        <f>IF(ISBLANK(Deal_Master_Wide!$BQ$43),"",Deal_Master_Wide!$BQ$43)</f>
        <v/>
      </c>
      <c r="M283" s="17" t="str">
        <f>IF(ISBLANK(Deal_Master_Wide!$BX$43),"",Deal_Master_Wide!$BX$43)</f>
        <v/>
      </c>
      <c r="N283" s="17" t="str">
        <f>IF(ISBLANK(Deal_Master_Wide!$CE$43),"",Deal_Master_Wide!$CE$43)</f>
        <v/>
      </c>
      <c r="O283" s="17" t="str">
        <f>IF(ISBLANK(Deal_Master_Wide!$CL$43),"",Deal_Master_Wide!$CL$43)</f>
        <v/>
      </c>
      <c r="P283" s="17" t="str">
        <f>IF(ISBLANK(Deal_Master_Wide!$CS$43),"",Deal_Master_Wide!$CS$43)</f>
        <v/>
      </c>
      <c r="Q283" s="17" t="str">
        <f>IF(ISBLANK(Deal_Master_Wide!$CZ$43),"",Deal_Master_Wide!$CZ$43)</f>
        <v/>
      </c>
      <c r="R283" s="18" t="str">
        <f>IF(ISBLANK(Deal_Master_Wide!$DG$43),"",Deal_Master_Wide!$DG$43)</f>
        <v/>
      </c>
      <c r="S283" s="18" t="str">
        <f>IF(ISBLANK(Deal_Master_Wide!$DN$43),"",Deal_Master_Wide!$DN$43)</f>
        <v/>
      </c>
      <c r="T283" s="18" t="str">
        <f>IF(ISBLANK(Deal_Master_Wide!$DU$43),"",Deal_Master_Wide!$DU$43)</f>
        <v/>
      </c>
      <c r="U283" s="17" t="str">
        <f>IF(ISBLANK(Deal_Master_Wide!$EB$43),"",Deal_Master_Wide!$EB$43)</f>
        <v/>
      </c>
      <c r="V283" s="17" t="str">
        <f>IF(ISBLANK(Deal_Master_Wide!$EI$43),"",Deal_Master_Wide!$EI$43)</f>
        <v/>
      </c>
      <c r="W283" s="17" t="str">
        <f>IF(ISBLANK(Deal_Master_Wide!$AF$43),"",Deal_Master_Wide!$AF$43)</f>
        <v/>
      </c>
    </row>
    <row r="284" spans="1:23" ht="13.4" customHeight="1">
      <c r="A284" s="15" t="s">
        <v>635</v>
      </c>
      <c r="B284" s="15" t="s">
        <v>177</v>
      </c>
      <c r="C284" s="15">
        <v>1</v>
      </c>
      <c r="D284" s="15" t="s">
        <v>639</v>
      </c>
      <c r="E284" s="15" t="s">
        <v>641</v>
      </c>
      <c r="F284" s="15">
        <v>2012</v>
      </c>
      <c r="G284" s="15">
        <v>-1</v>
      </c>
      <c r="H284" s="15">
        <v>2011</v>
      </c>
      <c r="I284" s="15">
        <v>0</v>
      </c>
      <c r="J284" s="15">
        <v>0</v>
      </c>
      <c r="K284" s="16" t="e">
        <f>IF(#REF!="","",#REF!*$I284)</f>
        <v>#REF!</v>
      </c>
      <c r="L284" s="17" t="str">
        <f>IF(ISBLANK(Deal_Master_Wide!$BR$43),"",Deal_Master_Wide!$BR$43)</f>
        <v/>
      </c>
      <c r="M284" s="17" t="str">
        <f>IF(ISBLANK(Deal_Master_Wide!$BY$43),"",Deal_Master_Wide!$BY$43)</f>
        <v/>
      </c>
      <c r="N284" s="17" t="str">
        <f>IF(ISBLANK(Deal_Master_Wide!$CF$43),"",Deal_Master_Wide!$CF$43)</f>
        <v/>
      </c>
      <c r="O284" s="17" t="str">
        <f>IF(ISBLANK(Deal_Master_Wide!$CM$43),"",Deal_Master_Wide!$CM$43)</f>
        <v/>
      </c>
      <c r="P284" s="17" t="str">
        <f>IF(ISBLANK(Deal_Master_Wide!$CT$43),"",Deal_Master_Wide!$CT$43)</f>
        <v/>
      </c>
      <c r="Q284" s="17" t="str">
        <f>IF(ISBLANK(Deal_Master_Wide!$DA$43),"",Deal_Master_Wide!$DA$43)</f>
        <v/>
      </c>
      <c r="R284" s="18" t="str">
        <f>IF(ISBLANK(Deal_Master_Wide!$DH$43),"",Deal_Master_Wide!$DH$43)</f>
        <v/>
      </c>
      <c r="S284" s="18" t="str">
        <f>IF(ISBLANK(Deal_Master_Wide!$DO$43),"",Deal_Master_Wide!$DO$43)</f>
        <v/>
      </c>
      <c r="T284" s="18" t="str">
        <f>IF(ISBLANK(Deal_Master_Wide!$DV$43),"",Deal_Master_Wide!$DV$43)</f>
        <v/>
      </c>
      <c r="U284" s="17" t="str">
        <f>IF(ISBLANK(Deal_Master_Wide!$EC$43),"",Deal_Master_Wide!$EC$43)</f>
        <v/>
      </c>
      <c r="V284" s="17" t="str">
        <f>IF(ISBLANK(Deal_Master_Wide!$EJ$43),"",Deal_Master_Wide!$EJ$43)</f>
        <v/>
      </c>
      <c r="W284" s="17" t="str">
        <f>IF(ISBLANK(Deal_Master_Wide!$AF$43),"",Deal_Master_Wide!$AF$43)</f>
        <v/>
      </c>
    </row>
    <row r="285" spans="1:23" ht="13.4" customHeight="1">
      <c r="A285" s="15" t="s">
        <v>635</v>
      </c>
      <c r="B285" s="15" t="s">
        <v>177</v>
      </c>
      <c r="C285" s="15">
        <v>1</v>
      </c>
      <c r="D285" s="15" t="s">
        <v>639</v>
      </c>
      <c r="E285" s="15" t="s">
        <v>641</v>
      </c>
      <c r="F285" s="15">
        <v>2012</v>
      </c>
      <c r="G285" s="15">
        <v>0</v>
      </c>
      <c r="H285" s="15">
        <v>2012</v>
      </c>
      <c r="I285" s="15">
        <v>0</v>
      </c>
      <c r="J285" s="15">
        <v>1</v>
      </c>
      <c r="K285" s="16" t="e">
        <f>IF(#REF!="","",#REF!*$I285)</f>
        <v>#REF!</v>
      </c>
      <c r="L285" s="17" t="str">
        <f>IF(ISBLANK(Deal_Master_Wide!$BS$43),"",Deal_Master_Wide!$BS$43)</f>
        <v/>
      </c>
      <c r="M285" s="17" t="str">
        <f>IF(ISBLANK(Deal_Master_Wide!$BZ$43),"",Deal_Master_Wide!$BZ$43)</f>
        <v/>
      </c>
      <c r="N285" s="17" t="str">
        <f>IF(ISBLANK(Deal_Master_Wide!$CG$43),"",Deal_Master_Wide!$CG$43)</f>
        <v/>
      </c>
      <c r="O285" s="17" t="str">
        <f>IF(ISBLANK(Deal_Master_Wide!$CN$43),"",Deal_Master_Wide!$CN$43)</f>
        <v/>
      </c>
      <c r="P285" s="17" t="str">
        <f>IF(ISBLANK(Deal_Master_Wide!$CU$43),"",Deal_Master_Wide!$CU$43)</f>
        <v/>
      </c>
      <c r="Q285" s="17" t="str">
        <f>IF(ISBLANK(Deal_Master_Wide!$DB$43),"",Deal_Master_Wide!$DB$43)</f>
        <v/>
      </c>
      <c r="R285" s="18" t="str">
        <f>IF(ISBLANK(Deal_Master_Wide!$DI$43),"",Deal_Master_Wide!$DI$43)</f>
        <v/>
      </c>
      <c r="S285" s="18" t="str">
        <f>IF(ISBLANK(Deal_Master_Wide!$DP$43),"",Deal_Master_Wide!$DP$43)</f>
        <v/>
      </c>
      <c r="T285" s="18" t="str">
        <f>IF(ISBLANK(Deal_Master_Wide!$DW$43),"",Deal_Master_Wide!$DW$43)</f>
        <v/>
      </c>
      <c r="U285" s="17" t="str">
        <f>IF(ISBLANK(Deal_Master_Wide!$ED$43),"",Deal_Master_Wide!$ED$43)</f>
        <v/>
      </c>
      <c r="V285" s="17" t="str">
        <f>IF(ISBLANK(Deal_Master_Wide!$EK$43),"",Deal_Master_Wide!$EK$43)</f>
        <v/>
      </c>
      <c r="W285" s="17" t="str">
        <f>IF(ISBLANK(Deal_Master_Wide!$AF$43),"",Deal_Master_Wide!$AF$43)</f>
        <v/>
      </c>
    </row>
    <row r="286" spans="1:23" ht="13.4" customHeight="1">
      <c r="A286" s="15" t="s">
        <v>635</v>
      </c>
      <c r="B286" s="15" t="s">
        <v>177</v>
      </c>
      <c r="C286" s="15">
        <v>1</v>
      </c>
      <c r="D286" s="15" t="s">
        <v>639</v>
      </c>
      <c r="E286" s="15" t="s">
        <v>641</v>
      </c>
      <c r="F286" s="15">
        <v>2012</v>
      </c>
      <c r="G286" s="15">
        <v>1</v>
      </c>
      <c r="H286" s="15">
        <v>2013</v>
      </c>
      <c r="I286" s="15">
        <v>1</v>
      </c>
      <c r="J286" s="15">
        <v>1</v>
      </c>
      <c r="K286" s="16" t="e">
        <f>IF(#REF!="","",#REF!*$I286)</f>
        <v>#REF!</v>
      </c>
      <c r="L286" s="17" t="str">
        <f>IF(ISBLANK(Deal_Master_Wide!$BT$43),"",Deal_Master_Wide!$BT$43)</f>
        <v/>
      </c>
      <c r="M286" s="17" t="str">
        <f>IF(ISBLANK(Deal_Master_Wide!$CA$43),"",Deal_Master_Wide!$CA$43)</f>
        <v/>
      </c>
      <c r="N286" s="17" t="str">
        <f>IF(ISBLANK(Deal_Master_Wide!$CH$43),"",Deal_Master_Wide!$CH$43)</f>
        <v/>
      </c>
      <c r="O286" s="17" t="str">
        <f>IF(ISBLANK(Deal_Master_Wide!$CO$43),"",Deal_Master_Wide!$CO$43)</f>
        <v/>
      </c>
      <c r="P286" s="17" t="str">
        <f>IF(ISBLANK(Deal_Master_Wide!$CV$43),"",Deal_Master_Wide!$CV$43)</f>
        <v/>
      </c>
      <c r="Q286" s="17" t="str">
        <f>IF(ISBLANK(Deal_Master_Wide!$DC$43),"",Deal_Master_Wide!$DC$43)</f>
        <v/>
      </c>
      <c r="R286" s="18" t="str">
        <f>IF(ISBLANK(Deal_Master_Wide!$DJ$43),"",Deal_Master_Wide!$DJ$43)</f>
        <v/>
      </c>
      <c r="S286" s="18" t="str">
        <f>IF(ISBLANK(Deal_Master_Wide!$DQ$43),"",Deal_Master_Wide!$DQ$43)</f>
        <v/>
      </c>
      <c r="T286" s="18" t="str">
        <f>IF(ISBLANK(Deal_Master_Wide!$DX$43),"",Deal_Master_Wide!$DX$43)</f>
        <v/>
      </c>
      <c r="U286" s="17" t="str">
        <f>IF(ISBLANK(Deal_Master_Wide!$EE$43),"",Deal_Master_Wide!$EE$43)</f>
        <v/>
      </c>
      <c r="V286" s="17" t="str">
        <f>IF(ISBLANK(Deal_Master_Wide!$EL$43),"",Deal_Master_Wide!$EL$43)</f>
        <v/>
      </c>
      <c r="W286" s="17" t="str">
        <f>IF(ISBLANK(Deal_Master_Wide!$AF$43),"",Deal_Master_Wide!$AF$43)</f>
        <v/>
      </c>
    </row>
    <row r="287" spans="1:23" ht="13.4" customHeight="1">
      <c r="A287" s="15" t="s">
        <v>635</v>
      </c>
      <c r="B287" s="15" t="s">
        <v>177</v>
      </c>
      <c r="C287" s="15">
        <v>1</v>
      </c>
      <c r="D287" s="15" t="s">
        <v>639</v>
      </c>
      <c r="E287" s="15" t="s">
        <v>641</v>
      </c>
      <c r="F287" s="15">
        <v>2012</v>
      </c>
      <c r="G287" s="15">
        <v>2</v>
      </c>
      <c r="H287" s="15">
        <v>2014</v>
      </c>
      <c r="I287" s="15">
        <v>1</v>
      </c>
      <c r="J287" s="15">
        <v>1</v>
      </c>
      <c r="K287" s="16" t="e">
        <f>IF(#REF!="","",#REF!*$I287)</f>
        <v>#REF!</v>
      </c>
      <c r="L287" s="17" t="str">
        <f>IF(ISBLANK(Deal_Master_Wide!$BU$43),"",Deal_Master_Wide!$BU$43)</f>
        <v/>
      </c>
      <c r="M287" s="17" t="str">
        <f>IF(ISBLANK(Deal_Master_Wide!$CB$43),"",Deal_Master_Wide!$CB$43)</f>
        <v/>
      </c>
      <c r="N287" s="17" t="str">
        <f>IF(ISBLANK(Deal_Master_Wide!$CI$43),"",Deal_Master_Wide!$CI$43)</f>
        <v/>
      </c>
      <c r="O287" s="17" t="str">
        <f>IF(ISBLANK(Deal_Master_Wide!$CP$43),"",Deal_Master_Wide!$CP$43)</f>
        <v/>
      </c>
      <c r="P287" s="17" t="str">
        <f>IF(ISBLANK(Deal_Master_Wide!$CW$43),"",Deal_Master_Wide!$CW$43)</f>
        <v/>
      </c>
      <c r="Q287" s="17" t="str">
        <f>IF(ISBLANK(Deal_Master_Wide!$DD$43),"",Deal_Master_Wide!$DD$43)</f>
        <v/>
      </c>
      <c r="R287" s="18" t="str">
        <f>IF(ISBLANK(Deal_Master_Wide!$DK$43),"",Deal_Master_Wide!$DK$43)</f>
        <v/>
      </c>
      <c r="S287" s="18" t="str">
        <f>IF(ISBLANK(Deal_Master_Wide!$DR$43),"",Deal_Master_Wide!$DR$43)</f>
        <v/>
      </c>
      <c r="T287" s="18" t="str">
        <f>IF(ISBLANK(Deal_Master_Wide!$DY$43),"",Deal_Master_Wide!$DY$43)</f>
        <v/>
      </c>
      <c r="U287" s="17" t="str">
        <f>IF(ISBLANK(Deal_Master_Wide!$EF$43),"",Deal_Master_Wide!$EF$43)</f>
        <v/>
      </c>
      <c r="V287" s="17" t="str">
        <f>IF(ISBLANK(Deal_Master_Wide!$EM$43),"",Deal_Master_Wide!$EM$43)</f>
        <v/>
      </c>
      <c r="W287" s="17" t="str">
        <f>IF(ISBLANK(Deal_Master_Wide!$AF$43),"",Deal_Master_Wide!$AF$43)</f>
        <v/>
      </c>
    </row>
    <row r="288" spans="1:23" ht="13.4" customHeight="1">
      <c r="A288" s="15" t="s">
        <v>635</v>
      </c>
      <c r="B288" s="15" t="s">
        <v>177</v>
      </c>
      <c r="C288" s="15">
        <v>1</v>
      </c>
      <c r="D288" s="15" t="s">
        <v>639</v>
      </c>
      <c r="E288" s="15" t="s">
        <v>641</v>
      </c>
      <c r="F288" s="15">
        <v>2012</v>
      </c>
      <c r="G288" s="15">
        <v>3</v>
      </c>
      <c r="H288" s="15">
        <v>2015</v>
      </c>
      <c r="I288" s="15">
        <v>1</v>
      </c>
      <c r="J288" s="15">
        <v>1</v>
      </c>
      <c r="K288" s="16" t="e">
        <f>IF(#REF!="","",#REF!*$I288)</f>
        <v>#REF!</v>
      </c>
      <c r="L288" s="17" t="str">
        <f>IF(ISBLANK(Deal_Master_Wide!$BV$43),"",Deal_Master_Wide!$BV$43)</f>
        <v/>
      </c>
      <c r="M288" s="17" t="str">
        <f>IF(ISBLANK(Deal_Master_Wide!$CC$43),"",Deal_Master_Wide!$CC$43)</f>
        <v/>
      </c>
      <c r="N288" s="17" t="str">
        <f>IF(ISBLANK(Deal_Master_Wide!$CJ$43),"",Deal_Master_Wide!$CJ$43)</f>
        <v/>
      </c>
      <c r="O288" s="17" t="str">
        <f>IF(ISBLANK(Deal_Master_Wide!$CQ$43),"",Deal_Master_Wide!$CQ$43)</f>
        <v/>
      </c>
      <c r="P288" s="17" t="str">
        <f>IF(ISBLANK(Deal_Master_Wide!$CX$43),"",Deal_Master_Wide!$CX$43)</f>
        <v/>
      </c>
      <c r="Q288" s="17" t="str">
        <f>IF(ISBLANK(Deal_Master_Wide!$DE$43),"",Deal_Master_Wide!$DE$43)</f>
        <v/>
      </c>
      <c r="R288" s="18" t="str">
        <f>IF(ISBLANK(Deal_Master_Wide!$DL$43),"",Deal_Master_Wide!$DL$43)</f>
        <v/>
      </c>
      <c r="S288" s="18" t="str">
        <f>IF(ISBLANK(Deal_Master_Wide!$DS$43),"",Deal_Master_Wide!$DS$43)</f>
        <v/>
      </c>
      <c r="T288" s="18" t="str">
        <f>IF(ISBLANK(Deal_Master_Wide!$DZ$43),"",Deal_Master_Wide!$DZ$43)</f>
        <v/>
      </c>
      <c r="U288" s="17" t="str">
        <f>IF(ISBLANK(Deal_Master_Wide!$EG$43),"",Deal_Master_Wide!$EG$43)</f>
        <v/>
      </c>
      <c r="V288" s="17" t="str">
        <f>IF(ISBLANK(Deal_Master_Wide!$EN$43),"",Deal_Master_Wide!$EN$43)</f>
        <v/>
      </c>
      <c r="W288" s="17" t="str">
        <f>IF(ISBLANK(Deal_Master_Wide!$AF$43),"",Deal_Master_Wide!$AF$43)</f>
        <v/>
      </c>
    </row>
    <row r="289" spans="1:23" ht="13.4" customHeight="1">
      <c r="A289" s="15" t="s">
        <v>645</v>
      </c>
      <c r="B289" s="15" t="s">
        <v>177</v>
      </c>
      <c r="C289" s="15">
        <v>1</v>
      </c>
      <c r="D289" s="15" t="s">
        <v>651</v>
      </c>
      <c r="E289" s="15" t="s">
        <v>653</v>
      </c>
      <c r="F289" s="15">
        <v>2012</v>
      </c>
      <c r="G289" s="15">
        <v>-3</v>
      </c>
      <c r="H289" s="15">
        <v>2009</v>
      </c>
      <c r="I289" s="15">
        <v>0</v>
      </c>
      <c r="J289" s="15">
        <v>0</v>
      </c>
      <c r="K289" s="16" t="e">
        <f>IF(#REF!="","",#REF!*$I289)</f>
        <v>#REF!</v>
      </c>
      <c r="L289" s="17" t="str">
        <f>IF(ISBLANK(Deal_Master_Wide!$BP$44),"",Deal_Master_Wide!$BP$44)</f>
        <v/>
      </c>
      <c r="M289" s="17" t="str">
        <f>IF(ISBLANK(Deal_Master_Wide!$BW$44),"",Deal_Master_Wide!$BW$44)</f>
        <v/>
      </c>
      <c r="N289" s="17" t="str">
        <f>IF(ISBLANK(Deal_Master_Wide!$CD$44),"",Deal_Master_Wide!$CD$44)</f>
        <v/>
      </c>
      <c r="O289" s="17" t="str">
        <f>IF(ISBLANK(Deal_Master_Wide!$CK$44),"",Deal_Master_Wide!$CK$44)</f>
        <v/>
      </c>
      <c r="P289" s="17" t="str">
        <f>IF(ISBLANK(Deal_Master_Wide!$CR$44),"",Deal_Master_Wide!$CR$44)</f>
        <v/>
      </c>
      <c r="Q289" s="17" t="str">
        <f>IF(ISBLANK(Deal_Master_Wide!$CY$44),"",Deal_Master_Wide!$CY$44)</f>
        <v/>
      </c>
      <c r="R289" s="18" t="str">
        <f>IF(ISBLANK(Deal_Master_Wide!$DF$44),"",Deal_Master_Wide!$DF$44)</f>
        <v/>
      </c>
      <c r="S289" s="18" t="str">
        <f>IF(ISBLANK(Deal_Master_Wide!$DM$44),"",Deal_Master_Wide!$DM$44)</f>
        <v/>
      </c>
      <c r="T289" s="18" t="str">
        <f>IF(ISBLANK(Deal_Master_Wide!$DT$44),"",Deal_Master_Wide!$DT$44)</f>
        <v/>
      </c>
      <c r="U289" s="17" t="str">
        <f>IF(ISBLANK(Deal_Master_Wide!$EA$44),"",Deal_Master_Wide!$EA$44)</f>
        <v/>
      </c>
      <c r="V289" s="17" t="str">
        <f>IF(ISBLANK(Deal_Master_Wide!$EH$44),"",Deal_Master_Wide!$EH$44)</f>
        <v/>
      </c>
      <c r="W289" s="17">
        <f>IF(ISBLANK(Deal_Master_Wide!$AF$44),"",Deal_Master_Wide!$AF$44)</f>
        <v>2200</v>
      </c>
    </row>
    <row r="290" spans="1:23" ht="13.4" customHeight="1">
      <c r="A290" s="15" t="s">
        <v>645</v>
      </c>
      <c r="B290" s="15" t="s">
        <v>177</v>
      </c>
      <c r="C290" s="15">
        <v>1</v>
      </c>
      <c r="D290" s="15" t="s">
        <v>651</v>
      </c>
      <c r="E290" s="15" t="s">
        <v>653</v>
      </c>
      <c r="F290" s="15">
        <v>2012</v>
      </c>
      <c r="G290" s="15">
        <v>-2</v>
      </c>
      <c r="H290" s="15">
        <v>2010</v>
      </c>
      <c r="I290" s="15">
        <v>0</v>
      </c>
      <c r="J290" s="15">
        <v>0</v>
      </c>
      <c r="K290" s="16" t="e">
        <f>IF(#REF!="","",#REF!*$I290)</f>
        <v>#REF!</v>
      </c>
      <c r="L290" s="17" t="str">
        <f>IF(ISBLANK(Deal_Master_Wide!$BQ$44),"",Deal_Master_Wide!$BQ$44)</f>
        <v/>
      </c>
      <c r="M290" s="17" t="str">
        <f>IF(ISBLANK(Deal_Master_Wide!$BX$44),"",Deal_Master_Wide!$BX$44)</f>
        <v/>
      </c>
      <c r="N290" s="17" t="str">
        <f>IF(ISBLANK(Deal_Master_Wide!$CE$44),"",Deal_Master_Wide!$CE$44)</f>
        <v/>
      </c>
      <c r="O290" s="17" t="str">
        <f>IF(ISBLANK(Deal_Master_Wide!$CL$44),"",Deal_Master_Wide!$CL$44)</f>
        <v/>
      </c>
      <c r="P290" s="17" t="str">
        <f>IF(ISBLANK(Deal_Master_Wide!$CS$44),"",Deal_Master_Wide!$CS$44)</f>
        <v/>
      </c>
      <c r="Q290" s="17" t="str">
        <f>IF(ISBLANK(Deal_Master_Wide!$CZ$44),"",Deal_Master_Wide!$CZ$44)</f>
        <v/>
      </c>
      <c r="R290" s="18" t="str">
        <f>IF(ISBLANK(Deal_Master_Wide!$DG$44),"",Deal_Master_Wide!$DG$44)</f>
        <v/>
      </c>
      <c r="S290" s="18" t="str">
        <f>IF(ISBLANK(Deal_Master_Wide!$DN$44),"",Deal_Master_Wide!$DN$44)</f>
        <v/>
      </c>
      <c r="T290" s="18" t="str">
        <f>IF(ISBLANK(Deal_Master_Wide!$DU$44),"",Deal_Master_Wide!$DU$44)</f>
        <v/>
      </c>
      <c r="U290" s="17" t="str">
        <f>IF(ISBLANK(Deal_Master_Wide!$EB$44),"",Deal_Master_Wide!$EB$44)</f>
        <v/>
      </c>
      <c r="V290" s="17" t="str">
        <f>IF(ISBLANK(Deal_Master_Wide!$EI$44),"",Deal_Master_Wide!$EI$44)</f>
        <v/>
      </c>
      <c r="W290" s="17">
        <f>IF(ISBLANK(Deal_Master_Wide!$AF$44),"",Deal_Master_Wide!$AF$44)</f>
        <v>2200</v>
      </c>
    </row>
    <row r="291" spans="1:23" ht="13.4" customHeight="1">
      <c r="A291" s="15" t="s">
        <v>645</v>
      </c>
      <c r="B291" s="15" t="s">
        <v>177</v>
      </c>
      <c r="C291" s="15">
        <v>1</v>
      </c>
      <c r="D291" s="15" t="s">
        <v>651</v>
      </c>
      <c r="E291" s="15" t="s">
        <v>653</v>
      </c>
      <c r="F291" s="15">
        <v>2012</v>
      </c>
      <c r="G291" s="15">
        <v>-1</v>
      </c>
      <c r="H291" s="15">
        <v>2011</v>
      </c>
      <c r="I291" s="15">
        <v>0</v>
      </c>
      <c r="J291" s="15">
        <v>0</v>
      </c>
      <c r="K291" s="16" t="e">
        <f>IF(#REF!="","",#REF!*$I291)</f>
        <v>#REF!</v>
      </c>
      <c r="L291" s="17" t="str">
        <f>IF(ISBLANK(Deal_Master_Wide!$BR$44),"",Deal_Master_Wide!$BR$44)</f>
        <v/>
      </c>
      <c r="M291" s="17" t="str">
        <f>IF(ISBLANK(Deal_Master_Wide!$BY$44),"",Deal_Master_Wide!$BY$44)</f>
        <v/>
      </c>
      <c r="N291" s="17" t="str">
        <f>IF(ISBLANK(Deal_Master_Wide!$CF$44),"",Deal_Master_Wide!$CF$44)</f>
        <v/>
      </c>
      <c r="O291" s="17" t="str">
        <f>IF(ISBLANK(Deal_Master_Wide!$CM$44),"",Deal_Master_Wide!$CM$44)</f>
        <v/>
      </c>
      <c r="P291" s="17" t="str">
        <f>IF(ISBLANK(Deal_Master_Wide!$CT$44),"",Deal_Master_Wide!$CT$44)</f>
        <v/>
      </c>
      <c r="Q291" s="17" t="str">
        <f>IF(ISBLANK(Deal_Master_Wide!$DA$44),"",Deal_Master_Wide!$DA$44)</f>
        <v/>
      </c>
      <c r="R291" s="18" t="str">
        <f>IF(ISBLANK(Deal_Master_Wide!$DH$44),"",Deal_Master_Wide!$DH$44)</f>
        <v/>
      </c>
      <c r="S291" s="18" t="str">
        <f>IF(ISBLANK(Deal_Master_Wide!$DO$44),"",Deal_Master_Wide!$DO$44)</f>
        <v/>
      </c>
      <c r="T291" s="18" t="str">
        <f>IF(ISBLANK(Deal_Master_Wide!$DV$44),"",Deal_Master_Wide!$DV$44)</f>
        <v/>
      </c>
      <c r="U291" s="17" t="str">
        <f>IF(ISBLANK(Deal_Master_Wide!$EC$44),"",Deal_Master_Wide!$EC$44)</f>
        <v/>
      </c>
      <c r="V291" s="17" t="str">
        <f>IF(ISBLANK(Deal_Master_Wide!$EJ$44),"",Deal_Master_Wide!$EJ$44)</f>
        <v/>
      </c>
      <c r="W291" s="17">
        <f>IF(ISBLANK(Deal_Master_Wide!$AF$44),"",Deal_Master_Wide!$AF$44)</f>
        <v>2200</v>
      </c>
    </row>
    <row r="292" spans="1:23" ht="13.4" customHeight="1">
      <c r="A292" s="15" t="s">
        <v>645</v>
      </c>
      <c r="B292" s="15" t="s">
        <v>177</v>
      </c>
      <c r="C292" s="15">
        <v>1</v>
      </c>
      <c r="D292" s="15" t="s">
        <v>651</v>
      </c>
      <c r="E292" s="15" t="s">
        <v>653</v>
      </c>
      <c r="F292" s="15">
        <v>2012</v>
      </c>
      <c r="G292" s="15">
        <v>0</v>
      </c>
      <c r="H292" s="15">
        <v>2012</v>
      </c>
      <c r="I292" s="15">
        <v>0</v>
      </c>
      <c r="J292" s="15">
        <v>1</v>
      </c>
      <c r="K292" s="16" t="e">
        <f>IF(#REF!="","",#REF!*$I292)</f>
        <v>#REF!</v>
      </c>
      <c r="L292" s="17" t="str">
        <f>IF(ISBLANK(Deal_Master_Wide!$BS$44),"",Deal_Master_Wide!$BS$44)</f>
        <v/>
      </c>
      <c r="M292" s="17" t="str">
        <f>IF(ISBLANK(Deal_Master_Wide!$BZ$44),"",Deal_Master_Wide!$BZ$44)</f>
        <v/>
      </c>
      <c r="N292" s="17" t="str">
        <f>IF(ISBLANK(Deal_Master_Wide!$CG$44),"",Deal_Master_Wide!$CG$44)</f>
        <v/>
      </c>
      <c r="O292" s="17" t="str">
        <f>IF(ISBLANK(Deal_Master_Wide!$CN$44),"",Deal_Master_Wide!$CN$44)</f>
        <v/>
      </c>
      <c r="P292" s="17" t="str">
        <f>IF(ISBLANK(Deal_Master_Wide!$CU$44),"",Deal_Master_Wide!$CU$44)</f>
        <v/>
      </c>
      <c r="Q292" s="17" t="str">
        <f>IF(ISBLANK(Deal_Master_Wide!$DB$44),"",Deal_Master_Wide!$DB$44)</f>
        <v/>
      </c>
      <c r="R292" s="18" t="str">
        <f>IF(ISBLANK(Deal_Master_Wide!$DI$44),"",Deal_Master_Wide!$DI$44)</f>
        <v/>
      </c>
      <c r="S292" s="18" t="str">
        <f>IF(ISBLANK(Deal_Master_Wide!$DP$44),"",Deal_Master_Wide!$DP$44)</f>
        <v/>
      </c>
      <c r="T292" s="18" t="str">
        <f>IF(ISBLANK(Deal_Master_Wide!$DW$44),"",Deal_Master_Wide!$DW$44)</f>
        <v/>
      </c>
      <c r="U292" s="17" t="str">
        <f>IF(ISBLANK(Deal_Master_Wide!$ED$44),"",Deal_Master_Wide!$ED$44)</f>
        <v/>
      </c>
      <c r="V292" s="17" t="str">
        <f>IF(ISBLANK(Deal_Master_Wide!$EK$44),"",Deal_Master_Wide!$EK$44)</f>
        <v/>
      </c>
      <c r="W292" s="17">
        <f>IF(ISBLANK(Deal_Master_Wide!$AF$44),"",Deal_Master_Wide!$AF$44)</f>
        <v>2200</v>
      </c>
    </row>
    <row r="293" spans="1:23" ht="13.4" customHeight="1">
      <c r="A293" s="15" t="s">
        <v>645</v>
      </c>
      <c r="B293" s="15" t="s">
        <v>177</v>
      </c>
      <c r="C293" s="15">
        <v>1</v>
      </c>
      <c r="D293" s="15" t="s">
        <v>651</v>
      </c>
      <c r="E293" s="15" t="s">
        <v>653</v>
      </c>
      <c r="F293" s="15">
        <v>2012</v>
      </c>
      <c r="G293" s="15">
        <v>1</v>
      </c>
      <c r="H293" s="15">
        <v>2013</v>
      </c>
      <c r="I293" s="15">
        <v>1</v>
      </c>
      <c r="J293" s="15">
        <v>1</v>
      </c>
      <c r="K293" s="16" t="e">
        <f>IF(#REF!="","",#REF!*$I293)</f>
        <v>#REF!</v>
      </c>
      <c r="L293" s="17" t="str">
        <f>IF(ISBLANK(Deal_Master_Wide!$BT$44),"",Deal_Master_Wide!$BT$44)</f>
        <v/>
      </c>
      <c r="M293" s="17" t="str">
        <f>IF(ISBLANK(Deal_Master_Wide!$CA$44),"",Deal_Master_Wide!$CA$44)</f>
        <v/>
      </c>
      <c r="N293" s="17" t="str">
        <f>IF(ISBLANK(Deal_Master_Wide!$CH$44),"",Deal_Master_Wide!$CH$44)</f>
        <v/>
      </c>
      <c r="O293" s="17" t="str">
        <f>IF(ISBLANK(Deal_Master_Wide!$CO$44),"",Deal_Master_Wide!$CO$44)</f>
        <v/>
      </c>
      <c r="P293" s="17" t="str">
        <f>IF(ISBLANK(Deal_Master_Wide!$CV$44),"",Deal_Master_Wide!$CV$44)</f>
        <v/>
      </c>
      <c r="Q293" s="17" t="str">
        <f>IF(ISBLANK(Deal_Master_Wide!$DC$44),"",Deal_Master_Wide!$DC$44)</f>
        <v/>
      </c>
      <c r="R293" s="18" t="str">
        <f>IF(ISBLANK(Deal_Master_Wide!$DJ$44),"",Deal_Master_Wide!$DJ$44)</f>
        <v/>
      </c>
      <c r="S293" s="18" t="str">
        <f>IF(ISBLANK(Deal_Master_Wide!$DQ$44),"",Deal_Master_Wide!$DQ$44)</f>
        <v/>
      </c>
      <c r="T293" s="18" t="str">
        <f>IF(ISBLANK(Deal_Master_Wide!$DX$44),"",Deal_Master_Wide!$DX$44)</f>
        <v/>
      </c>
      <c r="U293" s="17" t="str">
        <f>IF(ISBLANK(Deal_Master_Wide!$EE$44),"",Deal_Master_Wide!$EE$44)</f>
        <v/>
      </c>
      <c r="V293" s="17" t="str">
        <f>IF(ISBLANK(Deal_Master_Wide!$EL$44),"",Deal_Master_Wide!$EL$44)</f>
        <v/>
      </c>
      <c r="W293" s="17">
        <f>IF(ISBLANK(Deal_Master_Wide!$AF$44),"",Deal_Master_Wide!$AF$44)</f>
        <v>2200</v>
      </c>
    </row>
    <row r="294" spans="1:23" ht="13.4" customHeight="1">
      <c r="A294" s="15" t="s">
        <v>645</v>
      </c>
      <c r="B294" s="15" t="s">
        <v>177</v>
      </c>
      <c r="C294" s="15">
        <v>1</v>
      </c>
      <c r="D294" s="15" t="s">
        <v>651</v>
      </c>
      <c r="E294" s="15" t="s">
        <v>653</v>
      </c>
      <c r="F294" s="15">
        <v>2012</v>
      </c>
      <c r="G294" s="15">
        <v>2</v>
      </c>
      <c r="H294" s="15">
        <v>2014</v>
      </c>
      <c r="I294" s="15">
        <v>1</v>
      </c>
      <c r="J294" s="15">
        <v>1</v>
      </c>
      <c r="K294" s="16" t="e">
        <f>IF(#REF!="","",#REF!*$I294)</f>
        <v>#REF!</v>
      </c>
      <c r="L294" s="17" t="str">
        <f>IF(ISBLANK(Deal_Master_Wide!$BU$44),"",Deal_Master_Wide!$BU$44)</f>
        <v/>
      </c>
      <c r="M294" s="17" t="str">
        <f>IF(ISBLANK(Deal_Master_Wide!$CB$44),"",Deal_Master_Wide!$CB$44)</f>
        <v/>
      </c>
      <c r="N294" s="17" t="str">
        <f>IF(ISBLANK(Deal_Master_Wide!$CI$44),"",Deal_Master_Wide!$CI$44)</f>
        <v/>
      </c>
      <c r="O294" s="17" t="str">
        <f>IF(ISBLANK(Deal_Master_Wide!$CP$44),"",Deal_Master_Wide!$CP$44)</f>
        <v/>
      </c>
      <c r="P294" s="17" t="str">
        <f>IF(ISBLANK(Deal_Master_Wide!$CW$44),"",Deal_Master_Wide!$CW$44)</f>
        <v/>
      </c>
      <c r="Q294" s="17" t="str">
        <f>IF(ISBLANK(Deal_Master_Wide!$DD$44),"",Deal_Master_Wide!$DD$44)</f>
        <v/>
      </c>
      <c r="R294" s="18" t="str">
        <f>IF(ISBLANK(Deal_Master_Wide!$DK$44),"",Deal_Master_Wide!$DK$44)</f>
        <v/>
      </c>
      <c r="S294" s="18" t="str">
        <f>IF(ISBLANK(Deal_Master_Wide!$DR$44),"",Deal_Master_Wide!$DR$44)</f>
        <v/>
      </c>
      <c r="T294" s="18" t="str">
        <f>IF(ISBLANK(Deal_Master_Wide!$DY$44),"",Deal_Master_Wide!$DY$44)</f>
        <v/>
      </c>
      <c r="U294" s="17" t="str">
        <f>IF(ISBLANK(Deal_Master_Wide!$EF$44),"",Deal_Master_Wide!$EF$44)</f>
        <v/>
      </c>
      <c r="V294" s="17" t="str">
        <f>IF(ISBLANK(Deal_Master_Wide!$EM$44),"",Deal_Master_Wide!$EM$44)</f>
        <v/>
      </c>
      <c r="W294" s="17">
        <f>IF(ISBLANK(Deal_Master_Wide!$AF$44),"",Deal_Master_Wide!$AF$44)</f>
        <v>2200</v>
      </c>
    </row>
    <row r="295" spans="1:23" ht="13.4" customHeight="1">
      <c r="A295" s="15" t="s">
        <v>645</v>
      </c>
      <c r="B295" s="15" t="s">
        <v>177</v>
      </c>
      <c r="C295" s="15">
        <v>1</v>
      </c>
      <c r="D295" s="15" t="s">
        <v>651</v>
      </c>
      <c r="E295" s="15" t="s">
        <v>653</v>
      </c>
      <c r="F295" s="15">
        <v>2012</v>
      </c>
      <c r="G295" s="15">
        <v>3</v>
      </c>
      <c r="H295" s="15">
        <v>2015</v>
      </c>
      <c r="I295" s="15">
        <v>1</v>
      </c>
      <c r="J295" s="15">
        <v>1</v>
      </c>
      <c r="K295" s="16" t="e">
        <f>IF(#REF!="","",#REF!*$I295)</f>
        <v>#REF!</v>
      </c>
      <c r="L295" s="17" t="str">
        <f>IF(ISBLANK(Deal_Master_Wide!$BV$44),"",Deal_Master_Wide!$BV$44)</f>
        <v/>
      </c>
      <c r="M295" s="17" t="str">
        <f>IF(ISBLANK(Deal_Master_Wide!$CC$44),"",Deal_Master_Wide!$CC$44)</f>
        <v/>
      </c>
      <c r="N295" s="17" t="str">
        <f>IF(ISBLANK(Deal_Master_Wide!$CJ$44),"",Deal_Master_Wide!$CJ$44)</f>
        <v/>
      </c>
      <c r="O295" s="17" t="str">
        <f>IF(ISBLANK(Deal_Master_Wide!$CQ$44),"",Deal_Master_Wide!$CQ$44)</f>
        <v/>
      </c>
      <c r="P295" s="17" t="str">
        <f>IF(ISBLANK(Deal_Master_Wide!$CX$44),"",Deal_Master_Wide!$CX$44)</f>
        <v/>
      </c>
      <c r="Q295" s="17" t="str">
        <f>IF(ISBLANK(Deal_Master_Wide!$DE$44),"",Deal_Master_Wide!$DE$44)</f>
        <v/>
      </c>
      <c r="R295" s="18" t="str">
        <f>IF(ISBLANK(Deal_Master_Wide!$DL$44),"",Deal_Master_Wide!$DL$44)</f>
        <v/>
      </c>
      <c r="S295" s="18" t="str">
        <f>IF(ISBLANK(Deal_Master_Wide!$DS$44),"",Deal_Master_Wide!$DS$44)</f>
        <v/>
      </c>
      <c r="T295" s="18" t="str">
        <f>IF(ISBLANK(Deal_Master_Wide!$DZ$44),"",Deal_Master_Wide!$DZ$44)</f>
        <v/>
      </c>
      <c r="U295" s="17" t="str">
        <f>IF(ISBLANK(Deal_Master_Wide!$EG$44),"",Deal_Master_Wide!$EG$44)</f>
        <v/>
      </c>
      <c r="V295" s="17" t="str">
        <f>IF(ISBLANK(Deal_Master_Wide!$EN$44),"",Deal_Master_Wide!$EN$44)</f>
        <v/>
      </c>
      <c r="W295" s="17">
        <f>IF(ISBLANK(Deal_Master_Wide!$AF$44),"",Deal_Master_Wide!$AF$44)</f>
        <v>2200</v>
      </c>
    </row>
    <row r="296" spans="1:23">
      <c r="A296" t="s">
        <v>657</v>
      </c>
      <c r="B296" t="s">
        <v>658</v>
      </c>
      <c r="C296">
        <v>1</v>
      </c>
      <c r="D296" t="s">
        <v>665</v>
      </c>
      <c r="E296" t="s">
        <v>667</v>
      </c>
      <c r="F296">
        <v>2014</v>
      </c>
      <c r="G296">
        <v>-3</v>
      </c>
      <c r="H296">
        <v>2011</v>
      </c>
      <c r="I296">
        <v>0</v>
      </c>
      <c r="J296">
        <v>0</v>
      </c>
      <c r="K296" t="e">
        <f>IF(#REF!="","",#REF!*$I296)</f>
        <v>#REF!</v>
      </c>
      <c r="L296">
        <f>IF(ISBLANK(Deal_Master_Wide!$BP$45),"",Deal_Master_Wide!$BP$45)</f>
        <v>0</v>
      </c>
      <c r="M296">
        <f>IF(ISBLANK(Deal_Master_Wide!$BW$45),"",Deal_Master_Wide!$BW$45)</f>
        <v>-4.4786999999999999</v>
      </c>
      <c r="N296">
        <f>IF(ISBLANK(Deal_Master_Wide!$CD$45),"",Deal_Master_Wide!$CD$45)</f>
        <v>-4.7172999999999998</v>
      </c>
      <c r="O296">
        <f>IF(ISBLANK(Deal_Master_Wide!$CK$45),"",Deal_Master_Wide!$CK$45)</f>
        <v>6.4058000000000002</v>
      </c>
      <c r="P296">
        <f>IF(ISBLANK(Deal_Master_Wide!$CR$45),"",Deal_Master_Wide!$CR$45)</f>
        <v>5.8733000000000004</v>
      </c>
      <c r="Q296">
        <f>IF(ISBLANK(Deal_Master_Wide!$CY$45),"",Deal_Master_Wide!$CY$45)</f>
        <v>1.5582</v>
      </c>
      <c r="R296">
        <f>IF(ISBLANK(Deal_Master_Wide!$DF$45),"",Deal_Master_Wide!$DF$45)</f>
        <v>-73.641075275531549</v>
      </c>
      <c r="S296" t="str">
        <f>IF(ISBLANK(Deal_Master_Wide!$DM$45),"",Deal_Master_Wide!$DM$45)</f>
        <v/>
      </c>
      <c r="T296">
        <f>IF(ISBLANK(Deal_Master_Wide!$DT$45),"",Deal_Master_Wide!$DT$45)</f>
        <v>91.686899999999994</v>
      </c>
      <c r="U296" t="str">
        <f>IF(ISBLANK(Deal_Master_Wide!$EA$45),"",Deal_Master_Wide!$EA$45)</f>
        <v/>
      </c>
      <c r="V296" t="str">
        <f>IF(ISBLANK(Deal_Master_Wide!$EH$45),"",Deal_Master_Wide!$EH$45)</f>
        <v/>
      </c>
      <c r="W296" t="str">
        <f>IF(ISBLANK(Deal_Master_Wide!$AF$45),"",Deal_Master_Wide!$AF$45)</f>
        <v/>
      </c>
    </row>
    <row r="297" spans="1:23">
      <c r="A297" t="s">
        <v>657</v>
      </c>
      <c r="B297" t="s">
        <v>658</v>
      </c>
      <c r="C297">
        <v>1</v>
      </c>
      <c r="D297" t="s">
        <v>665</v>
      </c>
      <c r="E297" t="s">
        <v>667</v>
      </c>
      <c r="F297">
        <v>2014</v>
      </c>
      <c r="G297">
        <v>-2</v>
      </c>
      <c r="H297">
        <v>2012</v>
      </c>
      <c r="I297">
        <v>0</v>
      </c>
      <c r="J297">
        <v>0</v>
      </c>
      <c r="K297" t="e">
        <f>IF(#REF!="","",#REF!*$I297)</f>
        <v>#REF!</v>
      </c>
      <c r="L297">
        <f>IF(ISBLANK(Deal_Master_Wide!$BQ$45),"",Deal_Master_Wide!$BQ$45)</f>
        <v>0</v>
      </c>
      <c r="M297">
        <f>IF(ISBLANK(Deal_Master_Wide!$BX$45),"",Deal_Master_Wide!$BX$45)</f>
        <v>-4.9427000000000003</v>
      </c>
      <c r="N297">
        <f>IF(ISBLANK(Deal_Master_Wide!$CE$45),"",Deal_Master_Wide!$CE$45)</f>
        <v>-4.9255000000000004</v>
      </c>
      <c r="O297">
        <f>IF(ISBLANK(Deal_Master_Wide!$CL$45),"",Deal_Master_Wide!$CL$45)</f>
        <v>2.7334999999999998</v>
      </c>
      <c r="P297">
        <f>IF(ISBLANK(Deal_Master_Wide!$CS$45),"",Deal_Master_Wide!$CS$45)</f>
        <v>6.7074999999999996</v>
      </c>
      <c r="Q297">
        <f>IF(ISBLANK(Deal_Master_Wide!$CZ$45),"",Deal_Master_Wide!$CZ$45)</f>
        <v>2.036</v>
      </c>
      <c r="R297">
        <f>IF(ISBLANK(Deal_Master_Wide!$DG$45),"",Deal_Master_Wide!$DG$45)</f>
        <v>-105.4661</v>
      </c>
      <c r="S297" t="str">
        <f>IF(ISBLANK(Deal_Master_Wide!$DN$45),"",Deal_Master_Wide!$DN$45)</f>
        <v/>
      </c>
      <c r="T297">
        <f>IF(ISBLANK(Deal_Master_Wide!$DU$45),"",Deal_Master_Wide!$DU$45)</f>
        <v>245.38499999999999</v>
      </c>
      <c r="U297" t="str">
        <f>IF(ISBLANK(Deal_Master_Wide!$EB$45),"",Deal_Master_Wide!$EB$45)</f>
        <v/>
      </c>
      <c r="V297" t="str">
        <f>IF(ISBLANK(Deal_Master_Wide!$EI$45),"",Deal_Master_Wide!$EI$45)</f>
        <v/>
      </c>
      <c r="W297" t="str">
        <f>IF(ISBLANK(Deal_Master_Wide!$AF$45),"",Deal_Master_Wide!$AF$45)</f>
        <v/>
      </c>
    </row>
    <row r="298" spans="1:23">
      <c r="A298" t="s">
        <v>657</v>
      </c>
      <c r="B298" t="s">
        <v>658</v>
      </c>
      <c r="C298">
        <v>1</v>
      </c>
      <c r="D298" t="s">
        <v>665</v>
      </c>
      <c r="E298" t="s">
        <v>667</v>
      </c>
      <c r="F298">
        <v>2014</v>
      </c>
      <c r="G298">
        <v>-1</v>
      </c>
      <c r="H298">
        <v>2013</v>
      </c>
      <c r="I298">
        <v>0</v>
      </c>
      <c r="J298">
        <v>0</v>
      </c>
      <c r="K298" t="e">
        <f>IF(#REF!="","",#REF!*$I298)</f>
        <v>#REF!</v>
      </c>
      <c r="L298">
        <f>IF(ISBLANK(Deal_Master_Wide!$BR$45),"",Deal_Master_Wide!$BR$45)</f>
        <v>0.17319999999999999</v>
      </c>
      <c r="M298">
        <f>IF(ISBLANK(Deal_Master_Wide!$BY$45),"",Deal_Master_Wide!$BY$45)</f>
        <v>-5.2995000000000001</v>
      </c>
      <c r="N298">
        <f>IF(ISBLANK(Deal_Master_Wide!$CF$45),"",Deal_Master_Wide!$CF$45)</f>
        <v>-4.8106999999999998</v>
      </c>
      <c r="O298">
        <f>IF(ISBLANK(Deal_Master_Wide!$CM$45),"",Deal_Master_Wide!$CM$45)</f>
        <v>6.2160000000000002</v>
      </c>
      <c r="P298">
        <f>IF(ISBLANK(Deal_Master_Wide!$CT$45),"",Deal_Master_Wide!$CT$45)</f>
        <v>4.0450999999999997</v>
      </c>
      <c r="Q298">
        <f>IF(ISBLANK(Deal_Master_Wide!$DA$45),"",Deal_Master_Wide!$DA$45)</f>
        <v>2.2675000000000001</v>
      </c>
      <c r="R298">
        <f>IF(ISBLANK(Deal_Master_Wide!$DH$45),"",Deal_Master_Wide!$DH$45)</f>
        <v>-110.453</v>
      </c>
      <c r="S298">
        <f>IF(ISBLANK(Deal_Master_Wide!$DO$45),"",Deal_Master_Wide!$DO$45)</f>
        <v>-3060.5441999999998</v>
      </c>
      <c r="T298">
        <f>IF(ISBLANK(Deal_Master_Wide!$DV$45),"",Deal_Master_Wide!$DV$45)</f>
        <v>65.075400000000002</v>
      </c>
      <c r="U298" t="str">
        <f>IF(ISBLANK(Deal_Master_Wide!$EC$45),"",Deal_Master_Wide!$EC$45)</f>
        <v/>
      </c>
      <c r="V298" t="str">
        <f>IF(ISBLANK(Deal_Master_Wide!$EJ$45),"",Deal_Master_Wide!$EJ$45)</f>
        <v/>
      </c>
      <c r="W298" t="str">
        <f>IF(ISBLANK(Deal_Master_Wide!$AF$45),"",Deal_Master_Wide!$AF$45)</f>
        <v/>
      </c>
    </row>
    <row r="299" spans="1:23">
      <c r="A299" t="s">
        <v>657</v>
      </c>
      <c r="B299" t="s">
        <v>658</v>
      </c>
      <c r="C299">
        <v>1</v>
      </c>
      <c r="D299" t="s">
        <v>665</v>
      </c>
      <c r="E299" t="s">
        <v>667</v>
      </c>
      <c r="F299">
        <v>2014</v>
      </c>
      <c r="G299">
        <v>0</v>
      </c>
      <c r="H299">
        <v>2014</v>
      </c>
      <c r="I299">
        <v>0</v>
      </c>
      <c r="J299">
        <v>1</v>
      </c>
      <c r="K299" t="e">
        <f>IF(#REF!="","",#REF!*$I299)</f>
        <v>#REF!</v>
      </c>
      <c r="L299">
        <f>IF(ISBLANK(Deal_Master_Wide!$BS$45),"",Deal_Master_Wide!$BS$45)</f>
        <v>0.1948</v>
      </c>
      <c r="M299">
        <f>IF(ISBLANK(Deal_Master_Wide!$BZ$45),"",Deal_Master_Wide!$BZ$45)</f>
        <v>-10.749700000000001</v>
      </c>
      <c r="N299">
        <f>IF(ISBLANK(Deal_Master_Wide!$CG$45),"",Deal_Master_Wide!$CG$45)</f>
        <v>-10.946999999999999</v>
      </c>
      <c r="O299">
        <f>IF(ISBLANK(Deal_Master_Wide!$CN$45),"",Deal_Master_Wide!$CN$45)</f>
        <v>60.087299999999999</v>
      </c>
      <c r="P299">
        <f>IF(ISBLANK(Deal_Master_Wide!$CU$45),"",Deal_Master_Wide!$CU$45)</f>
        <v>2.5482999999999998</v>
      </c>
      <c r="Q299">
        <f>IF(ISBLANK(Deal_Master_Wide!$DB$45),"",Deal_Master_Wide!$DB$45)</f>
        <v>6.7491000000000003</v>
      </c>
      <c r="R299">
        <f>IF(ISBLANK(Deal_Master_Wide!$DI$45),"",Deal_Master_Wide!$DI$45)</f>
        <v>-34.037500000000001</v>
      </c>
      <c r="S299">
        <f>IF(ISBLANK(Deal_Master_Wide!$DP$45),"",Deal_Master_Wide!$DP$45)</f>
        <v>-6170.0636999999997</v>
      </c>
      <c r="T299">
        <f>IF(ISBLANK(Deal_Master_Wide!$DW$45),"",Deal_Master_Wide!$DW$45)</f>
        <v>4.2409999999999997</v>
      </c>
      <c r="U299" t="str">
        <f>IF(ISBLANK(Deal_Master_Wide!$ED$45),"",Deal_Master_Wide!$ED$45)</f>
        <v/>
      </c>
      <c r="V299" t="str">
        <f>IF(ISBLANK(Deal_Master_Wide!$EK$45),"",Deal_Master_Wide!$EK$45)</f>
        <v/>
      </c>
      <c r="W299" t="str">
        <f>IF(ISBLANK(Deal_Master_Wide!$AF$45),"",Deal_Master_Wide!$AF$45)</f>
        <v/>
      </c>
    </row>
    <row r="300" spans="1:23">
      <c r="A300" t="s">
        <v>657</v>
      </c>
      <c r="B300" t="s">
        <v>658</v>
      </c>
      <c r="C300">
        <v>1</v>
      </c>
      <c r="D300" t="s">
        <v>665</v>
      </c>
      <c r="E300" t="s">
        <v>667</v>
      </c>
      <c r="F300">
        <v>2014</v>
      </c>
      <c r="G300">
        <v>1</v>
      </c>
      <c r="H300">
        <v>2015</v>
      </c>
      <c r="I300">
        <v>1</v>
      </c>
      <c r="J300">
        <v>1</v>
      </c>
      <c r="K300" t="e">
        <f>IF(#REF!="","",#REF!*$I300)</f>
        <v>#REF!</v>
      </c>
      <c r="L300">
        <f>IF(ISBLANK(Deal_Master_Wide!$BT$45),"",Deal_Master_Wide!$BT$45)</f>
        <v>1.8940999999999999</v>
      </c>
      <c r="M300">
        <f>IF(ISBLANK(Deal_Master_Wide!$CA$45),"",Deal_Master_Wide!$CA$45)</f>
        <v>-14.5055</v>
      </c>
      <c r="N300">
        <f>IF(ISBLANK(Deal_Master_Wide!$CH$45),"",Deal_Master_Wide!$CH$45)</f>
        <v>-13.911799999999999</v>
      </c>
      <c r="O300">
        <f>IF(ISBLANK(Deal_Master_Wide!$CO$45),"",Deal_Master_Wide!$CO$45)</f>
        <v>86.837900000000005</v>
      </c>
      <c r="P300">
        <f>IF(ISBLANK(Deal_Master_Wide!$CV$45),"",Deal_Master_Wide!$CV$45)</f>
        <v>2.6440999999999999</v>
      </c>
      <c r="Q300">
        <f>IF(ISBLANK(Deal_Master_Wide!$DC$45),"",Deal_Master_Wide!$DC$45)</f>
        <v>8.1550999999999991</v>
      </c>
      <c r="R300">
        <f>IF(ISBLANK(Deal_Master_Wide!$DJ$45),"",Deal_Master_Wide!$DJ$45)</f>
        <v>-18.245000000000001</v>
      </c>
      <c r="S300">
        <f>IF(ISBLANK(Deal_Master_Wide!$DQ$45),"",Deal_Master_Wide!$DQ$45)</f>
        <v>-939.49090000000001</v>
      </c>
      <c r="T300">
        <f>IF(ISBLANK(Deal_Master_Wide!$DX$45),"",Deal_Master_Wide!$DX$45)</f>
        <v>3.0449000000000002</v>
      </c>
      <c r="U300" t="str">
        <f>IF(ISBLANK(Deal_Master_Wide!$EE$45),"",Deal_Master_Wide!$EE$45)</f>
        <v/>
      </c>
      <c r="V300" t="str">
        <f>IF(ISBLANK(Deal_Master_Wide!$EL$45),"",Deal_Master_Wide!$EL$45)</f>
        <v/>
      </c>
      <c r="W300" t="str">
        <f>IF(ISBLANK(Deal_Master_Wide!$AF$45),"",Deal_Master_Wide!$AF$45)</f>
        <v/>
      </c>
    </row>
    <row r="301" spans="1:23">
      <c r="A301" t="s">
        <v>657</v>
      </c>
      <c r="B301" t="s">
        <v>658</v>
      </c>
      <c r="C301">
        <v>1</v>
      </c>
      <c r="D301" t="s">
        <v>665</v>
      </c>
      <c r="E301" t="s">
        <v>667</v>
      </c>
      <c r="F301">
        <v>2014</v>
      </c>
      <c r="G301">
        <v>2</v>
      </c>
      <c r="H301">
        <v>2016</v>
      </c>
      <c r="I301">
        <v>1</v>
      </c>
      <c r="J301">
        <v>1</v>
      </c>
      <c r="K301" t="e">
        <f>IF(#REF!="","",#REF!*$I301)</f>
        <v>#REF!</v>
      </c>
      <c r="L301">
        <f>IF(ISBLANK(Deal_Master_Wide!$BU$45),"",Deal_Master_Wide!$BU$45)</f>
        <v>8.4755000000000003</v>
      </c>
      <c r="M301">
        <f>IF(ISBLANK(Deal_Master_Wide!$CB$45),"",Deal_Master_Wide!$CB$45)</f>
        <v>-23.434699999999999</v>
      </c>
      <c r="N301">
        <f>IF(ISBLANK(Deal_Master_Wide!$CI$45),"",Deal_Master_Wide!$CI$45)</f>
        <v>-24.683499999999999</v>
      </c>
      <c r="O301">
        <f>IF(ISBLANK(Deal_Master_Wide!$CP$45),"",Deal_Master_Wide!$CP$45)</f>
        <v>66.353099999999998</v>
      </c>
      <c r="P301">
        <f>IF(ISBLANK(Deal_Master_Wide!$CW$45),"",Deal_Master_Wide!$CW$45)</f>
        <v>2.5259</v>
      </c>
      <c r="Q301">
        <f>IF(ISBLANK(Deal_Master_Wide!$DD$45),"",Deal_Master_Wide!$DD$45)</f>
        <v>8.1829000000000001</v>
      </c>
      <c r="R301">
        <f>IF(ISBLANK(Deal_Master_Wide!$DK$45),"",Deal_Master_Wide!$DK$45)</f>
        <v>-33.400100000000002</v>
      </c>
      <c r="S301">
        <f>IF(ISBLANK(Deal_Master_Wide!$DR$45),"",Deal_Master_Wide!$DR$45)</f>
        <v>-441.35489999999999</v>
      </c>
      <c r="T301">
        <f>IF(ISBLANK(Deal_Master_Wide!$DY$45),"",Deal_Master_Wide!$DY$45)</f>
        <v>3.8067000000000002</v>
      </c>
      <c r="U301" t="str">
        <f>IF(ISBLANK(Deal_Master_Wide!$EF$45),"",Deal_Master_Wide!$EF$45)</f>
        <v/>
      </c>
      <c r="V301" t="str">
        <f>IF(ISBLANK(Deal_Master_Wide!$EM$45),"",Deal_Master_Wide!$EM$45)</f>
        <v/>
      </c>
      <c r="W301" t="str">
        <f>IF(ISBLANK(Deal_Master_Wide!$AF$45),"",Deal_Master_Wide!$AF$45)</f>
        <v/>
      </c>
    </row>
    <row r="302" spans="1:23">
      <c r="A302" t="s">
        <v>657</v>
      </c>
      <c r="B302" t="s">
        <v>658</v>
      </c>
      <c r="C302">
        <v>1</v>
      </c>
      <c r="D302" t="s">
        <v>665</v>
      </c>
      <c r="E302" t="s">
        <v>667</v>
      </c>
      <c r="F302">
        <v>2014</v>
      </c>
      <c r="G302">
        <v>3</v>
      </c>
      <c r="H302">
        <v>2017</v>
      </c>
      <c r="I302">
        <v>1</v>
      </c>
      <c r="J302">
        <v>1</v>
      </c>
      <c r="K302" t="e">
        <f>IF(#REF!="","",#REF!*$I302)</f>
        <v>#REF!</v>
      </c>
      <c r="L302">
        <f>IF(ISBLANK(Deal_Master_Wide!$BV$45),"",Deal_Master_Wide!$BV$45)</f>
        <v>8.6742000000000008</v>
      </c>
      <c r="M302">
        <f>IF(ISBLANK(Deal_Master_Wide!$CC$45),"",Deal_Master_Wide!$CC$45)</f>
        <v>-18.369</v>
      </c>
      <c r="N302">
        <f>IF(ISBLANK(Deal_Master_Wide!$CJ$45),"",Deal_Master_Wide!$CJ$45)</f>
        <v>-18.339300000000001</v>
      </c>
      <c r="O302">
        <f>IF(ISBLANK(Deal_Master_Wide!$CQ$45),"",Deal_Master_Wide!$CQ$45)</f>
        <v>55.373899999999999</v>
      </c>
      <c r="P302">
        <f>IF(ISBLANK(Deal_Master_Wide!$CX$45),"",Deal_Master_Wide!$CX$45)</f>
        <v>7.3638000000000003</v>
      </c>
      <c r="Q302">
        <f>IF(ISBLANK(Deal_Master_Wide!$DE$45),"",Deal_Master_Wide!$DE$45)</f>
        <v>11.627599999999999</v>
      </c>
      <c r="R302">
        <f>IF(ISBLANK(Deal_Master_Wide!$DL$45),"",Deal_Master_Wide!$DL$45)</f>
        <v>-30.334299999999999</v>
      </c>
      <c r="S302">
        <f>IF(ISBLANK(Deal_Master_Wide!$DS$45),"",Deal_Master_Wide!$DS$45)</f>
        <v>-231.86359999999999</v>
      </c>
      <c r="T302">
        <f>IF(ISBLANK(Deal_Master_Wide!$DZ$45),"",Deal_Master_Wide!$DZ$45)</f>
        <v>13.298400000000001</v>
      </c>
      <c r="U302" t="str">
        <f>IF(ISBLANK(Deal_Master_Wide!$EG$45),"",Deal_Master_Wide!$EG$45)</f>
        <v/>
      </c>
      <c r="V302" t="str">
        <f>IF(ISBLANK(Deal_Master_Wide!$EN$45),"",Deal_Master_Wide!$EN$45)</f>
        <v/>
      </c>
      <c r="W302" t="str">
        <f>IF(ISBLANK(Deal_Master_Wide!$AF$45),"",Deal_Master_Wide!$AF$45)</f>
        <v/>
      </c>
    </row>
    <row r="303" spans="1:23">
      <c r="A303" t="s">
        <v>673</v>
      </c>
      <c r="B303" t="s">
        <v>658</v>
      </c>
      <c r="C303">
        <v>1</v>
      </c>
      <c r="D303" t="s">
        <v>679</v>
      </c>
      <c r="E303" t="s">
        <v>681</v>
      </c>
      <c r="F303">
        <v>2020</v>
      </c>
      <c r="G303">
        <v>-3</v>
      </c>
      <c r="H303">
        <v>2017</v>
      </c>
      <c r="I303">
        <v>0</v>
      </c>
      <c r="J303">
        <v>0</v>
      </c>
      <c r="K303" t="e">
        <f>IF(#REF!="","",#REF!*$I303)</f>
        <v>#REF!</v>
      </c>
      <c r="L303" t="str">
        <f>IF(ISBLANK(Deal_Master_Wide!$BP$46),"",Deal_Master_Wide!$BP$46)</f>
        <v/>
      </c>
      <c r="M303">
        <f>IF(ISBLANK(Deal_Master_Wide!$BW$46),"",Deal_Master_Wide!$BW$46)</f>
        <v>19.808800000000002</v>
      </c>
      <c r="N303" t="str">
        <f>IF(ISBLANK(Deal_Master_Wide!$CD$46),"",Deal_Master_Wide!$CD$46)</f>
        <v/>
      </c>
      <c r="O303">
        <f>IF(ISBLANK(Deal_Master_Wide!$CK$46),"",Deal_Master_Wide!$CK$46)</f>
        <v>458.87169999999998</v>
      </c>
      <c r="P303">
        <f>IF(ISBLANK(Deal_Master_Wide!$CR$46),"",Deal_Master_Wide!$CR$46)</f>
        <v>0</v>
      </c>
      <c r="Q303" t="str">
        <f>IF(ISBLANK(Deal_Master_Wide!$CY$46),"",Deal_Master_Wide!$CY$46)</f>
        <v/>
      </c>
      <c r="R303">
        <f>IF(ISBLANK(Deal_Master_Wide!$DF$46),"",Deal_Master_Wide!$DF$46)</f>
        <v>4.4884000000000004</v>
      </c>
      <c r="S303">
        <f>IF(ISBLANK(Deal_Master_Wide!$DM$46),"",Deal_Master_Wide!$DM$46)</f>
        <v>91.178100000000001</v>
      </c>
      <c r="T303">
        <f>IF(ISBLANK(Deal_Master_Wide!$DT$46),"",Deal_Master_Wide!$DT$46)</f>
        <v>0</v>
      </c>
      <c r="U303">
        <f>IF(ISBLANK(Deal_Master_Wide!$EA$46),"",Deal_Master_Wide!$EA$46)</f>
        <v>8</v>
      </c>
      <c r="V303">
        <f>IF(ISBLANK(Deal_Master_Wide!$EH$46),"",Deal_Master_Wide!$EH$46)</f>
        <v>0</v>
      </c>
      <c r="W303" t="str">
        <f>IF(ISBLANK(Deal_Master_Wide!$AF$46),"",Deal_Master_Wide!$AF$46)</f>
        <v/>
      </c>
    </row>
    <row r="304" spans="1:23">
      <c r="A304" t="s">
        <v>673</v>
      </c>
      <c r="B304" t="s">
        <v>658</v>
      </c>
      <c r="C304">
        <v>1</v>
      </c>
      <c r="D304" t="s">
        <v>679</v>
      </c>
      <c r="E304" t="s">
        <v>681</v>
      </c>
      <c r="F304">
        <v>2020</v>
      </c>
      <c r="G304">
        <v>-2</v>
      </c>
      <c r="H304">
        <v>2018</v>
      </c>
      <c r="I304">
        <v>0</v>
      </c>
      <c r="J304">
        <v>0</v>
      </c>
      <c r="K304" t="e">
        <f>IF(#REF!="","",#REF!*$I304)</f>
        <v>#REF!</v>
      </c>
      <c r="L304" t="str">
        <f>IF(ISBLANK(Deal_Master_Wide!$BQ$46),"",Deal_Master_Wide!$BQ$46)</f>
        <v/>
      </c>
      <c r="M304">
        <f>IF(ISBLANK(Deal_Master_Wide!$BX$46),"",Deal_Master_Wide!$BX$46)</f>
        <v>12.674300000000001</v>
      </c>
      <c r="N304" t="str">
        <f>IF(ISBLANK(Deal_Master_Wide!$CE$46),"",Deal_Master_Wide!$CE$46)</f>
        <v/>
      </c>
      <c r="O304">
        <f>IF(ISBLANK(Deal_Master_Wide!$CL$46),"",Deal_Master_Wide!$CL$46)</f>
        <v>538.64840000000004</v>
      </c>
      <c r="P304">
        <f>IF(ISBLANK(Deal_Master_Wide!$CS$46),"",Deal_Master_Wide!$CS$46)</f>
        <v>17.118500000000001</v>
      </c>
      <c r="Q304" t="str">
        <f>IF(ISBLANK(Deal_Master_Wide!$CZ$46),"",Deal_Master_Wide!$CZ$46)</f>
        <v/>
      </c>
      <c r="R304">
        <f>IF(ISBLANK(Deal_Master_Wide!$DG$46),"",Deal_Master_Wide!$DG$46)</f>
        <v>3.2538999999999998</v>
      </c>
      <c r="S304">
        <f>IF(ISBLANK(Deal_Master_Wide!$DN$46),"",Deal_Master_Wide!$DN$46)</f>
        <v>76.127399999999994</v>
      </c>
      <c r="T304">
        <f>IF(ISBLANK(Deal_Master_Wide!$DU$46),"",Deal_Master_Wide!$DU$46)</f>
        <v>3.1779999999999999</v>
      </c>
      <c r="U304">
        <f>IF(ISBLANK(Deal_Master_Wide!$EB$46),"",Deal_Master_Wide!$EB$46)</f>
        <v>5</v>
      </c>
      <c r="V304">
        <f>IF(ISBLANK(Deal_Master_Wide!$EI$46),"",Deal_Master_Wide!$EI$46)</f>
        <v>0</v>
      </c>
      <c r="W304" t="str">
        <f>IF(ISBLANK(Deal_Master_Wide!$AF$46),"",Deal_Master_Wide!$AF$46)</f>
        <v/>
      </c>
    </row>
    <row r="305" spans="1:23">
      <c r="A305" t="s">
        <v>673</v>
      </c>
      <c r="B305" t="s">
        <v>658</v>
      </c>
      <c r="C305">
        <v>1</v>
      </c>
      <c r="D305" t="s">
        <v>679</v>
      </c>
      <c r="E305" t="s">
        <v>681</v>
      </c>
      <c r="F305">
        <v>2020</v>
      </c>
      <c r="G305">
        <v>-1</v>
      </c>
      <c r="H305">
        <v>2019</v>
      </c>
      <c r="I305">
        <v>0</v>
      </c>
      <c r="J305">
        <v>0</v>
      </c>
      <c r="K305" t="e">
        <f>IF(#REF!="","",#REF!*$I305)</f>
        <v>#REF!</v>
      </c>
      <c r="L305" t="str">
        <f>IF(ISBLANK(Deal_Master_Wide!$BR$46),"",Deal_Master_Wide!$BR$46)</f>
        <v/>
      </c>
      <c r="M305">
        <f>IF(ISBLANK(Deal_Master_Wide!$BY$46),"",Deal_Master_Wide!$BY$46)</f>
        <v>166.85579999999999</v>
      </c>
      <c r="N305" t="str">
        <f>IF(ISBLANK(Deal_Master_Wide!$CF$46),"",Deal_Master_Wide!$CF$46)</f>
        <v/>
      </c>
      <c r="O305">
        <f>IF(ISBLANK(Deal_Master_Wide!$CM$46),"",Deal_Master_Wide!$CM$46)</f>
        <v>890.95429999999999</v>
      </c>
      <c r="P305">
        <f>IF(ISBLANK(Deal_Master_Wide!$CT$46),"",Deal_Master_Wide!$CT$46)</f>
        <v>23.5852</v>
      </c>
      <c r="Q305" t="str">
        <f>IF(ISBLANK(Deal_Master_Wide!$DA$46),"",Deal_Master_Wide!$DA$46)</f>
        <v/>
      </c>
      <c r="R305">
        <f>IF(ISBLANK(Deal_Master_Wide!$DH$46),"",Deal_Master_Wide!$DH$46)</f>
        <v>23.6081</v>
      </c>
      <c r="S305">
        <f>IF(ISBLANK(Deal_Master_Wide!$DO$46),"",Deal_Master_Wide!$DO$46)</f>
        <v>95.7042</v>
      </c>
      <c r="T305">
        <f>IF(ISBLANK(Deal_Master_Wide!$DV$46),"",Deal_Master_Wide!$DV$46)</f>
        <v>2.6472000000000002</v>
      </c>
      <c r="U305">
        <f>IF(ISBLANK(Deal_Master_Wide!$EC$46),"",Deal_Master_Wide!$EC$46)</f>
        <v>3</v>
      </c>
      <c r="V305">
        <f>IF(ISBLANK(Deal_Master_Wide!$EJ$46),"",Deal_Master_Wide!$EJ$46)</f>
        <v>0</v>
      </c>
      <c r="W305" t="str">
        <f>IF(ISBLANK(Deal_Master_Wide!$AF$46),"",Deal_Master_Wide!$AF$46)</f>
        <v/>
      </c>
    </row>
    <row r="306" spans="1:23">
      <c r="A306" t="s">
        <v>673</v>
      </c>
      <c r="B306" t="s">
        <v>658</v>
      </c>
      <c r="C306">
        <v>1</v>
      </c>
      <c r="D306" t="s">
        <v>679</v>
      </c>
      <c r="E306" t="s">
        <v>681</v>
      </c>
      <c r="F306">
        <v>2020</v>
      </c>
      <c r="G306">
        <v>0</v>
      </c>
      <c r="H306">
        <v>2020</v>
      </c>
      <c r="I306">
        <v>0</v>
      </c>
      <c r="J306">
        <v>1</v>
      </c>
      <c r="K306" t="e">
        <f>IF(#REF!="","",#REF!*$I306)</f>
        <v>#REF!</v>
      </c>
      <c r="L306" t="str">
        <f>IF(ISBLANK(Deal_Master_Wide!$BS$46),"",Deal_Master_Wide!$BS$46)</f>
        <v/>
      </c>
      <c r="M306">
        <f>IF(ISBLANK(Deal_Master_Wide!$BZ$46),"",Deal_Master_Wide!$BZ$46)</f>
        <v>-23.230399999999999</v>
      </c>
      <c r="N306" t="str">
        <f>IF(ISBLANK(Deal_Master_Wide!$CG$46),"",Deal_Master_Wide!$CG$46)</f>
        <v/>
      </c>
      <c r="O306">
        <f>IF(ISBLANK(Deal_Master_Wide!$CN$46),"",Deal_Master_Wide!$CN$46)</f>
        <v>851.72580000000005</v>
      </c>
      <c r="P306">
        <f>IF(ISBLANK(Deal_Master_Wide!$CU$46),"",Deal_Master_Wide!$CU$46)</f>
        <v>30.006900000000002</v>
      </c>
      <c r="Q306" t="str">
        <f>IF(ISBLANK(Deal_Master_Wide!$DB$46),"",Deal_Master_Wide!$DB$46)</f>
        <v/>
      </c>
      <c r="R306">
        <f>IF(ISBLANK(Deal_Master_Wide!$DI$46),"",Deal_Master_Wide!$DI$46)</f>
        <v>7.5956000000000001</v>
      </c>
      <c r="S306">
        <f>IF(ISBLANK(Deal_Master_Wide!$DP$46),"",Deal_Master_Wide!$DP$46)</f>
        <v>-357.39139999999998</v>
      </c>
      <c r="T306">
        <f>IF(ISBLANK(Deal_Master_Wide!$DW$46),"",Deal_Master_Wide!$DW$46)</f>
        <v>3.5230999999999999</v>
      </c>
      <c r="U306">
        <f>IF(ISBLANK(Deal_Master_Wide!$ED$46),"",Deal_Master_Wide!$ED$46)</f>
        <v>1</v>
      </c>
      <c r="V306">
        <f>IF(ISBLANK(Deal_Master_Wide!$EK$46),"",Deal_Master_Wide!$EK$46)</f>
        <v>0</v>
      </c>
      <c r="W306" t="str">
        <f>IF(ISBLANK(Deal_Master_Wide!$AF$46),"",Deal_Master_Wide!$AF$46)</f>
        <v/>
      </c>
    </row>
    <row r="307" spans="1:23">
      <c r="A307" t="s">
        <v>673</v>
      </c>
      <c r="B307" t="s">
        <v>658</v>
      </c>
      <c r="C307">
        <v>1</v>
      </c>
      <c r="D307" t="s">
        <v>679</v>
      </c>
      <c r="E307" t="s">
        <v>681</v>
      </c>
      <c r="F307">
        <v>2020</v>
      </c>
      <c r="G307">
        <v>1</v>
      </c>
      <c r="H307">
        <v>2021</v>
      </c>
      <c r="I307">
        <v>1</v>
      </c>
      <c r="J307">
        <v>1</v>
      </c>
      <c r="K307" t="e">
        <f>IF(#REF!="","",#REF!*$I307)</f>
        <v>#REF!</v>
      </c>
      <c r="L307" t="str">
        <f>IF(ISBLANK(Deal_Master_Wide!$BT$46),"",Deal_Master_Wide!$BT$46)</f>
        <v/>
      </c>
      <c r="M307">
        <f>IF(ISBLANK(Deal_Master_Wide!$CA$46),"",Deal_Master_Wide!$CA$46)</f>
        <v>46.584000000000003</v>
      </c>
      <c r="N307" t="str">
        <f>IF(ISBLANK(Deal_Master_Wide!$CH$46),"",Deal_Master_Wide!$CH$46)</f>
        <v/>
      </c>
      <c r="O307">
        <f>IF(ISBLANK(Deal_Master_Wide!$CO$46),"",Deal_Master_Wide!$CO$46)</f>
        <v>779.86900000000003</v>
      </c>
      <c r="P307">
        <f>IF(ISBLANK(Deal_Master_Wide!$CV$46),"",Deal_Master_Wide!$CV$46)</f>
        <v>2.1000000000000001E-2</v>
      </c>
      <c r="Q307" t="str">
        <f>IF(ISBLANK(Deal_Master_Wide!$DC$46),"",Deal_Master_Wide!$DC$46)</f>
        <v/>
      </c>
      <c r="R307">
        <f>IF(ISBLANK(Deal_Master_Wide!$DJ$46),"",Deal_Master_Wide!$DJ$46)</f>
        <v>5.2351999999999999</v>
      </c>
      <c r="S307">
        <f>IF(ISBLANK(Deal_Master_Wide!$DQ$46),"",Deal_Master_Wide!$DQ$46)</f>
        <v>85.714299999999994</v>
      </c>
      <c r="T307">
        <f>IF(ISBLANK(Deal_Master_Wide!$DX$46),"",Deal_Master_Wide!$DX$46)</f>
        <v>2.7000000000000001E-3</v>
      </c>
      <c r="U307">
        <f>IF(ISBLANK(Deal_Master_Wide!$EE$46),"",Deal_Master_Wide!$EE$46)</f>
        <v>1</v>
      </c>
      <c r="V307">
        <f>IF(ISBLANK(Deal_Master_Wide!$EL$46),"",Deal_Master_Wide!$EL$46)</f>
        <v>0</v>
      </c>
      <c r="W307" t="str">
        <f>IF(ISBLANK(Deal_Master_Wide!$AF$46),"",Deal_Master_Wide!$AF$46)</f>
        <v/>
      </c>
    </row>
    <row r="308" spans="1:23">
      <c r="A308" t="s">
        <v>673</v>
      </c>
      <c r="B308" t="s">
        <v>658</v>
      </c>
      <c r="C308">
        <v>1</v>
      </c>
      <c r="D308" t="s">
        <v>679</v>
      </c>
      <c r="E308" t="s">
        <v>681</v>
      </c>
      <c r="F308">
        <v>2020</v>
      </c>
      <c r="G308">
        <v>2</v>
      </c>
      <c r="H308">
        <v>2022</v>
      </c>
      <c r="I308">
        <v>1</v>
      </c>
      <c r="J308">
        <v>1</v>
      </c>
      <c r="K308" t="e">
        <f>IF(#REF!="","",#REF!*$I308)</f>
        <v>#REF!</v>
      </c>
      <c r="L308" t="str">
        <f>IF(ISBLANK(Deal_Master_Wide!$BU$46),"",Deal_Master_Wide!$BU$46)</f>
        <v/>
      </c>
      <c r="M308" t="str">
        <f>IF(ISBLANK(Deal_Master_Wide!$CB$46),"",Deal_Master_Wide!$CB$46)</f>
        <v/>
      </c>
      <c r="N308" t="str">
        <f>IF(ISBLANK(Deal_Master_Wide!$CI$46),"",Deal_Master_Wide!$CI$46)</f>
        <v/>
      </c>
      <c r="O308" t="str">
        <f>IF(ISBLANK(Deal_Master_Wide!$CP$46),"",Deal_Master_Wide!$CP$46)</f>
        <v/>
      </c>
      <c r="P308" t="str">
        <f>IF(ISBLANK(Deal_Master_Wide!$CW$46),"",Deal_Master_Wide!$CW$46)</f>
        <v/>
      </c>
      <c r="Q308" t="str">
        <f>IF(ISBLANK(Deal_Master_Wide!$DD$46),"",Deal_Master_Wide!$DD$46)</f>
        <v/>
      </c>
      <c r="R308" t="str">
        <f>IF(ISBLANK(Deal_Master_Wide!$DK$46),"",Deal_Master_Wide!$DK$46)</f>
        <v/>
      </c>
      <c r="S308" t="str">
        <f>IF(ISBLANK(Deal_Master_Wide!$DR$46),"",Deal_Master_Wide!$DR$46)</f>
        <v/>
      </c>
      <c r="T308" t="str">
        <f>IF(ISBLANK(Deal_Master_Wide!$DY$46),"",Deal_Master_Wide!$DY$46)</f>
        <v/>
      </c>
      <c r="U308" t="str">
        <f>IF(ISBLANK(Deal_Master_Wide!$EF$46),"",Deal_Master_Wide!$EF$46)</f>
        <v/>
      </c>
      <c r="V308" t="str">
        <f>IF(ISBLANK(Deal_Master_Wide!$EM$46),"",Deal_Master_Wide!$EM$46)</f>
        <v/>
      </c>
      <c r="W308" t="str">
        <f>IF(ISBLANK(Deal_Master_Wide!$AF$46),"",Deal_Master_Wide!$AF$46)</f>
        <v/>
      </c>
    </row>
    <row r="309" spans="1:23">
      <c r="A309" t="s">
        <v>673</v>
      </c>
      <c r="B309" t="s">
        <v>658</v>
      </c>
      <c r="C309">
        <v>1</v>
      </c>
      <c r="D309" t="s">
        <v>679</v>
      </c>
      <c r="E309" t="s">
        <v>681</v>
      </c>
      <c r="F309">
        <v>2020</v>
      </c>
      <c r="G309">
        <v>3</v>
      </c>
      <c r="H309">
        <v>2023</v>
      </c>
      <c r="I309">
        <v>1</v>
      </c>
      <c r="J309">
        <v>1</v>
      </c>
      <c r="K309" t="e">
        <f>IF(#REF!="","",#REF!*$I309)</f>
        <v>#REF!</v>
      </c>
      <c r="L309" t="str">
        <f>IF(ISBLANK(Deal_Master_Wide!$BV$46),"",Deal_Master_Wide!$BV$46)</f>
        <v/>
      </c>
      <c r="M309" t="str">
        <f>IF(ISBLANK(Deal_Master_Wide!$CC$46),"",Deal_Master_Wide!$CC$46)</f>
        <v/>
      </c>
      <c r="N309" t="str">
        <f>IF(ISBLANK(Deal_Master_Wide!$CJ$46),"",Deal_Master_Wide!$CJ$46)</f>
        <v/>
      </c>
      <c r="O309" t="str">
        <f>IF(ISBLANK(Deal_Master_Wide!$CQ$46),"",Deal_Master_Wide!$CQ$46)</f>
        <v/>
      </c>
      <c r="P309" t="str">
        <f>IF(ISBLANK(Deal_Master_Wide!$CX$46),"",Deal_Master_Wide!$CX$46)</f>
        <v/>
      </c>
      <c r="Q309" t="str">
        <f>IF(ISBLANK(Deal_Master_Wide!$DE$46),"",Deal_Master_Wide!$DE$46)</f>
        <v/>
      </c>
      <c r="R309" t="str">
        <f>IF(ISBLANK(Deal_Master_Wide!$DL$46),"",Deal_Master_Wide!$DL$46)</f>
        <v/>
      </c>
      <c r="S309" t="str">
        <f>IF(ISBLANK(Deal_Master_Wide!$DS$46),"",Deal_Master_Wide!$DS$46)</f>
        <v/>
      </c>
      <c r="T309" t="str">
        <f>IF(ISBLANK(Deal_Master_Wide!$DZ$46),"",Deal_Master_Wide!$DZ$46)</f>
        <v/>
      </c>
      <c r="U309" t="str">
        <f>IF(ISBLANK(Deal_Master_Wide!$EG$46),"",Deal_Master_Wide!$EG$46)</f>
        <v/>
      </c>
      <c r="V309" t="str">
        <f>IF(ISBLANK(Deal_Master_Wide!$EN$46),"",Deal_Master_Wide!$EN$46)</f>
        <v/>
      </c>
      <c r="W309" t="str">
        <f>IF(ISBLANK(Deal_Master_Wide!$AF$46),"",Deal_Master_Wide!$AF$46)</f>
        <v/>
      </c>
    </row>
    <row r="310" spans="1:23">
      <c r="A310" t="s">
        <v>688</v>
      </c>
      <c r="B310" t="s">
        <v>658</v>
      </c>
      <c r="C310">
        <v>1</v>
      </c>
      <c r="D310" t="s">
        <v>693</v>
      </c>
      <c r="E310" t="s">
        <v>695</v>
      </c>
      <c r="F310">
        <v>2013</v>
      </c>
      <c r="G310">
        <v>-3</v>
      </c>
      <c r="H310">
        <v>2010</v>
      </c>
      <c r="I310">
        <v>0</v>
      </c>
      <c r="J310">
        <v>0</v>
      </c>
      <c r="K310" t="e">
        <f>IF(#REF!="","",#REF!*$I310)</f>
        <v>#REF!</v>
      </c>
      <c r="L310">
        <f>IF(ISBLANK(Deal_Master_Wide!$BP$47),"",Deal_Master_Wide!$BP$47)</f>
        <v>3471.1</v>
      </c>
      <c r="M310">
        <f>IF(ISBLANK(Deal_Master_Wide!$BW$47),"",Deal_Master_Wide!$BW$47)</f>
        <v>794.1</v>
      </c>
      <c r="N310">
        <f>IF(ISBLANK(Deal_Master_Wide!$CD$47),"",Deal_Master_Wide!$CD$47)</f>
        <v>588</v>
      </c>
      <c r="O310">
        <f>IF(ISBLANK(Deal_Master_Wide!$CK$47),"",Deal_Master_Wide!$CK$47)</f>
        <v>5387.6</v>
      </c>
      <c r="P310">
        <f>IF(ISBLANK(Deal_Master_Wide!$CR$47),"",Deal_Master_Wide!$CR$47)</f>
        <v>1107.9000000000001</v>
      </c>
      <c r="Q310">
        <f>IF(ISBLANK(Deal_Master_Wide!$CY$47),"",Deal_Master_Wide!$CY$47)</f>
        <v>661.5</v>
      </c>
      <c r="R310">
        <f>IF(ISBLANK(Deal_Master_Wide!$DF$47),"",Deal_Master_Wide!$DF$47)</f>
        <v>11.75</v>
      </c>
      <c r="S310">
        <f>IF(ISBLANK(Deal_Master_Wide!$DM$47),"",Deal_Master_Wide!$DM$47)</f>
        <v>22.88</v>
      </c>
      <c r="T310">
        <f>IF(ISBLANK(Deal_Master_Wide!$DT$47),"",Deal_Master_Wide!$DT$47)</f>
        <v>20.5639</v>
      </c>
      <c r="U310" t="str">
        <f>IF(ISBLANK(Deal_Master_Wide!$EA$47),"",Deal_Master_Wide!$EA$47)</f>
        <v/>
      </c>
      <c r="V310" t="str">
        <f>IF(ISBLANK(Deal_Master_Wide!$EH$47),"",Deal_Master_Wide!$EH$47)</f>
        <v/>
      </c>
      <c r="W310" t="str">
        <f>IF(ISBLANK(Deal_Master_Wide!$AF$47),"",Deal_Master_Wide!$AF$47)</f>
        <v/>
      </c>
    </row>
    <row r="311" spans="1:23">
      <c r="A311" t="s">
        <v>688</v>
      </c>
      <c r="B311" t="s">
        <v>658</v>
      </c>
      <c r="C311">
        <v>1</v>
      </c>
      <c r="D311" t="s">
        <v>693</v>
      </c>
      <c r="E311" t="s">
        <v>695</v>
      </c>
      <c r="F311">
        <v>2013</v>
      </c>
      <c r="G311">
        <v>-2</v>
      </c>
      <c r="H311">
        <v>2011</v>
      </c>
      <c r="I311">
        <v>0</v>
      </c>
      <c r="J311">
        <v>0</v>
      </c>
      <c r="K311" t="e">
        <f>IF(#REF!="","",#REF!*$I311)</f>
        <v>#REF!</v>
      </c>
      <c r="L311">
        <f>IF(ISBLANK(Deal_Master_Wide!$BQ$47),"",Deal_Master_Wide!$BQ$47)</f>
        <v>4263.3999999999996</v>
      </c>
      <c r="M311">
        <f>IF(ISBLANK(Deal_Master_Wide!$BX$47),"",Deal_Master_Wide!$BX$47)</f>
        <v>1109.2</v>
      </c>
      <c r="N311">
        <f>IF(ISBLANK(Deal_Master_Wide!$CE$47),"",Deal_Master_Wide!$CE$47)</f>
        <v>865</v>
      </c>
      <c r="O311">
        <f>IF(ISBLANK(Deal_Master_Wide!$CL$47),"",Deal_Master_Wide!$CL$47)</f>
        <v>6380.2</v>
      </c>
      <c r="P311">
        <f>IF(ISBLANK(Deal_Master_Wide!$CS$47),"",Deal_Master_Wide!$CS$47)</f>
        <v>1100</v>
      </c>
      <c r="Q311">
        <f>IF(ISBLANK(Deal_Master_Wide!$CZ$47),"",Deal_Master_Wide!$CZ$47)</f>
        <v>754.7</v>
      </c>
      <c r="R311">
        <f>IF(ISBLANK(Deal_Master_Wide!$DG$47),"",Deal_Master_Wide!$DG$47)</f>
        <v>14.7</v>
      </c>
      <c r="S311">
        <f>IF(ISBLANK(Deal_Master_Wide!$DN$47),"",Deal_Master_Wide!$DN$47)</f>
        <v>26.02</v>
      </c>
      <c r="T311">
        <f>IF(ISBLANK(Deal_Master_Wide!$DU$47),"",Deal_Master_Wide!$DU$47)</f>
        <v>17.2408</v>
      </c>
      <c r="U311">
        <f>IF(ISBLANK(Deal_Master_Wide!$EB$47),"",Deal_Master_Wide!$EB$47)</f>
        <v>15</v>
      </c>
      <c r="V311">
        <f>IF(ISBLANK(Deal_Master_Wide!$EI$47),"",Deal_Master_Wide!$EI$47)</f>
        <v>159</v>
      </c>
      <c r="W311" t="str">
        <f>IF(ISBLANK(Deal_Master_Wide!$AF$47),"",Deal_Master_Wide!$AF$47)</f>
        <v/>
      </c>
    </row>
    <row r="312" spans="1:23">
      <c r="A312" t="s">
        <v>688</v>
      </c>
      <c r="B312" t="s">
        <v>658</v>
      </c>
      <c r="C312">
        <v>1</v>
      </c>
      <c r="D312" t="s">
        <v>693</v>
      </c>
      <c r="E312" t="s">
        <v>695</v>
      </c>
      <c r="F312">
        <v>2013</v>
      </c>
      <c r="G312">
        <v>-1</v>
      </c>
      <c r="H312">
        <v>2012</v>
      </c>
      <c r="I312">
        <v>0</v>
      </c>
      <c r="J312">
        <v>0</v>
      </c>
      <c r="K312" t="e">
        <f>IF(#REF!="","",#REF!*$I312)</f>
        <v>#REF!</v>
      </c>
      <c r="L312">
        <f>IF(ISBLANK(Deal_Master_Wide!$BR$47),"",Deal_Master_Wide!$BR$47)</f>
        <v>4681.2</v>
      </c>
      <c r="M312">
        <f>IF(ISBLANK(Deal_Master_Wide!$BY$47),"",Deal_Master_Wide!$BY$47)</f>
        <v>949.2</v>
      </c>
      <c r="N312">
        <f>IF(ISBLANK(Deal_Master_Wide!$CF$47),"",Deal_Master_Wide!$CF$47)</f>
        <v>745.4</v>
      </c>
      <c r="O312">
        <f>IF(ISBLANK(Deal_Master_Wide!$CM$47),"",Deal_Master_Wide!$CM$47)</f>
        <v>7317.2</v>
      </c>
      <c r="P312">
        <f>IF(ISBLANK(Deal_Master_Wide!$CT$47),"",Deal_Master_Wide!$CT$47)</f>
        <v>1100</v>
      </c>
      <c r="Q312">
        <f>IF(ISBLANK(Deal_Master_Wide!$DA$47),"",Deal_Master_Wide!$DA$47)</f>
        <v>894.3</v>
      </c>
      <c r="R312">
        <f>IF(ISBLANK(Deal_Master_Wide!$DH$47),"",Deal_Master_Wide!$DH$47)</f>
        <v>10.88</v>
      </c>
      <c r="S312">
        <f>IF(ISBLANK(Deal_Master_Wide!$DO$47),"",Deal_Master_Wide!$DO$47)</f>
        <v>20.28</v>
      </c>
      <c r="T312">
        <f>IF(ISBLANK(Deal_Master_Wide!$DV$47),"",Deal_Master_Wide!$DV$47)</f>
        <v>15.033099999999999</v>
      </c>
      <c r="U312">
        <f>IF(ISBLANK(Deal_Master_Wide!$EC$47),"",Deal_Master_Wide!$EC$47)</f>
        <v>13</v>
      </c>
      <c r="V312">
        <f>IF(ISBLANK(Deal_Master_Wide!$EJ$47),"",Deal_Master_Wide!$EJ$47)</f>
        <v>241</v>
      </c>
      <c r="W312" t="str">
        <f>IF(ISBLANK(Deal_Master_Wide!$AF$47),"",Deal_Master_Wide!$AF$47)</f>
        <v/>
      </c>
    </row>
    <row r="313" spans="1:23">
      <c r="A313" t="s">
        <v>688</v>
      </c>
      <c r="B313" t="s">
        <v>658</v>
      </c>
      <c r="C313">
        <v>1</v>
      </c>
      <c r="D313" t="s">
        <v>693</v>
      </c>
      <c r="E313" t="s">
        <v>695</v>
      </c>
      <c r="F313">
        <v>2013</v>
      </c>
      <c r="G313">
        <v>0</v>
      </c>
      <c r="H313">
        <v>2013</v>
      </c>
      <c r="I313">
        <v>0</v>
      </c>
      <c r="J313">
        <v>1</v>
      </c>
      <c r="K313" t="e">
        <f>IF(#REF!="","",#REF!*$I313)</f>
        <v>#REF!</v>
      </c>
      <c r="L313">
        <f>IF(ISBLANK(Deal_Master_Wide!$BS$47),"",Deal_Master_Wide!$BS$47)</f>
        <v>4934.3</v>
      </c>
      <c r="M313">
        <f>IF(ISBLANK(Deal_Master_Wide!$BZ$47),"",Deal_Master_Wide!$BZ$47)</f>
        <v>1733.5</v>
      </c>
      <c r="N313">
        <f>IF(ISBLANK(Deal_Master_Wide!$CG$47),"",Deal_Master_Wide!$CG$47)</f>
        <v>665.1</v>
      </c>
      <c r="O313">
        <f>IF(ISBLANK(Deal_Master_Wide!$CN$47),"",Deal_Master_Wide!$CN$47)</f>
        <v>8323</v>
      </c>
      <c r="P313">
        <f>IF(ISBLANK(Deal_Master_Wide!$CU$47),"",Deal_Master_Wide!$CU$47)</f>
        <v>0</v>
      </c>
      <c r="Q313">
        <f>IF(ISBLANK(Deal_Master_Wide!$DB$47),"",Deal_Master_Wide!$DB$47)</f>
        <v>913.5</v>
      </c>
      <c r="R313">
        <f>IF(ISBLANK(Deal_Master_Wide!$DI$47),"",Deal_Master_Wide!$DI$47)</f>
        <v>8.51</v>
      </c>
      <c r="S313">
        <f>IF(ISBLANK(Deal_Master_Wide!$DP$47),"",Deal_Master_Wide!$DP$47)</f>
        <v>35.130000000000003</v>
      </c>
      <c r="T313">
        <f>IF(ISBLANK(Deal_Master_Wide!$DW$47),"",Deal_Master_Wide!$DW$47)</f>
        <v>0</v>
      </c>
      <c r="U313">
        <f>IF(ISBLANK(Deal_Master_Wide!$ED$47),"",Deal_Master_Wide!$ED$47)</f>
        <v>23</v>
      </c>
      <c r="V313">
        <f>IF(ISBLANK(Deal_Master_Wide!$EK$47),"",Deal_Master_Wide!$EK$47)</f>
        <v>416</v>
      </c>
      <c r="W313" t="str">
        <f>IF(ISBLANK(Deal_Master_Wide!$AF$47),"",Deal_Master_Wide!$AF$47)</f>
        <v/>
      </c>
    </row>
    <row r="314" spans="1:23">
      <c r="A314" t="s">
        <v>688</v>
      </c>
      <c r="B314" t="s">
        <v>658</v>
      </c>
      <c r="C314">
        <v>1</v>
      </c>
      <c r="D314" t="s">
        <v>693</v>
      </c>
      <c r="E314" t="s">
        <v>695</v>
      </c>
      <c r="F314">
        <v>2013</v>
      </c>
      <c r="G314">
        <v>1</v>
      </c>
      <c r="H314">
        <v>2014</v>
      </c>
      <c r="I314">
        <v>1</v>
      </c>
      <c r="J314">
        <v>1</v>
      </c>
      <c r="K314" t="e">
        <f>IF(#REF!="","",#REF!*$I314)</f>
        <v>#REF!</v>
      </c>
      <c r="L314">
        <f>IF(ISBLANK(Deal_Master_Wide!$BT$47),"",Deal_Master_Wide!$BT$47)</f>
        <v>6022.1</v>
      </c>
      <c r="M314">
        <f>IF(ISBLANK(Deal_Master_Wide!$CA$47),"",Deal_Master_Wide!$CA$47)</f>
        <v>1698</v>
      </c>
      <c r="N314">
        <f>IF(ISBLANK(Deal_Master_Wide!$CH$47),"",Deal_Master_Wide!$CH$47)</f>
        <v>3405.5</v>
      </c>
      <c r="O314">
        <f>IF(ISBLANK(Deal_Master_Wide!$CO$47),"",Deal_Master_Wide!$CO$47)</f>
        <v>13632.1</v>
      </c>
      <c r="P314">
        <f>IF(ISBLANK(Deal_Master_Wide!$CV$47),"",Deal_Master_Wide!$CV$47)</f>
        <v>850</v>
      </c>
      <c r="Q314">
        <f>IF(ISBLANK(Deal_Master_Wide!$DC$47),"",Deal_Master_Wide!$DC$47)</f>
        <v>762.7</v>
      </c>
      <c r="R314">
        <f>IF(ISBLANK(Deal_Master_Wide!$DJ$47),"",Deal_Master_Wide!$DJ$47)</f>
        <v>31.02</v>
      </c>
      <c r="S314">
        <f>IF(ISBLANK(Deal_Master_Wide!$DQ$47),"",Deal_Master_Wide!$DQ$47)</f>
        <v>28.2</v>
      </c>
      <c r="T314">
        <f>IF(ISBLANK(Deal_Master_Wide!$DX$47),"",Deal_Master_Wide!$DX$47)</f>
        <v>6.2352999999999996</v>
      </c>
      <c r="U314">
        <f>IF(ISBLANK(Deal_Master_Wide!$EE$47),"",Deal_Master_Wide!$EE$47)</f>
        <v>18</v>
      </c>
      <c r="V314">
        <f>IF(ISBLANK(Deal_Master_Wide!$EL$47),"",Deal_Master_Wide!$EL$47)</f>
        <v>245</v>
      </c>
      <c r="W314" t="str">
        <f>IF(ISBLANK(Deal_Master_Wide!$AF$47),"",Deal_Master_Wide!$AF$47)</f>
        <v/>
      </c>
    </row>
    <row r="315" spans="1:23">
      <c r="A315" t="s">
        <v>688</v>
      </c>
      <c r="B315" t="s">
        <v>658</v>
      </c>
      <c r="C315">
        <v>1</v>
      </c>
      <c r="D315" t="s">
        <v>693</v>
      </c>
      <c r="E315" t="s">
        <v>695</v>
      </c>
      <c r="F315">
        <v>2013</v>
      </c>
      <c r="G315">
        <v>2</v>
      </c>
      <c r="H315">
        <v>2015</v>
      </c>
      <c r="I315">
        <v>1</v>
      </c>
      <c r="J315">
        <v>1</v>
      </c>
      <c r="K315" t="e">
        <f>IF(#REF!="","",#REF!*$I315)</f>
        <v>#REF!</v>
      </c>
      <c r="L315">
        <f>IF(ISBLANK(Deal_Master_Wide!$BU$47),"",Deal_Master_Wide!$BU$47)</f>
        <v>6416.7</v>
      </c>
      <c r="M315">
        <f>IF(ISBLANK(Deal_Master_Wide!$CB$47),"",Deal_Master_Wide!$CB$47)</f>
        <v>1419.5</v>
      </c>
      <c r="N315">
        <f>IF(ISBLANK(Deal_Master_Wide!$CI$47),"",Deal_Master_Wide!$CI$47)</f>
        <v>1303.4000000000001</v>
      </c>
      <c r="O315">
        <f>IF(ISBLANK(Deal_Master_Wide!$CP$47),"",Deal_Master_Wide!$CP$47)</f>
        <v>16609.8</v>
      </c>
      <c r="P315">
        <f>IF(ISBLANK(Deal_Master_Wide!$CW$47),"",Deal_Master_Wide!$CW$47)</f>
        <v>1581.4</v>
      </c>
      <c r="Q315">
        <f>IF(ISBLANK(Deal_Master_Wide!$DD$47),"",Deal_Master_Wide!$DD$47)</f>
        <v>905.8</v>
      </c>
      <c r="R315">
        <f>IF(ISBLANK(Deal_Master_Wide!$DK$47),"",Deal_Master_Wide!$DK$47)</f>
        <v>8.6199999999999992</v>
      </c>
      <c r="S315">
        <f>IF(ISBLANK(Deal_Master_Wide!$DR$47),"",Deal_Master_Wide!$DR$47)</f>
        <v>22.12</v>
      </c>
      <c r="T315">
        <f>IF(ISBLANK(Deal_Master_Wide!$DY$47),"",Deal_Master_Wide!$DY$47)</f>
        <v>9.5208999999999993</v>
      </c>
      <c r="U315">
        <f>IF(ISBLANK(Deal_Master_Wide!$EF$47),"",Deal_Master_Wide!$EF$47)</f>
        <v>8</v>
      </c>
      <c r="V315">
        <f>IF(ISBLANK(Deal_Master_Wide!$EM$47),"",Deal_Master_Wide!$EM$47)</f>
        <v>20</v>
      </c>
      <c r="W315" t="str">
        <f>IF(ISBLANK(Deal_Master_Wide!$AF$47),"",Deal_Master_Wide!$AF$47)</f>
        <v/>
      </c>
    </row>
    <row r="316" spans="1:23">
      <c r="A316" t="s">
        <v>688</v>
      </c>
      <c r="B316" t="s">
        <v>658</v>
      </c>
      <c r="C316">
        <v>1</v>
      </c>
      <c r="D316" t="s">
        <v>693</v>
      </c>
      <c r="E316" t="s">
        <v>695</v>
      </c>
      <c r="F316">
        <v>2013</v>
      </c>
      <c r="G316">
        <v>3</v>
      </c>
      <c r="H316">
        <v>2016</v>
      </c>
      <c r="I316">
        <v>1</v>
      </c>
      <c r="J316">
        <v>1</v>
      </c>
      <c r="K316" t="e">
        <f>IF(#REF!="","",#REF!*$I316)</f>
        <v>#REF!</v>
      </c>
      <c r="L316">
        <f>IF(ISBLANK(Deal_Master_Wide!$BV$47),"",Deal_Master_Wide!$BV$47)</f>
        <v>11396.6</v>
      </c>
      <c r="M316">
        <f>IF(ISBLANK(Deal_Master_Wide!$CC$47),"",Deal_Master_Wide!$CC$47)</f>
        <v>962.9</v>
      </c>
      <c r="N316">
        <f>IF(ISBLANK(Deal_Master_Wide!$CJ$47),"",Deal_Master_Wide!$CJ$47)</f>
        <v>327.39999999999998</v>
      </c>
      <c r="O316">
        <f>IF(ISBLANK(Deal_Master_Wide!$CQ$47),"",Deal_Master_Wide!$CQ$47)</f>
        <v>67035.399999999994</v>
      </c>
      <c r="P316">
        <f>IF(ISBLANK(Deal_Master_Wide!$CX$47),"",Deal_Master_Wide!$CX$47)</f>
        <v>22967.8</v>
      </c>
      <c r="Q316">
        <f>IF(ISBLANK(Deal_Master_Wide!$DE$47),"",Deal_Master_Wide!$DE$47)</f>
        <v>1430.9</v>
      </c>
      <c r="R316">
        <f>IF(ISBLANK(Deal_Master_Wide!$DL$47),"",Deal_Master_Wide!$DL$47)</f>
        <v>0.78</v>
      </c>
      <c r="S316">
        <f>IF(ISBLANK(Deal_Master_Wide!$DS$47),"",Deal_Master_Wide!$DS$47)</f>
        <v>8.4499999999999993</v>
      </c>
      <c r="T316">
        <f>IF(ISBLANK(Deal_Master_Wide!$DZ$47),"",Deal_Master_Wide!$DZ$47)</f>
        <v>34.2622</v>
      </c>
      <c r="U316">
        <f>IF(ISBLANK(Deal_Master_Wide!$EG$47),"",Deal_Master_Wide!$EG$47)</f>
        <v>6</v>
      </c>
      <c r="V316">
        <f>IF(ISBLANK(Deal_Master_Wide!$EN$47),"",Deal_Master_Wide!$EN$47)</f>
        <v>22</v>
      </c>
      <c r="W316" t="str">
        <f>IF(ISBLANK(Deal_Master_Wide!$AF$47),"",Deal_Master_Wide!$AF$47)</f>
        <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3"/>
  <sheetViews>
    <sheetView workbookViewId="0"/>
  </sheetViews>
  <sheetFormatPr defaultRowHeight="14"/>
  <cols>
    <col min="1" max="1" width="28" customWidth="1"/>
    <col min="2" max="3" width="24" customWidth="1"/>
    <col min="4" max="4" width="58" customWidth="1"/>
    <col min="5" max="5" width="22" customWidth="1"/>
    <col min="6" max="7" width="20" customWidth="1"/>
    <col min="8" max="8" width="42" customWidth="1"/>
  </cols>
  <sheetData>
    <row r="1" spans="1:8">
      <c r="A1" s="13" t="s">
        <v>722</v>
      </c>
      <c r="B1" s="13" t="s">
        <v>723</v>
      </c>
      <c r="C1" s="13" t="s">
        <v>724</v>
      </c>
      <c r="D1" s="13" t="s">
        <v>725</v>
      </c>
      <c r="E1" s="13" t="s">
        <v>726</v>
      </c>
      <c r="F1" s="13" t="s">
        <v>727</v>
      </c>
      <c r="G1" s="13" t="s">
        <v>728</v>
      </c>
      <c r="H1" s="13" t="s">
        <v>729</v>
      </c>
    </row>
    <row r="2" spans="1:8" ht="28">
      <c r="A2" s="19" t="s">
        <v>11</v>
      </c>
      <c r="B2" s="19" t="s">
        <v>730</v>
      </c>
      <c r="C2" s="19" t="s">
        <v>731</v>
      </c>
      <c r="D2" s="19" t="s">
        <v>732</v>
      </c>
      <c r="E2" s="19" t="s">
        <v>733</v>
      </c>
      <c r="F2" s="19" t="s">
        <v>734</v>
      </c>
      <c r="G2" s="19" t="s">
        <v>735</v>
      </c>
      <c r="H2" s="19" t="s">
        <v>736</v>
      </c>
    </row>
    <row r="3" spans="1:8">
      <c r="A3" s="19" t="s">
        <v>13</v>
      </c>
      <c r="B3" s="19" t="s">
        <v>737</v>
      </c>
      <c r="C3" s="19" t="s">
        <v>738</v>
      </c>
      <c r="D3" s="19" t="s">
        <v>739</v>
      </c>
      <c r="E3" s="19" t="s">
        <v>740</v>
      </c>
      <c r="F3" s="19" t="s">
        <v>734</v>
      </c>
      <c r="G3" s="19" t="s">
        <v>741</v>
      </c>
      <c r="H3" s="19" t="s">
        <v>742</v>
      </c>
    </row>
    <row r="4" spans="1:8" ht="28">
      <c r="A4" s="19" t="s">
        <v>57</v>
      </c>
      <c r="B4" s="19" t="s">
        <v>737</v>
      </c>
      <c r="C4" s="19" t="s">
        <v>743</v>
      </c>
      <c r="D4" s="19" t="s">
        <v>744</v>
      </c>
      <c r="E4" s="19" t="s">
        <v>745</v>
      </c>
      <c r="F4" s="19" t="s">
        <v>734</v>
      </c>
      <c r="G4" s="19" t="s">
        <v>746</v>
      </c>
      <c r="H4" s="19" t="s">
        <v>747</v>
      </c>
    </row>
    <row r="5" spans="1:8">
      <c r="A5" s="19" t="s">
        <v>27</v>
      </c>
      <c r="B5" s="19" t="s">
        <v>737</v>
      </c>
      <c r="C5" s="19" t="s">
        <v>748</v>
      </c>
      <c r="D5" s="19" t="s">
        <v>749</v>
      </c>
      <c r="E5" s="19" t="s">
        <v>750</v>
      </c>
      <c r="F5" s="19" t="s">
        <v>751</v>
      </c>
      <c r="G5" s="19" t="s">
        <v>752</v>
      </c>
      <c r="H5" s="19" t="s">
        <v>753</v>
      </c>
    </row>
    <row r="6" spans="1:8">
      <c r="A6" s="19" t="s">
        <v>706</v>
      </c>
      <c r="B6" s="19" t="s">
        <v>754</v>
      </c>
      <c r="C6" s="19" t="s">
        <v>755</v>
      </c>
      <c r="D6" s="19" t="s">
        <v>756</v>
      </c>
      <c r="E6" s="19" t="s">
        <v>757</v>
      </c>
      <c r="F6" s="19" t="s">
        <v>758</v>
      </c>
      <c r="G6" s="19" t="s">
        <v>759</v>
      </c>
      <c r="H6" s="19" t="s">
        <v>760</v>
      </c>
    </row>
    <row r="7" spans="1:8" ht="28">
      <c r="A7" s="19" t="s">
        <v>708</v>
      </c>
      <c r="B7" s="19" t="s">
        <v>754</v>
      </c>
      <c r="C7" s="19" t="s">
        <v>761</v>
      </c>
      <c r="D7" s="19" t="s">
        <v>762</v>
      </c>
      <c r="E7" s="19" t="s">
        <v>733</v>
      </c>
      <c r="F7" s="19" t="s">
        <v>763</v>
      </c>
      <c r="G7" s="19" t="s">
        <v>764</v>
      </c>
      <c r="H7" s="19" t="s">
        <v>765</v>
      </c>
    </row>
    <row r="8" spans="1:8" ht="28">
      <c r="A8" s="19" t="s">
        <v>711</v>
      </c>
      <c r="B8" s="19" t="s">
        <v>737</v>
      </c>
      <c r="C8" s="19" t="s">
        <v>766</v>
      </c>
      <c r="D8" s="19" t="s">
        <v>767</v>
      </c>
      <c r="E8" s="19" t="s">
        <v>768</v>
      </c>
      <c r="F8" s="19" t="s">
        <v>769</v>
      </c>
      <c r="G8" s="19" t="s">
        <v>770</v>
      </c>
      <c r="H8" s="19" t="s">
        <v>771</v>
      </c>
    </row>
    <row r="9" spans="1:8" ht="28">
      <c r="A9" s="19" t="s">
        <v>712</v>
      </c>
      <c r="B9" s="19" t="s">
        <v>737</v>
      </c>
      <c r="C9" s="19" t="s">
        <v>772</v>
      </c>
      <c r="D9" s="19" t="s">
        <v>773</v>
      </c>
      <c r="E9" s="19" t="s">
        <v>768</v>
      </c>
      <c r="F9" s="19" t="s">
        <v>769</v>
      </c>
      <c r="G9" s="19" t="s">
        <v>774</v>
      </c>
      <c r="H9" s="19" t="s">
        <v>775</v>
      </c>
    </row>
    <row r="10" spans="1:8">
      <c r="A10" s="19" t="s">
        <v>713</v>
      </c>
      <c r="B10" s="19" t="s">
        <v>737</v>
      </c>
      <c r="C10" s="19" t="s">
        <v>772</v>
      </c>
      <c r="D10" s="19" t="s">
        <v>776</v>
      </c>
      <c r="E10" s="19" t="s">
        <v>768</v>
      </c>
      <c r="F10" s="19" t="s">
        <v>769</v>
      </c>
      <c r="G10" s="19" t="s">
        <v>777</v>
      </c>
      <c r="H10" s="19" t="s">
        <v>775</v>
      </c>
    </row>
    <row r="11" spans="1:8">
      <c r="A11" s="19" t="s">
        <v>714</v>
      </c>
      <c r="B11" s="19" t="s">
        <v>737</v>
      </c>
      <c r="C11" s="19" t="s">
        <v>778</v>
      </c>
      <c r="D11" s="19" t="s">
        <v>779</v>
      </c>
      <c r="E11" s="19" t="s">
        <v>768</v>
      </c>
      <c r="F11" s="19" t="s">
        <v>769</v>
      </c>
      <c r="G11" s="19" t="s">
        <v>780</v>
      </c>
      <c r="H11" s="19" t="s">
        <v>775</v>
      </c>
    </row>
    <row r="12" spans="1:8">
      <c r="A12" s="19" t="s">
        <v>715</v>
      </c>
      <c r="B12" s="19" t="s">
        <v>737</v>
      </c>
      <c r="C12" s="19" t="s">
        <v>781</v>
      </c>
      <c r="D12" s="19" t="s">
        <v>782</v>
      </c>
      <c r="E12" s="19" t="s">
        <v>768</v>
      </c>
      <c r="F12" s="19" t="s">
        <v>769</v>
      </c>
      <c r="G12" s="19" t="s">
        <v>783</v>
      </c>
      <c r="H12" s="19" t="s">
        <v>784</v>
      </c>
    </row>
    <row r="13" spans="1:8">
      <c r="A13" s="19" t="s">
        <v>716</v>
      </c>
      <c r="B13" s="19" t="s">
        <v>737</v>
      </c>
      <c r="C13" s="19" t="s">
        <v>785</v>
      </c>
      <c r="D13" s="19" t="s">
        <v>786</v>
      </c>
      <c r="E13" s="19" t="s">
        <v>768</v>
      </c>
      <c r="F13" s="19" t="s">
        <v>769</v>
      </c>
      <c r="G13" s="19" t="s">
        <v>787</v>
      </c>
      <c r="H13" s="19" t="s">
        <v>788</v>
      </c>
    </row>
    <row r="14" spans="1:8" ht="28">
      <c r="A14" s="19" t="s">
        <v>717</v>
      </c>
      <c r="B14" s="19" t="s">
        <v>737</v>
      </c>
      <c r="C14" s="19" t="s">
        <v>789</v>
      </c>
      <c r="D14" s="19" t="s">
        <v>790</v>
      </c>
      <c r="E14" s="19" t="s">
        <v>791</v>
      </c>
      <c r="F14" s="19" t="s">
        <v>792</v>
      </c>
      <c r="G14" s="19" t="s">
        <v>793</v>
      </c>
      <c r="H14" s="19" t="s">
        <v>794</v>
      </c>
    </row>
    <row r="15" spans="1:8">
      <c r="A15" s="19" t="s">
        <v>718</v>
      </c>
      <c r="B15" s="19" t="s">
        <v>737</v>
      </c>
      <c r="C15" s="19" t="s">
        <v>789</v>
      </c>
      <c r="D15" s="19" t="s">
        <v>795</v>
      </c>
      <c r="E15" s="19" t="s">
        <v>796</v>
      </c>
      <c r="F15" s="19" t="s">
        <v>792</v>
      </c>
      <c r="G15" s="19" t="s">
        <v>793</v>
      </c>
      <c r="H15" s="19" t="s">
        <v>797</v>
      </c>
    </row>
    <row r="16" spans="1:8">
      <c r="A16" s="19" t="s">
        <v>719</v>
      </c>
      <c r="B16" s="19" t="s">
        <v>737</v>
      </c>
      <c r="C16" s="19" t="s">
        <v>781</v>
      </c>
      <c r="D16" s="19" t="s">
        <v>798</v>
      </c>
      <c r="E16" s="19" t="s">
        <v>799</v>
      </c>
      <c r="F16" s="19" t="s">
        <v>792</v>
      </c>
      <c r="G16" s="19" t="s">
        <v>800</v>
      </c>
      <c r="H16" s="19" t="s">
        <v>801</v>
      </c>
    </row>
    <row r="17" spans="1:8" ht="28">
      <c r="A17" s="19" t="s">
        <v>720</v>
      </c>
      <c r="B17" s="19" t="s">
        <v>737</v>
      </c>
      <c r="C17" s="19" t="s">
        <v>802</v>
      </c>
      <c r="D17" s="19" t="s">
        <v>803</v>
      </c>
      <c r="E17" s="19" t="s">
        <v>804</v>
      </c>
      <c r="F17" s="19" t="s">
        <v>805</v>
      </c>
      <c r="G17" s="19" t="s">
        <v>806</v>
      </c>
      <c r="H17" s="19" t="s">
        <v>807</v>
      </c>
    </row>
    <row r="18" spans="1:8" ht="42">
      <c r="A18" s="19" t="s">
        <v>721</v>
      </c>
      <c r="B18" s="19" t="s">
        <v>737</v>
      </c>
      <c r="C18" s="19" t="s">
        <v>802</v>
      </c>
      <c r="D18" s="19" t="s">
        <v>808</v>
      </c>
      <c r="E18" s="19" t="s">
        <v>804</v>
      </c>
      <c r="F18" s="19" t="s">
        <v>809</v>
      </c>
      <c r="G18" s="19" t="s">
        <v>806</v>
      </c>
      <c r="H18" s="19" t="s">
        <v>810</v>
      </c>
    </row>
    <row r="19" spans="1:8">
      <c r="A19" s="19" t="s">
        <v>155</v>
      </c>
      <c r="B19" s="19" t="s">
        <v>811</v>
      </c>
      <c r="C19" s="19" t="s">
        <v>812</v>
      </c>
      <c r="D19" s="19" t="s">
        <v>813</v>
      </c>
      <c r="E19" s="19" t="s">
        <v>804</v>
      </c>
      <c r="F19" s="19" t="s">
        <v>734</v>
      </c>
      <c r="G19" s="19" t="s">
        <v>814</v>
      </c>
      <c r="H19" s="19" t="s">
        <v>815</v>
      </c>
    </row>
    <row r="20" spans="1:8">
      <c r="A20" s="19" t="s">
        <v>156</v>
      </c>
      <c r="B20" s="19" t="s">
        <v>811</v>
      </c>
      <c r="C20" s="19" t="s">
        <v>812</v>
      </c>
      <c r="D20" s="19" t="s">
        <v>816</v>
      </c>
      <c r="E20" s="19" t="s">
        <v>804</v>
      </c>
      <c r="F20" s="19" t="s">
        <v>734</v>
      </c>
      <c r="G20" s="19" t="s">
        <v>814</v>
      </c>
      <c r="H20" s="19" t="s">
        <v>817</v>
      </c>
    </row>
    <row r="21" spans="1:8">
      <c r="A21" s="19" t="s">
        <v>157</v>
      </c>
      <c r="B21" s="19" t="s">
        <v>811</v>
      </c>
      <c r="C21" s="19" t="s">
        <v>812</v>
      </c>
      <c r="D21" s="19" t="s">
        <v>818</v>
      </c>
      <c r="E21" s="19" t="s">
        <v>819</v>
      </c>
      <c r="F21" s="19" t="s">
        <v>820</v>
      </c>
      <c r="G21" s="19" t="s">
        <v>814</v>
      </c>
      <c r="H21" s="19" t="s">
        <v>821</v>
      </c>
    </row>
    <row r="22" spans="1:8" ht="28">
      <c r="A22" s="19" t="s">
        <v>158</v>
      </c>
      <c r="B22" s="19" t="s">
        <v>811</v>
      </c>
      <c r="C22" s="19" t="s">
        <v>812</v>
      </c>
      <c r="D22" s="19" t="s">
        <v>822</v>
      </c>
      <c r="E22" s="19" t="s">
        <v>804</v>
      </c>
      <c r="F22" s="19" t="s">
        <v>823</v>
      </c>
      <c r="G22" s="19" t="s">
        <v>824</v>
      </c>
      <c r="H22" s="19" t="s">
        <v>825</v>
      </c>
    </row>
    <row r="23" spans="1:8" ht="28">
      <c r="A23" s="19" t="s">
        <v>42</v>
      </c>
      <c r="B23" s="19" t="s">
        <v>730</v>
      </c>
      <c r="C23" s="19" t="s">
        <v>826</v>
      </c>
      <c r="D23" s="19" t="s">
        <v>827</v>
      </c>
      <c r="E23" s="19" t="s">
        <v>828</v>
      </c>
      <c r="F23" s="19" t="s">
        <v>829</v>
      </c>
      <c r="G23" s="19" t="s">
        <v>830</v>
      </c>
      <c r="H23" s="19" t="s">
        <v>831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topLeftCell="B1" workbookViewId="0">
      <selection sqref="A1:K1"/>
    </sheetView>
  </sheetViews>
  <sheetFormatPr defaultRowHeight="14"/>
  <cols>
    <col min="1" max="1" width="28" customWidth="1"/>
    <col min="2" max="2" width="32" customWidth="1"/>
    <col min="3" max="3" width="7.4140625" customWidth="1"/>
    <col min="4" max="4" width="34" customWidth="1"/>
    <col min="5" max="5" width="7.5" customWidth="1"/>
    <col min="6" max="6" width="34" customWidth="1"/>
    <col min="7" max="7" width="13.6640625" customWidth="1"/>
    <col min="8" max="8" width="12.1640625" customWidth="1"/>
    <col min="9" max="9" width="17.6640625" customWidth="1"/>
    <col min="10" max="10" width="14.4140625" customWidth="1"/>
    <col min="11" max="11" width="44" customWidth="1"/>
  </cols>
  <sheetData>
    <row r="1" spans="1:11" ht="18">
      <c r="A1" s="31" t="s">
        <v>832</v>
      </c>
      <c r="B1" s="31"/>
      <c r="C1" s="31"/>
      <c r="D1" s="31"/>
      <c r="E1" s="31"/>
      <c r="F1" s="31"/>
      <c r="G1" s="31"/>
      <c r="H1" s="31"/>
      <c r="I1" s="31"/>
      <c r="J1" s="31"/>
      <c r="K1" s="31"/>
    </row>
    <row r="2" spans="1:11" ht="28">
      <c r="A2" s="20" t="s">
        <v>15</v>
      </c>
      <c r="B2" s="20" t="s">
        <v>833</v>
      </c>
      <c r="C2" s="20" t="s">
        <v>834</v>
      </c>
      <c r="D2" s="20" t="s">
        <v>835</v>
      </c>
      <c r="E2" s="20" t="s">
        <v>11</v>
      </c>
      <c r="F2" s="20" t="s">
        <v>836</v>
      </c>
      <c r="G2" s="20" t="s">
        <v>27</v>
      </c>
      <c r="H2" s="20" t="s">
        <v>837</v>
      </c>
      <c r="I2" s="20" t="s">
        <v>68</v>
      </c>
      <c r="J2" s="20" t="s">
        <v>50</v>
      </c>
      <c r="K2" s="20" t="s">
        <v>838</v>
      </c>
    </row>
    <row r="3" spans="1:11" ht="42">
      <c r="A3" s="21" t="s">
        <v>839</v>
      </c>
      <c r="B3" s="21" t="s">
        <v>840</v>
      </c>
      <c r="C3" s="21" t="s">
        <v>312</v>
      </c>
      <c r="D3" s="21" t="s">
        <v>841</v>
      </c>
      <c r="E3" s="21"/>
      <c r="F3" s="21"/>
      <c r="G3" s="21"/>
      <c r="H3" s="21"/>
      <c r="I3" s="21" t="s">
        <v>842</v>
      </c>
      <c r="J3" s="21" t="s">
        <v>843</v>
      </c>
      <c r="K3" s="21" t="s">
        <v>844</v>
      </c>
    </row>
    <row r="4" spans="1:11" ht="28">
      <c r="A4" s="21" t="s">
        <v>845</v>
      </c>
      <c r="B4" s="21" t="s">
        <v>846</v>
      </c>
      <c r="C4" s="21" t="s">
        <v>312</v>
      </c>
      <c r="D4" s="21" t="s">
        <v>847</v>
      </c>
      <c r="E4" s="21" t="s">
        <v>657</v>
      </c>
      <c r="F4" s="21" t="s">
        <v>848</v>
      </c>
      <c r="G4" s="21">
        <v>2014</v>
      </c>
      <c r="H4" s="21" t="s">
        <v>849</v>
      </c>
      <c r="I4" s="21" t="s">
        <v>504</v>
      </c>
      <c r="J4" s="21" t="s">
        <v>671</v>
      </c>
      <c r="K4" s="21" t="s">
        <v>850</v>
      </c>
    </row>
    <row r="5" spans="1:11" ht="28">
      <c r="A5" s="21" t="s">
        <v>851</v>
      </c>
      <c r="B5" s="21" t="s">
        <v>852</v>
      </c>
      <c r="C5" s="21" t="s">
        <v>312</v>
      </c>
      <c r="D5" s="21" t="s">
        <v>853</v>
      </c>
      <c r="E5" s="21" t="s">
        <v>491</v>
      </c>
      <c r="F5" s="21" t="s">
        <v>854</v>
      </c>
      <c r="G5" s="21">
        <v>2015</v>
      </c>
      <c r="H5" s="21" t="s">
        <v>855</v>
      </c>
      <c r="I5" s="21" t="s">
        <v>504</v>
      </c>
      <c r="J5" s="21" t="s">
        <v>503</v>
      </c>
      <c r="K5" s="21" t="s">
        <v>850</v>
      </c>
    </row>
    <row r="6" spans="1:11" ht="42">
      <c r="A6" s="21" t="s">
        <v>856</v>
      </c>
      <c r="B6" s="21" t="s">
        <v>857</v>
      </c>
      <c r="C6" s="21" t="s">
        <v>312</v>
      </c>
      <c r="D6" s="21" t="s">
        <v>841</v>
      </c>
      <c r="E6" s="21"/>
      <c r="F6" s="21"/>
      <c r="G6" s="21"/>
      <c r="H6" s="21"/>
      <c r="I6" s="21" t="s">
        <v>842</v>
      </c>
      <c r="J6" s="21" t="s">
        <v>858</v>
      </c>
      <c r="K6" s="21" t="s">
        <v>844</v>
      </c>
    </row>
    <row r="7" spans="1:11" ht="42">
      <c r="A7" s="21" t="s">
        <v>859</v>
      </c>
      <c r="B7" s="21" t="s">
        <v>860</v>
      </c>
      <c r="C7" s="21" t="s">
        <v>312</v>
      </c>
      <c r="D7" s="21" t="s">
        <v>841</v>
      </c>
      <c r="E7" s="21"/>
      <c r="F7" s="21"/>
      <c r="G7" s="21"/>
      <c r="H7" s="21"/>
      <c r="I7" s="21" t="s">
        <v>842</v>
      </c>
      <c r="J7" s="21" t="s">
        <v>861</v>
      </c>
      <c r="K7" s="21" t="s">
        <v>844</v>
      </c>
    </row>
    <row r="8" spans="1:11" ht="28">
      <c r="A8" s="21" t="s">
        <v>862</v>
      </c>
      <c r="B8" s="21" t="s">
        <v>863</v>
      </c>
      <c r="C8" s="21" t="s">
        <v>312</v>
      </c>
      <c r="D8" s="21" t="s">
        <v>853</v>
      </c>
      <c r="E8" s="21" t="s">
        <v>612</v>
      </c>
      <c r="F8" s="21" t="s">
        <v>864</v>
      </c>
      <c r="G8" s="21">
        <v>2013</v>
      </c>
      <c r="H8" s="21" t="s">
        <v>865</v>
      </c>
      <c r="I8" s="21" t="s">
        <v>313</v>
      </c>
      <c r="J8" s="21" t="s">
        <v>622</v>
      </c>
      <c r="K8" s="21" t="s">
        <v>850</v>
      </c>
    </row>
    <row r="9" spans="1:11" ht="28">
      <c r="A9" s="21" t="s">
        <v>866</v>
      </c>
      <c r="B9" s="21" t="s">
        <v>867</v>
      </c>
      <c r="C9" s="21" t="s">
        <v>312</v>
      </c>
      <c r="D9" s="21" t="s">
        <v>847</v>
      </c>
      <c r="E9" s="21" t="s">
        <v>673</v>
      </c>
      <c r="F9" s="21" t="s">
        <v>868</v>
      </c>
      <c r="G9" s="21">
        <v>2020</v>
      </c>
      <c r="H9" s="21" t="s">
        <v>869</v>
      </c>
      <c r="I9" s="21" t="s">
        <v>504</v>
      </c>
      <c r="J9" s="21" t="s">
        <v>685</v>
      </c>
      <c r="K9" s="21" t="s">
        <v>850</v>
      </c>
    </row>
    <row r="10" spans="1:11" ht="42">
      <c r="A10" s="21" t="s">
        <v>870</v>
      </c>
      <c r="B10" s="21" t="s">
        <v>871</v>
      </c>
      <c r="C10" s="21" t="s">
        <v>312</v>
      </c>
      <c r="D10" s="21" t="s">
        <v>841</v>
      </c>
      <c r="E10" s="21"/>
      <c r="F10" s="21"/>
      <c r="G10" s="21"/>
      <c r="H10" s="21"/>
      <c r="I10" s="21" t="s">
        <v>842</v>
      </c>
      <c r="J10" s="21" t="s">
        <v>872</v>
      </c>
      <c r="K10" s="21" t="s">
        <v>844</v>
      </c>
    </row>
    <row r="11" spans="1:11" ht="28">
      <c r="A11" s="21" t="s">
        <v>873</v>
      </c>
      <c r="B11" s="21" t="s">
        <v>874</v>
      </c>
      <c r="C11" s="21" t="s">
        <v>312</v>
      </c>
      <c r="D11" s="21" t="s">
        <v>853</v>
      </c>
      <c r="E11" s="21" t="s">
        <v>599</v>
      </c>
      <c r="F11" s="21" t="s">
        <v>875</v>
      </c>
      <c r="G11" s="21">
        <v>2013</v>
      </c>
      <c r="H11" s="21" t="s">
        <v>865</v>
      </c>
      <c r="I11" s="21" t="s">
        <v>313</v>
      </c>
      <c r="J11" s="21" t="s">
        <v>609</v>
      </c>
      <c r="K11" s="21" t="s">
        <v>850</v>
      </c>
    </row>
    <row r="12" spans="1:11" ht="42">
      <c r="A12" s="21" t="s">
        <v>876</v>
      </c>
      <c r="B12" s="21" t="s">
        <v>877</v>
      </c>
      <c r="C12" s="21" t="s">
        <v>312</v>
      </c>
      <c r="D12" s="21" t="s">
        <v>841</v>
      </c>
      <c r="E12" s="21"/>
      <c r="F12" s="21"/>
      <c r="G12" s="21"/>
      <c r="H12" s="21"/>
      <c r="I12" s="21" t="s">
        <v>842</v>
      </c>
      <c r="J12" s="21" t="s">
        <v>878</v>
      </c>
      <c r="K12" s="21" t="s">
        <v>844</v>
      </c>
    </row>
    <row r="13" spans="1:11" ht="28">
      <c r="A13" s="21" t="s">
        <v>879</v>
      </c>
      <c r="B13" s="21" t="s">
        <v>880</v>
      </c>
      <c r="C13" s="21" t="s">
        <v>312</v>
      </c>
      <c r="D13" s="21" t="s">
        <v>853</v>
      </c>
      <c r="E13" s="21" t="s">
        <v>554</v>
      </c>
      <c r="F13" s="21" t="s">
        <v>881</v>
      </c>
      <c r="G13" s="21">
        <v>2014</v>
      </c>
      <c r="H13" s="21" t="s">
        <v>849</v>
      </c>
      <c r="I13" s="21" t="s">
        <v>504</v>
      </c>
      <c r="J13" s="21" t="s">
        <v>565</v>
      </c>
      <c r="K13" s="21" t="s">
        <v>850</v>
      </c>
    </row>
    <row r="14" spans="1:11" ht="28">
      <c r="A14" s="21" t="s">
        <v>882</v>
      </c>
      <c r="B14" s="21" t="s">
        <v>883</v>
      </c>
      <c r="C14" s="21" t="s">
        <v>312</v>
      </c>
      <c r="D14" s="21" t="s">
        <v>853</v>
      </c>
      <c r="E14" s="21" t="s">
        <v>298</v>
      </c>
      <c r="F14" s="21" t="s">
        <v>884</v>
      </c>
      <c r="G14" s="21">
        <v>2018</v>
      </c>
      <c r="H14" s="21" t="s">
        <v>885</v>
      </c>
      <c r="I14" s="21" t="s">
        <v>313</v>
      </c>
      <c r="J14" s="21" t="s">
        <v>310</v>
      </c>
      <c r="K14" s="21" t="s">
        <v>850</v>
      </c>
    </row>
    <row r="15" spans="1:11" ht="28">
      <c r="A15" s="21" t="s">
        <v>886</v>
      </c>
      <c r="B15" s="21" t="s">
        <v>887</v>
      </c>
      <c r="C15" s="21" t="s">
        <v>700</v>
      </c>
      <c r="D15" s="21" t="s">
        <v>847</v>
      </c>
      <c r="E15" s="21" t="s">
        <v>688</v>
      </c>
      <c r="F15" s="21" t="s">
        <v>888</v>
      </c>
      <c r="G15" s="21">
        <v>2013</v>
      </c>
      <c r="H15" s="21" t="s">
        <v>865</v>
      </c>
      <c r="I15" s="21" t="s">
        <v>313</v>
      </c>
      <c r="J15" s="21" t="s">
        <v>699</v>
      </c>
      <c r="K15" s="21" t="s">
        <v>850</v>
      </c>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09"/>
  <sheetViews>
    <sheetView workbookViewId="0">
      <selection activeCell="F2" sqref="F1:F1048576"/>
    </sheetView>
  </sheetViews>
  <sheetFormatPr defaultRowHeight="14"/>
  <cols>
    <col min="1" max="1" width="28" customWidth="1"/>
    <col min="2" max="2" width="32" customWidth="1"/>
    <col min="3" max="3" width="7.4140625" customWidth="1"/>
    <col min="4" max="4" width="13.9140625" customWidth="1"/>
    <col min="5" max="5" width="13" customWidth="1"/>
    <col min="6" max="6" width="4.75" bestFit="1" customWidth="1"/>
    <col min="7" max="7" width="9.5" customWidth="1"/>
    <col min="8" max="8" width="17.1640625" customWidth="1"/>
    <col min="9" max="9" width="12.25" customWidth="1"/>
    <col min="10" max="10" width="12.4140625" customWidth="1"/>
    <col min="11" max="11" width="11.25" customWidth="1"/>
    <col min="12" max="12" width="17" customWidth="1"/>
    <col min="13" max="13" width="10.9140625" customWidth="1"/>
    <col min="14" max="14" width="17.75" customWidth="1"/>
    <col min="15" max="15" width="10.6640625" customWidth="1"/>
    <col min="16" max="16" width="44" customWidth="1"/>
  </cols>
  <sheetData>
    <row r="1" spans="1:16" ht="18">
      <c r="A1" s="31" t="s">
        <v>889</v>
      </c>
      <c r="B1" s="31"/>
      <c r="C1" s="31"/>
      <c r="D1" s="31"/>
      <c r="E1" s="31"/>
      <c r="F1" s="31"/>
      <c r="G1" s="31"/>
      <c r="H1" s="31"/>
      <c r="I1" s="31"/>
      <c r="J1" s="31"/>
      <c r="K1" s="31"/>
      <c r="L1" s="31"/>
      <c r="M1" s="31"/>
      <c r="N1" s="31"/>
      <c r="O1" s="31"/>
      <c r="P1" s="31"/>
    </row>
    <row r="2" spans="1:16" ht="28">
      <c r="A2" s="20" t="s">
        <v>15</v>
      </c>
      <c r="B2" s="20" t="s">
        <v>833</v>
      </c>
      <c r="C2" s="20" t="s">
        <v>834</v>
      </c>
      <c r="D2" s="20" t="s">
        <v>890</v>
      </c>
      <c r="E2" s="20" t="s">
        <v>835</v>
      </c>
      <c r="F2" s="20" t="s">
        <v>751</v>
      </c>
      <c r="G2" s="20" t="s">
        <v>711</v>
      </c>
      <c r="H2" s="20" t="s">
        <v>712</v>
      </c>
      <c r="I2" s="20" t="s">
        <v>713</v>
      </c>
      <c r="J2" s="20" t="s">
        <v>714</v>
      </c>
      <c r="K2" s="20" t="s">
        <v>715</v>
      </c>
      <c r="L2" s="20" t="s">
        <v>716</v>
      </c>
      <c r="M2" s="20" t="s">
        <v>717</v>
      </c>
      <c r="N2" s="20" t="s">
        <v>718</v>
      </c>
      <c r="O2" s="20" t="s">
        <v>719</v>
      </c>
      <c r="P2" s="20" t="s">
        <v>891</v>
      </c>
    </row>
    <row r="3" spans="1:16" ht="42">
      <c r="A3" s="21" t="s">
        <v>839</v>
      </c>
      <c r="B3" s="21" t="s">
        <v>840</v>
      </c>
      <c r="C3" s="21" t="s">
        <v>312</v>
      </c>
      <c r="D3" s="21"/>
      <c r="E3" s="21" t="s">
        <v>892</v>
      </c>
      <c r="F3" s="22">
        <v>2006</v>
      </c>
      <c r="G3" s="23"/>
      <c r="H3" s="23"/>
      <c r="I3" s="23"/>
      <c r="J3" s="23">
        <v>22694.6698</v>
      </c>
      <c r="K3" s="23">
        <v>927.28790000000004</v>
      </c>
      <c r="L3" s="23"/>
      <c r="M3" s="24">
        <v>22.065999999999999</v>
      </c>
      <c r="N3" s="24">
        <v>31.033100000000001</v>
      </c>
      <c r="O3" s="24">
        <v>4.0858999999999996</v>
      </c>
      <c r="P3" s="21" t="s">
        <v>893</v>
      </c>
    </row>
    <row r="4" spans="1:16" ht="42">
      <c r="A4" s="21" t="s">
        <v>839</v>
      </c>
      <c r="B4" s="21" t="s">
        <v>840</v>
      </c>
      <c r="C4" s="21" t="s">
        <v>312</v>
      </c>
      <c r="D4" s="21"/>
      <c r="E4" s="21" t="s">
        <v>892</v>
      </c>
      <c r="F4" s="22">
        <v>2007</v>
      </c>
      <c r="G4" s="23"/>
      <c r="H4" s="23"/>
      <c r="I4" s="23"/>
      <c r="J4" s="23">
        <v>32885.551700000004</v>
      </c>
      <c r="K4" s="23">
        <v>10395.6662</v>
      </c>
      <c r="L4" s="23"/>
      <c r="M4" s="24">
        <v>14.3666</v>
      </c>
      <c r="N4" s="24">
        <v>30.650600000000001</v>
      </c>
      <c r="O4" s="24">
        <v>31.611699999999999</v>
      </c>
      <c r="P4" s="21" t="s">
        <v>893</v>
      </c>
    </row>
    <row r="5" spans="1:16" ht="42">
      <c r="A5" s="21" t="s">
        <v>839</v>
      </c>
      <c r="B5" s="21" t="s">
        <v>840</v>
      </c>
      <c r="C5" s="21" t="s">
        <v>312</v>
      </c>
      <c r="D5" s="21"/>
      <c r="E5" s="21" t="s">
        <v>892</v>
      </c>
      <c r="F5" s="22">
        <v>2008</v>
      </c>
      <c r="G5" s="23"/>
      <c r="H5" s="23"/>
      <c r="I5" s="23"/>
      <c r="J5" s="23">
        <v>33529.706899999997</v>
      </c>
      <c r="K5" s="23">
        <v>8608.1846000000005</v>
      </c>
      <c r="L5" s="23"/>
      <c r="M5" s="24">
        <v>12.879300000000001</v>
      </c>
      <c r="N5" s="24">
        <v>28.597200000000001</v>
      </c>
      <c r="O5" s="24">
        <v>25.673300000000001</v>
      </c>
      <c r="P5" s="21" t="s">
        <v>893</v>
      </c>
    </row>
    <row r="6" spans="1:16" ht="42">
      <c r="A6" s="21" t="s">
        <v>839</v>
      </c>
      <c r="B6" s="21" t="s">
        <v>840</v>
      </c>
      <c r="C6" s="21" t="s">
        <v>312</v>
      </c>
      <c r="D6" s="21"/>
      <c r="E6" s="21" t="s">
        <v>892</v>
      </c>
      <c r="F6" s="22">
        <v>2009</v>
      </c>
      <c r="G6" s="23">
        <v>23588.710999999999</v>
      </c>
      <c r="H6" s="23">
        <v>9179.0604000000003</v>
      </c>
      <c r="I6" s="23">
        <v>5408.2030999999997</v>
      </c>
      <c r="J6" s="23">
        <v>38322.517599999999</v>
      </c>
      <c r="K6" s="23">
        <v>7719.6288000000004</v>
      </c>
      <c r="L6" s="23">
        <v>3049.6197000000002</v>
      </c>
      <c r="M6" s="24">
        <v>14.79</v>
      </c>
      <c r="N6" s="24">
        <v>35.187800000000003</v>
      </c>
      <c r="O6" s="24">
        <v>20.143799999999999</v>
      </c>
      <c r="P6" s="21" t="s">
        <v>893</v>
      </c>
    </row>
    <row r="7" spans="1:16" ht="42">
      <c r="A7" s="21" t="s">
        <v>839</v>
      </c>
      <c r="B7" s="21" t="s">
        <v>840</v>
      </c>
      <c r="C7" s="21" t="s">
        <v>312</v>
      </c>
      <c r="D7" s="21"/>
      <c r="E7" s="21" t="s">
        <v>892</v>
      </c>
      <c r="F7" s="22">
        <v>2010</v>
      </c>
      <c r="G7" s="23">
        <v>25129.290499999999</v>
      </c>
      <c r="H7" s="23">
        <v>10648.734200000001</v>
      </c>
      <c r="I7" s="23">
        <v>6082.7250000000004</v>
      </c>
      <c r="J7" s="23">
        <v>41992.368699999999</v>
      </c>
      <c r="K7" s="23">
        <v>6899.5959999999995</v>
      </c>
      <c r="L7" s="23">
        <v>3091.5924</v>
      </c>
      <c r="M7" s="24">
        <v>14.5038</v>
      </c>
      <c r="N7" s="24">
        <v>34.548699999999997</v>
      </c>
      <c r="O7" s="24">
        <v>16.430599999999998</v>
      </c>
      <c r="P7" s="21" t="s">
        <v>893</v>
      </c>
    </row>
    <row r="8" spans="1:16" ht="42">
      <c r="A8" s="21" t="s">
        <v>839</v>
      </c>
      <c r="B8" s="21" t="s">
        <v>840</v>
      </c>
      <c r="C8" s="21" t="s">
        <v>312</v>
      </c>
      <c r="D8" s="21"/>
      <c r="E8" s="21" t="s">
        <v>892</v>
      </c>
      <c r="F8" s="22">
        <v>2011</v>
      </c>
      <c r="G8" s="23">
        <v>24151.6155</v>
      </c>
      <c r="H8" s="23">
        <v>9438.9094999999998</v>
      </c>
      <c r="I8" s="23">
        <v>7177.6837999999998</v>
      </c>
      <c r="J8" s="23">
        <v>40763.888899999998</v>
      </c>
      <c r="K8" s="23">
        <v>7197.5308999999997</v>
      </c>
      <c r="L8" s="23">
        <v>3239.7719999999999</v>
      </c>
      <c r="M8" s="24">
        <v>18.3247</v>
      </c>
      <c r="N8" s="24">
        <v>38.090600000000002</v>
      </c>
      <c r="O8" s="24">
        <v>17.656600000000001</v>
      </c>
      <c r="P8" s="21" t="s">
        <v>893</v>
      </c>
    </row>
    <row r="9" spans="1:16" ht="42">
      <c r="A9" s="21" t="s">
        <v>839</v>
      </c>
      <c r="B9" s="21" t="s">
        <v>840</v>
      </c>
      <c r="C9" s="21" t="s">
        <v>312</v>
      </c>
      <c r="D9" s="21"/>
      <c r="E9" s="21" t="s">
        <v>892</v>
      </c>
      <c r="F9" s="22">
        <v>2012</v>
      </c>
      <c r="G9" s="23">
        <v>21768.458200000001</v>
      </c>
      <c r="H9" s="23">
        <v>7606.8594000000003</v>
      </c>
      <c r="I9" s="23">
        <v>4855.9389000000001</v>
      </c>
      <c r="J9" s="23">
        <v>40565.279999999999</v>
      </c>
      <c r="K9" s="23">
        <v>7812.3815999999997</v>
      </c>
      <c r="L9" s="23">
        <v>3319.7813000000001</v>
      </c>
      <c r="M9" s="24">
        <v>11.7333</v>
      </c>
      <c r="N9" s="24">
        <v>29.1281</v>
      </c>
      <c r="O9" s="24">
        <v>19.258800000000001</v>
      </c>
      <c r="P9" s="21" t="s">
        <v>893</v>
      </c>
    </row>
    <row r="10" spans="1:16" ht="42">
      <c r="A10" s="21" t="s">
        <v>839</v>
      </c>
      <c r="B10" s="21" t="s">
        <v>840</v>
      </c>
      <c r="C10" s="21" t="s">
        <v>312</v>
      </c>
      <c r="D10" s="21"/>
      <c r="E10" s="21" t="s">
        <v>892</v>
      </c>
      <c r="F10" s="22">
        <v>2013</v>
      </c>
      <c r="G10" s="23">
        <v>19363.8485</v>
      </c>
      <c r="H10" s="23">
        <v>5450.4364999999998</v>
      </c>
      <c r="I10" s="23">
        <v>1925.0125</v>
      </c>
      <c r="J10" s="23">
        <v>40538.835299999999</v>
      </c>
      <c r="K10" s="23">
        <v>7524.8386</v>
      </c>
      <c r="L10" s="23">
        <v>3023.0830000000001</v>
      </c>
      <c r="M10" s="24">
        <v>4.6714000000000002</v>
      </c>
      <c r="N10" s="24">
        <v>14.4374</v>
      </c>
      <c r="O10" s="24">
        <v>18.562000000000001</v>
      </c>
      <c r="P10" s="21" t="s">
        <v>893</v>
      </c>
    </row>
    <row r="11" spans="1:16" ht="42">
      <c r="A11" s="21" t="s">
        <v>839</v>
      </c>
      <c r="B11" s="21" t="s">
        <v>840</v>
      </c>
      <c r="C11" s="21" t="s">
        <v>312</v>
      </c>
      <c r="D11" s="21"/>
      <c r="E11" s="21" t="s">
        <v>892</v>
      </c>
      <c r="F11" s="22">
        <v>2014</v>
      </c>
      <c r="G11" s="23">
        <v>20016.175999999999</v>
      </c>
      <c r="H11" s="23">
        <v>4130.3579</v>
      </c>
      <c r="I11" s="23">
        <v>929.66980000000001</v>
      </c>
      <c r="J11" s="23">
        <v>48425.6198</v>
      </c>
      <c r="K11" s="23">
        <v>8961.1569999999992</v>
      </c>
      <c r="L11" s="23">
        <v>3770.7046</v>
      </c>
      <c r="M11" s="24">
        <v>2.1537999999999999</v>
      </c>
      <c r="N11" s="24">
        <v>8.4190000000000005</v>
      </c>
      <c r="O11" s="24">
        <v>18.504999999999999</v>
      </c>
      <c r="P11" s="21" t="s">
        <v>893</v>
      </c>
    </row>
    <row r="12" spans="1:16" ht="42">
      <c r="A12" s="21" t="s">
        <v>839</v>
      </c>
      <c r="B12" s="21" t="s">
        <v>840</v>
      </c>
      <c r="C12" s="21" t="s">
        <v>312</v>
      </c>
      <c r="D12" s="21"/>
      <c r="E12" s="21" t="s">
        <v>892</v>
      </c>
      <c r="F12" s="22">
        <v>2015</v>
      </c>
      <c r="G12" s="23">
        <v>22274.578699999998</v>
      </c>
      <c r="H12" s="23">
        <v>3945.0201000000002</v>
      </c>
      <c r="I12" s="23">
        <v>2546.7737000000002</v>
      </c>
      <c r="J12" s="23">
        <v>55269.648399999998</v>
      </c>
      <c r="K12" s="23">
        <v>13853.303900000001</v>
      </c>
      <c r="L12" s="23">
        <v>5102.5626000000002</v>
      </c>
      <c r="M12" s="24">
        <v>4.7618999999999998</v>
      </c>
      <c r="N12" s="24">
        <v>16.7395</v>
      </c>
      <c r="O12" s="24">
        <v>25.064900000000002</v>
      </c>
      <c r="P12" s="21" t="s">
        <v>893</v>
      </c>
    </row>
    <row r="13" spans="1:16" ht="42">
      <c r="A13" s="21" t="s">
        <v>839</v>
      </c>
      <c r="B13" s="21" t="s">
        <v>840</v>
      </c>
      <c r="C13" s="21" t="s">
        <v>312</v>
      </c>
      <c r="D13" s="21"/>
      <c r="E13" s="21" t="s">
        <v>892</v>
      </c>
      <c r="F13" s="22">
        <v>2016</v>
      </c>
      <c r="G13" s="23">
        <v>20792.8969</v>
      </c>
      <c r="H13" s="23">
        <v>3943.9792000000002</v>
      </c>
      <c r="I13" s="23">
        <v>3162.9573999999998</v>
      </c>
      <c r="J13" s="23">
        <v>59283.208500000001</v>
      </c>
      <c r="K13" s="23">
        <v>15936.2852</v>
      </c>
      <c r="L13" s="23">
        <v>5163.4218000000001</v>
      </c>
      <c r="M13" s="24">
        <v>5.7088000000000001</v>
      </c>
      <c r="N13" s="24">
        <v>22.2502</v>
      </c>
      <c r="O13" s="24">
        <v>26.881599999999999</v>
      </c>
      <c r="P13" s="21" t="s">
        <v>893</v>
      </c>
    </row>
    <row r="14" spans="1:16" ht="42">
      <c r="A14" s="21" t="s">
        <v>839</v>
      </c>
      <c r="B14" s="21" t="s">
        <v>840</v>
      </c>
      <c r="C14" s="21" t="s">
        <v>312</v>
      </c>
      <c r="D14" s="21"/>
      <c r="E14" s="21" t="s">
        <v>892</v>
      </c>
      <c r="F14" s="22">
        <v>2017</v>
      </c>
      <c r="G14" s="23">
        <v>19926.645199999999</v>
      </c>
      <c r="H14" s="23">
        <v>5212.9488000000001</v>
      </c>
      <c r="I14" s="23">
        <v>2661.9124000000002</v>
      </c>
      <c r="J14" s="23">
        <v>52698.386299999998</v>
      </c>
      <c r="K14" s="23">
        <v>14812.0113</v>
      </c>
      <c r="L14" s="23">
        <v>4928.2190000000001</v>
      </c>
      <c r="M14" s="24">
        <v>4.7679999999999998</v>
      </c>
      <c r="N14" s="24">
        <v>16.394400000000001</v>
      </c>
      <c r="O14" s="24">
        <v>28.107099999999999</v>
      </c>
      <c r="P14" s="21" t="s">
        <v>893</v>
      </c>
    </row>
    <row r="15" spans="1:16" ht="42">
      <c r="A15" s="21" t="s">
        <v>839</v>
      </c>
      <c r="B15" s="21" t="s">
        <v>840</v>
      </c>
      <c r="C15" s="21" t="s">
        <v>312</v>
      </c>
      <c r="D15" s="21"/>
      <c r="E15" s="21" t="s">
        <v>892</v>
      </c>
      <c r="F15" s="22">
        <v>2018</v>
      </c>
      <c r="G15" s="23">
        <v>18720.5756</v>
      </c>
      <c r="H15" s="23">
        <v>2904.2739999999999</v>
      </c>
      <c r="I15" s="23">
        <v>1826.2943</v>
      </c>
      <c r="J15" s="23">
        <v>52961.054799999998</v>
      </c>
      <c r="K15" s="23">
        <v>16689.661199999999</v>
      </c>
      <c r="L15" s="23">
        <v>4947.5201999999999</v>
      </c>
      <c r="M15" s="24">
        <v>3.4756999999999998</v>
      </c>
      <c r="N15" s="24">
        <v>15.785399999999999</v>
      </c>
      <c r="O15" s="24">
        <v>31.513100000000001</v>
      </c>
      <c r="P15" s="21" t="s">
        <v>893</v>
      </c>
    </row>
    <row r="16" spans="1:16" ht="42">
      <c r="A16" s="21" t="s">
        <v>839</v>
      </c>
      <c r="B16" s="21" t="s">
        <v>840</v>
      </c>
      <c r="C16" s="21" t="s">
        <v>312</v>
      </c>
      <c r="D16" s="21"/>
      <c r="E16" s="21" t="s">
        <v>892</v>
      </c>
      <c r="F16" s="22">
        <v>2019</v>
      </c>
      <c r="G16" s="23">
        <v>21784.4889</v>
      </c>
      <c r="H16" s="23">
        <v>3619.134</v>
      </c>
      <c r="I16" s="23">
        <v>1192.6793</v>
      </c>
      <c r="J16" s="23">
        <v>54659.364099999999</v>
      </c>
      <c r="K16" s="23">
        <v>16232.0777</v>
      </c>
      <c r="L16" s="23">
        <v>5322.8339999999998</v>
      </c>
      <c r="M16" s="24">
        <v>2.1880000000000002</v>
      </c>
      <c r="N16" s="24">
        <v>12.450799999999999</v>
      </c>
      <c r="O16" s="24">
        <v>29.6968</v>
      </c>
      <c r="P16" s="21" t="s">
        <v>893</v>
      </c>
    </row>
    <row r="17" spans="1:16" ht="42">
      <c r="A17" s="21" t="s">
        <v>839</v>
      </c>
      <c r="B17" s="21" t="s">
        <v>840</v>
      </c>
      <c r="C17" s="21" t="s">
        <v>312</v>
      </c>
      <c r="D17" s="21"/>
      <c r="E17" s="21" t="s">
        <v>892</v>
      </c>
      <c r="F17" s="22">
        <v>2020</v>
      </c>
      <c r="G17" s="23">
        <v>23348.325099999998</v>
      </c>
      <c r="H17" s="23">
        <v>4012.2944000000002</v>
      </c>
      <c r="I17" s="23">
        <v>2803.5183000000002</v>
      </c>
      <c r="J17" s="23">
        <v>54584.049099999997</v>
      </c>
      <c r="K17" s="23">
        <v>16670.756600000001</v>
      </c>
      <c r="L17" s="23">
        <v>5224.5792000000001</v>
      </c>
      <c r="M17" s="24">
        <v>4.9896000000000003</v>
      </c>
      <c r="N17" s="24">
        <v>19.716699999999999</v>
      </c>
      <c r="O17" s="24">
        <v>30.541399999999999</v>
      </c>
      <c r="P17" s="21" t="s">
        <v>893</v>
      </c>
    </row>
    <row r="18" spans="1:16" ht="42">
      <c r="A18" s="21" t="s">
        <v>839</v>
      </c>
      <c r="B18" s="21" t="s">
        <v>840</v>
      </c>
      <c r="C18" s="21" t="s">
        <v>312</v>
      </c>
      <c r="D18" s="21"/>
      <c r="E18" s="21" t="s">
        <v>892</v>
      </c>
      <c r="F18" s="22">
        <v>2021</v>
      </c>
      <c r="G18" s="23">
        <v>31653.4827</v>
      </c>
      <c r="H18" s="23">
        <v>5396.4125000000004</v>
      </c>
      <c r="I18" s="23">
        <v>94.748099999999994</v>
      </c>
      <c r="J18" s="23">
        <v>92537.326499999996</v>
      </c>
      <c r="K18" s="23">
        <v>27034.0769</v>
      </c>
      <c r="L18" s="23">
        <v>6756.7245999999996</v>
      </c>
      <c r="M18" s="24">
        <v>0.13020000000000001</v>
      </c>
      <c r="N18" s="24">
        <v>2.8784000000000001</v>
      </c>
      <c r="O18" s="24">
        <v>29.214200000000002</v>
      </c>
      <c r="P18" s="21" t="s">
        <v>893</v>
      </c>
    </row>
    <row r="19" spans="1:16" ht="42">
      <c r="A19" s="21" t="s">
        <v>839</v>
      </c>
      <c r="B19" s="21" t="s">
        <v>840</v>
      </c>
      <c r="C19" s="21" t="s">
        <v>312</v>
      </c>
      <c r="D19" s="21"/>
      <c r="E19" s="21" t="s">
        <v>892</v>
      </c>
      <c r="F19" s="22">
        <v>2022</v>
      </c>
      <c r="G19" s="23">
        <v>42201.307399999998</v>
      </c>
      <c r="H19" s="23">
        <v>8661.7777000000006</v>
      </c>
      <c r="I19" s="23">
        <v>3128.6307000000002</v>
      </c>
      <c r="J19" s="23">
        <v>90078.424100000004</v>
      </c>
      <c r="K19" s="23">
        <v>27291.5694</v>
      </c>
      <c r="L19" s="23">
        <v>9039.5350999999991</v>
      </c>
      <c r="M19" s="24">
        <v>3.2578999999999998</v>
      </c>
      <c r="N19" s="24">
        <v>8.1327999999999996</v>
      </c>
      <c r="O19" s="24">
        <v>30.297599999999999</v>
      </c>
      <c r="P19" s="21" t="s">
        <v>893</v>
      </c>
    </row>
    <row r="20" spans="1:16" ht="42">
      <c r="A20" s="21" t="s">
        <v>839</v>
      </c>
      <c r="B20" s="21" t="s">
        <v>840</v>
      </c>
      <c r="C20" s="21" t="s">
        <v>312</v>
      </c>
      <c r="D20" s="21"/>
      <c r="E20" s="21" t="s">
        <v>892</v>
      </c>
      <c r="F20" s="22">
        <v>2023</v>
      </c>
      <c r="G20" s="23">
        <v>42367.330199999997</v>
      </c>
      <c r="H20" s="23">
        <v>10478.309800000001</v>
      </c>
      <c r="I20" s="23">
        <v>5507.3553000000002</v>
      </c>
      <c r="J20" s="23">
        <v>91394.613200000007</v>
      </c>
      <c r="K20" s="23">
        <v>25869.4866</v>
      </c>
      <c r="L20" s="23">
        <v>9892.8932000000004</v>
      </c>
      <c r="M20" s="24">
        <v>6.0273000000000003</v>
      </c>
      <c r="N20" s="24">
        <v>17.7927</v>
      </c>
      <c r="O20" s="24">
        <v>28.305299999999999</v>
      </c>
      <c r="P20" s="21" t="s">
        <v>893</v>
      </c>
    </row>
    <row r="21" spans="1:16" ht="42">
      <c r="A21" s="21" t="s">
        <v>839</v>
      </c>
      <c r="B21" s="21" t="s">
        <v>840</v>
      </c>
      <c r="C21" s="21" t="s">
        <v>312</v>
      </c>
      <c r="D21" s="21"/>
      <c r="E21" s="21" t="s">
        <v>892</v>
      </c>
      <c r="F21" s="22">
        <v>2024</v>
      </c>
      <c r="G21" s="23">
        <v>49998.756399999998</v>
      </c>
      <c r="H21" s="23">
        <v>11510.079299999999</v>
      </c>
      <c r="I21" s="23">
        <v>6504.9332000000004</v>
      </c>
      <c r="J21" s="23">
        <v>100526.62089999999</v>
      </c>
      <c r="K21" s="23">
        <v>29273.359700000001</v>
      </c>
      <c r="L21" s="23">
        <v>12298.808300000001</v>
      </c>
      <c r="M21" s="24">
        <v>6.8582999999999998</v>
      </c>
      <c r="N21" s="24">
        <v>18.349299999999999</v>
      </c>
      <c r="O21" s="24">
        <v>29.12</v>
      </c>
      <c r="P21" s="21" t="s">
        <v>893</v>
      </c>
    </row>
    <row r="22" spans="1:16" ht="42">
      <c r="A22" s="21" t="s">
        <v>839</v>
      </c>
      <c r="B22" s="21" t="s">
        <v>840</v>
      </c>
      <c r="C22" s="21" t="s">
        <v>312</v>
      </c>
      <c r="D22" s="21"/>
      <c r="E22" s="21" t="s">
        <v>892</v>
      </c>
      <c r="F22" s="22">
        <v>2025</v>
      </c>
      <c r="G22" s="23">
        <v>52064.529699999999</v>
      </c>
      <c r="H22" s="23">
        <v>12748.670099999999</v>
      </c>
      <c r="I22" s="23">
        <v>9063.1406000000006</v>
      </c>
      <c r="J22" s="23">
        <v>97200.068199999994</v>
      </c>
      <c r="K22" s="23">
        <v>25240.2863</v>
      </c>
      <c r="L22" s="23">
        <v>12460.5996</v>
      </c>
      <c r="M22" s="24">
        <v>9.3759999999999994</v>
      </c>
      <c r="N22" s="24">
        <v>23.720199999999998</v>
      </c>
      <c r="O22" s="24">
        <v>25.967400000000001</v>
      </c>
      <c r="P22" s="21" t="s">
        <v>893</v>
      </c>
    </row>
    <row r="23" spans="1:16" ht="42">
      <c r="A23" s="21" t="s">
        <v>845</v>
      </c>
      <c r="B23" s="21" t="s">
        <v>846</v>
      </c>
      <c r="C23" s="21" t="s">
        <v>312</v>
      </c>
      <c r="D23" s="21" t="s">
        <v>657</v>
      </c>
      <c r="E23" s="21" t="s">
        <v>894</v>
      </c>
      <c r="F23" s="22">
        <v>2011</v>
      </c>
      <c r="G23" s="23">
        <v>0</v>
      </c>
      <c r="H23" s="23">
        <v>-4.4786999999999999</v>
      </c>
      <c r="I23" s="23">
        <v>-4.7172999999999998</v>
      </c>
      <c r="J23" s="23">
        <v>6.4058000000000002</v>
      </c>
      <c r="K23" s="23">
        <v>5.8733000000000004</v>
      </c>
      <c r="L23" s="23">
        <v>1.5582</v>
      </c>
      <c r="M23" s="24">
        <v>-73.641075275531549</v>
      </c>
      <c r="N23" s="24"/>
      <c r="O23" s="24">
        <v>91.686899999999994</v>
      </c>
      <c r="P23" s="21" t="s">
        <v>893</v>
      </c>
    </row>
    <row r="24" spans="1:16" ht="42">
      <c r="A24" s="21" t="s">
        <v>845</v>
      </c>
      <c r="B24" s="21" t="s">
        <v>846</v>
      </c>
      <c r="C24" s="21" t="s">
        <v>312</v>
      </c>
      <c r="D24" s="21" t="s">
        <v>657</v>
      </c>
      <c r="E24" s="21" t="s">
        <v>894</v>
      </c>
      <c r="F24" s="22">
        <v>2012</v>
      </c>
      <c r="G24" s="23">
        <v>0</v>
      </c>
      <c r="H24" s="23">
        <v>-4.9427000000000003</v>
      </c>
      <c r="I24" s="23">
        <v>-4.9255000000000004</v>
      </c>
      <c r="J24" s="23">
        <v>2.7334999999999998</v>
      </c>
      <c r="K24" s="23">
        <v>6.7074999999999996</v>
      </c>
      <c r="L24" s="23">
        <v>2.036</v>
      </c>
      <c r="M24" s="24">
        <v>-105.4661</v>
      </c>
      <c r="N24" s="24"/>
      <c r="O24" s="24">
        <v>245.38499999999999</v>
      </c>
      <c r="P24" s="21" t="s">
        <v>893</v>
      </c>
    </row>
    <row r="25" spans="1:16" ht="42">
      <c r="A25" s="21" t="s">
        <v>845</v>
      </c>
      <c r="B25" s="21" t="s">
        <v>846</v>
      </c>
      <c r="C25" s="21" t="s">
        <v>312</v>
      </c>
      <c r="D25" s="21" t="s">
        <v>657</v>
      </c>
      <c r="E25" s="21" t="s">
        <v>894</v>
      </c>
      <c r="F25" s="22">
        <v>2013</v>
      </c>
      <c r="G25" s="23">
        <v>0.17319999999999999</v>
      </c>
      <c r="H25" s="23">
        <v>-5.2995000000000001</v>
      </c>
      <c r="I25" s="23">
        <v>-4.8106999999999998</v>
      </c>
      <c r="J25" s="23">
        <v>6.2160000000000002</v>
      </c>
      <c r="K25" s="23">
        <v>4.0450999999999997</v>
      </c>
      <c r="L25" s="23">
        <v>2.2675000000000001</v>
      </c>
      <c r="M25" s="24">
        <v>-110.453</v>
      </c>
      <c r="N25" s="24">
        <v>-3060.5441999999998</v>
      </c>
      <c r="O25" s="24">
        <v>65.075400000000002</v>
      </c>
      <c r="P25" s="21" t="s">
        <v>893</v>
      </c>
    </row>
    <row r="26" spans="1:16" ht="42">
      <c r="A26" s="21" t="s">
        <v>845</v>
      </c>
      <c r="B26" s="21" t="s">
        <v>846</v>
      </c>
      <c r="C26" s="21" t="s">
        <v>312</v>
      </c>
      <c r="D26" s="21" t="s">
        <v>657</v>
      </c>
      <c r="E26" s="21" t="s">
        <v>894</v>
      </c>
      <c r="F26" s="22">
        <v>2014</v>
      </c>
      <c r="G26" s="23">
        <v>0.1948</v>
      </c>
      <c r="H26" s="23">
        <v>-10.749700000000001</v>
      </c>
      <c r="I26" s="23">
        <v>-10.946999999999999</v>
      </c>
      <c r="J26" s="23">
        <v>60.087299999999999</v>
      </c>
      <c r="K26" s="23">
        <v>2.5482999999999998</v>
      </c>
      <c r="L26" s="23">
        <v>6.7491000000000003</v>
      </c>
      <c r="M26" s="24">
        <v>-34.037500000000001</v>
      </c>
      <c r="N26" s="24">
        <v>-6170.0636999999997</v>
      </c>
      <c r="O26" s="24">
        <v>4.2409999999999997</v>
      </c>
      <c r="P26" s="21" t="s">
        <v>893</v>
      </c>
    </row>
    <row r="27" spans="1:16" ht="42">
      <c r="A27" s="21" t="s">
        <v>845</v>
      </c>
      <c r="B27" s="21" t="s">
        <v>846</v>
      </c>
      <c r="C27" s="21" t="s">
        <v>312</v>
      </c>
      <c r="D27" s="21" t="s">
        <v>657</v>
      </c>
      <c r="E27" s="21" t="s">
        <v>894</v>
      </c>
      <c r="F27" s="22">
        <v>2015</v>
      </c>
      <c r="G27" s="23">
        <v>1.8940999999999999</v>
      </c>
      <c r="H27" s="23">
        <v>-14.5055</v>
      </c>
      <c r="I27" s="23">
        <v>-13.911799999999999</v>
      </c>
      <c r="J27" s="23">
        <v>86.837900000000005</v>
      </c>
      <c r="K27" s="23">
        <v>2.6440999999999999</v>
      </c>
      <c r="L27" s="23">
        <v>8.1550999999999991</v>
      </c>
      <c r="M27" s="24">
        <v>-18.245000000000001</v>
      </c>
      <c r="N27" s="24">
        <v>-939.49090000000001</v>
      </c>
      <c r="O27" s="24">
        <v>3.0449000000000002</v>
      </c>
      <c r="P27" s="21" t="s">
        <v>893</v>
      </c>
    </row>
    <row r="28" spans="1:16" ht="42">
      <c r="A28" s="21" t="s">
        <v>845</v>
      </c>
      <c r="B28" s="21" t="s">
        <v>846</v>
      </c>
      <c r="C28" s="21" t="s">
        <v>312</v>
      </c>
      <c r="D28" s="21" t="s">
        <v>657</v>
      </c>
      <c r="E28" s="21" t="s">
        <v>894</v>
      </c>
      <c r="F28" s="22">
        <v>2016</v>
      </c>
      <c r="G28" s="23">
        <v>8.4755000000000003</v>
      </c>
      <c r="H28" s="23">
        <v>-23.434699999999999</v>
      </c>
      <c r="I28" s="23">
        <v>-24.683499999999999</v>
      </c>
      <c r="J28" s="23">
        <v>66.353099999999998</v>
      </c>
      <c r="K28" s="23">
        <v>2.5259</v>
      </c>
      <c r="L28" s="23">
        <v>8.1829000000000001</v>
      </c>
      <c r="M28" s="24">
        <v>-33.400100000000002</v>
      </c>
      <c r="N28" s="24">
        <v>-441.35489999999999</v>
      </c>
      <c r="O28" s="24">
        <v>3.8067000000000002</v>
      </c>
      <c r="P28" s="21" t="s">
        <v>893</v>
      </c>
    </row>
    <row r="29" spans="1:16" ht="42">
      <c r="A29" s="21" t="s">
        <v>845</v>
      </c>
      <c r="B29" s="21" t="s">
        <v>846</v>
      </c>
      <c r="C29" s="21" t="s">
        <v>312</v>
      </c>
      <c r="D29" s="21" t="s">
        <v>657</v>
      </c>
      <c r="E29" s="21" t="s">
        <v>894</v>
      </c>
      <c r="F29" s="22">
        <v>2017</v>
      </c>
      <c r="G29" s="23">
        <v>8.6742000000000008</v>
      </c>
      <c r="H29" s="23">
        <v>-18.369</v>
      </c>
      <c r="I29" s="23">
        <v>-18.339300000000001</v>
      </c>
      <c r="J29" s="23">
        <v>55.373899999999999</v>
      </c>
      <c r="K29" s="23">
        <v>7.3638000000000003</v>
      </c>
      <c r="L29" s="23">
        <v>11.627599999999999</v>
      </c>
      <c r="M29" s="24">
        <v>-30.334299999999999</v>
      </c>
      <c r="N29" s="24">
        <v>-231.86359999999999</v>
      </c>
      <c r="O29" s="24">
        <v>13.298400000000001</v>
      </c>
      <c r="P29" s="21" t="s">
        <v>893</v>
      </c>
    </row>
    <row r="30" spans="1:16" ht="42">
      <c r="A30" s="21" t="s">
        <v>845</v>
      </c>
      <c r="B30" s="21" t="s">
        <v>846</v>
      </c>
      <c r="C30" s="21" t="s">
        <v>312</v>
      </c>
      <c r="D30" s="21" t="s">
        <v>657</v>
      </c>
      <c r="E30" s="21" t="s">
        <v>894</v>
      </c>
      <c r="F30" s="22">
        <v>2018</v>
      </c>
      <c r="G30" s="23">
        <v>2.1903000000000001</v>
      </c>
      <c r="H30" s="23"/>
      <c r="I30" s="23">
        <v>-16.986999999999998</v>
      </c>
      <c r="J30" s="23"/>
      <c r="K30" s="23"/>
      <c r="L30" s="23"/>
      <c r="M30" s="24"/>
      <c r="N30" s="24"/>
      <c r="O30" s="24"/>
      <c r="P30" s="21" t="s">
        <v>893</v>
      </c>
    </row>
    <row r="31" spans="1:16" ht="42">
      <c r="A31" s="21" t="s">
        <v>845</v>
      </c>
      <c r="B31" s="21" t="s">
        <v>846</v>
      </c>
      <c r="C31" s="21" t="s">
        <v>312</v>
      </c>
      <c r="D31" s="21" t="s">
        <v>657</v>
      </c>
      <c r="E31" s="21" t="s">
        <v>894</v>
      </c>
      <c r="F31" s="22">
        <v>2019</v>
      </c>
      <c r="G31" s="23">
        <v>0.76870000000000005</v>
      </c>
      <c r="H31" s="23">
        <v>-12.9079</v>
      </c>
      <c r="I31" s="23">
        <v>-11.5017</v>
      </c>
      <c r="J31" s="23">
        <v>36.491300000000003</v>
      </c>
      <c r="K31" s="23">
        <v>7.1837</v>
      </c>
      <c r="L31" s="23">
        <v>8.9448000000000008</v>
      </c>
      <c r="M31" s="24">
        <v>-31.519019601932516</v>
      </c>
      <c r="N31" s="24">
        <v>-1679.2284999999999</v>
      </c>
      <c r="O31" s="24">
        <v>19.686</v>
      </c>
      <c r="P31" s="21" t="s">
        <v>893</v>
      </c>
    </row>
    <row r="32" spans="1:16" ht="42">
      <c r="A32" s="21" t="s">
        <v>845</v>
      </c>
      <c r="B32" s="21" t="s">
        <v>846</v>
      </c>
      <c r="C32" s="21" t="s">
        <v>312</v>
      </c>
      <c r="D32" s="21" t="s">
        <v>657</v>
      </c>
      <c r="E32" s="21" t="s">
        <v>894</v>
      </c>
      <c r="F32" s="22">
        <v>2020</v>
      </c>
      <c r="G32" s="23">
        <v>0.38590000000000002</v>
      </c>
      <c r="H32" s="23">
        <v>-12.260899999999999</v>
      </c>
      <c r="I32" s="23">
        <v>-24.966200000000001</v>
      </c>
      <c r="J32" s="23">
        <v>10.9621</v>
      </c>
      <c r="K32" s="23">
        <v>0.2903</v>
      </c>
      <c r="L32" s="23">
        <v>6.8274999999999997</v>
      </c>
      <c r="M32" s="24">
        <v>-109.0047</v>
      </c>
      <c r="N32" s="24">
        <v>-6717.2012000000004</v>
      </c>
      <c r="O32" s="24">
        <v>2.6484999999999999</v>
      </c>
      <c r="P32" s="21" t="s">
        <v>893</v>
      </c>
    </row>
    <row r="33" spans="1:16" ht="42">
      <c r="A33" s="21" t="s">
        <v>845</v>
      </c>
      <c r="B33" s="21" t="s">
        <v>846</v>
      </c>
      <c r="C33" s="21" t="s">
        <v>312</v>
      </c>
      <c r="D33" s="21" t="s">
        <v>657</v>
      </c>
      <c r="E33" s="21" t="s">
        <v>894</v>
      </c>
      <c r="F33" s="22">
        <v>2021</v>
      </c>
      <c r="G33" s="23">
        <v>0.67249999999999999</v>
      </c>
      <c r="H33" s="23">
        <v>-8.1872000000000007</v>
      </c>
      <c r="I33" s="23">
        <v>-6.3524000000000003</v>
      </c>
      <c r="J33" s="23">
        <v>15.350199999999999</v>
      </c>
      <c r="K33" s="23">
        <v>0.91059999999999997</v>
      </c>
      <c r="L33" s="23">
        <v>5.4146999999999998</v>
      </c>
      <c r="M33" s="24">
        <v>-48.042200000000001</v>
      </c>
      <c r="N33" s="24">
        <v>-1210.7266</v>
      </c>
      <c r="O33" s="24">
        <v>5.9320000000000004</v>
      </c>
      <c r="P33" s="21" t="s">
        <v>893</v>
      </c>
    </row>
    <row r="34" spans="1:16" ht="42">
      <c r="A34" s="21" t="s">
        <v>845</v>
      </c>
      <c r="B34" s="21" t="s">
        <v>846</v>
      </c>
      <c r="C34" s="21" t="s">
        <v>312</v>
      </c>
      <c r="D34" s="21" t="s">
        <v>657</v>
      </c>
      <c r="E34" s="21" t="s">
        <v>894</v>
      </c>
      <c r="F34" s="22">
        <v>2022</v>
      </c>
      <c r="G34" s="23">
        <v>0.82</v>
      </c>
      <c r="H34" s="23">
        <v>-10.4621</v>
      </c>
      <c r="I34" s="23">
        <v>-8.9816000000000003</v>
      </c>
      <c r="J34" s="23">
        <v>6.2404000000000002</v>
      </c>
      <c r="K34" s="23">
        <v>0.70479999999999998</v>
      </c>
      <c r="L34" s="23">
        <v>5.9958999999999998</v>
      </c>
      <c r="M34" s="24">
        <v>-83.045900000000003</v>
      </c>
      <c r="N34" s="24">
        <v>-1277.8254999999999</v>
      </c>
      <c r="O34" s="24">
        <v>11.2941</v>
      </c>
      <c r="P34" s="21" t="s">
        <v>893</v>
      </c>
    </row>
    <row r="35" spans="1:16" ht="42">
      <c r="A35" s="21" t="s">
        <v>845</v>
      </c>
      <c r="B35" s="21" t="s">
        <v>846</v>
      </c>
      <c r="C35" s="21" t="s">
        <v>312</v>
      </c>
      <c r="D35" s="21" t="s">
        <v>657</v>
      </c>
      <c r="E35" s="21" t="s">
        <v>894</v>
      </c>
      <c r="F35" s="22">
        <v>2023</v>
      </c>
      <c r="G35" s="23">
        <v>0.43819999999999998</v>
      </c>
      <c r="H35" s="23"/>
      <c r="I35" s="23">
        <v>-8.1415000000000006</v>
      </c>
      <c r="J35" s="23"/>
      <c r="K35" s="23"/>
      <c r="L35" s="23">
        <v>2.5889000000000002</v>
      </c>
      <c r="M35" s="24"/>
      <c r="N35" s="24"/>
      <c r="O35" s="24"/>
      <c r="P35" s="21" t="s">
        <v>893</v>
      </c>
    </row>
    <row r="36" spans="1:16" ht="42">
      <c r="A36" s="21" t="s">
        <v>851</v>
      </c>
      <c r="B36" s="21" t="s">
        <v>852</v>
      </c>
      <c r="C36" s="21" t="s">
        <v>312</v>
      </c>
      <c r="D36" s="21" t="s">
        <v>491</v>
      </c>
      <c r="E36" s="21" t="s">
        <v>894</v>
      </c>
      <c r="F36" s="22">
        <v>2013</v>
      </c>
      <c r="G36" s="23">
        <v>0.62360000000000004</v>
      </c>
      <c r="H36" s="23">
        <v>-10.9476</v>
      </c>
      <c r="I36" s="23"/>
      <c r="J36" s="23">
        <v>7.1650999999999998</v>
      </c>
      <c r="K36" s="23">
        <v>9.4198000000000004</v>
      </c>
      <c r="L36" s="23">
        <v>8.0488</v>
      </c>
      <c r="M36" s="24"/>
      <c r="N36" s="24">
        <v>-1755.5555999999999</v>
      </c>
      <c r="O36" s="24">
        <v>131.4676</v>
      </c>
      <c r="P36" s="21" t="s">
        <v>893</v>
      </c>
    </row>
    <row r="37" spans="1:16" ht="42">
      <c r="A37" s="21" t="s">
        <v>851</v>
      </c>
      <c r="B37" s="21" t="s">
        <v>852</v>
      </c>
      <c r="C37" s="21" t="s">
        <v>312</v>
      </c>
      <c r="D37" s="21" t="s">
        <v>491</v>
      </c>
      <c r="E37" s="21" t="s">
        <v>894</v>
      </c>
      <c r="F37" s="22">
        <v>2014</v>
      </c>
      <c r="G37" s="23">
        <v>10.0952</v>
      </c>
      <c r="H37" s="23">
        <v>-14.4148</v>
      </c>
      <c r="I37" s="23">
        <v>-12.8284</v>
      </c>
      <c r="J37" s="23">
        <v>104.514</v>
      </c>
      <c r="K37" s="23">
        <v>0</v>
      </c>
      <c r="L37" s="23">
        <v>17.7286</v>
      </c>
      <c r="M37" s="24">
        <v>-24.957799999999999</v>
      </c>
      <c r="N37" s="24">
        <v>-142.78890000000001</v>
      </c>
      <c r="O37" s="24">
        <v>0</v>
      </c>
      <c r="P37" s="21" t="s">
        <v>893</v>
      </c>
    </row>
    <row r="38" spans="1:16" ht="42">
      <c r="A38" s="21" t="s">
        <v>851</v>
      </c>
      <c r="B38" s="21" t="s">
        <v>852</v>
      </c>
      <c r="C38" s="21" t="s">
        <v>312</v>
      </c>
      <c r="D38" s="21" t="s">
        <v>491</v>
      </c>
      <c r="E38" s="21" t="s">
        <v>894</v>
      </c>
      <c r="F38" s="22">
        <v>2015</v>
      </c>
      <c r="G38" s="23">
        <v>65.791499999999999</v>
      </c>
      <c r="H38" s="23">
        <v>-12.2281</v>
      </c>
      <c r="I38" s="23">
        <v>-35.3474</v>
      </c>
      <c r="J38" s="23">
        <v>443.42439999999999</v>
      </c>
      <c r="K38" s="23">
        <v>0</v>
      </c>
      <c r="L38" s="23">
        <v>52.872799999999998</v>
      </c>
      <c r="M38" s="24">
        <v>-12.8916</v>
      </c>
      <c r="N38" s="24">
        <v>-18.586200000000002</v>
      </c>
      <c r="O38" s="24">
        <v>0</v>
      </c>
      <c r="P38" s="21" t="s">
        <v>893</v>
      </c>
    </row>
    <row r="39" spans="1:16" ht="42">
      <c r="A39" s="21" t="s">
        <v>851</v>
      </c>
      <c r="B39" s="21" t="s">
        <v>852</v>
      </c>
      <c r="C39" s="21" t="s">
        <v>312</v>
      </c>
      <c r="D39" s="21" t="s">
        <v>491</v>
      </c>
      <c r="E39" s="21" t="s">
        <v>894</v>
      </c>
      <c r="F39" s="22">
        <v>2016</v>
      </c>
      <c r="G39" s="23">
        <v>45.813600000000001</v>
      </c>
      <c r="H39" s="23">
        <v>-64.961299999999994</v>
      </c>
      <c r="I39" s="23">
        <v>-82.394199999999998</v>
      </c>
      <c r="J39" s="23">
        <v>415.86329999999998</v>
      </c>
      <c r="K39" s="23">
        <v>0</v>
      </c>
      <c r="L39" s="23">
        <v>79.293599999999998</v>
      </c>
      <c r="M39" s="24">
        <v>-19.805399999999999</v>
      </c>
      <c r="N39" s="24">
        <v>-141.79480000000001</v>
      </c>
      <c r="O39" s="24">
        <v>0</v>
      </c>
      <c r="P39" s="21" t="s">
        <v>893</v>
      </c>
    </row>
    <row r="40" spans="1:16" ht="42">
      <c r="A40" s="21" t="s">
        <v>851</v>
      </c>
      <c r="B40" s="21" t="s">
        <v>852</v>
      </c>
      <c r="C40" s="21" t="s">
        <v>312</v>
      </c>
      <c r="D40" s="21" t="s">
        <v>491</v>
      </c>
      <c r="E40" s="21" t="s">
        <v>894</v>
      </c>
      <c r="F40" s="22">
        <v>2017</v>
      </c>
      <c r="G40" s="23">
        <v>15.2911</v>
      </c>
      <c r="H40" s="23">
        <v>-94.424700000000001</v>
      </c>
      <c r="I40" s="23">
        <v>-81.4833</v>
      </c>
      <c r="J40" s="23">
        <v>370.26119999999997</v>
      </c>
      <c r="K40" s="23">
        <v>0</v>
      </c>
      <c r="L40" s="23">
        <v>79.282600000000002</v>
      </c>
      <c r="M40" s="24">
        <v>-20.7896</v>
      </c>
      <c r="N40" s="24">
        <v>-617.51260000000002</v>
      </c>
      <c r="O40" s="24">
        <v>0</v>
      </c>
      <c r="P40" s="21" t="s">
        <v>893</v>
      </c>
    </row>
    <row r="41" spans="1:16" ht="42">
      <c r="A41" s="21" t="s">
        <v>851</v>
      </c>
      <c r="B41" s="21" t="s">
        <v>852</v>
      </c>
      <c r="C41" s="21" t="s">
        <v>312</v>
      </c>
      <c r="D41" s="21" t="s">
        <v>491</v>
      </c>
      <c r="E41" s="21" t="s">
        <v>894</v>
      </c>
      <c r="F41" s="22">
        <v>2018</v>
      </c>
      <c r="G41" s="23">
        <v>12.7858</v>
      </c>
      <c r="H41" s="23">
        <v>-82.516300000000001</v>
      </c>
      <c r="I41" s="23">
        <v>-80.811999999999998</v>
      </c>
      <c r="J41" s="23">
        <v>312.17599999999999</v>
      </c>
      <c r="K41" s="23">
        <v>0</v>
      </c>
      <c r="L41" s="23">
        <v>64.268600000000006</v>
      </c>
      <c r="M41" s="24">
        <v>-23.761099999999999</v>
      </c>
      <c r="N41" s="24">
        <v>-671.83669999999995</v>
      </c>
      <c r="O41" s="24">
        <v>0</v>
      </c>
      <c r="P41" s="21" t="s">
        <v>893</v>
      </c>
    </row>
    <row r="42" spans="1:16" ht="42">
      <c r="A42" s="21" t="s">
        <v>851</v>
      </c>
      <c r="B42" s="21" t="s">
        <v>852</v>
      </c>
      <c r="C42" s="21" t="s">
        <v>312</v>
      </c>
      <c r="D42" s="21" t="s">
        <v>491</v>
      </c>
      <c r="E42" s="21" t="s">
        <v>894</v>
      </c>
      <c r="F42" s="22">
        <v>2019</v>
      </c>
      <c r="G42" s="23">
        <v>15.418200000000001</v>
      </c>
      <c r="H42" s="23">
        <v>-74.937799999999996</v>
      </c>
      <c r="I42" s="23">
        <v>-73.590500000000006</v>
      </c>
      <c r="J42" s="23">
        <v>259.42919999999998</v>
      </c>
      <c r="K42" s="23">
        <v>29.7791</v>
      </c>
      <c r="L42" s="23">
        <v>59.897500000000001</v>
      </c>
      <c r="M42" s="24">
        <v>-25.391400000000001</v>
      </c>
      <c r="N42" s="24">
        <v>-522.32010000000002</v>
      </c>
      <c r="O42" s="24">
        <v>11.4787</v>
      </c>
      <c r="P42" s="21" t="s">
        <v>893</v>
      </c>
    </row>
    <row r="43" spans="1:16" ht="42">
      <c r="A43" s="21" t="s">
        <v>851</v>
      </c>
      <c r="B43" s="21" t="s">
        <v>852</v>
      </c>
      <c r="C43" s="21" t="s">
        <v>312</v>
      </c>
      <c r="D43" s="21" t="s">
        <v>491</v>
      </c>
      <c r="E43" s="21" t="s">
        <v>894</v>
      </c>
      <c r="F43" s="22">
        <v>2020</v>
      </c>
      <c r="G43" s="23">
        <v>0.72540000000000004</v>
      </c>
      <c r="H43" s="23">
        <v>-48.036099999999998</v>
      </c>
      <c r="I43" s="23">
        <v>-71.598500000000001</v>
      </c>
      <c r="J43" s="23">
        <v>350.92189999999999</v>
      </c>
      <c r="K43" s="23">
        <v>34.154600000000002</v>
      </c>
      <c r="L43" s="23">
        <v>31.623799999999999</v>
      </c>
      <c r="M43" s="24">
        <v>-22.6629</v>
      </c>
      <c r="N43" s="24">
        <v>-6798.9116999999997</v>
      </c>
      <c r="O43" s="24">
        <v>9.7327999999999992</v>
      </c>
      <c r="P43" s="21" t="s">
        <v>893</v>
      </c>
    </row>
    <row r="44" spans="1:16" ht="42">
      <c r="A44" s="21" t="s">
        <v>851</v>
      </c>
      <c r="B44" s="21" t="s">
        <v>852</v>
      </c>
      <c r="C44" s="21" t="s">
        <v>312</v>
      </c>
      <c r="D44" s="21" t="s">
        <v>491</v>
      </c>
      <c r="E44" s="21" t="s">
        <v>894</v>
      </c>
      <c r="F44" s="22">
        <v>2021</v>
      </c>
      <c r="G44" s="23">
        <v>43.673000000000002</v>
      </c>
      <c r="H44" s="23">
        <v>-66.787300000000002</v>
      </c>
      <c r="I44" s="23">
        <v>-87.081100000000006</v>
      </c>
      <c r="J44" s="23">
        <v>495.1721</v>
      </c>
      <c r="K44" s="23">
        <v>38.635199999999998</v>
      </c>
      <c r="L44" s="23">
        <v>82.047600000000003</v>
      </c>
      <c r="M44" s="24">
        <v>-20.736599999999999</v>
      </c>
      <c r="N44" s="24">
        <v>-191.84119999999999</v>
      </c>
      <c r="O44" s="24">
        <v>7.8023999999999996</v>
      </c>
      <c r="P44" s="21" t="s">
        <v>893</v>
      </c>
    </row>
    <row r="45" spans="1:16" ht="42">
      <c r="A45" s="21" t="s">
        <v>851</v>
      </c>
      <c r="B45" s="21" t="s">
        <v>852</v>
      </c>
      <c r="C45" s="21" t="s">
        <v>312</v>
      </c>
      <c r="D45" s="21" t="s">
        <v>491</v>
      </c>
      <c r="E45" s="21" t="s">
        <v>894</v>
      </c>
      <c r="F45" s="22">
        <v>2022</v>
      </c>
      <c r="G45" s="23">
        <v>5.8310000000000004</v>
      </c>
      <c r="H45" s="23">
        <v>-164.70599999999999</v>
      </c>
      <c r="I45" s="23">
        <v>-178.75919999999999</v>
      </c>
      <c r="J45" s="23">
        <v>535.97609999999997</v>
      </c>
      <c r="K45" s="23">
        <v>36.823799999999999</v>
      </c>
      <c r="L45" s="23">
        <v>134.3665</v>
      </c>
      <c r="M45" s="24">
        <v>-33.020000000000003</v>
      </c>
      <c r="N45" s="24">
        <v>-3020.2838999999999</v>
      </c>
      <c r="O45" s="24">
        <v>6.8704000000000001</v>
      </c>
      <c r="P45" s="21" t="s">
        <v>893</v>
      </c>
    </row>
    <row r="46" spans="1:16" ht="42">
      <c r="A46" s="21" t="s">
        <v>856</v>
      </c>
      <c r="B46" s="21" t="s">
        <v>857</v>
      </c>
      <c r="C46" s="21" t="s">
        <v>312</v>
      </c>
      <c r="D46" s="21"/>
      <c r="E46" s="21" t="s">
        <v>892</v>
      </c>
      <c r="F46" s="22">
        <v>2010</v>
      </c>
      <c r="G46" s="23">
        <v>1.516</v>
      </c>
      <c r="H46" s="23">
        <v>-8.7106999999999992</v>
      </c>
      <c r="I46" s="23">
        <v>-6.7111000000000001</v>
      </c>
      <c r="J46" s="23">
        <v>17.495000000000001</v>
      </c>
      <c r="K46" s="23">
        <v>0.53390000000000004</v>
      </c>
      <c r="L46" s="23">
        <v>4.9053000000000004</v>
      </c>
      <c r="M46" s="24">
        <v>0.53380000000000005</v>
      </c>
      <c r="N46" s="24">
        <v>-574.58443271767806</v>
      </c>
      <c r="O46" s="24">
        <v>3.0517290654472706</v>
      </c>
      <c r="P46" s="21" t="s">
        <v>893</v>
      </c>
    </row>
    <row r="47" spans="1:16" ht="42">
      <c r="A47" s="21" t="s">
        <v>856</v>
      </c>
      <c r="B47" s="21" t="s">
        <v>857</v>
      </c>
      <c r="C47" s="21" t="s">
        <v>312</v>
      </c>
      <c r="D47" s="21"/>
      <c r="E47" s="21" t="s">
        <v>892</v>
      </c>
      <c r="F47" s="22">
        <v>2011</v>
      </c>
      <c r="G47" s="23">
        <v>0</v>
      </c>
      <c r="H47" s="23">
        <v>-10.4125</v>
      </c>
      <c r="I47" s="23">
        <v>-9.3545999999999996</v>
      </c>
      <c r="J47" s="23">
        <v>13.812900000000001</v>
      </c>
      <c r="K47" s="23">
        <v>0.30609999999999998</v>
      </c>
      <c r="L47" s="23">
        <v>4.1356999999999999</v>
      </c>
      <c r="M47" s="24">
        <v>0.30609999999999998</v>
      </c>
      <c r="N47" s="24"/>
      <c r="O47" s="24">
        <v>2.2160444222429754</v>
      </c>
      <c r="P47" s="21" t="s">
        <v>893</v>
      </c>
    </row>
    <row r="48" spans="1:16" ht="42">
      <c r="A48" s="21" t="s">
        <v>856</v>
      </c>
      <c r="B48" s="21" t="s">
        <v>857</v>
      </c>
      <c r="C48" s="21" t="s">
        <v>312</v>
      </c>
      <c r="D48" s="21"/>
      <c r="E48" s="21" t="s">
        <v>892</v>
      </c>
      <c r="F48" s="22">
        <v>2012</v>
      </c>
      <c r="G48" s="23">
        <v>5.3999999999999999E-2</v>
      </c>
      <c r="H48" s="23">
        <v>-11.019500000000001</v>
      </c>
      <c r="I48" s="23">
        <v>-13.5243</v>
      </c>
      <c r="J48" s="23">
        <v>12.484999999999999</v>
      </c>
      <c r="K48" s="23">
        <v>0.26939999999999997</v>
      </c>
      <c r="L48" s="23">
        <v>3.4007999999999998</v>
      </c>
      <c r="M48" s="24">
        <v>0.26939999999999997</v>
      </c>
      <c r="N48" s="24">
        <v>-20406.481481481482</v>
      </c>
      <c r="O48" s="24">
        <v>2.15778934721666</v>
      </c>
      <c r="P48" s="21" t="s">
        <v>893</v>
      </c>
    </row>
    <row r="49" spans="1:16" ht="42">
      <c r="A49" s="21" t="s">
        <v>856</v>
      </c>
      <c r="B49" s="21" t="s">
        <v>857</v>
      </c>
      <c r="C49" s="21" t="s">
        <v>312</v>
      </c>
      <c r="D49" s="21"/>
      <c r="E49" s="21" t="s">
        <v>892</v>
      </c>
      <c r="F49" s="22">
        <v>2013</v>
      </c>
      <c r="G49" s="23">
        <v>0</v>
      </c>
      <c r="H49" s="23">
        <v>-12.954000000000001</v>
      </c>
      <c r="I49" s="23">
        <v>-14.489000000000001</v>
      </c>
      <c r="J49" s="23">
        <v>32.386000000000003</v>
      </c>
      <c r="K49" s="23">
        <v>0.106</v>
      </c>
      <c r="L49" s="23">
        <v>9.0459999999999994</v>
      </c>
      <c r="M49" s="24">
        <v>0.106</v>
      </c>
      <c r="N49" s="24"/>
      <c r="O49" s="24">
        <v>0.32730192058296792</v>
      </c>
      <c r="P49" s="21" t="s">
        <v>893</v>
      </c>
    </row>
    <row r="50" spans="1:16" ht="42">
      <c r="A50" s="21" t="s">
        <v>856</v>
      </c>
      <c r="B50" s="21" t="s">
        <v>857</v>
      </c>
      <c r="C50" s="21" t="s">
        <v>312</v>
      </c>
      <c r="D50" s="21"/>
      <c r="E50" s="21" t="s">
        <v>892</v>
      </c>
      <c r="F50" s="22">
        <v>2014</v>
      </c>
      <c r="G50" s="23">
        <v>0.14599999999999999</v>
      </c>
      <c r="H50" s="23">
        <v>-16.437000000000001</v>
      </c>
      <c r="I50" s="23">
        <v>-16.452999999999999</v>
      </c>
      <c r="J50" s="23">
        <v>43.975999999999999</v>
      </c>
      <c r="K50" s="23">
        <v>0.41300000000000003</v>
      </c>
      <c r="L50" s="23">
        <v>15.865</v>
      </c>
      <c r="M50" s="24">
        <v>0.41299999999999998</v>
      </c>
      <c r="N50" s="24">
        <v>-11258.219178082192</v>
      </c>
      <c r="O50" s="24">
        <v>0.93914862652355846</v>
      </c>
      <c r="P50" s="21" t="s">
        <v>893</v>
      </c>
    </row>
    <row r="51" spans="1:16" ht="42">
      <c r="A51" s="21" t="s">
        <v>856</v>
      </c>
      <c r="B51" s="21" t="s">
        <v>857</v>
      </c>
      <c r="C51" s="21" t="s">
        <v>312</v>
      </c>
      <c r="D51" s="21"/>
      <c r="E51" s="21" t="s">
        <v>892</v>
      </c>
      <c r="F51" s="22">
        <v>2015</v>
      </c>
      <c r="G51" s="23">
        <v>3.0000000000000001E-3</v>
      </c>
      <c r="H51" s="23">
        <v>-29.672000000000001</v>
      </c>
      <c r="I51" s="23">
        <v>-29.114000000000001</v>
      </c>
      <c r="J51" s="23">
        <v>159.52500000000001</v>
      </c>
      <c r="K51" s="23">
        <v>0.67500000000000004</v>
      </c>
      <c r="L51" s="23">
        <v>22.766999999999999</v>
      </c>
      <c r="M51" s="24">
        <v>0.67500000000000004</v>
      </c>
      <c r="N51" s="24">
        <v>-989066.66666666674</v>
      </c>
      <c r="O51" s="24">
        <v>0.42313117066290551</v>
      </c>
      <c r="P51" s="21" t="s">
        <v>893</v>
      </c>
    </row>
    <row r="52" spans="1:16" ht="42">
      <c r="A52" s="21" t="s">
        <v>856</v>
      </c>
      <c r="B52" s="21" t="s">
        <v>857</v>
      </c>
      <c r="C52" s="21" t="s">
        <v>312</v>
      </c>
      <c r="D52" s="21"/>
      <c r="E52" s="21" t="s">
        <v>892</v>
      </c>
      <c r="F52" s="22">
        <v>2016</v>
      </c>
      <c r="G52" s="23">
        <v>8.5229999999999997</v>
      </c>
      <c r="H52" s="23">
        <v>-25.609000000000002</v>
      </c>
      <c r="I52" s="23">
        <v>-23.606000000000002</v>
      </c>
      <c r="J52" s="23">
        <v>138.80600000000001</v>
      </c>
      <c r="K52" s="23">
        <v>1.4780000000000002</v>
      </c>
      <c r="L52" s="23">
        <v>27.675000000000001</v>
      </c>
      <c r="M52" s="24">
        <v>1.478</v>
      </c>
      <c r="N52" s="24">
        <v>-300.46931831514729</v>
      </c>
      <c r="O52" s="24">
        <v>1.0647954699364581</v>
      </c>
      <c r="P52" s="21" t="s">
        <v>893</v>
      </c>
    </row>
    <row r="53" spans="1:16" ht="42">
      <c r="A53" s="21" t="s">
        <v>856</v>
      </c>
      <c r="B53" s="21" t="s">
        <v>857</v>
      </c>
      <c r="C53" s="21" t="s">
        <v>312</v>
      </c>
      <c r="D53" s="21"/>
      <c r="E53" s="21" t="s">
        <v>892</v>
      </c>
      <c r="F53" s="22">
        <v>2017</v>
      </c>
      <c r="G53" s="23">
        <v>3.54</v>
      </c>
      <c r="H53" s="23">
        <v>-19.314</v>
      </c>
      <c r="I53" s="23">
        <v>-56.395000000000003</v>
      </c>
      <c r="J53" s="23">
        <v>77.626000000000005</v>
      </c>
      <c r="K53" s="23">
        <v>1.444</v>
      </c>
      <c r="L53" s="23">
        <v>22.908000000000001</v>
      </c>
      <c r="M53" s="24">
        <v>1.444</v>
      </c>
      <c r="N53" s="24">
        <v>-545.59322033898309</v>
      </c>
      <c r="O53" s="24">
        <v>1.8602014788859402</v>
      </c>
      <c r="P53" s="21" t="s">
        <v>893</v>
      </c>
    </row>
    <row r="54" spans="1:16" ht="42">
      <c r="A54" s="21" t="s">
        <v>856</v>
      </c>
      <c r="B54" s="21" t="s">
        <v>857</v>
      </c>
      <c r="C54" s="21" t="s">
        <v>312</v>
      </c>
      <c r="D54" s="21"/>
      <c r="E54" s="21" t="s">
        <v>892</v>
      </c>
      <c r="F54" s="22">
        <v>2018</v>
      </c>
      <c r="G54" s="23">
        <v>3.1150000000000002</v>
      </c>
      <c r="H54" s="23">
        <v>-38.17</v>
      </c>
      <c r="I54" s="23">
        <v>-37.427</v>
      </c>
      <c r="J54" s="23">
        <v>94.299000000000007</v>
      </c>
      <c r="K54" s="23">
        <v>1.6459999999999999</v>
      </c>
      <c r="L54" s="23">
        <v>23.577000000000002</v>
      </c>
      <c r="M54" s="24">
        <v>1.6459999999999999</v>
      </c>
      <c r="N54" s="24">
        <v>-1225.3611556982344</v>
      </c>
      <c r="O54" s="24">
        <v>1.7455116173024103</v>
      </c>
      <c r="P54" s="21" t="s">
        <v>893</v>
      </c>
    </row>
    <row r="55" spans="1:16" ht="42">
      <c r="A55" s="21" t="s">
        <v>856</v>
      </c>
      <c r="B55" s="21" t="s">
        <v>857</v>
      </c>
      <c r="C55" s="21" t="s">
        <v>312</v>
      </c>
      <c r="D55" s="21"/>
      <c r="E55" s="21" t="s">
        <v>892</v>
      </c>
      <c r="F55" s="22">
        <v>2019</v>
      </c>
      <c r="G55" s="23">
        <v>6.0000000000000001E-3</v>
      </c>
      <c r="H55" s="23">
        <v>-28.879000000000001</v>
      </c>
      <c r="I55" s="23">
        <v>-28.632000000000001</v>
      </c>
      <c r="J55" s="23">
        <v>89.835999999999999</v>
      </c>
      <c r="K55" s="23">
        <v>4.3629999999999995</v>
      </c>
      <c r="L55" s="23">
        <v>25.870999999999999</v>
      </c>
      <c r="M55" s="24">
        <v>4.3630000000000004</v>
      </c>
      <c r="N55" s="24">
        <v>-481316.66666666669</v>
      </c>
      <c r="O55" s="24">
        <v>4.8566276325749138</v>
      </c>
      <c r="P55" s="21" t="s">
        <v>893</v>
      </c>
    </row>
    <row r="56" spans="1:16" ht="42">
      <c r="A56" s="21" t="s">
        <v>856</v>
      </c>
      <c r="B56" s="21" t="s">
        <v>857</v>
      </c>
      <c r="C56" s="21" t="s">
        <v>312</v>
      </c>
      <c r="D56" s="21"/>
      <c r="E56" s="21" t="s">
        <v>892</v>
      </c>
      <c r="F56" s="22">
        <v>2020</v>
      </c>
      <c r="G56" s="23">
        <v>5.0000000000000001E-3</v>
      </c>
      <c r="H56" s="23">
        <v>-16.986999999999998</v>
      </c>
      <c r="I56" s="23">
        <v>-17.204000000000001</v>
      </c>
      <c r="J56" s="23">
        <v>66.084000000000003</v>
      </c>
      <c r="K56" s="23">
        <v>3.6379999999999999</v>
      </c>
      <c r="L56" s="23">
        <v>21.893999999999998</v>
      </c>
      <c r="M56" s="24">
        <v>3.6379999999999999</v>
      </c>
      <c r="N56" s="24">
        <v>-339739.99999999994</v>
      </c>
      <c r="O56" s="24">
        <v>5.5051147024998484</v>
      </c>
      <c r="P56" s="21" t="s">
        <v>893</v>
      </c>
    </row>
    <row r="57" spans="1:16" ht="42">
      <c r="A57" s="21" t="s">
        <v>856</v>
      </c>
      <c r="B57" s="21" t="s">
        <v>857</v>
      </c>
      <c r="C57" s="21" t="s">
        <v>312</v>
      </c>
      <c r="D57" s="21"/>
      <c r="E57" s="21" t="s">
        <v>892</v>
      </c>
      <c r="F57" s="22">
        <v>2021</v>
      </c>
      <c r="G57" s="23">
        <v>0</v>
      </c>
      <c r="H57" s="23">
        <v>-26.39</v>
      </c>
      <c r="I57" s="23">
        <v>-26.512</v>
      </c>
      <c r="J57" s="23">
        <v>79.942999999999998</v>
      </c>
      <c r="K57" s="23">
        <v>2.6320000000000001</v>
      </c>
      <c r="L57" s="23">
        <v>20.773</v>
      </c>
      <c r="M57" s="24">
        <v>2.6320000000000001</v>
      </c>
      <c r="N57" s="24"/>
      <c r="O57" s="24">
        <v>3.2923457963799208</v>
      </c>
      <c r="P57" s="21" t="s">
        <v>893</v>
      </c>
    </row>
    <row r="58" spans="1:16" ht="42">
      <c r="A58" s="21" t="s">
        <v>856</v>
      </c>
      <c r="B58" s="21" t="s">
        <v>857</v>
      </c>
      <c r="C58" s="21" t="s">
        <v>312</v>
      </c>
      <c r="D58" s="21"/>
      <c r="E58" s="21" t="s">
        <v>892</v>
      </c>
      <c r="F58" s="22">
        <v>2022</v>
      </c>
      <c r="G58" s="23">
        <v>0</v>
      </c>
      <c r="H58" s="23">
        <v>-5.641</v>
      </c>
      <c r="I58" s="23">
        <v>-40.935000000000002</v>
      </c>
      <c r="J58" s="23">
        <v>19.716000000000001</v>
      </c>
      <c r="K58" s="23">
        <v>0.255</v>
      </c>
      <c r="L58" s="23">
        <v>18.928999999999998</v>
      </c>
      <c r="M58" s="24">
        <v>0.255</v>
      </c>
      <c r="N58" s="24"/>
      <c r="O58" s="24">
        <v>1.2933657942787582</v>
      </c>
      <c r="P58" s="21" t="s">
        <v>893</v>
      </c>
    </row>
    <row r="59" spans="1:16" ht="42">
      <c r="A59" s="21" t="s">
        <v>856</v>
      </c>
      <c r="B59" s="21" t="s">
        <v>857</v>
      </c>
      <c r="C59" s="21" t="s">
        <v>312</v>
      </c>
      <c r="D59" s="21"/>
      <c r="E59" s="21" t="s">
        <v>892</v>
      </c>
      <c r="F59" s="22">
        <v>2023</v>
      </c>
      <c r="G59" s="23">
        <v>0.10199999999999999</v>
      </c>
      <c r="H59" s="23">
        <v>-8.4250000000000007</v>
      </c>
      <c r="I59" s="23">
        <v>-8.4480000000000004</v>
      </c>
      <c r="J59" s="23">
        <v>16.282</v>
      </c>
      <c r="K59" s="23">
        <v>1.0580000000000001</v>
      </c>
      <c r="L59" s="23">
        <v>4.6020000000000003</v>
      </c>
      <c r="M59" s="24">
        <v>1.0580000000000001</v>
      </c>
      <c r="N59" s="24">
        <v>-8259.8039215686294</v>
      </c>
      <c r="O59" s="24">
        <v>6.4979732219629049</v>
      </c>
      <c r="P59" s="21" t="s">
        <v>893</v>
      </c>
    </row>
    <row r="60" spans="1:16" ht="42">
      <c r="A60" s="21" t="s">
        <v>856</v>
      </c>
      <c r="B60" s="21" t="s">
        <v>857</v>
      </c>
      <c r="C60" s="21" t="s">
        <v>312</v>
      </c>
      <c r="D60" s="21"/>
      <c r="E60" s="21" t="s">
        <v>892</v>
      </c>
      <c r="F60" s="22">
        <v>2024</v>
      </c>
      <c r="G60" s="23">
        <v>0.186</v>
      </c>
      <c r="H60" s="23">
        <v>-5.8689999999999998</v>
      </c>
      <c r="I60" s="23">
        <v>-5.8239999999999998</v>
      </c>
      <c r="J60" s="23">
        <v>9.9280000000000008</v>
      </c>
      <c r="K60" s="23">
        <v>0.90500000000000003</v>
      </c>
      <c r="L60" s="23">
        <v>3.2349999999999999</v>
      </c>
      <c r="M60" s="24">
        <v>0.90500000000000003</v>
      </c>
      <c r="N60" s="24">
        <v>-3155.3763440860216</v>
      </c>
      <c r="O60" s="24">
        <v>9.1156325543916186</v>
      </c>
      <c r="P60" s="21" t="s">
        <v>893</v>
      </c>
    </row>
    <row r="61" spans="1:16" ht="42">
      <c r="A61" s="21" t="s">
        <v>856</v>
      </c>
      <c r="B61" s="21" t="s">
        <v>857</v>
      </c>
      <c r="C61" s="21" t="s">
        <v>312</v>
      </c>
      <c r="D61" s="21"/>
      <c r="E61" s="21" t="s">
        <v>892</v>
      </c>
      <c r="F61" s="22">
        <v>2025</v>
      </c>
      <c r="G61" s="23">
        <v>2.1000000000000001E-2</v>
      </c>
      <c r="H61" s="23">
        <v>-1.524</v>
      </c>
      <c r="I61" s="23">
        <v>0.83</v>
      </c>
      <c r="J61" s="23">
        <v>4.298</v>
      </c>
      <c r="K61" s="23">
        <v>0</v>
      </c>
      <c r="L61" s="23">
        <v>6.5430000000000001</v>
      </c>
      <c r="M61" s="24">
        <v>0</v>
      </c>
      <c r="N61" s="24">
        <v>0</v>
      </c>
      <c r="O61" s="24">
        <v>0</v>
      </c>
      <c r="P61" s="21" t="s">
        <v>893</v>
      </c>
    </row>
    <row r="62" spans="1:16" ht="42">
      <c r="A62" s="21" t="s">
        <v>859</v>
      </c>
      <c r="B62" s="21" t="s">
        <v>860</v>
      </c>
      <c r="C62" s="21" t="s">
        <v>312</v>
      </c>
      <c r="D62" s="21"/>
      <c r="E62" s="21" t="s">
        <v>892</v>
      </c>
      <c r="F62" s="22">
        <v>2006</v>
      </c>
      <c r="G62" s="23"/>
      <c r="H62" s="23">
        <v>1.9769000000000001</v>
      </c>
      <c r="I62" s="23"/>
      <c r="J62" s="23">
        <v>2.0190000000000001</v>
      </c>
      <c r="K62" s="23"/>
      <c r="L62" s="23"/>
      <c r="M62" s="24"/>
      <c r="N62" s="24"/>
      <c r="O62" s="24"/>
      <c r="P62" s="21" t="s">
        <v>893</v>
      </c>
    </row>
    <row r="63" spans="1:16" ht="42">
      <c r="A63" s="21" t="s">
        <v>859</v>
      </c>
      <c r="B63" s="21" t="s">
        <v>860</v>
      </c>
      <c r="C63" s="21" t="s">
        <v>312</v>
      </c>
      <c r="D63" s="21"/>
      <c r="E63" s="21" t="s">
        <v>892</v>
      </c>
      <c r="F63" s="22">
        <v>2007</v>
      </c>
      <c r="G63" s="23"/>
      <c r="H63" s="23">
        <v>1.0214000000000001</v>
      </c>
      <c r="I63" s="23"/>
      <c r="J63" s="23">
        <v>20.442499999999999</v>
      </c>
      <c r="K63" s="23">
        <v>1E-3</v>
      </c>
      <c r="L63" s="23"/>
      <c r="M63" s="24">
        <v>15.1274</v>
      </c>
      <c r="N63" s="24">
        <v>2.0849000000000002</v>
      </c>
      <c r="O63" s="24">
        <v>4.8917695976519512E-3</v>
      </c>
      <c r="P63" s="21" t="s">
        <v>893</v>
      </c>
    </row>
    <row r="64" spans="1:16" ht="42">
      <c r="A64" s="21" t="s">
        <v>859</v>
      </c>
      <c r="B64" s="21" t="s">
        <v>860</v>
      </c>
      <c r="C64" s="21" t="s">
        <v>312</v>
      </c>
      <c r="D64" s="21"/>
      <c r="E64" s="21" t="s">
        <v>892</v>
      </c>
      <c r="F64" s="22">
        <v>2008</v>
      </c>
      <c r="G64" s="23"/>
      <c r="H64" s="23">
        <v>4.1866000000000003</v>
      </c>
      <c r="I64" s="23"/>
      <c r="J64" s="23">
        <v>25.021599999999999</v>
      </c>
      <c r="K64" s="23"/>
      <c r="L64" s="23"/>
      <c r="M64" s="24">
        <v>15.620900000000001</v>
      </c>
      <c r="N64" s="24">
        <v>8.3413000000000004</v>
      </c>
      <c r="O64" s="24"/>
      <c r="P64" s="21" t="s">
        <v>893</v>
      </c>
    </row>
    <row r="65" spans="1:16" ht="42">
      <c r="A65" s="21" t="s">
        <v>859</v>
      </c>
      <c r="B65" s="21" t="s">
        <v>860</v>
      </c>
      <c r="C65" s="21" t="s">
        <v>312</v>
      </c>
      <c r="D65" s="21"/>
      <c r="E65" s="21" t="s">
        <v>892</v>
      </c>
      <c r="F65" s="22">
        <v>2009</v>
      </c>
      <c r="G65" s="23"/>
      <c r="H65" s="23">
        <v>6.1951000000000001</v>
      </c>
      <c r="I65" s="23"/>
      <c r="J65" s="23">
        <v>26.4435</v>
      </c>
      <c r="K65" s="23"/>
      <c r="L65" s="23"/>
      <c r="M65" s="24">
        <v>19.862300000000001</v>
      </c>
      <c r="N65" s="24">
        <v>15.0877</v>
      </c>
      <c r="O65" s="24"/>
      <c r="P65" s="21" t="s">
        <v>893</v>
      </c>
    </row>
    <row r="66" spans="1:16" ht="42">
      <c r="A66" s="21" t="s">
        <v>859</v>
      </c>
      <c r="B66" s="21" t="s">
        <v>860</v>
      </c>
      <c r="C66" s="21" t="s">
        <v>312</v>
      </c>
      <c r="D66" s="21"/>
      <c r="E66" s="21" t="s">
        <v>892</v>
      </c>
      <c r="F66" s="22">
        <v>2010</v>
      </c>
      <c r="G66" s="23"/>
      <c r="H66" s="23">
        <v>2.6398999999999999</v>
      </c>
      <c r="I66" s="23"/>
      <c r="J66" s="23">
        <v>39.981999999999999</v>
      </c>
      <c r="K66" s="23"/>
      <c r="L66" s="23"/>
      <c r="M66" s="24">
        <v>6.5590999999999999</v>
      </c>
      <c r="N66" s="24">
        <v>7.0762</v>
      </c>
      <c r="O66" s="24"/>
      <c r="P66" s="21" t="s">
        <v>893</v>
      </c>
    </row>
    <row r="67" spans="1:16" ht="42">
      <c r="A67" s="21" t="s">
        <v>859</v>
      </c>
      <c r="B67" s="21" t="s">
        <v>860</v>
      </c>
      <c r="C67" s="21" t="s">
        <v>312</v>
      </c>
      <c r="D67" s="21"/>
      <c r="E67" s="21" t="s">
        <v>892</v>
      </c>
      <c r="F67" s="22">
        <v>2011</v>
      </c>
      <c r="G67" s="23"/>
      <c r="H67" s="23">
        <v>5.9688999999999997</v>
      </c>
      <c r="I67" s="23"/>
      <c r="J67" s="23">
        <v>39.192900000000002</v>
      </c>
      <c r="K67" s="23"/>
      <c r="L67" s="23"/>
      <c r="M67" s="24">
        <v>12.738200000000001</v>
      </c>
      <c r="N67" s="24">
        <v>13.4938</v>
      </c>
      <c r="O67" s="24"/>
      <c r="P67" s="21" t="s">
        <v>893</v>
      </c>
    </row>
    <row r="68" spans="1:16" ht="42">
      <c r="A68" s="21" t="s">
        <v>859</v>
      </c>
      <c r="B68" s="21" t="s">
        <v>860</v>
      </c>
      <c r="C68" s="21" t="s">
        <v>312</v>
      </c>
      <c r="D68" s="21"/>
      <c r="E68" s="21" t="s">
        <v>892</v>
      </c>
      <c r="F68" s="22">
        <v>2012</v>
      </c>
      <c r="G68" s="23"/>
      <c r="H68" s="23">
        <v>6.2293000000000003</v>
      </c>
      <c r="I68" s="23"/>
      <c r="J68" s="23">
        <v>51.204300000000003</v>
      </c>
      <c r="K68" s="23"/>
      <c r="L68" s="23"/>
      <c r="M68" s="24">
        <v>11.8431</v>
      </c>
      <c r="N68" s="24">
        <v>13.992599999999999</v>
      </c>
      <c r="O68" s="24"/>
      <c r="P68" s="21" t="s">
        <v>893</v>
      </c>
    </row>
    <row r="69" spans="1:16" ht="42">
      <c r="A69" s="21" t="s">
        <v>859</v>
      </c>
      <c r="B69" s="21" t="s">
        <v>860</v>
      </c>
      <c r="C69" s="21" t="s">
        <v>312</v>
      </c>
      <c r="D69" s="21"/>
      <c r="E69" s="21" t="s">
        <v>892</v>
      </c>
      <c r="F69" s="22">
        <v>2013</v>
      </c>
      <c r="G69" s="23"/>
      <c r="H69" s="23">
        <v>5.6543999999999999</v>
      </c>
      <c r="I69" s="23"/>
      <c r="J69" s="23">
        <v>61.4497</v>
      </c>
      <c r="K69" s="23"/>
      <c r="L69" s="23"/>
      <c r="M69" s="24">
        <v>7.6165000000000003</v>
      </c>
      <c r="N69" s="24">
        <v>11.2561</v>
      </c>
      <c r="O69" s="24"/>
      <c r="P69" s="21" t="s">
        <v>893</v>
      </c>
    </row>
    <row r="70" spans="1:16" ht="42">
      <c r="A70" s="21" t="s">
        <v>859</v>
      </c>
      <c r="B70" s="21" t="s">
        <v>860</v>
      </c>
      <c r="C70" s="21" t="s">
        <v>312</v>
      </c>
      <c r="D70" s="21"/>
      <c r="E70" s="21" t="s">
        <v>892</v>
      </c>
      <c r="F70" s="22">
        <v>2014</v>
      </c>
      <c r="G70" s="23"/>
      <c r="H70" s="23">
        <v>4.1706000000000003</v>
      </c>
      <c r="I70" s="23"/>
      <c r="J70" s="23">
        <v>107.0956</v>
      </c>
      <c r="K70" s="23"/>
      <c r="L70" s="23"/>
      <c r="M70" s="24">
        <v>3.2783000000000002</v>
      </c>
      <c r="N70" s="24">
        <v>9.5744000000000007</v>
      </c>
      <c r="O70" s="24"/>
      <c r="P70" s="21" t="s">
        <v>893</v>
      </c>
    </row>
    <row r="71" spans="1:16" ht="42">
      <c r="A71" s="21" t="s">
        <v>859</v>
      </c>
      <c r="B71" s="21" t="s">
        <v>860</v>
      </c>
      <c r="C71" s="21" t="s">
        <v>312</v>
      </c>
      <c r="D71" s="21"/>
      <c r="E71" s="21" t="s">
        <v>892</v>
      </c>
      <c r="F71" s="22">
        <v>2015</v>
      </c>
      <c r="G71" s="23"/>
      <c r="H71" s="23">
        <v>7.9649999999999999</v>
      </c>
      <c r="I71" s="23"/>
      <c r="J71" s="23">
        <v>285.48509999999999</v>
      </c>
      <c r="K71" s="23">
        <v>1.5376000000000001</v>
      </c>
      <c r="L71" s="23"/>
      <c r="M71" s="24">
        <v>13.527699999999999</v>
      </c>
      <c r="N71" s="24">
        <v>5.6959999999999997</v>
      </c>
      <c r="O71" s="24">
        <v>0.53859999999999997</v>
      </c>
      <c r="P71" s="21" t="s">
        <v>893</v>
      </c>
    </row>
    <row r="72" spans="1:16" ht="42">
      <c r="A72" s="21" t="s">
        <v>859</v>
      </c>
      <c r="B72" s="21" t="s">
        <v>860</v>
      </c>
      <c r="C72" s="21" t="s">
        <v>312</v>
      </c>
      <c r="D72" s="21"/>
      <c r="E72" s="21" t="s">
        <v>892</v>
      </c>
      <c r="F72" s="22">
        <v>2016</v>
      </c>
      <c r="G72" s="23"/>
      <c r="H72" s="23">
        <v>22.121099999999998</v>
      </c>
      <c r="I72" s="23"/>
      <c r="J72" s="23">
        <v>298.2242</v>
      </c>
      <c r="K72" s="23">
        <v>2.8734999999999999</v>
      </c>
      <c r="L72" s="23"/>
      <c r="M72" s="24">
        <v>5.4524999999999997</v>
      </c>
      <c r="N72" s="24">
        <v>14.7873</v>
      </c>
      <c r="O72" s="24">
        <v>0.96353682900314608</v>
      </c>
      <c r="P72" s="21" t="s">
        <v>893</v>
      </c>
    </row>
    <row r="73" spans="1:16" ht="42">
      <c r="A73" s="21" t="s">
        <v>859</v>
      </c>
      <c r="B73" s="21" t="s">
        <v>860</v>
      </c>
      <c r="C73" s="21" t="s">
        <v>312</v>
      </c>
      <c r="D73" s="21"/>
      <c r="E73" s="21" t="s">
        <v>892</v>
      </c>
      <c r="F73" s="22">
        <v>2017</v>
      </c>
      <c r="G73" s="23"/>
      <c r="H73" s="23">
        <v>19.749199999999998</v>
      </c>
      <c r="I73" s="23"/>
      <c r="J73" s="23">
        <v>185.5393</v>
      </c>
      <c r="K73" s="23"/>
      <c r="L73" s="23"/>
      <c r="M73" s="24">
        <v>6.9861000000000004</v>
      </c>
      <c r="N73" s="24">
        <v>11.7957</v>
      </c>
      <c r="O73" s="24"/>
      <c r="P73" s="21" t="s">
        <v>893</v>
      </c>
    </row>
    <row r="74" spans="1:16" ht="42">
      <c r="A74" s="21" t="s">
        <v>859</v>
      </c>
      <c r="B74" s="21" t="s">
        <v>860</v>
      </c>
      <c r="C74" s="21" t="s">
        <v>312</v>
      </c>
      <c r="D74" s="21"/>
      <c r="E74" s="21" t="s">
        <v>892</v>
      </c>
      <c r="F74" s="22">
        <v>2018</v>
      </c>
      <c r="G74" s="23"/>
      <c r="H74" s="23">
        <v>13.5885</v>
      </c>
      <c r="I74" s="23"/>
      <c r="J74" s="23">
        <v>155.85910000000001</v>
      </c>
      <c r="K74" s="23"/>
      <c r="L74" s="23"/>
      <c r="M74" s="24">
        <v>8.0978999999999992</v>
      </c>
      <c r="N74" s="24">
        <v>10.884600000000001</v>
      </c>
      <c r="O74" s="24"/>
      <c r="P74" s="21" t="s">
        <v>893</v>
      </c>
    </row>
    <row r="75" spans="1:16" ht="42">
      <c r="A75" s="21" t="s">
        <v>862</v>
      </c>
      <c r="B75" s="21" t="s">
        <v>863</v>
      </c>
      <c r="C75" s="21" t="s">
        <v>312</v>
      </c>
      <c r="D75" s="21" t="s">
        <v>612</v>
      </c>
      <c r="E75" s="21" t="s">
        <v>894</v>
      </c>
      <c r="F75" s="22">
        <v>2006</v>
      </c>
      <c r="G75" s="23"/>
      <c r="H75" s="23"/>
      <c r="I75" s="23"/>
      <c r="J75" s="23">
        <v>460.33800000000002</v>
      </c>
      <c r="K75" s="23">
        <v>199.923</v>
      </c>
      <c r="L75" s="23"/>
      <c r="M75" s="24">
        <v>11.1729</v>
      </c>
      <c r="N75" s="24">
        <v>106.2039</v>
      </c>
      <c r="O75" s="24">
        <v>43.429610416693819</v>
      </c>
      <c r="P75" s="21" t="s">
        <v>893</v>
      </c>
    </row>
    <row r="76" spans="1:16" ht="42">
      <c r="A76" s="21" t="s">
        <v>862</v>
      </c>
      <c r="B76" s="21" t="s">
        <v>863</v>
      </c>
      <c r="C76" s="21" t="s">
        <v>312</v>
      </c>
      <c r="D76" s="21" t="s">
        <v>612</v>
      </c>
      <c r="E76" s="21" t="s">
        <v>894</v>
      </c>
      <c r="F76" s="22">
        <v>2007</v>
      </c>
      <c r="G76" s="23"/>
      <c r="H76" s="23"/>
      <c r="I76" s="23"/>
      <c r="J76" s="23">
        <v>612.02499999999998</v>
      </c>
      <c r="K76" s="23">
        <v>173.34399999999999</v>
      </c>
      <c r="L76" s="23"/>
      <c r="M76" s="24">
        <v>16.450900000000001</v>
      </c>
      <c r="N76" s="24">
        <v>105.8926</v>
      </c>
      <c r="O76" s="24">
        <v>28.323026020178911</v>
      </c>
      <c r="P76" s="21" t="s">
        <v>893</v>
      </c>
    </row>
    <row r="77" spans="1:16" ht="42">
      <c r="A77" s="21" t="s">
        <v>862</v>
      </c>
      <c r="B77" s="21" t="s">
        <v>863</v>
      </c>
      <c r="C77" s="21" t="s">
        <v>312</v>
      </c>
      <c r="D77" s="21" t="s">
        <v>612</v>
      </c>
      <c r="E77" s="21" t="s">
        <v>894</v>
      </c>
      <c r="F77" s="22">
        <v>2008</v>
      </c>
      <c r="G77" s="23"/>
      <c r="H77" s="23"/>
      <c r="I77" s="23"/>
      <c r="J77" s="23">
        <v>734.01</v>
      </c>
      <c r="K77" s="23">
        <v>289.73599999999999</v>
      </c>
      <c r="L77" s="23"/>
      <c r="M77" s="24">
        <v>33.099400000000003</v>
      </c>
      <c r="N77" s="24">
        <v>93.769000000000005</v>
      </c>
      <c r="O77" s="24">
        <v>39.473031702565358</v>
      </c>
      <c r="P77" s="21" t="s">
        <v>893</v>
      </c>
    </row>
    <row r="78" spans="1:16" ht="42">
      <c r="A78" s="21" t="s">
        <v>862</v>
      </c>
      <c r="B78" s="21" t="s">
        <v>863</v>
      </c>
      <c r="C78" s="21" t="s">
        <v>312</v>
      </c>
      <c r="D78" s="21" t="s">
        <v>612</v>
      </c>
      <c r="E78" s="21" t="s">
        <v>894</v>
      </c>
      <c r="F78" s="22">
        <v>2009</v>
      </c>
      <c r="G78" s="23">
        <v>640.07299999999998</v>
      </c>
      <c r="H78" s="23">
        <v>37.521000000000001</v>
      </c>
      <c r="I78" s="23">
        <v>-11.234</v>
      </c>
      <c r="J78" s="23">
        <v>659.29899999999998</v>
      </c>
      <c r="K78" s="23">
        <v>238.07499999999999</v>
      </c>
      <c r="L78" s="23"/>
      <c r="M78" s="24">
        <v>13.728899999999999</v>
      </c>
      <c r="N78" s="24">
        <v>110.69459999999999</v>
      </c>
      <c r="O78" s="24">
        <v>36.110323237256544</v>
      </c>
      <c r="P78" s="21" t="s">
        <v>893</v>
      </c>
    </row>
    <row r="79" spans="1:16" ht="42">
      <c r="A79" s="21" t="s">
        <v>862</v>
      </c>
      <c r="B79" s="21" t="s">
        <v>863</v>
      </c>
      <c r="C79" s="21" t="s">
        <v>312</v>
      </c>
      <c r="D79" s="21" t="s">
        <v>612</v>
      </c>
      <c r="E79" s="21" t="s">
        <v>894</v>
      </c>
      <c r="F79" s="22">
        <v>2010</v>
      </c>
      <c r="G79" s="23">
        <v>680.33299999999997</v>
      </c>
      <c r="H79" s="23">
        <v>61.970999999999997</v>
      </c>
      <c r="I79" s="23">
        <v>23.4</v>
      </c>
      <c r="J79" s="23">
        <v>736.16099999999994</v>
      </c>
      <c r="K79" s="23">
        <v>276.71800000000002</v>
      </c>
      <c r="L79" s="23"/>
      <c r="M79" s="24">
        <v>13.152699999999999</v>
      </c>
      <c r="N79" s="24">
        <v>108.03440000000001</v>
      </c>
      <c r="O79" s="24">
        <v>37.589331681520761</v>
      </c>
      <c r="P79" s="21" t="s">
        <v>893</v>
      </c>
    </row>
    <row r="80" spans="1:16" ht="42">
      <c r="A80" s="21" t="s">
        <v>862</v>
      </c>
      <c r="B80" s="21" t="s">
        <v>863</v>
      </c>
      <c r="C80" s="21" t="s">
        <v>312</v>
      </c>
      <c r="D80" s="21" t="s">
        <v>612</v>
      </c>
      <c r="E80" s="21" t="s">
        <v>894</v>
      </c>
      <c r="F80" s="22">
        <v>2011</v>
      </c>
      <c r="G80" s="23">
        <v>828.93399999999997</v>
      </c>
      <c r="H80" s="23">
        <v>91.366</v>
      </c>
      <c r="I80" s="23">
        <v>55.406999999999996</v>
      </c>
      <c r="J80" s="23">
        <v>1074.575</v>
      </c>
      <c r="K80" s="23">
        <v>434.67699999999996</v>
      </c>
      <c r="L80" s="23"/>
      <c r="M80" s="24">
        <v>13.426</v>
      </c>
      <c r="N80" s="24">
        <v>108.3867</v>
      </c>
      <c r="O80" s="24">
        <v>40.45106204778633</v>
      </c>
      <c r="P80" s="21" t="s">
        <v>893</v>
      </c>
    </row>
    <row r="81" spans="1:16" ht="42">
      <c r="A81" s="21" t="s">
        <v>862</v>
      </c>
      <c r="B81" s="21" t="s">
        <v>863</v>
      </c>
      <c r="C81" s="21" t="s">
        <v>312</v>
      </c>
      <c r="D81" s="21" t="s">
        <v>612</v>
      </c>
      <c r="E81" s="21" t="s">
        <v>894</v>
      </c>
      <c r="F81" s="22">
        <v>2012</v>
      </c>
      <c r="G81" s="23">
        <v>1043.963</v>
      </c>
      <c r="H81" s="23">
        <v>124.738</v>
      </c>
      <c r="I81" s="23">
        <v>65.924000000000007</v>
      </c>
      <c r="J81" s="23">
        <v>1159.096</v>
      </c>
      <c r="K81" s="23">
        <v>435.11899999999997</v>
      </c>
      <c r="L81" s="23"/>
      <c r="M81" s="24">
        <v>5.9027493305862855</v>
      </c>
      <c r="N81" s="24">
        <v>11.948507753627283</v>
      </c>
      <c r="O81" s="24">
        <v>37.539513551940473</v>
      </c>
      <c r="P81" s="21" t="s">
        <v>893</v>
      </c>
    </row>
    <row r="82" spans="1:16" ht="42">
      <c r="A82" s="21" t="s">
        <v>862</v>
      </c>
      <c r="B82" s="21" t="s">
        <v>863</v>
      </c>
      <c r="C82" s="21" t="s">
        <v>312</v>
      </c>
      <c r="D82" s="21" t="s">
        <v>612</v>
      </c>
      <c r="E82" s="21" t="s">
        <v>894</v>
      </c>
      <c r="F82" s="22">
        <v>2013</v>
      </c>
      <c r="G82" s="23">
        <v>1225.5719999999999</v>
      </c>
      <c r="H82" s="23">
        <v>151.279</v>
      </c>
      <c r="I82" s="23">
        <v>72.180000000000007</v>
      </c>
      <c r="J82" s="23">
        <v>1497.0160000000001</v>
      </c>
      <c r="K82" s="23">
        <v>684.10299999999995</v>
      </c>
      <c r="L82" s="23"/>
      <c r="M82" s="24">
        <v>5.4350117766118302</v>
      </c>
      <c r="N82" s="24">
        <v>12.343542443854789</v>
      </c>
      <c r="O82" s="24">
        <v>45.697774773282305</v>
      </c>
      <c r="P82" s="21" t="s">
        <v>893</v>
      </c>
    </row>
    <row r="83" spans="1:16" ht="42">
      <c r="A83" s="21" t="s">
        <v>862</v>
      </c>
      <c r="B83" s="21" t="s">
        <v>863</v>
      </c>
      <c r="C83" s="21" t="s">
        <v>312</v>
      </c>
      <c r="D83" s="21" t="s">
        <v>612</v>
      </c>
      <c r="E83" s="21" t="s">
        <v>894</v>
      </c>
      <c r="F83" s="22">
        <v>2014</v>
      </c>
      <c r="G83" s="23">
        <v>1410.2270000000001</v>
      </c>
      <c r="H83" s="23">
        <v>174.39</v>
      </c>
      <c r="I83" s="23">
        <v>79.103999999999999</v>
      </c>
      <c r="J83" s="23">
        <v>1873.19</v>
      </c>
      <c r="K83" s="23">
        <v>710.23199999999997</v>
      </c>
      <c r="L83" s="23"/>
      <c r="M83" s="24">
        <v>4.6943124544909116</v>
      </c>
      <c r="N83" s="24">
        <v>12.366094252911056</v>
      </c>
      <c r="O83" s="24">
        <v>37.915641232336277</v>
      </c>
      <c r="P83" s="21" t="s">
        <v>893</v>
      </c>
    </row>
    <row r="84" spans="1:16" ht="42">
      <c r="A84" s="21" t="s">
        <v>862</v>
      </c>
      <c r="B84" s="21" t="s">
        <v>863</v>
      </c>
      <c r="C84" s="21" t="s">
        <v>312</v>
      </c>
      <c r="D84" s="21" t="s">
        <v>612</v>
      </c>
      <c r="E84" s="21" t="s">
        <v>894</v>
      </c>
      <c r="F84" s="22">
        <v>2015</v>
      </c>
      <c r="G84" s="23">
        <v>1950.0740000000001</v>
      </c>
      <c r="H84" s="23">
        <v>235.358</v>
      </c>
      <c r="I84" s="23">
        <v>87.316000000000003</v>
      </c>
      <c r="J84" s="23">
        <v>3699.8330000000001</v>
      </c>
      <c r="K84" s="23">
        <v>1710.0330000000001</v>
      </c>
      <c r="L84" s="23">
        <v>0</v>
      </c>
      <c r="M84" s="24">
        <v>3.133523762597068</v>
      </c>
      <c r="N84" s="24">
        <v>12.069183015618894</v>
      </c>
      <c r="O84" s="24">
        <v>46.219194217684965</v>
      </c>
      <c r="P84" s="21" t="s">
        <v>893</v>
      </c>
    </row>
    <row r="85" spans="1:16" ht="42">
      <c r="A85" s="21" t="s">
        <v>862</v>
      </c>
      <c r="B85" s="21" t="s">
        <v>863</v>
      </c>
      <c r="C85" s="21" t="s">
        <v>312</v>
      </c>
      <c r="D85" s="21" t="s">
        <v>612</v>
      </c>
      <c r="E85" s="21" t="s">
        <v>894</v>
      </c>
      <c r="F85" s="22">
        <v>2016</v>
      </c>
      <c r="G85" s="23">
        <v>2536.6080000000002</v>
      </c>
      <c r="H85" s="23">
        <v>317.94600000000003</v>
      </c>
      <c r="I85" s="23">
        <v>173.99700000000001</v>
      </c>
      <c r="J85" s="23">
        <v>4129.415</v>
      </c>
      <c r="K85" s="23">
        <v>1383.8779999999999</v>
      </c>
      <c r="L85" s="23">
        <v>0</v>
      </c>
      <c r="M85" s="24">
        <v>4.4447946980348565</v>
      </c>
      <c r="N85" s="24">
        <v>12.534297770881428</v>
      </c>
      <c r="O85" s="24">
        <v>33.512688843334949</v>
      </c>
      <c r="P85" s="21" t="s">
        <v>893</v>
      </c>
    </row>
    <row r="86" spans="1:16" ht="42">
      <c r="A86" s="21" t="s">
        <v>862</v>
      </c>
      <c r="B86" s="21" t="s">
        <v>863</v>
      </c>
      <c r="C86" s="21" t="s">
        <v>312</v>
      </c>
      <c r="D86" s="21" t="s">
        <v>612</v>
      </c>
      <c r="E86" s="21" t="s">
        <v>894</v>
      </c>
      <c r="F86" s="22">
        <v>2017</v>
      </c>
      <c r="G86" s="23">
        <v>2971.4169999999999</v>
      </c>
      <c r="H86" s="23">
        <v>349.452</v>
      </c>
      <c r="I86" s="23">
        <v>216.77099999999999</v>
      </c>
      <c r="J86" s="23">
        <v>5832.3069999999998</v>
      </c>
      <c r="K86" s="23">
        <v>2216.33</v>
      </c>
      <c r="L86" s="23">
        <v>0</v>
      </c>
      <c r="M86" s="24">
        <v>4.3520788875658241</v>
      </c>
      <c r="N86" s="24">
        <v>11.76044964405871</v>
      </c>
      <c r="O86" s="24">
        <v>38.000914560910459</v>
      </c>
      <c r="P86" s="21" t="s">
        <v>893</v>
      </c>
    </row>
    <row r="87" spans="1:16" ht="42">
      <c r="A87" s="21" t="s">
        <v>862</v>
      </c>
      <c r="B87" s="21" t="s">
        <v>863</v>
      </c>
      <c r="C87" s="21" t="s">
        <v>312</v>
      </c>
      <c r="D87" s="21" t="s">
        <v>612</v>
      </c>
      <c r="E87" s="21" t="s">
        <v>894</v>
      </c>
      <c r="F87" s="22">
        <v>2018</v>
      </c>
      <c r="G87" s="23">
        <v>3781.1480000000001</v>
      </c>
      <c r="H87" s="23">
        <v>430.57299999999998</v>
      </c>
      <c r="I87" s="23">
        <v>223.94399999999999</v>
      </c>
      <c r="J87" s="23">
        <v>7205.4480000000003</v>
      </c>
      <c r="K87" s="23">
        <v>3157.2439999999997</v>
      </c>
      <c r="L87" s="23">
        <v>0</v>
      </c>
      <c r="M87" s="24">
        <v>3.4353153591243273</v>
      </c>
      <c r="N87" s="24">
        <v>11.387361721889752</v>
      </c>
      <c r="O87" s="24">
        <v>43.817455902811311</v>
      </c>
      <c r="P87" s="21" t="s">
        <v>893</v>
      </c>
    </row>
    <row r="88" spans="1:16" ht="42">
      <c r="A88" s="21" t="s">
        <v>862</v>
      </c>
      <c r="B88" s="21" t="s">
        <v>863</v>
      </c>
      <c r="C88" s="21" t="s">
        <v>312</v>
      </c>
      <c r="D88" s="21" t="s">
        <v>612</v>
      </c>
      <c r="E88" s="21" t="s">
        <v>894</v>
      </c>
      <c r="F88" s="22">
        <v>2019</v>
      </c>
      <c r="G88" s="23">
        <v>4562.8</v>
      </c>
      <c r="H88" s="23">
        <v>457.9</v>
      </c>
      <c r="I88" s="23">
        <v>195.2</v>
      </c>
      <c r="J88" s="23">
        <v>7823.1</v>
      </c>
      <c r="K88" s="23">
        <v>3541.7000000000003</v>
      </c>
      <c r="L88" s="23">
        <v>0</v>
      </c>
      <c r="M88" s="24">
        <v>2.597722680860453</v>
      </c>
      <c r="N88" s="24">
        <v>10.035504514771631</v>
      </c>
      <c r="O88" s="24">
        <v>45.272334496555075</v>
      </c>
      <c r="P88" s="21" t="s">
        <v>893</v>
      </c>
    </row>
    <row r="89" spans="1:16" ht="42">
      <c r="A89" s="21" t="s">
        <v>862</v>
      </c>
      <c r="B89" s="21" t="s">
        <v>863</v>
      </c>
      <c r="C89" s="21" t="s">
        <v>312</v>
      </c>
      <c r="D89" s="21" t="s">
        <v>612</v>
      </c>
      <c r="E89" s="21" t="s">
        <v>894</v>
      </c>
      <c r="F89" s="22">
        <v>2020</v>
      </c>
      <c r="G89" s="23">
        <v>5438.8</v>
      </c>
      <c r="H89" s="23">
        <v>938.6</v>
      </c>
      <c r="I89" s="23">
        <v>539.4</v>
      </c>
      <c r="J89" s="23">
        <v>8575.5</v>
      </c>
      <c r="K89" s="23">
        <v>3154.7</v>
      </c>
      <c r="L89" s="23">
        <v>0</v>
      </c>
      <c r="M89" s="24">
        <v>6.5786103691778575</v>
      </c>
      <c r="N89" s="24">
        <v>17.257483268368023</v>
      </c>
      <c r="O89" s="24">
        <v>36.787359337647949</v>
      </c>
      <c r="P89" s="21" t="s">
        <v>893</v>
      </c>
    </row>
    <row r="90" spans="1:16" ht="42">
      <c r="A90" s="21" t="s">
        <v>862</v>
      </c>
      <c r="B90" s="21" t="s">
        <v>863</v>
      </c>
      <c r="C90" s="21" t="s">
        <v>312</v>
      </c>
      <c r="D90" s="21" t="s">
        <v>612</v>
      </c>
      <c r="E90" s="21" t="s">
        <v>894</v>
      </c>
      <c r="F90" s="22">
        <v>2021</v>
      </c>
      <c r="G90" s="23">
        <v>6717.7</v>
      </c>
      <c r="H90" s="23">
        <v>1395.7</v>
      </c>
      <c r="I90" s="23">
        <v>782.6</v>
      </c>
      <c r="J90" s="23">
        <v>9332.2999999999993</v>
      </c>
      <c r="K90" s="23">
        <v>2754.1</v>
      </c>
      <c r="L90" s="23">
        <v>0</v>
      </c>
      <c r="M90" s="24">
        <v>8.7403254447782537</v>
      </c>
      <c r="N90" s="24">
        <v>20.776456227577892</v>
      </c>
      <c r="O90" s="24">
        <v>29.511481628323139</v>
      </c>
      <c r="P90" s="21" t="s">
        <v>893</v>
      </c>
    </row>
    <row r="91" spans="1:16" ht="42">
      <c r="A91" s="21" t="s">
        <v>862</v>
      </c>
      <c r="B91" s="21" t="s">
        <v>863</v>
      </c>
      <c r="C91" s="21" t="s">
        <v>312</v>
      </c>
      <c r="D91" s="21" t="s">
        <v>612</v>
      </c>
      <c r="E91" s="21" t="s">
        <v>894</v>
      </c>
      <c r="F91" s="22">
        <v>2022</v>
      </c>
      <c r="G91" s="23">
        <v>6712.1</v>
      </c>
      <c r="H91" s="23">
        <v>953.3</v>
      </c>
      <c r="I91" s="23">
        <v>610.20000000000005</v>
      </c>
      <c r="J91" s="23">
        <v>10083.5</v>
      </c>
      <c r="K91" s="23">
        <v>3325.5</v>
      </c>
      <c r="L91" s="23">
        <v>0</v>
      </c>
      <c r="M91" s="24">
        <v>6.2856024474912191</v>
      </c>
      <c r="N91" s="24">
        <v>14.2027085412911</v>
      </c>
      <c r="O91" s="24">
        <v>32.979620171567412</v>
      </c>
      <c r="P91" s="21" t="s">
        <v>893</v>
      </c>
    </row>
    <row r="92" spans="1:16" ht="42">
      <c r="A92" s="21" t="s">
        <v>862</v>
      </c>
      <c r="B92" s="21" t="s">
        <v>863</v>
      </c>
      <c r="C92" s="21" t="s">
        <v>312</v>
      </c>
      <c r="D92" s="21" t="s">
        <v>612</v>
      </c>
      <c r="E92" s="21" t="s">
        <v>894</v>
      </c>
      <c r="F92" s="22">
        <v>2023</v>
      </c>
      <c r="G92" s="23">
        <v>6514.6</v>
      </c>
      <c r="H92" s="23">
        <v>764.9</v>
      </c>
      <c r="I92" s="23">
        <v>310.2</v>
      </c>
      <c r="J92" s="23">
        <v>10888.6</v>
      </c>
      <c r="K92" s="23">
        <v>3926.7</v>
      </c>
      <c r="L92" s="23"/>
      <c r="M92" s="24">
        <v>2.9582159154305008</v>
      </c>
      <c r="N92" s="24">
        <v>11.741319497743529</v>
      </c>
      <c r="O92" s="24">
        <v>36.062487372113949</v>
      </c>
      <c r="P92" s="21" t="s">
        <v>893</v>
      </c>
    </row>
    <row r="93" spans="1:16" ht="42">
      <c r="A93" s="21" t="s">
        <v>862</v>
      </c>
      <c r="B93" s="21" t="s">
        <v>863</v>
      </c>
      <c r="C93" s="21" t="s">
        <v>312</v>
      </c>
      <c r="D93" s="21" t="s">
        <v>612</v>
      </c>
      <c r="E93" s="21" t="s">
        <v>894</v>
      </c>
      <c r="F93" s="22">
        <v>2024</v>
      </c>
      <c r="G93" s="23">
        <v>6951</v>
      </c>
      <c r="H93" s="23">
        <v>860.1</v>
      </c>
      <c r="I93" s="23">
        <v>406.4</v>
      </c>
      <c r="J93" s="23">
        <v>10888.4</v>
      </c>
      <c r="K93" s="23">
        <v>3610.3</v>
      </c>
      <c r="L93" s="23"/>
      <c r="M93" s="24">
        <v>3.7323781971805117</v>
      </c>
      <c r="N93" s="24">
        <v>12.373759171342252</v>
      </c>
      <c r="O93" s="24">
        <v>33.157305021858129</v>
      </c>
      <c r="P93" s="21" t="s">
        <v>893</v>
      </c>
    </row>
    <row r="94" spans="1:16" ht="42">
      <c r="A94" s="21" t="s">
        <v>862</v>
      </c>
      <c r="B94" s="21" t="s">
        <v>863</v>
      </c>
      <c r="C94" s="21" t="s">
        <v>312</v>
      </c>
      <c r="D94" s="21" t="s">
        <v>612</v>
      </c>
      <c r="E94" s="21" t="s">
        <v>894</v>
      </c>
      <c r="F94" s="22">
        <v>2025</v>
      </c>
      <c r="G94" s="23">
        <v>7296.1</v>
      </c>
      <c r="H94" s="23">
        <v>855.4</v>
      </c>
      <c r="I94" s="23">
        <v>474.8</v>
      </c>
      <c r="J94" s="23">
        <v>10985.4</v>
      </c>
      <c r="K94" s="23">
        <v>4432.1000000000004</v>
      </c>
      <c r="L94" s="23"/>
      <c r="M94" s="24">
        <v>4.341266720917262</v>
      </c>
      <c r="N94" s="24">
        <v>11.724071764367265</v>
      </c>
      <c r="O94" s="24">
        <v>40.345367487756484</v>
      </c>
      <c r="P94" s="21" t="s">
        <v>893</v>
      </c>
    </row>
    <row r="95" spans="1:16" ht="42">
      <c r="A95" s="21" t="s">
        <v>866</v>
      </c>
      <c r="B95" s="21" t="s">
        <v>867</v>
      </c>
      <c r="C95" s="21" t="s">
        <v>312</v>
      </c>
      <c r="D95" s="21" t="s">
        <v>673</v>
      </c>
      <c r="E95" s="21" t="s">
        <v>894</v>
      </c>
      <c r="F95" s="22">
        <v>2009</v>
      </c>
      <c r="G95" s="23"/>
      <c r="H95" s="23">
        <v>0.92820000000000003</v>
      </c>
      <c r="I95" s="23"/>
      <c r="J95" s="23">
        <v>81.657300000000006</v>
      </c>
      <c r="K95" s="23"/>
      <c r="L95" s="23"/>
      <c r="M95" s="24"/>
      <c r="N95" s="24">
        <v>67.423100000000005</v>
      </c>
      <c r="O95" s="24"/>
      <c r="P95" s="21" t="s">
        <v>893</v>
      </c>
    </row>
    <row r="96" spans="1:16" ht="42">
      <c r="A96" s="21" t="s">
        <v>866</v>
      </c>
      <c r="B96" s="21" t="s">
        <v>867</v>
      </c>
      <c r="C96" s="21" t="s">
        <v>312</v>
      </c>
      <c r="D96" s="21" t="s">
        <v>673</v>
      </c>
      <c r="E96" s="21" t="s">
        <v>894</v>
      </c>
      <c r="F96" s="22">
        <v>2010</v>
      </c>
      <c r="G96" s="23"/>
      <c r="H96" s="23">
        <v>0.4582</v>
      </c>
      <c r="I96" s="23"/>
      <c r="J96" s="23">
        <v>84.1083</v>
      </c>
      <c r="K96" s="23"/>
      <c r="L96" s="23"/>
      <c r="M96" s="24">
        <v>0.80479999999999996</v>
      </c>
      <c r="N96" s="24">
        <v>45.818399999999997</v>
      </c>
      <c r="O96" s="24"/>
      <c r="P96" s="21" t="s">
        <v>893</v>
      </c>
    </row>
    <row r="97" spans="1:16" ht="42">
      <c r="A97" s="21" t="s">
        <v>866</v>
      </c>
      <c r="B97" s="21" t="s">
        <v>867</v>
      </c>
      <c r="C97" s="21" t="s">
        <v>312</v>
      </c>
      <c r="D97" s="21" t="s">
        <v>673</v>
      </c>
      <c r="E97" s="21" t="s">
        <v>894</v>
      </c>
      <c r="F97" s="22">
        <v>2011</v>
      </c>
      <c r="G97" s="23"/>
      <c r="H97" s="23">
        <v>12.78</v>
      </c>
      <c r="I97" s="23"/>
      <c r="J97" s="23">
        <v>84.110699999999994</v>
      </c>
      <c r="K97" s="23"/>
      <c r="L97" s="23"/>
      <c r="M97" s="24">
        <v>15.446300000000001</v>
      </c>
      <c r="N97" s="24">
        <v>93.406000000000006</v>
      </c>
      <c r="O97" s="24"/>
      <c r="P97" s="21" t="s">
        <v>893</v>
      </c>
    </row>
    <row r="98" spans="1:16" ht="42">
      <c r="A98" s="21" t="s">
        <v>866</v>
      </c>
      <c r="B98" s="21" t="s">
        <v>867</v>
      </c>
      <c r="C98" s="21" t="s">
        <v>312</v>
      </c>
      <c r="D98" s="21" t="s">
        <v>673</v>
      </c>
      <c r="E98" s="21" t="s">
        <v>894</v>
      </c>
      <c r="F98" s="22">
        <v>2012</v>
      </c>
      <c r="G98" s="23"/>
      <c r="H98" s="23">
        <v>4.8265000000000002</v>
      </c>
      <c r="I98" s="23"/>
      <c r="J98" s="23">
        <v>95.725700000000003</v>
      </c>
      <c r="K98" s="23"/>
      <c r="L98" s="23"/>
      <c r="M98" s="24">
        <v>5.7194000000000003</v>
      </c>
      <c r="N98" s="24">
        <v>82.982500000000002</v>
      </c>
      <c r="O98" s="24"/>
      <c r="P98" s="21" t="s">
        <v>893</v>
      </c>
    </row>
    <row r="99" spans="1:16" ht="42">
      <c r="A99" s="21" t="s">
        <v>866</v>
      </c>
      <c r="B99" s="21" t="s">
        <v>867</v>
      </c>
      <c r="C99" s="21" t="s">
        <v>312</v>
      </c>
      <c r="D99" s="21" t="s">
        <v>673</v>
      </c>
      <c r="E99" s="21" t="s">
        <v>894</v>
      </c>
      <c r="F99" s="22">
        <v>2013</v>
      </c>
      <c r="G99" s="23"/>
      <c r="H99" s="23">
        <v>6.5237999999999996</v>
      </c>
      <c r="I99" s="23"/>
      <c r="J99" s="23">
        <v>103.64790000000001</v>
      </c>
      <c r="K99" s="23"/>
      <c r="L99" s="23"/>
      <c r="M99" s="24">
        <v>6.0664999999999996</v>
      </c>
      <c r="N99" s="24">
        <v>81.953900000000004</v>
      </c>
      <c r="O99" s="24"/>
      <c r="P99" s="21" t="s">
        <v>893</v>
      </c>
    </row>
    <row r="100" spans="1:16" ht="42">
      <c r="A100" s="21" t="s">
        <v>866</v>
      </c>
      <c r="B100" s="21" t="s">
        <v>867</v>
      </c>
      <c r="C100" s="21" t="s">
        <v>312</v>
      </c>
      <c r="D100" s="21" t="s">
        <v>673</v>
      </c>
      <c r="E100" s="21" t="s">
        <v>894</v>
      </c>
      <c r="F100" s="22">
        <v>2014</v>
      </c>
      <c r="G100" s="23"/>
      <c r="H100" s="23">
        <v>12.891</v>
      </c>
      <c r="I100" s="23"/>
      <c r="J100" s="23">
        <v>264.8229</v>
      </c>
      <c r="K100" s="23"/>
      <c r="L100" s="23"/>
      <c r="M100" s="24">
        <v>6.9912000000000001</v>
      </c>
      <c r="N100" s="24">
        <v>89.111400000000003</v>
      </c>
      <c r="O100" s="24"/>
      <c r="P100" s="21" t="s">
        <v>893</v>
      </c>
    </row>
    <row r="101" spans="1:16" ht="42">
      <c r="A101" s="21" t="s">
        <v>866</v>
      </c>
      <c r="B101" s="21" t="s">
        <v>867</v>
      </c>
      <c r="C101" s="21" t="s">
        <v>312</v>
      </c>
      <c r="D101" s="21" t="s">
        <v>673</v>
      </c>
      <c r="E101" s="21" t="s">
        <v>894</v>
      </c>
      <c r="F101" s="22">
        <v>2015</v>
      </c>
      <c r="G101" s="23"/>
      <c r="H101" s="23"/>
      <c r="I101" s="23"/>
      <c r="J101" s="23"/>
      <c r="K101" s="23"/>
      <c r="L101" s="23"/>
      <c r="M101" s="24"/>
      <c r="N101" s="24"/>
      <c r="O101" s="24"/>
      <c r="P101" s="21" t="s">
        <v>893</v>
      </c>
    </row>
    <row r="102" spans="1:16" ht="42">
      <c r="A102" s="21" t="s">
        <v>866</v>
      </c>
      <c r="B102" s="21" t="s">
        <v>867</v>
      </c>
      <c r="C102" s="21" t="s">
        <v>312</v>
      </c>
      <c r="D102" s="21" t="s">
        <v>673</v>
      </c>
      <c r="E102" s="21" t="s">
        <v>894</v>
      </c>
      <c r="F102" s="22">
        <v>2016</v>
      </c>
      <c r="G102" s="23"/>
      <c r="H102" s="23">
        <v>113.7336</v>
      </c>
      <c r="I102" s="23"/>
      <c r="J102" s="23">
        <v>414.97140000000002</v>
      </c>
      <c r="K102" s="23">
        <v>0</v>
      </c>
      <c r="L102" s="23"/>
      <c r="M102" s="24"/>
      <c r="N102" s="24">
        <v>98.377799999999993</v>
      </c>
      <c r="O102" s="24">
        <v>0</v>
      </c>
      <c r="P102" s="21" t="s">
        <v>893</v>
      </c>
    </row>
    <row r="103" spans="1:16" ht="42">
      <c r="A103" s="21" t="s">
        <v>866</v>
      </c>
      <c r="B103" s="21" t="s">
        <v>867</v>
      </c>
      <c r="C103" s="21" t="s">
        <v>312</v>
      </c>
      <c r="D103" s="21" t="s">
        <v>673</v>
      </c>
      <c r="E103" s="21" t="s">
        <v>894</v>
      </c>
      <c r="F103" s="22">
        <v>2017</v>
      </c>
      <c r="G103" s="23"/>
      <c r="H103" s="23">
        <v>19.808800000000002</v>
      </c>
      <c r="I103" s="23"/>
      <c r="J103" s="23">
        <v>458.87169999999998</v>
      </c>
      <c r="K103" s="23">
        <v>0</v>
      </c>
      <c r="L103" s="23"/>
      <c r="M103" s="24">
        <v>4.4884000000000004</v>
      </c>
      <c r="N103" s="24">
        <v>91.178100000000001</v>
      </c>
      <c r="O103" s="24">
        <v>0</v>
      </c>
      <c r="P103" s="21" t="s">
        <v>893</v>
      </c>
    </row>
    <row r="104" spans="1:16" ht="42">
      <c r="A104" s="21" t="s">
        <v>866</v>
      </c>
      <c r="B104" s="21" t="s">
        <v>867</v>
      </c>
      <c r="C104" s="21" t="s">
        <v>312</v>
      </c>
      <c r="D104" s="21" t="s">
        <v>673</v>
      </c>
      <c r="E104" s="21" t="s">
        <v>894</v>
      </c>
      <c r="F104" s="22">
        <v>2018</v>
      </c>
      <c r="G104" s="23"/>
      <c r="H104" s="23">
        <v>12.674300000000001</v>
      </c>
      <c r="I104" s="23"/>
      <c r="J104" s="23">
        <v>538.64840000000004</v>
      </c>
      <c r="K104" s="23">
        <v>17.118500000000001</v>
      </c>
      <c r="L104" s="23"/>
      <c r="M104" s="24">
        <v>3.2538999999999998</v>
      </c>
      <c r="N104" s="24">
        <v>76.127399999999994</v>
      </c>
      <c r="O104" s="24">
        <v>3.1779999999999999</v>
      </c>
      <c r="P104" s="21" t="s">
        <v>893</v>
      </c>
    </row>
    <row r="105" spans="1:16" ht="42">
      <c r="A105" s="21" t="s">
        <v>866</v>
      </c>
      <c r="B105" s="21" t="s">
        <v>867</v>
      </c>
      <c r="C105" s="21" t="s">
        <v>312</v>
      </c>
      <c r="D105" s="21" t="s">
        <v>673</v>
      </c>
      <c r="E105" s="21" t="s">
        <v>894</v>
      </c>
      <c r="F105" s="22">
        <v>2019</v>
      </c>
      <c r="G105" s="23"/>
      <c r="H105" s="23">
        <v>166.85579999999999</v>
      </c>
      <c r="I105" s="23"/>
      <c r="J105" s="23">
        <v>890.95429999999999</v>
      </c>
      <c r="K105" s="23">
        <v>23.5852</v>
      </c>
      <c r="L105" s="23"/>
      <c r="M105" s="24">
        <v>23.6081</v>
      </c>
      <c r="N105" s="24">
        <v>95.7042</v>
      </c>
      <c r="O105" s="24">
        <v>2.6472000000000002</v>
      </c>
      <c r="P105" s="21" t="s">
        <v>893</v>
      </c>
    </row>
    <row r="106" spans="1:16" ht="42">
      <c r="A106" s="21" t="s">
        <v>866</v>
      </c>
      <c r="B106" s="21" t="s">
        <v>867</v>
      </c>
      <c r="C106" s="21" t="s">
        <v>312</v>
      </c>
      <c r="D106" s="21" t="s">
        <v>673</v>
      </c>
      <c r="E106" s="21" t="s">
        <v>894</v>
      </c>
      <c r="F106" s="22">
        <v>2020</v>
      </c>
      <c r="G106" s="23"/>
      <c r="H106" s="23">
        <v>-23.230399999999999</v>
      </c>
      <c r="I106" s="23"/>
      <c r="J106" s="23">
        <v>851.72580000000005</v>
      </c>
      <c r="K106" s="23">
        <v>30.006900000000002</v>
      </c>
      <c r="L106" s="23"/>
      <c r="M106" s="24">
        <v>7.5956000000000001</v>
      </c>
      <c r="N106" s="24">
        <v>-357.39139999999998</v>
      </c>
      <c r="O106" s="24">
        <v>3.5230999999999999</v>
      </c>
      <c r="P106" s="21" t="s">
        <v>893</v>
      </c>
    </row>
    <row r="107" spans="1:16" ht="42">
      <c r="A107" s="21" t="s">
        <v>866</v>
      </c>
      <c r="B107" s="21" t="s">
        <v>867</v>
      </c>
      <c r="C107" s="21" t="s">
        <v>312</v>
      </c>
      <c r="D107" s="21" t="s">
        <v>673</v>
      </c>
      <c r="E107" s="21" t="s">
        <v>894</v>
      </c>
      <c r="F107" s="22">
        <v>2021</v>
      </c>
      <c r="G107" s="23"/>
      <c r="H107" s="23">
        <v>46.584000000000003</v>
      </c>
      <c r="I107" s="23"/>
      <c r="J107" s="23">
        <v>779.86900000000003</v>
      </c>
      <c r="K107" s="23">
        <v>2.1000000000000001E-2</v>
      </c>
      <c r="L107" s="23"/>
      <c r="M107" s="24">
        <v>5.2351999999999999</v>
      </c>
      <c r="N107" s="24">
        <v>85.714299999999994</v>
      </c>
      <c r="O107" s="24">
        <v>2.7000000000000001E-3</v>
      </c>
      <c r="P107" s="21" t="s">
        <v>893</v>
      </c>
    </row>
    <row r="108" spans="1:16" ht="42">
      <c r="A108" s="21" t="s">
        <v>870</v>
      </c>
      <c r="B108" s="21" t="s">
        <v>871</v>
      </c>
      <c r="C108" s="21" t="s">
        <v>312</v>
      </c>
      <c r="D108" s="21"/>
      <c r="E108" s="21" t="s">
        <v>892</v>
      </c>
      <c r="F108" s="22">
        <v>2017</v>
      </c>
      <c r="G108" s="23">
        <v>63.052999999999997</v>
      </c>
      <c r="H108" s="23">
        <v>-16.2988</v>
      </c>
      <c r="I108" s="23">
        <v>-16.642099999999999</v>
      </c>
      <c r="J108" s="23">
        <v>62.892200000000003</v>
      </c>
      <c r="K108" s="23">
        <v>8.7830999999999992</v>
      </c>
      <c r="L108" s="23">
        <v>28.529699999999998</v>
      </c>
      <c r="M108" s="24">
        <v>-26.461309987566025</v>
      </c>
      <c r="N108" s="24">
        <v>-25.849299999999999</v>
      </c>
      <c r="O108" s="24">
        <v>13.965299999999999</v>
      </c>
      <c r="P108" s="21" t="s">
        <v>893</v>
      </c>
    </row>
    <row r="109" spans="1:16" ht="42">
      <c r="A109" s="21" t="s">
        <v>870</v>
      </c>
      <c r="B109" s="21" t="s">
        <v>871</v>
      </c>
      <c r="C109" s="21" t="s">
        <v>312</v>
      </c>
      <c r="D109" s="21"/>
      <c r="E109" s="21" t="s">
        <v>892</v>
      </c>
      <c r="F109" s="22">
        <v>2018</v>
      </c>
      <c r="G109" s="23">
        <v>123.9956</v>
      </c>
      <c r="H109" s="23">
        <v>-14.89</v>
      </c>
      <c r="I109" s="23">
        <v>-95.327500000000001</v>
      </c>
      <c r="J109" s="23">
        <v>108.5487</v>
      </c>
      <c r="K109" s="23">
        <v>25.913399999999999</v>
      </c>
      <c r="L109" s="23">
        <v>40.286099999999998</v>
      </c>
      <c r="M109" s="24">
        <v>-112.53060000000001</v>
      </c>
      <c r="N109" s="24">
        <v>-75.703500000000005</v>
      </c>
      <c r="O109" s="24">
        <v>23.872599999999998</v>
      </c>
      <c r="P109" s="21" t="s">
        <v>893</v>
      </c>
    </row>
    <row r="110" spans="1:16" ht="42">
      <c r="A110" s="21" t="s">
        <v>870</v>
      </c>
      <c r="B110" s="21" t="s">
        <v>871</v>
      </c>
      <c r="C110" s="21" t="s">
        <v>312</v>
      </c>
      <c r="D110" s="21"/>
      <c r="E110" s="21" t="s">
        <v>892</v>
      </c>
      <c r="F110" s="22">
        <v>2019</v>
      </c>
      <c r="G110" s="23">
        <v>219.679</v>
      </c>
      <c r="H110" s="23">
        <v>-25.423300000000001</v>
      </c>
      <c r="I110" s="23">
        <v>-27.9194</v>
      </c>
      <c r="J110" s="23">
        <v>539.60550000000001</v>
      </c>
      <c r="K110" s="23">
        <v>26.4663</v>
      </c>
      <c r="L110" s="23">
        <v>74.238299999999995</v>
      </c>
      <c r="M110" s="24">
        <v>-8.5592000000000006</v>
      </c>
      <c r="N110" s="24">
        <v>-12.4335</v>
      </c>
      <c r="O110" s="24">
        <v>4.9047000000000001</v>
      </c>
      <c r="P110" s="21" t="s">
        <v>893</v>
      </c>
    </row>
    <row r="111" spans="1:16" ht="42">
      <c r="A111" s="21" t="s">
        <v>870</v>
      </c>
      <c r="B111" s="21" t="s">
        <v>871</v>
      </c>
      <c r="C111" s="21" t="s">
        <v>312</v>
      </c>
      <c r="D111" s="21"/>
      <c r="E111" s="21" t="s">
        <v>892</v>
      </c>
      <c r="F111" s="22">
        <v>2020</v>
      </c>
      <c r="G111" s="23">
        <v>262.1456</v>
      </c>
      <c r="H111" s="23">
        <v>-467.40769999999998</v>
      </c>
      <c r="I111" s="23">
        <v>-476.08139999999997</v>
      </c>
      <c r="J111" s="23">
        <v>760.19709999999998</v>
      </c>
      <c r="K111" s="23">
        <v>51.515700000000002</v>
      </c>
      <c r="L111" s="23">
        <v>500.81139999999999</v>
      </c>
      <c r="M111" s="24">
        <v>-70.701999999999998</v>
      </c>
      <c r="N111" s="24">
        <v>-178.7355</v>
      </c>
      <c r="O111" s="24">
        <v>6.7766000000000002</v>
      </c>
      <c r="P111" s="21" t="s">
        <v>893</v>
      </c>
    </row>
    <row r="112" spans="1:16" ht="42">
      <c r="A112" s="21" t="s">
        <v>870</v>
      </c>
      <c r="B112" s="21" t="s">
        <v>871</v>
      </c>
      <c r="C112" s="21" t="s">
        <v>312</v>
      </c>
      <c r="D112" s="21"/>
      <c r="E112" s="21" t="s">
        <v>892</v>
      </c>
      <c r="F112" s="22">
        <v>2021</v>
      </c>
      <c r="G112" s="23">
        <v>414.9375</v>
      </c>
      <c r="H112" s="23">
        <v>-44.695700000000002</v>
      </c>
      <c r="I112" s="23">
        <v>-49.254600000000003</v>
      </c>
      <c r="J112" s="23">
        <v>894.80589999999995</v>
      </c>
      <c r="K112" s="23">
        <v>71.998900000000006</v>
      </c>
      <c r="L112" s="23">
        <v>179.13480000000001</v>
      </c>
      <c r="M112" s="24">
        <v>-5.9771999999999998</v>
      </c>
      <c r="N112" s="24">
        <v>-10.6532</v>
      </c>
      <c r="O112" s="24">
        <v>8.0463000000000005</v>
      </c>
      <c r="P112" s="21" t="s">
        <v>893</v>
      </c>
    </row>
    <row r="113" spans="1:16" ht="42">
      <c r="A113" s="21" t="s">
        <v>870</v>
      </c>
      <c r="B113" s="21" t="s">
        <v>871</v>
      </c>
      <c r="C113" s="21" t="s">
        <v>312</v>
      </c>
      <c r="D113" s="21"/>
      <c r="E113" s="21" t="s">
        <v>892</v>
      </c>
      <c r="F113" s="22">
        <v>2022</v>
      </c>
      <c r="G113" s="23">
        <v>491.37869999999998</v>
      </c>
      <c r="H113" s="23">
        <v>-159.8038</v>
      </c>
      <c r="I113" s="23">
        <v>-157.95400000000001</v>
      </c>
      <c r="J113" s="23">
        <v>960.67589999999996</v>
      </c>
      <c r="K113" s="23">
        <v>88.858199999999997</v>
      </c>
      <c r="L113" s="23">
        <v>252.7901</v>
      </c>
      <c r="M113" s="24">
        <v>-16.212499999999999</v>
      </c>
      <c r="N113" s="24">
        <v>-32.521500000000003</v>
      </c>
      <c r="O113" s="24">
        <v>9.2494999999999994</v>
      </c>
      <c r="P113" s="21" t="s">
        <v>893</v>
      </c>
    </row>
    <row r="114" spans="1:16" ht="42">
      <c r="A114" s="21" t="s">
        <v>870</v>
      </c>
      <c r="B114" s="21" t="s">
        <v>871</v>
      </c>
      <c r="C114" s="21" t="s">
        <v>312</v>
      </c>
      <c r="D114" s="21"/>
      <c r="E114" s="21" t="s">
        <v>892</v>
      </c>
      <c r="F114" s="22">
        <v>2023</v>
      </c>
      <c r="G114" s="23">
        <v>572.2165</v>
      </c>
      <c r="H114" s="23">
        <v>-188.98779999999999</v>
      </c>
      <c r="I114" s="23">
        <v>-235.9229</v>
      </c>
      <c r="J114" s="23">
        <v>872.32740000000001</v>
      </c>
      <c r="K114" s="23">
        <v>86.198499999999996</v>
      </c>
      <c r="L114" s="23">
        <v>250.01079999999999</v>
      </c>
      <c r="M114" s="24">
        <v>-25.585100000000001</v>
      </c>
      <c r="N114" s="24">
        <v>-42.883000000000003</v>
      </c>
      <c r="O114" s="24">
        <v>9.8813999999999993</v>
      </c>
      <c r="P114" s="21" t="s">
        <v>893</v>
      </c>
    </row>
    <row r="115" spans="1:16" ht="42">
      <c r="A115" s="21" t="s">
        <v>870</v>
      </c>
      <c r="B115" s="21" t="s">
        <v>871</v>
      </c>
      <c r="C115" s="21" t="s">
        <v>312</v>
      </c>
      <c r="D115" s="21"/>
      <c r="E115" s="21" t="s">
        <v>892</v>
      </c>
      <c r="F115" s="22">
        <v>2024</v>
      </c>
      <c r="G115" s="23">
        <v>564.76409999999998</v>
      </c>
      <c r="H115" s="23">
        <v>-179.89949999999999</v>
      </c>
      <c r="I115" s="23">
        <v>-168.86660000000001</v>
      </c>
      <c r="J115" s="23">
        <v>887.65679999999998</v>
      </c>
      <c r="K115" s="23">
        <v>79.826999999999998</v>
      </c>
      <c r="L115" s="23">
        <v>244.75380000000001</v>
      </c>
      <c r="M115" s="24">
        <v>-19.389399999999998</v>
      </c>
      <c r="N115" s="24">
        <v>-31.853899999999999</v>
      </c>
      <c r="O115" s="24">
        <v>8.9930000000000003</v>
      </c>
      <c r="P115" s="21" t="s">
        <v>893</v>
      </c>
    </row>
    <row r="116" spans="1:16" ht="42">
      <c r="A116" s="21" t="s">
        <v>870</v>
      </c>
      <c r="B116" s="21" t="s">
        <v>871</v>
      </c>
      <c r="C116" s="21" t="s">
        <v>312</v>
      </c>
      <c r="D116" s="21"/>
      <c r="E116" s="21" t="s">
        <v>892</v>
      </c>
      <c r="F116" s="22">
        <v>2025</v>
      </c>
      <c r="G116" s="23">
        <v>569.77949999999998</v>
      </c>
      <c r="H116" s="23">
        <v>-98.285200000000003</v>
      </c>
      <c r="I116" s="23">
        <v>-38.5961</v>
      </c>
      <c r="J116" s="23">
        <v>887.32529999999997</v>
      </c>
      <c r="K116" s="23">
        <v>71.882199999999997</v>
      </c>
      <c r="L116" s="23">
        <v>211.5164</v>
      </c>
      <c r="M116" s="24">
        <v>-4.4432999999999998</v>
      </c>
      <c r="N116" s="24">
        <v>-9.4870999999999999</v>
      </c>
      <c r="O116" s="24">
        <v>8.1010000000000009</v>
      </c>
      <c r="P116" s="21" t="s">
        <v>893</v>
      </c>
    </row>
    <row r="117" spans="1:16" ht="42">
      <c r="A117" s="21" t="s">
        <v>873</v>
      </c>
      <c r="B117" s="21" t="s">
        <v>874</v>
      </c>
      <c r="C117" s="21" t="s">
        <v>312</v>
      </c>
      <c r="D117" s="21" t="s">
        <v>599</v>
      </c>
      <c r="E117" s="21" t="s">
        <v>894</v>
      </c>
      <c r="F117" s="22">
        <v>2006</v>
      </c>
      <c r="G117" s="23"/>
      <c r="H117" s="23"/>
      <c r="I117" s="23"/>
      <c r="J117" s="23">
        <v>37514.803200000002</v>
      </c>
      <c r="K117" s="23">
        <v>8059.9643999999998</v>
      </c>
      <c r="L117" s="23"/>
      <c r="M117" s="24">
        <v>21.7255</v>
      </c>
      <c r="N117" s="24">
        <v>32.9343</v>
      </c>
      <c r="O117" s="24">
        <v>21.4848</v>
      </c>
      <c r="P117" s="21" t="s">
        <v>893</v>
      </c>
    </row>
    <row r="118" spans="1:16" ht="42">
      <c r="A118" s="21" t="s">
        <v>873</v>
      </c>
      <c r="B118" s="21" t="s">
        <v>874</v>
      </c>
      <c r="C118" s="21" t="s">
        <v>312</v>
      </c>
      <c r="D118" s="21" t="s">
        <v>599</v>
      </c>
      <c r="E118" s="21" t="s">
        <v>894</v>
      </c>
      <c r="F118" s="22">
        <v>2007</v>
      </c>
      <c r="G118" s="23"/>
      <c r="H118" s="23"/>
      <c r="I118" s="23"/>
      <c r="J118" s="23"/>
      <c r="K118" s="23">
        <v>14372.297699999999</v>
      </c>
      <c r="L118" s="23"/>
      <c r="M118" s="24"/>
      <c r="N118" s="24">
        <v>33.8748</v>
      </c>
      <c r="O118" s="24">
        <v>34.096699999999998</v>
      </c>
      <c r="P118" s="21" t="s">
        <v>893</v>
      </c>
    </row>
    <row r="119" spans="1:16" ht="42">
      <c r="A119" s="21" t="s">
        <v>873</v>
      </c>
      <c r="B119" s="21" t="s">
        <v>874</v>
      </c>
      <c r="C119" s="21" t="s">
        <v>312</v>
      </c>
      <c r="D119" s="21" t="s">
        <v>599</v>
      </c>
      <c r="E119" s="21" t="s">
        <v>894</v>
      </c>
      <c r="F119" s="22">
        <v>2008</v>
      </c>
      <c r="G119" s="23"/>
      <c r="H119" s="23"/>
      <c r="I119" s="23"/>
      <c r="J119" s="23">
        <v>41149.070099999997</v>
      </c>
      <c r="K119" s="23">
        <v>16908.587800000001</v>
      </c>
      <c r="L119" s="23"/>
      <c r="M119" s="24"/>
      <c r="N119" s="24">
        <v>32.252000000000002</v>
      </c>
      <c r="O119" s="24">
        <v>41.091099999999997</v>
      </c>
      <c r="P119" s="21" t="s">
        <v>893</v>
      </c>
    </row>
    <row r="120" spans="1:16" ht="42">
      <c r="A120" s="21" t="s">
        <v>873</v>
      </c>
      <c r="B120" s="21" t="s">
        <v>874</v>
      </c>
      <c r="C120" s="21" t="s">
        <v>312</v>
      </c>
      <c r="D120" s="21" t="s">
        <v>599</v>
      </c>
      <c r="E120" s="21" t="s">
        <v>894</v>
      </c>
      <c r="F120" s="22">
        <v>2009</v>
      </c>
      <c r="G120" s="23">
        <v>31852.922200000001</v>
      </c>
      <c r="H120" s="23">
        <v>9972.0036999999993</v>
      </c>
      <c r="I120" s="23">
        <v>6210.4665000000005</v>
      </c>
      <c r="J120" s="23">
        <v>48296.390800000001</v>
      </c>
      <c r="K120" s="23">
        <v>18318.193800000001</v>
      </c>
      <c r="L120" s="23">
        <v>4436.3683000000001</v>
      </c>
      <c r="M120" s="24">
        <v>13.448399999999999</v>
      </c>
      <c r="N120" s="24">
        <v>30.273499999999999</v>
      </c>
      <c r="O120" s="24">
        <v>37.928699999999999</v>
      </c>
      <c r="P120" s="21" t="s">
        <v>893</v>
      </c>
    </row>
    <row r="121" spans="1:16" ht="42">
      <c r="A121" s="21" t="s">
        <v>873</v>
      </c>
      <c r="B121" s="21" t="s">
        <v>874</v>
      </c>
      <c r="C121" s="21" t="s">
        <v>312</v>
      </c>
      <c r="D121" s="21" t="s">
        <v>599</v>
      </c>
      <c r="E121" s="21" t="s">
        <v>894</v>
      </c>
      <c r="F121" s="22">
        <v>2010</v>
      </c>
      <c r="G121" s="23">
        <v>33112.480900000002</v>
      </c>
      <c r="H121" s="23">
        <v>6050.5618000000004</v>
      </c>
      <c r="I121" s="23">
        <v>1905.6704</v>
      </c>
      <c r="J121" s="23">
        <v>49259.908000000003</v>
      </c>
      <c r="K121" s="23">
        <v>17613.653999999999</v>
      </c>
      <c r="L121" s="23">
        <v>4623.0583999999999</v>
      </c>
      <c r="M121" s="24">
        <v>3.8405</v>
      </c>
      <c r="N121" s="24">
        <v>13.535500000000001</v>
      </c>
      <c r="O121" s="24">
        <v>35.756599999999999</v>
      </c>
      <c r="P121" s="21" t="s">
        <v>893</v>
      </c>
    </row>
    <row r="122" spans="1:16" ht="42">
      <c r="A122" s="21" t="s">
        <v>873</v>
      </c>
      <c r="B122" s="21" t="s">
        <v>874</v>
      </c>
      <c r="C122" s="21" t="s">
        <v>312</v>
      </c>
      <c r="D122" s="21" t="s">
        <v>599</v>
      </c>
      <c r="E122" s="21" t="s">
        <v>894</v>
      </c>
      <c r="F122" s="22">
        <v>2011</v>
      </c>
      <c r="G122" s="23">
        <v>31564.124599999999</v>
      </c>
      <c r="H122" s="23">
        <v>9666.2034000000003</v>
      </c>
      <c r="I122" s="23">
        <v>6063.4191000000001</v>
      </c>
      <c r="J122" s="23">
        <v>49159.700599999996</v>
      </c>
      <c r="K122" s="23">
        <v>17831.759999999998</v>
      </c>
      <c r="L122" s="23">
        <v>4396.8720999999996</v>
      </c>
      <c r="M122" s="24">
        <v>12.629899999999999</v>
      </c>
      <c r="N122" s="24">
        <v>28.5975</v>
      </c>
      <c r="O122" s="24">
        <v>36.273099999999999</v>
      </c>
      <c r="P122" s="21" t="s">
        <v>893</v>
      </c>
    </row>
    <row r="123" spans="1:16" ht="42">
      <c r="A123" s="21" t="s">
        <v>873</v>
      </c>
      <c r="B123" s="21" t="s">
        <v>874</v>
      </c>
      <c r="C123" s="21" t="s">
        <v>312</v>
      </c>
      <c r="D123" s="21" t="s">
        <v>599</v>
      </c>
      <c r="E123" s="21" t="s">
        <v>894</v>
      </c>
      <c r="F123" s="22">
        <v>2012</v>
      </c>
      <c r="G123" s="23">
        <v>32595.1901</v>
      </c>
      <c r="H123" s="23">
        <v>9646.2327000000005</v>
      </c>
      <c r="I123" s="23">
        <v>5548.2487000000001</v>
      </c>
      <c r="J123" s="23">
        <v>51052.087699999996</v>
      </c>
      <c r="K123" s="23">
        <v>22524.898399999998</v>
      </c>
      <c r="L123" s="23">
        <v>4419.8540000000003</v>
      </c>
      <c r="M123" s="24">
        <v>10.8986</v>
      </c>
      <c r="N123" s="24">
        <v>27.849900000000002</v>
      </c>
      <c r="O123" s="24">
        <v>44.121400000000001</v>
      </c>
      <c r="P123" s="21" t="s">
        <v>893</v>
      </c>
    </row>
    <row r="124" spans="1:16" ht="42">
      <c r="A124" s="21" t="s">
        <v>873</v>
      </c>
      <c r="B124" s="21" t="s">
        <v>874</v>
      </c>
      <c r="C124" s="21" t="s">
        <v>312</v>
      </c>
      <c r="D124" s="21" t="s">
        <v>599</v>
      </c>
      <c r="E124" s="21" t="s">
        <v>894</v>
      </c>
      <c r="F124" s="22">
        <v>2013</v>
      </c>
      <c r="G124" s="23">
        <v>31221.027999999998</v>
      </c>
      <c r="H124" s="23">
        <v>8845.0745000000006</v>
      </c>
      <c r="I124" s="23">
        <v>6403.2260999999999</v>
      </c>
      <c r="J124" s="23">
        <v>50561.801099999997</v>
      </c>
      <c r="K124" s="23">
        <v>21919.404600000002</v>
      </c>
      <c r="L124" s="23">
        <v>4119.2203</v>
      </c>
      <c r="M124" s="24">
        <v>13.0099</v>
      </c>
      <c r="N124" s="24">
        <v>26.670400000000001</v>
      </c>
      <c r="O124" s="24">
        <v>43.351700000000001</v>
      </c>
      <c r="P124" s="21" t="s">
        <v>893</v>
      </c>
    </row>
    <row r="125" spans="1:16" ht="42">
      <c r="A125" s="21" t="s">
        <v>873</v>
      </c>
      <c r="B125" s="21" t="s">
        <v>874</v>
      </c>
      <c r="C125" s="21" t="s">
        <v>312</v>
      </c>
      <c r="D125" s="21" t="s">
        <v>599</v>
      </c>
      <c r="E125" s="21" t="s">
        <v>894</v>
      </c>
      <c r="F125" s="22">
        <v>2014</v>
      </c>
      <c r="G125" s="23">
        <v>28547.647099999998</v>
      </c>
      <c r="H125" s="23">
        <v>7446.5109000000002</v>
      </c>
      <c r="I125" s="23">
        <v>3419.8607000000002</v>
      </c>
      <c r="J125" s="23">
        <v>52345.721599999997</v>
      </c>
      <c r="K125" s="23">
        <v>24187.892899999999</v>
      </c>
      <c r="L125" s="23">
        <v>3952.1975000000002</v>
      </c>
      <c r="M125" s="24">
        <v>6.6620999999999997</v>
      </c>
      <c r="N125" s="24">
        <v>15.556800000000001</v>
      </c>
      <c r="O125" s="24">
        <v>46.207999999999998</v>
      </c>
      <c r="P125" s="21" t="s">
        <v>893</v>
      </c>
    </row>
    <row r="126" spans="1:16" ht="42">
      <c r="A126" s="21" t="s">
        <v>873</v>
      </c>
      <c r="B126" s="21" t="s">
        <v>874</v>
      </c>
      <c r="C126" s="21" t="s">
        <v>312</v>
      </c>
      <c r="D126" s="21" t="s">
        <v>599</v>
      </c>
      <c r="E126" s="21" t="s">
        <v>894</v>
      </c>
      <c r="F126" s="22">
        <v>2015</v>
      </c>
      <c r="G126" s="23">
        <v>32954.9709</v>
      </c>
      <c r="H126" s="23">
        <v>7646.7434000000003</v>
      </c>
      <c r="I126" s="23">
        <v>11601.670599999999</v>
      </c>
      <c r="J126" s="23">
        <v>72471.320099999997</v>
      </c>
      <c r="K126" s="23">
        <v>22552.5389</v>
      </c>
      <c r="L126" s="23">
        <v>4321.3536999999997</v>
      </c>
      <c r="M126" s="24">
        <v>17.900700000000001</v>
      </c>
      <c r="N126" s="24">
        <v>43.343200000000003</v>
      </c>
      <c r="O126" s="24">
        <v>31.119299999999999</v>
      </c>
      <c r="P126" s="21" t="s">
        <v>893</v>
      </c>
    </row>
    <row r="127" spans="1:16" ht="42">
      <c r="A127" s="21" t="s">
        <v>873</v>
      </c>
      <c r="B127" s="21" t="s">
        <v>874</v>
      </c>
      <c r="C127" s="21" t="s">
        <v>312</v>
      </c>
      <c r="D127" s="21" t="s">
        <v>599</v>
      </c>
      <c r="E127" s="21" t="s">
        <v>894</v>
      </c>
      <c r="F127" s="22">
        <v>2016</v>
      </c>
      <c r="G127" s="23">
        <v>34143.305899999999</v>
      </c>
      <c r="H127" s="23">
        <v>9044.8114000000005</v>
      </c>
      <c r="I127" s="23">
        <v>1116.5225</v>
      </c>
      <c r="J127" s="23">
        <v>69152.834499999997</v>
      </c>
      <c r="K127" s="23">
        <v>21993.225600000002</v>
      </c>
      <c r="L127" s="23">
        <v>4295.9180999999999</v>
      </c>
      <c r="M127" s="24">
        <v>1.6209</v>
      </c>
      <c r="N127" s="24">
        <v>9.5054999999999996</v>
      </c>
      <c r="O127" s="24">
        <v>31.803799999999999</v>
      </c>
      <c r="P127" s="21" t="s">
        <v>893</v>
      </c>
    </row>
    <row r="128" spans="1:16" ht="42">
      <c r="A128" s="21" t="s">
        <v>873</v>
      </c>
      <c r="B128" s="21" t="s">
        <v>874</v>
      </c>
      <c r="C128" s="21" t="s">
        <v>312</v>
      </c>
      <c r="D128" s="21" t="s">
        <v>599</v>
      </c>
      <c r="E128" s="21" t="s">
        <v>894</v>
      </c>
      <c r="F128" s="22">
        <v>2017</v>
      </c>
      <c r="G128" s="23">
        <v>34461.500200000002</v>
      </c>
      <c r="H128" s="23">
        <v>8567.9971000000005</v>
      </c>
      <c r="I128" s="23">
        <v>1748.9902</v>
      </c>
      <c r="J128" s="23">
        <v>63425.107600000003</v>
      </c>
      <c r="K128" s="23">
        <v>19224.0589</v>
      </c>
      <c r="L128" s="23">
        <v>4460.3816999999999</v>
      </c>
      <c r="M128" s="24">
        <v>2.6537000000000002</v>
      </c>
      <c r="N128" s="24">
        <v>14.2516</v>
      </c>
      <c r="O128" s="24">
        <v>30.309899999999999</v>
      </c>
      <c r="P128" s="21" t="s">
        <v>893</v>
      </c>
    </row>
    <row r="129" spans="1:16" ht="42">
      <c r="A129" s="21" t="s">
        <v>873</v>
      </c>
      <c r="B129" s="21" t="s">
        <v>874</v>
      </c>
      <c r="C129" s="21" t="s">
        <v>312</v>
      </c>
      <c r="D129" s="21" t="s">
        <v>599</v>
      </c>
      <c r="E129" s="21" t="s">
        <v>894</v>
      </c>
      <c r="F129" s="22">
        <v>2018</v>
      </c>
      <c r="G129" s="23">
        <v>34834.090100000001</v>
      </c>
      <c r="H129" s="23">
        <v>9319.6815999999999</v>
      </c>
      <c r="I129" s="23">
        <v>4094.7375999999999</v>
      </c>
      <c r="J129" s="23">
        <v>64627.072699999997</v>
      </c>
      <c r="K129" s="23">
        <v>29009.059000000001</v>
      </c>
      <c r="L129" s="23">
        <v>4271.0497999999998</v>
      </c>
      <c r="M129" s="24">
        <v>6.3312999999999997</v>
      </c>
      <c r="N129" s="24">
        <v>18.052600000000002</v>
      </c>
      <c r="O129" s="24">
        <v>44.886899999999997</v>
      </c>
      <c r="P129" s="21" t="s">
        <v>893</v>
      </c>
    </row>
    <row r="130" spans="1:16" ht="42">
      <c r="A130" s="21" t="s">
        <v>873</v>
      </c>
      <c r="B130" s="21" t="s">
        <v>874</v>
      </c>
      <c r="C130" s="21" t="s">
        <v>312</v>
      </c>
      <c r="D130" s="21" t="s">
        <v>599</v>
      </c>
      <c r="E130" s="21" t="s">
        <v>894</v>
      </c>
      <c r="F130" s="22">
        <v>2019</v>
      </c>
      <c r="G130" s="23">
        <v>38495.625599999999</v>
      </c>
      <c r="H130" s="23">
        <v>9304.0028999999995</v>
      </c>
      <c r="I130" s="23">
        <v>5297.5108</v>
      </c>
      <c r="J130" s="23">
        <v>94127.259399999995</v>
      </c>
      <c r="K130" s="23">
        <v>36034.161899999999</v>
      </c>
      <c r="L130" s="23">
        <v>5021.5156999999999</v>
      </c>
      <c r="M130" s="24">
        <v>6.7436999999999996</v>
      </c>
      <c r="N130" s="24">
        <v>20.513100000000001</v>
      </c>
      <c r="O130" s="24">
        <v>38.282400000000003</v>
      </c>
      <c r="P130" s="21" t="s">
        <v>893</v>
      </c>
    </row>
    <row r="131" spans="1:16" ht="42">
      <c r="A131" s="21" t="s">
        <v>873</v>
      </c>
      <c r="B131" s="21" t="s">
        <v>874</v>
      </c>
      <c r="C131" s="21" t="s">
        <v>312</v>
      </c>
      <c r="D131" s="21" t="s">
        <v>599</v>
      </c>
      <c r="E131" s="21" t="s">
        <v>894</v>
      </c>
      <c r="F131" s="22">
        <v>2020</v>
      </c>
      <c r="G131" s="23">
        <v>38366.824399999998</v>
      </c>
      <c r="H131" s="23">
        <v>9274.6923000000006</v>
      </c>
      <c r="I131" s="23">
        <v>6468.5438000000004</v>
      </c>
      <c r="J131" s="23">
        <v>89812.971900000004</v>
      </c>
      <c r="K131" s="23">
        <v>30316.944800000001</v>
      </c>
      <c r="L131" s="23">
        <v>5263.4975999999997</v>
      </c>
      <c r="M131" s="24">
        <v>7.1806999999999999</v>
      </c>
      <c r="N131" s="24">
        <v>23.147300000000001</v>
      </c>
      <c r="O131" s="24">
        <v>33.755600000000001</v>
      </c>
      <c r="P131" s="21" t="s">
        <v>893</v>
      </c>
    </row>
    <row r="132" spans="1:16" ht="42">
      <c r="A132" s="21" t="s">
        <v>873</v>
      </c>
      <c r="B132" s="21" t="s">
        <v>874</v>
      </c>
      <c r="C132" s="21" t="s">
        <v>312</v>
      </c>
      <c r="D132" s="21" t="s">
        <v>599</v>
      </c>
      <c r="E132" s="21" t="s">
        <v>894</v>
      </c>
      <c r="F132" s="22">
        <v>2021</v>
      </c>
      <c r="G132" s="23">
        <v>28732.618600000002</v>
      </c>
      <c r="H132" s="23">
        <v>6664.2548999999999</v>
      </c>
      <c r="I132" s="23">
        <v>5101.7384000000002</v>
      </c>
      <c r="J132" s="23">
        <v>94032.944399999993</v>
      </c>
      <c r="K132" s="23">
        <v>28735.425500000001</v>
      </c>
      <c r="L132" s="23">
        <v>5382.1305000000002</v>
      </c>
      <c r="M132" s="24">
        <v>5.4973000000000001</v>
      </c>
      <c r="N132" s="24">
        <v>17.626300000000001</v>
      </c>
      <c r="O132" s="24">
        <v>30.558900000000001</v>
      </c>
      <c r="P132" s="21" t="s">
        <v>893</v>
      </c>
    </row>
    <row r="133" spans="1:16" ht="42">
      <c r="A133" s="21" t="s">
        <v>873</v>
      </c>
      <c r="B133" s="21" t="s">
        <v>874</v>
      </c>
      <c r="C133" s="21" t="s">
        <v>312</v>
      </c>
      <c r="D133" s="21" t="s">
        <v>599</v>
      </c>
      <c r="E133" s="21" t="s">
        <v>894</v>
      </c>
      <c r="F133" s="22">
        <v>2022</v>
      </c>
      <c r="G133" s="23">
        <v>34401.124300000003</v>
      </c>
      <c r="H133" s="23">
        <v>8708.2098999999998</v>
      </c>
      <c r="I133" s="23">
        <v>17545.465</v>
      </c>
      <c r="J133" s="23">
        <v>67934.488700000002</v>
      </c>
      <c r="K133" s="23">
        <v>23704.6705</v>
      </c>
      <c r="L133" s="23">
        <v>6045.1845999999996</v>
      </c>
      <c r="M133" s="24">
        <v>21.480899999999998</v>
      </c>
      <c r="N133" s="24">
        <v>21.975200000000001</v>
      </c>
      <c r="O133" s="24">
        <v>34.8934</v>
      </c>
      <c r="P133" s="21" t="s">
        <v>893</v>
      </c>
    </row>
    <row r="134" spans="1:16" ht="42">
      <c r="A134" s="21" t="s">
        <v>873</v>
      </c>
      <c r="B134" s="21" t="s">
        <v>874</v>
      </c>
      <c r="C134" s="21" t="s">
        <v>312</v>
      </c>
      <c r="D134" s="21" t="s">
        <v>599</v>
      </c>
      <c r="E134" s="21" t="s">
        <v>894</v>
      </c>
      <c r="F134" s="22">
        <v>2023</v>
      </c>
      <c r="G134" s="23">
        <v>34880.111400000002</v>
      </c>
      <c r="H134" s="23">
        <v>9290.4755000000005</v>
      </c>
      <c r="I134" s="23">
        <v>5667.6731</v>
      </c>
      <c r="J134" s="23">
        <v>68065.872700000007</v>
      </c>
      <c r="K134" s="23">
        <v>20784.8639</v>
      </c>
      <c r="L134" s="23">
        <v>6695.8589000000002</v>
      </c>
      <c r="M134" s="24">
        <v>8.2719000000000005</v>
      </c>
      <c r="N134" s="24">
        <v>22.276399999999999</v>
      </c>
      <c r="O134" s="24">
        <v>30.5364</v>
      </c>
      <c r="P134" s="21" t="s">
        <v>893</v>
      </c>
    </row>
    <row r="135" spans="1:16" ht="42">
      <c r="A135" s="21" t="s">
        <v>873</v>
      </c>
      <c r="B135" s="21" t="s">
        <v>874</v>
      </c>
      <c r="C135" s="21" t="s">
        <v>312</v>
      </c>
      <c r="D135" s="21" t="s">
        <v>599</v>
      </c>
      <c r="E135" s="21" t="s">
        <v>894</v>
      </c>
      <c r="F135" s="22">
        <v>2024</v>
      </c>
      <c r="G135" s="23">
        <v>37069.502999999997</v>
      </c>
      <c r="H135" s="23">
        <v>9639.5357999999997</v>
      </c>
      <c r="I135" s="23">
        <v>3042.2606999999998</v>
      </c>
      <c r="J135" s="23">
        <v>71931.326400000005</v>
      </c>
      <c r="K135" s="23">
        <v>20547.660100000001</v>
      </c>
      <c r="L135" s="23">
        <v>7180.9165999999996</v>
      </c>
      <c r="M135" s="24">
        <v>4.3472</v>
      </c>
      <c r="N135" s="24">
        <v>12.856999999999999</v>
      </c>
      <c r="O135" s="24">
        <v>28.5657</v>
      </c>
      <c r="P135" s="21" t="s">
        <v>893</v>
      </c>
    </row>
    <row r="136" spans="1:16" ht="42">
      <c r="A136" s="21" t="s">
        <v>873</v>
      </c>
      <c r="B136" s="21" t="s">
        <v>874</v>
      </c>
      <c r="C136" s="21" t="s">
        <v>312</v>
      </c>
      <c r="D136" s="21" t="s">
        <v>599</v>
      </c>
      <c r="E136" s="21" t="s">
        <v>894</v>
      </c>
      <c r="F136" s="22">
        <v>2025</v>
      </c>
      <c r="G136" s="23">
        <v>38141.328800000003</v>
      </c>
      <c r="H136" s="23">
        <v>10468.5203</v>
      </c>
      <c r="I136" s="23">
        <v>6673.8860000000004</v>
      </c>
      <c r="J136" s="23">
        <v>70054.476500000004</v>
      </c>
      <c r="K136" s="23">
        <v>20310.9611</v>
      </c>
      <c r="L136" s="23">
        <v>7769.0758999999998</v>
      </c>
      <c r="M136" s="24">
        <v>9.4808000000000003</v>
      </c>
      <c r="N136" s="24">
        <v>24.253799999999998</v>
      </c>
      <c r="O136" s="24">
        <v>28.993099999999998</v>
      </c>
      <c r="P136" s="21" t="s">
        <v>893</v>
      </c>
    </row>
    <row r="137" spans="1:16" ht="42">
      <c r="A137" s="21" t="s">
        <v>876</v>
      </c>
      <c r="B137" s="21" t="s">
        <v>877</v>
      </c>
      <c r="C137" s="21" t="s">
        <v>312</v>
      </c>
      <c r="D137" s="21"/>
      <c r="E137" s="21" t="s">
        <v>892</v>
      </c>
      <c r="F137" s="22">
        <v>2010</v>
      </c>
      <c r="G137" s="23">
        <v>18.215299999999999</v>
      </c>
      <c r="H137" s="23">
        <v>2.3534999999999999</v>
      </c>
      <c r="I137" s="23">
        <v>1.2846</v>
      </c>
      <c r="J137" s="23">
        <v>31.4</v>
      </c>
      <c r="K137" s="23">
        <v>13.815899999999999</v>
      </c>
      <c r="L137" s="23"/>
      <c r="M137" s="24">
        <v>4.0910828025477715</v>
      </c>
      <c r="N137" s="24">
        <v>12.920199999999999</v>
      </c>
      <c r="O137" s="24">
        <v>44.014499999999998</v>
      </c>
      <c r="P137" s="21" t="s">
        <v>893</v>
      </c>
    </row>
    <row r="138" spans="1:16" ht="42">
      <c r="A138" s="21" t="s">
        <v>876</v>
      </c>
      <c r="B138" s="21" t="s">
        <v>877</v>
      </c>
      <c r="C138" s="21" t="s">
        <v>312</v>
      </c>
      <c r="D138" s="21"/>
      <c r="E138" s="21" t="s">
        <v>892</v>
      </c>
      <c r="F138" s="22">
        <v>2011</v>
      </c>
      <c r="G138" s="23">
        <v>24.838000000000001</v>
      </c>
      <c r="H138" s="23">
        <v>2.8919999999999999</v>
      </c>
      <c r="I138" s="23">
        <v>1.1559999999999999</v>
      </c>
      <c r="J138" s="23">
        <v>47.1</v>
      </c>
      <c r="K138" s="23">
        <v>21.26</v>
      </c>
      <c r="L138" s="23"/>
      <c r="M138" s="24">
        <v>2.9452229299363055</v>
      </c>
      <c r="N138" s="24">
        <v>11.6434</v>
      </c>
      <c r="O138" s="24">
        <v>45.182099999999998</v>
      </c>
      <c r="P138" s="21" t="s">
        <v>893</v>
      </c>
    </row>
    <row r="139" spans="1:16" ht="42">
      <c r="A139" s="21" t="s">
        <v>876</v>
      </c>
      <c r="B139" s="21" t="s">
        <v>877</v>
      </c>
      <c r="C139" s="21" t="s">
        <v>312</v>
      </c>
      <c r="D139" s="21"/>
      <c r="E139" s="21" t="s">
        <v>892</v>
      </c>
      <c r="F139" s="22">
        <v>2012</v>
      </c>
      <c r="G139" s="23">
        <v>25.914000000000001</v>
      </c>
      <c r="H139" s="23">
        <v>3.4750000000000001</v>
      </c>
      <c r="I139" s="23">
        <v>1.5680000000000001</v>
      </c>
      <c r="J139" s="23">
        <v>55.5</v>
      </c>
      <c r="K139" s="23">
        <v>22.273</v>
      </c>
      <c r="L139" s="23"/>
      <c r="M139" s="24">
        <v>3.0565302144249515</v>
      </c>
      <c r="N139" s="24">
        <v>13.409700000000001</v>
      </c>
      <c r="O139" s="24">
        <v>40.1554</v>
      </c>
      <c r="P139" s="21" t="s">
        <v>893</v>
      </c>
    </row>
    <row r="140" spans="1:16" ht="42">
      <c r="A140" s="21" t="s">
        <v>876</v>
      </c>
      <c r="B140" s="21" t="s">
        <v>877</v>
      </c>
      <c r="C140" s="21" t="s">
        <v>312</v>
      </c>
      <c r="D140" s="21"/>
      <c r="E140" s="21" t="s">
        <v>892</v>
      </c>
      <c r="F140" s="22">
        <v>2013</v>
      </c>
      <c r="G140" s="23">
        <v>28.776</v>
      </c>
      <c r="H140" s="23">
        <v>4.7110000000000003</v>
      </c>
      <c r="I140" s="23">
        <v>2.4529999999999998</v>
      </c>
      <c r="J140" s="23">
        <v>58.5</v>
      </c>
      <c r="K140" s="23">
        <v>18.725999999999999</v>
      </c>
      <c r="L140" s="23"/>
      <c r="M140" s="24">
        <v>4.303508771929824</v>
      </c>
      <c r="N140" s="24">
        <v>16.371300000000002</v>
      </c>
      <c r="O140" s="24">
        <v>32.019599999999997</v>
      </c>
      <c r="P140" s="21" t="s">
        <v>893</v>
      </c>
    </row>
    <row r="141" spans="1:16" ht="42">
      <c r="A141" s="21" t="s">
        <v>876</v>
      </c>
      <c r="B141" s="21" t="s">
        <v>877</v>
      </c>
      <c r="C141" s="21" t="s">
        <v>312</v>
      </c>
      <c r="D141" s="21"/>
      <c r="E141" s="21" t="s">
        <v>892</v>
      </c>
      <c r="F141" s="22">
        <v>2014</v>
      </c>
      <c r="G141" s="23">
        <v>29.846</v>
      </c>
      <c r="H141" s="23">
        <v>5.41</v>
      </c>
      <c r="I141" s="23">
        <v>2.798</v>
      </c>
      <c r="J141" s="23">
        <v>68.8</v>
      </c>
      <c r="K141" s="23">
        <v>23.422999999999998</v>
      </c>
      <c r="L141" s="23"/>
      <c r="M141" s="24">
        <v>4.3959151610369211</v>
      </c>
      <c r="N141" s="24">
        <v>18.1264</v>
      </c>
      <c r="O141" s="24">
        <v>34.034199999999998</v>
      </c>
      <c r="P141" s="21" t="s">
        <v>893</v>
      </c>
    </row>
    <row r="142" spans="1:16" ht="42">
      <c r="A142" s="21" t="s">
        <v>876</v>
      </c>
      <c r="B142" s="21" t="s">
        <v>877</v>
      </c>
      <c r="C142" s="21" t="s">
        <v>312</v>
      </c>
      <c r="D142" s="21"/>
      <c r="E142" s="21" t="s">
        <v>892</v>
      </c>
      <c r="F142" s="22">
        <v>2015</v>
      </c>
      <c r="G142" s="23">
        <v>29.619</v>
      </c>
      <c r="H142" s="23">
        <v>5.6289999999999996</v>
      </c>
      <c r="I142" s="23">
        <v>3.069</v>
      </c>
      <c r="J142" s="23">
        <v>68.8</v>
      </c>
      <c r="K142" s="23">
        <v>21.234000000000002</v>
      </c>
      <c r="L142" s="23"/>
      <c r="M142" s="24">
        <v>4.4607558139534884</v>
      </c>
      <c r="N142" s="24">
        <v>19.0047</v>
      </c>
      <c r="O142" s="24">
        <v>30.8522</v>
      </c>
      <c r="P142" s="21" t="s">
        <v>893</v>
      </c>
    </row>
    <row r="143" spans="1:16" ht="42">
      <c r="A143" s="21" t="s">
        <v>876</v>
      </c>
      <c r="B143" s="21" t="s">
        <v>877</v>
      </c>
      <c r="C143" s="21" t="s">
        <v>312</v>
      </c>
      <c r="D143" s="21"/>
      <c r="E143" s="21" t="s">
        <v>892</v>
      </c>
      <c r="F143" s="22">
        <v>2016</v>
      </c>
      <c r="G143" s="23">
        <v>27.209</v>
      </c>
      <c r="H143" s="23">
        <v>3.524</v>
      </c>
      <c r="I143" s="23">
        <v>1.849</v>
      </c>
      <c r="J143" s="23">
        <v>73.599999999999994</v>
      </c>
      <c r="K143" s="23">
        <v>26.071999999999999</v>
      </c>
      <c r="L143" s="23"/>
      <c r="M143" s="24">
        <v>2.5969101123595513</v>
      </c>
      <c r="N143" s="24">
        <v>12.951599999999999</v>
      </c>
      <c r="O143" s="24">
        <v>35.420499999999997</v>
      </c>
      <c r="P143" s="21" t="s">
        <v>893</v>
      </c>
    </row>
    <row r="144" spans="1:16" ht="42">
      <c r="A144" s="21" t="s">
        <v>876</v>
      </c>
      <c r="B144" s="21" t="s">
        <v>877</v>
      </c>
      <c r="C144" s="21" t="s">
        <v>312</v>
      </c>
      <c r="D144" s="21"/>
      <c r="E144" s="21" t="s">
        <v>892</v>
      </c>
      <c r="F144" s="22">
        <v>2017</v>
      </c>
      <c r="G144" s="23">
        <v>29.488</v>
      </c>
      <c r="H144" s="23">
        <v>5.6319999999999997</v>
      </c>
      <c r="I144" s="23">
        <v>3.996</v>
      </c>
      <c r="J144" s="23">
        <v>95.3</v>
      </c>
      <c r="K144" s="23">
        <v>23.579000000000001</v>
      </c>
      <c r="L144" s="23"/>
      <c r="M144" s="24">
        <v>4.7317939609236239</v>
      </c>
      <c r="N144" s="24">
        <v>19.099299999999999</v>
      </c>
      <c r="O144" s="24">
        <v>24.740300000000001</v>
      </c>
      <c r="P144" s="21" t="s">
        <v>893</v>
      </c>
    </row>
    <row r="145" spans="1:16" ht="42">
      <c r="A145" s="21" t="s">
        <v>876</v>
      </c>
      <c r="B145" s="21" t="s">
        <v>877</v>
      </c>
      <c r="C145" s="21" t="s">
        <v>312</v>
      </c>
      <c r="D145" s="21"/>
      <c r="E145" s="21" t="s">
        <v>892</v>
      </c>
      <c r="F145" s="22">
        <v>2018</v>
      </c>
      <c r="G145" s="23">
        <v>31.352</v>
      </c>
      <c r="H145" s="23">
        <v>5.9050000000000002</v>
      </c>
      <c r="I145" s="23">
        <v>3.7909999999999999</v>
      </c>
      <c r="J145" s="23">
        <v>114</v>
      </c>
      <c r="K145" s="23">
        <v>18.189</v>
      </c>
      <c r="L145" s="23"/>
      <c r="M145" s="24">
        <v>3.6225513616817961</v>
      </c>
      <c r="N145" s="24">
        <v>18.834499999999998</v>
      </c>
      <c r="O145" s="24">
        <v>15.952500000000001</v>
      </c>
      <c r="P145" s="21" t="s">
        <v>893</v>
      </c>
    </row>
    <row r="146" spans="1:16" ht="42">
      <c r="A146" s="21" t="s">
        <v>876</v>
      </c>
      <c r="B146" s="21" t="s">
        <v>877</v>
      </c>
      <c r="C146" s="21" t="s">
        <v>312</v>
      </c>
      <c r="D146" s="21"/>
      <c r="E146" s="21" t="s">
        <v>892</v>
      </c>
      <c r="F146" s="22">
        <v>2019</v>
      </c>
      <c r="G146" s="23">
        <v>32.326000000000001</v>
      </c>
      <c r="H146" s="23">
        <v>5.7249999999999996</v>
      </c>
      <c r="I146" s="23">
        <v>3.984</v>
      </c>
      <c r="J146" s="23">
        <v>131.4</v>
      </c>
      <c r="K146" s="23">
        <v>14.006</v>
      </c>
      <c r="L146" s="23"/>
      <c r="M146" s="24">
        <v>3.2469437652811735</v>
      </c>
      <c r="N146" s="24">
        <v>17.7102</v>
      </c>
      <c r="O146" s="24">
        <v>10.6609</v>
      </c>
      <c r="P146" s="21" t="s">
        <v>893</v>
      </c>
    </row>
    <row r="147" spans="1:16" ht="42">
      <c r="A147" s="21" t="s">
        <v>876</v>
      </c>
      <c r="B147" s="21" t="s">
        <v>877</v>
      </c>
      <c r="C147" s="21" t="s">
        <v>312</v>
      </c>
      <c r="D147" s="21"/>
      <c r="E147" s="21" t="s">
        <v>892</v>
      </c>
      <c r="F147" s="22">
        <v>2021</v>
      </c>
      <c r="G147" s="23">
        <v>35.921999999999997</v>
      </c>
      <c r="H147" s="23">
        <v>-0.20699999999999999</v>
      </c>
      <c r="I147" s="23">
        <v>-2.1230000000000002</v>
      </c>
      <c r="J147" s="23">
        <v>216.7</v>
      </c>
      <c r="K147" s="23">
        <v>97.828000000000003</v>
      </c>
      <c r="L147" s="23"/>
      <c r="M147" s="24">
        <v>-0.97969543147208127</v>
      </c>
      <c r="N147" s="24">
        <v>-0.57620000000000005</v>
      </c>
      <c r="O147" s="24">
        <v>45.151299999999999</v>
      </c>
      <c r="P147" s="21" t="s">
        <v>893</v>
      </c>
    </row>
    <row r="148" spans="1:16" ht="42">
      <c r="A148" s="21" t="s">
        <v>876</v>
      </c>
      <c r="B148" s="21" t="s">
        <v>877</v>
      </c>
      <c r="C148" s="21" t="s">
        <v>312</v>
      </c>
      <c r="D148" s="21"/>
      <c r="E148" s="21" t="s">
        <v>892</v>
      </c>
      <c r="F148" s="22">
        <v>2022</v>
      </c>
      <c r="G148" s="23">
        <v>37.277000000000001</v>
      </c>
      <c r="H148" s="23">
        <v>-2.0550000000000002</v>
      </c>
      <c r="I148" s="23">
        <v>-4.0359999999999996</v>
      </c>
      <c r="J148" s="23">
        <v>217.3</v>
      </c>
      <c r="K148" s="23">
        <v>95.296000000000006</v>
      </c>
      <c r="L148" s="23"/>
      <c r="M148" s="24">
        <v>-1.8599078341013824</v>
      </c>
      <c r="N148" s="24">
        <v>-5.5128000000000004</v>
      </c>
      <c r="O148" s="24">
        <v>43.848100000000002</v>
      </c>
      <c r="P148" s="21" t="s">
        <v>893</v>
      </c>
    </row>
    <row r="149" spans="1:16" ht="42">
      <c r="A149" s="21" t="s">
        <v>876</v>
      </c>
      <c r="B149" s="21" t="s">
        <v>877</v>
      </c>
      <c r="C149" s="21" t="s">
        <v>312</v>
      </c>
      <c r="D149" s="21"/>
      <c r="E149" s="21" t="s">
        <v>892</v>
      </c>
      <c r="F149" s="22">
        <v>2023</v>
      </c>
      <c r="G149" s="23">
        <v>38.658999999999999</v>
      </c>
      <c r="H149" s="23">
        <v>-3.71</v>
      </c>
      <c r="I149" s="23">
        <v>-4.9740000000000002</v>
      </c>
      <c r="J149" s="23">
        <v>200.9</v>
      </c>
      <c r="K149" s="23">
        <v>81.772000000000006</v>
      </c>
      <c r="L149" s="23"/>
      <c r="M149" s="24">
        <v>-2.3787661406025822</v>
      </c>
      <c r="N149" s="24">
        <v>-9.5967000000000002</v>
      </c>
      <c r="O149" s="24">
        <v>40.703600000000002</v>
      </c>
      <c r="P149" s="21" t="s">
        <v>893</v>
      </c>
    </row>
    <row r="150" spans="1:16" ht="42">
      <c r="A150" s="21" t="s">
        <v>879</v>
      </c>
      <c r="B150" s="21" t="s">
        <v>880</v>
      </c>
      <c r="C150" s="21" t="s">
        <v>312</v>
      </c>
      <c r="D150" s="21" t="s">
        <v>554</v>
      </c>
      <c r="E150" s="21" t="s">
        <v>894</v>
      </c>
      <c r="F150" s="22">
        <v>2006</v>
      </c>
      <c r="G150" s="23"/>
      <c r="H150" s="23"/>
      <c r="I150" s="23"/>
      <c r="J150" s="23">
        <v>91.409000000000006</v>
      </c>
      <c r="K150" s="23">
        <v>5.1000000000000004E-2</v>
      </c>
      <c r="L150" s="23"/>
      <c r="M150" s="24">
        <v>-34.735599999999998</v>
      </c>
      <c r="N150" s="24">
        <v>-276.82240000000002</v>
      </c>
      <c r="O150" s="24">
        <v>5.5800000000000002E-2</v>
      </c>
      <c r="P150" s="21" t="s">
        <v>893</v>
      </c>
    </row>
    <row r="151" spans="1:16" ht="42">
      <c r="A151" s="21" t="s">
        <v>879</v>
      </c>
      <c r="B151" s="21" t="s">
        <v>880</v>
      </c>
      <c r="C151" s="21" t="s">
        <v>312</v>
      </c>
      <c r="D151" s="21" t="s">
        <v>554</v>
      </c>
      <c r="E151" s="21" t="s">
        <v>894</v>
      </c>
      <c r="F151" s="22">
        <v>2007</v>
      </c>
      <c r="G151" s="23"/>
      <c r="H151" s="23"/>
      <c r="I151" s="23"/>
      <c r="J151" s="23">
        <v>189.46100000000001</v>
      </c>
      <c r="K151" s="23">
        <v>2.8999999999999998E-2</v>
      </c>
      <c r="L151" s="23"/>
      <c r="M151" s="24">
        <v>-22.8889</v>
      </c>
      <c r="N151" s="24">
        <v>-180.39769999999999</v>
      </c>
      <c r="O151" s="24">
        <v>1.5299999999999999E-2</v>
      </c>
      <c r="P151" s="21" t="s">
        <v>893</v>
      </c>
    </row>
    <row r="152" spans="1:16" ht="42">
      <c r="A152" s="21" t="s">
        <v>879</v>
      </c>
      <c r="B152" s="21" t="s">
        <v>880</v>
      </c>
      <c r="C152" s="21" t="s">
        <v>312</v>
      </c>
      <c r="D152" s="21" t="s">
        <v>554</v>
      </c>
      <c r="E152" s="21" t="s">
        <v>894</v>
      </c>
      <c r="F152" s="22">
        <v>2008</v>
      </c>
      <c r="G152" s="23"/>
      <c r="H152" s="23"/>
      <c r="I152" s="23"/>
      <c r="J152" s="23">
        <v>123.619</v>
      </c>
      <c r="K152" s="23">
        <v>1.9E-2</v>
      </c>
      <c r="L152" s="23"/>
      <c r="M152" s="24">
        <v>-47.200099999999999</v>
      </c>
      <c r="N152" s="24">
        <v>-2356.1273000000001</v>
      </c>
      <c r="O152" s="24">
        <v>1.54E-2</v>
      </c>
      <c r="P152" s="21" t="s">
        <v>893</v>
      </c>
    </row>
    <row r="153" spans="1:16" ht="42">
      <c r="A153" s="21" t="s">
        <v>879</v>
      </c>
      <c r="B153" s="21" t="s">
        <v>880</v>
      </c>
      <c r="C153" s="21" t="s">
        <v>312</v>
      </c>
      <c r="D153" s="21" t="s">
        <v>554</v>
      </c>
      <c r="E153" s="21" t="s">
        <v>894</v>
      </c>
      <c r="F153" s="22">
        <v>2009</v>
      </c>
      <c r="G153" s="23">
        <v>1.119</v>
      </c>
      <c r="H153" s="23">
        <v>-56.250999999999998</v>
      </c>
      <c r="I153" s="23">
        <v>-60.35</v>
      </c>
      <c r="J153" s="23">
        <v>157.42500000000001</v>
      </c>
      <c r="K153" s="23">
        <v>1.3000000000000001E-2</v>
      </c>
      <c r="L153" s="23">
        <v>46.014000000000003</v>
      </c>
      <c r="M153" s="24">
        <v>-42.947000000000003</v>
      </c>
      <c r="N153" s="24">
        <v>-5539.3208000000004</v>
      </c>
      <c r="O153" s="24">
        <v>8.3000000000000001E-3</v>
      </c>
      <c r="P153" s="21" t="s">
        <v>893</v>
      </c>
    </row>
    <row r="154" spans="1:16" ht="42">
      <c r="A154" s="21" t="s">
        <v>879</v>
      </c>
      <c r="B154" s="21" t="s">
        <v>880</v>
      </c>
      <c r="C154" s="21" t="s">
        <v>312</v>
      </c>
      <c r="D154" s="21" t="s">
        <v>554</v>
      </c>
      <c r="E154" s="21" t="s">
        <v>894</v>
      </c>
      <c r="F154" s="22">
        <v>2010</v>
      </c>
      <c r="G154" s="23">
        <v>7.423</v>
      </c>
      <c r="H154" s="23">
        <v>-26.704999999999998</v>
      </c>
      <c r="I154" s="23">
        <v>-43.951000000000001</v>
      </c>
      <c r="J154" s="23">
        <v>112.932</v>
      </c>
      <c r="K154" s="23">
        <v>0.113</v>
      </c>
      <c r="L154" s="23">
        <v>27.885999999999999</v>
      </c>
      <c r="M154" s="24">
        <v>-32.513300000000001</v>
      </c>
      <c r="N154" s="24">
        <v>-592.71180000000004</v>
      </c>
      <c r="O154" s="24">
        <v>0.10009999999999999</v>
      </c>
      <c r="P154" s="21" t="s">
        <v>893</v>
      </c>
    </row>
    <row r="155" spans="1:16" ht="42">
      <c r="A155" s="21" t="s">
        <v>879</v>
      </c>
      <c r="B155" s="21" t="s">
        <v>880</v>
      </c>
      <c r="C155" s="21" t="s">
        <v>312</v>
      </c>
      <c r="D155" s="21" t="s">
        <v>554</v>
      </c>
      <c r="E155" s="21" t="s">
        <v>894</v>
      </c>
      <c r="F155" s="22">
        <v>2011</v>
      </c>
      <c r="G155" s="23">
        <v>0</v>
      </c>
      <c r="H155" s="23">
        <v>-13.183999999999999</v>
      </c>
      <c r="I155" s="23">
        <v>-16.635000000000002</v>
      </c>
      <c r="J155" s="23">
        <v>95.828999999999994</v>
      </c>
      <c r="K155" s="23">
        <v>8.2000000000000003E-2</v>
      </c>
      <c r="L155" s="23">
        <v>8.9979999999999993</v>
      </c>
      <c r="M155" s="24">
        <v>-15.9369</v>
      </c>
      <c r="N155" s="24"/>
      <c r="O155" s="24">
        <v>8.5599999999999996E-2</v>
      </c>
      <c r="P155" s="21" t="s">
        <v>893</v>
      </c>
    </row>
    <row r="156" spans="1:16" ht="42">
      <c r="A156" s="21" t="s">
        <v>879</v>
      </c>
      <c r="B156" s="21" t="s">
        <v>880</v>
      </c>
      <c r="C156" s="21" t="s">
        <v>312</v>
      </c>
      <c r="D156" s="21" t="s">
        <v>554</v>
      </c>
      <c r="E156" s="21" t="s">
        <v>894</v>
      </c>
      <c r="F156" s="22">
        <v>2012</v>
      </c>
      <c r="G156" s="23">
        <v>7.6139999999999999</v>
      </c>
      <c r="H156" s="23">
        <v>-6.6189999999999998</v>
      </c>
      <c r="I156" s="23">
        <v>-10.247</v>
      </c>
      <c r="J156" s="23">
        <v>84.147000000000006</v>
      </c>
      <c r="K156" s="23">
        <v>0.157</v>
      </c>
      <c r="L156" s="23">
        <v>6.4710000000000001</v>
      </c>
      <c r="M156" s="24">
        <v>-11.3871</v>
      </c>
      <c r="N156" s="24">
        <v>-114.8805</v>
      </c>
      <c r="O156" s="24">
        <v>0.18659999999999999</v>
      </c>
      <c r="P156" s="21" t="s">
        <v>893</v>
      </c>
    </row>
    <row r="157" spans="1:16" ht="42">
      <c r="A157" s="21" t="s">
        <v>879</v>
      </c>
      <c r="B157" s="21" t="s">
        <v>880</v>
      </c>
      <c r="C157" s="21" t="s">
        <v>312</v>
      </c>
      <c r="D157" s="21" t="s">
        <v>554</v>
      </c>
      <c r="E157" s="21" t="s">
        <v>894</v>
      </c>
      <c r="F157" s="22">
        <v>2013</v>
      </c>
      <c r="G157" s="23">
        <v>0.436</v>
      </c>
      <c r="H157" s="23">
        <v>-14.224</v>
      </c>
      <c r="I157" s="23">
        <v>-18.145</v>
      </c>
      <c r="J157" s="23">
        <v>72.177999999999997</v>
      </c>
      <c r="K157" s="23">
        <v>0.152</v>
      </c>
      <c r="L157" s="23">
        <v>3.6850000000000001</v>
      </c>
      <c r="M157" s="24">
        <v>-23.214500000000001</v>
      </c>
      <c r="N157" s="24">
        <v>-2537.8440000000001</v>
      </c>
      <c r="O157" s="24">
        <v>0.21060000000000001</v>
      </c>
      <c r="P157" s="21" t="s">
        <v>893</v>
      </c>
    </row>
    <row r="158" spans="1:16" ht="42">
      <c r="A158" s="21" t="s">
        <v>879</v>
      </c>
      <c r="B158" s="21" t="s">
        <v>880</v>
      </c>
      <c r="C158" s="21" t="s">
        <v>312</v>
      </c>
      <c r="D158" s="21" t="s">
        <v>554</v>
      </c>
      <c r="E158" s="21" t="s">
        <v>894</v>
      </c>
      <c r="F158" s="22">
        <v>2014</v>
      </c>
      <c r="G158" s="23">
        <v>5.9820000000000002</v>
      </c>
      <c r="H158" s="23">
        <v>-20.920999999999999</v>
      </c>
      <c r="I158" s="23">
        <v>-23.158000000000001</v>
      </c>
      <c r="J158" s="23">
        <v>150.041</v>
      </c>
      <c r="K158" s="23">
        <v>16.538</v>
      </c>
      <c r="L158" s="23">
        <v>4.4320000000000004</v>
      </c>
      <c r="M158" s="24">
        <v>-20.842500000000001</v>
      </c>
      <c r="N158" s="24">
        <v>-360.53160000000003</v>
      </c>
      <c r="O158" s="24">
        <v>11.0223</v>
      </c>
      <c r="P158" s="21" t="s">
        <v>893</v>
      </c>
    </row>
    <row r="159" spans="1:16" ht="42">
      <c r="A159" s="21" t="s">
        <v>879</v>
      </c>
      <c r="B159" s="21" t="s">
        <v>880</v>
      </c>
      <c r="C159" s="21" t="s">
        <v>312</v>
      </c>
      <c r="D159" s="21" t="s">
        <v>554</v>
      </c>
      <c r="E159" s="21" t="s">
        <v>894</v>
      </c>
      <c r="F159" s="22">
        <v>2015</v>
      </c>
      <c r="G159" s="23">
        <v>6.7000000000000004E-2</v>
      </c>
      <c r="H159" s="23">
        <v>-19.638999999999999</v>
      </c>
      <c r="I159" s="23">
        <v>-27.939</v>
      </c>
      <c r="J159" s="23">
        <v>163.34800000000001</v>
      </c>
      <c r="K159" s="23">
        <v>3.9409999999999998</v>
      </c>
      <c r="L159" s="23">
        <v>6.1589999999999998</v>
      </c>
      <c r="M159" s="24">
        <v>-17.830200000000001</v>
      </c>
      <c r="N159" s="24">
        <v>-30931.3433</v>
      </c>
      <c r="O159" s="24">
        <v>2.4125999999999999</v>
      </c>
      <c r="P159" s="21" t="s">
        <v>893</v>
      </c>
    </row>
    <row r="160" spans="1:16" ht="42">
      <c r="A160" s="21" t="s">
        <v>879</v>
      </c>
      <c r="B160" s="21" t="s">
        <v>880</v>
      </c>
      <c r="C160" s="21" t="s">
        <v>312</v>
      </c>
      <c r="D160" s="21" t="s">
        <v>554</v>
      </c>
      <c r="E160" s="21" t="s">
        <v>894</v>
      </c>
      <c r="F160" s="22">
        <v>2016</v>
      </c>
      <c r="G160" s="23">
        <v>1.6E-2</v>
      </c>
      <c r="H160" s="23">
        <v>-6.9290000000000003</v>
      </c>
      <c r="I160" s="23">
        <v>-19.035</v>
      </c>
      <c r="J160" s="23">
        <v>148.74799999999999</v>
      </c>
      <c r="K160" s="23">
        <v>0.98499999999999999</v>
      </c>
      <c r="L160" s="23">
        <v>12.167999999999999</v>
      </c>
      <c r="M160" s="24">
        <v>-12.1982</v>
      </c>
      <c r="N160" s="24">
        <v>-48650</v>
      </c>
      <c r="O160" s="24">
        <v>0.66220000000000001</v>
      </c>
      <c r="P160" s="21" t="s">
        <v>893</v>
      </c>
    </row>
    <row r="161" spans="1:16" ht="42">
      <c r="A161" s="21" t="s">
        <v>879</v>
      </c>
      <c r="B161" s="21" t="s">
        <v>880</v>
      </c>
      <c r="C161" s="21" t="s">
        <v>312</v>
      </c>
      <c r="D161" s="21" t="s">
        <v>554</v>
      </c>
      <c r="E161" s="21" t="s">
        <v>894</v>
      </c>
      <c r="F161" s="22">
        <v>2017</v>
      </c>
      <c r="G161" s="23">
        <v>15.08</v>
      </c>
      <c r="H161" s="23">
        <v>-17.533999999999999</v>
      </c>
      <c r="I161" s="23">
        <v>-3.6179999999999999</v>
      </c>
      <c r="J161" s="23">
        <v>152.25200000000001</v>
      </c>
      <c r="K161" s="23">
        <v>0.05</v>
      </c>
      <c r="L161" s="23">
        <v>9.75</v>
      </c>
      <c r="M161" s="24">
        <v>-2.4039999999999999</v>
      </c>
      <c r="N161" s="24">
        <v>-122.7984</v>
      </c>
      <c r="O161" s="24">
        <v>3.2800000000000003E-2</v>
      </c>
      <c r="P161" s="21" t="s">
        <v>893</v>
      </c>
    </row>
    <row r="162" spans="1:16" ht="42">
      <c r="A162" s="21" t="s">
        <v>879</v>
      </c>
      <c r="B162" s="21" t="s">
        <v>880</v>
      </c>
      <c r="C162" s="21" t="s">
        <v>312</v>
      </c>
      <c r="D162" s="21" t="s">
        <v>554</v>
      </c>
      <c r="E162" s="21" t="s">
        <v>894</v>
      </c>
      <c r="F162" s="22">
        <v>2018</v>
      </c>
      <c r="G162" s="23">
        <v>4.7169999999999996</v>
      </c>
      <c r="H162" s="23">
        <v>-20.667999999999999</v>
      </c>
      <c r="I162" s="23">
        <v>-18.390999999999998</v>
      </c>
      <c r="J162" s="23">
        <v>138.59</v>
      </c>
      <c r="K162" s="23">
        <v>8.4999999999999992E-2</v>
      </c>
      <c r="L162" s="23">
        <v>16.331</v>
      </c>
      <c r="M162" s="24">
        <v>-12.646699999999999</v>
      </c>
      <c r="N162" s="24">
        <v>-438.15980000000002</v>
      </c>
      <c r="O162" s="24">
        <v>6.13E-2</v>
      </c>
      <c r="P162" s="21" t="s">
        <v>893</v>
      </c>
    </row>
    <row r="163" spans="1:16" ht="42">
      <c r="A163" s="21" t="s">
        <v>879</v>
      </c>
      <c r="B163" s="21" t="s">
        <v>880</v>
      </c>
      <c r="C163" s="21" t="s">
        <v>312</v>
      </c>
      <c r="D163" s="21" t="s">
        <v>554</v>
      </c>
      <c r="E163" s="21" t="s">
        <v>894</v>
      </c>
      <c r="F163" s="22">
        <v>2019</v>
      </c>
      <c r="G163" s="23">
        <v>8.26</v>
      </c>
      <c r="H163" s="23">
        <v>-18.332000000000001</v>
      </c>
      <c r="I163" s="23">
        <v>-18.922000000000001</v>
      </c>
      <c r="J163" s="23">
        <v>142.80600000000001</v>
      </c>
      <c r="K163" s="23">
        <v>12.648999999999999</v>
      </c>
      <c r="L163" s="23">
        <v>17.747</v>
      </c>
      <c r="M163" s="24">
        <v>-13.448700000000001</v>
      </c>
      <c r="N163" s="24">
        <v>-221.93700000000001</v>
      </c>
      <c r="O163" s="24">
        <v>8.8574999999999999</v>
      </c>
      <c r="P163" s="21" t="s">
        <v>893</v>
      </c>
    </row>
    <row r="164" spans="1:16" ht="42">
      <c r="A164" s="21" t="s">
        <v>879</v>
      </c>
      <c r="B164" s="21" t="s">
        <v>880</v>
      </c>
      <c r="C164" s="21" t="s">
        <v>312</v>
      </c>
      <c r="D164" s="21" t="s">
        <v>554</v>
      </c>
      <c r="E164" s="21" t="s">
        <v>894</v>
      </c>
      <c r="F164" s="22">
        <v>2020</v>
      </c>
      <c r="G164" s="23">
        <v>14.423</v>
      </c>
      <c r="H164" s="23">
        <v>-6.76</v>
      </c>
      <c r="I164" s="23">
        <v>-18.097999999999999</v>
      </c>
      <c r="J164" s="23">
        <v>142.26599999999999</v>
      </c>
      <c r="K164" s="23">
        <v>19.074999999999999</v>
      </c>
      <c r="L164" s="23">
        <v>12.728</v>
      </c>
      <c r="M164" s="24">
        <v>-12.697100000000001</v>
      </c>
      <c r="N164" s="24">
        <v>-46.869599999999998</v>
      </c>
      <c r="O164" s="24">
        <v>13.407999999999999</v>
      </c>
      <c r="P164" s="21" t="s">
        <v>893</v>
      </c>
    </row>
    <row r="165" spans="1:16" ht="42">
      <c r="A165" s="21" t="s">
        <v>879</v>
      </c>
      <c r="B165" s="21" t="s">
        <v>880</v>
      </c>
      <c r="C165" s="21" t="s">
        <v>312</v>
      </c>
      <c r="D165" s="21" t="s">
        <v>554</v>
      </c>
      <c r="E165" s="21" t="s">
        <v>894</v>
      </c>
      <c r="F165" s="22">
        <v>2021</v>
      </c>
      <c r="G165" s="23">
        <v>8.5830000000000002</v>
      </c>
      <c r="H165" s="23">
        <v>-18.25</v>
      </c>
      <c r="I165" s="23">
        <v>-43.761000000000003</v>
      </c>
      <c r="J165" s="23">
        <v>114.60899999999999</v>
      </c>
      <c r="K165" s="23">
        <v>21.506</v>
      </c>
      <c r="L165" s="23">
        <v>17.91</v>
      </c>
      <c r="M165" s="24">
        <v>-34.071800000000003</v>
      </c>
      <c r="N165" s="24">
        <v>-536.05970000000002</v>
      </c>
      <c r="O165" s="24">
        <v>18.764700000000001</v>
      </c>
      <c r="P165" s="21" t="s">
        <v>893</v>
      </c>
    </row>
    <row r="166" spans="1:16" ht="42">
      <c r="A166" s="21" t="s">
        <v>879</v>
      </c>
      <c r="B166" s="21" t="s">
        <v>880</v>
      </c>
      <c r="C166" s="21" t="s">
        <v>312</v>
      </c>
      <c r="D166" s="21" t="s">
        <v>554</v>
      </c>
      <c r="E166" s="21" t="s">
        <v>894</v>
      </c>
      <c r="F166" s="22">
        <v>2022</v>
      </c>
      <c r="G166" s="23">
        <v>5.4539999999999997</v>
      </c>
      <c r="H166" s="23">
        <v>-19.262</v>
      </c>
      <c r="I166" s="23">
        <v>-31.285</v>
      </c>
      <c r="J166" s="23">
        <v>75.841999999999999</v>
      </c>
      <c r="K166" s="23">
        <v>25.297000000000001</v>
      </c>
      <c r="L166" s="23">
        <v>0</v>
      </c>
      <c r="M166" s="24">
        <v>-32.8536</v>
      </c>
      <c r="N166" s="24">
        <v>-353.17200000000003</v>
      </c>
      <c r="O166" s="24">
        <v>33.354900000000001</v>
      </c>
      <c r="P166" s="21" t="s">
        <v>893</v>
      </c>
    </row>
    <row r="167" spans="1:16" ht="42">
      <c r="A167" s="21" t="s">
        <v>879</v>
      </c>
      <c r="B167" s="21" t="s">
        <v>880</v>
      </c>
      <c r="C167" s="21" t="s">
        <v>312</v>
      </c>
      <c r="D167" s="21" t="s">
        <v>554</v>
      </c>
      <c r="E167" s="21" t="s">
        <v>894</v>
      </c>
      <c r="F167" s="22">
        <v>2023</v>
      </c>
      <c r="G167" s="23">
        <v>6.9029999999999996</v>
      </c>
      <c r="H167" s="23">
        <v>-17.056000000000001</v>
      </c>
      <c r="I167" s="23">
        <v>-20.881</v>
      </c>
      <c r="J167" s="23">
        <v>52.978000000000002</v>
      </c>
      <c r="K167" s="23">
        <v>25.152999999999999</v>
      </c>
      <c r="L167" s="23">
        <v>0</v>
      </c>
      <c r="M167" s="24">
        <v>-32.418900000000001</v>
      </c>
      <c r="N167" s="24">
        <v>-247.08099999999999</v>
      </c>
      <c r="O167" s="24">
        <v>47.478200000000001</v>
      </c>
      <c r="P167" s="21" t="s">
        <v>893</v>
      </c>
    </row>
    <row r="168" spans="1:16" ht="42">
      <c r="A168" s="21" t="s">
        <v>879</v>
      </c>
      <c r="B168" s="21" t="s">
        <v>880</v>
      </c>
      <c r="C168" s="21" t="s">
        <v>312</v>
      </c>
      <c r="D168" s="21" t="s">
        <v>554</v>
      </c>
      <c r="E168" s="21" t="s">
        <v>894</v>
      </c>
      <c r="F168" s="22">
        <v>2024</v>
      </c>
      <c r="G168" s="23">
        <v>7.859</v>
      </c>
      <c r="H168" s="23">
        <v>-9.8539999999999992</v>
      </c>
      <c r="I168" s="23">
        <v>-22.39</v>
      </c>
      <c r="J168" s="23">
        <v>24.420999999999999</v>
      </c>
      <c r="K168" s="23">
        <v>15.146000000000001</v>
      </c>
      <c r="L168" s="23">
        <v>0</v>
      </c>
      <c r="M168" s="24">
        <v>-57.856000000000002</v>
      </c>
      <c r="N168" s="24">
        <v>-125.3849</v>
      </c>
      <c r="O168" s="24">
        <v>62.020400000000002</v>
      </c>
      <c r="P168" s="21" t="s">
        <v>893</v>
      </c>
    </row>
    <row r="169" spans="1:16" ht="42">
      <c r="A169" s="21" t="s">
        <v>879</v>
      </c>
      <c r="B169" s="21" t="s">
        <v>880</v>
      </c>
      <c r="C169" s="21" t="s">
        <v>312</v>
      </c>
      <c r="D169" s="21" t="s">
        <v>554</v>
      </c>
      <c r="E169" s="21" t="s">
        <v>894</v>
      </c>
      <c r="F169" s="22">
        <v>2025</v>
      </c>
      <c r="G169" s="23">
        <v>16.771000000000001</v>
      </c>
      <c r="H169" s="23">
        <v>6.6289999999999996</v>
      </c>
      <c r="I169" s="23">
        <v>-2.4129999999999998</v>
      </c>
      <c r="J169" s="23">
        <v>10.372999999999999</v>
      </c>
      <c r="K169" s="23">
        <v>0.40400000000000003</v>
      </c>
      <c r="L169" s="23"/>
      <c r="M169" s="24">
        <v>-13.870200000000001</v>
      </c>
      <c r="N169" s="24">
        <v>27.589300000000001</v>
      </c>
      <c r="O169" s="24">
        <v>3.8946999999999998</v>
      </c>
      <c r="P169" s="21" t="s">
        <v>893</v>
      </c>
    </row>
    <row r="170" spans="1:16" ht="42">
      <c r="A170" s="21" t="s">
        <v>882</v>
      </c>
      <c r="B170" s="21" t="s">
        <v>883</v>
      </c>
      <c r="C170" s="21" t="s">
        <v>312</v>
      </c>
      <c r="D170" s="21" t="s">
        <v>298</v>
      </c>
      <c r="E170" s="21" t="s">
        <v>894</v>
      </c>
      <c r="F170" s="22">
        <v>2006</v>
      </c>
      <c r="G170" s="23"/>
      <c r="H170" s="23"/>
      <c r="I170" s="23"/>
      <c r="J170" s="23">
        <v>77763</v>
      </c>
      <c r="K170" s="23">
        <v>6944</v>
      </c>
      <c r="L170" s="23"/>
      <c r="M170" s="24">
        <v>4.8728999999999996</v>
      </c>
      <c r="N170" s="24">
        <v>20.191700000000001</v>
      </c>
      <c r="O170" s="24">
        <v>8.9297000000000004</v>
      </c>
      <c r="P170" s="21" t="s">
        <v>893</v>
      </c>
    </row>
    <row r="171" spans="1:16" ht="42">
      <c r="A171" s="21" t="s">
        <v>882</v>
      </c>
      <c r="B171" s="21" t="s">
        <v>883</v>
      </c>
      <c r="C171" s="21" t="s">
        <v>312</v>
      </c>
      <c r="D171" s="21" t="s">
        <v>298</v>
      </c>
      <c r="E171" s="21" t="s">
        <v>894</v>
      </c>
      <c r="F171" s="22">
        <v>2007</v>
      </c>
      <c r="G171" s="23"/>
      <c r="H171" s="23"/>
      <c r="I171" s="23"/>
      <c r="J171" s="23">
        <v>71914</v>
      </c>
      <c r="K171" s="23">
        <v>5941</v>
      </c>
      <c r="L171" s="23"/>
      <c r="M171" s="24">
        <v>7.0324999999999998</v>
      </c>
      <c r="N171" s="24">
        <v>21.7667</v>
      </c>
      <c r="O171" s="24">
        <v>8.2613000000000003</v>
      </c>
      <c r="P171" s="21" t="s">
        <v>893</v>
      </c>
    </row>
    <row r="172" spans="1:16" ht="42">
      <c r="A172" s="21" t="s">
        <v>882</v>
      </c>
      <c r="B172" s="21" t="s">
        <v>883</v>
      </c>
      <c r="C172" s="21" t="s">
        <v>312</v>
      </c>
      <c r="D172" s="21" t="s">
        <v>298</v>
      </c>
      <c r="E172" s="21" t="s">
        <v>894</v>
      </c>
      <c r="F172" s="22">
        <v>2008</v>
      </c>
      <c r="G172" s="23"/>
      <c r="H172" s="23"/>
      <c r="I172" s="23"/>
      <c r="J172" s="23">
        <v>71987</v>
      </c>
      <c r="K172" s="23">
        <v>2556</v>
      </c>
      <c r="L172" s="23"/>
      <c r="M172" s="24">
        <v>5.3522999999999996</v>
      </c>
      <c r="N172" s="24">
        <v>22.264600000000002</v>
      </c>
      <c r="O172" s="24">
        <v>3.5506000000000002</v>
      </c>
      <c r="P172" s="21" t="s">
        <v>893</v>
      </c>
    </row>
    <row r="173" spans="1:16" ht="42">
      <c r="A173" s="21" t="s">
        <v>882</v>
      </c>
      <c r="B173" s="21" t="s">
        <v>883</v>
      </c>
      <c r="C173" s="21" t="s">
        <v>312</v>
      </c>
      <c r="D173" s="21" t="s">
        <v>298</v>
      </c>
      <c r="E173" s="21" t="s">
        <v>894</v>
      </c>
      <c r="F173" s="22">
        <v>2009</v>
      </c>
      <c r="G173" s="23">
        <v>30749</v>
      </c>
      <c r="H173" s="23">
        <v>7818</v>
      </c>
      <c r="I173" s="23">
        <v>5265</v>
      </c>
      <c r="J173" s="23">
        <v>80251</v>
      </c>
      <c r="K173" s="23">
        <v>8819</v>
      </c>
      <c r="L173" s="23">
        <v>4583</v>
      </c>
      <c r="M173" s="24">
        <v>6.9168000000000003</v>
      </c>
      <c r="N173" s="24">
        <v>20.573</v>
      </c>
      <c r="O173" s="24">
        <v>10.9893</v>
      </c>
      <c r="P173" s="21" t="s">
        <v>893</v>
      </c>
    </row>
    <row r="174" spans="1:16" ht="42">
      <c r="A174" s="21" t="s">
        <v>882</v>
      </c>
      <c r="B174" s="21" t="s">
        <v>883</v>
      </c>
      <c r="C174" s="21" t="s">
        <v>312</v>
      </c>
      <c r="D174" s="21" t="s">
        <v>298</v>
      </c>
      <c r="E174" s="21" t="s">
        <v>894</v>
      </c>
      <c r="F174" s="22">
        <v>2010</v>
      </c>
      <c r="G174" s="23">
        <v>34036</v>
      </c>
      <c r="H174" s="23">
        <v>8642</v>
      </c>
      <c r="I174" s="23">
        <v>5467</v>
      </c>
      <c r="J174" s="23">
        <v>85264</v>
      </c>
      <c r="K174" s="23">
        <v>8452</v>
      </c>
      <c r="L174" s="23">
        <v>4547</v>
      </c>
      <c r="M174" s="24">
        <v>6.6059999999999999</v>
      </c>
      <c r="N174" s="24">
        <v>19.6145</v>
      </c>
      <c r="O174" s="24">
        <v>9.9126999999999992</v>
      </c>
      <c r="P174" s="21" t="s">
        <v>893</v>
      </c>
    </row>
    <row r="175" spans="1:16" ht="42">
      <c r="A175" s="21" t="s">
        <v>882</v>
      </c>
      <c r="B175" s="21" t="s">
        <v>883</v>
      </c>
      <c r="C175" s="21" t="s">
        <v>312</v>
      </c>
      <c r="D175" s="21" t="s">
        <v>298</v>
      </c>
      <c r="E175" s="21" t="s">
        <v>894</v>
      </c>
      <c r="F175" s="22">
        <v>2011</v>
      </c>
      <c r="G175" s="23">
        <v>35058</v>
      </c>
      <c r="H175" s="23">
        <v>7989</v>
      </c>
      <c r="I175" s="23">
        <v>5693</v>
      </c>
      <c r="J175" s="23">
        <v>100165</v>
      </c>
      <c r="K175" s="23">
        <v>15697</v>
      </c>
      <c r="L175" s="23">
        <v>4811</v>
      </c>
      <c r="M175" s="24">
        <v>6.1403999999999996</v>
      </c>
      <c r="N175" s="24">
        <v>16.361499999999999</v>
      </c>
      <c r="O175" s="24">
        <v>15.671099999999999</v>
      </c>
      <c r="P175" s="21" t="s">
        <v>893</v>
      </c>
    </row>
    <row r="176" spans="1:16" ht="42">
      <c r="A176" s="21" t="s">
        <v>882</v>
      </c>
      <c r="B176" s="21" t="s">
        <v>883</v>
      </c>
      <c r="C176" s="21" t="s">
        <v>312</v>
      </c>
      <c r="D176" s="21" t="s">
        <v>298</v>
      </c>
      <c r="E176" s="21" t="s">
        <v>894</v>
      </c>
      <c r="F176" s="22">
        <v>2012</v>
      </c>
      <c r="G176" s="23">
        <v>35957</v>
      </c>
      <c r="H176" s="23">
        <v>8112</v>
      </c>
      <c r="I176" s="23">
        <v>4889</v>
      </c>
      <c r="J176" s="23">
        <v>100409</v>
      </c>
      <c r="K176" s="23">
        <v>14695</v>
      </c>
      <c r="L176" s="23">
        <v>4905</v>
      </c>
      <c r="M176" s="24">
        <v>4.875</v>
      </c>
      <c r="N176" s="24">
        <v>18.002099999999999</v>
      </c>
      <c r="O176" s="24">
        <v>14.6351</v>
      </c>
      <c r="P176" s="21" t="s">
        <v>893</v>
      </c>
    </row>
    <row r="177" spans="1:16" ht="42">
      <c r="A177" s="21" t="s">
        <v>882</v>
      </c>
      <c r="B177" s="21" t="s">
        <v>883</v>
      </c>
      <c r="C177" s="21" t="s">
        <v>312</v>
      </c>
      <c r="D177" s="21" t="s">
        <v>298</v>
      </c>
      <c r="E177" s="21" t="s">
        <v>894</v>
      </c>
      <c r="F177" s="22">
        <v>2013</v>
      </c>
      <c r="G177" s="23">
        <v>33306</v>
      </c>
      <c r="H177" s="23">
        <v>6141</v>
      </c>
      <c r="I177" s="23">
        <v>3716</v>
      </c>
      <c r="J177" s="23">
        <v>96055</v>
      </c>
      <c r="K177" s="23">
        <v>14709</v>
      </c>
      <c r="L177" s="23">
        <v>4770</v>
      </c>
      <c r="M177" s="24">
        <v>3.7829000000000002</v>
      </c>
      <c r="N177" s="24">
        <v>15.3276</v>
      </c>
      <c r="O177" s="24">
        <v>15.3131</v>
      </c>
      <c r="P177" s="21" t="s">
        <v>893</v>
      </c>
    </row>
    <row r="178" spans="1:16" ht="42">
      <c r="A178" s="21" t="s">
        <v>882</v>
      </c>
      <c r="B178" s="21" t="s">
        <v>883</v>
      </c>
      <c r="C178" s="21" t="s">
        <v>312</v>
      </c>
      <c r="D178" s="21" t="s">
        <v>298</v>
      </c>
      <c r="E178" s="21" t="s">
        <v>894</v>
      </c>
      <c r="F178" s="22">
        <v>2014</v>
      </c>
      <c r="G178" s="23">
        <v>31999</v>
      </c>
      <c r="H178" s="23">
        <v>6696</v>
      </c>
      <c r="I178" s="23">
        <v>4390</v>
      </c>
      <c r="J178" s="23">
        <v>97392</v>
      </c>
      <c r="K178" s="23">
        <v>14935</v>
      </c>
      <c r="L178" s="23">
        <v>4667</v>
      </c>
      <c r="M178" s="24">
        <v>4.5387000000000004</v>
      </c>
      <c r="N178" s="24">
        <v>19.278700000000001</v>
      </c>
      <c r="O178" s="24">
        <v>15.334899999999999</v>
      </c>
      <c r="P178" s="21" t="s">
        <v>893</v>
      </c>
    </row>
    <row r="179" spans="1:16" ht="42">
      <c r="A179" s="21" t="s">
        <v>882</v>
      </c>
      <c r="B179" s="21" t="s">
        <v>883</v>
      </c>
      <c r="C179" s="21" t="s">
        <v>312</v>
      </c>
      <c r="D179" s="21" t="s">
        <v>298</v>
      </c>
      <c r="E179" s="21" t="s">
        <v>894</v>
      </c>
      <c r="F179" s="22">
        <v>2015</v>
      </c>
      <c r="G179" s="23">
        <v>34861</v>
      </c>
      <c r="H179" s="23">
        <v>7085</v>
      </c>
      <c r="I179" s="23">
        <v>4287</v>
      </c>
      <c r="J179" s="23">
        <v>102321</v>
      </c>
      <c r="K179" s="23">
        <v>16589</v>
      </c>
      <c r="L179" s="23">
        <v>5082</v>
      </c>
      <c r="M179" s="24">
        <v>4.2931999999999997</v>
      </c>
      <c r="N179" s="24">
        <v>16.413799999999998</v>
      </c>
      <c r="O179" s="24">
        <v>16.212700000000002</v>
      </c>
      <c r="P179" s="21" t="s">
        <v>893</v>
      </c>
    </row>
    <row r="180" spans="1:16" ht="42">
      <c r="A180" s="21" t="s">
        <v>882</v>
      </c>
      <c r="B180" s="21" t="s">
        <v>883</v>
      </c>
      <c r="C180" s="21" t="s">
        <v>312</v>
      </c>
      <c r="D180" s="21" t="s">
        <v>298</v>
      </c>
      <c r="E180" s="21" t="s">
        <v>894</v>
      </c>
      <c r="F180" s="22">
        <v>2016</v>
      </c>
      <c r="G180" s="23">
        <v>34708</v>
      </c>
      <c r="H180" s="23">
        <v>7489</v>
      </c>
      <c r="I180" s="23">
        <v>4709</v>
      </c>
      <c r="J180" s="23">
        <v>104672</v>
      </c>
      <c r="K180" s="23">
        <v>18589</v>
      </c>
      <c r="L180" s="23">
        <v>5172</v>
      </c>
      <c r="M180" s="24">
        <v>4.5499000000000001</v>
      </c>
      <c r="N180" s="24">
        <v>18.825600000000001</v>
      </c>
      <c r="O180" s="24">
        <v>17.7593</v>
      </c>
      <c r="P180" s="21" t="s">
        <v>893</v>
      </c>
    </row>
    <row r="181" spans="1:16" ht="42">
      <c r="A181" s="21" t="s">
        <v>882</v>
      </c>
      <c r="B181" s="21" t="s">
        <v>883</v>
      </c>
      <c r="C181" s="21" t="s">
        <v>312</v>
      </c>
      <c r="D181" s="21" t="s">
        <v>298</v>
      </c>
      <c r="E181" s="21" t="s">
        <v>894</v>
      </c>
      <c r="F181" s="22">
        <v>2017</v>
      </c>
      <c r="G181" s="23">
        <v>36221</v>
      </c>
      <c r="H181" s="23">
        <v>7112</v>
      </c>
      <c r="I181" s="23">
        <v>8416</v>
      </c>
      <c r="J181" s="23">
        <v>99813</v>
      </c>
      <c r="K181" s="23">
        <v>15601</v>
      </c>
      <c r="L181" s="23">
        <v>5472</v>
      </c>
      <c r="M181" s="24">
        <v>8.2314000000000007</v>
      </c>
      <c r="N181" s="24">
        <v>16.023900000000001</v>
      </c>
      <c r="O181" s="24">
        <v>15.6302</v>
      </c>
      <c r="P181" s="21" t="s">
        <v>893</v>
      </c>
    </row>
    <row r="182" spans="1:16" ht="42">
      <c r="A182" s="21" t="s">
        <v>882</v>
      </c>
      <c r="B182" s="21" t="s">
        <v>883</v>
      </c>
      <c r="C182" s="21" t="s">
        <v>312</v>
      </c>
      <c r="D182" s="21" t="s">
        <v>298</v>
      </c>
      <c r="E182" s="21" t="s">
        <v>894</v>
      </c>
      <c r="F182" s="22">
        <v>2018</v>
      </c>
      <c r="G182" s="23">
        <v>35677</v>
      </c>
      <c r="H182" s="23">
        <v>5845</v>
      </c>
      <c r="I182" s="23">
        <v>4306</v>
      </c>
      <c r="J182" s="23">
        <v>111408</v>
      </c>
      <c r="K182" s="23">
        <v>24640</v>
      </c>
      <c r="L182" s="23">
        <v>5894</v>
      </c>
      <c r="M182" s="24">
        <v>4.0772000000000004</v>
      </c>
      <c r="N182" s="24">
        <v>13.1065</v>
      </c>
      <c r="O182" s="24">
        <v>22.116900000000001</v>
      </c>
      <c r="P182" s="21" t="s">
        <v>893</v>
      </c>
    </row>
    <row r="183" spans="1:16" ht="42">
      <c r="A183" s="21" t="s">
        <v>882</v>
      </c>
      <c r="B183" s="21" t="s">
        <v>883</v>
      </c>
      <c r="C183" s="21" t="s">
        <v>312</v>
      </c>
      <c r="D183" s="21" t="s">
        <v>298</v>
      </c>
      <c r="E183" s="21" t="s">
        <v>894</v>
      </c>
      <c r="F183" s="22">
        <v>2019</v>
      </c>
      <c r="G183" s="23">
        <v>37631</v>
      </c>
      <c r="H183" s="23">
        <v>6882</v>
      </c>
      <c r="I183" s="23">
        <v>2754</v>
      </c>
      <c r="J183" s="23">
        <v>112630</v>
      </c>
      <c r="K183" s="23">
        <v>25933</v>
      </c>
      <c r="L183" s="23">
        <v>6020</v>
      </c>
      <c r="M183" s="24">
        <v>2.4584999999999999</v>
      </c>
      <c r="N183" s="24">
        <v>8.1076999999999995</v>
      </c>
      <c r="O183" s="24">
        <v>23.024899999999999</v>
      </c>
      <c r="P183" s="21" t="s">
        <v>893</v>
      </c>
    </row>
    <row r="184" spans="1:16" ht="42">
      <c r="A184" s="21" t="s">
        <v>882</v>
      </c>
      <c r="B184" s="21" t="s">
        <v>883</v>
      </c>
      <c r="C184" s="21" t="s">
        <v>312</v>
      </c>
      <c r="D184" s="21" t="s">
        <v>298</v>
      </c>
      <c r="E184" s="21" t="s">
        <v>894</v>
      </c>
      <c r="F184" s="22">
        <v>2020</v>
      </c>
      <c r="G184" s="23">
        <v>37369</v>
      </c>
      <c r="H184" s="23">
        <v>7583</v>
      </c>
      <c r="I184" s="23">
        <v>12294</v>
      </c>
      <c r="J184" s="23">
        <v>114413</v>
      </c>
      <c r="K184" s="23">
        <v>23675</v>
      </c>
      <c r="L184" s="23">
        <v>5530</v>
      </c>
      <c r="M184" s="24">
        <v>10.829700000000001</v>
      </c>
      <c r="N184" s="24">
        <v>37.766599999999997</v>
      </c>
      <c r="O184" s="24">
        <v>20.692599999999999</v>
      </c>
      <c r="P184" s="21" t="s">
        <v>893</v>
      </c>
    </row>
    <row r="185" spans="1:16" ht="42">
      <c r="A185" s="21" t="s">
        <v>882</v>
      </c>
      <c r="B185" s="21" t="s">
        <v>883</v>
      </c>
      <c r="C185" s="21" t="s">
        <v>312</v>
      </c>
      <c r="D185" s="21" t="s">
        <v>298</v>
      </c>
      <c r="E185" s="21" t="s">
        <v>894</v>
      </c>
      <c r="F185" s="22">
        <v>2021</v>
      </c>
      <c r="G185" s="23">
        <v>39175</v>
      </c>
      <c r="H185" s="23">
        <v>8729</v>
      </c>
      <c r="I185" s="23">
        <v>6223</v>
      </c>
      <c r="J185" s="23">
        <v>120242</v>
      </c>
      <c r="K185" s="23">
        <v>22414</v>
      </c>
      <c r="L185" s="23">
        <v>5692</v>
      </c>
      <c r="M185" s="24">
        <v>5.3040000000000003</v>
      </c>
      <c r="N185" s="24">
        <v>20.742799999999999</v>
      </c>
      <c r="O185" s="24">
        <v>18.640699999999999</v>
      </c>
      <c r="P185" s="21" t="s">
        <v>893</v>
      </c>
    </row>
    <row r="186" spans="1:16" ht="42">
      <c r="A186" s="21" t="s">
        <v>882</v>
      </c>
      <c r="B186" s="21" t="s">
        <v>883</v>
      </c>
      <c r="C186" s="21" t="s">
        <v>312</v>
      </c>
      <c r="D186" s="21" t="s">
        <v>298</v>
      </c>
      <c r="E186" s="21" t="s">
        <v>894</v>
      </c>
      <c r="F186" s="22">
        <v>2022</v>
      </c>
      <c r="G186" s="23">
        <v>45389</v>
      </c>
      <c r="H186" s="23">
        <v>11226</v>
      </c>
      <c r="I186" s="23">
        <v>8371</v>
      </c>
      <c r="J186" s="23">
        <v>126722</v>
      </c>
      <c r="K186" s="23">
        <v>21212</v>
      </c>
      <c r="L186" s="23">
        <v>6706</v>
      </c>
      <c r="M186" s="24">
        <v>6.7790999999999997</v>
      </c>
      <c r="N186" s="24">
        <v>23.4771</v>
      </c>
      <c r="O186" s="24">
        <v>16.739000000000001</v>
      </c>
      <c r="P186" s="21" t="s">
        <v>893</v>
      </c>
    </row>
    <row r="187" spans="1:16" ht="42">
      <c r="A187" s="21" t="s">
        <v>882</v>
      </c>
      <c r="B187" s="21" t="s">
        <v>883</v>
      </c>
      <c r="C187" s="21" t="s">
        <v>312</v>
      </c>
      <c r="D187" s="21" t="s">
        <v>298</v>
      </c>
      <c r="E187" s="21" t="s">
        <v>894</v>
      </c>
      <c r="F187" s="22">
        <v>2023</v>
      </c>
      <c r="G187" s="23">
        <v>41618</v>
      </c>
      <c r="H187" s="23">
        <v>9188</v>
      </c>
      <c r="I187" s="23">
        <v>5400</v>
      </c>
      <c r="J187" s="23">
        <v>126464</v>
      </c>
      <c r="K187" s="23">
        <v>18422</v>
      </c>
      <c r="L187" s="23">
        <v>8933</v>
      </c>
      <c r="M187" s="24">
        <v>4.2656000000000001</v>
      </c>
      <c r="N187" s="24">
        <v>16.75</v>
      </c>
      <c r="O187" s="24">
        <v>14.567</v>
      </c>
      <c r="P187" s="21" t="s">
        <v>893</v>
      </c>
    </row>
    <row r="188" spans="1:16" ht="42">
      <c r="A188" s="21" t="s">
        <v>882</v>
      </c>
      <c r="B188" s="21" t="s">
        <v>883</v>
      </c>
      <c r="C188" s="21" t="s">
        <v>312</v>
      </c>
      <c r="D188" s="21" t="s">
        <v>298</v>
      </c>
      <c r="E188" s="21" t="s">
        <v>894</v>
      </c>
      <c r="F188" s="22">
        <v>2024</v>
      </c>
      <c r="G188" s="23">
        <v>44286</v>
      </c>
      <c r="H188" s="23">
        <v>8535</v>
      </c>
      <c r="I188" s="23">
        <v>5560</v>
      </c>
      <c r="J188" s="23">
        <v>132798</v>
      </c>
      <c r="K188" s="23">
        <v>17906</v>
      </c>
      <c r="L188" s="23">
        <v>7394</v>
      </c>
      <c r="M188" s="24">
        <v>4.2891000000000004</v>
      </c>
      <c r="N188" s="24">
        <v>16.375399999999999</v>
      </c>
      <c r="O188" s="24">
        <v>13.483599999999999</v>
      </c>
      <c r="P188" s="21" t="s">
        <v>893</v>
      </c>
    </row>
    <row r="189" spans="1:16" ht="42">
      <c r="A189" s="21" t="s">
        <v>882</v>
      </c>
      <c r="B189" s="21" t="s">
        <v>883</v>
      </c>
      <c r="C189" s="21" t="s">
        <v>312</v>
      </c>
      <c r="D189" s="21" t="s">
        <v>298</v>
      </c>
      <c r="E189" s="21" t="s">
        <v>894</v>
      </c>
      <c r="F189" s="22">
        <v>2025</v>
      </c>
      <c r="G189" s="23">
        <v>46716</v>
      </c>
      <c r="H189" s="23">
        <v>9394</v>
      </c>
      <c r="I189" s="23">
        <v>7813</v>
      </c>
      <c r="J189" s="23">
        <v>126805</v>
      </c>
      <c r="K189" s="23">
        <v>20329</v>
      </c>
      <c r="L189" s="23">
        <v>7842</v>
      </c>
      <c r="M189" s="24">
        <v>6.0191999999999997</v>
      </c>
      <c r="N189" s="24">
        <v>13.5799</v>
      </c>
      <c r="O189" s="24">
        <v>16.031700000000001</v>
      </c>
      <c r="P189" s="21" t="s">
        <v>893</v>
      </c>
    </row>
    <row r="190" spans="1:16" ht="42">
      <c r="A190" s="21" t="s">
        <v>886</v>
      </c>
      <c r="B190" s="21" t="s">
        <v>887</v>
      </c>
      <c r="C190" s="21" t="s">
        <v>700</v>
      </c>
      <c r="D190" s="21" t="s">
        <v>688</v>
      </c>
      <c r="E190" s="21" t="s">
        <v>894</v>
      </c>
      <c r="F190" s="22">
        <v>1998</v>
      </c>
      <c r="G190" s="23"/>
      <c r="H190" s="23">
        <v>12.5589</v>
      </c>
      <c r="I190" s="23"/>
      <c r="J190" s="23">
        <v>110.3</v>
      </c>
      <c r="K190" s="23">
        <v>1.2064999999999999</v>
      </c>
      <c r="L190" s="23"/>
      <c r="M190" s="24">
        <v>11.77</v>
      </c>
      <c r="N190" s="24">
        <v>9.43</v>
      </c>
      <c r="O190" s="24">
        <v>1.0934999999999999</v>
      </c>
      <c r="P190" s="21" t="s">
        <v>893</v>
      </c>
    </row>
    <row r="191" spans="1:16" ht="42">
      <c r="A191" s="21" t="s">
        <v>886</v>
      </c>
      <c r="B191" s="21" t="s">
        <v>887</v>
      </c>
      <c r="C191" s="21" t="s">
        <v>700</v>
      </c>
      <c r="D191" s="21" t="s">
        <v>688</v>
      </c>
      <c r="E191" s="21" t="s">
        <v>894</v>
      </c>
      <c r="F191" s="22">
        <v>1999</v>
      </c>
      <c r="G191" s="23"/>
      <c r="H191" s="23">
        <v>30.619</v>
      </c>
      <c r="I191" s="23"/>
      <c r="J191" s="23">
        <v>866.6</v>
      </c>
      <c r="K191" s="23">
        <v>88.403000000000006</v>
      </c>
      <c r="L191" s="23"/>
      <c r="M191" s="24">
        <v>2.57</v>
      </c>
      <c r="N191" s="24">
        <v>22.87</v>
      </c>
      <c r="O191" s="24">
        <v>10.201599999999999</v>
      </c>
      <c r="P191" s="21" t="s">
        <v>893</v>
      </c>
    </row>
    <row r="192" spans="1:16" ht="42">
      <c r="A192" s="21" t="s">
        <v>886</v>
      </c>
      <c r="B192" s="21" t="s">
        <v>887</v>
      </c>
      <c r="C192" s="21" t="s">
        <v>700</v>
      </c>
      <c r="D192" s="21" t="s">
        <v>688</v>
      </c>
      <c r="E192" s="21" t="s">
        <v>894</v>
      </c>
      <c r="F192" s="22">
        <v>2000</v>
      </c>
      <c r="G192" s="23"/>
      <c r="H192" s="23">
        <v>80.144999999999996</v>
      </c>
      <c r="I192" s="23"/>
      <c r="J192" s="23">
        <v>994.7</v>
      </c>
      <c r="K192" s="23">
        <v>85.686999999999998</v>
      </c>
      <c r="L192" s="23"/>
      <c r="M192" s="24">
        <v>7.59</v>
      </c>
      <c r="N192" s="24">
        <v>23.32</v>
      </c>
      <c r="O192" s="24">
        <v>8.6144999999999996</v>
      </c>
      <c r="P192" s="21" t="s">
        <v>893</v>
      </c>
    </row>
    <row r="193" spans="1:16" ht="42">
      <c r="A193" s="21" t="s">
        <v>886</v>
      </c>
      <c r="B193" s="21" t="s">
        <v>887</v>
      </c>
      <c r="C193" s="21" t="s">
        <v>700</v>
      </c>
      <c r="D193" s="21" t="s">
        <v>688</v>
      </c>
      <c r="E193" s="21" t="s">
        <v>894</v>
      </c>
      <c r="F193" s="22">
        <v>2001</v>
      </c>
      <c r="G193" s="23">
        <v>563.20000000000005</v>
      </c>
      <c r="H193" s="23">
        <v>79.709999999999994</v>
      </c>
      <c r="I193" s="23">
        <v>35.700000000000003</v>
      </c>
      <c r="J193" s="23">
        <v>3831</v>
      </c>
      <c r="K193" s="23">
        <v>272.89100000000002</v>
      </c>
      <c r="L193" s="23"/>
      <c r="M193" s="24">
        <v>1.48</v>
      </c>
      <c r="N193" s="24">
        <v>14.15</v>
      </c>
      <c r="O193" s="24">
        <v>7.1231999999999998</v>
      </c>
      <c r="P193" s="21" t="s">
        <v>893</v>
      </c>
    </row>
    <row r="194" spans="1:16" ht="42">
      <c r="A194" s="21" t="s">
        <v>886</v>
      </c>
      <c r="B194" s="21" t="s">
        <v>887</v>
      </c>
      <c r="C194" s="21" t="s">
        <v>700</v>
      </c>
      <c r="D194" s="21" t="s">
        <v>688</v>
      </c>
      <c r="E194" s="21" t="s">
        <v>894</v>
      </c>
      <c r="F194" s="22">
        <v>2002</v>
      </c>
      <c r="G194" s="23">
        <v>1047</v>
      </c>
      <c r="H194" s="23">
        <v>136.3356</v>
      </c>
      <c r="I194" s="23">
        <v>-884.5</v>
      </c>
      <c r="J194" s="23">
        <v>5052</v>
      </c>
      <c r="K194" s="23">
        <v>400.42340000000002</v>
      </c>
      <c r="L194" s="23"/>
      <c r="M194" s="24">
        <v>-20.39</v>
      </c>
      <c r="N194" s="24">
        <v>13.02</v>
      </c>
      <c r="O194" s="24">
        <v>7.9260000000000002</v>
      </c>
      <c r="P194" s="21" t="s">
        <v>893</v>
      </c>
    </row>
    <row r="195" spans="1:16" ht="42">
      <c r="A195" s="21" t="s">
        <v>886</v>
      </c>
      <c r="B195" s="21" t="s">
        <v>887</v>
      </c>
      <c r="C195" s="21" t="s">
        <v>700</v>
      </c>
      <c r="D195" s="21" t="s">
        <v>688</v>
      </c>
      <c r="E195" s="21" t="s">
        <v>894</v>
      </c>
      <c r="F195" s="22">
        <v>2003</v>
      </c>
      <c r="G195" s="23">
        <v>1211.5999999999999</v>
      </c>
      <c r="H195" s="23">
        <v>471.01600000000002</v>
      </c>
      <c r="I195" s="23">
        <v>276.10000000000002</v>
      </c>
      <c r="J195" s="23">
        <v>2585.1999999999998</v>
      </c>
      <c r="K195" s="23">
        <v>376.30700000000002</v>
      </c>
      <c r="L195" s="23"/>
      <c r="M195" s="24">
        <v>7.23</v>
      </c>
      <c r="N195" s="24">
        <v>38.880000000000003</v>
      </c>
      <c r="O195" s="24">
        <v>14.5563</v>
      </c>
      <c r="P195" s="21" t="s">
        <v>893</v>
      </c>
    </row>
    <row r="196" spans="1:16" ht="42">
      <c r="A196" s="21" t="s">
        <v>886</v>
      </c>
      <c r="B196" s="21" t="s">
        <v>887</v>
      </c>
      <c r="C196" s="21" t="s">
        <v>700</v>
      </c>
      <c r="D196" s="21" t="s">
        <v>688</v>
      </c>
      <c r="E196" s="21" t="s">
        <v>894</v>
      </c>
      <c r="F196" s="22">
        <v>2004</v>
      </c>
      <c r="G196" s="23"/>
      <c r="H196" s="23">
        <v>-1471300</v>
      </c>
      <c r="I196" s="23">
        <v>-1653200</v>
      </c>
      <c r="J196" s="23">
        <v>4650000</v>
      </c>
      <c r="K196" s="23">
        <v>6662</v>
      </c>
      <c r="L196" s="23"/>
      <c r="M196" s="24">
        <v>-71.069999999999993</v>
      </c>
      <c r="N196" s="24"/>
      <c r="O196" s="24">
        <v>0.14330000000000001</v>
      </c>
      <c r="P196" s="21" t="s">
        <v>893</v>
      </c>
    </row>
    <row r="197" spans="1:16" ht="42">
      <c r="A197" s="21" t="s">
        <v>886</v>
      </c>
      <c r="B197" s="21" t="s">
        <v>887</v>
      </c>
      <c r="C197" s="21" t="s">
        <v>700</v>
      </c>
      <c r="D197" s="21" t="s">
        <v>688</v>
      </c>
      <c r="E197" s="21" t="s">
        <v>894</v>
      </c>
      <c r="F197" s="22">
        <v>2005</v>
      </c>
      <c r="G197" s="23"/>
      <c r="H197" s="23">
        <v>-2325.4</v>
      </c>
      <c r="I197" s="23">
        <v>-2342</v>
      </c>
      <c r="J197" s="23">
        <v>5253.3</v>
      </c>
      <c r="K197" s="23">
        <v>7.4</v>
      </c>
      <c r="L197" s="23"/>
      <c r="M197" s="24">
        <v>-0.1</v>
      </c>
      <c r="N197" s="24"/>
      <c r="O197" s="24">
        <v>0.1409</v>
      </c>
      <c r="P197" s="21" t="s">
        <v>893</v>
      </c>
    </row>
    <row r="198" spans="1:16" ht="42">
      <c r="A198" s="21" t="s">
        <v>886</v>
      </c>
      <c r="B198" s="21" t="s">
        <v>887</v>
      </c>
      <c r="C198" s="21" t="s">
        <v>700</v>
      </c>
      <c r="D198" s="21" t="s">
        <v>688</v>
      </c>
      <c r="E198" s="21" t="s">
        <v>894</v>
      </c>
      <c r="F198" s="22">
        <v>2006</v>
      </c>
      <c r="G198" s="23"/>
      <c r="H198" s="23">
        <v>-2460.5</v>
      </c>
      <c r="I198" s="23">
        <v>-2495.1999999999998</v>
      </c>
      <c r="J198" s="23">
        <v>5573.5</v>
      </c>
      <c r="K198" s="23">
        <v>10.4</v>
      </c>
      <c r="L198" s="23"/>
      <c r="M198" s="24">
        <v>-46.09</v>
      </c>
      <c r="N198" s="24"/>
      <c r="O198" s="24">
        <v>0.18659999999999999</v>
      </c>
      <c r="P198" s="21" t="s">
        <v>893</v>
      </c>
    </row>
    <row r="199" spans="1:16" ht="42">
      <c r="A199" s="21" t="s">
        <v>886</v>
      </c>
      <c r="B199" s="21" t="s">
        <v>887</v>
      </c>
      <c r="C199" s="21" t="s">
        <v>700</v>
      </c>
      <c r="D199" s="21" t="s">
        <v>688</v>
      </c>
      <c r="E199" s="21" t="s">
        <v>894</v>
      </c>
      <c r="F199" s="22">
        <v>2007</v>
      </c>
      <c r="G199" s="23"/>
      <c r="H199" s="23">
        <v>-2461.1</v>
      </c>
      <c r="I199" s="23">
        <v>-4275.5</v>
      </c>
      <c r="J199" s="23">
        <v>4286.8</v>
      </c>
      <c r="K199" s="23">
        <v>1132.9000000000001</v>
      </c>
      <c r="L199" s="23"/>
      <c r="M199" s="24">
        <v>-86.72</v>
      </c>
      <c r="N199" s="24"/>
      <c r="O199" s="24">
        <v>26.427600000000002</v>
      </c>
      <c r="P199" s="21" t="s">
        <v>893</v>
      </c>
    </row>
    <row r="200" spans="1:16" ht="42">
      <c r="A200" s="21" t="s">
        <v>886</v>
      </c>
      <c r="B200" s="21" t="s">
        <v>887</v>
      </c>
      <c r="C200" s="21" t="s">
        <v>700</v>
      </c>
      <c r="D200" s="21" t="s">
        <v>688</v>
      </c>
      <c r="E200" s="21" t="s">
        <v>894</v>
      </c>
      <c r="F200" s="22">
        <v>2008</v>
      </c>
      <c r="G200" s="23">
        <v>3022.2</v>
      </c>
      <c r="H200" s="23">
        <v>664.7</v>
      </c>
      <c r="I200" s="23">
        <v>156</v>
      </c>
      <c r="J200" s="23">
        <v>3933.7</v>
      </c>
      <c r="K200" s="23">
        <v>1143.0999999999999</v>
      </c>
      <c r="L200" s="23"/>
      <c r="M200" s="24">
        <v>3.8</v>
      </c>
      <c r="N200" s="24">
        <v>21.99</v>
      </c>
      <c r="O200" s="24">
        <v>29.059200000000001</v>
      </c>
      <c r="P200" s="21" t="s">
        <v>893</v>
      </c>
    </row>
    <row r="201" spans="1:16" ht="42">
      <c r="A201" s="21" t="s">
        <v>886</v>
      </c>
      <c r="B201" s="21" t="s">
        <v>887</v>
      </c>
      <c r="C201" s="21" t="s">
        <v>700</v>
      </c>
      <c r="D201" s="21" t="s">
        <v>688</v>
      </c>
      <c r="E201" s="21" t="s">
        <v>894</v>
      </c>
      <c r="F201" s="22">
        <v>2009</v>
      </c>
      <c r="G201" s="23">
        <v>3007.7</v>
      </c>
      <c r="H201" s="23">
        <v>620.20000000000005</v>
      </c>
      <c r="I201" s="23">
        <v>491.6</v>
      </c>
      <c r="J201" s="23">
        <v>4617.5</v>
      </c>
      <c r="K201" s="23">
        <v>1143.5999999999999</v>
      </c>
      <c r="L201" s="23">
        <v>575.4</v>
      </c>
      <c r="M201" s="24">
        <v>11.5</v>
      </c>
      <c r="N201" s="24">
        <v>20.62</v>
      </c>
      <c r="O201" s="24">
        <v>24.7666</v>
      </c>
      <c r="P201" s="21" t="s">
        <v>893</v>
      </c>
    </row>
    <row r="202" spans="1:16" ht="42">
      <c r="A202" s="21" t="s">
        <v>886</v>
      </c>
      <c r="B202" s="21" t="s">
        <v>887</v>
      </c>
      <c r="C202" s="21" t="s">
        <v>700</v>
      </c>
      <c r="D202" s="21" t="s">
        <v>688</v>
      </c>
      <c r="E202" s="21" t="s">
        <v>894</v>
      </c>
      <c r="F202" s="22">
        <v>2010</v>
      </c>
      <c r="G202" s="23">
        <v>3471.1</v>
      </c>
      <c r="H202" s="23">
        <v>794.1</v>
      </c>
      <c r="I202" s="23">
        <v>588</v>
      </c>
      <c r="J202" s="23">
        <v>5387.6</v>
      </c>
      <c r="K202" s="23">
        <v>1107.9000000000001</v>
      </c>
      <c r="L202" s="23">
        <v>661.5</v>
      </c>
      <c r="M202" s="24">
        <v>11.75</v>
      </c>
      <c r="N202" s="24">
        <v>22.88</v>
      </c>
      <c r="O202" s="24">
        <v>20.5639</v>
      </c>
      <c r="P202" s="21" t="s">
        <v>893</v>
      </c>
    </row>
    <row r="203" spans="1:16" ht="42">
      <c r="A203" s="21" t="s">
        <v>886</v>
      </c>
      <c r="B203" s="21" t="s">
        <v>887</v>
      </c>
      <c r="C203" s="21" t="s">
        <v>700</v>
      </c>
      <c r="D203" s="21" t="s">
        <v>688</v>
      </c>
      <c r="E203" s="21" t="s">
        <v>894</v>
      </c>
      <c r="F203" s="22">
        <v>2011</v>
      </c>
      <c r="G203" s="23">
        <v>4263.3999999999996</v>
      </c>
      <c r="H203" s="23">
        <v>1109.2</v>
      </c>
      <c r="I203" s="23">
        <v>865</v>
      </c>
      <c r="J203" s="23">
        <v>6380.2</v>
      </c>
      <c r="K203" s="23">
        <v>1100</v>
      </c>
      <c r="L203" s="23">
        <v>754.7</v>
      </c>
      <c r="M203" s="24">
        <v>14.7</v>
      </c>
      <c r="N203" s="24">
        <v>26.02</v>
      </c>
      <c r="O203" s="24">
        <v>17.2408</v>
      </c>
      <c r="P203" s="21" t="s">
        <v>893</v>
      </c>
    </row>
    <row r="204" spans="1:16" ht="42">
      <c r="A204" s="21" t="s">
        <v>886</v>
      </c>
      <c r="B204" s="21" t="s">
        <v>887</v>
      </c>
      <c r="C204" s="21" t="s">
        <v>700</v>
      </c>
      <c r="D204" s="21" t="s">
        <v>688</v>
      </c>
      <c r="E204" s="21" t="s">
        <v>894</v>
      </c>
      <c r="F204" s="22">
        <v>2012</v>
      </c>
      <c r="G204" s="23">
        <v>4681.2</v>
      </c>
      <c r="H204" s="23">
        <v>949.2</v>
      </c>
      <c r="I204" s="23">
        <v>745.4</v>
      </c>
      <c r="J204" s="23">
        <v>7317.2</v>
      </c>
      <c r="K204" s="23">
        <v>1100</v>
      </c>
      <c r="L204" s="23">
        <v>894.3</v>
      </c>
      <c r="M204" s="24">
        <v>10.88</v>
      </c>
      <c r="N204" s="24">
        <v>20.28</v>
      </c>
      <c r="O204" s="24">
        <v>15.033099999999999</v>
      </c>
      <c r="P204" s="21" t="s">
        <v>893</v>
      </c>
    </row>
    <row r="205" spans="1:16" ht="42">
      <c r="A205" s="21" t="s">
        <v>886</v>
      </c>
      <c r="B205" s="21" t="s">
        <v>887</v>
      </c>
      <c r="C205" s="21" t="s">
        <v>700</v>
      </c>
      <c r="D205" s="21" t="s">
        <v>688</v>
      </c>
      <c r="E205" s="21" t="s">
        <v>894</v>
      </c>
      <c r="F205" s="22">
        <v>2013</v>
      </c>
      <c r="G205" s="23">
        <v>4934.3</v>
      </c>
      <c r="H205" s="23">
        <v>1733.5</v>
      </c>
      <c r="I205" s="23">
        <v>665.1</v>
      </c>
      <c r="J205" s="23">
        <v>8323</v>
      </c>
      <c r="K205" s="23">
        <v>0</v>
      </c>
      <c r="L205" s="23">
        <v>913.5</v>
      </c>
      <c r="M205" s="24">
        <v>8.51</v>
      </c>
      <c r="N205" s="24">
        <v>35.130000000000003</v>
      </c>
      <c r="O205" s="24">
        <v>0</v>
      </c>
      <c r="P205" s="21" t="s">
        <v>893</v>
      </c>
    </row>
    <row r="206" spans="1:16" ht="42">
      <c r="A206" s="21" t="s">
        <v>886</v>
      </c>
      <c r="B206" s="21" t="s">
        <v>887</v>
      </c>
      <c r="C206" s="21" t="s">
        <v>700</v>
      </c>
      <c r="D206" s="21" t="s">
        <v>688</v>
      </c>
      <c r="E206" s="21" t="s">
        <v>894</v>
      </c>
      <c r="F206" s="22">
        <v>2014</v>
      </c>
      <c r="G206" s="23">
        <v>6022.1</v>
      </c>
      <c r="H206" s="23">
        <v>1698</v>
      </c>
      <c r="I206" s="23">
        <v>3405.5</v>
      </c>
      <c r="J206" s="23">
        <v>13632.1</v>
      </c>
      <c r="K206" s="23">
        <v>850</v>
      </c>
      <c r="L206" s="23">
        <v>762.7</v>
      </c>
      <c r="M206" s="24">
        <v>31.02</v>
      </c>
      <c r="N206" s="24">
        <v>28.2</v>
      </c>
      <c r="O206" s="24">
        <v>6.2352999999999996</v>
      </c>
      <c r="P206" s="21" t="s">
        <v>893</v>
      </c>
    </row>
    <row r="207" spans="1:16" ht="42">
      <c r="A207" s="21" t="s">
        <v>886</v>
      </c>
      <c r="B207" s="21" t="s">
        <v>887</v>
      </c>
      <c r="C207" s="21" t="s">
        <v>700</v>
      </c>
      <c r="D207" s="21" t="s">
        <v>688</v>
      </c>
      <c r="E207" s="21" t="s">
        <v>894</v>
      </c>
      <c r="F207" s="22">
        <v>2015</v>
      </c>
      <c r="G207" s="23">
        <v>6416.7</v>
      </c>
      <c r="H207" s="23">
        <v>1419.5</v>
      </c>
      <c r="I207" s="23">
        <v>1303.4000000000001</v>
      </c>
      <c r="J207" s="23">
        <v>16609.8</v>
      </c>
      <c r="K207" s="23">
        <v>1581.4</v>
      </c>
      <c r="L207" s="23">
        <v>905.8</v>
      </c>
      <c r="M207" s="24">
        <v>8.6199999999999992</v>
      </c>
      <c r="N207" s="24">
        <v>22.12</v>
      </c>
      <c r="O207" s="24">
        <v>9.5208999999999993</v>
      </c>
      <c r="P207" s="21" t="s">
        <v>893</v>
      </c>
    </row>
    <row r="208" spans="1:16" ht="42">
      <c r="A208" s="21" t="s">
        <v>886</v>
      </c>
      <c r="B208" s="21" t="s">
        <v>887</v>
      </c>
      <c r="C208" s="21" t="s">
        <v>700</v>
      </c>
      <c r="D208" s="21" t="s">
        <v>688</v>
      </c>
      <c r="E208" s="21" t="s">
        <v>894</v>
      </c>
      <c r="F208" s="22">
        <v>2016</v>
      </c>
      <c r="G208" s="23">
        <v>11396.6</v>
      </c>
      <c r="H208" s="23">
        <v>962.9</v>
      </c>
      <c r="I208" s="23">
        <v>327.39999999999998</v>
      </c>
      <c r="J208" s="23">
        <v>67035.399999999994</v>
      </c>
      <c r="K208" s="23">
        <v>22967.8</v>
      </c>
      <c r="L208" s="23">
        <v>1430.9</v>
      </c>
      <c r="M208" s="24">
        <v>0.78</v>
      </c>
      <c r="N208" s="24">
        <v>8.4499999999999993</v>
      </c>
      <c r="O208" s="24">
        <v>34.2622</v>
      </c>
      <c r="P208" s="21" t="s">
        <v>893</v>
      </c>
    </row>
    <row r="209" spans="1:16" ht="42">
      <c r="A209" s="21" t="s">
        <v>886</v>
      </c>
      <c r="B209" s="21" t="s">
        <v>887</v>
      </c>
      <c r="C209" s="21" t="s">
        <v>700</v>
      </c>
      <c r="D209" s="21" t="s">
        <v>688</v>
      </c>
      <c r="E209" s="21" t="s">
        <v>894</v>
      </c>
      <c r="F209" s="22">
        <v>2017</v>
      </c>
      <c r="G209" s="23">
        <v>15160.6</v>
      </c>
      <c r="H209" s="23">
        <v>2455.1999999999998</v>
      </c>
      <c r="I209" s="23">
        <v>4271.5</v>
      </c>
      <c r="J209" s="23">
        <v>67756.899999999994</v>
      </c>
      <c r="K209" s="23">
        <v>19541.099999999999</v>
      </c>
      <c r="L209" s="23">
        <v>1612.1</v>
      </c>
      <c r="M209" s="24">
        <v>6.34</v>
      </c>
      <c r="N209" s="24">
        <v>16.190000000000001</v>
      </c>
      <c r="O209" s="24">
        <v>28.84</v>
      </c>
      <c r="P209" s="21" t="s">
        <v>893</v>
      </c>
    </row>
  </sheetData>
  <mergeCells count="1">
    <mergeCell ref="A1:P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
  <sheetViews>
    <sheetView topLeftCell="J1" workbookViewId="0">
      <selection activeCell="M2" sqref="M1:N1048576"/>
    </sheetView>
  </sheetViews>
  <sheetFormatPr defaultRowHeight="14"/>
  <cols>
    <col min="1" max="1" width="34" customWidth="1"/>
    <col min="2" max="3" width="28" customWidth="1"/>
    <col min="4" max="4" width="12" customWidth="1"/>
    <col min="5" max="5" width="14" customWidth="1"/>
    <col min="6" max="6" width="11" customWidth="1"/>
    <col min="7" max="8" width="12" customWidth="1"/>
    <col min="9" max="9" width="13" customWidth="1"/>
    <col min="10" max="12" width="15" customWidth="1"/>
    <col min="13" max="13" width="14" customWidth="1"/>
    <col min="14" max="14" width="48" customWidth="1"/>
  </cols>
  <sheetData>
    <row r="1" spans="1:14" ht="18.649999999999999" customHeight="1">
      <c r="A1" s="32" t="s">
        <v>895</v>
      </c>
      <c r="B1" s="32"/>
      <c r="C1" s="32"/>
      <c r="D1" s="32"/>
      <c r="E1" s="32"/>
      <c r="F1" s="32"/>
      <c r="G1" s="32"/>
      <c r="H1" s="32"/>
      <c r="I1" s="32"/>
      <c r="J1" s="32"/>
      <c r="K1" s="32"/>
      <c r="L1" s="32"/>
      <c r="M1" s="32"/>
      <c r="N1" s="32"/>
    </row>
    <row r="2" spans="1:14" ht="18.649999999999999" customHeight="1">
      <c r="A2" s="26" t="s">
        <v>15</v>
      </c>
      <c r="B2" s="26" t="s">
        <v>896</v>
      </c>
      <c r="C2" s="26" t="s">
        <v>835</v>
      </c>
      <c r="D2" s="26" t="s">
        <v>11</v>
      </c>
      <c r="E2" s="26" t="s">
        <v>27</v>
      </c>
      <c r="F2" s="26" t="s">
        <v>897</v>
      </c>
      <c r="G2" s="26" t="s">
        <v>898</v>
      </c>
      <c r="H2" s="26" t="s">
        <v>899</v>
      </c>
      <c r="I2" s="26" t="s">
        <v>900</v>
      </c>
      <c r="J2" s="26" t="s">
        <v>901</v>
      </c>
      <c r="K2" s="26" t="s">
        <v>902</v>
      </c>
      <c r="L2" s="26" t="s">
        <v>837</v>
      </c>
      <c r="M2" s="26" t="s">
        <v>903</v>
      </c>
      <c r="N2" s="26" t="s">
        <v>904</v>
      </c>
    </row>
    <row r="3" spans="1:14" ht="28">
      <c r="A3" s="21" t="s">
        <v>905</v>
      </c>
      <c r="B3" s="21" t="s">
        <v>906</v>
      </c>
      <c r="C3" s="21" t="s">
        <v>907</v>
      </c>
      <c r="D3" s="21"/>
      <c r="E3" s="22"/>
      <c r="F3" s="22">
        <v>429</v>
      </c>
      <c r="G3" s="22">
        <v>429</v>
      </c>
      <c r="H3" s="22">
        <v>0</v>
      </c>
      <c r="I3" s="22">
        <v>429</v>
      </c>
      <c r="J3" s="22">
        <v>2009</v>
      </c>
      <c r="K3" s="22">
        <v>2024</v>
      </c>
      <c r="L3" s="22"/>
      <c r="M3" s="22"/>
      <c r="N3" s="21" t="s">
        <v>908</v>
      </c>
    </row>
    <row r="4" spans="1:14" ht="28">
      <c r="A4" s="21" t="s">
        <v>909</v>
      </c>
      <c r="B4" s="21" t="s">
        <v>910</v>
      </c>
      <c r="C4" s="21" t="s">
        <v>911</v>
      </c>
      <c r="D4" s="21" t="s">
        <v>491</v>
      </c>
      <c r="E4" s="22">
        <v>2015</v>
      </c>
      <c r="F4" s="22">
        <v>23</v>
      </c>
      <c r="G4" s="22">
        <v>15</v>
      </c>
      <c r="H4" s="22">
        <v>8</v>
      </c>
      <c r="I4" s="22">
        <v>15</v>
      </c>
      <c r="J4" s="22">
        <v>2015</v>
      </c>
      <c r="K4" s="22">
        <v>2022</v>
      </c>
      <c r="L4" s="22" t="s">
        <v>855</v>
      </c>
      <c r="M4" s="22" t="s">
        <v>912</v>
      </c>
      <c r="N4" s="21" t="s">
        <v>506</v>
      </c>
    </row>
    <row r="5" spans="1:14" ht="28">
      <c r="A5" s="21" t="s">
        <v>913</v>
      </c>
      <c r="B5" s="21" t="s">
        <v>914</v>
      </c>
      <c r="C5" s="21" t="s">
        <v>911</v>
      </c>
      <c r="D5" s="21" t="s">
        <v>673</v>
      </c>
      <c r="E5" s="22">
        <v>2020</v>
      </c>
      <c r="F5" s="22">
        <v>82</v>
      </c>
      <c r="G5" s="22">
        <v>79</v>
      </c>
      <c r="H5" s="22">
        <v>3</v>
      </c>
      <c r="I5" s="22">
        <v>79</v>
      </c>
      <c r="J5" s="22">
        <v>2011</v>
      </c>
      <c r="K5" s="22">
        <v>2021</v>
      </c>
      <c r="L5" s="22" t="s">
        <v>869</v>
      </c>
      <c r="M5" s="22" t="s">
        <v>915</v>
      </c>
      <c r="N5" s="21" t="s">
        <v>687</v>
      </c>
    </row>
    <row r="6" spans="1:14" ht="28">
      <c r="A6" s="21" t="s">
        <v>916</v>
      </c>
      <c r="B6" s="21" t="s">
        <v>917</v>
      </c>
      <c r="C6" s="21" t="s">
        <v>911</v>
      </c>
      <c r="D6" s="21" t="s">
        <v>612</v>
      </c>
      <c r="E6" s="22">
        <v>2013</v>
      </c>
      <c r="F6" s="22">
        <v>1</v>
      </c>
      <c r="G6" s="22">
        <v>1</v>
      </c>
      <c r="H6" s="22">
        <v>0</v>
      </c>
      <c r="I6" s="22">
        <v>1</v>
      </c>
      <c r="J6" s="22">
        <v>2018</v>
      </c>
      <c r="K6" s="22">
        <v>2018</v>
      </c>
      <c r="L6" s="22" t="s">
        <v>865</v>
      </c>
      <c r="M6" s="22" t="s">
        <v>918</v>
      </c>
      <c r="N6" s="21" t="s">
        <v>624</v>
      </c>
    </row>
    <row r="7" spans="1:14" ht="42">
      <c r="A7" s="21" t="s">
        <v>919</v>
      </c>
      <c r="B7" s="21" t="s">
        <v>920</v>
      </c>
      <c r="C7" s="21" t="s">
        <v>911</v>
      </c>
      <c r="D7" s="21" t="s">
        <v>599</v>
      </c>
      <c r="E7" s="22">
        <v>2013</v>
      </c>
      <c r="F7" s="22">
        <v>30</v>
      </c>
      <c r="G7" s="22">
        <v>30</v>
      </c>
      <c r="H7" s="22">
        <v>0</v>
      </c>
      <c r="I7" s="22">
        <v>30</v>
      </c>
      <c r="J7" s="22">
        <v>2011</v>
      </c>
      <c r="K7" s="22">
        <v>2021</v>
      </c>
      <c r="L7" s="22" t="s">
        <v>865</v>
      </c>
      <c r="M7" s="22" t="s">
        <v>921</v>
      </c>
      <c r="N7" s="21" t="s">
        <v>611</v>
      </c>
    </row>
    <row r="8" spans="1:14" ht="28">
      <c r="A8" s="21" t="s">
        <v>922</v>
      </c>
      <c r="B8" s="21" t="s">
        <v>923</v>
      </c>
      <c r="C8" s="21" t="s">
        <v>911</v>
      </c>
      <c r="D8" s="21" t="s">
        <v>554</v>
      </c>
      <c r="E8" s="22">
        <v>2014</v>
      </c>
      <c r="F8" s="22">
        <v>27</v>
      </c>
      <c r="G8" s="22">
        <v>27</v>
      </c>
      <c r="H8" s="22">
        <v>0</v>
      </c>
      <c r="I8" s="22">
        <v>27</v>
      </c>
      <c r="J8" s="22">
        <v>2011</v>
      </c>
      <c r="K8" s="22">
        <v>2022</v>
      </c>
      <c r="L8" s="22" t="s">
        <v>849</v>
      </c>
      <c r="M8" s="22" t="s">
        <v>924</v>
      </c>
      <c r="N8" s="21" t="s">
        <v>567</v>
      </c>
    </row>
    <row r="9" spans="1:14" ht="42">
      <c r="A9" s="21" t="s">
        <v>925</v>
      </c>
      <c r="B9" s="21" t="s">
        <v>304</v>
      </c>
      <c r="C9" s="21" t="s">
        <v>911</v>
      </c>
      <c r="D9" s="21" t="s">
        <v>298</v>
      </c>
      <c r="E9" s="22">
        <v>2018</v>
      </c>
      <c r="F9" s="22">
        <v>476</v>
      </c>
      <c r="G9" s="22">
        <v>476</v>
      </c>
      <c r="H9" s="22">
        <v>0</v>
      </c>
      <c r="I9" s="22">
        <v>476</v>
      </c>
      <c r="J9" s="22">
        <v>1997</v>
      </c>
      <c r="K9" s="22">
        <v>2021</v>
      </c>
      <c r="L9" s="22" t="s">
        <v>885</v>
      </c>
      <c r="M9" s="22" t="s">
        <v>924</v>
      </c>
      <c r="N9" s="21" t="s">
        <v>315</v>
      </c>
    </row>
    <row r="10" spans="1:14" ht="28">
      <c r="A10" s="21" t="s">
        <v>926</v>
      </c>
      <c r="B10" s="21" t="s">
        <v>927</v>
      </c>
      <c r="C10" s="21" t="s">
        <v>911</v>
      </c>
      <c r="D10" s="21" t="s">
        <v>688</v>
      </c>
      <c r="E10" s="22">
        <v>2013</v>
      </c>
      <c r="F10" s="22">
        <v>108</v>
      </c>
      <c r="G10" s="22">
        <v>108</v>
      </c>
      <c r="H10" s="22">
        <v>0</v>
      </c>
      <c r="I10" s="22">
        <v>108</v>
      </c>
      <c r="J10" s="22">
        <v>2011</v>
      </c>
      <c r="K10" s="22">
        <v>2019</v>
      </c>
      <c r="L10" s="22" t="s">
        <v>865</v>
      </c>
      <c r="M10" s="22" t="s">
        <v>921</v>
      </c>
      <c r="N10" s="21" t="s">
        <v>702</v>
      </c>
    </row>
  </sheetData>
  <mergeCells count="1">
    <mergeCell ref="A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7"/>
  <sheetViews>
    <sheetView topLeftCell="G1" workbookViewId="0">
      <selection sqref="A1:L1"/>
    </sheetView>
  </sheetViews>
  <sheetFormatPr defaultRowHeight="14"/>
  <cols>
    <col min="1" max="1" width="34" customWidth="1"/>
    <col min="2" max="2" width="28" customWidth="1"/>
    <col min="3" max="3" width="12" customWidth="1"/>
    <col min="4" max="5" width="14" customWidth="1"/>
    <col min="6" max="6" width="12" customWidth="1"/>
    <col min="7" max="7" width="17" customWidth="1"/>
    <col min="8" max="8" width="28" customWidth="1"/>
    <col min="9" max="9" width="17" customWidth="1"/>
    <col min="10" max="10" width="20" customWidth="1"/>
    <col min="11" max="11" width="42" customWidth="1"/>
    <col min="12" max="12" width="50" customWidth="1"/>
  </cols>
  <sheetData>
    <row r="1" spans="1:12" ht="18.649999999999999" customHeight="1">
      <c r="A1" s="32" t="s">
        <v>928</v>
      </c>
      <c r="B1" s="32"/>
      <c r="C1" s="32"/>
      <c r="D1" s="32"/>
      <c r="E1" s="32"/>
      <c r="F1" s="32"/>
      <c r="G1" s="32"/>
      <c r="H1" s="32"/>
      <c r="I1" s="32"/>
      <c r="J1" s="32"/>
      <c r="K1" s="32"/>
      <c r="L1" s="32"/>
    </row>
    <row r="2" spans="1:12" ht="18.649999999999999" customHeight="1">
      <c r="A2" s="26" t="s">
        <v>15</v>
      </c>
      <c r="B2" s="26" t="s">
        <v>896</v>
      </c>
      <c r="C2" s="26" t="s">
        <v>11</v>
      </c>
      <c r="D2" s="26" t="s">
        <v>27</v>
      </c>
      <c r="E2" s="26" t="s">
        <v>707</v>
      </c>
      <c r="F2" s="26" t="s">
        <v>706</v>
      </c>
      <c r="G2" s="26" t="s">
        <v>929</v>
      </c>
      <c r="H2" s="26" t="s">
        <v>930</v>
      </c>
      <c r="I2" s="26" t="s">
        <v>720</v>
      </c>
      <c r="J2" s="26" t="s">
        <v>931</v>
      </c>
      <c r="K2" s="26" t="s">
        <v>932</v>
      </c>
      <c r="L2" s="26" t="s">
        <v>933</v>
      </c>
    </row>
    <row r="3" spans="1:12" ht="28">
      <c r="A3" s="21" t="s">
        <v>905</v>
      </c>
      <c r="B3" s="21" t="s">
        <v>906</v>
      </c>
      <c r="C3" s="21"/>
      <c r="D3" s="22"/>
      <c r="E3" s="22">
        <v>2009</v>
      </c>
      <c r="F3" s="22"/>
      <c r="G3" s="21" t="s">
        <v>181</v>
      </c>
      <c r="H3" s="21" t="s">
        <v>934</v>
      </c>
      <c r="I3" s="27">
        <v>53</v>
      </c>
      <c r="J3" s="27">
        <v>149</v>
      </c>
      <c r="K3" s="21" t="s">
        <v>935</v>
      </c>
      <c r="L3" s="21" t="s">
        <v>908</v>
      </c>
    </row>
    <row r="4" spans="1:12" ht="28">
      <c r="A4" s="21" t="s">
        <v>905</v>
      </c>
      <c r="B4" s="21" t="s">
        <v>906</v>
      </c>
      <c r="C4" s="21"/>
      <c r="D4" s="22"/>
      <c r="E4" s="22">
        <v>2010</v>
      </c>
      <c r="F4" s="22"/>
      <c r="G4" s="21" t="s">
        <v>181</v>
      </c>
      <c r="H4" s="21" t="s">
        <v>934</v>
      </c>
      <c r="I4" s="27">
        <v>34</v>
      </c>
      <c r="J4" s="27">
        <v>165</v>
      </c>
      <c r="K4" s="21" t="s">
        <v>935</v>
      </c>
      <c r="L4" s="21" t="s">
        <v>908</v>
      </c>
    </row>
    <row r="5" spans="1:12" ht="28">
      <c r="A5" s="21" t="s">
        <v>905</v>
      </c>
      <c r="B5" s="21" t="s">
        <v>906</v>
      </c>
      <c r="C5" s="21"/>
      <c r="D5" s="22"/>
      <c r="E5" s="22">
        <v>2011</v>
      </c>
      <c r="F5" s="22"/>
      <c r="G5" s="21" t="s">
        <v>181</v>
      </c>
      <c r="H5" s="21" t="s">
        <v>934</v>
      </c>
      <c r="I5" s="27">
        <v>20</v>
      </c>
      <c r="J5" s="27">
        <v>34</v>
      </c>
      <c r="K5" s="21" t="s">
        <v>935</v>
      </c>
      <c r="L5" s="21" t="s">
        <v>908</v>
      </c>
    </row>
    <row r="6" spans="1:12" ht="28">
      <c r="A6" s="21" t="s">
        <v>905</v>
      </c>
      <c r="B6" s="21" t="s">
        <v>906</v>
      </c>
      <c r="C6" s="21"/>
      <c r="D6" s="22"/>
      <c r="E6" s="22">
        <v>2012</v>
      </c>
      <c r="F6" s="22"/>
      <c r="G6" s="21" t="s">
        <v>181</v>
      </c>
      <c r="H6" s="21" t="s">
        <v>934</v>
      </c>
      <c r="I6" s="27">
        <v>14</v>
      </c>
      <c r="J6" s="27">
        <v>47</v>
      </c>
      <c r="K6" s="21" t="s">
        <v>935</v>
      </c>
      <c r="L6" s="21" t="s">
        <v>908</v>
      </c>
    </row>
    <row r="7" spans="1:12" ht="28">
      <c r="A7" s="21" t="s">
        <v>905</v>
      </c>
      <c r="B7" s="21" t="s">
        <v>906</v>
      </c>
      <c r="C7" s="21"/>
      <c r="D7" s="22"/>
      <c r="E7" s="22">
        <v>2013</v>
      </c>
      <c r="F7" s="22"/>
      <c r="G7" s="21" t="s">
        <v>181</v>
      </c>
      <c r="H7" s="21" t="s">
        <v>934</v>
      </c>
      <c r="I7" s="27">
        <v>15</v>
      </c>
      <c r="J7" s="27">
        <v>9</v>
      </c>
      <c r="K7" s="21" t="s">
        <v>935</v>
      </c>
      <c r="L7" s="21" t="s">
        <v>908</v>
      </c>
    </row>
    <row r="8" spans="1:12" ht="28">
      <c r="A8" s="21" t="s">
        <v>905</v>
      </c>
      <c r="B8" s="21" t="s">
        <v>906</v>
      </c>
      <c r="C8" s="21"/>
      <c r="D8" s="22"/>
      <c r="E8" s="22">
        <v>2014</v>
      </c>
      <c r="F8" s="22"/>
      <c r="G8" s="21" t="s">
        <v>181</v>
      </c>
      <c r="H8" s="21" t="s">
        <v>934</v>
      </c>
      <c r="I8" s="27">
        <v>17</v>
      </c>
      <c r="J8" s="27">
        <v>20</v>
      </c>
      <c r="K8" s="21" t="s">
        <v>935</v>
      </c>
      <c r="L8" s="21" t="s">
        <v>908</v>
      </c>
    </row>
    <row r="9" spans="1:12" ht="28">
      <c r="A9" s="21" t="s">
        <v>905</v>
      </c>
      <c r="B9" s="21" t="s">
        <v>906</v>
      </c>
      <c r="C9" s="21"/>
      <c r="D9" s="22"/>
      <c r="E9" s="22">
        <v>2015</v>
      </c>
      <c r="F9" s="22"/>
      <c r="G9" s="21" t="s">
        <v>181</v>
      </c>
      <c r="H9" s="21" t="s">
        <v>934</v>
      </c>
      <c r="I9" s="27">
        <v>20</v>
      </c>
      <c r="J9" s="27">
        <v>44</v>
      </c>
      <c r="K9" s="21" t="s">
        <v>935</v>
      </c>
      <c r="L9" s="21" t="s">
        <v>908</v>
      </c>
    </row>
    <row r="10" spans="1:12" ht="28">
      <c r="A10" s="21" t="s">
        <v>905</v>
      </c>
      <c r="B10" s="21" t="s">
        <v>906</v>
      </c>
      <c r="C10" s="21"/>
      <c r="D10" s="22"/>
      <c r="E10" s="22">
        <v>2016</v>
      </c>
      <c r="F10" s="22"/>
      <c r="G10" s="21" t="s">
        <v>181</v>
      </c>
      <c r="H10" s="21" t="s">
        <v>934</v>
      </c>
      <c r="I10" s="27">
        <v>20</v>
      </c>
      <c r="J10" s="27">
        <v>5</v>
      </c>
      <c r="K10" s="21" t="s">
        <v>935</v>
      </c>
      <c r="L10" s="21" t="s">
        <v>908</v>
      </c>
    </row>
    <row r="11" spans="1:12" ht="28">
      <c r="A11" s="21" t="s">
        <v>905</v>
      </c>
      <c r="B11" s="21" t="s">
        <v>906</v>
      </c>
      <c r="C11" s="21"/>
      <c r="D11" s="22"/>
      <c r="E11" s="22">
        <v>2017</v>
      </c>
      <c r="F11" s="22"/>
      <c r="G11" s="21" t="s">
        <v>181</v>
      </c>
      <c r="H11" s="21" t="s">
        <v>934</v>
      </c>
      <c r="I11" s="27">
        <v>22</v>
      </c>
      <c r="J11" s="27">
        <v>7</v>
      </c>
      <c r="K11" s="21" t="s">
        <v>935</v>
      </c>
      <c r="L11" s="21" t="s">
        <v>908</v>
      </c>
    </row>
    <row r="12" spans="1:12" ht="28">
      <c r="A12" s="21" t="s">
        <v>905</v>
      </c>
      <c r="B12" s="21" t="s">
        <v>906</v>
      </c>
      <c r="C12" s="21"/>
      <c r="D12" s="22"/>
      <c r="E12" s="22">
        <v>2018</v>
      </c>
      <c r="F12" s="22"/>
      <c r="G12" s="21" t="s">
        <v>181</v>
      </c>
      <c r="H12" s="21" t="s">
        <v>934</v>
      </c>
      <c r="I12" s="27">
        <v>37</v>
      </c>
      <c r="J12" s="27">
        <v>17</v>
      </c>
      <c r="K12" s="21" t="s">
        <v>935</v>
      </c>
      <c r="L12" s="21" t="s">
        <v>908</v>
      </c>
    </row>
    <row r="13" spans="1:12" ht="28">
      <c r="A13" s="21" t="s">
        <v>905</v>
      </c>
      <c r="B13" s="21" t="s">
        <v>906</v>
      </c>
      <c r="C13" s="21"/>
      <c r="D13" s="22"/>
      <c r="E13" s="22">
        <v>2019</v>
      </c>
      <c r="F13" s="22"/>
      <c r="G13" s="21" t="s">
        <v>181</v>
      </c>
      <c r="H13" s="21" t="s">
        <v>934</v>
      </c>
      <c r="I13" s="27">
        <v>32</v>
      </c>
      <c r="J13" s="27">
        <v>21</v>
      </c>
      <c r="K13" s="21" t="s">
        <v>935</v>
      </c>
      <c r="L13" s="21" t="s">
        <v>908</v>
      </c>
    </row>
    <row r="14" spans="1:12" ht="28">
      <c r="A14" s="21" t="s">
        <v>905</v>
      </c>
      <c r="B14" s="21" t="s">
        <v>906</v>
      </c>
      <c r="C14" s="21"/>
      <c r="D14" s="22"/>
      <c r="E14" s="22">
        <v>2020</v>
      </c>
      <c r="F14" s="22"/>
      <c r="G14" s="21" t="s">
        <v>181</v>
      </c>
      <c r="H14" s="21" t="s">
        <v>934</v>
      </c>
      <c r="I14" s="27">
        <v>50</v>
      </c>
      <c r="J14" s="27">
        <v>29</v>
      </c>
      <c r="K14" s="21" t="s">
        <v>935</v>
      </c>
      <c r="L14" s="21" t="s">
        <v>908</v>
      </c>
    </row>
    <row r="15" spans="1:12" ht="28">
      <c r="A15" s="21" t="s">
        <v>905</v>
      </c>
      <c r="B15" s="21" t="s">
        <v>906</v>
      </c>
      <c r="C15" s="21"/>
      <c r="D15" s="22"/>
      <c r="E15" s="22">
        <v>2021</v>
      </c>
      <c r="F15" s="22"/>
      <c r="G15" s="21" t="s">
        <v>181</v>
      </c>
      <c r="H15" s="21" t="s">
        <v>934</v>
      </c>
      <c r="I15" s="27">
        <v>36</v>
      </c>
      <c r="J15" s="27">
        <v>23</v>
      </c>
      <c r="K15" s="21" t="s">
        <v>935</v>
      </c>
      <c r="L15" s="21" t="s">
        <v>908</v>
      </c>
    </row>
    <row r="16" spans="1:12" ht="28">
      <c r="A16" s="21" t="s">
        <v>905</v>
      </c>
      <c r="B16" s="21" t="s">
        <v>906</v>
      </c>
      <c r="C16" s="21"/>
      <c r="D16" s="22"/>
      <c r="E16" s="22">
        <v>2022</v>
      </c>
      <c r="F16" s="22"/>
      <c r="G16" s="21" t="s">
        <v>181</v>
      </c>
      <c r="H16" s="21" t="s">
        <v>934</v>
      </c>
      <c r="I16" s="27">
        <v>40</v>
      </c>
      <c r="J16" s="27">
        <v>13</v>
      </c>
      <c r="K16" s="21" t="s">
        <v>935</v>
      </c>
      <c r="L16" s="21" t="s">
        <v>908</v>
      </c>
    </row>
    <row r="17" spans="1:12" ht="28">
      <c r="A17" s="21" t="s">
        <v>905</v>
      </c>
      <c r="B17" s="21" t="s">
        <v>906</v>
      </c>
      <c r="C17" s="21"/>
      <c r="D17" s="22"/>
      <c r="E17" s="22">
        <v>2023</v>
      </c>
      <c r="F17" s="22"/>
      <c r="G17" s="21" t="s">
        <v>181</v>
      </c>
      <c r="H17" s="21" t="s">
        <v>934</v>
      </c>
      <c r="I17" s="27">
        <v>18</v>
      </c>
      <c r="J17" s="27">
        <v>0</v>
      </c>
      <c r="K17" s="21" t="s">
        <v>935</v>
      </c>
      <c r="L17" s="21" t="s">
        <v>908</v>
      </c>
    </row>
    <row r="18" spans="1:12" ht="28">
      <c r="A18" s="21" t="s">
        <v>905</v>
      </c>
      <c r="B18" s="21" t="s">
        <v>906</v>
      </c>
      <c r="C18" s="21"/>
      <c r="D18" s="22"/>
      <c r="E18" s="22">
        <v>2024</v>
      </c>
      <c r="F18" s="22"/>
      <c r="G18" s="21" t="s">
        <v>181</v>
      </c>
      <c r="H18" s="21" t="s">
        <v>934</v>
      </c>
      <c r="I18" s="27">
        <v>1</v>
      </c>
      <c r="J18" s="27">
        <v>0</v>
      </c>
      <c r="K18" s="21" t="s">
        <v>935</v>
      </c>
      <c r="L18" s="21" t="s">
        <v>908</v>
      </c>
    </row>
    <row r="19" spans="1:12" ht="28">
      <c r="A19" s="21" t="s">
        <v>909</v>
      </c>
      <c r="B19" s="21" t="s">
        <v>910</v>
      </c>
      <c r="C19" s="21" t="s">
        <v>491</v>
      </c>
      <c r="D19" s="22">
        <v>2015</v>
      </c>
      <c r="E19" s="22">
        <v>2015</v>
      </c>
      <c r="F19" s="22">
        <v>0</v>
      </c>
      <c r="G19" s="21" t="s">
        <v>180</v>
      </c>
      <c r="H19" s="21" t="s">
        <v>936</v>
      </c>
      <c r="I19" s="27">
        <v>2</v>
      </c>
      <c r="J19" s="27">
        <v>3</v>
      </c>
      <c r="K19" s="21" t="s">
        <v>935</v>
      </c>
      <c r="L19" s="21" t="s">
        <v>506</v>
      </c>
    </row>
    <row r="20" spans="1:12" ht="28">
      <c r="A20" s="21" t="s">
        <v>909</v>
      </c>
      <c r="B20" s="21" t="s">
        <v>910</v>
      </c>
      <c r="C20" s="21" t="s">
        <v>491</v>
      </c>
      <c r="D20" s="22">
        <v>2015</v>
      </c>
      <c r="E20" s="22">
        <v>2016</v>
      </c>
      <c r="F20" s="22">
        <v>1</v>
      </c>
      <c r="G20" s="21" t="s">
        <v>180</v>
      </c>
      <c r="H20" s="21" t="s">
        <v>936</v>
      </c>
      <c r="I20" s="27">
        <v>1</v>
      </c>
      <c r="J20" s="27">
        <v>0</v>
      </c>
      <c r="K20" s="21" t="s">
        <v>935</v>
      </c>
      <c r="L20" s="21" t="s">
        <v>506</v>
      </c>
    </row>
    <row r="21" spans="1:12" ht="28">
      <c r="A21" s="21" t="s">
        <v>909</v>
      </c>
      <c r="B21" s="21" t="s">
        <v>910</v>
      </c>
      <c r="C21" s="21" t="s">
        <v>491</v>
      </c>
      <c r="D21" s="22">
        <v>2015</v>
      </c>
      <c r="E21" s="22">
        <v>2017</v>
      </c>
      <c r="F21" s="22">
        <v>2</v>
      </c>
      <c r="G21" s="21" t="s">
        <v>180</v>
      </c>
      <c r="H21" s="21" t="s">
        <v>936</v>
      </c>
      <c r="I21" s="27">
        <v>2</v>
      </c>
      <c r="J21" s="27">
        <v>0</v>
      </c>
      <c r="K21" s="21" t="s">
        <v>935</v>
      </c>
      <c r="L21" s="21" t="s">
        <v>506</v>
      </c>
    </row>
    <row r="22" spans="1:12" ht="28">
      <c r="A22" s="21" t="s">
        <v>909</v>
      </c>
      <c r="B22" s="21" t="s">
        <v>910</v>
      </c>
      <c r="C22" s="21" t="s">
        <v>491</v>
      </c>
      <c r="D22" s="22">
        <v>2015</v>
      </c>
      <c r="E22" s="22">
        <v>2018</v>
      </c>
      <c r="F22" s="22">
        <v>3</v>
      </c>
      <c r="G22" s="21" t="s">
        <v>180</v>
      </c>
      <c r="H22" s="21" t="s">
        <v>936</v>
      </c>
      <c r="I22" s="27">
        <v>1</v>
      </c>
      <c r="J22" s="27">
        <v>0</v>
      </c>
      <c r="K22" s="21" t="s">
        <v>935</v>
      </c>
      <c r="L22" s="21" t="s">
        <v>506</v>
      </c>
    </row>
    <row r="23" spans="1:12" ht="28">
      <c r="A23" s="21" t="s">
        <v>909</v>
      </c>
      <c r="B23" s="21" t="s">
        <v>910</v>
      </c>
      <c r="C23" s="21" t="s">
        <v>491</v>
      </c>
      <c r="D23" s="22">
        <v>2015</v>
      </c>
      <c r="E23" s="22">
        <v>2019</v>
      </c>
      <c r="F23" s="22">
        <v>4</v>
      </c>
      <c r="G23" s="21" t="s">
        <v>181</v>
      </c>
      <c r="H23" s="21" t="s">
        <v>936</v>
      </c>
      <c r="I23" s="27">
        <v>2</v>
      </c>
      <c r="J23" s="27">
        <v>5</v>
      </c>
      <c r="K23" s="21" t="s">
        <v>935</v>
      </c>
      <c r="L23" s="21" t="s">
        <v>506</v>
      </c>
    </row>
    <row r="24" spans="1:12" ht="28">
      <c r="A24" s="21" t="s">
        <v>909</v>
      </c>
      <c r="B24" s="21" t="s">
        <v>910</v>
      </c>
      <c r="C24" s="21" t="s">
        <v>491</v>
      </c>
      <c r="D24" s="22">
        <v>2015</v>
      </c>
      <c r="E24" s="22">
        <v>2020</v>
      </c>
      <c r="F24" s="22">
        <v>5</v>
      </c>
      <c r="G24" s="21" t="s">
        <v>181</v>
      </c>
      <c r="H24" s="21" t="s">
        <v>936</v>
      </c>
      <c r="I24" s="27">
        <v>4</v>
      </c>
      <c r="J24" s="27">
        <v>5</v>
      </c>
      <c r="K24" s="21" t="s">
        <v>935</v>
      </c>
      <c r="L24" s="21" t="s">
        <v>506</v>
      </c>
    </row>
    <row r="25" spans="1:12" ht="28">
      <c r="A25" s="21" t="s">
        <v>909</v>
      </c>
      <c r="B25" s="21" t="s">
        <v>910</v>
      </c>
      <c r="C25" s="21" t="s">
        <v>491</v>
      </c>
      <c r="D25" s="22">
        <v>2015</v>
      </c>
      <c r="E25" s="22">
        <v>2021</v>
      </c>
      <c r="F25" s="22">
        <v>6</v>
      </c>
      <c r="G25" s="21" t="s">
        <v>181</v>
      </c>
      <c r="H25" s="21" t="s">
        <v>936</v>
      </c>
      <c r="I25" s="27">
        <v>2</v>
      </c>
      <c r="J25" s="27">
        <v>1</v>
      </c>
      <c r="K25" s="21" t="s">
        <v>935</v>
      </c>
      <c r="L25" s="21" t="s">
        <v>506</v>
      </c>
    </row>
    <row r="26" spans="1:12" ht="28">
      <c r="A26" s="21" t="s">
        <v>909</v>
      </c>
      <c r="B26" s="21" t="s">
        <v>910</v>
      </c>
      <c r="C26" s="21" t="s">
        <v>491</v>
      </c>
      <c r="D26" s="22">
        <v>2015</v>
      </c>
      <c r="E26" s="22">
        <v>2022</v>
      </c>
      <c r="F26" s="22">
        <v>7</v>
      </c>
      <c r="G26" s="21" t="s">
        <v>181</v>
      </c>
      <c r="H26" s="21" t="s">
        <v>936</v>
      </c>
      <c r="I26" s="27">
        <v>1</v>
      </c>
      <c r="J26" s="27">
        <v>0</v>
      </c>
      <c r="K26" s="21" t="s">
        <v>935</v>
      </c>
      <c r="L26" s="21" t="s">
        <v>506</v>
      </c>
    </row>
    <row r="27" spans="1:12" ht="28">
      <c r="A27" s="21" t="s">
        <v>913</v>
      </c>
      <c r="B27" s="21" t="s">
        <v>914</v>
      </c>
      <c r="C27" s="21" t="s">
        <v>673</v>
      </c>
      <c r="D27" s="22">
        <v>2020</v>
      </c>
      <c r="E27" s="22">
        <v>2011</v>
      </c>
      <c r="F27" s="22">
        <v>-9</v>
      </c>
      <c r="G27" s="21" t="s">
        <v>181</v>
      </c>
      <c r="H27" s="21" t="s">
        <v>936</v>
      </c>
      <c r="I27" s="27">
        <v>5</v>
      </c>
      <c r="J27" s="27">
        <v>0</v>
      </c>
      <c r="K27" s="21" t="s">
        <v>935</v>
      </c>
      <c r="L27" s="21" t="s">
        <v>687</v>
      </c>
    </row>
    <row r="28" spans="1:12" ht="28">
      <c r="A28" s="21" t="s">
        <v>913</v>
      </c>
      <c r="B28" s="21" t="s">
        <v>914</v>
      </c>
      <c r="C28" s="21" t="s">
        <v>673</v>
      </c>
      <c r="D28" s="22">
        <v>2020</v>
      </c>
      <c r="E28" s="22">
        <v>2012</v>
      </c>
      <c r="F28" s="22">
        <v>-8</v>
      </c>
      <c r="G28" s="21" t="s">
        <v>181</v>
      </c>
      <c r="H28" s="21" t="s">
        <v>936</v>
      </c>
      <c r="I28" s="27">
        <v>7</v>
      </c>
      <c r="J28" s="27">
        <v>2</v>
      </c>
      <c r="K28" s="21" t="s">
        <v>935</v>
      </c>
      <c r="L28" s="21" t="s">
        <v>687</v>
      </c>
    </row>
    <row r="29" spans="1:12" ht="28">
      <c r="A29" s="21" t="s">
        <v>913</v>
      </c>
      <c r="B29" s="21" t="s">
        <v>914</v>
      </c>
      <c r="C29" s="21" t="s">
        <v>673</v>
      </c>
      <c r="D29" s="22">
        <v>2020</v>
      </c>
      <c r="E29" s="22">
        <v>2013</v>
      </c>
      <c r="F29" s="22">
        <v>-7</v>
      </c>
      <c r="G29" s="21" t="s">
        <v>181</v>
      </c>
      <c r="H29" s="21" t="s">
        <v>936</v>
      </c>
      <c r="I29" s="27">
        <v>14</v>
      </c>
      <c r="J29" s="27">
        <v>9</v>
      </c>
      <c r="K29" s="21" t="s">
        <v>935</v>
      </c>
      <c r="L29" s="21" t="s">
        <v>687</v>
      </c>
    </row>
    <row r="30" spans="1:12" ht="28">
      <c r="A30" s="21" t="s">
        <v>913</v>
      </c>
      <c r="B30" s="21" t="s">
        <v>914</v>
      </c>
      <c r="C30" s="21" t="s">
        <v>673</v>
      </c>
      <c r="D30" s="22">
        <v>2020</v>
      </c>
      <c r="E30" s="22">
        <v>2014</v>
      </c>
      <c r="F30" s="22">
        <v>-6</v>
      </c>
      <c r="G30" s="21" t="s">
        <v>181</v>
      </c>
      <c r="H30" s="21" t="s">
        <v>936</v>
      </c>
      <c r="I30" s="27">
        <v>10</v>
      </c>
      <c r="J30" s="27">
        <v>2</v>
      </c>
      <c r="K30" s="21" t="s">
        <v>935</v>
      </c>
      <c r="L30" s="21" t="s">
        <v>687</v>
      </c>
    </row>
    <row r="31" spans="1:12" ht="28">
      <c r="A31" s="21" t="s">
        <v>913</v>
      </c>
      <c r="B31" s="21" t="s">
        <v>914</v>
      </c>
      <c r="C31" s="21" t="s">
        <v>673</v>
      </c>
      <c r="D31" s="22">
        <v>2020</v>
      </c>
      <c r="E31" s="22">
        <v>2015</v>
      </c>
      <c r="F31" s="22">
        <v>-5</v>
      </c>
      <c r="G31" s="21" t="s">
        <v>181</v>
      </c>
      <c r="H31" s="21" t="s">
        <v>936</v>
      </c>
      <c r="I31" s="27">
        <v>11</v>
      </c>
      <c r="J31" s="27">
        <v>0</v>
      </c>
      <c r="K31" s="21" t="s">
        <v>935</v>
      </c>
      <c r="L31" s="21" t="s">
        <v>687</v>
      </c>
    </row>
    <row r="32" spans="1:12" ht="28">
      <c r="A32" s="21" t="s">
        <v>913</v>
      </c>
      <c r="B32" s="21" t="s">
        <v>914</v>
      </c>
      <c r="C32" s="21" t="s">
        <v>673</v>
      </c>
      <c r="D32" s="22">
        <v>2020</v>
      </c>
      <c r="E32" s="22">
        <v>2016</v>
      </c>
      <c r="F32" s="22">
        <v>-4</v>
      </c>
      <c r="G32" s="21" t="s">
        <v>181</v>
      </c>
      <c r="H32" s="21" t="s">
        <v>936</v>
      </c>
      <c r="I32" s="27">
        <v>14</v>
      </c>
      <c r="J32" s="27">
        <v>7</v>
      </c>
      <c r="K32" s="21" t="s">
        <v>935</v>
      </c>
      <c r="L32" s="21" t="s">
        <v>687</v>
      </c>
    </row>
    <row r="33" spans="1:12" ht="28">
      <c r="A33" s="21" t="s">
        <v>913</v>
      </c>
      <c r="B33" s="21" t="s">
        <v>914</v>
      </c>
      <c r="C33" s="21" t="s">
        <v>673</v>
      </c>
      <c r="D33" s="22">
        <v>2020</v>
      </c>
      <c r="E33" s="22">
        <v>2017</v>
      </c>
      <c r="F33" s="22">
        <v>-3</v>
      </c>
      <c r="G33" s="21" t="s">
        <v>180</v>
      </c>
      <c r="H33" s="21" t="s">
        <v>936</v>
      </c>
      <c r="I33" s="27">
        <v>8</v>
      </c>
      <c r="J33" s="27">
        <v>0</v>
      </c>
      <c r="K33" s="21" t="s">
        <v>935</v>
      </c>
      <c r="L33" s="21" t="s">
        <v>687</v>
      </c>
    </row>
    <row r="34" spans="1:12" ht="28">
      <c r="A34" s="21" t="s">
        <v>913</v>
      </c>
      <c r="B34" s="21" t="s">
        <v>914</v>
      </c>
      <c r="C34" s="21" t="s">
        <v>673</v>
      </c>
      <c r="D34" s="22">
        <v>2020</v>
      </c>
      <c r="E34" s="22">
        <v>2018</v>
      </c>
      <c r="F34" s="22">
        <v>-2</v>
      </c>
      <c r="G34" s="21" t="s">
        <v>180</v>
      </c>
      <c r="H34" s="21" t="s">
        <v>936</v>
      </c>
      <c r="I34" s="27">
        <v>5</v>
      </c>
      <c r="J34" s="27">
        <v>0</v>
      </c>
      <c r="K34" s="21" t="s">
        <v>935</v>
      </c>
      <c r="L34" s="21" t="s">
        <v>687</v>
      </c>
    </row>
    <row r="35" spans="1:12" ht="28">
      <c r="A35" s="21" t="s">
        <v>913</v>
      </c>
      <c r="B35" s="21" t="s">
        <v>914</v>
      </c>
      <c r="C35" s="21" t="s">
        <v>673</v>
      </c>
      <c r="D35" s="22">
        <v>2020</v>
      </c>
      <c r="E35" s="22">
        <v>2019</v>
      </c>
      <c r="F35" s="22">
        <v>-1</v>
      </c>
      <c r="G35" s="21" t="s">
        <v>180</v>
      </c>
      <c r="H35" s="21" t="s">
        <v>936</v>
      </c>
      <c r="I35" s="27">
        <v>3</v>
      </c>
      <c r="J35" s="27">
        <v>0</v>
      </c>
      <c r="K35" s="21" t="s">
        <v>935</v>
      </c>
      <c r="L35" s="21" t="s">
        <v>687</v>
      </c>
    </row>
    <row r="36" spans="1:12" ht="28">
      <c r="A36" s="21" t="s">
        <v>913</v>
      </c>
      <c r="B36" s="21" t="s">
        <v>914</v>
      </c>
      <c r="C36" s="21" t="s">
        <v>673</v>
      </c>
      <c r="D36" s="22">
        <v>2020</v>
      </c>
      <c r="E36" s="22">
        <v>2020</v>
      </c>
      <c r="F36" s="22">
        <v>0</v>
      </c>
      <c r="G36" s="21" t="s">
        <v>180</v>
      </c>
      <c r="H36" s="21" t="s">
        <v>936</v>
      </c>
      <c r="I36" s="27">
        <v>1</v>
      </c>
      <c r="J36" s="27">
        <v>0</v>
      </c>
      <c r="K36" s="21" t="s">
        <v>935</v>
      </c>
      <c r="L36" s="21" t="s">
        <v>687</v>
      </c>
    </row>
    <row r="37" spans="1:12" ht="28">
      <c r="A37" s="21" t="s">
        <v>913</v>
      </c>
      <c r="B37" s="21" t="s">
        <v>914</v>
      </c>
      <c r="C37" s="21" t="s">
        <v>673</v>
      </c>
      <c r="D37" s="22">
        <v>2020</v>
      </c>
      <c r="E37" s="22">
        <v>2021</v>
      </c>
      <c r="F37" s="22">
        <v>1</v>
      </c>
      <c r="G37" s="21" t="s">
        <v>180</v>
      </c>
      <c r="H37" s="21" t="s">
        <v>936</v>
      </c>
      <c r="I37" s="27">
        <v>1</v>
      </c>
      <c r="J37" s="27">
        <v>0</v>
      </c>
      <c r="K37" s="21" t="s">
        <v>935</v>
      </c>
      <c r="L37" s="21" t="s">
        <v>687</v>
      </c>
    </row>
    <row r="38" spans="1:12" ht="28">
      <c r="A38" s="21" t="s">
        <v>916</v>
      </c>
      <c r="B38" s="21" t="s">
        <v>917</v>
      </c>
      <c r="C38" s="21" t="s">
        <v>612</v>
      </c>
      <c r="D38" s="22">
        <v>2013</v>
      </c>
      <c r="E38" s="22">
        <v>2018</v>
      </c>
      <c r="F38" s="22">
        <v>5</v>
      </c>
      <c r="G38" s="21" t="s">
        <v>181</v>
      </c>
      <c r="H38" s="21" t="s">
        <v>936</v>
      </c>
      <c r="I38" s="27">
        <v>1</v>
      </c>
      <c r="J38" s="27">
        <v>1</v>
      </c>
      <c r="K38" s="21" t="s">
        <v>935</v>
      </c>
      <c r="L38" s="21" t="s">
        <v>624</v>
      </c>
    </row>
    <row r="39" spans="1:12" ht="42">
      <c r="A39" s="21" t="s">
        <v>919</v>
      </c>
      <c r="B39" s="21" t="s">
        <v>920</v>
      </c>
      <c r="C39" s="21" t="s">
        <v>599</v>
      </c>
      <c r="D39" s="22">
        <v>2013</v>
      </c>
      <c r="E39" s="22">
        <v>2011</v>
      </c>
      <c r="F39" s="22">
        <v>-2</v>
      </c>
      <c r="G39" s="21" t="s">
        <v>180</v>
      </c>
      <c r="H39" s="21" t="s">
        <v>936</v>
      </c>
      <c r="I39" s="27">
        <v>1</v>
      </c>
      <c r="J39" s="27">
        <v>0</v>
      </c>
      <c r="K39" s="21" t="s">
        <v>935</v>
      </c>
      <c r="L39" s="21" t="s">
        <v>611</v>
      </c>
    </row>
    <row r="40" spans="1:12" ht="42">
      <c r="A40" s="21" t="s">
        <v>919</v>
      </c>
      <c r="B40" s="21" t="s">
        <v>920</v>
      </c>
      <c r="C40" s="21" t="s">
        <v>599</v>
      </c>
      <c r="D40" s="22">
        <v>2013</v>
      </c>
      <c r="E40" s="22">
        <v>2012</v>
      </c>
      <c r="F40" s="22">
        <v>-1</v>
      </c>
      <c r="G40" s="21" t="s">
        <v>180</v>
      </c>
      <c r="H40" s="21" t="s">
        <v>936</v>
      </c>
      <c r="I40" s="27">
        <v>0</v>
      </c>
      <c r="J40" s="27">
        <v>0</v>
      </c>
      <c r="K40" s="21" t="s">
        <v>935</v>
      </c>
      <c r="L40" s="21" t="s">
        <v>611</v>
      </c>
    </row>
    <row r="41" spans="1:12" ht="42">
      <c r="A41" s="21" t="s">
        <v>919</v>
      </c>
      <c r="B41" s="21" t="s">
        <v>920</v>
      </c>
      <c r="C41" s="21" t="s">
        <v>599</v>
      </c>
      <c r="D41" s="22">
        <v>2013</v>
      </c>
      <c r="E41" s="22">
        <v>2013</v>
      </c>
      <c r="F41" s="22">
        <v>0</v>
      </c>
      <c r="G41" s="21" t="s">
        <v>180</v>
      </c>
      <c r="H41" s="21" t="s">
        <v>936</v>
      </c>
      <c r="I41" s="27">
        <v>7</v>
      </c>
      <c r="J41" s="27">
        <v>37</v>
      </c>
      <c r="K41" s="21" t="s">
        <v>935</v>
      </c>
      <c r="L41" s="21" t="s">
        <v>611</v>
      </c>
    </row>
    <row r="42" spans="1:12" ht="42">
      <c r="A42" s="21" t="s">
        <v>919</v>
      </c>
      <c r="B42" s="21" t="s">
        <v>920</v>
      </c>
      <c r="C42" s="21" t="s">
        <v>599</v>
      </c>
      <c r="D42" s="22">
        <v>2013</v>
      </c>
      <c r="E42" s="22">
        <v>2014</v>
      </c>
      <c r="F42" s="22">
        <v>1</v>
      </c>
      <c r="G42" s="21" t="s">
        <v>180</v>
      </c>
      <c r="H42" s="21" t="s">
        <v>936</v>
      </c>
      <c r="I42" s="27">
        <v>1</v>
      </c>
      <c r="J42" s="27">
        <v>0</v>
      </c>
      <c r="K42" s="21" t="s">
        <v>935</v>
      </c>
      <c r="L42" s="21" t="s">
        <v>611</v>
      </c>
    </row>
    <row r="43" spans="1:12" ht="42">
      <c r="A43" s="21" t="s">
        <v>919</v>
      </c>
      <c r="B43" s="21" t="s">
        <v>920</v>
      </c>
      <c r="C43" s="21" t="s">
        <v>599</v>
      </c>
      <c r="D43" s="22">
        <v>2013</v>
      </c>
      <c r="E43" s="22">
        <v>2015</v>
      </c>
      <c r="F43" s="22">
        <v>2</v>
      </c>
      <c r="G43" s="21" t="s">
        <v>180</v>
      </c>
      <c r="H43" s="21" t="s">
        <v>936</v>
      </c>
      <c r="I43" s="27">
        <v>2</v>
      </c>
      <c r="J43" s="27">
        <v>1</v>
      </c>
      <c r="K43" s="21" t="s">
        <v>935</v>
      </c>
      <c r="L43" s="21" t="s">
        <v>611</v>
      </c>
    </row>
    <row r="44" spans="1:12" ht="42">
      <c r="A44" s="21" t="s">
        <v>919</v>
      </c>
      <c r="B44" s="21" t="s">
        <v>920</v>
      </c>
      <c r="C44" s="21" t="s">
        <v>599</v>
      </c>
      <c r="D44" s="22">
        <v>2013</v>
      </c>
      <c r="E44" s="22">
        <v>2016</v>
      </c>
      <c r="F44" s="22">
        <v>3</v>
      </c>
      <c r="G44" s="21" t="s">
        <v>180</v>
      </c>
      <c r="H44" s="21" t="s">
        <v>936</v>
      </c>
      <c r="I44" s="27">
        <v>6</v>
      </c>
      <c r="J44" s="27">
        <v>18</v>
      </c>
      <c r="K44" s="21" t="s">
        <v>935</v>
      </c>
      <c r="L44" s="21" t="s">
        <v>611</v>
      </c>
    </row>
    <row r="45" spans="1:12" ht="42">
      <c r="A45" s="21" t="s">
        <v>919</v>
      </c>
      <c r="B45" s="21" t="s">
        <v>920</v>
      </c>
      <c r="C45" s="21" t="s">
        <v>599</v>
      </c>
      <c r="D45" s="22">
        <v>2013</v>
      </c>
      <c r="E45" s="22">
        <v>2017</v>
      </c>
      <c r="F45" s="22">
        <v>4</v>
      </c>
      <c r="G45" s="21" t="s">
        <v>181</v>
      </c>
      <c r="H45" s="21" t="s">
        <v>936</v>
      </c>
      <c r="I45" s="27">
        <v>2</v>
      </c>
      <c r="J45" s="27">
        <v>0</v>
      </c>
      <c r="K45" s="21" t="s">
        <v>935</v>
      </c>
      <c r="L45" s="21" t="s">
        <v>611</v>
      </c>
    </row>
    <row r="46" spans="1:12" ht="42">
      <c r="A46" s="21" t="s">
        <v>919</v>
      </c>
      <c r="B46" s="21" t="s">
        <v>920</v>
      </c>
      <c r="C46" s="21" t="s">
        <v>599</v>
      </c>
      <c r="D46" s="22">
        <v>2013</v>
      </c>
      <c r="E46" s="22">
        <v>2018</v>
      </c>
      <c r="F46" s="22">
        <v>5</v>
      </c>
      <c r="G46" s="21" t="s">
        <v>181</v>
      </c>
      <c r="H46" s="21" t="s">
        <v>936</v>
      </c>
      <c r="I46" s="27">
        <v>2</v>
      </c>
      <c r="J46" s="27">
        <v>9</v>
      </c>
      <c r="K46" s="21" t="s">
        <v>935</v>
      </c>
      <c r="L46" s="21" t="s">
        <v>611</v>
      </c>
    </row>
    <row r="47" spans="1:12" ht="42">
      <c r="A47" s="21" t="s">
        <v>919</v>
      </c>
      <c r="B47" s="21" t="s">
        <v>920</v>
      </c>
      <c r="C47" s="21" t="s">
        <v>599</v>
      </c>
      <c r="D47" s="22">
        <v>2013</v>
      </c>
      <c r="E47" s="22">
        <v>2019</v>
      </c>
      <c r="F47" s="22">
        <v>6</v>
      </c>
      <c r="G47" s="21" t="s">
        <v>181</v>
      </c>
      <c r="H47" s="21" t="s">
        <v>936</v>
      </c>
      <c r="I47" s="27">
        <v>8</v>
      </c>
      <c r="J47" s="27">
        <v>40</v>
      </c>
      <c r="K47" s="21" t="s">
        <v>935</v>
      </c>
      <c r="L47" s="21" t="s">
        <v>611</v>
      </c>
    </row>
    <row r="48" spans="1:12" ht="42">
      <c r="A48" s="21" t="s">
        <v>919</v>
      </c>
      <c r="B48" s="21" t="s">
        <v>920</v>
      </c>
      <c r="C48" s="21" t="s">
        <v>599</v>
      </c>
      <c r="D48" s="22">
        <v>2013</v>
      </c>
      <c r="E48" s="22">
        <v>2020</v>
      </c>
      <c r="F48" s="22">
        <v>7</v>
      </c>
      <c r="G48" s="21" t="s">
        <v>181</v>
      </c>
      <c r="H48" s="21" t="s">
        <v>936</v>
      </c>
      <c r="I48" s="27">
        <v>0</v>
      </c>
      <c r="J48" s="27">
        <v>0</v>
      </c>
      <c r="K48" s="21" t="s">
        <v>935</v>
      </c>
      <c r="L48" s="21" t="s">
        <v>611</v>
      </c>
    </row>
    <row r="49" spans="1:12" ht="42">
      <c r="A49" s="21" t="s">
        <v>919</v>
      </c>
      <c r="B49" s="21" t="s">
        <v>920</v>
      </c>
      <c r="C49" s="21" t="s">
        <v>599</v>
      </c>
      <c r="D49" s="22">
        <v>2013</v>
      </c>
      <c r="E49" s="22">
        <v>2021</v>
      </c>
      <c r="F49" s="22">
        <v>8</v>
      </c>
      <c r="G49" s="21" t="s">
        <v>181</v>
      </c>
      <c r="H49" s="21" t="s">
        <v>936</v>
      </c>
      <c r="I49" s="27">
        <v>1</v>
      </c>
      <c r="J49" s="27">
        <v>0</v>
      </c>
      <c r="K49" s="21" t="s">
        <v>935</v>
      </c>
      <c r="L49" s="21" t="s">
        <v>611</v>
      </c>
    </row>
    <row r="50" spans="1:12" ht="28">
      <c r="A50" s="21" t="s">
        <v>922</v>
      </c>
      <c r="B50" s="21" t="s">
        <v>923</v>
      </c>
      <c r="C50" s="21" t="s">
        <v>554</v>
      </c>
      <c r="D50" s="22">
        <v>2014</v>
      </c>
      <c r="E50" s="22">
        <v>2011</v>
      </c>
      <c r="F50" s="22">
        <v>-3</v>
      </c>
      <c r="G50" s="21" t="s">
        <v>180</v>
      </c>
      <c r="H50" s="21" t="s">
        <v>936</v>
      </c>
      <c r="I50" s="27">
        <v>2</v>
      </c>
      <c r="J50" s="27">
        <v>8</v>
      </c>
      <c r="K50" s="21" t="s">
        <v>935</v>
      </c>
      <c r="L50" s="21" t="s">
        <v>567</v>
      </c>
    </row>
    <row r="51" spans="1:12" ht="28">
      <c r="A51" s="21" t="s">
        <v>922</v>
      </c>
      <c r="B51" s="21" t="s">
        <v>923</v>
      </c>
      <c r="C51" s="21" t="s">
        <v>554</v>
      </c>
      <c r="D51" s="22">
        <v>2014</v>
      </c>
      <c r="E51" s="22">
        <v>2012</v>
      </c>
      <c r="F51" s="22">
        <v>-2</v>
      </c>
      <c r="G51" s="21" t="s">
        <v>180</v>
      </c>
      <c r="H51" s="21" t="s">
        <v>936</v>
      </c>
      <c r="I51" s="27">
        <v>3</v>
      </c>
      <c r="J51" s="27">
        <v>7</v>
      </c>
      <c r="K51" s="21" t="s">
        <v>935</v>
      </c>
      <c r="L51" s="21" t="s">
        <v>567</v>
      </c>
    </row>
    <row r="52" spans="1:12" ht="28">
      <c r="A52" s="21" t="s">
        <v>922</v>
      </c>
      <c r="B52" s="21" t="s">
        <v>923</v>
      </c>
      <c r="C52" s="21" t="s">
        <v>554</v>
      </c>
      <c r="D52" s="22">
        <v>2014</v>
      </c>
      <c r="E52" s="22">
        <v>2013</v>
      </c>
      <c r="F52" s="22">
        <v>-1</v>
      </c>
      <c r="G52" s="21" t="s">
        <v>180</v>
      </c>
      <c r="H52" s="21" t="s">
        <v>936</v>
      </c>
      <c r="I52" s="27">
        <v>4</v>
      </c>
      <c r="J52" s="27">
        <v>1</v>
      </c>
      <c r="K52" s="21" t="s">
        <v>935</v>
      </c>
      <c r="L52" s="21" t="s">
        <v>567</v>
      </c>
    </row>
    <row r="53" spans="1:12" ht="28">
      <c r="A53" s="21" t="s">
        <v>922</v>
      </c>
      <c r="B53" s="21" t="s">
        <v>923</v>
      </c>
      <c r="C53" s="21" t="s">
        <v>554</v>
      </c>
      <c r="D53" s="22">
        <v>2014</v>
      </c>
      <c r="E53" s="22">
        <v>2014</v>
      </c>
      <c r="F53" s="22">
        <v>0</v>
      </c>
      <c r="G53" s="21" t="s">
        <v>180</v>
      </c>
      <c r="H53" s="21" t="s">
        <v>936</v>
      </c>
      <c r="I53" s="27">
        <v>3</v>
      </c>
      <c r="J53" s="27">
        <v>0</v>
      </c>
      <c r="K53" s="21" t="s">
        <v>935</v>
      </c>
      <c r="L53" s="21" t="s">
        <v>567</v>
      </c>
    </row>
    <row r="54" spans="1:12" ht="28">
      <c r="A54" s="21" t="s">
        <v>922</v>
      </c>
      <c r="B54" s="21" t="s">
        <v>923</v>
      </c>
      <c r="C54" s="21" t="s">
        <v>554</v>
      </c>
      <c r="D54" s="22">
        <v>2014</v>
      </c>
      <c r="E54" s="22">
        <v>2015</v>
      </c>
      <c r="F54" s="22">
        <v>1</v>
      </c>
      <c r="G54" s="21" t="s">
        <v>180</v>
      </c>
      <c r="H54" s="21" t="s">
        <v>936</v>
      </c>
      <c r="I54" s="27">
        <v>2</v>
      </c>
      <c r="J54" s="27">
        <v>0</v>
      </c>
      <c r="K54" s="21" t="s">
        <v>935</v>
      </c>
      <c r="L54" s="21" t="s">
        <v>567</v>
      </c>
    </row>
    <row r="55" spans="1:12" ht="28">
      <c r="A55" s="21" t="s">
        <v>922</v>
      </c>
      <c r="B55" s="21" t="s">
        <v>923</v>
      </c>
      <c r="C55" s="21" t="s">
        <v>554</v>
      </c>
      <c r="D55" s="22">
        <v>2014</v>
      </c>
      <c r="E55" s="22">
        <v>2016</v>
      </c>
      <c r="F55" s="22">
        <v>2</v>
      </c>
      <c r="G55" s="21" t="s">
        <v>180</v>
      </c>
      <c r="H55" s="21" t="s">
        <v>936</v>
      </c>
      <c r="I55" s="27">
        <v>1</v>
      </c>
      <c r="J55" s="27">
        <v>0</v>
      </c>
      <c r="K55" s="21" t="s">
        <v>935</v>
      </c>
      <c r="L55" s="21" t="s">
        <v>567</v>
      </c>
    </row>
    <row r="56" spans="1:12" ht="28">
      <c r="A56" s="21" t="s">
        <v>922</v>
      </c>
      <c r="B56" s="21" t="s">
        <v>923</v>
      </c>
      <c r="C56" s="21" t="s">
        <v>554</v>
      </c>
      <c r="D56" s="22">
        <v>2014</v>
      </c>
      <c r="E56" s="22">
        <v>2017</v>
      </c>
      <c r="F56" s="22">
        <v>3</v>
      </c>
      <c r="G56" s="21" t="s">
        <v>180</v>
      </c>
      <c r="H56" s="21" t="s">
        <v>936</v>
      </c>
      <c r="I56" s="27">
        <v>0</v>
      </c>
      <c r="J56" s="27">
        <v>0</v>
      </c>
      <c r="K56" s="21" t="s">
        <v>935</v>
      </c>
      <c r="L56" s="21" t="s">
        <v>567</v>
      </c>
    </row>
    <row r="57" spans="1:12" ht="28">
      <c r="A57" s="21" t="s">
        <v>922</v>
      </c>
      <c r="B57" s="21" t="s">
        <v>923</v>
      </c>
      <c r="C57" s="21" t="s">
        <v>554</v>
      </c>
      <c r="D57" s="22">
        <v>2014</v>
      </c>
      <c r="E57" s="22">
        <v>2018</v>
      </c>
      <c r="F57" s="22">
        <v>4</v>
      </c>
      <c r="G57" s="21" t="s">
        <v>181</v>
      </c>
      <c r="H57" s="21" t="s">
        <v>936</v>
      </c>
      <c r="I57" s="27">
        <v>3</v>
      </c>
      <c r="J57" s="27">
        <v>1</v>
      </c>
      <c r="K57" s="21" t="s">
        <v>935</v>
      </c>
      <c r="L57" s="21" t="s">
        <v>567</v>
      </c>
    </row>
    <row r="58" spans="1:12" ht="28">
      <c r="A58" s="21" t="s">
        <v>922</v>
      </c>
      <c r="B58" s="21" t="s">
        <v>923</v>
      </c>
      <c r="C58" s="21" t="s">
        <v>554</v>
      </c>
      <c r="D58" s="22">
        <v>2014</v>
      </c>
      <c r="E58" s="22">
        <v>2019</v>
      </c>
      <c r="F58" s="22">
        <v>5</v>
      </c>
      <c r="G58" s="21" t="s">
        <v>181</v>
      </c>
      <c r="H58" s="21" t="s">
        <v>936</v>
      </c>
      <c r="I58" s="27">
        <v>2</v>
      </c>
      <c r="J58" s="27">
        <v>1</v>
      </c>
      <c r="K58" s="21" t="s">
        <v>935</v>
      </c>
      <c r="L58" s="21" t="s">
        <v>567</v>
      </c>
    </row>
    <row r="59" spans="1:12" ht="28">
      <c r="A59" s="21" t="s">
        <v>922</v>
      </c>
      <c r="B59" s="21" t="s">
        <v>923</v>
      </c>
      <c r="C59" s="21" t="s">
        <v>554</v>
      </c>
      <c r="D59" s="22">
        <v>2014</v>
      </c>
      <c r="E59" s="22">
        <v>2020</v>
      </c>
      <c r="F59" s="22">
        <v>6</v>
      </c>
      <c r="G59" s="21" t="s">
        <v>181</v>
      </c>
      <c r="H59" s="21" t="s">
        <v>936</v>
      </c>
      <c r="I59" s="27">
        <v>3</v>
      </c>
      <c r="J59" s="27">
        <v>2</v>
      </c>
      <c r="K59" s="21" t="s">
        <v>935</v>
      </c>
      <c r="L59" s="21" t="s">
        <v>567</v>
      </c>
    </row>
    <row r="60" spans="1:12" ht="28">
      <c r="A60" s="21" t="s">
        <v>922</v>
      </c>
      <c r="B60" s="21" t="s">
        <v>923</v>
      </c>
      <c r="C60" s="21" t="s">
        <v>554</v>
      </c>
      <c r="D60" s="22">
        <v>2014</v>
      </c>
      <c r="E60" s="22">
        <v>2021</v>
      </c>
      <c r="F60" s="22">
        <v>7</v>
      </c>
      <c r="G60" s="21" t="s">
        <v>181</v>
      </c>
      <c r="H60" s="21" t="s">
        <v>936</v>
      </c>
      <c r="I60" s="27">
        <v>2</v>
      </c>
      <c r="J60" s="27">
        <v>0</v>
      </c>
      <c r="K60" s="21" t="s">
        <v>935</v>
      </c>
      <c r="L60" s="21" t="s">
        <v>567</v>
      </c>
    </row>
    <row r="61" spans="1:12" ht="28">
      <c r="A61" s="21" t="s">
        <v>922</v>
      </c>
      <c r="B61" s="21" t="s">
        <v>923</v>
      </c>
      <c r="C61" s="21" t="s">
        <v>554</v>
      </c>
      <c r="D61" s="22">
        <v>2014</v>
      </c>
      <c r="E61" s="22">
        <v>2022</v>
      </c>
      <c r="F61" s="22">
        <v>8</v>
      </c>
      <c r="G61" s="21" t="s">
        <v>181</v>
      </c>
      <c r="H61" s="21" t="s">
        <v>936</v>
      </c>
      <c r="I61" s="27">
        <v>2</v>
      </c>
      <c r="J61" s="27">
        <v>0</v>
      </c>
      <c r="K61" s="21" t="s">
        <v>935</v>
      </c>
      <c r="L61" s="21" t="s">
        <v>567</v>
      </c>
    </row>
    <row r="62" spans="1:12" ht="42">
      <c r="A62" s="21" t="s">
        <v>925</v>
      </c>
      <c r="B62" s="21" t="s">
        <v>304</v>
      </c>
      <c r="C62" s="21" t="s">
        <v>298</v>
      </c>
      <c r="D62" s="22">
        <v>2018</v>
      </c>
      <c r="E62" s="22">
        <v>2015</v>
      </c>
      <c r="F62" s="22">
        <v>-3</v>
      </c>
      <c r="G62" s="21" t="s">
        <v>180</v>
      </c>
      <c r="H62" s="21" t="s">
        <v>934</v>
      </c>
      <c r="I62" s="27">
        <v>15</v>
      </c>
      <c r="J62" s="27">
        <v>9</v>
      </c>
      <c r="K62" s="21" t="s">
        <v>935</v>
      </c>
      <c r="L62" s="21" t="s">
        <v>315</v>
      </c>
    </row>
    <row r="63" spans="1:12" ht="42">
      <c r="A63" s="21" t="s">
        <v>925</v>
      </c>
      <c r="B63" s="21" t="s">
        <v>304</v>
      </c>
      <c r="C63" s="21" t="s">
        <v>298</v>
      </c>
      <c r="D63" s="22">
        <v>2018</v>
      </c>
      <c r="E63" s="22">
        <v>2016</v>
      </c>
      <c r="F63" s="22">
        <v>-2</v>
      </c>
      <c r="G63" s="21" t="s">
        <v>180</v>
      </c>
      <c r="H63" s="21" t="s">
        <v>934</v>
      </c>
      <c r="I63" s="27">
        <v>28</v>
      </c>
      <c r="J63" s="27">
        <v>4</v>
      </c>
      <c r="K63" s="21" t="s">
        <v>935</v>
      </c>
      <c r="L63" s="21" t="s">
        <v>315</v>
      </c>
    </row>
    <row r="64" spans="1:12" ht="42">
      <c r="A64" s="21" t="s">
        <v>925</v>
      </c>
      <c r="B64" s="21" t="s">
        <v>304</v>
      </c>
      <c r="C64" s="21" t="s">
        <v>298</v>
      </c>
      <c r="D64" s="22">
        <v>2018</v>
      </c>
      <c r="E64" s="22">
        <v>2017</v>
      </c>
      <c r="F64" s="22">
        <v>-1</v>
      </c>
      <c r="G64" s="21" t="s">
        <v>180</v>
      </c>
      <c r="H64" s="21" t="s">
        <v>934</v>
      </c>
      <c r="I64" s="27">
        <v>36</v>
      </c>
      <c r="J64" s="27">
        <v>0</v>
      </c>
      <c r="K64" s="21" t="s">
        <v>935</v>
      </c>
      <c r="L64" s="21" t="s">
        <v>315</v>
      </c>
    </row>
    <row r="65" spans="1:12" ht="42">
      <c r="A65" s="21" t="s">
        <v>925</v>
      </c>
      <c r="B65" s="21" t="s">
        <v>304</v>
      </c>
      <c r="C65" s="21" t="s">
        <v>298</v>
      </c>
      <c r="D65" s="22">
        <v>2018</v>
      </c>
      <c r="E65" s="22">
        <v>2018</v>
      </c>
      <c r="F65" s="22">
        <v>0</v>
      </c>
      <c r="G65" s="21" t="s">
        <v>180</v>
      </c>
      <c r="H65" s="21" t="s">
        <v>934</v>
      </c>
      <c r="I65" s="27">
        <v>38</v>
      </c>
      <c r="J65" s="27">
        <v>1</v>
      </c>
      <c r="K65" s="21" t="s">
        <v>935</v>
      </c>
      <c r="L65" s="21" t="s">
        <v>315</v>
      </c>
    </row>
    <row r="66" spans="1:12" ht="42">
      <c r="A66" s="21" t="s">
        <v>925</v>
      </c>
      <c r="B66" s="21" t="s">
        <v>304</v>
      </c>
      <c r="C66" s="21" t="s">
        <v>298</v>
      </c>
      <c r="D66" s="22">
        <v>2018</v>
      </c>
      <c r="E66" s="22">
        <v>2019</v>
      </c>
      <c r="F66" s="22">
        <v>1</v>
      </c>
      <c r="G66" s="21" t="s">
        <v>180</v>
      </c>
      <c r="H66" s="21" t="s">
        <v>934</v>
      </c>
      <c r="I66" s="27">
        <v>42</v>
      </c>
      <c r="J66" s="27">
        <v>4</v>
      </c>
      <c r="K66" s="21" t="s">
        <v>935</v>
      </c>
      <c r="L66" s="21" t="s">
        <v>315</v>
      </c>
    </row>
    <row r="67" spans="1:12" ht="42">
      <c r="A67" s="21" t="s">
        <v>925</v>
      </c>
      <c r="B67" s="21" t="s">
        <v>304</v>
      </c>
      <c r="C67" s="21" t="s">
        <v>298</v>
      </c>
      <c r="D67" s="22">
        <v>2018</v>
      </c>
      <c r="E67" s="22">
        <v>2020</v>
      </c>
      <c r="F67" s="22">
        <v>2</v>
      </c>
      <c r="G67" s="21" t="s">
        <v>180</v>
      </c>
      <c r="H67" s="21" t="s">
        <v>934</v>
      </c>
      <c r="I67" s="27">
        <v>20</v>
      </c>
      <c r="J67" s="27">
        <v>1</v>
      </c>
      <c r="K67" s="21" t="s">
        <v>935</v>
      </c>
      <c r="L67" s="21" t="s">
        <v>315</v>
      </c>
    </row>
    <row r="68" spans="1:12" ht="42">
      <c r="A68" s="21" t="s">
        <v>925</v>
      </c>
      <c r="B68" s="21" t="s">
        <v>304</v>
      </c>
      <c r="C68" s="21" t="s">
        <v>298</v>
      </c>
      <c r="D68" s="22">
        <v>2018</v>
      </c>
      <c r="E68" s="22">
        <v>2021</v>
      </c>
      <c r="F68" s="22">
        <v>3</v>
      </c>
      <c r="G68" s="21" t="s">
        <v>180</v>
      </c>
      <c r="H68" s="21" t="s">
        <v>934</v>
      </c>
      <c r="I68" s="27">
        <v>13</v>
      </c>
      <c r="J68" s="27">
        <v>0</v>
      </c>
      <c r="K68" s="21" t="s">
        <v>935</v>
      </c>
      <c r="L68" s="21" t="s">
        <v>315</v>
      </c>
    </row>
    <row r="69" spans="1:12" ht="28">
      <c r="A69" s="21" t="s">
        <v>926</v>
      </c>
      <c r="B69" s="21" t="s">
        <v>927</v>
      </c>
      <c r="C69" s="21" t="s">
        <v>688</v>
      </c>
      <c r="D69" s="22">
        <v>2013</v>
      </c>
      <c r="E69" s="22">
        <v>2011</v>
      </c>
      <c r="F69" s="22">
        <v>-2</v>
      </c>
      <c r="G69" s="21" t="s">
        <v>180</v>
      </c>
      <c r="H69" s="21" t="s">
        <v>936</v>
      </c>
      <c r="I69" s="27">
        <v>15</v>
      </c>
      <c r="J69" s="27">
        <v>159</v>
      </c>
      <c r="K69" s="21" t="s">
        <v>935</v>
      </c>
      <c r="L69" s="21" t="s">
        <v>702</v>
      </c>
    </row>
    <row r="70" spans="1:12" ht="28">
      <c r="A70" s="21" t="s">
        <v>926</v>
      </c>
      <c r="B70" s="21" t="s">
        <v>927</v>
      </c>
      <c r="C70" s="21" t="s">
        <v>688</v>
      </c>
      <c r="D70" s="22">
        <v>2013</v>
      </c>
      <c r="E70" s="22">
        <v>2012</v>
      </c>
      <c r="F70" s="22">
        <v>-1</v>
      </c>
      <c r="G70" s="21" t="s">
        <v>180</v>
      </c>
      <c r="H70" s="21" t="s">
        <v>936</v>
      </c>
      <c r="I70" s="27">
        <v>13</v>
      </c>
      <c r="J70" s="27">
        <v>241</v>
      </c>
      <c r="K70" s="21" t="s">
        <v>935</v>
      </c>
      <c r="L70" s="21" t="s">
        <v>702</v>
      </c>
    </row>
    <row r="71" spans="1:12" ht="28">
      <c r="A71" s="21" t="s">
        <v>926</v>
      </c>
      <c r="B71" s="21" t="s">
        <v>927</v>
      </c>
      <c r="C71" s="21" t="s">
        <v>688</v>
      </c>
      <c r="D71" s="22">
        <v>2013</v>
      </c>
      <c r="E71" s="22">
        <v>2013</v>
      </c>
      <c r="F71" s="22">
        <v>0</v>
      </c>
      <c r="G71" s="21" t="s">
        <v>180</v>
      </c>
      <c r="H71" s="21" t="s">
        <v>936</v>
      </c>
      <c r="I71" s="27">
        <v>23</v>
      </c>
      <c r="J71" s="27">
        <v>416</v>
      </c>
      <c r="K71" s="21" t="s">
        <v>935</v>
      </c>
      <c r="L71" s="21" t="s">
        <v>702</v>
      </c>
    </row>
    <row r="72" spans="1:12" ht="28">
      <c r="A72" s="21" t="s">
        <v>926</v>
      </c>
      <c r="B72" s="21" t="s">
        <v>927</v>
      </c>
      <c r="C72" s="21" t="s">
        <v>688</v>
      </c>
      <c r="D72" s="22">
        <v>2013</v>
      </c>
      <c r="E72" s="22">
        <v>2014</v>
      </c>
      <c r="F72" s="22">
        <v>1</v>
      </c>
      <c r="G72" s="21" t="s">
        <v>180</v>
      </c>
      <c r="H72" s="21" t="s">
        <v>936</v>
      </c>
      <c r="I72" s="27">
        <v>18</v>
      </c>
      <c r="J72" s="27">
        <v>245</v>
      </c>
      <c r="K72" s="21" t="s">
        <v>935</v>
      </c>
      <c r="L72" s="21" t="s">
        <v>702</v>
      </c>
    </row>
    <row r="73" spans="1:12" ht="28">
      <c r="A73" s="21" t="s">
        <v>926</v>
      </c>
      <c r="B73" s="21" t="s">
        <v>927</v>
      </c>
      <c r="C73" s="21" t="s">
        <v>688</v>
      </c>
      <c r="D73" s="22">
        <v>2013</v>
      </c>
      <c r="E73" s="22">
        <v>2015</v>
      </c>
      <c r="F73" s="22">
        <v>2</v>
      </c>
      <c r="G73" s="21" t="s">
        <v>180</v>
      </c>
      <c r="H73" s="21" t="s">
        <v>936</v>
      </c>
      <c r="I73" s="27">
        <v>8</v>
      </c>
      <c r="J73" s="27">
        <v>20</v>
      </c>
      <c r="K73" s="21" t="s">
        <v>935</v>
      </c>
      <c r="L73" s="21" t="s">
        <v>702</v>
      </c>
    </row>
    <row r="74" spans="1:12" ht="28">
      <c r="A74" s="21" t="s">
        <v>926</v>
      </c>
      <c r="B74" s="21" t="s">
        <v>927</v>
      </c>
      <c r="C74" s="21" t="s">
        <v>688</v>
      </c>
      <c r="D74" s="22">
        <v>2013</v>
      </c>
      <c r="E74" s="22">
        <v>2016</v>
      </c>
      <c r="F74" s="22">
        <v>3</v>
      </c>
      <c r="G74" s="21" t="s">
        <v>180</v>
      </c>
      <c r="H74" s="21" t="s">
        <v>936</v>
      </c>
      <c r="I74" s="27">
        <v>6</v>
      </c>
      <c r="J74" s="27">
        <v>22</v>
      </c>
      <c r="K74" s="21" t="s">
        <v>935</v>
      </c>
      <c r="L74" s="21" t="s">
        <v>702</v>
      </c>
    </row>
    <row r="75" spans="1:12" ht="28">
      <c r="A75" s="21" t="s">
        <v>926</v>
      </c>
      <c r="B75" s="21" t="s">
        <v>927</v>
      </c>
      <c r="C75" s="21" t="s">
        <v>688</v>
      </c>
      <c r="D75" s="22">
        <v>2013</v>
      </c>
      <c r="E75" s="22">
        <v>2017</v>
      </c>
      <c r="F75" s="22">
        <v>4</v>
      </c>
      <c r="G75" s="21" t="s">
        <v>181</v>
      </c>
      <c r="H75" s="21" t="s">
        <v>936</v>
      </c>
      <c r="I75" s="27">
        <v>11</v>
      </c>
      <c r="J75" s="27">
        <v>11</v>
      </c>
      <c r="K75" s="21" t="s">
        <v>935</v>
      </c>
      <c r="L75" s="21" t="s">
        <v>702</v>
      </c>
    </row>
    <row r="76" spans="1:12" ht="28">
      <c r="A76" s="21" t="s">
        <v>926</v>
      </c>
      <c r="B76" s="21" t="s">
        <v>927</v>
      </c>
      <c r="C76" s="21" t="s">
        <v>688</v>
      </c>
      <c r="D76" s="22">
        <v>2013</v>
      </c>
      <c r="E76" s="22">
        <v>2018</v>
      </c>
      <c r="F76" s="22">
        <v>5</v>
      </c>
      <c r="G76" s="21" t="s">
        <v>181</v>
      </c>
      <c r="H76" s="21" t="s">
        <v>936</v>
      </c>
      <c r="I76" s="27">
        <v>6</v>
      </c>
      <c r="J76" s="27">
        <v>12</v>
      </c>
      <c r="K76" s="21" t="s">
        <v>935</v>
      </c>
      <c r="L76" s="21" t="s">
        <v>702</v>
      </c>
    </row>
    <row r="77" spans="1:12" ht="28">
      <c r="A77" s="21" t="s">
        <v>926</v>
      </c>
      <c r="B77" s="21" t="s">
        <v>927</v>
      </c>
      <c r="C77" s="21" t="s">
        <v>688</v>
      </c>
      <c r="D77" s="22">
        <v>2013</v>
      </c>
      <c r="E77" s="22">
        <v>2019</v>
      </c>
      <c r="F77" s="22">
        <v>6</v>
      </c>
      <c r="G77" s="21" t="s">
        <v>181</v>
      </c>
      <c r="H77" s="21" t="s">
        <v>936</v>
      </c>
      <c r="I77" s="27">
        <v>8</v>
      </c>
      <c r="J77" s="27">
        <v>29</v>
      </c>
      <c r="K77" s="21" t="s">
        <v>935</v>
      </c>
      <c r="L77" s="21" t="s">
        <v>702</v>
      </c>
    </row>
  </sheetData>
  <mergeCells count="1">
    <mergeCell ref="A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178"/>
  <sheetViews>
    <sheetView tabSelected="1" topLeftCell="A170" workbookViewId="0">
      <selection sqref="A1:U1"/>
    </sheetView>
  </sheetViews>
  <sheetFormatPr defaultRowHeight="14"/>
  <cols>
    <col min="1" max="1" width="32" customWidth="1"/>
    <col min="2" max="2" width="27" customWidth="1"/>
    <col min="3" max="3" width="12" customWidth="1"/>
    <col min="4" max="4" width="17" customWidth="1"/>
    <col min="5" max="5" width="34" customWidth="1"/>
    <col min="6" max="6" width="10" customWidth="1"/>
    <col min="7" max="7" width="20" customWidth="1"/>
    <col min="8" max="8" width="16" customWidth="1"/>
    <col min="9" max="10" width="12" customWidth="1"/>
    <col min="11" max="11" width="9" customWidth="1"/>
    <col min="12" max="12" width="21" customWidth="1"/>
    <col min="13" max="14" width="36" customWidth="1"/>
    <col min="15" max="15" width="48" customWidth="1"/>
    <col min="16" max="16" width="17" customWidth="1"/>
    <col min="17" max="17" width="16" customWidth="1"/>
    <col min="18" max="19" width="42" customWidth="1"/>
    <col min="20" max="20" width="18" customWidth="1"/>
    <col min="21" max="21" width="32" customWidth="1"/>
  </cols>
  <sheetData>
    <row r="1" spans="1:21" ht="18.649999999999999" customHeight="1">
      <c r="A1" s="32" t="s">
        <v>937</v>
      </c>
      <c r="B1" s="32"/>
      <c r="C1" s="32"/>
      <c r="D1" s="32"/>
      <c r="E1" s="32"/>
      <c r="F1" s="32"/>
      <c r="G1" s="32"/>
      <c r="H1" s="32"/>
      <c r="I1" s="32"/>
      <c r="J1" s="32"/>
      <c r="K1" s="32"/>
      <c r="L1" s="32"/>
      <c r="M1" s="32"/>
      <c r="N1" s="32"/>
      <c r="O1" s="32"/>
      <c r="P1" s="32"/>
      <c r="Q1" s="32"/>
      <c r="R1" s="32"/>
      <c r="S1" s="32"/>
      <c r="T1" s="32"/>
      <c r="U1" s="32"/>
    </row>
    <row r="2" spans="1:21" ht="18.649999999999999" customHeight="1">
      <c r="A2" s="26" t="s">
        <v>15</v>
      </c>
      <c r="B2" s="26" t="s">
        <v>896</v>
      </c>
      <c r="C2" s="26" t="s">
        <v>11</v>
      </c>
      <c r="D2" s="26" t="s">
        <v>938</v>
      </c>
      <c r="E2" s="26" t="s">
        <v>939</v>
      </c>
      <c r="F2" s="26" t="s">
        <v>12</v>
      </c>
      <c r="G2" s="26" t="s">
        <v>940</v>
      </c>
      <c r="H2" s="26" t="s">
        <v>941</v>
      </c>
      <c r="I2" s="26" t="s">
        <v>942</v>
      </c>
      <c r="J2" s="26" t="s">
        <v>943</v>
      </c>
      <c r="K2" s="26" t="s">
        <v>944</v>
      </c>
      <c r="L2" s="26" t="s">
        <v>945</v>
      </c>
      <c r="M2" s="26" t="s">
        <v>946</v>
      </c>
      <c r="N2" s="26" t="s">
        <v>947</v>
      </c>
      <c r="O2" s="26" t="s">
        <v>948</v>
      </c>
      <c r="P2" s="26" t="s">
        <v>949</v>
      </c>
      <c r="Q2" s="26" t="s">
        <v>950</v>
      </c>
      <c r="R2" s="26" t="s">
        <v>951</v>
      </c>
      <c r="S2" s="26" t="s">
        <v>952</v>
      </c>
      <c r="T2" s="26" t="s">
        <v>953</v>
      </c>
      <c r="U2" s="26" t="s">
        <v>954</v>
      </c>
    </row>
    <row r="3" spans="1:21" ht="112">
      <c r="A3" s="21" t="s">
        <v>905</v>
      </c>
      <c r="B3" s="21" t="s">
        <v>906</v>
      </c>
      <c r="C3" s="21"/>
      <c r="D3" s="21" t="s">
        <v>180</v>
      </c>
      <c r="E3" s="21" t="s">
        <v>955</v>
      </c>
      <c r="F3" s="21" t="s">
        <v>956</v>
      </c>
      <c r="G3" s="21" t="s">
        <v>957</v>
      </c>
      <c r="H3" s="28">
        <v>45153</v>
      </c>
      <c r="I3" s="22">
        <v>2023</v>
      </c>
      <c r="J3" s="21" t="s">
        <v>958</v>
      </c>
      <c r="K3" s="21" t="s">
        <v>959</v>
      </c>
      <c r="L3" s="21" t="s">
        <v>960</v>
      </c>
      <c r="M3" s="21" t="s">
        <v>961</v>
      </c>
      <c r="N3" s="21" t="s">
        <v>962</v>
      </c>
      <c r="O3" s="21" t="s">
        <v>963</v>
      </c>
      <c r="P3" s="27">
        <v>0</v>
      </c>
      <c r="Q3" s="27">
        <v>29</v>
      </c>
      <c r="R3" s="21" t="s">
        <v>964</v>
      </c>
      <c r="S3" s="21" t="s">
        <v>965</v>
      </c>
      <c r="T3" s="21" t="s">
        <v>966</v>
      </c>
      <c r="U3" s="21" t="s">
        <v>967</v>
      </c>
    </row>
    <row r="4" spans="1:21" ht="70">
      <c r="A4" s="21" t="s">
        <v>905</v>
      </c>
      <c r="B4" s="21" t="s">
        <v>906</v>
      </c>
      <c r="C4" s="21"/>
      <c r="D4" s="21" t="s">
        <v>180</v>
      </c>
      <c r="E4" s="21" t="s">
        <v>955</v>
      </c>
      <c r="F4" s="21" t="s">
        <v>968</v>
      </c>
      <c r="G4" s="21" t="s">
        <v>969</v>
      </c>
      <c r="H4" s="28">
        <v>43277</v>
      </c>
      <c r="I4" s="22">
        <v>2018</v>
      </c>
      <c r="J4" s="21" t="s">
        <v>958</v>
      </c>
      <c r="K4" s="21" t="s">
        <v>959</v>
      </c>
      <c r="L4" s="21" t="s">
        <v>970</v>
      </c>
      <c r="M4" s="21" t="s">
        <v>971</v>
      </c>
      <c r="N4" s="21" t="s">
        <v>972</v>
      </c>
      <c r="O4" s="21" t="s">
        <v>973</v>
      </c>
      <c r="P4" s="27">
        <v>0</v>
      </c>
      <c r="Q4" s="27">
        <v>4</v>
      </c>
      <c r="R4" s="21" t="s">
        <v>974</v>
      </c>
      <c r="S4" s="21" t="s">
        <v>975</v>
      </c>
      <c r="T4" s="21" t="s">
        <v>966</v>
      </c>
      <c r="U4" s="21" t="s">
        <v>976</v>
      </c>
    </row>
    <row r="5" spans="1:21" ht="112">
      <c r="A5" s="21" t="s">
        <v>905</v>
      </c>
      <c r="B5" s="21" t="s">
        <v>906</v>
      </c>
      <c r="C5" s="21"/>
      <c r="D5" s="21" t="s">
        <v>180</v>
      </c>
      <c r="E5" s="21" t="s">
        <v>955</v>
      </c>
      <c r="F5" s="21" t="s">
        <v>977</v>
      </c>
      <c r="G5" s="21" t="s">
        <v>978</v>
      </c>
      <c r="H5" s="28">
        <v>43143</v>
      </c>
      <c r="I5" s="22">
        <v>2018</v>
      </c>
      <c r="J5" s="21" t="s">
        <v>958</v>
      </c>
      <c r="K5" s="21" t="s">
        <v>959</v>
      </c>
      <c r="L5" s="21" t="s">
        <v>979</v>
      </c>
      <c r="M5" s="21" t="s">
        <v>971</v>
      </c>
      <c r="N5" s="21" t="s">
        <v>980</v>
      </c>
      <c r="O5" s="21" t="s">
        <v>981</v>
      </c>
      <c r="P5" s="27">
        <v>0</v>
      </c>
      <c r="Q5" s="27">
        <v>5</v>
      </c>
      <c r="R5" s="21" t="s">
        <v>982</v>
      </c>
      <c r="S5" s="21" t="s">
        <v>983</v>
      </c>
      <c r="T5" s="21" t="s">
        <v>966</v>
      </c>
      <c r="U5" s="21" t="s">
        <v>984</v>
      </c>
    </row>
    <row r="6" spans="1:21" ht="70">
      <c r="A6" s="21" t="s">
        <v>905</v>
      </c>
      <c r="B6" s="21" t="s">
        <v>906</v>
      </c>
      <c r="C6" s="21"/>
      <c r="D6" s="21" t="s">
        <v>180</v>
      </c>
      <c r="E6" s="21" t="s">
        <v>955</v>
      </c>
      <c r="F6" s="21" t="s">
        <v>985</v>
      </c>
      <c r="G6" s="21" t="s">
        <v>986</v>
      </c>
      <c r="H6" s="28">
        <v>44379</v>
      </c>
      <c r="I6" s="22">
        <v>2021</v>
      </c>
      <c r="J6" s="21" t="s">
        <v>958</v>
      </c>
      <c r="K6" s="21" t="s">
        <v>987</v>
      </c>
      <c r="L6" s="21" t="s">
        <v>988</v>
      </c>
      <c r="M6" s="21" t="s">
        <v>989</v>
      </c>
      <c r="N6" s="21" t="s">
        <v>990</v>
      </c>
      <c r="O6" s="21" t="s">
        <v>991</v>
      </c>
      <c r="P6" s="27">
        <v>0</v>
      </c>
      <c r="Q6" s="27">
        <v>39</v>
      </c>
      <c r="R6" s="21" t="s">
        <v>992</v>
      </c>
      <c r="S6" s="21" t="s">
        <v>993</v>
      </c>
      <c r="T6" s="21" t="s">
        <v>994</v>
      </c>
      <c r="U6" s="21" t="s">
        <v>995</v>
      </c>
    </row>
    <row r="7" spans="1:21" ht="126">
      <c r="A7" s="21" t="s">
        <v>905</v>
      </c>
      <c r="B7" s="21" t="s">
        <v>906</v>
      </c>
      <c r="C7" s="21"/>
      <c r="D7" s="21" t="s">
        <v>180</v>
      </c>
      <c r="E7" s="21" t="s">
        <v>955</v>
      </c>
      <c r="F7" s="21" t="s">
        <v>996</v>
      </c>
      <c r="G7" s="21" t="s">
        <v>997</v>
      </c>
      <c r="H7" s="28">
        <v>44923</v>
      </c>
      <c r="I7" s="22">
        <v>2022</v>
      </c>
      <c r="J7" s="21" t="s">
        <v>958</v>
      </c>
      <c r="K7" s="21" t="s">
        <v>998</v>
      </c>
      <c r="L7" s="21" t="s">
        <v>999</v>
      </c>
      <c r="M7" s="21" t="s">
        <v>989</v>
      </c>
      <c r="N7" s="21" t="s">
        <v>990</v>
      </c>
      <c r="O7" s="21" t="s">
        <v>1000</v>
      </c>
      <c r="P7" s="27">
        <v>0</v>
      </c>
      <c r="Q7" s="27">
        <v>9</v>
      </c>
      <c r="R7" s="21" t="s">
        <v>1001</v>
      </c>
      <c r="S7" s="21" t="s">
        <v>1002</v>
      </c>
      <c r="T7" s="21" t="s">
        <v>994</v>
      </c>
      <c r="U7" s="21" t="s">
        <v>1003</v>
      </c>
    </row>
    <row r="8" spans="1:21" ht="70">
      <c r="A8" s="21" t="s">
        <v>905</v>
      </c>
      <c r="B8" s="21" t="s">
        <v>906</v>
      </c>
      <c r="C8" s="21"/>
      <c r="D8" s="21" t="s">
        <v>180</v>
      </c>
      <c r="E8" s="21" t="s">
        <v>955</v>
      </c>
      <c r="F8" s="21" t="s">
        <v>1004</v>
      </c>
      <c r="G8" s="21" t="s">
        <v>1005</v>
      </c>
      <c r="H8" s="28">
        <v>44923</v>
      </c>
      <c r="I8" s="22">
        <v>2022</v>
      </c>
      <c r="J8" s="21" t="s">
        <v>958</v>
      </c>
      <c r="K8" s="21" t="s">
        <v>998</v>
      </c>
      <c r="L8" s="21" t="s">
        <v>1006</v>
      </c>
      <c r="M8" s="21" t="s">
        <v>989</v>
      </c>
      <c r="N8" s="21" t="s">
        <v>990</v>
      </c>
      <c r="O8" s="21" t="s">
        <v>991</v>
      </c>
      <c r="P8" s="27">
        <v>0</v>
      </c>
      <c r="Q8" s="27">
        <v>7</v>
      </c>
      <c r="R8" s="21" t="s">
        <v>1007</v>
      </c>
      <c r="S8" s="21" t="s">
        <v>1008</v>
      </c>
      <c r="T8" s="21" t="s">
        <v>994</v>
      </c>
      <c r="U8" s="21" t="s">
        <v>1009</v>
      </c>
    </row>
    <row r="9" spans="1:21" ht="70">
      <c r="A9" s="21" t="s">
        <v>905</v>
      </c>
      <c r="B9" s="21" t="s">
        <v>906</v>
      </c>
      <c r="C9" s="21"/>
      <c r="D9" s="21" t="s">
        <v>180</v>
      </c>
      <c r="E9" s="21" t="s">
        <v>955</v>
      </c>
      <c r="F9" s="21" t="s">
        <v>1010</v>
      </c>
      <c r="G9" s="21" t="s">
        <v>1011</v>
      </c>
      <c r="H9" s="28">
        <v>44911</v>
      </c>
      <c r="I9" s="22">
        <v>2022</v>
      </c>
      <c r="J9" s="21" t="s">
        <v>1012</v>
      </c>
      <c r="K9" s="21" t="s">
        <v>1013</v>
      </c>
      <c r="L9" s="21" t="s">
        <v>1014</v>
      </c>
      <c r="M9" s="21" t="s">
        <v>961</v>
      </c>
      <c r="N9" s="21" t="s">
        <v>1015</v>
      </c>
      <c r="O9" s="21" t="s">
        <v>1016</v>
      </c>
      <c r="P9" s="27">
        <v>0</v>
      </c>
      <c r="Q9" s="27">
        <v>20</v>
      </c>
      <c r="R9" s="21" t="s">
        <v>1017</v>
      </c>
      <c r="S9" s="21" t="s">
        <v>1018</v>
      </c>
      <c r="T9" s="21" t="s">
        <v>966</v>
      </c>
      <c r="U9" s="21" t="s">
        <v>1019</v>
      </c>
    </row>
    <row r="10" spans="1:21" ht="56">
      <c r="A10" s="21" t="s">
        <v>905</v>
      </c>
      <c r="B10" s="21" t="s">
        <v>906</v>
      </c>
      <c r="C10" s="21"/>
      <c r="D10" s="21" t="s">
        <v>180</v>
      </c>
      <c r="E10" s="21" t="s">
        <v>955</v>
      </c>
      <c r="F10" s="21" t="s">
        <v>1020</v>
      </c>
      <c r="G10" s="21" t="s">
        <v>1021</v>
      </c>
      <c r="H10" s="28">
        <v>44700</v>
      </c>
      <c r="I10" s="22">
        <v>2022</v>
      </c>
      <c r="J10" s="21" t="s">
        <v>1012</v>
      </c>
      <c r="K10" s="21" t="s">
        <v>998</v>
      </c>
      <c r="L10" s="21" t="s">
        <v>1022</v>
      </c>
      <c r="M10" s="21" t="s">
        <v>961</v>
      </c>
      <c r="N10" s="21" t="s">
        <v>1023</v>
      </c>
      <c r="O10" s="21" t="s">
        <v>1024</v>
      </c>
      <c r="P10" s="27">
        <v>0</v>
      </c>
      <c r="Q10" s="27">
        <v>5</v>
      </c>
      <c r="R10" s="21" t="s">
        <v>1025</v>
      </c>
      <c r="S10" s="21" t="s">
        <v>1026</v>
      </c>
      <c r="T10" s="21" t="s">
        <v>994</v>
      </c>
      <c r="U10" s="21" t="s">
        <v>1027</v>
      </c>
    </row>
    <row r="11" spans="1:21" ht="56">
      <c r="A11" s="21" t="s">
        <v>905</v>
      </c>
      <c r="B11" s="21" t="s">
        <v>906</v>
      </c>
      <c r="C11" s="21"/>
      <c r="D11" s="21" t="s">
        <v>180</v>
      </c>
      <c r="E11" s="21" t="s">
        <v>955</v>
      </c>
      <c r="F11" s="21" t="s">
        <v>1028</v>
      </c>
      <c r="G11" s="21" t="s">
        <v>1029</v>
      </c>
      <c r="H11" s="28">
        <v>43148</v>
      </c>
      <c r="I11" s="22">
        <v>2018</v>
      </c>
      <c r="J11" s="21" t="s">
        <v>1012</v>
      </c>
      <c r="K11" s="21" t="s">
        <v>998</v>
      </c>
      <c r="L11" s="21" t="s">
        <v>1030</v>
      </c>
      <c r="M11" s="21" t="s">
        <v>961</v>
      </c>
      <c r="N11" s="21" t="s">
        <v>1031</v>
      </c>
      <c r="O11" s="21" t="s">
        <v>1032</v>
      </c>
      <c r="P11" s="27">
        <v>0</v>
      </c>
      <c r="Q11" s="27">
        <v>59</v>
      </c>
      <c r="R11" s="21" t="s">
        <v>1033</v>
      </c>
      <c r="S11" s="21" t="s">
        <v>1034</v>
      </c>
      <c r="T11" s="21" t="s">
        <v>994</v>
      </c>
      <c r="U11" s="21" t="s">
        <v>1035</v>
      </c>
    </row>
    <row r="12" spans="1:21" ht="56">
      <c r="A12" s="21" t="s">
        <v>905</v>
      </c>
      <c r="B12" s="21" t="s">
        <v>906</v>
      </c>
      <c r="C12" s="21"/>
      <c r="D12" s="21" t="s">
        <v>180</v>
      </c>
      <c r="E12" s="21" t="s">
        <v>955</v>
      </c>
      <c r="F12" s="21" t="s">
        <v>1036</v>
      </c>
      <c r="G12" s="21" t="s">
        <v>1037</v>
      </c>
      <c r="H12" s="28">
        <v>43504</v>
      </c>
      <c r="I12" s="22">
        <v>2019</v>
      </c>
      <c r="J12" s="21" t="s">
        <v>1012</v>
      </c>
      <c r="K12" s="21" t="s">
        <v>1013</v>
      </c>
      <c r="L12" s="21" t="s">
        <v>1038</v>
      </c>
      <c r="M12" s="21" t="s">
        <v>961</v>
      </c>
      <c r="N12" s="21" t="s">
        <v>1039</v>
      </c>
      <c r="O12" s="21" t="s">
        <v>1040</v>
      </c>
      <c r="P12" s="27">
        <v>0</v>
      </c>
      <c r="Q12" s="27">
        <v>43</v>
      </c>
      <c r="R12" s="21" t="s">
        <v>1041</v>
      </c>
      <c r="S12" s="21" t="s">
        <v>1034</v>
      </c>
      <c r="T12" s="21" t="s">
        <v>966</v>
      </c>
      <c r="U12" s="21" t="s">
        <v>1042</v>
      </c>
    </row>
    <row r="13" spans="1:21" ht="28">
      <c r="A13" s="21" t="s">
        <v>905</v>
      </c>
      <c r="B13" s="21" t="s">
        <v>906</v>
      </c>
      <c r="C13" s="21"/>
      <c r="D13" s="21" t="s">
        <v>180</v>
      </c>
      <c r="E13" s="21" t="s">
        <v>955</v>
      </c>
      <c r="F13" s="21" t="s">
        <v>1043</v>
      </c>
      <c r="G13" s="21" t="s">
        <v>1044</v>
      </c>
      <c r="H13" s="28">
        <v>44722</v>
      </c>
      <c r="I13" s="22">
        <v>2022</v>
      </c>
      <c r="J13" s="21" t="s">
        <v>1012</v>
      </c>
      <c r="K13" s="21" t="s">
        <v>998</v>
      </c>
      <c r="L13" s="21" t="s">
        <v>1045</v>
      </c>
      <c r="M13" s="21" t="s">
        <v>961</v>
      </c>
      <c r="N13" s="21" t="s">
        <v>1046</v>
      </c>
      <c r="O13" s="21" t="s">
        <v>1047</v>
      </c>
      <c r="P13" s="27">
        <v>0</v>
      </c>
      <c r="Q13" s="27">
        <v>9</v>
      </c>
      <c r="R13" s="21" t="s">
        <v>1048</v>
      </c>
      <c r="S13" s="21" t="s">
        <v>1049</v>
      </c>
      <c r="T13" s="21" t="s">
        <v>994</v>
      </c>
      <c r="U13" s="21" t="s">
        <v>1050</v>
      </c>
    </row>
    <row r="14" spans="1:21" ht="98">
      <c r="A14" s="21" t="s">
        <v>905</v>
      </c>
      <c r="B14" s="21" t="s">
        <v>906</v>
      </c>
      <c r="C14" s="21"/>
      <c r="D14" s="21" t="s">
        <v>180</v>
      </c>
      <c r="E14" s="21" t="s">
        <v>955</v>
      </c>
      <c r="F14" s="21" t="s">
        <v>1051</v>
      </c>
      <c r="G14" s="21" t="s">
        <v>1052</v>
      </c>
      <c r="H14" s="28">
        <v>44692</v>
      </c>
      <c r="I14" s="22">
        <v>2022</v>
      </c>
      <c r="J14" s="21" t="s">
        <v>1012</v>
      </c>
      <c r="K14" s="21" t="s">
        <v>998</v>
      </c>
      <c r="L14" s="21" t="s">
        <v>1053</v>
      </c>
      <c r="M14" s="21" t="s">
        <v>1054</v>
      </c>
      <c r="N14" s="21" t="s">
        <v>1055</v>
      </c>
      <c r="O14" s="21" t="s">
        <v>1056</v>
      </c>
      <c r="P14" s="27">
        <v>0</v>
      </c>
      <c r="Q14" s="27">
        <v>6</v>
      </c>
      <c r="R14" s="21" t="s">
        <v>1057</v>
      </c>
      <c r="S14" s="21" t="s">
        <v>1058</v>
      </c>
      <c r="T14" s="21" t="s">
        <v>994</v>
      </c>
      <c r="U14" s="21" t="s">
        <v>1059</v>
      </c>
    </row>
    <row r="15" spans="1:21" ht="56">
      <c r="A15" s="21" t="s">
        <v>905</v>
      </c>
      <c r="B15" s="21" t="s">
        <v>906</v>
      </c>
      <c r="C15" s="21"/>
      <c r="D15" s="21" t="s">
        <v>180</v>
      </c>
      <c r="E15" s="21" t="s">
        <v>955</v>
      </c>
      <c r="F15" s="21" t="s">
        <v>1060</v>
      </c>
      <c r="G15" s="21" t="s">
        <v>1061</v>
      </c>
      <c r="H15" s="28">
        <v>44007</v>
      </c>
      <c r="I15" s="22">
        <v>2020</v>
      </c>
      <c r="J15" s="21" t="s">
        <v>1012</v>
      </c>
      <c r="K15" s="21" t="s">
        <v>1013</v>
      </c>
      <c r="L15" s="21" t="s">
        <v>1062</v>
      </c>
      <c r="M15" s="21" t="s">
        <v>961</v>
      </c>
      <c r="N15" s="21" t="s">
        <v>1063</v>
      </c>
      <c r="O15" s="21" t="s">
        <v>1064</v>
      </c>
      <c r="P15" s="27">
        <v>0</v>
      </c>
      <c r="Q15" s="27">
        <v>38</v>
      </c>
      <c r="R15" s="21" t="s">
        <v>1065</v>
      </c>
      <c r="S15" s="21" t="s">
        <v>1066</v>
      </c>
      <c r="T15" s="21" t="s">
        <v>966</v>
      </c>
      <c r="U15" s="21" t="s">
        <v>1067</v>
      </c>
    </row>
    <row r="16" spans="1:21" ht="84">
      <c r="A16" s="21" t="s">
        <v>905</v>
      </c>
      <c r="B16" s="21" t="s">
        <v>906</v>
      </c>
      <c r="C16" s="21"/>
      <c r="D16" s="21" t="s">
        <v>180</v>
      </c>
      <c r="E16" s="21" t="s">
        <v>955</v>
      </c>
      <c r="F16" s="21" t="s">
        <v>1068</v>
      </c>
      <c r="G16" s="21" t="s">
        <v>1069</v>
      </c>
      <c r="H16" s="28">
        <v>44680</v>
      </c>
      <c r="I16" s="22">
        <v>2022</v>
      </c>
      <c r="J16" s="21" t="s">
        <v>1012</v>
      </c>
      <c r="K16" s="21" t="s">
        <v>998</v>
      </c>
      <c r="L16" s="21" t="s">
        <v>1070</v>
      </c>
      <c r="M16" s="21" t="s">
        <v>1071</v>
      </c>
      <c r="N16" s="21" t="s">
        <v>1072</v>
      </c>
      <c r="O16" s="21" t="s">
        <v>1073</v>
      </c>
      <c r="P16" s="27">
        <v>0</v>
      </c>
      <c r="Q16" s="27">
        <v>23</v>
      </c>
      <c r="R16" s="21" t="s">
        <v>1074</v>
      </c>
      <c r="S16" s="21" t="s">
        <v>1075</v>
      </c>
      <c r="T16" s="21" t="s">
        <v>994</v>
      </c>
      <c r="U16" s="21" t="s">
        <v>1076</v>
      </c>
    </row>
    <row r="17" spans="1:21" ht="56">
      <c r="A17" s="21" t="s">
        <v>905</v>
      </c>
      <c r="B17" s="21" t="s">
        <v>906</v>
      </c>
      <c r="C17" s="21"/>
      <c r="D17" s="21" t="s">
        <v>180</v>
      </c>
      <c r="E17" s="21" t="s">
        <v>955</v>
      </c>
      <c r="F17" s="21" t="s">
        <v>1077</v>
      </c>
      <c r="G17" s="21" t="s">
        <v>1078</v>
      </c>
      <c r="H17" s="28">
        <v>44895</v>
      </c>
      <c r="I17" s="22">
        <v>2022</v>
      </c>
      <c r="J17" s="21" t="s">
        <v>1012</v>
      </c>
      <c r="K17" s="21" t="s">
        <v>998</v>
      </c>
      <c r="L17" s="21" t="s">
        <v>1079</v>
      </c>
      <c r="M17" s="21" t="s">
        <v>1054</v>
      </c>
      <c r="N17" s="21" t="s">
        <v>1080</v>
      </c>
      <c r="O17" s="21" t="s">
        <v>1081</v>
      </c>
      <c r="P17" s="27">
        <v>0</v>
      </c>
      <c r="Q17" s="27">
        <v>6</v>
      </c>
      <c r="R17" s="21" t="s">
        <v>1082</v>
      </c>
      <c r="S17" s="21" t="s">
        <v>1083</v>
      </c>
      <c r="T17" s="21" t="s">
        <v>994</v>
      </c>
      <c r="U17" s="21" t="s">
        <v>1084</v>
      </c>
    </row>
    <row r="18" spans="1:21" ht="84">
      <c r="A18" s="21" t="s">
        <v>905</v>
      </c>
      <c r="B18" s="21" t="s">
        <v>906</v>
      </c>
      <c r="C18" s="21"/>
      <c r="D18" s="21" t="s">
        <v>180</v>
      </c>
      <c r="E18" s="21" t="s">
        <v>955</v>
      </c>
      <c r="F18" s="21" t="s">
        <v>1085</v>
      </c>
      <c r="G18" s="21" t="s">
        <v>1086</v>
      </c>
      <c r="H18" s="28">
        <v>44901</v>
      </c>
      <c r="I18" s="22">
        <v>2022</v>
      </c>
      <c r="J18" s="21" t="s">
        <v>1012</v>
      </c>
      <c r="K18" s="21" t="s">
        <v>1013</v>
      </c>
      <c r="L18" s="21" t="s">
        <v>1087</v>
      </c>
      <c r="M18" s="21" t="s">
        <v>961</v>
      </c>
      <c r="N18" s="21" t="s">
        <v>1088</v>
      </c>
      <c r="O18" s="21" t="s">
        <v>1089</v>
      </c>
      <c r="P18" s="27">
        <v>0</v>
      </c>
      <c r="Q18" s="27">
        <v>20</v>
      </c>
      <c r="R18" s="21" t="s">
        <v>1090</v>
      </c>
      <c r="S18" s="21" t="s">
        <v>1091</v>
      </c>
      <c r="T18" s="21" t="s">
        <v>966</v>
      </c>
      <c r="U18" s="21" t="s">
        <v>1092</v>
      </c>
    </row>
    <row r="19" spans="1:21" ht="98">
      <c r="A19" s="21" t="s">
        <v>905</v>
      </c>
      <c r="B19" s="21" t="s">
        <v>906</v>
      </c>
      <c r="C19" s="21"/>
      <c r="D19" s="21" t="s">
        <v>180</v>
      </c>
      <c r="E19" s="21" t="s">
        <v>955</v>
      </c>
      <c r="F19" s="21" t="s">
        <v>1093</v>
      </c>
      <c r="G19" s="21" t="s">
        <v>1094</v>
      </c>
      <c r="H19" s="28">
        <v>44039</v>
      </c>
      <c r="I19" s="22">
        <v>2020</v>
      </c>
      <c r="J19" s="21" t="s">
        <v>1012</v>
      </c>
      <c r="K19" s="21" t="s">
        <v>1013</v>
      </c>
      <c r="L19" s="21" t="s">
        <v>1095</v>
      </c>
      <c r="M19" s="21" t="s">
        <v>961</v>
      </c>
      <c r="N19" s="21" t="s">
        <v>1096</v>
      </c>
      <c r="O19" s="21" t="s">
        <v>1097</v>
      </c>
      <c r="P19" s="27">
        <v>0</v>
      </c>
      <c r="Q19" s="27">
        <v>53</v>
      </c>
      <c r="R19" s="21" t="s">
        <v>1098</v>
      </c>
      <c r="S19" s="21" t="s">
        <v>1099</v>
      </c>
      <c r="T19" s="21" t="s">
        <v>966</v>
      </c>
      <c r="U19" s="21" t="s">
        <v>1100</v>
      </c>
    </row>
    <row r="20" spans="1:21" ht="84">
      <c r="A20" s="21" t="s">
        <v>905</v>
      </c>
      <c r="B20" s="21" t="s">
        <v>906</v>
      </c>
      <c r="C20" s="21"/>
      <c r="D20" s="21" t="s">
        <v>180</v>
      </c>
      <c r="E20" s="21" t="s">
        <v>955</v>
      </c>
      <c r="F20" s="21" t="s">
        <v>1101</v>
      </c>
      <c r="G20" s="21" t="s">
        <v>1102</v>
      </c>
      <c r="H20" s="28">
        <v>43529</v>
      </c>
      <c r="I20" s="22">
        <v>2019</v>
      </c>
      <c r="J20" s="21" t="s">
        <v>1012</v>
      </c>
      <c r="K20" s="21" t="s">
        <v>1013</v>
      </c>
      <c r="L20" s="21" t="s">
        <v>1103</v>
      </c>
      <c r="M20" s="21" t="s">
        <v>961</v>
      </c>
      <c r="N20" s="21" t="s">
        <v>1104</v>
      </c>
      <c r="O20" s="21" t="s">
        <v>1105</v>
      </c>
      <c r="P20" s="27">
        <v>0</v>
      </c>
      <c r="Q20" s="27">
        <v>34</v>
      </c>
      <c r="R20" s="21" t="s">
        <v>1106</v>
      </c>
      <c r="S20" s="21" t="s">
        <v>1107</v>
      </c>
      <c r="T20" s="21" t="s">
        <v>966</v>
      </c>
      <c r="U20" s="21" t="s">
        <v>1108</v>
      </c>
    </row>
    <row r="21" spans="1:21" ht="70">
      <c r="A21" s="21" t="s">
        <v>905</v>
      </c>
      <c r="B21" s="21" t="s">
        <v>906</v>
      </c>
      <c r="C21" s="21"/>
      <c r="D21" s="21" t="s">
        <v>180</v>
      </c>
      <c r="E21" s="21" t="s">
        <v>955</v>
      </c>
      <c r="F21" s="21" t="s">
        <v>1109</v>
      </c>
      <c r="G21" s="21" t="s">
        <v>1110</v>
      </c>
      <c r="H21" s="28">
        <v>44022</v>
      </c>
      <c r="I21" s="22">
        <v>2020</v>
      </c>
      <c r="J21" s="21" t="s">
        <v>1012</v>
      </c>
      <c r="K21" s="21" t="s">
        <v>1013</v>
      </c>
      <c r="L21" s="21" t="s">
        <v>1111</v>
      </c>
      <c r="M21" s="21" t="s">
        <v>961</v>
      </c>
      <c r="N21" s="21" t="s">
        <v>1112</v>
      </c>
      <c r="O21" s="21" t="s">
        <v>1113</v>
      </c>
      <c r="P21" s="27">
        <v>0</v>
      </c>
      <c r="Q21" s="27">
        <v>31</v>
      </c>
      <c r="R21" s="21" t="s">
        <v>1114</v>
      </c>
      <c r="S21" s="21" t="s">
        <v>1115</v>
      </c>
      <c r="T21" s="21" t="s">
        <v>966</v>
      </c>
      <c r="U21" s="21" t="s">
        <v>1116</v>
      </c>
    </row>
    <row r="22" spans="1:21" ht="84">
      <c r="A22" s="21" t="s">
        <v>905</v>
      </c>
      <c r="B22" s="21" t="s">
        <v>906</v>
      </c>
      <c r="C22" s="21"/>
      <c r="D22" s="21" t="s">
        <v>180</v>
      </c>
      <c r="E22" s="21" t="s">
        <v>955</v>
      </c>
      <c r="F22" s="21" t="s">
        <v>1117</v>
      </c>
      <c r="G22" s="21" t="s">
        <v>1118</v>
      </c>
      <c r="H22" s="28">
        <v>43980</v>
      </c>
      <c r="I22" s="22">
        <v>2020</v>
      </c>
      <c r="J22" s="21" t="s">
        <v>1012</v>
      </c>
      <c r="K22" s="21" t="s">
        <v>1013</v>
      </c>
      <c r="L22" s="21" t="s">
        <v>1119</v>
      </c>
      <c r="M22" s="21" t="s">
        <v>961</v>
      </c>
      <c r="N22" s="21" t="s">
        <v>1120</v>
      </c>
      <c r="O22" s="21" t="s">
        <v>1121</v>
      </c>
      <c r="P22" s="27">
        <v>1</v>
      </c>
      <c r="Q22" s="27">
        <v>15</v>
      </c>
      <c r="R22" s="21" t="s">
        <v>1122</v>
      </c>
      <c r="S22" s="21" t="s">
        <v>1123</v>
      </c>
      <c r="T22" s="21" t="s">
        <v>966</v>
      </c>
      <c r="U22" s="21" t="s">
        <v>1124</v>
      </c>
    </row>
    <row r="23" spans="1:21" ht="84">
      <c r="A23" s="21" t="s">
        <v>905</v>
      </c>
      <c r="B23" s="21" t="s">
        <v>906</v>
      </c>
      <c r="C23" s="21"/>
      <c r="D23" s="21" t="s">
        <v>180</v>
      </c>
      <c r="E23" s="21" t="s">
        <v>955</v>
      </c>
      <c r="F23" s="21" t="s">
        <v>1125</v>
      </c>
      <c r="G23" s="21" t="s">
        <v>1126</v>
      </c>
      <c r="H23" s="28">
        <v>44678</v>
      </c>
      <c r="I23" s="22">
        <v>2022</v>
      </c>
      <c r="J23" s="21" t="s">
        <v>1012</v>
      </c>
      <c r="K23" s="21" t="s">
        <v>998</v>
      </c>
      <c r="L23" s="21" t="s">
        <v>1127</v>
      </c>
      <c r="M23" s="21" t="s">
        <v>1054</v>
      </c>
      <c r="N23" s="21" t="s">
        <v>1128</v>
      </c>
      <c r="O23" s="21" t="s">
        <v>1129</v>
      </c>
      <c r="P23" s="27">
        <v>0</v>
      </c>
      <c r="Q23" s="27">
        <v>10</v>
      </c>
      <c r="R23" s="21" t="s">
        <v>1130</v>
      </c>
      <c r="S23" s="21" t="s">
        <v>1131</v>
      </c>
      <c r="T23" s="21" t="s">
        <v>994</v>
      </c>
      <c r="U23" s="21" t="s">
        <v>1132</v>
      </c>
    </row>
    <row r="24" spans="1:21" ht="140">
      <c r="A24" s="21" t="s">
        <v>905</v>
      </c>
      <c r="B24" s="21" t="s">
        <v>906</v>
      </c>
      <c r="C24" s="21"/>
      <c r="D24" s="21" t="s">
        <v>180</v>
      </c>
      <c r="E24" s="21" t="s">
        <v>955</v>
      </c>
      <c r="F24" s="21" t="s">
        <v>1133</v>
      </c>
      <c r="G24" s="21" t="s">
        <v>1134</v>
      </c>
      <c r="H24" s="28">
        <v>44853</v>
      </c>
      <c r="I24" s="22">
        <v>2022</v>
      </c>
      <c r="J24" s="21" t="s">
        <v>1012</v>
      </c>
      <c r="K24" s="21" t="s">
        <v>1013</v>
      </c>
      <c r="L24" s="21" t="s">
        <v>1135</v>
      </c>
      <c r="M24" s="21" t="s">
        <v>961</v>
      </c>
      <c r="N24" s="21" t="s">
        <v>1136</v>
      </c>
      <c r="O24" s="21" t="s">
        <v>1137</v>
      </c>
      <c r="P24" s="27">
        <v>0</v>
      </c>
      <c r="Q24" s="27">
        <v>19</v>
      </c>
      <c r="R24" s="21" t="s">
        <v>1138</v>
      </c>
      <c r="S24" s="21" t="s">
        <v>1139</v>
      </c>
      <c r="T24" s="21" t="s">
        <v>966</v>
      </c>
      <c r="U24" s="21" t="s">
        <v>1140</v>
      </c>
    </row>
    <row r="25" spans="1:21" ht="28">
      <c r="A25" s="21" t="s">
        <v>905</v>
      </c>
      <c r="B25" s="21" t="s">
        <v>906</v>
      </c>
      <c r="C25" s="21"/>
      <c r="D25" s="21" t="s">
        <v>180</v>
      </c>
      <c r="E25" s="21" t="s">
        <v>955</v>
      </c>
      <c r="F25" s="21" t="s">
        <v>1141</v>
      </c>
      <c r="G25" s="21" t="s">
        <v>1142</v>
      </c>
      <c r="H25" s="28">
        <v>44090</v>
      </c>
      <c r="I25" s="22">
        <v>2020</v>
      </c>
      <c r="J25" s="21" t="s">
        <v>1012</v>
      </c>
      <c r="K25" s="21" t="s">
        <v>998</v>
      </c>
      <c r="L25" s="21" t="s">
        <v>1143</v>
      </c>
      <c r="M25" s="21" t="s">
        <v>961</v>
      </c>
      <c r="N25" s="21" t="s">
        <v>1144</v>
      </c>
      <c r="O25" s="21" t="s">
        <v>1145</v>
      </c>
      <c r="P25" s="27">
        <v>0</v>
      </c>
      <c r="Q25" s="27">
        <v>5</v>
      </c>
      <c r="R25" s="21" t="s">
        <v>1146</v>
      </c>
      <c r="S25" s="21" t="s">
        <v>1147</v>
      </c>
      <c r="T25" s="21" t="s">
        <v>1148</v>
      </c>
      <c r="U25" s="21" t="s">
        <v>1149</v>
      </c>
    </row>
    <row r="26" spans="1:21" ht="56">
      <c r="A26" s="21" t="s">
        <v>905</v>
      </c>
      <c r="B26" s="21" t="s">
        <v>906</v>
      </c>
      <c r="C26" s="21"/>
      <c r="D26" s="21" t="s">
        <v>180</v>
      </c>
      <c r="E26" s="21" t="s">
        <v>955</v>
      </c>
      <c r="F26" s="21" t="s">
        <v>1150</v>
      </c>
      <c r="G26" s="21" t="s">
        <v>1151</v>
      </c>
      <c r="H26" s="28">
        <v>43837</v>
      </c>
      <c r="I26" s="22">
        <v>2020</v>
      </c>
      <c r="J26" s="21" t="s">
        <v>1012</v>
      </c>
      <c r="K26" s="21" t="s">
        <v>998</v>
      </c>
      <c r="L26" s="21" t="s">
        <v>1152</v>
      </c>
      <c r="M26" s="21" t="s">
        <v>961</v>
      </c>
      <c r="N26" s="21" t="s">
        <v>1153</v>
      </c>
      <c r="O26" s="21" t="s">
        <v>1154</v>
      </c>
      <c r="P26" s="27">
        <v>0</v>
      </c>
      <c r="Q26" s="27">
        <v>8</v>
      </c>
      <c r="R26" s="21" t="s">
        <v>1155</v>
      </c>
      <c r="S26" s="21" t="s">
        <v>1156</v>
      </c>
      <c r="T26" s="21" t="s">
        <v>1148</v>
      </c>
      <c r="U26" s="21" t="s">
        <v>1157</v>
      </c>
    </row>
    <row r="27" spans="1:21" ht="84">
      <c r="A27" s="21" t="s">
        <v>905</v>
      </c>
      <c r="B27" s="21" t="s">
        <v>906</v>
      </c>
      <c r="C27" s="21"/>
      <c r="D27" s="21" t="s">
        <v>180</v>
      </c>
      <c r="E27" s="21" t="s">
        <v>955</v>
      </c>
      <c r="F27" s="21" t="s">
        <v>1158</v>
      </c>
      <c r="G27" s="21" t="s">
        <v>1159</v>
      </c>
      <c r="H27" s="28">
        <v>45323</v>
      </c>
      <c r="I27" s="22">
        <v>2024</v>
      </c>
      <c r="J27" s="21" t="s">
        <v>1012</v>
      </c>
      <c r="K27" s="21" t="s">
        <v>998</v>
      </c>
      <c r="L27" s="21" t="s">
        <v>1160</v>
      </c>
      <c r="M27" s="21" t="s">
        <v>961</v>
      </c>
      <c r="N27" s="21" t="s">
        <v>1161</v>
      </c>
      <c r="O27" s="21" t="s">
        <v>1162</v>
      </c>
      <c r="P27" s="27">
        <v>0</v>
      </c>
      <c r="Q27" s="27">
        <v>4</v>
      </c>
      <c r="R27" s="21" t="s">
        <v>1163</v>
      </c>
      <c r="S27" s="21" t="s">
        <v>1164</v>
      </c>
      <c r="T27" s="21" t="s">
        <v>994</v>
      </c>
      <c r="U27" s="21" t="s">
        <v>1165</v>
      </c>
    </row>
    <row r="28" spans="1:21" ht="42">
      <c r="A28" s="21" t="s">
        <v>905</v>
      </c>
      <c r="B28" s="21" t="s">
        <v>906</v>
      </c>
      <c r="C28" s="21"/>
      <c r="D28" s="21" t="s">
        <v>180</v>
      </c>
      <c r="E28" s="21" t="s">
        <v>955</v>
      </c>
      <c r="F28" s="21" t="s">
        <v>1166</v>
      </c>
      <c r="G28" s="21" t="s">
        <v>1167</v>
      </c>
      <c r="H28" s="28">
        <v>44658</v>
      </c>
      <c r="I28" s="22">
        <v>2022</v>
      </c>
      <c r="J28" s="21" t="s">
        <v>1012</v>
      </c>
      <c r="K28" s="21" t="s">
        <v>998</v>
      </c>
      <c r="L28" s="21" t="s">
        <v>1168</v>
      </c>
      <c r="M28" s="21" t="s">
        <v>961</v>
      </c>
      <c r="N28" s="21" t="s">
        <v>1169</v>
      </c>
      <c r="O28" s="21" t="s">
        <v>1170</v>
      </c>
      <c r="P28" s="27">
        <v>0</v>
      </c>
      <c r="Q28" s="27">
        <v>15</v>
      </c>
      <c r="R28" s="21" t="s">
        <v>1171</v>
      </c>
      <c r="S28" s="21" t="s">
        <v>1172</v>
      </c>
      <c r="T28" s="21" t="s">
        <v>994</v>
      </c>
      <c r="U28" s="21" t="s">
        <v>1173</v>
      </c>
    </row>
    <row r="29" spans="1:21" ht="56">
      <c r="A29" s="21" t="s">
        <v>905</v>
      </c>
      <c r="B29" s="21" t="s">
        <v>906</v>
      </c>
      <c r="C29" s="21"/>
      <c r="D29" s="21" t="s">
        <v>180</v>
      </c>
      <c r="E29" s="21" t="s">
        <v>955</v>
      </c>
      <c r="F29" s="21" t="s">
        <v>1174</v>
      </c>
      <c r="G29" s="21" t="s">
        <v>1175</v>
      </c>
      <c r="H29" s="28">
        <v>44707</v>
      </c>
      <c r="I29" s="22">
        <v>2022</v>
      </c>
      <c r="J29" s="21" t="s">
        <v>1012</v>
      </c>
      <c r="K29" s="21" t="s">
        <v>998</v>
      </c>
      <c r="L29" s="21" t="s">
        <v>1176</v>
      </c>
      <c r="M29" s="21" t="s">
        <v>961</v>
      </c>
      <c r="N29" s="21" t="s">
        <v>1177</v>
      </c>
      <c r="O29" s="21" t="s">
        <v>1178</v>
      </c>
      <c r="P29" s="27">
        <v>0</v>
      </c>
      <c r="Q29" s="27">
        <v>6</v>
      </c>
      <c r="R29" s="21" t="s">
        <v>1179</v>
      </c>
      <c r="S29" s="21" t="s">
        <v>1180</v>
      </c>
      <c r="T29" s="21" t="s">
        <v>994</v>
      </c>
      <c r="U29" s="21" t="s">
        <v>1181</v>
      </c>
    </row>
    <row r="30" spans="1:21" ht="70">
      <c r="A30" s="21" t="s">
        <v>905</v>
      </c>
      <c r="B30" s="21" t="s">
        <v>906</v>
      </c>
      <c r="C30" s="21"/>
      <c r="D30" s="21" t="s">
        <v>180</v>
      </c>
      <c r="E30" s="21" t="s">
        <v>955</v>
      </c>
      <c r="F30" s="21" t="s">
        <v>1182</v>
      </c>
      <c r="G30" s="21" t="s">
        <v>1183</v>
      </c>
      <c r="H30" s="28">
        <v>43312</v>
      </c>
      <c r="I30" s="22">
        <v>2018</v>
      </c>
      <c r="J30" s="21" t="s">
        <v>1012</v>
      </c>
      <c r="K30" s="21" t="s">
        <v>1013</v>
      </c>
      <c r="L30" s="21" t="s">
        <v>1184</v>
      </c>
      <c r="M30" s="21" t="s">
        <v>1185</v>
      </c>
      <c r="N30" s="21" t="s">
        <v>1186</v>
      </c>
      <c r="O30" s="21" t="s">
        <v>1187</v>
      </c>
      <c r="P30" s="27">
        <v>0</v>
      </c>
      <c r="Q30" s="27">
        <v>4</v>
      </c>
      <c r="R30" s="21" t="s">
        <v>1188</v>
      </c>
      <c r="S30" s="21" t="s">
        <v>1189</v>
      </c>
      <c r="T30" s="21" t="s">
        <v>966</v>
      </c>
      <c r="U30" s="21" t="s">
        <v>1190</v>
      </c>
    </row>
    <row r="31" spans="1:21" ht="56">
      <c r="A31" s="21" t="s">
        <v>905</v>
      </c>
      <c r="B31" s="21" t="s">
        <v>906</v>
      </c>
      <c r="C31" s="21"/>
      <c r="D31" s="21" t="s">
        <v>180</v>
      </c>
      <c r="E31" s="21" t="s">
        <v>955</v>
      </c>
      <c r="F31" s="21" t="s">
        <v>1191</v>
      </c>
      <c r="G31" s="21" t="s">
        <v>1192</v>
      </c>
      <c r="H31" s="28">
        <v>44047</v>
      </c>
      <c r="I31" s="22">
        <v>2020</v>
      </c>
      <c r="J31" s="21" t="s">
        <v>1012</v>
      </c>
      <c r="K31" s="21" t="s">
        <v>998</v>
      </c>
      <c r="L31" s="21" t="s">
        <v>1193</v>
      </c>
      <c r="M31" s="21" t="s">
        <v>961</v>
      </c>
      <c r="N31" s="21" t="s">
        <v>1194</v>
      </c>
      <c r="O31" s="21" t="s">
        <v>1195</v>
      </c>
      <c r="P31" s="27">
        <v>0</v>
      </c>
      <c r="Q31" s="27">
        <v>3</v>
      </c>
      <c r="R31" s="21" t="s">
        <v>1196</v>
      </c>
      <c r="S31" s="21" t="s">
        <v>1197</v>
      </c>
      <c r="T31" s="21" t="s">
        <v>994</v>
      </c>
      <c r="U31" s="21" t="s">
        <v>1198</v>
      </c>
    </row>
    <row r="32" spans="1:21" ht="70">
      <c r="A32" s="21" t="s">
        <v>905</v>
      </c>
      <c r="B32" s="21" t="s">
        <v>906</v>
      </c>
      <c r="C32" s="21"/>
      <c r="D32" s="21" t="s">
        <v>180</v>
      </c>
      <c r="E32" s="21" t="s">
        <v>955</v>
      </c>
      <c r="F32" s="21" t="s">
        <v>1199</v>
      </c>
      <c r="G32" s="21" t="s">
        <v>1200</v>
      </c>
      <c r="H32" s="28">
        <v>44658</v>
      </c>
      <c r="I32" s="22">
        <v>2022</v>
      </c>
      <c r="J32" s="21" t="s">
        <v>1012</v>
      </c>
      <c r="K32" s="21" t="s">
        <v>998</v>
      </c>
      <c r="L32" s="21" t="s">
        <v>1201</v>
      </c>
      <c r="M32" s="21" t="s">
        <v>961</v>
      </c>
      <c r="N32" s="21" t="s">
        <v>1202</v>
      </c>
      <c r="O32" s="21" t="s">
        <v>1203</v>
      </c>
      <c r="P32" s="27">
        <v>1</v>
      </c>
      <c r="Q32" s="27">
        <v>11</v>
      </c>
      <c r="R32" s="21" t="s">
        <v>1204</v>
      </c>
      <c r="S32" s="21" t="s">
        <v>1205</v>
      </c>
      <c r="T32" s="21" t="s">
        <v>994</v>
      </c>
      <c r="U32" s="21" t="s">
        <v>1206</v>
      </c>
    </row>
    <row r="33" spans="1:21" ht="28">
      <c r="A33" s="21" t="s">
        <v>905</v>
      </c>
      <c r="B33" s="21" t="s">
        <v>906</v>
      </c>
      <c r="C33" s="21"/>
      <c r="D33" s="21" t="s">
        <v>180</v>
      </c>
      <c r="E33" s="21" t="s">
        <v>955</v>
      </c>
      <c r="F33" s="21" t="s">
        <v>1207</v>
      </c>
      <c r="G33" s="21" t="s">
        <v>1208</v>
      </c>
      <c r="H33" s="28">
        <v>44474</v>
      </c>
      <c r="I33" s="22">
        <v>2021</v>
      </c>
      <c r="J33" s="21" t="s">
        <v>1012</v>
      </c>
      <c r="K33" s="21" t="s">
        <v>998</v>
      </c>
      <c r="L33" s="21" t="s">
        <v>1209</v>
      </c>
      <c r="M33" s="21" t="s">
        <v>961</v>
      </c>
      <c r="N33" s="21" t="s">
        <v>1210</v>
      </c>
      <c r="O33" s="21" t="s">
        <v>1211</v>
      </c>
      <c r="P33" s="27">
        <v>0</v>
      </c>
      <c r="Q33" s="27">
        <v>5</v>
      </c>
      <c r="R33" s="21" t="s">
        <v>1212</v>
      </c>
      <c r="S33" s="21" t="s">
        <v>1213</v>
      </c>
      <c r="T33" s="21" t="s">
        <v>994</v>
      </c>
      <c r="U33" s="21" t="s">
        <v>1214</v>
      </c>
    </row>
    <row r="34" spans="1:21" ht="210">
      <c r="A34" s="21" t="s">
        <v>905</v>
      </c>
      <c r="B34" s="21" t="s">
        <v>906</v>
      </c>
      <c r="C34" s="21"/>
      <c r="D34" s="21" t="s">
        <v>180</v>
      </c>
      <c r="E34" s="21" t="s">
        <v>955</v>
      </c>
      <c r="F34" s="21" t="s">
        <v>1215</v>
      </c>
      <c r="G34" s="21" t="s">
        <v>1216</v>
      </c>
      <c r="H34" s="28">
        <v>43452</v>
      </c>
      <c r="I34" s="22">
        <v>2018</v>
      </c>
      <c r="J34" s="21" t="s">
        <v>1012</v>
      </c>
      <c r="K34" s="21" t="s">
        <v>1013</v>
      </c>
      <c r="L34" s="21" t="s">
        <v>1217</v>
      </c>
      <c r="M34" s="21" t="s">
        <v>961</v>
      </c>
      <c r="N34" s="21" t="s">
        <v>1218</v>
      </c>
      <c r="O34" s="21" t="s">
        <v>1219</v>
      </c>
      <c r="P34" s="27">
        <v>0</v>
      </c>
      <c r="Q34" s="27">
        <v>30</v>
      </c>
      <c r="R34" s="21" t="s">
        <v>1220</v>
      </c>
      <c r="S34" s="21" t="s">
        <v>1221</v>
      </c>
      <c r="T34" s="21" t="s">
        <v>966</v>
      </c>
      <c r="U34" s="21" t="s">
        <v>1222</v>
      </c>
    </row>
    <row r="35" spans="1:21" ht="112">
      <c r="A35" s="21" t="s">
        <v>905</v>
      </c>
      <c r="B35" s="21" t="s">
        <v>906</v>
      </c>
      <c r="C35" s="21"/>
      <c r="D35" s="21" t="s">
        <v>180</v>
      </c>
      <c r="E35" s="21" t="s">
        <v>955</v>
      </c>
      <c r="F35" s="21" t="s">
        <v>1223</v>
      </c>
      <c r="G35" s="21" t="s">
        <v>1224</v>
      </c>
      <c r="H35" s="28">
        <v>43945</v>
      </c>
      <c r="I35" s="22">
        <v>2020</v>
      </c>
      <c r="J35" s="21" t="s">
        <v>1012</v>
      </c>
      <c r="K35" s="21" t="s">
        <v>1013</v>
      </c>
      <c r="L35" s="21" t="s">
        <v>1225</v>
      </c>
      <c r="M35" s="21" t="s">
        <v>961</v>
      </c>
      <c r="N35" s="21" t="s">
        <v>1226</v>
      </c>
      <c r="O35" s="21" t="s">
        <v>1227</v>
      </c>
      <c r="P35" s="27">
        <v>0</v>
      </c>
      <c r="Q35" s="27">
        <v>19</v>
      </c>
      <c r="R35" s="21" t="s">
        <v>1228</v>
      </c>
      <c r="S35" s="21" t="s">
        <v>1229</v>
      </c>
      <c r="T35" s="21" t="s">
        <v>966</v>
      </c>
      <c r="U35" s="21" t="s">
        <v>1230</v>
      </c>
    </row>
    <row r="36" spans="1:21" ht="98">
      <c r="A36" s="21" t="s">
        <v>905</v>
      </c>
      <c r="B36" s="21" t="s">
        <v>906</v>
      </c>
      <c r="C36" s="21"/>
      <c r="D36" s="21" t="s">
        <v>180</v>
      </c>
      <c r="E36" s="21" t="s">
        <v>955</v>
      </c>
      <c r="F36" s="21" t="s">
        <v>1231</v>
      </c>
      <c r="G36" s="21" t="s">
        <v>1232</v>
      </c>
      <c r="H36" s="28">
        <v>44658</v>
      </c>
      <c r="I36" s="22">
        <v>2022</v>
      </c>
      <c r="J36" s="21" t="s">
        <v>1012</v>
      </c>
      <c r="K36" s="21" t="s">
        <v>998</v>
      </c>
      <c r="L36" s="21" t="s">
        <v>1233</v>
      </c>
      <c r="M36" s="21" t="s">
        <v>961</v>
      </c>
      <c r="N36" s="21" t="s">
        <v>1234</v>
      </c>
      <c r="O36" s="21" t="s">
        <v>1203</v>
      </c>
      <c r="P36" s="27">
        <v>1</v>
      </c>
      <c r="Q36" s="27">
        <v>11</v>
      </c>
      <c r="R36" s="21" t="s">
        <v>1235</v>
      </c>
      <c r="S36" s="21" t="s">
        <v>1236</v>
      </c>
      <c r="T36" s="21" t="s">
        <v>994</v>
      </c>
      <c r="U36" s="21" t="s">
        <v>1237</v>
      </c>
    </row>
    <row r="37" spans="1:21" ht="84">
      <c r="A37" s="21" t="s">
        <v>905</v>
      </c>
      <c r="B37" s="21" t="s">
        <v>906</v>
      </c>
      <c r="C37" s="21"/>
      <c r="D37" s="21" t="s">
        <v>180</v>
      </c>
      <c r="E37" s="21" t="s">
        <v>955</v>
      </c>
      <c r="F37" s="21" t="s">
        <v>1238</v>
      </c>
      <c r="G37" s="21" t="s">
        <v>1239</v>
      </c>
      <c r="H37" s="28">
        <v>44658</v>
      </c>
      <c r="I37" s="22">
        <v>2022</v>
      </c>
      <c r="J37" s="21" t="s">
        <v>1012</v>
      </c>
      <c r="K37" s="21" t="s">
        <v>998</v>
      </c>
      <c r="L37" s="21" t="s">
        <v>1240</v>
      </c>
      <c r="M37" s="21" t="s">
        <v>961</v>
      </c>
      <c r="N37" s="21" t="s">
        <v>1241</v>
      </c>
      <c r="O37" s="21" t="s">
        <v>1203</v>
      </c>
      <c r="P37" s="27">
        <v>1</v>
      </c>
      <c r="Q37" s="27">
        <v>11</v>
      </c>
      <c r="R37" s="21" t="s">
        <v>1242</v>
      </c>
      <c r="S37" s="21" t="s">
        <v>1243</v>
      </c>
      <c r="T37" s="21" t="s">
        <v>994</v>
      </c>
      <c r="U37" s="21" t="s">
        <v>1244</v>
      </c>
    </row>
    <row r="38" spans="1:21" ht="84">
      <c r="A38" s="21" t="s">
        <v>905</v>
      </c>
      <c r="B38" s="21" t="s">
        <v>906</v>
      </c>
      <c r="C38" s="21"/>
      <c r="D38" s="21" t="s">
        <v>180</v>
      </c>
      <c r="E38" s="21" t="s">
        <v>955</v>
      </c>
      <c r="F38" s="21" t="s">
        <v>1245</v>
      </c>
      <c r="G38" s="21" t="s">
        <v>1246</v>
      </c>
      <c r="H38" s="28">
        <v>44627</v>
      </c>
      <c r="I38" s="22">
        <v>2022</v>
      </c>
      <c r="J38" s="21" t="s">
        <v>1012</v>
      </c>
      <c r="K38" s="21" t="s">
        <v>998</v>
      </c>
      <c r="L38" s="21" t="s">
        <v>1247</v>
      </c>
      <c r="M38" s="21" t="s">
        <v>961</v>
      </c>
      <c r="N38" s="21" t="s">
        <v>1248</v>
      </c>
      <c r="O38" s="21" t="s">
        <v>1249</v>
      </c>
      <c r="P38" s="27">
        <v>0</v>
      </c>
      <c r="Q38" s="27">
        <v>5</v>
      </c>
      <c r="R38" s="21" t="s">
        <v>1250</v>
      </c>
      <c r="S38" s="21" t="s">
        <v>1251</v>
      </c>
      <c r="T38" s="21" t="s">
        <v>994</v>
      </c>
      <c r="U38" s="21" t="s">
        <v>1252</v>
      </c>
    </row>
    <row r="39" spans="1:21" ht="56">
      <c r="A39" s="21" t="s">
        <v>905</v>
      </c>
      <c r="B39" s="21" t="s">
        <v>906</v>
      </c>
      <c r="C39" s="21"/>
      <c r="D39" s="21" t="s">
        <v>180</v>
      </c>
      <c r="E39" s="21" t="s">
        <v>955</v>
      </c>
      <c r="F39" s="21" t="s">
        <v>1253</v>
      </c>
      <c r="G39" s="21" t="s">
        <v>1254</v>
      </c>
      <c r="H39" s="28">
        <v>44679</v>
      </c>
      <c r="I39" s="22">
        <v>2022</v>
      </c>
      <c r="J39" s="21" t="s">
        <v>1012</v>
      </c>
      <c r="K39" s="21" t="s">
        <v>998</v>
      </c>
      <c r="L39" s="21" t="s">
        <v>1255</v>
      </c>
      <c r="M39" s="21" t="s">
        <v>961</v>
      </c>
      <c r="N39" s="21" t="s">
        <v>1256</v>
      </c>
      <c r="O39" s="21" t="s">
        <v>1257</v>
      </c>
      <c r="P39" s="27">
        <v>0</v>
      </c>
      <c r="Q39" s="27">
        <v>14</v>
      </c>
      <c r="R39" s="21" t="s">
        <v>1258</v>
      </c>
      <c r="S39" s="21" t="s">
        <v>1259</v>
      </c>
      <c r="T39" s="21" t="s">
        <v>1148</v>
      </c>
      <c r="U39" s="21" t="s">
        <v>1260</v>
      </c>
    </row>
    <row r="40" spans="1:21" ht="70">
      <c r="A40" s="21" t="s">
        <v>905</v>
      </c>
      <c r="B40" s="21" t="s">
        <v>906</v>
      </c>
      <c r="C40" s="21"/>
      <c r="D40" s="21" t="s">
        <v>180</v>
      </c>
      <c r="E40" s="21" t="s">
        <v>955</v>
      </c>
      <c r="F40" s="21" t="s">
        <v>1261</v>
      </c>
      <c r="G40" s="21" t="s">
        <v>1262</v>
      </c>
      <c r="H40" s="28">
        <v>44651</v>
      </c>
      <c r="I40" s="22">
        <v>2022</v>
      </c>
      <c r="J40" s="21" t="s">
        <v>1012</v>
      </c>
      <c r="K40" s="21" t="s">
        <v>998</v>
      </c>
      <c r="L40" s="21" t="s">
        <v>1263</v>
      </c>
      <c r="M40" s="21" t="s">
        <v>961</v>
      </c>
      <c r="N40" s="21" t="s">
        <v>1264</v>
      </c>
      <c r="O40" s="21" t="s">
        <v>1265</v>
      </c>
      <c r="P40" s="27">
        <v>0</v>
      </c>
      <c r="Q40" s="27">
        <v>11</v>
      </c>
      <c r="R40" s="21" t="s">
        <v>1266</v>
      </c>
      <c r="S40" s="21" t="s">
        <v>1267</v>
      </c>
      <c r="T40" s="21" t="s">
        <v>994</v>
      </c>
      <c r="U40" s="21" t="s">
        <v>1268</v>
      </c>
    </row>
    <row r="41" spans="1:21" ht="84">
      <c r="A41" s="21" t="s">
        <v>905</v>
      </c>
      <c r="B41" s="21" t="s">
        <v>906</v>
      </c>
      <c r="C41" s="21"/>
      <c r="D41" s="21" t="s">
        <v>180</v>
      </c>
      <c r="E41" s="21" t="s">
        <v>955</v>
      </c>
      <c r="F41" s="21" t="s">
        <v>1269</v>
      </c>
      <c r="G41" s="21" t="s">
        <v>1270</v>
      </c>
      <c r="H41" s="28">
        <v>45274</v>
      </c>
      <c r="I41" s="22">
        <v>2023</v>
      </c>
      <c r="J41" s="21" t="s">
        <v>1012</v>
      </c>
      <c r="K41" s="21" t="s">
        <v>998</v>
      </c>
      <c r="L41" s="21" t="s">
        <v>1271</v>
      </c>
      <c r="M41" s="21" t="s">
        <v>961</v>
      </c>
      <c r="N41" s="21" t="s">
        <v>1272</v>
      </c>
      <c r="O41" s="21" t="s">
        <v>1273</v>
      </c>
      <c r="P41" s="27">
        <v>0</v>
      </c>
      <c r="Q41" s="27">
        <v>4</v>
      </c>
      <c r="R41" s="21" t="s">
        <v>1274</v>
      </c>
      <c r="S41" s="21" t="s">
        <v>1275</v>
      </c>
      <c r="T41" s="21" t="s">
        <v>994</v>
      </c>
      <c r="U41" s="21" t="s">
        <v>1276</v>
      </c>
    </row>
    <row r="42" spans="1:21" ht="126">
      <c r="A42" s="21" t="s">
        <v>905</v>
      </c>
      <c r="B42" s="21" t="s">
        <v>906</v>
      </c>
      <c r="C42" s="21"/>
      <c r="D42" s="21" t="s">
        <v>180</v>
      </c>
      <c r="E42" s="21" t="s">
        <v>955</v>
      </c>
      <c r="F42" s="21" t="s">
        <v>1277</v>
      </c>
      <c r="G42" s="21" t="s">
        <v>1278</v>
      </c>
      <c r="H42" s="28">
        <v>44638</v>
      </c>
      <c r="I42" s="22">
        <v>2022</v>
      </c>
      <c r="J42" s="21" t="s">
        <v>1012</v>
      </c>
      <c r="K42" s="21" t="s">
        <v>998</v>
      </c>
      <c r="L42" s="21" t="s">
        <v>1279</v>
      </c>
      <c r="M42" s="21" t="s">
        <v>961</v>
      </c>
      <c r="N42" s="21" t="s">
        <v>1280</v>
      </c>
      <c r="O42" s="21" t="s">
        <v>1281</v>
      </c>
      <c r="P42" s="27">
        <v>0</v>
      </c>
      <c r="Q42" s="27">
        <v>10</v>
      </c>
      <c r="R42" s="21" t="s">
        <v>1282</v>
      </c>
      <c r="S42" s="21" t="s">
        <v>1283</v>
      </c>
      <c r="T42" s="21" t="s">
        <v>994</v>
      </c>
      <c r="U42" s="21" t="s">
        <v>1284</v>
      </c>
    </row>
    <row r="43" spans="1:21" ht="42">
      <c r="A43" s="21" t="s">
        <v>905</v>
      </c>
      <c r="B43" s="21" t="s">
        <v>906</v>
      </c>
      <c r="C43" s="21"/>
      <c r="D43" s="21" t="s">
        <v>180</v>
      </c>
      <c r="E43" s="21" t="s">
        <v>955</v>
      </c>
      <c r="F43" s="21" t="s">
        <v>1285</v>
      </c>
      <c r="G43" s="21" t="s">
        <v>1286</v>
      </c>
      <c r="H43" s="28">
        <v>45261</v>
      </c>
      <c r="I43" s="22">
        <v>2023</v>
      </c>
      <c r="J43" s="21" t="s">
        <v>1012</v>
      </c>
      <c r="K43" s="21" t="s">
        <v>998</v>
      </c>
      <c r="L43" s="21" t="s">
        <v>1287</v>
      </c>
      <c r="M43" s="21" t="s">
        <v>961</v>
      </c>
      <c r="N43" s="21" t="s">
        <v>1288</v>
      </c>
      <c r="O43" s="21" t="s">
        <v>1289</v>
      </c>
      <c r="P43" s="27">
        <v>0</v>
      </c>
      <c r="Q43" s="27">
        <v>6</v>
      </c>
      <c r="R43" s="21" t="s">
        <v>1290</v>
      </c>
      <c r="S43" s="21" t="s">
        <v>1291</v>
      </c>
      <c r="T43" s="21" t="s">
        <v>994</v>
      </c>
      <c r="U43" s="21" t="s">
        <v>1292</v>
      </c>
    </row>
    <row r="44" spans="1:21" ht="154">
      <c r="A44" s="21" t="s">
        <v>905</v>
      </c>
      <c r="B44" s="21" t="s">
        <v>906</v>
      </c>
      <c r="C44" s="21"/>
      <c r="D44" s="21" t="s">
        <v>180</v>
      </c>
      <c r="E44" s="21" t="s">
        <v>955</v>
      </c>
      <c r="F44" s="21" t="s">
        <v>1293</v>
      </c>
      <c r="G44" s="21" t="s">
        <v>1294</v>
      </c>
      <c r="H44" s="28">
        <v>44631</v>
      </c>
      <c r="I44" s="22">
        <v>2022</v>
      </c>
      <c r="J44" s="21" t="s">
        <v>1012</v>
      </c>
      <c r="K44" s="21" t="s">
        <v>998</v>
      </c>
      <c r="L44" s="21" t="s">
        <v>1295</v>
      </c>
      <c r="M44" s="21" t="s">
        <v>961</v>
      </c>
      <c r="N44" s="21" t="s">
        <v>1296</v>
      </c>
      <c r="O44" s="21" t="s">
        <v>1297</v>
      </c>
      <c r="P44" s="27">
        <v>0</v>
      </c>
      <c r="Q44" s="27">
        <v>10</v>
      </c>
      <c r="R44" s="21" t="s">
        <v>1298</v>
      </c>
      <c r="S44" s="21" t="s">
        <v>1299</v>
      </c>
      <c r="T44" s="21" t="s">
        <v>994</v>
      </c>
      <c r="U44" s="21" t="s">
        <v>1300</v>
      </c>
    </row>
    <row r="45" spans="1:21" ht="98">
      <c r="A45" s="21" t="s">
        <v>905</v>
      </c>
      <c r="B45" s="21" t="s">
        <v>906</v>
      </c>
      <c r="C45" s="21"/>
      <c r="D45" s="21" t="s">
        <v>180</v>
      </c>
      <c r="E45" s="21" t="s">
        <v>955</v>
      </c>
      <c r="F45" s="21" t="s">
        <v>1301</v>
      </c>
      <c r="G45" s="21" t="s">
        <v>1302</v>
      </c>
      <c r="H45" s="28">
        <v>44637</v>
      </c>
      <c r="I45" s="22">
        <v>2022</v>
      </c>
      <c r="J45" s="21" t="s">
        <v>1012</v>
      </c>
      <c r="K45" s="21" t="s">
        <v>998</v>
      </c>
      <c r="L45" s="21" t="s">
        <v>1303</v>
      </c>
      <c r="M45" s="21" t="s">
        <v>961</v>
      </c>
      <c r="N45" s="21" t="s">
        <v>1304</v>
      </c>
      <c r="O45" s="21" t="s">
        <v>1305</v>
      </c>
      <c r="P45" s="27">
        <v>0</v>
      </c>
      <c r="Q45" s="27">
        <v>9</v>
      </c>
      <c r="R45" s="21" t="s">
        <v>1306</v>
      </c>
      <c r="S45" s="21" t="s">
        <v>1307</v>
      </c>
      <c r="T45" s="21" t="s">
        <v>994</v>
      </c>
      <c r="U45" s="21" t="s">
        <v>1308</v>
      </c>
    </row>
    <row r="46" spans="1:21" ht="154">
      <c r="A46" s="21" t="s">
        <v>905</v>
      </c>
      <c r="B46" s="21" t="s">
        <v>906</v>
      </c>
      <c r="C46" s="21"/>
      <c r="D46" s="21" t="s">
        <v>180</v>
      </c>
      <c r="E46" s="21" t="s">
        <v>955</v>
      </c>
      <c r="F46" s="21" t="s">
        <v>1309</v>
      </c>
      <c r="G46" s="21" t="s">
        <v>1310</v>
      </c>
      <c r="H46" s="28">
        <v>41571</v>
      </c>
      <c r="I46" s="22">
        <v>2013</v>
      </c>
      <c r="J46" s="21" t="s">
        <v>1012</v>
      </c>
      <c r="K46" s="21" t="s">
        <v>998</v>
      </c>
      <c r="L46" s="21" t="s">
        <v>1311</v>
      </c>
      <c r="M46" s="21" t="s">
        <v>961</v>
      </c>
      <c r="N46" s="21" t="s">
        <v>1312</v>
      </c>
      <c r="O46" s="21" t="s">
        <v>1313</v>
      </c>
      <c r="P46" s="27">
        <v>0</v>
      </c>
      <c r="Q46" s="27">
        <v>57</v>
      </c>
      <c r="R46" s="21" t="s">
        <v>1314</v>
      </c>
      <c r="S46" s="21" t="s">
        <v>1315</v>
      </c>
      <c r="T46" s="21" t="s">
        <v>994</v>
      </c>
      <c r="U46" s="21" t="s">
        <v>1316</v>
      </c>
    </row>
    <row r="47" spans="1:21" ht="42">
      <c r="A47" s="21" t="s">
        <v>905</v>
      </c>
      <c r="B47" s="21" t="s">
        <v>906</v>
      </c>
      <c r="C47" s="21"/>
      <c r="D47" s="21" t="s">
        <v>180</v>
      </c>
      <c r="E47" s="21" t="s">
        <v>955</v>
      </c>
      <c r="F47" s="21" t="s">
        <v>1317</v>
      </c>
      <c r="G47" s="21" t="s">
        <v>1318</v>
      </c>
      <c r="H47" s="28">
        <v>45187</v>
      </c>
      <c r="I47" s="22">
        <v>2023</v>
      </c>
      <c r="J47" s="21" t="s">
        <v>1012</v>
      </c>
      <c r="K47" s="21" t="s">
        <v>998</v>
      </c>
      <c r="L47" s="21" t="s">
        <v>1319</v>
      </c>
      <c r="M47" s="21" t="s">
        <v>961</v>
      </c>
      <c r="N47" s="21" t="s">
        <v>1320</v>
      </c>
      <c r="O47" s="21" t="s">
        <v>1321</v>
      </c>
      <c r="P47" s="27">
        <v>0</v>
      </c>
      <c r="Q47" s="27">
        <v>6</v>
      </c>
      <c r="R47" s="21" t="s">
        <v>1322</v>
      </c>
      <c r="S47" s="21" t="s">
        <v>1323</v>
      </c>
      <c r="T47" s="21" t="s">
        <v>994</v>
      </c>
      <c r="U47" s="21" t="s">
        <v>1324</v>
      </c>
    </row>
    <row r="48" spans="1:21" ht="70">
      <c r="A48" s="21" t="s">
        <v>905</v>
      </c>
      <c r="B48" s="21" t="s">
        <v>906</v>
      </c>
      <c r="C48" s="21"/>
      <c r="D48" s="21" t="s">
        <v>180</v>
      </c>
      <c r="E48" s="21" t="s">
        <v>955</v>
      </c>
      <c r="F48" s="21" t="s">
        <v>1325</v>
      </c>
      <c r="G48" s="21" t="s">
        <v>1326</v>
      </c>
      <c r="H48" s="28">
        <v>44558</v>
      </c>
      <c r="I48" s="22">
        <v>2021</v>
      </c>
      <c r="J48" s="21" t="s">
        <v>1012</v>
      </c>
      <c r="K48" s="21" t="s">
        <v>998</v>
      </c>
      <c r="L48" s="21" t="s">
        <v>1327</v>
      </c>
      <c r="M48" s="21" t="s">
        <v>1328</v>
      </c>
      <c r="N48" s="21" t="s">
        <v>1329</v>
      </c>
      <c r="O48" s="21" t="s">
        <v>1330</v>
      </c>
      <c r="P48" s="27">
        <v>0</v>
      </c>
      <c r="Q48" s="27">
        <v>6</v>
      </c>
      <c r="R48" s="21" t="s">
        <v>1331</v>
      </c>
      <c r="S48" s="21" t="s">
        <v>1332</v>
      </c>
      <c r="T48" s="21" t="s">
        <v>994</v>
      </c>
      <c r="U48" s="21" t="s">
        <v>1333</v>
      </c>
    </row>
    <row r="49" spans="1:21" ht="56">
      <c r="A49" s="21" t="s">
        <v>905</v>
      </c>
      <c r="B49" s="21" t="s">
        <v>906</v>
      </c>
      <c r="C49" s="21"/>
      <c r="D49" s="21" t="s">
        <v>180</v>
      </c>
      <c r="E49" s="21" t="s">
        <v>955</v>
      </c>
      <c r="F49" s="21" t="s">
        <v>1334</v>
      </c>
      <c r="G49" s="21" t="s">
        <v>1335</v>
      </c>
      <c r="H49" s="28">
        <v>44614</v>
      </c>
      <c r="I49" s="22">
        <v>2022</v>
      </c>
      <c r="J49" s="21" t="s">
        <v>1012</v>
      </c>
      <c r="K49" s="21" t="s">
        <v>998</v>
      </c>
      <c r="L49" s="21" t="s">
        <v>1336</v>
      </c>
      <c r="M49" s="21" t="s">
        <v>961</v>
      </c>
      <c r="N49" s="21" t="s">
        <v>1337</v>
      </c>
      <c r="O49" s="21" t="s">
        <v>1338</v>
      </c>
      <c r="P49" s="27">
        <v>0</v>
      </c>
      <c r="Q49" s="27">
        <v>5</v>
      </c>
      <c r="R49" s="21" t="s">
        <v>1339</v>
      </c>
      <c r="S49" s="21" t="s">
        <v>1340</v>
      </c>
      <c r="T49" s="21" t="s">
        <v>994</v>
      </c>
      <c r="U49" s="21" t="s">
        <v>1341</v>
      </c>
    </row>
    <row r="50" spans="1:21" ht="224">
      <c r="A50" s="21" t="s">
        <v>905</v>
      </c>
      <c r="B50" s="21" t="s">
        <v>906</v>
      </c>
      <c r="C50" s="21"/>
      <c r="D50" s="21" t="s">
        <v>180</v>
      </c>
      <c r="E50" s="21" t="s">
        <v>955</v>
      </c>
      <c r="F50" s="21" t="s">
        <v>1342</v>
      </c>
      <c r="G50" s="21" t="s">
        <v>1343</v>
      </c>
      <c r="H50" s="28">
        <v>44700</v>
      </c>
      <c r="I50" s="22">
        <v>2022</v>
      </c>
      <c r="J50" s="21" t="s">
        <v>1012</v>
      </c>
      <c r="K50" s="21" t="s">
        <v>1013</v>
      </c>
      <c r="L50" s="21" t="s">
        <v>1344</v>
      </c>
      <c r="M50" s="21" t="s">
        <v>961</v>
      </c>
      <c r="N50" s="21" t="s">
        <v>1136</v>
      </c>
      <c r="O50" s="21" t="s">
        <v>1345</v>
      </c>
      <c r="P50" s="27">
        <v>0</v>
      </c>
      <c r="Q50" s="27">
        <v>39</v>
      </c>
      <c r="R50" s="21" t="s">
        <v>1346</v>
      </c>
      <c r="S50" s="21" t="s">
        <v>1347</v>
      </c>
      <c r="T50" s="21" t="s">
        <v>966</v>
      </c>
      <c r="U50" s="21" t="s">
        <v>1348</v>
      </c>
    </row>
    <row r="51" spans="1:21" ht="98">
      <c r="A51" s="21" t="s">
        <v>905</v>
      </c>
      <c r="B51" s="21" t="s">
        <v>906</v>
      </c>
      <c r="C51" s="21"/>
      <c r="D51" s="21" t="s">
        <v>180</v>
      </c>
      <c r="E51" s="21" t="s">
        <v>955</v>
      </c>
      <c r="F51" s="21" t="s">
        <v>1349</v>
      </c>
      <c r="G51" s="21" t="s">
        <v>1350</v>
      </c>
      <c r="H51" s="28">
        <v>44607</v>
      </c>
      <c r="I51" s="22">
        <v>2022</v>
      </c>
      <c r="J51" s="21" t="s">
        <v>1012</v>
      </c>
      <c r="K51" s="21" t="s">
        <v>998</v>
      </c>
      <c r="L51" s="21" t="s">
        <v>1351</v>
      </c>
      <c r="M51" s="21" t="s">
        <v>961</v>
      </c>
      <c r="N51" s="21" t="s">
        <v>1352</v>
      </c>
      <c r="O51" s="21" t="s">
        <v>1353</v>
      </c>
      <c r="P51" s="27">
        <v>0</v>
      </c>
      <c r="Q51" s="27">
        <v>11</v>
      </c>
      <c r="R51" s="21" t="s">
        <v>1354</v>
      </c>
      <c r="S51" s="21" t="s">
        <v>1355</v>
      </c>
      <c r="T51" s="21" t="s">
        <v>994</v>
      </c>
      <c r="U51" s="21" t="s">
        <v>1356</v>
      </c>
    </row>
    <row r="52" spans="1:21" ht="28">
      <c r="A52" s="21" t="s">
        <v>905</v>
      </c>
      <c r="B52" s="21" t="s">
        <v>906</v>
      </c>
      <c r="C52" s="21"/>
      <c r="D52" s="21" t="s">
        <v>180</v>
      </c>
      <c r="E52" s="21" t="s">
        <v>955</v>
      </c>
      <c r="F52" s="21" t="s">
        <v>1357</v>
      </c>
      <c r="G52" s="21" t="s">
        <v>1358</v>
      </c>
      <c r="H52" s="28">
        <v>42724</v>
      </c>
      <c r="I52" s="22">
        <v>2016</v>
      </c>
      <c r="J52" s="21" t="s">
        <v>1012</v>
      </c>
      <c r="K52" s="21" t="s">
        <v>998</v>
      </c>
      <c r="L52" s="21" t="s">
        <v>1359</v>
      </c>
      <c r="M52" s="21" t="s">
        <v>1071</v>
      </c>
      <c r="N52" s="21" t="s">
        <v>1360</v>
      </c>
      <c r="O52" s="21" t="s">
        <v>1361</v>
      </c>
      <c r="P52" s="27">
        <v>0</v>
      </c>
      <c r="Q52" s="27">
        <v>8</v>
      </c>
      <c r="R52" s="21" t="s">
        <v>1362</v>
      </c>
      <c r="S52" s="21" t="s">
        <v>1363</v>
      </c>
      <c r="T52" s="21" t="s">
        <v>966</v>
      </c>
      <c r="U52" s="21" t="s">
        <v>1364</v>
      </c>
    </row>
    <row r="53" spans="1:21" ht="182">
      <c r="A53" s="21" t="s">
        <v>905</v>
      </c>
      <c r="B53" s="21" t="s">
        <v>906</v>
      </c>
      <c r="C53" s="21"/>
      <c r="D53" s="21" t="s">
        <v>180</v>
      </c>
      <c r="E53" s="21" t="s">
        <v>955</v>
      </c>
      <c r="F53" s="21" t="s">
        <v>1365</v>
      </c>
      <c r="G53" s="21" t="s">
        <v>1366</v>
      </c>
      <c r="H53" s="28">
        <v>45195</v>
      </c>
      <c r="I53" s="22">
        <v>2023</v>
      </c>
      <c r="J53" s="21" t="s">
        <v>1012</v>
      </c>
      <c r="K53" s="21" t="s">
        <v>998</v>
      </c>
      <c r="L53" s="21" t="s">
        <v>1367</v>
      </c>
      <c r="M53" s="21" t="s">
        <v>961</v>
      </c>
      <c r="N53" s="21" t="s">
        <v>1368</v>
      </c>
      <c r="O53" s="21" t="s">
        <v>1369</v>
      </c>
      <c r="P53" s="27">
        <v>0</v>
      </c>
      <c r="Q53" s="27">
        <v>8</v>
      </c>
      <c r="R53" s="21" t="s">
        <v>1370</v>
      </c>
      <c r="S53" s="21" t="s">
        <v>1371</v>
      </c>
      <c r="T53" s="21" t="s">
        <v>994</v>
      </c>
      <c r="U53" s="21" t="s">
        <v>1372</v>
      </c>
    </row>
    <row r="54" spans="1:21" ht="168">
      <c r="A54" s="21" t="s">
        <v>905</v>
      </c>
      <c r="B54" s="21" t="s">
        <v>906</v>
      </c>
      <c r="C54" s="21"/>
      <c r="D54" s="21" t="s">
        <v>180</v>
      </c>
      <c r="E54" s="21" t="s">
        <v>955</v>
      </c>
      <c r="F54" s="21" t="s">
        <v>1373</v>
      </c>
      <c r="G54" s="21" t="s">
        <v>1374</v>
      </c>
      <c r="H54" s="28">
        <v>44550</v>
      </c>
      <c r="I54" s="22">
        <v>2021</v>
      </c>
      <c r="J54" s="21" t="s">
        <v>1012</v>
      </c>
      <c r="K54" s="21" t="s">
        <v>998</v>
      </c>
      <c r="L54" s="21" t="s">
        <v>1375</v>
      </c>
      <c r="M54" s="21" t="s">
        <v>1376</v>
      </c>
      <c r="N54" s="21" t="s">
        <v>1377</v>
      </c>
      <c r="O54" s="21" t="s">
        <v>1378</v>
      </c>
      <c r="P54" s="27">
        <v>0</v>
      </c>
      <c r="Q54" s="27">
        <v>16</v>
      </c>
      <c r="R54" s="21" t="s">
        <v>1379</v>
      </c>
      <c r="S54" s="21" t="s">
        <v>1380</v>
      </c>
      <c r="T54" s="21" t="s">
        <v>994</v>
      </c>
      <c r="U54" s="21" t="s">
        <v>1381</v>
      </c>
    </row>
    <row r="55" spans="1:21" ht="42">
      <c r="A55" s="21" t="s">
        <v>905</v>
      </c>
      <c r="B55" s="21" t="s">
        <v>906</v>
      </c>
      <c r="C55" s="21"/>
      <c r="D55" s="21" t="s">
        <v>180</v>
      </c>
      <c r="E55" s="21" t="s">
        <v>955</v>
      </c>
      <c r="F55" s="21" t="s">
        <v>1382</v>
      </c>
      <c r="G55" s="21" t="s">
        <v>1383</v>
      </c>
      <c r="H55" s="28">
        <v>44719</v>
      </c>
      <c r="I55" s="22">
        <v>2022</v>
      </c>
      <c r="J55" s="21" t="s">
        <v>958</v>
      </c>
      <c r="K55" s="21" t="s">
        <v>998</v>
      </c>
      <c r="L55" s="21" t="s">
        <v>1384</v>
      </c>
      <c r="M55" s="21" t="s">
        <v>989</v>
      </c>
      <c r="N55" s="21" t="s">
        <v>990</v>
      </c>
      <c r="O55" s="21" t="s">
        <v>1385</v>
      </c>
      <c r="P55" s="27">
        <v>0</v>
      </c>
      <c r="Q55" s="27">
        <v>5</v>
      </c>
      <c r="R55" s="21" t="s">
        <v>1386</v>
      </c>
      <c r="S55" s="21" t="s">
        <v>1387</v>
      </c>
      <c r="T55" s="21" t="s">
        <v>994</v>
      </c>
      <c r="U55" s="21" t="s">
        <v>1388</v>
      </c>
    </row>
    <row r="56" spans="1:21" ht="42">
      <c r="A56" s="21" t="s">
        <v>905</v>
      </c>
      <c r="B56" s="21" t="s">
        <v>906</v>
      </c>
      <c r="C56" s="21"/>
      <c r="D56" s="21" t="s">
        <v>180</v>
      </c>
      <c r="E56" s="21" t="s">
        <v>955</v>
      </c>
      <c r="F56" s="21" t="s">
        <v>1389</v>
      </c>
      <c r="G56" s="21" t="s">
        <v>1390</v>
      </c>
      <c r="H56" s="28">
        <v>44474</v>
      </c>
      <c r="I56" s="22">
        <v>2021</v>
      </c>
      <c r="J56" s="21" t="s">
        <v>1012</v>
      </c>
      <c r="K56" s="21" t="s">
        <v>998</v>
      </c>
      <c r="L56" s="21" t="s">
        <v>1391</v>
      </c>
      <c r="M56" s="21" t="s">
        <v>961</v>
      </c>
      <c r="N56" s="21" t="s">
        <v>1210</v>
      </c>
      <c r="O56" s="21" t="s">
        <v>1392</v>
      </c>
      <c r="P56" s="27">
        <v>0</v>
      </c>
      <c r="Q56" s="27">
        <v>2</v>
      </c>
      <c r="R56" s="21" t="s">
        <v>1393</v>
      </c>
      <c r="S56" s="21" t="s">
        <v>1394</v>
      </c>
      <c r="T56" s="21" t="s">
        <v>994</v>
      </c>
      <c r="U56" s="21" t="s">
        <v>1395</v>
      </c>
    </row>
    <row r="57" spans="1:21" ht="42">
      <c r="A57" s="21" t="s">
        <v>905</v>
      </c>
      <c r="B57" s="21" t="s">
        <v>906</v>
      </c>
      <c r="C57" s="21"/>
      <c r="D57" s="21" t="s">
        <v>180</v>
      </c>
      <c r="E57" s="21" t="s">
        <v>955</v>
      </c>
      <c r="F57" s="21" t="s">
        <v>1396</v>
      </c>
      <c r="G57" s="21" t="s">
        <v>1397</v>
      </c>
      <c r="H57" s="28">
        <v>44574</v>
      </c>
      <c r="I57" s="22">
        <v>2022</v>
      </c>
      <c r="J57" s="21" t="s">
        <v>1012</v>
      </c>
      <c r="K57" s="21" t="s">
        <v>998</v>
      </c>
      <c r="L57" s="21" t="s">
        <v>1398</v>
      </c>
      <c r="M57" s="21" t="s">
        <v>961</v>
      </c>
      <c r="N57" s="21" t="s">
        <v>1399</v>
      </c>
      <c r="O57" s="21" t="s">
        <v>1400</v>
      </c>
      <c r="P57" s="27">
        <v>0</v>
      </c>
      <c r="Q57" s="27">
        <v>5</v>
      </c>
      <c r="R57" s="21" t="s">
        <v>1401</v>
      </c>
      <c r="S57" s="21" t="s">
        <v>1402</v>
      </c>
      <c r="T57" s="21" t="s">
        <v>994</v>
      </c>
      <c r="U57" s="21" t="s">
        <v>1403</v>
      </c>
    </row>
    <row r="58" spans="1:21" ht="252">
      <c r="A58" s="21" t="s">
        <v>905</v>
      </c>
      <c r="B58" s="21" t="s">
        <v>906</v>
      </c>
      <c r="C58" s="21"/>
      <c r="D58" s="21" t="s">
        <v>180</v>
      </c>
      <c r="E58" s="21" t="s">
        <v>955</v>
      </c>
      <c r="F58" s="21" t="s">
        <v>1404</v>
      </c>
      <c r="G58" s="21" t="s">
        <v>1405</v>
      </c>
      <c r="H58" s="28">
        <v>45209</v>
      </c>
      <c r="I58" s="22">
        <v>2023</v>
      </c>
      <c r="J58" s="21" t="s">
        <v>1012</v>
      </c>
      <c r="K58" s="21" t="s">
        <v>998</v>
      </c>
      <c r="L58" s="21" t="s">
        <v>1406</v>
      </c>
      <c r="M58" s="21" t="s">
        <v>961</v>
      </c>
      <c r="N58" s="21" t="s">
        <v>1407</v>
      </c>
      <c r="O58" s="21" t="s">
        <v>1408</v>
      </c>
      <c r="P58" s="27">
        <v>0</v>
      </c>
      <c r="Q58" s="27">
        <v>9</v>
      </c>
      <c r="R58" s="21" t="s">
        <v>1409</v>
      </c>
      <c r="S58" s="21" t="s">
        <v>1410</v>
      </c>
      <c r="T58" s="21" t="s">
        <v>994</v>
      </c>
      <c r="U58" s="21" t="s">
        <v>1411</v>
      </c>
    </row>
    <row r="59" spans="1:21" ht="70">
      <c r="A59" s="21" t="s">
        <v>905</v>
      </c>
      <c r="B59" s="21" t="s">
        <v>906</v>
      </c>
      <c r="C59" s="21"/>
      <c r="D59" s="21" t="s">
        <v>180</v>
      </c>
      <c r="E59" s="21" t="s">
        <v>955</v>
      </c>
      <c r="F59" s="21" t="s">
        <v>1412</v>
      </c>
      <c r="G59" s="21" t="s">
        <v>1413</v>
      </c>
      <c r="H59" s="28">
        <v>44587</v>
      </c>
      <c r="I59" s="22">
        <v>2022</v>
      </c>
      <c r="J59" s="21" t="s">
        <v>1012</v>
      </c>
      <c r="K59" s="21" t="s">
        <v>998</v>
      </c>
      <c r="L59" s="21" t="s">
        <v>1414</v>
      </c>
      <c r="M59" s="21" t="s">
        <v>961</v>
      </c>
      <c r="N59" s="21" t="s">
        <v>1415</v>
      </c>
      <c r="O59" s="21" t="s">
        <v>1416</v>
      </c>
      <c r="P59" s="27">
        <v>0</v>
      </c>
      <c r="Q59" s="27">
        <v>5</v>
      </c>
      <c r="R59" s="21" t="s">
        <v>1417</v>
      </c>
      <c r="S59" s="21" t="s">
        <v>1418</v>
      </c>
      <c r="T59" s="21" t="s">
        <v>994</v>
      </c>
      <c r="U59" s="21" t="s">
        <v>1419</v>
      </c>
    </row>
    <row r="60" spans="1:21" ht="98">
      <c r="A60" s="21" t="s">
        <v>905</v>
      </c>
      <c r="B60" s="21" t="s">
        <v>906</v>
      </c>
      <c r="C60" s="21"/>
      <c r="D60" s="21" t="s">
        <v>180</v>
      </c>
      <c r="E60" s="21" t="s">
        <v>955</v>
      </c>
      <c r="F60" s="21" t="s">
        <v>1420</v>
      </c>
      <c r="G60" s="21" t="s">
        <v>1421</v>
      </c>
      <c r="H60" s="28">
        <v>41733</v>
      </c>
      <c r="I60" s="22">
        <v>2014</v>
      </c>
      <c r="J60" s="21" t="s">
        <v>1012</v>
      </c>
      <c r="K60" s="21" t="s">
        <v>998</v>
      </c>
      <c r="L60" s="21" t="s">
        <v>1422</v>
      </c>
      <c r="M60" s="21" t="s">
        <v>961</v>
      </c>
      <c r="N60" s="21" t="s">
        <v>1423</v>
      </c>
      <c r="O60" s="21" t="s">
        <v>1424</v>
      </c>
      <c r="P60" s="27">
        <v>0</v>
      </c>
      <c r="Q60" s="27">
        <v>25</v>
      </c>
      <c r="R60" s="21" t="s">
        <v>1425</v>
      </c>
      <c r="S60" s="21" t="s">
        <v>1426</v>
      </c>
      <c r="T60" s="21" t="s">
        <v>994</v>
      </c>
      <c r="U60" s="21" t="s">
        <v>1427</v>
      </c>
    </row>
    <row r="61" spans="1:21" ht="56">
      <c r="A61" s="21" t="s">
        <v>905</v>
      </c>
      <c r="B61" s="21" t="s">
        <v>906</v>
      </c>
      <c r="C61" s="21"/>
      <c r="D61" s="21" t="s">
        <v>180</v>
      </c>
      <c r="E61" s="21" t="s">
        <v>955</v>
      </c>
      <c r="F61" s="21" t="s">
        <v>1428</v>
      </c>
      <c r="G61" s="21" t="s">
        <v>1429</v>
      </c>
      <c r="H61" s="28">
        <v>43100</v>
      </c>
      <c r="I61" s="22">
        <v>2017</v>
      </c>
      <c r="J61" s="21" t="s">
        <v>958</v>
      </c>
      <c r="K61" s="21" t="s">
        <v>959</v>
      </c>
      <c r="L61" s="21" t="s">
        <v>1430</v>
      </c>
      <c r="M61" s="21" t="s">
        <v>971</v>
      </c>
      <c r="N61" s="21" t="s">
        <v>1431</v>
      </c>
      <c r="O61" s="21" t="s">
        <v>1432</v>
      </c>
      <c r="P61" s="27">
        <v>0</v>
      </c>
      <c r="Q61" s="27">
        <v>6</v>
      </c>
      <c r="R61" s="21" t="s">
        <v>1433</v>
      </c>
      <c r="S61" s="21" t="s">
        <v>1434</v>
      </c>
      <c r="T61" s="21" t="s">
        <v>966</v>
      </c>
      <c r="U61" s="21" t="s">
        <v>1435</v>
      </c>
    </row>
    <row r="62" spans="1:21" ht="409.5">
      <c r="A62" s="21" t="s">
        <v>905</v>
      </c>
      <c r="B62" s="21" t="s">
        <v>906</v>
      </c>
      <c r="C62" s="21"/>
      <c r="D62" s="21" t="s">
        <v>180</v>
      </c>
      <c r="E62" s="21" t="s">
        <v>955</v>
      </c>
      <c r="F62" s="21" t="s">
        <v>1436</v>
      </c>
      <c r="G62" s="21" t="s">
        <v>1437</v>
      </c>
      <c r="H62" s="28">
        <v>43945</v>
      </c>
      <c r="I62" s="22">
        <v>2020</v>
      </c>
      <c r="J62" s="21" t="s">
        <v>1012</v>
      </c>
      <c r="K62" s="21" t="s">
        <v>1013</v>
      </c>
      <c r="L62" s="21" t="s">
        <v>1438</v>
      </c>
      <c r="M62" s="21" t="s">
        <v>961</v>
      </c>
      <c r="N62" s="21" t="s">
        <v>1439</v>
      </c>
      <c r="O62" s="21" t="s">
        <v>1440</v>
      </c>
      <c r="P62" s="27">
        <v>1</v>
      </c>
      <c r="Q62" s="27">
        <v>38</v>
      </c>
      <c r="R62" s="21" t="s">
        <v>1441</v>
      </c>
      <c r="S62" s="21" t="s">
        <v>1442</v>
      </c>
      <c r="T62" s="21" t="s">
        <v>966</v>
      </c>
      <c r="U62" s="21" t="s">
        <v>1443</v>
      </c>
    </row>
    <row r="63" spans="1:21" ht="140">
      <c r="A63" s="21" t="s">
        <v>905</v>
      </c>
      <c r="B63" s="21" t="s">
        <v>906</v>
      </c>
      <c r="C63" s="21"/>
      <c r="D63" s="21" t="s">
        <v>180</v>
      </c>
      <c r="E63" s="21" t="s">
        <v>955</v>
      </c>
      <c r="F63" s="21" t="s">
        <v>1444</v>
      </c>
      <c r="G63" s="21" t="s">
        <v>1445</v>
      </c>
      <c r="H63" s="28">
        <v>45191</v>
      </c>
      <c r="I63" s="22">
        <v>2023</v>
      </c>
      <c r="J63" s="21" t="s">
        <v>1012</v>
      </c>
      <c r="K63" s="21" t="s">
        <v>998</v>
      </c>
      <c r="L63" s="21" t="s">
        <v>1446</v>
      </c>
      <c r="M63" s="21" t="s">
        <v>961</v>
      </c>
      <c r="N63" s="21" t="s">
        <v>1447</v>
      </c>
      <c r="O63" s="21" t="s">
        <v>1448</v>
      </c>
      <c r="P63" s="27">
        <v>0</v>
      </c>
      <c r="Q63" s="27">
        <v>7</v>
      </c>
      <c r="R63" s="21" t="s">
        <v>1449</v>
      </c>
      <c r="S63" s="21" t="s">
        <v>1450</v>
      </c>
      <c r="T63" s="21" t="s">
        <v>994</v>
      </c>
      <c r="U63" s="21" t="s">
        <v>1451</v>
      </c>
    </row>
    <row r="64" spans="1:21" ht="112">
      <c r="A64" s="21" t="s">
        <v>905</v>
      </c>
      <c r="B64" s="21" t="s">
        <v>906</v>
      </c>
      <c r="C64" s="21"/>
      <c r="D64" s="21" t="s">
        <v>180</v>
      </c>
      <c r="E64" s="21" t="s">
        <v>955</v>
      </c>
      <c r="F64" s="21" t="s">
        <v>1452</v>
      </c>
      <c r="G64" s="21" t="s">
        <v>1453</v>
      </c>
      <c r="H64" s="28">
        <v>44551</v>
      </c>
      <c r="I64" s="22">
        <v>2021</v>
      </c>
      <c r="J64" s="21" t="s">
        <v>1012</v>
      </c>
      <c r="K64" s="21" t="s">
        <v>998</v>
      </c>
      <c r="L64" s="21" t="s">
        <v>1454</v>
      </c>
      <c r="M64" s="21" t="s">
        <v>961</v>
      </c>
      <c r="N64" s="21" t="s">
        <v>1455</v>
      </c>
      <c r="O64" s="21" t="s">
        <v>1456</v>
      </c>
      <c r="P64" s="27">
        <v>0</v>
      </c>
      <c r="Q64" s="27">
        <v>18</v>
      </c>
      <c r="R64" s="21" t="s">
        <v>1457</v>
      </c>
      <c r="S64" s="21" t="s">
        <v>1458</v>
      </c>
      <c r="T64" s="21" t="s">
        <v>994</v>
      </c>
      <c r="U64" s="21" t="s">
        <v>1459</v>
      </c>
    </row>
    <row r="65" spans="1:21" ht="112">
      <c r="A65" s="21" t="s">
        <v>905</v>
      </c>
      <c r="B65" s="21" t="s">
        <v>906</v>
      </c>
      <c r="C65" s="21"/>
      <c r="D65" s="21" t="s">
        <v>180</v>
      </c>
      <c r="E65" s="21" t="s">
        <v>955</v>
      </c>
      <c r="F65" s="21" t="s">
        <v>1460</v>
      </c>
      <c r="G65" s="21" t="s">
        <v>1461</v>
      </c>
      <c r="H65" s="28">
        <v>44606</v>
      </c>
      <c r="I65" s="22">
        <v>2022</v>
      </c>
      <c r="J65" s="21" t="s">
        <v>1012</v>
      </c>
      <c r="K65" s="21" t="s">
        <v>1013</v>
      </c>
      <c r="L65" s="21" t="s">
        <v>1462</v>
      </c>
      <c r="M65" s="21" t="s">
        <v>961</v>
      </c>
      <c r="N65" s="21" t="s">
        <v>1463</v>
      </c>
      <c r="O65" s="21" t="s">
        <v>1464</v>
      </c>
      <c r="P65" s="27">
        <v>0</v>
      </c>
      <c r="Q65" s="27">
        <v>24</v>
      </c>
      <c r="R65" s="21" t="s">
        <v>1465</v>
      </c>
      <c r="S65" s="21" t="s">
        <v>1466</v>
      </c>
      <c r="T65" s="21" t="s">
        <v>966</v>
      </c>
      <c r="U65" s="21" t="s">
        <v>1467</v>
      </c>
    </row>
    <row r="66" spans="1:21" ht="126">
      <c r="A66" s="21" t="s">
        <v>905</v>
      </c>
      <c r="B66" s="21" t="s">
        <v>906</v>
      </c>
      <c r="C66" s="21"/>
      <c r="D66" s="21" t="s">
        <v>180</v>
      </c>
      <c r="E66" s="21" t="s">
        <v>955</v>
      </c>
      <c r="F66" s="21" t="s">
        <v>1468</v>
      </c>
      <c r="G66" s="21" t="s">
        <v>1469</v>
      </c>
      <c r="H66" s="28">
        <v>44558</v>
      </c>
      <c r="I66" s="22">
        <v>2021</v>
      </c>
      <c r="J66" s="21" t="s">
        <v>1012</v>
      </c>
      <c r="K66" s="21" t="s">
        <v>998</v>
      </c>
      <c r="L66" s="21" t="s">
        <v>1470</v>
      </c>
      <c r="M66" s="21" t="s">
        <v>1328</v>
      </c>
      <c r="N66" s="21" t="s">
        <v>1471</v>
      </c>
      <c r="O66" s="21" t="s">
        <v>1472</v>
      </c>
      <c r="P66" s="27">
        <v>0</v>
      </c>
      <c r="Q66" s="27">
        <v>11</v>
      </c>
      <c r="R66" s="21" t="s">
        <v>1473</v>
      </c>
      <c r="S66" s="21" t="s">
        <v>1474</v>
      </c>
      <c r="T66" s="21" t="s">
        <v>994</v>
      </c>
      <c r="U66" s="21" t="s">
        <v>1475</v>
      </c>
    </row>
    <row r="67" spans="1:21" ht="42">
      <c r="A67" s="21" t="s">
        <v>905</v>
      </c>
      <c r="B67" s="21" t="s">
        <v>906</v>
      </c>
      <c r="C67" s="21"/>
      <c r="D67" s="21" t="s">
        <v>180</v>
      </c>
      <c r="E67" s="21" t="s">
        <v>955</v>
      </c>
      <c r="F67" s="21" t="s">
        <v>1476</v>
      </c>
      <c r="G67" s="21" t="s">
        <v>1477</v>
      </c>
      <c r="H67" s="28">
        <v>45131</v>
      </c>
      <c r="I67" s="22">
        <v>2023</v>
      </c>
      <c r="J67" s="21" t="s">
        <v>1012</v>
      </c>
      <c r="K67" s="21" t="s">
        <v>998</v>
      </c>
      <c r="L67" s="21" t="s">
        <v>1478</v>
      </c>
      <c r="M67" s="21" t="s">
        <v>961</v>
      </c>
      <c r="N67" s="21" t="s">
        <v>1479</v>
      </c>
      <c r="O67" s="21" t="s">
        <v>1480</v>
      </c>
      <c r="P67" s="27">
        <v>0</v>
      </c>
      <c r="Q67" s="27">
        <v>8</v>
      </c>
      <c r="R67" s="21" t="s">
        <v>1481</v>
      </c>
      <c r="S67" s="21" t="s">
        <v>1482</v>
      </c>
      <c r="T67" s="21" t="s">
        <v>994</v>
      </c>
      <c r="U67" s="21" t="s">
        <v>1483</v>
      </c>
    </row>
    <row r="68" spans="1:21" ht="28">
      <c r="A68" s="21" t="s">
        <v>905</v>
      </c>
      <c r="B68" s="21" t="s">
        <v>906</v>
      </c>
      <c r="C68" s="21"/>
      <c r="D68" s="21" t="s">
        <v>180</v>
      </c>
      <c r="E68" s="21" t="s">
        <v>955</v>
      </c>
      <c r="F68" s="21" t="s">
        <v>1484</v>
      </c>
      <c r="G68" s="21" t="s">
        <v>1485</v>
      </c>
      <c r="H68" s="28">
        <v>44546</v>
      </c>
      <c r="I68" s="22">
        <v>2021</v>
      </c>
      <c r="J68" s="21" t="s">
        <v>1012</v>
      </c>
      <c r="K68" s="21" t="s">
        <v>998</v>
      </c>
      <c r="L68" s="21" t="s">
        <v>1486</v>
      </c>
      <c r="M68" s="21" t="s">
        <v>961</v>
      </c>
      <c r="N68" s="21" t="s">
        <v>1210</v>
      </c>
      <c r="O68" s="21" t="s">
        <v>1487</v>
      </c>
      <c r="P68" s="27">
        <v>0</v>
      </c>
      <c r="Q68" s="27">
        <v>2</v>
      </c>
      <c r="R68" s="21" t="s">
        <v>1488</v>
      </c>
      <c r="S68" s="21" t="s">
        <v>1489</v>
      </c>
      <c r="T68" s="21" t="s">
        <v>994</v>
      </c>
      <c r="U68" s="21" t="s">
        <v>1490</v>
      </c>
    </row>
    <row r="69" spans="1:21" ht="84">
      <c r="A69" s="21" t="s">
        <v>905</v>
      </c>
      <c r="B69" s="21" t="s">
        <v>906</v>
      </c>
      <c r="C69" s="21"/>
      <c r="D69" s="21" t="s">
        <v>180</v>
      </c>
      <c r="E69" s="21" t="s">
        <v>955</v>
      </c>
      <c r="F69" s="21" t="s">
        <v>1491</v>
      </c>
      <c r="G69" s="21" t="s">
        <v>1492</v>
      </c>
      <c r="H69" s="28">
        <v>44550</v>
      </c>
      <c r="I69" s="22">
        <v>2021</v>
      </c>
      <c r="J69" s="21" t="s">
        <v>1012</v>
      </c>
      <c r="K69" s="21" t="s">
        <v>998</v>
      </c>
      <c r="L69" s="21" t="s">
        <v>1493</v>
      </c>
      <c r="M69" s="21" t="s">
        <v>961</v>
      </c>
      <c r="N69" s="21" t="s">
        <v>1494</v>
      </c>
      <c r="O69" s="21" t="s">
        <v>1495</v>
      </c>
      <c r="P69" s="27">
        <v>0</v>
      </c>
      <c r="Q69" s="27">
        <v>5</v>
      </c>
      <c r="R69" s="21" t="s">
        <v>1496</v>
      </c>
      <c r="S69" s="21" t="s">
        <v>1497</v>
      </c>
      <c r="T69" s="21" t="s">
        <v>994</v>
      </c>
      <c r="U69" s="21" t="s">
        <v>1498</v>
      </c>
    </row>
    <row r="70" spans="1:21" ht="266">
      <c r="A70" s="21" t="s">
        <v>905</v>
      </c>
      <c r="B70" s="21" t="s">
        <v>906</v>
      </c>
      <c r="C70" s="21"/>
      <c r="D70" s="21" t="s">
        <v>180</v>
      </c>
      <c r="E70" s="21" t="s">
        <v>955</v>
      </c>
      <c r="F70" s="21" t="s">
        <v>1499</v>
      </c>
      <c r="G70" s="21" t="s">
        <v>1500</v>
      </c>
      <c r="H70" s="28">
        <v>45138</v>
      </c>
      <c r="I70" s="22">
        <v>2023</v>
      </c>
      <c r="J70" s="21" t="s">
        <v>1012</v>
      </c>
      <c r="K70" s="21" t="s">
        <v>998</v>
      </c>
      <c r="L70" s="21" t="s">
        <v>1501</v>
      </c>
      <c r="M70" s="21" t="s">
        <v>961</v>
      </c>
      <c r="N70" s="21" t="s">
        <v>1502</v>
      </c>
      <c r="O70" s="21" t="s">
        <v>1503</v>
      </c>
      <c r="P70" s="27">
        <v>0</v>
      </c>
      <c r="Q70" s="27">
        <v>10</v>
      </c>
      <c r="R70" s="21" t="s">
        <v>1504</v>
      </c>
      <c r="S70" s="21" t="s">
        <v>1505</v>
      </c>
      <c r="T70" s="21" t="s">
        <v>994</v>
      </c>
      <c r="U70" s="21" t="s">
        <v>1506</v>
      </c>
    </row>
    <row r="71" spans="1:21" ht="154">
      <c r="A71" s="21" t="s">
        <v>905</v>
      </c>
      <c r="B71" s="21" t="s">
        <v>906</v>
      </c>
      <c r="C71" s="21"/>
      <c r="D71" s="21" t="s">
        <v>180</v>
      </c>
      <c r="E71" s="21" t="s">
        <v>955</v>
      </c>
      <c r="F71" s="21" t="s">
        <v>1507</v>
      </c>
      <c r="G71" s="21" t="s">
        <v>1508</v>
      </c>
      <c r="H71" s="28">
        <v>45125</v>
      </c>
      <c r="I71" s="22">
        <v>2023</v>
      </c>
      <c r="J71" s="21" t="s">
        <v>1012</v>
      </c>
      <c r="K71" s="21" t="s">
        <v>998</v>
      </c>
      <c r="L71" s="21" t="s">
        <v>1509</v>
      </c>
      <c r="M71" s="21" t="s">
        <v>961</v>
      </c>
      <c r="N71" s="21" t="s">
        <v>1510</v>
      </c>
      <c r="O71" s="21" t="s">
        <v>1511</v>
      </c>
      <c r="P71" s="27">
        <v>0</v>
      </c>
      <c r="Q71" s="27">
        <v>14</v>
      </c>
      <c r="R71" s="21" t="s">
        <v>1512</v>
      </c>
      <c r="S71" s="21" t="s">
        <v>1513</v>
      </c>
      <c r="T71" s="21" t="s">
        <v>994</v>
      </c>
      <c r="U71" s="21" t="s">
        <v>1514</v>
      </c>
    </row>
    <row r="72" spans="1:21" ht="28">
      <c r="A72" s="21" t="s">
        <v>905</v>
      </c>
      <c r="B72" s="21" t="s">
        <v>906</v>
      </c>
      <c r="C72" s="21"/>
      <c r="D72" s="21" t="s">
        <v>180</v>
      </c>
      <c r="E72" s="21" t="s">
        <v>955</v>
      </c>
      <c r="F72" s="21" t="s">
        <v>1515</v>
      </c>
      <c r="G72" s="21" t="s">
        <v>1516</v>
      </c>
      <c r="H72" s="28">
        <v>44546</v>
      </c>
      <c r="I72" s="22">
        <v>2021</v>
      </c>
      <c r="J72" s="21" t="s">
        <v>1012</v>
      </c>
      <c r="K72" s="21" t="s">
        <v>998</v>
      </c>
      <c r="L72" s="21" t="s">
        <v>1517</v>
      </c>
      <c r="M72" s="21" t="s">
        <v>961</v>
      </c>
      <c r="N72" s="21" t="s">
        <v>1210</v>
      </c>
      <c r="O72" s="21" t="s">
        <v>1487</v>
      </c>
      <c r="P72" s="27">
        <v>0</v>
      </c>
      <c r="Q72" s="27">
        <v>2</v>
      </c>
      <c r="R72" s="21" t="s">
        <v>1518</v>
      </c>
      <c r="S72" s="21" t="s">
        <v>1519</v>
      </c>
      <c r="T72" s="21" t="s">
        <v>994</v>
      </c>
      <c r="U72" s="21" t="s">
        <v>1520</v>
      </c>
    </row>
    <row r="73" spans="1:21" ht="84">
      <c r="A73" s="21" t="s">
        <v>905</v>
      </c>
      <c r="B73" s="21" t="s">
        <v>906</v>
      </c>
      <c r="C73" s="21"/>
      <c r="D73" s="21" t="s">
        <v>180</v>
      </c>
      <c r="E73" s="21" t="s">
        <v>955</v>
      </c>
      <c r="F73" s="21" t="s">
        <v>1521</v>
      </c>
      <c r="G73" s="21" t="s">
        <v>1522</v>
      </c>
      <c r="H73" s="28">
        <v>43055</v>
      </c>
      <c r="I73" s="22">
        <v>2017</v>
      </c>
      <c r="J73" s="21" t="s">
        <v>1012</v>
      </c>
      <c r="K73" s="21" t="s">
        <v>998</v>
      </c>
      <c r="L73" s="21" t="s">
        <v>1523</v>
      </c>
      <c r="M73" s="21" t="s">
        <v>961</v>
      </c>
      <c r="N73" s="21" t="s">
        <v>1524</v>
      </c>
      <c r="O73" s="21" t="s">
        <v>1525</v>
      </c>
      <c r="P73" s="27">
        <v>0</v>
      </c>
      <c r="Q73" s="27">
        <v>11</v>
      </c>
      <c r="R73" s="21" t="s">
        <v>1526</v>
      </c>
      <c r="S73" s="21" t="s">
        <v>1527</v>
      </c>
      <c r="T73" s="21" t="s">
        <v>994</v>
      </c>
      <c r="U73" s="21" t="s">
        <v>1528</v>
      </c>
    </row>
    <row r="74" spans="1:21" ht="140">
      <c r="A74" s="21" t="s">
        <v>905</v>
      </c>
      <c r="B74" s="21" t="s">
        <v>906</v>
      </c>
      <c r="C74" s="21"/>
      <c r="D74" s="21" t="s">
        <v>180</v>
      </c>
      <c r="E74" s="21" t="s">
        <v>955</v>
      </c>
      <c r="F74" s="21" t="s">
        <v>1529</v>
      </c>
      <c r="G74" s="21" t="s">
        <v>1530</v>
      </c>
      <c r="H74" s="28">
        <v>44518</v>
      </c>
      <c r="I74" s="22">
        <v>2021</v>
      </c>
      <c r="J74" s="21" t="s">
        <v>1012</v>
      </c>
      <c r="K74" s="21" t="s">
        <v>998</v>
      </c>
      <c r="L74" s="21" t="s">
        <v>1531</v>
      </c>
      <c r="M74" s="21" t="s">
        <v>1328</v>
      </c>
      <c r="N74" s="21" t="s">
        <v>1532</v>
      </c>
      <c r="O74" s="21" t="s">
        <v>1533</v>
      </c>
      <c r="P74" s="27">
        <v>0</v>
      </c>
      <c r="Q74" s="27">
        <v>12</v>
      </c>
      <c r="R74" s="21" t="s">
        <v>1534</v>
      </c>
      <c r="S74" s="21" t="s">
        <v>1535</v>
      </c>
      <c r="T74" s="21" t="s">
        <v>994</v>
      </c>
      <c r="U74" s="21" t="s">
        <v>1536</v>
      </c>
    </row>
    <row r="75" spans="1:21" ht="98">
      <c r="A75" s="21" t="s">
        <v>905</v>
      </c>
      <c r="B75" s="21" t="s">
        <v>906</v>
      </c>
      <c r="C75" s="21"/>
      <c r="D75" s="21" t="s">
        <v>180</v>
      </c>
      <c r="E75" s="21" t="s">
        <v>955</v>
      </c>
      <c r="F75" s="21" t="s">
        <v>1537</v>
      </c>
      <c r="G75" s="21" t="s">
        <v>1538</v>
      </c>
      <c r="H75" s="28">
        <v>43160</v>
      </c>
      <c r="I75" s="22">
        <v>2018</v>
      </c>
      <c r="J75" s="21" t="s">
        <v>1012</v>
      </c>
      <c r="K75" s="21" t="s">
        <v>1013</v>
      </c>
      <c r="L75" s="21" t="s">
        <v>1539</v>
      </c>
      <c r="M75" s="21" t="s">
        <v>961</v>
      </c>
      <c r="N75" s="21" t="s">
        <v>1540</v>
      </c>
      <c r="O75" s="21" t="s">
        <v>1541</v>
      </c>
      <c r="P75" s="27">
        <v>3</v>
      </c>
      <c r="Q75" s="27">
        <v>42</v>
      </c>
      <c r="R75" s="21" t="s">
        <v>1542</v>
      </c>
      <c r="S75" s="21" t="s">
        <v>1543</v>
      </c>
      <c r="T75" s="21" t="s">
        <v>966</v>
      </c>
      <c r="U75" s="21" t="s">
        <v>1544</v>
      </c>
    </row>
    <row r="76" spans="1:21" ht="154">
      <c r="A76" s="21" t="s">
        <v>905</v>
      </c>
      <c r="B76" s="21" t="s">
        <v>906</v>
      </c>
      <c r="C76" s="21"/>
      <c r="D76" s="21" t="s">
        <v>180</v>
      </c>
      <c r="E76" s="21" t="s">
        <v>955</v>
      </c>
      <c r="F76" s="21" t="s">
        <v>1545</v>
      </c>
      <c r="G76" s="21" t="s">
        <v>1546</v>
      </c>
      <c r="H76" s="28">
        <v>44175</v>
      </c>
      <c r="I76" s="22">
        <v>2020</v>
      </c>
      <c r="J76" s="21" t="s">
        <v>1012</v>
      </c>
      <c r="K76" s="21" t="s">
        <v>998</v>
      </c>
      <c r="L76" s="21" t="s">
        <v>1547</v>
      </c>
      <c r="M76" s="21" t="s">
        <v>1071</v>
      </c>
      <c r="N76" s="21" t="s">
        <v>1548</v>
      </c>
      <c r="O76" s="21" t="s">
        <v>1549</v>
      </c>
      <c r="P76" s="27">
        <v>0</v>
      </c>
      <c r="Q76" s="27">
        <v>13</v>
      </c>
      <c r="R76" s="21" t="s">
        <v>1550</v>
      </c>
      <c r="S76" s="21" t="s">
        <v>1551</v>
      </c>
      <c r="T76" s="21" t="s">
        <v>994</v>
      </c>
      <c r="U76" s="21" t="s">
        <v>1552</v>
      </c>
    </row>
    <row r="77" spans="1:21" ht="238">
      <c r="A77" s="21" t="s">
        <v>905</v>
      </c>
      <c r="B77" s="21" t="s">
        <v>906</v>
      </c>
      <c r="C77" s="21"/>
      <c r="D77" s="21" t="s">
        <v>180</v>
      </c>
      <c r="E77" s="21" t="s">
        <v>955</v>
      </c>
      <c r="F77" s="21" t="s">
        <v>1553</v>
      </c>
      <c r="G77" s="21" t="s">
        <v>1554</v>
      </c>
      <c r="H77" s="28">
        <v>44309</v>
      </c>
      <c r="I77" s="22">
        <v>2021</v>
      </c>
      <c r="J77" s="21" t="s">
        <v>1012</v>
      </c>
      <c r="K77" s="21" t="s">
        <v>998</v>
      </c>
      <c r="L77" s="21" t="s">
        <v>1555</v>
      </c>
      <c r="M77" s="21" t="s">
        <v>961</v>
      </c>
      <c r="N77" s="21" t="s">
        <v>1556</v>
      </c>
      <c r="O77" s="21" t="s">
        <v>1557</v>
      </c>
      <c r="P77" s="27">
        <v>0</v>
      </c>
      <c r="Q77" s="27">
        <v>25</v>
      </c>
      <c r="R77" s="21" t="s">
        <v>1558</v>
      </c>
      <c r="S77" s="21" t="s">
        <v>1559</v>
      </c>
      <c r="T77" s="21" t="s">
        <v>1148</v>
      </c>
      <c r="U77" s="21" t="s">
        <v>1560</v>
      </c>
    </row>
    <row r="78" spans="1:21" ht="112">
      <c r="A78" s="21" t="s">
        <v>905</v>
      </c>
      <c r="B78" s="21" t="s">
        <v>906</v>
      </c>
      <c r="C78" s="21"/>
      <c r="D78" s="21" t="s">
        <v>180</v>
      </c>
      <c r="E78" s="21" t="s">
        <v>955</v>
      </c>
      <c r="F78" s="21" t="s">
        <v>1561</v>
      </c>
      <c r="G78" s="21" t="s">
        <v>1562</v>
      </c>
      <c r="H78" s="28">
        <v>44309</v>
      </c>
      <c r="I78" s="22">
        <v>2021</v>
      </c>
      <c r="J78" s="21" t="s">
        <v>1012</v>
      </c>
      <c r="K78" s="21" t="s">
        <v>998</v>
      </c>
      <c r="L78" s="21" t="s">
        <v>1563</v>
      </c>
      <c r="M78" s="21" t="s">
        <v>961</v>
      </c>
      <c r="N78" s="21" t="s">
        <v>1564</v>
      </c>
      <c r="O78" s="21" t="s">
        <v>1565</v>
      </c>
      <c r="P78" s="27">
        <v>0</v>
      </c>
      <c r="Q78" s="27">
        <v>12</v>
      </c>
      <c r="R78" s="21" t="s">
        <v>1566</v>
      </c>
      <c r="S78" s="21" t="s">
        <v>1567</v>
      </c>
      <c r="T78" s="21" t="s">
        <v>994</v>
      </c>
      <c r="U78" s="21" t="s">
        <v>1568</v>
      </c>
    </row>
    <row r="79" spans="1:21" ht="98">
      <c r="A79" s="21" t="s">
        <v>905</v>
      </c>
      <c r="B79" s="21" t="s">
        <v>906</v>
      </c>
      <c r="C79" s="21"/>
      <c r="D79" s="21" t="s">
        <v>180</v>
      </c>
      <c r="E79" s="21" t="s">
        <v>955</v>
      </c>
      <c r="F79" s="21" t="s">
        <v>1569</v>
      </c>
      <c r="G79" s="21" t="s">
        <v>1570</v>
      </c>
      <c r="H79" s="28">
        <v>44086</v>
      </c>
      <c r="I79" s="22">
        <v>2020</v>
      </c>
      <c r="J79" s="21" t="s">
        <v>1012</v>
      </c>
      <c r="K79" s="21" t="s">
        <v>998</v>
      </c>
      <c r="L79" s="21" t="s">
        <v>1571</v>
      </c>
      <c r="M79" s="21" t="s">
        <v>1328</v>
      </c>
      <c r="N79" s="21" t="s">
        <v>1572</v>
      </c>
      <c r="O79" s="21" t="s">
        <v>1573</v>
      </c>
      <c r="P79" s="27">
        <v>0</v>
      </c>
      <c r="Q79" s="27">
        <v>17</v>
      </c>
      <c r="R79" s="21" t="s">
        <v>1574</v>
      </c>
      <c r="S79" s="21" t="s">
        <v>1575</v>
      </c>
      <c r="T79" s="21" t="s">
        <v>994</v>
      </c>
      <c r="U79" s="21" t="s">
        <v>1576</v>
      </c>
    </row>
    <row r="80" spans="1:21" ht="70">
      <c r="A80" s="21" t="s">
        <v>905</v>
      </c>
      <c r="B80" s="21" t="s">
        <v>906</v>
      </c>
      <c r="C80" s="21"/>
      <c r="D80" s="21" t="s">
        <v>180</v>
      </c>
      <c r="E80" s="21" t="s">
        <v>955</v>
      </c>
      <c r="F80" s="21" t="s">
        <v>1577</v>
      </c>
      <c r="G80" s="21" t="s">
        <v>1578</v>
      </c>
      <c r="H80" s="28">
        <v>43978</v>
      </c>
      <c r="I80" s="22">
        <v>2020</v>
      </c>
      <c r="J80" s="21" t="s">
        <v>1012</v>
      </c>
      <c r="K80" s="21" t="s">
        <v>998</v>
      </c>
      <c r="L80" s="21" t="s">
        <v>1579</v>
      </c>
      <c r="M80" s="21" t="s">
        <v>961</v>
      </c>
      <c r="N80" s="21" t="s">
        <v>1580</v>
      </c>
      <c r="O80" s="21" t="s">
        <v>1581</v>
      </c>
      <c r="P80" s="27">
        <v>0</v>
      </c>
      <c r="Q80" s="27">
        <v>16</v>
      </c>
      <c r="R80" s="21" t="s">
        <v>1582</v>
      </c>
      <c r="S80" s="21" t="s">
        <v>1583</v>
      </c>
      <c r="T80" s="21" t="s">
        <v>1148</v>
      </c>
      <c r="U80" s="21" t="s">
        <v>1584</v>
      </c>
    </row>
    <row r="81" spans="1:21" ht="98">
      <c r="A81" s="21" t="s">
        <v>905</v>
      </c>
      <c r="B81" s="21" t="s">
        <v>906</v>
      </c>
      <c r="C81" s="21"/>
      <c r="D81" s="21" t="s">
        <v>180</v>
      </c>
      <c r="E81" s="21" t="s">
        <v>955</v>
      </c>
      <c r="F81" s="21" t="s">
        <v>1585</v>
      </c>
      <c r="G81" s="21" t="s">
        <v>1586</v>
      </c>
      <c r="H81" s="28">
        <v>40751</v>
      </c>
      <c r="I81" s="22">
        <v>2011</v>
      </c>
      <c r="J81" s="21" t="s">
        <v>1012</v>
      </c>
      <c r="K81" s="21" t="s">
        <v>998</v>
      </c>
      <c r="L81" s="21" t="s">
        <v>1587</v>
      </c>
      <c r="M81" s="21" t="s">
        <v>961</v>
      </c>
      <c r="N81" s="21" t="s">
        <v>1588</v>
      </c>
      <c r="O81" s="21" t="s">
        <v>1589</v>
      </c>
      <c r="P81" s="27">
        <v>0</v>
      </c>
      <c r="Q81" s="27">
        <v>175</v>
      </c>
      <c r="R81" s="21" t="s">
        <v>1590</v>
      </c>
      <c r="S81" s="21" t="s">
        <v>1591</v>
      </c>
      <c r="T81" s="21" t="s">
        <v>994</v>
      </c>
      <c r="U81" s="21" t="s">
        <v>1592</v>
      </c>
    </row>
    <row r="82" spans="1:21" ht="42">
      <c r="A82" s="21" t="s">
        <v>905</v>
      </c>
      <c r="B82" s="21" t="s">
        <v>906</v>
      </c>
      <c r="C82" s="21"/>
      <c r="D82" s="21" t="s">
        <v>180</v>
      </c>
      <c r="E82" s="21" t="s">
        <v>955</v>
      </c>
      <c r="F82" s="21" t="s">
        <v>1593</v>
      </c>
      <c r="G82" s="21" t="s">
        <v>1594</v>
      </c>
      <c r="H82" s="28">
        <v>44474</v>
      </c>
      <c r="I82" s="22">
        <v>2021</v>
      </c>
      <c r="J82" s="21" t="s">
        <v>1012</v>
      </c>
      <c r="K82" s="21" t="s">
        <v>998</v>
      </c>
      <c r="L82" s="21" t="s">
        <v>1595</v>
      </c>
      <c r="M82" s="21" t="s">
        <v>961</v>
      </c>
      <c r="N82" s="21" t="s">
        <v>1210</v>
      </c>
      <c r="O82" s="21" t="s">
        <v>1596</v>
      </c>
      <c r="P82" s="27">
        <v>0</v>
      </c>
      <c r="Q82" s="27">
        <v>10</v>
      </c>
      <c r="R82" s="21" t="s">
        <v>1597</v>
      </c>
      <c r="S82" s="21" t="s">
        <v>1598</v>
      </c>
      <c r="T82" s="21" t="s">
        <v>994</v>
      </c>
      <c r="U82" s="21" t="s">
        <v>1599</v>
      </c>
    </row>
    <row r="83" spans="1:21" ht="84">
      <c r="A83" s="21" t="s">
        <v>905</v>
      </c>
      <c r="B83" s="21" t="s">
        <v>906</v>
      </c>
      <c r="C83" s="21"/>
      <c r="D83" s="21" t="s">
        <v>180</v>
      </c>
      <c r="E83" s="21" t="s">
        <v>955</v>
      </c>
      <c r="F83" s="21" t="s">
        <v>1600</v>
      </c>
      <c r="G83" s="21" t="s">
        <v>1601</v>
      </c>
      <c r="H83" s="28">
        <v>44477</v>
      </c>
      <c r="I83" s="22">
        <v>2021</v>
      </c>
      <c r="J83" s="21" t="s">
        <v>1012</v>
      </c>
      <c r="K83" s="21" t="s">
        <v>998</v>
      </c>
      <c r="L83" s="21" t="s">
        <v>1602</v>
      </c>
      <c r="M83" s="21" t="s">
        <v>961</v>
      </c>
      <c r="N83" s="21" t="s">
        <v>1603</v>
      </c>
      <c r="O83" s="21" t="s">
        <v>1604</v>
      </c>
      <c r="P83" s="27">
        <v>0</v>
      </c>
      <c r="Q83" s="27">
        <v>19</v>
      </c>
      <c r="R83" s="21" t="s">
        <v>1605</v>
      </c>
      <c r="S83" s="21" t="s">
        <v>1606</v>
      </c>
      <c r="T83" s="21" t="s">
        <v>994</v>
      </c>
      <c r="U83" s="21" t="s">
        <v>1607</v>
      </c>
    </row>
    <row r="84" spans="1:21" ht="42">
      <c r="A84" s="21" t="s">
        <v>905</v>
      </c>
      <c r="B84" s="21" t="s">
        <v>906</v>
      </c>
      <c r="C84" s="21"/>
      <c r="D84" s="21" t="s">
        <v>180</v>
      </c>
      <c r="E84" s="21" t="s">
        <v>955</v>
      </c>
      <c r="F84" s="21" t="s">
        <v>1608</v>
      </c>
      <c r="G84" s="21" t="s">
        <v>1609</v>
      </c>
      <c r="H84" s="28">
        <v>44469</v>
      </c>
      <c r="I84" s="22">
        <v>2021</v>
      </c>
      <c r="J84" s="21" t="s">
        <v>1012</v>
      </c>
      <c r="K84" s="21" t="s">
        <v>998</v>
      </c>
      <c r="L84" s="21" t="s">
        <v>1610</v>
      </c>
      <c r="M84" s="21" t="s">
        <v>961</v>
      </c>
      <c r="N84" s="21" t="s">
        <v>1611</v>
      </c>
      <c r="O84" s="21" t="s">
        <v>1612</v>
      </c>
      <c r="P84" s="27">
        <v>0</v>
      </c>
      <c r="Q84" s="27">
        <v>6</v>
      </c>
      <c r="R84" s="21" t="s">
        <v>1613</v>
      </c>
      <c r="S84" s="21" t="s">
        <v>1614</v>
      </c>
      <c r="T84" s="21" t="s">
        <v>994</v>
      </c>
      <c r="U84" s="21" t="s">
        <v>1615</v>
      </c>
    </row>
    <row r="85" spans="1:21" ht="126">
      <c r="A85" s="21" t="s">
        <v>905</v>
      </c>
      <c r="B85" s="21" t="s">
        <v>906</v>
      </c>
      <c r="C85" s="21"/>
      <c r="D85" s="21" t="s">
        <v>180</v>
      </c>
      <c r="E85" s="21" t="s">
        <v>955</v>
      </c>
      <c r="F85" s="21" t="s">
        <v>1616</v>
      </c>
      <c r="G85" s="21" t="s">
        <v>1617</v>
      </c>
      <c r="H85" s="28">
        <v>43601</v>
      </c>
      <c r="I85" s="22">
        <v>2019</v>
      </c>
      <c r="J85" s="21" t="s">
        <v>1012</v>
      </c>
      <c r="K85" s="21" t="s">
        <v>998</v>
      </c>
      <c r="L85" s="21" t="s">
        <v>1618</v>
      </c>
      <c r="M85" s="21" t="s">
        <v>961</v>
      </c>
      <c r="N85" s="21" t="s">
        <v>1619</v>
      </c>
      <c r="O85" s="21" t="s">
        <v>1620</v>
      </c>
      <c r="P85" s="27">
        <v>0</v>
      </c>
      <c r="Q85" s="27">
        <v>16</v>
      </c>
      <c r="R85" s="21" t="s">
        <v>1621</v>
      </c>
      <c r="S85" s="21" t="s">
        <v>1622</v>
      </c>
      <c r="T85" s="21" t="s">
        <v>994</v>
      </c>
      <c r="U85" s="21" t="s">
        <v>1623</v>
      </c>
    </row>
    <row r="86" spans="1:21" ht="56">
      <c r="A86" s="21" t="s">
        <v>905</v>
      </c>
      <c r="B86" s="21" t="s">
        <v>906</v>
      </c>
      <c r="C86" s="21"/>
      <c r="D86" s="21" t="s">
        <v>180</v>
      </c>
      <c r="E86" s="21" t="s">
        <v>955</v>
      </c>
      <c r="F86" s="21" t="s">
        <v>1624</v>
      </c>
      <c r="G86" s="21" t="s">
        <v>1625</v>
      </c>
      <c r="H86" s="28">
        <v>44459</v>
      </c>
      <c r="I86" s="22">
        <v>2021</v>
      </c>
      <c r="J86" s="21" t="s">
        <v>1012</v>
      </c>
      <c r="K86" s="21" t="s">
        <v>998</v>
      </c>
      <c r="L86" s="21" t="s">
        <v>1626</v>
      </c>
      <c r="M86" s="21" t="s">
        <v>961</v>
      </c>
      <c r="N86" s="21" t="s">
        <v>1627</v>
      </c>
      <c r="O86" s="21" t="s">
        <v>1628</v>
      </c>
      <c r="P86" s="27">
        <v>0</v>
      </c>
      <c r="Q86" s="27">
        <v>2</v>
      </c>
      <c r="R86" s="21" t="s">
        <v>1629</v>
      </c>
      <c r="S86" s="21" t="s">
        <v>1630</v>
      </c>
      <c r="T86" s="21" t="s">
        <v>994</v>
      </c>
      <c r="U86" s="21" t="s">
        <v>1631</v>
      </c>
    </row>
    <row r="87" spans="1:21" ht="154">
      <c r="A87" s="21" t="s">
        <v>905</v>
      </c>
      <c r="B87" s="21" t="s">
        <v>906</v>
      </c>
      <c r="C87" s="21"/>
      <c r="D87" s="21" t="s">
        <v>180</v>
      </c>
      <c r="E87" s="21" t="s">
        <v>955</v>
      </c>
      <c r="F87" s="21" t="s">
        <v>1632</v>
      </c>
      <c r="G87" s="21" t="s">
        <v>1633</v>
      </c>
      <c r="H87" s="28">
        <v>44309</v>
      </c>
      <c r="I87" s="22">
        <v>2021</v>
      </c>
      <c r="J87" s="21" t="s">
        <v>1012</v>
      </c>
      <c r="K87" s="21" t="s">
        <v>998</v>
      </c>
      <c r="L87" s="21" t="s">
        <v>1634</v>
      </c>
      <c r="M87" s="21" t="s">
        <v>961</v>
      </c>
      <c r="N87" s="21" t="s">
        <v>1635</v>
      </c>
      <c r="O87" s="21" t="s">
        <v>1636</v>
      </c>
      <c r="P87" s="27">
        <v>0</v>
      </c>
      <c r="Q87" s="27">
        <v>43</v>
      </c>
      <c r="R87" s="21" t="s">
        <v>1637</v>
      </c>
      <c r="S87" s="21" t="s">
        <v>1638</v>
      </c>
      <c r="T87" s="21" t="s">
        <v>994</v>
      </c>
      <c r="U87" s="21" t="s">
        <v>1639</v>
      </c>
    </row>
    <row r="88" spans="1:21" ht="210">
      <c r="A88" s="21" t="s">
        <v>905</v>
      </c>
      <c r="B88" s="21" t="s">
        <v>906</v>
      </c>
      <c r="C88" s="21"/>
      <c r="D88" s="21" t="s">
        <v>180</v>
      </c>
      <c r="E88" s="21" t="s">
        <v>955</v>
      </c>
      <c r="F88" s="21" t="s">
        <v>1640</v>
      </c>
      <c r="G88" s="21" t="s">
        <v>1641</v>
      </c>
      <c r="H88" s="28">
        <v>42412</v>
      </c>
      <c r="I88" s="22">
        <v>2016</v>
      </c>
      <c r="J88" s="21" t="s">
        <v>1012</v>
      </c>
      <c r="K88" s="21" t="s">
        <v>998</v>
      </c>
      <c r="L88" s="21" t="s">
        <v>1642</v>
      </c>
      <c r="M88" s="21" t="s">
        <v>1643</v>
      </c>
      <c r="N88" s="21" t="s">
        <v>1644</v>
      </c>
      <c r="O88" s="21" t="s">
        <v>1645</v>
      </c>
      <c r="P88" s="27">
        <v>0</v>
      </c>
      <c r="Q88" s="27">
        <v>54</v>
      </c>
      <c r="R88" s="21" t="s">
        <v>1646</v>
      </c>
      <c r="S88" s="21" t="s">
        <v>1647</v>
      </c>
      <c r="T88" s="21" t="s">
        <v>1148</v>
      </c>
      <c r="U88" s="21" t="s">
        <v>1648</v>
      </c>
    </row>
    <row r="89" spans="1:21" ht="140">
      <c r="A89" s="21" t="s">
        <v>905</v>
      </c>
      <c r="B89" s="21" t="s">
        <v>906</v>
      </c>
      <c r="C89" s="21"/>
      <c r="D89" s="21" t="s">
        <v>180</v>
      </c>
      <c r="E89" s="21" t="s">
        <v>955</v>
      </c>
      <c r="F89" s="21" t="s">
        <v>1649</v>
      </c>
      <c r="G89" s="21" t="s">
        <v>1650</v>
      </c>
      <c r="H89" s="28">
        <v>44385</v>
      </c>
      <c r="I89" s="22">
        <v>2021</v>
      </c>
      <c r="J89" s="21" t="s">
        <v>1012</v>
      </c>
      <c r="K89" s="21" t="s">
        <v>998</v>
      </c>
      <c r="L89" s="21" t="s">
        <v>1651</v>
      </c>
      <c r="M89" s="21" t="s">
        <v>961</v>
      </c>
      <c r="N89" s="21" t="s">
        <v>1652</v>
      </c>
      <c r="O89" s="21" t="s">
        <v>1653</v>
      </c>
      <c r="P89" s="27">
        <v>2</v>
      </c>
      <c r="Q89" s="27">
        <v>9</v>
      </c>
      <c r="R89" s="21" t="s">
        <v>1654</v>
      </c>
      <c r="S89" s="21" t="s">
        <v>1655</v>
      </c>
      <c r="T89" s="21" t="s">
        <v>994</v>
      </c>
      <c r="U89" s="21" t="s">
        <v>1656</v>
      </c>
    </row>
    <row r="90" spans="1:21" ht="28">
      <c r="A90" s="21" t="s">
        <v>905</v>
      </c>
      <c r="B90" s="21" t="s">
        <v>906</v>
      </c>
      <c r="C90" s="21"/>
      <c r="D90" s="21" t="s">
        <v>180</v>
      </c>
      <c r="E90" s="21" t="s">
        <v>955</v>
      </c>
      <c r="F90" s="21" t="s">
        <v>1657</v>
      </c>
      <c r="G90" s="21" t="s">
        <v>1658</v>
      </c>
      <c r="H90" s="28">
        <v>44343</v>
      </c>
      <c r="I90" s="22">
        <v>2021</v>
      </c>
      <c r="J90" s="21" t="s">
        <v>1012</v>
      </c>
      <c r="K90" s="21" t="s">
        <v>998</v>
      </c>
      <c r="L90" s="21" t="s">
        <v>1659</v>
      </c>
      <c r="M90" s="21" t="s">
        <v>961</v>
      </c>
      <c r="N90" s="21" t="s">
        <v>1660</v>
      </c>
      <c r="O90" s="21" t="s">
        <v>1661</v>
      </c>
      <c r="P90" s="27">
        <v>0</v>
      </c>
      <c r="Q90" s="27">
        <v>5</v>
      </c>
      <c r="R90" s="21" t="s">
        <v>1662</v>
      </c>
      <c r="S90" s="21" t="s">
        <v>1663</v>
      </c>
      <c r="T90" s="21" t="s">
        <v>994</v>
      </c>
      <c r="U90" s="21" t="s">
        <v>1664</v>
      </c>
    </row>
    <row r="91" spans="1:21" ht="112">
      <c r="A91" s="21" t="s">
        <v>905</v>
      </c>
      <c r="B91" s="21" t="s">
        <v>906</v>
      </c>
      <c r="C91" s="21"/>
      <c r="D91" s="21" t="s">
        <v>180</v>
      </c>
      <c r="E91" s="21" t="s">
        <v>955</v>
      </c>
      <c r="F91" s="21" t="s">
        <v>1665</v>
      </c>
      <c r="G91" s="21" t="s">
        <v>1666</v>
      </c>
      <c r="H91" s="28">
        <v>42667</v>
      </c>
      <c r="I91" s="22">
        <v>2016</v>
      </c>
      <c r="J91" s="21" t="s">
        <v>1012</v>
      </c>
      <c r="K91" s="21" t="s">
        <v>998</v>
      </c>
      <c r="L91" s="21" t="s">
        <v>1667</v>
      </c>
      <c r="M91" s="21" t="s">
        <v>961</v>
      </c>
      <c r="N91" s="21" t="s">
        <v>1668</v>
      </c>
      <c r="O91" s="21" t="s">
        <v>1669</v>
      </c>
      <c r="P91" s="27">
        <v>0</v>
      </c>
      <c r="Q91" s="27">
        <v>70</v>
      </c>
      <c r="R91" s="21" t="s">
        <v>1670</v>
      </c>
      <c r="S91" s="21" t="s">
        <v>1671</v>
      </c>
      <c r="T91" s="21" t="s">
        <v>994</v>
      </c>
      <c r="U91" s="21" t="s">
        <v>1672</v>
      </c>
    </row>
    <row r="92" spans="1:21" ht="196">
      <c r="A92" s="21" t="s">
        <v>905</v>
      </c>
      <c r="B92" s="21" t="s">
        <v>906</v>
      </c>
      <c r="C92" s="21"/>
      <c r="D92" s="21" t="s">
        <v>180</v>
      </c>
      <c r="E92" s="21" t="s">
        <v>955</v>
      </c>
      <c r="F92" s="21" t="s">
        <v>1673</v>
      </c>
      <c r="G92" s="21" t="s">
        <v>1674</v>
      </c>
      <c r="H92" s="28">
        <v>43713</v>
      </c>
      <c r="I92" s="22">
        <v>2019</v>
      </c>
      <c r="J92" s="21" t="s">
        <v>1012</v>
      </c>
      <c r="K92" s="21" t="s">
        <v>998</v>
      </c>
      <c r="L92" s="21" t="s">
        <v>1675</v>
      </c>
      <c r="M92" s="21" t="s">
        <v>961</v>
      </c>
      <c r="N92" s="21" t="s">
        <v>1676</v>
      </c>
      <c r="O92" s="21" t="s">
        <v>1677</v>
      </c>
      <c r="P92" s="27">
        <v>0</v>
      </c>
      <c r="Q92" s="27">
        <v>15</v>
      </c>
      <c r="R92" s="21" t="s">
        <v>1678</v>
      </c>
      <c r="S92" s="21" t="s">
        <v>1679</v>
      </c>
      <c r="T92" s="21" t="s">
        <v>994</v>
      </c>
      <c r="U92" s="21" t="s">
        <v>1680</v>
      </c>
    </row>
    <row r="93" spans="1:21" ht="70">
      <c r="A93" s="21" t="s">
        <v>905</v>
      </c>
      <c r="B93" s="21" t="s">
        <v>906</v>
      </c>
      <c r="C93" s="21"/>
      <c r="D93" s="21" t="s">
        <v>180</v>
      </c>
      <c r="E93" s="21" t="s">
        <v>955</v>
      </c>
      <c r="F93" s="21" t="s">
        <v>1681</v>
      </c>
      <c r="G93" s="21" t="s">
        <v>1682</v>
      </c>
      <c r="H93" s="28">
        <v>44397</v>
      </c>
      <c r="I93" s="22">
        <v>2021</v>
      </c>
      <c r="J93" s="21" t="s">
        <v>1012</v>
      </c>
      <c r="K93" s="21" t="s">
        <v>998</v>
      </c>
      <c r="L93" s="21" t="s">
        <v>1683</v>
      </c>
      <c r="M93" s="21" t="s">
        <v>961</v>
      </c>
      <c r="N93" s="21" t="s">
        <v>1684</v>
      </c>
      <c r="O93" s="21" t="s">
        <v>1685</v>
      </c>
      <c r="P93" s="27">
        <v>0</v>
      </c>
      <c r="Q93" s="27">
        <v>12</v>
      </c>
      <c r="R93" s="21" t="s">
        <v>1686</v>
      </c>
      <c r="S93" s="21" t="s">
        <v>1687</v>
      </c>
      <c r="T93" s="21" t="s">
        <v>966</v>
      </c>
      <c r="U93" s="21" t="s">
        <v>1688</v>
      </c>
    </row>
    <row r="94" spans="1:21" ht="140">
      <c r="A94" s="21" t="s">
        <v>905</v>
      </c>
      <c r="B94" s="21" t="s">
        <v>906</v>
      </c>
      <c r="C94" s="21"/>
      <c r="D94" s="21" t="s">
        <v>180</v>
      </c>
      <c r="E94" s="21" t="s">
        <v>955</v>
      </c>
      <c r="F94" s="21" t="s">
        <v>1689</v>
      </c>
      <c r="G94" s="21" t="s">
        <v>1690</v>
      </c>
      <c r="H94" s="28">
        <v>45023</v>
      </c>
      <c r="I94" s="22">
        <v>2023</v>
      </c>
      <c r="J94" s="21" t="s">
        <v>1012</v>
      </c>
      <c r="K94" s="21" t="s">
        <v>998</v>
      </c>
      <c r="L94" s="21" t="s">
        <v>1691</v>
      </c>
      <c r="M94" s="21" t="s">
        <v>961</v>
      </c>
      <c r="N94" s="21" t="s">
        <v>1692</v>
      </c>
      <c r="O94" s="21" t="s">
        <v>1273</v>
      </c>
      <c r="P94" s="27">
        <v>0</v>
      </c>
      <c r="Q94" s="27">
        <v>11</v>
      </c>
      <c r="R94" s="21" t="s">
        <v>1693</v>
      </c>
      <c r="S94" s="21" t="s">
        <v>1694</v>
      </c>
      <c r="T94" s="21" t="s">
        <v>994</v>
      </c>
      <c r="U94" s="21" t="s">
        <v>1695</v>
      </c>
    </row>
    <row r="95" spans="1:21" ht="56">
      <c r="A95" s="21" t="s">
        <v>905</v>
      </c>
      <c r="B95" s="21" t="s">
        <v>906</v>
      </c>
      <c r="C95" s="21"/>
      <c r="D95" s="21" t="s">
        <v>180</v>
      </c>
      <c r="E95" s="21" t="s">
        <v>955</v>
      </c>
      <c r="F95" s="21" t="s">
        <v>1696</v>
      </c>
      <c r="G95" s="21" t="s">
        <v>1697</v>
      </c>
      <c r="H95" s="28">
        <v>43354</v>
      </c>
      <c r="I95" s="22">
        <v>2018</v>
      </c>
      <c r="J95" s="21" t="s">
        <v>1012</v>
      </c>
      <c r="K95" s="21" t="s">
        <v>1013</v>
      </c>
      <c r="L95" s="21" t="s">
        <v>1698</v>
      </c>
      <c r="M95" s="21" t="s">
        <v>1699</v>
      </c>
      <c r="N95" s="21" t="s">
        <v>1700</v>
      </c>
      <c r="O95" s="21" t="s">
        <v>1701</v>
      </c>
      <c r="P95" s="27">
        <v>0</v>
      </c>
      <c r="Q95" s="27">
        <v>26</v>
      </c>
      <c r="R95" s="21" t="s">
        <v>1702</v>
      </c>
      <c r="S95" s="21" t="s">
        <v>1703</v>
      </c>
      <c r="T95" s="21" t="s">
        <v>966</v>
      </c>
      <c r="U95" s="21" t="s">
        <v>1704</v>
      </c>
    </row>
    <row r="96" spans="1:21" ht="210">
      <c r="A96" s="21" t="s">
        <v>905</v>
      </c>
      <c r="B96" s="21" t="s">
        <v>906</v>
      </c>
      <c r="C96" s="21"/>
      <c r="D96" s="21" t="s">
        <v>180</v>
      </c>
      <c r="E96" s="21" t="s">
        <v>955</v>
      </c>
      <c r="F96" s="21" t="s">
        <v>1705</v>
      </c>
      <c r="G96" s="21" t="s">
        <v>1706</v>
      </c>
      <c r="H96" s="28">
        <v>44510</v>
      </c>
      <c r="I96" s="22">
        <v>2021</v>
      </c>
      <c r="J96" s="21" t="s">
        <v>1012</v>
      </c>
      <c r="K96" s="21" t="s">
        <v>998</v>
      </c>
      <c r="L96" s="21" t="s">
        <v>1707</v>
      </c>
      <c r="M96" s="21" t="s">
        <v>961</v>
      </c>
      <c r="N96" s="21" t="s">
        <v>1708</v>
      </c>
      <c r="O96" s="21" t="s">
        <v>1709</v>
      </c>
      <c r="P96" s="27">
        <v>0</v>
      </c>
      <c r="Q96" s="27">
        <v>19</v>
      </c>
      <c r="R96" s="21" t="s">
        <v>1710</v>
      </c>
      <c r="S96" s="21" t="s">
        <v>1711</v>
      </c>
      <c r="T96" s="21" t="s">
        <v>994</v>
      </c>
      <c r="U96" s="21" t="s">
        <v>1712</v>
      </c>
    </row>
    <row r="97" spans="1:21" ht="84">
      <c r="A97" s="21" t="s">
        <v>905</v>
      </c>
      <c r="B97" s="21" t="s">
        <v>906</v>
      </c>
      <c r="C97" s="21"/>
      <c r="D97" s="21" t="s">
        <v>180</v>
      </c>
      <c r="E97" s="21" t="s">
        <v>955</v>
      </c>
      <c r="F97" s="21" t="s">
        <v>1713</v>
      </c>
      <c r="G97" s="21" t="s">
        <v>1714</v>
      </c>
      <c r="H97" s="28">
        <v>45028</v>
      </c>
      <c r="I97" s="22">
        <v>2023</v>
      </c>
      <c r="J97" s="21" t="s">
        <v>1012</v>
      </c>
      <c r="K97" s="21" t="s">
        <v>998</v>
      </c>
      <c r="L97" s="21" t="s">
        <v>1715</v>
      </c>
      <c r="M97" s="21" t="s">
        <v>1376</v>
      </c>
      <c r="N97" s="21" t="s">
        <v>1716</v>
      </c>
      <c r="O97" s="21" t="s">
        <v>1717</v>
      </c>
      <c r="P97" s="27">
        <v>0</v>
      </c>
      <c r="Q97" s="27">
        <v>14</v>
      </c>
      <c r="R97" s="21" t="s">
        <v>1718</v>
      </c>
      <c r="S97" s="21" t="s">
        <v>1719</v>
      </c>
      <c r="T97" s="21" t="s">
        <v>994</v>
      </c>
      <c r="U97" s="21" t="s">
        <v>1720</v>
      </c>
    </row>
    <row r="98" spans="1:21" ht="252">
      <c r="A98" s="21" t="s">
        <v>905</v>
      </c>
      <c r="B98" s="21" t="s">
        <v>906</v>
      </c>
      <c r="C98" s="21"/>
      <c r="D98" s="21" t="s">
        <v>180</v>
      </c>
      <c r="E98" s="21" t="s">
        <v>955</v>
      </c>
      <c r="F98" s="21" t="s">
        <v>1721</v>
      </c>
      <c r="G98" s="21" t="s">
        <v>1722</v>
      </c>
      <c r="H98" s="28">
        <v>44979</v>
      </c>
      <c r="I98" s="22">
        <v>2023</v>
      </c>
      <c r="J98" s="21" t="s">
        <v>1012</v>
      </c>
      <c r="K98" s="21" t="s">
        <v>998</v>
      </c>
      <c r="L98" s="21" t="s">
        <v>1723</v>
      </c>
      <c r="M98" s="21" t="s">
        <v>961</v>
      </c>
      <c r="N98" s="21" t="s">
        <v>1724</v>
      </c>
      <c r="O98" s="21" t="s">
        <v>1725</v>
      </c>
      <c r="P98" s="27">
        <v>0</v>
      </c>
      <c r="Q98" s="27">
        <v>10</v>
      </c>
      <c r="R98" s="21" t="s">
        <v>1726</v>
      </c>
      <c r="S98" s="21" t="s">
        <v>1727</v>
      </c>
      <c r="T98" s="21" t="s">
        <v>994</v>
      </c>
      <c r="U98" s="21" t="s">
        <v>1728</v>
      </c>
    </row>
    <row r="99" spans="1:21" ht="126">
      <c r="A99" s="21" t="s">
        <v>905</v>
      </c>
      <c r="B99" s="21" t="s">
        <v>906</v>
      </c>
      <c r="C99" s="21"/>
      <c r="D99" s="21" t="s">
        <v>180</v>
      </c>
      <c r="E99" s="21" t="s">
        <v>955</v>
      </c>
      <c r="F99" s="21" t="s">
        <v>1729</v>
      </c>
      <c r="G99" s="21" t="s">
        <v>1730</v>
      </c>
      <c r="H99" s="28">
        <v>43329</v>
      </c>
      <c r="I99" s="22">
        <v>2018</v>
      </c>
      <c r="J99" s="21" t="s">
        <v>1012</v>
      </c>
      <c r="K99" s="21" t="s">
        <v>1013</v>
      </c>
      <c r="L99" s="21" t="s">
        <v>1731</v>
      </c>
      <c r="M99" s="21" t="s">
        <v>961</v>
      </c>
      <c r="N99" s="21" t="s">
        <v>1732</v>
      </c>
      <c r="O99" s="21" t="s">
        <v>1733</v>
      </c>
      <c r="P99" s="27">
        <v>0</v>
      </c>
      <c r="Q99" s="27">
        <v>29</v>
      </c>
      <c r="R99" s="21" t="s">
        <v>1734</v>
      </c>
      <c r="S99" s="21" t="s">
        <v>1735</v>
      </c>
      <c r="T99" s="21" t="s">
        <v>966</v>
      </c>
      <c r="U99" s="21" t="s">
        <v>1736</v>
      </c>
    </row>
    <row r="100" spans="1:21" ht="280">
      <c r="A100" s="21" t="s">
        <v>905</v>
      </c>
      <c r="B100" s="21" t="s">
        <v>906</v>
      </c>
      <c r="C100" s="21"/>
      <c r="D100" s="21" t="s">
        <v>180</v>
      </c>
      <c r="E100" s="21" t="s">
        <v>955</v>
      </c>
      <c r="F100" s="21" t="s">
        <v>1737</v>
      </c>
      <c r="G100" s="21" t="s">
        <v>1738</v>
      </c>
      <c r="H100" s="28">
        <v>42496</v>
      </c>
      <c r="I100" s="22">
        <v>2016</v>
      </c>
      <c r="J100" s="21" t="s">
        <v>1012</v>
      </c>
      <c r="K100" s="21" t="s">
        <v>1013</v>
      </c>
      <c r="L100" s="21" t="s">
        <v>1739</v>
      </c>
      <c r="M100" s="21" t="s">
        <v>1740</v>
      </c>
      <c r="N100" s="21" t="s">
        <v>1741</v>
      </c>
      <c r="O100" s="21" t="s">
        <v>1742</v>
      </c>
      <c r="P100" s="27">
        <v>1</v>
      </c>
      <c r="Q100" s="27">
        <v>28</v>
      </c>
      <c r="R100" s="21" t="s">
        <v>1743</v>
      </c>
      <c r="S100" s="21" t="s">
        <v>1744</v>
      </c>
      <c r="T100" s="21" t="s">
        <v>966</v>
      </c>
      <c r="U100" s="21" t="s">
        <v>1745</v>
      </c>
    </row>
    <row r="101" spans="1:21" ht="112">
      <c r="A101" s="21" t="s">
        <v>905</v>
      </c>
      <c r="B101" s="21" t="s">
        <v>906</v>
      </c>
      <c r="C101" s="21"/>
      <c r="D101" s="21" t="s">
        <v>180</v>
      </c>
      <c r="E101" s="21" t="s">
        <v>955</v>
      </c>
      <c r="F101" s="21" t="s">
        <v>1746</v>
      </c>
      <c r="G101" s="21" t="s">
        <v>1747</v>
      </c>
      <c r="H101" s="28">
        <v>44104</v>
      </c>
      <c r="I101" s="22">
        <v>2020</v>
      </c>
      <c r="J101" s="21" t="s">
        <v>1748</v>
      </c>
      <c r="K101" s="21" t="s">
        <v>1013</v>
      </c>
      <c r="L101" s="21" t="s">
        <v>1749</v>
      </c>
      <c r="M101" s="21" t="s">
        <v>961</v>
      </c>
      <c r="N101" s="21" t="s">
        <v>1750</v>
      </c>
      <c r="O101" s="21" t="s">
        <v>1751</v>
      </c>
      <c r="P101" s="27">
        <v>0</v>
      </c>
      <c r="Q101" s="27">
        <v>21</v>
      </c>
      <c r="R101" s="21" t="s">
        <v>1752</v>
      </c>
      <c r="S101" s="21" t="s">
        <v>1291</v>
      </c>
      <c r="T101" s="21" t="s">
        <v>966</v>
      </c>
      <c r="U101" s="21" t="s">
        <v>1753</v>
      </c>
    </row>
    <row r="102" spans="1:21" ht="56">
      <c r="A102" s="21" t="s">
        <v>905</v>
      </c>
      <c r="B102" s="21" t="s">
        <v>906</v>
      </c>
      <c r="C102" s="21"/>
      <c r="D102" s="21" t="s">
        <v>180</v>
      </c>
      <c r="E102" s="21" t="s">
        <v>955</v>
      </c>
      <c r="F102" s="21" t="s">
        <v>1754</v>
      </c>
      <c r="G102" s="21" t="s">
        <v>1755</v>
      </c>
      <c r="H102" s="28">
        <v>41974</v>
      </c>
      <c r="I102" s="22">
        <v>2014</v>
      </c>
      <c r="J102" s="21" t="s">
        <v>1012</v>
      </c>
      <c r="K102" s="21" t="s">
        <v>998</v>
      </c>
      <c r="L102" s="21" t="s">
        <v>1756</v>
      </c>
      <c r="M102" s="21" t="s">
        <v>961</v>
      </c>
      <c r="N102" s="21" t="s">
        <v>1757</v>
      </c>
      <c r="O102" s="21" t="s">
        <v>1758</v>
      </c>
      <c r="P102" s="27">
        <v>0</v>
      </c>
      <c r="Q102" s="27">
        <v>59</v>
      </c>
      <c r="R102" s="21" t="s">
        <v>1759</v>
      </c>
      <c r="S102" s="21" t="s">
        <v>1760</v>
      </c>
      <c r="T102" s="21" t="s">
        <v>966</v>
      </c>
      <c r="U102" s="21" t="s">
        <v>1761</v>
      </c>
    </row>
    <row r="103" spans="1:21" ht="126">
      <c r="A103" s="21" t="s">
        <v>905</v>
      </c>
      <c r="B103" s="21" t="s">
        <v>906</v>
      </c>
      <c r="C103" s="21"/>
      <c r="D103" s="21" t="s">
        <v>180</v>
      </c>
      <c r="E103" s="21" t="s">
        <v>955</v>
      </c>
      <c r="F103" s="21" t="s">
        <v>1762</v>
      </c>
      <c r="G103" s="21" t="s">
        <v>1763</v>
      </c>
      <c r="H103" s="28">
        <v>41663</v>
      </c>
      <c r="I103" s="22">
        <v>2014</v>
      </c>
      <c r="J103" s="21" t="s">
        <v>1012</v>
      </c>
      <c r="K103" s="21" t="s">
        <v>998</v>
      </c>
      <c r="L103" s="21" t="s">
        <v>1764</v>
      </c>
      <c r="M103" s="21" t="s">
        <v>961</v>
      </c>
      <c r="N103" s="21" t="s">
        <v>1765</v>
      </c>
      <c r="O103" s="21" t="s">
        <v>1766</v>
      </c>
      <c r="P103" s="27">
        <v>1</v>
      </c>
      <c r="Q103" s="27">
        <v>146</v>
      </c>
      <c r="R103" s="21" t="s">
        <v>1767</v>
      </c>
      <c r="S103" s="21" t="s">
        <v>1768</v>
      </c>
      <c r="T103" s="21" t="s">
        <v>1148</v>
      </c>
      <c r="U103" s="21" t="s">
        <v>1769</v>
      </c>
    </row>
    <row r="104" spans="1:21" ht="42">
      <c r="A104" s="21" t="s">
        <v>905</v>
      </c>
      <c r="B104" s="21" t="s">
        <v>906</v>
      </c>
      <c r="C104" s="21"/>
      <c r="D104" s="21" t="s">
        <v>180</v>
      </c>
      <c r="E104" s="21" t="s">
        <v>955</v>
      </c>
      <c r="F104" s="21" t="s">
        <v>1770</v>
      </c>
      <c r="G104" s="21" t="s">
        <v>1771</v>
      </c>
      <c r="H104" s="28">
        <v>43279</v>
      </c>
      <c r="I104" s="22">
        <v>2018</v>
      </c>
      <c r="J104" s="21" t="s">
        <v>1012</v>
      </c>
      <c r="K104" s="21" t="s">
        <v>1013</v>
      </c>
      <c r="L104" s="21" t="s">
        <v>1772</v>
      </c>
      <c r="M104" s="21" t="s">
        <v>1773</v>
      </c>
      <c r="N104" s="21" t="s">
        <v>1774</v>
      </c>
      <c r="O104" s="21" t="s">
        <v>1775</v>
      </c>
      <c r="P104" s="27">
        <v>0</v>
      </c>
      <c r="Q104" s="27">
        <v>7</v>
      </c>
      <c r="R104" s="21" t="s">
        <v>1776</v>
      </c>
      <c r="S104" s="21" t="s">
        <v>1777</v>
      </c>
      <c r="T104" s="21" t="s">
        <v>966</v>
      </c>
      <c r="U104" s="21" t="s">
        <v>1778</v>
      </c>
    </row>
    <row r="105" spans="1:21" ht="56">
      <c r="A105" s="21" t="s">
        <v>905</v>
      </c>
      <c r="B105" s="21" t="s">
        <v>906</v>
      </c>
      <c r="C105" s="21"/>
      <c r="D105" s="21" t="s">
        <v>180</v>
      </c>
      <c r="E105" s="21" t="s">
        <v>955</v>
      </c>
      <c r="F105" s="21" t="s">
        <v>1779</v>
      </c>
      <c r="G105" s="21" t="s">
        <v>1780</v>
      </c>
      <c r="H105" s="28">
        <v>45016</v>
      </c>
      <c r="I105" s="22">
        <v>2023</v>
      </c>
      <c r="J105" s="21" t="s">
        <v>1012</v>
      </c>
      <c r="K105" s="21" t="s">
        <v>998</v>
      </c>
      <c r="L105" s="21" t="s">
        <v>1781</v>
      </c>
      <c r="M105" s="21" t="s">
        <v>961</v>
      </c>
      <c r="N105" s="21" t="s">
        <v>1782</v>
      </c>
      <c r="O105" s="21" t="s">
        <v>1783</v>
      </c>
      <c r="P105" s="27">
        <v>0</v>
      </c>
      <c r="Q105" s="27">
        <v>1</v>
      </c>
      <c r="R105" s="21" t="s">
        <v>1784</v>
      </c>
      <c r="S105" s="21" t="s">
        <v>1785</v>
      </c>
      <c r="T105" s="21" t="s">
        <v>994</v>
      </c>
      <c r="U105" s="21" t="s">
        <v>1786</v>
      </c>
    </row>
    <row r="106" spans="1:21" ht="210">
      <c r="A106" s="21" t="s">
        <v>905</v>
      </c>
      <c r="B106" s="21" t="s">
        <v>906</v>
      </c>
      <c r="C106" s="21"/>
      <c r="D106" s="21" t="s">
        <v>180</v>
      </c>
      <c r="E106" s="21" t="s">
        <v>955</v>
      </c>
      <c r="F106" s="21" t="s">
        <v>1787</v>
      </c>
      <c r="G106" s="21" t="s">
        <v>1788</v>
      </c>
      <c r="H106" s="28">
        <v>44153</v>
      </c>
      <c r="I106" s="22">
        <v>2020</v>
      </c>
      <c r="J106" s="21" t="s">
        <v>1012</v>
      </c>
      <c r="K106" s="21" t="s">
        <v>998</v>
      </c>
      <c r="L106" s="21" t="s">
        <v>1789</v>
      </c>
      <c r="M106" s="21" t="s">
        <v>961</v>
      </c>
      <c r="N106" s="21" t="s">
        <v>1790</v>
      </c>
      <c r="O106" s="21" t="s">
        <v>1791</v>
      </c>
      <c r="P106" s="27">
        <v>0</v>
      </c>
      <c r="Q106" s="27">
        <v>12</v>
      </c>
      <c r="R106" s="21" t="s">
        <v>1792</v>
      </c>
      <c r="S106" s="21" t="s">
        <v>1793</v>
      </c>
      <c r="T106" s="21" t="s">
        <v>994</v>
      </c>
      <c r="U106" s="21" t="s">
        <v>1794</v>
      </c>
    </row>
    <row r="107" spans="1:21" ht="84">
      <c r="A107" s="21" t="s">
        <v>905</v>
      </c>
      <c r="B107" s="21" t="s">
        <v>906</v>
      </c>
      <c r="C107" s="21"/>
      <c r="D107" s="21" t="s">
        <v>180</v>
      </c>
      <c r="E107" s="21" t="s">
        <v>955</v>
      </c>
      <c r="F107" s="21" t="s">
        <v>1795</v>
      </c>
      <c r="G107" s="21" t="s">
        <v>1796</v>
      </c>
      <c r="H107" s="28">
        <v>41880</v>
      </c>
      <c r="I107" s="22">
        <v>2014</v>
      </c>
      <c r="J107" s="21" t="s">
        <v>958</v>
      </c>
      <c r="K107" s="21" t="s">
        <v>959</v>
      </c>
      <c r="L107" s="21" t="s">
        <v>1797</v>
      </c>
      <c r="M107" s="21" t="s">
        <v>971</v>
      </c>
      <c r="N107" s="21" t="s">
        <v>1798</v>
      </c>
      <c r="O107" s="21" t="s">
        <v>1799</v>
      </c>
      <c r="P107" s="27">
        <v>0</v>
      </c>
      <c r="Q107" s="27">
        <v>8</v>
      </c>
      <c r="R107" s="21" t="s">
        <v>1800</v>
      </c>
      <c r="S107" s="21" t="s">
        <v>1801</v>
      </c>
      <c r="T107" s="21" t="s">
        <v>966</v>
      </c>
      <c r="U107" s="21" t="s">
        <v>1802</v>
      </c>
    </row>
    <row r="108" spans="1:21" ht="196">
      <c r="A108" s="21" t="s">
        <v>905</v>
      </c>
      <c r="B108" s="21" t="s">
        <v>906</v>
      </c>
      <c r="C108" s="21"/>
      <c r="D108" s="21" t="s">
        <v>180</v>
      </c>
      <c r="E108" s="21" t="s">
        <v>955</v>
      </c>
      <c r="F108" s="21" t="s">
        <v>1803</v>
      </c>
      <c r="G108" s="21" t="s">
        <v>1804</v>
      </c>
      <c r="H108" s="28">
        <v>42128</v>
      </c>
      <c r="I108" s="22">
        <v>2015</v>
      </c>
      <c r="J108" s="21" t="s">
        <v>1012</v>
      </c>
      <c r="K108" s="21" t="s">
        <v>998</v>
      </c>
      <c r="L108" s="21" t="s">
        <v>1805</v>
      </c>
      <c r="M108" s="21" t="s">
        <v>961</v>
      </c>
      <c r="N108" s="21" t="s">
        <v>1806</v>
      </c>
      <c r="O108" s="21" t="s">
        <v>1807</v>
      </c>
      <c r="P108" s="27">
        <v>0</v>
      </c>
      <c r="Q108" s="27">
        <v>74</v>
      </c>
      <c r="R108" s="21" t="s">
        <v>1808</v>
      </c>
      <c r="S108" s="21" t="s">
        <v>1809</v>
      </c>
      <c r="T108" s="21" t="s">
        <v>994</v>
      </c>
      <c r="U108" s="21" t="s">
        <v>1810</v>
      </c>
    </row>
    <row r="109" spans="1:21" ht="252">
      <c r="A109" s="21" t="s">
        <v>905</v>
      </c>
      <c r="B109" s="21" t="s">
        <v>906</v>
      </c>
      <c r="C109" s="21"/>
      <c r="D109" s="21" t="s">
        <v>180</v>
      </c>
      <c r="E109" s="21" t="s">
        <v>955</v>
      </c>
      <c r="F109" s="21" t="s">
        <v>1811</v>
      </c>
      <c r="G109" s="21" t="s">
        <v>1812</v>
      </c>
      <c r="H109" s="28">
        <v>44979</v>
      </c>
      <c r="I109" s="22">
        <v>2023</v>
      </c>
      <c r="J109" s="21" t="s">
        <v>1012</v>
      </c>
      <c r="K109" s="21" t="s">
        <v>998</v>
      </c>
      <c r="L109" s="21" t="s">
        <v>1813</v>
      </c>
      <c r="M109" s="21" t="s">
        <v>961</v>
      </c>
      <c r="N109" s="21" t="s">
        <v>1814</v>
      </c>
      <c r="O109" s="21" t="s">
        <v>1815</v>
      </c>
      <c r="P109" s="27">
        <v>0</v>
      </c>
      <c r="Q109" s="27">
        <v>10</v>
      </c>
      <c r="R109" s="21" t="s">
        <v>1816</v>
      </c>
      <c r="S109" s="21" t="s">
        <v>1817</v>
      </c>
      <c r="T109" s="21" t="s">
        <v>994</v>
      </c>
      <c r="U109" s="21" t="s">
        <v>1818</v>
      </c>
    </row>
    <row r="110" spans="1:21" ht="70">
      <c r="A110" s="21" t="s">
        <v>905</v>
      </c>
      <c r="B110" s="21" t="s">
        <v>906</v>
      </c>
      <c r="C110" s="21"/>
      <c r="D110" s="21" t="s">
        <v>180</v>
      </c>
      <c r="E110" s="21" t="s">
        <v>955</v>
      </c>
      <c r="F110" s="21" t="s">
        <v>1819</v>
      </c>
      <c r="G110" s="21" t="s">
        <v>1820</v>
      </c>
      <c r="H110" s="28">
        <v>44965</v>
      </c>
      <c r="I110" s="22">
        <v>2023</v>
      </c>
      <c r="J110" s="21" t="s">
        <v>1012</v>
      </c>
      <c r="K110" s="21" t="s">
        <v>998</v>
      </c>
      <c r="L110" s="21" t="s">
        <v>1821</v>
      </c>
      <c r="M110" s="21" t="s">
        <v>961</v>
      </c>
      <c r="N110" s="21" t="s">
        <v>1822</v>
      </c>
      <c r="O110" s="21" t="s">
        <v>1823</v>
      </c>
      <c r="P110" s="27">
        <v>0</v>
      </c>
      <c r="Q110" s="27">
        <v>13</v>
      </c>
      <c r="R110" s="21" t="s">
        <v>1824</v>
      </c>
      <c r="S110" s="21" t="s">
        <v>1825</v>
      </c>
      <c r="T110" s="21" t="s">
        <v>994</v>
      </c>
      <c r="U110" s="21" t="s">
        <v>1826</v>
      </c>
    </row>
    <row r="111" spans="1:21" ht="336">
      <c r="A111" s="21" t="s">
        <v>905</v>
      </c>
      <c r="B111" s="21" t="s">
        <v>906</v>
      </c>
      <c r="C111" s="21"/>
      <c r="D111" s="21" t="s">
        <v>180</v>
      </c>
      <c r="E111" s="21" t="s">
        <v>955</v>
      </c>
      <c r="F111" s="21" t="s">
        <v>1827</v>
      </c>
      <c r="G111" s="21" t="s">
        <v>1828</v>
      </c>
      <c r="H111" s="28">
        <v>43047</v>
      </c>
      <c r="I111" s="22">
        <v>2017</v>
      </c>
      <c r="J111" s="21" t="s">
        <v>1012</v>
      </c>
      <c r="K111" s="21" t="s">
        <v>998</v>
      </c>
      <c r="L111" s="21" t="s">
        <v>1829</v>
      </c>
      <c r="M111" s="21" t="s">
        <v>1740</v>
      </c>
      <c r="N111" s="21" t="s">
        <v>1830</v>
      </c>
      <c r="O111" s="21" t="s">
        <v>1831</v>
      </c>
      <c r="P111" s="27">
        <v>0</v>
      </c>
      <c r="Q111" s="27">
        <v>29</v>
      </c>
      <c r="R111" s="21" t="s">
        <v>1832</v>
      </c>
      <c r="S111" s="21" t="s">
        <v>1833</v>
      </c>
      <c r="T111" s="21" t="s">
        <v>994</v>
      </c>
      <c r="U111" s="21" t="s">
        <v>1834</v>
      </c>
    </row>
    <row r="112" spans="1:21" ht="322">
      <c r="A112" s="21" t="s">
        <v>905</v>
      </c>
      <c r="B112" s="21" t="s">
        <v>906</v>
      </c>
      <c r="C112" s="21"/>
      <c r="D112" s="21" t="s">
        <v>180</v>
      </c>
      <c r="E112" s="21" t="s">
        <v>955</v>
      </c>
      <c r="F112" s="21" t="s">
        <v>1835</v>
      </c>
      <c r="G112" s="21" t="s">
        <v>1836</v>
      </c>
      <c r="H112" s="28">
        <v>44946</v>
      </c>
      <c r="I112" s="22">
        <v>2023</v>
      </c>
      <c r="J112" s="21" t="s">
        <v>1012</v>
      </c>
      <c r="K112" s="21" t="s">
        <v>998</v>
      </c>
      <c r="L112" s="21" t="s">
        <v>1837</v>
      </c>
      <c r="M112" s="21" t="s">
        <v>961</v>
      </c>
      <c r="N112" s="21" t="s">
        <v>1838</v>
      </c>
      <c r="O112" s="21" t="s">
        <v>1839</v>
      </c>
      <c r="P112" s="27">
        <v>0</v>
      </c>
      <c r="Q112" s="27">
        <v>14</v>
      </c>
      <c r="R112" s="21" t="s">
        <v>1840</v>
      </c>
      <c r="S112" s="21" t="s">
        <v>1841</v>
      </c>
      <c r="T112" s="21" t="s">
        <v>994</v>
      </c>
      <c r="U112" s="21" t="s">
        <v>1842</v>
      </c>
    </row>
    <row r="113" spans="1:21" ht="112">
      <c r="A113" s="21" t="s">
        <v>905</v>
      </c>
      <c r="B113" s="21" t="s">
        <v>906</v>
      </c>
      <c r="C113" s="21"/>
      <c r="D113" s="21" t="s">
        <v>180</v>
      </c>
      <c r="E113" s="21" t="s">
        <v>955</v>
      </c>
      <c r="F113" s="21" t="s">
        <v>1843</v>
      </c>
      <c r="G113" s="21" t="s">
        <v>1844</v>
      </c>
      <c r="H113" s="28">
        <v>44924</v>
      </c>
      <c r="I113" s="22">
        <v>2022</v>
      </c>
      <c r="J113" s="21" t="s">
        <v>1012</v>
      </c>
      <c r="K113" s="21" t="s">
        <v>998</v>
      </c>
      <c r="L113" s="21" t="s">
        <v>1845</v>
      </c>
      <c r="M113" s="21" t="s">
        <v>1846</v>
      </c>
      <c r="N113" s="21" t="s">
        <v>1847</v>
      </c>
      <c r="O113" s="21" t="s">
        <v>1848</v>
      </c>
      <c r="P113" s="27">
        <v>0</v>
      </c>
      <c r="Q113" s="27">
        <v>10</v>
      </c>
      <c r="R113" s="21" t="s">
        <v>1849</v>
      </c>
      <c r="S113" s="21" t="s">
        <v>1850</v>
      </c>
      <c r="T113" s="21" t="s">
        <v>994</v>
      </c>
      <c r="U113" s="21" t="s">
        <v>1851</v>
      </c>
    </row>
    <row r="114" spans="1:21" ht="210">
      <c r="A114" s="21" t="s">
        <v>905</v>
      </c>
      <c r="B114" s="21" t="s">
        <v>906</v>
      </c>
      <c r="C114" s="21"/>
      <c r="D114" s="21" t="s">
        <v>180</v>
      </c>
      <c r="E114" s="21" t="s">
        <v>955</v>
      </c>
      <c r="F114" s="21" t="s">
        <v>1852</v>
      </c>
      <c r="G114" s="21" t="s">
        <v>1853</v>
      </c>
      <c r="H114" s="28">
        <v>44946</v>
      </c>
      <c r="I114" s="22">
        <v>2023</v>
      </c>
      <c r="J114" s="21" t="s">
        <v>1012</v>
      </c>
      <c r="K114" s="21" t="s">
        <v>998</v>
      </c>
      <c r="L114" s="21" t="s">
        <v>1854</v>
      </c>
      <c r="M114" s="21" t="s">
        <v>961</v>
      </c>
      <c r="N114" s="21" t="s">
        <v>1855</v>
      </c>
      <c r="O114" s="21" t="s">
        <v>1856</v>
      </c>
      <c r="P114" s="27">
        <v>0</v>
      </c>
      <c r="Q114" s="27">
        <v>9</v>
      </c>
      <c r="R114" s="21" t="s">
        <v>1857</v>
      </c>
      <c r="S114" s="21" t="s">
        <v>1858</v>
      </c>
      <c r="T114" s="21" t="s">
        <v>994</v>
      </c>
      <c r="U114" s="21" t="s">
        <v>1859</v>
      </c>
    </row>
    <row r="115" spans="1:21" ht="56">
      <c r="A115" s="21" t="s">
        <v>905</v>
      </c>
      <c r="B115" s="21" t="s">
        <v>906</v>
      </c>
      <c r="C115" s="21"/>
      <c r="D115" s="21" t="s">
        <v>180</v>
      </c>
      <c r="E115" s="21" t="s">
        <v>955</v>
      </c>
      <c r="F115" s="21" t="s">
        <v>1860</v>
      </c>
      <c r="G115" s="21" t="s">
        <v>1861</v>
      </c>
      <c r="H115" s="28">
        <v>44452</v>
      </c>
      <c r="I115" s="22">
        <v>2021</v>
      </c>
      <c r="J115" s="21" t="s">
        <v>1012</v>
      </c>
      <c r="K115" s="21" t="s">
        <v>998</v>
      </c>
      <c r="L115" s="21" t="s">
        <v>1862</v>
      </c>
      <c r="M115" s="21" t="s">
        <v>961</v>
      </c>
      <c r="N115" s="21" t="s">
        <v>1863</v>
      </c>
      <c r="O115" s="21" t="s">
        <v>1864</v>
      </c>
      <c r="P115" s="27">
        <v>0</v>
      </c>
      <c r="Q115" s="27">
        <v>25</v>
      </c>
      <c r="R115" s="21" t="s">
        <v>1865</v>
      </c>
      <c r="S115" s="21" t="s">
        <v>1866</v>
      </c>
      <c r="T115" s="21" t="s">
        <v>994</v>
      </c>
      <c r="U115" s="21" t="s">
        <v>1867</v>
      </c>
    </row>
    <row r="116" spans="1:21" ht="56">
      <c r="A116" s="21" t="s">
        <v>905</v>
      </c>
      <c r="B116" s="21" t="s">
        <v>906</v>
      </c>
      <c r="C116" s="21"/>
      <c r="D116" s="21" t="s">
        <v>180</v>
      </c>
      <c r="E116" s="21" t="s">
        <v>955</v>
      </c>
      <c r="F116" s="21" t="s">
        <v>1868</v>
      </c>
      <c r="G116" s="21" t="s">
        <v>1869</v>
      </c>
      <c r="H116" s="28">
        <v>44349</v>
      </c>
      <c r="I116" s="22">
        <v>2021</v>
      </c>
      <c r="J116" s="21" t="s">
        <v>1012</v>
      </c>
      <c r="K116" s="21" t="s">
        <v>998</v>
      </c>
      <c r="L116" s="21" t="s">
        <v>1870</v>
      </c>
      <c r="M116" s="21" t="s">
        <v>961</v>
      </c>
      <c r="N116" s="21" t="s">
        <v>1871</v>
      </c>
      <c r="O116" s="21" t="s">
        <v>1872</v>
      </c>
      <c r="P116" s="27">
        <v>0</v>
      </c>
      <c r="Q116" s="27">
        <v>12</v>
      </c>
      <c r="R116" s="21" t="s">
        <v>1873</v>
      </c>
      <c r="S116" s="21" t="s">
        <v>1874</v>
      </c>
      <c r="T116" s="21" t="s">
        <v>994</v>
      </c>
      <c r="U116" s="21" t="s">
        <v>1875</v>
      </c>
    </row>
    <row r="117" spans="1:21" ht="56">
      <c r="A117" s="21" t="s">
        <v>905</v>
      </c>
      <c r="B117" s="21" t="s">
        <v>906</v>
      </c>
      <c r="C117" s="21"/>
      <c r="D117" s="21" t="s">
        <v>180</v>
      </c>
      <c r="E117" s="21" t="s">
        <v>955</v>
      </c>
      <c r="F117" s="21" t="s">
        <v>1876</v>
      </c>
      <c r="G117" s="21" t="s">
        <v>1877</v>
      </c>
      <c r="H117" s="28">
        <v>42972</v>
      </c>
      <c r="I117" s="22">
        <v>2017</v>
      </c>
      <c r="J117" s="21" t="s">
        <v>1012</v>
      </c>
      <c r="K117" s="21" t="s">
        <v>998</v>
      </c>
      <c r="L117" s="21" t="s">
        <v>1878</v>
      </c>
      <c r="M117" s="21" t="s">
        <v>961</v>
      </c>
      <c r="N117" s="21" t="s">
        <v>1879</v>
      </c>
      <c r="O117" s="21" t="s">
        <v>1880</v>
      </c>
      <c r="P117" s="27">
        <v>0</v>
      </c>
      <c r="Q117" s="27">
        <v>4</v>
      </c>
      <c r="R117" s="21" t="s">
        <v>1881</v>
      </c>
      <c r="S117" s="21" t="s">
        <v>1882</v>
      </c>
      <c r="T117" s="21" t="s">
        <v>1148</v>
      </c>
      <c r="U117" s="21" t="s">
        <v>1883</v>
      </c>
    </row>
    <row r="118" spans="1:21" ht="112">
      <c r="A118" s="21" t="s">
        <v>905</v>
      </c>
      <c r="B118" s="21" t="s">
        <v>906</v>
      </c>
      <c r="C118" s="21"/>
      <c r="D118" s="21" t="s">
        <v>180</v>
      </c>
      <c r="E118" s="21" t="s">
        <v>955</v>
      </c>
      <c r="F118" s="21" t="s">
        <v>1884</v>
      </c>
      <c r="G118" s="21" t="s">
        <v>1885</v>
      </c>
      <c r="H118" s="28">
        <v>44340</v>
      </c>
      <c r="I118" s="22">
        <v>2021</v>
      </c>
      <c r="J118" s="21" t="s">
        <v>1012</v>
      </c>
      <c r="K118" s="21" t="s">
        <v>998</v>
      </c>
      <c r="L118" s="21" t="s">
        <v>1886</v>
      </c>
      <c r="M118" s="21" t="s">
        <v>961</v>
      </c>
      <c r="N118" s="21" t="s">
        <v>1887</v>
      </c>
      <c r="O118" s="21" t="s">
        <v>1888</v>
      </c>
      <c r="P118" s="27">
        <v>0</v>
      </c>
      <c r="Q118" s="27">
        <v>11</v>
      </c>
      <c r="R118" s="21" t="s">
        <v>1889</v>
      </c>
      <c r="S118" s="21" t="s">
        <v>1890</v>
      </c>
      <c r="T118" s="21" t="s">
        <v>994</v>
      </c>
      <c r="U118" s="21" t="s">
        <v>1891</v>
      </c>
    </row>
    <row r="119" spans="1:21" ht="28">
      <c r="A119" s="21" t="s">
        <v>905</v>
      </c>
      <c r="B119" s="21" t="s">
        <v>906</v>
      </c>
      <c r="C119" s="21"/>
      <c r="D119" s="21" t="s">
        <v>180</v>
      </c>
      <c r="E119" s="21" t="s">
        <v>955</v>
      </c>
      <c r="F119" s="21" t="s">
        <v>1892</v>
      </c>
      <c r="G119" s="21" t="s">
        <v>1893</v>
      </c>
      <c r="H119" s="28">
        <v>43985</v>
      </c>
      <c r="I119" s="22">
        <v>2020</v>
      </c>
      <c r="J119" s="21" t="s">
        <v>1012</v>
      </c>
      <c r="K119" s="21" t="s">
        <v>1894</v>
      </c>
      <c r="L119" s="21" t="s">
        <v>1895</v>
      </c>
      <c r="M119" s="21" t="s">
        <v>961</v>
      </c>
      <c r="N119" s="21" t="s">
        <v>1896</v>
      </c>
      <c r="O119" s="21" t="s">
        <v>1897</v>
      </c>
      <c r="P119" s="27">
        <v>2</v>
      </c>
      <c r="Q119" s="27">
        <v>2</v>
      </c>
      <c r="R119" s="21"/>
      <c r="S119" s="21"/>
      <c r="T119" s="21" t="s">
        <v>966</v>
      </c>
      <c r="U119" s="21" t="s">
        <v>1898</v>
      </c>
    </row>
    <row r="120" spans="1:21" ht="182">
      <c r="A120" s="21" t="s">
        <v>905</v>
      </c>
      <c r="B120" s="21" t="s">
        <v>906</v>
      </c>
      <c r="C120" s="21"/>
      <c r="D120" s="21" t="s">
        <v>180</v>
      </c>
      <c r="E120" s="21" t="s">
        <v>955</v>
      </c>
      <c r="F120" s="21" t="s">
        <v>1899</v>
      </c>
      <c r="G120" s="21" t="s">
        <v>1900</v>
      </c>
      <c r="H120" s="28">
        <v>43090</v>
      </c>
      <c r="I120" s="22">
        <v>2017</v>
      </c>
      <c r="J120" s="21" t="s">
        <v>1012</v>
      </c>
      <c r="K120" s="21" t="s">
        <v>998</v>
      </c>
      <c r="L120" s="21" t="s">
        <v>1901</v>
      </c>
      <c r="M120" s="21" t="s">
        <v>1902</v>
      </c>
      <c r="N120" s="21" t="s">
        <v>1903</v>
      </c>
      <c r="O120" s="21" t="s">
        <v>1904</v>
      </c>
      <c r="P120" s="27">
        <v>0</v>
      </c>
      <c r="Q120" s="27">
        <v>30</v>
      </c>
      <c r="R120" s="21" t="s">
        <v>1905</v>
      </c>
      <c r="S120" s="21" t="s">
        <v>1906</v>
      </c>
      <c r="T120" s="21" t="s">
        <v>994</v>
      </c>
      <c r="U120" s="21" t="s">
        <v>1907</v>
      </c>
    </row>
    <row r="121" spans="1:21" ht="56">
      <c r="A121" s="21" t="s">
        <v>905</v>
      </c>
      <c r="B121" s="21" t="s">
        <v>906</v>
      </c>
      <c r="C121" s="21"/>
      <c r="D121" s="21" t="s">
        <v>180</v>
      </c>
      <c r="E121" s="21" t="s">
        <v>955</v>
      </c>
      <c r="F121" s="21" t="s">
        <v>1908</v>
      </c>
      <c r="G121" s="21" t="s">
        <v>1909</v>
      </c>
      <c r="H121" s="28">
        <v>44056</v>
      </c>
      <c r="I121" s="22">
        <v>2020</v>
      </c>
      <c r="J121" s="21" t="s">
        <v>1012</v>
      </c>
      <c r="K121" s="21" t="s">
        <v>998</v>
      </c>
      <c r="L121" s="21" t="s">
        <v>1910</v>
      </c>
      <c r="M121" s="21" t="s">
        <v>961</v>
      </c>
      <c r="N121" s="21" t="s">
        <v>1911</v>
      </c>
      <c r="O121" s="21" t="s">
        <v>1912</v>
      </c>
      <c r="P121" s="27">
        <v>0</v>
      </c>
      <c r="Q121" s="27">
        <v>3</v>
      </c>
      <c r="R121" s="21" t="s">
        <v>1913</v>
      </c>
      <c r="S121" s="21" t="s">
        <v>1914</v>
      </c>
      <c r="T121" s="21" t="s">
        <v>994</v>
      </c>
      <c r="U121" s="21" t="s">
        <v>1915</v>
      </c>
    </row>
    <row r="122" spans="1:21" ht="70">
      <c r="A122" s="21" t="s">
        <v>905</v>
      </c>
      <c r="B122" s="21" t="s">
        <v>906</v>
      </c>
      <c r="C122" s="21"/>
      <c r="D122" s="21" t="s">
        <v>180</v>
      </c>
      <c r="E122" s="21" t="s">
        <v>955</v>
      </c>
      <c r="F122" s="21" t="s">
        <v>1916</v>
      </c>
      <c r="G122" s="21" t="s">
        <v>1917</v>
      </c>
      <c r="H122" s="28">
        <v>44911</v>
      </c>
      <c r="I122" s="22">
        <v>2022</v>
      </c>
      <c r="J122" s="21" t="s">
        <v>1012</v>
      </c>
      <c r="K122" s="21" t="s">
        <v>998</v>
      </c>
      <c r="L122" s="21" t="s">
        <v>1918</v>
      </c>
      <c r="M122" s="21" t="s">
        <v>961</v>
      </c>
      <c r="N122" s="21" t="s">
        <v>1919</v>
      </c>
      <c r="O122" s="21" t="s">
        <v>1920</v>
      </c>
      <c r="P122" s="27">
        <v>0</v>
      </c>
      <c r="Q122" s="27">
        <v>7</v>
      </c>
      <c r="R122" s="21" t="s">
        <v>1921</v>
      </c>
      <c r="S122" s="21" t="s">
        <v>1922</v>
      </c>
      <c r="T122" s="21" t="s">
        <v>994</v>
      </c>
      <c r="U122" s="21" t="s">
        <v>1923</v>
      </c>
    </row>
    <row r="123" spans="1:21" ht="112">
      <c r="A123" s="21" t="s">
        <v>905</v>
      </c>
      <c r="B123" s="21" t="s">
        <v>906</v>
      </c>
      <c r="C123" s="21"/>
      <c r="D123" s="21" t="s">
        <v>180</v>
      </c>
      <c r="E123" s="21" t="s">
        <v>955</v>
      </c>
      <c r="F123" s="21" t="s">
        <v>1924</v>
      </c>
      <c r="G123" s="21" t="s">
        <v>1925</v>
      </c>
      <c r="H123" s="28">
        <v>43963</v>
      </c>
      <c r="I123" s="22">
        <v>2020</v>
      </c>
      <c r="J123" s="21" t="s">
        <v>1012</v>
      </c>
      <c r="K123" s="21" t="s">
        <v>998</v>
      </c>
      <c r="L123" s="21" t="s">
        <v>1926</v>
      </c>
      <c r="M123" s="21" t="s">
        <v>961</v>
      </c>
      <c r="N123" s="21" t="s">
        <v>1927</v>
      </c>
      <c r="O123" s="21" t="s">
        <v>1928</v>
      </c>
      <c r="P123" s="27">
        <v>0</v>
      </c>
      <c r="Q123" s="27">
        <v>24</v>
      </c>
      <c r="R123" s="21" t="s">
        <v>1929</v>
      </c>
      <c r="S123" s="21" t="s">
        <v>1890</v>
      </c>
      <c r="T123" s="21" t="s">
        <v>994</v>
      </c>
      <c r="U123" s="21" t="s">
        <v>1930</v>
      </c>
    </row>
    <row r="124" spans="1:21" ht="140">
      <c r="A124" s="21" t="s">
        <v>905</v>
      </c>
      <c r="B124" s="21" t="s">
        <v>906</v>
      </c>
      <c r="C124" s="21"/>
      <c r="D124" s="21" t="s">
        <v>180</v>
      </c>
      <c r="E124" s="21" t="s">
        <v>955</v>
      </c>
      <c r="F124" s="21" t="s">
        <v>1931</v>
      </c>
      <c r="G124" s="21" t="s">
        <v>1932</v>
      </c>
      <c r="H124" s="28">
        <v>44827</v>
      </c>
      <c r="I124" s="22">
        <v>2022</v>
      </c>
      <c r="J124" s="21" t="s">
        <v>1012</v>
      </c>
      <c r="K124" s="21" t="s">
        <v>998</v>
      </c>
      <c r="L124" s="21" t="s">
        <v>1933</v>
      </c>
      <c r="M124" s="21" t="s">
        <v>961</v>
      </c>
      <c r="N124" s="21" t="s">
        <v>1934</v>
      </c>
      <c r="O124" s="21" t="s">
        <v>1920</v>
      </c>
      <c r="P124" s="27">
        <v>0</v>
      </c>
      <c r="Q124" s="27">
        <v>17</v>
      </c>
      <c r="R124" s="21" t="s">
        <v>1935</v>
      </c>
      <c r="S124" s="21" t="s">
        <v>1936</v>
      </c>
      <c r="T124" s="21" t="s">
        <v>994</v>
      </c>
      <c r="U124" s="21" t="s">
        <v>1937</v>
      </c>
    </row>
    <row r="125" spans="1:21" ht="42">
      <c r="A125" s="21" t="s">
        <v>905</v>
      </c>
      <c r="B125" s="21" t="s">
        <v>906</v>
      </c>
      <c r="C125" s="21"/>
      <c r="D125" s="21" t="s">
        <v>180</v>
      </c>
      <c r="E125" s="21" t="s">
        <v>955</v>
      </c>
      <c r="F125" s="21" t="s">
        <v>1938</v>
      </c>
      <c r="G125" s="21" t="s">
        <v>1939</v>
      </c>
      <c r="H125" s="28">
        <v>43707</v>
      </c>
      <c r="I125" s="22">
        <v>2019</v>
      </c>
      <c r="J125" s="21" t="s">
        <v>1012</v>
      </c>
      <c r="K125" s="21" t="s">
        <v>998</v>
      </c>
      <c r="L125" s="21" t="s">
        <v>1940</v>
      </c>
      <c r="M125" s="21" t="s">
        <v>961</v>
      </c>
      <c r="N125" s="21" t="s">
        <v>1941</v>
      </c>
      <c r="O125" s="21" t="s">
        <v>1942</v>
      </c>
      <c r="P125" s="27">
        <v>0</v>
      </c>
      <c r="Q125" s="27">
        <v>42</v>
      </c>
      <c r="R125" s="21" t="s">
        <v>1943</v>
      </c>
      <c r="S125" s="21" t="s">
        <v>1944</v>
      </c>
      <c r="T125" s="21" t="s">
        <v>994</v>
      </c>
      <c r="U125" s="21" t="s">
        <v>1945</v>
      </c>
    </row>
    <row r="126" spans="1:21" ht="56">
      <c r="A126" s="21" t="s">
        <v>905</v>
      </c>
      <c r="B126" s="21" t="s">
        <v>906</v>
      </c>
      <c r="C126" s="21"/>
      <c r="D126" s="21" t="s">
        <v>180</v>
      </c>
      <c r="E126" s="21" t="s">
        <v>955</v>
      </c>
      <c r="F126" s="21" t="s">
        <v>1946</v>
      </c>
      <c r="G126" s="21" t="s">
        <v>1947</v>
      </c>
      <c r="H126" s="28">
        <v>44827</v>
      </c>
      <c r="I126" s="22">
        <v>2022</v>
      </c>
      <c r="J126" s="21" t="s">
        <v>1012</v>
      </c>
      <c r="K126" s="21" t="s">
        <v>998</v>
      </c>
      <c r="L126" s="21" t="s">
        <v>1948</v>
      </c>
      <c r="M126" s="21" t="s">
        <v>961</v>
      </c>
      <c r="N126" s="21" t="s">
        <v>1934</v>
      </c>
      <c r="O126" s="21" t="s">
        <v>1920</v>
      </c>
      <c r="P126" s="27">
        <v>0</v>
      </c>
      <c r="Q126" s="27">
        <v>7</v>
      </c>
      <c r="R126" s="21" t="s">
        <v>1949</v>
      </c>
      <c r="S126" s="21" t="s">
        <v>1950</v>
      </c>
      <c r="T126" s="21" t="s">
        <v>994</v>
      </c>
      <c r="U126" s="21" t="s">
        <v>1951</v>
      </c>
    </row>
    <row r="127" spans="1:21" ht="70">
      <c r="A127" s="21" t="s">
        <v>905</v>
      </c>
      <c r="B127" s="21" t="s">
        <v>906</v>
      </c>
      <c r="C127" s="21"/>
      <c r="D127" s="21" t="s">
        <v>180</v>
      </c>
      <c r="E127" s="21" t="s">
        <v>955</v>
      </c>
      <c r="F127" s="21" t="s">
        <v>1952</v>
      </c>
      <c r="G127" s="21" t="s">
        <v>1953</v>
      </c>
      <c r="H127" s="28">
        <v>43265</v>
      </c>
      <c r="I127" s="22">
        <v>2018</v>
      </c>
      <c r="J127" s="21" t="s">
        <v>1012</v>
      </c>
      <c r="K127" s="21" t="s">
        <v>998</v>
      </c>
      <c r="L127" s="21" t="s">
        <v>1954</v>
      </c>
      <c r="M127" s="21" t="s">
        <v>1071</v>
      </c>
      <c r="N127" s="21" t="s">
        <v>1955</v>
      </c>
      <c r="O127" s="21" t="s">
        <v>1956</v>
      </c>
      <c r="P127" s="27">
        <v>0</v>
      </c>
      <c r="Q127" s="27">
        <v>11</v>
      </c>
      <c r="R127" s="21" t="s">
        <v>1957</v>
      </c>
      <c r="S127" s="21" t="s">
        <v>1958</v>
      </c>
      <c r="T127" s="21" t="s">
        <v>1148</v>
      </c>
      <c r="U127" s="21" t="s">
        <v>1959</v>
      </c>
    </row>
    <row r="128" spans="1:21" ht="42">
      <c r="A128" s="21" t="s">
        <v>905</v>
      </c>
      <c r="B128" s="21" t="s">
        <v>906</v>
      </c>
      <c r="C128" s="21"/>
      <c r="D128" s="21" t="s">
        <v>180</v>
      </c>
      <c r="E128" s="21" t="s">
        <v>955</v>
      </c>
      <c r="F128" s="21" t="s">
        <v>1960</v>
      </c>
      <c r="G128" s="21" t="s">
        <v>1961</v>
      </c>
      <c r="H128" s="28">
        <v>43917</v>
      </c>
      <c r="I128" s="22">
        <v>2020</v>
      </c>
      <c r="J128" s="21" t="s">
        <v>1012</v>
      </c>
      <c r="K128" s="21" t="s">
        <v>998</v>
      </c>
      <c r="L128" s="21" t="s">
        <v>1962</v>
      </c>
      <c r="M128" s="21" t="s">
        <v>961</v>
      </c>
      <c r="N128" s="21" t="s">
        <v>1963</v>
      </c>
      <c r="O128" s="21" t="s">
        <v>1964</v>
      </c>
      <c r="P128" s="27">
        <v>0</v>
      </c>
      <c r="Q128" s="27">
        <v>7</v>
      </c>
      <c r="R128" s="21" t="s">
        <v>1965</v>
      </c>
      <c r="S128" s="21" t="s">
        <v>1966</v>
      </c>
      <c r="T128" s="21" t="s">
        <v>966</v>
      </c>
      <c r="U128" s="21" t="s">
        <v>1967</v>
      </c>
    </row>
    <row r="129" spans="1:21" ht="84">
      <c r="A129" s="21" t="s">
        <v>905</v>
      </c>
      <c r="B129" s="21" t="s">
        <v>906</v>
      </c>
      <c r="C129" s="21"/>
      <c r="D129" s="21" t="s">
        <v>180</v>
      </c>
      <c r="E129" s="21" t="s">
        <v>955</v>
      </c>
      <c r="F129" s="21" t="s">
        <v>1968</v>
      </c>
      <c r="G129" s="21" t="s">
        <v>1969</v>
      </c>
      <c r="H129" s="28">
        <v>42752</v>
      </c>
      <c r="I129" s="22">
        <v>2017</v>
      </c>
      <c r="J129" s="21" t="s">
        <v>1012</v>
      </c>
      <c r="K129" s="21" t="s">
        <v>998</v>
      </c>
      <c r="L129" s="21" t="s">
        <v>1970</v>
      </c>
      <c r="M129" s="21" t="s">
        <v>961</v>
      </c>
      <c r="N129" s="21" t="s">
        <v>1971</v>
      </c>
      <c r="O129" s="21" t="s">
        <v>1972</v>
      </c>
      <c r="P129" s="27">
        <v>0</v>
      </c>
      <c r="Q129" s="27">
        <v>70</v>
      </c>
      <c r="R129" s="21" t="s">
        <v>1973</v>
      </c>
      <c r="S129" s="21" t="s">
        <v>1974</v>
      </c>
      <c r="T129" s="21" t="s">
        <v>966</v>
      </c>
      <c r="U129" s="21" t="s">
        <v>1975</v>
      </c>
    </row>
    <row r="130" spans="1:21" ht="112">
      <c r="A130" s="21" t="s">
        <v>905</v>
      </c>
      <c r="B130" s="21" t="s">
        <v>906</v>
      </c>
      <c r="C130" s="21"/>
      <c r="D130" s="21" t="s">
        <v>180</v>
      </c>
      <c r="E130" s="21" t="s">
        <v>955</v>
      </c>
      <c r="F130" s="21" t="s">
        <v>1976</v>
      </c>
      <c r="G130" s="21" t="s">
        <v>1977</v>
      </c>
      <c r="H130" s="28">
        <v>44281</v>
      </c>
      <c r="I130" s="22">
        <v>2021</v>
      </c>
      <c r="J130" s="21" t="s">
        <v>1012</v>
      </c>
      <c r="K130" s="21" t="s">
        <v>998</v>
      </c>
      <c r="L130" s="21" t="s">
        <v>1978</v>
      </c>
      <c r="M130" s="21" t="s">
        <v>961</v>
      </c>
      <c r="N130" s="21" t="s">
        <v>1979</v>
      </c>
      <c r="O130" s="21" t="s">
        <v>1980</v>
      </c>
      <c r="P130" s="27">
        <v>1</v>
      </c>
      <c r="Q130" s="27">
        <v>15</v>
      </c>
      <c r="R130" s="21" t="s">
        <v>1981</v>
      </c>
      <c r="S130" s="21" t="s">
        <v>1982</v>
      </c>
      <c r="T130" s="21" t="s">
        <v>994</v>
      </c>
      <c r="U130" s="21" t="s">
        <v>1983</v>
      </c>
    </row>
    <row r="131" spans="1:21" ht="112">
      <c r="A131" s="21" t="s">
        <v>905</v>
      </c>
      <c r="B131" s="21" t="s">
        <v>906</v>
      </c>
      <c r="C131" s="21"/>
      <c r="D131" s="21" t="s">
        <v>180</v>
      </c>
      <c r="E131" s="21" t="s">
        <v>955</v>
      </c>
      <c r="F131" s="21" t="s">
        <v>1984</v>
      </c>
      <c r="G131" s="21" t="s">
        <v>1985</v>
      </c>
      <c r="H131" s="28">
        <v>43968</v>
      </c>
      <c r="I131" s="22">
        <v>2020</v>
      </c>
      <c r="J131" s="21" t="s">
        <v>1012</v>
      </c>
      <c r="K131" s="21" t="s">
        <v>998</v>
      </c>
      <c r="L131" s="21" t="s">
        <v>1986</v>
      </c>
      <c r="M131" s="21" t="s">
        <v>1071</v>
      </c>
      <c r="N131" s="21" t="s">
        <v>1987</v>
      </c>
      <c r="O131" s="21" t="s">
        <v>1988</v>
      </c>
      <c r="P131" s="27">
        <v>0</v>
      </c>
      <c r="Q131" s="27">
        <v>21</v>
      </c>
      <c r="R131" s="21" t="s">
        <v>1989</v>
      </c>
      <c r="S131" s="21" t="s">
        <v>1990</v>
      </c>
      <c r="T131" s="21" t="s">
        <v>1148</v>
      </c>
      <c r="U131" s="21" t="s">
        <v>1991</v>
      </c>
    </row>
    <row r="132" spans="1:21" ht="126">
      <c r="A132" s="21" t="s">
        <v>905</v>
      </c>
      <c r="B132" s="21" t="s">
        <v>906</v>
      </c>
      <c r="C132" s="21"/>
      <c r="D132" s="21" t="s">
        <v>180</v>
      </c>
      <c r="E132" s="21" t="s">
        <v>955</v>
      </c>
      <c r="F132" s="21" t="s">
        <v>1992</v>
      </c>
      <c r="G132" s="21" t="s">
        <v>1993</v>
      </c>
      <c r="H132" s="28">
        <v>44175</v>
      </c>
      <c r="I132" s="22">
        <v>2020</v>
      </c>
      <c r="J132" s="21" t="s">
        <v>1012</v>
      </c>
      <c r="K132" s="21" t="s">
        <v>998</v>
      </c>
      <c r="L132" s="21" t="s">
        <v>1994</v>
      </c>
      <c r="M132" s="21" t="s">
        <v>961</v>
      </c>
      <c r="N132" s="21" t="s">
        <v>1995</v>
      </c>
      <c r="O132" s="21" t="s">
        <v>1996</v>
      </c>
      <c r="P132" s="27">
        <v>0</v>
      </c>
      <c r="Q132" s="27">
        <v>44</v>
      </c>
      <c r="R132" s="21" t="s">
        <v>1997</v>
      </c>
      <c r="S132" s="21" t="s">
        <v>1998</v>
      </c>
      <c r="T132" s="21" t="s">
        <v>966</v>
      </c>
      <c r="U132" s="21" t="s">
        <v>1999</v>
      </c>
    </row>
    <row r="133" spans="1:21" ht="42">
      <c r="A133" s="21" t="s">
        <v>905</v>
      </c>
      <c r="B133" s="21" t="s">
        <v>906</v>
      </c>
      <c r="C133" s="21"/>
      <c r="D133" s="21" t="s">
        <v>180</v>
      </c>
      <c r="E133" s="21" t="s">
        <v>955</v>
      </c>
      <c r="F133" s="21" t="s">
        <v>2000</v>
      </c>
      <c r="G133" s="21" t="s">
        <v>2001</v>
      </c>
      <c r="H133" s="28">
        <v>44271</v>
      </c>
      <c r="I133" s="22">
        <v>2021</v>
      </c>
      <c r="J133" s="21" t="s">
        <v>1012</v>
      </c>
      <c r="K133" s="21" t="s">
        <v>998</v>
      </c>
      <c r="L133" s="21" t="s">
        <v>2002</v>
      </c>
      <c r="M133" s="21" t="s">
        <v>961</v>
      </c>
      <c r="N133" s="21" t="s">
        <v>2003</v>
      </c>
      <c r="O133" s="21" t="s">
        <v>2004</v>
      </c>
      <c r="P133" s="27">
        <v>1</v>
      </c>
      <c r="Q133" s="27">
        <v>9</v>
      </c>
      <c r="R133" s="21" t="s">
        <v>2005</v>
      </c>
      <c r="S133" s="21" t="s">
        <v>2006</v>
      </c>
      <c r="T133" s="21" t="s">
        <v>994</v>
      </c>
      <c r="U133" s="21" t="s">
        <v>2007</v>
      </c>
    </row>
    <row r="134" spans="1:21" ht="70">
      <c r="A134" s="21" t="s">
        <v>905</v>
      </c>
      <c r="B134" s="21" t="s">
        <v>906</v>
      </c>
      <c r="C134" s="21"/>
      <c r="D134" s="21" t="s">
        <v>180</v>
      </c>
      <c r="E134" s="21" t="s">
        <v>955</v>
      </c>
      <c r="F134" s="21" t="s">
        <v>2008</v>
      </c>
      <c r="G134" s="21" t="s">
        <v>2009</v>
      </c>
      <c r="H134" s="28">
        <v>44882</v>
      </c>
      <c r="I134" s="22">
        <v>2022</v>
      </c>
      <c r="J134" s="21" t="s">
        <v>1012</v>
      </c>
      <c r="K134" s="21" t="s">
        <v>998</v>
      </c>
      <c r="L134" s="21" t="s">
        <v>2010</v>
      </c>
      <c r="M134" s="21" t="s">
        <v>961</v>
      </c>
      <c r="N134" s="21" t="s">
        <v>2011</v>
      </c>
      <c r="O134" s="21" t="s">
        <v>2012</v>
      </c>
      <c r="P134" s="27">
        <v>0</v>
      </c>
      <c r="Q134" s="27">
        <v>11</v>
      </c>
      <c r="R134" s="21" t="s">
        <v>2013</v>
      </c>
      <c r="S134" s="21" t="s">
        <v>2014</v>
      </c>
      <c r="T134" s="21" t="s">
        <v>994</v>
      </c>
      <c r="U134" s="21" t="s">
        <v>2015</v>
      </c>
    </row>
    <row r="135" spans="1:21" ht="70">
      <c r="A135" s="21" t="s">
        <v>905</v>
      </c>
      <c r="B135" s="21" t="s">
        <v>906</v>
      </c>
      <c r="C135" s="21"/>
      <c r="D135" s="21" t="s">
        <v>180</v>
      </c>
      <c r="E135" s="21" t="s">
        <v>955</v>
      </c>
      <c r="F135" s="21" t="s">
        <v>2016</v>
      </c>
      <c r="G135" s="21" t="s">
        <v>2017</v>
      </c>
      <c r="H135" s="28">
        <v>44293</v>
      </c>
      <c r="I135" s="22">
        <v>2021</v>
      </c>
      <c r="J135" s="21" t="s">
        <v>1012</v>
      </c>
      <c r="K135" s="21" t="s">
        <v>998</v>
      </c>
      <c r="L135" s="21" t="s">
        <v>2018</v>
      </c>
      <c r="M135" s="21" t="s">
        <v>961</v>
      </c>
      <c r="N135" s="21" t="s">
        <v>2019</v>
      </c>
      <c r="O135" s="21" t="s">
        <v>2020</v>
      </c>
      <c r="P135" s="27">
        <v>2</v>
      </c>
      <c r="Q135" s="27">
        <v>5</v>
      </c>
      <c r="R135" s="21" t="s">
        <v>2021</v>
      </c>
      <c r="S135" s="21" t="s">
        <v>2022</v>
      </c>
      <c r="T135" s="21" t="s">
        <v>994</v>
      </c>
      <c r="U135" s="21" t="s">
        <v>2023</v>
      </c>
    </row>
    <row r="136" spans="1:21" ht="84">
      <c r="A136" s="21" t="s">
        <v>905</v>
      </c>
      <c r="B136" s="21" t="s">
        <v>906</v>
      </c>
      <c r="C136" s="21"/>
      <c r="D136" s="21" t="s">
        <v>180</v>
      </c>
      <c r="E136" s="21" t="s">
        <v>955</v>
      </c>
      <c r="F136" s="21" t="s">
        <v>2024</v>
      </c>
      <c r="G136" s="21" t="s">
        <v>2025</v>
      </c>
      <c r="H136" s="28">
        <v>44277</v>
      </c>
      <c r="I136" s="22">
        <v>2021</v>
      </c>
      <c r="J136" s="21" t="s">
        <v>1012</v>
      </c>
      <c r="K136" s="21" t="s">
        <v>998</v>
      </c>
      <c r="L136" s="21" t="s">
        <v>2026</v>
      </c>
      <c r="M136" s="21" t="s">
        <v>961</v>
      </c>
      <c r="N136" s="21" t="s">
        <v>2027</v>
      </c>
      <c r="O136" s="21" t="s">
        <v>2028</v>
      </c>
      <c r="P136" s="27">
        <v>0</v>
      </c>
      <c r="Q136" s="27">
        <v>33</v>
      </c>
      <c r="R136" s="21" t="s">
        <v>2029</v>
      </c>
      <c r="S136" s="21" t="s">
        <v>2030</v>
      </c>
      <c r="T136" s="21" t="s">
        <v>994</v>
      </c>
      <c r="U136" s="21" t="s">
        <v>2031</v>
      </c>
    </row>
    <row r="137" spans="1:21" ht="98">
      <c r="A137" s="21" t="s">
        <v>905</v>
      </c>
      <c r="B137" s="21" t="s">
        <v>906</v>
      </c>
      <c r="C137" s="21"/>
      <c r="D137" s="21" t="s">
        <v>180</v>
      </c>
      <c r="E137" s="21" t="s">
        <v>955</v>
      </c>
      <c r="F137" s="21" t="s">
        <v>2032</v>
      </c>
      <c r="G137" s="21" t="s">
        <v>2033</v>
      </c>
      <c r="H137" s="28">
        <v>44295</v>
      </c>
      <c r="I137" s="22">
        <v>2021</v>
      </c>
      <c r="J137" s="21" t="s">
        <v>1012</v>
      </c>
      <c r="K137" s="21" t="s">
        <v>998</v>
      </c>
      <c r="L137" s="21" t="s">
        <v>2034</v>
      </c>
      <c r="M137" s="21" t="s">
        <v>961</v>
      </c>
      <c r="N137" s="21" t="s">
        <v>2035</v>
      </c>
      <c r="O137" s="21" t="s">
        <v>2036</v>
      </c>
      <c r="P137" s="27">
        <v>0</v>
      </c>
      <c r="Q137" s="27">
        <v>13</v>
      </c>
      <c r="R137" s="21" t="s">
        <v>2037</v>
      </c>
      <c r="S137" s="21" t="s">
        <v>2038</v>
      </c>
      <c r="T137" s="21" t="s">
        <v>966</v>
      </c>
      <c r="U137" s="21" t="s">
        <v>2039</v>
      </c>
    </row>
    <row r="138" spans="1:21" ht="56">
      <c r="A138" s="21" t="s">
        <v>905</v>
      </c>
      <c r="B138" s="21" t="s">
        <v>906</v>
      </c>
      <c r="C138" s="21"/>
      <c r="D138" s="21" t="s">
        <v>180</v>
      </c>
      <c r="E138" s="21" t="s">
        <v>955</v>
      </c>
      <c r="F138" s="21" t="s">
        <v>2040</v>
      </c>
      <c r="G138" s="21" t="s">
        <v>2041</v>
      </c>
      <c r="H138" s="28">
        <v>44791</v>
      </c>
      <c r="I138" s="22">
        <v>2022</v>
      </c>
      <c r="J138" s="21" t="s">
        <v>1012</v>
      </c>
      <c r="K138" s="21" t="s">
        <v>998</v>
      </c>
      <c r="L138" s="21" t="s">
        <v>2042</v>
      </c>
      <c r="M138" s="21" t="s">
        <v>961</v>
      </c>
      <c r="N138" s="21" t="s">
        <v>2043</v>
      </c>
      <c r="O138" s="21" t="s">
        <v>2044</v>
      </c>
      <c r="P138" s="27">
        <v>0</v>
      </c>
      <c r="Q138" s="27">
        <v>12</v>
      </c>
      <c r="R138" s="21" t="s">
        <v>2045</v>
      </c>
      <c r="S138" s="21" t="s">
        <v>2046</v>
      </c>
      <c r="T138" s="21" t="s">
        <v>994</v>
      </c>
      <c r="U138" s="21" t="s">
        <v>2047</v>
      </c>
    </row>
    <row r="139" spans="1:21" ht="140">
      <c r="A139" s="21" t="s">
        <v>905</v>
      </c>
      <c r="B139" s="21" t="s">
        <v>906</v>
      </c>
      <c r="C139" s="21"/>
      <c r="D139" s="21" t="s">
        <v>180</v>
      </c>
      <c r="E139" s="21" t="s">
        <v>955</v>
      </c>
      <c r="F139" s="21" t="s">
        <v>2048</v>
      </c>
      <c r="G139" s="21" t="s">
        <v>2049</v>
      </c>
      <c r="H139" s="28">
        <v>44096</v>
      </c>
      <c r="I139" s="22">
        <v>2020</v>
      </c>
      <c r="J139" s="21" t="s">
        <v>1012</v>
      </c>
      <c r="K139" s="21" t="s">
        <v>998</v>
      </c>
      <c r="L139" s="21" t="s">
        <v>2050</v>
      </c>
      <c r="M139" s="21" t="s">
        <v>2051</v>
      </c>
      <c r="N139" s="21" t="s">
        <v>2052</v>
      </c>
      <c r="O139" s="21" t="s">
        <v>2053</v>
      </c>
      <c r="P139" s="27">
        <v>0</v>
      </c>
      <c r="Q139" s="27">
        <v>16</v>
      </c>
      <c r="R139" s="21" t="s">
        <v>2054</v>
      </c>
      <c r="S139" s="21" t="s">
        <v>2055</v>
      </c>
      <c r="T139" s="21" t="s">
        <v>994</v>
      </c>
      <c r="U139" s="21" t="s">
        <v>2056</v>
      </c>
    </row>
    <row r="140" spans="1:21" ht="126">
      <c r="A140" s="21" t="s">
        <v>905</v>
      </c>
      <c r="B140" s="21" t="s">
        <v>906</v>
      </c>
      <c r="C140" s="21"/>
      <c r="D140" s="21" t="s">
        <v>180</v>
      </c>
      <c r="E140" s="21" t="s">
        <v>955</v>
      </c>
      <c r="F140" s="21" t="s">
        <v>2057</v>
      </c>
      <c r="G140" s="21" t="s">
        <v>2058</v>
      </c>
      <c r="H140" s="28">
        <v>43143</v>
      </c>
      <c r="I140" s="22">
        <v>2018</v>
      </c>
      <c r="J140" s="21" t="s">
        <v>1012</v>
      </c>
      <c r="K140" s="21" t="s">
        <v>998</v>
      </c>
      <c r="L140" s="21" t="s">
        <v>2059</v>
      </c>
      <c r="M140" s="21" t="s">
        <v>961</v>
      </c>
      <c r="N140" s="21" t="s">
        <v>2060</v>
      </c>
      <c r="O140" s="21" t="s">
        <v>2061</v>
      </c>
      <c r="P140" s="27">
        <v>0</v>
      </c>
      <c r="Q140" s="27">
        <v>28</v>
      </c>
      <c r="R140" s="21" t="s">
        <v>2062</v>
      </c>
      <c r="S140" s="21" t="s">
        <v>2063</v>
      </c>
      <c r="T140" s="21" t="s">
        <v>994</v>
      </c>
      <c r="U140" s="21" t="s">
        <v>2064</v>
      </c>
    </row>
    <row r="141" spans="1:21" ht="98">
      <c r="A141" s="21" t="s">
        <v>905</v>
      </c>
      <c r="B141" s="21" t="s">
        <v>906</v>
      </c>
      <c r="C141" s="21"/>
      <c r="D141" s="21" t="s">
        <v>180</v>
      </c>
      <c r="E141" s="21" t="s">
        <v>955</v>
      </c>
      <c r="F141" s="21" t="s">
        <v>2065</v>
      </c>
      <c r="G141" s="21" t="s">
        <v>2066</v>
      </c>
      <c r="H141" s="28">
        <v>43266</v>
      </c>
      <c r="I141" s="22">
        <v>2018</v>
      </c>
      <c r="J141" s="21" t="s">
        <v>1012</v>
      </c>
      <c r="K141" s="21" t="s">
        <v>998</v>
      </c>
      <c r="L141" s="21" t="s">
        <v>2067</v>
      </c>
      <c r="M141" s="21" t="s">
        <v>2068</v>
      </c>
      <c r="N141" s="21" t="s">
        <v>2069</v>
      </c>
      <c r="O141" s="21" t="s">
        <v>2070</v>
      </c>
      <c r="P141" s="27">
        <v>0</v>
      </c>
      <c r="Q141" s="27">
        <v>42</v>
      </c>
      <c r="R141" s="21" t="s">
        <v>2071</v>
      </c>
      <c r="S141" s="21" t="s">
        <v>2072</v>
      </c>
      <c r="T141" s="21" t="s">
        <v>1148</v>
      </c>
      <c r="U141" s="21" t="s">
        <v>2073</v>
      </c>
    </row>
    <row r="142" spans="1:21" ht="56">
      <c r="A142" s="21" t="s">
        <v>905</v>
      </c>
      <c r="B142" s="21" t="s">
        <v>906</v>
      </c>
      <c r="C142" s="21"/>
      <c r="D142" s="21" t="s">
        <v>180</v>
      </c>
      <c r="E142" s="21" t="s">
        <v>955</v>
      </c>
      <c r="F142" s="21" t="s">
        <v>2074</v>
      </c>
      <c r="G142" s="21" t="s">
        <v>2075</v>
      </c>
      <c r="H142" s="28">
        <v>43523</v>
      </c>
      <c r="I142" s="22">
        <v>2019</v>
      </c>
      <c r="J142" s="21" t="s">
        <v>958</v>
      </c>
      <c r="K142" s="21" t="s">
        <v>959</v>
      </c>
      <c r="L142" s="21" t="s">
        <v>2076</v>
      </c>
      <c r="M142" s="21" t="s">
        <v>2077</v>
      </c>
      <c r="N142" s="21" t="s">
        <v>2078</v>
      </c>
      <c r="O142" s="21" t="s">
        <v>2079</v>
      </c>
      <c r="P142" s="27">
        <v>0</v>
      </c>
      <c r="Q142" s="27">
        <v>18</v>
      </c>
      <c r="R142" s="21" t="s">
        <v>2080</v>
      </c>
      <c r="S142" s="21" t="s">
        <v>2081</v>
      </c>
      <c r="T142" s="21" t="s">
        <v>966</v>
      </c>
      <c r="U142" s="21" t="s">
        <v>2082</v>
      </c>
    </row>
    <row r="143" spans="1:21" ht="42">
      <c r="A143" s="21" t="s">
        <v>905</v>
      </c>
      <c r="B143" s="21" t="s">
        <v>906</v>
      </c>
      <c r="C143" s="21"/>
      <c r="D143" s="21" t="s">
        <v>180</v>
      </c>
      <c r="E143" s="21" t="s">
        <v>955</v>
      </c>
      <c r="F143" s="21" t="s">
        <v>2083</v>
      </c>
      <c r="G143" s="21" t="s">
        <v>2084</v>
      </c>
      <c r="H143" s="28">
        <v>42724</v>
      </c>
      <c r="I143" s="22">
        <v>2016</v>
      </c>
      <c r="J143" s="21" t="s">
        <v>1012</v>
      </c>
      <c r="K143" s="21" t="s">
        <v>1013</v>
      </c>
      <c r="L143" s="21" t="s">
        <v>2085</v>
      </c>
      <c r="M143" s="21" t="s">
        <v>1071</v>
      </c>
      <c r="N143" s="21" t="s">
        <v>1360</v>
      </c>
      <c r="O143" s="21" t="s">
        <v>2086</v>
      </c>
      <c r="P143" s="27">
        <v>0</v>
      </c>
      <c r="Q143" s="27">
        <v>32</v>
      </c>
      <c r="R143" s="21" t="s">
        <v>2087</v>
      </c>
      <c r="S143" s="21" t="s">
        <v>2088</v>
      </c>
      <c r="T143" s="21" t="s">
        <v>966</v>
      </c>
      <c r="U143" s="21" t="s">
        <v>2089</v>
      </c>
    </row>
    <row r="144" spans="1:21" ht="154">
      <c r="A144" s="21" t="s">
        <v>905</v>
      </c>
      <c r="B144" s="21" t="s">
        <v>906</v>
      </c>
      <c r="C144" s="21"/>
      <c r="D144" s="21" t="s">
        <v>180</v>
      </c>
      <c r="E144" s="21" t="s">
        <v>955</v>
      </c>
      <c r="F144" s="21" t="s">
        <v>2090</v>
      </c>
      <c r="G144" s="21" t="s">
        <v>2091</v>
      </c>
      <c r="H144" s="28">
        <v>43166</v>
      </c>
      <c r="I144" s="22">
        <v>2018</v>
      </c>
      <c r="J144" s="21" t="s">
        <v>1012</v>
      </c>
      <c r="K144" s="21" t="s">
        <v>1013</v>
      </c>
      <c r="L144" s="21" t="s">
        <v>2092</v>
      </c>
      <c r="M144" s="21" t="s">
        <v>961</v>
      </c>
      <c r="N144" s="21" t="s">
        <v>2093</v>
      </c>
      <c r="O144" s="21" t="s">
        <v>2094</v>
      </c>
      <c r="P144" s="27">
        <v>0</v>
      </c>
      <c r="Q144" s="27">
        <v>18</v>
      </c>
      <c r="R144" s="21" t="s">
        <v>2095</v>
      </c>
      <c r="S144" s="21" t="s">
        <v>2096</v>
      </c>
      <c r="T144" s="21" t="s">
        <v>966</v>
      </c>
      <c r="U144" s="21" t="s">
        <v>2097</v>
      </c>
    </row>
    <row r="145" spans="1:21" ht="126">
      <c r="A145" s="21" t="s">
        <v>905</v>
      </c>
      <c r="B145" s="21" t="s">
        <v>906</v>
      </c>
      <c r="C145" s="21"/>
      <c r="D145" s="21" t="s">
        <v>180</v>
      </c>
      <c r="E145" s="21" t="s">
        <v>955</v>
      </c>
      <c r="F145" s="21" t="s">
        <v>2098</v>
      </c>
      <c r="G145" s="21" t="s">
        <v>2099</v>
      </c>
      <c r="H145" s="28">
        <v>42724</v>
      </c>
      <c r="I145" s="22">
        <v>2016</v>
      </c>
      <c r="J145" s="21" t="s">
        <v>1012</v>
      </c>
      <c r="K145" s="21" t="s">
        <v>998</v>
      </c>
      <c r="L145" s="21" t="s">
        <v>2100</v>
      </c>
      <c r="M145" s="21" t="s">
        <v>961</v>
      </c>
      <c r="N145" s="21" t="s">
        <v>2101</v>
      </c>
      <c r="O145" s="21" t="s">
        <v>2102</v>
      </c>
      <c r="P145" s="27">
        <v>0</v>
      </c>
      <c r="Q145" s="27">
        <v>59</v>
      </c>
      <c r="R145" s="21" t="s">
        <v>2103</v>
      </c>
      <c r="S145" s="21" t="s">
        <v>2104</v>
      </c>
      <c r="T145" s="21" t="s">
        <v>1148</v>
      </c>
      <c r="U145" s="21" t="s">
        <v>2105</v>
      </c>
    </row>
    <row r="146" spans="1:21" ht="140">
      <c r="A146" s="21" t="s">
        <v>905</v>
      </c>
      <c r="B146" s="21" t="s">
        <v>906</v>
      </c>
      <c r="C146" s="21"/>
      <c r="D146" s="21" t="s">
        <v>180</v>
      </c>
      <c r="E146" s="21" t="s">
        <v>955</v>
      </c>
      <c r="F146" s="21" t="s">
        <v>2106</v>
      </c>
      <c r="G146" s="21" t="s">
        <v>2107</v>
      </c>
      <c r="H146" s="28">
        <v>42788</v>
      </c>
      <c r="I146" s="22">
        <v>2017</v>
      </c>
      <c r="J146" s="21" t="s">
        <v>1012</v>
      </c>
      <c r="K146" s="21" t="s">
        <v>998</v>
      </c>
      <c r="L146" s="21" t="s">
        <v>2108</v>
      </c>
      <c r="M146" s="21" t="s">
        <v>961</v>
      </c>
      <c r="N146" s="21" t="s">
        <v>2109</v>
      </c>
      <c r="O146" s="21" t="s">
        <v>2110</v>
      </c>
      <c r="P146" s="27">
        <v>0</v>
      </c>
      <c r="Q146" s="27">
        <v>38</v>
      </c>
      <c r="R146" s="21" t="s">
        <v>2111</v>
      </c>
      <c r="S146" s="21" t="s">
        <v>2112</v>
      </c>
      <c r="T146" s="21" t="s">
        <v>1148</v>
      </c>
      <c r="U146" s="21" t="s">
        <v>2113</v>
      </c>
    </row>
    <row r="147" spans="1:21" ht="70">
      <c r="A147" s="21" t="s">
        <v>905</v>
      </c>
      <c r="B147" s="21" t="s">
        <v>906</v>
      </c>
      <c r="C147" s="21"/>
      <c r="D147" s="21" t="s">
        <v>180</v>
      </c>
      <c r="E147" s="21" t="s">
        <v>955</v>
      </c>
      <c r="F147" s="21" t="s">
        <v>2114</v>
      </c>
      <c r="G147" s="21" t="s">
        <v>2115</v>
      </c>
      <c r="H147" s="28">
        <v>43334</v>
      </c>
      <c r="I147" s="22">
        <v>2018</v>
      </c>
      <c r="J147" s="21" t="s">
        <v>1012</v>
      </c>
      <c r="K147" s="21" t="s">
        <v>1013</v>
      </c>
      <c r="L147" s="21" t="s">
        <v>2116</v>
      </c>
      <c r="M147" s="21" t="s">
        <v>961</v>
      </c>
      <c r="N147" s="21" t="s">
        <v>2117</v>
      </c>
      <c r="O147" s="21" t="s">
        <v>1040</v>
      </c>
      <c r="P147" s="27">
        <v>2</v>
      </c>
      <c r="Q147" s="27">
        <v>36</v>
      </c>
      <c r="R147" s="21" t="s">
        <v>2118</v>
      </c>
      <c r="S147" s="21" t="s">
        <v>1034</v>
      </c>
      <c r="T147" s="21" t="s">
        <v>966</v>
      </c>
      <c r="U147" s="21" t="s">
        <v>2119</v>
      </c>
    </row>
    <row r="148" spans="1:21" ht="56">
      <c r="A148" s="21" t="s">
        <v>905</v>
      </c>
      <c r="B148" s="21" t="s">
        <v>906</v>
      </c>
      <c r="C148" s="21"/>
      <c r="D148" s="21" t="s">
        <v>180</v>
      </c>
      <c r="E148" s="21" t="s">
        <v>955</v>
      </c>
      <c r="F148" s="21" t="s">
        <v>2120</v>
      </c>
      <c r="G148" s="21" t="s">
        <v>2121</v>
      </c>
      <c r="H148" s="28">
        <v>44222</v>
      </c>
      <c r="I148" s="22">
        <v>2021</v>
      </c>
      <c r="J148" s="21" t="s">
        <v>1012</v>
      </c>
      <c r="K148" s="21" t="s">
        <v>998</v>
      </c>
      <c r="L148" s="21" t="s">
        <v>2122</v>
      </c>
      <c r="M148" s="21" t="s">
        <v>961</v>
      </c>
      <c r="N148" s="21" t="s">
        <v>2123</v>
      </c>
      <c r="O148" s="21" t="s">
        <v>2124</v>
      </c>
      <c r="P148" s="27">
        <v>12</v>
      </c>
      <c r="Q148" s="27">
        <v>7</v>
      </c>
      <c r="R148" s="21" t="s">
        <v>2125</v>
      </c>
      <c r="S148" s="21" t="s">
        <v>2126</v>
      </c>
      <c r="T148" s="21" t="s">
        <v>994</v>
      </c>
      <c r="U148" s="21" t="s">
        <v>2127</v>
      </c>
    </row>
    <row r="149" spans="1:21" ht="168">
      <c r="A149" s="21" t="s">
        <v>905</v>
      </c>
      <c r="B149" s="21" t="s">
        <v>906</v>
      </c>
      <c r="C149" s="21"/>
      <c r="D149" s="21" t="s">
        <v>180</v>
      </c>
      <c r="E149" s="21" t="s">
        <v>955</v>
      </c>
      <c r="F149" s="21" t="s">
        <v>2128</v>
      </c>
      <c r="G149" s="21" t="s">
        <v>2129</v>
      </c>
      <c r="H149" s="28">
        <v>44182</v>
      </c>
      <c r="I149" s="22">
        <v>2020</v>
      </c>
      <c r="J149" s="21" t="s">
        <v>1012</v>
      </c>
      <c r="K149" s="21" t="s">
        <v>998</v>
      </c>
      <c r="L149" s="21" t="s">
        <v>2130</v>
      </c>
      <c r="M149" s="21" t="s">
        <v>961</v>
      </c>
      <c r="N149" s="21" t="s">
        <v>2131</v>
      </c>
      <c r="O149" s="21" t="s">
        <v>2132</v>
      </c>
      <c r="P149" s="27">
        <v>0</v>
      </c>
      <c r="Q149" s="27">
        <v>30</v>
      </c>
      <c r="R149" s="21" t="s">
        <v>2133</v>
      </c>
      <c r="S149" s="21" t="s">
        <v>2134</v>
      </c>
      <c r="T149" s="21" t="s">
        <v>994</v>
      </c>
      <c r="U149" s="21" t="s">
        <v>2135</v>
      </c>
    </row>
    <row r="150" spans="1:21" ht="42">
      <c r="A150" s="21" t="s">
        <v>905</v>
      </c>
      <c r="B150" s="21" t="s">
        <v>906</v>
      </c>
      <c r="C150" s="21"/>
      <c r="D150" s="21" t="s">
        <v>180</v>
      </c>
      <c r="E150" s="21" t="s">
        <v>955</v>
      </c>
      <c r="F150" s="21" t="s">
        <v>2136</v>
      </c>
      <c r="G150" s="21" t="s">
        <v>2137</v>
      </c>
      <c r="H150" s="28">
        <v>44797</v>
      </c>
      <c r="I150" s="22">
        <v>2022</v>
      </c>
      <c r="J150" s="21" t="s">
        <v>1012</v>
      </c>
      <c r="K150" s="21" t="s">
        <v>998</v>
      </c>
      <c r="L150" s="21" t="s">
        <v>2138</v>
      </c>
      <c r="M150" s="21" t="s">
        <v>961</v>
      </c>
      <c r="N150" s="21" t="s">
        <v>2139</v>
      </c>
      <c r="O150" s="21" t="s">
        <v>2140</v>
      </c>
      <c r="P150" s="27">
        <v>0</v>
      </c>
      <c r="Q150" s="27">
        <v>7</v>
      </c>
      <c r="R150" s="21" t="s">
        <v>2141</v>
      </c>
      <c r="S150" s="21" t="s">
        <v>2142</v>
      </c>
      <c r="T150" s="21" t="s">
        <v>994</v>
      </c>
      <c r="U150" s="21" t="s">
        <v>2143</v>
      </c>
    </row>
    <row r="151" spans="1:21" ht="140">
      <c r="A151" s="21" t="s">
        <v>905</v>
      </c>
      <c r="B151" s="21" t="s">
        <v>906</v>
      </c>
      <c r="C151" s="21"/>
      <c r="D151" s="21" t="s">
        <v>180</v>
      </c>
      <c r="E151" s="21" t="s">
        <v>955</v>
      </c>
      <c r="F151" s="21" t="s">
        <v>2144</v>
      </c>
      <c r="G151" s="21" t="s">
        <v>2145</v>
      </c>
      <c r="H151" s="28">
        <v>44804</v>
      </c>
      <c r="I151" s="22">
        <v>2022</v>
      </c>
      <c r="J151" s="21" t="s">
        <v>1012</v>
      </c>
      <c r="K151" s="21" t="s">
        <v>998</v>
      </c>
      <c r="L151" s="21" t="s">
        <v>2146</v>
      </c>
      <c r="M151" s="21" t="s">
        <v>961</v>
      </c>
      <c r="N151" s="21" t="s">
        <v>2147</v>
      </c>
      <c r="O151" s="21" t="s">
        <v>2148</v>
      </c>
      <c r="P151" s="27">
        <v>1</v>
      </c>
      <c r="Q151" s="27">
        <v>13</v>
      </c>
      <c r="R151" s="21" t="s">
        <v>2149</v>
      </c>
      <c r="S151" s="21" t="s">
        <v>2150</v>
      </c>
      <c r="T151" s="21" t="s">
        <v>994</v>
      </c>
      <c r="U151" s="21" t="s">
        <v>2151</v>
      </c>
    </row>
    <row r="152" spans="1:21" ht="168">
      <c r="A152" s="21" t="s">
        <v>905</v>
      </c>
      <c r="B152" s="21" t="s">
        <v>906</v>
      </c>
      <c r="C152" s="21"/>
      <c r="D152" s="21" t="s">
        <v>180</v>
      </c>
      <c r="E152" s="21" t="s">
        <v>955</v>
      </c>
      <c r="F152" s="21" t="s">
        <v>2152</v>
      </c>
      <c r="G152" s="21" t="s">
        <v>2153</v>
      </c>
      <c r="H152" s="28">
        <v>44053</v>
      </c>
      <c r="I152" s="22">
        <v>2020</v>
      </c>
      <c r="J152" s="21" t="s">
        <v>1012</v>
      </c>
      <c r="K152" s="21" t="s">
        <v>998</v>
      </c>
      <c r="L152" s="21" t="s">
        <v>2154</v>
      </c>
      <c r="M152" s="21" t="s">
        <v>1071</v>
      </c>
      <c r="N152" s="21" t="s">
        <v>2155</v>
      </c>
      <c r="O152" s="21" t="s">
        <v>2156</v>
      </c>
      <c r="P152" s="27">
        <v>1</v>
      </c>
      <c r="Q152" s="27">
        <v>12</v>
      </c>
      <c r="R152" s="21" t="s">
        <v>2157</v>
      </c>
      <c r="S152" s="21" t="s">
        <v>2158</v>
      </c>
      <c r="T152" s="21" t="s">
        <v>1148</v>
      </c>
      <c r="U152" s="21" t="s">
        <v>2159</v>
      </c>
    </row>
    <row r="153" spans="1:21" ht="56">
      <c r="A153" s="21" t="s">
        <v>905</v>
      </c>
      <c r="B153" s="21" t="s">
        <v>906</v>
      </c>
      <c r="C153" s="21"/>
      <c r="D153" s="21" t="s">
        <v>180</v>
      </c>
      <c r="E153" s="21" t="s">
        <v>955</v>
      </c>
      <c r="F153" s="21" t="s">
        <v>2160</v>
      </c>
      <c r="G153" s="21" t="s">
        <v>2161</v>
      </c>
      <c r="H153" s="28">
        <v>43300</v>
      </c>
      <c r="I153" s="22">
        <v>2018</v>
      </c>
      <c r="J153" s="21" t="s">
        <v>1012</v>
      </c>
      <c r="K153" s="21" t="s">
        <v>998</v>
      </c>
      <c r="L153" s="21" t="s">
        <v>2162</v>
      </c>
      <c r="M153" s="21" t="s">
        <v>961</v>
      </c>
      <c r="N153" s="21" t="s">
        <v>2163</v>
      </c>
      <c r="O153" s="21" t="s">
        <v>2164</v>
      </c>
      <c r="P153" s="27">
        <v>0</v>
      </c>
      <c r="Q153" s="27">
        <v>40</v>
      </c>
      <c r="R153" s="21" t="s">
        <v>2165</v>
      </c>
      <c r="S153" s="21" t="s">
        <v>2166</v>
      </c>
      <c r="T153" s="21" t="s">
        <v>966</v>
      </c>
      <c r="U153" s="21" t="s">
        <v>2167</v>
      </c>
    </row>
    <row r="154" spans="1:21" ht="70">
      <c r="A154" s="21" t="s">
        <v>905</v>
      </c>
      <c r="B154" s="21" t="s">
        <v>906</v>
      </c>
      <c r="C154" s="21"/>
      <c r="D154" s="21" t="s">
        <v>180</v>
      </c>
      <c r="E154" s="21" t="s">
        <v>955</v>
      </c>
      <c r="F154" s="21" t="s">
        <v>2168</v>
      </c>
      <c r="G154" s="21" t="s">
        <v>2169</v>
      </c>
      <c r="H154" s="28">
        <v>44208</v>
      </c>
      <c r="I154" s="22">
        <v>2021</v>
      </c>
      <c r="J154" s="21" t="s">
        <v>1012</v>
      </c>
      <c r="K154" s="21" t="s">
        <v>998</v>
      </c>
      <c r="L154" s="21" t="s">
        <v>2170</v>
      </c>
      <c r="M154" s="21" t="s">
        <v>961</v>
      </c>
      <c r="N154" s="21" t="s">
        <v>2171</v>
      </c>
      <c r="O154" s="21" t="s">
        <v>2172</v>
      </c>
      <c r="P154" s="27">
        <v>1</v>
      </c>
      <c r="Q154" s="27">
        <v>6</v>
      </c>
      <c r="R154" s="21" t="s">
        <v>2173</v>
      </c>
      <c r="S154" s="21" t="s">
        <v>2174</v>
      </c>
      <c r="T154" s="21" t="s">
        <v>966</v>
      </c>
      <c r="U154" s="21" t="s">
        <v>2175</v>
      </c>
    </row>
    <row r="155" spans="1:21" ht="56">
      <c r="A155" s="21" t="s">
        <v>905</v>
      </c>
      <c r="B155" s="21" t="s">
        <v>906</v>
      </c>
      <c r="C155" s="21"/>
      <c r="D155" s="21" t="s">
        <v>180</v>
      </c>
      <c r="E155" s="21" t="s">
        <v>955</v>
      </c>
      <c r="F155" s="21" t="s">
        <v>2176</v>
      </c>
      <c r="G155" s="21" t="s">
        <v>2177</v>
      </c>
      <c r="H155" s="28">
        <v>44785</v>
      </c>
      <c r="I155" s="22">
        <v>2022</v>
      </c>
      <c r="J155" s="21" t="s">
        <v>1012</v>
      </c>
      <c r="K155" s="21" t="s">
        <v>998</v>
      </c>
      <c r="L155" s="21" t="s">
        <v>2178</v>
      </c>
      <c r="M155" s="21" t="s">
        <v>961</v>
      </c>
      <c r="N155" s="21" t="s">
        <v>2179</v>
      </c>
      <c r="O155" s="21" t="s">
        <v>2180</v>
      </c>
      <c r="P155" s="27">
        <v>0</v>
      </c>
      <c r="Q155" s="27">
        <v>15</v>
      </c>
      <c r="R155" s="21" t="s">
        <v>2181</v>
      </c>
      <c r="S155" s="21" t="s">
        <v>2182</v>
      </c>
      <c r="T155" s="21" t="s">
        <v>994</v>
      </c>
      <c r="U155" s="21" t="s">
        <v>2183</v>
      </c>
    </row>
    <row r="156" spans="1:21" ht="56">
      <c r="A156" s="21" t="s">
        <v>905</v>
      </c>
      <c r="B156" s="21" t="s">
        <v>906</v>
      </c>
      <c r="C156" s="21"/>
      <c r="D156" s="21" t="s">
        <v>180</v>
      </c>
      <c r="E156" s="21" t="s">
        <v>955</v>
      </c>
      <c r="F156" s="21" t="s">
        <v>2184</v>
      </c>
      <c r="G156" s="21" t="s">
        <v>2185</v>
      </c>
      <c r="H156" s="28">
        <v>42580</v>
      </c>
      <c r="I156" s="22">
        <v>2016</v>
      </c>
      <c r="J156" s="21" t="s">
        <v>1012</v>
      </c>
      <c r="K156" s="21" t="s">
        <v>998</v>
      </c>
      <c r="L156" s="21" t="s">
        <v>2186</v>
      </c>
      <c r="M156" s="21" t="s">
        <v>2187</v>
      </c>
      <c r="N156" s="21" t="s">
        <v>2188</v>
      </c>
      <c r="O156" s="21" t="s">
        <v>2189</v>
      </c>
      <c r="P156" s="27">
        <v>3</v>
      </c>
      <c r="Q156" s="27">
        <v>17</v>
      </c>
      <c r="R156" s="21" t="s">
        <v>2190</v>
      </c>
      <c r="S156" s="21" t="s">
        <v>2191</v>
      </c>
      <c r="T156" s="21" t="s">
        <v>1148</v>
      </c>
      <c r="U156" s="21" t="s">
        <v>2192</v>
      </c>
    </row>
    <row r="157" spans="1:21" ht="70">
      <c r="A157" s="21" t="s">
        <v>905</v>
      </c>
      <c r="B157" s="21" t="s">
        <v>906</v>
      </c>
      <c r="C157" s="21"/>
      <c r="D157" s="21" t="s">
        <v>180</v>
      </c>
      <c r="E157" s="21" t="s">
        <v>955</v>
      </c>
      <c r="F157" s="21" t="s">
        <v>2193</v>
      </c>
      <c r="G157" s="21" t="s">
        <v>2194</v>
      </c>
      <c r="H157" s="28">
        <v>44236</v>
      </c>
      <c r="I157" s="22">
        <v>2021</v>
      </c>
      <c r="J157" s="21" t="s">
        <v>1012</v>
      </c>
      <c r="K157" s="21" t="s">
        <v>998</v>
      </c>
      <c r="L157" s="21" t="s">
        <v>2195</v>
      </c>
      <c r="M157" s="21" t="s">
        <v>2196</v>
      </c>
      <c r="N157" s="21" t="s">
        <v>2197</v>
      </c>
      <c r="O157" s="21" t="s">
        <v>2198</v>
      </c>
      <c r="P157" s="27">
        <v>1</v>
      </c>
      <c r="Q157" s="27">
        <v>3</v>
      </c>
      <c r="R157" s="21" t="s">
        <v>2199</v>
      </c>
      <c r="S157" s="21" t="s">
        <v>2200</v>
      </c>
      <c r="T157" s="21" t="s">
        <v>994</v>
      </c>
      <c r="U157" s="21" t="s">
        <v>2201</v>
      </c>
    </row>
    <row r="158" spans="1:21" ht="168">
      <c r="A158" s="21" t="s">
        <v>905</v>
      </c>
      <c r="B158" s="21" t="s">
        <v>906</v>
      </c>
      <c r="C158" s="21"/>
      <c r="D158" s="21" t="s">
        <v>180</v>
      </c>
      <c r="E158" s="21" t="s">
        <v>955</v>
      </c>
      <c r="F158" s="21" t="s">
        <v>2202</v>
      </c>
      <c r="G158" s="21" t="s">
        <v>2203</v>
      </c>
      <c r="H158" s="28">
        <v>44175</v>
      </c>
      <c r="I158" s="22">
        <v>2020</v>
      </c>
      <c r="J158" s="21" t="s">
        <v>1012</v>
      </c>
      <c r="K158" s="21" t="s">
        <v>998</v>
      </c>
      <c r="L158" s="21" t="s">
        <v>2204</v>
      </c>
      <c r="M158" s="21" t="s">
        <v>1071</v>
      </c>
      <c r="N158" s="21" t="s">
        <v>2205</v>
      </c>
      <c r="O158" s="21" t="s">
        <v>2206</v>
      </c>
      <c r="P158" s="27">
        <v>0</v>
      </c>
      <c r="Q158" s="27">
        <v>15</v>
      </c>
      <c r="R158" s="21" t="s">
        <v>2207</v>
      </c>
      <c r="S158" s="21" t="s">
        <v>2208</v>
      </c>
      <c r="T158" s="21" t="s">
        <v>994</v>
      </c>
      <c r="U158" s="21" t="s">
        <v>2209</v>
      </c>
    </row>
    <row r="159" spans="1:21" ht="112">
      <c r="A159" s="21" t="s">
        <v>905</v>
      </c>
      <c r="B159" s="21" t="s">
        <v>906</v>
      </c>
      <c r="C159" s="21"/>
      <c r="D159" s="21" t="s">
        <v>180</v>
      </c>
      <c r="E159" s="21" t="s">
        <v>955</v>
      </c>
      <c r="F159" s="21" t="s">
        <v>2210</v>
      </c>
      <c r="G159" s="21" t="s">
        <v>2211</v>
      </c>
      <c r="H159" s="28">
        <v>43755</v>
      </c>
      <c r="I159" s="22">
        <v>2019</v>
      </c>
      <c r="J159" s="21" t="s">
        <v>1012</v>
      </c>
      <c r="K159" s="21" t="s">
        <v>1013</v>
      </c>
      <c r="L159" s="21" t="s">
        <v>2212</v>
      </c>
      <c r="M159" s="21" t="s">
        <v>961</v>
      </c>
      <c r="N159" s="21" t="s">
        <v>2213</v>
      </c>
      <c r="O159" s="21" t="s">
        <v>2094</v>
      </c>
      <c r="P159" s="27">
        <v>0</v>
      </c>
      <c r="Q159" s="27">
        <v>14</v>
      </c>
      <c r="R159" s="21" t="s">
        <v>2214</v>
      </c>
      <c r="S159" s="21" t="s">
        <v>2096</v>
      </c>
      <c r="T159" s="21" t="s">
        <v>966</v>
      </c>
      <c r="U159" s="21" t="s">
        <v>2215</v>
      </c>
    </row>
    <row r="160" spans="1:21" ht="126">
      <c r="A160" s="21" t="s">
        <v>905</v>
      </c>
      <c r="B160" s="21" t="s">
        <v>906</v>
      </c>
      <c r="C160" s="21"/>
      <c r="D160" s="21" t="s">
        <v>180</v>
      </c>
      <c r="E160" s="21" t="s">
        <v>955</v>
      </c>
      <c r="F160" s="21" t="s">
        <v>2216</v>
      </c>
      <c r="G160" s="21" t="s">
        <v>2217</v>
      </c>
      <c r="H160" s="28">
        <v>44112</v>
      </c>
      <c r="I160" s="22">
        <v>2020</v>
      </c>
      <c r="J160" s="21" t="s">
        <v>1012</v>
      </c>
      <c r="K160" s="21" t="s">
        <v>998</v>
      </c>
      <c r="L160" s="21" t="s">
        <v>2218</v>
      </c>
      <c r="M160" s="21" t="s">
        <v>961</v>
      </c>
      <c r="N160" s="21" t="s">
        <v>2219</v>
      </c>
      <c r="O160" s="21" t="s">
        <v>2220</v>
      </c>
      <c r="P160" s="27">
        <v>0</v>
      </c>
      <c r="Q160" s="27">
        <v>12</v>
      </c>
      <c r="R160" s="21" t="s">
        <v>2221</v>
      </c>
      <c r="S160" s="21" t="s">
        <v>2222</v>
      </c>
      <c r="T160" s="21" t="s">
        <v>994</v>
      </c>
      <c r="U160" s="21" t="s">
        <v>2223</v>
      </c>
    </row>
    <row r="161" spans="1:21" ht="56">
      <c r="A161" s="21" t="s">
        <v>905</v>
      </c>
      <c r="B161" s="21" t="s">
        <v>906</v>
      </c>
      <c r="C161" s="21"/>
      <c r="D161" s="21" t="s">
        <v>180</v>
      </c>
      <c r="E161" s="21" t="s">
        <v>955</v>
      </c>
      <c r="F161" s="21" t="s">
        <v>2224</v>
      </c>
      <c r="G161" s="21" t="s">
        <v>2225</v>
      </c>
      <c r="H161" s="28">
        <v>43265</v>
      </c>
      <c r="I161" s="22">
        <v>2018</v>
      </c>
      <c r="J161" s="21" t="s">
        <v>1012</v>
      </c>
      <c r="K161" s="21" t="s">
        <v>998</v>
      </c>
      <c r="L161" s="21" t="s">
        <v>2226</v>
      </c>
      <c r="M161" s="21" t="s">
        <v>1071</v>
      </c>
      <c r="N161" s="21" t="s">
        <v>1955</v>
      </c>
      <c r="O161" s="21" t="s">
        <v>2227</v>
      </c>
      <c r="P161" s="27">
        <v>0</v>
      </c>
      <c r="Q161" s="27">
        <v>10</v>
      </c>
      <c r="R161" s="21" t="s">
        <v>2228</v>
      </c>
      <c r="S161" s="21" t="s">
        <v>2229</v>
      </c>
      <c r="T161" s="21" t="s">
        <v>1148</v>
      </c>
      <c r="U161" s="21" t="s">
        <v>2230</v>
      </c>
    </row>
    <row r="162" spans="1:21" ht="98">
      <c r="A162" s="21" t="s">
        <v>905</v>
      </c>
      <c r="B162" s="21" t="s">
        <v>906</v>
      </c>
      <c r="C162" s="21"/>
      <c r="D162" s="21" t="s">
        <v>180</v>
      </c>
      <c r="E162" s="21" t="s">
        <v>955</v>
      </c>
      <c r="F162" s="21" t="s">
        <v>2231</v>
      </c>
      <c r="G162" s="21" t="s">
        <v>2232</v>
      </c>
      <c r="H162" s="28">
        <v>44062</v>
      </c>
      <c r="I162" s="22">
        <v>2020</v>
      </c>
      <c r="J162" s="21" t="s">
        <v>1012</v>
      </c>
      <c r="K162" s="21" t="s">
        <v>998</v>
      </c>
      <c r="L162" s="21" t="s">
        <v>2233</v>
      </c>
      <c r="M162" s="21" t="s">
        <v>961</v>
      </c>
      <c r="N162" s="21" t="s">
        <v>2234</v>
      </c>
      <c r="O162" s="21" t="s">
        <v>2235</v>
      </c>
      <c r="P162" s="27">
        <v>0</v>
      </c>
      <c r="Q162" s="27">
        <v>13</v>
      </c>
      <c r="R162" s="21" t="s">
        <v>2236</v>
      </c>
      <c r="S162" s="21" t="s">
        <v>2237</v>
      </c>
      <c r="T162" s="21" t="s">
        <v>966</v>
      </c>
      <c r="U162" s="21" t="s">
        <v>2238</v>
      </c>
    </row>
    <row r="163" spans="1:21" ht="98">
      <c r="A163" s="21" t="s">
        <v>905</v>
      </c>
      <c r="B163" s="21" t="s">
        <v>906</v>
      </c>
      <c r="C163" s="21"/>
      <c r="D163" s="21" t="s">
        <v>180</v>
      </c>
      <c r="E163" s="21" t="s">
        <v>955</v>
      </c>
      <c r="F163" s="21" t="s">
        <v>2239</v>
      </c>
      <c r="G163" s="21" t="s">
        <v>2240</v>
      </c>
      <c r="H163" s="28">
        <v>43265</v>
      </c>
      <c r="I163" s="22">
        <v>2018</v>
      </c>
      <c r="J163" s="21" t="s">
        <v>1012</v>
      </c>
      <c r="K163" s="21" t="s">
        <v>998</v>
      </c>
      <c r="L163" s="21" t="s">
        <v>2241</v>
      </c>
      <c r="M163" s="21" t="s">
        <v>1071</v>
      </c>
      <c r="N163" s="21" t="s">
        <v>1955</v>
      </c>
      <c r="O163" s="21" t="s">
        <v>2242</v>
      </c>
      <c r="P163" s="27">
        <v>0</v>
      </c>
      <c r="Q163" s="27">
        <v>13</v>
      </c>
      <c r="R163" s="21" t="s">
        <v>2243</v>
      </c>
      <c r="S163" s="21" t="s">
        <v>2244</v>
      </c>
      <c r="T163" s="21" t="s">
        <v>1148</v>
      </c>
      <c r="U163" s="21" t="s">
        <v>2245</v>
      </c>
    </row>
    <row r="164" spans="1:21" ht="126">
      <c r="A164" s="21" t="s">
        <v>905</v>
      </c>
      <c r="B164" s="21" t="s">
        <v>906</v>
      </c>
      <c r="C164" s="21"/>
      <c r="D164" s="21" t="s">
        <v>180</v>
      </c>
      <c r="E164" s="21" t="s">
        <v>955</v>
      </c>
      <c r="F164" s="21" t="s">
        <v>2246</v>
      </c>
      <c r="G164" s="21" t="s">
        <v>2247</v>
      </c>
      <c r="H164" s="28">
        <v>43781</v>
      </c>
      <c r="I164" s="22">
        <v>2019</v>
      </c>
      <c r="J164" s="21" t="s">
        <v>1012</v>
      </c>
      <c r="K164" s="21" t="s">
        <v>998</v>
      </c>
      <c r="L164" s="21" t="s">
        <v>2248</v>
      </c>
      <c r="M164" s="21" t="s">
        <v>961</v>
      </c>
      <c r="N164" s="21" t="s">
        <v>2249</v>
      </c>
      <c r="O164" s="21" t="s">
        <v>2250</v>
      </c>
      <c r="P164" s="27">
        <v>3</v>
      </c>
      <c r="Q164" s="27">
        <v>13</v>
      </c>
      <c r="R164" s="21" t="s">
        <v>2251</v>
      </c>
      <c r="S164" s="21" t="s">
        <v>2252</v>
      </c>
      <c r="T164" s="21" t="s">
        <v>994</v>
      </c>
      <c r="U164" s="21" t="s">
        <v>2253</v>
      </c>
    </row>
    <row r="165" spans="1:21" ht="28">
      <c r="A165" s="21" t="s">
        <v>905</v>
      </c>
      <c r="B165" s="21" t="s">
        <v>906</v>
      </c>
      <c r="C165" s="21"/>
      <c r="D165" s="21" t="s">
        <v>180</v>
      </c>
      <c r="E165" s="21" t="s">
        <v>955</v>
      </c>
      <c r="F165" s="21" t="s">
        <v>2254</v>
      </c>
      <c r="G165" s="21" t="s">
        <v>2255</v>
      </c>
      <c r="H165" s="28">
        <v>44148</v>
      </c>
      <c r="I165" s="22">
        <v>2020</v>
      </c>
      <c r="J165" s="21" t="s">
        <v>1012</v>
      </c>
      <c r="K165" s="21" t="s">
        <v>998</v>
      </c>
      <c r="L165" s="21" t="s">
        <v>2256</v>
      </c>
      <c r="M165" s="21" t="s">
        <v>1071</v>
      </c>
      <c r="N165" s="21" t="s">
        <v>2257</v>
      </c>
      <c r="O165" s="21" t="s">
        <v>2258</v>
      </c>
      <c r="P165" s="27">
        <v>1</v>
      </c>
      <c r="Q165" s="27">
        <v>6</v>
      </c>
      <c r="R165" s="21" t="s">
        <v>2259</v>
      </c>
      <c r="S165" s="21" t="s">
        <v>2260</v>
      </c>
      <c r="T165" s="21" t="s">
        <v>994</v>
      </c>
      <c r="U165" s="21" t="s">
        <v>2261</v>
      </c>
    </row>
    <row r="166" spans="1:21" ht="42">
      <c r="A166" s="21" t="s">
        <v>905</v>
      </c>
      <c r="B166" s="21" t="s">
        <v>906</v>
      </c>
      <c r="C166" s="21"/>
      <c r="D166" s="21" t="s">
        <v>180</v>
      </c>
      <c r="E166" s="21" t="s">
        <v>955</v>
      </c>
      <c r="F166" s="21" t="s">
        <v>2262</v>
      </c>
      <c r="G166" s="21" t="s">
        <v>2263</v>
      </c>
      <c r="H166" s="28">
        <v>44733</v>
      </c>
      <c r="I166" s="22">
        <v>2022</v>
      </c>
      <c r="J166" s="21" t="s">
        <v>1012</v>
      </c>
      <c r="K166" s="21" t="s">
        <v>998</v>
      </c>
      <c r="L166" s="21" t="s">
        <v>2264</v>
      </c>
      <c r="M166" s="21" t="s">
        <v>961</v>
      </c>
      <c r="N166" s="21" t="s">
        <v>2265</v>
      </c>
      <c r="O166" s="21" t="s">
        <v>2266</v>
      </c>
      <c r="P166" s="27">
        <v>0</v>
      </c>
      <c r="Q166" s="27">
        <v>20</v>
      </c>
      <c r="R166" s="21" t="s">
        <v>2267</v>
      </c>
      <c r="S166" s="21" t="s">
        <v>1066</v>
      </c>
      <c r="T166" s="21" t="s">
        <v>994</v>
      </c>
      <c r="U166" s="21" t="s">
        <v>2268</v>
      </c>
    </row>
    <row r="167" spans="1:21" ht="182">
      <c r="A167" s="21" t="s">
        <v>905</v>
      </c>
      <c r="B167" s="21" t="s">
        <v>906</v>
      </c>
      <c r="C167" s="21"/>
      <c r="D167" s="21" t="s">
        <v>180</v>
      </c>
      <c r="E167" s="21" t="s">
        <v>955</v>
      </c>
      <c r="F167" s="21" t="s">
        <v>2269</v>
      </c>
      <c r="G167" s="21" t="s">
        <v>2270</v>
      </c>
      <c r="H167" s="28">
        <v>43483</v>
      </c>
      <c r="I167" s="22">
        <v>2019</v>
      </c>
      <c r="J167" s="21" t="s">
        <v>1012</v>
      </c>
      <c r="K167" s="21" t="s">
        <v>998</v>
      </c>
      <c r="L167" s="21" t="s">
        <v>2271</v>
      </c>
      <c r="M167" s="21" t="s">
        <v>961</v>
      </c>
      <c r="N167" s="21" t="s">
        <v>2272</v>
      </c>
      <c r="O167" s="21" t="s">
        <v>1920</v>
      </c>
      <c r="P167" s="27">
        <v>0</v>
      </c>
      <c r="Q167" s="27">
        <v>29</v>
      </c>
      <c r="R167" s="21" t="s">
        <v>2273</v>
      </c>
      <c r="S167" s="21" t="s">
        <v>2274</v>
      </c>
      <c r="T167" s="21" t="s">
        <v>966</v>
      </c>
      <c r="U167" s="21" t="s">
        <v>2275</v>
      </c>
    </row>
    <row r="168" spans="1:21" ht="56">
      <c r="A168" s="21" t="s">
        <v>905</v>
      </c>
      <c r="B168" s="21" t="s">
        <v>906</v>
      </c>
      <c r="C168" s="21"/>
      <c r="D168" s="21" t="s">
        <v>180</v>
      </c>
      <c r="E168" s="21" t="s">
        <v>955</v>
      </c>
      <c r="F168" s="21" t="s">
        <v>2276</v>
      </c>
      <c r="G168" s="21" t="s">
        <v>2277</v>
      </c>
      <c r="H168" s="28">
        <v>44104</v>
      </c>
      <c r="I168" s="22">
        <v>2020</v>
      </c>
      <c r="J168" s="21" t="s">
        <v>1012</v>
      </c>
      <c r="K168" s="21" t="s">
        <v>1013</v>
      </c>
      <c r="L168" s="21" t="s">
        <v>2278</v>
      </c>
      <c r="M168" s="21" t="s">
        <v>961</v>
      </c>
      <c r="N168" s="21" t="s">
        <v>2279</v>
      </c>
      <c r="O168" s="21" t="s">
        <v>2280</v>
      </c>
      <c r="P168" s="27">
        <v>1</v>
      </c>
      <c r="Q168" s="27">
        <v>2</v>
      </c>
      <c r="R168" s="21" t="s">
        <v>2281</v>
      </c>
      <c r="S168" s="21" t="s">
        <v>2282</v>
      </c>
      <c r="T168" s="21" t="s">
        <v>966</v>
      </c>
      <c r="U168" s="21" t="s">
        <v>2283</v>
      </c>
    </row>
    <row r="169" spans="1:21" ht="56">
      <c r="A169" s="21" t="s">
        <v>905</v>
      </c>
      <c r="B169" s="21" t="s">
        <v>906</v>
      </c>
      <c r="C169" s="21"/>
      <c r="D169" s="21" t="s">
        <v>180</v>
      </c>
      <c r="E169" s="21" t="s">
        <v>955</v>
      </c>
      <c r="F169" s="21" t="s">
        <v>2284</v>
      </c>
      <c r="G169" s="21" t="s">
        <v>2285</v>
      </c>
      <c r="H169" s="28">
        <v>43963</v>
      </c>
      <c r="I169" s="22">
        <v>2020</v>
      </c>
      <c r="J169" s="21" t="s">
        <v>1012</v>
      </c>
      <c r="K169" s="21" t="s">
        <v>998</v>
      </c>
      <c r="L169" s="21" t="s">
        <v>2286</v>
      </c>
      <c r="M169" s="21" t="s">
        <v>961</v>
      </c>
      <c r="N169" s="21" t="s">
        <v>2287</v>
      </c>
      <c r="O169" s="21" t="s">
        <v>2288</v>
      </c>
      <c r="P169" s="27">
        <v>0</v>
      </c>
      <c r="Q169" s="27">
        <v>5</v>
      </c>
      <c r="R169" s="21" t="s">
        <v>2289</v>
      </c>
      <c r="S169" s="21" t="s">
        <v>2290</v>
      </c>
      <c r="T169" s="21" t="s">
        <v>1148</v>
      </c>
      <c r="U169" s="21" t="s">
        <v>2291</v>
      </c>
    </row>
    <row r="170" spans="1:21" ht="98">
      <c r="A170" s="21" t="s">
        <v>905</v>
      </c>
      <c r="B170" s="21" t="s">
        <v>906</v>
      </c>
      <c r="C170" s="21"/>
      <c r="D170" s="21" t="s">
        <v>180</v>
      </c>
      <c r="E170" s="21" t="s">
        <v>955</v>
      </c>
      <c r="F170" s="21" t="s">
        <v>2292</v>
      </c>
      <c r="G170" s="21" t="s">
        <v>2293</v>
      </c>
      <c r="H170" s="28">
        <v>44112</v>
      </c>
      <c r="I170" s="22">
        <v>2020</v>
      </c>
      <c r="J170" s="21" t="s">
        <v>1012</v>
      </c>
      <c r="K170" s="21" t="s">
        <v>998</v>
      </c>
      <c r="L170" s="21" t="s">
        <v>2294</v>
      </c>
      <c r="M170" s="21" t="s">
        <v>961</v>
      </c>
      <c r="N170" s="21" t="s">
        <v>2295</v>
      </c>
      <c r="O170" s="21" t="s">
        <v>1203</v>
      </c>
      <c r="P170" s="27">
        <v>1</v>
      </c>
      <c r="Q170" s="27">
        <v>23</v>
      </c>
      <c r="R170" s="21" t="s">
        <v>2296</v>
      </c>
      <c r="S170" s="21" t="s">
        <v>2297</v>
      </c>
      <c r="T170" s="21" t="s">
        <v>994</v>
      </c>
      <c r="U170" s="21" t="s">
        <v>2298</v>
      </c>
    </row>
    <row r="171" spans="1:21" ht="238">
      <c r="A171" s="21" t="s">
        <v>905</v>
      </c>
      <c r="B171" s="21" t="s">
        <v>906</v>
      </c>
      <c r="C171" s="21"/>
      <c r="D171" s="21" t="s">
        <v>180</v>
      </c>
      <c r="E171" s="21" t="s">
        <v>955</v>
      </c>
      <c r="F171" s="21" t="s">
        <v>2299</v>
      </c>
      <c r="G171" s="21" t="s">
        <v>2300</v>
      </c>
      <c r="H171" s="28">
        <v>41936</v>
      </c>
      <c r="I171" s="22">
        <v>2014</v>
      </c>
      <c r="J171" s="21" t="s">
        <v>1012</v>
      </c>
      <c r="K171" s="21" t="s">
        <v>998</v>
      </c>
      <c r="L171" s="21" t="s">
        <v>2301</v>
      </c>
      <c r="M171" s="21" t="s">
        <v>961</v>
      </c>
      <c r="N171" s="21" t="s">
        <v>2302</v>
      </c>
      <c r="O171" s="21" t="s">
        <v>2303</v>
      </c>
      <c r="P171" s="27">
        <v>0</v>
      </c>
      <c r="Q171" s="27">
        <v>31</v>
      </c>
      <c r="R171" s="21" t="s">
        <v>2304</v>
      </c>
      <c r="S171" s="21" t="s">
        <v>2305</v>
      </c>
      <c r="T171" s="21" t="s">
        <v>994</v>
      </c>
      <c r="U171" s="21" t="s">
        <v>2306</v>
      </c>
    </row>
    <row r="172" spans="1:21" ht="140">
      <c r="A172" s="21" t="s">
        <v>905</v>
      </c>
      <c r="B172" s="21" t="s">
        <v>906</v>
      </c>
      <c r="C172" s="21"/>
      <c r="D172" s="21" t="s">
        <v>180</v>
      </c>
      <c r="E172" s="21" t="s">
        <v>955</v>
      </c>
      <c r="F172" s="21" t="s">
        <v>2307</v>
      </c>
      <c r="G172" s="21" t="s">
        <v>2308</v>
      </c>
      <c r="H172" s="28">
        <v>44113</v>
      </c>
      <c r="I172" s="22">
        <v>2020</v>
      </c>
      <c r="J172" s="21" t="s">
        <v>1012</v>
      </c>
      <c r="K172" s="21" t="s">
        <v>998</v>
      </c>
      <c r="L172" s="21" t="s">
        <v>2309</v>
      </c>
      <c r="M172" s="21" t="s">
        <v>1328</v>
      </c>
      <c r="N172" s="21" t="s">
        <v>2310</v>
      </c>
      <c r="O172" s="21" t="s">
        <v>1533</v>
      </c>
      <c r="P172" s="27">
        <v>0</v>
      </c>
      <c r="Q172" s="27">
        <v>15</v>
      </c>
      <c r="R172" s="21" t="s">
        <v>2311</v>
      </c>
      <c r="S172" s="21" t="s">
        <v>2312</v>
      </c>
      <c r="T172" s="21" t="s">
        <v>994</v>
      </c>
      <c r="U172" s="21" t="s">
        <v>2313</v>
      </c>
    </row>
    <row r="173" spans="1:21" ht="56">
      <c r="A173" s="21" t="s">
        <v>905</v>
      </c>
      <c r="B173" s="21" t="s">
        <v>906</v>
      </c>
      <c r="C173" s="21"/>
      <c r="D173" s="21" t="s">
        <v>180</v>
      </c>
      <c r="E173" s="21" t="s">
        <v>955</v>
      </c>
      <c r="F173" s="21" t="s">
        <v>2314</v>
      </c>
      <c r="G173" s="21" t="s">
        <v>2315</v>
      </c>
      <c r="H173" s="28">
        <v>43265</v>
      </c>
      <c r="I173" s="22">
        <v>2018</v>
      </c>
      <c r="J173" s="21" t="s">
        <v>1012</v>
      </c>
      <c r="K173" s="21" t="s">
        <v>1013</v>
      </c>
      <c r="L173" s="21" t="s">
        <v>2316</v>
      </c>
      <c r="M173" s="21" t="s">
        <v>1071</v>
      </c>
      <c r="N173" s="21" t="s">
        <v>1955</v>
      </c>
      <c r="O173" s="21" t="s">
        <v>2317</v>
      </c>
      <c r="P173" s="27">
        <v>0</v>
      </c>
      <c r="Q173" s="27">
        <v>13</v>
      </c>
      <c r="R173" s="21" t="s">
        <v>2318</v>
      </c>
      <c r="S173" s="21" t="s">
        <v>2319</v>
      </c>
      <c r="T173" s="21" t="s">
        <v>966</v>
      </c>
      <c r="U173" s="21" t="s">
        <v>2320</v>
      </c>
    </row>
    <row r="174" spans="1:21" ht="56">
      <c r="A174" s="21" t="s">
        <v>905</v>
      </c>
      <c r="B174" s="21" t="s">
        <v>906</v>
      </c>
      <c r="C174" s="21"/>
      <c r="D174" s="21" t="s">
        <v>180</v>
      </c>
      <c r="E174" s="21" t="s">
        <v>955</v>
      </c>
      <c r="F174" s="21" t="s">
        <v>2321</v>
      </c>
      <c r="G174" s="21" t="s">
        <v>2322</v>
      </c>
      <c r="H174" s="28">
        <v>43265</v>
      </c>
      <c r="I174" s="22">
        <v>2018</v>
      </c>
      <c r="J174" s="21" t="s">
        <v>1012</v>
      </c>
      <c r="K174" s="21" t="s">
        <v>1013</v>
      </c>
      <c r="L174" s="21" t="s">
        <v>2323</v>
      </c>
      <c r="M174" s="21" t="s">
        <v>1071</v>
      </c>
      <c r="N174" s="21" t="s">
        <v>1955</v>
      </c>
      <c r="O174" s="21" t="s">
        <v>2324</v>
      </c>
      <c r="P174" s="27">
        <v>0</v>
      </c>
      <c r="Q174" s="27">
        <v>11</v>
      </c>
      <c r="R174" s="21" t="s">
        <v>2325</v>
      </c>
      <c r="S174" s="21" t="s">
        <v>2326</v>
      </c>
      <c r="T174" s="21" t="s">
        <v>966</v>
      </c>
      <c r="U174" s="21" t="s">
        <v>2327</v>
      </c>
    </row>
    <row r="175" spans="1:21" ht="112">
      <c r="A175" s="21" t="s">
        <v>905</v>
      </c>
      <c r="B175" s="21" t="s">
        <v>906</v>
      </c>
      <c r="C175" s="21"/>
      <c r="D175" s="21" t="s">
        <v>180</v>
      </c>
      <c r="E175" s="21" t="s">
        <v>955</v>
      </c>
      <c r="F175" s="21" t="s">
        <v>2328</v>
      </c>
      <c r="G175" s="21" t="s">
        <v>2329</v>
      </c>
      <c r="H175" s="28">
        <v>44091</v>
      </c>
      <c r="I175" s="22">
        <v>2020</v>
      </c>
      <c r="J175" s="21" t="s">
        <v>1012</v>
      </c>
      <c r="K175" s="21" t="s">
        <v>998</v>
      </c>
      <c r="L175" s="21" t="s">
        <v>2330</v>
      </c>
      <c r="M175" s="21" t="s">
        <v>2331</v>
      </c>
      <c r="N175" s="21" t="s">
        <v>2332</v>
      </c>
      <c r="O175" s="21" t="s">
        <v>2333</v>
      </c>
      <c r="P175" s="27">
        <v>0</v>
      </c>
      <c r="Q175" s="27">
        <v>12</v>
      </c>
      <c r="R175" s="21" t="s">
        <v>2334</v>
      </c>
      <c r="S175" s="21" t="s">
        <v>2335</v>
      </c>
      <c r="T175" s="21" t="s">
        <v>994</v>
      </c>
      <c r="U175" s="21" t="s">
        <v>2336</v>
      </c>
    </row>
    <row r="176" spans="1:21" ht="84">
      <c r="A176" s="21" t="s">
        <v>905</v>
      </c>
      <c r="B176" s="21" t="s">
        <v>906</v>
      </c>
      <c r="C176" s="21"/>
      <c r="D176" s="21" t="s">
        <v>180</v>
      </c>
      <c r="E176" s="21" t="s">
        <v>955</v>
      </c>
      <c r="F176" s="21" t="s">
        <v>2337</v>
      </c>
      <c r="G176" s="21" t="s">
        <v>2338</v>
      </c>
      <c r="H176" s="28">
        <v>44091</v>
      </c>
      <c r="I176" s="22">
        <v>2020</v>
      </c>
      <c r="J176" s="21" t="s">
        <v>1012</v>
      </c>
      <c r="K176" s="21" t="s">
        <v>998</v>
      </c>
      <c r="L176" s="21" t="s">
        <v>2339</v>
      </c>
      <c r="M176" s="21" t="s">
        <v>961</v>
      </c>
      <c r="N176" s="21" t="s">
        <v>2340</v>
      </c>
      <c r="O176" s="21" t="s">
        <v>2341</v>
      </c>
      <c r="P176" s="27">
        <v>0</v>
      </c>
      <c r="Q176" s="27">
        <v>12</v>
      </c>
      <c r="R176" s="21" t="s">
        <v>2342</v>
      </c>
      <c r="S176" s="21" t="s">
        <v>2343</v>
      </c>
      <c r="T176" s="21" t="s">
        <v>1148</v>
      </c>
      <c r="U176" s="21" t="s">
        <v>2344</v>
      </c>
    </row>
    <row r="177" spans="1:21" ht="98">
      <c r="A177" s="21" t="s">
        <v>905</v>
      </c>
      <c r="B177" s="21" t="s">
        <v>906</v>
      </c>
      <c r="C177" s="21"/>
      <c r="D177" s="21" t="s">
        <v>180</v>
      </c>
      <c r="E177" s="21" t="s">
        <v>955</v>
      </c>
      <c r="F177" s="21" t="s">
        <v>2345</v>
      </c>
      <c r="G177" s="21" t="s">
        <v>2346</v>
      </c>
      <c r="H177" s="28">
        <v>43962</v>
      </c>
      <c r="I177" s="22">
        <v>2020</v>
      </c>
      <c r="J177" s="21" t="s">
        <v>1012</v>
      </c>
      <c r="K177" s="21" t="s">
        <v>998</v>
      </c>
      <c r="L177" s="21" t="s">
        <v>2347</v>
      </c>
      <c r="M177" s="21" t="s">
        <v>961</v>
      </c>
      <c r="N177" s="21" t="s">
        <v>2348</v>
      </c>
      <c r="O177" s="21" t="s">
        <v>2349</v>
      </c>
      <c r="P177" s="27">
        <v>0</v>
      </c>
      <c r="Q177" s="27">
        <v>14</v>
      </c>
      <c r="R177" s="21" t="s">
        <v>2350</v>
      </c>
      <c r="S177" s="21" t="s">
        <v>2351</v>
      </c>
      <c r="T177" s="21" t="s">
        <v>994</v>
      </c>
      <c r="U177" s="21" t="s">
        <v>2352</v>
      </c>
    </row>
    <row r="178" spans="1:21" ht="280">
      <c r="A178" s="21" t="s">
        <v>905</v>
      </c>
      <c r="B178" s="21" t="s">
        <v>906</v>
      </c>
      <c r="C178" s="21"/>
      <c r="D178" s="21" t="s">
        <v>180</v>
      </c>
      <c r="E178" s="21" t="s">
        <v>955</v>
      </c>
      <c r="F178" s="21" t="s">
        <v>2353</v>
      </c>
      <c r="G178" s="21" t="s">
        <v>2354</v>
      </c>
      <c r="H178" s="28">
        <v>44173</v>
      </c>
      <c r="I178" s="22">
        <v>2020</v>
      </c>
      <c r="J178" s="21" t="s">
        <v>1012</v>
      </c>
      <c r="K178" s="21" t="s">
        <v>998</v>
      </c>
      <c r="L178" s="21" t="s">
        <v>2355</v>
      </c>
      <c r="M178" s="21" t="s">
        <v>989</v>
      </c>
      <c r="N178" s="21" t="s">
        <v>2356</v>
      </c>
      <c r="O178" s="21" t="s">
        <v>2357</v>
      </c>
      <c r="P178" s="27">
        <v>0</v>
      </c>
      <c r="Q178" s="27">
        <v>23</v>
      </c>
      <c r="R178" s="21" t="s">
        <v>2358</v>
      </c>
      <c r="S178" s="21" t="s">
        <v>2359</v>
      </c>
      <c r="T178" s="21" t="s">
        <v>994</v>
      </c>
      <c r="U178" s="21" t="s">
        <v>2360</v>
      </c>
    </row>
    <row r="179" spans="1:21" ht="112">
      <c r="A179" s="21" t="s">
        <v>905</v>
      </c>
      <c r="B179" s="21" t="s">
        <v>906</v>
      </c>
      <c r="C179" s="21"/>
      <c r="D179" s="21" t="s">
        <v>180</v>
      </c>
      <c r="E179" s="21" t="s">
        <v>955</v>
      </c>
      <c r="F179" s="21" t="s">
        <v>2361</v>
      </c>
      <c r="G179" s="21" t="s">
        <v>2362</v>
      </c>
      <c r="H179" s="28">
        <v>43987</v>
      </c>
      <c r="I179" s="22">
        <v>2020</v>
      </c>
      <c r="J179" s="21" t="s">
        <v>1012</v>
      </c>
      <c r="K179" s="21" t="s">
        <v>998</v>
      </c>
      <c r="L179" s="21" t="s">
        <v>2363</v>
      </c>
      <c r="M179" s="21" t="s">
        <v>961</v>
      </c>
      <c r="N179" s="21" t="s">
        <v>2364</v>
      </c>
      <c r="O179" s="21" t="s">
        <v>2365</v>
      </c>
      <c r="P179" s="27">
        <v>0</v>
      </c>
      <c r="Q179" s="27">
        <v>11</v>
      </c>
      <c r="R179" s="21" t="s">
        <v>2366</v>
      </c>
      <c r="S179" s="21" t="s">
        <v>2367</v>
      </c>
      <c r="T179" s="21" t="s">
        <v>1148</v>
      </c>
      <c r="U179" s="21" t="s">
        <v>2368</v>
      </c>
    </row>
    <row r="180" spans="1:21" ht="70">
      <c r="A180" s="21" t="s">
        <v>905</v>
      </c>
      <c r="B180" s="21" t="s">
        <v>906</v>
      </c>
      <c r="C180" s="21"/>
      <c r="D180" s="21" t="s">
        <v>180</v>
      </c>
      <c r="E180" s="21" t="s">
        <v>955</v>
      </c>
      <c r="F180" s="21" t="s">
        <v>2369</v>
      </c>
      <c r="G180" s="21" t="s">
        <v>2370</v>
      </c>
      <c r="H180" s="28">
        <v>43929</v>
      </c>
      <c r="I180" s="22">
        <v>2020</v>
      </c>
      <c r="J180" s="21" t="s">
        <v>1012</v>
      </c>
      <c r="K180" s="21" t="s">
        <v>998</v>
      </c>
      <c r="L180" s="21" t="s">
        <v>2371</v>
      </c>
      <c r="M180" s="21" t="s">
        <v>961</v>
      </c>
      <c r="N180" s="21" t="s">
        <v>2372</v>
      </c>
      <c r="O180" s="21" t="s">
        <v>2373</v>
      </c>
      <c r="P180" s="27">
        <v>4</v>
      </c>
      <c r="Q180" s="27">
        <v>6</v>
      </c>
      <c r="R180" s="21" t="s">
        <v>2374</v>
      </c>
      <c r="S180" s="21" t="s">
        <v>2375</v>
      </c>
      <c r="T180" s="21" t="s">
        <v>994</v>
      </c>
      <c r="U180" s="21" t="s">
        <v>2376</v>
      </c>
    </row>
    <row r="181" spans="1:21" ht="42">
      <c r="A181" s="21" t="s">
        <v>905</v>
      </c>
      <c r="B181" s="21" t="s">
        <v>906</v>
      </c>
      <c r="C181" s="21"/>
      <c r="D181" s="21" t="s">
        <v>180</v>
      </c>
      <c r="E181" s="21" t="s">
        <v>955</v>
      </c>
      <c r="F181" s="21" t="s">
        <v>2377</v>
      </c>
      <c r="G181" s="21" t="s">
        <v>2378</v>
      </c>
      <c r="H181" s="28">
        <v>44020</v>
      </c>
      <c r="I181" s="22">
        <v>2020</v>
      </c>
      <c r="J181" s="21" t="s">
        <v>1012</v>
      </c>
      <c r="K181" s="21" t="s">
        <v>998</v>
      </c>
      <c r="L181" s="21" t="s">
        <v>2379</v>
      </c>
      <c r="M181" s="21" t="s">
        <v>961</v>
      </c>
      <c r="N181" s="21" t="s">
        <v>2380</v>
      </c>
      <c r="O181" s="21" t="s">
        <v>1400</v>
      </c>
      <c r="P181" s="27">
        <v>0</v>
      </c>
      <c r="Q181" s="27">
        <v>6</v>
      </c>
      <c r="R181" s="21" t="s">
        <v>2381</v>
      </c>
      <c r="S181" s="21" t="s">
        <v>2382</v>
      </c>
      <c r="T181" s="21" t="s">
        <v>994</v>
      </c>
      <c r="U181" s="21" t="s">
        <v>2383</v>
      </c>
    </row>
    <row r="182" spans="1:21" ht="42">
      <c r="A182" s="21" t="s">
        <v>905</v>
      </c>
      <c r="B182" s="21" t="s">
        <v>906</v>
      </c>
      <c r="C182" s="21"/>
      <c r="D182" s="21" t="s">
        <v>180</v>
      </c>
      <c r="E182" s="21" t="s">
        <v>955</v>
      </c>
      <c r="F182" s="21" t="s">
        <v>2384</v>
      </c>
      <c r="G182" s="21" t="s">
        <v>2385</v>
      </c>
      <c r="H182" s="28">
        <v>43265</v>
      </c>
      <c r="I182" s="22">
        <v>2018</v>
      </c>
      <c r="J182" s="21" t="s">
        <v>1012</v>
      </c>
      <c r="K182" s="21" t="s">
        <v>1013</v>
      </c>
      <c r="L182" s="21" t="s">
        <v>2386</v>
      </c>
      <c r="M182" s="21" t="s">
        <v>1071</v>
      </c>
      <c r="N182" s="21" t="s">
        <v>1955</v>
      </c>
      <c r="O182" s="21" t="s">
        <v>2387</v>
      </c>
      <c r="P182" s="27">
        <v>0</v>
      </c>
      <c r="Q182" s="27">
        <v>13</v>
      </c>
      <c r="R182" s="21" t="s">
        <v>2388</v>
      </c>
      <c r="S182" s="21" t="s">
        <v>2389</v>
      </c>
      <c r="T182" s="21" t="s">
        <v>966</v>
      </c>
      <c r="U182" s="21" t="s">
        <v>2390</v>
      </c>
    </row>
    <row r="183" spans="1:21" ht="56">
      <c r="A183" s="21" t="s">
        <v>905</v>
      </c>
      <c r="B183" s="21" t="s">
        <v>906</v>
      </c>
      <c r="C183" s="21"/>
      <c r="D183" s="21" t="s">
        <v>180</v>
      </c>
      <c r="E183" s="21" t="s">
        <v>955</v>
      </c>
      <c r="F183" s="21" t="s">
        <v>2391</v>
      </c>
      <c r="G183" s="21" t="s">
        <v>2392</v>
      </c>
      <c r="H183" s="28">
        <v>43795</v>
      </c>
      <c r="I183" s="22">
        <v>2019</v>
      </c>
      <c r="J183" s="21" t="s">
        <v>1012</v>
      </c>
      <c r="K183" s="21" t="s">
        <v>998</v>
      </c>
      <c r="L183" s="21" t="s">
        <v>2393</v>
      </c>
      <c r="M183" s="21" t="s">
        <v>961</v>
      </c>
      <c r="N183" s="21" t="s">
        <v>2394</v>
      </c>
      <c r="O183" s="21" t="s">
        <v>2395</v>
      </c>
      <c r="P183" s="27">
        <v>1</v>
      </c>
      <c r="Q183" s="27">
        <v>7</v>
      </c>
      <c r="R183" s="21" t="s">
        <v>2396</v>
      </c>
      <c r="S183" s="21" t="s">
        <v>1156</v>
      </c>
      <c r="T183" s="21" t="s">
        <v>1148</v>
      </c>
      <c r="U183" s="21" t="s">
        <v>2397</v>
      </c>
    </row>
    <row r="184" spans="1:21" ht="140">
      <c r="A184" s="21" t="s">
        <v>905</v>
      </c>
      <c r="B184" s="21" t="s">
        <v>906</v>
      </c>
      <c r="C184" s="21"/>
      <c r="D184" s="21" t="s">
        <v>180</v>
      </c>
      <c r="E184" s="21" t="s">
        <v>955</v>
      </c>
      <c r="F184" s="21" t="s">
        <v>2398</v>
      </c>
      <c r="G184" s="21" t="s">
        <v>2399</v>
      </c>
      <c r="H184" s="28">
        <v>44006</v>
      </c>
      <c r="I184" s="22">
        <v>2020</v>
      </c>
      <c r="J184" s="21" t="s">
        <v>1012</v>
      </c>
      <c r="K184" s="21" t="s">
        <v>998</v>
      </c>
      <c r="L184" s="21" t="s">
        <v>2400</v>
      </c>
      <c r="M184" s="21" t="s">
        <v>1054</v>
      </c>
      <c r="N184" s="21" t="s">
        <v>2310</v>
      </c>
      <c r="O184" s="21" t="s">
        <v>1472</v>
      </c>
      <c r="P184" s="27">
        <v>0</v>
      </c>
      <c r="Q184" s="27">
        <v>16</v>
      </c>
      <c r="R184" s="21" t="s">
        <v>2401</v>
      </c>
      <c r="S184" s="21" t="s">
        <v>2402</v>
      </c>
      <c r="T184" s="21" t="s">
        <v>994</v>
      </c>
      <c r="U184" s="21" t="s">
        <v>2403</v>
      </c>
    </row>
    <row r="185" spans="1:21" ht="252">
      <c r="A185" s="21" t="s">
        <v>905</v>
      </c>
      <c r="B185" s="21" t="s">
        <v>906</v>
      </c>
      <c r="C185" s="21"/>
      <c r="D185" s="21" t="s">
        <v>180</v>
      </c>
      <c r="E185" s="21" t="s">
        <v>955</v>
      </c>
      <c r="F185" s="21" t="s">
        <v>2404</v>
      </c>
      <c r="G185" s="21" t="s">
        <v>2405</v>
      </c>
      <c r="H185" s="28">
        <v>44629</v>
      </c>
      <c r="I185" s="22">
        <v>2022</v>
      </c>
      <c r="J185" s="21" t="s">
        <v>1012</v>
      </c>
      <c r="K185" s="21" t="s">
        <v>998</v>
      </c>
      <c r="L185" s="21" t="s">
        <v>2406</v>
      </c>
      <c r="M185" s="21" t="s">
        <v>961</v>
      </c>
      <c r="N185" s="21" t="s">
        <v>2407</v>
      </c>
      <c r="O185" s="21" t="s">
        <v>2408</v>
      </c>
      <c r="P185" s="27">
        <v>9</v>
      </c>
      <c r="Q185" s="27">
        <v>16</v>
      </c>
      <c r="R185" s="21" t="s">
        <v>2409</v>
      </c>
      <c r="S185" s="21" t="s">
        <v>2410</v>
      </c>
      <c r="T185" s="21" t="s">
        <v>994</v>
      </c>
      <c r="U185" s="21" t="s">
        <v>2411</v>
      </c>
    </row>
    <row r="186" spans="1:21" ht="70">
      <c r="A186" s="21" t="s">
        <v>905</v>
      </c>
      <c r="B186" s="21" t="s">
        <v>906</v>
      </c>
      <c r="C186" s="21"/>
      <c r="D186" s="21" t="s">
        <v>180</v>
      </c>
      <c r="E186" s="21" t="s">
        <v>955</v>
      </c>
      <c r="F186" s="21" t="s">
        <v>2412</v>
      </c>
      <c r="G186" s="21" t="s">
        <v>2413</v>
      </c>
      <c r="H186" s="28">
        <v>42264</v>
      </c>
      <c r="I186" s="22">
        <v>2015</v>
      </c>
      <c r="J186" s="21" t="s">
        <v>1012</v>
      </c>
      <c r="K186" s="21" t="s">
        <v>998</v>
      </c>
      <c r="L186" s="21" t="s">
        <v>2414</v>
      </c>
      <c r="M186" s="21" t="s">
        <v>961</v>
      </c>
      <c r="N186" s="21" t="s">
        <v>2415</v>
      </c>
      <c r="O186" s="21" t="s">
        <v>2416</v>
      </c>
      <c r="P186" s="27">
        <v>0</v>
      </c>
      <c r="Q186" s="27">
        <v>71</v>
      </c>
      <c r="R186" s="21" t="s">
        <v>2417</v>
      </c>
      <c r="S186" s="21" t="s">
        <v>2418</v>
      </c>
      <c r="T186" s="21" t="s">
        <v>994</v>
      </c>
      <c r="U186" s="21" t="s">
        <v>2419</v>
      </c>
    </row>
    <row r="187" spans="1:21" ht="84">
      <c r="A187" s="21" t="s">
        <v>905</v>
      </c>
      <c r="B187" s="21" t="s">
        <v>906</v>
      </c>
      <c r="C187" s="21"/>
      <c r="D187" s="21" t="s">
        <v>180</v>
      </c>
      <c r="E187" s="21" t="s">
        <v>955</v>
      </c>
      <c r="F187" s="21" t="s">
        <v>2420</v>
      </c>
      <c r="G187" s="21" t="s">
        <v>2421</v>
      </c>
      <c r="H187" s="28">
        <v>44032</v>
      </c>
      <c r="I187" s="22">
        <v>2020</v>
      </c>
      <c r="J187" s="21" t="s">
        <v>1012</v>
      </c>
      <c r="K187" s="21" t="s">
        <v>998</v>
      </c>
      <c r="L187" s="21" t="s">
        <v>2422</v>
      </c>
      <c r="M187" s="21" t="s">
        <v>1071</v>
      </c>
      <c r="N187" s="21" t="s">
        <v>2423</v>
      </c>
      <c r="O187" s="21" t="s">
        <v>2424</v>
      </c>
      <c r="P187" s="27">
        <v>0</v>
      </c>
      <c r="Q187" s="27">
        <v>11</v>
      </c>
      <c r="R187" s="21" t="s">
        <v>2425</v>
      </c>
      <c r="S187" s="21" t="s">
        <v>2426</v>
      </c>
      <c r="T187" s="21" t="s">
        <v>1148</v>
      </c>
      <c r="U187" s="21" t="s">
        <v>2427</v>
      </c>
    </row>
    <row r="188" spans="1:21" ht="252">
      <c r="A188" s="21" t="s">
        <v>905</v>
      </c>
      <c r="B188" s="21" t="s">
        <v>906</v>
      </c>
      <c r="C188" s="21"/>
      <c r="D188" s="21" t="s">
        <v>180</v>
      </c>
      <c r="E188" s="21" t="s">
        <v>955</v>
      </c>
      <c r="F188" s="21" t="s">
        <v>2428</v>
      </c>
      <c r="G188" s="21" t="s">
        <v>2429</v>
      </c>
      <c r="H188" s="28">
        <v>44432</v>
      </c>
      <c r="I188" s="22">
        <v>2021</v>
      </c>
      <c r="J188" s="21" t="s">
        <v>1012</v>
      </c>
      <c r="K188" s="21" t="s">
        <v>998</v>
      </c>
      <c r="L188" s="21" t="s">
        <v>2430</v>
      </c>
      <c r="M188" s="21" t="s">
        <v>961</v>
      </c>
      <c r="N188" s="21" t="s">
        <v>2431</v>
      </c>
      <c r="O188" s="21" t="s">
        <v>1815</v>
      </c>
      <c r="P188" s="27">
        <v>0</v>
      </c>
      <c r="Q188" s="27">
        <v>11</v>
      </c>
      <c r="R188" s="21" t="s">
        <v>2432</v>
      </c>
      <c r="S188" s="21" t="s">
        <v>2433</v>
      </c>
      <c r="T188" s="21" t="s">
        <v>994</v>
      </c>
      <c r="U188" s="21" t="s">
        <v>2434</v>
      </c>
    </row>
    <row r="189" spans="1:21" ht="84">
      <c r="A189" s="21" t="s">
        <v>905</v>
      </c>
      <c r="B189" s="21" t="s">
        <v>906</v>
      </c>
      <c r="C189" s="21"/>
      <c r="D189" s="21" t="s">
        <v>180</v>
      </c>
      <c r="E189" s="21" t="s">
        <v>955</v>
      </c>
      <c r="F189" s="21" t="s">
        <v>2435</v>
      </c>
      <c r="G189" s="21" t="s">
        <v>2436</v>
      </c>
      <c r="H189" s="28">
        <v>43440</v>
      </c>
      <c r="I189" s="22">
        <v>2018</v>
      </c>
      <c r="J189" s="21" t="s">
        <v>1012</v>
      </c>
      <c r="K189" s="21" t="s">
        <v>1013</v>
      </c>
      <c r="L189" s="21" t="s">
        <v>2437</v>
      </c>
      <c r="M189" s="21" t="s">
        <v>971</v>
      </c>
      <c r="N189" s="21" t="s">
        <v>2438</v>
      </c>
      <c r="O189" s="21" t="s">
        <v>2439</v>
      </c>
      <c r="P189" s="27">
        <v>0</v>
      </c>
      <c r="Q189" s="27">
        <v>5</v>
      </c>
      <c r="R189" s="21" t="s">
        <v>2440</v>
      </c>
      <c r="S189" s="21" t="s">
        <v>2441</v>
      </c>
      <c r="T189" s="21" t="s">
        <v>966</v>
      </c>
      <c r="U189" s="21" t="s">
        <v>2442</v>
      </c>
    </row>
    <row r="190" spans="1:21" ht="56">
      <c r="A190" s="21" t="s">
        <v>905</v>
      </c>
      <c r="B190" s="21" t="s">
        <v>906</v>
      </c>
      <c r="C190" s="21"/>
      <c r="D190" s="21" t="s">
        <v>180</v>
      </c>
      <c r="E190" s="21" t="s">
        <v>955</v>
      </c>
      <c r="F190" s="21" t="s">
        <v>2443</v>
      </c>
      <c r="G190" s="21" t="s">
        <v>2444</v>
      </c>
      <c r="H190" s="28">
        <v>42933</v>
      </c>
      <c r="I190" s="22">
        <v>2017</v>
      </c>
      <c r="J190" s="21" t="s">
        <v>1012</v>
      </c>
      <c r="K190" s="21" t="s">
        <v>1013</v>
      </c>
      <c r="L190" s="21" t="s">
        <v>2445</v>
      </c>
      <c r="M190" s="21" t="s">
        <v>961</v>
      </c>
      <c r="N190" s="21" t="s">
        <v>2446</v>
      </c>
      <c r="O190" s="21" t="s">
        <v>2447</v>
      </c>
      <c r="P190" s="27">
        <v>0</v>
      </c>
      <c r="Q190" s="27">
        <v>26</v>
      </c>
      <c r="R190" s="21" t="s">
        <v>2448</v>
      </c>
      <c r="S190" s="21" t="s">
        <v>2449</v>
      </c>
      <c r="T190" s="21" t="s">
        <v>966</v>
      </c>
      <c r="U190" s="21" t="s">
        <v>2450</v>
      </c>
    </row>
    <row r="191" spans="1:21" ht="70">
      <c r="A191" s="21" t="s">
        <v>905</v>
      </c>
      <c r="B191" s="21" t="s">
        <v>906</v>
      </c>
      <c r="C191" s="21"/>
      <c r="D191" s="21" t="s">
        <v>180</v>
      </c>
      <c r="E191" s="21" t="s">
        <v>955</v>
      </c>
      <c r="F191" s="21" t="s">
        <v>2451</v>
      </c>
      <c r="G191" s="21" t="s">
        <v>2452</v>
      </c>
      <c r="H191" s="28">
        <v>40890</v>
      </c>
      <c r="I191" s="22">
        <v>2011</v>
      </c>
      <c r="J191" s="21" t="s">
        <v>958</v>
      </c>
      <c r="K191" s="21" t="s">
        <v>959</v>
      </c>
      <c r="L191" s="21" t="s">
        <v>2453</v>
      </c>
      <c r="M191" s="21" t="s">
        <v>2454</v>
      </c>
      <c r="N191" s="21" t="s">
        <v>2455</v>
      </c>
      <c r="O191" s="21" t="s">
        <v>2456</v>
      </c>
      <c r="P191" s="27">
        <v>0</v>
      </c>
      <c r="Q191" s="27">
        <v>47</v>
      </c>
      <c r="R191" s="21" t="s">
        <v>2457</v>
      </c>
      <c r="S191" s="21" t="s">
        <v>2458</v>
      </c>
      <c r="T191" s="21" t="s">
        <v>966</v>
      </c>
      <c r="U191" s="21" t="s">
        <v>2459</v>
      </c>
    </row>
    <row r="192" spans="1:21" ht="98">
      <c r="A192" s="21" t="s">
        <v>905</v>
      </c>
      <c r="B192" s="21" t="s">
        <v>906</v>
      </c>
      <c r="C192" s="21"/>
      <c r="D192" s="21" t="s">
        <v>180</v>
      </c>
      <c r="E192" s="21" t="s">
        <v>955</v>
      </c>
      <c r="F192" s="21" t="s">
        <v>2460</v>
      </c>
      <c r="G192" s="21" t="s">
        <v>2461</v>
      </c>
      <c r="H192" s="28">
        <v>43003</v>
      </c>
      <c r="I192" s="22">
        <v>2017</v>
      </c>
      <c r="J192" s="21" t="s">
        <v>1012</v>
      </c>
      <c r="K192" s="21" t="s">
        <v>998</v>
      </c>
      <c r="L192" s="21" t="s">
        <v>2462</v>
      </c>
      <c r="M192" s="21" t="s">
        <v>961</v>
      </c>
      <c r="N192" s="21" t="s">
        <v>2463</v>
      </c>
      <c r="O192" s="21" t="s">
        <v>2464</v>
      </c>
      <c r="P192" s="27">
        <v>3</v>
      </c>
      <c r="Q192" s="27">
        <v>9</v>
      </c>
      <c r="R192" s="21" t="s">
        <v>2465</v>
      </c>
      <c r="S192" s="21" t="s">
        <v>2466</v>
      </c>
      <c r="T192" s="21" t="s">
        <v>1148</v>
      </c>
      <c r="U192" s="21" t="s">
        <v>2467</v>
      </c>
    </row>
    <row r="193" spans="1:21" ht="70">
      <c r="A193" s="21" t="s">
        <v>905</v>
      </c>
      <c r="B193" s="21" t="s">
        <v>906</v>
      </c>
      <c r="C193" s="21"/>
      <c r="D193" s="21" t="s">
        <v>180</v>
      </c>
      <c r="E193" s="21" t="s">
        <v>955</v>
      </c>
      <c r="F193" s="21" t="s">
        <v>2468</v>
      </c>
      <c r="G193" s="21" t="s">
        <v>2469</v>
      </c>
      <c r="H193" s="28">
        <v>44006</v>
      </c>
      <c r="I193" s="22">
        <v>2020</v>
      </c>
      <c r="J193" s="21" t="s">
        <v>1012</v>
      </c>
      <c r="K193" s="21" t="s">
        <v>998</v>
      </c>
      <c r="L193" s="21" t="s">
        <v>2470</v>
      </c>
      <c r="M193" s="21" t="s">
        <v>1328</v>
      </c>
      <c r="N193" s="21" t="s">
        <v>2310</v>
      </c>
      <c r="O193" s="21" t="s">
        <v>2471</v>
      </c>
      <c r="P193" s="27">
        <v>0</v>
      </c>
      <c r="Q193" s="27">
        <v>6</v>
      </c>
      <c r="R193" s="21" t="s">
        <v>2472</v>
      </c>
      <c r="S193" s="21" t="s">
        <v>2473</v>
      </c>
      <c r="T193" s="21" t="s">
        <v>994</v>
      </c>
      <c r="U193" s="21" t="s">
        <v>2474</v>
      </c>
    </row>
    <row r="194" spans="1:21" ht="98">
      <c r="A194" s="21" t="s">
        <v>905</v>
      </c>
      <c r="B194" s="21" t="s">
        <v>906</v>
      </c>
      <c r="C194" s="21"/>
      <c r="D194" s="21" t="s">
        <v>180</v>
      </c>
      <c r="E194" s="21" t="s">
        <v>955</v>
      </c>
      <c r="F194" s="21" t="s">
        <v>2475</v>
      </c>
      <c r="G194" s="21" t="s">
        <v>2476</v>
      </c>
      <c r="H194" s="28">
        <v>44505</v>
      </c>
      <c r="I194" s="22">
        <v>2021</v>
      </c>
      <c r="J194" s="21" t="s">
        <v>1012</v>
      </c>
      <c r="K194" s="21" t="s">
        <v>998</v>
      </c>
      <c r="L194" s="21" t="s">
        <v>2477</v>
      </c>
      <c r="M194" s="21" t="s">
        <v>1071</v>
      </c>
      <c r="N194" s="21" t="s">
        <v>2478</v>
      </c>
      <c r="O194" s="21" t="s">
        <v>2479</v>
      </c>
      <c r="P194" s="27">
        <v>3</v>
      </c>
      <c r="Q194" s="27">
        <v>10</v>
      </c>
      <c r="R194" s="21" t="s">
        <v>2480</v>
      </c>
      <c r="S194" s="21" t="s">
        <v>2481</v>
      </c>
      <c r="T194" s="21" t="s">
        <v>994</v>
      </c>
      <c r="U194" s="21" t="s">
        <v>2482</v>
      </c>
    </row>
    <row r="195" spans="1:21" ht="70">
      <c r="A195" s="21" t="s">
        <v>905</v>
      </c>
      <c r="B195" s="21" t="s">
        <v>906</v>
      </c>
      <c r="C195" s="21"/>
      <c r="D195" s="21" t="s">
        <v>180</v>
      </c>
      <c r="E195" s="21" t="s">
        <v>955</v>
      </c>
      <c r="F195" s="21" t="s">
        <v>2483</v>
      </c>
      <c r="G195" s="21" t="s">
        <v>2484</v>
      </c>
      <c r="H195" s="28">
        <v>44006</v>
      </c>
      <c r="I195" s="22">
        <v>2020</v>
      </c>
      <c r="J195" s="21" t="s">
        <v>1012</v>
      </c>
      <c r="K195" s="21" t="s">
        <v>998</v>
      </c>
      <c r="L195" s="21" t="s">
        <v>2485</v>
      </c>
      <c r="M195" s="21" t="s">
        <v>1328</v>
      </c>
      <c r="N195" s="21" t="s">
        <v>2310</v>
      </c>
      <c r="O195" s="21" t="s">
        <v>2486</v>
      </c>
      <c r="P195" s="27">
        <v>0</v>
      </c>
      <c r="Q195" s="27">
        <v>8</v>
      </c>
      <c r="R195" s="21" t="s">
        <v>2487</v>
      </c>
      <c r="S195" s="21" t="s">
        <v>2488</v>
      </c>
      <c r="T195" s="21" t="s">
        <v>994</v>
      </c>
      <c r="U195" s="21" t="s">
        <v>2489</v>
      </c>
    </row>
    <row r="196" spans="1:21" ht="70">
      <c r="A196" s="21" t="s">
        <v>905</v>
      </c>
      <c r="B196" s="21" t="s">
        <v>906</v>
      </c>
      <c r="C196" s="21"/>
      <c r="D196" s="21" t="s">
        <v>180</v>
      </c>
      <c r="E196" s="21" t="s">
        <v>955</v>
      </c>
      <c r="F196" s="21" t="s">
        <v>2490</v>
      </c>
      <c r="G196" s="21" t="s">
        <v>2491</v>
      </c>
      <c r="H196" s="28">
        <v>42264</v>
      </c>
      <c r="I196" s="22">
        <v>2015</v>
      </c>
      <c r="J196" s="21" t="s">
        <v>1012</v>
      </c>
      <c r="K196" s="21" t="s">
        <v>1013</v>
      </c>
      <c r="L196" s="21" t="s">
        <v>2492</v>
      </c>
      <c r="M196" s="21" t="s">
        <v>961</v>
      </c>
      <c r="N196" s="21" t="s">
        <v>2493</v>
      </c>
      <c r="O196" s="21" t="s">
        <v>2494</v>
      </c>
      <c r="P196" s="27">
        <v>0</v>
      </c>
      <c r="Q196" s="27">
        <v>18</v>
      </c>
      <c r="R196" s="21" t="s">
        <v>2495</v>
      </c>
      <c r="S196" s="21" t="s">
        <v>2496</v>
      </c>
      <c r="T196" s="21" t="s">
        <v>966</v>
      </c>
      <c r="U196" s="21" t="s">
        <v>2497</v>
      </c>
    </row>
    <row r="197" spans="1:21" ht="168">
      <c r="A197" s="21" t="s">
        <v>905</v>
      </c>
      <c r="B197" s="21" t="s">
        <v>906</v>
      </c>
      <c r="C197" s="21"/>
      <c r="D197" s="21" t="s">
        <v>180</v>
      </c>
      <c r="E197" s="21" t="s">
        <v>955</v>
      </c>
      <c r="F197" s="21" t="s">
        <v>2498</v>
      </c>
      <c r="G197" s="21" t="s">
        <v>2499</v>
      </c>
      <c r="H197" s="28">
        <v>44518</v>
      </c>
      <c r="I197" s="22">
        <v>2021</v>
      </c>
      <c r="J197" s="21" t="s">
        <v>1012</v>
      </c>
      <c r="K197" s="21" t="s">
        <v>998</v>
      </c>
      <c r="L197" s="21" t="s">
        <v>2500</v>
      </c>
      <c r="M197" s="21" t="s">
        <v>961</v>
      </c>
      <c r="N197" s="21" t="s">
        <v>2501</v>
      </c>
      <c r="O197" s="21" t="s">
        <v>2502</v>
      </c>
      <c r="P197" s="27">
        <v>0</v>
      </c>
      <c r="Q197" s="27">
        <v>19</v>
      </c>
      <c r="R197" s="21" t="s">
        <v>2503</v>
      </c>
      <c r="S197" s="21" t="s">
        <v>2504</v>
      </c>
      <c r="T197" s="21" t="s">
        <v>994</v>
      </c>
      <c r="U197" s="21" t="s">
        <v>2505</v>
      </c>
    </row>
    <row r="198" spans="1:21" ht="42">
      <c r="A198" s="21" t="s">
        <v>905</v>
      </c>
      <c r="B198" s="21" t="s">
        <v>906</v>
      </c>
      <c r="C198" s="21"/>
      <c r="D198" s="21" t="s">
        <v>180</v>
      </c>
      <c r="E198" s="21" t="s">
        <v>955</v>
      </c>
      <c r="F198" s="21" t="s">
        <v>2506</v>
      </c>
      <c r="G198" s="21" t="s">
        <v>2507</v>
      </c>
      <c r="H198" s="28">
        <v>43950</v>
      </c>
      <c r="I198" s="22">
        <v>2020</v>
      </c>
      <c r="J198" s="21" t="s">
        <v>1012</v>
      </c>
      <c r="K198" s="21" t="s">
        <v>998</v>
      </c>
      <c r="L198" s="21" t="s">
        <v>2508</v>
      </c>
      <c r="M198" s="21" t="s">
        <v>961</v>
      </c>
      <c r="N198" s="21" t="s">
        <v>2509</v>
      </c>
      <c r="O198" s="21" t="s">
        <v>2510</v>
      </c>
      <c r="P198" s="27">
        <v>1</v>
      </c>
      <c r="Q198" s="27">
        <v>2</v>
      </c>
      <c r="R198" s="21" t="s">
        <v>2511</v>
      </c>
      <c r="S198" s="21" t="s">
        <v>2512</v>
      </c>
      <c r="T198" s="21" t="s">
        <v>1148</v>
      </c>
      <c r="U198" s="21" t="s">
        <v>2513</v>
      </c>
    </row>
    <row r="199" spans="1:21" ht="126">
      <c r="A199" s="21" t="s">
        <v>905</v>
      </c>
      <c r="B199" s="21" t="s">
        <v>906</v>
      </c>
      <c r="C199" s="21"/>
      <c r="D199" s="21" t="s">
        <v>180</v>
      </c>
      <c r="E199" s="21" t="s">
        <v>955</v>
      </c>
      <c r="F199" s="21" t="s">
        <v>2514</v>
      </c>
      <c r="G199" s="21" t="s">
        <v>2515</v>
      </c>
      <c r="H199" s="28">
        <v>43903</v>
      </c>
      <c r="I199" s="22">
        <v>2020</v>
      </c>
      <c r="J199" s="21" t="s">
        <v>1012</v>
      </c>
      <c r="K199" s="21" t="s">
        <v>998</v>
      </c>
      <c r="L199" s="21" t="s">
        <v>2516</v>
      </c>
      <c r="M199" s="21" t="s">
        <v>961</v>
      </c>
      <c r="N199" s="21" t="s">
        <v>2517</v>
      </c>
      <c r="O199" s="21" t="s">
        <v>2518</v>
      </c>
      <c r="P199" s="27">
        <v>10</v>
      </c>
      <c r="Q199" s="27">
        <v>37</v>
      </c>
      <c r="R199" s="21" t="s">
        <v>2519</v>
      </c>
      <c r="S199" s="21" t="s">
        <v>2520</v>
      </c>
      <c r="T199" s="21" t="s">
        <v>966</v>
      </c>
      <c r="U199" s="21" t="s">
        <v>2521</v>
      </c>
    </row>
    <row r="200" spans="1:21" ht="70">
      <c r="A200" s="21" t="s">
        <v>905</v>
      </c>
      <c r="B200" s="21" t="s">
        <v>906</v>
      </c>
      <c r="C200" s="21"/>
      <c r="D200" s="21" t="s">
        <v>180</v>
      </c>
      <c r="E200" s="21" t="s">
        <v>955</v>
      </c>
      <c r="F200" s="21" t="s">
        <v>2522</v>
      </c>
      <c r="G200" s="21" t="s">
        <v>2523</v>
      </c>
      <c r="H200" s="28">
        <v>42929</v>
      </c>
      <c r="I200" s="22">
        <v>2017</v>
      </c>
      <c r="J200" s="21" t="s">
        <v>1012</v>
      </c>
      <c r="K200" s="21" t="s">
        <v>998</v>
      </c>
      <c r="L200" s="21" t="s">
        <v>2524</v>
      </c>
      <c r="M200" s="21" t="s">
        <v>961</v>
      </c>
      <c r="N200" s="21" t="s">
        <v>2525</v>
      </c>
      <c r="O200" s="21" t="s">
        <v>2526</v>
      </c>
      <c r="P200" s="27">
        <v>0</v>
      </c>
      <c r="Q200" s="27">
        <v>17</v>
      </c>
      <c r="R200" s="21" t="s">
        <v>2527</v>
      </c>
      <c r="S200" s="21" t="s">
        <v>2528</v>
      </c>
      <c r="T200" s="21" t="s">
        <v>1148</v>
      </c>
      <c r="U200" s="21" t="s">
        <v>2529</v>
      </c>
    </row>
    <row r="201" spans="1:21" ht="196">
      <c r="A201" s="21" t="s">
        <v>905</v>
      </c>
      <c r="B201" s="21" t="s">
        <v>906</v>
      </c>
      <c r="C201" s="21"/>
      <c r="D201" s="21" t="s">
        <v>180</v>
      </c>
      <c r="E201" s="21" t="s">
        <v>955</v>
      </c>
      <c r="F201" s="21" t="s">
        <v>2530</v>
      </c>
      <c r="G201" s="21" t="s">
        <v>2531</v>
      </c>
      <c r="H201" s="28">
        <v>43896</v>
      </c>
      <c r="I201" s="22">
        <v>2020</v>
      </c>
      <c r="J201" s="21" t="s">
        <v>1012</v>
      </c>
      <c r="K201" s="21" t="s">
        <v>998</v>
      </c>
      <c r="L201" s="21" t="s">
        <v>2532</v>
      </c>
      <c r="M201" s="21" t="s">
        <v>961</v>
      </c>
      <c r="N201" s="21" t="s">
        <v>2533</v>
      </c>
      <c r="O201" s="21" t="s">
        <v>2534</v>
      </c>
      <c r="P201" s="27">
        <v>0</v>
      </c>
      <c r="Q201" s="27">
        <v>23</v>
      </c>
      <c r="R201" s="21" t="s">
        <v>2535</v>
      </c>
      <c r="S201" s="21" t="s">
        <v>2536</v>
      </c>
      <c r="T201" s="21" t="s">
        <v>994</v>
      </c>
      <c r="U201" s="21" t="s">
        <v>2537</v>
      </c>
    </row>
    <row r="202" spans="1:21" ht="84">
      <c r="A202" s="21" t="s">
        <v>905</v>
      </c>
      <c r="B202" s="21" t="s">
        <v>906</v>
      </c>
      <c r="C202" s="21"/>
      <c r="D202" s="21" t="s">
        <v>180</v>
      </c>
      <c r="E202" s="21" t="s">
        <v>955</v>
      </c>
      <c r="F202" s="21" t="s">
        <v>2538</v>
      </c>
      <c r="G202" s="21" t="s">
        <v>2539</v>
      </c>
      <c r="H202" s="28">
        <v>43850</v>
      </c>
      <c r="I202" s="22">
        <v>2020</v>
      </c>
      <c r="J202" s="21" t="s">
        <v>1012</v>
      </c>
      <c r="K202" s="21" t="s">
        <v>998</v>
      </c>
      <c r="L202" s="21" t="s">
        <v>2540</v>
      </c>
      <c r="M202" s="21" t="s">
        <v>961</v>
      </c>
      <c r="N202" s="21" t="s">
        <v>2541</v>
      </c>
      <c r="O202" s="21" t="s">
        <v>2542</v>
      </c>
      <c r="P202" s="27">
        <v>1</v>
      </c>
      <c r="Q202" s="27">
        <v>10</v>
      </c>
      <c r="R202" s="21" t="s">
        <v>2543</v>
      </c>
      <c r="S202" s="21" t="s">
        <v>2544</v>
      </c>
      <c r="T202" s="21" t="s">
        <v>1148</v>
      </c>
      <c r="U202" s="21" t="s">
        <v>2545</v>
      </c>
    </row>
    <row r="203" spans="1:21" ht="56">
      <c r="A203" s="21" t="s">
        <v>905</v>
      </c>
      <c r="B203" s="21" t="s">
        <v>906</v>
      </c>
      <c r="C203" s="21"/>
      <c r="D203" s="21" t="s">
        <v>180</v>
      </c>
      <c r="E203" s="21" t="s">
        <v>955</v>
      </c>
      <c r="F203" s="21" t="s">
        <v>2546</v>
      </c>
      <c r="G203" s="21" t="s">
        <v>2547</v>
      </c>
      <c r="H203" s="28">
        <v>43804</v>
      </c>
      <c r="I203" s="22">
        <v>2019</v>
      </c>
      <c r="J203" s="21" t="s">
        <v>1012</v>
      </c>
      <c r="K203" s="21" t="s">
        <v>998</v>
      </c>
      <c r="L203" s="21" t="s">
        <v>2548</v>
      </c>
      <c r="M203" s="21" t="s">
        <v>961</v>
      </c>
      <c r="N203" s="21" t="s">
        <v>2549</v>
      </c>
      <c r="O203" s="21" t="s">
        <v>2550</v>
      </c>
      <c r="P203" s="27">
        <v>0</v>
      </c>
      <c r="Q203" s="27">
        <v>16</v>
      </c>
      <c r="R203" s="21" t="s">
        <v>2551</v>
      </c>
      <c r="S203" s="21" t="s">
        <v>2552</v>
      </c>
      <c r="T203" s="21" t="s">
        <v>1148</v>
      </c>
      <c r="U203" s="21" t="s">
        <v>2553</v>
      </c>
    </row>
    <row r="204" spans="1:21" ht="56">
      <c r="A204" s="21" t="s">
        <v>905</v>
      </c>
      <c r="B204" s="21" t="s">
        <v>906</v>
      </c>
      <c r="C204" s="21"/>
      <c r="D204" s="21" t="s">
        <v>180</v>
      </c>
      <c r="E204" s="21" t="s">
        <v>955</v>
      </c>
      <c r="F204" s="21" t="s">
        <v>2554</v>
      </c>
      <c r="G204" s="21" t="s">
        <v>2555</v>
      </c>
      <c r="H204" s="28">
        <v>43839</v>
      </c>
      <c r="I204" s="22">
        <v>2020</v>
      </c>
      <c r="J204" s="21" t="s">
        <v>1012</v>
      </c>
      <c r="K204" s="21" t="s">
        <v>998</v>
      </c>
      <c r="L204" s="21" t="s">
        <v>2556</v>
      </c>
      <c r="M204" s="21" t="s">
        <v>961</v>
      </c>
      <c r="N204" s="21" t="s">
        <v>2557</v>
      </c>
      <c r="O204" s="21" t="s">
        <v>1203</v>
      </c>
      <c r="P204" s="27">
        <v>4</v>
      </c>
      <c r="Q204" s="27">
        <v>10</v>
      </c>
      <c r="R204" s="21" t="s">
        <v>2558</v>
      </c>
      <c r="S204" s="21" t="s">
        <v>2559</v>
      </c>
      <c r="T204" s="21" t="s">
        <v>1148</v>
      </c>
      <c r="U204" s="21" t="s">
        <v>2560</v>
      </c>
    </row>
    <row r="205" spans="1:21" ht="70">
      <c r="A205" s="21" t="s">
        <v>905</v>
      </c>
      <c r="B205" s="21" t="s">
        <v>906</v>
      </c>
      <c r="C205" s="21"/>
      <c r="D205" s="21" t="s">
        <v>180</v>
      </c>
      <c r="E205" s="21" t="s">
        <v>955</v>
      </c>
      <c r="F205" s="21" t="s">
        <v>2561</v>
      </c>
      <c r="G205" s="21" t="s">
        <v>2562</v>
      </c>
      <c r="H205" s="28">
        <v>41848</v>
      </c>
      <c r="I205" s="22">
        <v>2014</v>
      </c>
      <c r="J205" s="21" t="s">
        <v>1012</v>
      </c>
      <c r="K205" s="21" t="s">
        <v>998</v>
      </c>
      <c r="L205" s="21" t="s">
        <v>2563</v>
      </c>
      <c r="M205" s="21" t="s">
        <v>961</v>
      </c>
      <c r="N205" s="21" t="s">
        <v>2564</v>
      </c>
      <c r="O205" s="21" t="s">
        <v>2565</v>
      </c>
      <c r="P205" s="27">
        <v>0</v>
      </c>
      <c r="Q205" s="27">
        <v>58</v>
      </c>
      <c r="R205" s="21" t="s">
        <v>2566</v>
      </c>
      <c r="S205" s="21" t="s">
        <v>2567</v>
      </c>
      <c r="T205" s="21" t="s">
        <v>1148</v>
      </c>
      <c r="U205" s="21" t="s">
        <v>2568</v>
      </c>
    </row>
    <row r="206" spans="1:21" ht="168">
      <c r="A206" s="21" t="s">
        <v>905</v>
      </c>
      <c r="B206" s="21" t="s">
        <v>906</v>
      </c>
      <c r="C206" s="21"/>
      <c r="D206" s="21" t="s">
        <v>180</v>
      </c>
      <c r="E206" s="21" t="s">
        <v>955</v>
      </c>
      <c r="F206" s="21" t="s">
        <v>2569</v>
      </c>
      <c r="G206" s="21" t="s">
        <v>2570</v>
      </c>
      <c r="H206" s="28">
        <v>43662</v>
      </c>
      <c r="I206" s="22">
        <v>2019</v>
      </c>
      <c r="J206" s="21" t="s">
        <v>1012</v>
      </c>
      <c r="K206" s="21" t="s">
        <v>2571</v>
      </c>
      <c r="L206" s="21" t="s">
        <v>2572</v>
      </c>
      <c r="M206" s="21" t="s">
        <v>961</v>
      </c>
      <c r="N206" s="21" t="s">
        <v>2573</v>
      </c>
      <c r="O206" s="21" t="s">
        <v>2574</v>
      </c>
      <c r="P206" s="27">
        <v>0</v>
      </c>
      <c r="Q206" s="27">
        <v>20</v>
      </c>
      <c r="R206" s="21" t="s">
        <v>2575</v>
      </c>
      <c r="S206" s="21" t="s">
        <v>2576</v>
      </c>
      <c r="T206" s="21" t="s">
        <v>1148</v>
      </c>
      <c r="U206" s="21" t="s">
        <v>2577</v>
      </c>
    </row>
    <row r="207" spans="1:21" ht="196">
      <c r="A207" s="21" t="s">
        <v>905</v>
      </c>
      <c r="B207" s="21" t="s">
        <v>906</v>
      </c>
      <c r="C207" s="21"/>
      <c r="D207" s="21" t="s">
        <v>180</v>
      </c>
      <c r="E207" s="21" t="s">
        <v>955</v>
      </c>
      <c r="F207" s="21" t="s">
        <v>2578</v>
      </c>
      <c r="G207" s="21" t="s">
        <v>2579</v>
      </c>
      <c r="H207" s="28">
        <v>42346</v>
      </c>
      <c r="I207" s="22">
        <v>2015</v>
      </c>
      <c r="J207" s="21" t="s">
        <v>1012</v>
      </c>
      <c r="K207" s="21" t="s">
        <v>998</v>
      </c>
      <c r="L207" s="21" t="s">
        <v>2580</v>
      </c>
      <c r="M207" s="21" t="s">
        <v>2581</v>
      </c>
      <c r="N207" s="21" t="s">
        <v>2582</v>
      </c>
      <c r="O207" s="21" t="s">
        <v>2583</v>
      </c>
      <c r="P207" s="27">
        <v>0</v>
      </c>
      <c r="Q207" s="27">
        <v>30</v>
      </c>
      <c r="R207" s="21" t="s">
        <v>2584</v>
      </c>
      <c r="S207" s="21" t="s">
        <v>2585</v>
      </c>
      <c r="T207" s="21" t="s">
        <v>1148</v>
      </c>
      <c r="U207" s="21" t="s">
        <v>2586</v>
      </c>
    </row>
    <row r="208" spans="1:21" ht="84">
      <c r="A208" s="21" t="s">
        <v>905</v>
      </c>
      <c r="B208" s="21" t="s">
        <v>906</v>
      </c>
      <c r="C208" s="21"/>
      <c r="D208" s="21" t="s">
        <v>180</v>
      </c>
      <c r="E208" s="21" t="s">
        <v>955</v>
      </c>
      <c r="F208" s="21" t="s">
        <v>2587</v>
      </c>
      <c r="G208" s="21" t="s">
        <v>2588</v>
      </c>
      <c r="H208" s="28">
        <v>43801</v>
      </c>
      <c r="I208" s="22">
        <v>2019</v>
      </c>
      <c r="J208" s="21" t="s">
        <v>1012</v>
      </c>
      <c r="K208" s="21" t="s">
        <v>998</v>
      </c>
      <c r="L208" s="21" t="s">
        <v>2589</v>
      </c>
      <c r="M208" s="21" t="s">
        <v>961</v>
      </c>
      <c r="N208" s="21" t="s">
        <v>2590</v>
      </c>
      <c r="O208" s="21" t="s">
        <v>2591</v>
      </c>
      <c r="P208" s="27">
        <v>0</v>
      </c>
      <c r="Q208" s="27">
        <v>22</v>
      </c>
      <c r="R208" s="21" t="s">
        <v>2592</v>
      </c>
      <c r="S208" s="21" t="s">
        <v>2593</v>
      </c>
      <c r="T208" s="21" t="s">
        <v>966</v>
      </c>
      <c r="U208" s="21" t="s">
        <v>2594</v>
      </c>
    </row>
    <row r="209" spans="1:21" ht="70">
      <c r="A209" s="21" t="s">
        <v>905</v>
      </c>
      <c r="B209" s="21" t="s">
        <v>906</v>
      </c>
      <c r="C209" s="21"/>
      <c r="D209" s="21" t="s">
        <v>180</v>
      </c>
      <c r="E209" s="21" t="s">
        <v>955</v>
      </c>
      <c r="F209" s="21" t="s">
        <v>2595</v>
      </c>
      <c r="G209" s="21" t="s">
        <v>2596</v>
      </c>
      <c r="H209" s="28">
        <v>43773</v>
      </c>
      <c r="I209" s="22">
        <v>2019</v>
      </c>
      <c r="J209" s="21" t="s">
        <v>1012</v>
      </c>
      <c r="K209" s="21" t="s">
        <v>998</v>
      </c>
      <c r="L209" s="21" t="s">
        <v>2597</v>
      </c>
      <c r="M209" s="21" t="s">
        <v>961</v>
      </c>
      <c r="N209" s="21" t="s">
        <v>2598</v>
      </c>
      <c r="O209" s="21" t="s">
        <v>1203</v>
      </c>
      <c r="P209" s="27">
        <v>0</v>
      </c>
      <c r="Q209" s="27">
        <v>8</v>
      </c>
      <c r="R209" s="21" t="s">
        <v>2599</v>
      </c>
      <c r="S209" s="21" t="s">
        <v>2600</v>
      </c>
      <c r="T209" s="21" t="s">
        <v>966</v>
      </c>
      <c r="U209" s="21" t="s">
        <v>2601</v>
      </c>
    </row>
    <row r="210" spans="1:21" ht="56">
      <c r="A210" s="21" t="s">
        <v>905</v>
      </c>
      <c r="B210" s="21" t="s">
        <v>906</v>
      </c>
      <c r="C210" s="21"/>
      <c r="D210" s="21" t="s">
        <v>180</v>
      </c>
      <c r="E210" s="21" t="s">
        <v>955</v>
      </c>
      <c r="F210" s="21" t="s">
        <v>2602</v>
      </c>
      <c r="G210" s="21" t="s">
        <v>2603</v>
      </c>
      <c r="H210" s="28">
        <v>43773</v>
      </c>
      <c r="I210" s="22">
        <v>2019</v>
      </c>
      <c r="J210" s="21" t="s">
        <v>1012</v>
      </c>
      <c r="K210" s="21" t="s">
        <v>998</v>
      </c>
      <c r="L210" s="21" t="s">
        <v>2604</v>
      </c>
      <c r="M210" s="21" t="s">
        <v>961</v>
      </c>
      <c r="N210" s="21" t="s">
        <v>2605</v>
      </c>
      <c r="O210" s="21" t="s">
        <v>2606</v>
      </c>
      <c r="P210" s="27">
        <v>0</v>
      </c>
      <c r="Q210" s="27">
        <v>19</v>
      </c>
      <c r="R210" s="21" t="s">
        <v>2607</v>
      </c>
      <c r="S210" s="21" t="s">
        <v>2608</v>
      </c>
      <c r="T210" s="21" t="s">
        <v>966</v>
      </c>
      <c r="U210" s="21" t="s">
        <v>2609</v>
      </c>
    </row>
    <row r="211" spans="1:21" ht="84">
      <c r="A211" s="21" t="s">
        <v>905</v>
      </c>
      <c r="B211" s="21" t="s">
        <v>906</v>
      </c>
      <c r="C211" s="21"/>
      <c r="D211" s="21" t="s">
        <v>180</v>
      </c>
      <c r="E211" s="21" t="s">
        <v>955</v>
      </c>
      <c r="F211" s="21" t="s">
        <v>2610</v>
      </c>
      <c r="G211" s="21" t="s">
        <v>2611</v>
      </c>
      <c r="H211" s="28">
        <v>43766</v>
      </c>
      <c r="I211" s="22">
        <v>2019</v>
      </c>
      <c r="J211" s="21" t="s">
        <v>1012</v>
      </c>
      <c r="K211" s="21" t="s">
        <v>998</v>
      </c>
      <c r="L211" s="21" t="s">
        <v>2612</v>
      </c>
      <c r="M211" s="21" t="s">
        <v>961</v>
      </c>
      <c r="N211" s="21" t="s">
        <v>2613</v>
      </c>
      <c r="O211" s="21" t="s">
        <v>2614</v>
      </c>
      <c r="P211" s="27">
        <v>2</v>
      </c>
      <c r="Q211" s="27">
        <v>8</v>
      </c>
      <c r="R211" s="21" t="s">
        <v>2615</v>
      </c>
      <c r="S211" s="21" t="s">
        <v>2616</v>
      </c>
      <c r="T211" s="21" t="s">
        <v>994</v>
      </c>
      <c r="U211" s="21" t="s">
        <v>2617</v>
      </c>
    </row>
    <row r="212" spans="1:21" ht="56">
      <c r="A212" s="21" t="s">
        <v>905</v>
      </c>
      <c r="B212" s="21" t="s">
        <v>906</v>
      </c>
      <c r="C212" s="21"/>
      <c r="D212" s="21" t="s">
        <v>180</v>
      </c>
      <c r="E212" s="21" t="s">
        <v>955</v>
      </c>
      <c r="F212" s="21" t="s">
        <v>2618</v>
      </c>
      <c r="G212" s="21" t="s">
        <v>2619</v>
      </c>
      <c r="H212" s="28">
        <v>43265</v>
      </c>
      <c r="I212" s="22">
        <v>2018</v>
      </c>
      <c r="J212" s="21" t="s">
        <v>1012</v>
      </c>
      <c r="K212" s="21" t="s">
        <v>998</v>
      </c>
      <c r="L212" s="21" t="s">
        <v>2620</v>
      </c>
      <c r="M212" s="21" t="s">
        <v>1071</v>
      </c>
      <c r="N212" s="21" t="s">
        <v>1955</v>
      </c>
      <c r="O212" s="21" t="s">
        <v>2621</v>
      </c>
      <c r="P212" s="27">
        <v>0</v>
      </c>
      <c r="Q212" s="27">
        <v>9</v>
      </c>
      <c r="R212" s="21" t="s">
        <v>2622</v>
      </c>
      <c r="S212" s="21" t="s">
        <v>2623</v>
      </c>
      <c r="T212" s="21" t="s">
        <v>1148</v>
      </c>
      <c r="U212" s="21" t="s">
        <v>2624</v>
      </c>
    </row>
    <row r="213" spans="1:21" ht="84">
      <c r="A213" s="21" t="s">
        <v>905</v>
      </c>
      <c r="B213" s="21" t="s">
        <v>906</v>
      </c>
      <c r="C213" s="21"/>
      <c r="D213" s="21" t="s">
        <v>180</v>
      </c>
      <c r="E213" s="21" t="s">
        <v>955</v>
      </c>
      <c r="F213" s="21" t="s">
        <v>2625</v>
      </c>
      <c r="G213" s="21" t="s">
        <v>2626</v>
      </c>
      <c r="H213" s="28">
        <v>43763</v>
      </c>
      <c r="I213" s="22">
        <v>2019</v>
      </c>
      <c r="J213" s="21" t="s">
        <v>1012</v>
      </c>
      <c r="K213" s="21" t="s">
        <v>998</v>
      </c>
      <c r="L213" s="21" t="s">
        <v>2627</v>
      </c>
      <c r="M213" s="21" t="s">
        <v>961</v>
      </c>
      <c r="N213" s="21" t="s">
        <v>2628</v>
      </c>
      <c r="O213" s="21" t="s">
        <v>2395</v>
      </c>
      <c r="P213" s="27">
        <v>0</v>
      </c>
      <c r="Q213" s="27">
        <v>12</v>
      </c>
      <c r="R213" s="21" t="s">
        <v>2629</v>
      </c>
      <c r="S213" s="21" t="s">
        <v>2630</v>
      </c>
      <c r="T213" s="21" t="s">
        <v>1148</v>
      </c>
      <c r="U213" s="21" t="s">
        <v>2631</v>
      </c>
    </row>
    <row r="214" spans="1:21" ht="56">
      <c r="A214" s="21" t="s">
        <v>905</v>
      </c>
      <c r="B214" s="21" t="s">
        <v>906</v>
      </c>
      <c r="C214" s="21"/>
      <c r="D214" s="21" t="s">
        <v>180</v>
      </c>
      <c r="E214" s="21" t="s">
        <v>955</v>
      </c>
      <c r="F214" s="21" t="s">
        <v>2632</v>
      </c>
      <c r="G214" s="21" t="s">
        <v>2633</v>
      </c>
      <c r="H214" s="28">
        <v>42499</v>
      </c>
      <c r="I214" s="22">
        <v>2016</v>
      </c>
      <c r="J214" s="21" t="s">
        <v>1012</v>
      </c>
      <c r="K214" s="21" t="s">
        <v>998</v>
      </c>
      <c r="L214" s="21" t="s">
        <v>2634</v>
      </c>
      <c r="M214" s="21" t="s">
        <v>961</v>
      </c>
      <c r="N214" s="21" t="s">
        <v>2635</v>
      </c>
      <c r="O214" s="21" t="s">
        <v>2636</v>
      </c>
      <c r="P214" s="27">
        <v>0</v>
      </c>
      <c r="Q214" s="27">
        <v>12</v>
      </c>
      <c r="R214" s="21" t="s">
        <v>2637</v>
      </c>
      <c r="S214" s="21" t="s">
        <v>2638</v>
      </c>
      <c r="T214" s="21" t="s">
        <v>1148</v>
      </c>
      <c r="U214" s="21" t="s">
        <v>2639</v>
      </c>
    </row>
    <row r="215" spans="1:21" ht="126">
      <c r="A215" s="21" t="s">
        <v>905</v>
      </c>
      <c r="B215" s="21" t="s">
        <v>906</v>
      </c>
      <c r="C215" s="21"/>
      <c r="D215" s="21" t="s">
        <v>180</v>
      </c>
      <c r="E215" s="21" t="s">
        <v>955</v>
      </c>
      <c r="F215" s="21" t="s">
        <v>2640</v>
      </c>
      <c r="G215" s="21" t="s">
        <v>2641</v>
      </c>
      <c r="H215" s="28">
        <v>43738</v>
      </c>
      <c r="I215" s="22">
        <v>2019</v>
      </c>
      <c r="J215" s="21" t="s">
        <v>1012</v>
      </c>
      <c r="K215" s="21" t="s">
        <v>998</v>
      </c>
      <c r="L215" s="21" t="s">
        <v>2642</v>
      </c>
      <c r="M215" s="21" t="s">
        <v>961</v>
      </c>
      <c r="N215" s="21" t="s">
        <v>2643</v>
      </c>
      <c r="O215" s="21" t="s">
        <v>2644</v>
      </c>
      <c r="P215" s="27">
        <v>1</v>
      </c>
      <c r="Q215" s="27">
        <v>8</v>
      </c>
      <c r="R215" s="21" t="s">
        <v>2645</v>
      </c>
      <c r="S215" s="21" t="s">
        <v>2646</v>
      </c>
      <c r="T215" s="21" t="s">
        <v>994</v>
      </c>
      <c r="U215" s="21" t="s">
        <v>2647</v>
      </c>
    </row>
    <row r="216" spans="1:21" ht="126">
      <c r="A216" s="21" t="s">
        <v>905</v>
      </c>
      <c r="B216" s="21" t="s">
        <v>906</v>
      </c>
      <c r="C216" s="21"/>
      <c r="D216" s="21" t="s">
        <v>180</v>
      </c>
      <c r="E216" s="21" t="s">
        <v>955</v>
      </c>
      <c r="F216" s="21" t="s">
        <v>2648</v>
      </c>
      <c r="G216" s="21" t="s">
        <v>2649</v>
      </c>
      <c r="H216" s="28">
        <v>42184</v>
      </c>
      <c r="I216" s="22">
        <v>2015</v>
      </c>
      <c r="J216" s="21" t="s">
        <v>1012</v>
      </c>
      <c r="K216" s="21" t="s">
        <v>998</v>
      </c>
      <c r="L216" s="21" t="s">
        <v>2650</v>
      </c>
      <c r="M216" s="21" t="s">
        <v>961</v>
      </c>
      <c r="N216" s="21" t="s">
        <v>2651</v>
      </c>
      <c r="O216" s="21" t="s">
        <v>1669</v>
      </c>
      <c r="P216" s="27">
        <v>0</v>
      </c>
      <c r="Q216" s="27">
        <v>71</v>
      </c>
      <c r="R216" s="21" t="s">
        <v>2652</v>
      </c>
      <c r="S216" s="21" t="s">
        <v>2653</v>
      </c>
      <c r="T216" s="21" t="s">
        <v>1148</v>
      </c>
      <c r="U216" s="21" t="s">
        <v>2654</v>
      </c>
    </row>
    <row r="217" spans="1:21" ht="56">
      <c r="A217" s="21" t="s">
        <v>905</v>
      </c>
      <c r="B217" s="21" t="s">
        <v>906</v>
      </c>
      <c r="C217" s="21"/>
      <c r="D217" s="21" t="s">
        <v>180</v>
      </c>
      <c r="E217" s="21" t="s">
        <v>955</v>
      </c>
      <c r="F217" s="21" t="s">
        <v>2655</v>
      </c>
      <c r="G217" s="21" t="s">
        <v>2656</v>
      </c>
      <c r="H217" s="28">
        <v>42482</v>
      </c>
      <c r="I217" s="22">
        <v>2016</v>
      </c>
      <c r="J217" s="21" t="s">
        <v>1012</v>
      </c>
      <c r="K217" s="21" t="s">
        <v>1013</v>
      </c>
      <c r="L217" s="21" t="s">
        <v>2657</v>
      </c>
      <c r="M217" s="21" t="s">
        <v>961</v>
      </c>
      <c r="N217" s="21" t="s">
        <v>2658</v>
      </c>
      <c r="O217" s="21" t="s">
        <v>2659</v>
      </c>
      <c r="P217" s="27">
        <v>0</v>
      </c>
      <c r="Q217" s="27">
        <v>57</v>
      </c>
      <c r="R217" s="21" t="s">
        <v>2660</v>
      </c>
      <c r="S217" s="21" t="s">
        <v>2661</v>
      </c>
      <c r="T217" s="21" t="s">
        <v>966</v>
      </c>
      <c r="U217" s="21" t="s">
        <v>2662</v>
      </c>
    </row>
    <row r="218" spans="1:21" ht="140">
      <c r="A218" s="21" t="s">
        <v>905</v>
      </c>
      <c r="B218" s="21" t="s">
        <v>906</v>
      </c>
      <c r="C218" s="21"/>
      <c r="D218" s="21" t="s">
        <v>180</v>
      </c>
      <c r="E218" s="21" t="s">
        <v>955</v>
      </c>
      <c r="F218" s="21" t="s">
        <v>2663</v>
      </c>
      <c r="G218" s="21" t="s">
        <v>2664</v>
      </c>
      <c r="H218" s="28">
        <v>42353</v>
      </c>
      <c r="I218" s="22">
        <v>2015</v>
      </c>
      <c r="J218" s="21" t="s">
        <v>1012</v>
      </c>
      <c r="K218" s="21" t="s">
        <v>959</v>
      </c>
      <c r="L218" s="21" t="s">
        <v>2665</v>
      </c>
      <c r="M218" s="21" t="s">
        <v>961</v>
      </c>
      <c r="N218" s="21" t="s">
        <v>2666</v>
      </c>
      <c r="O218" s="21" t="s">
        <v>2667</v>
      </c>
      <c r="P218" s="27">
        <v>0</v>
      </c>
      <c r="Q218" s="27">
        <v>43</v>
      </c>
      <c r="R218" s="21" t="s">
        <v>2668</v>
      </c>
      <c r="S218" s="21" t="s">
        <v>2669</v>
      </c>
      <c r="T218" s="21" t="s">
        <v>966</v>
      </c>
      <c r="U218" s="21" t="s">
        <v>2670</v>
      </c>
    </row>
    <row r="219" spans="1:21" ht="84">
      <c r="A219" s="21" t="s">
        <v>905</v>
      </c>
      <c r="B219" s="21" t="s">
        <v>906</v>
      </c>
      <c r="C219" s="21"/>
      <c r="D219" s="21" t="s">
        <v>180</v>
      </c>
      <c r="E219" s="21" t="s">
        <v>955</v>
      </c>
      <c r="F219" s="21" t="s">
        <v>2671</v>
      </c>
      <c r="G219" s="21" t="s">
        <v>2672</v>
      </c>
      <c r="H219" s="28">
        <v>43329</v>
      </c>
      <c r="I219" s="22">
        <v>2018</v>
      </c>
      <c r="J219" s="21" t="s">
        <v>1012</v>
      </c>
      <c r="K219" s="21" t="s">
        <v>998</v>
      </c>
      <c r="L219" s="21" t="s">
        <v>2673</v>
      </c>
      <c r="M219" s="21" t="s">
        <v>961</v>
      </c>
      <c r="N219" s="21" t="s">
        <v>2674</v>
      </c>
      <c r="O219" s="21" t="s">
        <v>2675</v>
      </c>
      <c r="P219" s="27">
        <v>5</v>
      </c>
      <c r="Q219" s="27">
        <v>20</v>
      </c>
      <c r="R219" s="21" t="s">
        <v>2676</v>
      </c>
      <c r="S219" s="21" t="s">
        <v>2677</v>
      </c>
      <c r="T219" s="21" t="s">
        <v>1148</v>
      </c>
      <c r="U219" s="21" t="s">
        <v>2678</v>
      </c>
    </row>
    <row r="220" spans="1:21" ht="56">
      <c r="A220" s="21" t="s">
        <v>905</v>
      </c>
      <c r="B220" s="21" t="s">
        <v>906</v>
      </c>
      <c r="C220" s="21"/>
      <c r="D220" s="21" t="s">
        <v>180</v>
      </c>
      <c r="E220" s="21" t="s">
        <v>955</v>
      </c>
      <c r="F220" s="21" t="s">
        <v>2679</v>
      </c>
      <c r="G220" s="21" t="s">
        <v>2680</v>
      </c>
      <c r="H220" s="28">
        <v>43669</v>
      </c>
      <c r="I220" s="22">
        <v>2019</v>
      </c>
      <c r="J220" s="21" t="s">
        <v>1012</v>
      </c>
      <c r="K220" s="21" t="s">
        <v>998</v>
      </c>
      <c r="L220" s="21" t="s">
        <v>2681</v>
      </c>
      <c r="M220" s="21" t="s">
        <v>961</v>
      </c>
      <c r="N220" s="21" t="s">
        <v>2682</v>
      </c>
      <c r="O220" s="21" t="s">
        <v>2683</v>
      </c>
      <c r="P220" s="27">
        <v>0</v>
      </c>
      <c r="Q220" s="27">
        <v>14</v>
      </c>
      <c r="R220" s="21" t="s">
        <v>2684</v>
      </c>
      <c r="S220" s="21" t="s">
        <v>1034</v>
      </c>
      <c r="T220" s="21" t="s">
        <v>1148</v>
      </c>
      <c r="U220" s="21" t="s">
        <v>2685</v>
      </c>
    </row>
    <row r="221" spans="1:21" ht="28">
      <c r="A221" s="21" t="s">
        <v>905</v>
      </c>
      <c r="B221" s="21" t="s">
        <v>906</v>
      </c>
      <c r="C221" s="21"/>
      <c r="D221" s="21" t="s">
        <v>180</v>
      </c>
      <c r="E221" s="21" t="s">
        <v>955</v>
      </c>
      <c r="F221" s="21" t="s">
        <v>2686</v>
      </c>
      <c r="G221" s="21" t="s">
        <v>2687</v>
      </c>
      <c r="H221" s="28">
        <v>43228</v>
      </c>
      <c r="I221" s="22">
        <v>2018</v>
      </c>
      <c r="J221" s="21" t="s">
        <v>1012</v>
      </c>
      <c r="K221" s="21" t="s">
        <v>1013</v>
      </c>
      <c r="L221" s="21" t="s">
        <v>2688</v>
      </c>
      <c r="M221" s="21" t="s">
        <v>961</v>
      </c>
      <c r="N221" s="21" t="s">
        <v>2689</v>
      </c>
      <c r="O221" s="21" t="s">
        <v>2690</v>
      </c>
      <c r="P221" s="27">
        <v>0</v>
      </c>
      <c r="Q221" s="27">
        <v>26</v>
      </c>
      <c r="R221" s="21" t="s">
        <v>2691</v>
      </c>
      <c r="S221" s="21" t="s">
        <v>2692</v>
      </c>
      <c r="T221" s="21" t="s">
        <v>966</v>
      </c>
      <c r="U221" s="21" t="s">
        <v>2693</v>
      </c>
    </row>
    <row r="222" spans="1:21" ht="70">
      <c r="A222" s="21" t="s">
        <v>905</v>
      </c>
      <c r="B222" s="21" t="s">
        <v>906</v>
      </c>
      <c r="C222" s="21"/>
      <c r="D222" s="21" t="s">
        <v>180</v>
      </c>
      <c r="E222" s="21" t="s">
        <v>955</v>
      </c>
      <c r="F222" s="21" t="s">
        <v>2694</v>
      </c>
      <c r="G222" s="21" t="s">
        <v>2695</v>
      </c>
      <c r="H222" s="28">
        <v>43593</v>
      </c>
      <c r="I222" s="22">
        <v>2019</v>
      </c>
      <c r="J222" s="21" t="s">
        <v>1012</v>
      </c>
      <c r="K222" s="21" t="s">
        <v>998</v>
      </c>
      <c r="L222" s="21" t="s">
        <v>2696</v>
      </c>
      <c r="M222" s="21" t="s">
        <v>961</v>
      </c>
      <c r="N222" s="21" t="s">
        <v>2697</v>
      </c>
      <c r="O222" s="21" t="s">
        <v>2698</v>
      </c>
      <c r="P222" s="27">
        <v>0</v>
      </c>
      <c r="Q222" s="27">
        <v>5</v>
      </c>
      <c r="R222" s="21" t="s">
        <v>2699</v>
      </c>
      <c r="S222" s="21" t="s">
        <v>2700</v>
      </c>
      <c r="T222" s="21" t="s">
        <v>1148</v>
      </c>
      <c r="U222" s="21" t="s">
        <v>2701</v>
      </c>
    </row>
    <row r="223" spans="1:21" ht="84">
      <c r="A223" s="21" t="s">
        <v>905</v>
      </c>
      <c r="B223" s="21" t="s">
        <v>906</v>
      </c>
      <c r="C223" s="21"/>
      <c r="D223" s="21" t="s">
        <v>180</v>
      </c>
      <c r="E223" s="21" t="s">
        <v>955</v>
      </c>
      <c r="F223" s="21" t="s">
        <v>2702</v>
      </c>
      <c r="G223" s="21" t="s">
        <v>2703</v>
      </c>
      <c r="H223" s="28">
        <v>43665</v>
      </c>
      <c r="I223" s="22">
        <v>2019</v>
      </c>
      <c r="J223" s="21" t="s">
        <v>1012</v>
      </c>
      <c r="K223" s="21" t="s">
        <v>998</v>
      </c>
      <c r="L223" s="21" t="s">
        <v>2704</v>
      </c>
      <c r="M223" s="21" t="s">
        <v>961</v>
      </c>
      <c r="N223" s="21" t="s">
        <v>2705</v>
      </c>
      <c r="O223" s="21" t="s">
        <v>1669</v>
      </c>
      <c r="P223" s="27">
        <v>0</v>
      </c>
      <c r="Q223" s="27">
        <v>50</v>
      </c>
      <c r="R223" s="21" t="s">
        <v>2706</v>
      </c>
      <c r="S223" s="21" t="s">
        <v>2707</v>
      </c>
      <c r="T223" s="21" t="s">
        <v>966</v>
      </c>
      <c r="U223" s="21" t="s">
        <v>2708</v>
      </c>
    </row>
    <row r="224" spans="1:21" ht="140">
      <c r="A224" s="21" t="s">
        <v>905</v>
      </c>
      <c r="B224" s="21" t="s">
        <v>906</v>
      </c>
      <c r="C224" s="21"/>
      <c r="D224" s="21" t="s">
        <v>180</v>
      </c>
      <c r="E224" s="21" t="s">
        <v>955</v>
      </c>
      <c r="F224" s="21" t="s">
        <v>2709</v>
      </c>
      <c r="G224" s="21" t="s">
        <v>2710</v>
      </c>
      <c r="H224" s="28">
        <v>43593</v>
      </c>
      <c r="I224" s="22">
        <v>2019</v>
      </c>
      <c r="J224" s="21" t="s">
        <v>1012</v>
      </c>
      <c r="K224" s="21" t="s">
        <v>998</v>
      </c>
      <c r="L224" s="21" t="s">
        <v>2711</v>
      </c>
      <c r="M224" s="21" t="s">
        <v>961</v>
      </c>
      <c r="N224" s="21" t="s">
        <v>2712</v>
      </c>
      <c r="O224" s="21" t="s">
        <v>2713</v>
      </c>
      <c r="P224" s="27">
        <v>7</v>
      </c>
      <c r="Q224" s="27">
        <v>5</v>
      </c>
      <c r="R224" s="21" t="s">
        <v>2714</v>
      </c>
      <c r="S224" s="21" t="s">
        <v>2715</v>
      </c>
      <c r="T224" s="21" t="s">
        <v>1148</v>
      </c>
      <c r="U224" s="21" t="s">
        <v>2716</v>
      </c>
    </row>
    <row r="225" spans="1:21" ht="56">
      <c r="A225" s="21" t="s">
        <v>905</v>
      </c>
      <c r="B225" s="21" t="s">
        <v>906</v>
      </c>
      <c r="C225" s="21"/>
      <c r="D225" s="21" t="s">
        <v>180</v>
      </c>
      <c r="E225" s="21" t="s">
        <v>955</v>
      </c>
      <c r="F225" s="21" t="s">
        <v>2717</v>
      </c>
      <c r="G225" s="21" t="s">
        <v>2718</v>
      </c>
      <c r="H225" s="28">
        <v>43537</v>
      </c>
      <c r="I225" s="22">
        <v>2019</v>
      </c>
      <c r="J225" s="21" t="s">
        <v>1012</v>
      </c>
      <c r="K225" s="21" t="s">
        <v>998</v>
      </c>
      <c r="L225" s="21" t="s">
        <v>2719</v>
      </c>
      <c r="M225" s="21" t="s">
        <v>961</v>
      </c>
      <c r="N225" s="21" t="s">
        <v>2720</v>
      </c>
      <c r="O225" s="21" t="s">
        <v>2721</v>
      </c>
      <c r="P225" s="27">
        <v>0</v>
      </c>
      <c r="Q225" s="27">
        <v>15</v>
      </c>
      <c r="R225" s="21" t="s">
        <v>2722</v>
      </c>
      <c r="S225" s="21" t="s">
        <v>2723</v>
      </c>
      <c r="T225" s="21" t="s">
        <v>1148</v>
      </c>
      <c r="U225" s="21" t="s">
        <v>2724</v>
      </c>
    </row>
    <row r="226" spans="1:21" ht="308">
      <c r="A226" s="21" t="s">
        <v>905</v>
      </c>
      <c r="B226" s="21" t="s">
        <v>906</v>
      </c>
      <c r="C226" s="21"/>
      <c r="D226" s="21" t="s">
        <v>180</v>
      </c>
      <c r="E226" s="21" t="s">
        <v>955</v>
      </c>
      <c r="F226" s="21" t="s">
        <v>2725</v>
      </c>
      <c r="G226" s="21" t="s">
        <v>2726</v>
      </c>
      <c r="H226" s="28">
        <v>43483</v>
      </c>
      <c r="I226" s="22">
        <v>2019</v>
      </c>
      <c r="J226" s="21" t="s">
        <v>1012</v>
      </c>
      <c r="K226" s="21" t="s">
        <v>998</v>
      </c>
      <c r="L226" s="21" t="s">
        <v>2727</v>
      </c>
      <c r="M226" s="21" t="s">
        <v>961</v>
      </c>
      <c r="N226" s="21" t="s">
        <v>2728</v>
      </c>
      <c r="O226" s="21" t="s">
        <v>1920</v>
      </c>
      <c r="P226" s="27">
        <v>1</v>
      </c>
      <c r="Q226" s="27">
        <v>59</v>
      </c>
      <c r="R226" s="21" t="s">
        <v>2729</v>
      </c>
      <c r="S226" s="21" t="s">
        <v>2730</v>
      </c>
      <c r="T226" s="21" t="s">
        <v>966</v>
      </c>
      <c r="U226" s="21" t="s">
        <v>2731</v>
      </c>
    </row>
    <row r="227" spans="1:21" ht="70">
      <c r="A227" s="21" t="s">
        <v>905</v>
      </c>
      <c r="B227" s="21" t="s">
        <v>906</v>
      </c>
      <c r="C227" s="21"/>
      <c r="D227" s="21" t="s">
        <v>180</v>
      </c>
      <c r="E227" s="21" t="s">
        <v>955</v>
      </c>
      <c r="F227" s="21" t="s">
        <v>2732</v>
      </c>
      <c r="G227" s="21" t="s">
        <v>2733</v>
      </c>
      <c r="H227" s="28">
        <v>43553</v>
      </c>
      <c r="I227" s="22">
        <v>2019</v>
      </c>
      <c r="J227" s="21" t="s">
        <v>1012</v>
      </c>
      <c r="K227" s="21" t="s">
        <v>998</v>
      </c>
      <c r="L227" s="21" t="s">
        <v>2734</v>
      </c>
      <c r="M227" s="21" t="s">
        <v>961</v>
      </c>
      <c r="N227" s="21" t="s">
        <v>2735</v>
      </c>
      <c r="O227" s="21" t="s">
        <v>2736</v>
      </c>
      <c r="P227" s="27">
        <v>1</v>
      </c>
      <c r="Q227" s="27">
        <v>11</v>
      </c>
      <c r="R227" s="21" t="s">
        <v>2737</v>
      </c>
      <c r="S227" s="21" t="s">
        <v>2738</v>
      </c>
      <c r="T227" s="21" t="s">
        <v>1148</v>
      </c>
      <c r="U227" s="21" t="s">
        <v>2739</v>
      </c>
    </row>
    <row r="228" spans="1:21" ht="182">
      <c r="A228" s="21" t="s">
        <v>905</v>
      </c>
      <c r="B228" s="21" t="s">
        <v>906</v>
      </c>
      <c r="C228" s="21"/>
      <c r="D228" s="21" t="s">
        <v>180</v>
      </c>
      <c r="E228" s="21" t="s">
        <v>955</v>
      </c>
      <c r="F228" s="21" t="s">
        <v>2740</v>
      </c>
      <c r="G228" s="21" t="s">
        <v>2741</v>
      </c>
      <c r="H228" s="28">
        <v>44182</v>
      </c>
      <c r="I228" s="22">
        <v>2020</v>
      </c>
      <c r="J228" s="21" t="s">
        <v>1012</v>
      </c>
      <c r="K228" s="21" t="s">
        <v>998</v>
      </c>
      <c r="L228" s="21" t="s">
        <v>2742</v>
      </c>
      <c r="M228" s="21" t="s">
        <v>961</v>
      </c>
      <c r="N228" s="21" t="s">
        <v>2743</v>
      </c>
      <c r="O228" s="21" t="s">
        <v>2744</v>
      </c>
      <c r="P228" s="27">
        <v>0</v>
      </c>
      <c r="Q228" s="27">
        <v>12</v>
      </c>
      <c r="R228" s="21" t="s">
        <v>2745</v>
      </c>
      <c r="S228" s="21" t="s">
        <v>2746</v>
      </c>
      <c r="T228" s="21" t="s">
        <v>1148</v>
      </c>
      <c r="U228" s="21" t="s">
        <v>2747</v>
      </c>
    </row>
    <row r="229" spans="1:21" ht="70">
      <c r="A229" s="21" t="s">
        <v>905</v>
      </c>
      <c r="B229" s="21" t="s">
        <v>906</v>
      </c>
      <c r="C229" s="21"/>
      <c r="D229" s="21" t="s">
        <v>180</v>
      </c>
      <c r="E229" s="21" t="s">
        <v>955</v>
      </c>
      <c r="F229" s="21" t="s">
        <v>2748</v>
      </c>
      <c r="G229" s="21" t="s">
        <v>2749</v>
      </c>
      <c r="H229" s="28">
        <v>43538</v>
      </c>
      <c r="I229" s="22">
        <v>2019</v>
      </c>
      <c r="J229" s="21" t="s">
        <v>1012</v>
      </c>
      <c r="K229" s="21" t="s">
        <v>998</v>
      </c>
      <c r="L229" s="21" t="s">
        <v>2750</v>
      </c>
      <c r="M229" s="21" t="s">
        <v>961</v>
      </c>
      <c r="N229" s="21" t="s">
        <v>2751</v>
      </c>
      <c r="O229" s="21" t="s">
        <v>2752</v>
      </c>
      <c r="P229" s="27">
        <v>0</v>
      </c>
      <c r="Q229" s="27">
        <v>11</v>
      </c>
      <c r="R229" s="21" t="s">
        <v>2753</v>
      </c>
      <c r="S229" s="21" t="s">
        <v>2754</v>
      </c>
      <c r="T229" s="21" t="s">
        <v>1148</v>
      </c>
      <c r="U229" s="21" t="s">
        <v>2755</v>
      </c>
    </row>
    <row r="230" spans="1:21" ht="56">
      <c r="A230" s="21" t="s">
        <v>905</v>
      </c>
      <c r="B230" s="21" t="s">
        <v>906</v>
      </c>
      <c r="C230" s="21"/>
      <c r="D230" s="21" t="s">
        <v>180</v>
      </c>
      <c r="E230" s="21" t="s">
        <v>955</v>
      </c>
      <c r="F230" s="21" t="s">
        <v>2756</v>
      </c>
      <c r="G230" s="21" t="s">
        <v>2757</v>
      </c>
      <c r="H230" s="28">
        <v>43553</v>
      </c>
      <c r="I230" s="22">
        <v>2019</v>
      </c>
      <c r="J230" s="21" t="s">
        <v>1012</v>
      </c>
      <c r="K230" s="21" t="s">
        <v>998</v>
      </c>
      <c r="L230" s="21" t="s">
        <v>2758</v>
      </c>
      <c r="M230" s="21" t="s">
        <v>961</v>
      </c>
      <c r="N230" s="21" t="s">
        <v>2759</v>
      </c>
      <c r="O230" s="21" t="s">
        <v>2061</v>
      </c>
      <c r="P230" s="27">
        <v>2</v>
      </c>
      <c r="Q230" s="27">
        <v>15</v>
      </c>
      <c r="R230" s="21" t="s">
        <v>2760</v>
      </c>
      <c r="S230" s="21" t="s">
        <v>2761</v>
      </c>
      <c r="T230" s="21" t="s">
        <v>966</v>
      </c>
      <c r="U230" s="21" t="s">
        <v>2762</v>
      </c>
    </row>
    <row r="231" spans="1:21" ht="84">
      <c r="A231" s="21" t="s">
        <v>905</v>
      </c>
      <c r="B231" s="21" t="s">
        <v>906</v>
      </c>
      <c r="C231" s="21"/>
      <c r="D231" s="21" t="s">
        <v>180</v>
      </c>
      <c r="E231" s="21" t="s">
        <v>955</v>
      </c>
      <c r="F231" s="21" t="s">
        <v>2763</v>
      </c>
      <c r="G231" s="21" t="s">
        <v>2764</v>
      </c>
      <c r="H231" s="28">
        <v>40451</v>
      </c>
      <c r="I231" s="22">
        <v>2010</v>
      </c>
      <c r="J231" s="21" t="s">
        <v>958</v>
      </c>
      <c r="K231" s="21" t="s">
        <v>2765</v>
      </c>
      <c r="L231" s="21" t="s">
        <v>2766</v>
      </c>
      <c r="M231" s="21" t="s">
        <v>2767</v>
      </c>
      <c r="N231" s="21" t="s">
        <v>2768</v>
      </c>
      <c r="O231" s="21" t="s">
        <v>2769</v>
      </c>
      <c r="P231" s="27">
        <v>0</v>
      </c>
      <c r="Q231" s="27">
        <v>71</v>
      </c>
      <c r="R231" s="21" t="s">
        <v>2770</v>
      </c>
      <c r="S231" s="21" t="s">
        <v>2771</v>
      </c>
      <c r="T231" s="21" t="s">
        <v>966</v>
      </c>
      <c r="U231" s="21" t="s">
        <v>2772</v>
      </c>
    </row>
    <row r="232" spans="1:21" ht="56">
      <c r="A232" s="21" t="s">
        <v>905</v>
      </c>
      <c r="B232" s="21" t="s">
        <v>906</v>
      </c>
      <c r="C232" s="21"/>
      <c r="D232" s="21" t="s">
        <v>180</v>
      </c>
      <c r="E232" s="21" t="s">
        <v>955</v>
      </c>
      <c r="F232" s="21" t="s">
        <v>2773</v>
      </c>
      <c r="G232" s="21" t="s">
        <v>2774</v>
      </c>
      <c r="H232" s="28">
        <v>43553</v>
      </c>
      <c r="I232" s="22">
        <v>2019</v>
      </c>
      <c r="J232" s="21" t="s">
        <v>1012</v>
      </c>
      <c r="K232" s="21" t="s">
        <v>998</v>
      </c>
      <c r="L232" s="21" t="s">
        <v>2775</v>
      </c>
      <c r="M232" s="21" t="s">
        <v>961</v>
      </c>
      <c r="N232" s="21" t="s">
        <v>2776</v>
      </c>
      <c r="O232" s="21" t="s">
        <v>2777</v>
      </c>
      <c r="P232" s="27">
        <v>1</v>
      </c>
      <c r="Q232" s="27">
        <v>26</v>
      </c>
      <c r="R232" s="21" t="s">
        <v>2778</v>
      </c>
      <c r="S232" s="21" t="s">
        <v>2779</v>
      </c>
      <c r="T232" s="21" t="s">
        <v>1148</v>
      </c>
      <c r="U232" s="21" t="s">
        <v>2780</v>
      </c>
    </row>
    <row r="233" spans="1:21" ht="98">
      <c r="A233" s="21" t="s">
        <v>905</v>
      </c>
      <c r="B233" s="21" t="s">
        <v>906</v>
      </c>
      <c r="C233" s="21"/>
      <c r="D233" s="21" t="s">
        <v>180</v>
      </c>
      <c r="E233" s="21" t="s">
        <v>955</v>
      </c>
      <c r="F233" s="21" t="s">
        <v>2781</v>
      </c>
      <c r="G233" s="21" t="s">
        <v>2782</v>
      </c>
      <c r="H233" s="28">
        <v>43567</v>
      </c>
      <c r="I233" s="22">
        <v>2019</v>
      </c>
      <c r="J233" s="21" t="s">
        <v>1012</v>
      </c>
      <c r="K233" s="21" t="s">
        <v>998</v>
      </c>
      <c r="L233" s="21" t="s">
        <v>2783</v>
      </c>
      <c r="M233" s="21" t="s">
        <v>961</v>
      </c>
      <c r="N233" s="21" t="s">
        <v>2784</v>
      </c>
      <c r="O233" s="21" t="s">
        <v>2785</v>
      </c>
      <c r="P233" s="27">
        <v>1</v>
      </c>
      <c r="Q233" s="27">
        <v>11</v>
      </c>
      <c r="R233" s="21" t="s">
        <v>2786</v>
      </c>
      <c r="S233" s="21" t="s">
        <v>2787</v>
      </c>
      <c r="T233" s="21" t="s">
        <v>994</v>
      </c>
      <c r="U233" s="21" t="s">
        <v>2788</v>
      </c>
    </row>
    <row r="234" spans="1:21" ht="98">
      <c r="A234" s="21" t="s">
        <v>905</v>
      </c>
      <c r="B234" s="21" t="s">
        <v>906</v>
      </c>
      <c r="C234" s="21"/>
      <c r="D234" s="21" t="s">
        <v>180</v>
      </c>
      <c r="E234" s="21" t="s">
        <v>955</v>
      </c>
      <c r="F234" s="21" t="s">
        <v>2789</v>
      </c>
      <c r="G234" s="21" t="s">
        <v>2790</v>
      </c>
      <c r="H234" s="28">
        <v>43511</v>
      </c>
      <c r="I234" s="22">
        <v>2019</v>
      </c>
      <c r="J234" s="21" t="s">
        <v>1012</v>
      </c>
      <c r="K234" s="21" t="s">
        <v>998</v>
      </c>
      <c r="L234" s="21" t="s">
        <v>2791</v>
      </c>
      <c r="M234" s="21" t="s">
        <v>961</v>
      </c>
      <c r="N234" s="21" t="s">
        <v>2792</v>
      </c>
      <c r="O234" s="21" t="s">
        <v>2793</v>
      </c>
      <c r="P234" s="27">
        <v>1</v>
      </c>
      <c r="Q234" s="27">
        <v>16</v>
      </c>
      <c r="R234" s="21" t="s">
        <v>2794</v>
      </c>
      <c r="S234" s="21" t="s">
        <v>2795</v>
      </c>
      <c r="T234" s="21" t="s">
        <v>1148</v>
      </c>
      <c r="U234" s="21" t="s">
        <v>2796</v>
      </c>
    </row>
    <row r="235" spans="1:21" ht="98">
      <c r="A235" s="21" t="s">
        <v>905</v>
      </c>
      <c r="B235" s="21" t="s">
        <v>906</v>
      </c>
      <c r="C235" s="21"/>
      <c r="D235" s="21" t="s">
        <v>180</v>
      </c>
      <c r="E235" s="21" t="s">
        <v>955</v>
      </c>
      <c r="F235" s="21" t="s">
        <v>2797</v>
      </c>
      <c r="G235" s="21" t="s">
        <v>2798</v>
      </c>
      <c r="H235" s="28">
        <v>43039</v>
      </c>
      <c r="I235" s="22">
        <v>2017</v>
      </c>
      <c r="J235" s="21" t="s">
        <v>958</v>
      </c>
      <c r="K235" s="21" t="s">
        <v>959</v>
      </c>
      <c r="L235" s="21" t="s">
        <v>2799</v>
      </c>
      <c r="M235" s="21" t="s">
        <v>961</v>
      </c>
      <c r="N235" s="21" t="s">
        <v>2800</v>
      </c>
      <c r="O235" s="21" t="s">
        <v>2801</v>
      </c>
      <c r="P235" s="27">
        <v>0</v>
      </c>
      <c r="Q235" s="27">
        <v>31</v>
      </c>
      <c r="R235" s="21" t="s">
        <v>2802</v>
      </c>
      <c r="S235" s="21" t="s">
        <v>2803</v>
      </c>
      <c r="T235" s="21" t="s">
        <v>966</v>
      </c>
      <c r="U235" s="21" t="s">
        <v>2804</v>
      </c>
    </row>
    <row r="236" spans="1:21" ht="112">
      <c r="A236" s="21" t="s">
        <v>905</v>
      </c>
      <c r="B236" s="21" t="s">
        <v>906</v>
      </c>
      <c r="C236" s="21"/>
      <c r="D236" s="21" t="s">
        <v>180</v>
      </c>
      <c r="E236" s="21" t="s">
        <v>955</v>
      </c>
      <c r="F236" s="21" t="s">
        <v>2805</v>
      </c>
      <c r="G236" s="21" t="s">
        <v>2806</v>
      </c>
      <c r="H236" s="28">
        <v>42415</v>
      </c>
      <c r="I236" s="22">
        <v>2016</v>
      </c>
      <c r="J236" s="21" t="s">
        <v>958</v>
      </c>
      <c r="K236" s="21" t="s">
        <v>2765</v>
      </c>
      <c r="L236" s="21" t="s">
        <v>2807</v>
      </c>
      <c r="M236" s="21" t="s">
        <v>2808</v>
      </c>
      <c r="N236" s="21" t="s">
        <v>2809</v>
      </c>
      <c r="O236" s="21" t="s">
        <v>2810</v>
      </c>
      <c r="P236" s="27">
        <v>0</v>
      </c>
      <c r="Q236" s="27">
        <v>32</v>
      </c>
      <c r="R236" s="21" t="s">
        <v>2811</v>
      </c>
      <c r="S236" s="21" t="s">
        <v>2812</v>
      </c>
      <c r="T236" s="21" t="s">
        <v>966</v>
      </c>
      <c r="U236" s="21" t="s">
        <v>2813</v>
      </c>
    </row>
    <row r="237" spans="1:21" ht="28">
      <c r="A237" s="21" t="s">
        <v>905</v>
      </c>
      <c r="B237" s="21" t="s">
        <v>906</v>
      </c>
      <c r="C237" s="21"/>
      <c r="D237" s="21" t="s">
        <v>180</v>
      </c>
      <c r="E237" s="21" t="s">
        <v>955</v>
      </c>
      <c r="F237" s="21" t="s">
        <v>2814</v>
      </c>
      <c r="G237" s="21" t="s">
        <v>2815</v>
      </c>
      <c r="H237" s="28">
        <v>42866</v>
      </c>
      <c r="I237" s="22">
        <v>2017</v>
      </c>
      <c r="J237" s="21" t="s">
        <v>1012</v>
      </c>
      <c r="K237" s="21" t="s">
        <v>998</v>
      </c>
      <c r="L237" s="21" t="s">
        <v>2816</v>
      </c>
      <c r="M237" s="21" t="s">
        <v>961</v>
      </c>
      <c r="N237" s="21" t="s">
        <v>2817</v>
      </c>
      <c r="O237" s="21" t="s">
        <v>2818</v>
      </c>
      <c r="P237" s="27">
        <v>1</v>
      </c>
      <c r="Q237" s="27">
        <v>9</v>
      </c>
      <c r="R237" s="21" t="s">
        <v>2819</v>
      </c>
      <c r="S237" s="21" t="s">
        <v>2820</v>
      </c>
      <c r="T237" s="21" t="s">
        <v>1148</v>
      </c>
      <c r="U237" s="21" t="s">
        <v>2821</v>
      </c>
    </row>
    <row r="238" spans="1:21" ht="70">
      <c r="A238" s="21" t="s">
        <v>905</v>
      </c>
      <c r="B238" s="21" t="s">
        <v>906</v>
      </c>
      <c r="C238" s="21"/>
      <c r="D238" s="21" t="s">
        <v>180</v>
      </c>
      <c r="E238" s="21" t="s">
        <v>955</v>
      </c>
      <c r="F238" s="21" t="s">
        <v>2822</v>
      </c>
      <c r="G238" s="21" t="s">
        <v>2823</v>
      </c>
      <c r="H238" s="28">
        <v>43167</v>
      </c>
      <c r="I238" s="22">
        <v>2018</v>
      </c>
      <c r="J238" s="21" t="s">
        <v>1012</v>
      </c>
      <c r="K238" s="21" t="s">
        <v>998</v>
      </c>
      <c r="L238" s="21" t="s">
        <v>2824</v>
      </c>
      <c r="M238" s="21" t="s">
        <v>961</v>
      </c>
      <c r="N238" s="21" t="s">
        <v>2825</v>
      </c>
      <c r="O238" s="21" t="s">
        <v>2826</v>
      </c>
      <c r="P238" s="27">
        <v>0</v>
      </c>
      <c r="Q238" s="27">
        <v>2</v>
      </c>
      <c r="R238" s="21" t="s">
        <v>2827</v>
      </c>
      <c r="S238" s="21" t="s">
        <v>2828</v>
      </c>
      <c r="T238" s="21" t="s">
        <v>994</v>
      </c>
      <c r="U238" s="21" t="s">
        <v>2829</v>
      </c>
    </row>
    <row r="239" spans="1:21" ht="84">
      <c r="A239" s="21" t="s">
        <v>905</v>
      </c>
      <c r="B239" s="21" t="s">
        <v>906</v>
      </c>
      <c r="C239" s="21"/>
      <c r="D239" s="21" t="s">
        <v>180</v>
      </c>
      <c r="E239" s="21" t="s">
        <v>955</v>
      </c>
      <c r="F239" s="21" t="s">
        <v>2830</v>
      </c>
      <c r="G239" s="21" t="s">
        <v>2831</v>
      </c>
      <c r="H239" s="28">
        <v>42384</v>
      </c>
      <c r="I239" s="22">
        <v>2016</v>
      </c>
      <c r="J239" s="21" t="s">
        <v>1012</v>
      </c>
      <c r="K239" s="21" t="s">
        <v>1013</v>
      </c>
      <c r="L239" s="21" t="s">
        <v>2832</v>
      </c>
      <c r="M239" s="21" t="s">
        <v>961</v>
      </c>
      <c r="N239" s="21" t="s">
        <v>2833</v>
      </c>
      <c r="O239" s="21" t="s">
        <v>2834</v>
      </c>
      <c r="P239" s="27">
        <v>0</v>
      </c>
      <c r="Q239" s="27">
        <v>7</v>
      </c>
      <c r="R239" s="21" t="s">
        <v>2835</v>
      </c>
      <c r="S239" s="21" t="s">
        <v>2836</v>
      </c>
      <c r="T239" s="21" t="s">
        <v>966</v>
      </c>
      <c r="U239" s="21" t="s">
        <v>2837</v>
      </c>
    </row>
    <row r="240" spans="1:21" ht="56">
      <c r="A240" s="21" t="s">
        <v>905</v>
      </c>
      <c r="B240" s="21" t="s">
        <v>906</v>
      </c>
      <c r="C240" s="21"/>
      <c r="D240" s="21" t="s">
        <v>180</v>
      </c>
      <c r="E240" s="21" t="s">
        <v>955</v>
      </c>
      <c r="F240" s="21" t="s">
        <v>2838</v>
      </c>
      <c r="G240" s="21" t="s">
        <v>2839</v>
      </c>
      <c r="H240" s="28">
        <v>43367</v>
      </c>
      <c r="I240" s="22">
        <v>2018</v>
      </c>
      <c r="J240" s="21" t="s">
        <v>1012</v>
      </c>
      <c r="K240" s="21" t="s">
        <v>998</v>
      </c>
      <c r="L240" s="21" t="s">
        <v>2840</v>
      </c>
      <c r="M240" s="21" t="s">
        <v>961</v>
      </c>
      <c r="N240" s="21" t="s">
        <v>2841</v>
      </c>
      <c r="O240" s="21" t="s">
        <v>2842</v>
      </c>
      <c r="P240" s="27">
        <v>0</v>
      </c>
      <c r="Q240" s="27">
        <v>3</v>
      </c>
      <c r="R240" s="21" t="s">
        <v>2843</v>
      </c>
      <c r="S240" s="21" t="s">
        <v>2844</v>
      </c>
      <c r="T240" s="21" t="s">
        <v>1148</v>
      </c>
      <c r="U240" s="21" t="s">
        <v>2845</v>
      </c>
    </row>
    <row r="241" spans="1:21" ht="56">
      <c r="A241" s="21" t="s">
        <v>905</v>
      </c>
      <c r="B241" s="21" t="s">
        <v>906</v>
      </c>
      <c r="C241" s="21"/>
      <c r="D241" s="21" t="s">
        <v>180</v>
      </c>
      <c r="E241" s="21" t="s">
        <v>955</v>
      </c>
      <c r="F241" s="21" t="s">
        <v>2846</v>
      </c>
      <c r="G241" s="21" t="s">
        <v>2847</v>
      </c>
      <c r="H241" s="28">
        <v>43418</v>
      </c>
      <c r="I241" s="22">
        <v>2018</v>
      </c>
      <c r="J241" s="21" t="s">
        <v>1012</v>
      </c>
      <c r="K241" s="21" t="s">
        <v>998</v>
      </c>
      <c r="L241" s="21" t="s">
        <v>2848</v>
      </c>
      <c r="M241" s="21" t="s">
        <v>961</v>
      </c>
      <c r="N241" s="21" t="s">
        <v>2849</v>
      </c>
      <c r="O241" s="21" t="s">
        <v>2395</v>
      </c>
      <c r="P241" s="27">
        <v>0</v>
      </c>
      <c r="Q241" s="27">
        <v>8</v>
      </c>
      <c r="R241" s="21" t="s">
        <v>2850</v>
      </c>
      <c r="S241" s="21" t="s">
        <v>2851</v>
      </c>
      <c r="T241" s="21" t="s">
        <v>1148</v>
      </c>
      <c r="U241" s="21" t="s">
        <v>2852</v>
      </c>
    </row>
    <row r="242" spans="1:21" ht="56">
      <c r="A242" s="21" t="s">
        <v>905</v>
      </c>
      <c r="B242" s="21" t="s">
        <v>906</v>
      </c>
      <c r="C242" s="21"/>
      <c r="D242" s="21" t="s">
        <v>180</v>
      </c>
      <c r="E242" s="21" t="s">
        <v>955</v>
      </c>
      <c r="F242" s="21" t="s">
        <v>2853</v>
      </c>
      <c r="G242" s="21" t="s">
        <v>2854</v>
      </c>
      <c r="H242" s="28">
        <v>43997</v>
      </c>
      <c r="I242" s="22">
        <v>2020</v>
      </c>
      <c r="J242" s="21" t="s">
        <v>1012</v>
      </c>
      <c r="K242" s="21" t="s">
        <v>998</v>
      </c>
      <c r="L242" s="21" t="s">
        <v>2855</v>
      </c>
      <c r="M242" s="21" t="s">
        <v>961</v>
      </c>
      <c r="N242" s="21" t="s">
        <v>2856</v>
      </c>
      <c r="O242" s="21" t="s">
        <v>2857</v>
      </c>
      <c r="P242" s="27">
        <v>1</v>
      </c>
      <c r="Q242" s="27">
        <v>1</v>
      </c>
      <c r="R242" s="21" t="s">
        <v>2858</v>
      </c>
      <c r="S242" s="21" t="s">
        <v>2859</v>
      </c>
      <c r="T242" s="21" t="s">
        <v>1148</v>
      </c>
      <c r="U242" s="21" t="s">
        <v>2860</v>
      </c>
    </row>
    <row r="243" spans="1:21" ht="84">
      <c r="A243" s="21" t="s">
        <v>905</v>
      </c>
      <c r="B243" s="21" t="s">
        <v>906</v>
      </c>
      <c r="C243" s="21"/>
      <c r="D243" s="21" t="s">
        <v>180</v>
      </c>
      <c r="E243" s="21" t="s">
        <v>955</v>
      </c>
      <c r="F243" s="21" t="s">
        <v>2861</v>
      </c>
      <c r="G243" s="21" t="s">
        <v>2862</v>
      </c>
      <c r="H243" s="28">
        <v>43311</v>
      </c>
      <c r="I243" s="22">
        <v>2018</v>
      </c>
      <c r="J243" s="21" t="s">
        <v>1012</v>
      </c>
      <c r="K243" s="21" t="s">
        <v>998</v>
      </c>
      <c r="L243" s="21" t="s">
        <v>2863</v>
      </c>
      <c r="M243" s="21" t="s">
        <v>961</v>
      </c>
      <c r="N243" s="21" t="s">
        <v>2864</v>
      </c>
      <c r="O243" s="21" t="s">
        <v>1203</v>
      </c>
      <c r="P243" s="27">
        <v>0</v>
      </c>
      <c r="Q243" s="27">
        <v>12</v>
      </c>
      <c r="R243" s="21" t="s">
        <v>2865</v>
      </c>
      <c r="S243" s="21" t="s">
        <v>2866</v>
      </c>
      <c r="T243" s="21" t="s">
        <v>1148</v>
      </c>
      <c r="U243" s="21" t="s">
        <v>2867</v>
      </c>
    </row>
    <row r="244" spans="1:21" ht="56">
      <c r="A244" s="21" t="s">
        <v>905</v>
      </c>
      <c r="B244" s="21" t="s">
        <v>906</v>
      </c>
      <c r="C244" s="21"/>
      <c r="D244" s="21" t="s">
        <v>180</v>
      </c>
      <c r="E244" s="21" t="s">
        <v>955</v>
      </c>
      <c r="F244" s="21" t="s">
        <v>2868</v>
      </c>
      <c r="G244" s="21" t="s">
        <v>2869</v>
      </c>
      <c r="H244" s="28">
        <v>42900</v>
      </c>
      <c r="I244" s="22">
        <v>2017</v>
      </c>
      <c r="J244" s="21" t="s">
        <v>1012</v>
      </c>
      <c r="K244" s="21" t="s">
        <v>998</v>
      </c>
      <c r="L244" s="21" t="s">
        <v>2870</v>
      </c>
      <c r="M244" s="21" t="s">
        <v>961</v>
      </c>
      <c r="N244" s="21" t="s">
        <v>2871</v>
      </c>
      <c r="O244" s="21" t="s">
        <v>2872</v>
      </c>
      <c r="P244" s="27">
        <v>0</v>
      </c>
      <c r="Q244" s="27">
        <v>7</v>
      </c>
      <c r="R244" s="21" t="s">
        <v>2873</v>
      </c>
      <c r="S244" s="21" t="s">
        <v>2874</v>
      </c>
      <c r="T244" s="21" t="s">
        <v>1148</v>
      </c>
      <c r="U244" s="21" t="s">
        <v>2875</v>
      </c>
    </row>
    <row r="245" spans="1:21" ht="42">
      <c r="A245" s="21" t="s">
        <v>905</v>
      </c>
      <c r="B245" s="21" t="s">
        <v>906</v>
      </c>
      <c r="C245" s="21"/>
      <c r="D245" s="21" t="s">
        <v>180</v>
      </c>
      <c r="E245" s="21" t="s">
        <v>955</v>
      </c>
      <c r="F245" s="21" t="s">
        <v>2876</v>
      </c>
      <c r="G245" s="21" t="s">
        <v>2877</v>
      </c>
      <c r="H245" s="28">
        <v>42401</v>
      </c>
      <c r="I245" s="22">
        <v>2016</v>
      </c>
      <c r="J245" s="21" t="s">
        <v>1012</v>
      </c>
      <c r="K245" s="21" t="s">
        <v>1013</v>
      </c>
      <c r="L245" s="21" t="s">
        <v>2878</v>
      </c>
      <c r="M245" s="21" t="s">
        <v>961</v>
      </c>
      <c r="N245" s="21" t="s">
        <v>2879</v>
      </c>
      <c r="O245" s="21" t="s">
        <v>2880</v>
      </c>
      <c r="P245" s="27">
        <v>0</v>
      </c>
      <c r="Q245" s="27">
        <v>30</v>
      </c>
      <c r="R245" s="21" t="s">
        <v>2881</v>
      </c>
      <c r="S245" s="21" t="s">
        <v>2882</v>
      </c>
      <c r="T245" s="21" t="s">
        <v>966</v>
      </c>
      <c r="U245" s="21" t="s">
        <v>2883</v>
      </c>
    </row>
    <row r="246" spans="1:21" ht="42">
      <c r="A246" s="21" t="s">
        <v>905</v>
      </c>
      <c r="B246" s="21" t="s">
        <v>906</v>
      </c>
      <c r="C246" s="21"/>
      <c r="D246" s="21" t="s">
        <v>180</v>
      </c>
      <c r="E246" s="21" t="s">
        <v>955</v>
      </c>
      <c r="F246" s="21" t="s">
        <v>2884</v>
      </c>
      <c r="G246" s="21" t="s">
        <v>2885</v>
      </c>
      <c r="H246" s="28">
        <v>42810</v>
      </c>
      <c r="I246" s="22">
        <v>2017</v>
      </c>
      <c r="J246" s="21" t="s">
        <v>1012</v>
      </c>
      <c r="K246" s="21" t="s">
        <v>998</v>
      </c>
      <c r="L246" s="21" t="s">
        <v>2886</v>
      </c>
      <c r="M246" s="21" t="s">
        <v>961</v>
      </c>
      <c r="N246" s="21" t="s">
        <v>2887</v>
      </c>
      <c r="O246" s="21" t="s">
        <v>2888</v>
      </c>
      <c r="P246" s="27">
        <v>0</v>
      </c>
      <c r="Q246" s="27">
        <v>29</v>
      </c>
      <c r="R246" s="21" t="s">
        <v>2889</v>
      </c>
      <c r="S246" s="21" t="s">
        <v>2890</v>
      </c>
      <c r="T246" s="21" t="s">
        <v>1148</v>
      </c>
      <c r="U246" s="21" t="s">
        <v>2891</v>
      </c>
    </row>
    <row r="247" spans="1:21" ht="112">
      <c r="A247" s="21" t="s">
        <v>905</v>
      </c>
      <c r="B247" s="21" t="s">
        <v>906</v>
      </c>
      <c r="C247" s="21"/>
      <c r="D247" s="21" t="s">
        <v>180</v>
      </c>
      <c r="E247" s="21" t="s">
        <v>955</v>
      </c>
      <c r="F247" s="21" t="s">
        <v>2892</v>
      </c>
      <c r="G247" s="21" t="s">
        <v>2893</v>
      </c>
      <c r="H247" s="28">
        <v>43374</v>
      </c>
      <c r="I247" s="22">
        <v>2018</v>
      </c>
      <c r="J247" s="21" t="s">
        <v>1012</v>
      </c>
      <c r="K247" s="21" t="s">
        <v>998</v>
      </c>
      <c r="L247" s="21" t="s">
        <v>2894</v>
      </c>
      <c r="M247" s="21" t="s">
        <v>961</v>
      </c>
      <c r="N247" s="21" t="s">
        <v>2895</v>
      </c>
      <c r="O247" s="21" t="s">
        <v>2896</v>
      </c>
      <c r="P247" s="27">
        <v>4</v>
      </c>
      <c r="Q247" s="27">
        <v>13</v>
      </c>
      <c r="R247" s="21" t="s">
        <v>2897</v>
      </c>
      <c r="S247" s="21" t="s">
        <v>2898</v>
      </c>
      <c r="T247" s="21" t="s">
        <v>1148</v>
      </c>
      <c r="U247" s="21" t="s">
        <v>2899</v>
      </c>
    </row>
    <row r="248" spans="1:21" ht="140">
      <c r="A248" s="21" t="s">
        <v>905</v>
      </c>
      <c r="B248" s="21" t="s">
        <v>906</v>
      </c>
      <c r="C248" s="21"/>
      <c r="D248" s="21" t="s">
        <v>180</v>
      </c>
      <c r="E248" s="21" t="s">
        <v>955</v>
      </c>
      <c r="F248" s="21" t="s">
        <v>2900</v>
      </c>
      <c r="G248" s="21" t="s">
        <v>2901</v>
      </c>
      <c r="H248" s="28">
        <v>43945</v>
      </c>
      <c r="I248" s="22">
        <v>2020</v>
      </c>
      <c r="J248" s="21" t="s">
        <v>1012</v>
      </c>
      <c r="K248" s="21" t="s">
        <v>998</v>
      </c>
      <c r="L248" s="21" t="s">
        <v>2902</v>
      </c>
      <c r="M248" s="21" t="s">
        <v>961</v>
      </c>
      <c r="N248" s="21" t="s">
        <v>2903</v>
      </c>
      <c r="O248" s="21" t="s">
        <v>2148</v>
      </c>
      <c r="P248" s="27">
        <v>0</v>
      </c>
      <c r="Q248" s="27">
        <v>25</v>
      </c>
      <c r="R248" s="21" t="s">
        <v>2904</v>
      </c>
      <c r="S248" s="21" t="s">
        <v>2905</v>
      </c>
      <c r="T248" s="21" t="s">
        <v>966</v>
      </c>
      <c r="U248" s="21" t="s">
        <v>2906</v>
      </c>
    </row>
    <row r="249" spans="1:21" ht="84">
      <c r="A249" s="21" t="s">
        <v>905</v>
      </c>
      <c r="B249" s="21" t="s">
        <v>906</v>
      </c>
      <c r="C249" s="21"/>
      <c r="D249" s="21" t="s">
        <v>180</v>
      </c>
      <c r="E249" s="21" t="s">
        <v>955</v>
      </c>
      <c r="F249" s="21" t="s">
        <v>2907</v>
      </c>
      <c r="G249" s="21" t="s">
        <v>2908</v>
      </c>
      <c r="H249" s="28">
        <v>43299</v>
      </c>
      <c r="I249" s="22">
        <v>2018</v>
      </c>
      <c r="J249" s="21" t="s">
        <v>1012</v>
      </c>
      <c r="K249" s="21" t="s">
        <v>1013</v>
      </c>
      <c r="L249" s="21" t="s">
        <v>2909</v>
      </c>
      <c r="M249" s="21" t="s">
        <v>961</v>
      </c>
      <c r="N249" s="21" t="s">
        <v>2910</v>
      </c>
      <c r="O249" s="21" t="s">
        <v>2911</v>
      </c>
      <c r="P249" s="27">
        <v>0</v>
      </c>
      <c r="Q249" s="27">
        <v>25</v>
      </c>
      <c r="R249" s="21" t="s">
        <v>2912</v>
      </c>
      <c r="S249" s="21" t="s">
        <v>2913</v>
      </c>
      <c r="T249" s="21" t="s">
        <v>966</v>
      </c>
      <c r="U249" s="21" t="s">
        <v>2914</v>
      </c>
    </row>
    <row r="250" spans="1:21" ht="84">
      <c r="A250" s="21" t="s">
        <v>905</v>
      </c>
      <c r="B250" s="21" t="s">
        <v>906</v>
      </c>
      <c r="C250" s="21"/>
      <c r="D250" s="21" t="s">
        <v>180</v>
      </c>
      <c r="E250" s="21" t="s">
        <v>955</v>
      </c>
      <c r="F250" s="21" t="s">
        <v>2915</v>
      </c>
      <c r="G250" s="21" t="s">
        <v>2916</v>
      </c>
      <c r="H250" s="28">
        <v>42825</v>
      </c>
      <c r="I250" s="22">
        <v>2017</v>
      </c>
      <c r="J250" s="21" t="s">
        <v>1012</v>
      </c>
      <c r="K250" s="21" t="s">
        <v>1013</v>
      </c>
      <c r="L250" s="21" t="s">
        <v>2917</v>
      </c>
      <c r="M250" s="21" t="s">
        <v>961</v>
      </c>
      <c r="N250" s="21" t="s">
        <v>2918</v>
      </c>
      <c r="O250" s="21" t="s">
        <v>2919</v>
      </c>
      <c r="P250" s="27">
        <v>0</v>
      </c>
      <c r="Q250" s="27">
        <v>28</v>
      </c>
      <c r="R250" s="21" t="s">
        <v>2920</v>
      </c>
      <c r="S250" s="21" t="s">
        <v>2921</v>
      </c>
      <c r="T250" s="21" t="s">
        <v>966</v>
      </c>
      <c r="U250" s="21" t="s">
        <v>2922</v>
      </c>
    </row>
    <row r="251" spans="1:21" ht="70">
      <c r="A251" s="21" t="s">
        <v>905</v>
      </c>
      <c r="B251" s="21" t="s">
        <v>906</v>
      </c>
      <c r="C251" s="21"/>
      <c r="D251" s="21" t="s">
        <v>180</v>
      </c>
      <c r="E251" s="21" t="s">
        <v>955</v>
      </c>
      <c r="F251" s="21" t="s">
        <v>2923</v>
      </c>
      <c r="G251" s="21" t="s">
        <v>2924</v>
      </c>
      <c r="H251" s="28">
        <v>43311</v>
      </c>
      <c r="I251" s="22">
        <v>2018</v>
      </c>
      <c r="J251" s="21" t="s">
        <v>1012</v>
      </c>
      <c r="K251" s="21" t="s">
        <v>998</v>
      </c>
      <c r="L251" s="21" t="s">
        <v>2925</v>
      </c>
      <c r="M251" s="21" t="s">
        <v>961</v>
      </c>
      <c r="N251" s="21" t="s">
        <v>2864</v>
      </c>
      <c r="O251" s="21" t="s">
        <v>1203</v>
      </c>
      <c r="P251" s="27">
        <v>0</v>
      </c>
      <c r="Q251" s="27">
        <v>11</v>
      </c>
      <c r="R251" s="21" t="s">
        <v>2926</v>
      </c>
      <c r="S251" s="21" t="s">
        <v>2927</v>
      </c>
      <c r="T251" s="21" t="s">
        <v>1148</v>
      </c>
      <c r="U251" s="21" t="s">
        <v>2928</v>
      </c>
    </row>
    <row r="252" spans="1:21" ht="70">
      <c r="A252" s="21" t="s">
        <v>905</v>
      </c>
      <c r="B252" s="21" t="s">
        <v>906</v>
      </c>
      <c r="C252" s="21"/>
      <c r="D252" s="21" t="s">
        <v>180</v>
      </c>
      <c r="E252" s="21" t="s">
        <v>955</v>
      </c>
      <c r="F252" s="21" t="s">
        <v>2929</v>
      </c>
      <c r="G252" s="21" t="s">
        <v>2930</v>
      </c>
      <c r="H252" s="28">
        <v>41498</v>
      </c>
      <c r="I252" s="22">
        <v>2013</v>
      </c>
      <c r="J252" s="21" t="s">
        <v>958</v>
      </c>
      <c r="K252" s="21" t="s">
        <v>998</v>
      </c>
      <c r="L252" s="21" t="s">
        <v>2931</v>
      </c>
      <c r="M252" s="21" t="s">
        <v>961</v>
      </c>
      <c r="N252" s="21" t="s">
        <v>2932</v>
      </c>
      <c r="O252" s="21" t="s">
        <v>2933</v>
      </c>
      <c r="P252" s="27">
        <v>0</v>
      </c>
      <c r="Q252" s="27">
        <v>65</v>
      </c>
      <c r="R252" s="21" t="s">
        <v>2934</v>
      </c>
      <c r="S252" s="21" t="s">
        <v>2935</v>
      </c>
      <c r="T252" s="21" t="s">
        <v>1148</v>
      </c>
      <c r="U252" s="21" t="s">
        <v>2936</v>
      </c>
    </row>
    <row r="253" spans="1:21" ht="70">
      <c r="A253" s="21" t="s">
        <v>905</v>
      </c>
      <c r="B253" s="21" t="s">
        <v>906</v>
      </c>
      <c r="C253" s="21"/>
      <c r="D253" s="21" t="s">
        <v>180</v>
      </c>
      <c r="E253" s="21" t="s">
        <v>955</v>
      </c>
      <c r="F253" s="21" t="s">
        <v>2937</v>
      </c>
      <c r="G253" s="21" t="s">
        <v>2938</v>
      </c>
      <c r="H253" s="28">
        <v>42635</v>
      </c>
      <c r="I253" s="22">
        <v>2016</v>
      </c>
      <c r="J253" s="21" t="s">
        <v>1012</v>
      </c>
      <c r="K253" s="21" t="s">
        <v>998</v>
      </c>
      <c r="L253" s="21" t="s">
        <v>2939</v>
      </c>
      <c r="M253" s="21" t="s">
        <v>961</v>
      </c>
      <c r="N253" s="21" t="s">
        <v>2940</v>
      </c>
      <c r="O253" s="21" t="s">
        <v>2941</v>
      </c>
      <c r="P253" s="27">
        <v>0</v>
      </c>
      <c r="Q253" s="27">
        <v>47</v>
      </c>
      <c r="R253" s="21" t="s">
        <v>2942</v>
      </c>
      <c r="S253" s="21" t="s">
        <v>2943</v>
      </c>
      <c r="T253" s="21" t="s">
        <v>1148</v>
      </c>
      <c r="U253" s="21" t="s">
        <v>2944</v>
      </c>
    </row>
    <row r="254" spans="1:21" ht="84">
      <c r="A254" s="21" t="s">
        <v>905</v>
      </c>
      <c r="B254" s="21" t="s">
        <v>906</v>
      </c>
      <c r="C254" s="21"/>
      <c r="D254" s="21" t="s">
        <v>180</v>
      </c>
      <c r="E254" s="21" t="s">
        <v>955</v>
      </c>
      <c r="F254" s="21" t="s">
        <v>2945</v>
      </c>
      <c r="G254" s="21" t="s">
        <v>2946</v>
      </c>
      <c r="H254" s="28">
        <v>42293</v>
      </c>
      <c r="I254" s="22">
        <v>2015</v>
      </c>
      <c r="J254" s="21" t="s">
        <v>1012</v>
      </c>
      <c r="K254" s="21" t="s">
        <v>998</v>
      </c>
      <c r="L254" s="21" t="s">
        <v>2947</v>
      </c>
      <c r="M254" s="21" t="s">
        <v>961</v>
      </c>
      <c r="N254" s="21" t="s">
        <v>2948</v>
      </c>
      <c r="O254" s="21" t="s">
        <v>2949</v>
      </c>
      <c r="P254" s="27">
        <v>0</v>
      </c>
      <c r="Q254" s="27">
        <v>13</v>
      </c>
      <c r="R254" s="21" t="s">
        <v>2950</v>
      </c>
      <c r="S254" s="21" t="s">
        <v>2951</v>
      </c>
      <c r="T254" s="21" t="s">
        <v>966</v>
      </c>
      <c r="U254" s="21" t="s">
        <v>2952</v>
      </c>
    </row>
    <row r="255" spans="1:21" ht="28">
      <c r="A255" s="21" t="s">
        <v>905</v>
      </c>
      <c r="B255" s="21" t="s">
        <v>906</v>
      </c>
      <c r="C255" s="21"/>
      <c r="D255" s="21" t="s">
        <v>180</v>
      </c>
      <c r="E255" s="21" t="s">
        <v>955</v>
      </c>
      <c r="F255" s="21" t="s">
        <v>2953</v>
      </c>
      <c r="G255" s="21" t="s">
        <v>2954</v>
      </c>
      <c r="H255" s="28">
        <v>42852</v>
      </c>
      <c r="I255" s="22">
        <v>2017</v>
      </c>
      <c r="J255" s="21" t="s">
        <v>1012</v>
      </c>
      <c r="K255" s="21" t="s">
        <v>1013</v>
      </c>
      <c r="L255" s="21" t="s">
        <v>2955</v>
      </c>
      <c r="M255" s="21" t="s">
        <v>961</v>
      </c>
      <c r="N255" s="21" t="s">
        <v>2956</v>
      </c>
      <c r="O255" s="21" t="s">
        <v>2957</v>
      </c>
      <c r="P255" s="27">
        <v>0</v>
      </c>
      <c r="Q255" s="27">
        <v>11</v>
      </c>
      <c r="R255" s="21" t="s">
        <v>2958</v>
      </c>
      <c r="S255" s="21" t="s">
        <v>2959</v>
      </c>
      <c r="T255" s="21" t="s">
        <v>966</v>
      </c>
      <c r="U255" s="21" t="s">
        <v>2960</v>
      </c>
    </row>
    <row r="256" spans="1:21" ht="28">
      <c r="A256" s="21" t="s">
        <v>905</v>
      </c>
      <c r="B256" s="21" t="s">
        <v>906</v>
      </c>
      <c r="C256" s="21"/>
      <c r="D256" s="21" t="s">
        <v>180</v>
      </c>
      <c r="E256" s="21" t="s">
        <v>955</v>
      </c>
      <c r="F256" s="21" t="s">
        <v>2961</v>
      </c>
      <c r="G256" s="21" t="s">
        <v>2962</v>
      </c>
      <c r="H256" s="28">
        <v>43350</v>
      </c>
      <c r="I256" s="22">
        <v>2018</v>
      </c>
      <c r="J256" s="21" t="s">
        <v>1012</v>
      </c>
      <c r="K256" s="21" t="s">
        <v>998</v>
      </c>
      <c r="L256" s="21" t="s">
        <v>2963</v>
      </c>
      <c r="M256" s="21" t="s">
        <v>961</v>
      </c>
      <c r="N256" s="21" t="s">
        <v>2964</v>
      </c>
      <c r="O256" s="21" t="s">
        <v>2965</v>
      </c>
      <c r="P256" s="27">
        <v>2</v>
      </c>
      <c r="Q256" s="27">
        <v>8</v>
      </c>
      <c r="R256" s="21" t="s">
        <v>2966</v>
      </c>
      <c r="S256" s="21" t="s">
        <v>1663</v>
      </c>
      <c r="T256" s="21" t="s">
        <v>966</v>
      </c>
      <c r="U256" s="21" t="s">
        <v>2967</v>
      </c>
    </row>
    <row r="257" spans="1:21" ht="56">
      <c r="A257" s="21" t="s">
        <v>905</v>
      </c>
      <c r="B257" s="21" t="s">
        <v>906</v>
      </c>
      <c r="C257" s="21"/>
      <c r="D257" s="21" t="s">
        <v>180</v>
      </c>
      <c r="E257" s="21" t="s">
        <v>955</v>
      </c>
      <c r="F257" s="21" t="s">
        <v>2968</v>
      </c>
      <c r="G257" s="21" t="s">
        <v>2969</v>
      </c>
      <c r="H257" s="28">
        <v>43244</v>
      </c>
      <c r="I257" s="22">
        <v>2018</v>
      </c>
      <c r="J257" s="21" t="s">
        <v>1012</v>
      </c>
      <c r="K257" s="21" t="s">
        <v>998</v>
      </c>
      <c r="L257" s="21" t="s">
        <v>2970</v>
      </c>
      <c r="M257" s="21" t="s">
        <v>961</v>
      </c>
      <c r="N257" s="21" t="s">
        <v>2971</v>
      </c>
      <c r="O257" s="21" t="s">
        <v>2972</v>
      </c>
      <c r="P257" s="27">
        <v>0</v>
      </c>
      <c r="Q257" s="27">
        <v>19</v>
      </c>
      <c r="R257" s="21" t="s">
        <v>2973</v>
      </c>
      <c r="S257" s="21" t="s">
        <v>2974</v>
      </c>
      <c r="T257" s="21" t="s">
        <v>1148</v>
      </c>
      <c r="U257" s="21" t="s">
        <v>2975</v>
      </c>
    </row>
    <row r="258" spans="1:21" ht="70">
      <c r="A258" s="21" t="s">
        <v>905</v>
      </c>
      <c r="B258" s="21" t="s">
        <v>906</v>
      </c>
      <c r="C258" s="21"/>
      <c r="D258" s="21" t="s">
        <v>180</v>
      </c>
      <c r="E258" s="21" t="s">
        <v>955</v>
      </c>
      <c r="F258" s="21" t="s">
        <v>2976</v>
      </c>
      <c r="G258" s="21" t="s">
        <v>2977</v>
      </c>
      <c r="H258" s="28">
        <v>40337</v>
      </c>
      <c r="I258" s="22">
        <v>2010</v>
      </c>
      <c r="J258" s="21" t="s">
        <v>1012</v>
      </c>
      <c r="K258" s="21" t="s">
        <v>998</v>
      </c>
      <c r="L258" s="21" t="s">
        <v>2978</v>
      </c>
      <c r="M258" s="21" t="s">
        <v>2979</v>
      </c>
      <c r="N258" s="21" t="s">
        <v>2980</v>
      </c>
      <c r="O258" s="21" t="s">
        <v>2981</v>
      </c>
      <c r="P258" s="27">
        <v>0</v>
      </c>
      <c r="Q258" s="27">
        <v>45</v>
      </c>
      <c r="R258" s="21" t="s">
        <v>2982</v>
      </c>
      <c r="S258" s="21" t="s">
        <v>2983</v>
      </c>
      <c r="T258" s="21" t="s">
        <v>1148</v>
      </c>
      <c r="U258" s="21" t="s">
        <v>2984</v>
      </c>
    </row>
    <row r="259" spans="1:21" ht="70">
      <c r="A259" s="21" t="s">
        <v>905</v>
      </c>
      <c r="B259" s="21" t="s">
        <v>906</v>
      </c>
      <c r="C259" s="21"/>
      <c r="D259" s="21" t="s">
        <v>180</v>
      </c>
      <c r="E259" s="21" t="s">
        <v>955</v>
      </c>
      <c r="F259" s="21" t="s">
        <v>2985</v>
      </c>
      <c r="G259" s="21" t="s">
        <v>2986</v>
      </c>
      <c r="H259" s="28">
        <v>42765</v>
      </c>
      <c r="I259" s="22">
        <v>2017</v>
      </c>
      <c r="J259" s="21" t="s">
        <v>1012</v>
      </c>
      <c r="K259" s="21" t="s">
        <v>1013</v>
      </c>
      <c r="L259" s="21" t="s">
        <v>2987</v>
      </c>
      <c r="M259" s="21" t="s">
        <v>961</v>
      </c>
      <c r="N259" s="21" t="s">
        <v>2988</v>
      </c>
      <c r="O259" s="21" t="s">
        <v>2989</v>
      </c>
      <c r="P259" s="27">
        <v>0</v>
      </c>
      <c r="Q259" s="27">
        <v>53</v>
      </c>
      <c r="R259" s="21" t="s">
        <v>2990</v>
      </c>
      <c r="S259" s="21" t="s">
        <v>2991</v>
      </c>
      <c r="T259" s="21" t="s">
        <v>966</v>
      </c>
      <c r="U259" s="21" t="s">
        <v>2992</v>
      </c>
    </row>
    <row r="260" spans="1:21" ht="42">
      <c r="A260" s="21" t="s">
        <v>905</v>
      </c>
      <c r="B260" s="21" t="s">
        <v>906</v>
      </c>
      <c r="C260" s="21"/>
      <c r="D260" s="21" t="s">
        <v>180</v>
      </c>
      <c r="E260" s="21" t="s">
        <v>955</v>
      </c>
      <c r="F260" s="21" t="s">
        <v>2993</v>
      </c>
      <c r="G260" s="21" t="s">
        <v>2994</v>
      </c>
      <c r="H260" s="28">
        <v>43781</v>
      </c>
      <c r="I260" s="22">
        <v>2019</v>
      </c>
      <c r="J260" s="21" t="s">
        <v>1012</v>
      </c>
      <c r="K260" s="21" t="s">
        <v>998</v>
      </c>
      <c r="L260" s="21" t="s">
        <v>2995</v>
      </c>
      <c r="M260" s="21" t="s">
        <v>961</v>
      </c>
      <c r="N260" s="21" t="s">
        <v>2996</v>
      </c>
      <c r="O260" s="21" t="s">
        <v>2542</v>
      </c>
      <c r="P260" s="27">
        <v>0</v>
      </c>
      <c r="Q260" s="27">
        <v>3</v>
      </c>
      <c r="R260" s="21" t="s">
        <v>2997</v>
      </c>
      <c r="S260" s="21" t="s">
        <v>2998</v>
      </c>
      <c r="T260" s="21" t="s">
        <v>1148</v>
      </c>
      <c r="U260" s="21" t="s">
        <v>2999</v>
      </c>
    </row>
    <row r="261" spans="1:21" ht="70">
      <c r="A261" s="21" t="s">
        <v>905</v>
      </c>
      <c r="B261" s="21" t="s">
        <v>906</v>
      </c>
      <c r="C261" s="21"/>
      <c r="D261" s="21" t="s">
        <v>180</v>
      </c>
      <c r="E261" s="21" t="s">
        <v>955</v>
      </c>
      <c r="F261" s="21" t="s">
        <v>3000</v>
      </c>
      <c r="G261" s="21" t="s">
        <v>3001</v>
      </c>
      <c r="H261" s="28">
        <v>43214</v>
      </c>
      <c r="I261" s="22">
        <v>2018</v>
      </c>
      <c r="J261" s="21" t="s">
        <v>1012</v>
      </c>
      <c r="K261" s="21" t="s">
        <v>998</v>
      </c>
      <c r="L261" s="21" t="s">
        <v>3002</v>
      </c>
      <c r="M261" s="21" t="s">
        <v>961</v>
      </c>
      <c r="N261" s="21" t="s">
        <v>3003</v>
      </c>
      <c r="O261" s="21" t="s">
        <v>3004</v>
      </c>
      <c r="P261" s="27">
        <v>0</v>
      </c>
      <c r="Q261" s="27">
        <v>14</v>
      </c>
      <c r="R261" s="21" t="s">
        <v>3005</v>
      </c>
      <c r="S261" s="21" t="s">
        <v>3006</v>
      </c>
      <c r="T261" s="21" t="s">
        <v>1148</v>
      </c>
      <c r="U261" s="21" t="s">
        <v>3007</v>
      </c>
    </row>
    <row r="262" spans="1:21" ht="98">
      <c r="A262" s="21" t="s">
        <v>905</v>
      </c>
      <c r="B262" s="21" t="s">
        <v>906</v>
      </c>
      <c r="C262" s="21"/>
      <c r="D262" s="21" t="s">
        <v>180</v>
      </c>
      <c r="E262" s="21" t="s">
        <v>955</v>
      </c>
      <c r="F262" s="21" t="s">
        <v>3008</v>
      </c>
      <c r="G262" s="21" t="s">
        <v>3009</v>
      </c>
      <c r="H262" s="28">
        <v>40800</v>
      </c>
      <c r="I262" s="22">
        <v>2011</v>
      </c>
      <c r="J262" s="21" t="s">
        <v>1012</v>
      </c>
      <c r="K262" s="21" t="s">
        <v>1013</v>
      </c>
      <c r="L262" s="21" t="s">
        <v>3010</v>
      </c>
      <c r="M262" s="21" t="s">
        <v>961</v>
      </c>
      <c r="N262" s="21" t="s">
        <v>3011</v>
      </c>
      <c r="O262" s="21" t="s">
        <v>3012</v>
      </c>
      <c r="P262" s="27">
        <v>0</v>
      </c>
      <c r="Q262" s="27">
        <v>29</v>
      </c>
      <c r="R262" s="21" t="s">
        <v>3013</v>
      </c>
      <c r="S262" s="21" t="s">
        <v>2096</v>
      </c>
      <c r="T262" s="21" t="s">
        <v>966</v>
      </c>
      <c r="U262" s="21" t="s">
        <v>3014</v>
      </c>
    </row>
    <row r="263" spans="1:21" ht="168">
      <c r="A263" s="21" t="s">
        <v>905</v>
      </c>
      <c r="B263" s="21" t="s">
        <v>906</v>
      </c>
      <c r="C263" s="21"/>
      <c r="D263" s="21" t="s">
        <v>180</v>
      </c>
      <c r="E263" s="21" t="s">
        <v>955</v>
      </c>
      <c r="F263" s="21" t="s">
        <v>3015</v>
      </c>
      <c r="G263" s="21" t="s">
        <v>3016</v>
      </c>
      <c r="H263" s="28">
        <v>43735</v>
      </c>
      <c r="I263" s="22">
        <v>2019</v>
      </c>
      <c r="J263" s="21" t="s">
        <v>1012</v>
      </c>
      <c r="K263" s="21" t="s">
        <v>998</v>
      </c>
      <c r="L263" s="21" t="s">
        <v>3017</v>
      </c>
      <c r="M263" s="21" t="s">
        <v>961</v>
      </c>
      <c r="N263" s="21" t="s">
        <v>3018</v>
      </c>
      <c r="O263" s="21" t="s">
        <v>3019</v>
      </c>
      <c r="P263" s="27">
        <v>0</v>
      </c>
      <c r="Q263" s="27">
        <v>10</v>
      </c>
      <c r="R263" s="21" t="s">
        <v>3020</v>
      </c>
      <c r="S263" s="21" t="s">
        <v>3021</v>
      </c>
      <c r="T263" s="21" t="s">
        <v>1148</v>
      </c>
      <c r="U263" s="21" t="s">
        <v>3022</v>
      </c>
    </row>
    <row r="264" spans="1:21" ht="126">
      <c r="A264" s="21" t="s">
        <v>905</v>
      </c>
      <c r="B264" s="21" t="s">
        <v>906</v>
      </c>
      <c r="C264" s="21"/>
      <c r="D264" s="21" t="s">
        <v>180</v>
      </c>
      <c r="E264" s="21" t="s">
        <v>955</v>
      </c>
      <c r="F264" s="21" t="s">
        <v>3023</v>
      </c>
      <c r="G264" s="21" t="s">
        <v>3024</v>
      </c>
      <c r="H264" s="28">
        <v>41716</v>
      </c>
      <c r="I264" s="22">
        <v>2014</v>
      </c>
      <c r="J264" s="21" t="s">
        <v>1012</v>
      </c>
      <c r="K264" s="21" t="s">
        <v>1013</v>
      </c>
      <c r="L264" s="21" t="s">
        <v>3025</v>
      </c>
      <c r="M264" s="21" t="s">
        <v>961</v>
      </c>
      <c r="N264" s="21" t="s">
        <v>3026</v>
      </c>
      <c r="O264" s="21" t="s">
        <v>1064</v>
      </c>
      <c r="P264" s="27">
        <v>0</v>
      </c>
      <c r="Q264" s="27">
        <v>55</v>
      </c>
      <c r="R264" s="21" t="s">
        <v>3027</v>
      </c>
      <c r="S264" s="21" t="s">
        <v>3028</v>
      </c>
      <c r="T264" s="21" t="s">
        <v>966</v>
      </c>
      <c r="U264" s="21" t="s">
        <v>3029</v>
      </c>
    </row>
    <row r="265" spans="1:21" ht="56">
      <c r="A265" s="21" t="s">
        <v>905</v>
      </c>
      <c r="B265" s="21" t="s">
        <v>906</v>
      </c>
      <c r="C265" s="21"/>
      <c r="D265" s="21" t="s">
        <v>180</v>
      </c>
      <c r="E265" s="21" t="s">
        <v>955</v>
      </c>
      <c r="F265" s="21" t="s">
        <v>3030</v>
      </c>
      <c r="G265" s="21" t="s">
        <v>3031</v>
      </c>
      <c r="H265" s="28">
        <v>42439</v>
      </c>
      <c r="I265" s="22">
        <v>2016</v>
      </c>
      <c r="J265" s="21" t="s">
        <v>1012</v>
      </c>
      <c r="K265" s="21" t="s">
        <v>998</v>
      </c>
      <c r="L265" s="21" t="s">
        <v>3032</v>
      </c>
      <c r="M265" s="21" t="s">
        <v>961</v>
      </c>
      <c r="N265" s="21" t="s">
        <v>3033</v>
      </c>
      <c r="O265" s="21" t="s">
        <v>3034</v>
      </c>
      <c r="P265" s="27">
        <v>0</v>
      </c>
      <c r="Q265" s="27">
        <v>23</v>
      </c>
      <c r="R265" s="21" t="s">
        <v>3035</v>
      </c>
      <c r="S265" s="21" t="s">
        <v>3036</v>
      </c>
      <c r="T265" s="21" t="s">
        <v>1148</v>
      </c>
      <c r="U265" s="21" t="s">
        <v>3037</v>
      </c>
    </row>
    <row r="266" spans="1:21" ht="56">
      <c r="A266" s="21" t="s">
        <v>905</v>
      </c>
      <c r="B266" s="21" t="s">
        <v>906</v>
      </c>
      <c r="C266" s="21"/>
      <c r="D266" s="21" t="s">
        <v>180</v>
      </c>
      <c r="E266" s="21" t="s">
        <v>955</v>
      </c>
      <c r="F266" s="21" t="s">
        <v>3038</v>
      </c>
      <c r="G266" s="21" t="s">
        <v>3039</v>
      </c>
      <c r="H266" s="28">
        <v>43220</v>
      </c>
      <c r="I266" s="22">
        <v>2018</v>
      </c>
      <c r="J266" s="21" t="s">
        <v>1012</v>
      </c>
      <c r="K266" s="21" t="s">
        <v>998</v>
      </c>
      <c r="L266" s="21" t="s">
        <v>3040</v>
      </c>
      <c r="M266" s="21" t="s">
        <v>961</v>
      </c>
      <c r="N266" s="21" t="s">
        <v>3041</v>
      </c>
      <c r="O266" s="21" t="s">
        <v>3042</v>
      </c>
      <c r="P266" s="27">
        <v>0</v>
      </c>
      <c r="Q266" s="27">
        <v>15</v>
      </c>
      <c r="R266" s="21" t="s">
        <v>3043</v>
      </c>
      <c r="S266" s="21" t="s">
        <v>3044</v>
      </c>
      <c r="T266" s="21" t="s">
        <v>1148</v>
      </c>
      <c r="U266" s="21" t="s">
        <v>3045</v>
      </c>
    </row>
    <row r="267" spans="1:21" ht="42">
      <c r="A267" s="21" t="s">
        <v>905</v>
      </c>
      <c r="B267" s="21" t="s">
        <v>906</v>
      </c>
      <c r="C267" s="21"/>
      <c r="D267" s="21" t="s">
        <v>180</v>
      </c>
      <c r="E267" s="21" t="s">
        <v>955</v>
      </c>
      <c r="F267" s="21" t="s">
        <v>3046</v>
      </c>
      <c r="G267" s="21" t="s">
        <v>3047</v>
      </c>
      <c r="H267" s="28">
        <v>42886</v>
      </c>
      <c r="I267" s="22">
        <v>2017</v>
      </c>
      <c r="J267" s="21" t="s">
        <v>1012</v>
      </c>
      <c r="K267" s="21" t="s">
        <v>998</v>
      </c>
      <c r="L267" s="21" t="s">
        <v>3048</v>
      </c>
      <c r="M267" s="21" t="s">
        <v>3049</v>
      </c>
      <c r="N267" s="21" t="s">
        <v>3050</v>
      </c>
      <c r="O267" s="21" t="s">
        <v>3051</v>
      </c>
      <c r="P267" s="27">
        <v>0</v>
      </c>
      <c r="Q267" s="27">
        <v>4</v>
      </c>
      <c r="R267" s="21" t="s">
        <v>3052</v>
      </c>
      <c r="S267" s="21" t="s">
        <v>3053</v>
      </c>
      <c r="T267" s="21" t="s">
        <v>1148</v>
      </c>
      <c r="U267" s="21" t="s">
        <v>3054</v>
      </c>
    </row>
    <row r="268" spans="1:21" ht="56">
      <c r="A268" s="21" t="s">
        <v>905</v>
      </c>
      <c r="B268" s="21" t="s">
        <v>906</v>
      </c>
      <c r="C268" s="21"/>
      <c r="D268" s="21" t="s">
        <v>180</v>
      </c>
      <c r="E268" s="21" t="s">
        <v>955</v>
      </c>
      <c r="F268" s="21" t="s">
        <v>3055</v>
      </c>
      <c r="G268" s="21" t="s">
        <v>3056</v>
      </c>
      <c r="H268" s="28">
        <v>43010</v>
      </c>
      <c r="I268" s="22">
        <v>2017</v>
      </c>
      <c r="J268" s="21" t="s">
        <v>1012</v>
      </c>
      <c r="K268" s="21" t="s">
        <v>998</v>
      </c>
      <c r="L268" s="21" t="s">
        <v>3057</v>
      </c>
      <c r="M268" s="21" t="s">
        <v>961</v>
      </c>
      <c r="N268" s="21" t="s">
        <v>3058</v>
      </c>
      <c r="O268" s="21" t="s">
        <v>3059</v>
      </c>
      <c r="P268" s="27">
        <v>1</v>
      </c>
      <c r="Q268" s="27">
        <v>5</v>
      </c>
      <c r="R268" s="21" t="s">
        <v>3060</v>
      </c>
      <c r="S268" s="21" t="s">
        <v>3061</v>
      </c>
      <c r="T268" s="21" t="s">
        <v>1148</v>
      </c>
      <c r="U268" s="21" t="s">
        <v>3062</v>
      </c>
    </row>
    <row r="269" spans="1:21" ht="84">
      <c r="A269" s="21" t="s">
        <v>905</v>
      </c>
      <c r="B269" s="21" t="s">
        <v>906</v>
      </c>
      <c r="C269" s="21"/>
      <c r="D269" s="21" t="s">
        <v>180</v>
      </c>
      <c r="E269" s="21" t="s">
        <v>955</v>
      </c>
      <c r="F269" s="21" t="s">
        <v>3063</v>
      </c>
      <c r="G269" s="21" t="s">
        <v>3064</v>
      </c>
      <c r="H269" s="28">
        <v>41641</v>
      </c>
      <c r="I269" s="22">
        <v>2014</v>
      </c>
      <c r="J269" s="21" t="s">
        <v>1012</v>
      </c>
      <c r="K269" s="21" t="s">
        <v>998</v>
      </c>
      <c r="L269" s="21" t="s">
        <v>3065</v>
      </c>
      <c r="M269" s="21" t="s">
        <v>961</v>
      </c>
      <c r="N269" s="21" t="s">
        <v>3066</v>
      </c>
      <c r="O269" s="21" t="s">
        <v>3067</v>
      </c>
      <c r="P269" s="27">
        <v>1</v>
      </c>
      <c r="Q269" s="27">
        <v>57</v>
      </c>
      <c r="R269" s="21" t="s">
        <v>3068</v>
      </c>
      <c r="S269" s="21" t="s">
        <v>3069</v>
      </c>
      <c r="T269" s="21" t="s">
        <v>1148</v>
      </c>
      <c r="U269" s="21" t="s">
        <v>3070</v>
      </c>
    </row>
    <row r="270" spans="1:21" ht="70">
      <c r="A270" s="21" t="s">
        <v>905</v>
      </c>
      <c r="B270" s="21" t="s">
        <v>906</v>
      </c>
      <c r="C270" s="21"/>
      <c r="D270" s="21" t="s">
        <v>180</v>
      </c>
      <c r="E270" s="21" t="s">
        <v>955</v>
      </c>
      <c r="F270" s="21" t="s">
        <v>3071</v>
      </c>
      <c r="G270" s="21" t="s">
        <v>3072</v>
      </c>
      <c r="H270" s="28">
        <v>42852</v>
      </c>
      <c r="I270" s="22">
        <v>2017</v>
      </c>
      <c r="J270" s="21" t="s">
        <v>1012</v>
      </c>
      <c r="K270" s="21" t="s">
        <v>1013</v>
      </c>
      <c r="L270" s="21" t="s">
        <v>3073</v>
      </c>
      <c r="M270" s="21" t="s">
        <v>961</v>
      </c>
      <c r="N270" s="21" t="s">
        <v>2956</v>
      </c>
      <c r="O270" s="21" t="s">
        <v>3074</v>
      </c>
      <c r="P270" s="27">
        <v>0</v>
      </c>
      <c r="Q270" s="27">
        <v>26</v>
      </c>
      <c r="R270" s="21" t="s">
        <v>3075</v>
      </c>
      <c r="S270" s="21" t="s">
        <v>3076</v>
      </c>
      <c r="T270" s="21" t="s">
        <v>966</v>
      </c>
      <c r="U270" s="21" t="s">
        <v>3077</v>
      </c>
    </row>
    <row r="271" spans="1:21" ht="112">
      <c r="A271" s="21" t="s">
        <v>905</v>
      </c>
      <c r="B271" s="21" t="s">
        <v>906</v>
      </c>
      <c r="C271" s="21"/>
      <c r="D271" s="21" t="s">
        <v>180</v>
      </c>
      <c r="E271" s="21" t="s">
        <v>955</v>
      </c>
      <c r="F271" s="21" t="s">
        <v>3078</v>
      </c>
      <c r="G271" s="21" t="s">
        <v>3079</v>
      </c>
      <c r="H271" s="28">
        <v>40928</v>
      </c>
      <c r="I271" s="22">
        <v>2012</v>
      </c>
      <c r="J271" s="21" t="s">
        <v>1012</v>
      </c>
      <c r="K271" s="21" t="s">
        <v>1013</v>
      </c>
      <c r="L271" s="21" t="s">
        <v>3080</v>
      </c>
      <c r="M271" s="21" t="s">
        <v>3081</v>
      </c>
      <c r="N271" s="21" t="s">
        <v>3082</v>
      </c>
      <c r="O271" s="21" t="s">
        <v>3083</v>
      </c>
      <c r="P271" s="27">
        <v>0</v>
      </c>
      <c r="Q271" s="27">
        <v>40</v>
      </c>
      <c r="R271" s="21" t="s">
        <v>3084</v>
      </c>
      <c r="S271" s="21" t="s">
        <v>2096</v>
      </c>
      <c r="T271" s="21" t="s">
        <v>966</v>
      </c>
      <c r="U271" s="21" t="s">
        <v>3085</v>
      </c>
    </row>
    <row r="272" spans="1:21" ht="70">
      <c r="A272" s="21" t="s">
        <v>905</v>
      </c>
      <c r="B272" s="21" t="s">
        <v>906</v>
      </c>
      <c r="C272" s="21"/>
      <c r="D272" s="21" t="s">
        <v>180</v>
      </c>
      <c r="E272" s="21" t="s">
        <v>955</v>
      </c>
      <c r="F272" s="21" t="s">
        <v>3086</v>
      </c>
      <c r="G272" s="21" t="s">
        <v>3087</v>
      </c>
      <c r="H272" s="28">
        <v>43453</v>
      </c>
      <c r="I272" s="22">
        <v>2018</v>
      </c>
      <c r="J272" s="21" t="s">
        <v>1012</v>
      </c>
      <c r="K272" s="21" t="s">
        <v>998</v>
      </c>
      <c r="L272" s="21" t="s">
        <v>3088</v>
      </c>
      <c r="M272" s="21" t="s">
        <v>961</v>
      </c>
      <c r="N272" s="21" t="s">
        <v>3089</v>
      </c>
      <c r="O272" s="21" t="s">
        <v>3090</v>
      </c>
      <c r="P272" s="27">
        <v>1</v>
      </c>
      <c r="Q272" s="27">
        <v>5</v>
      </c>
      <c r="R272" s="21" t="s">
        <v>3091</v>
      </c>
      <c r="S272" s="21" t="s">
        <v>3092</v>
      </c>
      <c r="T272" s="21" t="s">
        <v>1148</v>
      </c>
      <c r="U272" s="21" t="s">
        <v>3093</v>
      </c>
    </row>
    <row r="273" spans="1:21" ht="112">
      <c r="A273" s="21" t="s">
        <v>905</v>
      </c>
      <c r="B273" s="21" t="s">
        <v>906</v>
      </c>
      <c r="C273" s="21"/>
      <c r="D273" s="21" t="s">
        <v>180</v>
      </c>
      <c r="E273" s="21" t="s">
        <v>955</v>
      </c>
      <c r="F273" s="21" t="s">
        <v>3094</v>
      </c>
      <c r="G273" s="21" t="s">
        <v>3095</v>
      </c>
      <c r="H273" s="28">
        <v>42559</v>
      </c>
      <c r="I273" s="22">
        <v>2016</v>
      </c>
      <c r="J273" s="21" t="s">
        <v>1012</v>
      </c>
      <c r="K273" s="21" t="s">
        <v>998</v>
      </c>
      <c r="L273" s="21" t="s">
        <v>3096</v>
      </c>
      <c r="M273" s="21" t="s">
        <v>961</v>
      </c>
      <c r="N273" s="21" t="s">
        <v>3097</v>
      </c>
      <c r="O273" s="21" t="s">
        <v>3098</v>
      </c>
      <c r="P273" s="27">
        <v>0</v>
      </c>
      <c r="Q273" s="27">
        <v>22</v>
      </c>
      <c r="R273" s="21" t="s">
        <v>3099</v>
      </c>
      <c r="S273" s="21" t="s">
        <v>3100</v>
      </c>
      <c r="T273" s="21" t="s">
        <v>1148</v>
      </c>
      <c r="U273" s="21" t="s">
        <v>3101</v>
      </c>
    </row>
    <row r="274" spans="1:21" ht="210">
      <c r="A274" s="21" t="s">
        <v>905</v>
      </c>
      <c r="B274" s="21" t="s">
        <v>906</v>
      </c>
      <c r="C274" s="21"/>
      <c r="D274" s="21" t="s">
        <v>180</v>
      </c>
      <c r="E274" s="21" t="s">
        <v>955</v>
      </c>
      <c r="F274" s="21" t="s">
        <v>3102</v>
      </c>
      <c r="G274" s="21" t="s">
        <v>3103</v>
      </c>
      <c r="H274" s="28">
        <v>42481</v>
      </c>
      <c r="I274" s="22">
        <v>2016</v>
      </c>
      <c r="J274" s="21" t="s">
        <v>1012</v>
      </c>
      <c r="K274" s="21" t="s">
        <v>1013</v>
      </c>
      <c r="L274" s="21" t="s">
        <v>3104</v>
      </c>
      <c r="M274" s="21" t="s">
        <v>961</v>
      </c>
      <c r="N274" s="21" t="s">
        <v>3105</v>
      </c>
      <c r="O274" s="21" t="s">
        <v>3106</v>
      </c>
      <c r="P274" s="27">
        <v>1</v>
      </c>
      <c r="Q274" s="27">
        <v>50</v>
      </c>
      <c r="R274" s="21" t="s">
        <v>3107</v>
      </c>
      <c r="S274" s="21" t="s">
        <v>3108</v>
      </c>
      <c r="T274" s="21" t="s">
        <v>966</v>
      </c>
      <c r="U274" s="21" t="s">
        <v>3109</v>
      </c>
    </row>
    <row r="275" spans="1:21" ht="182">
      <c r="A275" s="21" t="s">
        <v>905</v>
      </c>
      <c r="B275" s="21" t="s">
        <v>906</v>
      </c>
      <c r="C275" s="21"/>
      <c r="D275" s="21" t="s">
        <v>180</v>
      </c>
      <c r="E275" s="21" t="s">
        <v>955</v>
      </c>
      <c r="F275" s="21" t="s">
        <v>3110</v>
      </c>
      <c r="G275" s="21" t="s">
        <v>3111</v>
      </c>
      <c r="H275" s="28">
        <v>42235</v>
      </c>
      <c r="I275" s="22">
        <v>2015</v>
      </c>
      <c r="J275" s="21" t="s">
        <v>958</v>
      </c>
      <c r="K275" s="21" t="s">
        <v>959</v>
      </c>
      <c r="L275" s="21" t="s">
        <v>3112</v>
      </c>
      <c r="M275" s="21" t="s">
        <v>961</v>
      </c>
      <c r="N275" s="21" t="s">
        <v>3113</v>
      </c>
      <c r="O275" s="21" t="s">
        <v>3114</v>
      </c>
      <c r="P275" s="27">
        <v>0</v>
      </c>
      <c r="Q275" s="27">
        <v>67</v>
      </c>
      <c r="R275" s="21" t="s">
        <v>3115</v>
      </c>
      <c r="S275" s="21" t="s">
        <v>3116</v>
      </c>
      <c r="T275" s="21" t="s">
        <v>966</v>
      </c>
      <c r="U275" s="21" t="s">
        <v>3117</v>
      </c>
    </row>
    <row r="276" spans="1:21" ht="112">
      <c r="A276" s="21" t="s">
        <v>905</v>
      </c>
      <c r="B276" s="21" t="s">
        <v>906</v>
      </c>
      <c r="C276" s="21"/>
      <c r="D276" s="21" t="s">
        <v>180</v>
      </c>
      <c r="E276" s="21" t="s">
        <v>955</v>
      </c>
      <c r="F276" s="21" t="s">
        <v>3118</v>
      </c>
      <c r="G276" s="21" t="s">
        <v>3119</v>
      </c>
      <c r="H276" s="28">
        <v>42671</v>
      </c>
      <c r="I276" s="22">
        <v>2016</v>
      </c>
      <c r="J276" s="21" t="s">
        <v>1012</v>
      </c>
      <c r="K276" s="21" t="s">
        <v>1013</v>
      </c>
      <c r="L276" s="21" t="s">
        <v>3120</v>
      </c>
      <c r="M276" s="21" t="s">
        <v>961</v>
      </c>
      <c r="N276" s="21" t="s">
        <v>3121</v>
      </c>
      <c r="O276" s="21" t="s">
        <v>3122</v>
      </c>
      <c r="P276" s="27">
        <v>0</v>
      </c>
      <c r="Q276" s="27">
        <v>26</v>
      </c>
      <c r="R276" s="21" t="s">
        <v>3123</v>
      </c>
      <c r="S276" s="21" t="s">
        <v>3124</v>
      </c>
      <c r="T276" s="21" t="s">
        <v>966</v>
      </c>
      <c r="U276" s="21" t="s">
        <v>3125</v>
      </c>
    </row>
    <row r="277" spans="1:21" ht="56">
      <c r="A277" s="21" t="s">
        <v>905</v>
      </c>
      <c r="B277" s="21" t="s">
        <v>906</v>
      </c>
      <c r="C277" s="21"/>
      <c r="D277" s="21" t="s">
        <v>180</v>
      </c>
      <c r="E277" s="21" t="s">
        <v>955</v>
      </c>
      <c r="F277" s="21" t="s">
        <v>3126</v>
      </c>
      <c r="G277" s="21" t="s">
        <v>3127</v>
      </c>
      <c r="H277" s="28">
        <v>41562</v>
      </c>
      <c r="I277" s="22">
        <v>2013</v>
      </c>
      <c r="J277" s="21" t="s">
        <v>1012</v>
      </c>
      <c r="K277" s="21" t="s">
        <v>998</v>
      </c>
      <c r="L277" s="21" t="s">
        <v>3128</v>
      </c>
      <c r="M277" s="21" t="s">
        <v>961</v>
      </c>
      <c r="N277" s="21" t="s">
        <v>3129</v>
      </c>
      <c r="O277" s="21" t="s">
        <v>3130</v>
      </c>
      <c r="P277" s="27">
        <v>2</v>
      </c>
      <c r="Q277" s="27">
        <v>26</v>
      </c>
      <c r="R277" s="21" t="s">
        <v>3131</v>
      </c>
      <c r="S277" s="21" t="s">
        <v>3132</v>
      </c>
      <c r="T277" s="21" t="s">
        <v>1148</v>
      </c>
      <c r="U277" s="21" t="s">
        <v>3133</v>
      </c>
    </row>
    <row r="278" spans="1:21" ht="112">
      <c r="A278" s="21" t="s">
        <v>905</v>
      </c>
      <c r="B278" s="21" t="s">
        <v>906</v>
      </c>
      <c r="C278" s="21"/>
      <c r="D278" s="21" t="s">
        <v>180</v>
      </c>
      <c r="E278" s="21" t="s">
        <v>955</v>
      </c>
      <c r="F278" s="21" t="s">
        <v>3134</v>
      </c>
      <c r="G278" s="21" t="s">
        <v>3135</v>
      </c>
      <c r="H278" s="28">
        <v>42276</v>
      </c>
      <c r="I278" s="22">
        <v>2015</v>
      </c>
      <c r="J278" s="21" t="s">
        <v>1012</v>
      </c>
      <c r="K278" s="21" t="s">
        <v>1013</v>
      </c>
      <c r="L278" s="21" t="s">
        <v>3136</v>
      </c>
      <c r="M278" s="21" t="s">
        <v>3137</v>
      </c>
      <c r="N278" s="21" t="s">
        <v>3138</v>
      </c>
      <c r="O278" s="21" t="s">
        <v>3139</v>
      </c>
      <c r="P278" s="27">
        <v>0</v>
      </c>
      <c r="Q278" s="27">
        <v>13</v>
      </c>
      <c r="R278" s="21" t="s">
        <v>3140</v>
      </c>
      <c r="S278" s="21" t="s">
        <v>3141</v>
      </c>
      <c r="T278" s="21" t="s">
        <v>966</v>
      </c>
      <c r="U278" s="21" t="s">
        <v>3142</v>
      </c>
    </row>
    <row r="279" spans="1:21" ht="42">
      <c r="A279" s="21" t="s">
        <v>905</v>
      </c>
      <c r="B279" s="21" t="s">
        <v>906</v>
      </c>
      <c r="C279" s="21"/>
      <c r="D279" s="21" t="s">
        <v>180</v>
      </c>
      <c r="E279" s="21" t="s">
        <v>955</v>
      </c>
      <c r="F279" s="21" t="s">
        <v>3143</v>
      </c>
      <c r="G279" s="21" t="s">
        <v>3144</v>
      </c>
      <c r="H279" s="28">
        <v>43077</v>
      </c>
      <c r="I279" s="22">
        <v>2017</v>
      </c>
      <c r="J279" s="21" t="s">
        <v>1012</v>
      </c>
      <c r="K279" s="21" t="s">
        <v>1013</v>
      </c>
      <c r="L279" s="21" t="s">
        <v>3145</v>
      </c>
      <c r="M279" s="21" t="s">
        <v>961</v>
      </c>
      <c r="N279" s="21" t="s">
        <v>3146</v>
      </c>
      <c r="O279" s="21" t="s">
        <v>1064</v>
      </c>
      <c r="P279" s="27">
        <v>1</v>
      </c>
      <c r="Q279" s="27">
        <v>5</v>
      </c>
      <c r="R279" s="21" t="s">
        <v>3147</v>
      </c>
      <c r="S279" s="21" t="s">
        <v>3148</v>
      </c>
      <c r="T279" s="21" t="s">
        <v>966</v>
      </c>
      <c r="U279" s="21" t="s">
        <v>3149</v>
      </c>
    </row>
    <row r="280" spans="1:21" ht="182">
      <c r="A280" s="21" t="s">
        <v>905</v>
      </c>
      <c r="B280" s="21" t="s">
        <v>906</v>
      </c>
      <c r="C280" s="21"/>
      <c r="D280" s="21" t="s">
        <v>180</v>
      </c>
      <c r="E280" s="21" t="s">
        <v>955</v>
      </c>
      <c r="F280" s="21" t="s">
        <v>3150</v>
      </c>
      <c r="G280" s="21" t="s">
        <v>3151</v>
      </c>
      <c r="H280" s="28">
        <v>41533</v>
      </c>
      <c r="I280" s="22">
        <v>2013</v>
      </c>
      <c r="J280" s="21" t="s">
        <v>1012</v>
      </c>
      <c r="K280" s="21" t="s">
        <v>1013</v>
      </c>
      <c r="L280" s="21" t="s">
        <v>3152</v>
      </c>
      <c r="M280" s="21" t="s">
        <v>961</v>
      </c>
      <c r="N280" s="21" t="s">
        <v>3153</v>
      </c>
      <c r="O280" s="21" t="s">
        <v>3154</v>
      </c>
      <c r="P280" s="27">
        <v>0</v>
      </c>
      <c r="Q280" s="27">
        <v>73</v>
      </c>
      <c r="R280" s="21" t="s">
        <v>3155</v>
      </c>
      <c r="S280" s="21" t="s">
        <v>3156</v>
      </c>
      <c r="T280" s="21" t="s">
        <v>966</v>
      </c>
      <c r="U280" s="21" t="s">
        <v>3157</v>
      </c>
    </row>
    <row r="281" spans="1:21" ht="56">
      <c r="A281" s="21" t="s">
        <v>905</v>
      </c>
      <c r="B281" s="21" t="s">
        <v>906</v>
      </c>
      <c r="C281" s="21"/>
      <c r="D281" s="21" t="s">
        <v>180</v>
      </c>
      <c r="E281" s="21" t="s">
        <v>955</v>
      </c>
      <c r="F281" s="21" t="s">
        <v>3158</v>
      </c>
      <c r="G281" s="21" t="s">
        <v>3159</v>
      </c>
      <c r="H281" s="28">
        <v>41081</v>
      </c>
      <c r="I281" s="22">
        <v>2012</v>
      </c>
      <c r="J281" s="21" t="s">
        <v>1012</v>
      </c>
      <c r="K281" s="21" t="s">
        <v>1013</v>
      </c>
      <c r="L281" s="21" t="s">
        <v>3160</v>
      </c>
      <c r="M281" s="21" t="s">
        <v>961</v>
      </c>
      <c r="N281" s="21" t="s">
        <v>3161</v>
      </c>
      <c r="O281" s="21" t="s">
        <v>3162</v>
      </c>
      <c r="P281" s="27">
        <v>0</v>
      </c>
      <c r="Q281" s="27">
        <v>72</v>
      </c>
      <c r="R281" s="21" t="s">
        <v>3163</v>
      </c>
      <c r="S281" s="21" t="s">
        <v>3164</v>
      </c>
      <c r="T281" s="21" t="s">
        <v>966</v>
      </c>
      <c r="U281" s="21" t="s">
        <v>3165</v>
      </c>
    </row>
    <row r="282" spans="1:21" ht="56">
      <c r="A282" s="21" t="s">
        <v>905</v>
      </c>
      <c r="B282" s="21" t="s">
        <v>906</v>
      </c>
      <c r="C282" s="21"/>
      <c r="D282" s="21" t="s">
        <v>180</v>
      </c>
      <c r="E282" s="21" t="s">
        <v>955</v>
      </c>
      <c r="F282" s="21" t="s">
        <v>3166</v>
      </c>
      <c r="G282" s="21" t="s">
        <v>3167</v>
      </c>
      <c r="H282" s="28">
        <v>41498</v>
      </c>
      <c r="I282" s="22">
        <v>2013</v>
      </c>
      <c r="J282" s="21" t="s">
        <v>1748</v>
      </c>
      <c r="K282" s="21" t="s">
        <v>1013</v>
      </c>
      <c r="L282" s="21" t="s">
        <v>3168</v>
      </c>
      <c r="M282" s="21" t="s">
        <v>961</v>
      </c>
      <c r="N282" s="21" t="s">
        <v>3169</v>
      </c>
      <c r="O282" s="21" t="s">
        <v>3170</v>
      </c>
      <c r="P282" s="27">
        <v>0</v>
      </c>
      <c r="Q282" s="27">
        <v>44</v>
      </c>
      <c r="R282" s="21" t="s">
        <v>3171</v>
      </c>
      <c r="S282" s="21" t="s">
        <v>3172</v>
      </c>
      <c r="T282" s="21" t="s">
        <v>966</v>
      </c>
      <c r="U282" s="21" t="s">
        <v>3173</v>
      </c>
    </row>
    <row r="283" spans="1:21" ht="98">
      <c r="A283" s="21" t="s">
        <v>905</v>
      </c>
      <c r="B283" s="21" t="s">
        <v>906</v>
      </c>
      <c r="C283" s="21"/>
      <c r="D283" s="21" t="s">
        <v>180</v>
      </c>
      <c r="E283" s="21" t="s">
        <v>955</v>
      </c>
      <c r="F283" s="21" t="s">
        <v>3174</v>
      </c>
      <c r="G283" s="21" t="s">
        <v>3175</v>
      </c>
      <c r="H283" s="28">
        <v>42317</v>
      </c>
      <c r="I283" s="22">
        <v>2015</v>
      </c>
      <c r="J283" s="21" t="s">
        <v>958</v>
      </c>
      <c r="K283" s="21" t="s">
        <v>959</v>
      </c>
      <c r="L283" s="21" t="s">
        <v>3176</v>
      </c>
      <c r="M283" s="21" t="s">
        <v>961</v>
      </c>
      <c r="N283" s="21" t="s">
        <v>3177</v>
      </c>
      <c r="O283" s="21" t="s">
        <v>3178</v>
      </c>
      <c r="P283" s="27">
        <v>0</v>
      </c>
      <c r="Q283" s="27">
        <v>47</v>
      </c>
      <c r="R283" s="21" t="s">
        <v>3179</v>
      </c>
      <c r="S283" s="21" t="s">
        <v>3180</v>
      </c>
      <c r="T283" s="21" t="s">
        <v>966</v>
      </c>
      <c r="U283" s="21" t="s">
        <v>3181</v>
      </c>
    </row>
    <row r="284" spans="1:21" ht="56">
      <c r="A284" s="21" t="s">
        <v>905</v>
      </c>
      <c r="B284" s="21" t="s">
        <v>906</v>
      </c>
      <c r="C284" s="21"/>
      <c r="D284" s="21" t="s">
        <v>180</v>
      </c>
      <c r="E284" s="21" t="s">
        <v>955</v>
      </c>
      <c r="F284" s="21" t="s">
        <v>3182</v>
      </c>
      <c r="G284" s="21" t="s">
        <v>3183</v>
      </c>
      <c r="H284" s="28">
        <v>43090</v>
      </c>
      <c r="I284" s="22">
        <v>2017</v>
      </c>
      <c r="J284" s="21" t="s">
        <v>1012</v>
      </c>
      <c r="K284" s="21" t="s">
        <v>1013</v>
      </c>
      <c r="L284" s="21" t="s">
        <v>3184</v>
      </c>
      <c r="M284" s="21" t="s">
        <v>961</v>
      </c>
      <c r="N284" s="21" t="s">
        <v>3185</v>
      </c>
      <c r="O284" s="21" t="s">
        <v>3186</v>
      </c>
      <c r="P284" s="27">
        <v>1</v>
      </c>
      <c r="Q284" s="27">
        <v>9</v>
      </c>
      <c r="R284" s="21" t="s">
        <v>3187</v>
      </c>
      <c r="S284" s="21" t="s">
        <v>3188</v>
      </c>
      <c r="T284" s="21" t="s">
        <v>3189</v>
      </c>
      <c r="U284" s="21" t="s">
        <v>3190</v>
      </c>
    </row>
    <row r="285" spans="1:21" ht="56">
      <c r="A285" s="21" t="s">
        <v>905</v>
      </c>
      <c r="B285" s="21" t="s">
        <v>906</v>
      </c>
      <c r="C285" s="21"/>
      <c r="D285" s="21" t="s">
        <v>180</v>
      </c>
      <c r="E285" s="21" t="s">
        <v>955</v>
      </c>
      <c r="F285" s="21" t="s">
        <v>3191</v>
      </c>
      <c r="G285" s="21" t="s">
        <v>3192</v>
      </c>
      <c r="H285" s="28">
        <v>42338</v>
      </c>
      <c r="I285" s="22">
        <v>2015</v>
      </c>
      <c r="J285" s="21" t="s">
        <v>1012</v>
      </c>
      <c r="K285" s="21" t="s">
        <v>998</v>
      </c>
      <c r="L285" s="21" t="s">
        <v>3193</v>
      </c>
      <c r="M285" s="21" t="s">
        <v>2068</v>
      </c>
      <c r="N285" s="21" t="s">
        <v>3194</v>
      </c>
      <c r="O285" s="21" t="s">
        <v>3195</v>
      </c>
      <c r="P285" s="27">
        <v>1</v>
      </c>
      <c r="Q285" s="27">
        <v>34</v>
      </c>
      <c r="R285" s="21" t="s">
        <v>3196</v>
      </c>
      <c r="S285" s="21" t="s">
        <v>2943</v>
      </c>
      <c r="T285" s="21" t="s">
        <v>966</v>
      </c>
      <c r="U285" s="21" t="s">
        <v>3197</v>
      </c>
    </row>
    <row r="286" spans="1:21" ht="98">
      <c r="A286" s="21" t="s">
        <v>905</v>
      </c>
      <c r="B286" s="21" t="s">
        <v>906</v>
      </c>
      <c r="C286" s="21"/>
      <c r="D286" s="21" t="s">
        <v>180</v>
      </c>
      <c r="E286" s="21" t="s">
        <v>955</v>
      </c>
      <c r="F286" s="21" t="s">
        <v>3198</v>
      </c>
      <c r="G286" s="21" t="s">
        <v>3199</v>
      </c>
      <c r="H286" s="28">
        <v>40928</v>
      </c>
      <c r="I286" s="22">
        <v>2012</v>
      </c>
      <c r="J286" s="21" t="s">
        <v>1012</v>
      </c>
      <c r="K286" s="21" t="s">
        <v>1013</v>
      </c>
      <c r="L286" s="21" t="s">
        <v>3200</v>
      </c>
      <c r="M286" s="21" t="s">
        <v>3081</v>
      </c>
      <c r="N286" s="21" t="s">
        <v>3082</v>
      </c>
      <c r="O286" s="21" t="s">
        <v>3083</v>
      </c>
      <c r="P286" s="27">
        <v>0</v>
      </c>
      <c r="Q286" s="27">
        <v>37</v>
      </c>
      <c r="R286" s="21" t="s">
        <v>3201</v>
      </c>
      <c r="S286" s="21" t="s">
        <v>2096</v>
      </c>
      <c r="T286" s="21" t="s">
        <v>966</v>
      </c>
      <c r="U286" s="21" t="s">
        <v>3202</v>
      </c>
    </row>
    <row r="287" spans="1:21" ht="56">
      <c r="A287" s="21" t="s">
        <v>905</v>
      </c>
      <c r="B287" s="21" t="s">
        <v>906</v>
      </c>
      <c r="C287" s="21"/>
      <c r="D287" s="21" t="s">
        <v>180</v>
      </c>
      <c r="E287" s="21" t="s">
        <v>955</v>
      </c>
      <c r="F287" s="21" t="s">
        <v>3203</v>
      </c>
      <c r="G287" s="21" t="s">
        <v>3204</v>
      </c>
      <c r="H287" s="28">
        <v>43265</v>
      </c>
      <c r="I287" s="22">
        <v>2018</v>
      </c>
      <c r="J287" s="21" t="s">
        <v>1012</v>
      </c>
      <c r="K287" s="21" t="s">
        <v>998</v>
      </c>
      <c r="L287" s="21" t="s">
        <v>3205</v>
      </c>
      <c r="M287" s="21" t="s">
        <v>1071</v>
      </c>
      <c r="N287" s="21" t="s">
        <v>1955</v>
      </c>
      <c r="O287" s="21" t="s">
        <v>3206</v>
      </c>
      <c r="P287" s="27">
        <v>0</v>
      </c>
      <c r="Q287" s="27">
        <v>2</v>
      </c>
      <c r="R287" s="21" t="s">
        <v>3207</v>
      </c>
      <c r="S287" s="21" t="s">
        <v>3208</v>
      </c>
      <c r="T287" s="21" t="s">
        <v>1148</v>
      </c>
      <c r="U287" s="21" t="s">
        <v>3209</v>
      </c>
    </row>
    <row r="288" spans="1:21" ht="98">
      <c r="A288" s="21" t="s">
        <v>905</v>
      </c>
      <c r="B288" s="21" t="s">
        <v>906</v>
      </c>
      <c r="C288" s="21"/>
      <c r="D288" s="21" t="s">
        <v>180</v>
      </c>
      <c r="E288" s="21" t="s">
        <v>955</v>
      </c>
      <c r="F288" s="21" t="s">
        <v>3210</v>
      </c>
      <c r="G288" s="21" t="s">
        <v>3211</v>
      </c>
      <c r="H288" s="28">
        <v>41498</v>
      </c>
      <c r="I288" s="22">
        <v>2013</v>
      </c>
      <c r="J288" s="21" t="s">
        <v>1748</v>
      </c>
      <c r="K288" s="21" t="s">
        <v>1013</v>
      </c>
      <c r="L288" s="21" t="s">
        <v>3212</v>
      </c>
      <c r="M288" s="21" t="s">
        <v>961</v>
      </c>
      <c r="N288" s="21" t="s">
        <v>3169</v>
      </c>
      <c r="O288" s="21" t="s">
        <v>3213</v>
      </c>
      <c r="P288" s="27">
        <v>0</v>
      </c>
      <c r="Q288" s="27">
        <v>47</v>
      </c>
      <c r="R288" s="21" t="s">
        <v>3214</v>
      </c>
      <c r="S288" s="21" t="s">
        <v>3172</v>
      </c>
      <c r="T288" s="21" t="s">
        <v>966</v>
      </c>
      <c r="U288" s="21" t="s">
        <v>3215</v>
      </c>
    </row>
    <row r="289" spans="1:21" ht="112">
      <c r="A289" s="21" t="s">
        <v>905</v>
      </c>
      <c r="B289" s="21" t="s">
        <v>906</v>
      </c>
      <c r="C289" s="21"/>
      <c r="D289" s="21" t="s">
        <v>180</v>
      </c>
      <c r="E289" s="21" t="s">
        <v>955</v>
      </c>
      <c r="F289" s="21" t="s">
        <v>3216</v>
      </c>
      <c r="G289" s="21" t="s">
        <v>3217</v>
      </c>
      <c r="H289" s="28">
        <v>40928</v>
      </c>
      <c r="I289" s="22">
        <v>2012</v>
      </c>
      <c r="J289" s="21" t="s">
        <v>1012</v>
      </c>
      <c r="K289" s="21" t="s">
        <v>1013</v>
      </c>
      <c r="L289" s="21" t="s">
        <v>3218</v>
      </c>
      <c r="M289" s="21" t="s">
        <v>3081</v>
      </c>
      <c r="N289" s="21" t="s">
        <v>3082</v>
      </c>
      <c r="O289" s="21" t="s">
        <v>3083</v>
      </c>
      <c r="P289" s="27">
        <v>2</v>
      </c>
      <c r="Q289" s="27">
        <v>38</v>
      </c>
      <c r="R289" s="21" t="s">
        <v>3219</v>
      </c>
      <c r="S289" s="21" t="s">
        <v>2096</v>
      </c>
      <c r="T289" s="21" t="s">
        <v>966</v>
      </c>
      <c r="U289" s="21" t="s">
        <v>3220</v>
      </c>
    </row>
    <row r="290" spans="1:21" ht="70">
      <c r="A290" s="21" t="s">
        <v>905</v>
      </c>
      <c r="B290" s="21" t="s">
        <v>906</v>
      </c>
      <c r="C290" s="21"/>
      <c r="D290" s="21" t="s">
        <v>180</v>
      </c>
      <c r="E290" s="21" t="s">
        <v>955</v>
      </c>
      <c r="F290" s="21" t="s">
        <v>3221</v>
      </c>
      <c r="G290" s="21" t="s">
        <v>3222</v>
      </c>
      <c r="H290" s="28">
        <v>41264</v>
      </c>
      <c r="I290" s="22">
        <v>2012</v>
      </c>
      <c r="J290" s="21" t="s">
        <v>1012</v>
      </c>
      <c r="K290" s="21" t="s">
        <v>1013</v>
      </c>
      <c r="L290" s="21" t="s">
        <v>3223</v>
      </c>
      <c r="M290" s="21" t="s">
        <v>961</v>
      </c>
      <c r="N290" s="21" t="s">
        <v>3224</v>
      </c>
      <c r="O290" s="21" t="s">
        <v>3225</v>
      </c>
      <c r="P290" s="27">
        <v>0</v>
      </c>
      <c r="Q290" s="27">
        <v>36</v>
      </c>
      <c r="R290" s="21" t="s">
        <v>3226</v>
      </c>
      <c r="S290" s="21" t="s">
        <v>3227</v>
      </c>
      <c r="T290" s="21" t="s">
        <v>966</v>
      </c>
      <c r="U290" s="21" t="s">
        <v>3228</v>
      </c>
    </row>
    <row r="291" spans="1:21" ht="42">
      <c r="A291" s="21" t="s">
        <v>905</v>
      </c>
      <c r="B291" s="21" t="s">
        <v>906</v>
      </c>
      <c r="C291" s="21"/>
      <c r="D291" s="21" t="s">
        <v>180</v>
      </c>
      <c r="E291" s="21" t="s">
        <v>955</v>
      </c>
      <c r="F291" s="21" t="s">
        <v>3229</v>
      </c>
      <c r="G291" s="21" t="s">
        <v>3230</v>
      </c>
      <c r="H291" s="28">
        <v>42338</v>
      </c>
      <c r="I291" s="22">
        <v>2015</v>
      </c>
      <c r="J291" s="21" t="s">
        <v>958</v>
      </c>
      <c r="K291" s="21" t="s">
        <v>959</v>
      </c>
      <c r="L291" s="21" t="s">
        <v>3231</v>
      </c>
      <c r="M291" s="21" t="s">
        <v>2068</v>
      </c>
      <c r="N291" s="21" t="s">
        <v>3232</v>
      </c>
      <c r="O291" s="21" t="s">
        <v>3233</v>
      </c>
      <c r="P291" s="27">
        <v>0</v>
      </c>
      <c r="Q291" s="27">
        <v>33</v>
      </c>
      <c r="R291" s="21" t="s">
        <v>3234</v>
      </c>
      <c r="S291" s="21" t="s">
        <v>3235</v>
      </c>
      <c r="T291" s="21" t="s">
        <v>966</v>
      </c>
      <c r="U291" s="21" t="s">
        <v>3236</v>
      </c>
    </row>
    <row r="292" spans="1:21" ht="84">
      <c r="A292" s="21" t="s">
        <v>905</v>
      </c>
      <c r="B292" s="21" t="s">
        <v>906</v>
      </c>
      <c r="C292" s="21"/>
      <c r="D292" s="21" t="s">
        <v>180</v>
      </c>
      <c r="E292" s="21" t="s">
        <v>955</v>
      </c>
      <c r="F292" s="21" t="s">
        <v>3237</v>
      </c>
      <c r="G292" s="21" t="s">
        <v>3238</v>
      </c>
      <c r="H292" s="28">
        <v>42452</v>
      </c>
      <c r="I292" s="22">
        <v>2016</v>
      </c>
      <c r="J292" s="21" t="s">
        <v>1012</v>
      </c>
      <c r="K292" s="21" t="s">
        <v>1013</v>
      </c>
      <c r="L292" s="21" t="s">
        <v>3239</v>
      </c>
      <c r="M292" s="21" t="s">
        <v>961</v>
      </c>
      <c r="N292" s="21" t="s">
        <v>3240</v>
      </c>
      <c r="O292" s="21" t="s">
        <v>3241</v>
      </c>
      <c r="P292" s="27">
        <v>0</v>
      </c>
      <c r="Q292" s="27">
        <v>21</v>
      </c>
      <c r="R292" s="21" t="s">
        <v>3242</v>
      </c>
      <c r="S292" s="21" t="s">
        <v>3243</v>
      </c>
      <c r="T292" s="21" t="s">
        <v>966</v>
      </c>
      <c r="U292" s="21" t="s">
        <v>3244</v>
      </c>
    </row>
    <row r="293" spans="1:21" ht="126">
      <c r="A293" s="21" t="s">
        <v>905</v>
      </c>
      <c r="B293" s="21" t="s">
        <v>906</v>
      </c>
      <c r="C293" s="21"/>
      <c r="D293" s="21" t="s">
        <v>180</v>
      </c>
      <c r="E293" s="21" t="s">
        <v>955</v>
      </c>
      <c r="F293" s="21" t="s">
        <v>3245</v>
      </c>
      <c r="G293" s="21" t="s">
        <v>3246</v>
      </c>
      <c r="H293" s="28">
        <v>41767</v>
      </c>
      <c r="I293" s="22">
        <v>2014</v>
      </c>
      <c r="J293" s="21" t="s">
        <v>1012</v>
      </c>
      <c r="K293" s="21" t="s">
        <v>998</v>
      </c>
      <c r="L293" s="21" t="s">
        <v>3247</v>
      </c>
      <c r="M293" s="21" t="s">
        <v>961</v>
      </c>
      <c r="N293" s="21" t="s">
        <v>3248</v>
      </c>
      <c r="O293" s="21" t="s">
        <v>2416</v>
      </c>
      <c r="P293" s="27">
        <v>0</v>
      </c>
      <c r="Q293" s="27">
        <v>57</v>
      </c>
      <c r="R293" s="21" t="s">
        <v>3249</v>
      </c>
      <c r="S293" s="21" t="s">
        <v>3250</v>
      </c>
      <c r="T293" s="21" t="s">
        <v>1148</v>
      </c>
      <c r="U293" s="21" t="s">
        <v>3251</v>
      </c>
    </row>
    <row r="294" spans="1:21" ht="56">
      <c r="A294" s="21" t="s">
        <v>905</v>
      </c>
      <c r="B294" s="21" t="s">
        <v>906</v>
      </c>
      <c r="C294" s="21"/>
      <c r="D294" s="21" t="s">
        <v>180</v>
      </c>
      <c r="E294" s="21" t="s">
        <v>955</v>
      </c>
      <c r="F294" s="21" t="s">
        <v>3252</v>
      </c>
      <c r="G294" s="21" t="s">
        <v>3253</v>
      </c>
      <c r="H294" s="28">
        <v>42335</v>
      </c>
      <c r="I294" s="22">
        <v>2015</v>
      </c>
      <c r="J294" s="21" t="s">
        <v>1012</v>
      </c>
      <c r="K294" s="21" t="s">
        <v>998</v>
      </c>
      <c r="L294" s="21" t="s">
        <v>3254</v>
      </c>
      <c r="M294" s="21" t="s">
        <v>2068</v>
      </c>
      <c r="N294" s="21" t="s">
        <v>3255</v>
      </c>
      <c r="O294" s="21" t="s">
        <v>3256</v>
      </c>
      <c r="P294" s="27">
        <v>1</v>
      </c>
      <c r="Q294" s="27">
        <v>24</v>
      </c>
      <c r="R294" s="21" t="s">
        <v>3257</v>
      </c>
      <c r="S294" s="21" t="s">
        <v>3258</v>
      </c>
      <c r="T294" s="21" t="s">
        <v>3189</v>
      </c>
      <c r="U294" s="21" t="s">
        <v>3259</v>
      </c>
    </row>
    <row r="295" spans="1:21" ht="112">
      <c r="A295" s="21" t="s">
        <v>905</v>
      </c>
      <c r="B295" s="21" t="s">
        <v>906</v>
      </c>
      <c r="C295" s="21"/>
      <c r="D295" s="21" t="s">
        <v>180</v>
      </c>
      <c r="E295" s="21" t="s">
        <v>955</v>
      </c>
      <c r="F295" s="21" t="s">
        <v>3260</v>
      </c>
      <c r="G295" s="21" t="s">
        <v>3261</v>
      </c>
      <c r="H295" s="28">
        <v>42031</v>
      </c>
      <c r="I295" s="22">
        <v>2015</v>
      </c>
      <c r="J295" s="21" t="s">
        <v>1012</v>
      </c>
      <c r="K295" s="21" t="s">
        <v>1013</v>
      </c>
      <c r="L295" s="21" t="s">
        <v>3262</v>
      </c>
      <c r="M295" s="21" t="s">
        <v>3263</v>
      </c>
      <c r="N295" s="21" t="s">
        <v>3264</v>
      </c>
      <c r="O295" s="21" t="s">
        <v>3265</v>
      </c>
      <c r="P295" s="27">
        <v>0</v>
      </c>
      <c r="Q295" s="27">
        <v>21</v>
      </c>
      <c r="R295" s="21" t="s">
        <v>3266</v>
      </c>
      <c r="S295" s="21" t="s">
        <v>3267</v>
      </c>
      <c r="T295" s="21" t="s">
        <v>966</v>
      </c>
      <c r="U295" s="21" t="s">
        <v>3268</v>
      </c>
    </row>
    <row r="296" spans="1:21" ht="56">
      <c r="A296" s="21" t="s">
        <v>905</v>
      </c>
      <c r="B296" s="21" t="s">
        <v>906</v>
      </c>
      <c r="C296" s="21"/>
      <c r="D296" s="21" t="s">
        <v>180</v>
      </c>
      <c r="E296" s="21" t="s">
        <v>955</v>
      </c>
      <c r="F296" s="21" t="s">
        <v>3269</v>
      </c>
      <c r="G296" s="21" t="s">
        <v>3270</v>
      </c>
      <c r="H296" s="28">
        <v>41789</v>
      </c>
      <c r="I296" s="22">
        <v>2014</v>
      </c>
      <c r="J296" s="21" t="s">
        <v>1012</v>
      </c>
      <c r="K296" s="21" t="s">
        <v>1013</v>
      </c>
      <c r="L296" s="21" t="s">
        <v>3271</v>
      </c>
      <c r="M296" s="21" t="s">
        <v>2068</v>
      </c>
      <c r="N296" s="21" t="s">
        <v>3272</v>
      </c>
      <c r="O296" s="21" t="s">
        <v>3273</v>
      </c>
      <c r="P296" s="27">
        <v>3</v>
      </c>
      <c r="Q296" s="27">
        <v>52</v>
      </c>
      <c r="R296" s="21" t="s">
        <v>3274</v>
      </c>
      <c r="S296" s="21" t="s">
        <v>3275</v>
      </c>
      <c r="T296" s="21" t="s">
        <v>966</v>
      </c>
      <c r="U296" s="21" t="s">
        <v>3276</v>
      </c>
    </row>
    <row r="297" spans="1:21" ht="126">
      <c r="A297" s="21" t="s">
        <v>905</v>
      </c>
      <c r="B297" s="21" t="s">
        <v>906</v>
      </c>
      <c r="C297" s="21"/>
      <c r="D297" s="21" t="s">
        <v>180</v>
      </c>
      <c r="E297" s="21" t="s">
        <v>955</v>
      </c>
      <c r="F297" s="21" t="s">
        <v>3277</v>
      </c>
      <c r="G297" s="21" t="s">
        <v>3278</v>
      </c>
      <c r="H297" s="28">
        <v>39839</v>
      </c>
      <c r="I297" s="22">
        <v>2009</v>
      </c>
      <c r="J297" s="21" t="s">
        <v>958</v>
      </c>
      <c r="K297" s="21" t="s">
        <v>959</v>
      </c>
      <c r="L297" s="21" t="s">
        <v>3279</v>
      </c>
      <c r="M297" s="21" t="s">
        <v>3280</v>
      </c>
      <c r="N297" s="21" t="s">
        <v>3281</v>
      </c>
      <c r="O297" s="21" t="s">
        <v>3282</v>
      </c>
      <c r="P297" s="27">
        <v>0</v>
      </c>
      <c r="Q297" s="27">
        <v>28</v>
      </c>
      <c r="R297" s="21" t="s">
        <v>3283</v>
      </c>
      <c r="S297" s="21" t="s">
        <v>3284</v>
      </c>
      <c r="T297" s="21" t="s">
        <v>966</v>
      </c>
      <c r="U297" s="21" t="s">
        <v>3285</v>
      </c>
    </row>
    <row r="298" spans="1:21" ht="210">
      <c r="A298" s="21" t="s">
        <v>905</v>
      </c>
      <c r="B298" s="21" t="s">
        <v>906</v>
      </c>
      <c r="C298" s="21"/>
      <c r="D298" s="21" t="s">
        <v>180</v>
      </c>
      <c r="E298" s="21" t="s">
        <v>955</v>
      </c>
      <c r="F298" s="21" t="s">
        <v>3286</v>
      </c>
      <c r="G298" s="21" t="s">
        <v>3287</v>
      </c>
      <c r="H298" s="28">
        <v>40534</v>
      </c>
      <c r="I298" s="22">
        <v>2010</v>
      </c>
      <c r="J298" s="21" t="s">
        <v>1012</v>
      </c>
      <c r="K298" s="21" t="s">
        <v>1013</v>
      </c>
      <c r="L298" s="21" t="s">
        <v>3288</v>
      </c>
      <c r="M298" s="21" t="s">
        <v>961</v>
      </c>
      <c r="N298" s="21" t="s">
        <v>3289</v>
      </c>
      <c r="O298" s="21" t="s">
        <v>3290</v>
      </c>
      <c r="P298" s="27">
        <v>0</v>
      </c>
      <c r="Q298" s="27">
        <v>85</v>
      </c>
      <c r="R298" s="21" t="s">
        <v>3291</v>
      </c>
      <c r="S298" s="21" t="s">
        <v>3292</v>
      </c>
      <c r="T298" s="21" t="s">
        <v>3189</v>
      </c>
      <c r="U298" s="21" t="s">
        <v>3293</v>
      </c>
    </row>
    <row r="299" spans="1:21" ht="154">
      <c r="A299" s="21" t="s">
        <v>905</v>
      </c>
      <c r="B299" s="21" t="s">
        <v>906</v>
      </c>
      <c r="C299" s="21"/>
      <c r="D299" s="21" t="s">
        <v>180</v>
      </c>
      <c r="E299" s="21" t="s">
        <v>955</v>
      </c>
      <c r="F299" s="21" t="s">
        <v>3294</v>
      </c>
      <c r="G299" s="21" t="s">
        <v>3295</v>
      </c>
      <c r="H299" s="28">
        <v>41583</v>
      </c>
      <c r="I299" s="22">
        <v>2013</v>
      </c>
      <c r="J299" s="21" t="s">
        <v>1012</v>
      </c>
      <c r="K299" s="21" t="s">
        <v>1013</v>
      </c>
      <c r="L299" s="21" t="s">
        <v>3296</v>
      </c>
      <c r="M299" s="21" t="s">
        <v>961</v>
      </c>
      <c r="N299" s="21" t="s">
        <v>3297</v>
      </c>
      <c r="O299" s="21" t="s">
        <v>3298</v>
      </c>
      <c r="P299" s="27">
        <v>0</v>
      </c>
      <c r="Q299" s="27">
        <v>65</v>
      </c>
      <c r="R299" s="21" t="s">
        <v>3299</v>
      </c>
      <c r="S299" s="21" t="s">
        <v>3300</v>
      </c>
      <c r="T299" s="21" t="s">
        <v>966</v>
      </c>
      <c r="U299" s="21" t="s">
        <v>3301</v>
      </c>
    </row>
    <row r="300" spans="1:21" ht="70">
      <c r="A300" s="21" t="s">
        <v>905</v>
      </c>
      <c r="B300" s="21" t="s">
        <v>906</v>
      </c>
      <c r="C300" s="21"/>
      <c r="D300" s="21" t="s">
        <v>180</v>
      </c>
      <c r="E300" s="21" t="s">
        <v>955</v>
      </c>
      <c r="F300" s="21" t="s">
        <v>3302</v>
      </c>
      <c r="G300" s="21" t="s">
        <v>3303</v>
      </c>
      <c r="H300" s="28">
        <v>41422</v>
      </c>
      <c r="I300" s="22">
        <v>2013</v>
      </c>
      <c r="J300" s="21" t="s">
        <v>1012</v>
      </c>
      <c r="K300" s="21" t="s">
        <v>998</v>
      </c>
      <c r="L300" s="21" t="s">
        <v>3304</v>
      </c>
      <c r="M300" s="21" t="s">
        <v>961</v>
      </c>
      <c r="N300" s="21" t="s">
        <v>3305</v>
      </c>
      <c r="O300" s="21" t="s">
        <v>1669</v>
      </c>
      <c r="P300" s="27">
        <v>1</v>
      </c>
      <c r="Q300" s="27">
        <v>53</v>
      </c>
      <c r="R300" s="21" t="s">
        <v>3306</v>
      </c>
      <c r="S300" s="21" t="s">
        <v>3307</v>
      </c>
      <c r="T300" s="21" t="s">
        <v>1148</v>
      </c>
      <c r="U300" s="21" t="s">
        <v>3308</v>
      </c>
    </row>
    <row r="301" spans="1:21" ht="42">
      <c r="A301" s="21" t="s">
        <v>905</v>
      </c>
      <c r="B301" s="21" t="s">
        <v>906</v>
      </c>
      <c r="C301" s="21"/>
      <c r="D301" s="21" t="s">
        <v>180</v>
      </c>
      <c r="E301" s="21" t="s">
        <v>955</v>
      </c>
      <c r="F301" s="21" t="s">
        <v>3309</v>
      </c>
      <c r="G301" s="21" t="s">
        <v>3310</v>
      </c>
      <c r="H301" s="28">
        <v>41908</v>
      </c>
      <c r="I301" s="22">
        <v>2014</v>
      </c>
      <c r="J301" s="21" t="s">
        <v>1012</v>
      </c>
      <c r="K301" s="21" t="s">
        <v>1013</v>
      </c>
      <c r="L301" s="21" t="s">
        <v>3311</v>
      </c>
      <c r="M301" s="21" t="s">
        <v>961</v>
      </c>
      <c r="N301" s="21" t="s">
        <v>3312</v>
      </c>
      <c r="O301" s="21" t="s">
        <v>3313</v>
      </c>
      <c r="P301" s="27">
        <v>2</v>
      </c>
      <c r="Q301" s="27">
        <v>40</v>
      </c>
      <c r="R301" s="21" t="s">
        <v>3314</v>
      </c>
      <c r="S301" s="21" t="s">
        <v>3315</v>
      </c>
      <c r="T301" s="21" t="s">
        <v>966</v>
      </c>
      <c r="U301" s="21" t="s">
        <v>3316</v>
      </c>
    </row>
    <row r="302" spans="1:21" ht="154">
      <c r="A302" s="21" t="s">
        <v>905</v>
      </c>
      <c r="B302" s="21" t="s">
        <v>906</v>
      </c>
      <c r="C302" s="21"/>
      <c r="D302" s="21" t="s">
        <v>180</v>
      </c>
      <c r="E302" s="21" t="s">
        <v>955</v>
      </c>
      <c r="F302" s="21" t="s">
        <v>3317</v>
      </c>
      <c r="G302" s="21" t="s">
        <v>3318</v>
      </c>
      <c r="H302" s="28">
        <v>41047</v>
      </c>
      <c r="I302" s="22">
        <v>2012</v>
      </c>
      <c r="J302" s="21" t="s">
        <v>1012</v>
      </c>
      <c r="K302" s="21" t="s">
        <v>1013</v>
      </c>
      <c r="L302" s="21" t="s">
        <v>3319</v>
      </c>
      <c r="M302" s="21" t="s">
        <v>3137</v>
      </c>
      <c r="N302" s="21" t="s">
        <v>3320</v>
      </c>
      <c r="O302" s="21" t="s">
        <v>3321</v>
      </c>
      <c r="P302" s="27">
        <v>4</v>
      </c>
      <c r="Q302" s="27">
        <v>38</v>
      </c>
      <c r="R302" s="21" t="s">
        <v>3322</v>
      </c>
      <c r="S302" s="21" t="s">
        <v>3323</v>
      </c>
      <c r="T302" s="21" t="s">
        <v>966</v>
      </c>
      <c r="U302" s="21" t="s">
        <v>3324</v>
      </c>
    </row>
    <row r="303" spans="1:21" ht="56">
      <c r="A303" s="21" t="s">
        <v>905</v>
      </c>
      <c r="B303" s="21" t="s">
        <v>906</v>
      </c>
      <c r="C303" s="21"/>
      <c r="D303" s="21" t="s">
        <v>180</v>
      </c>
      <c r="E303" s="21" t="s">
        <v>955</v>
      </c>
      <c r="F303" s="21" t="s">
        <v>3325</v>
      </c>
      <c r="G303" s="21" t="s">
        <v>3326</v>
      </c>
      <c r="H303" s="28">
        <v>42576</v>
      </c>
      <c r="I303" s="22">
        <v>2016</v>
      </c>
      <c r="J303" s="21" t="s">
        <v>1012</v>
      </c>
      <c r="K303" s="21" t="s">
        <v>1013</v>
      </c>
      <c r="L303" s="21" t="s">
        <v>3327</v>
      </c>
      <c r="M303" s="21" t="s">
        <v>961</v>
      </c>
      <c r="N303" s="21" t="s">
        <v>3328</v>
      </c>
      <c r="O303" s="21" t="s">
        <v>1064</v>
      </c>
      <c r="P303" s="27">
        <v>0</v>
      </c>
      <c r="Q303" s="27">
        <v>4</v>
      </c>
      <c r="R303" s="21" t="s">
        <v>3329</v>
      </c>
      <c r="S303" s="21" t="s">
        <v>3330</v>
      </c>
      <c r="T303" s="21" t="s">
        <v>966</v>
      </c>
      <c r="U303" s="21" t="s">
        <v>3331</v>
      </c>
    </row>
    <row r="304" spans="1:21" ht="84">
      <c r="A304" s="21" t="s">
        <v>905</v>
      </c>
      <c r="B304" s="21" t="s">
        <v>906</v>
      </c>
      <c r="C304" s="21"/>
      <c r="D304" s="21" t="s">
        <v>180</v>
      </c>
      <c r="E304" s="21" t="s">
        <v>955</v>
      </c>
      <c r="F304" s="21" t="s">
        <v>3332</v>
      </c>
      <c r="G304" s="21" t="s">
        <v>3333</v>
      </c>
      <c r="H304" s="28">
        <v>40800</v>
      </c>
      <c r="I304" s="22">
        <v>2011</v>
      </c>
      <c r="J304" s="21" t="s">
        <v>1012</v>
      </c>
      <c r="K304" s="21" t="s">
        <v>998</v>
      </c>
      <c r="L304" s="21" t="s">
        <v>3334</v>
      </c>
      <c r="M304" s="21" t="s">
        <v>961</v>
      </c>
      <c r="N304" s="21" t="s">
        <v>3335</v>
      </c>
      <c r="O304" s="21" t="s">
        <v>3336</v>
      </c>
      <c r="P304" s="27">
        <v>0</v>
      </c>
      <c r="Q304" s="27">
        <v>22</v>
      </c>
      <c r="R304" s="21" t="s">
        <v>3337</v>
      </c>
      <c r="S304" s="21" t="s">
        <v>3338</v>
      </c>
      <c r="T304" s="21" t="s">
        <v>1148</v>
      </c>
      <c r="U304" s="21" t="s">
        <v>3339</v>
      </c>
    </row>
    <row r="305" spans="1:21" ht="56">
      <c r="A305" s="21" t="s">
        <v>905</v>
      </c>
      <c r="B305" s="21" t="s">
        <v>906</v>
      </c>
      <c r="C305" s="21"/>
      <c r="D305" s="21" t="s">
        <v>180</v>
      </c>
      <c r="E305" s="21" t="s">
        <v>955</v>
      </c>
      <c r="F305" s="21" t="s">
        <v>3340</v>
      </c>
      <c r="G305" s="21" t="s">
        <v>3341</v>
      </c>
      <c r="H305" s="28">
        <v>42480</v>
      </c>
      <c r="I305" s="22">
        <v>2016</v>
      </c>
      <c r="J305" s="21" t="s">
        <v>1012</v>
      </c>
      <c r="K305" s="21" t="s">
        <v>1013</v>
      </c>
      <c r="L305" s="21" t="s">
        <v>3342</v>
      </c>
      <c r="M305" s="21" t="s">
        <v>961</v>
      </c>
      <c r="N305" s="21" t="s">
        <v>3343</v>
      </c>
      <c r="O305" s="21" t="s">
        <v>1064</v>
      </c>
      <c r="P305" s="27">
        <v>0</v>
      </c>
      <c r="Q305" s="27">
        <v>4</v>
      </c>
      <c r="R305" s="21" t="s">
        <v>3344</v>
      </c>
      <c r="S305" s="21" t="s">
        <v>3345</v>
      </c>
      <c r="T305" s="21" t="s">
        <v>966</v>
      </c>
      <c r="U305" s="21" t="s">
        <v>3346</v>
      </c>
    </row>
    <row r="306" spans="1:21" ht="98">
      <c r="A306" s="21" t="s">
        <v>905</v>
      </c>
      <c r="B306" s="21" t="s">
        <v>906</v>
      </c>
      <c r="C306" s="21"/>
      <c r="D306" s="21" t="s">
        <v>180</v>
      </c>
      <c r="E306" s="21" t="s">
        <v>955</v>
      </c>
      <c r="F306" s="21" t="s">
        <v>3347</v>
      </c>
      <c r="G306" s="21" t="s">
        <v>3348</v>
      </c>
      <c r="H306" s="28">
        <v>42311</v>
      </c>
      <c r="I306" s="22">
        <v>2015</v>
      </c>
      <c r="J306" s="21" t="s">
        <v>1012</v>
      </c>
      <c r="K306" s="21" t="s">
        <v>998</v>
      </c>
      <c r="L306" s="21" t="s">
        <v>3349</v>
      </c>
      <c r="M306" s="21" t="s">
        <v>961</v>
      </c>
      <c r="N306" s="21" t="s">
        <v>3350</v>
      </c>
      <c r="O306" s="21" t="s">
        <v>2416</v>
      </c>
      <c r="P306" s="27">
        <v>4</v>
      </c>
      <c r="Q306" s="27">
        <v>23</v>
      </c>
      <c r="R306" s="21" t="s">
        <v>3351</v>
      </c>
      <c r="S306" s="21" t="s">
        <v>3352</v>
      </c>
      <c r="T306" s="21" t="s">
        <v>1148</v>
      </c>
      <c r="U306" s="21" t="s">
        <v>3353</v>
      </c>
    </row>
    <row r="307" spans="1:21" ht="140">
      <c r="A307" s="21" t="s">
        <v>905</v>
      </c>
      <c r="B307" s="21" t="s">
        <v>906</v>
      </c>
      <c r="C307" s="21"/>
      <c r="D307" s="21" t="s">
        <v>180</v>
      </c>
      <c r="E307" s="21" t="s">
        <v>955</v>
      </c>
      <c r="F307" s="21" t="s">
        <v>3354</v>
      </c>
      <c r="G307" s="21" t="s">
        <v>3355</v>
      </c>
      <c r="H307" s="28">
        <v>42313</v>
      </c>
      <c r="I307" s="22">
        <v>2015</v>
      </c>
      <c r="J307" s="21" t="s">
        <v>1012</v>
      </c>
      <c r="K307" s="21" t="s">
        <v>998</v>
      </c>
      <c r="L307" s="21" t="s">
        <v>3356</v>
      </c>
      <c r="M307" s="21" t="s">
        <v>961</v>
      </c>
      <c r="N307" s="21" t="s">
        <v>3350</v>
      </c>
      <c r="O307" s="21" t="s">
        <v>2416</v>
      </c>
      <c r="P307" s="27">
        <v>3</v>
      </c>
      <c r="Q307" s="27">
        <v>24</v>
      </c>
      <c r="R307" s="21" t="s">
        <v>3357</v>
      </c>
      <c r="S307" s="21" t="s">
        <v>3358</v>
      </c>
      <c r="T307" s="21" t="s">
        <v>1148</v>
      </c>
      <c r="U307" s="21" t="s">
        <v>3359</v>
      </c>
    </row>
    <row r="308" spans="1:21" ht="112">
      <c r="A308" s="21" t="s">
        <v>905</v>
      </c>
      <c r="B308" s="21" t="s">
        <v>906</v>
      </c>
      <c r="C308" s="21"/>
      <c r="D308" s="21" t="s">
        <v>180</v>
      </c>
      <c r="E308" s="21" t="s">
        <v>955</v>
      </c>
      <c r="F308" s="21" t="s">
        <v>3360</v>
      </c>
      <c r="G308" s="21" t="s">
        <v>3361</v>
      </c>
      <c r="H308" s="28">
        <v>41919</v>
      </c>
      <c r="I308" s="22">
        <v>2014</v>
      </c>
      <c r="J308" s="21" t="s">
        <v>1012</v>
      </c>
      <c r="K308" s="21" t="s">
        <v>1013</v>
      </c>
      <c r="L308" s="21" t="s">
        <v>3362</v>
      </c>
      <c r="M308" s="21" t="s">
        <v>961</v>
      </c>
      <c r="N308" s="21" t="s">
        <v>3363</v>
      </c>
      <c r="O308" s="21" t="s">
        <v>3290</v>
      </c>
      <c r="P308" s="27">
        <v>0</v>
      </c>
      <c r="Q308" s="27">
        <v>6</v>
      </c>
      <c r="R308" s="21" t="s">
        <v>3364</v>
      </c>
      <c r="S308" s="21" t="s">
        <v>3365</v>
      </c>
      <c r="T308" s="21" t="s">
        <v>966</v>
      </c>
      <c r="U308" s="21" t="s">
        <v>3366</v>
      </c>
    </row>
    <row r="309" spans="1:21" ht="70">
      <c r="A309" s="21" t="s">
        <v>905</v>
      </c>
      <c r="B309" s="21" t="s">
        <v>906</v>
      </c>
      <c r="C309" s="21"/>
      <c r="D309" s="21" t="s">
        <v>180</v>
      </c>
      <c r="E309" s="21" t="s">
        <v>955</v>
      </c>
      <c r="F309" s="21" t="s">
        <v>3367</v>
      </c>
      <c r="G309" s="21" t="s">
        <v>3368</v>
      </c>
      <c r="H309" s="28">
        <v>42338</v>
      </c>
      <c r="I309" s="22">
        <v>2015</v>
      </c>
      <c r="J309" s="21" t="s">
        <v>1012</v>
      </c>
      <c r="K309" s="21" t="s">
        <v>1013</v>
      </c>
      <c r="L309" s="21" t="s">
        <v>3369</v>
      </c>
      <c r="M309" s="21" t="s">
        <v>2068</v>
      </c>
      <c r="N309" s="21" t="s">
        <v>3370</v>
      </c>
      <c r="O309" s="21" t="s">
        <v>3371</v>
      </c>
      <c r="P309" s="27">
        <v>3</v>
      </c>
      <c r="Q309" s="27">
        <v>37</v>
      </c>
      <c r="R309" s="21" t="s">
        <v>3372</v>
      </c>
      <c r="S309" s="21" t="s">
        <v>3373</v>
      </c>
      <c r="T309" s="21" t="s">
        <v>966</v>
      </c>
      <c r="U309" s="21" t="s">
        <v>3374</v>
      </c>
    </row>
    <row r="310" spans="1:21" ht="70">
      <c r="A310" s="21" t="s">
        <v>905</v>
      </c>
      <c r="B310" s="21" t="s">
        <v>906</v>
      </c>
      <c r="C310" s="21"/>
      <c r="D310" s="21" t="s">
        <v>180</v>
      </c>
      <c r="E310" s="21" t="s">
        <v>955</v>
      </c>
      <c r="F310" s="21" t="s">
        <v>3375</v>
      </c>
      <c r="G310" s="21" t="s">
        <v>3376</v>
      </c>
      <c r="H310" s="28">
        <v>41016</v>
      </c>
      <c r="I310" s="22">
        <v>2012</v>
      </c>
      <c r="J310" s="21" t="s">
        <v>1012</v>
      </c>
      <c r="K310" s="21" t="s">
        <v>1013</v>
      </c>
      <c r="L310" s="21" t="s">
        <v>3377</v>
      </c>
      <c r="M310" s="21" t="s">
        <v>961</v>
      </c>
      <c r="N310" s="21" t="s">
        <v>3378</v>
      </c>
      <c r="O310" s="21" t="s">
        <v>3379</v>
      </c>
      <c r="P310" s="27">
        <v>1</v>
      </c>
      <c r="Q310" s="27">
        <v>28</v>
      </c>
      <c r="R310" s="21" t="s">
        <v>3380</v>
      </c>
      <c r="S310" s="21" t="s">
        <v>3381</v>
      </c>
      <c r="T310" s="21" t="s">
        <v>966</v>
      </c>
      <c r="U310" s="21" t="s">
        <v>3382</v>
      </c>
    </row>
    <row r="311" spans="1:21" ht="84">
      <c r="A311" s="21" t="s">
        <v>905</v>
      </c>
      <c r="B311" s="21" t="s">
        <v>906</v>
      </c>
      <c r="C311" s="21"/>
      <c r="D311" s="21" t="s">
        <v>180</v>
      </c>
      <c r="E311" s="21" t="s">
        <v>955</v>
      </c>
      <c r="F311" s="21" t="s">
        <v>3383</v>
      </c>
      <c r="G311" s="21" t="s">
        <v>3384</v>
      </c>
      <c r="H311" s="28">
        <v>40130</v>
      </c>
      <c r="I311" s="22">
        <v>2009</v>
      </c>
      <c r="J311" s="21" t="s">
        <v>958</v>
      </c>
      <c r="K311" s="21" t="s">
        <v>959</v>
      </c>
      <c r="L311" s="21" t="s">
        <v>3385</v>
      </c>
      <c r="M311" s="21" t="s">
        <v>3386</v>
      </c>
      <c r="N311" s="21" t="s">
        <v>3387</v>
      </c>
      <c r="O311" s="21" t="s">
        <v>3388</v>
      </c>
      <c r="P311" s="27">
        <v>3</v>
      </c>
      <c r="Q311" s="27">
        <v>35</v>
      </c>
      <c r="R311" s="21" t="s">
        <v>3389</v>
      </c>
      <c r="S311" s="21" t="s">
        <v>3390</v>
      </c>
      <c r="T311" s="21" t="s">
        <v>966</v>
      </c>
      <c r="U311" s="21" t="s">
        <v>3391</v>
      </c>
    </row>
    <row r="312" spans="1:21" ht="126">
      <c r="A312" s="21" t="s">
        <v>905</v>
      </c>
      <c r="B312" s="21" t="s">
        <v>906</v>
      </c>
      <c r="C312" s="21"/>
      <c r="D312" s="21" t="s">
        <v>180</v>
      </c>
      <c r="E312" s="21" t="s">
        <v>955</v>
      </c>
      <c r="F312" s="21" t="s">
        <v>3392</v>
      </c>
      <c r="G312" s="21" t="s">
        <v>3393</v>
      </c>
      <c r="H312" s="28">
        <v>40130</v>
      </c>
      <c r="I312" s="22">
        <v>2009</v>
      </c>
      <c r="J312" s="21" t="s">
        <v>958</v>
      </c>
      <c r="K312" s="21" t="s">
        <v>959</v>
      </c>
      <c r="L312" s="21" t="s">
        <v>3394</v>
      </c>
      <c r="M312" s="21" t="s">
        <v>3386</v>
      </c>
      <c r="N312" s="21" t="s">
        <v>3395</v>
      </c>
      <c r="O312" s="21" t="s">
        <v>3396</v>
      </c>
      <c r="P312" s="27">
        <v>5</v>
      </c>
      <c r="Q312" s="27">
        <v>57</v>
      </c>
      <c r="R312" s="21" t="s">
        <v>3397</v>
      </c>
      <c r="S312" s="21" t="s">
        <v>3398</v>
      </c>
      <c r="T312" s="21" t="s">
        <v>966</v>
      </c>
      <c r="U312" s="21" t="s">
        <v>3399</v>
      </c>
    </row>
    <row r="313" spans="1:21" ht="280">
      <c r="A313" s="21" t="s">
        <v>905</v>
      </c>
      <c r="B313" s="21" t="s">
        <v>906</v>
      </c>
      <c r="C313" s="21"/>
      <c r="D313" s="21" t="s">
        <v>180</v>
      </c>
      <c r="E313" s="21" t="s">
        <v>955</v>
      </c>
      <c r="F313" s="21" t="s">
        <v>3400</v>
      </c>
      <c r="G313" s="21" t="s">
        <v>3401</v>
      </c>
      <c r="H313" s="28">
        <v>40683</v>
      </c>
      <c r="I313" s="22">
        <v>2011</v>
      </c>
      <c r="J313" s="21" t="s">
        <v>1012</v>
      </c>
      <c r="K313" s="21" t="s">
        <v>1013</v>
      </c>
      <c r="L313" s="21" t="s">
        <v>3402</v>
      </c>
      <c r="M313" s="21" t="s">
        <v>1071</v>
      </c>
      <c r="N313" s="21" t="s">
        <v>3403</v>
      </c>
      <c r="O313" s="21" t="s">
        <v>3404</v>
      </c>
      <c r="P313" s="27">
        <v>0</v>
      </c>
      <c r="Q313" s="27">
        <v>31</v>
      </c>
      <c r="R313" s="21" t="s">
        <v>3405</v>
      </c>
      <c r="S313" s="21" t="s">
        <v>3406</v>
      </c>
      <c r="T313" s="21" t="s">
        <v>966</v>
      </c>
      <c r="U313" s="21" t="s">
        <v>3407</v>
      </c>
    </row>
    <row r="314" spans="1:21" ht="70">
      <c r="A314" s="21" t="s">
        <v>905</v>
      </c>
      <c r="B314" s="21" t="s">
        <v>906</v>
      </c>
      <c r="C314" s="21"/>
      <c r="D314" s="21" t="s">
        <v>180</v>
      </c>
      <c r="E314" s="21" t="s">
        <v>955</v>
      </c>
      <c r="F314" s="21" t="s">
        <v>3408</v>
      </c>
      <c r="G314" s="21" t="s">
        <v>3409</v>
      </c>
      <c r="H314" s="28">
        <v>41820</v>
      </c>
      <c r="I314" s="22">
        <v>2014</v>
      </c>
      <c r="J314" s="21" t="s">
        <v>1012</v>
      </c>
      <c r="K314" s="21" t="s">
        <v>1013</v>
      </c>
      <c r="L314" s="21" t="s">
        <v>3410</v>
      </c>
      <c r="M314" s="21" t="s">
        <v>961</v>
      </c>
      <c r="N314" s="21" t="s">
        <v>3411</v>
      </c>
      <c r="O314" s="21" t="s">
        <v>3412</v>
      </c>
      <c r="P314" s="27">
        <v>0</v>
      </c>
      <c r="Q314" s="27">
        <v>39</v>
      </c>
      <c r="R314" s="21" t="s">
        <v>3413</v>
      </c>
      <c r="S314" s="21" t="s">
        <v>3414</v>
      </c>
      <c r="T314" s="21" t="s">
        <v>966</v>
      </c>
      <c r="U314" s="21" t="s">
        <v>3415</v>
      </c>
    </row>
    <row r="315" spans="1:21" ht="168">
      <c r="A315" s="21" t="s">
        <v>905</v>
      </c>
      <c r="B315" s="21" t="s">
        <v>906</v>
      </c>
      <c r="C315" s="21"/>
      <c r="D315" s="21" t="s">
        <v>180</v>
      </c>
      <c r="E315" s="21" t="s">
        <v>955</v>
      </c>
      <c r="F315" s="21" t="s">
        <v>3416</v>
      </c>
      <c r="G315" s="21" t="s">
        <v>3417</v>
      </c>
      <c r="H315" s="28">
        <v>40736</v>
      </c>
      <c r="I315" s="22">
        <v>2011</v>
      </c>
      <c r="J315" s="21" t="s">
        <v>1012</v>
      </c>
      <c r="K315" s="21" t="s">
        <v>1013</v>
      </c>
      <c r="L315" s="21" t="s">
        <v>3418</v>
      </c>
      <c r="M315" s="21" t="s">
        <v>961</v>
      </c>
      <c r="N315" s="21" t="s">
        <v>3419</v>
      </c>
      <c r="O315" s="21" t="s">
        <v>3420</v>
      </c>
      <c r="P315" s="27">
        <v>0</v>
      </c>
      <c r="Q315" s="27">
        <v>69</v>
      </c>
      <c r="R315" s="21" t="s">
        <v>3421</v>
      </c>
      <c r="S315" s="21" t="s">
        <v>3422</v>
      </c>
      <c r="T315" s="21" t="s">
        <v>3189</v>
      </c>
      <c r="U315" s="21" t="s">
        <v>3423</v>
      </c>
    </row>
    <row r="316" spans="1:21" ht="70">
      <c r="A316" s="21" t="s">
        <v>905</v>
      </c>
      <c r="B316" s="21" t="s">
        <v>906</v>
      </c>
      <c r="C316" s="21"/>
      <c r="D316" s="21" t="s">
        <v>180</v>
      </c>
      <c r="E316" s="21" t="s">
        <v>955</v>
      </c>
      <c r="F316" s="21" t="s">
        <v>3424</v>
      </c>
      <c r="G316" s="21" t="s">
        <v>3425</v>
      </c>
      <c r="H316" s="28">
        <v>41787</v>
      </c>
      <c r="I316" s="22">
        <v>2014</v>
      </c>
      <c r="J316" s="21" t="s">
        <v>1012</v>
      </c>
      <c r="K316" s="21" t="s">
        <v>1013</v>
      </c>
      <c r="L316" s="21" t="s">
        <v>3426</v>
      </c>
      <c r="M316" s="21" t="s">
        <v>961</v>
      </c>
      <c r="N316" s="21" t="s">
        <v>3427</v>
      </c>
      <c r="O316" s="21" t="s">
        <v>3428</v>
      </c>
      <c r="P316" s="27">
        <v>0</v>
      </c>
      <c r="Q316" s="27">
        <v>29</v>
      </c>
      <c r="R316" s="21" t="s">
        <v>3429</v>
      </c>
      <c r="S316" s="21" t="s">
        <v>2520</v>
      </c>
      <c r="T316" s="21" t="s">
        <v>966</v>
      </c>
      <c r="U316" s="21" t="s">
        <v>3430</v>
      </c>
    </row>
    <row r="317" spans="1:21" ht="84">
      <c r="A317" s="21" t="s">
        <v>905</v>
      </c>
      <c r="B317" s="21" t="s">
        <v>906</v>
      </c>
      <c r="C317" s="21"/>
      <c r="D317" s="21" t="s">
        <v>180</v>
      </c>
      <c r="E317" s="21" t="s">
        <v>955</v>
      </c>
      <c r="F317" s="21" t="s">
        <v>3431</v>
      </c>
      <c r="G317" s="21" t="s">
        <v>3432</v>
      </c>
      <c r="H317" s="28">
        <v>41907</v>
      </c>
      <c r="I317" s="22">
        <v>2014</v>
      </c>
      <c r="J317" s="21" t="s">
        <v>1012</v>
      </c>
      <c r="K317" s="21" t="s">
        <v>998</v>
      </c>
      <c r="L317" s="21" t="s">
        <v>3433</v>
      </c>
      <c r="M317" s="21" t="s">
        <v>961</v>
      </c>
      <c r="N317" s="21" t="s">
        <v>3434</v>
      </c>
      <c r="O317" s="21" t="s">
        <v>3435</v>
      </c>
      <c r="P317" s="27">
        <v>0</v>
      </c>
      <c r="Q317" s="27">
        <v>17</v>
      </c>
      <c r="R317" s="21" t="s">
        <v>3436</v>
      </c>
      <c r="S317" s="21" t="s">
        <v>3437</v>
      </c>
      <c r="T317" s="21" t="s">
        <v>1148</v>
      </c>
      <c r="U317" s="21" t="s">
        <v>3438</v>
      </c>
    </row>
    <row r="318" spans="1:21" ht="56">
      <c r="A318" s="21" t="s">
        <v>905</v>
      </c>
      <c r="B318" s="21" t="s">
        <v>906</v>
      </c>
      <c r="C318" s="21"/>
      <c r="D318" s="21" t="s">
        <v>180</v>
      </c>
      <c r="E318" s="21" t="s">
        <v>955</v>
      </c>
      <c r="F318" s="21" t="s">
        <v>3439</v>
      </c>
      <c r="G318" s="21" t="s">
        <v>3440</v>
      </c>
      <c r="H318" s="28">
        <v>41337</v>
      </c>
      <c r="I318" s="22">
        <v>2013</v>
      </c>
      <c r="J318" s="21" t="s">
        <v>1012</v>
      </c>
      <c r="K318" s="21" t="s">
        <v>1013</v>
      </c>
      <c r="L318" s="21" t="s">
        <v>3441</v>
      </c>
      <c r="M318" s="21" t="s">
        <v>961</v>
      </c>
      <c r="N318" s="21" t="s">
        <v>3442</v>
      </c>
      <c r="O318" s="21" t="s">
        <v>3443</v>
      </c>
      <c r="P318" s="27">
        <v>0</v>
      </c>
      <c r="Q318" s="27">
        <v>24</v>
      </c>
      <c r="R318" s="21" t="s">
        <v>3444</v>
      </c>
      <c r="S318" s="21" t="s">
        <v>3445</v>
      </c>
      <c r="T318" s="21" t="s">
        <v>3189</v>
      </c>
      <c r="U318" s="21" t="s">
        <v>3446</v>
      </c>
    </row>
    <row r="319" spans="1:21" ht="70">
      <c r="A319" s="21" t="s">
        <v>905</v>
      </c>
      <c r="B319" s="21" t="s">
        <v>906</v>
      </c>
      <c r="C319" s="21"/>
      <c r="D319" s="21" t="s">
        <v>180</v>
      </c>
      <c r="E319" s="21" t="s">
        <v>955</v>
      </c>
      <c r="F319" s="21" t="s">
        <v>3447</v>
      </c>
      <c r="G319" s="21" t="s">
        <v>3448</v>
      </c>
      <c r="H319" s="28">
        <v>40877</v>
      </c>
      <c r="I319" s="22">
        <v>2011</v>
      </c>
      <c r="J319" s="21" t="s">
        <v>1012</v>
      </c>
      <c r="K319" s="21" t="s">
        <v>1013</v>
      </c>
      <c r="L319" s="21" t="s">
        <v>3449</v>
      </c>
      <c r="M319" s="21" t="s">
        <v>961</v>
      </c>
      <c r="N319" s="21" t="s">
        <v>3450</v>
      </c>
      <c r="O319" s="21" t="s">
        <v>3451</v>
      </c>
      <c r="P319" s="27">
        <v>1</v>
      </c>
      <c r="Q319" s="27">
        <v>49</v>
      </c>
      <c r="R319" s="21" t="s">
        <v>3452</v>
      </c>
      <c r="S319" s="21" t="s">
        <v>3453</v>
      </c>
      <c r="T319" s="21" t="s">
        <v>966</v>
      </c>
      <c r="U319" s="21" t="s">
        <v>3454</v>
      </c>
    </row>
    <row r="320" spans="1:21" ht="140">
      <c r="A320" s="21" t="s">
        <v>905</v>
      </c>
      <c r="B320" s="21" t="s">
        <v>906</v>
      </c>
      <c r="C320" s="21"/>
      <c r="D320" s="21" t="s">
        <v>180</v>
      </c>
      <c r="E320" s="21" t="s">
        <v>955</v>
      </c>
      <c r="F320" s="21" t="s">
        <v>3455</v>
      </c>
      <c r="G320" s="21" t="s">
        <v>3456</v>
      </c>
      <c r="H320" s="28">
        <v>42130</v>
      </c>
      <c r="I320" s="22">
        <v>2015</v>
      </c>
      <c r="J320" s="21" t="s">
        <v>1012</v>
      </c>
      <c r="K320" s="21" t="s">
        <v>998</v>
      </c>
      <c r="L320" s="21" t="s">
        <v>3457</v>
      </c>
      <c r="M320" s="21" t="s">
        <v>961</v>
      </c>
      <c r="N320" s="21" t="s">
        <v>3458</v>
      </c>
      <c r="O320" s="21" t="s">
        <v>3459</v>
      </c>
      <c r="P320" s="27">
        <v>0</v>
      </c>
      <c r="Q320" s="27">
        <v>19</v>
      </c>
      <c r="R320" s="21" t="s">
        <v>3460</v>
      </c>
      <c r="S320" s="21" t="s">
        <v>3461</v>
      </c>
      <c r="T320" s="21" t="s">
        <v>1148</v>
      </c>
      <c r="U320" s="21" t="s">
        <v>3462</v>
      </c>
    </row>
    <row r="321" spans="1:21" ht="84">
      <c r="A321" s="21" t="s">
        <v>905</v>
      </c>
      <c r="B321" s="21" t="s">
        <v>906</v>
      </c>
      <c r="C321" s="21"/>
      <c r="D321" s="21" t="s">
        <v>180</v>
      </c>
      <c r="E321" s="21" t="s">
        <v>955</v>
      </c>
      <c r="F321" s="21" t="s">
        <v>3463</v>
      </c>
      <c r="G321" s="21" t="s">
        <v>3464</v>
      </c>
      <c r="H321" s="28">
        <v>41339</v>
      </c>
      <c r="I321" s="22">
        <v>2013</v>
      </c>
      <c r="J321" s="21" t="s">
        <v>1012</v>
      </c>
      <c r="K321" s="21" t="s">
        <v>1013</v>
      </c>
      <c r="L321" s="21" t="s">
        <v>3465</v>
      </c>
      <c r="M321" s="21" t="s">
        <v>961</v>
      </c>
      <c r="N321" s="21" t="s">
        <v>3466</v>
      </c>
      <c r="O321" s="21" t="s">
        <v>3467</v>
      </c>
      <c r="P321" s="27">
        <v>0</v>
      </c>
      <c r="Q321" s="27">
        <v>64</v>
      </c>
      <c r="R321" s="21" t="s">
        <v>3468</v>
      </c>
      <c r="S321" s="21" t="s">
        <v>3469</v>
      </c>
      <c r="T321" s="21" t="s">
        <v>966</v>
      </c>
      <c r="U321" s="21" t="s">
        <v>3470</v>
      </c>
    </row>
    <row r="322" spans="1:21" ht="126">
      <c r="A322" s="21" t="s">
        <v>905</v>
      </c>
      <c r="B322" s="21" t="s">
        <v>906</v>
      </c>
      <c r="C322" s="21"/>
      <c r="D322" s="21" t="s">
        <v>180</v>
      </c>
      <c r="E322" s="21" t="s">
        <v>955</v>
      </c>
      <c r="F322" s="21" t="s">
        <v>3471</v>
      </c>
      <c r="G322" s="21" t="s">
        <v>3472</v>
      </c>
      <c r="H322" s="28">
        <v>40113</v>
      </c>
      <c r="I322" s="22">
        <v>2009</v>
      </c>
      <c r="J322" s="21" t="s">
        <v>1012</v>
      </c>
      <c r="K322" s="21" t="s">
        <v>1013</v>
      </c>
      <c r="L322" s="21" t="s">
        <v>3473</v>
      </c>
      <c r="M322" s="21" t="s">
        <v>961</v>
      </c>
      <c r="N322" s="21" t="s">
        <v>3474</v>
      </c>
      <c r="O322" s="21" t="s">
        <v>3475</v>
      </c>
      <c r="P322" s="27">
        <v>0</v>
      </c>
      <c r="Q322" s="27">
        <v>67</v>
      </c>
      <c r="R322" s="21" t="s">
        <v>3476</v>
      </c>
      <c r="S322" s="21" t="s">
        <v>3477</v>
      </c>
      <c r="T322" s="21" t="s">
        <v>3189</v>
      </c>
      <c r="U322" s="21" t="s">
        <v>3478</v>
      </c>
    </row>
    <row r="323" spans="1:21" ht="84">
      <c r="A323" s="21" t="s">
        <v>905</v>
      </c>
      <c r="B323" s="21" t="s">
        <v>906</v>
      </c>
      <c r="C323" s="21"/>
      <c r="D323" s="21" t="s">
        <v>180</v>
      </c>
      <c r="E323" s="21" t="s">
        <v>955</v>
      </c>
      <c r="F323" s="21" t="s">
        <v>3479</v>
      </c>
      <c r="G323" s="21" t="s">
        <v>3480</v>
      </c>
      <c r="H323" s="28">
        <v>42272</v>
      </c>
      <c r="I323" s="22">
        <v>2015</v>
      </c>
      <c r="J323" s="21" t="s">
        <v>1012</v>
      </c>
      <c r="K323" s="21" t="s">
        <v>1013</v>
      </c>
      <c r="L323" s="21" t="s">
        <v>3481</v>
      </c>
      <c r="M323" s="21" t="s">
        <v>961</v>
      </c>
      <c r="N323" s="21" t="s">
        <v>3482</v>
      </c>
      <c r="O323" s="21" t="s">
        <v>3483</v>
      </c>
      <c r="P323" s="27">
        <v>6</v>
      </c>
      <c r="Q323" s="27">
        <v>46</v>
      </c>
      <c r="R323" s="21" t="s">
        <v>3484</v>
      </c>
      <c r="S323" s="21" t="s">
        <v>3258</v>
      </c>
      <c r="T323" s="21" t="s">
        <v>966</v>
      </c>
      <c r="U323" s="21" t="s">
        <v>3485</v>
      </c>
    </row>
    <row r="324" spans="1:21" ht="70">
      <c r="A324" s="21" t="s">
        <v>905</v>
      </c>
      <c r="B324" s="21" t="s">
        <v>906</v>
      </c>
      <c r="C324" s="21"/>
      <c r="D324" s="21" t="s">
        <v>180</v>
      </c>
      <c r="E324" s="21" t="s">
        <v>955</v>
      </c>
      <c r="F324" s="21" t="s">
        <v>3486</v>
      </c>
      <c r="G324" s="21" t="s">
        <v>3487</v>
      </c>
      <c r="H324" s="28">
        <v>41297</v>
      </c>
      <c r="I324" s="22">
        <v>2013</v>
      </c>
      <c r="J324" s="21" t="s">
        <v>1012</v>
      </c>
      <c r="K324" s="21" t="s">
        <v>1013</v>
      </c>
      <c r="L324" s="21" t="s">
        <v>3488</v>
      </c>
      <c r="M324" s="21" t="s">
        <v>961</v>
      </c>
      <c r="N324" s="21" t="s">
        <v>3489</v>
      </c>
      <c r="O324" s="21" t="s">
        <v>1064</v>
      </c>
      <c r="P324" s="27">
        <v>1</v>
      </c>
      <c r="Q324" s="27">
        <v>42</v>
      </c>
      <c r="R324" s="21" t="s">
        <v>3490</v>
      </c>
      <c r="S324" s="21" t="s">
        <v>3491</v>
      </c>
      <c r="T324" s="21" t="s">
        <v>3189</v>
      </c>
      <c r="U324" s="21" t="s">
        <v>3492</v>
      </c>
    </row>
    <row r="325" spans="1:21" ht="112">
      <c r="A325" s="21" t="s">
        <v>905</v>
      </c>
      <c r="B325" s="21" t="s">
        <v>906</v>
      </c>
      <c r="C325" s="21"/>
      <c r="D325" s="21" t="s">
        <v>180</v>
      </c>
      <c r="E325" s="21" t="s">
        <v>955</v>
      </c>
      <c r="F325" s="21" t="s">
        <v>3493</v>
      </c>
      <c r="G325" s="21" t="s">
        <v>3494</v>
      </c>
      <c r="H325" s="28">
        <v>41775</v>
      </c>
      <c r="I325" s="22">
        <v>2014</v>
      </c>
      <c r="J325" s="21" t="s">
        <v>1012</v>
      </c>
      <c r="K325" s="21" t="s">
        <v>998</v>
      </c>
      <c r="L325" s="21" t="s">
        <v>3495</v>
      </c>
      <c r="M325" s="21" t="s">
        <v>961</v>
      </c>
      <c r="N325" s="21" t="s">
        <v>3496</v>
      </c>
      <c r="O325" s="21" t="s">
        <v>3497</v>
      </c>
      <c r="P325" s="27">
        <v>0</v>
      </c>
      <c r="Q325" s="27">
        <v>8</v>
      </c>
      <c r="R325" s="21" t="s">
        <v>3498</v>
      </c>
      <c r="S325" s="21" t="s">
        <v>3499</v>
      </c>
      <c r="T325" s="21" t="s">
        <v>1148</v>
      </c>
      <c r="U325" s="21" t="s">
        <v>3500</v>
      </c>
    </row>
    <row r="326" spans="1:21" ht="84">
      <c r="A326" s="21" t="s">
        <v>905</v>
      </c>
      <c r="B326" s="21" t="s">
        <v>906</v>
      </c>
      <c r="C326" s="21"/>
      <c r="D326" s="21" t="s">
        <v>180</v>
      </c>
      <c r="E326" s="21" t="s">
        <v>955</v>
      </c>
      <c r="F326" s="21" t="s">
        <v>3501</v>
      </c>
      <c r="G326" s="21" t="s">
        <v>3502</v>
      </c>
      <c r="H326" s="28">
        <v>40826</v>
      </c>
      <c r="I326" s="22">
        <v>2011</v>
      </c>
      <c r="J326" s="21" t="s">
        <v>1012</v>
      </c>
      <c r="K326" s="21" t="s">
        <v>1013</v>
      </c>
      <c r="L326" s="21" t="s">
        <v>3503</v>
      </c>
      <c r="M326" s="21" t="s">
        <v>961</v>
      </c>
      <c r="N326" s="21" t="s">
        <v>3504</v>
      </c>
      <c r="O326" s="21" t="s">
        <v>3505</v>
      </c>
      <c r="P326" s="27">
        <v>1</v>
      </c>
      <c r="Q326" s="27">
        <v>6</v>
      </c>
      <c r="R326" s="21" t="s">
        <v>3506</v>
      </c>
      <c r="S326" s="21" t="s">
        <v>3507</v>
      </c>
      <c r="T326" s="21" t="s">
        <v>3189</v>
      </c>
      <c r="U326" s="21" t="s">
        <v>3508</v>
      </c>
    </row>
    <row r="327" spans="1:21" ht="98">
      <c r="A327" s="21" t="s">
        <v>905</v>
      </c>
      <c r="B327" s="21" t="s">
        <v>906</v>
      </c>
      <c r="C327" s="21"/>
      <c r="D327" s="21" t="s">
        <v>180</v>
      </c>
      <c r="E327" s="21" t="s">
        <v>955</v>
      </c>
      <c r="F327" s="21" t="s">
        <v>3509</v>
      </c>
      <c r="G327" s="21" t="s">
        <v>3510</v>
      </c>
      <c r="H327" s="28">
        <v>41774</v>
      </c>
      <c r="I327" s="22">
        <v>2014</v>
      </c>
      <c r="J327" s="21" t="s">
        <v>1012</v>
      </c>
      <c r="K327" s="21" t="s">
        <v>998</v>
      </c>
      <c r="L327" s="21" t="s">
        <v>3511</v>
      </c>
      <c r="M327" s="21" t="s">
        <v>961</v>
      </c>
      <c r="N327" s="21" t="s">
        <v>3512</v>
      </c>
      <c r="O327" s="21" t="s">
        <v>3513</v>
      </c>
      <c r="P327" s="27">
        <v>13</v>
      </c>
      <c r="Q327" s="27">
        <v>4</v>
      </c>
      <c r="R327" s="21" t="s">
        <v>3514</v>
      </c>
      <c r="S327" s="21" t="s">
        <v>2096</v>
      </c>
      <c r="T327" s="21" t="s">
        <v>1148</v>
      </c>
      <c r="U327" s="21" t="s">
        <v>3515</v>
      </c>
    </row>
    <row r="328" spans="1:21" ht="196">
      <c r="A328" s="21" t="s">
        <v>905</v>
      </c>
      <c r="B328" s="21" t="s">
        <v>906</v>
      </c>
      <c r="C328" s="21"/>
      <c r="D328" s="21" t="s">
        <v>180</v>
      </c>
      <c r="E328" s="21" t="s">
        <v>955</v>
      </c>
      <c r="F328" s="21" t="s">
        <v>3516</v>
      </c>
      <c r="G328" s="21" t="s">
        <v>3517</v>
      </c>
      <c r="H328" s="28">
        <v>42216</v>
      </c>
      <c r="I328" s="22">
        <v>2015</v>
      </c>
      <c r="J328" s="21" t="s">
        <v>1012</v>
      </c>
      <c r="K328" s="21" t="s">
        <v>998</v>
      </c>
      <c r="L328" s="21" t="s">
        <v>3518</v>
      </c>
      <c r="M328" s="21" t="s">
        <v>3519</v>
      </c>
      <c r="N328" s="21" t="s">
        <v>3520</v>
      </c>
      <c r="O328" s="21" t="s">
        <v>3521</v>
      </c>
      <c r="P328" s="27">
        <v>26</v>
      </c>
      <c r="Q328" s="27">
        <v>47</v>
      </c>
      <c r="R328" s="21" t="s">
        <v>3522</v>
      </c>
      <c r="S328" s="21" t="s">
        <v>3523</v>
      </c>
      <c r="T328" s="21" t="s">
        <v>1148</v>
      </c>
      <c r="U328" s="21" t="s">
        <v>3524</v>
      </c>
    </row>
    <row r="329" spans="1:21" ht="140">
      <c r="A329" s="21" t="s">
        <v>905</v>
      </c>
      <c r="B329" s="21" t="s">
        <v>906</v>
      </c>
      <c r="C329" s="21"/>
      <c r="D329" s="21" t="s">
        <v>180</v>
      </c>
      <c r="E329" s="21" t="s">
        <v>955</v>
      </c>
      <c r="F329" s="21" t="s">
        <v>3525</v>
      </c>
      <c r="G329" s="21" t="s">
        <v>3526</v>
      </c>
      <c r="H329" s="28">
        <v>40165</v>
      </c>
      <c r="I329" s="22">
        <v>2009</v>
      </c>
      <c r="J329" s="21" t="s">
        <v>958</v>
      </c>
      <c r="K329" s="21" t="s">
        <v>959</v>
      </c>
      <c r="L329" s="21" t="s">
        <v>3527</v>
      </c>
      <c r="M329" s="21" t="s">
        <v>961</v>
      </c>
      <c r="N329" s="21" t="s">
        <v>3528</v>
      </c>
      <c r="O329" s="21" t="s">
        <v>3529</v>
      </c>
      <c r="P329" s="27">
        <v>0</v>
      </c>
      <c r="Q329" s="27">
        <v>46</v>
      </c>
      <c r="R329" s="21" t="s">
        <v>3530</v>
      </c>
      <c r="S329" s="21" t="s">
        <v>3531</v>
      </c>
      <c r="T329" s="21" t="s">
        <v>966</v>
      </c>
      <c r="U329" s="21" t="s">
        <v>3532</v>
      </c>
    </row>
    <row r="330" spans="1:21" ht="98">
      <c r="A330" s="21" t="s">
        <v>905</v>
      </c>
      <c r="B330" s="21" t="s">
        <v>906</v>
      </c>
      <c r="C330" s="21"/>
      <c r="D330" s="21" t="s">
        <v>180</v>
      </c>
      <c r="E330" s="21" t="s">
        <v>955</v>
      </c>
      <c r="F330" s="21" t="s">
        <v>3533</v>
      </c>
      <c r="G330" s="21" t="s">
        <v>3534</v>
      </c>
      <c r="H330" s="28">
        <v>39954</v>
      </c>
      <c r="I330" s="22">
        <v>2009</v>
      </c>
      <c r="J330" s="21" t="s">
        <v>1012</v>
      </c>
      <c r="K330" s="21" t="s">
        <v>1013</v>
      </c>
      <c r="L330" s="21" t="s">
        <v>3535</v>
      </c>
      <c r="M330" s="21" t="s">
        <v>3536</v>
      </c>
      <c r="N330" s="21" t="s">
        <v>3537</v>
      </c>
      <c r="O330" s="21" t="s">
        <v>3538</v>
      </c>
      <c r="P330" s="27">
        <v>2</v>
      </c>
      <c r="Q330" s="27">
        <v>27</v>
      </c>
      <c r="R330" s="21" t="s">
        <v>3539</v>
      </c>
      <c r="S330" s="21" t="s">
        <v>3540</v>
      </c>
      <c r="T330" s="21" t="s">
        <v>966</v>
      </c>
      <c r="U330" s="21" t="s">
        <v>3541</v>
      </c>
    </row>
    <row r="331" spans="1:21" ht="42">
      <c r="A331" s="21" t="s">
        <v>905</v>
      </c>
      <c r="B331" s="21" t="s">
        <v>906</v>
      </c>
      <c r="C331" s="21"/>
      <c r="D331" s="21" t="s">
        <v>180</v>
      </c>
      <c r="E331" s="21" t="s">
        <v>955</v>
      </c>
      <c r="F331" s="21" t="s">
        <v>3542</v>
      </c>
      <c r="G331" s="21" t="s">
        <v>3543</v>
      </c>
      <c r="H331" s="28">
        <v>40634</v>
      </c>
      <c r="I331" s="22">
        <v>2011</v>
      </c>
      <c r="J331" s="21" t="s">
        <v>1012</v>
      </c>
      <c r="K331" s="21" t="s">
        <v>998</v>
      </c>
      <c r="L331" s="21" t="s">
        <v>3544</v>
      </c>
      <c r="M331" s="21" t="s">
        <v>961</v>
      </c>
      <c r="N331" s="21" t="s">
        <v>3545</v>
      </c>
      <c r="O331" s="21" t="s">
        <v>3546</v>
      </c>
      <c r="P331" s="27">
        <v>0</v>
      </c>
      <c r="Q331" s="27">
        <v>42</v>
      </c>
      <c r="R331" s="21" t="s">
        <v>3547</v>
      </c>
      <c r="S331" s="21" t="s">
        <v>3548</v>
      </c>
      <c r="T331" s="21" t="s">
        <v>1148</v>
      </c>
      <c r="U331" s="21" t="s">
        <v>3549</v>
      </c>
    </row>
    <row r="332" spans="1:21" ht="70">
      <c r="A332" s="21" t="s">
        <v>905</v>
      </c>
      <c r="B332" s="21" t="s">
        <v>906</v>
      </c>
      <c r="C332" s="21"/>
      <c r="D332" s="21" t="s">
        <v>180</v>
      </c>
      <c r="E332" s="21" t="s">
        <v>955</v>
      </c>
      <c r="F332" s="21" t="s">
        <v>3550</v>
      </c>
      <c r="G332" s="21" t="s">
        <v>3551</v>
      </c>
      <c r="H332" s="28">
        <v>41383</v>
      </c>
      <c r="I332" s="22">
        <v>2013</v>
      </c>
      <c r="J332" s="21" t="s">
        <v>1012</v>
      </c>
      <c r="K332" s="21" t="s">
        <v>1013</v>
      </c>
      <c r="L332" s="21" t="s">
        <v>3552</v>
      </c>
      <c r="M332" s="21" t="s">
        <v>961</v>
      </c>
      <c r="N332" s="21" t="s">
        <v>3553</v>
      </c>
      <c r="O332" s="21" t="s">
        <v>3554</v>
      </c>
      <c r="P332" s="27">
        <v>0</v>
      </c>
      <c r="Q332" s="27">
        <v>8</v>
      </c>
      <c r="R332" s="21" t="s">
        <v>3555</v>
      </c>
      <c r="S332" s="21" t="s">
        <v>3556</v>
      </c>
      <c r="T332" s="21" t="s">
        <v>3189</v>
      </c>
      <c r="U332" s="21" t="s">
        <v>3557</v>
      </c>
    </row>
    <row r="333" spans="1:21" ht="56">
      <c r="A333" s="21" t="s">
        <v>905</v>
      </c>
      <c r="B333" s="21" t="s">
        <v>906</v>
      </c>
      <c r="C333" s="21"/>
      <c r="D333" s="21" t="s">
        <v>180</v>
      </c>
      <c r="E333" s="21" t="s">
        <v>955</v>
      </c>
      <c r="F333" s="21" t="s">
        <v>3558</v>
      </c>
      <c r="G333" s="21" t="s">
        <v>3559</v>
      </c>
      <c r="H333" s="28">
        <v>40340</v>
      </c>
      <c r="I333" s="22">
        <v>2010</v>
      </c>
      <c r="J333" s="21" t="s">
        <v>1012</v>
      </c>
      <c r="K333" s="21" t="s">
        <v>1013</v>
      </c>
      <c r="L333" s="21" t="s">
        <v>3560</v>
      </c>
      <c r="M333" s="21" t="s">
        <v>961</v>
      </c>
      <c r="N333" s="21" t="s">
        <v>3561</v>
      </c>
      <c r="O333" s="21" t="s">
        <v>1064</v>
      </c>
      <c r="P333" s="27">
        <v>4</v>
      </c>
      <c r="Q333" s="27">
        <v>58</v>
      </c>
      <c r="R333" s="21" t="s">
        <v>3562</v>
      </c>
      <c r="S333" s="21" t="s">
        <v>3563</v>
      </c>
      <c r="T333" s="21" t="s">
        <v>966</v>
      </c>
      <c r="U333" s="21" t="s">
        <v>3564</v>
      </c>
    </row>
    <row r="334" spans="1:21" ht="112">
      <c r="A334" s="21" t="s">
        <v>905</v>
      </c>
      <c r="B334" s="21" t="s">
        <v>906</v>
      </c>
      <c r="C334" s="21"/>
      <c r="D334" s="21" t="s">
        <v>180</v>
      </c>
      <c r="E334" s="21" t="s">
        <v>955</v>
      </c>
      <c r="F334" s="21" t="s">
        <v>3565</v>
      </c>
      <c r="G334" s="21" t="s">
        <v>3566</v>
      </c>
      <c r="H334" s="28">
        <v>40396</v>
      </c>
      <c r="I334" s="22">
        <v>2010</v>
      </c>
      <c r="J334" s="21" t="s">
        <v>1012</v>
      </c>
      <c r="K334" s="21" t="s">
        <v>998</v>
      </c>
      <c r="L334" s="21" t="s">
        <v>3567</v>
      </c>
      <c r="M334" s="21" t="s">
        <v>961</v>
      </c>
      <c r="N334" s="21" t="s">
        <v>3568</v>
      </c>
      <c r="O334" s="21" t="s">
        <v>3569</v>
      </c>
      <c r="P334" s="27">
        <v>1</v>
      </c>
      <c r="Q334" s="27">
        <v>65</v>
      </c>
      <c r="R334" s="21" t="s">
        <v>3570</v>
      </c>
      <c r="S334" s="21" t="s">
        <v>3571</v>
      </c>
      <c r="T334" s="21" t="s">
        <v>1148</v>
      </c>
      <c r="U334" s="21" t="s">
        <v>3572</v>
      </c>
    </row>
    <row r="335" spans="1:21" ht="98">
      <c r="A335" s="21" t="s">
        <v>905</v>
      </c>
      <c r="B335" s="21" t="s">
        <v>906</v>
      </c>
      <c r="C335" s="21"/>
      <c r="D335" s="21" t="s">
        <v>180</v>
      </c>
      <c r="E335" s="21" t="s">
        <v>955</v>
      </c>
      <c r="F335" s="21" t="s">
        <v>3573</v>
      </c>
      <c r="G335" s="21" t="s">
        <v>3574</v>
      </c>
      <c r="H335" s="28">
        <v>40695</v>
      </c>
      <c r="I335" s="22">
        <v>2011</v>
      </c>
      <c r="J335" s="21" t="s">
        <v>1012</v>
      </c>
      <c r="K335" s="21" t="s">
        <v>998</v>
      </c>
      <c r="L335" s="21" t="s">
        <v>3575</v>
      </c>
      <c r="M335" s="21" t="s">
        <v>961</v>
      </c>
      <c r="N335" s="21" t="s">
        <v>3576</v>
      </c>
      <c r="O335" s="21" t="s">
        <v>3577</v>
      </c>
      <c r="P335" s="27">
        <v>6</v>
      </c>
      <c r="Q335" s="27">
        <v>14</v>
      </c>
      <c r="R335" s="21" t="s">
        <v>3578</v>
      </c>
      <c r="S335" s="21" t="s">
        <v>3579</v>
      </c>
      <c r="T335" s="21" t="s">
        <v>1148</v>
      </c>
      <c r="U335" s="21" t="s">
        <v>3580</v>
      </c>
    </row>
    <row r="336" spans="1:21" ht="84">
      <c r="A336" s="21" t="s">
        <v>905</v>
      </c>
      <c r="B336" s="21" t="s">
        <v>906</v>
      </c>
      <c r="C336" s="21"/>
      <c r="D336" s="21" t="s">
        <v>180</v>
      </c>
      <c r="E336" s="21" t="s">
        <v>955</v>
      </c>
      <c r="F336" s="21" t="s">
        <v>3581</v>
      </c>
      <c r="G336" s="21" t="s">
        <v>3582</v>
      </c>
      <c r="H336" s="28">
        <v>40528</v>
      </c>
      <c r="I336" s="22">
        <v>2010</v>
      </c>
      <c r="J336" s="21" t="s">
        <v>958</v>
      </c>
      <c r="K336" s="21" t="s">
        <v>959</v>
      </c>
      <c r="L336" s="21" t="s">
        <v>3583</v>
      </c>
      <c r="M336" s="21" t="s">
        <v>3584</v>
      </c>
      <c r="N336" s="21" t="s">
        <v>3585</v>
      </c>
      <c r="O336" s="21" t="s">
        <v>3586</v>
      </c>
      <c r="P336" s="27">
        <v>0</v>
      </c>
      <c r="Q336" s="27">
        <v>14</v>
      </c>
      <c r="R336" s="21" t="s">
        <v>3587</v>
      </c>
      <c r="S336" s="21" t="s">
        <v>3588</v>
      </c>
      <c r="T336" s="21" t="s">
        <v>966</v>
      </c>
      <c r="U336" s="21" t="s">
        <v>3589</v>
      </c>
    </row>
    <row r="337" spans="1:21" ht="42">
      <c r="A337" s="21" t="s">
        <v>905</v>
      </c>
      <c r="B337" s="21" t="s">
        <v>906</v>
      </c>
      <c r="C337" s="21"/>
      <c r="D337" s="21" t="s">
        <v>180</v>
      </c>
      <c r="E337" s="21" t="s">
        <v>955</v>
      </c>
      <c r="F337" s="21" t="s">
        <v>3590</v>
      </c>
      <c r="G337" s="21" t="s">
        <v>3591</v>
      </c>
      <c r="H337" s="28">
        <v>40494</v>
      </c>
      <c r="I337" s="22">
        <v>2010</v>
      </c>
      <c r="J337" s="21" t="s">
        <v>1748</v>
      </c>
      <c r="K337" s="21" t="s">
        <v>1013</v>
      </c>
      <c r="L337" s="21" t="s">
        <v>3592</v>
      </c>
      <c r="M337" s="21" t="s">
        <v>3386</v>
      </c>
      <c r="N337" s="21" t="s">
        <v>3593</v>
      </c>
      <c r="O337" s="21" t="s">
        <v>3396</v>
      </c>
      <c r="P337" s="27">
        <v>1</v>
      </c>
      <c r="Q337" s="27">
        <v>2</v>
      </c>
      <c r="R337" s="21"/>
      <c r="S337" s="21" t="s">
        <v>3594</v>
      </c>
      <c r="T337" s="21" t="s">
        <v>966</v>
      </c>
      <c r="U337" s="21" t="s">
        <v>3595</v>
      </c>
    </row>
    <row r="338" spans="1:21" ht="84">
      <c r="A338" s="21" t="s">
        <v>905</v>
      </c>
      <c r="B338" s="21" t="s">
        <v>906</v>
      </c>
      <c r="C338" s="21"/>
      <c r="D338" s="21" t="s">
        <v>180</v>
      </c>
      <c r="E338" s="21" t="s">
        <v>955</v>
      </c>
      <c r="F338" s="21" t="s">
        <v>3596</v>
      </c>
      <c r="G338" s="21" t="s">
        <v>3597</v>
      </c>
      <c r="H338" s="28">
        <v>39954</v>
      </c>
      <c r="I338" s="22">
        <v>2009</v>
      </c>
      <c r="J338" s="21" t="s">
        <v>958</v>
      </c>
      <c r="K338" s="21" t="s">
        <v>959</v>
      </c>
      <c r="L338" s="21" t="s">
        <v>3598</v>
      </c>
      <c r="M338" s="21" t="s">
        <v>3536</v>
      </c>
      <c r="N338" s="21" t="s">
        <v>3599</v>
      </c>
      <c r="O338" s="21" t="s">
        <v>3600</v>
      </c>
      <c r="P338" s="27">
        <v>0</v>
      </c>
      <c r="Q338" s="27">
        <v>40</v>
      </c>
      <c r="R338" s="21" t="s">
        <v>3601</v>
      </c>
      <c r="S338" s="21" t="s">
        <v>3602</v>
      </c>
      <c r="T338" s="21" t="s">
        <v>966</v>
      </c>
      <c r="U338" s="21" t="s">
        <v>3603</v>
      </c>
    </row>
    <row r="339" spans="1:21" ht="112">
      <c r="A339" s="21" t="s">
        <v>905</v>
      </c>
      <c r="B339" s="21" t="s">
        <v>906</v>
      </c>
      <c r="C339" s="21"/>
      <c r="D339" s="21" t="s">
        <v>180</v>
      </c>
      <c r="E339" s="21" t="s">
        <v>955</v>
      </c>
      <c r="F339" s="21" t="s">
        <v>3604</v>
      </c>
      <c r="G339" s="21" t="s">
        <v>3605</v>
      </c>
      <c r="H339" s="28">
        <v>41311</v>
      </c>
      <c r="I339" s="22">
        <v>2013</v>
      </c>
      <c r="J339" s="21" t="s">
        <v>1012</v>
      </c>
      <c r="K339" s="21" t="s">
        <v>998</v>
      </c>
      <c r="L339" s="21" t="s">
        <v>3606</v>
      </c>
      <c r="M339" s="21" t="s">
        <v>3607</v>
      </c>
      <c r="N339" s="21" t="s">
        <v>3608</v>
      </c>
      <c r="O339" s="21" t="s">
        <v>3609</v>
      </c>
      <c r="P339" s="27">
        <v>3</v>
      </c>
      <c r="Q339" s="27">
        <v>18</v>
      </c>
      <c r="R339" s="21" t="s">
        <v>3610</v>
      </c>
      <c r="S339" s="21" t="s">
        <v>3611</v>
      </c>
      <c r="T339" s="21" t="s">
        <v>1148</v>
      </c>
      <c r="U339" s="21" t="s">
        <v>3612</v>
      </c>
    </row>
    <row r="340" spans="1:21" ht="126">
      <c r="A340" s="21" t="s">
        <v>905</v>
      </c>
      <c r="B340" s="21" t="s">
        <v>906</v>
      </c>
      <c r="C340" s="21"/>
      <c r="D340" s="21" t="s">
        <v>180</v>
      </c>
      <c r="E340" s="21" t="s">
        <v>955</v>
      </c>
      <c r="F340" s="21" t="s">
        <v>3613</v>
      </c>
      <c r="G340" s="21" t="s">
        <v>3614</v>
      </c>
      <c r="H340" s="28">
        <v>39995</v>
      </c>
      <c r="I340" s="22">
        <v>2009</v>
      </c>
      <c r="J340" s="21" t="s">
        <v>1012</v>
      </c>
      <c r="K340" s="21" t="s">
        <v>1013</v>
      </c>
      <c r="L340" s="21" t="s">
        <v>3615</v>
      </c>
      <c r="M340" s="21" t="s">
        <v>3616</v>
      </c>
      <c r="N340" s="21" t="s">
        <v>3617</v>
      </c>
      <c r="O340" s="21" t="s">
        <v>3618</v>
      </c>
      <c r="P340" s="27">
        <v>1</v>
      </c>
      <c r="Q340" s="27">
        <v>20</v>
      </c>
      <c r="R340" s="21" t="s">
        <v>3619</v>
      </c>
      <c r="S340" s="21" t="s">
        <v>3620</v>
      </c>
      <c r="T340" s="21" t="s">
        <v>3189</v>
      </c>
      <c r="U340" s="21" t="s">
        <v>3621</v>
      </c>
    </row>
    <row r="341" spans="1:21" ht="126">
      <c r="A341" s="21" t="s">
        <v>905</v>
      </c>
      <c r="B341" s="21" t="s">
        <v>906</v>
      </c>
      <c r="C341" s="21"/>
      <c r="D341" s="21" t="s">
        <v>180</v>
      </c>
      <c r="E341" s="21" t="s">
        <v>955</v>
      </c>
      <c r="F341" s="21" t="s">
        <v>3622</v>
      </c>
      <c r="G341" s="21" t="s">
        <v>3623</v>
      </c>
      <c r="H341" s="28">
        <v>40711</v>
      </c>
      <c r="I341" s="22">
        <v>2011</v>
      </c>
      <c r="J341" s="21" t="s">
        <v>958</v>
      </c>
      <c r="K341" s="21" t="s">
        <v>959</v>
      </c>
      <c r="L341" s="21" t="s">
        <v>3624</v>
      </c>
      <c r="M341" s="21" t="s">
        <v>961</v>
      </c>
      <c r="N341" s="21" t="s">
        <v>3625</v>
      </c>
      <c r="O341" s="21" t="s">
        <v>3626</v>
      </c>
      <c r="P341" s="27">
        <v>0</v>
      </c>
      <c r="Q341" s="27">
        <v>43</v>
      </c>
      <c r="R341" s="21" t="s">
        <v>3627</v>
      </c>
      <c r="S341" s="21" t="s">
        <v>3628</v>
      </c>
      <c r="T341" s="21" t="s">
        <v>966</v>
      </c>
      <c r="U341" s="21" t="s">
        <v>3629</v>
      </c>
    </row>
    <row r="342" spans="1:21" ht="98">
      <c r="A342" s="21" t="s">
        <v>905</v>
      </c>
      <c r="B342" s="21" t="s">
        <v>906</v>
      </c>
      <c r="C342" s="21"/>
      <c r="D342" s="21" t="s">
        <v>180</v>
      </c>
      <c r="E342" s="21" t="s">
        <v>955</v>
      </c>
      <c r="F342" s="21" t="s">
        <v>3630</v>
      </c>
      <c r="G342" s="21" t="s">
        <v>3631</v>
      </c>
      <c r="H342" s="28">
        <v>41472</v>
      </c>
      <c r="I342" s="22">
        <v>2013</v>
      </c>
      <c r="J342" s="21" t="s">
        <v>1012</v>
      </c>
      <c r="K342" s="21" t="s">
        <v>1013</v>
      </c>
      <c r="L342" s="21" t="s">
        <v>3632</v>
      </c>
      <c r="M342" s="21" t="s">
        <v>3633</v>
      </c>
      <c r="N342" s="21" t="s">
        <v>3634</v>
      </c>
      <c r="O342" s="21" t="s">
        <v>3635</v>
      </c>
      <c r="P342" s="27">
        <v>2</v>
      </c>
      <c r="Q342" s="27">
        <v>19</v>
      </c>
      <c r="R342" s="21" t="s">
        <v>3636</v>
      </c>
      <c r="S342" s="21" t="s">
        <v>3637</v>
      </c>
      <c r="T342" s="21" t="s">
        <v>966</v>
      </c>
      <c r="U342" s="21" t="s">
        <v>3638</v>
      </c>
    </row>
    <row r="343" spans="1:21" ht="98">
      <c r="A343" s="21" t="s">
        <v>905</v>
      </c>
      <c r="B343" s="21" t="s">
        <v>906</v>
      </c>
      <c r="C343" s="21"/>
      <c r="D343" s="21" t="s">
        <v>180</v>
      </c>
      <c r="E343" s="21" t="s">
        <v>955</v>
      </c>
      <c r="F343" s="21" t="s">
        <v>3639</v>
      </c>
      <c r="G343" s="21" t="s">
        <v>3640</v>
      </c>
      <c r="H343" s="28">
        <v>39972</v>
      </c>
      <c r="I343" s="22">
        <v>2009</v>
      </c>
      <c r="J343" s="21" t="s">
        <v>1012</v>
      </c>
      <c r="K343" s="21" t="s">
        <v>998</v>
      </c>
      <c r="L343" s="21" t="s">
        <v>3641</v>
      </c>
      <c r="M343" s="21" t="s">
        <v>961</v>
      </c>
      <c r="N343" s="21" t="s">
        <v>3642</v>
      </c>
      <c r="O343" s="21" t="s">
        <v>3643</v>
      </c>
      <c r="P343" s="27">
        <v>1</v>
      </c>
      <c r="Q343" s="27">
        <v>43</v>
      </c>
      <c r="R343" s="21" t="s">
        <v>3644</v>
      </c>
      <c r="S343" s="21" t="s">
        <v>3645</v>
      </c>
      <c r="T343" s="21" t="s">
        <v>1148</v>
      </c>
      <c r="U343" s="21" t="s">
        <v>3646</v>
      </c>
    </row>
    <row r="344" spans="1:21" ht="98">
      <c r="A344" s="21" t="s">
        <v>905</v>
      </c>
      <c r="B344" s="21" t="s">
        <v>906</v>
      </c>
      <c r="C344" s="21"/>
      <c r="D344" s="21" t="s">
        <v>180</v>
      </c>
      <c r="E344" s="21" t="s">
        <v>955</v>
      </c>
      <c r="F344" s="21" t="s">
        <v>3647</v>
      </c>
      <c r="G344" s="21" t="s">
        <v>3648</v>
      </c>
      <c r="H344" s="28">
        <v>41297</v>
      </c>
      <c r="I344" s="22">
        <v>2013</v>
      </c>
      <c r="J344" s="21" t="s">
        <v>1012</v>
      </c>
      <c r="K344" s="21" t="s">
        <v>998</v>
      </c>
      <c r="L344" s="21" t="s">
        <v>3649</v>
      </c>
      <c r="M344" s="21" t="s">
        <v>961</v>
      </c>
      <c r="N344" s="21" t="s">
        <v>3650</v>
      </c>
      <c r="O344" s="21" t="s">
        <v>3651</v>
      </c>
      <c r="P344" s="27">
        <v>0</v>
      </c>
      <c r="Q344" s="27">
        <v>50</v>
      </c>
      <c r="R344" s="21" t="s">
        <v>3652</v>
      </c>
      <c r="S344" s="21" t="s">
        <v>3653</v>
      </c>
      <c r="T344" s="21" t="s">
        <v>966</v>
      </c>
      <c r="U344" s="21" t="s">
        <v>3654</v>
      </c>
    </row>
    <row r="345" spans="1:21" ht="56">
      <c r="A345" s="21" t="s">
        <v>905</v>
      </c>
      <c r="B345" s="21" t="s">
        <v>906</v>
      </c>
      <c r="C345" s="21"/>
      <c r="D345" s="21" t="s">
        <v>180</v>
      </c>
      <c r="E345" s="21" t="s">
        <v>955</v>
      </c>
      <c r="F345" s="21" t="s">
        <v>3655</v>
      </c>
      <c r="G345" s="21" t="s">
        <v>3656</v>
      </c>
      <c r="H345" s="28">
        <v>40676</v>
      </c>
      <c r="I345" s="22">
        <v>2011</v>
      </c>
      <c r="J345" s="21" t="s">
        <v>1012</v>
      </c>
      <c r="K345" s="21" t="s">
        <v>1013</v>
      </c>
      <c r="L345" s="21" t="s">
        <v>3657</v>
      </c>
      <c r="M345" s="21" t="s">
        <v>3658</v>
      </c>
      <c r="N345" s="21" t="s">
        <v>3659</v>
      </c>
      <c r="O345" s="21" t="s">
        <v>3660</v>
      </c>
      <c r="P345" s="27">
        <v>0</v>
      </c>
      <c r="Q345" s="27">
        <v>37</v>
      </c>
      <c r="R345" s="21" t="s">
        <v>3661</v>
      </c>
      <c r="S345" s="21" t="s">
        <v>3662</v>
      </c>
      <c r="T345" s="21" t="s">
        <v>966</v>
      </c>
      <c r="U345" s="21" t="s">
        <v>3663</v>
      </c>
    </row>
    <row r="346" spans="1:21" ht="154">
      <c r="A346" s="21" t="s">
        <v>905</v>
      </c>
      <c r="B346" s="21" t="s">
        <v>906</v>
      </c>
      <c r="C346" s="21"/>
      <c r="D346" s="21" t="s">
        <v>180</v>
      </c>
      <c r="E346" s="21" t="s">
        <v>955</v>
      </c>
      <c r="F346" s="21" t="s">
        <v>3664</v>
      </c>
      <c r="G346" s="21" t="s">
        <v>3665</v>
      </c>
      <c r="H346" s="28">
        <v>40247</v>
      </c>
      <c r="I346" s="22">
        <v>2010</v>
      </c>
      <c r="J346" s="21" t="s">
        <v>1012</v>
      </c>
      <c r="K346" s="21" t="s">
        <v>1013</v>
      </c>
      <c r="L346" s="21" t="s">
        <v>3666</v>
      </c>
      <c r="M346" s="21" t="s">
        <v>3667</v>
      </c>
      <c r="N346" s="21" t="s">
        <v>3668</v>
      </c>
      <c r="O346" s="21" t="s">
        <v>3669</v>
      </c>
      <c r="P346" s="27">
        <v>1</v>
      </c>
      <c r="Q346" s="27">
        <v>23</v>
      </c>
      <c r="R346" s="21" t="s">
        <v>3670</v>
      </c>
      <c r="S346" s="21" t="s">
        <v>3671</v>
      </c>
      <c r="T346" s="21" t="s">
        <v>3189</v>
      </c>
      <c r="U346" s="21" t="s">
        <v>3672</v>
      </c>
    </row>
    <row r="347" spans="1:21" ht="84">
      <c r="A347" s="21" t="s">
        <v>905</v>
      </c>
      <c r="B347" s="21" t="s">
        <v>906</v>
      </c>
      <c r="C347" s="21"/>
      <c r="D347" s="21" t="s">
        <v>180</v>
      </c>
      <c r="E347" s="21" t="s">
        <v>955</v>
      </c>
      <c r="F347" s="21" t="s">
        <v>3673</v>
      </c>
      <c r="G347" s="21" t="s">
        <v>3674</v>
      </c>
      <c r="H347" s="28">
        <v>39864</v>
      </c>
      <c r="I347" s="22">
        <v>2009</v>
      </c>
      <c r="J347" s="21" t="s">
        <v>1012</v>
      </c>
      <c r="K347" s="21" t="s">
        <v>998</v>
      </c>
      <c r="L347" s="21" t="s">
        <v>3675</v>
      </c>
      <c r="M347" s="21" t="s">
        <v>961</v>
      </c>
      <c r="N347" s="21" t="s">
        <v>3676</v>
      </c>
      <c r="O347" s="21" t="s">
        <v>3677</v>
      </c>
      <c r="P347" s="27">
        <v>0</v>
      </c>
      <c r="Q347" s="27">
        <v>55</v>
      </c>
      <c r="R347" s="21" t="s">
        <v>3678</v>
      </c>
      <c r="S347" s="21" t="s">
        <v>3679</v>
      </c>
      <c r="T347" s="21" t="s">
        <v>1148</v>
      </c>
      <c r="U347" s="21" t="s">
        <v>3680</v>
      </c>
    </row>
    <row r="348" spans="1:21" ht="70">
      <c r="A348" s="21" t="s">
        <v>905</v>
      </c>
      <c r="B348" s="21" t="s">
        <v>906</v>
      </c>
      <c r="C348" s="21"/>
      <c r="D348" s="21" t="s">
        <v>180</v>
      </c>
      <c r="E348" s="21" t="s">
        <v>955</v>
      </c>
      <c r="F348" s="21" t="s">
        <v>3681</v>
      </c>
      <c r="G348" s="21" t="s">
        <v>3682</v>
      </c>
      <c r="H348" s="28">
        <v>40996</v>
      </c>
      <c r="I348" s="22">
        <v>2012</v>
      </c>
      <c r="J348" s="21" t="s">
        <v>1012</v>
      </c>
      <c r="K348" s="21" t="s">
        <v>998</v>
      </c>
      <c r="L348" s="21" t="s">
        <v>3683</v>
      </c>
      <c r="M348" s="21" t="s">
        <v>3684</v>
      </c>
      <c r="N348" s="21" t="s">
        <v>3685</v>
      </c>
      <c r="O348" s="21" t="s">
        <v>3686</v>
      </c>
      <c r="P348" s="27">
        <v>4</v>
      </c>
      <c r="Q348" s="27">
        <v>5</v>
      </c>
      <c r="R348" s="21" t="s">
        <v>3687</v>
      </c>
      <c r="S348" s="21" t="s">
        <v>3688</v>
      </c>
      <c r="T348" s="21" t="s">
        <v>1148</v>
      </c>
      <c r="U348" s="21" t="s">
        <v>3689</v>
      </c>
    </row>
    <row r="349" spans="1:21" ht="70">
      <c r="A349" s="21" t="s">
        <v>905</v>
      </c>
      <c r="B349" s="21" t="s">
        <v>906</v>
      </c>
      <c r="C349" s="21"/>
      <c r="D349" s="21" t="s">
        <v>180</v>
      </c>
      <c r="E349" s="21" t="s">
        <v>955</v>
      </c>
      <c r="F349" s="21" t="s">
        <v>3690</v>
      </c>
      <c r="G349" s="21" t="s">
        <v>3691</v>
      </c>
      <c r="H349" s="28">
        <v>41023</v>
      </c>
      <c r="I349" s="22">
        <v>2012</v>
      </c>
      <c r="J349" s="21" t="s">
        <v>1012</v>
      </c>
      <c r="K349" s="21" t="s">
        <v>998</v>
      </c>
      <c r="L349" s="21" t="s">
        <v>3692</v>
      </c>
      <c r="M349" s="21" t="s">
        <v>3684</v>
      </c>
      <c r="N349" s="21" t="s">
        <v>3685</v>
      </c>
      <c r="O349" s="21" t="s">
        <v>3693</v>
      </c>
      <c r="P349" s="27">
        <v>7</v>
      </c>
      <c r="Q349" s="27">
        <v>3</v>
      </c>
      <c r="R349" s="21" t="s">
        <v>3694</v>
      </c>
      <c r="S349" s="21" t="s">
        <v>3695</v>
      </c>
      <c r="T349" s="21" t="s">
        <v>1148</v>
      </c>
      <c r="U349" s="21" t="s">
        <v>3696</v>
      </c>
    </row>
    <row r="350" spans="1:21" ht="70">
      <c r="A350" s="21" t="s">
        <v>905</v>
      </c>
      <c r="B350" s="21" t="s">
        <v>906</v>
      </c>
      <c r="C350" s="21"/>
      <c r="D350" s="21" t="s">
        <v>180</v>
      </c>
      <c r="E350" s="21" t="s">
        <v>955</v>
      </c>
      <c r="F350" s="21" t="s">
        <v>3697</v>
      </c>
      <c r="G350" s="21" t="s">
        <v>3698</v>
      </c>
      <c r="H350" s="28">
        <v>40532</v>
      </c>
      <c r="I350" s="22">
        <v>2010</v>
      </c>
      <c r="J350" s="21" t="s">
        <v>1012</v>
      </c>
      <c r="K350" s="21" t="s">
        <v>1013</v>
      </c>
      <c r="L350" s="21" t="s">
        <v>3699</v>
      </c>
      <c r="M350" s="21" t="s">
        <v>3700</v>
      </c>
      <c r="N350" s="21" t="s">
        <v>3701</v>
      </c>
      <c r="O350" s="21" t="s">
        <v>3702</v>
      </c>
      <c r="P350" s="27">
        <v>0</v>
      </c>
      <c r="Q350" s="27">
        <v>16</v>
      </c>
      <c r="R350" s="21" t="s">
        <v>3703</v>
      </c>
      <c r="S350" s="21" t="s">
        <v>3704</v>
      </c>
      <c r="T350" s="21" t="s">
        <v>3189</v>
      </c>
      <c r="U350" s="21" t="s">
        <v>3705</v>
      </c>
    </row>
    <row r="351" spans="1:21" ht="98">
      <c r="A351" s="21" t="s">
        <v>905</v>
      </c>
      <c r="B351" s="21" t="s">
        <v>906</v>
      </c>
      <c r="C351" s="21"/>
      <c r="D351" s="21" t="s">
        <v>180</v>
      </c>
      <c r="E351" s="21" t="s">
        <v>955</v>
      </c>
      <c r="F351" s="21" t="s">
        <v>3706</v>
      </c>
      <c r="G351" s="21" t="s">
        <v>3707</v>
      </c>
      <c r="H351" s="28">
        <v>40227</v>
      </c>
      <c r="I351" s="22">
        <v>2010</v>
      </c>
      <c r="J351" s="21" t="s">
        <v>1012</v>
      </c>
      <c r="K351" s="21" t="s">
        <v>1013</v>
      </c>
      <c r="L351" s="21" t="s">
        <v>3708</v>
      </c>
      <c r="M351" s="21" t="s">
        <v>3709</v>
      </c>
      <c r="N351" s="21" t="s">
        <v>3710</v>
      </c>
      <c r="O351" s="21" t="s">
        <v>3711</v>
      </c>
      <c r="P351" s="27">
        <v>0</v>
      </c>
      <c r="Q351" s="27">
        <v>50</v>
      </c>
      <c r="R351" s="21" t="s">
        <v>3712</v>
      </c>
      <c r="S351" s="21" t="s">
        <v>3713</v>
      </c>
      <c r="T351" s="21" t="s">
        <v>3189</v>
      </c>
      <c r="U351" s="21" t="s">
        <v>3714</v>
      </c>
    </row>
    <row r="352" spans="1:21" ht="70">
      <c r="A352" s="21" t="s">
        <v>905</v>
      </c>
      <c r="B352" s="21" t="s">
        <v>906</v>
      </c>
      <c r="C352" s="21"/>
      <c r="D352" s="21" t="s">
        <v>180</v>
      </c>
      <c r="E352" s="21" t="s">
        <v>955</v>
      </c>
      <c r="F352" s="21" t="s">
        <v>3715</v>
      </c>
      <c r="G352" s="21" t="s">
        <v>3716</v>
      </c>
      <c r="H352" s="28">
        <v>41080</v>
      </c>
      <c r="I352" s="22">
        <v>2012</v>
      </c>
      <c r="J352" s="21" t="s">
        <v>1012</v>
      </c>
      <c r="K352" s="21" t="s">
        <v>1013</v>
      </c>
      <c r="L352" s="21" t="s">
        <v>3717</v>
      </c>
      <c r="M352" s="21" t="s">
        <v>961</v>
      </c>
      <c r="N352" s="21" t="s">
        <v>3718</v>
      </c>
      <c r="O352" s="21" t="s">
        <v>3719</v>
      </c>
      <c r="P352" s="27">
        <v>6</v>
      </c>
      <c r="Q352" s="27">
        <v>8</v>
      </c>
      <c r="R352" s="21" t="s">
        <v>3720</v>
      </c>
      <c r="S352" s="21" t="s">
        <v>3721</v>
      </c>
      <c r="T352" s="21" t="s">
        <v>3189</v>
      </c>
      <c r="U352" s="21" t="s">
        <v>3722</v>
      </c>
    </row>
    <row r="353" spans="1:21" ht="42">
      <c r="A353" s="21" t="s">
        <v>905</v>
      </c>
      <c r="B353" s="21" t="s">
        <v>906</v>
      </c>
      <c r="C353" s="21"/>
      <c r="D353" s="21" t="s">
        <v>180</v>
      </c>
      <c r="E353" s="21" t="s">
        <v>955</v>
      </c>
      <c r="F353" s="21" t="s">
        <v>3723</v>
      </c>
      <c r="G353" s="21" t="s">
        <v>3724</v>
      </c>
      <c r="H353" s="28">
        <v>41080</v>
      </c>
      <c r="I353" s="22">
        <v>2012</v>
      </c>
      <c r="J353" s="21" t="s">
        <v>1012</v>
      </c>
      <c r="K353" s="21" t="s">
        <v>1013</v>
      </c>
      <c r="L353" s="21" t="s">
        <v>3725</v>
      </c>
      <c r="M353" s="21" t="s">
        <v>961</v>
      </c>
      <c r="N353" s="21" t="s">
        <v>3726</v>
      </c>
      <c r="O353" s="21" t="s">
        <v>3727</v>
      </c>
      <c r="P353" s="27">
        <v>7</v>
      </c>
      <c r="Q353" s="27">
        <v>8</v>
      </c>
      <c r="R353" s="21" t="s">
        <v>3728</v>
      </c>
      <c r="S353" s="21" t="s">
        <v>3729</v>
      </c>
      <c r="T353" s="21" t="s">
        <v>3189</v>
      </c>
      <c r="U353" s="21" t="s">
        <v>3730</v>
      </c>
    </row>
    <row r="354" spans="1:21" ht="70">
      <c r="A354" s="21" t="s">
        <v>905</v>
      </c>
      <c r="B354" s="21" t="s">
        <v>906</v>
      </c>
      <c r="C354" s="21"/>
      <c r="D354" s="21" t="s">
        <v>180</v>
      </c>
      <c r="E354" s="21" t="s">
        <v>955</v>
      </c>
      <c r="F354" s="21" t="s">
        <v>3731</v>
      </c>
      <c r="G354" s="21" t="s">
        <v>3732</v>
      </c>
      <c r="H354" s="28">
        <v>41080</v>
      </c>
      <c r="I354" s="22">
        <v>2012</v>
      </c>
      <c r="J354" s="21" t="s">
        <v>1012</v>
      </c>
      <c r="K354" s="21" t="s">
        <v>1013</v>
      </c>
      <c r="L354" s="21" t="s">
        <v>3733</v>
      </c>
      <c r="M354" s="21" t="s">
        <v>961</v>
      </c>
      <c r="N354" s="21" t="s">
        <v>3726</v>
      </c>
      <c r="O354" s="21" t="s">
        <v>3734</v>
      </c>
      <c r="P354" s="27">
        <v>7</v>
      </c>
      <c r="Q354" s="27">
        <v>8</v>
      </c>
      <c r="R354" s="21" t="s">
        <v>3735</v>
      </c>
      <c r="S354" s="21" t="s">
        <v>3721</v>
      </c>
      <c r="T354" s="21" t="s">
        <v>3189</v>
      </c>
      <c r="U354" s="21" t="s">
        <v>3736</v>
      </c>
    </row>
    <row r="355" spans="1:21" ht="70">
      <c r="A355" s="21" t="s">
        <v>905</v>
      </c>
      <c r="B355" s="21" t="s">
        <v>906</v>
      </c>
      <c r="C355" s="21"/>
      <c r="D355" s="21" t="s">
        <v>180</v>
      </c>
      <c r="E355" s="21" t="s">
        <v>955</v>
      </c>
      <c r="F355" s="21" t="s">
        <v>3737</v>
      </c>
      <c r="G355" s="21" t="s">
        <v>3738</v>
      </c>
      <c r="H355" s="28">
        <v>41080</v>
      </c>
      <c r="I355" s="22">
        <v>2012</v>
      </c>
      <c r="J355" s="21" t="s">
        <v>1012</v>
      </c>
      <c r="K355" s="21" t="s">
        <v>1013</v>
      </c>
      <c r="L355" s="21" t="s">
        <v>3739</v>
      </c>
      <c r="M355" s="21" t="s">
        <v>961</v>
      </c>
      <c r="N355" s="21" t="s">
        <v>3726</v>
      </c>
      <c r="O355" s="21" t="s">
        <v>3740</v>
      </c>
      <c r="P355" s="27">
        <v>7</v>
      </c>
      <c r="Q355" s="27">
        <v>8</v>
      </c>
      <c r="R355" s="21" t="s">
        <v>3741</v>
      </c>
      <c r="S355" s="21" t="s">
        <v>3742</v>
      </c>
      <c r="T355" s="21" t="s">
        <v>3189</v>
      </c>
      <c r="U355" s="21" t="s">
        <v>3743</v>
      </c>
    </row>
    <row r="356" spans="1:21" ht="84">
      <c r="A356" s="21" t="s">
        <v>905</v>
      </c>
      <c r="B356" s="21" t="s">
        <v>906</v>
      </c>
      <c r="C356" s="21"/>
      <c r="D356" s="21" t="s">
        <v>180</v>
      </c>
      <c r="E356" s="21" t="s">
        <v>955</v>
      </c>
      <c r="F356" s="21" t="s">
        <v>3744</v>
      </c>
      <c r="G356" s="21" t="s">
        <v>3745</v>
      </c>
      <c r="H356" s="28">
        <v>41001</v>
      </c>
      <c r="I356" s="22">
        <v>2012</v>
      </c>
      <c r="J356" s="21" t="s">
        <v>1012</v>
      </c>
      <c r="K356" s="21" t="s">
        <v>998</v>
      </c>
      <c r="L356" s="21" t="s">
        <v>3746</v>
      </c>
      <c r="M356" s="21" t="s">
        <v>961</v>
      </c>
      <c r="N356" s="21" t="s">
        <v>3747</v>
      </c>
      <c r="O356" s="21" t="s">
        <v>3748</v>
      </c>
      <c r="P356" s="27">
        <v>2</v>
      </c>
      <c r="Q356" s="27">
        <v>57</v>
      </c>
      <c r="R356" s="21" t="s">
        <v>3749</v>
      </c>
      <c r="S356" s="21" t="s">
        <v>3750</v>
      </c>
      <c r="T356" s="21" t="s">
        <v>966</v>
      </c>
      <c r="U356" s="21" t="s">
        <v>3751</v>
      </c>
    </row>
    <row r="357" spans="1:21" ht="70">
      <c r="A357" s="21" t="s">
        <v>905</v>
      </c>
      <c r="B357" s="21" t="s">
        <v>906</v>
      </c>
      <c r="C357" s="21"/>
      <c r="D357" s="21" t="s">
        <v>180</v>
      </c>
      <c r="E357" s="21" t="s">
        <v>955</v>
      </c>
      <c r="F357" s="21" t="s">
        <v>3752</v>
      </c>
      <c r="G357" s="21" t="s">
        <v>3753</v>
      </c>
      <c r="H357" s="28">
        <v>40891</v>
      </c>
      <c r="I357" s="22">
        <v>2011</v>
      </c>
      <c r="J357" s="21" t="s">
        <v>1012</v>
      </c>
      <c r="K357" s="21" t="s">
        <v>998</v>
      </c>
      <c r="L357" s="21" t="s">
        <v>3754</v>
      </c>
      <c r="M357" s="21" t="s">
        <v>961</v>
      </c>
      <c r="N357" s="21" t="s">
        <v>3755</v>
      </c>
      <c r="O357" s="21" t="s">
        <v>3756</v>
      </c>
      <c r="P357" s="27">
        <v>7</v>
      </c>
      <c r="Q357" s="27">
        <v>6</v>
      </c>
      <c r="R357" s="21" t="s">
        <v>3757</v>
      </c>
      <c r="S357" s="21" t="s">
        <v>3758</v>
      </c>
      <c r="T357" s="21" t="s">
        <v>1148</v>
      </c>
      <c r="U357" s="21" t="s">
        <v>3759</v>
      </c>
    </row>
    <row r="358" spans="1:21" ht="56">
      <c r="A358" s="21" t="s">
        <v>905</v>
      </c>
      <c r="B358" s="21" t="s">
        <v>906</v>
      </c>
      <c r="C358" s="21"/>
      <c r="D358" s="21" t="s">
        <v>180</v>
      </c>
      <c r="E358" s="21" t="s">
        <v>955</v>
      </c>
      <c r="F358" s="21" t="s">
        <v>3760</v>
      </c>
      <c r="G358" s="21" t="s">
        <v>3761</v>
      </c>
      <c r="H358" s="28">
        <v>40051</v>
      </c>
      <c r="I358" s="22">
        <v>2009</v>
      </c>
      <c r="J358" s="21" t="s">
        <v>1748</v>
      </c>
      <c r="K358" s="21" t="s">
        <v>1013</v>
      </c>
      <c r="L358" s="21" t="s">
        <v>3762</v>
      </c>
      <c r="M358" s="21" t="s">
        <v>961</v>
      </c>
      <c r="N358" s="21" t="s">
        <v>3763</v>
      </c>
      <c r="O358" s="21" t="s">
        <v>3764</v>
      </c>
      <c r="P358" s="27">
        <v>0</v>
      </c>
      <c r="Q358" s="27">
        <v>40</v>
      </c>
      <c r="R358" s="21" t="s">
        <v>3765</v>
      </c>
      <c r="S358" s="21" t="s">
        <v>3766</v>
      </c>
      <c r="T358" s="21" t="s">
        <v>3189</v>
      </c>
      <c r="U358" s="21" t="s">
        <v>3767</v>
      </c>
    </row>
    <row r="359" spans="1:21" ht="154">
      <c r="A359" s="21" t="s">
        <v>905</v>
      </c>
      <c r="B359" s="21" t="s">
        <v>906</v>
      </c>
      <c r="C359" s="21"/>
      <c r="D359" s="21" t="s">
        <v>180</v>
      </c>
      <c r="E359" s="21" t="s">
        <v>955</v>
      </c>
      <c r="F359" s="21" t="s">
        <v>3768</v>
      </c>
      <c r="G359" s="21" t="s">
        <v>3769</v>
      </c>
      <c r="H359" s="28">
        <v>40676</v>
      </c>
      <c r="I359" s="22">
        <v>2011</v>
      </c>
      <c r="J359" s="21" t="s">
        <v>1012</v>
      </c>
      <c r="K359" s="21" t="s">
        <v>998</v>
      </c>
      <c r="L359" s="21" t="s">
        <v>3770</v>
      </c>
      <c r="M359" s="21" t="s">
        <v>3771</v>
      </c>
      <c r="N359" s="21" t="s">
        <v>3772</v>
      </c>
      <c r="O359" s="21" t="s">
        <v>3773</v>
      </c>
      <c r="P359" s="27">
        <v>0</v>
      </c>
      <c r="Q359" s="27">
        <v>15</v>
      </c>
      <c r="R359" s="21" t="s">
        <v>3774</v>
      </c>
      <c r="S359" s="21" t="s">
        <v>3775</v>
      </c>
      <c r="T359" s="21" t="s">
        <v>1148</v>
      </c>
      <c r="U359" s="21" t="s">
        <v>3776</v>
      </c>
    </row>
    <row r="360" spans="1:21" ht="84">
      <c r="A360" s="21" t="s">
        <v>905</v>
      </c>
      <c r="B360" s="21" t="s">
        <v>906</v>
      </c>
      <c r="C360" s="21"/>
      <c r="D360" s="21" t="s">
        <v>180</v>
      </c>
      <c r="E360" s="21" t="s">
        <v>955</v>
      </c>
      <c r="F360" s="21" t="s">
        <v>3777</v>
      </c>
      <c r="G360" s="21" t="s">
        <v>3778</v>
      </c>
      <c r="H360" s="28">
        <v>40529</v>
      </c>
      <c r="I360" s="22">
        <v>2010</v>
      </c>
      <c r="J360" s="21" t="s">
        <v>1012</v>
      </c>
      <c r="K360" s="21" t="s">
        <v>1013</v>
      </c>
      <c r="L360" s="21" t="s">
        <v>3779</v>
      </c>
      <c r="M360" s="21" t="s">
        <v>3780</v>
      </c>
      <c r="N360" s="21" t="s">
        <v>3781</v>
      </c>
      <c r="O360" s="21" t="s">
        <v>3782</v>
      </c>
      <c r="P360" s="27">
        <v>0</v>
      </c>
      <c r="Q360" s="27">
        <v>9</v>
      </c>
      <c r="R360" s="21" t="s">
        <v>3783</v>
      </c>
      <c r="S360" s="21" t="s">
        <v>3784</v>
      </c>
      <c r="T360" s="21" t="s">
        <v>966</v>
      </c>
      <c r="U360" s="21" t="s">
        <v>3785</v>
      </c>
    </row>
    <row r="361" spans="1:21" ht="70">
      <c r="A361" s="21" t="s">
        <v>905</v>
      </c>
      <c r="B361" s="21" t="s">
        <v>906</v>
      </c>
      <c r="C361" s="21"/>
      <c r="D361" s="21" t="s">
        <v>180</v>
      </c>
      <c r="E361" s="21" t="s">
        <v>955</v>
      </c>
      <c r="F361" s="21" t="s">
        <v>3786</v>
      </c>
      <c r="G361" s="21" t="s">
        <v>3787</v>
      </c>
      <c r="H361" s="28">
        <v>40150</v>
      </c>
      <c r="I361" s="22">
        <v>2009</v>
      </c>
      <c r="J361" s="21" t="s">
        <v>1012</v>
      </c>
      <c r="K361" s="21" t="s">
        <v>1013</v>
      </c>
      <c r="L361" s="21" t="s">
        <v>3788</v>
      </c>
      <c r="M361" s="21" t="s">
        <v>3789</v>
      </c>
      <c r="N361" s="21" t="s">
        <v>3790</v>
      </c>
      <c r="O361" s="21" t="s">
        <v>3791</v>
      </c>
      <c r="P361" s="27">
        <v>2</v>
      </c>
      <c r="Q361" s="27">
        <v>14</v>
      </c>
      <c r="R361" s="21" t="s">
        <v>3792</v>
      </c>
      <c r="S361" s="21" t="s">
        <v>3793</v>
      </c>
      <c r="T361" s="21" t="s">
        <v>3189</v>
      </c>
      <c r="U361" s="21" t="s">
        <v>3794</v>
      </c>
    </row>
    <row r="362" spans="1:21" ht="98">
      <c r="A362" s="21" t="s">
        <v>905</v>
      </c>
      <c r="B362" s="21" t="s">
        <v>906</v>
      </c>
      <c r="C362" s="21"/>
      <c r="D362" s="21" t="s">
        <v>180</v>
      </c>
      <c r="E362" s="21" t="s">
        <v>955</v>
      </c>
      <c r="F362" s="21" t="s">
        <v>3795</v>
      </c>
      <c r="G362" s="21" t="s">
        <v>3796</v>
      </c>
      <c r="H362" s="28">
        <v>39994</v>
      </c>
      <c r="I362" s="22">
        <v>2009</v>
      </c>
      <c r="J362" s="21" t="s">
        <v>1012</v>
      </c>
      <c r="K362" s="21" t="s">
        <v>1013</v>
      </c>
      <c r="L362" s="21" t="s">
        <v>3797</v>
      </c>
      <c r="M362" s="21" t="s">
        <v>3798</v>
      </c>
      <c r="N362" s="21" t="s">
        <v>3799</v>
      </c>
      <c r="O362" s="21" t="s">
        <v>3800</v>
      </c>
      <c r="P362" s="27">
        <v>1</v>
      </c>
      <c r="Q362" s="27">
        <v>22</v>
      </c>
      <c r="R362" s="21" t="s">
        <v>3801</v>
      </c>
      <c r="S362" s="21" t="s">
        <v>3802</v>
      </c>
      <c r="T362" s="21" t="s">
        <v>966</v>
      </c>
      <c r="U362" s="21" t="s">
        <v>3803</v>
      </c>
    </row>
    <row r="363" spans="1:21" ht="98">
      <c r="A363" s="21" t="s">
        <v>905</v>
      </c>
      <c r="B363" s="21" t="s">
        <v>906</v>
      </c>
      <c r="C363" s="21"/>
      <c r="D363" s="21" t="s">
        <v>180</v>
      </c>
      <c r="E363" s="21" t="s">
        <v>955</v>
      </c>
      <c r="F363" s="21" t="s">
        <v>3804</v>
      </c>
      <c r="G363" s="21" t="s">
        <v>3805</v>
      </c>
      <c r="H363" s="28">
        <v>40732</v>
      </c>
      <c r="I363" s="22">
        <v>2011</v>
      </c>
      <c r="J363" s="21" t="s">
        <v>1012</v>
      </c>
      <c r="K363" s="21" t="s">
        <v>998</v>
      </c>
      <c r="L363" s="21" t="s">
        <v>3806</v>
      </c>
      <c r="M363" s="21" t="s">
        <v>3807</v>
      </c>
      <c r="N363" s="21" t="s">
        <v>3808</v>
      </c>
      <c r="O363" s="21" t="s">
        <v>3809</v>
      </c>
      <c r="P363" s="27">
        <v>9</v>
      </c>
      <c r="Q363" s="27">
        <v>19</v>
      </c>
      <c r="R363" s="21" t="s">
        <v>3810</v>
      </c>
      <c r="S363" s="21" t="s">
        <v>3811</v>
      </c>
      <c r="T363" s="21" t="s">
        <v>1148</v>
      </c>
      <c r="U363" s="21" t="s">
        <v>3812</v>
      </c>
    </row>
    <row r="364" spans="1:21" ht="168">
      <c r="A364" s="21" t="s">
        <v>905</v>
      </c>
      <c r="B364" s="21" t="s">
        <v>906</v>
      </c>
      <c r="C364" s="21"/>
      <c r="D364" s="21" t="s">
        <v>180</v>
      </c>
      <c r="E364" s="21" t="s">
        <v>955</v>
      </c>
      <c r="F364" s="21" t="s">
        <v>3813</v>
      </c>
      <c r="G364" s="21" t="s">
        <v>3814</v>
      </c>
      <c r="H364" s="28">
        <v>40449</v>
      </c>
      <c r="I364" s="22">
        <v>2010</v>
      </c>
      <c r="J364" s="21" t="s">
        <v>958</v>
      </c>
      <c r="K364" s="21" t="s">
        <v>3815</v>
      </c>
      <c r="L364" s="21" t="s">
        <v>3816</v>
      </c>
      <c r="M364" s="21" t="s">
        <v>3684</v>
      </c>
      <c r="N364" s="21" t="s">
        <v>3817</v>
      </c>
      <c r="O364" s="21" t="s">
        <v>3818</v>
      </c>
      <c r="P364" s="27">
        <v>0</v>
      </c>
      <c r="Q364" s="27">
        <v>63</v>
      </c>
      <c r="R364" s="21" t="s">
        <v>3819</v>
      </c>
      <c r="S364" s="21" t="s">
        <v>3820</v>
      </c>
      <c r="T364" s="21" t="s">
        <v>966</v>
      </c>
      <c r="U364" s="21" t="s">
        <v>3821</v>
      </c>
    </row>
    <row r="365" spans="1:21" ht="84">
      <c r="A365" s="21" t="s">
        <v>905</v>
      </c>
      <c r="B365" s="21" t="s">
        <v>906</v>
      </c>
      <c r="C365" s="21"/>
      <c r="D365" s="21" t="s">
        <v>180</v>
      </c>
      <c r="E365" s="21" t="s">
        <v>955</v>
      </c>
      <c r="F365" s="21" t="s">
        <v>3822</v>
      </c>
      <c r="G365" s="21" t="s">
        <v>3823</v>
      </c>
      <c r="H365" s="28">
        <v>40372</v>
      </c>
      <c r="I365" s="22">
        <v>2010</v>
      </c>
      <c r="J365" s="21" t="s">
        <v>1012</v>
      </c>
      <c r="K365" s="21" t="s">
        <v>1013</v>
      </c>
      <c r="L365" s="21" t="s">
        <v>3824</v>
      </c>
      <c r="M365" s="21" t="s">
        <v>3825</v>
      </c>
      <c r="N365" s="21" t="s">
        <v>3826</v>
      </c>
      <c r="O365" s="21" t="s">
        <v>3827</v>
      </c>
      <c r="P365" s="27">
        <v>2</v>
      </c>
      <c r="Q365" s="27">
        <v>21</v>
      </c>
      <c r="R365" s="21" t="s">
        <v>3828</v>
      </c>
      <c r="S365" s="21" t="s">
        <v>3829</v>
      </c>
      <c r="T365" s="21" t="s">
        <v>966</v>
      </c>
      <c r="U365" s="21" t="s">
        <v>3830</v>
      </c>
    </row>
    <row r="366" spans="1:21" ht="42">
      <c r="A366" s="21" t="s">
        <v>905</v>
      </c>
      <c r="B366" s="21" t="s">
        <v>906</v>
      </c>
      <c r="C366" s="21"/>
      <c r="D366" s="21" t="s">
        <v>180</v>
      </c>
      <c r="E366" s="21" t="s">
        <v>955</v>
      </c>
      <c r="F366" s="21" t="s">
        <v>3831</v>
      </c>
      <c r="G366" s="21" t="s">
        <v>3832</v>
      </c>
      <c r="H366" s="28">
        <v>40739</v>
      </c>
      <c r="I366" s="22">
        <v>2011</v>
      </c>
      <c r="J366" s="21" t="s">
        <v>1012</v>
      </c>
      <c r="K366" s="21" t="s">
        <v>1013</v>
      </c>
      <c r="L366" s="21" t="s">
        <v>3833</v>
      </c>
      <c r="M366" s="21" t="s">
        <v>3834</v>
      </c>
      <c r="N366" s="21" t="s">
        <v>3835</v>
      </c>
      <c r="O366" s="21" t="s">
        <v>3836</v>
      </c>
      <c r="P366" s="27">
        <v>0</v>
      </c>
      <c r="Q366" s="27">
        <v>15</v>
      </c>
      <c r="R366" s="21" t="s">
        <v>3837</v>
      </c>
      <c r="S366" s="21" t="s">
        <v>3838</v>
      </c>
      <c r="T366" s="21" t="s">
        <v>3189</v>
      </c>
      <c r="U366" s="21" t="s">
        <v>3839</v>
      </c>
    </row>
    <row r="367" spans="1:21" ht="42">
      <c r="A367" s="21" t="s">
        <v>905</v>
      </c>
      <c r="B367" s="21" t="s">
        <v>906</v>
      </c>
      <c r="C367" s="21"/>
      <c r="D367" s="21" t="s">
        <v>180</v>
      </c>
      <c r="E367" s="21" t="s">
        <v>955</v>
      </c>
      <c r="F367" s="21" t="s">
        <v>3840</v>
      </c>
      <c r="G367" s="21" t="s">
        <v>3841</v>
      </c>
      <c r="H367" s="28">
        <v>40773</v>
      </c>
      <c r="I367" s="22">
        <v>2011</v>
      </c>
      <c r="J367" s="21" t="s">
        <v>1748</v>
      </c>
      <c r="K367" s="21" t="s">
        <v>998</v>
      </c>
      <c r="L367" s="21" t="s">
        <v>3842</v>
      </c>
      <c r="M367" s="21" t="s">
        <v>961</v>
      </c>
      <c r="N367" s="21" t="s">
        <v>3763</v>
      </c>
      <c r="O367" s="21" t="s">
        <v>3843</v>
      </c>
      <c r="P367" s="27">
        <v>0</v>
      </c>
      <c r="Q367" s="27">
        <v>11</v>
      </c>
      <c r="R367" s="21" t="s">
        <v>3844</v>
      </c>
      <c r="S367" s="21" t="s">
        <v>3845</v>
      </c>
      <c r="T367" s="21" t="s">
        <v>1148</v>
      </c>
      <c r="U367" s="21" t="s">
        <v>3846</v>
      </c>
    </row>
    <row r="368" spans="1:21" ht="168">
      <c r="A368" s="21" t="s">
        <v>905</v>
      </c>
      <c r="B368" s="21" t="s">
        <v>906</v>
      </c>
      <c r="C368" s="21"/>
      <c r="D368" s="21" t="s">
        <v>180</v>
      </c>
      <c r="E368" s="21" t="s">
        <v>955</v>
      </c>
      <c r="F368" s="21" t="s">
        <v>3847</v>
      </c>
      <c r="G368" s="21" t="s">
        <v>3848</v>
      </c>
      <c r="H368" s="28">
        <v>40380</v>
      </c>
      <c r="I368" s="22">
        <v>2010</v>
      </c>
      <c r="J368" s="21" t="s">
        <v>1012</v>
      </c>
      <c r="K368" s="21" t="s">
        <v>998</v>
      </c>
      <c r="L368" s="21" t="s">
        <v>3849</v>
      </c>
      <c r="M368" s="21" t="s">
        <v>3850</v>
      </c>
      <c r="N368" s="21" t="s">
        <v>3851</v>
      </c>
      <c r="O368" s="21" t="s">
        <v>3336</v>
      </c>
      <c r="P368" s="27">
        <v>23</v>
      </c>
      <c r="Q368" s="27">
        <v>21</v>
      </c>
      <c r="R368" s="21" t="s">
        <v>3852</v>
      </c>
      <c r="S368" s="21" t="s">
        <v>3853</v>
      </c>
      <c r="T368" s="21" t="s">
        <v>1148</v>
      </c>
      <c r="U368" s="21" t="s">
        <v>3854</v>
      </c>
    </row>
    <row r="369" spans="1:21" ht="140">
      <c r="A369" s="21" t="s">
        <v>905</v>
      </c>
      <c r="B369" s="21" t="s">
        <v>906</v>
      </c>
      <c r="C369" s="21"/>
      <c r="D369" s="21" t="s">
        <v>180</v>
      </c>
      <c r="E369" s="21" t="s">
        <v>955</v>
      </c>
      <c r="F369" s="21" t="s">
        <v>3855</v>
      </c>
      <c r="G369" s="21" t="s">
        <v>3856</v>
      </c>
      <c r="H369" s="28">
        <v>40575</v>
      </c>
      <c r="I369" s="22">
        <v>2011</v>
      </c>
      <c r="J369" s="21" t="s">
        <v>1012</v>
      </c>
      <c r="K369" s="21" t="s">
        <v>998</v>
      </c>
      <c r="L369" s="21" t="s">
        <v>3857</v>
      </c>
      <c r="M369" s="21" t="s">
        <v>3858</v>
      </c>
      <c r="N369" s="21" t="s">
        <v>3859</v>
      </c>
      <c r="O369" s="21" t="s">
        <v>3860</v>
      </c>
      <c r="P369" s="27">
        <v>5</v>
      </c>
      <c r="Q369" s="27">
        <v>16</v>
      </c>
      <c r="R369" s="21" t="s">
        <v>3861</v>
      </c>
      <c r="S369" s="21" t="s">
        <v>3862</v>
      </c>
      <c r="T369" s="21" t="s">
        <v>1148</v>
      </c>
      <c r="U369" s="21" t="s">
        <v>3863</v>
      </c>
    </row>
    <row r="370" spans="1:21" ht="140">
      <c r="A370" s="21" t="s">
        <v>905</v>
      </c>
      <c r="B370" s="21" t="s">
        <v>906</v>
      </c>
      <c r="C370" s="21"/>
      <c r="D370" s="21" t="s">
        <v>180</v>
      </c>
      <c r="E370" s="21" t="s">
        <v>955</v>
      </c>
      <c r="F370" s="21" t="s">
        <v>3864</v>
      </c>
      <c r="G370" s="21" t="s">
        <v>3865</v>
      </c>
      <c r="H370" s="28">
        <v>40380</v>
      </c>
      <c r="I370" s="22">
        <v>2010</v>
      </c>
      <c r="J370" s="21" t="s">
        <v>1012</v>
      </c>
      <c r="K370" s="21" t="s">
        <v>998</v>
      </c>
      <c r="L370" s="21" t="s">
        <v>3866</v>
      </c>
      <c r="M370" s="21" t="s">
        <v>3867</v>
      </c>
      <c r="N370" s="21" t="s">
        <v>3868</v>
      </c>
      <c r="O370" s="21" t="s">
        <v>3336</v>
      </c>
      <c r="P370" s="27">
        <v>13</v>
      </c>
      <c r="Q370" s="27">
        <v>18</v>
      </c>
      <c r="R370" s="21" t="s">
        <v>3869</v>
      </c>
      <c r="S370" s="21" t="s">
        <v>2096</v>
      </c>
      <c r="T370" s="21" t="s">
        <v>1148</v>
      </c>
      <c r="U370" s="21" t="s">
        <v>3870</v>
      </c>
    </row>
    <row r="371" spans="1:21" ht="42">
      <c r="A371" s="21" t="s">
        <v>905</v>
      </c>
      <c r="B371" s="21" t="s">
        <v>906</v>
      </c>
      <c r="C371" s="21"/>
      <c r="D371" s="21" t="s">
        <v>180</v>
      </c>
      <c r="E371" s="21" t="s">
        <v>955</v>
      </c>
      <c r="F371" s="21" t="s">
        <v>3871</v>
      </c>
      <c r="G371" s="21" t="s">
        <v>3872</v>
      </c>
      <c r="H371" s="28">
        <v>39962</v>
      </c>
      <c r="I371" s="22">
        <v>2009</v>
      </c>
      <c r="J371" s="21" t="s">
        <v>1012</v>
      </c>
      <c r="K371" s="21" t="s">
        <v>1013</v>
      </c>
      <c r="L371" s="21" t="s">
        <v>3873</v>
      </c>
      <c r="M371" s="21" t="s">
        <v>3874</v>
      </c>
      <c r="N371" s="21" t="s">
        <v>3875</v>
      </c>
      <c r="O371" s="21" t="s">
        <v>3876</v>
      </c>
      <c r="P371" s="27">
        <v>0</v>
      </c>
      <c r="Q371" s="27">
        <v>9</v>
      </c>
      <c r="R371" s="21" t="s">
        <v>3877</v>
      </c>
      <c r="S371" s="21" t="s">
        <v>3878</v>
      </c>
      <c r="T371" s="21" t="s">
        <v>3189</v>
      </c>
      <c r="U371" s="21" t="s">
        <v>3879</v>
      </c>
    </row>
    <row r="372" spans="1:21" ht="112">
      <c r="A372" s="21" t="s">
        <v>905</v>
      </c>
      <c r="B372" s="21" t="s">
        <v>906</v>
      </c>
      <c r="C372" s="21"/>
      <c r="D372" s="21" t="s">
        <v>180</v>
      </c>
      <c r="E372" s="21" t="s">
        <v>955</v>
      </c>
      <c r="F372" s="21" t="s">
        <v>3880</v>
      </c>
      <c r="G372" s="21" t="s">
        <v>3881</v>
      </c>
      <c r="H372" s="28">
        <v>40365</v>
      </c>
      <c r="I372" s="22">
        <v>2010</v>
      </c>
      <c r="J372" s="21" t="s">
        <v>1012</v>
      </c>
      <c r="K372" s="21" t="s">
        <v>1013</v>
      </c>
      <c r="L372" s="21" t="s">
        <v>3882</v>
      </c>
      <c r="M372" s="21" t="s">
        <v>3883</v>
      </c>
      <c r="N372" s="21" t="s">
        <v>3884</v>
      </c>
      <c r="O372" s="21" t="s">
        <v>3885</v>
      </c>
      <c r="P372" s="27">
        <v>0</v>
      </c>
      <c r="Q372" s="27">
        <v>33</v>
      </c>
      <c r="R372" s="21" t="s">
        <v>3886</v>
      </c>
      <c r="S372" s="21" t="s">
        <v>3887</v>
      </c>
      <c r="T372" s="21" t="s">
        <v>3189</v>
      </c>
      <c r="U372" s="21" t="s">
        <v>3888</v>
      </c>
    </row>
    <row r="373" spans="1:21" ht="42">
      <c r="A373" s="21" t="s">
        <v>905</v>
      </c>
      <c r="B373" s="21" t="s">
        <v>906</v>
      </c>
      <c r="C373" s="21"/>
      <c r="D373" s="21" t="s">
        <v>180</v>
      </c>
      <c r="E373" s="21" t="s">
        <v>955</v>
      </c>
      <c r="F373" s="21" t="s">
        <v>3889</v>
      </c>
      <c r="G373" s="21" t="s">
        <v>3890</v>
      </c>
      <c r="H373" s="28">
        <v>40501</v>
      </c>
      <c r="I373" s="22">
        <v>2010</v>
      </c>
      <c r="J373" s="21" t="s">
        <v>958</v>
      </c>
      <c r="K373" s="21" t="s">
        <v>998</v>
      </c>
      <c r="L373" s="21" t="s">
        <v>3891</v>
      </c>
      <c r="M373" s="21" t="s">
        <v>3892</v>
      </c>
      <c r="N373" s="21" t="s">
        <v>3893</v>
      </c>
      <c r="O373" s="21" t="s">
        <v>3894</v>
      </c>
      <c r="P373" s="27">
        <v>0</v>
      </c>
      <c r="Q373" s="27">
        <v>4</v>
      </c>
      <c r="R373" s="21" t="s">
        <v>3895</v>
      </c>
      <c r="S373" s="21" t="s">
        <v>3896</v>
      </c>
      <c r="T373" s="21" t="s">
        <v>1148</v>
      </c>
      <c r="U373" s="21" t="s">
        <v>3897</v>
      </c>
    </row>
    <row r="374" spans="1:21" ht="42">
      <c r="A374" s="21" t="s">
        <v>905</v>
      </c>
      <c r="B374" s="21" t="s">
        <v>906</v>
      </c>
      <c r="C374" s="21"/>
      <c r="D374" s="21" t="s">
        <v>180</v>
      </c>
      <c r="E374" s="21" t="s">
        <v>955</v>
      </c>
      <c r="F374" s="21" t="s">
        <v>3898</v>
      </c>
      <c r="G374" s="21" t="s">
        <v>3899</v>
      </c>
      <c r="H374" s="28">
        <v>40298</v>
      </c>
      <c r="I374" s="22">
        <v>2010</v>
      </c>
      <c r="J374" s="21" t="s">
        <v>1012</v>
      </c>
      <c r="K374" s="21" t="s">
        <v>998</v>
      </c>
      <c r="L374" s="21" t="s">
        <v>3900</v>
      </c>
      <c r="M374" s="21" t="s">
        <v>3901</v>
      </c>
      <c r="N374" s="21" t="s">
        <v>3902</v>
      </c>
      <c r="O374" s="21" t="s">
        <v>3903</v>
      </c>
      <c r="P374" s="27">
        <v>0</v>
      </c>
      <c r="Q374" s="27">
        <v>16</v>
      </c>
      <c r="R374" s="21" t="s">
        <v>3904</v>
      </c>
      <c r="S374" s="21" t="s">
        <v>3905</v>
      </c>
      <c r="T374" s="21" t="s">
        <v>1148</v>
      </c>
      <c r="U374" s="21" t="s">
        <v>3906</v>
      </c>
    </row>
    <row r="375" spans="1:21" ht="70">
      <c r="A375" s="21" t="s">
        <v>905</v>
      </c>
      <c r="B375" s="21" t="s">
        <v>906</v>
      </c>
      <c r="C375" s="21"/>
      <c r="D375" s="21" t="s">
        <v>180</v>
      </c>
      <c r="E375" s="21" t="s">
        <v>955</v>
      </c>
      <c r="F375" s="21" t="s">
        <v>3907</v>
      </c>
      <c r="G375" s="21" t="s">
        <v>3908</v>
      </c>
      <c r="H375" s="28">
        <v>40311</v>
      </c>
      <c r="I375" s="22">
        <v>2010</v>
      </c>
      <c r="J375" s="21" t="s">
        <v>1012</v>
      </c>
      <c r="K375" s="21" t="s">
        <v>998</v>
      </c>
      <c r="L375" s="21" t="s">
        <v>3909</v>
      </c>
      <c r="M375" s="21" t="s">
        <v>3910</v>
      </c>
      <c r="N375" s="21" t="s">
        <v>3911</v>
      </c>
      <c r="O375" s="21" t="s">
        <v>3912</v>
      </c>
      <c r="P375" s="27">
        <v>16</v>
      </c>
      <c r="Q375" s="27">
        <v>16</v>
      </c>
      <c r="R375" s="21" t="s">
        <v>3913</v>
      </c>
      <c r="S375" s="21" t="s">
        <v>3914</v>
      </c>
      <c r="T375" s="21" t="s">
        <v>1148</v>
      </c>
      <c r="U375" s="21" t="s">
        <v>3915</v>
      </c>
    </row>
    <row r="376" spans="1:21" ht="112">
      <c r="A376" s="21" t="s">
        <v>905</v>
      </c>
      <c r="B376" s="21" t="s">
        <v>906</v>
      </c>
      <c r="C376" s="21"/>
      <c r="D376" s="21" t="s">
        <v>180</v>
      </c>
      <c r="E376" s="21" t="s">
        <v>955</v>
      </c>
      <c r="F376" s="21" t="s">
        <v>3916</v>
      </c>
      <c r="G376" s="21" t="s">
        <v>3917</v>
      </c>
      <c r="H376" s="28">
        <v>40646</v>
      </c>
      <c r="I376" s="22">
        <v>2011</v>
      </c>
      <c r="J376" s="21" t="s">
        <v>1012</v>
      </c>
      <c r="K376" s="21" t="s">
        <v>1013</v>
      </c>
      <c r="L376" s="21" t="s">
        <v>3918</v>
      </c>
      <c r="M376" s="21" t="s">
        <v>3919</v>
      </c>
      <c r="N376" s="21" t="s">
        <v>3920</v>
      </c>
      <c r="O376" s="21" t="s">
        <v>3475</v>
      </c>
      <c r="P376" s="27">
        <v>3</v>
      </c>
      <c r="Q376" s="27">
        <v>24</v>
      </c>
      <c r="R376" s="21" t="s">
        <v>3921</v>
      </c>
      <c r="S376" s="21" t="s">
        <v>3922</v>
      </c>
      <c r="T376" s="21" t="s">
        <v>3189</v>
      </c>
      <c r="U376" s="21" t="s">
        <v>3923</v>
      </c>
    </row>
    <row r="377" spans="1:21" ht="98">
      <c r="A377" s="21" t="s">
        <v>905</v>
      </c>
      <c r="B377" s="21" t="s">
        <v>906</v>
      </c>
      <c r="C377" s="21"/>
      <c r="D377" s="21" t="s">
        <v>180</v>
      </c>
      <c r="E377" s="21" t="s">
        <v>955</v>
      </c>
      <c r="F377" s="21" t="s">
        <v>3924</v>
      </c>
      <c r="G377" s="21" t="s">
        <v>3925</v>
      </c>
      <c r="H377" s="28">
        <v>40185</v>
      </c>
      <c r="I377" s="22">
        <v>2010</v>
      </c>
      <c r="J377" s="21" t="s">
        <v>1012</v>
      </c>
      <c r="K377" s="21" t="s">
        <v>998</v>
      </c>
      <c r="L377" s="21" t="s">
        <v>3926</v>
      </c>
      <c r="M377" s="21" t="s">
        <v>3927</v>
      </c>
      <c r="N377" s="21" t="s">
        <v>3928</v>
      </c>
      <c r="O377" s="21" t="s">
        <v>3929</v>
      </c>
      <c r="P377" s="27">
        <v>4</v>
      </c>
      <c r="Q377" s="27">
        <v>16</v>
      </c>
      <c r="R377" s="21" t="s">
        <v>3930</v>
      </c>
      <c r="S377" s="21" t="s">
        <v>3414</v>
      </c>
      <c r="T377" s="21" t="s">
        <v>1148</v>
      </c>
      <c r="U377" s="21" t="s">
        <v>3931</v>
      </c>
    </row>
    <row r="378" spans="1:21" ht="84">
      <c r="A378" s="21" t="s">
        <v>905</v>
      </c>
      <c r="B378" s="21" t="s">
        <v>906</v>
      </c>
      <c r="C378" s="21"/>
      <c r="D378" s="21" t="s">
        <v>180</v>
      </c>
      <c r="E378" s="21" t="s">
        <v>955</v>
      </c>
      <c r="F378" s="21" t="s">
        <v>3932</v>
      </c>
      <c r="G378" s="21" t="s">
        <v>3933</v>
      </c>
      <c r="H378" s="28">
        <v>40338</v>
      </c>
      <c r="I378" s="22">
        <v>2010</v>
      </c>
      <c r="J378" s="21" t="s">
        <v>1012</v>
      </c>
      <c r="K378" s="21" t="s">
        <v>1013</v>
      </c>
      <c r="L378" s="21" t="s">
        <v>3934</v>
      </c>
      <c r="M378" s="21" t="s">
        <v>3935</v>
      </c>
      <c r="N378" s="21" t="s">
        <v>3685</v>
      </c>
      <c r="O378" s="21" t="s">
        <v>3936</v>
      </c>
      <c r="P378" s="27">
        <v>14</v>
      </c>
      <c r="Q378" s="27">
        <v>6</v>
      </c>
      <c r="R378" s="21" t="s">
        <v>3937</v>
      </c>
      <c r="S378" s="21" t="s">
        <v>3938</v>
      </c>
      <c r="T378" s="21" t="s">
        <v>3189</v>
      </c>
      <c r="U378" s="21" t="s">
        <v>3939</v>
      </c>
    </row>
    <row r="379" spans="1:21" ht="28">
      <c r="A379" s="21" t="s">
        <v>905</v>
      </c>
      <c r="B379" s="21" t="s">
        <v>906</v>
      </c>
      <c r="C379" s="21"/>
      <c r="D379" s="21" t="s">
        <v>180</v>
      </c>
      <c r="E379" s="21" t="s">
        <v>955</v>
      </c>
      <c r="F379" s="21" t="s">
        <v>3940</v>
      </c>
      <c r="G379" s="21" t="s">
        <v>3941</v>
      </c>
      <c r="H379" s="28">
        <v>40052</v>
      </c>
      <c r="I379" s="22">
        <v>2009</v>
      </c>
      <c r="J379" s="21" t="s">
        <v>1012</v>
      </c>
      <c r="K379" s="21" t="s">
        <v>1894</v>
      </c>
      <c r="L379" s="21" t="s">
        <v>3942</v>
      </c>
      <c r="M379" s="21" t="s">
        <v>3943</v>
      </c>
      <c r="N379" s="21" t="s">
        <v>3944</v>
      </c>
      <c r="O379" s="21" t="s">
        <v>3945</v>
      </c>
      <c r="P379" s="27">
        <v>3</v>
      </c>
      <c r="Q379" s="27">
        <v>2</v>
      </c>
      <c r="R379" s="21"/>
      <c r="S379" s="21"/>
      <c r="T379" s="21" t="s">
        <v>966</v>
      </c>
      <c r="U379" s="21" t="s">
        <v>3946</v>
      </c>
    </row>
    <row r="380" spans="1:21" ht="84">
      <c r="A380" s="21" t="s">
        <v>905</v>
      </c>
      <c r="B380" s="21" t="s">
        <v>906</v>
      </c>
      <c r="C380" s="21"/>
      <c r="D380" s="21" t="s">
        <v>180</v>
      </c>
      <c r="E380" s="21" t="s">
        <v>955</v>
      </c>
      <c r="F380" s="21" t="s">
        <v>3947</v>
      </c>
      <c r="G380" s="21" t="s">
        <v>3948</v>
      </c>
      <c r="H380" s="28">
        <v>40025</v>
      </c>
      <c r="I380" s="22">
        <v>2009</v>
      </c>
      <c r="J380" s="21" t="s">
        <v>1012</v>
      </c>
      <c r="K380" s="21" t="s">
        <v>1013</v>
      </c>
      <c r="L380" s="21" t="s">
        <v>3949</v>
      </c>
      <c r="M380" s="21" t="s">
        <v>3950</v>
      </c>
      <c r="N380" s="21" t="s">
        <v>3951</v>
      </c>
      <c r="O380" s="21" t="s">
        <v>3952</v>
      </c>
      <c r="P380" s="27">
        <v>0</v>
      </c>
      <c r="Q380" s="27">
        <v>48</v>
      </c>
      <c r="R380" s="21" t="s">
        <v>3953</v>
      </c>
      <c r="S380" s="21" t="s">
        <v>3954</v>
      </c>
      <c r="T380" s="21" t="s">
        <v>3189</v>
      </c>
      <c r="U380" s="21" t="s">
        <v>3955</v>
      </c>
    </row>
    <row r="381" spans="1:21" ht="56">
      <c r="A381" s="21" t="s">
        <v>905</v>
      </c>
      <c r="B381" s="21" t="s">
        <v>906</v>
      </c>
      <c r="C381" s="21"/>
      <c r="D381" s="21" t="s">
        <v>180</v>
      </c>
      <c r="E381" s="21" t="s">
        <v>955</v>
      </c>
      <c r="F381" s="21" t="s">
        <v>3956</v>
      </c>
      <c r="G381" s="21" t="s">
        <v>3957</v>
      </c>
      <c r="H381" s="28">
        <v>40392</v>
      </c>
      <c r="I381" s="22">
        <v>2010</v>
      </c>
      <c r="J381" s="21" t="s">
        <v>1012</v>
      </c>
      <c r="K381" s="21" t="s">
        <v>1013</v>
      </c>
      <c r="L381" s="21" t="s">
        <v>3958</v>
      </c>
      <c r="M381" s="21" t="s">
        <v>3959</v>
      </c>
      <c r="N381" s="21" t="s">
        <v>3960</v>
      </c>
      <c r="O381" s="21" t="s">
        <v>1064</v>
      </c>
      <c r="P381" s="27">
        <v>7</v>
      </c>
      <c r="Q381" s="27">
        <v>16</v>
      </c>
      <c r="R381" s="21" t="s">
        <v>3961</v>
      </c>
      <c r="S381" s="21" t="s">
        <v>3962</v>
      </c>
      <c r="T381" s="21" t="s">
        <v>3189</v>
      </c>
      <c r="U381" s="21" t="s">
        <v>3963</v>
      </c>
    </row>
    <row r="382" spans="1:21" ht="70">
      <c r="A382" s="21" t="s">
        <v>905</v>
      </c>
      <c r="B382" s="21" t="s">
        <v>906</v>
      </c>
      <c r="C382" s="21"/>
      <c r="D382" s="21" t="s">
        <v>180</v>
      </c>
      <c r="E382" s="21" t="s">
        <v>955</v>
      </c>
      <c r="F382" s="21" t="s">
        <v>3964</v>
      </c>
      <c r="G382" s="21" t="s">
        <v>3965</v>
      </c>
      <c r="H382" s="28">
        <v>39926</v>
      </c>
      <c r="I382" s="22">
        <v>2009</v>
      </c>
      <c r="J382" s="21" t="s">
        <v>1012</v>
      </c>
      <c r="K382" s="21" t="s">
        <v>1013</v>
      </c>
      <c r="L382" s="21" t="s">
        <v>3966</v>
      </c>
      <c r="M382" s="21" t="s">
        <v>3967</v>
      </c>
      <c r="N382" s="21" t="s">
        <v>3968</v>
      </c>
      <c r="O382" s="21" t="s">
        <v>3969</v>
      </c>
      <c r="P382" s="27">
        <v>0</v>
      </c>
      <c r="Q382" s="27">
        <v>17</v>
      </c>
      <c r="R382" s="21" t="s">
        <v>3970</v>
      </c>
      <c r="S382" s="21" t="s">
        <v>3971</v>
      </c>
      <c r="T382" s="21" t="s">
        <v>3189</v>
      </c>
      <c r="U382" s="21" t="s">
        <v>3972</v>
      </c>
    </row>
    <row r="383" spans="1:21" ht="56">
      <c r="A383" s="21" t="s">
        <v>905</v>
      </c>
      <c r="B383" s="21" t="s">
        <v>906</v>
      </c>
      <c r="C383" s="21"/>
      <c r="D383" s="21" t="s">
        <v>180</v>
      </c>
      <c r="E383" s="21" t="s">
        <v>955</v>
      </c>
      <c r="F383" s="21" t="s">
        <v>3973</v>
      </c>
      <c r="G383" s="21" t="s">
        <v>3974</v>
      </c>
      <c r="H383" s="28">
        <v>40197</v>
      </c>
      <c r="I383" s="22">
        <v>2010</v>
      </c>
      <c r="J383" s="21" t="s">
        <v>1012</v>
      </c>
      <c r="K383" s="21" t="s">
        <v>998</v>
      </c>
      <c r="L383" s="21" t="s">
        <v>3975</v>
      </c>
      <c r="M383" s="21" t="s">
        <v>3976</v>
      </c>
      <c r="N383" s="21" t="s">
        <v>3977</v>
      </c>
      <c r="O383" s="21" t="s">
        <v>3978</v>
      </c>
      <c r="P383" s="27">
        <v>0</v>
      </c>
      <c r="Q383" s="27">
        <v>16</v>
      </c>
      <c r="R383" s="21" t="s">
        <v>3979</v>
      </c>
      <c r="S383" s="21" t="s">
        <v>1066</v>
      </c>
      <c r="T383" s="21" t="s">
        <v>1148</v>
      </c>
      <c r="U383" s="21" t="s">
        <v>3980</v>
      </c>
    </row>
    <row r="384" spans="1:21" ht="112">
      <c r="A384" s="21" t="s">
        <v>905</v>
      </c>
      <c r="B384" s="21" t="s">
        <v>906</v>
      </c>
      <c r="C384" s="21"/>
      <c r="D384" s="21" t="s">
        <v>180</v>
      </c>
      <c r="E384" s="21" t="s">
        <v>955</v>
      </c>
      <c r="F384" s="21" t="s">
        <v>3981</v>
      </c>
      <c r="G384" s="21" t="s">
        <v>3982</v>
      </c>
      <c r="H384" s="28">
        <v>40140</v>
      </c>
      <c r="I384" s="22">
        <v>2009</v>
      </c>
      <c r="J384" s="21" t="s">
        <v>958</v>
      </c>
      <c r="K384" s="21" t="s">
        <v>3815</v>
      </c>
      <c r="L384" s="21" t="s">
        <v>3983</v>
      </c>
      <c r="M384" s="21" t="s">
        <v>3684</v>
      </c>
      <c r="N384" s="21" t="s">
        <v>3984</v>
      </c>
      <c r="O384" s="21" t="s">
        <v>3985</v>
      </c>
      <c r="P384" s="27">
        <v>0</v>
      </c>
      <c r="Q384" s="27">
        <v>12</v>
      </c>
      <c r="R384" s="21" t="s">
        <v>3986</v>
      </c>
      <c r="S384" s="21" t="s">
        <v>3987</v>
      </c>
      <c r="T384" s="21" t="s">
        <v>1148</v>
      </c>
      <c r="U384" s="21" t="s">
        <v>3988</v>
      </c>
    </row>
    <row r="385" spans="1:21" ht="84">
      <c r="A385" s="21" t="s">
        <v>905</v>
      </c>
      <c r="B385" s="21" t="s">
        <v>906</v>
      </c>
      <c r="C385" s="21"/>
      <c r="D385" s="21" t="s">
        <v>180</v>
      </c>
      <c r="E385" s="21" t="s">
        <v>955</v>
      </c>
      <c r="F385" s="21" t="s">
        <v>3989</v>
      </c>
      <c r="G385" s="21" t="s">
        <v>3990</v>
      </c>
      <c r="H385" s="28">
        <v>40088</v>
      </c>
      <c r="I385" s="22">
        <v>2009</v>
      </c>
      <c r="J385" s="21" t="s">
        <v>1012</v>
      </c>
      <c r="K385" s="21" t="s">
        <v>1013</v>
      </c>
      <c r="L385" s="21" t="s">
        <v>3991</v>
      </c>
      <c r="M385" s="21" t="s">
        <v>3992</v>
      </c>
      <c r="N385" s="21" t="s">
        <v>3993</v>
      </c>
      <c r="O385" s="21" t="s">
        <v>3994</v>
      </c>
      <c r="P385" s="27">
        <v>0</v>
      </c>
      <c r="Q385" s="27">
        <v>16</v>
      </c>
      <c r="R385" s="21" t="s">
        <v>3995</v>
      </c>
      <c r="S385" s="21" t="s">
        <v>3996</v>
      </c>
      <c r="T385" s="21" t="s">
        <v>3189</v>
      </c>
      <c r="U385" s="21" t="s">
        <v>3997</v>
      </c>
    </row>
    <row r="386" spans="1:21" ht="42">
      <c r="A386" s="21" t="s">
        <v>905</v>
      </c>
      <c r="B386" s="21" t="s">
        <v>906</v>
      </c>
      <c r="C386" s="21"/>
      <c r="D386" s="21" t="s">
        <v>180</v>
      </c>
      <c r="E386" s="21" t="s">
        <v>955</v>
      </c>
      <c r="F386" s="21" t="s">
        <v>3998</v>
      </c>
      <c r="G386" s="21" t="s">
        <v>3999</v>
      </c>
      <c r="H386" s="28">
        <v>39913</v>
      </c>
      <c r="I386" s="22">
        <v>2009</v>
      </c>
      <c r="J386" s="21" t="s">
        <v>958</v>
      </c>
      <c r="K386" s="21" t="s">
        <v>3815</v>
      </c>
      <c r="L386" s="21" t="s">
        <v>4000</v>
      </c>
      <c r="M386" s="21" t="s">
        <v>3684</v>
      </c>
      <c r="N386" s="21" t="s">
        <v>4001</v>
      </c>
      <c r="O386" s="21" t="s">
        <v>4002</v>
      </c>
      <c r="P386" s="27">
        <v>0</v>
      </c>
      <c r="Q386" s="27">
        <v>7</v>
      </c>
      <c r="R386" s="21" t="s">
        <v>4003</v>
      </c>
      <c r="S386" s="21" t="s">
        <v>4004</v>
      </c>
      <c r="T386" s="21" t="s">
        <v>1148</v>
      </c>
      <c r="U386" s="21" t="s">
        <v>4005</v>
      </c>
    </row>
    <row r="387" spans="1:21" ht="70">
      <c r="A387" s="21" t="s">
        <v>905</v>
      </c>
      <c r="B387" s="21" t="s">
        <v>906</v>
      </c>
      <c r="C387" s="21"/>
      <c r="D387" s="21" t="s">
        <v>180</v>
      </c>
      <c r="E387" s="21" t="s">
        <v>955</v>
      </c>
      <c r="F387" s="21" t="s">
        <v>4006</v>
      </c>
      <c r="G387" s="21" t="s">
        <v>4007</v>
      </c>
      <c r="H387" s="28">
        <v>39910</v>
      </c>
      <c r="I387" s="22">
        <v>2009</v>
      </c>
      <c r="J387" s="21" t="s">
        <v>1012</v>
      </c>
      <c r="K387" s="21" t="s">
        <v>1013</v>
      </c>
      <c r="L387" s="21" t="s">
        <v>4008</v>
      </c>
      <c r="M387" s="21" t="s">
        <v>4009</v>
      </c>
      <c r="N387" s="21" t="s">
        <v>4010</v>
      </c>
      <c r="O387" s="21" t="s">
        <v>4011</v>
      </c>
      <c r="P387" s="27">
        <v>0</v>
      </c>
      <c r="Q387" s="27">
        <v>30</v>
      </c>
      <c r="R387" s="21" t="s">
        <v>4012</v>
      </c>
      <c r="S387" s="21" t="s">
        <v>4013</v>
      </c>
      <c r="T387" s="21" t="s">
        <v>3189</v>
      </c>
      <c r="U387" s="21" t="s">
        <v>4014</v>
      </c>
    </row>
    <row r="388" spans="1:21" ht="84">
      <c r="A388" s="21" t="s">
        <v>905</v>
      </c>
      <c r="B388" s="21" t="s">
        <v>906</v>
      </c>
      <c r="C388" s="21"/>
      <c r="D388" s="21" t="s">
        <v>180</v>
      </c>
      <c r="E388" s="21" t="s">
        <v>955</v>
      </c>
      <c r="F388" s="21" t="s">
        <v>4015</v>
      </c>
      <c r="G388" s="21" t="s">
        <v>4016</v>
      </c>
      <c r="H388" s="28">
        <v>40752</v>
      </c>
      <c r="I388" s="22">
        <v>2011</v>
      </c>
      <c r="J388" s="21" t="s">
        <v>1012</v>
      </c>
      <c r="K388" s="21" t="s">
        <v>998</v>
      </c>
      <c r="L388" s="21" t="s">
        <v>4017</v>
      </c>
      <c r="M388" s="21" t="s">
        <v>4018</v>
      </c>
      <c r="N388" s="21" t="s">
        <v>4019</v>
      </c>
      <c r="O388" s="21" t="s">
        <v>4020</v>
      </c>
      <c r="P388" s="27">
        <v>2</v>
      </c>
      <c r="Q388" s="27">
        <v>49</v>
      </c>
      <c r="R388" s="21" t="s">
        <v>4021</v>
      </c>
      <c r="S388" s="21" t="s">
        <v>4022</v>
      </c>
      <c r="T388" s="21" t="s">
        <v>966</v>
      </c>
      <c r="U388" s="21" t="s">
        <v>4023</v>
      </c>
    </row>
    <row r="389" spans="1:21" ht="70">
      <c r="A389" s="21" t="s">
        <v>905</v>
      </c>
      <c r="B389" s="21" t="s">
        <v>906</v>
      </c>
      <c r="C389" s="21"/>
      <c r="D389" s="21" t="s">
        <v>180</v>
      </c>
      <c r="E389" s="21" t="s">
        <v>955</v>
      </c>
      <c r="F389" s="21" t="s">
        <v>4024</v>
      </c>
      <c r="G389" s="21" t="s">
        <v>4025</v>
      </c>
      <c r="H389" s="28">
        <v>40512</v>
      </c>
      <c r="I389" s="22">
        <v>2010</v>
      </c>
      <c r="J389" s="21" t="s">
        <v>1012</v>
      </c>
      <c r="K389" s="21" t="s">
        <v>1013</v>
      </c>
      <c r="L389" s="21" t="s">
        <v>4026</v>
      </c>
      <c r="M389" s="21" t="s">
        <v>4027</v>
      </c>
      <c r="N389" s="21" t="s">
        <v>3289</v>
      </c>
      <c r="O389" s="21" t="s">
        <v>4028</v>
      </c>
      <c r="P389" s="27">
        <v>2</v>
      </c>
      <c r="Q389" s="27">
        <v>7</v>
      </c>
      <c r="R389" s="21" t="s">
        <v>4029</v>
      </c>
      <c r="S389" s="21" t="s">
        <v>4030</v>
      </c>
      <c r="T389" s="21" t="s">
        <v>3189</v>
      </c>
      <c r="U389" s="21" t="s">
        <v>4031</v>
      </c>
    </row>
    <row r="390" spans="1:21" ht="112">
      <c r="A390" s="21" t="s">
        <v>905</v>
      </c>
      <c r="B390" s="21" t="s">
        <v>906</v>
      </c>
      <c r="C390" s="21"/>
      <c r="D390" s="21" t="s">
        <v>180</v>
      </c>
      <c r="E390" s="21" t="s">
        <v>955</v>
      </c>
      <c r="F390" s="21" t="s">
        <v>4032</v>
      </c>
      <c r="G390" s="21" t="s">
        <v>4033</v>
      </c>
      <c r="H390" s="28">
        <v>39906</v>
      </c>
      <c r="I390" s="22">
        <v>2009</v>
      </c>
      <c r="J390" s="21" t="s">
        <v>1012</v>
      </c>
      <c r="K390" s="21" t="s">
        <v>1013</v>
      </c>
      <c r="L390" s="21" t="s">
        <v>4034</v>
      </c>
      <c r="M390" s="21" t="s">
        <v>4035</v>
      </c>
      <c r="N390" s="21" t="s">
        <v>4036</v>
      </c>
      <c r="O390" s="21" t="s">
        <v>2667</v>
      </c>
      <c r="P390" s="27">
        <v>0</v>
      </c>
      <c r="Q390" s="27">
        <v>37</v>
      </c>
      <c r="R390" s="21" t="s">
        <v>4037</v>
      </c>
      <c r="S390" s="21" t="s">
        <v>4038</v>
      </c>
      <c r="T390" s="21" t="s">
        <v>3189</v>
      </c>
      <c r="U390" s="21" t="s">
        <v>4039</v>
      </c>
    </row>
    <row r="391" spans="1:21" ht="56">
      <c r="A391" s="21" t="s">
        <v>905</v>
      </c>
      <c r="B391" s="21" t="s">
        <v>906</v>
      </c>
      <c r="C391" s="21"/>
      <c r="D391" s="21" t="s">
        <v>180</v>
      </c>
      <c r="E391" s="21" t="s">
        <v>955</v>
      </c>
      <c r="F391" s="21" t="s">
        <v>4040</v>
      </c>
      <c r="G391" s="21" t="s">
        <v>4041</v>
      </c>
      <c r="H391" s="28">
        <v>40380</v>
      </c>
      <c r="I391" s="22">
        <v>2010</v>
      </c>
      <c r="J391" s="21" t="s">
        <v>1012</v>
      </c>
      <c r="K391" s="21" t="s">
        <v>1894</v>
      </c>
      <c r="L391" s="21" t="s">
        <v>4042</v>
      </c>
      <c r="M391" s="21" t="s">
        <v>4043</v>
      </c>
      <c r="N391" s="21" t="s">
        <v>4044</v>
      </c>
      <c r="O391" s="21" t="s">
        <v>2094</v>
      </c>
      <c r="P391" s="27">
        <v>9</v>
      </c>
      <c r="Q391" s="27">
        <v>1</v>
      </c>
      <c r="R391" s="21"/>
      <c r="S391" s="21"/>
      <c r="T391" s="21" t="s">
        <v>966</v>
      </c>
      <c r="U391" s="21" t="s">
        <v>4045</v>
      </c>
    </row>
    <row r="392" spans="1:21" ht="140">
      <c r="A392" s="21" t="s">
        <v>905</v>
      </c>
      <c r="B392" s="21" t="s">
        <v>906</v>
      </c>
      <c r="C392" s="21"/>
      <c r="D392" s="21" t="s">
        <v>180</v>
      </c>
      <c r="E392" s="21" t="s">
        <v>955</v>
      </c>
      <c r="F392" s="21" t="s">
        <v>4046</v>
      </c>
      <c r="G392" s="21" t="s">
        <v>4047</v>
      </c>
      <c r="H392" s="28">
        <v>40135</v>
      </c>
      <c r="I392" s="22">
        <v>2009</v>
      </c>
      <c r="J392" s="21" t="s">
        <v>1012</v>
      </c>
      <c r="K392" s="21" t="s">
        <v>998</v>
      </c>
      <c r="L392" s="21" t="s">
        <v>4048</v>
      </c>
      <c r="M392" s="21" t="s">
        <v>4049</v>
      </c>
      <c r="N392" s="21" t="s">
        <v>4050</v>
      </c>
      <c r="O392" s="21" t="s">
        <v>4051</v>
      </c>
      <c r="P392" s="27">
        <v>0</v>
      </c>
      <c r="Q392" s="27">
        <v>27</v>
      </c>
      <c r="R392" s="21" t="s">
        <v>4052</v>
      </c>
      <c r="S392" s="21" t="s">
        <v>4053</v>
      </c>
      <c r="T392" s="21" t="s">
        <v>966</v>
      </c>
      <c r="U392" s="21" t="s">
        <v>4054</v>
      </c>
    </row>
    <row r="393" spans="1:21" ht="56">
      <c r="A393" s="21" t="s">
        <v>905</v>
      </c>
      <c r="B393" s="21" t="s">
        <v>906</v>
      </c>
      <c r="C393" s="21"/>
      <c r="D393" s="21" t="s">
        <v>180</v>
      </c>
      <c r="E393" s="21" t="s">
        <v>955</v>
      </c>
      <c r="F393" s="21" t="s">
        <v>4055</v>
      </c>
      <c r="G393" s="21" t="s">
        <v>4056</v>
      </c>
      <c r="H393" s="28">
        <v>40380</v>
      </c>
      <c r="I393" s="22">
        <v>2010</v>
      </c>
      <c r="J393" s="21" t="s">
        <v>1012</v>
      </c>
      <c r="K393" s="21" t="s">
        <v>1894</v>
      </c>
      <c r="L393" s="21" t="s">
        <v>4057</v>
      </c>
      <c r="M393" s="21" t="s">
        <v>4043</v>
      </c>
      <c r="N393" s="21" t="s">
        <v>4044</v>
      </c>
      <c r="O393" s="21" t="s">
        <v>2094</v>
      </c>
      <c r="P393" s="27">
        <v>9</v>
      </c>
      <c r="Q393" s="27">
        <v>1</v>
      </c>
      <c r="R393" s="21"/>
      <c r="S393" s="21"/>
      <c r="T393" s="21" t="s">
        <v>966</v>
      </c>
      <c r="U393" s="21" t="s">
        <v>4058</v>
      </c>
    </row>
    <row r="394" spans="1:21" ht="70">
      <c r="A394" s="21" t="s">
        <v>905</v>
      </c>
      <c r="B394" s="21" t="s">
        <v>906</v>
      </c>
      <c r="C394" s="21"/>
      <c r="D394" s="21" t="s">
        <v>180</v>
      </c>
      <c r="E394" s="21" t="s">
        <v>955</v>
      </c>
      <c r="F394" s="21" t="s">
        <v>4059</v>
      </c>
      <c r="G394" s="21" t="s">
        <v>4060</v>
      </c>
      <c r="H394" s="28">
        <v>40360</v>
      </c>
      <c r="I394" s="22">
        <v>2010</v>
      </c>
      <c r="J394" s="21" t="s">
        <v>1012</v>
      </c>
      <c r="K394" s="21" t="s">
        <v>1894</v>
      </c>
      <c r="L394" s="21" t="s">
        <v>4061</v>
      </c>
      <c r="M394" s="21" t="s">
        <v>4062</v>
      </c>
      <c r="N394" s="21" t="s">
        <v>4063</v>
      </c>
      <c r="O394" s="21" t="s">
        <v>4064</v>
      </c>
      <c r="P394" s="27">
        <v>13</v>
      </c>
      <c r="Q394" s="27">
        <v>3</v>
      </c>
      <c r="R394" s="21"/>
      <c r="S394" s="21"/>
      <c r="T394" s="21" t="s">
        <v>966</v>
      </c>
      <c r="U394" s="21" t="s">
        <v>4065</v>
      </c>
    </row>
    <row r="395" spans="1:21" ht="70">
      <c r="A395" s="21" t="s">
        <v>905</v>
      </c>
      <c r="B395" s="21" t="s">
        <v>906</v>
      </c>
      <c r="C395" s="21"/>
      <c r="D395" s="21" t="s">
        <v>180</v>
      </c>
      <c r="E395" s="21" t="s">
        <v>955</v>
      </c>
      <c r="F395" s="21" t="s">
        <v>4066</v>
      </c>
      <c r="G395" s="21" t="s">
        <v>4067</v>
      </c>
      <c r="H395" s="28">
        <v>39854</v>
      </c>
      <c r="I395" s="22">
        <v>2009</v>
      </c>
      <c r="J395" s="21" t="s">
        <v>1012</v>
      </c>
      <c r="K395" s="21" t="s">
        <v>1013</v>
      </c>
      <c r="L395" s="21" t="s">
        <v>4068</v>
      </c>
      <c r="M395" s="21" t="s">
        <v>4069</v>
      </c>
      <c r="N395" s="21" t="s">
        <v>4070</v>
      </c>
      <c r="O395" s="21" t="s">
        <v>4071</v>
      </c>
      <c r="P395" s="27">
        <v>8</v>
      </c>
      <c r="Q395" s="27">
        <v>34</v>
      </c>
      <c r="R395" s="21" t="s">
        <v>4072</v>
      </c>
      <c r="S395" s="21" t="s">
        <v>4073</v>
      </c>
      <c r="T395" s="21" t="s">
        <v>966</v>
      </c>
      <c r="U395" s="21" t="s">
        <v>4074</v>
      </c>
    </row>
    <row r="396" spans="1:21" ht="98">
      <c r="A396" s="21" t="s">
        <v>905</v>
      </c>
      <c r="B396" s="21" t="s">
        <v>906</v>
      </c>
      <c r="C396" s="21"/>
      <c r="D396" s="21" t="s">
        <v>180</v>
      </c>
      <c r="E396" s="21" t="s">
        <v>955</v>
      </c>
      <c r="F396" s="21" t="s">
        <v>4075</v>
      </c>
      <c r="G396" s="21" t="s">
        <v>4076</v>
      </c>
      <c r="H396" s="28">
        <v>39960</v>
      </c>
      <c r="I396" s="22">
        <v>2009</v>
      </c>
      <c r="J396" s="21" t="s">
        <v>4077</v>
      </c>
      <c r="K396" s="21" t="s">
        <v>4078</v>
      </c>
      <c r="L396" s="21" t="s">
        <v>4079</v>
      </c>
      <c r="M396" s="21" t="s">
        <v>4080</v>
      </c>
      <c r="N396" s="21" t="s">
        <v>4081</v>
      </c>
      <c r="O396" s="21" t="s">
        <v>4082</v>
      </c>
      <c r="P396" s="27">
        <v>6</v>
      </c>
      <c r="Q396" s="27">
        <v>9</v>
      </c>
      <c r="R396" s="21" t="s">
        <v>4083</v>
      </c>
      <c r="S396" s="21" t="s">
        <v>4084</v>
      </c>
      <c r="T396" s="21" t="s">
        <v>1148</v>
      </c>
      <c r="U396" s="21" t="s">
        <v>4085</v>
      </c>
    </row>
    <row r="397" spans="1:21" ht="70">
      <c r="A397" s="21" t="s">
        <v>905</v>
      </c>
      <c r="B397" s="21" t="s">
        <v>906</v>
      </c>
      <c r="C397" s="21"/>
      <c r="D397" s="21" t="s">
        <v>180</v>
      </c>
      <c r="E397" s="21" t="s">
        <v>955</v>
      </c>
      <c r="F397" s="21" t="s">
        <v>4086</v>
      </c>
      <c r="G397" s="21" t="s">
        <v>4087</v>
      </c>
      <c r="H397" s="28">
        <v>40079</v>
      </c>
      <c r="I397" s="22">
        <v>2009</v>
      </c>
      <c r="J397" s="21" t="s">
        <v>1012</v>
      </c>
      <c r="K397" s="21" t="s">
        <v>1013</v>
      </c>
      <c r="L397" s="21" t="s">
        <v>4088</v>
      </c>
      <c r="M397" s="21" t="s">
        <v>4089</v>
      </c>
      <c r="N397" s="21" t="s">
        <v>4090</v>
      </c>
      <c r="O397" s="21" t="s">
        <v>4091</v>
      </c>
      <c r="P397" s="27">
        <v>0</v>
      </c>
      <c r="Q397" s="27">
        <v>31</v>
      </c>
      <c r="R397" s="21" t="s">
        <v>4092</v>
      </c>
      <c r="S397" s="21" t="s">
        <v>4093</v>
      </c>
      <c r="T397" s="21" t="s">
        <v>966</v>
      </c>
      <c r="U397" s="21" t="s">
        <v>4094</v>
      </c>
    </row>
    <row r="398" spans="1:21" ht="84">
      <c r="A398" s="21" t="s">
        <v>905</v>
      </c>
      <c r="B398" s="21" t="s">
        <v>906</v>
      </c>
      <c r="C398" s="21"/>
      <c r="D398" s="21" t="s">
        <v>180</v>
      </c>
      <c r="E398" s="21" t="s">
        <v>955</v>
      </c>
      <c r="F398" s="21" t="s">
        <v>4095</v>
      </c>
      <c r="G398" s="21" t="s">
        <v>4096</v>
      </c>
      <c r="H398" s="28">
        <v>39864</v>
      </c>
      <c r="I398" s="22">
        <v>2009</v>
      </c>
      <c r="J398" s="21" t="s">
        <v>1012</v>
      </c>
      <c r="K398" s="21" t="s">
        <v>1013</v>
      </c>
      <c r="L398" s="21" t="s">
        <v>4097</v>
      </c>
      <c r="M398" s="21" t="s">
        <v>4098</v>
      </c>
      <c r="N398" s="21" t="s">
        <v>4099</v>
      </c>
      <c r="O398" s="21" t="s">
        <v>4100</v>
      </c>
      <c r="P398" s="27">
        <v>11</v>
      </c>
      <c r="Q398" s="27">
        <v>26</v>
      </c>
      <c r="R398" s="21" t="s">
        <v>4101</v>
      </c>
      <c r="S398" s="21" t="s">
        <v>4102</v>
      </c>
      <c r="T398" s="21" t="s">
        <v>966</v>
      </c>
      <c r="U398" s="21" t="s">
        <v>4103</v>
      </c>
    </row>
    <row r="399" spans="1:21" ht="70">
      <c r="A399" s="21" t="s">
        <v>905</v>
      </c>
      <c r="B399" s="21" t="s">
        <v>906</v>
      </c>
      <c r="C399" s="21"/>
      <c r="D399" s="21" t="s">
        <v>180</v>
      </c>
      <c r="E399" s="21" t="s">
        <v>955</v>
      </c>
      <c r="F399" s="21" t="s">
        <v>4104</v>
      </c>
      <c r="G399" s="21" t="s">
        <v>4105</v>
      </c>
      <c r="H399" s="28">
        <v>40000</v>
      </c>
      <c r="I399" s="22">
        <v>2009</v>
      </c>
      <c r="J399" s="21" t="s">
        <v>1012</v>
      </c>
      <c r="K399" s="21" t="s">
        <v>1013</v>
      </c>
      <c r="L399" s="21" t="s">
        <v>4106</v>
      </c>
      <c r="M399" s="21" t="s">
        <v>4107</v>
      </c>
      <c r="N399" s="21" t="s">
        <v>4108</v>
      </c>
      <c r="O399" s="21" t="s">
        <v>4109</v>
      </c>
      <c r="P399" s="27">
        <v>0</v>
      </c>
      <c r="Q399" s="27">
        <v>27</v>
      </c>
      <c r="R399" s="21" t="s">
        <v>4110</v>
      </c>
      <c r="S399" s="21" t="s">
        <v>4111</v>
      </c>
      <c r="T399" s="21" t="s">
        <v>3189</v>
      </c>
      <c r="U399" s="21" t="s">
        <v>4112</v>
      </c>
    </row>
    <row r="400" spans="1:21" ht="84">
      <c r="A400" s="21" t="s">
        <v>905</v>
      </c>
      <c r="B400" s="21" t="s">
        <v>906</v>
      </c>
      <c r="C400" s="21"/>
      <c r="D400" s="21" t="s">
        <v>180</v>
      </c>
      <c r="E400" s="21" t="s">
        <v>955</v>
      </c>
      <c r="F400" s="21" t="s">
        <v>4113</v>
      </c>
      <c r="G400" s="21" t="s">
        <v>4114</v>
      </c>
      <c r="H400" s="28">
        <v>40534</v>
      </c>
      <c r="I400" s="22">
        <v>2010</v>
      </c>
      <c r="J400" s="21" t="s">
        <v>1012</v>
      </c>
      <c r="K400" s="21" t="s">
        <v>998</v>
      </c>
      <c r="L400" s="21" t="s">
        <v>4115</v>
      </c>
      <c r="M400" s="21" t="s">
        <v>4116</v>
      </c>
      <c r="N400" s="21" t="s">
        <v>4117</v>
      </c>
      <c r="O400" s="21" t="s">
        <v>3290</v>
      </c>
      <c r="P400" s="27">
        <v>4</v>
      </c>
      <c r="Q400" s="27">
        <v>2</v>
      </c>
      <c r="R400" s="21" t="s">
        <v>4118</v>
      </c>
      <c r="S400" s="21" t="s">
        <v>4119</v>
      </c>
      <c r="T400" s="21" t="s">
        <v>1148</v>
      </c>
      <c r="U400" s="21" t="s">
        <v>4120</v>
      </c>
    </row>
    <row r="401" spans="1:21" ht="42">
      <c r="A401" s="21" t="s">
        <v>905</v>
      </c>
      <c r="B401" s="21" t="s">
        <v>906</v>
      </c>
      <c r="C401" s="21"/>
      <c r="D401" s="21" t="s">
        <v>180</v>
      </c>
      <c r="E401" s="21" t="s">
        <v>955</v>
      </c>
      <c r="F401" s="21" t="s">
        <v>4121</v>
      </c>
      <c r="G401" s="21" t="s">
        <v>4122</v>
      </c>
      <c r="H401" s="28">
        <v>39940</v>
      </c>
      <c r="I401" s="22">
        <v>2009</v>
      </c>
      <c r="J401" s="21" t="s">
        <v>1012</v>
      </c>
      <c r="K401" s="21" t="s">
        <v>1013</v>
      </c>
      <c r="L401" s="21" t="s">
        <v>4123</v>
      </c>
      <c r="M401" s="21" t="s">
        <v>4124</v>
      </c>
      <c r="N401" s="21" t="s">
        <v>4125</v>
      </c>
      <c r="O401" s="21" t="s">
        <v>4126</v>
      </c>
      <c r="P401" s="27">
        <v>3</v>
      </c>
      <c r="Q401" s="27">
        <v>25</v>
      </c>
      <c r="R401" s="21" t="s">
        <v>4127</v>
      </c>
      <c r="S401" s="21" t="s">
        <v>4128</v>
      </c>
      <c r="T401" s="21" t="s">
        <v>3189</v>
      </c>
      <c r="U401" s="21" t="s">
        <v>4129</v>
      </c>
    </row>
    <row r="402" spans="1:21" ht="84">
      <c r="A402" s="21" t="s">
        <v>905</v>
      </c>
      <c r="B402" s="21" t="s">
        <v>906</v>
      </c>
      <c r="C402" s="21"/>
      <c r="D402" s="21" t="s">
        <v>180</v>
      </c>
      <c r="E402" s="21" t="s">
        <v>955</v>
      </c>
      <c r="F402" s="21" t="s">
        <v>4130</v>
      </c>
      <c r="G402" s="21" t="s">
        <v>4131</v>
      </c>
      <c r="H402" s="28">
        <v>39983</v>
      </c>
      <c r="I402" s="22">
        <v>2009</v>
      </c>
      <c r="J402" s="21" t="s">
        <v>1012</v>
      </c>
      <c r="K402" s="21" t="s">
        <v>1013</v>
      </c>
      <c r="L402" s="21" t="s">
        <v>4132</v>
      </c>
      <c r="M402" s="21" t="s">
        <v>4133</v>
      </c>
      <c r="N402" s="21" t="s">
        <v>4134</v>
      </c>
      <c r="O402" s="21" t="s">
        <v>4135</v>
      </c>
      <c r="P402" s="27">
        <v>7</v>
      </c>
      <c r="Q402" s="27">
        <v>16</v>
      </c>
      <c r="R402" s="21" t="s">
        <v>4136</v>
      </c>
      <c r="S402" s="21" t="s">
        <v>3461</v>
      </c>
      <c r="T402" s="21" t="s">
        <v>3189</v>
      </c>
      <c r="U402" s="21" t="s">
        <v>4137</v>
      </c>
    </row>
    <row r="403" spans="1:21" ht="70">
      <c r="A403" s="21" t="s">
        <v>905</v>
      </c>
      <c r="B403" s="21" t="s">
        <v>906</v>
      </c>
      <c r="C403" s="21"/>
      <c r="D403" s="21" t="s">
        <v>180</v>
      </c>
      <c r="E403" s="21" t="s">
        <v>955</v>
      </c>
      <c r="F403" s="21" t="s">
        <v>4138</v>
      </c>
      <c r="G403" s="21" t="s">
        <v>4139</v>
      </c>
      <c r="H403" s="28">
        <v>40493</v>
      </c>
      <c r="I403" s="22">
        <v>2010</v>
      </c>
      <c r="J403" s="21" t="s">
        <v>1012</v>
      </c>
      <c r="K403" s="21" t="s">
        <v>998</v>
      </c>
      <c r="L403" s="21" t="s">
        <v>4140</v>
      </c>
      <c r="M403" s="21" t="s">
        <v>4141</v>
      </c>
      <c r="N403" s="21" t="s">
        <v>4142</v>
      </c>
      <c r="O403" s="21" t="s">
        <v>4143</v>
      </c>
      <c r="P403" s="27">
        <v>1</v>
      </c>
      <c r="Q403" s="27">
        <v>5</v>
      </c>
      <c r="R403" s="21" t="s">
        <v>4144</v>
      </c>
      <c r="S403" s="21" t="s">
        <v>4145</v>
      </c>
      <c r="T403" s="21" t="s">
        <v>1148</v>
      </c>
      <c r="U403" s="21" t="s">
        <v>4146</v>
      </c>
    </row>
    <row r="404" spans="1:21" ht="98">
      <c r="A404" s="21" t="s">
        <v>905</v>
      </c>
      <c r="B404" s="21" t="s">
        <v>906</v>
      </c>
      <c r="C404" s="21"/>
      <c r="D404" s="21" t="s">
        <v>180</v>
      </c>
      <c r="E404" s="21" t="s">
        <v>955</v>
      </c>
      <c r="F404" s="21" t="s">
        <v>4147</v>
      </c>
      <c r="G404" s="21" t="s">
        <v>4148</v>
      </c>
      <c r="H404" s="28">
        <v>39918</v>
      </c>
      <c r="I404" s="22">
        <v>2009</v>
      </c>
      <c r="J404" s="21" t="s">
        <v>1012</v>
      </c>
      <c r="K404" s="21" t="s">
        <v>1013</v>
      </c>
      <c r="L404" s="21" t="s">
        <v>4149</v>
      </c>
      <c r="M404" s="21" t="s">
        <v>4150</v>
      </c>
      <c r="N404" s="21" t="s">
        <v>4151</v>
      </c>
      <c r="O404" s="21" t="s">
        <v>4152</v>
      </c>
      <c r="P404" s="27">
        <v>4</v>
      </c>
      <c r="Q404" s="27">
        <v>17</v>
      </c>
      <c r="R404" s="21" t="s">
        <v>4153</v>
      </c>
      <c r="S404" s="21" t="s">
        <v>4154</v>
      </c>
      <c r="T404" s="21" t="s">
        <v>3189</v>
      </c>
      <c r="U404" s="21" t="s">
        <v>4155</v>
      </c>
    </row>
    <row r="405" spans="1:21" ht="56">
      <c r="A405" s="21" t="s">
        <v>905</v>
      </c>
      <c r="B405" s="21" t="s">
        <v>906</v>
      </c>
      <c r="C405" s="21"/>
      <c r="D405" s="21" t="s">
        <v>180</v>
      </c>
      <c r="E405" s="21" t="s">
        <v>955</v>
      </c>
      <c r="F405" s="21" t="s">
        <v>4156</v>
      </c>
      <c r="G405" s="21" t="s">
        <v>4157</v>
      </c>
      <c r="H405" s="28">
        <v>40380</v>
      </c>
      <c r="I405" s="22">
        <v>2010</v>
      </c>
      <c r="J405" s="21" t="s">
        <v>1012</v>
      </c>
      <c r="K405" s="21" t="s">
        <v>1894</v>
      </c>
      <c r="L405" s="21" t="s">
        <v>4158</v>
      </c>
      <c r="M405" s="21" t="s">
        <v>4043</v>
      </c>
      <c r="N405" s="21" t="s">
        <v>4044</v>
      </c>
      <c r="O405" s="21" t="s">
        <v>2094</v>
      </c>
      <c r="P405" s="27">
        <v>17</v>
      </c>
      <c r="Q405" s="27">
        <v>1</v>
      </c>
      <c r="R405" s="21"/>
      <c r="S405" s="21"/>
      <c r="T405" s="21" t="s">
        <v>4159</v>
      </c>
      <c r="U405" s="21" t="s">
        <v>4160</v>
      </c>
    </row>
    <row r="406" spans="1:21" ht="42">
      <c r="A406" s="21" t="s">
        <v>905</v>
      </c>
      <c r="B406" s="21" t="s">
        <v>906</v>
      </c>
      <c r="C406" s="21"/>
      <c r="D406" s="21" t="s">
        <v>180</v>
      </c>
      <c r="E406" s="21" t="s">
        <v>955</v>
      </c>
      <c r="F406" s="21" t="s">
        <v>4161</v>
      </c>
      <c r="G406" s="21" t="s">
        <v>4162</v>
      </c>
      <c r="H406" s="28">
        <v>39888</v>
      </c>
      <c r="I406" s="22">
        <v>2009</v>
      </c>
      <c r="J406" s="21" t="s">
        <v>1012</v>
      </c>
      <c r="K406" s="21" t="s">
        <v>998</v>
      </c>
      <c r="L406" s="21" t="s">
        <v>4163</v>
      </c>
      <c r="M406" s="21" t="s">
        <v>4164</v>
      </c>
      <c r="N406" s="21" t="s">
        <v>4165</v>
      </c>
      <c r="O406" s="21" t="s">
        <v>4166</v>
      </c>
      <c r="P406" s="27">
        <v>0</v>
      </c>
      <c r="Q406" s="27">
        <v>17</v>
      </c>
      <c r="R406" s="21" t="s">
        <v>4167</v>
      </c>
      <c r="S406" s="21" t="s">
        <v>4168</v>
      </c>
      <c r="T406" s="21" t="s">
        <v>1148</v>
      </c>
      <c r="U406" s="21" t="s">
        <v>4169</v>
      </c>
    </row>
    <row r="407" spans="1:21" ht="70">
      <c r="A407" s="21" t="s">
        <v>905</v>
      </c>
      <c r="B407" s="21" t="s">
        <v>906</v>
      </c>
      <c r="C407" s="21"/>
      <c r="D407" s="21" t="s">
        <v>180</v>
      </c>
      <c r="E407" s="21" t="s">
        <v>955</v>
      </c>
      <c r="F407" s="21" t="s">
        <v>4170</v>
      </c>
      <c r="G407" s="21" t="s">
        <v>4171</v>
      </c>
      <c r="H407" s="28">
        <v>39934</v>
      </c>
      <c r="I407" s="22">
        <v>2009</v>
      </c>
      <c r="J407" s="21" t="s">
        <v>1012</v>
      </c>
      <c r="K407" s="21" t="s">
        <v>1013</v>
      </c>
      <c r="L407" s="21" t="s">
        <v>4172</v>
      </c>
      <c r="M407" s="21" t="s">
        <v>4173</v>
      </c>
      <c r="N407" s="21" t="s">
        <v>4174</v>
      </c>
      <c r="O407" s="21" t="s">
        <v>4175</v>
      </c>
      <c r="P407" s="27">
        <v>2</v>
      </c>
      <c r="Q407" s="27">
        <v>29</v>
      </c>
      <c r="R407" s="21" t="s">
        <v>4176</v>
      </c>
      <c r="S407" s="21" t="s">
        <v>4177</v>
      </c>
      <c r="T407" s="21" t="s">
        <v>3189</v>
      </c>
      <c r="U407" s="21" t="s">
        <v>4178</v>
      </c>
    </row>
    <row r="408" spans="1:21" ht="56">
      <c r="A408" s="21" t="s">
        <v>905</v>
      </c>
      <c r="B408" s="21" t="s">
        <v>906</v>
      </c>
      <c r="C408" s="21"/>
      <c r="D408" s="21" t="s">
        <v>180</v>
      </c>
      <c r="E408" s="21" t="s">
        <v>955</v>
      </c>
      <c r="F408" s="21" t="s">
        <v>4179</v>
      </c>
      <c r="G408" s="21" t="s">
        <v>4180</v>
      </c>
      <c r="H408" s="28">
        <v>39899</v>
      </c>
      <c r="I408" s="22">
        <v>2009</v>
      </c>
      <c r="J408" s="21" t="s">
        <v>958</v>
      </c>
      <c r="K408" s="21" t="s">
        <v>998</v>
      </c>
      <c r="L408" s="21" t="s">
        <v>4181</v>
      </c>
      <c r="M408" s="21" t="s">
        <v>4080</v>
      </c>
      <c r="N408" s="21" t="s">
        <v>4182</v>
      </c>
      <c r="O408" s="21" t="s">
        <v>4183</v>
      </c>
      <c r="P408" s="27">
        <v>0</v>
      </c>
      <c r="Q408" s="27">
        <v>16</v>
      </c>
      <c r="R408" s="21" t="s">
        <v>4184</v>
      </c>
      <c r="S408" s="21" t="s">
        <v>4185</v>
      </c>
      <c r="T408" s="21" t="s">
        <v>1148</v>
      </c>
      <c r="U408" s="21" t="s">
        <v>4186</v>
      </c>
    </row>
    <row r="409" spans="1:21" ht="70">
      <c r="A409" s="21" t="s">
        <v>905</v>
      </c>
      <c r="B409" s="21" t="s">
        <v>906</v>
      </c>
      <c r="C409" s="21"/>
      <c r="D409" s="21" t="s">
        <v>180</v>
      </c>
      <c r="E409" s="21" t="s">
        <v>955</v>
      </c>
      <c r="F409" s="21" t="s">
        <v>4187</v>
      </c>
      <c r="G409" s="21" t="s">
        <v>4188</v>
      </c>
      <c r="H409" s="28">
        <v>40378</v>
      </c>
      <c r="I409" s="22">
        <v>2010</v>
      </c>
      <c r="J409" s="21" t="s">
        <v>1012</v>
      </c>
      <c r="K409" s="21" t="s">
        <v>998</v>
      </c>
      <c r="L409" s="21" t="s">
        <v>4189</v>
      </c>
      <c r="M409" s="21" t="s">
        <v>4190</v>
      </c>
      <c r="N409" s="21" t="s">
        <v>4191</v>
      </c>
      <c r="O409" s="21" t="s">
        <v>4192</v>
      </c>
      <c r="P409" s="27">
        <v>0</v>
      </c>
      <c r="Q409" s="27">
        <v>22</v>
      </c>
      <c r="R409" s="21" t="s">
        <v>4193</v>
      </c>
      <c r="S409" s="21" t="s">
        <v>4194</v>
      </c>
      <c r="T409" s="21" t="s">
        <v>1148</v>
      </c>
      <c r="U409" s="21" t="s">
        <v>4195</v>
      </c>
    </row>
    <row r="410" spans="1:21" ht="84">
      <c r="A410" s="21" t="s">
        <v>905</v>
      </c>
      <c r="B410" s="21" t="s">
        <v>906</v>
      </c>
      <c r="C410" s="21"/>
      <c r="D410" s="21" t="s">
        <v>180</v>
      </c>
      <c r="E410" s="21" t="s">
        <v>955</v>
      </c>
      <c r="F410" s="21" t="s">
        <v>4196</v>
      </c>
      <c r="G410" s="21" t="s">
        <v>4197</v>
      </c>
      <c r="H410" s="28">
        <v>39969</v>
      </c>
      <c r="I410" s="22">
        <v>2009</v>
      </c>
      <c r="J410" s="21" t="s">
        <v>1748</v>
      </c>
      <c r="K410" s="21" t="s">
        <v>998</v>
      </c>
      <c r="L410" s="21" t="s">
        <v>4198</v>
      </c>
      <c r="M410" s="21" t="s">
        <v>961</v>
      </c>
      <c r="N410" s="21" t="s">
        <v>4199</v>
      </c>
      <c r="O410" s="21" t="s">
        <v>4200</v>
      </c>
      <c r="P410" s="27">
        <v>0</v>
      </c>
      <c r="Q410" s="27">
        <v>14</v>
      </c>
      <c r="R410" s="21" t="s">
        <v>4201</v>
      </c>
      <c r="S410" s="21" t="s">
        <v>4202</v>
      </c>
      <c r="T410" s="21" t="s">
        <v>1148</v>
      </c>
      <c r="U410" s="21" t="s">
        <v>4203</v>
      </c>
    </row>
    <row r="411" spans="1:21" ht="42">
      <c r="A411" s="21" t="s">
        <v>905</v>
      </c>
      <c r="B411" s="21" t="s">
        <v>906</v>
      </c>
      <c r="C411" s="21"/>
      <c r="D411" s="21" t="s">
        <v>180</v>
      </c>
      <c r="E411" s="21" t="s">
        <v>955</v>
      </c>
      <c r="F411" s="21" t="s">
        <v>4204</v>
      </c>
      <c r="G411" s="21" t="s">
        <v>4205</v>
      </c>
      <c r="H411" s="28">
        <v>39857</v>
      </c>
      <c r="I411" s="22">
        <v>2009</v>
      </c>
      <c r="J411" s="21" t="s">
        <v>1012</v>
      </c>
      <c r="K411" s="21" t="s">
        <v>1013</v>
      </c>
      <c r="L411" s="21" t="s">
        <v>4206</v>
      </c>
      <c r="M411" s="21" t="s">
        <v>4207</v>
      </c>
      <c r="N411" s="21" t="s">
        <v>4208</v>
      </c>
      <c r="O411" s="21" t="s">
        <v>4209</v>
      </c>
      <c r="P411" s="27">
        <v>0</v>
      </c>
      <c r="Q411" s="27">
        <v>17</v>
      </c>
      <c r="R411" s="21" t="s">
        <v>4210</v>
      </c>
      <c r="S411" s="21" t="s">
        <v>3461</v>
      </c>
      <c r="T411" s="21" t="s">
        <v>966</v>
      </c>
      <c r="U411" s="21" t="s">
        <v>4211</v>
      </c>
    </row>
    <row r="412" spans="1:21" ht="42">
      <c r="A412" s="21" t="s">
        <v>905</v>
      </c>
      <c r="B412" s="21" t="s">
        <v>906</v>
      </c>
      <c r="C412" s="21"/>
      <c r="D412" s="21" t="s">
        <v>180</v>
      </c>
      <c r="E412" s="21" t="s">
        <v>955</v>
      </c>
      <c r="F412" s="21" t="s">
        <v>4212</v>
      </c>
      <c r="G412" s="21" t="s">
        <v>4213</v>
      </c>
      <c r="H412" s="28">
        <v>39857</v>
      </c>
      <c r="I412" s="22">
        <v>2009</v>
      </c>
      <c r="J412" s="21" t="s">
        <v>1012</v>
      </c>
      <c r="K412" s="21" t="s">
        <v>1013</v>
      </c>
      <c r="L412" s="21" t="s">
        <v>4214</v>
      </c>
      <c r="M412" s="21" t="s">
        <v>4215</v>
      </c>
      <c r="N412" s="21" t="s">
        <v>4216</v>
      </c>
      <c r="O412" s="21" t="s">
        <v>4217</v>
      </c>
      <c r="P412" s="27">
        <v>0</v>
      </c>
      <c r="Q412" s="27">
        <v>9</v>
      </c>
      <c r="R412" s="21" t="s">
        <v>4218</v>
      </c>
      <c r="S412" s="21" t="s">
        <v>4219</v>
      </c>
      <c r="T412" s="21" t="s">
        <v>3189</v>
      </c>
      <c r="U412" s="21" t="s">
        <v>4220</v>
      </c>
    </row>
    <row r="413" spans="1:21" ht="42">
      <c r="A413" s="21" t="s">
        <v>905</v>
      </c>
      <c r="B413" s="21" t="s">
        <v>906</v>
      </c>
      <c r="C413" s="21"/>
      <c r="D413" s="21" t="s">
        <v>180</v>
      </c>
      <c r="E413" s="21" t="s">
        <v>955</v>
      </c>
      <c r="F413" s="21" t="s">
        <v>4221</v>
      </c>
      <c r="G413" s="21" t="s">
        <v>4222</v>
      </c>
      <c r="H413" s="28">
        <v>39912</v>
      </c>
      <c r="I413" s="22">
        <v>2009</v>
      </c>
      <c r="J413" s="21" t="s">
        <v>1012</v>
      </c>
      <c r="K413" s="21" t="s">
        <v>1013</v>
      </c>
      <c r="L413" s="21" t="s">
        <v>4223</v>
      </c>
      <c r="M413" s="21" t="s">
        <v>4224</v>
      </c>
      <c r="N413" s="21" t="s">
        <v>4225</v>
      </c>
      <c r="O413" s="21" t="s">
        <v>3836</v>
      </c>
      <c r="P413" s="27">
        <v>0</v>
      </c>
      <c r="Q413" s="27">
        <v>6</v>
      </c>
      <c r="R413" s="21" t="s">
        <v>4226</v>
      </c>
      <c r="S413" s="21" t="s">
        <v>4227</v>
      </c>
      <c r="T413" s="21" t="s">
        <v>3189</v>
      </c>
      <c r="U413" s="21" t="s">
        <v>4228</v>
      </c>
    </row>
    <row r="414" spans="1:21" ht="28">
      <c r="A414" s="21" t="s">
        <v>905</v>
      </c>
      <c r="B414" s="21" t="s">
        <v>906</v>
      </c>
      <c r="C414" s="21"/>
      <c r="D414" s="21" t="s">
        <v>180</v>
      </c>
      <c r="E414" s="21" t="s">
        <v>955</v>
      </c>
      <c r="F414" s="21" t="s">
        <v>4229</v>
      </c>
      <c r="G414" s="21" t="s">
        <v>4230</v>
      </c>
      <c r="H414" s="28">
        <v>39912</v>
      </c>
      <c r="I414" s="22">
        <v>2009</v>
      </c>
      <c r="J414" s="21" t="s">
        <v>1012</v>
      </c>
      <c r="K414" s="21" t="s">
        <v>1013</v>
      </c>
      <c r="L414" s="21" t="s">
        <v>4231</v>
      </c>
      <c r="M414" s="21" t="s">
        <v>4232</v>
      </c>
      <c r="N414" s="21" t="s">
        <v>4225</v>
      </c>
      <c r="O414" s="21" t="s">
        <v>3836</v>
      </c>
      <c r="P414" s="27">
        <v>0</v>
      </c>
      <c r="Q414" s="27">
        <v>6</v>
      </c>
      <c r="R414" s="21" t="s">
        <v>4233</v>
      </c>
      <c r="S414" s="21" t="s">
        <v>4234</v>
      </c>
      <c r="T414" s="21" t="s">
        <v>3189</v>
      </c>
      <c r="U414" s="21" t="s">
        <v>4235</v>
      </c>
    </row>
    <row r="415" spans="1:21" ht="56">
      <c r="A415" s="21" t="s">
        <v>905</v>
      </c>
      <c r="B415" s="21" t="s">
        <v>906</v>
      </c>
      <c r="C415" s="21"/>
      <c r="D415" s="21" t="s">
        <v>180</v>
      </c>
      <c r="E415" s="21" t="s">
        <v>955</v>
      </c>
      <c r="F415" s="21" t="s">
        <v>4236</v>
      </c>
      <c r="G415" s="21" t="s">
        <v>4237</v>
      </c>
      <c r="H415" s="28">
        <v>40310</v>
      </c>
      <c r="I415" s="22">
        <v>2010</v>
      </c>
      <c r="J415" s="21" t="s">
        <v>1012</v>
      </c>
      <c r="K415" s="21" t="s">
        <v>998</v>
      </c>
      <c r="L415" s="21" t="s">
        <v>4238</v>
      </c>
      <c r="M415" s="21" t="s">
        <v>4239</v>
      </c>
      <c r="N415" s="21" t="s">
        <v>4240</v>
      </c>
      <c r="O415" s="21" t="s">
        <v>4241</v>
      </c>
      <c r="P415" s="27">
        <v>1</v>
      </c>
      <c r="Q415" s="27">
        <v>5</v>
      </c>
      <c r="R415" s="21" t="s">
        <v>4242</v>
      </c>
      <c r="S415" s="21" t="s">
        <v>4243</v>
      </c>
      <c r="T415" s="21" t="s">
        <v>1148</v>
      </c>
      <c r="U415" s="21" t="s">
        <v>4244</v>
      </c>
    </row>
    <row r="416" spans="1:21" ht="28">
      <c r="A416" s="21" t="s">
        <v>905</v>
      </c>
      <c r="B416" s="21" t="s">
        <v>906</v>
      </c>
      <c r="C416" s="21"/>
      <c r="D416" s="21" t="s">
        <v>180</v>
      </c>
      <c r="E416" s="21" t="s">
        <v>955</v>
      </c>
      <c r="F416" s="21" t="s">
        <v>4245</v>
      </c>
      <c r="G416" s="21" t="s">
        <v>4246</v>
      </c>
      <c r="H416" s="28">
        <v>40269</v>
      </c>
      <c r="I416" s="22">
        <v>2010</v>
      </c>
      <c r="J416" s="21" t="s">
        <v>1012</v>
      </c>
      <c r="K416" s="21" t="s">
        <v>998</v>
      </c>
      <c r="L416" s="21" t="s">
        <v>4247</v>
      </c>
      <c r="M416" s="21" t="s">
        <v>961</v>
      </c>
      <c r="N416" s="21" t="s">
        <v>4248</v>
      </c>
      <c r="O416" s="21" t="s">
        <v>1669</v>
      </c>
      <c r="P416" s="27">
        <v>8</v>
      </c>
      <c r="Q416" s="27">
        <v>4</v>
      </c>
      <c r="R416" s="21" t="s">
        <v>4249</v>
      </c>
      <c r="S416" s="21" t="s">
        <v>4250</v>
      </c>
      <c r="T416" s="21" t="s">
        <v>1148</v>
      </c>
      <c r="U416" s="21" t="s">
        <v>4251</v>
      </c>
    </row>
    <row r="417" spans="1:21" ht="56">
      <c r="A417" s="21" t="s">
        <v>905</v>
      </c>
      <c r="B417" s="21" t="s">
        <v>906</v>
      </c>
      <c r="C417" s="21"/>
      <c r="D417" s="21" t="s">
        <v>180</v>
      </c>
      <c r="E417" s="21" t="s">
        <v>955</v>
      </c>
      <c r="F417" s="21" t="s">
        <v>4252</v>
      </c>
      <c r="G417" s="21" t="s">
        <v>4253</v>
      </c>
      <c r="H417" s="28">
        <v>40142</v>
      </c>
      <c r="I417" s="22">
        <v>2009</v>
      </c>
      <c r="J417" s="21" t="s">
        <v>1012</v>
      </c>
      <c r="K417" s="21" t="s">
        <v>998</v>
      </c>
      <c r="L417" s="21" t="s">
        <v>4254</v>
      </c>
      <c r="M417" s="21" t="s">
        <v>961</v>
      </c>
      <c r="N417" s="21" t="s">
        <v>4255</v>
      </c>
      <c r="O417" s="21" t="s">
        <v>4256</v>
      </c>
      <c r="P417" s="27">
        <v>1</v>
      </c>
      <c r="Q417" s="27">
        <v>5</v>
      </c>
      <c r="R417" s="21" t="s">
        <v>4257</v>
      </c>
      <c r="S417" s="21" t="s">
        <v>4258</v>
      </c>
      <c r="T417" s="21" t="s">
        <v>1148</v>
      </c>
      <c r="U417" s="21" t="s">
        <v>4259</v>
      </c>
    </row>
    <row r="418" spans="1:21" ht="56">
      <c r="A418" s="21" t="s">
        <v>905</v>
      </c>
      <c r="B418" s="21" t="s">
        <v>906</v>
      </c>
      <c r="C418" s="21"/>
      <c r="D418" s="21" t="s">
        <v>180</v>
      </c>
      <c r="E418" s="21" t="s">
        <v>955</v>
      </c>
      <c r="F418" s="21" t="s">
        <v>4260</v>
      </c>
      <c r="G418" s="21" t="s">
        <v>4261</v>
      </c>
      <c r="H418" s="28">
        <v>40150</v>
      </c>
      <c r="I418" s="22">
        <v>2009</v>
      </c>
      <c r="J418" s="21" t="s">
        <v>1012</v>
      </c>
      <c r="K418" s="21" t="s">
        <v>998</v>
      </c>
      <c r="L418" s="21" t="s">
        <v>4262</v>
      </c>
      <c r="M418" s="21" t="s">
        <v>3892</v>
      </c>
      <c r="N418" s="21" t="s">
        <v>4263</v>
      </c>
      <c r="O418" s="21" t="s">
        <v>4264</v>
      </c>
      <c r="P418" s="27">
        <v>25</v>
      </c>
      <c r="Q418" s="27">
        <v>7</v>
      </c>
      <c r="R418" s="21" t="s">
        <v>4265</v>
      </c>
      <c r="S418" s="21" t="s">
        <v>4266</v>
      </c>
      <c r="T418" s="21" t="s">
        <v>1148</v>
      </c>
      <c r="U418" s="21" t="s">
        <v>4267</v>
      </c>
    </row>
    <row r="419" spans="1:21" ht="56">
      <c r="A419" s="21" t="s">
        <v>905</v>
      </c>
      <c r="B419" s="21" t="s">
        <v>906</v>
      </c>
      <c r="C419" s="21"/>
      <c r="D419" s="21" t="s">
        <v>180</v>
      </c>
      <c r="E419" s="21" t="s">
        <v>955</v>
      </c>
      <c r="F419" s="21" t="s">
        <v>4268</v>
      </c>
      <c r="G419" s="21" t="s">
        <v>4269</v>
      </c>
      <c r="H419" s="28">
        <v>40130</v>
      </c>
      <c r="I419" s="22">
        <v>2009</v>
      </c>
      <c r="J419" s="21" t="s">
        <v>1012</v>
      </c>
      <c r="K419" s="21" t="s">
        <v>998</v>
      </c>
      <c r="L419" s="21" t="s">
        <v>4270</v>
      </c>
      <c r="M419" s="21" t="s">
        <v>961</v>
      </c>
      <c r="N419" s="21" t="s">
        <v>4271</v>
      </c>
      <c r="O419" s="21" t="s">
        <v>4272</v>
      </c>
      <c r="P419" s="27">
        <v>0</v>
      </c>
      <c r="Q419" s="27">
        <v>5</v>
      </c>
      <c r="R419" s="21" t="s">
        <v>4273</v>
      </c>
      <c r="S419" s="21" t="s">
        <v>4274</v>
      </c>
      <c r="T419" s="21" t="s">
        <v>1148</v>
      </c>
      <c r="U419" s="21" t="s">
        <v>4275</v>
      </c>
    </row>
    <row r="420" spans="1:21" ht="56">
      <c r="A420" s="21" t="s">
        <v>905</v>
      </c>
      <c r="B420" s="21" t="s">
        <v>906</v>
      </c>
      <c r="C420" s="21"/>
      <c r="D420" s="21" t="s">
        <v>180</v>
      </c>
      <c r="E420" s="21" t="s">
        <v>955</v>
      </c>
      <c r="F420" s="21" t="s">
        <v>4276</v>
      </c>
      <c r="G420" s="21" t="s">
        <v>4277</v>
      </c>
      <c r="H420" s="28">
        <v>40106</v>
      </c>
      <c r="I420" s="22">
        <v>2009</v>
      </c>
      <c r="J420" s="21" t="s">
        <v>1012</v>
      </c>
      <c r="K420" s="21" t="s">
        <v>998</v>
      </c>
      <c r="L420" s="21" t="s">
        <v>4278</v>
      </c>
      <c r="M420" s="21" t="s">
        <v>961</v>
      </c>
      <c r="N420" s="21" t="s">
        <v>4279</v>
      </c>
      <c r="O420" s="21" t="s">
        <v>4280</v>
      </c>
      <c r="P420" s="27">
        <v>10</v>
      </c>
      <c r="Q420" s="27">
        <v>5</v>
      </c>
      <c r="R420" s="21" t="s">
        <v>4281</v>
      </c>
      <c r="S420" s="21" t="s">
        <v>4282</v>
      </c>
      <c r="T420" s="21" t="s">
        <v>1148</v>
      </c>
      <c r="U420" s="21" t="s">
        <v>4283</v>
      </c>
    </row>
    <row r="421" spans="1:21" ht="28">
      <c r="A421" s="21" t="s">
        <v>905</v>
      </c>
      <c r="B421" s="21" t="s">
        <v>906</v>
      </c>
      <c r="C421" s="21"/>
      <c r="D421" s="21" t="s">
        <v>180</v>
      </c>
      <c r="E421" s="21" t="s">
        <v>955</v>
      </c>
      <c r="F421" s="21" t="s">
        <v>4284</v>
      </c>
      <c r="G421" s="21" t="s">
        <v>4285</v>
      </c>
      <c r="H421" s="28">
        <v>40235</v>
      </c>
      <c r="I421" s="22">
        <v>2010</v>
      </c>
      <c r="J421" s="21" t="s">
        <v>1012</v>
      </c>
      <c r="K421" s="21" t="s">
        <v>1894</v>
      </c>
      <c r="L421" s="21" t="s">
        <v>4286</v>
      </c>
      <c r="M421" s="21" t="s">
        <v>961</v>
      </c>
      <c r="N421" s="21" t="s">
        <v>3944</v>
      </c>
      <c r="O421" s="21" t="s">
        <v>3945</v>
      </c>
      <c r="P421" s="27">
        <v>15</v>
      </c>
      <c r="Q421" s="27">
        <v>1</v>
      </c>
      <c r="R421" s="21"/>
      <c r="S421" s="21"/>
      <c r="T421" s="21" t="s">
        <v>4159</v>
      </c>
      <c r="U421" s="21" t="s">
        <v>4287</v>
      </c>
    </row>
    <row r="422" spans="1:21" ht="112">
      <c r="A422" s="21" t="s">
        <v>905</v>
      </c>
      <c r="B422" s="21" t="s">
        <v>906</v>
      </c>
      <c r="C422" s="21"/>
      <c r="D422" s="21" t="s">
        <v>180</v>
      </c>
      <c r="E422" s="21" t="s">
        <v>955</v>
      </c>
      <c r="F422" s="21" t="s">
        <v>4288</v>
      </c>
      <c r="G422" s="21" t="s">
        <v>4289</v>
      </c>
      <c r="H422" s="28">
        <v>40067</v>
      </c>
      <c r="I422" s="22">
        <v>2009</v>
      </c>
      <c r="J422" s="21" t="s">
        <v>1012</v>
      </c>
      <c r="K422" s="21" t="s">
        <v>998</v>
      </c>
      <c r="L422" s="21" t="s">
        <v>4290</v>
      </c>
      <c r="M422" s="21" t="s">
        <v>961</v>
      </c>
      <c r="N422" s="21" t="s">
        <v>4291</v>
      </c>
      <c r="O422" s="21" t="s">
        <v>4292</v>
      </c>
      <c r="P422" s="27">
        <v>17</v>
      </c>
      <c r="Q422" s="27">
        <v>5</v>
      </c>
      <c r="R422" s="21" t="s">
        <v>4293</v>
      </c>
      <c r="S422" s="21" t="s">
        <v>4294</v>
      </c>
      <c r="T422" s="21" t="s">
        <v>1148</v>
      </c>
      <c r="U422" s="21" t="s">
        <v>4295</v>
      </c>
    </row>
    <row r="423" spans="1:21" ht="42">
      <c r="A423" s="21" t="s">
        <v>905</v>
      </c>
      <c r="B423" s="21" t="s">
        <v>906</v>
      </c>
      <c r="C423" s="21"/>
      <c r="D423" s="21" t="s">
        <v>180</v>
      </c>
      <c r="E423" s="21" t="s">
        <v>955</v>
      </c>
      <c r="F423" s="21" t="s">
        <v>4296</v>
      </c>
      <c r="G423" s="21" t="s">
        <v>4297</v>
      </c>
      <c r="H423" s="28">
        <v>40009</v>
      </c>
      <c r="I423" s="22">
        <v>2009</v>
      </c>
      <c r="J423" s="21" t="s">
        <v>1012</v>
      </c>
      <c r="K423" s="21" t="s">
        <v>998</v>
      </c>
      <c r="L423" s="21" t="s">
        <v>4298</v>
      </c>
      <c r="M423" s="21" t="s">
        <v>961</v>
      </c>
      <c r="N423" s="21" t="s">
        <v>4299</v>
      </c>
      <c r="O423" s="21" t="s">
        <v>4300</v>
      </c>
      <c r="P423" s="27">
        <v>2</v>
      </c>
      <c r="Q423" s="27">
        <v>5</v>
      </c>
      <c r="R423" s="21" t="s">
        <v>4301</v>
      </c>
      <c r="S423" s="21" t="s">
        <v>4302</v>
      </c>
      <c r="T423" s="21" t="s">
        <v>1148</v>
      </c>
      <c r="U423" s="21" t="s">
        <v>4303</v>
      </c>
    </row>
    <row r="424" spans="1:21" ht="126">
      <c r="A424" s="21" t="s">
        <v>905</v>
      </c>
      <c r="B424" s="21" t="s">
        <v>906</v>
      </c>
      <c r="C424" s="21"/>
      <c r="D424" s="21" t="s">
        <v>180</v>
      </c>
      <c r="E424" s="21" t="s">
        <v>955</v>
      </c>
      <c r="F424" s="21" t="s">
        <v>4304</v>
      </c>
      <c r="G424" s="21" t="s">
        <v>4305</v>
      </c>
      <c r="H424" s="28">
        <v>39989</v>
      </c>
      <c r="I424" s="22">
        <v>2009</v>
      </c>
      <c r="J424" s="21" t="s">
        <v>1012</v>
      </c>
      <c r="K424" s="21" t="s">
        <v>998</v>
      </c>
      <c r="L424" s="21" t="s">
        <v>4306</v>
      </c>
      <c r="M424" s="21" t="s">
        <v>4307</v>
      </c>
      <c r="N424" s="21" t="s">
        <v>4308</v>
      </c>
      <c r="O424" s="21" t="s">
        <v>4309</v>
      </c>
      <c r="P424" s="27">
        <v>8</v>
      </c>
      <c r="Q424" s="27">
        <v>18</v>
      </c>
      <c r="R424" s="21" t="s">
        <v>4310</v>
      </c>
      <c r="S424" s="21" t="s">
        <v>4311</v>
      </c>
      <c r="T424" s="21" t="s">
        <v>966</v>
      </c>
      <c r="U424" s="21" t="s">
        <v>4312</v>
      </c>
    </row>
    <row r="425" spans="1:21" ht="42">
      <c r="A425" s="21" t="s">
        <v>905</v>
      </c>
      <c r="B425" s="21" t="s">
        <v>906</v>
      </c>
      <c r="C425" s="21"/>
      <c r="D425" s="21" t="s">
        <v>180</v>
      </c>
      <c r="E425" s="21" t="s">
        <v>955</v>
      </c>
      <c r="F425" s="21" t="s">
        <v>4313</v>
      </c>
      <c r="G425" s="21" t="s">
        <v>4314</v>
      </c>
      <c r="H425" s="28">
        <v>39976</v>
      </c>
      <c r="I425" s="22">
        <v>2009</v>
      </c>
      <c r="J425" s="21" t="s">
        <v>1012</v>
      </c>
      <c r="K425" s="21" t="s">
        <v>998</v>
      </c>
      <c r="L425" s="21" t="s">
        <v>4315</v>
      </c>
      <c r="M425" s="21" t="s">
        <v>961</v>
      </c>
      <c r="N425" s="21" t="s">
        <v>4316</v>
      </c>
      <c r="O425" s="21" t="s">
        <v>4317</v>
      </c>
      <c r="P425" s="27">
        <v>1</v>
      </c>
      <c r="Q425" s="27">
        <v>11</v>
      </c>
      <c r="R425" s="21" t="s">
        <v>4318</v>
      </c>
      <c r="S425" s="21" t="s">
        <v>4319</v>
      </c>
      <c r="T425" s="21" t="s">
        <v>1148</v>
      </c>
      <c r="U425" s="21" t="s">
        <v>4320</v>
      </c>
    </row>
    <row r="426" spans="1:21" ht="42">
      <c r="A426" s="21" t="s">
        <v>905</v>
      </c>
      <c r="B426" s="21" t="s">
        <v>906</v>
      </c>
      <c r="C426" s="21"/>
      <c r="D426" s="21" t="s">
        <v>180</v>
      </c>
      <c r="E426" s="21" t="s">
        <v>955</v>
      </c>
      <c r="F426" s="21" t="s">
        <v>4321</v>
      </c>
      <c r="G426" s="21" t="s">
        <v>4322</v>
      </c>
      <c r="H426" s="28">
        <v>39972</v>
      </c>
      <c r="I426" s="22">
        <v>2009</v>
      </c>
      <c r="J426" s="21" t="s">
        <v>1012</v>
      </c>
      <c r="K426" s="21" t="s">
        <v>998</v>
      </c>
      <c r="L426" s="21" t="s">
        <v>4323</v>
      </c>
      <c r="M426" s="21" t="s">
        <v>961</v>
      </c>
      <c r="N426" s="21" t="s">
        <v>4324</v>
      </c>
      <c r="O426" s="21" t="s">
        <v>4325</v>
      </c>
      <c r="P426" s="27">
        <v>3</v>
      </c>
      <c r="Q426" s="27">
        <v>5</v>
      </c>
      <c r="R426" s="21" t="s">
        <v>4326</v>
      </c>
      <c r="S426" s="21" t="s">
        <v>4327</v>
      </c>
      <c r="T426" s="21" t="s">
        <v>1148</v>
      </c>
      <c r="U426" s="21" t="s">
        <v>4328</v>
      </c>
    </row>
    <row r="427" spans="1:21" ht="84">
      <c r="A427" s="21" t="s">
        <v>905</v>
      </c>
      <c r="B427" s="21" t="s">
        <v>906</v>
      </c>
      <c r="C427" s="21"/>
      <c r="D427" s="21" t="s">
        <v>180</v>
      </c>
      <c r="E427" s="21" t="s">
        <v>955</v>
      </c>
      <c r="F427" s="21" t="s">
        <v>4329</v>
      </c>
      <c r="G427" s="21" t="s">
        <v>4330</v>
      </c>
      <c r="H427" s="28">
        <v>39947</v>
      </c>
      <c r="I427" s="22">
        <v>2009</v>
      </c>
      <c r="J427" s="21" t="s">
        <v>1012</v>
      </c>
      <c r="K427" s="21" t="s">
        <v>998</v>
      </c>
      <c r="L427" s="21" t="s">
        <v>4331</v>
      </c>
      <c r="M427" s="21" t="s">
        <v>961</v>
      </c>
      <c r="N427" s="21" t="s">
        <v>4332</v>
      </c>
      <c r="O427" s="21" t="s">
        <v>4333</v>
      </c>
      <c r="P427" s="27">
        <v>9</v>
      </c>
      <c r="Q427" s="27">
        <v>5</v>
      </c>
      <c r="R427" s="21" t="s">
        <v>4334</v>
      </c>
      <c r="S427" s="21" t="s">
        <v>4335</v>
      </c>
      <c r="T427" s="21" t="s">
        <v>1148</v>
      </c>
      <c r="U427" s="21" t="s">
        <v>4336</v>
      </c>
    </row>
    <row r="428" spans="1:21" ht="28">
      <c r="A428" s="21" t="s">
        <v>905</v>
      </c>
      <c r="B428" s="21" t="s">
        <v>906</v>
      </c>
      <c r="C428" s="21"/>
      <c r="D428" s="21" t="s">
        <v>180</v>
      </c>
      <c r="E428" s="21" t="s">
        <v>955</v>
      </c>
      <c r="F428" s="21" t="s">
        <v>4337</v>
      </c>
      <c r="G428" s="21" t="s">
        <v>4338</v>
      </c>
      <c r="H428" s="28">
        <v>39945</v>
      </c>
      <c r="I428" s="22">
        <v>2009</v>
      </c>
      <c r="J428" s="21" t="s">
        <v>1012</v>
      </c>
      <c r="K428" s="21" t="s">
        <v>998</v>
      </c>
      <c r="L428" s="21" t="s">
        <v>4339</v>
      </c>
      <c r="M428" s="21" t="s">
        <v>961</v>
      </c>
      <c r="N428" s="21" t="s">
        <v>4340</v>
      </c>
      <c r="O428" s="21" t="s">
        <v>4341</v>
      </c>
      <c r="P428" s="27">
        <v>5</v>
      </c>
      <c r="Q428" s="27">
        <v>5</v>
      </c>
      <c r="R428" s="21" t="s">
        <v>4342</v>
      </c>
      <c r="S428" s="21" t="s">
        <v>4343</v>
      </c>
      <c r="T428" s="21" t="s">
        <v>1148</v>
      </c>
      <c r="U428" s="21" t="s">
        <v>4344</v>
      </c>
    </row>
    <row r="429" spans="1:21" ht="126">
      <c r="A429" s="21" t="s">
        <v>905</v>
      </c>
      <c r="B429" s="21" t="s">
        <v>906</v>
      </c>
      <c r="C429" s="21"/>
      <c r="D429" s="21" t="s">
        <v>180</v>
      </c>
      <c r="E429" s="21" t="s">
        <v>955</v>
      </c>
      <c r="F429" s="21" t="s">
        <v>4345</v>
      </c>
      <c r="G429" s="21" t="s">
        <v>4346</v>
      </c>
      <c r="H429" s="28">
        <v>39944</v>
      </c>
      <c r="I429" s="22">
        <v>2009</v>
      </c>
      <c r="J429" s="21" t="s">
        <v>1012</v>
      </c>
      <c r="K429" s="21" t="s">
        <v>998</v>
      </c>
      <c r="L429" s="21" t="s">
        <v>4347</v>
      </c>
      <c r="M429" s="21" t="s">
        <v>961</v>
      </c>
      <c r="N429" s="21" t="s">
        <v>4348</v>
      </c>
      <c r="O429" s="21" t="s">
        <v>4349</v>
      </c>
      <c r="P429" s="27">
        <v>7</v>
      </c>
      <c r="Q429" s="27">
        <v>25</v>
      </c>
      <c r="R429" s="21" t="s">
        <v>4350</v>
      </c>
      <c r="S429" s="21" t="s">
        <v>4351</v>
      </c>
      <c r="T429" s="21" t="s">
        <v>1148</v>
      </c>
      <c r="U429" s="21" t="s">
        <v>4352</v>
      </c>
    </row>
    <row r="430" spans="1:21" ht="42">
      <c r="A430" s="21" t="s">
        <v>905</v>
      </c>
      <c r="B430" s="21" t="s">
        <v>906</v>
      </c>
      <c r="C430" s="21"/>
      <c r="D430" s="21" t="s">
        <v>180</v>
      </c>
      <c r="E430" s="21" t="s">
        <v>955</v>
      </c>
      <c r="F430" s="21" t="s">
        <v>4353</v>
      </c>
      <c r="G430" s="21" t="s">
        <v>4354</v>
      </c>
      <c r="H430" s="28">
        <v>39882</v>
      </c>
      <c r="I430" s="22">
        <v>2009</v>
      </c>
      <c r="J430" s="21" t="s">
        <v>1012</v>
      </c>
      <c r="K430" s="21" t="s">
        <v>998</v>
      </c>
      <c r="L430" s="21" t="s">
        <v>4355</v>
      </c>
      <c r="M430" s="21" t="s">
        <v>4356</v>
      </c>
      <c r="N430" s="21" t="s">
        <v>4357</v>
      </c>
      <c r="O430" s="21" t="s">
        <v>4358</v>
      </c>
      <c r="P430" s="27">
        <v>2</v>
      </c>
      <c r="Q430" s="27">
        <v>5</v>
      </c>
      <c r="R430" s="21" t="s">
        <v>4359</v>
      </c>
      <c r="S430" s="21" t="s">
        <v>4360</v>
      </c>
      <c r="T430" s="21" t="s">
        <v>1148</v>
      </c>
      <c r="U430" s="21" t="s">
        <v>4361</v>
      </c>
    </row>
    <row r="431" spans="1:21" ht="84">
      <c r="A431" s="21" t="s">
        <v>905</v>
      </c>
      <c r="B431" s="21" t="s">
        <v>906</v>
      </c>
      <c r="C431" s="21"/>
      <c r="D431" s="21" t="s">
        <v>180</v>
      </c>
      <c r="E431" s="21" t="s">
        <v>955</v>
      </c>
      <c r="F431" s="21" t="s">
        <v>4362</v>
      </c>
      <c r="G431" s="21" t="s">
        <v>4363</v>
      </c>
      <c r="H431" s="28">
        <v>39926</v>
      </c>
      <c r="I431" s="22">
        <v>2009</v>
      </c>
      <c r="J431" s="21" t="s">
        <v>1012</v>
      </c>
      <c r="K431" s="21" t="s">
        <v>998</v>
      </c>
      <c r="L431" s="21" t="s">
        <v>4364</v>
      </c>
      <c r="M431" s="21" t="s">
        <v>961</v>
      </c>
      <c r="N431" s="21" t="s">
        <v>4365</v>
      </c>
      <c r="O431" s="21" t="s">
        <v>4366</v>
      </c>
      <c r="P431" s="27">
        <v>0</v>
      </c>
      <c r="Q431" s="27">
        <v>5</v>
      </c>
      <c r="R431" s="21" t="s">
        <v>4367</v>
      </c>
      <c r="S431" s="21" t="s">
        <v>4368</v>
      </c>
      <c r="T431" s="21" t="s">
        <v>1148</v>
      </c>
      <c r="U431" s="21" t="s">
        <v>4369</v>
      </c>
    </row>
    <row r="432" spans="1:21" ht="112">
      <c r="A432" s="21" t="s">
        <v>909</v>
      </c>
      <c r="B432" s="21" t="s">
        <v>910</v>
      </c>
      <c r="C432" s="21" t="s">
        <v>491</v>
      </c>
      <c r="D432" s="21" t="s">
        <v>180</v>
      </c>
      <c r="E432" s="21" t="s">
        <v>498</v>
      </c>
      <c r="F432" s="21" t="s">
        <v>956</v>
      </c>
      <c r="G432" s="21" t="s">
        <v>4370</v>
      </c>
      <c r="H432" s="28">
        <v>43816</v>
      </c>
      <c r="I432" s="22">
        <v>2019</v>
      </c>
      <c r="J432" s="21" t="s">
        <v>958</v>
      </c>
      <c r="K432" s="21" t="s">
        <v>959</v>
      </c>
      <c r="L432" s="21" t="s">
        <v>4371</v>
      </c>
      <c r="M432" s="21" t="s">
        <v>4372</v>
      </c>
      <c r="N432" s="21" t="s">
        <v>4373</v>
      </c>
      <c r="O432" s="21" t="s">
        <v>4374</v>
      </c>
      <c r="P432" s="27">
        <v>0</v>
      </c>
      <c r="Q432" s="27">
        <v>52</v>
      </c>
      <c r="R432" s="21" t="s">
        <v>4375</v>
      </c>
      <c r="S432" s="21" t="s">
        <v>4376</v>
      </c>
      <c r="T432" s="21" t="s">
        <v>966</v>
      </c>
      <c r="U432" s="21" t="s">
        <v>4377</v>
      </c>
    </row>
    <row r="433" spans="1:21" ht="70">
      <c r="A433" s="21" t="s">
        <v>909</v>
      </c>
      <c r="B433" s="21" t="s">
        <v>910</v>
      </c>
      <c r="C433" s="21" t="s">
        <v>491</v>
      </c>
      <c r="D433" s="21" t="s">
        <v>180</v>
      </c>
      <c r="E433" s="21" t="s">
        <v>498</v>
      </c>
      <c r="F433" s="21" t="s">
        <v>977</v>
      </c>
      <c r="G433" s="21" t="s">
        <v>4378</v>
      </c>
      <c r="H433" s="28">
        <v>43969</v>
      </c>
      <c r="I433" s="22">
        <v>2020</v>
      </c>
      <c r="J433" s="21" t="s">
        <v>1012</v>
      </c>
      <c r="K433" s="21" t="s">
        <v>998</v>
      </c>
      <c r="L433" s="21" t="s">
        <v>4379</v>
      </c>
      <c r="M433" s="21" t="s">
        <v>4380</v>
      </c>
      <c r="N433" s="21" t="s">
        <v>4381</v>
      </c>
      <c r="O433" s="21" t="s">
        <v>4382</v>
      </c>
      <c r="P433" s="27">
        <v>1</v>
      </c>
      <c r="Q433" s="27">
        <v>4</v>
      </c>
      <c r="R433" s="21" t="s">
        <v>4383</v>
      </c>
      <c r="S433" s="21" t="s">
        <v>4384</v>
      </c>
      <c r="T433" s="21" t="s">
        <v>1148</v>
      </c>
      <c r="U433" s="21" t="s">
        <v>4385</v>
      </c>
    </row>
    <row r="434" spans="1:21" ht="84">
      <c r="A434" s="21" t="s">
        <v>909</v>
      </c>
      <c r="B434" s="21" t="s">
        <v>910</v>
      </c>
      <c r="C434" s="21" t="s">
        <v>491</v>
      </c>
      <c r="D434" s="21" t="s">
        <v>180</v>
      </c>
      <c r="E434" s="21" t="s">
        <v>498</v>
      </c>
      <c r="F434" s="21" t="s">
        <v>985</v>
      </c>
      <c r="G434" s="21" t="s">
        <v>4386</v>
      </c>
      <c r="H434" s="28">
        <v>44872</v>
      </c>
      <c r="I434" s="22">
        <v>2022</v>
      </c>
      <c r="J434" s="21" t="s">
        <v>1748</v>
      </c>
      <c r="K434" s="21" t="s">
        <v>998</v>
      </c>
      <c r="L434" s="21" t="s">
        <v>4387</v>
      </c>
      <c r="M434" s="21" t="s">
        <v>4372</v>
      </c>
      <c r="N434" s="21" t="s">
        <v>4388</v>
      </c>
      <c r="O434" s="21" t="s">
        <v>4389</v>
      </c>
      <c r="P434" s="27">
        <v>0</v>
      </c>
      <c r="Q434" s="27">
        <v>9</v>
      </c>
      <c r="R434" s="21" t="s">
        <v>4390</v>
      </c>
      <c r="S434" s="21" t="s">
        <v>4391</v>
      </c>
      <c r="T434" s="21" t="s">
        <v>994</v>
      </c>
      <c r="U434" s="21" t="s">
        <v>4392</v>
      </c>
    </row>
    <row r="435" spans="1:21" ht="168">
      <c r="A435" s="21" t="s">
        <v>909</v>
      </c>
      <c r="B435" s="21" t="s">
        <v>910</v>
      </c>
      <c r="C435" s="21" t="s">
        <v>491</v>
      </c>
      <c r="D435" s="21" t="s">
        <v>180</v>
      </c>
      <c r="E435" s="21" t="s">
        <v>498</v>
      </c>
      <c r="F435" s="21" t="s">
        <v>1028</v>
      </c>
      <c r="G435" s="21" t="s">
        <v>4393</v>
      </c>
      <c r="H435" s="28">
        <v>44350</v>
      </c>
      <c r="I435" s="22">
        <v>2021</v>
      </c>
      <c r="J435" s="21" t="s">
        <v>1012</v>
      </c>
      <c r="K435" s="21" t="s">
        <v>998</v>
      </c>
      <c r="L435" s="21" t="s">
        <v>4394</v>
      </c>
      <c r="M435" s="21" t="s">
        <v>4372</v>
      </c>
      <c r="N435" s="21" t="s">
        <v>4395</v>
      </c>
      <c r="O435" s="21" t="s">
        <v>4396</v>
      </c>
      <c r="P435" s="27">
        <v>1</v>
      </c>
      <c r="Q435" s="27">
        <v>23</v>
      </c>
      <c r="R435" s="21" t="s">
        <v>4397</v>
      </c>
      <c r="S435" s="21" t="s">
        <v>4398</v>
      </c>
      <c r="T435" s="21" t="s">
        <v>994</v>
      </c>
      <c r="U435" s="21" t="s">
        <v>4399</v>
      </c>
    </row>
    <row r="436" spans="1:21" ht="112">
      <c r="A436" s="21" t="s">
        <v>909</v>
      </c>
      <c r="B436" s="21" t="s">
        <v>910</v>
      </c>
      <c r="C436" s="21" t="s">
        <v>491</v>
      </c>
      <c r="D436" s="21" t="s">
        <v>180</v>
      </c>
      <c r="E436" s="21" t="s">
        <v>498</v>
      </c>
      <c r="F436" s="21" t="s">
        <v>1051</v>
      </c>
      <c r="G436" s="21" t="s">
        <v>4400</v>
      </c>
      <c r="H436" s="28">
        <v>43931</v>
      </c>
      <c r="I436" s="22">
        <v>2020</v>
      </c>
      <c r="J436" s="21" t="s">
        <v>958</v>
      </c>
      <c r="K436" s="21" t="s">
        <v>3815</v>
      </c>
      <c r="L436" s="21" t="s">
        <v>4401</v>
      </c>
      <c r="M436" s="21" t="s">
        <v>4402</v>
      </c>
      <c r="N436" s="21" t="s">
        <v>4403</v>
      </c>
      <c r="O436" s="21" t="s">
        <v>4404</v>
      </c>
      <c r="P436" s="27">
        <v>0</v>
      </c>
      <c r="Q436" s="27">
        <v>14</v>
      </c>
      <c r="R436" s="21" t="s">
        <v>4405</v>
      </c>
      <c r="S436" s="21" t="s">
        <v>4406</v>
      </c>
      <c r="T436" s="21" t="s">
        <v>994</v>
      </c>
      <c r="U436" s="21" t="s">
        <v>4407</v>
      </c>
    </row>
    <row r="437" spans="1:21" ht="140">
      <c r="A437" s="21" t="s">
        <v>909</v>
      </c>
      <c r="B437" s="21" t="s">
        <v>910</v>
      </c>
      <c r="C437" s="21" t="s">
        <v>491</v>
      </c>
      <c r="D437" s="21" t="s">
        <v>180</v>
      </c>
      <c r="E437" s="21" t="s">
        <v>498</v>
      </c>
      <c r="F437" s="21" t="s">
        <v>1060</v>
      </c>
      <c r="G437" s="21" t="s">
        <v>4408</v>
      </c>
      <c r="H437" s="28">
        <v>43969</v>
      </c>
      <c r="I437" s="22">
        <v>2020</v>
      </c>
      <c r="J437" s="21" t="s">
        <v>1012</v>
      </c>
      <c r="K437" s="21" t="s">
        <v>998</v>
      </c>
      <c r="L437" s="21" t="s">
        <v>4409</v>
      </c>
      <c r="M437" s="21" t="s">
        <v>4380</v>
      </c>
      <c r="N437" s="21" t="s">
        <v>4381</v>
      </c>
      <c r="O437" s="21" t="s">
        <v>4382</v>
      </c>
      <c r="P437" s="27">
        <v>0</v>
      </c>
      <c r="Q437" s="27">
        <v>15</v>
      </c>
      <c r="R437" s="21" t="s">
        <v>4410</v>
      </c>
      <c r="S437" s="21" t="s">
        <v>4411</v>
      </c>
      <c r="T437" s="21" t="s">
        <v>994</v>
      </c>
      <c r="U437" s="21" t="s">
        <v>4412</v>
      </c>
    </row>
    <row r="438" spans="1:21" ht="84">
      <c r="A438" s="21" t="s">
        <v>909</v>
      </c>
      <c r="B438" s="21" t="s">
        <v>910</v>
      </c>
      <c r="C438" s="21" t="s">
        <v>491</v>
      </c>
      <c r="D438" s="21" t="s">
        <v>180</v>
      </c>
      <c r="E438" s="21" t="s">
        <v>498</v>
      </c>
      <c r="F438" s="21" t="s">
        <v>1068</v>
      </c>
      <c r="G438" s="21" t="s">
        <v>4413</v>
      </c>
      <c r="H438" s="28">
        <v>44294</v>
      </c>
      <c r="I438" s="22">
        <v>2021</v>
      </c>
      <c r="J438" s="21" t="s">
        <v>1012</v>
      </c>
      <c r="K438" s="21" t="s">
        <v>998</v>
      </c>
      <c r="L438" s="21" t="s">
        <v>4414</v>
      </c>
      <c r="M438" s="21" t="s">
        <v>4380</v>
      </c>
      <c r="N438" s="21" t="s">
        <v>4415</v>
      </c>
      <c r="O438" s="21" t="s">
        <v>4416</v>
      </c>
      <c r="P438" s="27">
        <v>0</v>
      </c>
      <c r="Q438" s="27">
        <v>1</v>
      </c>
      <c r="R438" s="21" t="s">
        <v>4417</v>
      </c>
      <c r="S438" s="21" t="s">
        <v>4418</v>
      </c>
      <c r="T438" s="21" t="s">
        <v>1148</v>
      </c>
      <c r="U438" s="21" t="s">
        <v>4419</v>
      </c>
    </row>
    <row r="439" spans="1:21" ht="28">
      <c r="A439" s="21" t="s">
        <v>909</v>
      </c>
      <c r="B439" s="21" t="s">
        <v>910</v>
      </c>
      <c r="C439" s="21" t="s">
        <v>491</v>
      </c>
      <c r="D439" s="21" t="s">
        <v>180</v>
      </c>
      <c r="E439" s="21" t="s">
        <v>498</v>
      </c>
      <c r="F439" s="21" t="s">
        <v>1077</v>
      </c>
      <c r="G439" s="21" t="s">
        <v>4420</v>
      </c>
      <c r="H439" s="28">
        <v>43816</v>
      </c>
      <c r="I439" s="22">
        <v>2019</v>
      </c>
      <c r="J439" s="21" t="s">
        <v>1012</v>
      </c>
      <c r="K439" s="21" t="s">
        <v>998</v>
      </c>
      <c r="L439" s="21" t="s">
        <v>4421</v>
      </c>
      <c r="M439" s="21" t="s">
        <v>4372</v>
      </c>
      <c r="N439" s="21" t="s">
        <v>4422</v>
      </c>
      <c r="O439" s="21" t="s">
        <v>4423</v>
      </c>
      <c r="P439" s="27">
        <v>5</v>
      </c>
      <c r="Q439" s="27">
        <v>1</v>
      </c>
      <c r="R439" s="21" t="s">
        <v>4424</v>
      </c>
      <c r="S439" s="21" t="s">
        <v>4425</v>
      </c>
      <c r="T439" s="21" t="s">
        <v>1148</v>
      </c>
      <c r="U439" s="21" t="s">
        <v>4426</v>
      </c>
    </row>
    <row r="440" spans="1:21" ht="112">
      <c r="A440" s="21" t="s">
        <v>909</v>
      </c>
      <c r="B440" s="21" t="s">
        <v>910</v>
      </c>
      <c r="C440" s="21" t="s">
        <v>491</v>
      </c>
      <c r="D440" s="21" t="s">
        <v>180</v>
      </c>
      <c r="E440" s="21" t="s">
        <v>498</v>
      </c>
      <c r="F440" s="21" t="s">
        <v>1085</v>
      </c>
      <c r="G440" s="21" t="s">
        <v>4427</v>
      </c>
      <c r="H440" s="28">
        <v>43133</v>
      </c>
      <c r="I440" s="22">
        <v>2018</v>
      </c>
      <c r="J440" s="21" t="s">
        <v>1012</v>
      </c>
      <c r="K440" s="21" t="s">
        <v>998</v>
      </c>
      <c r="L440" s="21" t="s">
        <v>4428</v>
      </c>
      <c r="M440" s="21" t="s">
        <v>4429</v>
      </c>
      <c r="N440" s="21" t="s">
        <v>4430</v>
      </c>
      <c r="O440" s="21" t="s">
        <v>4431</v>
      </c>
      <c r="P440" s="27">
        <v>0</v>
      </c>
      <c r="Q440" s="27">
        <v>11</v>
      </c>
      <c r="R440" s="21" t="s">
        <v>4432</v>
      </c>
      <c r="S440" s="21" t="s">
        <v>4433</v>
      </c>
      <c r="T440" s="21" t="s">
        <v>1148</v>
      </c>
      <c r="U440" s="21" t="s">
        <v>4434</v>
      </c>
    </row>
    <row r="441" spans="1:21" ht="168">
      <c r="A441" s="21" t="s">
        <v>909</v>
      </c>
      <c r="B441" s="21" t="s">
        <v>910</v>
      </c>
      <c r="C441" s="21" t="s">
        <v>491</v>
      </c>
      <c r="D441" s="21" t="s">
        <v>180</v>
      </c>
      <c r="E441" s="21" t="s">
        <v>4435</v>
      </c>
      <c r="F441" s="21" t="s">
        <v>1101</v>
      </c>
      <c r="G441" s="21" t="s">
        <v>4436</v>
      </c>
      <c r="H441" s="28">
        <v>43980</v>
      </c>
      <c r="I441" s="22">
        <v>2020</v>
      </c>
      <c r="J441" s="21" t="s">
        <v>1012</v>
      </c>
      <c r="K441" s="21" t="s">
        <v>998</v>
      </c>
      <c r="L441" s="21" t="s">
        <v>4437</v>
      </c>
      <c r="M441" s="21" t="s">
        <v>4438</v>
      </c>
      <c r="N441" s="21" t="s">
        <v>4439</v>
      </c>
      <c r="O441" s="21" t="s">
        <v>4440</v>
      </c>
      <c r="P441" s="27">
        <v>4</v>
      </c>
      <c r="Q441" s="27">
        <v>13</v>
      </c>
      <c r="R441" s="21" t="s">
        <v>4441</v>
      </c>
      <c r="S441" s="21" t="s">
        <v>4442</v>
      </c>
      <c r="T441" s="21" t="s">
        <v>994</v>
      </c>
      <c r="U441" s="21" t="s">
        <v>4443</v>
      </c>
    </row>
    <row r="442" spans="1:21" ht="70">
      <c r="A442" s="21" t="s">
        <v>909</v>
      </c>
      <c r="B442" s="21" t="s">
        <v>910</v>
      </c>
      <c r="C442" s="21" t="s">
        <v>491</v>
      </c>
      <c r="D442" s="21" t="s">
        <v>180</v>
      </c>
      <c r="E442" s="21" t="s">
        <v>498</v>
      </c>
      <c r="F442" s="21" t="s">
        <v>1109</v>
      </c>
      <c r="G442" s="21" t="s">
        <v>4444</v>
      </c>
      <c r="H442" s="28">
        <v>42556</v>
      </c>
      <c r="I442" s="22">
        <v>2016</v>
      </c>
      <c r="J442" s="21" t="s">
        <v>1012</v>
      </c>
      <c r="K442" s="21" t="s">
        <v>1013</v>
      </c>
      <c r="L442" s="21" t="s">
        <v>4445</v>
      </c>
      <c r="M442" s="21" t="s">
        <v>4446</v>
      </c>
      <c r="N442" s="21" t="s">
        <v>4447</v>
      </c>
      <c r="O442" s="21" t="s">
        <v>4448</v>
      </c>
      <c r="P442" s="27">
        <v>0</v>
      </c>
      <c r="Q442" s="27">
        <v>5</v>
      </c>
      <c r="R442" s="21" t="s">
        <v>4449</v>
      </c>
      <c r="S442" s="21" t="s">
        <v>4450</v>
      </c>
      <c r="T442" s="21" t="s">
        <v>3189</v>
      </c>
      <c r="U442" s="21" t="s">
        <v>4451</v>
      </c>
    </row>
    <row r="443" spans="1:21" ht="140">
      <c r="A443" s="21" t="s">
        <v>909</v>
      </c>
      <c r="B443" s="21" t="s">
        <v>910</v>
      </c>
      <c r="C443" s="21" t="s">
        <v>491</v>
      </c>
      <c r="D443" s="21" t="s">
        <v>180</v>
      </c>
      <c r="E443" s="21" t="s">
        <v>498</v>
      </c>
      <c r="F443" s="21" t="s">
        <v>1117</v>
      </c>
      <c r="G443" s="21" t="s">
        <v>4452</v>
      </c>
      <c r="H443" s="28">
        <v>42073</v>
      </c>
      <c r="I443" s="22">
        <v>2015</v>
      </c>
      <c r="J443" s="21" t="s">
        <v>1012</v>
      </c>
      <c r="K443" s="21" t="s">
        <v>1013</v>
      </c>
      <c r="L443" s="21" t="s">
        <v>4453</v>
      </c>
      <c r="M443" s="21" t="s">
        <v>4372</v>
      </c>
      <c r="N443" s="21" t="s">
        <v>4454</v>
      </c>
      <c r="O443" s="21" t="s">
        <v>4455</v>
      </c>
      <c r="P443" s="27">
        <v>0</v>
      </c>
      <c r="Q443" s="27">
        <v>38</v>
      </c>
      <c r="R443" s="21" t="s">
        <v>4456</v>
      </c>
      <c r="S443" s="21" t="s">
        <v>4457</v>
      </c>
      <c r="T443" s="21" t="s">
        <v>3189</v>
      </c>
      <c r="U443" s="21" t="s">
        <v>4458</v>
      </c>
    </row>
    <row r="444" spans="1:21" ht="98">
      <c r="A444" s="21" t="s">
        <v>909</v>
      </c>
      <c r="B444" s="21" t="s">
        <v>910</v>
      </c>
      <c r="C444" s="21" t="s">
        <v>491</v>
      </c>
      <c r="D444" s="21" t="s">
        <v>180</v>
      </c>
      <c r="E444" s="21" t="s">
        <v>4435</v>
      </c>
      <c r="F444" s="21" t="s">
        <v>1125</v>
      </c>
      <c r="G444" s="21" t="s">
        <v>4459</v>
      </c>
      <c r="H444" s="28">
        <v>42853</v>
      </c>
      <c r="I444" s="22">
        <v>2017</v>
      </c>
      <c r="J444" s="21" t="s">
        <v>1012</v>
      </c>
      <c r="K444" s="21" t="s">
        <v>1013</v>
      </c>
      <c r="L444" s="21" t="s">
        <v>4460</v>
      </c>
      <c r="M444" s="21" t="s">
        <v>4461</v>
      </c>
      <c r="N444" s="21" t="s">
        <v>4462</v>
      </c>
      <c r="O444" s="21" t="s">
        <v>4463</v>
      </c>
      <c r="P444" s="27">
        <v>0</v>
      </c>
      <c r="Q444" s="27">
        <v>13</v>
      </c>
      <c r="R444" s="21" t="s">
        <v>4464</v>
      </c>
      <c r="S444" s="21" t="s">
        <v>4465</v>
      </c>
      <c r="T444" s="21" t="s">
        <v>3189</v>
      </c>
      <c r="U444" s="21" t="s">
        <v>4466</v>
      </c>
    </row>
    <row r="445" spans="1:21" ht="84">
      <c r="A445" s="21" t="s">
        <v>909</v>
      </c>
      <c r="B445" s="21" t="s">
        <v>910</v>
      </c>
      <c r="C445" s="21" t="s">
        <v>491</v>
      </c>
      <c r="D445" s="21" t="s">
        <v>180</v>
      </c>
      <c r="E445" s="21" t="s">
        <v>4435</v>
      </c>
      <c r="F445" s="21" t="s">
        <v>1133</v>
      </c>
      <c r="G445" s="21" t="s">
        <v>4467</v>
      </c>
      <c r="H445" s="28">
        <v>42305</v>
      </c>
      <c r="I445" s="22">
        <v>2015</v>
      </c>
      <c r="J445" s="21" t="s">
        <v>1012</v>
      </c>
      <c r="K445" s="21" t="s">
        <v>1013</v>
      </c>
      <c r="L445" s="21" t="s">
        <v>4468</v>
      </c>
      <c r="M445" s="21" t="s">
        <v>4461</v>
      </c>
      <c r="N445" s="21" t="s">
        <v>4469</v>
      </c>
      <c r="O445" s="21" t="s">
        <v>4470</v>
      </c>
      <c r="P445" s="27">
        <v>3</v>
      </c>
      <c r="Q445" s="27">
        <v>16</v>
      </c>
      <c r="R445" s="21" t="s">
        <v>4471</v>
      </c>
      <c r="S445" s="21" t="s">
        <v>4472</v>
      </c>
      <c r="T445" s="21" t="s">
        <v>3189</v>
      </c>
      <c r="U445" s="21" t="s">
        <v>4473</v>
      </c>
    </row>
    <row r="446" spans="1:21" ht="56">
      <c r="A446" s="21" t="s">
        <v>909</v>
      </c>
      <c r="B446" s="21" t="s">
        <v>910</v>
      </c>
      <c r="C446" s="21" t="s">
        <v>491</v>
      </c>
      <c r="D446" s="21" t="s">
        <v>180</v>
      </c>
      <c r="E446" s="21" t="s">
        <v>498</v>
      </c>
      <c r="F446" s="21" t="s">
        <v>1141</v>
      </c>
      <c r="G446" s="21" t="s">
        <v>4474</v>
      </c>
      <c r="H446" s="28">
        <v>42993</v>
      </c>
      <c r="I446" s="22">
        <v>2017</v>
      </c>
      <c r="J446" s="21" t="s">
        <v>1748</v>
      </c>
      <c r="K446" s="21" t="s">
        <v>1013</v>
      </c>
      <c r="L446" s="21" t="s">
        <v>4475</v>
      </c>
      <c r="M446" s="21" t="s">
        <v>4372</v>
      </c>
      <c r="N446" s="21" t="s">
        <v>4476</v>
      </c>
      <c r="O446" s="21" t="s">
        <v>4477</v>
      </c>
      <c r="P446" s="27">
        <v>0</v>
      </c>
      <c r="Q446" s="27">
        <v>25</v>
      </c>
      <c r="R446" s="21" t="s">
        <v>4478</v>
      </c>
      <c r="S446" s="21" t="s">
        <v>4479</v>
      </c>
      <c r="T446" s="21" t="s">
        <v>3189</v>
      </c>
      <c r="U446" s="21" t="s">
        <v>4480</v>
      </c>
    </row>
    <row r="447" spans="1:21" ht="42">
      <c r="A447" s="21" t="s">
        <v>909</v>
      </c>
      <c r="B447" s="21" t="s">
        <v>910</v>
      </c>
      <c r="C447" s="21" t="s">
        <v>491</v>
      </c>
      <c r="D447" s="21" t="s">
        <v>181</v>
      </c>
      <c r="E447" s="21" t="s">
        <v>4481</v>
      </c>
      <c r="F447" s="21" t="s">
        <v>968</v>
      </c>
      <c r="G447" s="21" t="s">
        <v>4482</v>
      </c>
      <c r="H447" s="28">
        <v>45121</v>
      </c>
      <c r="I447" s="22">
        <v>2023</v>
      </c>
      <c r="J447" s="21" t="s">
        <v>1012</v>
      </c>
      <c r="K447" s="21" t="s">
        <v>998</v>
      </c>
      <c r="L447" s="21" t="s">
        <v>4483</v>
      </c>
      <c r="M447" s="21" t="s">
        <v>4484</v>
      </c>
      <c r="N447" s="21" t="s">
        <v>4485</v>
      </c>
      <c r="O447" s="21" t="s">
        <v>4486</v>
      </c>
      <c r="P447" s="27">
        <v>0</v>
      </c>
      <c r="Q447" s="27">
        <v>3</v>
      </c>
      <c r="R447" s="21" t="s">
        <v>4487</v>
      </c>
      <c r="S447" s="21" t="s">
        <v>4488</v>
      </c>
      <c r="T447" s="21" t="s">
        <v>994</v>
      </c>
      <c r="U447" s="21" t="s">
        <v>4489</v>
      </c>
    </row>
    <row r="448" spans="1:21" ht="70">
      <c r="A448" s="21" t="s">
        <v>909</v>
      </c>
      <c r="B448" s="21" t="s">
        <v>910</v>
      </c>
      <c r="C448" s="21" t="s">
        <v>491</v>
      </c>
      <c r="D448" s="21" t="s">
        <v>181</v>
      </c>
      <c r="E448" s="21" t="s">
        <v>4481</v>
      </c>
      <c r="F448" s="21" t="s">
        <v>996</v>
      </c>
      <c r="G448" s="21" t="s">
        <v>4490</v>
      </c>
      <c r="H448" s="28">
        <v>42958</v>
      </c>
      <c r="I448" s="22">
        <v>2017</v>
      </c>
      <c r="J448" s="21" t="s">
        <v>1012</v>
      </c>
      <c r="K448" s="21" t="s">
        <v>1013</v>
      </c>
      <c r="L448" s="21" t="s">
        <v>4491</v>
      </c>
      <c r="M448" s="21" t="s">
        <v>4484</v>
      </c>
      <c r="N448" s="21" t="s">
        <v>4492</v>
      </c>
      <c r="O448" s="21" t="s">
        <v>4493</v>
      </c>
      <c r="P448" s="27">
        <v>1</v>
      </c>
      <c r="Q448" s="27">
        <v>12</v>
      </c>
      <c r="R448" s="21" t="s">
        <v>4494</v>
      </c>
      <c r="S448" s="21" t="s">
        <v>4495</v>
      </c>
      <c r="T448" s="21" t="s">
        <v>966</v>
      </c>
      <c r="U448" s="21" t="s">
        <v>4496</v>
      </c>
    </row>
    <row r="449" spans="1:21" ht="126">
      <c r="A449" s="21" t="s">
        <v>909</v>
      </c>
      <c r="B449" s="21" t="s">
        <v>910</v>
      </c>
      <c r="C449" s="21" t="s">
        <v>491</v>
      </c>
      <c r="D449" s="21" t="s">
        <v>181</v>
      </c>
      <c r="E449" s="21" t="s">
        <v>4481</v>
      </c>
      <c r="F449" s="21" t="s">
        <v>1004</v>
      </c>
      <c r="G449" s="21" t="s">
        <v>4497</v>
      </c>
      <c r="H449" s="28">
        <v>44979</v>
      </c>
      <c r="I449" s="22">
        <v>2023</v>
      </c>
      <c r="J449" s="21" t="s">
        <v>1012</v>
      </c>
      <c r="K449" s="21" t="s">
        <v>998</v>
      </c>
      <c r="L449" s="21" t="s">
        <v>4498</v>
      </c>
      <c r="M449" s="21" t="s">
        <v>4484</v>
      </c>
      <c r="N449" s="21" t="s">
        <v>4499</v>
      </c>
      <c r="O449" s="21" t="s">
        <v>4500</v>
      </c>
      <c r="P449" s="27">
        <v>1</v>
      </c>
      <c r="Q449" s="27">
        <v>13</v>
      </c>
      <c r="R449" s="21" t="s">
        <v>4501</v>
      </c>
      <c r="S449" s="21" t="s">
        <v>4502</v>
      </c>
      <c r="T449" s="21" t="s">
        <v>966</v>
      </c>
      <c r="U449" s="21" t="s">
        <v>4503</v>
      </c>
    </row>
    <row r="450" spans="1:21" ht="182">
      <c r="A450" s="21" t="s">
        <v>909</v>
      </c>
      <c r="B450" s="21" t="s">
        <v>910</v>
      </c>
      <c r="C450" s="21" t="s">
        <v>491</v>
      </c>
      <c r="D450" s="21" t="s">
        <v>181</v>
      </c>
      <c r="E450" s="21" t="s">
        <v>4481</v>
      </c>
      <c r="F450" s="21" t="s">
        <v>1010</v>
      </c>
      <c r="G450" s="21" t="s">
        <v>4504</v>
      </c>
      <c r="H450" s="28">
        <v>44134</v>
      </c>
      <c r="I450" s="22">
        <v>2020</v>
      </c>
      <c r="J450" s="21" t="s">
        <v>1012</v>
      </c>
      <c r="K450" s="21" t="s">
        <v>1013</v>
      </c>
      <c r="L450" s="21" t="s">
        <v>4505</v>
      </c>
      <c r="M450" s="21" t="s">
        <v>4506</v>
      </c>
      <c r="N450" s="21" t="s">
        <v>4507</v>
      </c>
      <c r="O450" s="21" t="s">
        <v>4508</v>
      </c>
      <c r="P450" s="27">
        <v>2</v>
      </c>
      <c r="Q450" s="27">
        <v>3</v>
      </c>
      <c r="R450" s="21" t="s">
        <v>4509</v>
      </c>
      <c r="S450" s="21" t="s">
        <v>4510</v>
      </c>
      <c r="T450" s="21" t="s">
        <v>966</v>
      </c>
      <c r="U450" s="21" t="s">
        <v>4511</v>
      </c>
    </row>
    <row r="451" spans="1:21" ht="70">
      <c r="A451" s="21" t="s">
        <v>909</v>
      </c>
      <c r="B451" s="21" t="s">
        <v>910</v>
      </c>
      <c r="C451" s="21" t="s">
        <v>491</v>
      </c>
      <c r="D451" s="21" t="s">
        <v>181</v>
      </c>
      <c r="E451" s="21" t="s">
        <v>4481</v>
      </c>
      <c r="F451" s="21" t="s">
        <v>1020</v>
      </c>
      <c r="G451" s="21" t="s">
        <v>4512</v>
      </c>
      <c r="H451" s="28">
        <v>44008</v>
      </c>
      <c r="I451" s="22">
        <v>2020</v>
      </c>
      <c r="J451" s="21" t="s">
        <v>1012</v>
      </c>
      <c r="K451" s="21" t="s">
        <v>1013</v>
      </c>
      <c r="L451" s="21" t="s">
        <v>4513</v>
      </c>
      <c r="M451" s="21" t="s">
        <v>4514</v>
      </c>
      <c r="N451" s="21" t="s">
        <v>4515</v>
      </c>
      <c r="O451" s="21" t="s">
        <v>4516</v>
      </c>
      <c r="P451" s="27">
        <v>0</v>
      </c>
      <c r="Q451" s="27">
        <v>3</v>
      </c>
      <c r="R451" s="21" t="s">
        <v>4517</v>
      </c>
      <c r="S451" s="21" t="s">
        <v>4518</v>
      </c>
      <c r="T451" s="21" t="s">
        <v>966</v>
      </c>
      <c r="U451" s="21" t="s">
        <v>4519</v>
      </c>
    </row>
    <row r="452" spans="1:21" ht="28">
      <c r="A452" s="21" t="s">
        <v>909</v>
      </c>
      <c r="B452" s="21" t="s">
        <v>910</v>
      </c>
      <c r="C452" s="21" t="s">
        <v>491</v>
      </c>
      <c r="D452" s="21" t="s">
        <v>181</v>
      </c>
      <c r="E452" s="21" t="s">
        <v>4481</v>
      </c>
      <c r="F452" s="21" t="s">
        <v>1036</v>
      </c>
      <c r="G452" s="21" t="s">
        <v>4520</v>
      </c>
      <c r="H452" s="28">
        <v>44630</v>
      </c>
      <c r="I452" s="22">
        <v>2022</v>
      </c>
      <c r="J452" s="21" t="s">
        <v>1012</v>
      </c>
      <c r="K452" s="21" t="s">
        <v>1894</v>
      </c>
      <c r="L452" s="21" t="s">
        <v>4521</v>
      </c>
      <c r="M452" s="21" t="s">
        <v>4484</v>
      </c>
      <c r="N452" s="21" t="s">
        <v>4522</v>
      </c>
      <c r="O452" s="21" t="s">
        <v>4523</v>
      </c>
      <c r="P452" s="27">
        <v>0</v>
      </c>
      <c r="Q452" s="27">
        <v>1</v>
      </c>
      <c r="R452" s="21"/>
      <c r="S452" s="21"/>
      <c r="T452" s="21" t="s">
        <v>966</v>
      </c>
      <c r="U452" s="21" t="s">
        <v>4524</v>
      </c>
    </row>
    <row r="453" spans="1:21" ht="42">
      <c r="A453" s="21" t="s">
        <v>909</v>
      </c>
      <c r="B453" s="21" t="s">
        <v>910</v>
      </c>
      <c r="C453" s="21" t="s">
        <v>491</v>
      </c>
      <c r="D453" s="21" t="s">
        <v>181</v>
      </c>
      <c r="E453" s="21" t="s">
        <v>4481</v>
      </c>
      <c r="F453" s="21" t="s">
        <v>1043</v>
      </c>
      <c r="G453" s="21" t="s">
        <v>4525</v>
      </c>
      <c r="H453" s="28">
        <v>42809</v>
      </c>
      <c r="I453" s="22">
        <v>2017</v>
      </c>
      <c r="J453" s="21" t="s">
        <v>1012</v>
      </c>
      <c r="K453" s="21" t="s">
        <v>1013</v>
      </c>
      <c r="L453" s="21" t="s">
        <v>4526</v>
      </c>
      <c r="M453" s="21" t="s">
        <v>4506</v>
      </c>
      <c r="N453" s="21" t="s">
        <v>4527</v>
      </c>
      <c r="O453" s="21" t="s">
        <v>4528</v>
      </c>
      <c r="P453" s="27">
        <v>0</v>
      </c>
      <c r="Q453" s="27">
        <v>5</v>
      </c>
      <c r="R453" s="21" t="s">
        <v>4529</v>
      </c>
      <c r="S453" s="21" t="s">
        <v>4530</v>
      </c>
      <c r="T453" s="21" t="s">
        <v>966</v>
      </c>
      <c r="U453" s="21" t="s">
        <v>4531</v>
      </c>
    </row>
    <row r="454" spans="1:21" ht="42">
      <c r="A454" s="21" t="s">
        <v>909</v>
      </c>
      <c r="B454" s="21" t="s">
        <v>910</v>
      </c>
      <c r="C454" s="21" t="s">
        <v>491</v>
      </c>
      <c r="D454" s="21" t="s">
        <v>181</v>
      </c>
      <c r="E454" s="21" t="s">
        <v>4481</v>
      </c>
      <c r="F454" s="21" t="s">
        <v>1093</v>
      </c>
      <c r="G454" s="21" t="s">
        <v>4532</v>
      </c>
      <c r="H454" s="28">
        <v>42936</v>
      </c>
      <c r="I454" s="22">
        <v>2017</v>
      </c>
      <c r="J454" s="21" t="s">
        <v>1012</v>
      </c>
      <c r="K454" s="21" t="s">
        <v>1013</v>
      </c>
      <c r="L454" s="21" t="s">
        <v>4533</v>
      </c>
      <c r="M454" s="21" t="s">
        <v>4534</v>
      </c>
      <c r="N454" s="21" t="s">
        <v>4535</v>
      </c>
      <c r="O454" s="21" t="s">
        <v>4536</v>
      </c>
      <c r="P454" s="27">
        <v>0</v>
      </c>
      <c r="Q454" s="27">
        <v>8</v>
      </c>
      <c r="R454" s="21" t="s">
        <v>4537</v>
      </c>
      <c r="S454" s="21" t="s">
        <v>4538</v>
      </c>
      <c r="T454" s="21" t="s">
        <v>966</v>
      </c>
      <c r="U454" s="21" t="s">
        <v>4539</v>
      </c>
    </row>
    <row r="455" spans="1:21" ht="84">
      <c r="A455" s="21" t="s">
        <v>913</v>
      </c>
      <c r="B455" s="21" t="s">
        <v>914</v>
      </c>
      <c r="C455" s="21" t="s">
        <v>673</v>
      </c>
      <c r="D455" s="21" t="s">
        <v>180</v>
      </c>
      <c r="E455" s="21" t="s">
        <v>4540</v>
      </c>
      <c r="F455" s="21" t="s">
        <v>956</v>
      </c>
      <c r="G455" s="21" t="s">
        <v>4541</v>
      </c>
      <c r="H455" s="28">
        <v>43552</v>
      </c>
      <c r="I455" s="22">
        <v>2019</v>
      </c>
      <c r="J455" s="21" t="s">
        <v>1012</v>
      </c>
      <c r="K455" s="21" t="s">
        <v>1013</v>
      </c>
      <c r="L455" s="21" t="s">
        <v>4542</v>
      </c>
      <c r="M455" s="21" t="s">
        <v>4543</v>
      </c>
      <c r="N455" s="21" t="s">
        <v>4544</v>
      </c>
      <c r="O455" s="21" t="s">
        <v>4545</v>
      </c>
      <c r="P455" s="27">
        <v>0</v>
      </c>
      <c r="Q455" s="27">
        <v>19</v>
      </c>
      <c r="R455" s="21" t="s">
        <v>4546</v>
      </c>
      <c r="S455" s="21" t="s">
        <v>4547</v>
      </c>
      <c r="T455" s="21" t="s">
        <v>966</v>
      </c>
      <c r="U455" s="21" t="s">
        <v>4548</v>
      </c>
    </row>
    <row r="456" spans="1:21" ht="84">
      <c r="A456" s="21" t="s">
        <v>913</v>
      </c>
      <c r="B456" s="21" t="s">
        <v>914</v>
      </c>
      <c r="C456" s="21" t="s">
        <v>673</v>
      </c>
      <c r="D456" s="21" t="s">
        <v>180</v>
      </c>
      <c r="E456" s="21" t="s">
        <v>4540</v>
      </c>
      <c r="F456" s="21" t="s">
        <v>968</v>
      </c>
      <c r="G456" s="21" t="s">
        <v>4549</v>
      </c>
      <c r="H456" s="28">
        <v>43250</v>
      </c>
      <c r="I456" s="22">
        <v>2018</v>
      </c>
      <c r="J456" s="21" t="s">
        <v>1012</v>
      </c>
      <c r="K456" s="21" t="s">
        <v>998</v>
      </c>
      <c r="L456" s="21" t="s">
        <v>4550</v>
      </c>
      <c r="M456" s="21" t="s">
        <v>4551</v>
      </c>
      <c r="N456" s="21" t="s">
        <v>4552</v>
      </c>
      <c r="O456" s="21" t="s">
        <v>4553</v>
      </c>
      <c r="P456" s="27">
        <v>0</v>
      </c>
      <c r="Q456" s="27">
        <v>29</v>
      </c>
      <c r="R456" s="21" t="s">
        <v>4554</v>
      </c>
      <c r="S456" s="21" t="s">
        <v>4555</v>
      </c>
      <c r="T456" s="21" t="s">
        <v>994</v>
      </c>
      <c r="U456" s="21" t="s">
        <v>4556</v>
      </c>
    </row>
    <row r="457" spans="1:21" ht="56">
      <c r="A457" s="21" t="s">
        <v>913</v>
      </c>
      <c r="B457" s="21" t="s">
        <v>914</v>
      </c>
      <c r="C457" s="21" t="s">
        <v>673</v>
      </c>
      <c r="D457" s="21" t="s">
        <v>180</v>
      </c>
      <c r="E457" s="21" t="s">
        <v>4540</v>
      </c>
      <c r="F457" s="21" t="s">
        <v>977</v>
      </c>
      <c r="G457" s="21" t="s">
        <v>4557</v>
      </c>
      <c r="H457" s="28">
        <v>43419</v>
      </c>
      <c r="I457" s="22">
        <v>2018</v>
      </c>
      <c r="J457" s="21" t="s">
        <v>1012</v>
      </c>
      <c r="K457" s="21" t="s">
        <v>1013</v>
      </c>
      <c r="L457" s="21" t="s">
        <v>4558</v>
      </c>
      <c r="M457" s="21" t="s">
        <v>4543</v>
      </c>
      <c r="N457" s="21" t="s">
        <v>4559</v>
      </c>
      <c r="O457" s="21" t="s">
        <v>4560</v>
      </c>
      <c r="P457" s="27">
        <v>0</v>
      </c>
      <c r="Q457" s="27">
        <v>8</v>
      </c>
      <c r="R457" s="21" t="s">
        <v>4561</v>
      </c>
      <c r="S457" s="21" t="s">
        <v>4562</v>
      </c>
      <c r="T457" s="21" t="s">
        <v>966</v>
      </c>
      <c r="U457" s="21" t="s">
        <v>4563</v>
      </c>
    </row>
    <row r="458" spans="1:21" ht="70">
      <c r="A458" s="21" t="s">
        <v>913</v>
      </c>
      <c r="B458" s="21" t="s">
        <v>914</v>
      </c>
      <c r="C458" s="21" t="s">
        <v>673</v>
      </c>
      <c r="D458" s="21" t="s">
        <v>180</v>
      </c>
      <c r="E458" s="21" t="s">
        <v>4540</v>
      </c>
      <c r="F458" s="21" t="s">
        <v>985</v>
      </c>
      <c r="G458" s="21" t="s">
        <v>4564</v>
      </c>
      <c r="H458" s="28">
        <v>44459</v>
      </c>
      <c r="I458" s="22">
        <v>2021</v>
      </c>
      <c r="J458" s="21" t="s">
        <v>1012</v>
      </c>
      <c r="K458" s="21" t="s">
        <v>998</v>
      </c>
      <c r="L458" s="21" t="s">
        <v>4565</v>
      </c>
      <c r="M458" s="21" t="s">
        <v>4566</v>
      </c>
      <c r="N458" s="21" t="s">
        <v>4567</v>
      </c>
      <c r="O458" s="21" t="s">
        <v>4568</v>
      </c>
      <c r="P458" s="27">
        <v>0</v>
      </c>
      <c r="Q458" s="27">
        <v>12</v>
      </c>
      <c r="R458" s="21" t="s">
        <v>4569</v>
      </c>
      <c r="S458" s="21" t="s">
        <v>4570</v>
      </c>
      <c r="T458" s="21" t="s">
        <v>994</v>
      </c>
      <c r="U458" s="21" t="s">
        <v>4571</v>
      </c>
    </row>
    <row r="459" spans="1:21" ht="266">
      <c r="A459" s="21" t="s">
        <v>913</v>
      </c>
      <c r="B459" s="21" t="s">
        <v>914</v>
      </c>
      <c r="C459" s="21" t="s">
        <v>673</v>
      </c>
      <c r="D459" s="21" t="s">
        <v>180</v>
      </c>
      <c r="E459" s="21" t="s">
        <v>4540</v>
      </c>
      <c r="F459" s="21" t="s">
        <v>1004</v>
      </c>
      <c r="G459" s="21" t="s">
        <v>4572</v>
      </c>
      <c r="H459" s="28">
        <v>40935</v>
      </c>
      <c r="I459" s="22">
        <v>2012</v>
      </c>
      <c r="J459" s="21" t="s">
        <v>1012</v>
      </c>
      <c r="K459" s="21" t="s">
        <v>1013</v>
      </c>
      <c r="L459" s="21" t="s">
        <v>4573</v>
      </c>
      <c r="M459" s="21" t="s">
        <v>4574</v>
      </c>
      <c r="N459" s="21" t="s">
        <v>4575</v>
      </c>
      <c r="O459" s="21" t="s">
        <v>4576</v>
      </c>
      <c r="P459" s="27">
        <v>1</v>
      </c>
      <c r="Q459" s="27">
        <v>53</v>
      </c>
      <c r="R459" s="21" t="s">
        <v>4577</v>
      </c>
      <c r="S459" s="21" t="s">
        <v>4578</v>
      </c>
      <c r="T459" s="21" t="s">
        <v>966</v>
      </c>
      <c r="U459" s="21" t="s">
        <v>4579</v>
      </c>
    </row>
    <row r="460" spans="1:21" ht="42">
      <c r="A460" s="21" t="s">
        <v>913</v>
      </c>
      <c r="B460" s="21" t="s">
        <v>914</v>
      </c>
      <c r="C460" s="21" t="s">
        <v>673</v>
      </c>
      <c r="D460" s="21" t="s">
        <v>180</v>
      </c>
      <c r="E460" s="21" t="s">
        <v>4540</v>
      </c>
      <c r="F460" s="21" t="s">
        <v>1010</v>
      </c>
      <c r="G460" s="21" t="s">
        <v>4580</v>
      </c>
      <c r="H460" s="28">
        <v>43978</v>
      </c>
      <c r="I460" s="22">
        <v>2020</v>
      </c>
      <c r="J460" s="21" t="s">
        <v>1012</v>
      </c>
      <c r="K460" s="21" t="s">
        <v>998</v>
      </c>
      <c r="L460" s="21" t="s">
        <v>4581</v>
      </c>
      <c r="M460" s="21" t="s">
        <v>4566</v>
      </c>
      <c r="N460" s="21" t="s">
        <v>4582</v>
      </c>
      <c r="O460" s="21" t="s">
        <v>4583</v>
      </c>
      <c r="P460" s="27">
        <v>0</v>
      </c>
      <c r="Q460" s="27">
        <v>17</v>
      </c>
      <c r="R460" s="21" t="s">
        <v>4584</v>
      </c>
      <c r="S460" s="21" t="s">
        <v>4585</v>
      </c>
      <c r="T460" s="21" t="s">
        <v>966</v>
      </c>
      <c r="U460" s="21" t="s">
        <v>4586</v>
      </c>
    </row>
    <row r="461" spans="1:21" ht="84">
      <c r="A461" s="21" t="s">
        <v>913</v>
      </c>
      <c r="B461" s="21" t="s">
        <v>914</v>
      </c>
      <c r="C461" s="21" t="s">
        <v>673</v>
      </c>
      <c r="D461" s="21" t="s">
        <v>180</v>
      </c>
      <c r="E461" s="21" t="s">
        <v>4540</v>
      </c>
      <c r="F461" s="21" t="s">
        <v>1028</v>
      </c>
      <c r="G461" s="21" t="s">
        <v>4587</v>
      </c>
      <c r="H461" s="28">
        <v>43599</v>
      </c>
      <c r="I461" s="22">
        <v>2019</v>
      </c>
      <c r="J461" s="21" t="s">
        <v>1012</v>
      </c>
      <c r="K461" s="21" t="s">
        <v>998</v>
      </c>
      <c r="L461" s="21" t="s">
        <v>4588</v>
      </c>
      <c r="M461" s="21" t="s">
        <v>4566</v>
      </c>
      <c r="N461" s="21" t="s">
        <v>4589</v>
      </c>
      <c r="O461" s="21" t="s">
        <v>4590</v>
      </c>
      <c r="P461" s="27">
        <v>0</v>
      </c>
      <c r="Q461" s="27">
        <v>23</v>
      </c>
      <c r="R461" s="21" t="s">
        <v>4591</v>
      </c>
      <c r="S461" s="21" t="s">
        <v>4592</v>
      </c>
      <c r="T461" s="21" t="s">
        <v>1148</v>
      </c>
      <c r="U461" s="21" t="s">
        <v>4593</v>
      </c>
    </row>
    <row r="462" spans="1:21" ht="126">
      <c r="A462" s="21" t="s">
        <v>913</v>
      </c>
      <c r="B462" s="21" t="s">
        <v>914</v>
      </c>
      <c r="C462" s="21" t="s">
        <v>673</v>
      </c>
      <c r="D462" s="21" t="s">
        <v>180</v>
      </c>
      <c r="E462" s="21" t="s">
        <v>4540</v>
      </c>
      <c r="F462" s="21" t="s">
        <v>1036</v>
      </c>
      <c r="G462" s="21" t="s">
        <v>4594</v>
      </c>
      <c r="H462" s="28">
        <v>43748</v>
      </c>
      <c r="I462" s="22">
        <v>2019</v>
      </c>
      <c r="J462" s="21" t="s">
        <v>1012</v>
      </c>
      <c r="K462" s="21" t="s">
        <v>998</v>
      </c>
      <c r="L462" s="21" t="s">
        <v>4595</v>
      </c>
      <c r="M462" s="21" t="s">
        <v>4566</v>
      </c>
      <c r="N462" s="21" t="s">
        <v>4596</v>
      </c>
      <c r="O462" s="21" t="s">
        <v>4597</v>
      </c>
      <c r="P462" s="27">
        <v>0</v>
      </c>
      <c r="Q462" s="27">
        <v>19</v>
      </c>
      <c r="R462" s="21" t="s">
        <v>4598</v>
      </c>
      <c r="S462" s="21" t="s">
        <v>4599</v>
      </c>
      <c r="T462" s="21" t="s">
        <v>966</v>
      </c>
      <c r="U462" s="21" t="s">
        <v>4600</v>
      </c>
    </row>
    <row r="463" spans="1:21" ht="196">
      <c r="A463" s="21" t="s">
        <v>913</v>
      </c>
      <c r="B463" s="21" t="s">
        <v>914</v>
      </c>
      <c r="C463" s="21" t="s">
        <v>673</v>
      </c>
      <c r="D463" s="21" t="s">
        <v>180</v>
      </c>
      <c r="E463" s="21" t="s">
        <v>4540</v>
      </c>
      <c r="F463" s="21" t="s">
        <v>1043</v>
      </c>
      <c r="G463" s="21" t="s">
        <v>4601</v>
      </c>
      <c r="H463" s="28">
        <v>42249</v>
      </c>
      <c r="I463" s="22">
        <v>2015</v>
      </c>
      <c r="J463" s="21" t="s">
        <v>958</v>
      </c>
      <c r="K463" s="21" t="s">
        <v>959</v>
      </c>
      <c r="L463" s="21" t="s">
        <v>4602</v>
      </c>
      <c r="M463" s="21" t="s">
        <v>4566</v>
      </c>
      <c r="N463" s="21" t="s">
        <v>4603</v>
      </c>
      <c r="O463" s="21" t="s">
        <v>4604</v>
      </c>
      <c r="P463" s="27">
        <v>0</v>
      </c>
      <c r="Q463" s="27">
        <v>26</v>
      </c>
      <c r="R463" s="21" t="s">
        <v>4605</v>
      </c>
      <c r="S463" s="21" t="s">
        <v>4606</v>
      </c>
      <c r="T463" s="21" t="s">
        <v>966</v>
      </c>
      <c r="U463" s="21" t="s">
        <v>4607</v>
      </c>
    </row>
    <row r="464" spans="1:21" ht="28">
      <c r="A464" s="21" t="s">
        <v>913</v>
      </c>
      <c r="B464" s="21" t="s">
        <v>914</v>
      </c>
      <c r="C464" s="21" t="s">
        <v>673</v>
      </c>
      <c r="D464" s="21" t="s">
        <v>180</v>
      </c>
      <c r="E464" s="21" t="s">
        <v>4540</v>
      </c>
      <c r="F464" s="21" t="s">
        <v>1051</v>
      </c>
      <c r="G464" s="21" t="s">
        <v>4608</v>
      </c>
      <c r="H464" s="28">
        <v>42300</v>
      </c>
      <c r="I464" s="22">
        <v>2015</v>
      </c>
      <c r="J464" s="21" t="s">
        <v>958</v>
      </c>
      <c r="K464" s="21" t="s">
        <v>959</v>
      </c>
      <c r="L464" s="21" t="s">
        <v>4609</v>
      </c>
      <c r="M464" s="21" t="s">
        <v>4566</v>
      </c>
      <c r="N464" s="21" t="s">
        <v>4603</v>
      </c>
      <c r="O464" s="21" t="s">
        <v>4610</v>
      </c>
      <c r="P464" s="27">
        <v>0</v>
      </c>
      <c r="Q464" s="27">
        <v>15</v>
      </c>
      <c r="R464" s="21" t="s">
        <v>4611</v>
      </c>
      <c r="S464" s="21" t="s">
        <v>4612</v>
      </c>
      <c r="T464" s="21" t="s">
        <v>966</v>
      </c>
      <c r="U464" s="21" t="s">
        <v>4613</v>
      </c>
    </row>
    <row r="465" spans="1:21" ht="98">
      <c r="A465" s="21" t="s">
        <v>913</v>
      </c>
      <c r="B465" s="21" t="s">
        <v>914</v>
      </c>
      <c r="C465" s="21" t="s">
        <v>673</v>
      </c>
      <c r="D465" s="21" t="s">
        <v>180</v>
      </c>
      <c r="E465" s="21" t="s">
        <v>4540</v>
      </c>
      <c r="F465" s="21" t="s">
        <v>1060</v>
      </c>
      <c r="G465" s="21" t="s">
        <v>4614</v>
      </c>
      <c r="H465" s="28">
        <v>43035</v>
      </c>
      <c r="I465" s="22">
        <v>2017</v>
      </c>
      <c r="J465" s="21" t="s">
        <v>1012</v>
      </c>
      <c r="K465" s="21" t="s">
        <v>1013</v>
      </c>
      <c r="L465" s="21" t="s">
        <v>4615</v>
      </c>
      <c r="M465" s="21" t="s">
        <v>4566</v>
      </c>
      <c r="N465" s="21" t="s">
        <v>4616</v>
      </c>
      <c r="O465" s="21" t="s">
        <v>4617</v>
      </c>
      <c r="P465" s="27">
        <v>0</v>
      </c>
      <c r="Q465" s="27">
        <v>22</v>
      </c>
      <c r="R465" s="21" t="s">
        <v>4618</v>
      </c>
      <c r="S465" s="21" t="s">
        <v>4619</v>
      </c>
      <c r="T465" s="21" t="s">
        <v>966</v>
      </c>
      <c r="U465" s="21" t="s">
        <v>4620</v>
      </c>
    </row>
    <row r="466" spans="1:21" ht="98">
      <c r="A466" s="21" t="s">
        <v>913</v>
      </c>
      <c r="B466" s="21" t="s">
        <v>914</v>
      </c>
      <c r="C466" s="21" t="s">
        <v>673</v>
      </c>
      <c r="D466" s="21" t="s">
        <v>180</v>
      </c>
      <c r="E466" s="21" t="s">
        <v>4540</v>
      </c>
      <c r="F466" s="21" t="s">
        <v>1068</v>
      </c>
      <c r="G466" s="21" t="s">
        <v>4621</v>
      </c>
      <c r="H466" s="28">
        <v>42643</v>
      </c>
      <c r="I466" s="22">
        <v>2016</v>
      </c>
      <c r="J466" s="21" t="s">
        <v>1012</v>
      </c>
      <c r="K466" s="21" t="s">
        <v>1013</v>
      </c>
      <c r="L466" s="21" t="s">
        <v>4622</v>
      </c>
      <c r="M466" s="21" t="s">
        <v>4543</v>
      </c>
      <c r="N466" s="21" t="s">
        <v>4623</v>
      </c>
      <c r="O466" s="21" t="s">
        <v>4624</v>
      </c>
      <c r="P466" s="27">
        <v>0</v>
      </c>
      <c r="Q466" s="27">
        <v>15</v>
      </c>
      <c r="R466" s="21" t="s">
        <v>4625</v>
      </c>
      <c r="S466" s="21" t="s">
        <v>4626</v>
      </c>
      <c r="T466" s="21" t="s">
        <v>3189</v>
      </c>
      <c r="U466" s="21" t="s">
        <v>4627</v>
      </c>
    </row>
    <row r="467" spans="1:21" ht="182">
      <c r="A467" s="21" t="s">
        <v>913</v>
      </c>
      <c r="B467" s="21" t="s">
        <v>914</v>
      </c>
      <c r="C467" s="21" t="s">
        <v>673</v>
      </c>
      <c r="D467" s="21" t="s">
        <v>180</v>
      </c>
      <c r="E467" s="21" t="s">
        <v>4540</v>
      </c>
      <c r="F467" s="21" t="s">
        <v>1077</v>
      </c>
      <c r="G467" s="21" t="s">
        <v>4628</v>
      </c>
      <c r="H467" s="28">
        <v>42160</v>
      </c>
      <c r="I467" s="22">
        <v>2015</v>
      </c>
      <c r="J467" s="21" t="s">
        <v>1748</v>
      </c>
      <c r="K467" s="21" t="s">
        <v>1013</v>
      </c>
      <c r="L467" s="21" t="s">
        <v>4629</v>
      </c>
      <c r="M467" s="21" t="s">
        <v>4543</v>
      </c>
      <c r="N467" s="21" t="s">
        <v>4630</v>
      </c>
      <c r="O467" s="21" t="s">
        <v>4624</v>
      </c>
      <c r="P467" s="27">
        <v>0</v>
      </c>
      <c r="Q467" s="27">
        <v>35</v>
      </c>
      <c r="R467" s="21" t="s">
        <v>4631</v>
      </c>
      <c r="S467" s="21" t="s">
        <v>4632</v>
      </c>
      <c r="T467" s="21" t="s">
        <v>3189</v>
      </c>
      <c r="U467" s="21" t="s">
        <v>4633</v>
      </c>
    </row>
    <row r="468" spans="1:21" ht="42">
      <c r="A468" s="21" t="s">
        <v>913</v>
      </c>
      <c r="B468" s="21" t="s">
        <v>914</v>
      </c>
      <c r="C468" s="21" t="s">
        <v>673</v>
      </c>
      <c r="D468" s="21" t="s">
        <v>180</v>
      </c>
      <c r="E468" s="21" t="s">
        <v>4540</v>
      </c>
      <c r="F468" s="21" t="s">
        <v>1085</v>
      </c>
      <c r="G468" s="21" t="s">
        <v>4634</v>
      </c>
      <c r="H468" s="28">
        <v>43454</v>
      </c>
      <c r="I468" s="22">
        <v>2018</v>
      </c>
      <c r="J468" s="21" t="s">
        <v>1012</v>
      </c>
      <c r="K468" s="21" t="s">
        <v>998</v>
      </c>
      <c r="L468" s="21" t="s">
        <v>4635</v>
      </c>
      <c r="M468" s="21" t="s">
        <v>4636</v>
      </c>
      <c r="N468" s="21" t="s">
        <v>4637</v>
      </c>
      <c r="O468" s="21" t="s">
        <v>4638</v>
      </c>
      <c r="P468" s="27">
        <v>0</v>
      </c>
      <c r="Q468" s="27">
        <v>6</v>
      </c>
      <c r="R468" s="21" t="s">
        <v>4639</v>
      </c>
      <c r="S468" s="21" t="s">
        <v>4640</v>
      </c>
      <c r="T468" s="21" t="s">
        <v>1148</v>
      </c>
      <c r="U468" s="21" t="s">
        <v>4641</v>
      </c>
    </row>
    <row r="469" spans="1:21" ht="56">
      <c r="A469" s="21" t="s">
        <v>913</v>
      </c>
      <c r="B469" s="21" t="s">
        <v>914</v>
      </c>
      <c r="C469" s="21" t="s">
        <v>673</v>
      </c>
      <c r="D469" s="21" t="s">
        <v>180</v>
      </c>
      <c r="E469" s="21" t="s">
        <v>4540</v>
      </c>
      <c r="F469" s="21" t="s">
        <v>1093</v>
      </c>
      <c r="G469" s="21" t="s">
        <v>4642</v>
      </c>
      <c r="H469" s="28">
        <v>43025</v>
      </c>
      <c r="I469" s="22">
        <v>2017</v>
      </c>
      <c r="J469" s="21" t="s">
        <v>1012</v>
      </c>
      <c r="K469" s="21" t="s">
        <v>1013</v>
      </c>
      <c r="L469" s="21" t="s">
        <v>4643</v>
      </c>
      <c r="M469" s="21" t="s">
        <v>4566</v>
      </c>
      <c r="N469" s="21" t="s">
        <v>4644</v>
      </c>
      <c r="O469" s="21" t="s">
        <v>4645</v>
      </c>
      <c r="P469" s="27">
        <v>0</v>
      </c>
      <c r="Q469" s="27">
        <v>33</v>
      </c>
      <c r="R469" s="21" t="s">
        <v>4646</v>
      </c>
      <c r="S469" s="21" t="s">
        <v>4647</v>
      </c>
      <c r="T469" s="21" t="s">
        <v>3189</v>
      </c>
      <c r="U469" s="21" t="s">
        <v>4648</v>
      </c>
    </row>
    <row r="470" spans="1:21" ht="42">
      <c r="A470" s="21" t="s">
        <v>913</v>
      </c>
      <c r="B470" s="21" t="s">
        <v>914</v>
      </c>
      <c r="C470" s="21" t="s">
        <v>673</v>
      </c>
      <c r="D470" s="21" t="s">
        <v>180</v>
      </c>
      <c r="E470" s="21" t="s">
        <v>4540</v>
      </c>
      <c r="F470" s="21" t="s">
        <v>1101</v>
      </c>
      <c r="G470" s="21" t="s">
        <v>4649</v>
      </c>
      <c r="H470" s="28">
        <v>43406</v>
      </c>
      <c r="I470" s="22">
        <v>2018</v>
      </c>
      <c r="J470" s="21" t="s">
        <v>1012</v>
      </c>
      <c r="K470" s="21" t="s">
        <v>998</v>
      </c>
      <c r="L470" s="21" t="s">
        <v>4650</v>
      </c>
      <c r="M470" s="21" t="s">
        <v>4566</v>
      </c>
      <c r="N470" s="21" t="s">
        <v>4651</v>
      </c>
      <c r="O470" s="21" t="s">
        <v>4652</v>
      </c>
      <c r="P470" s="27">
        <v>0</v>
      </c>
      <c r="Q470" s="27">
        <v>5</v>
      </c>
      <c r="R470" s="21" t="s">
        <v>4653</v>
      </c>
      <c r="S470" s="21" t="s">
        <v>4654</v>
      </c>
      <c r="T470" s="21" t="s">
        <v>1148</v>
      </c>
      <c r="U470" s="21" t="s">
        <v>4655</v>
      </c>
    </row>
    <row r="471" spans="1:21" ht="28">
      <c r="A471" s="21" t="s">
        <v>913</v>
      </c>
      <c r="B471" s="21" t="s">
        <v>914</v>
      </c>
      <c r="C471" s="21" t="s">
        <v>673</v>
      </c>
      <c r="D471" s="21" t="s">
        <v>180</v>
      </c>
      <c r="E471" s="21" t="s">
        <v>4540</v>
      </c>
      <c r="F471" s="21" t="s">
        <v>1109</v>
      </c>
      <c r="G471" s="21" t="s">
        <v>4656</v>
      </c>
      <c r="H471" s="28">
        <v>43406</v>
      </c>
      <c r="I471" s="22">
        <v>2018</v>
      </c>
      <c r="J471" s="21" t="s">
        <v>1012</v>
      </c>
      <c r="K471" s="21" t="s">
        <v>998</v>
      </c>
      <c r="L471" s="21" t="s">
        <v>4657</v>
      </c>
      <c r="M471" s="21" t="s">
        <v>4566</v>
      </c>
      <c r="N471" s="21" t="s">
        <v>4658</v>
      </c>
      <c r="O471" s="21" t="s">
        <v>4659</v>
      </c>
      <c r="P471" s="27">
        <v>0</v>
      </c>
      <c r="Q471" s="27">
        <v>7</v>
      </c>
      <c r="R471" s="21" t="s">
        <v>4660</v>
      </c>
      <c r="S471" s="21" t="s">
        <v>1703</v>
      </c>
      <c r="T471" s="21" t="s">
        <v>1148</v>
      </c>
      <c r="U471" s="21" t="s">
        <v>4661</v>
      </c>
    </row>
    <row r="472" spans="1:21" ht="280">
      <c r="A472" s="21" t="s">
        <v>913</v>
      </c>
      <c r="B472" s="21" t="s">
        <v>914</v>
      </c>
      <c r="C472" s="21" t="s">
        <v>673</v>
      </c>
      <c r="D472" s="21" t="s">
        <v>180</v>
      </c>
      <c r="E472" s="21" t="s">
        <v>4540</v>
      </c>
      <c r="F472" s="21" t="s">
        <v>1117</v>
      </c>
      <c r="G472" s="21" t="s">
        <v>4662</v>
      </c>
      <c r="H472" s="28">
        <v>41773</v>
      </c>
      <c r="I472" s="22">
        <v>2014</v>
      </c>
      <c r="J472" s="21" t="s">
        <v>1012</v>
      </c>
      <c r="K472" s="21" t="s">
        <v>1013</v>
      </c>
      <c r="L472" s="21" t="s">
        <v>4663</v>
      </c>
      <c r="M472" s="21" t="s">
        <v>4664</v>
      </c>
      <c r="N472" s="21" t="s">
        <v>4665</v>
      </c>
      <c r="O472" s="21" t="s">
        <v>4666</v>
      </c>
      <c r="P472" s="27">
        <v>2</v>
      </c>
      <c r="Q472" s="27">
        <v>36</v>
      </c>
      <c r="R472" s="21" t="s">
        <v>4667</v>
      </c>
      <c r="S472" s="21" t="s">
        <v>4668</v>
      </c>
      <c r="T472" s="21" t="s">
        <v>3189</v>
      </c>
      <c r="U472" s="21" t="s">
        <v>4669</v>
      </c>
    </row>
    <row r="473" spans="1:21" ht="140">
      <c r="A473" s="21" t="s">
        <v>913</v>
      </c>
      <c r="B473" s="21" t="s">
        <v>914</v>
      </c>
      <c r="C473" s="21" t="s">
        <v>673</v>
      </c>
      <c r="D473" s="21" t="s">
        <v>180</v>
      </c>
      <c r="E473" s="21" t="s">
        <v>4540</v>
      </c>
      <c r="F473" s="21" t="s">
        <v>1125</v>
      </c>
      <c r="G473" s="21" t="s">
        <v>4670</v>
      </c>
      <c r="H473" s="28">
        <v>43024</v>
      </c>
      <c r="I473" s="22">
        <v>2017</v>
      </c>
      <c r="J473" s="21" t="s">
        <v>1012</v>
      </c>
      <c r="K473" s="21" t="s">
        <v>1013</v>
      </c>
      <c r="L473" s="21" t="s">
        <v>4671</v>
      </c>
      <c r="M473" s="21" t="s">
        <v>4566</v>
      </c>
      <c r="N473" s="21" t="s">
        <v>4672</v>
      </c>
      <c r="O473" s="21" t="s">
        <v>4673</v>
      </c>
      <c r="P473" s="27">
        <v>0</v>
      </c>
      <c r="Q473" s="27">
        <v>7</v>
      </c>
      <c r="R473" s="21" t="s">
        <v>4674</v>
      </c>
      <c r="S473" s="21" t="s">
        <v>4675</v>
      </c>
      <c r="T473" s="21" t="s">
        <v>3189</v>
      </c>
      <c r="U473" s="21" t="s">
        <v>4676</v>
      </c>
    </row>
    <row r="474" spans="1:21" ht="126">
      <c r="A474" s="21" t="s">
        <v>913</v>
      </c>
      <c r="B474" s="21" t="s">
        <v>914</v>
      </c>
      <c r="C474" s="21" t="s">
        <v>673</v>
      </c>
      <c r="D474" s="21" t="s">
        <v>180</v>
      </c>
      <c r="E474" s="21" t="s">
        <v>4540</v>
      </c>
      <c r="F474" s="21" t="s">
        <v>1133</v>
      </c>
      <c r="G474" s="21" t="s">
        <v>4677</v>
      </c>
      <c r="H474" s="28">
        <v>40960</v>
      </c>
      <c r="I474" s="22">
        <v>2012</v>
      </c>
      <c r="J474" s="21" t="s">
        <v>958</v>
      </c>
      <c r="K474" s="21" t="s">
        <v>959</v>
      </c>
      <c r="L474" s="21" t="s">
        <v>4678</v>
      </c>
      <c r="M474" s="21" t="s">
        <v>4679</v>
      </c>
      <c r="N474" s="21" t="s">
        <v>4680</v>
      </c>
      <c r="O474" s="21" t="s">
        <v>4681</v>
      </c>
      <c r="P474" s="27">
        <v>0</v>
      </c>
      <c r="Q474" s="27">
        <v>44</v>
      </c>
      <c r="R474" s="21" t="s">
        <v>4682</v>
      </c>
      <c r="S474" s="21" t="s">
        <v>4683</v>
      </c>
      <c r="T474" s="21" t="s">
        <v>966</v>
      </c>
      <c r="U474" s="21" t="s">
        <v>4684</v>
      </c>
    </row>
    <row r="475" spans="1:21" ht="70">
      <c r="A475" s="21" t="s">
        <v>913</v>
      </c>
      <c r="B475" s="21" t="s">
        <v>914</v>
      </c>
      <c r="C475" s="21" t="s">
        <v>673</v>
      </c>
      <c r="D475" s="21" t="s">
        <v>180</v>
      </c>
      <c r="E475" s="21" t="s">
        <v>4540</v>
      </c>
      <c r="F475" s="21" t="s">
        <v>1141</v>
      </c>
      <c r="G475" s="21" t="s">
        <v>4685</v>
      </c>
      <c r="H475" s="28">
        <v>42724</v>
      </c>
      <c r="I475" s="22">
        <v>2016</v>
      </c>
      <c r="J475" s="21" t="s">
        <v>1012</v>
      </c>
      <c r="K475" s="21" t="s">
        <v>1013</v>
      </c>
      <c r="L475" s="21" t="s">
        <v>4686</v>
      </c>
      <c r="M475" s="21" t="s">
        <v>4566</v>
      </c>
      <c r="N475" s="21" t="s">
        <v>4687</v>
      </c>
      <c r="O475" s="21" t="s">
        <v>4688</v>
      </c>
      <c r="P475" s="27">
        <v>0</v>
      </c>
      <c r="Q475" s="27">
        <v>7</v>
      </c>
      <c r="R475" s="21" t="s">
        <v>4689</v>
      </c>
      <c r="S475" s="21" t="s">
        <v>4690</v>
      </c>
      <c r="T475" s="21" t="s">
        <v>3189</v>
      </c>
      <c r="U475" s="21" t="s">
        <v>4691</v>
      </c>
    </row>
    <row r="476" spans="1:21" ht="42">
      <c r="A476" s="21" t="s">
        <v>913</v>
      </c>
      <c r="B476" s="21" t="s">
        <v>914</v>
      </c>
      <c r="C476" s="21" t="s">
        <v>673</v>
      </c>
      <c r="D476" s="21" t="s">
        <v>180</v>
      </c>
      <c r="E476" s="21" t="s">
        <v>4540</v>
      </c>
      <c r="F476" s="21" t="s">
        <v>1150</v>
      </c>
      <c r="G476" s="21" t="s">
        <v>4692</v>
      </c>
      <c r="H476" s="28">
        <v>42324</v>
      </c>
      <c r="I476" s="22">
        <v>2015</v>
      </c>
      <c r="J476" s="21" t="s">
        <v>1012</v>
      </c>
      <c r="K476" s="21" t="s">
        <v>1013</v>
      </c>
      <c r="L476" s="21" t="s">
        <v>4693</v>
      </c>
      <c r="M476" s="21" t="s">
        <v>4566</v>
      </c>
      <c r="N476" s="21" t="s">
        <v>4694</v>
      </c>
      <c r="O476" s="21" t="s">
        <v>4695</v>
      </c>
      <c r="P476" s="27">
        <v>0</v>
      </c>
      <c r="Q476" s="27">
        <v>45</v>
      </c>
      <c r="R476" s="21" t="s">
        <v>4696</v>
      </c>
      <c r="S476" s="21" t="s">
        <v>4697</v>
      </c>
      <c r="T476" s="21" t="s">
        <v>966</v>
      </c>
      <c r="U476" s="21" t="s">
        <v>4698</v>
      </c>
    </row>
    <row r="477" spans="1:21" ht="112">
      <c r="A477" s="21" t="s">
        <v>913</v>
      </c>
      <c r="B477" s="21" t="s">
        <v>914</v>
      </c>
      <c r="C477" s="21" t="s">
        <v>673</v>
      </c>
      <c r="D477" s="21" t="s">
        <v>180</v>
      </c>
      <c r="E477" s="21" t="s">
        <v>4540</v>
      </c>
      <c r="F477" s="21" t="s">
        <v>1158</v>
      </c>
      <c r="G477" s="21" t="s">
        <v>4699</v>
      </c>
      <c r="H477" s="28">
        <v>42510</v>
      </c>
      <c r="I477" s="22">
        <v>2016</v>
      </c>
      <c r="J477" s="21" t="s">
        <v>1012</v>
      </c>
      <c r="K477" s="21" t="s">
        <v>1013</v>
      </c>
      <c r="L477" s="21" t="s">
        <v>4700</v>
      </c>
      <c r="M477" s="21" t="s">
        <v>4566</v>
      </c>
      <c r="N477" s="21" t="s">
        <v>4701</v>
      </c>
      <c r="O477" s="21" t="s">
        <v>4702</v>
      </c>
      <c r="P477" s="27">
        <v>0</v>
      </c>
      <c r="Q477" s="27">
        <v>20</v>
      </c>
      <c r="R477" s="21" t="s">
        <v>4703</v>
      </c>
      <c r="S477" s="21" t="s">
        <v>4704</v>
      </c>
      <c r="T477" s="21" t="s">
        <v>3189</v>
      </c>
      <c r="U477" s="21" t="s">
        <v>4705</v>
      </c>
    </row>
    <row r="478" spans="1:21" ht="70">
      <c r="A478" s="21" t="s">
        <v>913</v>
      </c>
      <c r="B478" s="21" t="s">
        <v>914</v>
      </c>
      <c r="C478" s="21" t="s">
        <v>673</v>
      </c>
      <c r="D478" s="21" t="s">
        <v>180</v>
      </c>
      <c r="E478" s="21" t="s">
        <v>4540</v>
      </c>
      <c r="F478" s="21" t="s">
        <v>1166</v>
      </c>
      <c r="G478" s="21" t="s">
        <v>4706</v>
      </c>
      <c r="H478" s="28">
        <v>41792</v>
      </c>
      <c r="I478" s="22">
        <v>2014</v>
      </c>
      <c r="J478" s="21" t="s">
        <v>958</v>
      </c>
      <c r="K478" s="21" t="s">
        <v>959</v>
      </c>
      <c r="L478" s="21" t="s">
        <v>4707</v>
      </c>
      <c r="M478" s="21" t="s">
        <v>4566</v>
      </c>
      <c r="N478" s="21" t="s">
        <v>4708</v>
      </c>
      <c r="O478" s="21" t="s">
        <v>4709</v>
      </c>
      <c r="P478" s="27">
        <v>0</v>
      </c>
      <c r="Q478" s="27">
        <v>36</v>
      </c>
      <c r="R478" s="21" t="s">
        <v>4710</v>
      </c>
      <c r="S478" s="21" t="s">
        <v>4711</v>
      </c>
      <c r="T478" s="21" t="s">
        <v>966</v>
      </c>
      <c r="U478" s="21" t="s">
        <v>4712</v>
      </c>
    </row>
    <row r="479" spans="1:21" ht="70">
      <c r="A479" s="21" t="s">
        <v>913</v>
      </c>
      <c r="B479" s="21" t="s">
        <v>914</v>
      </c>
      <c r="C479" s="21" t="s">
        <v>673</v>
      </c>
      <c r="D479" s="21" t="s">
        <v>180</v>
      </c>
      <c r="E479" s="21" t="s">
        <v>4540</v>
      </c>
      <c r="F479" s="21" t="s">
        <v>1174</v>
      </c>
      <c r="G479" s="21" t="s">
        <v>4713</v>
      </c>
      <c r="H479" s="28">
        <v>41628</v>
      </c>
      <c r="I479" s="22">
        <v>2013</v>
      </c>
      <c r="J479" s="21" t="s">
        <v>958</v>
      </c>
      <c r="K479" s="21" t="s">
        <v>959</v>
      </c>
      <c r="L479" s="21" t="s">
        <v>4714</v>
      </c>
      <c r="M479" s="21" t="s">
        <v>4566</v>
      </c>
      <c r="N479" s="21" t="s">
        <v>4603</v>
      </c>
      <c r="O479" s="21" t="s">
        <v>4715</v>
      </c>
      <c r="P479" s="27">
        <v>0</v>
      </c>
      <c r="Q479" s="27">
        <v>10</v>
      </c>
      <c r="R479" s="21" t="s">
        <v>4716</v>
      </c>
      <c r="S479" s="21" t="s">
        <v>4717</v>
      </c>
      <c r="T479" s="21" t="s">
        <v>966</v>
      </c>
      <c r="U479" s="21" t="s">
        <v>4718</v>
      </c>
    </row>
    <row r="480" spans="1:21" ht="84">
      <c r="A480" s="21" t="s">
        <v>913</v>
      </c>
      <c r="B480" s="21" t="s">
        <v>914</v>
      </c>
      <c r="C480" s="21" t="s">
        <v>673</v>
      </c>
      <c r="D480" s="21" t="s">
        <v>180</v>
      </c>
      <c r="E480" s="21" t="s">
        <v>4540</v>
      </c>
      <c r="F480" s="21" t="s">
        <v>1182</v>
      </c>
      <c r="G480" s="21" t="s">
        <v>4719</v>
      </c>
      <c r="H480" s="28">
        <v>43027</v>
      </c>
      <c r="I480" s="22">
        <v>2017</v>
      </c>
      <c r="J480" s="21" t="s">
        <v>1012</v>
      </c>
      <c r="K480" s="21" t="s">
        <v>998</v>
      </c>
      <c r="L480" s="21" t="s">
        <v>4720</v>
      </c>
      <c r="M480" s="21" t="s">
        <v>4566</v>
      </c>
      <c r="N480" s="21" t="s">
        <v>4721</v>
      </c>
      <c r="O480" s="21" t="s">
        <v>4722</v>
      </c>
      <c r="P480" s="27">
        <v>0</v>
      </c>
      <c r="Q480" s="27">
        <v>3</v>
      </c>
      <c r="R480" s="21" t="s">
        <v>4723</v>
      </c>
      <c r="S480" s="21" t="s">
        <v>4724</v>
      </c>
      <c r="T480" s="21" t="s">
        <v>1148</v>
      </c>
      <c r="U480" s="21" t="s">
        <v>4725</v>
      </c>
    </row>
    <row r="481" spans="1:21" ht="182">
      <c r="A481" s="21" t="s">
        <v>913</v>
      </c>
      <c r="B481" s="21" t="s">
        <v>914</v>
      </c>
      <c r="C481" s="21" t="s">
        <v>673</v>
      </c>
      <c r="D481" s="21" t="s">
        <v>180</v>
      </c>
      <c r="E481" s="21" t="s">
        <v>4540</v>
      </c>
      <c r="F481" s="21" t="s">
        <v>1191</v>
      </c>
      <c r="G481" s="21" t="s">
        <v>4726</v>
      </c>
      <c r="H481" s="28">
        <v>41628</v>
      </c>
      <c r="I481" s="22">
        <v>2013</v>
      </c>
      <c r="J481" s="21" t="s">
        <v>1012</v>
      </c>
      <c r="K481" s="21" t="s">
        <v>1013</v>
      </c>
      <c r="L481" s="21" t="s">
        <v>4727</v>
      </c>
      <c r="M481" s="21" t="s">
        <v>4566</v>
      </c>
      <c r="N481" s="21" t="s">
        <v>4728</v>
      </c>
      <c r="O481" s="21" t="s">
        <v>4729</v>
      </c>
      <c r="P481" s="27">
        <v>0</v>
      </c>
      <c r="Q481" s="27">
        <v>27</v>
      </c>
      <c r="R481" s="21" t="s">
        <v>4730</v>
      </c>
      <c r="S481" s="21" t="s">
        <v>4731</v>
      </c>
      <c r="T481" s="21" t="s">
        <v>3189</v>
      </c>
      <c r="U481" s="21" t="s">
        <v>4732</v>
      </c>
    </row>
    <row r="482" spans="1:21" ht="42">
      <c r="A482" s="21" t="s">
        <v>913</v>
      </c>
      <c r="B482" s="21" t="s">
        <v>914</v>
      </c>
      <c r="C482" s="21" t="s">
        <v>673</v>
      </c>
      <c r="D482" s="21" t="s">
        <v>180</v>
      </c>
      <c r="E482" s="21" t="s">
        <v>4733</v>
      </c>
      <c r="F482" s="21" t="s">
        <v>1199</v>
      </c>
      <c r="G482" s="21" t="s">
        <v>4734</v>
      </c>
      <c r="H482" s="28">
        <v>41792</v>
      </c>
      <c r="I482" s="22">
        <v>2014</v>
      </c>
      <c r="J482" s="21" t="s">
        <v>1012</v>
      </c>
      <c r="K482" s="21" t="s">
        <v>1013</v>
      </c>
      <c r="L482" s="21" t="s">
        <v>4735</v>
      </c>
      <c r="M482" s="21" t="s">
        <v>4736</v>
      </c>
      <c r="N482" s="21" t="s">
        <v>4737</v>
      </c>
      <c r="O482" s="21" t="s">
        <v>4738</v>
      </c>
      <c r="P482" s="27">
        <v>0</v>
      </c>
      <c r="Q482" s="27">
        <v>15</v>
      </c>
      <c r="R482" s="21" t="s">
        <v>4739</v>
      </c>
      <c r="S482" s="21" t="s">
        <v>4740</v>
      </c>
      <c r="T482" s="21" t="s">
        <v>3189</v>
      </c>
      <c r="U482" s="21" t="s">
        <v>4741</v>
      </c>
    </row>
    <row r="483" spans="1:21" ht="56">
      <c r="A483" s="21" t="s">
        <v>913</v>
      </c>
      <c r="B483" s="21" t="s">
        <v>914</v>
      </c>
      <c r="C483" s="21" t="s">
        <v>673</v>
      </c>
      <c r="D483" s="21" t="s">
        <v>180</v>
      </c>
      <c r="E483" s="21" t="s">
        <v>4540</v>
      </c>
      <c r="F483" s="21" t="s">
        <v>1207</v>
      </c>
      <c r="G483" s="21" t="s">
        <v>4742</v>
      </c>
      <c r="H483" s="28">
        <v>42943</v>
      </c>
      <c r="I483" s="22">
        <v>2017</v>
      </c>
      <c r="J483" s="21" t="s">
        <v>1012</v>
      </c>
      <c r="K483" s="21" t="s">
        <v>998</v>
      </c>
      <c r="L483" s="21" t="s">
        <v>4743</v>
      </c>
      <c r="M483" s="21" t="s">
        <v>4566</v>
      </c>
      <c r="N483" s="21" t="s">
        <v>4744</v>
      </c>
      <c r="O483" s="21" t="s">
        <v>4745</v>
      </c>
      <c r="P483" s="27">
        <v>0</v>
      </c>
      <c r="Q483" s="27">
        <v>12</v>
      </c>
      <c r="R483" s="21" t="s">
        <v>4746</v>
      </c>
      <c r="S483" s="21" t="s">
        <v>4747</v>
      </c>
      <c r="T483" s="21" t="s">
        <v>1148</v>
      </c>
      <c r="U483" s="21" t="s">
        <v>4748</v>
      </c>
    </row>
    <row r="484" spans="1:21" ht="42">
      <c r="A484" s="21" t="s">
        <v>913</v>
      </c>
      <c r="B484" s="21" t="s">
        <v>914</v>
      </c>
      <c r="C484" s="21" t="s">
        <v>673</v>
      </c>
      <c r="D484" s="21" t="s">
        <v>180</v>
      </c>
      <c r="E484" s="21" t="s">
        <v>4540</v>
      </c>
      <c r="F484" s="21" t="s">
        <v>1215</v>
      </c>
      <c r="G484" s="21" t="s">
        <v>4749</v>
      </c>
      <c r="H484" s="28">
        <v>42885</v>
      </c>
      <c r="I484" s="22">
        <v>2017</v>
      </c>
      <c r="J484" s="21" t="s">
        <v>1012</v>
      </c>
      <c r="K484" s="21" t="s">
        <v>998</v>
      </c>
      <c r="L484" s="21" t="s">
        <v>4750</v>
      </c>
      <c r="M484" s="21" t="s">
        <v>4566</v>
      </c>
      <c r="N484" s="21" t="s">
        <v>4751</v>
      </c>
      <c r="O484" s="21" t="s">
        <v>4752</v>
      </c>
      <c r="P484" s="27">
        <v>0</v>
      </c>
      <c r="Q484" s="27">
        <v>3</v>
      </c>
      <c r="R484" s="21" t="s">
        <v>4753</v>
      </c>
      <c r="S484" s="21" t="s">
        <v>4754</v>
      </c>
      <c r="T484" s="21" t="s">
        <v>1148</v>
      </c>
      <c r="U484" s="21" t="s">
        <v>4755</v>
      </c>
    </row>
    <row r="485" spans="1:21" ht="42">
      <c r="A485" s="21" t="s">
        <v>913</v>
      </c>
      <c r="B485" s="21" t="s">
        <v>914</v>
      </c>
      <c r="C485" s="21" t="s">
        <v>673</v>
      </c>
      <c r="D485" s="21" t="s">
        <v>180</v>
      </c>
      <c r="E485" s="21" t="s">
        <v>4540</v>
      </c>
      <c r="F485" s="21" t="s">
        <v>1223</v>
      </c>
      <c r="G485" s="21" t="s">
        <v>4756</v>
      </c>
      <c r="H485" s="28">
        <v>42300</v>
      </c>
      <c r="I485" s="22">
        <v>2015</v>
      </c>
      <c r="J485" s="21" t="s">
        <v>1012</v>
      </c>
      <c r="K485" s="21" t="s">
        <v>1013</v>
      </c>
      <c r="L485" s="21" t="s">
        <v>4757</v>
      </c>
      <c r="M485" s="21" t="s">
        <v>4566</v>
      </c>
      <c r="N485" s="21" t="s">
        <v>4694</v>
      </c>
      <c r="O485" s="21" t="s">
        <v>4758</v>
      </c>
      <c r="P485" s="27">
        <v>0</v>
      </c>
      <c r="Q485" s="27">
        <v>37</v>
      </c>
      <c r="R485" s="21" t="s">
        <v>4759</v>
      </c>
      <c r="S485" s="21" t="s">
        <v>4760</v>
      </c>
      <c r="T485" s="21" t="s">
        <v>966</v>
      </c>
      <c r="U485" s="21" t="s">
        <v>4761</v>
      </c>
    </row>
    <row r="486" spans="1:21" ht="42">
      <c r="A486" s="21" t="s">
        <v>913</v>
      </c>
      <c r="B486" s="21" t="s">
        <v>914</v>
      </c>
      <c r="C486" s="21" t="s">
        <v>673</v>
      </c>
      <c r="D486" s="21" t="s">
        <v>180</v>
      </c>
      <c r="E486" s="21" t="s">
        <v>4540</v>
      </c>
      <c r="F486" s="21" t="s">
        <v>1231</v>
      </c>
      <c r="G486" s="21" t="s">
        <v>4762</v>
      </c>
      <c r="H486" s="28">
        <v>42704</v>
      </c>
      <c r="I486" s="22">
        <v>2016</v>
      </c>
      <c r="J486" s="21" t="s">
        <v>1012</v>
      </c>
      <c r="K486" s="21" t="s">
        <v>998</v>
      </c>
      <c r="L486" s="21" t="s">
        <v>4763</v>
      </c>
      <c r="M486" s="21" t="s">
        <v>4566</v>
      </c>
      <c r="N486" s="21" t="s">
        <v>4764</v>
      </c>
      <c r="O486" s="21" t="s">
        <v>4765</v>
      </c>
      <c r="P486" s="27">
        <v>0</v>
      </c>
      <c r="Q486" s="27">
        <v>3</v>
      </c>
      <c r="R486" s="21" t="s">
        <v>4766</v>
      </c>
      <c r="S486" s="21" t="s">
        <v>4767</v>
      </c>
      <c r="T486" s="21" t="s">
        <v>1148</v>
      </c>
      <c r="U486" s="21" t="s">
        <v>4768</v>
      </c>
    </row>
    <row r="487" spans="1:21" ht="28">
      <c r="A487" s="21" t="s">
        <v>913</v>
      </c>
      <c r="B487" s="21" t="s">
        <v>914</v>
      </c>
      <c r="C487" s="21" t="s">
        <v>673</v>
      </c>
      <c r="D487" s="21" t="s">
        <v>180</v>
      </c>
      <c r="E487" s="21" t="s">
        <v>4540</v>
      </c>
      <c r="F487" s="21" t="s">
        <v>1238</v>
      </c>
      <c r="G487" s="21" t="s">
        <v>4769</v>
      </c>
      <c r="H487" s="28">
        <v>42704</v>
      </c>
      <c r="I487" s="22">
        <v>2016</v>
      </c>
      <c r="J487" s="21" t="s">
        <v>1012</v>
      </c>
      <c r="K487" s="21" t="s">
        <v>998</v>
      </c>
      <c r="L487" s="21" t="s">
        <v>4770</v>
      </c>
      <c r="M487" s="21" t="s">
        <v>4566</v>
      </c>
      <c r="N487" s="21" t="s">
        <v>4771</v>
      </c>
      <c r="O487" s="21" t="s">
        <v>4772</v>
      </c>
      <c r="P487" s="27">
        <v>0</v>
      </c>
      <c r="Q487" s="27">
        <v>3</v>
      </c>
      <c r="R487" s="21" t="s">
        <v>4773</v>
      </c>
      <c r="S487" s="21" t="s">
        <v>4754</v>
      </c>
      <c r="T487" s="21" t="s">
        <v>1148</v>
      </c>
      <c r="U487" s="21" t="s">
        <v>4774</v>
      </c>
    </row>
    <row r="488" spans="1:21" ht="28">
      <c r="A488" s="21" t="s">
        <v>913</v>
      </c>
      <c r="B488" s="21" t="s">
        <v>914</v>
      </c>
      <c r="C488" s="21" t="s">
        <v>673</v>
      </c>
      <c r="D488" s="21" t="s">
        <v>180</v>
      </c>
      <c r="E488" s="21" t="s">
        <v>4540</v>
      </c>
      <c r="F488" s="21" t="s">
        <v>1245</v>
      </c>
      <c r="G488" s="21" t="s">
        <v>4775</v>
      </c>
      <c r="H488" s="28">
        <v>41628</v>
      </c>
      <c r="I488" s="22">
        <v>2013</v>
      </c>
      <c r="J488" s="21" t="s">
        <v>958</v>
      </c>
      <c r="K488" s="21" t="s">
        <v>959</v>
      </c>
      <c r="L488" s="21" t="s">
        <v>4776</v>
      </c>
      <c r="M488" s="21" t="s">
        <v>4566</v>
      </c>
      <c r="N488" s="21" t="s">
        <v>4603</v>
      </c>
      <c r="O488" s="21" t="s">
        <v>4777</v>
      </c>
      <c r="P488" s="27">
        <v>0</v>
      </c>
      <c r="Q488" s="27">
        <v>12</v>
      </c>
      <c r="R488" s="21" t="s">
        <v>4778</v>
      </c>
      <c r="S488" s="21" t="s">
        <v>4779</v>
      </c>
      <c r="T488" s="21" t="s">
        <v>966</v>
      </c>
      <c r="U488" s="21" t="s">
        <v>4780</v>
      </c>
    </row>
    <row r="489" spans="1:21" ht="98">
      <c r="A489" s="21" t="s">
        <v>913</v>
      </c>
      <c r="B489" s="21" t="s">
        <v>914</v>
      </c>
      <c r="C489" s="21" t="s">
        <v>673</v>
      </c>
      <c r="D489" s="21" t="s">
        <v>180</v>
      </c>
      <c r="E489" s="21" t="s">
        <v>4540</v>
      </c>
      <c r="F489" s="21" t="s">
        <v>1253</v>
      </c>
      <c r="G489" s="21" t="s">
        <v>4781</v>
      </c>
      <c r="H489" s="28">
        <v>42912</v>
      </c>
      <c r="I489" s="22">
        <v>2017</v>
      </c>
      <c r="J489" s="21" t="s">
        <v>1012</v>
      </c>
      <c r="K489" s="21" t="s">
        <v>998</v>
      </c>
      <c r="L489" s="21" t="s">
        <v>4782</v>
      </c>
      <c r="M489" s="21" t="s">
        <v>4566</v>
      </c>
      <c r="N489" s="21" t="s">
        <v>4783</v>
      </c>
      <c r="O489" s="21" t="s">
        <v>4784</v>
      </c>
      <c r="P489" s="27">
        <v>0</v>
      </c>
      <c r="Q489" s="27">
        <v>3</v>
      </c>
      <c r="R489" s="21" t="s">
        <v>4785</v>
      </c>
      <c r="S489" s="21" t="s">
        <v>4786</v>
      </c>
      <c r="T489" s="21" t="s">
        <v>1148</v>
      </c>
      <c r="U489" s="21" t="s">
        <v>4787</v>
      </c>
    </row>
    <row r="490" spans="1:21" ht="70">
      <c r="A490" s="21" t="s">
        <v>913</v>
      </c>
      <c r="B490" s="21" t="s">
        <v>914</v>
      </c>
      <c r="C490" s="21" t="s">
        <v>673</v>
      </c>
      <c r="D490" s="21" t="s">
        <v>180</v>
      </c>
      <c r="E490" s="21" t="s">
        <v>4540</v>
      </c>
      <c r="F490" s="21" t="s">
        <v>1261</v>
      </c>
      <c r="G490" s="21" t="s">
        <v>4788</v>
      </c>
      <c r="H490" s="28">
        <v>42496</v>
      </c>
      <c r="I490" s="22">
        <v>2016</v>
      </c>
      <c r="J490" s="21" t="s">
        <v>1012</v>
      </c>
      <c r="K490" s="21" t="s">
        <v>1013</v>
      </c>
      <c r="L490" s="21" t="s">
        <v>4789</v>
      </c>
      <c r="M490" s="21" t="s">
        <v>4566</v>
      </c>
      <c r="N490" s="21" t="s">
        <v>4790</v>
      </c>
      <c r="O490" s="21" t="s">
        <v>4791</v>
      </c>
      <c r="P490" s="27">
        <v>0</v>
      </c>
      <c r="Q490" s="27">
        <v>41</v>
      </c>
      <c r="R490" s="21" t="s">
        <v>4792</v>
      </c>
      <c r="S490" s="21" t="s">
        <v>4793</v>
      </c>
      <c r="T490" s="21" t="s">
        <v>966</v>
      </c>
      <c r="U490" s="21" t="s">
        <v>4794</v>
      </c>
    </row>
    <row r="491" spans="1:21" ht="98">
      <c r="A491" s="21" t="s">
        <v>913</v>
      </c>
      <c r="B491" s="21" t="s">
        <v>914</v>
      </c>
      <c r="C491" s="21" t="s">
        <v>673</v>
      </c>
      <c r="D491" s="21" t="s">
        <v>180</v>
      </c>
      <c r="E491" s="21" t="s">
        <v>4540</v>
      </c>
      <c r="F491" s="21" t="s">
        <v>1269</v>
      </c>
      <c r="G491" s="21" t="s">
        <v>4795</v>
      </c>
      <c r="H491" s="28">
        <v>41387</v>
      </c>
      <c r="I491" s="22">
        <v>2013</v>
      </c>
      <c r="J491" s="21" t="s">
        <v>958</v>
      </c>
      <c r="K491" s="21" t="s">
        <v>959</v>
      </c>
      <c r="L491" s="21" t="s">
        <v>4796</v>
      </c>
      <c r="M491" s="21" t="s">
        <v>4566</v>
      </c>
      <c r="N491" s="21" t="s">
        <v>4603</v>
      </c>
      <c r="O491" s="21" t="s">
        <v>4797</v>
      </c>
      <c r="P491" s="27">
        <v>0</v>
      </c>
      <c r="Q491" s="27">
        <v>14</v>
      </c>
      <c r="R491" s="21" t="s">
        <v>4798</v>
      </c>
      <c r="S491" s="21" t="s">
        <v>4799</v>
      </c>
      <c r="T491" s="21" t="s">
        <v>966</v>
      </c>
      <c r="U491" s="21" t="s">
        <v>4800</v>
      </c>
    </row>
    <row r="492" spans="1:21" ht="84">
      <c r="A492" s="21" t="s">
        <v>913</v>
      </c>
      <c r="B492" s="21" t="s">
        <v>914</v>
      </c>
      <c r="C492" s="21" t="s">
        <v>673</v>
      </c>
      <c r="D492" s="21" t="s">
        <v>180</v>
      </c>
      <c r="E492" s="21" t="s">
        <v>4540</v>
      </c>
      <c r="F492" s="21" t="s">
        <v>1277</v>
      </c>
      <c r="G492" s="21" t="s">
        <v>4801</v>
      </c>
      <c r="H492" s="28">
        <v>42472</v>
      </c>
      <c r="I492" s="22">
        <v>2016</v>
      </c>
      <c r="J492" s="21" t="s">
        <v>1012</v>
      </c>
      <c r="K492" s="21" t="s">
        <v>1013</v>
      </c>
      <c r="L492" s="21" t="s">
        <v>4802</v>
      </c>
      <c r="M492" s="21" t="s">
        <v>4566</v>
      </c>
      <c r="N492" s="21" t="s">
        <v>4803</v>
      </c>
      <c r="O492" s="21" t="s">
        <v>4804</v>
      </c>
      <c r="P492" s="27">
        <v>0</v>
      </c>
      <c r="Q492" s="27">
        <v>4</v>
      </c>
      <c r="R492" s="21" t="s">
        <v>4805</v>
      </c>
      <c r="S492" s="21" t="s">
        <v>4806</v>
      </c>
      <c r="T492" s="21" t="s">
        <v>3189</v>
      </c>
      <c r="U492" s="21" t="s">
        <v>4807</v>
      </c>
    </row>
    <row r="493" spans="1:21" ht="42">
      <c r="A493" s="21" t="s">
        <v>913</v>
      </c>
      <c r="B493" s="21" t="s">
        <v>914</v>
      </c>
      <c r="C493" s="21" t="s">
        <v>673</v>
      </c>
      <c r="D493" s="21" t="s">
        <v>180</v>
      </c>
      <c r="E493" s="21" t="s">
        <v>4540</v>
      </c>
      <c r="F493" s="21" t="s">
        <v>1285</v>
      </c>
      <c r="G493" s="21" t="s">
        <v>4808</v>
      </c>
      <c r="H493" s="28">
        <v>42885</v>
      </c>
      <c r="I493" s="22">
        <v>2017</v>
      </c>
      <c r="J493" s="21" t="s">
        <v>1012</v>
      </c>
      <c r="K493" s="21" t="s">
        <v>998</v>
      </c>
      <c r="L493" s="21" t="s">
        <v>4809</v>
      </c>
      <c r="M493" s="21" t="s">
        <v>4566</v>
      </c>
      <c r="N493" s="21" t="s">
        <v>4751</v>
      </c>
      <c r="O493" s="21" t="s">
        <v>4810</v>
      </c>
      <c r="P493" s="27">
        <v>0</v>
      </c>
      <c r="Q493" s="27">
        <v>3</v>
      </c>
      <c r="R493" s="21" t="s">
        <v>4811</v>
      </c>
      <c r="S493" s="21" t="s">
        <v>4754</v>
      </c>
      <c r="T493" s="21" t="s">
        <v>1148</v>
      </c>
      <c r="U493" s="21" t="s">
        <v>4812</v>
      </c>
    </row>
    <row r="494" spans="1:21" ht="28">
      <c r="A494" s="21" t="s">
        <v>913</v>
      </c>
      <c r="B494" s="21" t="s">
        <v>914</v>
      </c>
      <c r="C494" s="21" t="s">
        <v>673</v>
      </c>
      <c r="D494" s="21" t="s">
        <v>180</v>
      </c>
      <c r="E494" s="21" t="s">
        <v>4540</v>
      </c>
      <c r="F494" s="21" t="s">
        <v>1293</v>
      </c>
      <c r="G494" s="21" t="s">
        <v>4813</v>
      </c>
      <c r="H494" s="28">
        <v>42300</v>
      </c>
      <c r="I494" s="22">
        <v>2015</v>
      </c>
      <c r="J494" s="21" t="s">
        <v>958</v>
      </c>
      <c r="K494" s="21" t="s">
        <v>959</v>
      </c>
      <c r="L494" s="21" t="s">
        <v>4814</v>
      </c>
      <c r="M494" s="21" t="s">
        <v>4566</v>
      </c>
      <c r="N494" s="21" t="s">
        <v>4603</v>
      </c>
      <c r="O494" s="21" t="s">
        <v>4815</v>
      </c>
      <c r="P494" s="27">
        <v>0</v>
      </c>
      <c r="Q494" s="27">
        <v>15</v>
      </c>
      <c r="R494" s="21" t="s">
        <v>4816</v>
      </c>
      <c r="S494" s="21" t="s">
        <v>3954</v>
      </c>
      <c r="T494" s="21" t="s">
        <v>966</v>
      </c>
      <c r="U494" s="21" t="s">
        <v>4817</v>
      </c>
    </row>
    <row r="495" spans="1:21" ht="42">
      <c r="A495" s="21" t="s">
        <v>913</v>
      </c>
      <c r="B495" s="21" t="s">
        <v>914</v>
      </c>
      <c r="C495" s="21" t="s">
        <v>673</v>
      </c>
      <c r="D495" s="21" t="s">
        <v>180</v>
      </c>
      <c r="E495" s="21" t="s">
        <v>4540</v>
      </c>
      <c r="F495" s="21" t="s">
        <v>1301</v>
      </c>
      <c r="G495" s="21" t="s">
        <v>4818</v>
      </c>
      <c r="H495" s="28">
        <v>42704</v>
      </c>
      <c r="I495" s="22">
        <v>2016</v>
      </c>
      <c r="J495" s="21" t="s">
        <v>1012</v>
      </c>
      <c r="K495" s="21" t="s">
        <v>1013</v>
      </c>
      <c r="L495" s="21" t="s">
        <v>4819</v>
      </c>
      <c r="M495" s="21" t="s">
        <v>4566</v>
      </c>
      <c r="N495" s="21" t="s">
        <v>4764</v>
      </c>
      <c r="O495" s="21" t="s">
        <v>4820</v>
      </c>
      <c r="P495" s="27">
        <v>0</v>
      </c>
      <c r="Q495" s="27">
        <v>4</v>
      </c>
      <c r="R495" s="21" t="s">
        <v>4821</v>
      </c>
      <c r="S495" s="21" t="s">
        <v>4754</v>
      </c>
      <c r="T495" s="21" t="s">
        <v>3189</v>
      </c>
      <c r="U495" s="21" t="s">
        <v>4822</v>
      </c>
    </row>
    <row r="496" spans="1:21" ht="42">
      <c r="A496" s="21" t="s">
        <v>913</v>
      </c>
      <c r="B496" s="21" t="s">
        <v>914</v>
      </c>
      <c r="C496" s="21" t="s">
        <v>673</v>
      </c>
      <c r="D496" s="21" t="s">
        <v>180</v>
      </c>
      <c r="E496" s="21" t="s">
        <v>4540</v>
      </c>
      <c r="F496" s="21" t="s">
        <v>1309</v>
      </c>
      <c r="G496" s="21" t="s">
        <v>4823</v>
      </c>
      <c r="H496" s="28">
        <v>42550</v>
      </c>
      <c r="I496" s="22">
        <v>2016</v>
      </c>
      <c r="J496" s="21" t="s">
        <v>1012</v>
      </c>
      <c r="K496" s="21" t="s">
        <v>998</v>
      </c>
      <c r="L496" s="21" t="s">
        <v>4824</v>
      </c>
      <c r="M496" s="21" t="s">
        <v>4566</v>
      </c>
      <c r="N496" s="21" t="s">
        <v>4825</v>
      </c>
      <c r="O496" s="21" t="s">
        <v>4826</v>
      </c>
      <c r="P496" s="27">
        <v>0</v>
      </c>
      <c r="Q496" s="27">
        <v>3</v>
      </c>
      <c r="R496" s="21" t="s">
        <v>4827</v>
      </c>
      <c r="S496" s="21" t="s">
        <v>4828</v>
      </c>
      <c r="T496" s="21" t="s">
        <v>1148</v>
      </c>
      <c r="U496" s="21" t="s">
        <v>4829</v>
      </c>
    </row>
    <row r="497" spans="1:21" ht="28">
      <c r="A497" s="21" t="s">
        <v>913</v>
      </c>
      <c r="B497" s="21" t="s">
        <v>914</v>
      </c>
      <c r="C497" s="21" t="s">
        <v>673</v>
      </c>
      <c r="D497" s="21" t="s">
        <v>180</v>
      </c>
      <c r="E497" s="21" t="s">
        <v>4540</v>
      </c>
      <c r="F497" s="21" t="s">
        <v>1317</v>
      </c>
      <c r="G497" s="21" t="s">
        <v>4830</v>
      </c>
      <c r="H497" s="28">
        <v>42129</v>
      </c>
      <c r="I497" s="22">
        <v>2015</v>
      </c>
      <c r="J497" s="21" t="s">
        <v>1012</v>
      </c>
      <c r="K497" s="21" t="s">
        <v>1013</v>
      </c>
      <c r="L497" s="21" t="s">
        <v>4831</v>
      </c>
      <c r="M497" s="21" t="s">
        <v>4566</v>
      </c>
      <c r="N497" s="21" t="s">
        <v>4832</v>
      </c>
      <c r="O497" s="21" t="s">
        <v>4833</v>
      </c>
      <c r="P497" s="27">
        <v>0</v>
      </c>
      <c r="Q497" s="27">
        <v>4</v>
      </c>
      <c r="R497" s="21" t="s">
        <v>4834</v>
      </c>
      <c r="S497" s="21" t="s">
        <v>4835</v>
      </c>
      <c r="T497" s="21" t="s">
        <v>3189</v>
      </c>
      <c r="U497" s="21" t="s">
        <v>4836</v>
      </c>
    </row>
    <row r="498" spans="1:21" ht="70">
      <c r="A498" s="21" t="s">
        <v>913</v>
      </c>
      <c r="B498" s="21" t="s">
        <v>914</v>
      </c>
      <c r="C498" s="21" t="s">
        <v>673</v>
      </c>
      <c r="D498" s="21" t="s">
        <v>180</v>
      </c>
      <c r="E498" s="21" t="s">
        <v>4540</v>
      </c>
      <c r="F498" s="21" t="s">
        <v>1325</v>
      </c>
      <c r="G498" s="21" t="s">
        <v>4837</v>
      </c>
      <c r="H498" s="28">
        <v>42724</v>
      </c>
      <c r="I498" s="22">
        <v>2016</v>
      </c>
      <c r="J498" s="21" t="s">
        <v>1012</v>
      </c>
      <c r="K498" s="21" t="s">
        <v>998</v>
      </c>
      <c r="L498" s="21" t="s">
        <v>4838</v>
      </c>
      <c r="M498" s="21" t="s">
        <v>4566</v>
      </c>
      <c r="N498" s="21" t="s">
        <v>4687</v>
      </c>
      <c r="O498" s="21" t="s">
        <v>4839</v>
      </c>
      <c r="P498" s="27">
        <v>5</v>
      </c>
      <c r="Q498" s="27">
        <v>7</v>
      </c>
      <c r="R498" s="21" t="s">
        <v>4840</v>
      </c>
      <c r="S498" s="21" t="s">
        <v>4841</v>
      </c>
      <c r="T498" s="21" t="s">
        <v>1148</v>
      </c>
      <c r="U498" s="21" t="s">
        <v>4842</v>
      </c>
    </row>
    <row r="499" spans="1:21" ht="196">
      <c r="A499" s="21" t="s">
        <v>913</v>
      </c>
      <c r="B499" s="21" t="s">
        <v>914</v>
      </c>
      <c r="C499" s="21" t="s">
        <v>673</v>
      </c>
      <c r="D499" s="21" t="s">
        <v>180</v>
      </c>
      <c r="E499" s="21" t="s">
        <v>4540</v>
      </c>
      <c r="F499" s="21" t="s">
        <v>1334</v>
      </c>
      <c r="G499" s="21" t="s">
        <v>4843</v>
      </c>
      <c r="H499" s="28">
        <v>42214</v>
      </c>
      <c r="I499" s="22">
        <v>2015</v>
      </c>
      <c r="J499" s="21" t="s">
        <v>1012</v>
      </c>
      <c r="K499" s="21" t="s">
        <v>1013</v>
      </c>
      <c r="L499" s="21" t="s">
        <v>4844</v>
      </c>
      <c r="M499" s="21" t="s">
        <v>4566</v>
      </c>
      <c r="N499" s="21" t="s">
        <v>4845</v>
      </c>
      <c r="O499" s="21" t="s">
        <v>4846</v>
      </c>
      <c r="P499" s="27">
        <v>0</v>
      </c>
      <c r="Q499" s="27">
        <v>12</v>
      </c>
      <c r="R499" s="21" t="s">
        <v>4847</v>
      </c>
      <c r="S499" s="21" t="s">
        <v>4848</v>
      </c>
      <c r="T499" s="21" t="s">
        <v>3189</v>
      </c>
      <c r="U499" s="21" t="s">
        <v>4849</v>
      </c>
    </row>
    <row r="500" spans="1:21" ht="70">
      <c r="A500" s="21" t="s">
        <v>913</v>
      </c>
      <c r="B500" s="21" t="s">
        <v>914</v>
      </c>
      <c r="C500" s="21" t="s">
        <v>673</v>
      </c>
      <c r="D500" s="21" t="s">
        <v>180</v>
      </c>
      <c r="E500" s="21" t="s">
        <v>4540</v>
      </c>
      <c r="F500" s="21" t="s">
        <v>1342</v>
      </c>
      <c r="G500" s="21" t="s">
        <v>4850</v>
      </c>
      <c r="H500" s="28">
        <v>42214</v>
      </c>
      <c r="I500" s="22">
        <v>2015</v>
      </c>
      <c r="J500" s="21" t="s">
        <v>958</v>
      </c>
      <c r="K500" s="21" t="s">
        <v>959</v>
      </c>
      <c r="L500" s="21" t="s">
        <v>4851</v>
      </c>
      <c r="M500" s="21" t="s">
        <v>4566</v>
      </c>
      <c r="N500" s="21" t="s">
        <v>4603</v>
      </c>
      <c r="O500" s="21" t="s">
        <v>4852</v>
      </c>
      <c r="P500" s="27">
        <v>0</v>
      </c>
      <c r="Q500" s="27">
        <v>11</v>
      </c>
      <c r="R500" s="21" t="s">
        <v>4853</v>
      </c>
      <c r="S500" s="21" t="s">
        <v>4854</v>
      </c>
      <c r="T500" s="21" t="s">
        <v>966</v>
      </c>
      <c r="U500" s="21" t="s">
        <v>4855</v>
      </c>
    </row>
    <row r="501" spans="1:21" ht="28">
      <c r="A501" s="21" t="s">
        <v>913</v>
      </c>
      <c r="B501" s="21" t="s">
        <v>914</v>
      </c>
      <c r="C501" s="21" t="s">
        <v>673</v>
      </c>
      <c r="D501" s="21" t="s">
        <v>180</v>
      </c>
      <c r="E501" s="21" t="s">
        <v>4540</v>
      </c>
      <c r="F501" s="21" t="s">
        <v>1349</v>
      </c>
      <c r="G501" s="21" t="s">
        <v>4856</v>
      </c>
      <c r="H501" s="28">
        <v>41964</v>
      </c>
      <c r="I501" s="22">
        <v>2014</v>
      </c>
      <c r="J501" s="21" t="s">
        <v>1012</v>
      </c>
      <c r="K501" s="21" t="s">
        <v>1013</v>
      </c>
      <c r="L501" s="21" t="s">
        <v>4857</v>
      </c>
      <c r="M501" s="21" t="s">
        <v>4566</v>
      </c>
      <c r="N501" s="21" t="s">
        <v>4858</v>
      </c>
      <c r="O501" s="21" t="s">
        <v>4859</v>
      </c>
      <c r="P501" s="27">
        <v>0</v>
      </c>
      <c r="Q501" s="27">
        <v>12</v>
      </c>
      <c r="R501" s="21" t="s">
        <v>4860</v>
      </c>
      <c r="S501" s="21" t="s">
        <v>4861</v>
      </c>
      <c r="T501" s="21" t="s">
        <v>3189</v>
      </c>
      <c r="U501" s="21" t="s">
        <v>4862</v>
      </c>
    </row>
    <row r="502" spans="1:21" ht="126">
      <c r="A502" s="21" t="s">
        <v>913</v>
      </c>
      <c r="B502" s="21" t="s">
        <v>914</v>
      </c>
      <c r="C502" s="21" t="s">
        <v>673</v>
      </c>
      <c r="D502" s="21" t="s">
        <v>180</v>
      </c>
      <c r="E502" s="21" t="s">
        <v>4540</v>
      </c>
      <c r="F502" s="21" t="s">
        <v>1357</v>
      </c>
      <c r="G502" s="21" t="s">
        <v>4863</v>
      </c>
      <c r="H502" s="28">
        <v>41387</v>
      </c>
      <c r="I502" s="22">
        <v>2013</v>
      </c>
      <c r="J502" s="21" t="s">
        <v>958</v>
      </c>
      <c r="K502" s="21" t="s">
        <v>959</v>
      </c>
      <c r="L502" s="21" t="s">
        <v>4864</v>
      </c>
      <c r="M502" s="21" t="s">
        <v>4566</v>
      </c>
      <c r="N502" s="21" t="s">
        <v>4603</v>
      </c>
      <c r="O502" s="21" t="s">
        <v>4797</v>
      </c>
      <c r="P502" s="27">
        <v>0</v>
      </c>
      <c r="Q502" s="27">
        <v>26</v>
      </c>
      <c r="R502" s="21" t="s">
        <v>4865</v>
      </c>
      <c r="S502" s="21" t="s">
        <v>4866</v>
      </c>
      <c r="T502" s="21" t="s">
        <v>966</v>
      </c>
      <c r="U502" s="21" t="s">
        <v>4867</v>
      </c>
    </row>
    <row r="503" spans="1:21" ht="112">
      <c r="A503" s="21" t="s">
        <v>913</v>
      </c>
      <c r="B503" s="21" t="s">
        <v>914</v>
      </c>
      <c r="C503" s="21" t="s">
        <v>673</v>
      </c>
      <c r="D503" s="21" t="s">
        <v>180</v>
      </c>
      <c r="E503" s="21" t="s">
        <v>4540</v>
      </c>
      <c r="F503" s="21" t="s">
        <v>1365</v>
      </c>
      <c r="G503" s="21" t="s">
        <v>4868</v>
      </c>
      <c r="H503" s="28">
        <v>41628</v>
      </c>
      <c r="I503" s="22">
        <v>2013</v>
      </c>
      <c r="J503" s="21" t="s">
        <v>958</v>
      </c>
      <c r="K503" s="21" t="s">
        <v>959</v>
      </c>
      <c r="L503" s="21" t="s">
        <v>4869</v>
      </c>
      <c r="M503" s="21" t="s">
        <v>4566</v>
      </c>
      <c r="N503" s="21" t="s">
        <v>4603</v>
      </c>
      <c r="O503" s="21" t="s">
        <v>4870</v>
      </c>
      <c r="P503" s="27">
        <v>0</v>
      </c>
      <c r="Q503" s="27">
        <v>23</v>
      </c>
      <c r="R503" s="21" t="s">
        <v>4871</v>
      </c>
      <c r="S503" s="21" t="s">
        <v>4872</v>
      </c>
      <c r="T503" s="21" t="s">
        <v>966</v>
      </c>
      <c r="U503" s="21" t="s">
        <v>4873</v>
      </c>
    </row>
    <row r="504" spans="1:21" ht="56">
      <c r="A504" s="21" t="s">
        <v>913</v>
      </c>
      <c r="B504" s="21" t="s">
        <v>914</v>
      </c>
      <c r="C504" s="21" t="s">
        <v>673</v>
      </c>
      <c r="D504" s="21" t="s">
        <v>180</v>
      </c>
      <c r="E504" s="21" t="s">
        <v>4540</v>
      </c>
      <c r="F504" s="21" t="s">
        <v>1373</v>
      </c>
      <c r="G504" s="21" t="s">
        <v>4874</v>
      </c>
      <c r="H504" s="28">
        <v>42527</v>
      </c>
      <c r="I504" s="22">
        <v>2016</v>
      </c>
      <c r="J504" s="21" t="s">
        <v>1012</v>
      </c>
      <c r="K504" s="21" t="s">
        <v>998</v>
      </c>
      <c r="L504" s="21" t="s">
        <v>4875</v>
      </c>
      <c r="M504" s="21" t="s">
        <v>4566</v>
      </c>
      <c r="N504" s="21" t="s">
        <v>4876</v>
      </c>
      <c r="O504" s="21" t="s">
        <v>4877</v>
      </c>
      <c r="P504" s="27">
        <v>0</v>
      </c>
      <c r="Q504" s="27">
        <v>12</v>
      </c>
      <c r="R504" s="21" t="s">
        <v>4878</v>
      </c>
      <c r="S504" s="21" t="s">
        <v>4879</v>
      </c>
      <c r="T504" s="21" t="s">
        <v>1148</v>
      </c>
      <c r="U504" s="21" t="s">
        <v>4880</v>
      </c>
    </row>
    <row r="505" spans="1:21" ht="70">
      <c r="A505" s="21" t="s">
        <v>913</v>
      </c>
      <c r="B505" s="21" t="s">
        <v>914</v>
      </c>
      <c r="C505" s="21" t="s">
        <v>673</v>
      </c>
      <c r="D505" s="21" t="s">
        <v>180</v>
      </c>
      <c r="E505" s="21" t="s">
        <v>4540</v>
      </c>
      <c r="F505" s="21" t="s">
        <v>1382</v>
      </c>
      <c r="G505" s="21" t="s">
        <v>4881</v>
      </c>
      <c r="H505" s="28">
        <v>42472</v>
      </c>
      <c r="I505" s="22">
        <v>2016</v>
      </c>
      <c r="J505" s="21" t="s">
        <v>1012</v>
      </c>
      <c r="K505" s="21" t="s">
        <v>998</v>
      </c>
      <c r="L505" s="21" t="s">
        <v>4882</v>
      </c>
      <c r="M505" s="21" t="s">
        <v>4566</v>
      </c>
      <c r="N505" s="21" t="s">
        <v>4803</v>
      </c>
      <c r="O505" s="21" t="s">
        <v>4883</v>
      </c>
      <c r="P505" s="27">
        <v>2</v>
      </c>
      <c r="Q505" s="27">
        <v>3</v>
      </c>
      <c r="R505" s="21" t="s">
        <v>4884</v>
      </c>
      <c r="S505" s="21" t="s">
        <v>4885</v>
      </c>
      <c r="T505" s="21" t="s">
        <v>1148</v>
      </c>
      <c r="U505" s="21" t="s">
        <v>4886</v>
      </c>
    </row>
    <row r="506" spans="1:21" ht="42">
      <c r="A506" s="21" t="s">
        <v>913</v>
      </c>
      <c r="B506" s="21" t="s">
        <v>914</v>
      </c>
      <c r="C506" s="21" t="s">
        <v>673</v>
      </c>
      <c r="D506" s="21" t="s">
        <v>180</v>
      </c>
      <c r="E506" s="21" t="s">
        <v>4540</v>
      </c>
      <c r="F506" s="21" t="s">
        <v>1389</v>
      </c>
      <c r="G506" s="21" t="s">
        <v>4887</v>
      </c>
      <c r="H506" s="28">
        <v>41988</v>
      </c>
      <c r="I506" s="22">
        <v>2014</v>
      </c>
      <c r="J506" s="21" t="s">
        <v>958</v>
      </c>
      <c r="K506" s="21" t="s">
        <v>959</v>
      </c>
      <c r="L506" s="21" t="s">
        <v>4888</v>
      </c>
      <c r="M506" s="21" t="s">
        <v>4566</v>
      </c>
      <c r="N506" s="21" t="s">
        <v>4603</v>
      </c>
      <c r="O506" s="21" t="s">
        <v>4889</v>
      </c>
      <c r="P506" s="27">
        <v>0</v>
      </c>
      <c r="Q506" s="27">
        <v>6</v>
      </c>
      <c r="R506" s="21" t="s">
        <v>4890</v>
      </c>
      <c r="S506" s="21" t="s">
        <v>4891</v>
      </c>
      <c r="T506" s="21" t="s">
        <v>966</v>
      </c>
      <c r="U506" s="21" t="s">
        <v>4892</v>
      </c>
    </row>
    <row r="507" spans="1:21" ht="28">
      <c r="A507" s="21" t="s">
        <v>913</v>
      </c>
      <c r="B507" s="21" t="s">
        <v>914</v>
      </c>
      <c r="C507" s="21" t="s">
        <v>673</v>
      </c>
      <c r="D507" s="21" t="s">
        <v>180</v>
      </c>
      <c r="E507" s="21" t="s">
        <v>4733</v>
      </c>
      <c r="F507" s="21" t="s">
        <v>1396</v>
      </c>
      <c r="G507" s="21" t="s">
        <v>4893</v>
      </c>
      <c r="H507" s="28">
        <v>42384</v>
      </c>
      <c r="I507" s="22">
        <v>2016</v>
      </c>
      <c r="J507" s="21" t="s">
        <v>1012</v>
      </c>
      <c r="K507" s="21" t="s">
        <v>998</v>
      </c>
      <c r="L507" s="21" t="s">
        <v>4894</v>
      </c>
      <c r="M507" s="21" t="s">
        <v>4895</v>
      </c>
      <c r="N507" s="21" t="s">
        <v>4896</v>
      </c>
      <c r="O507" s="21" t="s">
        <v>4897</v>
      </c>
      <c r="P507" s="27">
        <v>0</v>
      </c>
      <c r="Q507" s="27">
        <v>3</v>
      </c>
      <c r="R507" s="21" t="s">
        <v>4898</v>
      </c>
      <c r="S507" s="21" t="s">
        <v>4899</v>
      </c>
      <c r="T507" s="21" t="s">
        <v>1148</v>
      </c>
      <c r="U507" s="21" t="s">
        <v>4900</v>
      </c>
    </row>
    <row r="508" spans="1:21" ht="84">
      <c r="A508" s="21" t="s">
        <v>913</v>
      </c>
      <c r="B508" s="21" t="s">
        <v>914</v>
      </c>
      <c r="C508" s="21" t="s">
        <v>673</v>
      </c>
      <c r="D508" s="21" t="s">
        <v>180</v>
      </c>
      <c r="E508" s="21" t="s">
        <v>4733</v>
      </c>
      <c r="F508" s="21" t="s">
        <v>1404</v>
      </c>
      <c r="G508" s="21" t="s">
        <v>4901</v>
      </c>
      <c r="H508" s="28">
        <v>41988</v>
      </c>
      <c r="I508" s="22">
        <v>2014</v>
      </c>
      <c r="J508" s="21" t="s">
        <v>1012</v>
      </c>
      <c r="K508" s="21" t="s">
        <v>1013</v>
      </c>
      <c r="L508" s="21" t="s">
        <v>4902</v>
      </c>
      <c r="M508" s="21" t="s">
        <v>4895</v>
      </c>
      <c r="N508" s="21" t="s">
        <v>4903</v>
      </c>
      <c r="O508" s="21" t="s">
        <v>4904</v>
      </c>
      <c r="P508" s="27">
        <v>0</v>
      </c>
      <c r="Q508" s="27">
        <v>4</v>
      </c>
      <c r="R508" s="21" t="s">
        <v>4905</v>
      </c>
      <c r="S508" s="21" t="s">
        <v>4906</v>
      </c>
      <c r="T508" s="21" t="s">
        <v>3189</v>
      </c>
      <c r="U508" s="21" t="s">
        <v>4907</v>
      </c>
    </row>
    <row r="509" spans="1:21" ht="42">
      <c r="A509" s="21" t="s">
        <v>913</v>
      </c>
      <c r="B509" s="21" t="s">
        <v>914</v>
      </c>
      <c r="C509" s="21" t="s">
        <v>673</v>
      </c>
      <c r="D509" s="21" t="s">
        <v>180</v>
      </c>
      <c r="E509" s="21" t="s">
        <v>4540</v>
      </c>
      <c r="F509" s="21" t="s">
        <v>1412</v>
      </c>
      <c r="G509" s="21" t="s">
        <v>4908</v>
      </c>
      <c r="H509" s="28">
        <v>42122</v>
      </c>
      <c r="I509" s="22">
        <v>2015</v>
      </c>
      <c r="J509" s="21" t="s">
        <v>958</v>
      </c>
      <c r="K509" s="21" t="s">
        <v>959</v>
      </c>
      <c r="L509" s="21" t="s">
        <v>4909</v>
      </c>
      <c r="M509" s="21" t="s">
        <v>4566</v>
      </c>
      <c r="N509" s="21" t="s">
        <v>4603</v>
      </c>
      <c r="O509" s="21" t="s">
        <v>4910</v>
      </c>
      <c r="P509" s="27">
        <v>0</v>
      </c>
      <c r="Q509" s="27">
        <v>6</v>
      </c>
      <c r="R509" s="21" t="s">
        <v>4911</v>
      </c>
      <c r="S509" s="21" t="s">
        <v>4912</v>
      </c>
      <c r="T509" s="21" t="s">
        <v>966</v>
      </c>
      <c r="U509" s="21" t="s">
        <v>4913</v>
      </c>
    </row>
    <row r="510" spans="1:21" ht="84">
      <c r="A510" s="21" t="s">
        <v>913</v>
      </c>
      <c r="B510" s="21" t="s">
        <v>914</v>
      </c>
      <c r="C510" s="21" t="s">
        <v>673</v>
      </c>
      <c r="D510" s="21" t="s">
        <v>180</v>
      </c>
      <c r="E510" s="21" t="s">
        <v>4540</v>
      </c>
      <c r="F510" s="21" t="s">
        <v>1420</v>
      </c>
      <c r="G510" s="21" t="s">
        <v>4914</v>
      </c>
      <c r="H510" s="28">
        <v>41822</v>
      </c>
      <c r="I510" s="22">
        <v>2014</v>
      </c>
      <c r="J510" s="21" t="s">
        <v>958</v>
      </c>
      <c r="K510" s="21" t="s">
        <v>2765</v>
      </c>
      <c r="L510" s="21" t="s">
        <v>4915</v>
      </c>
      <c r="M510" s="21" t="s">
        <v>4566</v>
      </c>
      <c r="N510" s="21" t="s">
        <v>4916</v>
      </c>
      <c r="O510" s="21" t="s">
        <v>4917</v>
      </c>
      <c r="P510" s="27">
        <v>0</v>
      </c>
      <c r="Q510" s="27">
        <v>25</v>
      </c>
      <c r="R510" s="21" t="s">
        <v>4918</v>
      </c>
      <c r="S510" s="21" t="s">
        <v>4919</v>
      </c>
      <c r="T510" s="21" t="s">
        <v>966</v>
      </c>
      <c r="U510" s="21" t="s">
        <v>4920</v>
      </c>
    </row>
    <row r="511" spans="1:21" ht="28">
      <c r="A511" s="21" t="s">
        <v>913</v>
      </c>
      <c r="B511" s="21" t="s">
        <v>914</v>
      </c>
      <c r="C511" s="21" t="s">
        <v>673</v>
      </c>
      <c r="D511" s="21" t="s">
        <v>180</v>
      </c>
      <c r="E511" s="21" t="s">
        <v>4733</v>
      </c>
      <c r="F511" s="21" t="s">
        <v>1428</v>
      </c>
      <c r="G511" s="21" t="s">
        <v>4921</v>
      </c>
      <c r="H511" s="28">
        <v>41792</v>
      </c>
      <c r="I511" s="22">
        <v>2014</v>
      </c>
      <c r="J511" s="21" t="s">
        <v>1012</v>
      </c>
      <c r="K511" s="21" t="s">
        <v>1013</v>
      </c>
      <c r="L511" s="21" t="s">
        <v>4922</v>
      </c>
      <c r="M511" s="21" t="s">
        <v>4736</v>
      </c>
      <c r="N511" s="21" t="s">
        <v>4737</v>
      </c>
      <c r="O511" s="21" t="s">
        <v>4923</v>
      </c>
      <c r="P511" s="27">
        <v>0</v>
      </c>
      <c r="Q511" s="27">
        <v>16</v>
      </c>
      <c r="R511" s="21" t="s">
        <v>4924</v>
      </c>
      <c r="S511" s="21" t="s">
        <v>4760</v>
      </c>
      <c r="T511" s="21" t="s">
        <v>3189</v>
      </c>
      <c r="U511" s="21" t="s">
        <v>4925</v>
      </c>
    </row>
    <row r="512" spans="1:21" ht="154">
      <c r="A512" s="21" t="s">
        <v>913</v>
      </c>
      <c r="B512" s="21" t="s">
        <v>914</v>
      </c>
      <c r="C512" s="21" t="s">
        <v>673</v>
      </c>
      <c r="D512" s="21" t="s">
        <v>180</v>
      </c>
      <c r="E512" s="21" t="s">
        <v>4733</v>
      </c>
      <c r="F512" s="21" t="s">
        <v>1436</v>
      </c>
      <c r="G512" s="21" t="s">
        <v>4926</v>
      </c>
      <c r="H512" s="28">
        <v>41485</v>
      </c>
      <c r="I512" s="22">
        <v>2013</v>
      </c>
      <c r="J512" s="21" t="s">
        <v>958</v>
      </c>
      <c r="K512" s="21" t="s">
        <v>959</v>
      </c>
      <c r="L512" s="21" t="s">
        <v>4927</v>
      </c>
      <c r="M512" s="21" t="s">
        <v>4895</v>
      </c>
      <c r="N512" s="21" t="s">
        <v>4928</v>
      </c>
      <c r="O512" s="21" t="s">
        <v>4929</v>
      </c>
      <c r="P512" s="27">
        <v>0</v>
      </c>
      <c r="Q512" s="27">
        <v>15</v>
      </c>
      <c r="R512" s="21" t="s">
        <v>4930</v>
      </c>
      <c r="S512" s="21" t="s">
        <v>4931</v>
      </c>
      <c r="T512" s="21" t="s">
        <v>966</v>
      </c>
      <c r="U512" s="21" t="s">
        <v>4932</v>
      </c>
    </row>
    <row r="513" spans="1:21" ht="56">
      <c r="A513" s="21" t="s">
        <v>913</v>
      </c>
      <c r="B513" s="21" t="s">
        <v>914</v>
      </c>
      <c r="C513" s="21" t="s">
        <v>673</v>
      </c>
      <c r="D513" s="21" t="s">
        <v>180</v>
      </c>
      <c r="E513" s="21" t="s">
        <v>4733</v>
      </c>
      <c r="F513" s="21" t="s">
        <v>1444</v>
      </c>
      <c r="G513" s="21" t="s">
        <v>4933</v>
      </c>
      <c r="H513" s="28">
        <v>41964</v>
      </c>
      <c r="I513" s="22">
        <v>2014</v>
      </c>
      <c r="J513" s="21" t="s">
        <v>1012</v>
      </c>
      <c r="K513" s="21" t="s">
        <v>1013</v>
      </c>
      <c r="L513" s="21" t="s">
        <v>4934</v>
      </c>
      <c r="M513" s="21" t="s">
        <v>4736</v>
      </c>
      <c r="N513" s="21" t="s">
        <v>4935</v>
      </c>
      <c r="O513" s="21" t="s">
        <v>4936</v>
      </c>
      <c r="P513" s="27">
        <v>0</v>
      </c>
      <c r="Q513" s="27">
        <v>9</v>
      </c>
      <c r="R513" s="21" t="s">
        <v>4937</v>
      </c>
      <c r="S513" s="21" t="s">
        <v>4938</v>
      </c>
      <c r="T513" s="21" t="s">
        <v>3189</v>
      </c>
      <c r="U513" s="21" t="s">
        <v>4939</v>
      </c>
    </row>
    <row r="514" spans="1:21" ht="112">
      <c r="A514" s="21" t="s">
        <v>913</v>
      </c>
      <c r="B514" s="21" t="s">
        <v>914</v>
      </c>
      <c r="C514" s="21" t="s">
        <v>673</v>
      </c>
      <c r="D514" s="21" t="s">
        <v>180</v>
      </c>
      <c r="E514" s="21" t="s">
        <v>4540</v>
      </c>
      <c r="F514" s="21" t="s">
        <v>1452</v>
      </c>
      <c r="G514" s="21" t="s">
        <v>4940</v>
      </c>
      <c r="H514" s="28">
        <v>41383</v>
      </c>
      <c r="I514" s="22">
        <v>2013</v>
      </c>
      <c r="J514" s="21" t="s">
        <v>1748</v>
      </c>
      <c r="K514" s="21" t="s">
        <v>1013</v>
      </c>
      <c r="L514" s="21" t="s">
        <v>4941</v>
      </c>
      <c r="M514" s="21" t="s">
        <v>4566</v>
      </c>
      <c r="N514" s="21" t="s">
        <v>4942</v>
      </c>
      <c r="O514" s="21" t="s">
        <v>4943</v>
      </c>
      <c r="P514" s="27">
        <v>0</v>
      </c>
      <c r="Q514" s="27">
        <v>47</v>
      </c>
      <c r="R514" s="21" t="s">
        <v>4944</v>
      </c>
      <c r="S514" s="21" t="s">
        <v>4945</v>
      </c>
      <c r="T514" s="21" t="s">
        <v>966</v>
      </c>
      <c r="U514" s="21" t="s">
        <v>4946</v>
      </c>
    </row>
    <row r="515" spans="1:21" ht="56">
      <c r="A515" s="21" t="s">
        <v>913</v>
      </c>
      <c r="B515" s="21" t="s">
        <v>914</v>
      </c>
      <c r="C515" s="21" t="s">
        <v>673</v>
      </c>
      <c r="D515" s="21" t="s">
        <v>180</v>
      </c>
      <c r="E515" s="21" t="s">
        <v>4733</v>
      </c>
      <c r="F515" s="21" t="s">
        <v>1460</v>
      </c>
      <c r="G515" s="21" t="s">
        <v>4947</v>
      </c>
      <c r="H515" s="28">
        <v>42719</v>
      </c>
      <c r="I515" s="22">
        <v>2016</v>
      </c>
      <c r="J515" s="21" t="s">
        <v>958</v>
      </c>
      <c r="K515" s="21" t="s">
        <v>998</v>
      </c>
      <c r="L515" s="21" t="s">
        <v>4948</v>
      </c>
      <c r="M515" s="21" t="s">
        <v>4895</v>
      </c>
      <c r="N515" s="21" t="s">
        <v>4603</v>
      </c>
      <c r="O515" s="21" t="s">
        <v>4949</v>
      </c>
      <c r="P515" s="27">
        <v>0</v>
      </c>
      <c r="Q515" s="27">
        <v>4</v>
      </c>
      <c r="R515" s="21" t="s">
        <v>4950</v>
      </c>
      <c r="S515" s="21" t="s">
        <v>4951</v>
      </c>
      <c r="T515" s="21" t="s">
        <v>1148</v>
      </c>
      <c r="U515" s="21" t="s">
        <v>4952</v>
      </c>
    </row>
    <row r="516" spans="1:21" ht="112">
      <c r="A516" s="21" t="s">
        <v>913</v>
      </c>
      <c r="B516" s="21" t="s">
        <v>914</v>
      </c>
      <c r="C516" s="21" t="s">
        <v>673</v>
      </c>
      <c r="D516" s="21" t="s">
        <v>180</v>
      </c>
      <c r="E516" s="21" t="s">
        <v>4733</v>
      </c>
      <c r="F516" s="21" t="s">
        <v>1468</v>
      </c>
      <c r="G516" s="21" t="s">
        <v>4953</v>
      </c>
      <c r="H516" s="28">
        <v>40960</v>
      </c>
      <c r="I516" s="22">
        <v>2012</v>
      </c>
      <c r="J516" s="21" t="s">
        <v>958</v>
      </c>
      <c r="K516" s="21" t="s">
        <v>959</v>
      </c>
      <c r="L516" s="21" t="s">
        <v>4954</v>
      </c>
      <c r="M516" s="21" t="s">
        <v>4895</v>
      </c>
      <c r="N516" s="21" t="s">
        <v>4955</v>
      </c>
      <c r="O516" s="21" t="s">
        <v>4956</v>
      </c>
      <c r="P516" s="27">
        <v>0</v>
      </c>
      <c r="Q516" s="27">
        <v>16</v>
      </c>
      <c r="R516" s="21" t="s">
        <v>4957</v>
      </c>
      <c r="S516" s="21" t="s">
        <v>4958</v>
      </c>
      <c r="T516" s="21" t="s">
        <v>966</v>
      </c>
      <c r="U516" s="21" t="s">
        <v>4959</v>
      </c>
    </row>
    <row r="517" spans="1:21" ht="28">
      <c r="A517" s="21" t="s">
        <v>913</v>
      </c>
      <c r="B517" s="21" t="s">
        <v>914</v>
      </c>
      <c r="C517" s="21" t="s">
        <v>673</v>
      </c>
      <c r="D517" s="21" t="s">
        <v>180</v>
      </c>
      <c r="E517" s="21" t="s">
        <v>4733</v>
      </c>
      <c r="F517" s="21" t="s">
        <v>1476</v>
      </c>
      <c r="G517" s="21" t="s">
        <v>4960</v>
      </c>
      <c r="H517" s="28">
        <v>42216</v>
      </c>
      <c r="I517" s="22">
        <v>2015</v>
      </c>
      <c r="J517" s="21" t="s">
        <v>958</v>
      </c>
      <c r="K517" s="21" t="s">
        <v>998</v>
      </c>
      <c r="L517" s="21" t="s">
        <v>4961</v>
      </c>
      <c r="M517" s="21" t="s">
        <v>4895</v>
      </c>
      <c r="N517" s="21" t="s">
        <v>4603</v>
      </c>
      <c r="O517" s="21" t="s">
        <v>4962</v>
      </c>
      <c r="P517" s="27">
        <v>0</v>
      </c>
      <c r="Q517" s="27">
        <v>2</v>
      </c>
      <c r="R517" s="21" t="s">
        <v>4963</v>
      </c>
      <c r="S517" s="21" t="s">
        <v>4963</v>
      </c>
      <c r="T517" s="21" t="s">
        <v>1148</v>
      </c>
      <c r="U517" s="21" t="s">
        <v>4964</v>
      </c>
    </row>
    <row r="518" spans="1:21" ht="168">
      <c r="A518" s="21" t="s">
        <v>913</v>
      </c>
      <c r="B518" s="21" t="s">
        <v>914</v>
      </c>
      <c r="C518" s="21" t="s">
        <v>673</v>
      </c>
      <c r="D518" s="21" t="s">
        <v>180</v>
      </c>
      <c r="E518" s="21" t="s">
        <v>4733</v>
      </c>
      <c r="F518" s="21" t="s">
        <v>1484</v>
      </c>
      <c r="G518" s="21" t="s">
        <v>4965</v>
      </c>
      <c r="H518" s="28">
        <v>40849</v>
      </c>
      <c r="I518" s="22">
        <v>2011</v>
      </c>
      <c r="J518" s="21" t="s">
        <v>958</v>
      </c>
      <c r="K518" s="21" t="s">
        <v>959</v>
      </c>
      <c r="L518" s="21" t="s">
        <v>4966</v>
      </c>
      <c r="M518" s="21" t="s">
        <v>4895</v>
      </c>
      <c r="N518" s="21" t="s">
        <v>4967</v>
      </c>
      <c r="O518" s="21" t="s">
        <v>4968</v>
      </c>
      <c r="P518" s="27">
        <v>0</v>
      </c>
      <c r="Q518" s="27">
        <v>19</v>
      </c>
      <c r="R518" s="21" t="s">
        <v>4969</v>
      </c>
      <c r="S518" s="21" t="s">
        <v>4970</v>
      </c>
      <c r="T518" s="21" t="s">
        <v>966</v>
      </c>
      <c r="U518" s="21" t="s">
        <v>4971</v>
      </c>
    </row>
    <row r="519" spans="1:21" ht="84">
      <c r="A519" s="21" t="s">
        <v>913</v>
      </c>
      <c r="B519" s="21" t="s">
        <v>914</v>
      </c>
      <c r="C519" s="21" t="s">
        <v>673</v>
      </c>
      <c r="D519" s="21" t="s">
        <v>180</v>
      </c>
      <c r="E519" s="21" t="s">
        <v>4733</v>
      </c>
      <c r="F519" s="21" t="s">
        <v>1491</v>
      </c>
      <c r="G519" s="21" t="s">
        <v>4972</v>
      </c>
      <c r="H519" s="28">
        <v>41988</v>
      </c>
      <c r="I519" s="22">
        <v>2014</v>
      </c>
      <c r="J519" s="21" t="s">
        <v>958</v>
      </c>
      <c r="K519" s="21" t="s">
        <v>998</v>
      </c>
      <c r="L519" s="21" t="s">
        <v>4973</v>
      </c>
      <c r="M519" s="21" t="s">
        <v>4895</v>
      </c>
      <c r="N519" s="21" t="s">
        <v>4603</v>
      </c>
      <c r="O519" s="21" t="s">
        <v>4974</v>
      </c>
      <c r="P519" s="27">
        <v>0</v>
      </c>
      <c r="Q519" s="27">
        <v>19</v>
      </c>
      <c r="R519" s="21" t="s">
        <v>4975</v>
      </c>
      <c r="S519" s="21" t="s">
        <v>4976</v>
      </c>
      <c r="T519" s="21" t="s">
        <v>1148</v>
      </c>
      <c r="U519" s="21" t="s">
        <v>4977</v>
      </c>
    </row>
    <row r="520" spans="1:21" ht="154">
      <c r="A520" s="21" t="s">
        <v>913</v>
      </c>
      <c r="B520" s="21" t="s">
        <v>914</v>
      </c>
      <c r="C520" s="21" t="s">
        <v>673</v>
      </c>
      <c r="D520" s="21" t="s">
        <v>180</v>
      </c>
      <c r="E520" s="21" t="s">
        <v>4733</v>
      </c>
      <c r="F520" s="21" t="s">
        <v>1499</v>
      </c>
      <c r="G520" s="21" t="s">
        <v>4978</v>
      </c>
      <c r="H520" s="28">
        <v>41281</v>
      </c>
      <c r="I520" s="22">
        <v>2013</v>
      </c>
      <c r="J520" s="21" t="s">
        <v>958</v>
      </c>
      <c r="K520" s="21" t="s">
        <v>959</v>
      </c>
      <c r="L520" s="21" t="s">
        <v>4979</v>
      </c>
      <c r="M520" s="21" t="s">
        <v>4895</v>
      </c>
      <c r="N520" s="21" t="s">
        <v>4980</v>
      </c>
      <c r="O520" s="21" t="s">
        <v>4981</v>
      </c>
      <c r="P520" s="27">
        <v>0</v>
      </c>
      <c r="Q520" s="27">
        <v>15</v>
      </c>
      <c r="R520" s="21" t="s">
        <v>4982</v>
      </c>
      <c r="S520" s="21" t="s">
        <v>4983</v>
      </c>
      <c r="T520" s="21" t="s">
        <v>966</v>
      </c>
      <c r="U520" s="21" t="s">
        <v>4984</v>
      </c>
    </row>
    <row r="521" spans="1:21" ht="238">
      <c r="A521" s="21" t="s">
        <v>913</v>
      </c>
      <c r="B521" s="21" t="s">
        <v>914</v>
      </c>
      <c r="C521" s="21" t="s">
        <v>673</v>
      </c>
      <c r="D521" s="21" t="s">
        <v>180</v>
      </c>
      <c r="E521" s="21" t="s">
        <v>4733</v>
      </c>
      <c r="F521" s="21" t="s">
        <v>1507</v>
      </c>
      <c r="G521" s="21" t="s">
        <v>4985</v>
      </c>
      <c r="H521" s="28">
        <v>40802</v>
      </c>
      <c r="I521" s="22">
        <v>2011</v>
      </c>
      <c r="J521" s="21" t="s">
        <v>958</v>
      </c>
      <c r="K521" s="21" t="s">
        <v>959</v>
      </c>
      <c r="L521" s="21" t="s">
        <v>4986</v>
      </c>
      <c r="M521" s="21" t="s">
        <v>4895</v>
      </c>
      <c r="N521" s="21" t="s">
        <v>4987</v>
      </c>
      <c r="O521" s="21" t="s">
        <v>4988</v>
      </c>
      <c r="P521" s="27">
        <v>0</v>
      </c>
      <c r="Q521" s="27">
        <v>26</v>
      </c>
      <c r="R521" s="21" t="s">
        <v>4989</v>
      </c>
      <c r="S521" s="21" t="s">
        <v>4990</v>
      </c>
      <c r="T521" s="21" t="s">
        <v>966</v>
      </c>
      <c r="U521" s="21" t="s">
        <v>4991</v>
      </c>
    </row>
    <row r="522" spans="1:21" ht="112">
      <c r="A522" s="21" t="s">
        <v>913</v>
      </c>
      <c r="B522" s="21" t="s">
        <v>914</v>
      </c>
      <c r="C522" s="21" t="s">
        <v>673</v>
      </c>
      <c r="D522" s="21" t="s">
        <v>180</v>
      </c>
      <c r="E522" s="21" t="s">
        <v>4733</v>
      </c>
      <c r="F522" s="21" t="s">
        <v>1515</v>
      </c>
      <c r="G522" s="21" t="s">
        <v>4992</v>
      </c>
      <c r="H522" s="28">
        <v>41094</v>
      </c>
      <c r="I522" s="22">
        <v>2012</v>
      </c>
      <c r="J522" s="21" t="s">
        <v>1012</v>
      </c>
      <c r="K522" s="21" t="s">
        <v>1013</v>
      </c>
      <c r="L522" s="21" t="s">
        <v>4993</v>
      </c>
      <c r="M522" s="21" t="s">
        <v>4994</v>
      </c>
      <c r="N522" s="21" t="s">
        <v>4995</v>
      </c>
      <c r="O522" s="21" t="s">
        <v>4996</v>
      </c>
      <c r="P522" s="27">
        <v>1</v>
      </c>
      <c r="Q522" s="27">
        <v>16</v>
      </c>
      <c r="R522" s="21" t="s">
        <v>4997</v>
      </c>
      <c r="S522" s="21" t="s">
        <v>4998</v>
      </c>
      <c r="T522" s="21" t="s">
        <v>3189</v>
      </c>
      <c r="U522" s="21" t="s">
        <v>4999</v>
      </c>
    </row>
    <row r="523" spans="1:21" ht="112">
      <c r="A523" s="21" t="s">
        <v>913</v>
      </c>
      <c r="B523" s="21" t="s">
        <v>914</v>
      </c>
      <c r="C523" s="21" t="s">
        <v>673</v>
      </c>
      <c r="D523" s="21" t="s">
        <v>180</v>
      </c>
      <c r="E523" s="21" t="s">
        <v>4733</v>
      </c>
      <c r="F523" s="21" t="s">
        <v>1521</v>
      </c>
      <c r="G523" s="21" t="s">
        <v>5000</v>
      </c>
      <c r="H523" s="28">
        <v>40932</v>
      </c>
      <c r="I523" s="22">
        <v>2012</v>
      </c>
      <c r="J523" s="21" t="s">
        <v>958</v>
      </c>
      <c r="K523" s="21" t="s">
        <v>959</v>
      </c>
      <c r="L523" s="21" t="s">
        <v>5001</v>
      </c>
      <c r="M523" s="21" t="s">
        <v>4895</v>
      </c>
      <c r="N523" s="21" t="s">
        <v>5002</v>
      </c>
      <c r="O523" s="21" t="s">
        <v>5003</v>
      </c>
      <c r="P523" s="27">
        <v>0</v>
      </c>
      <c r="Q523" s="27">
        <v>15</v>
      </c>
      <c r="R523" s="21" t="s">
        <v>5004</v>
      </c>
      <c r="S523" s="21" t="s">
        <v>5005</v>
      </c>
      <c r="T523" s="21" t="s">
        <v>966</v>
      </c>
      <c r="U523" s="21" t="s">
        <v>5006</v>
      </c>
    </row>
    <row r="524" spans="1:21" ht="98">
      <c r="A524" s="21" t="s">
        <v>913</v>
      </c>
      <c r="B524" s="21" t="s">
        <v>914</v>
      </c>
      <c r="C524" s="21" t="s">
        <v>673</v>
      </c>
      <c r="D524" s="21" t="s">
        <v>180</v>
      </c>
      <c r="E524" s="21" t="s">
        <v>4733</v>
      </c>
      <c r="F524" s="21" t="s">
        <v>1529</v>
      </c>
      <c r="G524" s="21" t="s">
        <v>5007</v>
      </c>
      <c r="H524" s="28">
        <v>40745</v>
      </c>
      <c r="I524" s="22">
        <v>2011</v>
      </c>
      <c r="J524" s="21" t="s">
        <v>958</v>
      </c>
      <c r="K524" s="21" t="s">
        <v>959</v>
      </c>
      <c r="L524" s="21" t="s">
        <v>5008</v>
      </c>
      <c r="M524" s="21" t="s">
        <v>4895</v>
      </c>
      <c r="N524" s="21" t="s">
        <v>5009</v>
      </c>
      <c r="O524" s="21" t="s">
        <v>5010</v>
      </c>
      <c r="P524" s="27">
        <v>0</v>
      </c>
      <c r="Q524" s="27">
        <v>14</v>
      </c>
      <c r="R524" s="21" t="s">
        <v>5011</v>
      </c>
      <c r="S524" s="21" t="s">
        <v>5012</v>
      </c>
      <c r="T524" s="21" t="s">
        <v>966</v>
      </c>
      <c r="U524" s="21" t="s">
        <v>5013</v>
      </c>
    </row>
    <row r="525" spans="1:21" ht="196">
      <c r="A525" s="21" t="s">
        <v>913</v>
      </c>
      <c r="B525" s="21" t="s">
        <v>914</v>
      </c>
      <c r="C525" s="21" t="s">
        <v>673</v>
      </c>
      <c r="D525" s="21" t="s">
        <v>180</v>
      </c>
      <c r="E525" s="21" t="s">
        <v>4733</v>
      </c>
      <c r="F525" s="21" t="s">
        <v>1537</v>
      </c>
      <c r="G525" s="21" t="s">
        <v>5014</v>
      </c>
      <c r="H525" s="28">
        <v>41093</v>
      </c>
      <c r="I525" s="22">
        <v>2012</v>
      </c>
      <c r="J525" s="21" t="s">
        <v>1012</v>
      </c>
      <c r="K525" s="21" t="s">
        <v>1013</v>
      </c>
      <c r="L525" s="21" t="s">
        <v>5015</v>
      </c>
      <c r="M525" s="21" t="s">
        <v>4895</v>
      </c>
      <c r="N525" s="21" t="s">
        <v>5016</v>
      </c>
      <c r="O525" s="21" t="s">
        <v>5017</v>
      </c>
      <c r="P525" s="27">
        <v>0</v>
      </c>
      <c r="Q525" s="27">
        <v>17</v>
      </c>
      <c r="R525" s="21" t="s">
        <v>5018</v>
      </c>
      <c r="S525" s="21" t="s">
        <v>5019</v>
      </c>
      <c r="T525" s="21" t="s">
        <v>3189</v>
      </c>
      <c r="U525" s="21" t="s">
        <v>5020</v>
      </c>
    </row>
    <row r="526" spans="1:21" ht="84">
      <c r="A526" s="21" t="s">
        <v>913</v>
      </c>
      <c r="B526" s="21" t="s">
        <v>914</v>
      </c>
      <c r="C526" s="21" t="s">
        <v>673</v>
      </c>
      <c r="D526" s="21" t="s">
        <v>180</v>
      </c>
      <c r="E526" s="21" t="s">
        <v>4733</v>
      </c>
      <c r="F526" s="21" t="s">
        <v>1545</v>
      </c>
      <c r="G526" s="21" t="s">
        <v>5021</v>
      </c>
      <c r="H526" s="28">
        <v>41625</v>
      </c>
      <c r="I526" s="22">
        <v>2013</v>
      </c>
      <c r="J526" s="21" t="s">
        <v>1012</v>
      </c>
      <c r="K526" s="21" t="s">
        <v>998</v>
      </c>
      <c r="L526" s="21" t="s">
        <v>5022</v>
      </c>
      <c r="M526" s="21" t="s">
        <v>4895</v>
      </c>
      <c r="N526" s="21" t="s">
        <v>5023</v>
      </c>
      <c r="O526" s="21" t="s">
        <v>5024</v>
      </c>
      <c r="P526" s="27">
        <v>2</v>
      </c>
      <c r="Q526" s="27">
        <v>17</v>
      </c>
      <c r="R526" s="21" t="s">
        <v>5025</v>
      </c>
      <c r="S526" s="21" t="s">
        <v>5026</v>
      </c>
      <c r="T526" s="21" t="s">
        <v>1148</v>
      </c>
      <c r="U526" s="21" t="s">
        <v>5027</v>
      </c>
    </row>
    <row r="527" spans="1:21" ht="70">
      <c r="A527" s="21" t="s">
        <v>913</v>
      </c>
      <c r="B527" s="21" t="s">
        <v>914</v>
      </c>
      <c r="C527" s="21" t="s">
        <v>673</v>
      </c>
      <c r="D527" s="21" t="s">
        <v>180</v>
      </c>
      <c r="E527" s="21" t="s">
        <v>4733</v>
      </c>
      <c r="F527" s="21" t="s">
        <v>1553</v>
      </c>
      <c r="G527" s="21" t="s">
        <v>5028</v>
      </c>
      <c r="H527" s="28">
        <v>41625</v>
      </c>
      <c r="I527" s="22">
        <v>2013</v>
      </c>
      <c r="J527" s="21" t="s">
        <v>958</v>
      </c>
      <c r="K527" s="21" t="s">
        <v>998</v>
      </c>
      <c r="L527" s="21" t="s">
        <v>5029</v>
      </c>
      <c r="M527" s="21" t="s">
        <v>4895</v>
      </c>
      <c r="N527" s="21" t="s">
        <v>4603</v>
      </c>
      <c r="O527" s="21" t="s">
        <v>5030</v>
      </c>
      <c r="P527" s="27">
        <v>0</v>
      </c>
      <c r="Q527" s="27">
        <v>18</v>
      </c>
      <c r="R527" s="21" t="s">
        <v>5031</v>
      </c>
      <c r="S527" s="21" t="s">
        <v>5032</v>
      </c>
      <c r="T527" s="21" t="s">
        <v>1148</v>
      </c>
      <c r="U527" s="21" t="s">
        <v>5033</v>
      </c>
    </row>
    <row r="528" spans="1:21" ht="84">
      <c r="A528" s="21" t="s">
        <v>913</v>
      </c>
      <c r="B528" s="21" t="s">
        <v>914</v>
      </c>
      <c r="C528" s="21" t="s">
        <v>673</v>
      </c>
      <c r="D528" s="21" t="s">
        <v>180</v>
      </c>
      <c r="E528" s="21" t="s">
        <v>4733</v>
      </c>
      <c r="F528" s="21" t="s">
        <v>1561</v>
      </c>
      <c r="G528" s="21" t="s">
        <v>5034</v>
      </c>
      <c r="H528" s="28">
        <v>41227</v>
      </c>
      <c r="I528" s="22">
        <v>2012</v>
      </c>
      <c r="J528" s="21" t="s">
        <v>958</v>
      </c>
      <c r="K528" s="21" t="s">
        <v>959</v>
      </c>
      <c r="L528" s="21" t="s">
        <v>5035</v>
      </c>
      <c r="M528" s="21" t="s">
        <v>4895</v>
      </c>
      <c r="N528" s="21" t="s">
        <v>5036</v>
      </c>
      <c r="O528" s="21" t="s">
        <v>5037</v>
      </c>
      <c r="P528" s="27">
        <v>0</v>
      </c>
      <c r="Q528" s="27">
        <v>15</v>
      </c>
      <c r="R528" s="21" t="s">
        <v>5038</v>
      </c>
      <c r="S528" s="21" t="s">
        <v>5039</v>
      </c>
      <c r="T528" s="21" t="s">
        <v>966</v>
      </c>
      <c r="U528" s="21" t="s">
        <v>5040</v>
      </c>
    </row>
    <row r="529" spans="1:21" ht="98">
      <c r="A529" s="21" t="s">
        <v>913</v>
      </c>
      <c r="B529" s="21" t="s">
        <v>914</v>
      </c>
      <c r="C529" s="21" t="s">
        <v>673</v>
      </c>
      <c r="D529" s="21" t="s">
        <v>180</v>
      </c>
      <c r="E529" s="21" t="s">
        <v>4733</v>
      </c>
      <c r="F529" s="21" t="s">
        <v>1569</v>
      </c>
      <c r="G529" s="21" t="s">
        <v>5041</v>
      </c>
      <c r="H529" s="28">
        <v>41529</v>
      </c>
      <c r="I529" s="22">
        <v>2013</v>
      </c>
      <c r="J529" s="21" t="s">
        <v>958</v>
      </c>
      <c r="K529" s="21" t="s">
        <v>998</v>
      </c>
      <c r="L529" s="21" t="s">
        <v>5042</v>
      </c>
      <c r="M529" s="21" t="s">
        <v>4895</v>
      </c>
      <c r="N529" s="21" t="s">
        <v>4603</v>
      </c>
      <c r="O529" s="21" t="s">
        <v>5043</v>
      </c>
      <c r="P529" s="27">
        <v>7</v>
      </c>
      <c r="Q529" s="27">
        <v>19</v>
      </c>
      <c r="R529" s="21" t="s">
        <v>5044</v>
      </c>
      <c r="S529" s="21" t="s">
        <v>5045</v>
      </c>
      <c r="T529" s="21" t="s">
        <v>1148</v>
      </c>
      <c r="U529" s="21" t="s">
        <v>5046</v>
      </c>
    </row>
    <row r="530" spans="1:21" ht="84">
      <c r="A530" s="21" t="s">
        <v>913</v>
      </c>
      <c r="B530" s="21" t="s">
        <v>914</v>
      </c>
      <c r="C530" s="21" t="s">
        <v>673</v>
      </c>
      <c r="D530" s="21" t="s">
        <v>180</v>
      </c>
      <c r="E530" s="21" t="s">
        <v>4733</v>
      </c>
      <c r="F530" s="21" t="s">
        <v>1577</v>
      </c>
      <c r="G530" s="21" t="s">
        <v>5047</v>
      </c>
      <c r="H530" s="28">
        <v>41451</v>
      </c>
      <c r="I530" s="22">
        <v>2013</v>
      </c>
      <c r="J530" s="21" t="s">
        <v>958</v>
      </c>
      <c r="K530" s="21" t="s">
        <v>998</v>
      </c>
      <c r="L530" s="21" t="s">
        <v>5048</v>
      </c>
      <c r="M530" s="21" t="s">
        <v>4895</v>
      </c>
      <c r="N530" s="21" t="s">
        <v>4603</v>
      </c>
      <c r="O530" s="21" t="s">
        <v>5049</v>
      </c>
      <c r="P530" s="27">
        <v>0</v>
      </c>
      <c r="Q530" s="27">
        <v>23</v>
      </c>
      <c r="R530" s="21" t="s">
        <v>5050</v>
      </c>
      <c r="S530" s="21" t="s">
        <v>5051</v>
      </c>
      <c r="T530" s="21" t="s">
        <v>1148</v>
      </c>
      <c r="U530" s="21" t="s">
        <v>5052</v>
      </c>
    </row>
    <row r="531" spans="1:21" ht="84">
      <c r="A531" s="21" t="s">
        <v>913</v>
      </c>
      <c r="B531" s="21" t="s">
        <v>914</v>
      </c>
      <c r="C531" s="21" t="s">
        <v>673</v>
      </c>
      <c r="D531" s="21" t="s">
        <v>180</v>
      </c>
      <c r="E531" s="21" t="s">
        <v>4733</v>
      </c>
      <c r="F531" s="21" t="s">
        <v>1585</v>
      </c>
      <c r="G531" s="21" t="s">
        <v>5053</v>
      </c>
      <c r="H531" s="28">
        <v>41380</v>
      </c>
      <c r="I531" s="22">
        <v>2013</v>
      </c>
      <c r="J531" s="21" t="s">
        <v>958</v>
      </c>
      <c r="K531" s="21" t="s">
        <v>998</v>
      </c>
      <c r="L531" s="21" t="s">
        <v>5054</v>
      </c>
      <c r="M531" s="21" t="s">
        <v>4895</v>
      </c>
      <c r="N531" s="21" t="s">
        <v>4603</v>
      </c>
      <c r="O531" s="21" t="s">
        <v>5055</v>
      </c>
      <c r="P531" s="27">
        <v>0</v>
      </c>
      <c r="Q531" s="27">
        <v>18</v>
      </c>
      <c r="R531" s="21" t="s">
        <v>5056</v>
      </c>
      <c r="S531" s="21" t="s">
        <v>5057</v>
      </c>
      <c r="T531" s="21" t="s">
        <v>1148</v>
      </c>
      <c r="U531" s="21" t="s">
        <v>5058</v>
      </c>
    </row>
    <row r="532" spans="1:21" ht="112">
      <c r="A532" s="21" t="s">
        <v>913</v>
      </c>
      <c r="B532" s="21" t="s">
        <v>914</v>
      </c>
      <c r="C532" s="21" t="s">
        <v>673</v>
      </c>
      <c r="D532" s="21" t="s">
        <v>180</v>
      </c>
      <c r="E532" s="21" t="s">
        <v>4733</v>
      </c>
      <c r="F532" s="21" t="s">
        <v>1600</v>
      </c>
      <c r="G532" s="21" t="s">
        <v>5059</v>
      </c>
      <c r="H532" s="28">
        <v>40899</v>
      </c>
      <c r="I532" s="22">
        <v>2011</v>
      </c>
      <c r="J532" s="21" t="s">
        <v>958</v>
      </c>
      <c r="K532" s="21" t="s">
        <v>998</v>
      </c>
      <c r="L532" s="21" t="s">
        <v>5060</v>
      </c>
      <c r="M532" s="21" t="s">
        <v>5061</v>
      </c>
      <c r="N532" s="21" t="s">
        <v>5062</v>
      </c>
      <c r="O532" s="21" t="s">
        <v>5063</v>
      </c>
      <c r="P532" s="27">
        <v>0</v>
      </c>
      <c r="Q532" s="27">
        <v>21</v>
      </c>
      <c r="R532" s="21" t="s">
        <v>5064</v>
      </c>
      <c r="S532" s="21" t="s">
        <v>5065</v>
      </c>
      <c r="T532" s="21" t="s">
        <v>1148</v>
      </c>
      <c r="U532" s="21" t="s">
        <v>5066</v>
      </c>
    </row>
    <row r="533" spans="1:21" ht="196">
      <c r="A533" s="21" t="s">
        <v>913</v>
      </c>
      <c r="B533" s="21" t="s">
        <v>914</v>
      </c>
      <c r="C533" s="21" t="s">
        <v>673</v>
      </c>
      <c r="D533" s="21" t="s">
        <v>180</v>
      </c>
      <c r="E533" s="21" t="s">
        <v>4733</v>
      </c>
      <c r="F533" s="21" t="s">
        <v>1608</v>
      </c>
      <c r="G533" s="21" t="s">
        <v>5067</v>
      </c>
      <c r="H533" s="28">
        <v>40682</v>
      </c>
      <c r="I533" s="22">
        <v>2011</v>
      </c>
      <c r="J533" s="21" t="s">
        <v>958</v>
      </c>
      <c r="K533" s="21" t="s">
        <v>998</v>
      </c>
      <c r="L533" s="21" t="s">
        <v>5068</v>
      </c>
      <c r="M533" s="21" t="s">
        <v>4895</v>
      </c>
      <c r="N533" s="21" t="s">
        <v>4603</v>
      </c>
      <c r="O533" s="21" t="s">
        <v>5069</v>
      </c>
      <c r="P533" s="27">
        <v>0</v>
      </c>
      <c r="Q533" s="27">
        <v>34</v>
      </c>
      <c r="R533" s="21" t="s">
        <v>5070</v>
      </c>
      <c r="S533" s="21" t="s">
        <v>5071</v>
      </c>
      <c r="T533" s="21" t="s">
        <v>1148</v>
      </c>
      <c r="U533" s="21" t="s">
        <v>5072</v>
      </c>
    </row>
    <row r="534" spans="1:21" ht="196">
      <c r="A534" s="21" t="s">
        <v>913</v>
      </c>
      <c r="B534" s="21" t="s">
        <v>914</v>
      </c>
      <c r="C534" s="21" t="s">
        <v>673</v>
      </c>
      <c r="D534" s="21" t="s">
        <v>181</v>
      </c>
      <c r="E534" s="21" t="s">
        <v>4481</v>
      </c>
      <c r="F534" s="21" t="s">
        <v>996</v>
      </c>
      <c r="G534" s="21" t="s">
        <v>5073</v>
      </c>
      <c r="H534" s="28">
        <v>43070</v>
      </c>
      <c r="I534" s="22">
        <v>2017</v>
      </c>
      <c r="J534" s="21" t="s">
        <v>1012</v>
      </c>
      <c r="K534" s="21" t="s">
        <v>1013</v>
      </c>
      <c r="L534" s="21" t="s">
        <v>5074</v>
      </c>
      <c r="M534" s="21" t="s">
        <v>5075</v>
      </c>
      <c r="N534" s="21" t="s">
        <v>5076</v>
      </c>
      <c r="O534" s="21" t="s">
        <v>5077</v>
      </c>
      <c r="P534" s="27">
        <v>0</v>
      </c>
      <c r="Q534" s="27">
        <v>35</v>
      </c>
      <c r="R534" s="21" t="s">
        <v>5078</v>
      </c>
      <c r="S534" s="21" t="s">
        <v>5079</v>
      </c>
      <c r="T534" s="21" t="s">
        <v>966</v>
      </c>
      <c r="U534" s="21" t="s">
        <v>5080</v>
      </c>
    </row>
    <row r="535" spans="1:21" ht="140">
      <c r="A535" s="21" t="s">
        <v>913</v>
      </c>
      <c r="B535" s="21" t="s">
        <v>914</v>
      </c>
      <c r="C535" s="21" t="s">
        <v>673</v>
      </c>
      <c r="D535" s="21" t="s">
        <v>181</v>
      </c>
      <c r="E535" s="21" t="s">
        <v>4481</v>
      </c>
      <c r="F535" s="21" t="s">
        <v>1020</v>
      </c>
      <c r="G535" s="21" t="s">
        <v>5081</v>
      </c>
      <c r="H535" s="28">
        <v>42149</v>
      </c>
      <c r="I535" s="22">
        <v>2015</v>
      </c>
      <c r="J535" s="21" t="s">
        <v>958</v>
      </c>
      <c r="K535" s="21" t="s">
        <v>959</v>
      </c>
      <c r="L535" s="21" t="s">
        <v>5082</v>
      </c>
      <c r="M535" s="21" t="s">
        <v>5083</v>
      </c>
      <c r="N535" s="21" t="s">
        <v>5084</v>
      </c>
      <c r="O535" s="21" t="s">
        <v>5085</v>
      </c>
      <c r="P535" s="27">
        <v>0</v>
      </c>
      <c r="Q535" s="27">
        <v>26</v>
      </c>
      <c r="R535" s="21" t="s">
        <v>5086</v>
      </c>
      <c r="S535" s="21" t="s">
        <v>5087</v>
      </c>
      <c r="T535" s="21" t="s">
        <v>966</v>
      </c>
      <c r="U535" s="21" t="s">
        <v>5088</v>
      </c>
    </row>
    <row r="536" spans="1:21" ht="28">
      <c r="A536" s="21" t="s">
        <v>913</v>
      </c>
      <c r="B536" s="21" t="s">
        <v>914</v>
      </c>
      <c r="C536" s="21" t="s">
        <v>673</v>
      </c>
      <c r="D536" s="21" t="s">
        <v>181</v>
      </c>
      <c r="E536" s="21" t="s">
        <v>4481</v>
      </c>
      <c r="F536" s="21" t="s">
        <v>1593</v>
      </c>
      <c r="G536" s="21" t="s">
        <v>5089</v>
      </c>
      <c r="H536" s="28">
        <v>40962</v>
      </c>
      <c r="I536" s="22">
        <v>2012</v>
      </c>
      <c r="J536" s="21" t="s">
        <v>1012</v>
      </c>
      <c r="K536" s="21" t="s">
        <v>1013</v>
      </c>
      <c r="L536" s="21" t="s">
        <v>5090</v>
      </c>
      <c r="M536" s="21" t="s">
        <v>5091</v>
      </c>
      <c r="N536" s="21" t="s">
        <v>5092</v>
      </c>
      <c r="O536" s="21" t="s">
        <v>5093</v>
      </c>
      <c r="P536" s="27">
        <v>1</v>
      </c>
      <c r="Q536" s="27">
        <v>9</v>
      </c>
      <c r="R536" s="21" t="s">
        <v>5094</v>
      </c>
      <c r="S536" s="21" t="s">
        <v>5095</v>
      </c>
      <c r="T536" s="21" t="s">
        <v>3189</v>
      </c>
      <c r="U536" s="21" t="s">
        <v>5096</v>
      </c>
    </row>
    <row r="537" spans="1:21" ht="154">
      <c r="A537" s="21" t="s">
        <v>916</v>
      </c>
      <c r="B537" s="21" t="s">
        <v>917</v>
      </c>
      <c r="C537" s="21" t="s">
        <v>612</v>
      </c>
      <c r="D537" s="21" t="s">
        <v>180</v>
      </c>
      <c r="E537" s="21" t="s">
        <v>5097</v>
      </c>
      <c r="F537" s="21" t="s">
        <v>956</v>
      </c>
      <c r="G537" s="21" t="s">
        <v>5098</v>
      </c>
      <c r="H537" s="28">
        <v>43411</v>
      </c>
      <c r="I537" s="22">
        <v>2018</v>
      </c>
      <c r="J537" s="21" t="s">
        <v>1012</v>
      </c>
      <c r="K537" s="21" t="s">
        <v>1013</v>
      </c>
      <c r="L537" s="21" t="s">
        <v>5099</v>
      </c>
      <c r="M537" s="21" t="s">
        <v>5100</v>
      </c>
      <c r="N537" s="21" t="s">
        <v>5101</v>
      </c>
      <c r="O537" s="21" t="s">
        <v>5102</v>
      </c>
      <c r="P537" s="27">
        <v>1</v>
      </c>
      <c r="Q537" s="27">
        <v>17</v>
      </c>
      <c r="R537" s="21" t="s">
        <v>5103</v>
      </c>
      <c r="S537" s="21" t="s">
        <v>5104</v>
      </c>
      <c r="T537" s="21" t="s">
        <v>966</v>
      </c>
      <c r="U537" s="21" t="s">
        <v>5105</v>
      </c>
    </row>
    <row r="538" spans="1:21" ht="70">
      <c r="A538" s="21" t="s">
        <v>919</v>
      </c>
      <c r="B538" s="21" t="s">
        <v>920</v>
      </c>
      <c r="C538" s="21" t="s">
        <v>599</v>
      </c>
      <c r="D538" s="21" t="s">
        <v>180</v>
      </c>
      <c r="E538" s="21" t="s">
        <v>604</v>
      </c>
      <c r="F538" s="21" t="s">
        <v>956</v>
      </c>
      <c r="G538" s="21" t="s">
        <v>5106</v>
      </c>
      <c r="H538" s="28">
        <v>43340</v>
      </c>
      <c r="I538" s="22">
        <v>2018</v>
      </c>
      <c r="J538" s="21" t="s">
        <v>958</v>
      </c>
      <c r="K538" s="21" t="s">
        <v>959</v>
      </c>
      <c r="L538" s="21" t="s">
        <v>5107</v>
      </c>
      <c r="M538" s="21" t="s">
        <v>5108</v>
      </c>
      <c r="N538" s="21" t="s">
        <v>5109</v>
      </c>
      <c r="O538" s="21" t="s">
        <v>5110</v>
      </c>
      <c r="P538" s="27">
        <v>0</v>
      </c>
      <c r="Q538" s="27">
        <v>16</v>
      </c>
      <c r="R538" s="21" t="s">
        <v>5111</v>
      </c>
      <c r="S538" s="21" t="s">
        <v>5112</v>
      </c>
      <c r="T538" s="21" t="s">
        <v>966</v>
      </c>
      <c r="U538" s="21" t="s">
        <v>5113</v>
      </c>
    </row>
    <row r="539" spans="1:21" ht="154">
      <c r="A539" s="21" t="s">
        <v>919</v>
      </c>
      <c r="B539" s="21" t="s">
        <v>920</v>
      </c>
      <c r="C539" s="21" t="s">
        <v>599</v>
      </c>
      <c r="D539" s="21" t="s">
        <v>180</v>
      </c>
      <c r="E539" s="21" t="s">
        <v>604</v>
      </c>
      <c r="F539" s="21" t="s">
        <v>968</v>
      </c>
      <c r="G539" s="21" t="s">
        <v>5114</v>
      </c>
      <c r="H539" s="28">
        <v>43783</v>
      </c>
      <c r="I539" s="22">
        <v>2019</v>
      </c>
      <c r="J539" s="21" t="s">
        <v>1012</v>
      </c>
      <c r="K539" s="21" t="s">
        <v>1013</v>
      </c>
      <c r="L539" s="21" t="s">
        <v>5115</v>
      </c>
      <c r="M539" s="21" t="s">
        <v>5108</v>
      </c>
      <c r="N539" s="21" t="s">
        <v>5116</v>
      </c>
      <c r="O539" s="21" t="s">
        <v>5117</v>
      </c>
      <c r="P539" s="27">
        <v>0</v>
      </c>
      <c r="Q539" s="27">
        <v>8</v>
      </c>
      <c r="R539" s="21" t="s">
        <v>5118</v>
      </c>
      <c r="S539" s="21" t="s">
        <v>5119</v>
      </c>
      <c r="T539" s="21" t="s">
        <v>966</v>
      </c>
      <c r="U539" s="21" t="s">
        <v>5120</v>
      </c>
    </row>
    <row r="540" spans="1:21" ht="42">
      <c r="A540" s="21" t="s">
        <v>919</v>
      </c>
      <c r="B540" s="21" t="s">
        <v>920</v>
      </c>
      <c r="C540" s="21" t="s">
        <v>599</v>
      </c>
      <c r="D540" s="21" t="s">
        <v>180</v>
      </c>
      <c r="E540" s="21" t="s">
        <v>604</v>
      </c>
      <c r="F540" s="21" t="s">
        <v>977</v>
      </c>
      <c r="G540" s="21" t="s">
        <v>5121</v>
      </c>
      <c r="H540" s="28">
        <v>44252</v>
      </c>
      <c r="I540" s="22">
        <v>2021</v>
      </c>
      <c r="J540" s="21" t="s">
        <v>1012</v>
      </c>
      <c r="K540" s="21" t="s">
        <v>1894</v>
      </c>
      <c r="L540" s="21" t="s">
        <v>5122</v>
      </c>
      <c r="M540" s="21" t="s">
        <v>5108</v>
      </c>
      <c r="N540" s="21" t="s">
        <v>5123</v>
      </c>
      <c r="O540" s="21" t="s">
        <v>5124</v>
      </c>
      <c r="P540" s="27">
        <v>0</v>
      </c>
      <c r="Q540" s="27">
        <v>2</v>
      </c>
      <c r="R540" s="21"/>
      <c r="S540" s="21"/>
      <c r="T540" s="21" t="s">
        <v>966</v>
      </c>
      <c r="U540" s="21" t="s">
        <v>5125</v>
      </c>
    </row>
    <row r="541" spans="1:21" ht="56">
      <c r="A541" s="21" t="s">
        <v>919</v>
      </c>
      <c r="B541" s="21" t="s">
        <v>920</v>
      </c>
      <c r="C541" s="21" t="s">
        <v>599</v>
      </c>
      <c r="D541" s="21" t="s">
        <v>180</v>
      </c>
      <c r="E541" s="21" t="s">
        <v>604</v>
      </c>
      <c r="F541" s="21" t="s">
        <v>985</v>
      </c>
      <c r="G541" s="21" t="s">
        <v>5126</v>
      </c>
      <c r="H541" s="28">
        <v>42244</v>
      </c>
      <c r="I541" s="22">
        <v>2015</v>
      </c>
      <c r="J541" s="21" t="s">
        <v>1012</v>
      </c>
      <c r="K541" s="21" t="s">
        <v>1013</v>
      </c>
      <c r="L541" s="21" t="s">
        <v>5127</v>
      </c>
      <c r="M541" s="21" t="s">
        <v>5128</v>
      </c>
      <c r="N541" s="21" t="s">
        <v>5129</v>
      </c>
      <c r="O541" s="21" t="s">
        <v>5130</v>
      </c>
      <c r="P541" s="27">
        <v>1</v>
      </c>
      <c r="Q541" s="27">
        <v>9</v>
      </c>
      <c r="R541" s="21" t="s">
        <v>5131</v>
      </c>
      <c r="S541" s="21" t="s">
        <v>5132</v>
      </c>
      <c r="T541" s="21" t="s">
        <v>966</v>
      </c>
      <c r="U541" s="21" t="s">
        <v>5133</v>
      </c>
    </row>
    <row r="542" spans="1:21" ht="56">
      <c r="A542" s="21" t="s">
        <v>919</v>
      </c>
      <c r="B542" s="21" t="s">
        <v>920</v>
      </c>
      <c r="C542" s="21" t="s">
        <v>599</v>
      </c>
      <c r="D542" s="21" t="s">
        <v>180</v>
      </c>
      <c r="E542" s="21" t="s">
        <v>604</v>
      </c>
      <c r="F542" s="21" t="s">
        <v>996</v>
      </c>
      <c r="G542" s="21" t="s">
        <v>5134</v>
      </c>
      <c r="H542" s="28">
        <v>42564</v>
      </c>
      <c r="I542" s="22">
        <v>2016</v>
      </c>
      <c r="J542" s="21" t="s">
        <v>958</v>
      </c>
      <c r="K542" s="21" t="s">
        <v>959</v>
      </c>
      <c r="L542" s="21" t="s">
        <v>5135</v>
      </c>
      <c r="M542" s="21" t="s">
        <v>5136</v>
      </c>
      <c r="N542" s="21" t="s">
        <v>5137</v>
      </c>
      <c r="O542" s="21" t="s">
        <v>5138</v>
      </c>
      <c r="P542" s="27">
        <v>0</v>
      </c>
      <c r="Q542" s="27">
        <v>16</v>
      </c>
      <c r="R542" s="21" t="s">
        <v>5139</v>
      </c>
      <c r="S542" s="21" t="s">
        <v>5140</v>
      </c>
      <c r="T542" s="21" t="s">
        <v>966</v>
      </c>
      <c r="U542" s="21" t="s">
        <v>5141</v>
      </c>
    </row>
    <row r="543" spans="1:21" ht="56">
      <c r="A543" s="21" t="s">
        <v>919</v>
      </c>
      <c r="B543" s="21" t="s">
        <v>920</v>
      </c>
      <c r="C543" s="21" t="s">
        <v>599</v>
      </c>
      <c r="D543" s="21" t="s">
        <v>180</v>
      </c>
      <c r="E543" s="21" t="s">
        <v>604</v>
      </c>
      <c r="F543" s="21" t="s">
        <v>1004</v>
      </c>
      <c r="G543" s="21" t="s">
        <v>5142</v>
      </c>
      <c r="H543" s="28">
        <v>42688</v>
      </c>
      <c r="I543" s="22">
        <v>2016</v>
      </c>
      <c r="J543" s="21" t="s">
        <v>958</v>
      </c>
      <c r="K543" s="21" t="s">
        <v>959</v>
      </c>
      <c r="L543" s="21" t="s">
        <v>5143</v>
      </c>
      <c r="M543" s="21" t="s">
        <v>5136</v>
      </c>
      <c r="N543" s="21" t="s">
        <v>5144</v>
      </c>
      <c r="O543" s="21" t="s">
        <v>5145</v>
      </c>
      <c r="P543" s="27">
        <v>0</v>
      </c>
      <c r="Q543" s="27">
        <v>15</v>
      </c>
      <c r="R543" s="21" t="s">
        <v>5146</v>
      </c>
      <c r="S543" s="21" t="s">
        <v>5147</v>
      </c>
      <c r="T543" s="21" t="s">
        <v>966</v>
      </c>
      <c r="U543" s="21" t="s">
        <v>5148</v>
      </c>
    </row>
    <row r="544" spans="1:21" ht="168">
      <c r="A544" s="21" t="s">
        <v>919</v>
      </c>
      <c r="B544" s="21" t="s">
        <v>920</v>
      </c>
      <c r="C544" s="21" t="s">
        <v>599</v>
      </c>
      <c r="D544" s="21" t="s">
        <v>180</v>
      </c>
      <c r="E544" s="21" t="s">
        <v>604</v>
      </c>
      <c r="F544" s="21" t="s">
        <v>1010</v>
      </c>
      <c r="G544" s="21" t="s">
        <v>5149</v>
      </c>
      <c r="H544" s="28">
        <v>43752</v>
      </c>
      <c r="I544" s="22">
        <v>2019</v>
      </c>
      <c r="J544" s="21" t="s">
        <v>958</v>
      </c>
      <c r="K544" s="21" t="s">
        <v>959</v>
      </c>
      <c r="L544" s="21" t="s">
        <v>5150</v>
      </c>
      <c r="M544" s="21" t="s">
        <v>5128</v>
      </c>
      <c r="N544" s="21" t="s">
        <v>5151</v>
      </c>
      <c r="O544" s="21" t="s">
        <v>5152</v>
      </c>
      <c r="P544" s="27">
        <v>1</v>
      </c>
      <c r="Q544" s="27">
        <v>18</v>
      </c>
      <c r="R544" s="21" t="s">
        <v>5153</v>
      </c>
      <c r="S544" s="21" t="s">
        <v>5154</v>
      </c>
      <c r="T544" s="21" t="s">
        <v>966</v>
      </c>
      <c r="U544" s="21" t="s">
        <v>5155</v>
      </c>
    </row>
    <row r="545" spans="1:21" ht="154">
      <c r="A545" s="21" t="s">
        <v>919</v>
      </c>
      <c r="B545" s="21" t="s">
        <v>920</v>
      </c>
      <c r="C545" s="21" t="s">
        <v>599</v>
      </c>
      <c r="D545" s="21" t="s">
        <v>180</v>
      </c>
      <c r="E545" s="21" t="s">
        <v>604</v>
      </c>
      <c r="F545" s="21" t="s">
        <v>1020</v>
      </c>
      <c r="G545" s="21" t="s">
        <v>5156</v>
      </c>
      <c r="H545" s="28">
        <v>43781</v>
      </c>
      <c r="I545" s="22">
        <v>2019</v>
      </c>
      <c r="J545" s="21" t="s">
        <v>1012</v>
      </c>
      <c r="K545" s="21" t="s">
        <v>998</v>
      </c>
      <c r="L545" s="21" t="s">
        <v>5157</v>
      </c>
      <c r="M545" s="21" t="s">
        <v>5158</v>
      </c>
      <c r="N545" s="21" t="s">
        <v>5116</v>
      </c>
      <c r="O545" s="21" t="s">
        <v>5159</v>
      </c>
      <c r="P545" s="27">
        <v>1</v>
      </c>
      <c r="Q545" s="27">
        <v>3</v>
      </c>
      <c r="R545" s="21" t="s">
        <v>5160</v>
      </c>
      <c r="S545" s="21" t="s">
        <v>5119</v>
      </c>
      <c r="T545" s="21" t="s">
        <v>994</v>
      </c>
      <c r="U545" s="21" t="s">
        <v>5161</v>
      </c>
    </row>
    <row r="546" spans="1:21" ht="42">
      <c r="A546" s="21" t="s">
        <v>919</v>
      </c>
      <c r="B546" s="21" t="s">
        <v>920</v>
      </c>
      <c r="C546" s="21" t="s">
        <v>599</v>
      </c>
      <c r="D546" s="21" t="s">
        <v>180</v>
      </c>
      <c r="E546" s="21" t="s">
        <v>604</v>
      </c>
      <c r="F546" s="21" t="s">
        <v>1028</v>
      </c>
      <c r="G546" s="21" t="s">
        <v>5162</v>
      </c>
      <c r="H546" s="28">
        <v>43803</v>
      </c>
      <c r="I546" s="22">
        <v>2019</v>
      </c>
      <c r="J546" s="21" t="s">
        <v>1012</v>
      </c>
      <c r="K546" s="21" t="s">
        <v>1894</v>
      </c>
      <c r="L546" s="21" t="s">
        <v>5163</v>
      </c>
      <c r="M546" s="21" t="s">
        <v>5164</v>
      </c>
      <c r="N546" s="21" t="s">
        <v>5165</v>
      </c>
      <c r="O546" s="21" t="s">
        <v>5166</v>
      </c>
      <c r="P546" s="27">
        <v>8</v>
      </c>
      <c r="Q546" s="27">
        <v>4</v>
      </c>
      <c r="R546" s="21"/>
      <c r="S546" s="21"/>
      <c r="T546" s="21" t="s">
        <v>966</v>
      </c>
      <c r="U546" s="21" t="s">
        <v>5167</v>
      </c>
    </row>
    <row r="547" spans="1:21" ht="112">
      <c r="A547" s="21" t="s">
        <v>919</v>
      </c>
      <c r="B547" s="21" t="s">
        <v>920</v>
      </c>
      <c r="C547" s="21" t="s">
        <v>599</v>
      </c>
      <c r="D547" s="21" t="s">
        <v>180</v>
      </c>
      <c r="E547" s="21" t="s">
        <v>604</v>
      </c>
      <c r="F547" s="21" t="s">
        <v>1036</v>
      </c>
      <c r="G547" s="21" t="s">
        <v>5168</v>
      </c>
      <c r="H547" s="28">
        <v>42727</v>
      </c>
      <c r="I547" s="22">
        <v>2016</v>
      </c>
      <c r="J547" s="21" t="s">
        <v>958</v>
      </c>
      <c r="K547" s="21" t="s">
        <v>959</v>
      </c>
      <c r="L547" s="21" t="s">
        <v>5169</v>
      </c>
      <c r="M547" s="21" t="s">
        <v>5136</v>
      </c>
      <c r="N547" s="21" t="s">
        <v>5137</v>
      </c>
      <c r="O547" s="21" t="s">
        <v>5170</v>
      </c>
      <c r="P547" s="27">
        <v>0</v>
      </c>
      <c r="Q547" s="27">
        <v>20</v>
      </c>
      <c r="R547" s="21" t="s">
        <v>5171</v>
      </c>
      <c r="S547" s="21" t="s">
        <v>5172</v>
      </c>
      <c r="T547" s="21" t="s">
        <v>966</v>
      </c>
      <c r="U547" s="21" t="s">
        <v>5173</v>
      </c>
    </row>
    <row r="548" spans="1:21" ht="42">
      <c r="A548" s="21" t="s">
        <v>919</v>
      </c>
      <c r="B548" s="21" t="s">
        <v>920</v>
      </c>
      <c r="C548" s="21" t="s">
        <v>599</v>
      </c>
      <c r="D548" s="21" t="s">
        <v>180</v>
      </c>
      <c r="E548" s="21" t="s">
        <v>604</v>
      </c>
      <c r="F548" s="21" t="s">
        <v>1043</v>
      </c>
      <c r="G548" s="21" t="s">
        <v>5174</v>
      </c>
      <c r="H548" s="28">
        <v>43670</v>
      </c>
      <c r="I548" s="22">
        <v>2019</v>
      </c>
      <c r="J548" s="21" t="s">
        <v>1012</v>
      </c>
      <c r="K548" s="21" t="s">
        <v>1894</v>
      </c>
      <c r="L548" s="21" t="s">
        <v>5175</v>
      </c>
      <c r="M548" s="21" t="s">
        <v>5176</v>
      </c>
      <c r="N548" s="21" t="s">
        <v>5177</v>
      </c>
      <c r="O548" s="21" t="s">
        <v>5178</v>
      </c>
      <c r="P548" s="27">
        <v>7</v>
      </c>
      <c r="Q548" s="27">
        <v>3</v>
      </c>
      <c r="R548" s="21"/>
      <c r="S548" s="21"/>
      <c r="T548" s="21" t="s">
        <v>966</v>
      </c>
      <c r="U548" s="21" t="s">
        <v>5179</v>
      </c>
    </row>
    <row r="549" spans="1:21" ht="56">
      <c r="A549" s="21" t="s">
        <v>919</v>
      </c>
      <c r="B549" s="21" t="s">
        <v>920</v>
      </c>
      <c r="C549" s="21" t="s">
        <v>599</v>
      </c>
      <c r="D549" s="21" t="s">
        <v>180</v>
      </c>
      <c r="E549" s="21" t="s">
        <v>604</v>
      </c>
      <c r="F549" s="21" t="s">
        <v>1051</v>
      </c>
      <c r="G549" s="21" t="s">
        <v>5180</v>
      </c>
      <c r="H549" s="28">
        <v>43783</v>
      </c>
      <c r="I549" s="22">
        <v>2019</v>
      </c>
      <c r="J549" s="21" t="s">
        <v>958</v>
      </c>
      <c r="K549" s="21" t="s">
        <v>959</v>
      </c>
      <c r="L549" s="21" t="s">
        <v>5181</v>
      </c>
      <c r="M549" s="21" t="s">
        <v>5128</v>
      </c>
      <c r="N549" s="21" t="s">
        <v>5182</v>
      </c>
      <c r="O549" s="21" t="s">
        <v>5183</v>
      </c>
      <c r="P549" s="27">
        <v>0</v>
      </c>
      <c r="Q549" s="27">
        <v>4</v>
      </c>
      <c r="R549" s="21" t="s">
        <v>5184</v>
      </c>
      <c r="S549" s="21" t="s">
        <v>5185</v>
      </c>
      <c r="T549" s="21" t="s">
        <v>966</v>
      </c>
      <c r="U549" s="21" t="s">
        <v>5186</v>
      </c>
    </row>
    <row r="550" spans="1:21" ht="42">
      <c r="A550" s="21" t="s">
        <v>919</v>
      </c>
      <c r="B550" s="21" t="s">
        <v>920</v>
      </c>
      <c r="C550" s="21" t="s">
        <v>599</v>
      </c>
      <c r="D550" s="21" t="s">
        <v>180</v>
      </c>
      <c r="E550" s="21" t="s">
        <v>604</v>
      </c>
      <c r="F550" s="21" t="s">
        <v>1060</v>
      </c>
      <c r="G550" s="21" t="s">
        <v>5187</v>
      </c>
      <c r="H550" s="28">
        <v>43809</v>
      </c>
      <c r="I550" s="22">
        <v>2019</v>
      </c>
      <c r="J550" s="21" t="s">
        <v>1012</v>
      </c>
      <c r="K550" s="21" t="s">
        <v>1894</v>
      </c>
      <c r="L550" s="21" t="s">
        <v>5188</v>
      </c>
      <c r="M550" s="21" t="s">
        <v>5176</v>
      </c>
      <c r="N550" s="21" t="s">
        <v>5189</v>
      </c>
      <c r="O550" s="21" t="s">
        <v>5190</v>
      </c>
      <c r="P550" s="27">
        <v>5</v>
      </c>
      <c r="Q550" s="27">
        <v>1</v>
      </c>
      <c r="R550" s="21"/>
      <c r="S550" s="21"/>
      <c r="T550" s="21" t="s">
        <v>966</v>
      </c>
      <c r="U550" s="21" t="s">
        <v>5191</v>
      </c>
    </row>
    <row r="551" spans="1:21" ht="84">
      <c r="A551" s="21" t="s">
        <v>919</v>
      </c>
      <c r="B551" s="21" t="s">
        <v>920</v>
      </c>
      <c r="C551" s="21" t="s">
        <v>599</v>
      </c>
      <c r="D551" s="21" t="s">
        <v>180</v>
      </c>
      <c r="E551" s="21" t="s">
        <v>604</v>
      </c>
      <c r="F551" s="21" t="s">
        <v>1068</v>
      </c>
      <c r="G551" s="21" t="s">
        <v>5192</v>
      </c>
      <c r="H551" s="28">
        <v>41379</v>
      </c>
      <c r="I551" s="22">
        <v>2013</v>
      </c>
      <c r="J551" s="21" t="s">
        <v>958</v>
      </c>
      <c r="K551" s="21" t="s">
        <v>2765</v>
      </c>
      <c r="L551" s="21" t="s">
        <v>5193</v>
      </c>
      <c r="M551" s="21" t="s">
        <v>5128</v>
      </c>
      <c r="N551" s="21" t="s">
        <v>5194</v>
      </c>
      <c r="O551" s="21" t="s">
        <v>5195</v>
      </c>
      <c r="P551" s="27">
        <v>0</v>
      </c>
      <c r="Q551" s="27">
        <v>12</v>
      </c>
      <c r="R551" s="21" t="s">
        <v>5196</v>
      </c>
      <c r="S551" s="21" t="s">
        <v>5197</v>
      </c>
      <c r="T551" s="21" t="s">
        <v>966</v>
      </c>
      <c r="U551" s="21" t="s">
        <v>5198</v>
      </c>
    </row>
    <row r="552" spans="1:21" ht="42">
      <c r="A552" s="21" t="s">
        <v>919</v>
      </c>
      <c r="B552" s="21" t="s">
        <v>920</v>
      </c>
      <c r="C552" s="21" t="s">
        <v>599</v>
      </c>
      <c r="D552" s="21" t="s">
        <v>180</v>
      </c>
      <c r="E552" s="21" t="s">
        <v>5199</v>
      </c>
      <c r="F552" s="21" t="s">
        <v>1077</v>
      </c>
      <c r="G552" s="21" t="s">
        <v>5200</v>
      </c>
      <c r="H552" s="28">
        <v>43815</v>
      </c>
      <c r="I552" s="22">
        <v>2019</v>
      </c>
      <c r="J552" s="21" t="s">
        <v>1012</v>
      </c>
      <c r="K552" s="21" t="s">
        <v>1894</v>
      </c>
      <c r="L552" s="21" t="s">
        <v>5201</v>
      </c>
      <c r="M552" s="21" t="s">
        <v>5202</v>
      </c>
      <c r="N552" s="21" t="s">
        <v>5177</v>
      </c>
      <c r="O552" s="21" t="s">
        <v>5203</v>
      </c>
      <c r="P552" s="27">
        <v>18</v>
      </c>
      <c r="Q552" s="27">
        <v>1</v>
      </c>
      <c r="R552" s="21"/>
      <c r="S552" s="21"/>
      <c r="T552" s="21" t="s">
        <v>966</v>
      </c>
      <c r="U552" s="21" t="s">
        <v>5204</v>
      </c>
    </row>
    <row r="553" spans="1:21" ht="84">
      <c r="A553" s="21" t="s">
        <v>919</v>
      </c>
      <c r="B553" s="21" t="s">
        <v>920</v>
      </c>
      <c r="C553" s="21" t="s">
        <v>599</v>
      </c>
      <c r="D553" s="21" t="s">
        <v>180</v>
      </c>
      <c r="E553" s="21" t="s">
        <v>604</v>
      </c>
      <c r="F553" s="21" t="s">
        <v>1085</v>
      </c>
      <c r="G553" s="21" t="s">
        <v>5205</v>
      </c>
      <c r="H553" s="28">
        <v>41892</v>
      </c>
      <c r="I553" s="22">
        <v>2014</v>
      </c>
      <c r="J553" s="21" t="s">
        <v>1012</v>
      </c>
      <c r="K553" s="21" t="s">
        <v>1013</v>
      </c>
      <c r="L553" s="21" t="s">
        <v>5206</v>
      </c>
      <c r="M553" s="21" t="s">
        <v>5207</v>
      </c>
      <c r="N553" s="21" t="s">
        <v>5208</v>
      </c>
      <c r="O553" s="21" t="s">
        <v>5209</v>
      </c>
      <c r="P553" s="27">
        <v>0</v>
      </c>
      <c r="Q553" s="27">
        <v>15</v>
      </c>
      <c r="R553" s="21" t="s">
        <v>5210</v>
      </c>
      <c r="S553" s="21" t="s">
        <v>5211</v>
      </c>
      <c r="T553" s="21" t="s">
        <v>966</v>
      </c>
      <c r="U553" s="21" t="s">
        <v>5212</v>
      </c>
    </row>
    <row r="554" spans="1:21" ht="70">
      <c r="A554" s="21" t="s">
        <v>919</v>
      </c>
      <c r="B554" s="21" t="s">
        <v>920</v>
      </c>
      <c r="C554" s="21" t="s">
        <v>599</v>
      </c>
      <c r="D554" s="21" t="s">
        <v>180</v>
      </c>
      <c r="E554" s="21" t="s">
        <v>604</v>
      </c>
      <c r="F554" s="21" t="s">
        <v>1093</v>
      </c>
      <c r="G554" s="21" t="s">
        <v>5213</v>
      </c>
      <c r="H554" s="28">
        <v>42885</v>
      </c>
      <c r="I554" s="22">
        <v>2017</v>
      </c>
      <c r="J554" s="21" t="s">
        <v>958</v>
      </c>
      <c r="K554" s="21" t="s">
        <v>959</v>
      </c>
      <c r="L554" s="21" t="s">
        <v>5214</v>
      </c>
      <c r="M554" s="21" t="s">
        <v>5176</v>
      </c>
      <c r="N554" s="21" t="s">
        <v>5215</v>
      </c>
      <c r="O554" s="21" t="s">
        <v>5216</v>
      </c>
      <c r="P554" s="27">
        <v>0</v>
      </c>
      <c r="Q554" s="27">
        <v>15</v>
      </c>
      <c r="R554" s="21" t="s">
        <v>5217</v>
      </c>
      <c r="S554" s="21" t="s">
        <v>5218</v>
      </c>
      <c r="T554" s="21" t="s">
        <v>966</v>
      </c>
      <c r="U554" s="21" t="s">
        <v>5219</v>
      </c>
    </row>
    <row r="555" spans="1:21" ht="154">
      <c r="A555" s="21" t="s">
        <v>919</v>
      </c>
      <c r="B555" s="21" t="s">
        <v>920</v>
      </c>
      <c r="C555" s="21" t="s">
        <v>599</v>
      </c>
      <c r="D555" s="21" t="s">
        <v>180</v>
      </c>
      <c r="E555" s="21" t="s">
        <v>604</v>
      </c>
      <c r="F555" s="21" t="s">
        <v>1101</v>
      </c>
      <c r="G555" s="21" t="s">
        <v>5220</v>
      </c>
      <c r="H555" s="28">
        <v>42909</v>
      </c>
      <c r="I555" s="22">
        <v>2017</v>
      </c>
      <c r="J555" s="21" t="s">
        <v>958</v>
      </c>
      <c r="K555" s="21" t="s">
        <v>959</v>
      </c>
      <c r="L555" s="21" t="s">
        <v>5221</v>
      </c>
      <c r="M555" s="21" t="s">
        <v>5176</v>
      </c>
      <c r="N555" s="21" t="s">
        <v>5215</v>
      </c>
      <c r="O555" s="21" t="s">
        <v>5222</v>
      </c>
      <c r="P555" s="27">
        <v>0</v>
      </c>
      <c r="Q555" s="27">
        <v>20</v>
      </c>
      <c r="R555" s="21" t="s">
        <v>5223</v>
      </c>
      <c r="S555" s="21" t="s">
        <v>5224</v>
      </c>
      <c r="T555" s="21" t="s">
        <v>966</v>
      </c>
      <c r="U555" s="21" t="s">
        <v>5225</v>
      </c>
    </row>
    <row r="556" spans="1:21" ht="84">
      <c r="A556" s="21" t="s">
        <v>919</v>
      </c>
      <c r="B556" s="21" t="s">
        <v>920</v>
      </c>
      <c r="C556" s="21" t="s">
        <v>599</v>
      </c>
      <c r="D556" s="21" t="s">
        <v>180</v>
      </c>
      <c r="E556" s="21" t="s">
        <v>604</v>
      </c>
      <c r="F556" s="21" t="s">
        <v>1109</v>
      </c>
      <c r="G556" s="21" t="s">
        <v>5226</v>
      </c>
      <c r="H556" s="28">
        <v>41362</v>
      </c>
      <c r="I556" s="22">
        <v>2013</v>
      </c>
      <c r="J556" s="21" t="s">
        <v>958</v>
      </c>
      <c r="K556" s="21" t="s">
        <v>959</v>
      </c>
      <c r="L556" s="21" t="s">
        <v>5227</v>
      </c>
      <c r="M556" s="21" t="s">
        <v>5176</v>
      </c>
      <c r="N556" s="21" t="s">
        <v>5228</v>
      </c>
      <c r="O556" s="21" t="s">
        <v>5229</v>
      </c>
      <c r="P556" s="27">
        <v>0</v>
      </c>
      <c r="Q556" s="27">
        <v>16</v>
      </c>
      <c r="R556" s="21" t="s">
        <v>5230</v>
      </c>
      <c r="S556" s="21" t="s">
        <v>5231</v>
      </c>
      <c r="T556" s="21" t="s">
        <v>966</v>
      </c>
      <c r="U556" s="21" t="s">
        <v>5232</v>
      </c>
    </row>
    <row r="557" spans="1:21" ht="42">
      <c r="A557" s="21" t="s">
        <v>919</v>
      </c>
      <c r="B557" s="21" t="s">
        <v>920</v>
      </c>
      <c r="C557" s="21" t="s">
        <v>599</v>
      </c>
      <c r="D557" s="21" t="s">
        <v>180</v>
      </c>
      <c r="E557" s="21" t="s">
        <v>604</v>
      </c>
      <c r="F557" s="21" t="s">
        <v>1117</v>
      </c>
      <c r="G557" s="21" t="s">
        <v>5233</v>
      </c>
      <c r="H557" s="28">
        <v>43412</v>
      </c>
      <c r="I557" s="22">
        <v>2018</v>
      </c>
      <c r="J557" s="21" t="s">
        <v>1012</v>
      </c>
      <c r="K557" s="21" t="s">
        <v>1894</v>
      </c>
      <c r="L557" s="21" t="s">
        <v>5234</v>
      </c>
      <c r="M557" s="21" t="s">
        <v>5176</v>
      </c>
      <c r="N557" s="21" t="s">
        <v>5235</v>
      </c>
      <c r="O557" s="21" t="s">
        <v>5236</v>
      </c>
      <c r="P557" s="27">
        <v>9</v>
      </c>
      <c r="Q557" s="27">
        <v>1</v>
      </c>
      <c r="R557" s="21"/>
      <c r="S557" s="21"/>
      <c r="T557" s="21" t="s">
        <v>966</v>
      </c>
      <c r="U557" s="21" t="s">
        <v>5237</v>
      </c>
    </row>
    <row r="558" spans="1:21" ht="112">
      <c r="A558" s="21" t="s">
        <v>919</v>
      </c>
      <c r="B558" s="21" t="s">
        <v>920</v>
      </c>
      <c r="C558" s="21" t="s">
        <v>599</v>
      </c>
      <c r="D558" s="21" t="s">
        <v>180</v>
      </c>
      <c r="E558" s="21" t="s">
        <v>604</v>
      </c>
      <c r="F558" s="21" t="s">
        <v>1125</v>
      </c>
      <c r="G558" s="21" t="s">
        <v>5238</v>
      </c>
      <c r="H558" s="28">
        <v>42685</v>
      </c>
      <c r="I558" s="22">
        <v>2016</v>
      </c>
      <c r="J558" s="21" t="s">
        <v>958</v>
      </c>
      <c r="K558" s="21" t="s">
        <v>3815</v>
      </c>
      <c r="L558" s="21" t="s">
        <v>5239</v>
      </c>
      <c r="M558" s="21" t="s">
        <v>5176</v>
      </c>
      <c r="N558" s="21" t="s">
        <v>5240</v>
      </c>
      <c r="O558" s="21" t="s">
        <v>5241</v>
      </c>
      <c r="P558" s="27">
        <v>0</v>
      </c>
      <c r="Q558" s="27">
        <v>14</v>
      </c>
      <c r="R558" s="21" t="s">
        <v>5242</v>
      </c>
      <c r="S558" s="21" t="s">
        <v>5243</v>
      </c>
      <c r="T558" s="21" t="s">
        <v>994</v>
      </c>
      <c r="U558" s="21" t="s">
        <v>5244</v>
      </c>
    </row>
    <row r="559" spans="1:21" ht="126">
      <c r="A559" s="21" t="s">
        <v>919</v>
      </c>
      <c r="B559" s="21" t="s">
        <v>920</v>
      </c>
      <c r="C559" s="21" t="s">
        <v>599</v>
      </c>
      <c r="D559" s="21" t="s">
        <v>180</v>
      </c>
      <c r="E559" s="21" t="s">
        <v>604</v>
      </c>
      <c r="F559" s="21" t="s">
        <v>1133</v>
      </c>
      <c r="G559" s="21" t="s">
        <v>5245</v>
      </c>
      <c r="H559" s="28">
        <v>40862</v>
      </c>
      <c r="I559" s="22">
        <v>2011</v>
      </c>
      <c r="J559" s="21" t="s">
        <v>1748</v>
      </c>
      <c r="K559" s="21" t="s">
        <v>1013</v>
      </c>
      <c r="L559" s="21" t="s">
        <v>5246</v>
      </c>
      <c r="M559" s="21" t="s">
        <v>5176</v>
      </c>
      <c r="N559" s="21" t="s">
        <v>5247</v>
      </c>
      <c r="O559" s="21" t="s">
        <v>5248</v>
      </c>
      <c r="P559" s="27">
        <v>0</v>
      </c>
      <c r="Q559" s="27">
        <v>32</v>
      </c>
      <c r="R559" s="21" t="s">
        <v>5249</v>
      </c>
      <c r="S559" s="21" t="s">
        <v>5250</v>
      </c>
      <c r="T559" s="21" t="s">
        <v>3189</v>
      </c>
      <c r="U559" s="21" t="s">
        <v>5251</v>
      </c>
    </row>
    <row r="560" spans="1:21" ht="56">
      <c r="A560" s="21" t="s">
        <v>919</v>
      </c>
      <c r="B560" s="21" t="s">
        <v>920</v>
      </c>
      <c r="C560" s="21" t="s">
        <v>599</v>
      </c>
      <c r="D560" s="21" t="s">
        <v>180</v>
      </c>
      <c r="E560" s="21" t="s">
        <v>604</v>
      </c>
      <c r="F560" s="21" t="s">
        <v>1141</v>
      </c>
      <c r="G560" s="21" t="s">
        <v>5252</v>
      </c>
      <c r="H560" s="28">
        <v>42012</v>
      </c>
      <c r="I560" s="22">
        <v>2015</v>
      </c>
      <c r="J560" s="21" t="s">
        <v>958</v>
      </c>
      <c r="K560" s="21" t="s">
        <v>3815</v>
      </c>
      <c r="L560" s="21" t="s">
        <v>5253</v>
      </c>
      <c r="M560" s="21" t="s">
        <v>5136</v>
      </c>
      <c r="N560" s="21" t="s">
        <v>5254</v>
      </c>
      <c r="O560" s="21" t="s">
        <v>5255</v>
      </c>
      <c r="P560" s="27">
        <v>0</v>
      </c>
      <c r="Q560" s="27">
        <v>7</v>
      </c>
      <c r="R560" s="21" t="s">
        <v>5256</v>
      </c>
      <c r="S560" s="21" t="s">
        <v>5257</v>
      </c>
      <c r="T560" s="21" t="s">
        <v>1148</v>
      </c>
      <c r="U560" s="21" t="s">
        <v>5258</v>
      </c>
    </row>
    <row r="561" spans="1:21" ht="42">
      <c r="A561" s="21" t="s">
        <v>919</v>
      </c>
      <c r="B561" s="21" t="s">
        <v>920</v>
      </c>
      <c r="C561" s="21" t="s">
        <v>599</v>
      </c>
      <c r="D561" s="21" t="s">
        <v>180</v>
      </c>
      <c r="E561" s="21" t="s">
        <v>604</v>
      </c>
      <c r="F561" s="21" t="s">
        <v>1150</v>
      </c>
      <c r="G561" s="21" t="s">
        <v>5259</v>
      </c>
      <c r="H561" s="28">
        <v>42472</v>
      </c>
      <c r="I561" s="22">
        <v>2016</v>
      </c>
      <c r="J561" s="21" t="s">
        <v>1012</v>
      </c>
      <c r="K561" s="21" t="s">
        <v>1894</v>
      </c>
      <c r="L561" s="21" t="s">
        <v>5260</v>
      </c>
      <c r="M561" s="21" t="s">
        <v>5261</v>
      </c>
      <c r="N561" s="21" t="s">
        <v>5262</v>
      </c>
      <c r="O561" s="21" t="s">
        <v>5263</v>
      </c>
      <c r="P561" s="27">
        <v>13</v>
      </c>
      <c r="Q561" s="27">
        <v>4</v>
      </c>
      <c r="R561" s="21"/>
      <c r="S561" s="21"/>
      <c r="T561" s="21" t="s">
        <v>966</v>
      </c>
      <c r="U561" s="21" t="s">
        <v>5264</v>
      </c>
    </row>
    <row r="562" spans="1:21" ht="42">
      <c r="A562" s="21" t="s">
        <v>919</v>
      </c>
      <c r="B562" s="21" t="s">
        <v>920</v>
      </c>
      <c r="C562" s="21" t="s">
        <v>599</v>
      </c>
      <c r="D562" s="21" t="s">
        <v>180</v>
      </c>
      <c r="E562" s="21" t="s">
        <v>604</v>
      </c>
      <c r="F562" s="21" t="s">
        <v>1158</v>
      </c>
      <c r="G562" s="21" t="s">
        <v>5265</v>
      </c>
      <c r="H562" s="28">
        <v>42472</v>
      </c>
      <c r="I562" s="22">
        <v>2016</v>
      </c>
      <c r="J562" s="21" t="s">
        <v>1012</v>
      </c>
      <c r="K562" s="21" t="s">
        <v>1894</v>
      </c>
      <c r="L562" s="21" t="s">
        <v>5266</v>
      </c>
      <c r="M562" s="21" t="s">
        <v>5267</v>
      </c>
      <c r="N562" s="21" t="s">
        <v>5262</v>
      </c>
      <c r="O562" s="21" t="s">
        <v>5263</v>
      </c>
      <c r="P562" s="27">
        <v>5</v>
      </c>
      <c r="Q562" s="27">
        <v>4</v>
      </c>
      <c r="R562" s="21"/>
      <c r="S562" s="21"/>
      <c r="T562" s="21" t="s">
        <v>966</v>
      </c>
      <c r="U562" s="21" t="s">
        <v>5268</v>
      </c>
    </row>
    <row r="563" spans="1:21" ht="98">
      <c r="A563" s="21" t="s">
        <v>919</v>
      </c>
      <c r="B563" s="21" t="s">
        <v>920</v>
      </c>
      <c r="C563" s="21" t="s">
        <v>599</v>
      </c>
      <c r="D563" s="21" t="s">
        <v>180</v>
      </c>
      <c r="E563" s="21" t="s">
        <v>604</v>
      </c>
      <c r="F563" s="21" t="s">
        <v>1166</v>
      </c>
      <c r="G563" s="21" t="s">
        <v>5269</v>
      </c>
      <c r="H563" s="28">
        <v>41437</v>
      </c>
      <c r="I563" s="22">
        <v>2013</v>
      </c>
      <c r="J563" s="21" t="s">
        <v>1012</v>
      </c>
      <c r="K563" s="21" t="s">
        <v>1894</v>
      </c>
      <c r="L563" s="21" t="s">
        <v>5270</v>
      </c>
      <c r="M563" s="21" t="s">
        <v>5271</v>
      </c>
      <c r="N563" s="21" t="s">
        <v>5272</v>
      </c>
      <c r="O563" s="21" t="s">
        <v>5273</v>
      </c>
      <c r="P563" s="27">
        <v>8</v>
      </c>
      <c r="Q563" s="27">
        <v>3</v>
      </c>
      <c r="R563" s="21"/>
      <c r="S563" s="21"/>
      <c r="T563" s="21" t="s">
        <v>966</v>
      </c>
      <c r="U563" s="21" t="s">
        <v>5274</v>
      </c>
    </row>
    <row r="564" spans="1:21" ht="98">
      <c r="A564" s="21" t="s">
        <v>919</v>
      </c>
      <c r="B564" s="21" t="s">
        <v>920</v>
      </c>
      <c r="C564" s="21" t="s">
        <v>599</v>
      </c>
      <c r="D564" s="21" t="s">
        <v>180</v>
      </c>
      <c r="E564" s="21" t="s">
        <v>604</v>
      </c>
      <c r="F564" s="21" t="s">
        <v>1174</v>
      </c>
      <c r="G564" s="21" t="s">
        <v>5275</v>
      </c>
      <c r="H564" s="28">
        <v>41437</v>
      </c>
      <c r="I564" s="22">
        <v>2013</v>
      </c>
      <c r="J564" s="21" t="s">
        <v>1012</v>
      </c>
      <c r="K564" s="21" t="s">
        <v>1894</v>
      </c>
      <c r="L564" s="21" t="s">
        <v>5276</v>
      </c>
      <c r="M564" s="21" t="s">
        <v>5277</v>
      </c>
      <c r="N564" s="21" t="s">
        <v>5272</v>
      </c>
      <c r="O564" s="21" t="s">
        <v>5273</v>
      </c>
      <c r="P564" s="27">
        <v>6</v>
      </c>
      <c r="Q564" s="27">
        <v>3</v>
      </c>
      <c r="R564" s="21"/>
      <c r="S564" s="21"/>
      <c r="T564" s="21" t="s">
        <v>966</v>
      </c>
      <c r="U564" s="21" t="s">
        <v>5278</v>
      </c>
    </row>
    <row r="565" spans="1:21" ht="98">
      <c r="A565" s="21" t="s">
        <v>919</v>
      </c>
      <c r="B565" s="21" t="s">
        <v>920</v>
      </c>
      <c r="C565" s="21" t="s">
        <v>599</v>
      </c>
      <c r="D565" s="21" t="s">
        <v>180</v>
      </c>
      <c r="E565" s="21" t="s">
        <v>604</v>
      </c>
      <c r="F565" s="21" t="s">
        <v>1182</v>
      </c>
      <c r="G565" s="21" t="s">
        <v>5279</v>
      </c>
      <c r="H565" s="28">
        <v>41348</v>
      </c>
      <c r="I565" s="22">
        <v>2013</v>
      </c>
      <c r="J565" s="21" t="s">
        <v>1012</v>
      </c>
      <c r="K565" s="21" t="s">
        <v>1894</v>
      </c>
      <c r="L565" s="21" t="s">
        <v>5280</v>
      </c>
      <c r="M565" s="21" t="s">
        <v>5281</v>
      </c>
      <c r="N565" s="21" t="s">
        <v>5282</v>
      </c>
      <c r="O565" s="21" t="s">
        <v>5283</v>
      </c>
      <c r="P565" s="27">
        <v>2</v>
      </c>
      <c r="Q565" s="27">
        <v>1</v>
      </c>
      <c r="R565" s="21"/>
      <c r="S565" s="21"/>
      <c r="T565" s="21" t="s">
        <v>966</v>
      </c>
      <c r="U565" s="21" t="s">
        <v>5284</v>
      </c>
    </row>
    <row r="566" spans="1:21" ht="70">
      <c r="A566" s="21" t="s">
        <v>919</v>
      </c>
      <c r="B566" s="21" t="s">
        <v>920</v>
      </c>
      <c r="C566" s="21" t="s">
        <v>599</v>
      </c>
      <c r="D566" s="21" t="s">
        <v>180</v>
      </c>
      <c r="E566" s="21" t="s">
        <v>604</v>
      </c>
      <c r="F566" s="21" t="s">
        <v>1191</v>
      </c>
      <c r="G566" s="21" t="s">
        <v>5285</v>
      </c>
      <c r="H566" s="28">
        <v>41348</v>
      </c>
      <c r="I566" s="22">
        <v>2013</v>
      </c>
      <c r="J566" s="21" t="s">
        <v>1012</v>
      </c>
      <c r="K566" s="21" t="s">
        <v>1894</v>
      </c>
      <c r="L566" s="21" t="s">
        <v>5286</v>
      </c>
      <c r="M566" s="21" t="s">
        <v>5287</v>
      </c>
      <c r="N566" s="21" t="s">
        <v>5288</v>
      </c>
      <c r="O566" s="21" t="s">
        <v>5283</v>
      </c>
      <c r="P566" s="27">
        <v>2</v>
      </c>
      <c r="Q566" s="27">
        <v>1</v>
      </c>
      <c r="R566" s="21"/>
      <c r="S566" s="21"/>
      <c r="T566" s="21" t="s">
        <v>966</v>
      </c>
      <c r="U566" s="21" t="s">
        <v>5289</v>
      </c>
    </row>
    <row r="567" spans="1:21" ht="84">
      <c r="A567" s="21" t="s">
        <v>919</v>
      </c>
      <c r="B567" s="21" t="s">
        <v>920</v>
      </c>
      <c r="C567" s="21" t="s">
        <v>599</v>
      </c>
      <c r="D567" s="21" t="s">
        <v>180</v>
      </c>
      <c r="E567" s="21" t="s">
        <v>604</v>
      </c>
      <c r="F567" s="21" t="s">
        <v>1199</v>
      </c>
      <c r="G567" s="21" t="s">
        <v>5290</v>
      </c>
      <c r="H567" s="28">
        <v>41596</v>
      </c>
      <c r="I567" s="22">
        <v>2013</v>
      </c>
      <c r="J567" s="21" t="s">
        <v>1012</v>
      </c>
      <c r="K567" s="21" t="s">
        <v>1894</v>
      </c>
      <c r="L567" s="21" t="s">
        <v>5291</v>
      </c>
      <c r="M567" s="21" t="s">
        <v>5292</v>
      </c>
      <c r="N567" s="21" t="s">
        <v>5293</v>
      </c>
      <c r="O567" s="21" t="s">
        <v>5294</v>
      </c>
      <c r="P567" s="27">
        <v>19</v>
      </c>
      <c r="Q567" s="27">
        <v>3</v>
      </c>
      <c r="R567" s="21"/>
      <c r="S567" s="21"/>
      <c r="T567" s="21" t="s">
        <v>966</v>
      </c>
      <c r="U567" s="21" t="s">
        <v>5295</v>
      </c>
    </row>
    <row r="568" spans="1:21" ht="28">
      <c r="A568" s="21" t="s">
        <v>922</v>
      </c>
      <c r="B568" s="21" t="s">
        <v>923</v>
      </c>
      <c r="C568" s="21" t="s">
        <v>554</v>
      </c>
      <c r="D568" s="21" t="s">
        <v>180</v>
      </c>
      <c r="E568" s="21" t="s">
        <v>560</v>
      </c>
      <c r="F568" s="21" t="s">
        <v>956</v>
      </c>
      <c r="G568" s="21" t="s">
        <v>5296</v>
      </c>
      <c r="H568" s="28">
        <v>43871</v>
      </c>
      <c r="I568" s="22">
        <v>2020</v>
      </c>
      <c r="J568" s="21" t="s">
        <v>958</v>
      </c>
      <c r="K568" s="21" t="s">
        <v>5297</v>
      </c>
      <c r="L568" s="21" t="s">
        <v>5298</v>
      </c>
      <c r="M568" s="21" t="s">
        <v>5299</v>
      </c>
      <c r="N568" s="21" t="s">
        <v>5300</v>
      </c>
      <c r="O568" s="21" t="s">
        <v>5301</v>
      </c>
      <c r="P568" s="27">
        <v>0</v>
      </c>
      <c r="Q568" s="27">
        <v>15</v>
      </c>
      <c r="R568" s="21" t="s">
        <v>5302</v>
      </c>
      <c r="S568" s="21" t="s">
        <v>5303</v>
      </c>
      <c r="T568" s="21" t="s">
        <v>966</v>
      </c>
      <c r="U568" s="21" t="s">
        <v>5304</v>
      </c>
    </row>
    <row r="569" spans="1:21" ht="56">
      <c r="A569" s="21" t="s">
        <v>922</v>
      </c>
      <c r="B569" s="21" t="s">
        <v>923</v>
      </c>
      <c r="C569" s="21" t="s">
        <v>554</v>
      </c>
      <c r="D569" s="21" t="s">
        <v>180</v>
      </c>
      <c r="E569" s="21" t="s">
        <v>560</v>
      </c>
      <c r="F569" s="21" t="s">
        <v>968</v>
      </c>
      <c r="G569" s="21" t="s">
        <v>5305</v>
      </c>
      <c r="H569" s="28">
        <v>44616</v>
      </c>
      <c r="I569" s="22">
        <v>2022</v>
      </c>
      <c r="J569" s="21" t="s">
        <v>958</v>
      </c>
      <c r="K569" s="21" t="s">
        <v>5297</v>
      </c>
      <c r="L569" s="21" t="s">
        <v>5306</v>
      </c>
      <c r="M569" s="21" t="s">
        <v>5299</v>
      </c>
      <c r="N569" s="21" t="s">
        <v>5307</v>
      </c>
      <c r="O569" s="21" t="s">
        <v>5308</v>
      </c>
      <c r="P569" s="27">
        <v>0</v>
      </c>
      <c r="Q569" s="27">
        <v>11</v>
      </c>
      <c r="R569" s="21" t="s">
        <v>5309</v>
      </c>
      <c r="S569" s="21" t="s">
        <v>5310</v>
      </c>
      <c r="T569" s="21" t="s">
        <v>966</v>
      </c>
      <c r="U569" s="21" t="s">
        <v>5311</v>
      </c>
    </row>
    <row r="570" spans="1:21" ht="126">
      <c r="A570" s="21" t="s">
        <v>922</v>
      </c>
      <c r="B570" s="21" t="s">
        <v>923</v>
      </c>
      <c r="C570" s="21" t="s">
        <v>554</v>
      </c>
      <c r="D570" s="21" t="s">
        <v>180</v>
      </c>
      <c r="E570" s="21" t="s">
        <v>560</v>
      </c>
      <c r="F570" s="21" t="s">
        <v>977</v>
      </c>
      <c r="G570" s="21" t="s">
        <v>5312</v>
      </c>
      <c r="H570" s="28">
        <v>43293</v>
      </c>
      <c r="I570" s="22">
        <v>2018</v>
      </c>
      <c r="J570" s="21" t="s">
        <v>958</v>
      </c>
      <c r="K570" s="21" t="s">
        <v>959</v>
      </c>
      <c r="L570" s="21" t="s">
        <v>5313</v>
      </c>
      <c r="M570" s="21" t="s">
        <v>5299</v>
      </c>
      <c r="N570" s="21" t="s">
        <v>5300</v>
      </c>
      <c r="O570" s="21" t="s">
        <v>5314</v>
      </c>
      <c r="P570" s="27">
        <v>0</v>
      </c>
      <c r="Q570" s="27">
        <v>64</v>
      </c>
      <c r="R570" s="21" t="s">
        <v>5315</v>
      </c>
      <c r="S570" s="21" t="s">
        <v>5316</v>
      </c>
      <c r="T570" s="21" t="s">
        <v>966</v>
      </c>
      <c r="U570" s="21" t="s">
        <v>5317</v>
      </c>
    </row>
    <row r="571" spans="1:21" ht="42">
      <c r="A571" s="21" t="s">
        <v>922</v>
      </c>
      <c r="B571" s="21" t="s">
        <v>923</v>
      </c>
      <c r="C571" s="21" t="s">
        <v>554</v>
      </c>
      <c r="D571" s="21" t="s">
        <v>180</v>
      </c>
      <c r="E571" s="21" t="s">
        <v>560</v>
      </c>
      <c r="F571" s="21" t="s">
        <v>985</v>
      </c>
      <c r="G571" s="21" t="s">
        <v>5318</v>
      </c>
      <c r="H571" s="28">
        <v>44230</v>
      </c>
      <c r="I571" s="22">
        <v>2021</v>
      </c>
      <c r="J571" s="21" t="s">
        <v>958</v>
      </c>
      <c r="K571" s="21" t="s">
        <v>959</v>
      </c>
      <c r="L571" s="21" t="s">
        <v>5319</v>
      </c>
      <c r="M571" s="21" t="s">
        <v>5299</v>
      </c>
      <c r="N571" s="21" t="s">
        <v>5300</v>
      </c>
      <c r="O571" s="21" t="s">
        <v>5320</v>
      </c>
      <c r="P571" s="27">
        <v>0</v>
      </c>
      <c r="Q571" s="27">
        <v>15</v>
      </c>
      <c r="R571" s="21" t="s">
        <v>5321</v>
      </c>
      <c r="S571" s="21" t="s">
        <v>5322</v>
      </c>
      <c r="T571" s="21" t="s">
        <v>966</v>
      </c>
      <c r="U571" s="21" t="s">
        <v>5323</v>
      </c>
    </row>
    <row r="572" spans="1:21" ht="56">
      <c r="A572" s="21" t="s">
        <v>922</v>
      </c>
      <c r="B572" s="21" t="s">
        <v>923</v>
      </c>
      <c r="C572" s="21" t="s">
        <v>554</v>
      </c>
      <c r="D572" s="21" t="s">
        <v>180</v>
      </c>
      <c r="E572" s="21" t="s">
        <v>560</v>
      </c>
      <c r="F572" s="21" t="s">
        <v>996</v>
      </c>
      <c r="G572" s="21" t="s">
        <v>5324</v>
      </c>
      <c r="H572" s="28">
        <v>44532</v>
      </c>
      <c r="I572" s="22">
        <v>2021</v>
      </c>
      <c r="J572" s="21" t="s">
        <v>1012</v>
      </c>
      <c r="K572" s="21" t="s">
        <v>998</v>
      </c>
      <c r="L572" s="21" t="s">
        <v>5325</v>
      </c>
      <c r="M572" s="21" t="s">
        <v>5299</v>
      </c>
      <c r="N572" s="21" t="s">
        <v>5326</v>
      </c>
      <c r="O572" s="21" t="s">
        <v>5327</v>
      </c>
      <c r="P572" s="27">
        <v>0</v>
      </c>
      <c r="Q572" s="27">
        <v>14</v>
      </c>
      <c r="R572" s="21" t="s">
        <v>5328</v>
      </c>
      <c r="S572" s="21" t="s">
        <v>5329</v>
      </c>
      <c r="T572" s="21" t="s">
        <v>994</v>
      </c>
      <c r="U572" s="21" t="s">
        <v>5330</v>
      </c>
    </row>
    <row r="573" spans="1:21" ht="98">
      <c r="A573" s="21" t="s">
        <v>922</v>
      </c>
      <c r="B573" s="21" t="s">
        <v>923</v>
      </c>
      <c r="C573" s="21" t="s">
        <v>554</v>
      </c>
      <c r="D573" s="21" t="s">
        <v>180</v>
      </c>
      <c r="E573" s="21" t="s">
        <v>560</v>
      </c>
      <c r="F573" s="21" t="s">
        <v>1004</v>
      </c>
      <c r="G573" s="21" t="s">
        <v>5331</v>
      </c>
      <c r="H573" s="28">
        <v>44749</v>
      </c>
      <c r="I573" s="22">
        <v>2022</v>
      </c>
      <c r="J573" s="21" t="s">
        <v>958</v>
      </c>
      <c r="K573" s="21" t="s">
        <v>959</v>
      </c>
      <c r="L573" s="21" t="s">
        <v>5332</v>
      </c>
      <c r="M573" s="21" t="s">
        <v>5299</v>
      </c>
      <c r="N573" s="21" t="s">
        <v>5300</v>
      </c>
      <c r="O573" s="21" t="s">
        <v>5333</v>
      </c>
      <c r="P573" s="27">
        <v>0</v>
      </c>
      <c r="Q573" s="27">
        <v>31</v>
      </c>
      <c r="R573" s="21" t="s">
        <v>5334</v>
      </c>
      <c r="S573" s="21" t="s">
        <v>5335</v>
      </c>
      <c r="T573" s="21" t="s">
        <v>966</v>
      </c>
      <c r="U573" s="21" t="s">
        <v>5336</v>
      </c>
    </row>
    <row r="574" spans="1:21" ht="112">
      <c r="A574" s="21" t="s">
        <v>922</v>
      </c>
      <c r="B574" s="21" t="s">
        <v>923</v>
      </c>
      <c r="C574" s="21" t="s">
        <v>554</v>
      </c>
      <c r="D574" s="21" t="s">
        <v>180</v>
      </c>
      <c r="E574" s="21" t="s">
        <v>560</v>
      </c>
      <c r="F574" s="21" t="s">
        <v>1010</v>
      </c>
      <c r="G574" s="21" t="s">
        <v>5337</v>
      </c>
      <c r="H574" s="28">
        <v>43318</v>
      </c>
      <c r="I574" s="22">
        <v>2018</v>
      </c>
      <c r="J574" s="21" t="s">
        <v>1012</v>
      </c>
      <c r="K574" s="21" t="s">
        <v>998</v>
      </c>
      <c r="L574" s="21" t="s">
        <v>5338</v>
      </c>
      <c r="M574" s="21" t="s">
        <v>5299</v>
      </c>
      <c r="N574" s="21" t="s">
        <v>5339</v>
      </c>
      <c r="O574" s="21" t="s">
        <v>5340</v>
      </c>
      <c r="P574" s="27">
        <v>0</v>
      </c>
      <c r="Q574" s="27">
        <v>22</v>
      </c>
      <c r="R574" s="21" t="s">
        <v>5341</v>
      </c>
      <c r="S574" s="21" t="s">
        <v>5342</v>
      </c>
      <c r="T574" s="21" t="s">
        <v>966</v>
      </c>
      <c r="U574" s="21" t="s">
        <v>5343</v>
      </c>
    </row>
    <row r="575" spans="1:21" ht="98">
      <c r="A575" s="21" t="s">
        <v>922</v>
      </c>
      <c r="B575" s="21" t="s">
        <v>923</v>
      </c>
      <c r="C575" s="21" t="s">
        <v>554</v>
      </c>
      <c r="D575" s="21" t="s">
        <v>180</v>
      </c>
      <c r="E575" s="21" t="s">
        <v>560</v>
      </c>
      <c r="F575" s="21" t="s">
        <v>1020</v>
      </c>
      <c r="G575" s="21" t="s">
        <v>5344</v>
      </c>
      <c r="H575" s="28">
        <v>41037</v>
      </c>
      <c r="I575" s="22">
        <v>2012</v>
      </c>
      <c r="J575" s="21" t="s">
        <v>958</v>
      </c>
      <c r="K575" s="21" t="s">
        <v>959</v>
      </c>
      <c r="L575" s="21" t="s">
        <v>5345</v>
      </c>
      <c r="M575" s="21" t="s">
        <v>5346</v>
      </c>
      <c r="N575" s="21" t="s">
        <v>5347</v>
      </c>
      <c r="O575" s="21" t="s">
        <v>5348</v>
      </c>
      <c r="P575" s="27">
        <v>0</v>
      </c>
      <c r="Q575" s="27">
        <v>54</v>
      </c>
      <c r="R575" s="21" t="s">
        <v>5349</v>
      </c>
      <c r="S575" s="21" t="s">
        <v>5350</v>
      </c>
      <c r="T575" s="21" t="s">
        <v>966</v>
      </c>
      <c r="U575" s="21" t="s">
        <v>5351</v>
      </c>
    </row>
    <row r="576" spans="1:21" ht="56">
      <c r="A576" s="21" t="s">
        <v>922</v>
      </c>
      <c r="B576" s="21" t="s">
        <v>923</v>
      </c>
      <c r="C576" s="21" t="s">
        <v>554</v>
      </c>
      <c r="D576" s="21" t="s">
        <v>180</v>
      </c>
      <c r="E576" s="21" t="s">
        <v>560</v>
      </c>
      <c r="F576" s="21" t="s">
        <v>1028</v>
      </c>
      <c r="G576" s="21" t="s">
        <v>5352</v>
      </c>
      <c r="H576" s="28">
        <v>44137</v>
      </c>
      <c r="I576" s="22">
        <v>2020</v>
      </c>
      <c r="J576" s="21" t="s">
        <v>1012</v>
      </c>
      <c r="K576" s="21" t="s">
        <v>998</v>
      </c>
      <c r="L576" s="21" t="s">
        <v>5353</v>
      </c>
      <c r="M576" s="21" t="s">
        <v>5299</v>
      </c>
      <c r="N576" s="21" t="s">
        <v>5354</v>
      </c>
      <c r="O576" s="21" t="s">
        <v>5355</v>
      </c>
      <c r="P576" s="27">
        <v>1</v>
      </c>
      <c r="Q576" s="27">
        <v>5</v>
      </c>
      <c r="R576" s="21" t="s">
        <v>5356</v>
      </c>
      <c r="S576" s="21" t="s">
        <v>5357</v>
      </c>
      <c r="T576" s="21" t="s">
        <v>994</v>
      </c>
      <c r="U576" s="21" t="s">
        <v>5358</v>
      </c>
    </row>
    <row r="577" spans="1:21" ht="42">
      <c r="A577" s="21" t="s">
        <v>922</v>
      </c>
      <c r="B577" s="21" t="s">
        <v>923</v>
      </c>
      <c r="C577" s="21" t="s">
        <v>554</v>
      </c>
      <c r="D577" s="21" t="s">
        <v>180</v>
      </c>
      <c r="E577" s="21" t="s">
        <v>560</v>
      </c>
      <c r="F577" s="21" t="s">
        <v>1036</v>
      </c>
      <c r="G577" s="21" t="s">
        <v>5359</v>
      </c>
      <c r="H577" s="28">
        <v>43866</v>
      </c>
      <c r="I577" s="22">
        <v>2020</v>
      </c>
      <c r="J577" s="21" t="s">
        <v>1012</v>
      </c>
      <c r="K577" s="21" t="s">
        <v>998</v>
      </c>
      <c r="L577" s="21" t="s">
        <v>5360</v>
      </c>
      <c r="M577" s="21" t="s">
        <v>5299</v>
      </c>
      <c r="N577" s="21" t="s">
        <v>5361</v>
      </c>
      <c r="O577" s="21" t="s">
        <v>5362</v>
      </c>
      <c r="P577" s="27">
        <v>1</v>
      </c>
      <c r="Q577" s="27">
        <v>10</v>
      </c>
      <c r="R577" s="21" t="s">
        <v>5363</v>
      </c>
      <c r="S577" s="21" t="s">
        <v>5364</v>
      </c>
      <c r="T577" s="21" t="s">
        <v>994</v>
      </c>
      <c r="U577" s="21" t="s">
        <v>5365</v>
      </c>
    </row>
    <row r="578" spans="1:21" ht="154">
      <c r="A578" s="21" t="s">
        <v>922</v>
      </c>
      <c r="B578" s="21" t="s">
        <v>923</v>
      </c>
      <c r="C578" s="21" t="s">
        <v>554</v>
      </c>
      <c r="D578" s="21" t="s">
        <v>180</v>
      </c>
      <c r="E578" s="21" t="s">
        <v>560</v>
      </c>
      <c r="F578" s="21" t="s">
        <v>1043</v>
      </c>
      <c r="G578" s="21" t="s">
        <v>5366</v>
      </c>
      <c r="H578" s="28">
        <v>43669</v>
      </c>
      <c r="I578" s="22">
        <v>2019</v>
      </c>
      <c r="J578" s="21" t="s">
        <v>1012</v>
      </c>
      <c r="K578" s="21" t="s">
        <v>998</v>
      </c>
      <c r="L578" s="21" t="s">
        <v>5367</v>
      </c>
      <c r="M578" s="21" t="s">
        <v>5346</v>
      </c>
      <c r="N578" s="21" t="s">
        <v>5368</v>
      </c>
      <c r="O578" s="21" t="s">
        <v>5369</v>
      </c>
      <c r="P578" s="27">
        <v>0</v>
      </c>
      <c r="Q578" s="27">
        <v>37</v>
      </c>
      <c r="R578" s="21" t="s">
        <v>5370</v>
      </c>
      <c r="S578" s="21" t="s">
        <v>5371</v>
      </c>
      <c r="T578" s="21" t="s">
        <v>966</v>
      </c>
      <c r="U578" s="21" t="s">
        <v>5372</v>
      </c>
    </row>
    <row r="579" spans="1:21" ht="42">
      <c r="A579" s="21" t="s">
        <v>922</v>
      </c>
      <c r="B579" s="21" t="s">
        <v>923</v>
      </c>
      <c r="C579" s="21" t="s">
        <v>554</v>
      </c>
      <c r="D579" s="21" t="s">
        <v>180</v>
      </c>
      <c r="E579" s="21" t="s">
        <v>560</v>
      </c>
      <c r="F579" s="21" t="s">
        <v>1051</v>
      </c>
      <c r="G579" s="21" t="s">
        <v>5373</v>
      </c>
      <c r="H579" s="28">
        <v>43682</v>
      </c>
      <c r="I579" s="22">
        <v>2019</v>
      </c>
      <c r="J579" s="21" t="s">
        <v>1012</v>
      </c>
      <c r="K579" s="21" t="s">
        <v>998</v>
      </c>
      <c r="L579" s="21" t="s">
        <v>5374</v>
      </c>
      <c r="M579" s="21" t="s">
        <v>5299</v>
      </c>
      <c r="N579" s="21" t="s">
        <v>5375</v>
      </c>
      <c r="O579" s="21" t="s">
        <v>5320</v>
      </c>
      <c r="P579" s="27">
        <v>1</v>
      </c>
      <c r="Q579" s="27">
        <v>14</v>
      </c>
      <c r="R579" s="21" t="s">
        <v>5376</v>
      </c>
      <c r="S579" s="21" t="s">
        <v>5377</v>
      </c>
      <c r="T579" s="21" t="s">
        <v>994</v>
      </c>
      <c r="U579" s="21" t="s">
        <v>5378</v>
      </c>
    </row>
    <row r="580" spans="1:21" ht="42">
      <c r="A580" s="21" t="s">
        <v>922</v>
      </c>
      <c r="B580" s="21" t="s">
        <v>923</v>
      </c>
      <c r="C580" s="21" t="s">
        <v>554</v>
      </c>
      <c r="D580" s="21" t="s">
        <v>180</v>
      </c>
      <c r="E580" s="21" t="s">
        <v>560</v>
      </c>
      <c r="F580" s="21" t="s">
        <v>1060</v>
      </c>
      <c r="G580" s="21" t="s">
        <v>5379</v>
      </c>
      <c r="H580" s="28">
        <v>42682</v>
      </c>
      <c r="I580" s="22">
        <v>2016</v>
      </c>
      <c r="J580" s="21" t="s">
        <v>1012</v>
      </c>
      <c r="K580" s="21" t="s">
        <v>1013</v>
      </c>
      <c r="L580" s="21" t="s">
        <v>5380</v>
      </c>
      <c r="M580" s="21" t="s">
        <v>5381</v>
      </c>
      <c r="N580" s="21" t="s">
        <v>5382</v>
      </c>
      <c r="O580" s="21" t="s">
        <v>5383</v>
      </c>
      <c r="P580" s="27">
        <v>0</v>
      </c>
      <c r="Q580" s="27">
        <v>9</v>
      </c>
      <c r="R580" s="21" t="s">
        <v>5384</v>
      </c>
      <c r="S580" s="21" t="s">
        <v>5385</v>
      </c>
      <c r="T580" s="21" t="s">
        <v>966</v>
      </c>
      <c r="U580" s="21" t="s">
        <v>5386</v>
      </c>
    </row>
    <row r="581" spans="1:21" ht="56">
      <c r="A581" s="21" t="s">
        <v>922</v>
      </c>
      <c r="B581" s="21" t="s">
        <v>923</v>
      </c>
      <c r="C581" s="21" t="s">
        <v>554</v>
      </c>
      <c r="D581" s="21" t="s">
        <v>180</v>
      </c>
      <c r="E581" s="21" t="s">
        <v>560</v>
      </c>
      <c r="F581" s="21" t="s">
        <v>1068</v>
      </c>
      <c r="G581" s="21" t="s">
        <v>5387</v>
      </c>
      <c r="H581" s="28">
        <v>43152</v>
      </c>
      <c r="I581" s="22">
        <v>2018</v>
      </c>
      <c r="J581" s="21" t="s">
        <v>1012</v>
      </c>
      <c r="K581" s="21" t="s">
        <v>1013</v>
      </c>
      <c r="L581" s="21" t="s">
        <v>5388</v>
      </c>
      <c r="M581" s="21" t="s">
        <v>5299</v>
      </c>
      <c r="N581" s="21" t="s">
        <v>5389</v>
      </c>
      <c r="O581" s="21" t="s">
        <v>5390</v>
      </c>
      <c r="P581" s="27">
        <v>1</v>
      </c>
      <c r="Q581" s="27">
        <v>26</v>
      </c>
      <c r="R581" s="21" t="s">
        <v>5391</v>
      </c>
      <c r="S581" s="21" t="s">
        <v>5392</v>
      </c>
      <c r="T581" s="21" t="s">
        <v>966</v>
      </c>
      <c r="U581" s="21" t="s">
        <v>5393</v>
      </c>
    </row>
    <row r="582" spans="1:21" ht="56">
      <c r="A582" s="21" t="s">
        <v>922</v>
      </c>
      <c r="B582" s="21" t="s">
        <v>923</v>
      </c>
      <c r="C582" s="21" t="s">
        <v>554</v>
      </c>
      <c r="D582" s="21" t="s">
        <v>180</v>
      </c>
      <c r="E582" s="21" t="s">
        <v>560</v>
      </c>
      <c r="F582" s="21" t="s">
        <v>1077</v>
      </c>
      <c r="G582" s="21" t="s">
        <v>5394</v>
      </c>
      <c r="H582" s="28">
        <v>41205</v>
      </c>
      <c r="I582" s="22">
        <v>2012</v>
      </c>
      <c r="J582" s="21" t="s">
        <v>958</v>
      </c>
      <c r="K582" s="21" t="s">
        <v>959</v>
      </c>
      <c r="L582" s="21" t="s">
        <v>5395</v>
      </c>
      <c r="M582" s="21" t="s">
        <v>5299</v>
      </c>
      <c r="N582" s="21" t="s">
        <v>5396</v>
      </c>
      <c r="O582" s="21" t="s">
        <v>5397</v>
      </c>
      <c r="P582" s="27">
        <v>0</v>
      </c>
      <c r="Q582" s="27">
        <v>13</v>
      </c>
      <c r="R582" s="21" t="s">
        <v>5398</v>
      </c>
      <c r="S582" s="21" t="s">
        <v>5399</v>
      </c>
      <c r="T582" s="21" t="s">
        <v>966</v>
      </c>
      <c r="U582" s="21" t="s">
        <v>5400</v>
      </c>
    </row>
    <row r="583" spans="1:21" ht="70">
      <c r="A583" s="21" t="s">
        <v>922</v>
      </c>
      <c r="B583" s="21" t="s">
        <v>923</v>
      </c>
      <c r="C583" s="21" t="s">
        <v>554</v>
      </c>
      <c r="D583" s="21" t="s">
        <v>180</v>
      </c>
      <c r="E583" s="21" t="s">
        <v>560</v>
      </c>
      <c r="F583" s="21" t="s">
        <v>1085</v>
      </c>
      <c r="G583" s="21" t="s">
        <v>5401</v>
      </c>
      <c r="H583" s="28">
        <v>41962</v>
      </c>
      <c r="I583" s="22">
        <v>2014</v>
      </c>
      <c r="J583" s="21" t="s">
        <v>1012</v>
      </c>
      <c r="K583" s="21" t="s">
        <v>1013</v>
      </c>
      <c r="L583" s="21" t="s">
        <v>5402</v>
      </c>
      <c r="M583" s="21" t="s">
        <v>5299</v>
      </c>
      <c r="N583" s="21" t="s">
        <v>5403</v>
      </c>
      <c r="O583" s="21" t="s">
        <v>5404</v>
      </c>
      <c r="P583" s="27">
        <v>0</v>
      </c>
      <c r="Q583" s="27">
        <v>11</v>
      </c>
      <c r="R583" s="21" t="s">
        <v>5405</v>
      </c>
      <c r="S583" s="21" t="s">
        <v>5406</v>
      </c>
      <c r="T583" s="21" t="s">
        <v>3189</v>
      </c>
      <c r="U583" s="21" t="s">
        <v>5407</v>
      </c>
    </row>
    <row r="584" spans="1:21" ht="42">
      <c r="A584" s="21" t="s">
        <v>922</v>
      </c>
      <c r="B584" s="21" t="s">
        <v>923</v>
      </c>
      <c r="C584" s="21" t="s">
        <v>554</v>
      </c>
      <c r="D584" s="21" t="s">
        <v>180</v>
      </c>
      <c r="E584" s="21" t="s">
        <v>560</v>
      </c>
      <c r="F584" s="21" t="s">
        <v>1093</v>
      </c>
      <c r="G584" s="21" t="s">
        <v>5408</v>
      </c>
      <c r="H584" s="28">
        <v>42094</v>
      </c>
      <c r="I584" s="22">
        <v>2015</v>
      </c>
      <c r="J584" s="21" t="s">
        <v>1012</v>
      </c>
      <c r="K584" s="21" t="s">
        <v>1013</v>
      </c>
      <c r="L584" s="21" t="s">
        <v>5409</v>
      </c>
      <c r="M584" s="21" t="s">
        <v>5299</v>
      </c>
      <c r="N584" s="21" t="s">
        <v>5410</v>
      </c>
      <c r="O584" s="21" t="s">
        <v>5411</v>
      </c>
      <c r="P584" s="27">
        <v>0</v>
      </c>
      <c r="Q584" s="27">
        <v>3</v>
      </c>
      <c r="R584" s="21" t="s">
        <v>5412</v>
      </c>
      <c r="S584" s="21" t="s">
        <v>5413</v>
      </c>
      <c r="T584" s="21" t="s">
        <v>966</v>
      </c>
      <c r="U584" s="21" t="s">
        <v>5414</v>
      </c>
    </row>
    <row r="585" spans="1:21" ht="56">
      <c r="A585" s="21" t="s">
        <v>922</v>
      </c>
      <c r="B585" s="21" t="s">
        <v>923</v>
      </c>
      <c r="C585" s="21" t="s">
        <v>554</v>
      </c>
      <c r="D585" s="21" t="s">
        <v>180</v>
      </c>
      <c r="E585" s="21" t="s">
        <v>560</v>
      </c>
      <c r="F585" s="21" t="s">
        <v>1101</v>
      </c>
      <c r="G585" s="21" t="s">
        <v>5415</v>
      </c>
      <c r="H585" s="28">
        <v>41661</v>
      </c>
      <c r="I585" s="22">
        <v>2014</v>
      </c>
      <c r="J585" s="21" t="s">
        <v>1012</v>
      </c>
      <c r="K585" s="21" t="s">
        <v>1013</v>
      </c>
      <c r="L585" s="21" t="s">
        <v>5416</v>
      </c>
      <c r="M585" s="21" t="s">
        <v>5299</v>
      </c>
      <c r="N585" s="21" t="s">
        <v>5417</v>
      </c>
      <c r="O585" s="21" t="s">
        <v>5418</v>
      </c>
      <c r="P585" s="27">
        <v>0</v>
      </c>
      <c r="Q585" s="27">
        <v>26</v>
      </c>
      <c r="R585" s="21" t="s">
        <v>5419</v>
      </c>
      <c r="S585" s="21" t="s">
        <v>5420</v>
      </c>
      <c r="T585" s="21" t="s">
        <v>966</v>
      </c>
      <c r="U585" s="21" t="s">
        <v>5421</v>
      </c>
    </row>
    <row r="586" spans="1:21" ht="42">
      <c r="A586" s="21" t="s">
        <v>922</v>
      </c>
      <c r="B586" s="21" t="s">
        <v>923</v>
      </c>
      <c r="C586" s="21" t="s">
        <v>554</v>
      </c>
      <c r="D586" s="21" t="s">
        <v>180</v>
      </c>
      <c r="E586" s="21" t="s">
        <v>560</v>
      </c>
      <c r="F586" s="21" t="s">
        <v>1109</v>
      </c>
      <c r="G586" s="21" t="s">
        <v>5422</v>
      </c>
      <c r="H586" s="28">
        <v>41886</v>
      </c>
      <c r="I586" s="22">
        <v>2014</v>
      </c>
      <c r="J586" s="21" t="s">
        <v>1012</v>
      </c>
      <c r="K586" s="21" t="s">
        <v>1013</v>
      </c>
      <c r="L586" s="21" t="s">
        <v>5423</v>
      </c>
      <c r="M586" s="21" t="s">
        <v>5424</v>
      </c>
      <c r="N586" s="21" t="s">
        <v>5425</v>
      </c>
      <c r="O586" s="21" t="s">
        <v>5426</v>
      </c>
      <c r="P586" s="27">
        <v>0</v>
      </c>
      <c r="Q586" s="27">
        <v>12</v>
      </c>
      <c r="R586" s="21" t="s">
        <v>5427</v>
      </c>
      <c r="S586" s="21" t="s">
        <v>5428</v>
      </c>
      <c r="T586" s="21" t="s">
        <v>966</v>
      </c>
      <c r="U586" s="21" t="s">
        <v>5429</v>
      </c>
    </row>
    <row r="587" spans="1:21" ht="28">
      <c r="A587" s="21" t="s">
        <v>922</v>
      </c>
      <c r="B587" s="21" t="s">
        <v>923</v>
      </c>
      <c r="C587" s="21" t="s">
        <v>554</v>
      </c>
      <c r="D587" s="21" t="s">
        <v>180</v>
      </c>
      <c r="E587" s="21" t="s">
        <v>560</v>
      </c>
      <c r="F587" s="21" t="s">
        <v>1117</v>
      </c>
      <c r="G587" s="21" t="s">
        <v>5430</v>
      </c>
      <c r="H587" s="28">
        <v>41281</v>
      </c>
      <c r="I587" s="22">
        <v>2013</v>
      </c>
      <c r="J587" s="21" t="s">
        <v>958</v>
      </c>
      <c r="K587" s="21" t="s">
        <v>959</v>
      </c>
      <c r="L587" s="21" t="s">
        <v>5431</v>
      </c>
      <c r="M587" s="21" t="s">
        <v>5346</v>
      </c>
      <c r="N587" s="21" t="s">
        <v>5432</v>
      </c>
      <c r="O587" s="21" t="s">
        <v>5433</v>
      </c>
      <c r="P587" s="27">
        <v>1</v>
      </c>
      <c r="Q587" s="27">
        <v>7</v>
      </c>
      <c r="R587" s="21" t="s">
        <v>5434</v>
      </c>
      <c r="S587" s="21" t="s">
        <v>5435</v>
      </c>
      <c r="T587" s="21" t="s">
        <v>966</v>
      </c>
      <c r="U587" s="21" t="s">
        <v>5436</v>
      </c>
    </row>
    <row r="588" spans="1:21" ht="56">
      <c r="A588" s="21" t="s">
        <v>922</v>
      </c>
      <c r="B588" s="21" t="s">
        <v>923</v>
      </c>
      <c r="C588" s="21" t="s">
        <v>554</v>
      </c>
      <c r="D588" s="21" t="s">
        <v>180</v>
      </c>
      <c r="E588" s="21" t="s">
        <v>560</v>
      </c>
      <c r="F588" s="21" t="s">
        <v>1125</v>
      </c>
      <c r="G588" s="21" t="s">
        <v>5437</v>
      </c>
      <c r="H588" s="28">
        <v>42094</v>
      </c>
      <c r="I588" s="22">
        <v>2015</v>
      </c>
      <c r="J588" s="21" t="s">
        <v>1012</v>
      </c>
      <c r="K588" s="21" t="s">
        <v>1013</v>
      </c>
      <c r="L588" s="21" t="s">
        <v>5438</v>
      </c>
      <c r="M588" s="21" t="s">
        <v>5299</v>
      </c>
      <c r="N588" s="21" t="s">
        <v>5410</v>
      </c>
      <c r="O588" s="21" t="s">
        <v>5439</v>
      </c>
      <c r="P588" s="27">
        <v>0</v>
      </c>
      <c r="Q588" s="27">
        <v>3</v>
      </c>
      <c r="R588" s="21" t="s">
        <v>5440</v>
      </c>
      <c r="S588" s="21" t="s">
        <v>5441</v>
      </c>
      <c r="T588" s="21" t="s">
        <v>966</v>
      </c>
      <c r="U588" s="21" t="s">
        <v>5442</v>
      </c>
    </row>
    <row r="589" spans="1:21" ht="56">
      <c r="A589" s="21" t="s">
        <v>922</v>
      </c>
      <c r="B589" s="21" t="s">
        <v>923</v>
      </c>
      <c r="C589" s="21" t="s">
        <v>554</v>
      </c>
      <c r="D589" s="21" t="s">
        <v>180</v>
      </c>
      <c r="E589" s="21" t="s">
        <v>560</v>
      </c>
      <c r="F589" s="21" t="s">
        <v>1133</v>
      </c>
      <c r="G589" s="21" t="s">
        <v>5443</v>
      </c>
      <c r="H589" s="28">
        <v>41470</v>
      </c>
      <c r="I589" s="22">
        <v>2013</v>
      </c>
      <c r="J589" s="21" t="s">
        <v>958</v>
      </c>
      <c r="K589" s="21" t="s">
        <v>959</v>
      </c>
      <c r="L589" s="21" t="s">
        <v>5444</v>
      </c>
      <c r="M589" s="21" t="s">
        <v>5445</v>
      </c>
      <c r="N589" s="21" t="s">
        <v>5446</v>
      </c>
      <c r="O589" s="21" t="s">
        <v>5447</v>
      </c>
      <c r="P589" s="27">
        <v>0</v>
      </c>
      <c r="Q589" s="27">
        <v>9</v>
      </c>
      <c r="R589" s="21" t="s">
        <v>5448</v>
      </c>
      <c r="S589" s="21" t="s">
        <v>5449</v>
      </c>
      <c r="T589" s="21" t="s">
        <v>966</v>
      </c>
      <c r="U589" s="21" t="s">
        <v>5450</v>
      </c>
    </row>
    <row r="590" spans="1:21" ht="42">
      <c r="A590" s="21" t="s">
        <v>922</v>
      </c>
      <c r="B590" s="21" t="s">
        <v>923</v>
      </c>
      <c r="C590" s="21" t="s">
        <v>554</v>
      </c>
      <c r="D590" s="21" t="s">
        <v>180</v>
      </c>
      <c r="E590" s="21" t="s">
        <v>5451</v>
      </c>
      <c r="F590" s="21" t="s">
        <v>1141</v>
      </c>
      <c r="G590" s="21" t="s">
        <v>5452</v>
      </c>
      <c r="H590" s="28">
        <v>41037</v>
      </c>
      <c r="I590" s="22">
        <v>2012</v>
      </c>
      <c r="J590" s="21" t="s">
        <v>1012</v>
      </c>
      <c r="K590" s="21" t="s">
        <v>1013</v>
      </c>
      <c r="L590" s="21" t="s">
        <v>5453</v>
      </c>
      <c r="M590" s="21" t="s">
        <v>5454</v>
      </c>
      <c r="N590" s="21" t="s">
        <v>5455</v>
      </c>
      <c r="O590" s="21" t="s">
        <v>5456</v>
      </c>
      <c r="P590" s="27">
        <v>7</v>
      </c>
      <c r="Q590" s="27">
        <v>4</v>
      </c>
      <c r="R590" s="21" t="s">
        <v>5457</v>
      </c>
      <c r="S590" s="21" t="s">
        <v>5458</v>
      </c>
      <c r="T590" s="21" t="s">
        <v>966</v>
      </c>
      <c r="U590" s="21" t="s">
        <v>5459</v>
      </c>
    </row>
    <row r="591" spans="1:21" ht="112">
      <c r="A591" s="21" t="s">
        <v>922</v>
      </c>
      <c r="B591" s="21" t="s">
        <v>923</v>
      </c>
      <c r="C591" s="21" t="s">
        <v>554</v>
      </c>
      <c r="D591" s="21" t="s">
        <v>180</v>
      </c>
      <c r="E591" s="21" t="s">
        <v>5451</v>
      </c>
      <c r="F591" s="21" t="s">
        <v>1150</v>
      </c>
      <c r="G591" s="21" t="s">
        <v>5460</v>
      </c>
      <c r="H591" s="28">
        <v>41281</v>
      </c>
      <c r="I591" s="22">
        <v>2013</v>
      </c>
      <c r="J591" s="21" t="s">
        <v>1012</v>
      </c>
      <c r="K591" s="21" t="s">
        <v>1013</v>
      </c>
      <c r="L591" s="21" t="s">
        <v>5461</v>
      </c>
      <c r="M591" s="21" t="s">
        <v>5454</v>
      </c>
      <c r="N591" s="21" t="s">
        <v>5455</v>
      </c>
      <c r="O591" s="21" t="s">
        <v>5456</v>
      </c>
      <c r="P591" s="27">
        <v>0</v>
      </c>
      <c r="Q591" s="27">
        <v>2</v>
      </c>
      <c r="R591" s="21" t="s">
        <v>5462</v>
      </c>
      <c r="S591" s="21" t="s">
        <v>5463</v>
      </c>
      <c r="T591" s="21" t="s">
        <v>3189</v>
      </c>
      <c r="U591" s="21" t="s">
        <v>5464</v>
      </c>
    </row>
    <row r="592" spans="1:21" ht="70">
      <c r="A592" s="21" t="s">
        <v>922</v>
      </c>
      <c r="B592" s="21" t="s">
        <v>923</v>
      </c>
      <c r="C592" s="21" t="s">
        <v>554</v>
      </c>
      <c r="D592" s="21" t="s">
        <v>180</v>
      </c>
      <c r="E592" s="21" t="s">
        <v>560</v>
      </c>
      <c r="F592" s="21" t="s">
        <v>1158</v>
      </c>
      <c r="G592" s="21" t="s">
        <v>5465</v>
      </c>
      <c r="H592" s="28">
        <v>41382</v>
      </c>
      <c r="I592" s="22">
        <v>2013</v>
      </c>
      <c r="J592" s="21" t="s">
        <v>958</v>
      </c>
      <c r="K592" s="21" t="s">
        <v>959</v>
      </c>
      <c r="L592" s="21" t="s">
        <v>5466</v>
      </c>
      <c r="M592" s="21" t="s">
        <v>5424</v>
      </c>
      <c r="N592" s="21" t="s">
        <v>5467</v>
      </c>
      <c r="O592" s="21" t="s">
        <v>5397</v>
      </c>
      <c r="P592" s="27">
        <v>0</v>
      </c>
      <c r="Q592" s="27">
        <v>13</v>
      </c>
      <c r="R592" s="21" t="s">
        <v>5468</v>
      </c>
      <c r="S592" s="21" t="s">
        <v>5469</v>
      </c>
      <c r="T592" s="21" t="s">
        <v>966</v>
      </c>
      <c r="U592" s="21" t="s">
        <v>5470</v>
      </c>
    </row>
    <row r="593" spans="1:21" ht="56">
      <c r="A593" s="21" t="s">
        <v>922</v>
      </c>
      <c r="B593" s="21" t="s">
        <v>923</v>
      </c>
      <c r="C593" s="21" t="s">
        <v>554</v>
      </c>
      <c r="D593" s="21" t="s">
        <v>180</v>
      </c>
      <c r="E593" s="21" t="s">
        <v>560</v>
      </c>
      <c r="F593" s="21" t="s">
        <v>1166</v>
      </c>
      <c r="G593" s="21" t="s">
        <v>5471</v>
      </c>
      <c r="H593" s="28">
        <v>40840</v>
      </c>
      <c r="I593" s="22">
        <v>2011</v>
      </c>
      <c r="J593" s="21" t="s">
        <v>1012</v>
      </c>
      <c r="K593" s="21" t="s">
        <v>1013</v>
      </c>
      <c r="L593" s="21" t="s">
        <v>5472</v>
      </c>
      <c r="M593" s="21" t="s">
        <v>5473</v>
      </c>
      <c r="N593" s="21" t="s">
        <v>5474</v>
      </c>
      <c r="O593" s="21" t="s">
        <v>5475</v>
      </c>
      <c r="P593" s="27">
        <v>2</v>
      </c>
      <c r="Q593" s="27">
        <v>2</v>
      </c>
      <c r="R593" s="21" t="s">
        <v>5476</v>
      </c>
      <c r="S593" s="21" t="s">
        <v>5477</v>
      </c>
      <c r="T593" s="21" t="s">
        <v>966</v>
      </c>
      <c r="U593" s="21" t="s">
        <v>5478</v>
      </c>
    </row>
    <row r="594" spans="1:21" ht="112">
      <c r="A594" s="21" t="s">
        <v>922</v>
      </c>
      <c r="B594" s="21" t="s">
        <v>923</v>
      </c>
      <c r="C594" s="21" t="s">
        <v>554</v>
      </c>
      <c r="D594" s="21" t="s">
        <v>180</v>
      </c>
      <c r="E594" s="21" t="s">
        <v>560</v>
      </c>
      <c r="F594" s="21" t="s">
        <v>1174</v>
      </c>
      <c r="G594" s="21" t="s">
        <v>5479</v>
      </c>
      <c r="H594" s="28">
        <v>40840</v>
      </c>
      <c r="I594" s="22">
        <v>2011</v>
      </c>
      <c r="J594" s="21" t="s">
        <v>1012</v>
      </c>
      <c r="K594" s="21" t="s">
        <v>1013</v>
      </c>
      <c r="L594" s="21" t="s">
        <v>5480</v>
      </c>
      <c r="M594" s="21" t="s">
        <v>5473</v>
      </c>
      <c r="N594" s="21" t="s">
        <v>5474</v>
      </c>
      <c r="O594" s="21" t="s">
        <v>5475</v>
      </c>
      <c r="P594" s="27">
        <v>6</v>
      </c>
      <c r="Q594" s="27">
        <v>16</v>
      </c>
      <c r="R594" s="21" t="s">
        <v>5481</v>
      </c>
      <c r="S594" s="21" t="s">
        <v>5482</v>
      </c>
      <c r="T594" s="21" t="s">
        <v>966</v>
      </c>
      <c r="U594" s="21" t="s">
        <v>5483</v>
      </c>
    </row>
    <row r="595" spans="1:21" ht="140">
      <c r="A595" s="21" t="s">
        <v>925</v>
      </c>
      <c r="B595" s="21" t="s">
        <v>304</v>
      </c>
      <c r="C595" s="21" t="s">
        <v>298</v>
      </c>
      <c r="D595" s="21" t="s">
        <v>180</v>
      </c>
      <c r="E595" s="21" t="s">
        <v>305</v>
      </c>
      <c r="F595" s="21" t="s">
        <v>956</v>
      </c>
      <c r="G595" s="21" t="s">
        <v>5484</v>
      </c>
      <c r="H595" s="28">
        <v>41921</v>
      </c>
      <c r="I595" s="22">
        <v>2014</v>
      </c>
      <c r="J595" s="21" t="s">
        <v>958</v>
      </c>
      <c r="K595" s="21" t="s">
        <v>959</v>
      </c>
      <c r="L595" s="21" t="s">
        <v>5485</v>
      </c>
      <c r="M595" s="21" t="s">
        <v>5486</v>
      </c>
      <c r="N595" s="21" t="s">
        <v>5487</v>
      </c>
      <c r="O595" s="21" t="s">
        <v>5488</v>
      </c>
      <c r="P595" s="27">
        <v>0</v>
      </c>
      <c r="Q595" s="27">
        <v>17</v>
      </c>
      <c r="R595" s="21" t="s">
        <v>5489</v>
      </c>
      <c r="S595" s="21" t="s">
        <v>5490</v>
      </c>
      <c r="T595" s="21" t="s">
        <v>966</v>
      </c>
      <c r="U595" s="21" t="s">
        <v>5491</v>
      </c>
    </row>
    <row r="596" spans="1:21" ht="196">
      <c r="A596" s="21" t="s">
        <v>925</v>
      </c>
      <c r="B596" s="21" t="s">
        <v>304</v>
      </c>
      <c r="C596" s="21" t="s">
        <v>298</v>
      </c>
      <c r="D596" s="21" t="s">
        <v>180</v>
      </c>
      <c r="E596" s="21" t="s">
        <v>305</v>
      </c>
      <c r="F596" s="21" t="s">
        <v>968</v>
      </c>
      <c r="G596" s="21" t="s">
        <v>5492</v>
      </c>
      <c r="H596" s="28">
        <v>42538</v>
      </c>
      <c r="I596" s="22">
        <v>2016</v>
      </c>
      <c r="J596" s="21" t="s">
        <v>958</v>
      </c>
      <c r="K596" s="21" t="s">
        <v>959</v>
      </c>
      <c r="L596" s="21" t="s">
        <v>5493</v>
      </c>
      <c r="M596" s="21" t="s">
        <v>5494</v>
      </c>
      <c r="N596" s="21" t="s">
        <v>5495</v>
      </c>
      <c r="O596" s="21" t="s">
        <v>5496</v>
      </c>
      <c r="P596" s="27">
        <v>0</v>
      </c>
      <c r="Q596" s="27">
        <v>28</v>
      </c>
      <c r="R596" s="21" t="s">
        <v>5497</v>
      </c>
      <c r="S596" s="21" t="s">
        <v>5498</v>
      </c>
      <c r="T596" s="21" t="s">
        <v>966</v>
      </c>
      <c r="U596" s="21" t="s">
        <v>5499</v>
      </c>
    </row>
    <row r="597" spans="1:21" ht="56">
      <c r="A597" s="21" t="s">
        <v>925</v>
      </c>
      <c r="B597" s="21" t="s">
        <v>304</v>
      </c>
      <c r="C597" s="21" t="s">
        <v>298</v>
      </c>
      <c r="D597" s="21" t="s">
        <v>180</v>
      </c>
      <c r="E597" s="21" t="s">
        <v>305</v>
      </c>
      <c r="F597" s="21" t="s">
        <v>977</v>
      </c>
      <c r="G597" s="21" t="s">
        <v>5500</v>
      </c>
      <c r="H597" s="28">
        <v>44547</v>
      </c>
      <c r="I597" s="22">
        <v>2021</v>
      </c>
      <c r="J597" s="21" t="s">
        <v>958</v>
      </c>
      <c r="K597" s="21" t="s">
        <v>998</v>
      </c>
      <c r="L597" s="21" t="s">
        <v>5501</v>
      </c>
      <c r="M597" s="21" t="s">
        <v>5486</v>
      </c>
      <c r="N597" s="21" t="s">
        <v>5502</v>
      </c>
      <c r="O597" s="21" t="s">
        <v>5503</v>
      </c>
      <c r="P597" s="27">
        <v>0</v>
      </c>
      <c r="Q597" s="27">
        <v>7</v>
      </c>
      <c r="R597" s="21" t="s">
        <v>5504</v>
      </c>
      <c r="S597" s="21" t="s">
        <v>5505</v>
      </c>
      <c r="T597" s="21" t="s">
        <v>994</v>
      </c>
      <c r="U597" s="21" t="s">
        <v>5506</v>
      </c>
    </row>
    <row r="598" spans="1:21" ht="154">
      <c r="A598" s="21" t="s">
        <v>925</v>
      </c>
      <c r="B598" s="21" t="s">
        <v>304</v>
      </c>
      <c r="C598" s="21" t="s">
        <v>298</v>
      </c>
      <c r="D598" s="21" t="s">
        <v>180</v>
      </c>
      <c r="E598" s="21" t="s">
        <v>5507</v>
      </c>
      <c r="F598" s="21" t="s">
        <v>985</v>
      </c>
      <c r="G598" s="21" t="s">
        <v>5508</v>
      </c>
      <c r="H598" s="28">
        <v>44547</v>
      </c>
      <c r="I598" s="22">
        <v>2021</v>
      </c>
      <c r="J598" s="21" t="s">
        <v>958</v>
      </c>
      <c r="K598" s="21" t="s">
        <v>998</v>
      </c>
      <c r="L598" s="21" t="s">
        <v>5509</v>
      </c>
      <c r="M598" s="21" t="s">
        <v>5510</v>
      </c>
      <c r="N598" s="21" t="s">
        <v>5511</v>
      </c>
      <c r="O598" s="21" t="s">
        <v>5512</v>
      </c>
      <c r="P598" s="27">
        <v>0</v>
      </c>
      <c r="Q598" s="27">
        <v>11</v>
      </c>
      <c r="R598" s="21" t="s">
        <v>5513</v>
      </c>
      <c r="S598" s="21" t="s">
        <v>5514</v>
      </c>
      <c r="T598" s="21" t="s">
        <v>994</v>
      </c>
      <c r="U598" s="21" t="s">
        <v>5515</v>
      </c>
    </row>
    <row r="599" spans="1:21" ht="84">
      <c r="A599" s="21" t="s">
        <v>925</v>
      </c>
      <c r="B599" s="21" t="s">
        <v>304</v>
      </c>
      <c r="C599" s="21" t="s">
        <v>298</v>
      </c>
      <c r="D599" s="21" t="s">
        <v>180</v>
      </c>
      <c r="E599" s="21" t="s">
        <v>305</v>
      </c>
      <c r="F599" s="21" t="s">
        <v>996</v>
      </c>
      <c r="G599" s="21" t="s">
        <v>5516</v>
      </c>
      <c r="H599" s="28">
        <v>40317</v>
      </c>
      <c r="I599" s="22">
        <v>2010</v>
      </c>
      <c r="J599" s="21" t="s">
        <v>958</v>
      </c>
      <c r="K599" s="21" t="s">
        <v>5517</v>
      </c>
      <c r="L599" s="21" t="s">
        <v>5518</v>
      </c>
      <c r="M599" s="21" t="s">
        <v>5486</v>
      </c>
      <c r="N599" s="21" t="s">
        <v>5519</v>
      </c>
      <c r="O599" s="21" t="s">
        <v>5520</v>
      </c>
      <c r="P599" s="27">
        <v>0</v>
      </c>
      <c r="Q599" s="27">
        <v>147</v>
      </c>
      <c r="R599" s="21" t="s">
        <v>5521</v>
      </c>
      <c r="S599" s="21" t="s">
        <v>5522</v>
      </c>
      <c r="T599" s="21" t="s">
        <v>966</v>
      </c>
      <c r="U599" s="21" t="s">
        <v>5523</v>
      </c>
    </row>
    <row r="600" spans="1:21" ht="154">
      <c r="A600" s="21" t="s">
        <v>925</v>
      </c>
      <c r="B600" s="21" t="s">
        <v>304</v>
      </c>
      <c r="C600" s="21" t="s">
        <v>298</v>
      </c>
      <c r="D600" s="21" t="s">
        <v>180</v>
      </c>
      <c r="E600" s="21" t="s">
        <v>305</v>
      </c>
      <c r="F600" s="21" t="s">
        <v>1004</v>
      </c>
      <c r="G600" s="21" t="s">
        <v>5524</v>
      </c>
      <c r="H600" s="28">
        <v>44530</v>
      </c>
      <c r="I600" s="22">
        <v>2021</v>
      </c>
      <c r="J600" s="21" t="s">
        <v>958</v>
      </c>
      <c r="K600" s="21" t="s">
        <v>998</v>
      </c>
      <c r="L600" s="21" t="s">
        <v>5525</v>
      </c>
      <c r="M600" s="21" t="s">
        <v>5526</v>
      </c>
      <c r="N600" s="21" t="s">
        <v>5527</v>
      </c>
      <c r="O600" s="21" t="s">
        <v>5528</v>
      </c>
      <c r="P600" s="27">
        <v>0</v>
      </c>
      <c r="Q600" s="27">
        <v>9</v>
      </c>
      <c r="R600" s="21" t="s">
        <v>5529</v>
      </c>
      <c r="S600" s="21" t="s">
        <v>5530</v>
      </c>
      <c r="T600" s="21" t="s">
        <v>994</v>
      </c>
      <c r="U600" s="21" t="s">
        <v>5531</v>
      </c>
    </row>
    <row r="601" spans="1:21" ht="224">
      <c r="A601" s="21" t="s">
        <v>925</v>
      </c>
      <c r="B601" s="21" t="s">
        <v>304</v>
      </c>
      <c r="C601" s="21" t="s">
        <v>298</v>
      </c>
      <c r="D601" s="21" t="s">
        <v>180</v>
      </c>
      <c r="E601" s="21" t="s">
        <v>305</v>
      </c>
      <c r="F601" s="21" t="s">
        <v>1010</v>
      </c>
      <c r="G601" s="21" t="s">
        <v>5532</v>
      </c>
      <c r="H601" s="28">
        <v>43642</v>
      </c>
      <c r="I601" s="22">
        <v>2019</v>
      </c>
      <c r="J601" s="21" t="s">
        <v>958</v>
      </c>
      <c r="K601" s="21" t="s">
        <v>959</v>
      </c>
      <c r="L601" s="21" t="s">
        <v>5533</v>
      </c>
      <c r="M601" s="21" t="s">
        <v>5486</v>
      </c>
      <c r="N601" s="21" t="s">
        <v>5487</v>
      </c>
      <c r="O601" s="21" t="s">
        <v>5534</v>
      </c>
      <c r="P601" s="27">
        <v>0</v>
      </c>
      <c r="Q601" s="27">
        <v>18</v>
      </c>
      <c r="R601" s="21" t="s">
        <v>5535</v>
      </c>
      <c r="S601" s="21" t="s">
        <v>5536</v>
      </c>
      <c r="T601" s="21" t="s">
        <v>966</v>
      </c>
      <c r="U601" s="21" t="s">
        <v>5537</v>
      </c>
    </row>
    <row r="602" spans="1:21" ht="196">
      <c r="A602" s="21" t="s">
        <v>925</v>
      </c>
      <c r="B602" s="21" t="s">
        <v>304</v>
      </c>
      <c r="C602" s="21" t="s">
        <v>298</v>
      </c>
      <c r="D602" s="21" t="s">
        <v>180</v>
      </c>
      <c r="E602" s="21" t="s">
        <v>305</v>
      </c>
      <c r="F602" s="21" t="s">
        <v>1020</v>
      </c>
      <c r="G602" s="21" t="s">
        <v>5538</v>
      </c>
      <c r="H602" s="28">
        <v>44530</v>
      </c>
      <c r="I602" s="22">
        <v>2021</v>
      </c>
      <c r="J602" s="21" t="s">
        <v>958</v>
      </c>
      <c r="K602" s="21" t="s">
        <v>998</v>
      </c>
      <c r="L602" s="21" t="s">
        <v>5539</v>
      </c>
      <c r="M602" s="21" t="s">
        <v>5540</v>
      </c>
      <c r="N602" s="21" t="s">
        <v>5541</v>
      </c>
      <c r="O602" s="21" t="s">
        <v>5542</v>
      </c>
      <c r="P602" s="27">
        <v>0</v>
      </c>
      <c r="Q602" s="27">
        <v>13</v>
      </c>
      <c r="R602" s="21" t="s">
        <v>5543</v>
      </c>
      <c r="S602" s="21" t="s">
        <v>5530</v>
      </c>
      <c r="T602" s="21" t="s">
        <v>994</v>
      </c>
      <c r="U602" s="21" t="s">
        <v>5544</v>
      </c>
    </row>
    <row r="603" spans="1:21" ht="140">
      <c r="A603" s="21" t="s">
        <v>925</v>
      </c>
      <c r="B603" s="21" t="s">
        <v>304</v>
      </c>
      <c r="C603" s="21" t="s">
        <v>298</v>
      </c>
      <c r="D603" s="21" t="s">
        <v>180</v>
      </c>
      <c r="E603" s="21" t="s">
        <v>305</v>
      </c>
      <c r="F603" s="21" t="s">
        <v>1028</v>
      </c>
      <c r="G603" s="21" t="s">
        <v>5545</v>
      </c>
      <c r="H603" s="28">
        <v>44505</v>
      </c>
      <c r="I603" s="22">
        <v>2021</v>
      </c>
      <c r="J603" s="21" t="s">
        <v>958</v>
      </c>
      <c r="K603" s="21" t="s">
        <v>998</v>
      </c>
      <c r="L603" s="21" t="s">
        <v>5546</v>
      </c>
      <c r="M603" s="21" t="s">
        <v>5486</v>
      </c>
      <c r="N603" s="21" t="s">
        <v>5547</v>
      </c>
      <c r="O603" s="21" t="s">
        <v>5548</v>
      </c>
      <c r="P603" s="27">
        <v>0</v>
      </c>
      <c r="Q603" s="27">
        <v>12</v>
      </c>
      <c r="R603" s="21" t="s">
        <v>5549</v>
      </c>
      <c r="S603" s="21" t="s">
        <v>5550</v>
      </c>
      <c r="T603" s="21" t="s">
        <v>994</v>
      </c>
      <c r="U603" s="21" t="s">
        <v>5551</v>
      </c>
    </row>
    <row r="604" spans="1:21" ht="182">
      <c r="A604" s="21" t="s">
        <v>925</v>
      </c>
      <c r="B604" s="21" t="s">
        <v>304</v>
      </c>
      <c r="C604" s="21" t="s">
        <v>298</v>
      </c>
      <c r="D604" s="21" t="s">
        <v>180</v>
      </c>
      <c r="E604" s="21" t="s">
        <v>305</v>
      </c>
      <c r="F604" s="21" t="s">
        <v>1036</v>
      </c>
      <c r="G604" s="21" t="s">
        <v>5552</v>
      </c>
      <c r="H604" s="28">
        <v>44505</v>
      </c>
      <c r="I604" s="22">
        <v>2021</v>
      </c>
      <c r="J604" s="21" t="s">
        <v>958</v>
      </c>
      <c r="K604" s="21" t="s">
        <v>998</v>
      </c>
      <c r="L604" s="21" t="s">
        <v>5553</v>
      </c>
      <c r="M604" s="21" t="s">
        <v>5486</v>
      </c>
      <c r="N604" s="21" t="s">
        <v>5554</v>
      </c>
      <c r="O604" s="21" t="s">
        <v>5555</v>
      </c>
      <c r="P604" s="27">
        <v>0</v>
      </c>
      <c r="Q604" s="27">
        <v>10</v>
      </c>
      <c r="R604" s="21" t="s">
        <v>5556</v>
      </c>
      <c r="S604" s="21" t="s">
        <v>5550</v>
      </c>
      <c r="T604" s="21" t="s">
        <v>994</v>
      </c>
      <c r="U604" s="21" t="s">
        <v>5557</v>
      </c>
    </row>
    <row r="605" spans="1:21" ht="126">
      <c r="A605" s="21" t="s">
        <v>925</v>
      </c>
      <c r="B605" s="21" t="s">
        <v>304</v>
      </c>
      <c r="C605" s="21" t="s">
        <v>298</v>
      </c>
      <c r="D605" s="21" t="s">
        <v>180</v>
      </c>
      <c r="E605" s="21" t="s">
        <v>305</v>
      </c>
      <c r="F605" s="21" t="s">
        <v>1043</v>
      </c>
      <c r="G605" s="21" t="s">
        <v>5558</v>
      </c>
      <c r="H605" s="28">
        <v>44505</v>
      </c>
      <c r="I605" s="22">
        <v>2021</v>
      </c>
      <c r="J605" s="21" t="s">
        <v>958</v>
      </c>
      <c r="K605" s="21" t="s">
        <v>998</v>
      </c>
      <c r="L605" s="21" t="s">
        <v>5559</v>
      </c>
      <c r="M605" s="21" t="s">
        <v>5540</v>
      </c>
      <c r="N605" s="21" t="s">
        <v>5541</v>
      </c>
      <c r="O605" s="21" t="s">
        <v>5560</v>
      </c>
      <c r="P605" s="27">
        <v>0</v>
      </c>
      <c r="Q605" s="27">
        <v>10</v>
      </c>
      <c r="R605" s="21" t="s">
        <v>5561</v>
      </c>
      <c r="S605" s="21" t="s">
        <v>5562</v>
      </c>
      <c r="T605" s="21" t="s">
        <v>994</v>
      </c>
      <c r="U605" s="21" t="s">
        <v>5563</v>
      </c>
    </row>
    <row r="606" spans="1:21" ht="42">
      <c r="A606" s="21" t="s">
        <v>925</v>
      </c>
      <c r="B606" s="21" t="s">
        <v>304</v>
      </c>
      <c r="C606" s="21" t="s">
        <v>298</v>
      </c>
      <c r="D606" s="21" t="s">
        <v>180</v>
      </c>
      <c r="E606" s="21" t="s">
        <v>305</v>
      </c>
      <c r="F606" s="21" t="s">
        <v>1051</v>
      </c>
      <c r="G606" s="21" t="s">
        <v>5564</v>
      </c>
      <c r="H606" s="28">
        <v>43489</v>
      </c>
      <c r="I606" s="22">
        <v>2019</v>
      </c>
      <c r="J606" s="21" t="s">
        <v>958</v>
      </c>
      <c r="K606" s="21" t="s">
        <v>959</v>
      </c>
      <c r="L606" s="21" t="s">
        <v>5565</v>
      </c>
      <c r="M606" s="21" t="s">
        <v>5486</v>
      </c>
      <c r="N606" s="21" t="s">
        <v>5487</v>
      </c>
      <c r="O606" s="21" t="s">
        <v>5566</v>
      </c>
      <c r="P606" s="27">
        <v>0</v>
      </c>
      <c r="Q606" s="27">
        <v>10</v>
      </c>
      <c r="R606" s="21" t="s">
        <v>5567</v>
      </c>
      <c r="S606" s="21" t="s">
        <v>5568</v>
      </c>
      <c r="T606" s="21" t="s">
        <v>966</v>
      </c>
      <c r="U606" s="21" t="s">
        <v>5569</v>
      </c>
    </row>
    <row r="607" spans="1:21" ht="224">
      <c r="A607" s="21" t="s">
        <v>925</v>
      </c>
      <c r="B607" s="21" t="s">
        <v>304</v>
      </c>
      <c r="C607" s="21" t="s">
        <v>298</v>
      </c>
      <c r="D607" s="21" t="s">
        <v>180</v>
      </c>
      <c r="E607" s="21" t="s">
        <v>305</v>
      </c>
      <c r="F607" s="21" t="s">
        <v>1060</v>
      </c>
      <c r="G607" s="21" t="s">
        <v>5570</v>
      </c>
      <c r="H607" s="28">
        <v>44477</v>
      </c>
      <c r="I607" s="22">
        <v>2021</v>
      </c>
      <c r="J607" s="21" t="s">
        <v>958</v>
      </c>
      <c r="K607" s="21" t="s">
        <v>998</v>
      </c>
      <c r="L607" s="21" t="s">
        <v>5571</v>
      </c>
      <c r="M607" s="21" t="s">
        <v>5540</v>
      </c>
      <c r="N607" s="21" t="s">
        <v>5541</v>
      </c>
      <c r="O607" s="21" t="s">
        <v>5572</v>
      </c>
      <c r="P607" s="27">
        <v>0</v>
      </c>
      <c r="Q607" s="27">
        <v>10</v>
      </c>
      <c r="R607" s="21" t="s">
        <v>5573</v>
      </c>
      <c r="S607" s="21" t="s">
        <v>5574</v>
      </c>
      <c r="T607" s="21" t="s">
        <v>994</v>
      </c>
      <c r="U607" s="21" t="s">
        <v>5575</v>
      </c>
    </row>
    <row r="608" spans="1:21" ht="98">
      <c r="A608" s="21" t="s">
        <v>925</v>
      </c>
      <c r="B608" s="21" t="s">
        <v>304</v>
      </c>
      <c r="C608" s="21" t="s">
        <v>298</v>
      </c>
      <c r="D608" s="21" t="s">
        <v>180</v>
      </c>
      <c r="E608" s="21" t="s">
        <v>305</v>
      </c>
      <c r="F608" s="21" t="s">
        <v>1068</v>
      </c>
      <c r="G608" s="21" t="s">
        <v>5576</v>
      </c>
      <c r="H608" s="28">
        <v>44474</v>
      </c>
      <c r="I608" s="22">
        <v>2021</v>
      </c>
      <c r="J608" s="21" t="s">
        <v>958</v>
      </c>
      <c r="K608" s="21" t="s">
        <v>998</v>
      </c>
      <c r="L608" s="21" t="s">
        <v>5577</v>
      </c>
      <c r="M608" s="21" t="s">
        <v>5486</v>
      </c>
      <c r="N608" s="21" t="s">
        <v>5578</v>
      </c>
      <c r="O608" s="21" t="s">
        <v>5579</v>
      </c>
      <c r="P608" s="27">
        <v>0</v>
      </c>
      <c r="Q608" s="27">
        <v>11</v>
      </c>
      <c r="R608" s="21" t="s">
        <v>5580</v>
      </c>
      <c r="S608" s="21" t="s">
        <v>5581</v>
      </c>
      <c r="T608" s="21" t="s">
        <v>994</v>
      </c>
      <c r="U608" s="21" t="s">
        <v>5582</v>
      </c>
    </row>
    <row r="609" spans="1:21" ht="210">
      <c r="A609" s="21" t="s">
        <v>925</v>
      </c>
      <c r="B609" s="21" t="s">
        <v>304</v>
      </c>
      <c r="C609" s="21" t="s">
        <v>298</v>
      </c>
      <c r="D609" s="21" t="s">
        <v>180</v>
      </c>
      <c r="E609" s="21" t="s">
        <v>305</v>
      </c>
      <c r="F609" s="21" t="s">
        <v>1077</v>
      </c>
      <c r="G609" s="21" t="s">
        <v>5583</v>
      </c>
      <c r="H609" s="28">
        <v>42614</v>
      </c>
      <c r="I609" s="22">
        <v>2016</v>
      </c>
      <c r="J609" s="21" t="s">
        <v>958</v>
      </c>
      <c r="K609" s="21" t="s">
        <v>959</v>
      </c>
      <c r="L609" s="21" t="s">
        <v>5584</v>
      </c>
      <c r="M609" s="21" t="s">
        <v>5585</v>
      </c>
      <c r="N609" s="21" t="s">
        <v>5586</v>
      </c>
      <c r="O609" s="21" t="s">
        <v>5587</v>
      </c>
      <c r="P609" s="27">
        <v>0</v>
      </c>
      <c r="Q609" s="27">
        <v>34</v>
      </c>
      <c r="R609" s="21" t="s">
        <v>5588</v>
      </c>
      <c r="S609" s="21" t="s">
        <v>5589</v>
      </c>
      <c r="T609" s="21" t="s">
        <v>4159</v>
      </c>
      <c r="U609" s="21" t="s">
        <v>5590</v>
      </c>
    </row>
    <row r="610" spans="1:21" ht="98">
      <c r="A610" s="21" t="s">
        <v>925</v>
      </c>
      <c r="B610" s="21" t="s">
        <v>304</v>
      </c>
      <c r="C610" s="21" t="s">
        <v>298</v>
      </c>
      <c r="D610" s="21" t="s">
        <v>180</v>
      </c>
      <c r="E610" s="21" t="s">
        <v>305</v>
      </c>
      <c r="F610" s="21" t="s">
        <v>1085</v>
      </c>
      <c r="G610" s="21" t="s">
        <v>5591</v>
      </c>
      <c r="H610" s="28">
        <v>43087</v>
      </c>
      <c r="I610" s="22">
        <v>2017</v>
      </c>
      <c r="J610" s="21" t="s">
        <v>958</v>
      </c>
      <c r="K610" s="21" t="s">
        <v>959</v>
      </c>
      <c r="L610" s="21" t="s">
        <v>5592</v>
      </c>
      <c r="M610" s="21" t="s">
        <v>5486</v>
      </c>
      <c r="N610" s="21" t="s">
        <v>5487</v>
      </c>
      <c r="O610" s="21" t="s">
        <v>5593</v>
      </c>
      <c r="P610" s="27">
        <v>0</v>
      </c>
      <c r="Q610" s="27">
        <v>9</v>
      </c>
      <c r="R610" s="21" t="s">
        <v>5594</v>
      </c>
      <c r="S610" s="21" t="s">
        <v>5595</v>
      </c>
      <c r="T610" s="21" t="s">
        <v>966</v>
      </c>
      <c r="U610" s="21" t="s">
        <v>5596</v>
      </c>
    </row>
    <row r="611" spans="1:21" ht="154">
      <c r="A611" s="21" t="s">
        <v>925</v>
      </c>
      <c r="B611" s="21" t="s">
        <v>304</v>
      </c>
      <c r="C611" s="21" t="s">
        <v>298</v>
      </c>
      <c r="D611" s="21" t="s">
        <v>180</v>
      </c>
      <c r="E611" s="21" t="s">
        <v>305</v>
      </c>
      <c r="F611" s="21" t="s">
        <v>1093</v>
      </c>
      <c r="G611" s="21" t="s">
        <v>5597</v>
      </c>
      <c r="H611" s="28">
        <v>42615</v>
      </c>
      <c r="I611" s="22">
        <v>2016</v>
      </c>
      <c r="J611" s="21" t="s">
        <v>958</v>
      </c>
      <c r="K611" s="21" t="s">
        <v>987</v>
      </c>
      <c r="L611" s="21" t="s">
        <v>5598</v>
      </c>
      <c r="M611" s="21" t="s">
        <v>5540</v>
      </c>
      <c r="N611" s="21" t="s">
        <v>5599</v>
      </c>
      <c r="O611" s="21" t="s">
        <v>5600</v>
      </c>
      <c r="P611" s="27">
        <v>0</v>
      </c>
      <c r="Q611" s="27">
        <v>47</v>
      </c>
      <c r="R611" s="21" t="s">
        <v>5601</v>
      </c>
      <c r="S611" s="21" t="s">
        <v>5602</v>
      </c>
      <c r="T611" s="21" t="s">
        <v>994</v>
      </c>
      <c r="U611" s="21" t="s">
        <v>5603</v>
      </c>
    </row>
    <row r="612" spans="1:21" ht="56">
      <c r="A612" s="21" t="s">
        <v>925</v>
      </c>
      <c r="B612" s="21" t="s">
        <v>304</v>
      </c>
      <c r="C612" s="21" t="s">
        <v>298</v>
      </c>
      <c r="D612" s="21" t="s">
        <v>180</v>
      </c>
      <c r="E612" s="21" t="s">
        <v>305</v>
      </c>
      <c r="F612" s="21" t="s">
        <v>1101</v>
      </c>
      <c r="G612" s="21" t="s">
        <v>5604</v>
      </c>
      <c r="H612" s="28">
        <v>44441</v>
      </c>
      <c r="I612" s="22">
        <v>2021</v>
      </c>
      <c r="J612" s="21" t="s">
        <v>958</v>
      </c>
      <c r="K612" s="21" t="s">
        <v>998</v>
      </c>
      <c r="L612" s="21" t="s">
        <v>5605</v>
      </c>
      <c r="M612" s="21" t="s">
        <v>5486</v>
      </c>
      <c r="N612" s="21" t="s">
        <v>5606</v>
      </c>
      <c r="O612" s="21" t="s">
        <v>5607</v>
      </c>
      <c r="P612" s="27">
        <v>0</v>
      </c>
      <c r="Q612" s="27">
        <v>5</v>
      </c>
      <c r="R612" s="21" t="s">
        <v>5608</v>
      </c>
      <c r="S612" s="21" t="s">
        <v>5609</v>
      </c>
      <c r="T612" s="21" t="s">
        <v>994</v>
      </c>
      <c r="U612" s="21" t="s">
        <v>5610</v>
      </c>
    </row>
    <row r="613" spans="1:21" ht="70">
      <c r="A613" s="21" t="s">
        <v>925</v>
      </c>
      <c r="B613" s="21" t="s">
        <v>304</v>
      </c>
      <c r="C613" s="21" t="s">
        <v>298</v>
      </c>
      <c r="D613" s="21" t="s">
        <v>180</v>
      </c>
      <c r="E613" s="21" t="s">
        <v>305</v>
      </c>
      <c r="F613" s="21" t="s">
        <v>1109</v>
      </c>
      <c r="G613" s="21" t="s">
        <v>5611</v>
      </c>
      <c r="H613" s="28">
        <v>44419</v>
      </c>
      <c r="I613" s="22">
        <v>2021</v>
      </c>
      <c r="J613" s="21" t="s">
        <v>958</v>
      </c>
      <c r="K613" s="21" t="s">
        <v>998</v>
      </c>
      <c r="L613" s="21" t="s">
        <v>5612</v>
      </c>
      <c r="M613" s="21" t="s">
        <v>5540</v>
      </c>
      <c r="N613" s="21" t="s">
        <v>5613</v>
      </c>
      <c r="O613" s="21" t="s">
        <v>5614</v>
      </c>
      <c r="P613" s="27">
        <v>0</v>
      </c>
      <c r="Q613" s="27">
        <v>6</v>
      </c>
      <c r="R613" s="21" t="s">
        <v>5615</v>
      </c>
      <c r="S613" s="21" t="s">
        <v>5616</v>
      </c>
      <c r="T613" s="21" t="s">
        <v>994</v>
      </c>
      <c r="U613" s="21" t="s">
        <v>5617</v>
      </c>
    </row>
    <row r="614" spans="1:21" ht="336">
      <c r="A614" s="21" t="s">
        <v>925</v>
      </c>
      <c r="B614" s="21" t="s">
        <v>304</v>
      </c>
      <c r="C614" s="21" t="s">
        <v>298</v>
      </c>
      <c r="D614" s="21" t="s">
        <v>180</v>
      </c>
      <c r="E614" s="21" t="s">
        <v>305</v>
      </c>
      <c r="F614" s="21" t="s">
        <v>1117</v>
      </c>
      <c r="G614" s="21" t="s">
        <v>5618</v>
      </c>
      <c r="H614" s="28">
        <v>43018</v>
      </c>
      <c r="I614" s="22">
        <v>2017</v>
      </c>
      <c r="J614" s="21" t="s">
        <v>958</v>
      </c>
      <c r="K614" s="21" t="s">
        <v>959</v>
      </c>
      <c r="L614" s="21" t="s">
        <v>5619</v>
      </c>
      <c r="M614" s="21" t="s">
        <v>5486</v>
      </c>
      <c r="N614" s="21" t="s">
        <v>5620</v>
      </c>
      <c r="O614" s="21" t="s">
        <v>5621</v>
      </c>
      <c r="P614" s="27">
        <v>0</v>
      </c>
      <c r="Q614" s="27">
        <v>43</v>
      </c>
      <c r="R614" s="21" t="s">
        <v>5622</v>
      </c>
      <c r="S614" s="21" t="s">
        <v>5623</v>
      </c>
      <c r="T614" s="21" t="s">
        <v>966</v>
      </c>
      <c r="U614" s="21" t="s">
        <v>5624</v>
      </c>
    </row>
    <row r="615" spans="1:21" ht="112">
      <c r="A615" s="21" t="s">
        <v>925</v>
      </c>
      <c r="B615" s="21" t="s">
        <v>304</v>
      </c>
      <c r="C615" s="21" t="s">
        <v>298</v>
      </c>
      <c r="D615" s="21" t="s">
        <v>180</v>
      </c>
      <c r="E615" s="21" t="s">
        <v>305</v>
      </c>
      <c r="F615" s="21" t="s">
        <v>1125</v>
      </c>
      <c r="G615" s="21" t="s">
        <v>5625</v>
      </c>
      <c r="H615" s="28">
        <v>43056</v>
      </c>
      <c r="I615" s="22">
        <v>2017</v>
      </c>
      <c r="J615" s="21" t="s">
        <v>958</v>
      </c>
      <c r="K615" s="21" t="s">
        <v>959</v>
      </c>
      <c r="L615" s="21" t="s">
        <v>5626</v>
      </c>
      <c r="M615" s="21" t="s">
        <v>5486</v>
      </c>
      <c r="N615" s="21" t="s">
        <v>5487</v>
      </c>
      <c r="O615" s="21" t="s">
        <v>5627</v>
      </c>
      <c r="P615" s="27">
        <v>0</v>
      </c>
      <c r="Q615" s="27">
        <v>10</v>
      </c>
      <c r="R615" s="21" t="s">
        <v>5628</v>
      </c>
      <c r="S615" s="21" t="s">
        <v>5629</v>
      </c>
      <c r="T615" s="21" t="s">
        <v>966</v>
      </c>
      <c r="U615" s="21" t="s">
        <v>5630</v>
      </c>
    </row>
    <row r="616" spans="1:21" ht="112">
      <c r="A616" s="21" t="s">
        <v>925</v>
      </c>
      <c r="B616" s="21" t="s">
        <v>304</v>
      </c>
      <c r="C616" s="21" t="s">
        <v>298</v>
      </c>
      <c r="D616" s="21" t="s">
        <v>180</v>
      </c>
      <c r="E616" s="21" t="s">
        <v>305</v>
      </c>
      <c r="F616" s="21" t="s">
        <v>1133</v>
      </c>
      <c r="G616" s="21" t="s">
        <v>5631</v>
      </c>
      <c r="H616" s="28">
        <v>43056</v>
      </c>
      <c r="I616" s="22">
        <v>2017</v>
      </c>
      <c r="J616" s="21" t="s">
        <v>958</v>
      </c>
      <c r="K616" s="21" t="s">
        <v>5297</v>
      </c>
      <c r="L616" s="21" t="s">
        <v>5632</v>
      </c>
      <c r="M616" s="21" t="s">
        <v>5486</v>
      </c>
      <c r="N616" s="21" t="s">
        <v>5487</v>
      </c>
      <c r="O616" s="21" t="s">
        <v>5633</v>
      </c>
      <c r="P616" s="27">
        <v>0</v>
      </c>
      <c r="Q616" s="27">
        <v>10</v>
      </c>
      <c r="R616" s="21" t="s">
        <v>5634</v>
      </c>
      <c r="S616" s="21" t="s">
        <v>5635</v>
      </c>
      <c r="T616" s="21" t="s">
        <v>966</v>
      </c>
      <c r="U616" s="21" t="s">
        <v>5636</v>
      </c>
    </row>
    <row r="617" spans="1:21" ht="210">
      <c r="A617" s="21" t="s">
        <v>925</v>
      </c>
      <c r="B617" s="21" t="s">
        <v>304</v>
      </c>
      <c r="C617" s="21" t="s">
        <v>298</v>
      </c>
      <c r="D617" s="21" t="s">
        <v>180</v>
      </c>
      <c r="E617" s="21" t="s">
        <v>305</v>
      </c>
      <c r="F617" s="21" t="s">
        <v>1141</v>
      </c>
      <c r="G617" s="21" t="s">
        <v>5637</v>
      </c>
      <c r="H617" s="28">
        <v>44365</v>
      </c>
      <c r="I617" s="22">
        <v>2021</v>
      </c>
      <c r="J617" s="21" t="s">
        <v>958</v>
      </c>
      <c r="K617" s="21" t="s">
        <v>998</v>
      </c>
      <c r="L617" s="21" t="s">
        <v>5638</v>
      </c>
      <c r="M617" s="21" t="s">
        <v>5486</v>
      </c>
      <c r="N617" s="21" t="s">
        <v>5639</v>
      </c>
      <c r="O617" s="21" t="s">
        <v>5572</v>
      </c>
      <c r="P617" s="27">
        <v>0</v>
      </c>
      <c r="Q617" s="27">
        <v>9</v>
      </c>
      <c r="R617" s="21" t="s">
        <v>5640</v>
      </c>
      <c r="S617" s="21" t="s">
        <v>5641</v>
      </c>
      <c r="T617" s="21" t="s">
        <v>994</v>
      </c>
      <c r="U617" s="21" t="s">
        <v>5642</v>
      </c>
    </row>
    <row r="618" spans="1:21" ht="126">
      <c r="A618" s="21" t="s">
        <v>925</v>
      </c>
      <c r="B618" s="21" t="s">
        <v>304</v>
      </c>
      <c r="C618" s="21" t="s">
        <v>298</v>
      </c>
      <c r="D618" s="21" t="s">
        <v>180</v>
      </c>
      <c r="E618" s="21" t="s">
        <v>305</v>
      </c>
      <c r="F618" s="21" t="s">
        <v>1150</v>
      </c>
      <c r="G618" s="21" t="s">
        <v>5643</v>
      </c>
      <c r="H618" s="28">
        <v>42496</v>
      </c>
      <c r="I618" s="22">
        <v>2016</v>
      </c>
      <c r="J618" s="21" t="s">
        <v>958</v>
      </c>
      <c r="K618" s="21" t="s">
        <v>959</v>
      </c>
      <c r="L618" s="21" t="s">
        <v>5644</v>
      </c>
      <c r="M618" s="21" t="s">
        <v>5645</v>
      </c>
      <c r="N618" s="21" t="s">
        <v>5646</v>
      </c>
      <c r="O618" s="21" t="s">
        <v>5647</v>
      </c>
      <c r="P618" s="27">
        <v>0</v>
      </c>
      <c r="Q618" s="27">
        <v>55</v>
      </c>
      <c r="R618" s="21" t="s">
        <v>5648</v>
      </c>
      <c r="S618" s="21" t="s">
        <v>5649</v>
      </c>
      <c r="T618" s="21" t="s">
        <v>966</v>
      </c>
      <c r="U618" s="21" t="s">
        <v>5650</v>
      </c>
    </row>
    <row r="619" spans="1:21" ht="70">
      <c r="A619" s="21" t="s">
        <v>925</v>
      </c>
      <c r="B619" s="21" t="s">
        <v>304</v>
      </c>
      <c r="C619" s="21" t="s">
        <v>298</v>
      </c>
      <c r="D619" s="21" t="s">
        <v>180</v>
      </c>
      <c r="E619" s="21" t="s">
        <v>305</v>
      </c>
      <c r="F619" s="21" t="s">
        <v>1158</v>
      </c>
      <c r="G619" s="21" t="s">
        <v>5651</v>
      </c>
      <c r="H619" s="28">
        <v>40459</v>
      </c>
      <c r="I619" s="22">
        <v>2010</v>
      </c>
      <c r="J619" s="21" t="s">
        <v>958</v>
      </c>
      <c r="K619" s="21" t="s">
        <v>959</v>
      </c>
      <c r="L619" s="21" t="s">
        <v>5652</v>
      </c>
      <c r="M619" s="21" t="s">
        <v>5486</v>
      </c>
      <c r="N619" s="21" t="s">
        <v>5653</v>
      </c>
      <c r="O619" s="21" t="s">
        <v>5654</v>
      </c>
      <c r="P619" s="27">
        <v>0</v>
      </c>
      <c r="Q619" s="27">
        <v>33</v>
      </c>
      <c r="R619" s="21" t="s">
        <v>5655</v>
      </c>
      <c r="S619" s="21" t="s">
        <v>5656</v>
      </c>
      <c r="T619" s="21" t="s">
        <v>966</v>
      </c>
      <c r="U619" s="21" t="s">
        <v>5657</v>
      </c>
    </row>
    <row r="620" spans="1:21" ht="42">
      <c r="A620" s="21" t="s">
        <v>925</v>
      </c>
      <c r="B620" s="21" t="s">
        <v>304</v>
      </c>
      <c r="C620" s="21" t="s">
        <v>298</v>
      </c>
      <c r="D620" s="21" t="s">
        <v>180</v>
      </c>
      <c r="E620" s="21" t="s">
        <v>305</v>
      </c>
      <c r="F620" s="21" t="s">
        <v>1166</v>
      </c>
      <c r="G620" s="21" t="s">
        <v>5658</v>
      </c>
      <c r="H620" s="28">
        <v>43385</v>
      </c>
      <c r="I620" s="22">
        <v>2018</v>
      </c>
      <c r="J620" s="21" t="s">
        <v>958</v>
      </c>
      <c r="K620" s="21" t="s">
        <v>959</v>
      </c>
      <c r="L620" s="21" t="s">
        <v>5659</v>
      </c>
      <c r="M620" s="21" t="s">
        <v>5486</v>
      </c>
      <c r="N620" s="21" t="s">
        <v>5660</v>
      </c>
      <c r="O620" s="21" t="s">
        <v>5661</v>
      </c>
      <c r="P620" s="27">
        <v>0</v>
      </c>
      <c r="Q620" s="27">
        <v>12</v>
      </c>
      <c r="R620" s="21" t="s">
        <v>5662</v>
      </c>
      <c r="S620" s="21" t="s">
        <v>5663</v>
      </c>
      <c r="T620" s="21" t="s">
        <v>966</v>
      </c>
      <c r="U620" s="21" t="s">
        <v>5664</v>
      </c>
    </row>
    <row r="621" spans="1:21" ht="112">
      <c r="A621" s="21" t="s">
        <v>925</v>
      </c>
      <c r="B621" s="21" t="s">
        <v>304</v>
      </c>
      <c r="C621" s="21" t="s">
        <v>298</v>
      </c>
      <c r="D621" s="21" t="s">
        <v>180</v>
      </c>
      <c r="E621" s="21" t="s">
        <v>305</v>
      </c>
      <c r="F621" s="21" t="s">
        <v>1174</v>
      </c>
      <c r="G621" s="21" t="s">
        <v>5665</v>
      </c>
      <c r="H621" s="28">
        <v>43966</v>
      </c>
      <c r="I621" s="22">
        <v>2020</v>
      </c>
      <c r="J621" s="21" t="s">
        <v>958</v>
      </c>
      <c r="K621" s="21" t="s">
        <v>5297</v>
      </c>
      <c r="L621" s="21" t="s">
        <v>5666</v>
      </c>
      <c r="M621" s="21" t="s">
        <v>5486</v>
      </c>
      <c r="N621" s="21" t="s">
        <v>5487</v>
      </c>
      <c r="O621" s="21" t="s">
        <v>5667</v>
      </c>
      <c r="P621" s="27">
        <v>0</v>
      </c>
      <c r="Q621" s="27">
        <v>10</v>
      </c>
      <c r="R621" s="21" t="s">
        <v>5668</v>
      </c>
      <c r="S621" s="21" t="s">
        <v>5669</v>
      </c>
      <c r="T621" s="21" t="s">
        <v>966</v>
      </c>
      <c r="U621" s="21" t="s">
        <v>5670</v>
      </c>
    </row>
    <row r="622" spans="1:21" ht="98">
      <c r="A622" s="21" t="s">
        <v>925</v>
      </c>
      <c r="B622" s="21" t="s">
        <v>304</v>
      </c>
      <c r="C622" s="21" t="s">
        <v>298</v>
      </c>
      <c r="D622" s="21" t="s">
        <v>180</v>
      </c>
      <c r="E622" s="21" t="s">
        <v>305</v>
      </c>
      <c r="F622" s="21" t="s">
        <v>1182</v>
      </c>
      <c r="G622" s="21" t="s">
        <v>5671</v>
      </c>
      <c r="H622" s="28">
        <v>41312</v>
      </c>
      <c r="I622" s="22">
        <v>2013</v>
      </c>
      <c r="J622" s="21" t="s">
        <v>958</v>
      </c>
      <c r="K622" s="21" t="s">
        <v>959</v>
      </c>
      <c r="L622" s="21" t="s">
        <v>5672</v>
      </c>
      <c r="M622" s="21" t="s">
        <v>5673</v>
      </c>
      <c r="N622" s="21" t="s">
        <v>5674</v>
      </c>
      <c r="O622" s="21" t="s">
        <v>5675</v>
      </c>
      <c r="P622" s="27">
        <v>0</v>
      </c>
      <c r="Q622" s="27">
        <v>12</v>
      </c>
      <c r="R622" s="21" t="s">
        <v>5676</v>
      </c>
      <c r="S622" s="21" t="s">
        <v>5677</v>
      </c>
      <c r="T622" s="21" t="s">
        <v>966</v>
      </c>
      <c r="U622" s="21" t="s">
        <v>5678</v>
      </c>
    </row>
    <row r="623" spans="1:21" ht="56">
      <c r="A623" s="21" t="s">
        <v>925</v>
      </c>
      <c r="B623" s="21" t="s">
        <v>304</v>
      </c>
      <c r="C623" s="21" t="s">
        <v>298</v>
      </c>
      <c r="D623" s="21" t="s">
        <v>180</v>
      </c>
      <c r="E623" s="21" t="s">
        <v>305</v>
      </c>
      <c r="F623" s="21" t="s">
        <v>1191</v>
      </c>
      <c r="G623" s="21" t="s">
        <v>5679</v>
      </c>
      <c r="H623" s="28">
        <v>42552</v>
      </c>
      <c r="I623" s="22">
        <v>2016</v>
      </c>
      <c r="J623" s="21" t="s">
        <v>958</v>
      </c>
      <c r="K623" s="21" t="s">
        <v>959</v>
      </c>
      <c r="L623" s="21" t="s">
        <v>5680</v>
      </c>
      <c r="M623" s="21" t="s">
        <v>5486</v>
      </c>
      <c r="N623" s="21" t="s">
        <v>5487</v>
      </c>
      <c r="O623" s="21" t="s">
        <v>5566</v>
      </c>
      <c r="P623" s="27">
        <v>0</v>
      </c>
      <c r="Q623" s="27">
        <v>8</v>
      </c>
      <c r="R623" s="21" t="s">
        <v>5681</v>
      </c>
      <c r="S623" s="21" t="s">
        <v>5682</v>
      </c>
      <c r="T623" s="21" t="s">
        <v>966</v>
      </c>
      <c r="U623" s="21" t="s">
        <v>5683</v>
      </c>
    </row>
    <row r="624" spans="1:21" ht="98">
      <c r="A624" s="21" t="s">
        <v>925</v>
      </c>
      <c r="B624" s="21" t="s">
        <v>304</v>
      </c>
      <c r="C624" s="21" t="s">
        <v>298</v>
      </c>
      <c r="D624" s="21" t="s">
        <v>180</v>
      </c>
      <c r="E624" s="21" t="s">
        <v>305</v>
      </c>
      <c r="F624" s="21" t="s">
        <v>1199</v>
      </c>
      <c r="G624" s="21" t="s">
        <v>5684</v>
      </c>
      <c r="H624" s="28">
        <v>41648</v>
      </c>
      <c r="I624" s="22">
        <v>2014</v>
      </c>
      <c r="J624" s="21" t="s">
        <v>958</v>
      </c>
      <c r="K624" s="21" t="s">
        <v>959</v>
      </c>
      <c r="L624" s="21" t="s">
        <v>5685</v>
      </c>
      <c r="M624" s="21" t="s">
        <v>5486</v>
      </c>
      <c r="N624" s="21" t="s">
        <v>5653</v>
      </c>
      <c r="O624" s="21" t="s">
        <v>5686</v>
      </c>
      <c r="P624" s="27">
        <v>0</v>
      </c>
      <c r="Q624" s="27">
        <v>21</v>
      </c>
      <c r="R624" s="21" t="s">
        <v>5687</v>
      </c>
      <c r="S624" s="21" t="s">
        <v>5688</v>
      </c>
      <c r="T624" s="21" t="s">
        <v>966</v>
      </c>
      <c r="U624" s="21" t="s">
        <v>5689</v>
      </c>
    </row>
    <row r="625" spans="1:21" ht="28">
      <c r="A625" s="21" t="s">
        <v>925</v>
      </c>
      <c r="B625" s="21" t="s">
        <v>304</v>
      </c>
      <c r="C625" s="21" t="s">
        <v>298</v>
      </c>
      <c r="D625" s="21" t="s">
        <v>180</v>
      </c>
      <c r="E625" s="21" t="s">
        <v>305</v>
      </c>
      <c r="F625" s="21" t="s">
        <v>1207</v>
      </c>
      <c r="G625" s="21" t="s">
        <v>5690</v>
      </c>
      <c r="H625" s="28">
        <v>40870</v>
      </c>
      <c r="I625" s="22">
        <v>2011</v>
      </c>
      <c r="J625" s="21" t="s">
        <v>958</v>
      </c>
      <c r="K625" s="21" t="s">
        <v>5297</v>
      </c>
      <c r="L625" s="21" t="s">
        <v>5691</v>
      </c>
      <c r="M625" s="21" t="s">
        <v>5486</v>
      </c>
      <c r="N625" s="21" t="s">
        <v>5692</v>
      </c>
      <c r="O625" s="21" t="s">
        <v>5693</v>
      </c>
      <c r="P625" s="27">
        <v>0</v>
      </c>
      <c r="Q625" s="27">
        <v>3</v>
      </c>
      <c r="R625" s="21" t="s">
        <v>5694</v>
      </c>
      <c r="S625" s="21" t="s">
        <v>5695</v>
      </c>
      <c r="T625" s="21" t="s">
        <v>966</v>
      </c>
      <c r="U625" s="21" t="s">
        <v>5696</v>
      </c>
    </row>
    <row r="626" spans="1:21" ht="70">
      <c r="A626" s="21" t="s">
        <v>925</v>
      </c>
      <c r="B626" s="21" t="s">
        <v>304</v>
      </c>
      <c r="C626" s="21" t="s">
        <v>298</v>
      </c>
      <c r="D626" s="21" t="s">
        <v>180</v>
      </c>
      <c r="E626" s="21" t="s">
        <v>305</v>
      </c>
      <c r="F626" s="21" t="s">
        <v>1215</v>
      </c>
      <c r="G626" s="21" t="s">
        <v>5697</v>
      </c>
      <c r="H626" s="28">
        <v>43119</v>
      </c>
      <c r="I626" s="22">
        <v>2018</v>
      </c>
      <c r="J626" s="21" t="s">
        <v>958</v>
      </c>
      <c r="K626" s="21" t="s">
        <v>959</v>
      </c>
      <c r="L626" s="21" t="s">
        <v>5698</v>
      </c>
      <c r="M626" s="21" t="s">
        <v>5486</v>
      </c>
      <c r="N626" s="21" t="s">
        <v>5487</v>
      </c>
      <c r="O626" s="21" t="s">
        <v>5699</v>
      </c>
      <c r="P626" s="27">
        <v>0</v>
      </c>
      <c r="Q626" s="27">
        <v>5</v>
      </c>
      <c r="R626" s="21" t="s">
        <v>5700</v>
      </c>
      <c r="S626" s="21" t="s">
        <v>5701</v>
      </c>
      <c r="T626" s="21" t="s">
        <v>966</v>
      </c>
      <c r="U626" s="21" t="s">
        <v>5702</v>
      </c>
    </row>
    <row r="627" spans="1:21" ht="126">
      <c r="A627" s="21" t="s">
        <v>925</v>
      </c>
      <c r="B627" s="21" t="s">
        <v>304</v>
      </c>
      <c r="C627" s="21" t="s">
        <v>298</v>
      </c>
      <c r="D627" s="21" t="s">
        <v>180</v>
      </c>
      <c r="E627" s="21" t="s">
        <v>305</v>
      </c>
      <c r="F627" s="21" t="s">
        <v>1223</v>
      </c>
      <c r="G627" s="21" t="s">
        <v>5703</v>
      </c>
      <c r="H627" s="28">
        <v>41715</v>
      </c>
      <c r="I627" s="22">
        <v>2014</v>
      </c>
      <c r="J627" s="21" t="s">
        <v>958</v>
      </c>
      <c r="K627" s="21" t="s">
        <v>959</v>
      </c>
      <c r="L627" s="21" t="s">
        <v>5704</v>
      </c>
      <c r="M627" s="21" t="s">
        <v>5705</v>
      </c>
      <c r="N627" s="21" t="s">
        <v>5706</v>
      </c>
      <c r="O627" s="21" t="s">
        <v>5707</v>
      </c>
      <c r="P627" s="27">
        <v>0</v>
      </c>
      <c r="Q627" s="27">
        <v>30</v>
      </c>
      <c r="R627" s="21" t="s">
        <v>5708</v>
      </c>
      <c r="S627" s="21" t="s">
        <v>5709</v>
      </c>
      <c r="T627" s="21" t="s">
        <v>966</v>
      </c>
      <c r="U627" s="21" t="s">
        <v>5710</v>
      </c>
    </row>
    <row r="628" spans="1:21" ht="224">
      <c r="A628" s="21" t="s">
        <v>925</v>
      </c>
      <c r="B628" s="21" t="s">
        <v>304</v>
      </c>
      <c r="C628" s="21" t="s">
        <v>298</v>
      </c>
      <c r="D628" s="21" t="s">
        <v>180</v>
      </c>
      <c r="E628" s="21" t="s">
        <v>305</v>
      </c>
      <c r="F628" s="21" t="s">
        <v>1231</v>
      </c>
      <c r="G628" s="21" t="s">
        <v>5711</v>
      </c>
      <c r="H628" s="28">
        <v>42635</v>
      </c>
      <c r="I628" s="22">
        <v>2016</v>
      </c>
      <c r="J628" s="21" t="s">
        <v>958</v>
      </c>
      <c r="K628" s="21" t="s">
        <v>959</v>
      </c>
      <c r="L628" s="21" t="s">
        <v>5712</v>
      </c>
      <c r="M628" s="21" t="s">
        <v>5585</v>
      </c>
      <c r="N628" s="21" t="s">
        <v>5713</v>
      </c>
      <c r="O628" s="21" t="s">
        <v>5714</v>
      </c>
      <c r="P628" s="27">
        <v>0</v>
      </c>
      <c r="Q628" s="27">
        <v>32</v>
      </c>
      <c r="R628" s="21" t="s">
        <v>5715</v>
      </c>
      <c r="S628" s="21" t="s">
        <v>5716</v>
      </c>
      <c r="T628" s="21" t="s">
        <v>966</v>
      </c>
      <c r="U628" s="21" t="s">
        <v>5717</v>
      </c>
    </row>
    <row r="629" spans="1:21" ht="70">
      <c r="A629" s="21" t="s">
        <v>925</v>
      </c>
      <c r="B629" s="21" t="s">
        <v>304</v>
      </c>
      <c r="C629" s="21" t="s">
        <v>298</v>
      </c>
      <c r="D629" s="21" t="s">
        <v>180</v>
      </c>
      <c r="E629" s="21" t="s">
        <v>305</v>
      </c>
      <c r="F629" s="21" t="s">
        <v>1238</v>
      </c>
      <c r="G629" s="21" t="s">
        <v>5718</v>
      </c>
      <c r="H629" s="28">
        <v>43888</v>
      </c>
      <c r="I629" s="22">
        <v>2020</v>
      </c>
      <c r="J629" s="21" t="s">
        <v>958</v>
      </c>
      <c r="K629" s="21" t="s">
        <v>959</v>
      </c>
      <c r="L629" s="21" t="s">
        <v>5719</v>
      </c>
      <c r="M629" s="21" t="s">
        <v>5486</v>
      </c>
      <c r="N629" s="21" t="s">
        <v>5720</v>
      </c>
      <c r="O629" s="21" t="s">
        <v>5721</v>
      </c>
      <c r="P629" s="27">
        <v>0</v>
      </c>
      <c r="Q629" s="27">
        <v>17</v>
      </c>
      <c r="R629" s="21" t="s">
        <v>5722</v>
      </c>
      <c r="S629" s="21" t="s">
        <v>5723</v>
      </c>
      <c r="T629" s="21" t="s">
        <v>966</v>
      </c>
      <c r="U629" s="21" t="s">
        <v>5724</v>
      </c>
    </row>
    <row r="630" spans="1:21" ht="196">
      <c r="A630" s="21" t="s">
        <v>925</v>
      </c>
      <c r="B630" s="21" t="s">
        <v>304</v>
      </c>
      <c r="C630" s="21" t="s">
        <v>298</v>
      </c>
      <c r="D630" s="21" t="s">
        <v>180</v>
      </c>
      <c r="E630" s="21" t="s">
        <v>305</v>
      </c>
      <c r="F630" s="21" t="s">
        <v>1245</v>
      </c>
      <c r="G630" s="21" t="s">
        <v>5725</v>
      </c>
      <c r="H630" s="28">
        <v>42608</v>
      </c>
      <c r="I630" s="22">
        <v>2016</v>
      </c>
      <c r="J630" s="21" t="s">
        <v>958</v>
      </c>
      <c r="K630" s="21" t="s">
        <v>959</v>
      </c>
      <c r="L630" s="21" t="s">
        <v>5726</v>
      </c>
      <c r="M630" s="21" t="s">
        <v>5486</v>
      </c>
      <c r="N630" s="21" t="s">
        <v>5653</v>
      </c>
      <c r="O630" s="21" t="s">
        <v>5727</v>
      </c>
      <c r="P630" s="27">
        <v>0</v>
      </c>
      <c r="Q630" s="27">
        <v>24</v>
      </c>
      <c r="R630" s="21" t="s">
        <v>5728</v>
      </c>
      <c r="S630" s="21" t="s">
        <v>5729</v>
      </c>
      <c r="T630" s="21" t="s">
        <v>966</v>
      </c>
      <c r="U630" s="21" t="s">
        <v>5730</v>
      </c>
    </row>
    <row r="631" spans="1:21" ht="126">
      <c r="A631" s="21" t="s">
        <v>925</v>
      </c>
      <c r="B631" s="21" t="s">
        <v>304</v>
      </c>
      <c r="C631" s="21" t="s">
        <v>298</v>
      </c>
      <c r="D631" s="21" t="s">
        <v>180</v>
      </c>
      <c r="E631" s="21" t="s">
        <v>305</v>
      </c>
      <c r="F631" s="21" t="s">
        <v>1253</v>
      </c>
      <c r="G631" s="21" t="s">
        <v>5731</v>
      </c>
      <c r="H631" s="28">
        <v>41691</v>
      </c>
      <c r="I631" s="22">
        <v>2014</v>
      </c>
      <c r="J631" s="21" t="s">
        <v>958</v>
      </c>
      <c r="K631" s="21" t="s">
        <v>959</v>
      </c>
      <c r="L631" s="21" t="s">
        <v>5732</v>
      </c>
      <c r="M631" s="21" t="s">
        <v>5705</v>
      </c>
      <c r="N631" s="21" t="s">
        <v>5733</v>
      </c>
      <c r="O631" s="21" t="s">
        <v>5734</v>
      </c>
      <c r="P631" s="27">
        <v>0</v>
      </c>
      <c r="Q631" s="27">
        <v>46</v>
      </c>
      <c r="R631" s="21" t="s">
        <v>5735</v>
      </c>
      <c r="S631" s="21" t="s">
        <v>5736</v>
      </c>
      <c r="T631" s="21" t="s">
        <v>3189</v>
      </c>
      <c r="U631" s="21" t="s">
        <v>5737</v>
      </c>
    </row>
    <row r="632" spans="1:21" ht="98">
      <c r="A632" s="21" t="s">
        <v>925</v>
      </c>
      <c r="B632" s="21" t="s">
        <v>304</v>
      </c>
      <c r="C632" s="21" t="s">
        <v>298</v>
      </c>
      <c r="D632" s="21" t="s">
        <v>180</v>
      </c>
      <c r="E632" s="21" t="s">
        <v>305</v>
      </c>
      <c r="F632" s="21" t="s">
        <v>1261</v>
      </c>
      <c r="G632" s="21" t="s">
        <v>5738</v>
      </c>
      <c r="H632" s="28">
        <v>44246</v>
      </c>
      <c r="I632" s="22">
        <v>2021</v>
      </c>
      <c r="J632" s="21" t="s">
        <v>958</v>
      </c>
      <c r="K632" s="21" t="s">
        <v>998</v>
      </c>
      <c r="L632" s="21" t="s">
        <v>5739</v>
      </c>
      <c r="M632" s="21" t="s">
        <v>5540</v>
      </c>
      <c r="N632" s="21" t="s">
        <v>5541</v>
      </c>
      <c r="O632" s="21" t="s">
        <v>5740</v>
      </c>
      <c r="P632" s="27">
        <v>0</v>
      </c>
      <c r="Q632" s="27">
        <v>14</v>
      </c>
      <c r="R632" s="21" t="s">
        <v>5741</v>
      </c>
      <c r="S632" s="21" t="s">
        <v>5742</v>
      </c>
      <c r="T632" s="21" t="s">
        <v>994</v>
      </c>
      <c r="U632" s="21" t="s">
        <v>5743</v>
      </c>
    </row>
    <row r="633" spans="1:21" ht="28">
      <c r="A633" s="21" t="s">
        <v>925</v>
      </c>
      <c r="B633" s="21" t="s">
        <v>304</v>
      </c>
      <c r="C633" s="21" t="s">
        <v>298</v>
      </c>
      <c r="D633" s="21" t="s">
        <v>180</v>
      </c>
      <c r="E633" s="21" t="s">
        <v>305</v>
      </c>
      <c r="F633" s="21" t="s">
        <v>1269</v>
      </c>
      <c r="G633" s="21" t="s">
        <v>5744</v>
      </c>
      <c r="H633" s="28">
        <v>42717</v>
      </c>
      <c r="I633" s="22">
        <v>2016</v>
      </c>
      <c r="J633" s="21" t="s">
        <v>958</v>
      </c>
      <c r="K633" s="21" t="s">
        <v>5297</v>
      </c>
      <c r="L633" s="21" t="s">
        <v>5745</v>
      </c>
      <c r="M633" s="21" t="s">
        <v>5486</v>
      </c>
      <c r="N633" s="21" t="s">
        <v>5487</v>
      </c>
      <c r="O633" s="21" t="s">
        <v>5746</v>
      </c>
      <c r="P633" s="27">
        <v>0</v>
      </c>
      <c r="Q633" s="27">
        <v>10</v>
      </c>
      <c r="R633" s="21" t="s">
        <v>5747</v>
      </c>
      <c r="S633" s="21" t="s">
        <v>5748</v>
      </c>
      <c r="T633" s="21" t="s">
        <v>966</v>
      </c>
      <c r="U633" s="21" t="s">
        <v>5749</v>
      </c>
    </row>
    <row r="634" spans="1:21" ht="154">
      <c r="A634" s="21" t="s">
        <v>925</v>
      </c>
      <c r="B634" s="21" t="s">
        <v>304</v>
      </c>
      <c r="C634" s="21" t="s">
        <v>298</v>
      </c>
      <c r="D634" s="21" t="s">
        <v>180</v>
      </c>
      <c r="E634" s="21" t="s">
        <v>305</v>
      </c>
      <c r="F634" s="21" t="s">
        <v>1277</v>
      </c>
      <c r="G634" s="21" t="s">
        <v>5750</v>
      </c>
      <c r="H634" s="28">
        <v>41921</v>
      </c>
      <c r="I634" s="22">
        <v>2014</v>
      </c>
      <c r="J634" s="21" t="s">
        <v>958</v>
      </c>
      <c r="K634" s="21" t="s">
        <v>2765</v>
      </c>
      <c r="L634" s="21" t="s">
        <v>5751</v>
      </c>
      <c r="M634" s="21" t="s">
        <v>5486</v>
      </c>
      <c r="N634" s="21" t="s">
        <v>5487</v>
      </c>
      <c r="O634" s="21" t="s">
        <v>5752</v>
      </c>
      <c r="P634" s="27">
        <v>0</v>
      </c>
      <c r="Q634" s="27">
        <v>11</v>
      </c>
      <c r="R634" s="21" t="s">
        <v>5753</v>
      </c>
      <c r="S634" s="21" t="s">
        <v>5754</v>
      </c>
      <c r="T634" s="21" t="s">
        <v>966</v>
      </c>
      <c r="U634" s="21" t="s">
        <v>5755</v>
      </c>
    </row>
    <row r="635" spans="1:21" ht="266">
      <c r="A635" s="21" t="s">
        <v>925</v>
      </c>
      <c r="B635" s="21" t="s">
        <v>304</v>
      </c>
      <c r="C635" s="21" t="s">
        <v>298</v>
      </c>
      <c r="D635" s="21" t="s">
        <v>180</v>
      </c>
      <c r="E635" s="21" t="s">
        <v>305</v>
      </c>
      <c r="F635" s="21" t="s">
        <v>1285</v>
      </c>
      <c r="G635" s="21" t="s">
        <v>5756</v>
      </c>
      <c r="H635" s="28">
        <v>41142</v>
      </c>
      <c r="I635" s="22">
        <v>2012</v>
      </c>
      <c r="J635" s="21" t="s">
        <v>958</v>
      </c>
      <c r="K635" s="21" t="s">
        <v>2765</v>
      </c>
      <c r="L635" s="21" t="s">
        <v>5757</v>
      </c>
      <c r="M635" s="21" t="s">
        <v>5705</v>
      </c>
      <c r="N635" s="21" t="s">
        <v>5758</v>
      </c>
      <c r="O635" s="21" t="s">
        <v>5759</v>
      </c>
      <c r="P635" s="27">
        <v>0</v>
      </c>
      <c r="Q635" s="27">
        <v>85</v>
      </c>
      <c r="R635" s="21" t="s">
        <v>5760</v>
      </c>
      <c r="S635" s="21" t="s">
        <v>5761</v>
      </c>
      <c r="T635" s="21" t="s">
        <v>3189</v>
      </c>
      <c r="U635" s="21" t="s">
        <v>5762</v>
      </c>
    </row>
    <row r="636" spans="1:21" ht="56">
      <c r="A636" s="21" t="s">
        <v>925</v>
      </c>
      <c r="B636" s="21" t="s">
        <v>304</v>
      </c>
      <c r="C636" s="21" t="s">
        <v>298</v>
      </c>
      <c r="D636" s="21" t="s">
        <v>180</v>
      </c>
      <c r="E636" s="21" t="s">
        <v>305</v>
      </c>
      <c r="F636" s="21" t="s">
        <v>1293</v>
      </c>
      <c r="G636" s="21" t="s">
        <v>5763</v>
      </c>
      <c r="H636" s="28">
        <v>43042</v>
      </c>
      <c r="I636" s="22">
        <v>2017</v>
      </c>
      <c r="J636" s="21" t="s">
        <v>958</v>
      </c>
      <c r="K636" s="21" t="s">
        <v>5297</v>
      </c>
      <c r="L636" s="21" t="s">
        <v>5764</v>
      </c>
      <c r="M636" s="21" t="s">
        <v>5486</v>
      </c>
      <c r="N636" s="21" t="s">
        <v>5653</v>
      </c>
      <c r="O636" s="21" t="s">
        <v>5765</v>
      </c>
      <c r="P636" s="27">
        <v>0</v>
      </c>
      <c r="Q636" s="27">
        <v>9</v>
      </c>
      <c r="R636" s="21" t="s">
        <v>5766</v>
      </c>
      <c r="S636" s="21" t="s">
        <v>5767</v>
      </c>
      <c r="T636" s="21" t="s">
        <v>966</v>
      </c>
      <c r="U636" s="21" t="s">
        <v>5768</v>
      </c>
    </row>
    <row r="637" spans="1:21" ht="168">
      <c r="A637" s="21" t="s">
        <v>925</v>
      </c>
      <c r="B637" s="21" t="s">
        <v>304</v>
      </c>
      <c r="C637" s="21" t="s">
        <v>298</v>
      </c>
      <c r="D637" s="21" t="s">
        <v>180</v>
      </c>
      <c r="E637" s="21" t="s">
        <v>305</v>
      </c>
      <c r="F637" s="21" t="s">
        <v>1301</v>
      </c>
      <c r="G637" s="21" t="s">
        <v>5769</v>
      </c>
      <c r="H637" s="28">
        <v>43038</v>
      </c>
      <c r="I637" s="22">
        <v>2017</v>
      </c>
      <c r="J637" s="21" t="s">
        <v>958</v>
      </c>
      <c r="K637" s="21" t="s">
        <v>959</v>
      </c>
      <c r="L637" s="21" t="s">
        <v>5770</v>
      </c>
      <c r="M637" s="21" t="s">
        <v>5705</v>
      </c>
      <c r="N637" s="21" t="s">
        <v>5771</v>
      </c>
      <c r="O637" s="21" t="s">
        <v>5772</v>
      </c>
      <c r="P637" s="27">
        <v>0</v>
      </c>
      <c r="Q637" s="27">
        <v>30</v>
      </c>
      <c r="R637" s="21" t="s">
        <v>5773</v>
      </c>
      <c r="S637" s="21" t="s">
        <v>5774</v>
      </c>
      <c r="T637" s="21" t="s">
        <v>3189</v>
      </c>
      <c r="U637" s="21" t="s">
        <v>5775</v>
      </c>
    </row>
    <row r="638" spans="1:21" ht="56">
      <c r="A638" s="21" t="s">
        <v>925</v>
      </c>
      <c r="B638" s="21" t="s">
        <v>304</v>
      </c>
      <c r="C638" s="21" t="s">
        <v>298</v>
      </c>
      <c r="D638" s="21" t="s">
        <v>180</v>
      </c>
      <c r="E638" s="21" t="s">
        <v>305</v>
      </c>
      <c r="F638" s="21" t="s">
        <v>1309</v>
      </c>
      <c r="G638" s="21" t="s">
        <v>5776</v>
      </c>
      <c r="H638" s="28">
        <v>43808</v>
      </c>
      <c r="I638" s="22">
        <v>2019</v>
      </c>
      <c r="J638" s="21" t="s">
        <v>958</v>
      </c>
      <c r="K638" s="21" t="s">
        <v>959</v>
      </c>
      <c r="L638" s="21" t="s">
        <v>5777</v>
      </c>
      <c r="M638" s="21" t="s">
        <v>5486</v>
      </c>
      <c r="N638" s="21" t="s">
        <v>5720</v>
      </c>
      <c r="O638" s="21" t="s">
        <v>5778</v>
      </c>
      <c r="P638" s="27">
        <v>1</v>
      </c>
      <c r="Q638" s="27">
        <v>18</v>
      </c>
      <c r="R638" s="21" t="s">
        <v>5779</v>
      </c>
      <c r="S638" s="21" t="s">
        <v>5780</v>
      </c>
      <c r="T638" s="21" t="s">
        <v>966</v>
      </c>
      <c r="U638" s="21" t="s">
        <v>5781</v>
      </c>
    </row>
    <row r="639" spans="1:21" ht="238">
      <c r="A639" s="21" t="s">
        <v>925</v>
      </c>
      <c r="B639" s="21" t="s">
        <v>304</v>
      </c>
      <c r="C639" s="21" t="s">
        <v>298</v>
      </c>
      <c r="D639" s="21" t="s">
        <v>180</v>
      </c>
      <c r="E639" s="21" t="s">
        <v>5507</v>
      </c>
      <c r="F639" s="21" t="s">
        <v>1317</v>
      </c>
      <c r="G639" s="21" t="s">
        <v>5782</v>
      </c>
      <c r="H639" s="28">
        <v>44183</v>
      </c>
      <c r="I639" s="22">
        <v>2020</v>
      </c>
      <c r="J639" s="21" t="s">
        <v>958</v>
      </c>
      <c r="K639" s="21" t="s">
        <v>998</v>
      </c>
      <c r="L639" s="21" t="s">
        <v>5783</v>
      </c>
      <c r="M639" s="21" t="s">
        <v>5510</v>
      </c>
      <c r="N639" s="21" t="s">
        <v>5784</v>
      </c>
      <c r="O639" s="21" t="s">
        <v>5785</v>
      </c>
      <c r="P639" s="27">
        <v>0</v>
      </c>
      <c r="Q639" s="27">
        <v>15</v>
      </c>
      <c r="R639" s="21" t="s">
        <v>5786</v>
      </c>
      <c r="S639" s="21" t="s">
        <v>5787</v>
      </c>
      <c r="T639" s="21" t="s">
        <v>994</v>
      </c>
      <c r="U639" s="21" t="s">
        <v>5788</v>
      </c>
    </row>
    <row r="640" spans="1:21" ht="266">
      <c r="A640" s="21" t="s">
        <v>925</v>
      </c>
      <c r="B640" s="21" t="s">
        <v>304</v>
      </c>
      <c r="C640" s="21" t="s">
        <v>298</v>
      </c>
      <c r="D640" s="21" t="s">
        <v>180</v>
      </c>
      <c r="E640" s="21" t="s">
        <v>5507</v>
      </c>
      <c r="F640" s="21" t="s">
        <v>1325</v>
      </c>
      <c r="G640" s="21" t="s">
        <v>5789</v>
      </c>
      <c r="H640" s="28">
        <v>44183</v>
      </c>
      <c r="I640" s="22">
        <v>2020</v>
      </c>
      <c r="J640" s="21" t="s">
        <v>958</v>
      </c>
      <c r="K640" s="21" t="s">
        <v>998</v>
      </c>
      <c r="L640" s="21" t="s">
        <v>5790</v>
      </c>
      <c r="M640" s="21" t="s">
        <v>5510</v>
      </c>
      <c r="N640" s="21" t="s">
        <v>5791</v>
      </c>
      <c r="O640" s="21" t="s">
        <v>5792</v>
      </c>
      <c r="P640" s="27">
        <v>0</v>
      </c>
      <c r="Q640" s="27">
        <v>13</v>
      </c>
      <c r="R640" s="21" t="s">
        <v>5793</v>
      </c>
      <c r="S640" s="21" t="s">
        <v>5794</v>
      </c>
      <c r="T640" s="21" t="s">
        <v>994</v>
      </c>
      <c r="U640" s="21" t="s">
        <v>5795</v>
      </c>
    </row>
    <row r="641" spans="1:21" ht="154">
      <c r="A641" s="21" t="s">
        <v>925</v>
      </c>
      <c r="B641" s="21" t="s">
        <v>304</v>
      </c>
      <c r="C641" s="21" t="s">
        <v>298</v>
      </c>
      <c r="D641" s="21" t="s">
        <v>180</v>
      </c>
      <c r="E641" s="21" t="s">
        <v>5507</v>
      </c>
      <c r="F641" s="21" t="s">
        <v>1334</v>
      </c>
      <c r="G641" s="21" t="s">
        <v>5796</v>
      </c>
      <c r="H641" s="28">
        <v>44183</v>
      </c>
      <c r="I641" s="22">
        <v>2020</v>
      </c>
      <c r="J641" s="21" t="s">
        <v>958</v>
      </c>
      <c r="K641" s="21" t="s">
        <v>998</v>
      </c>
      <c r="L641" s="21" t="s">
        <v>5797</v>
      </c>
      <c r="M641" s="21" t="s">
        <v>5510</v>
      </c>
      <c r="N641" s="21" t="s">
        <v>5798</v>
      </c>
      <c r="O641" s="21" t="s">
        <v>5799</v>
      </c>
      <c r="P641" s="27">
        <v>0</v>
      </c>
      <c r="Q641" s="27">
        <v>9</v>
      </c>
      <c r="R641" s="21" t="s">
        <v>5800</v>
      </c>
      <c r="S641" s="21" t="s">
        <v>5801</v>
      </c>
      <c r="T641" s="21" t="s">
        <v>994</v>
      </c>
      <c r="U641" s="21" t="s">
        <v>5802</v>
      </c>
    </row>
    <row r="642" spans="1:21" ht="140">
      <c r="A642" s="21" t="s">
        <v>925</v>
      </c>
      <c r="B642" s="21" t="s">
        <v>304</v>
      </c>
      <c r="C642" s="21" t="s">
        <v>298</v>
      </c>
      <c r="D642" s="21" t="s">
        <v>180</v>
      </c>
      <c r="E642" s="21" t="s">
        <v>305</v>
      </c>
      <c r="F642" s="21" t="s">
        <v>1342</v>
      </c>
      <c r="G642" s="21" t="s">
        <v>5803</v>
      </c>
      <c r="H642" s="28">
        <v>43739</v>
      </c>
      <c r="I642" s="22">
        <v>2019</v>
      </c>
      <c r="J642" s="21" t="s">
        <v>958</v>
      </c>
      <c r="K642" s="21" t="s">
        <v>5297</v>
      </c>
      <c r="L642" s="21" t="s">
        <v>5804</v>
      </c>
      <c r="M642" s="21" t="s">
        <v>5486</v>
      </c>
      <c r="N642" s="21" t="s">
        <v>5720</v>
      </c>
      <c r="O642" s="21" t="s">
        <v>5805</v>
      </c>
      <c r="P642" s="27">
        <v>0</v>
      </c>
      <c r="Q642" s="27">
        <v>9</v>
      </c>
      <c r="R642" s="21" t="s">
        <v>5806</v>
      </c>
      <c r="S642" s="21" t="s">
        <v>5807</v>
      </c>
      <c r="T642" s="21" t="s">
        <v>966</v>
      </c>
      <c r="U642" s="21" t="s">
        <v>5808</v>
      </c>
    </row>
    <row r="643" spans="1:21" ht="112">
      <c r="A643" s="21" t="s">
        <v>925</v>
      </c>
      <c r="B643" s="21" t="s">
        <v>304</v>
      </c>
      <c r="C643" s="21" t="s">
        <v>298</v>
      </c>
      <c r="D643" s="21" t="s">
        <v>180</v>
      </c>
      <c r="E643" s="21" t="s">
        <v>305</v>
      </c>
      <c r="F643" s="21" t="s">
        <v>1349</v>
      </c>
      <c r="G643" s="21" t="s">
        <v>5809</v>
      </c>
      <c r="H643" s="28">
        <v>44141</v>
      </c>
      <c r="I643" s="22">
        <v>2020</v>
      </c>
      <c r="J643" s="21" t="s">
        <v>958</v>
      </c>
      <c r="K643" s="21" t="s">
        <v>998</v>
      </c>
      <c r="L643" s="21" t="s">
        <v>5810</v>
      </c>
      <c r="M643" s="21" t="s">
        <v>5486</v>
      </c>
      <c r="N643" s="21" t="s">
        <v>5578</v>
      </c>
      <c r="O643" s="21" t="s">
        <v>5811</v>
      </c>
      <c r="P643" s="27">
        <v>1</v>
      </c>
      <c r="Q643" s="27">
        <v>2</v>
      </c>
      <c r="R643" s="21" t="s">
        <v>5812</v>
      </c>
      <c r="S643" s="21" t="s">
        <v>5813</v>
      </c>
      <c r="T643" s="21" t="s">
        <v>994</v>
      </c>
      <c r="U643" s="21" t="s">
        <v>5814</v>
      </c>
    </row>
    <row r="644" spans="1:21" ht="70">
      <c r="A644" s="21" t="s">
        <v>925</v>
      </c>
      <c r="B644" s="21" t="s">
        <v>304</v>
      </c>
      <c r="C644" s="21" t="s">
        <v>298</v>
      </c>
      <c r="D644" s="21" t="s">
        <v>180</v>
      </c>
      <c r="E644" s="21" t="s">
        <v>305</v>
      </c>
      <c r="F644" s="21" t="s">
        <v>1357</v>
      </c>
      <c r="G644" s="21" t="s">
        <v>5815</v>
      </c>
      <c r="H644" s="28">
        <v>42782</v>
      </c>
      <c r="I644" s="22">
        <v>2017</v>
      </c>
      <c r="J644" s="21" t="s">
        <v>958</v>
      </c>
      <c r="K644" s="21" t="s">
        <v>959</v>
      </c>
      <c r="L644" s="21" t="s">
        <v>5816</v>
      </c>
      <c r="M644" s="21" t="s">
        <v>5486</v>
      </c>
      <c r="N644" s="21" t="s">
        <v>5817</v>
      </c>
      <c r="O644" s="21" t="s">
        <v>5818</v>
      </c>
      <c r="P644" s="27">
        <v>0</v>
      </c>
      <c r="Q644" s="27">
        <v>9</v>
      </c>
      <c r="R644" s="21" t="s">
        <v>5819</v>
      </c>
      <c r="S644" s="21" t="s">
        <v>5629</v>
      </c>
      <c r="T644" s="21" t="s">
        <v>966</v>
      </c>
      <c r="U644" s="21" t="s">
        <v>5820</v>
      </c>
    </row>
    <row r="645" spans="1:21" ht="168">
      <c r="A645" s="21" t="s">
        <v>925</v>
      </c>
      <c r="B645" s="21" t="s">
        <v>304</v>
      </c>
      <c r="C645" s="21" t="s">
        <v>298</v>
      </c>
      <c r="D645" s="21" t="s">
        <v>180</v>
      </c>
      <c r="E645" s="21" t="s">
        <v>5507</v>
      </c>
      <c r="F645" s="21" t="s">
        <v>1365</v>
      </c>
      <c r="G645" s="21" t="s">
        <v>5821</v>
      </c>
      <c r="H645" s="28">
        <v>44099</v>
      </c>
      <c r="I645" s="22">
        <v>2020</v>
      </c>
      <c r="J645" s="21" t="s">
        <v>958</v>
      </c>
      <c r="K645" s="21" t="s">
        <v>998</v>
      </c>
      <c r="L645" s="21" t="s">
        <v>5822</v>
      </c>
      <c r="M645" s="21" t="s">
        <v>5510</v>
      </c>
      <c r="N645" s="21" t="s">
        <v>5823</v>
      </c>
      <c r="O645" s="21" t="s">
        <v>5824</v>
      </c>
      <c r="P645" s="27">
        <v>0</v>
      </c>
      <c r="Q645" s="27">
        <v>15</v>
      </c>
      <c r="R645" s="21" t="s">
        <v>5825</v>
      </c>
      <c r="S645" s="21" t="s">
        <v>5826</v>
      </c>
      <c r="T645" s="21" t="s">
        <v>994</v>
      </c>
      <c r="U645" s="21" t="s">
        <v>5827</v>
      </c>
    </row>
    <row r="646" spans="1:21" ht="409.5">
      <c r="A646" s="21" t="s">
        <v>925</v>
      </c>
      <c r="B646" s="21" t="s">
        <v>304</v>
      </c>
      <c r="C646" s="21" t="s">
        <v>298</v>
      </c>
      <c r="D646" s="21" t="s">
        <v>180</v>
      </c>
      <c r="E646" s="21" t="s">
        <v>305</v>
      </c>
      <c r="F646" s="21" t="s">
        <v>1373</v>
      </c>
      <c r="G646" s="21" t="s">
        <v>5828</v>
      </c>
      <c r="H646" s="28">
        <v>42473</v>
      </c>
      <c r="I646" s="22">
        <v>2016</v>
      </c>
      <c r="J646" s="21" t="s">
        <v>958</v>
      </c>
      <c r="K646" s="21" t="s">
        <v>959</v>
      </c>
      <c r="L646" s="21" t="s">
        <v>5829</v>
      </c>
      <c r="M646" s="21" t="s">
        <v>5486</v>
      </c>
      <c r="N646" s="21" t="s">
        <v>5830</v>
      </c>
      <c r="O646" s="21" t="s">
        <v>5831</v>
      </c>
      <c r="P646" s="27">
        <v>1</v>
      </c>
      <c r="Q646" s="27">
        <v>36</v>
      </c>
      <c r="R646" s="21" t="s">
        <v>5832</v>
      </c>
      <c r="S646" s="21" t="s">
        <v>5833</v>
      </c>
      <c r="T646" s="21" t="s">
        <v>966</v>
      </c>
      <c r="U646" s="21" t="s">
        <v>5834</v>
      </c>
    </row>
    <row r="647" spans="1:21" ht="112">
      <c r="A647" s="21" t="s">
        <v>925</v>
      </c>
      <c r="B647" s="21" t="s">
        <v>304</v>
      </c>
      <c r="C647" s="21" t="s">
        <v>298</v>
      </c>
      <c r="D647" s="21" t="s">
        <v>180</v>
      </c>
      <c r="E647" s="21" t="s">
        <v>305</v>
      </c>
      <c r="F647" s="21" t="s">
        <v>1382</v>
      </c>
      <c r="G647" s="21" t="s">
        <v>5835</v>
      </c>
      <c r="H647" s="28">
        <v>42850</v>
      </c>
      <c r="I647" s="22">
        <v>2017</v>
      </c>
      <c r="J647" s="21" t="s">
        <v>958</v>
      </c>
      <c r="K647" s="21" t="s">
        <v>959</v>
      </c>
      <c r="L647" s="21" t="s">
        <v>5836</v>
      </c>
      <c r="M647" s="21" t="s">
        <v>5837</v>
      </c>
      <c r="N647" s="21" t="s">
        <v>5838</v>
      </c>
      <c r="O647" s="21" t="s">
        <v>5839</v>
      </c>
      <c r="P647" s="27">
        <v>0</v>
      </c>
      <c r="Q647" s="27">
        <v>56</v>
      </c>
      <c r="R647" s="21" t="s">
        <v>5840</v>
      </c>
      <c r="S647" s="21" t="s">
        <v>5841</v>
      </c>
      <c r="T647" s="21" t="s">
        <v>966</v>
      </c>
      <c r="U647" s="21" t="s">
        <v>5842</v>
      </c>
    </row>
    <row r="648" spans="1:21" ht="56">
      <c r="A648" s="21" t="s">
        <v>925</v>
      </c>
      <c r="B648" s="21" t="s">
        <v>304</v>
      </c>
      <c r="C648" s="21" t="s">
        <v>298</v>
      </c>
      <c r="D648" s="21" t="s">
        <v>180</v>
      </c>
      <c r="E648" s="21" t="s">
        <v>305</v>
      </c>
      <c r="F648" s="21" t="s">
        <v>1389</v>
      </c>
      <c r="G648" s="21" t="s">
        <v>5843</v>
      </c>
      <c r="H648" s="28">
        <v>41439</v>
      </c>
      <c r="I648" s="22">
        <v>2013</v>
      </c>
      <c r="J648" s="21" t="s">
        <v>958</v>
      </c>
      <c r="K648" s="21" t="s">
        <v>959</v>
      </c>
      <c r="L648" s="21" t="s">
        <v>5844</v>
      </c>
      <c r="M648" s="21" t="s">
        <v>5540</v>
      </c>
      <c r="N648" s="21" t="s">
        <v>5845</v>
      </c>
      <c r="O648" s="21" t="s">
        <v>5846</v>
      </c>
      <c r="P648" s="27">
        <v>0</v>
      </c>
      <c r="Q648" s="27">
        <v>21</v>
      </c>
      <c r="R648" s="21" t="s">
        <v>5847</v>
      </c>
      <c r="S648" s="21" t="s">
        <v>5848</v>
      </c>
      <c r="T648" s="21" t="s">
        <v>966</v>
      </c>
      <c r="U648" s="21" t="s">
        <v>5849</v>
      </c>
    </row>
    <row r="649" spans="1:21" ht="28">
      <c r="A649" s="21" t="s">
        <v>925</v>
      </c>
      <c r="B649" s="21" t="s">
        <v>304</v>
      </c>
      <c r="C649" s="21" t="s">
        <v>298</v>
      </c>
      <c r="D649" s="21" t="s">
        <v>180</v>
      </c>
      <c r="E649" s="21" t="s">
        <v>305</v>
      </c>
      <c r="F649" s="21" t="s">
        <v>1396</v>
      </c>
      <c r="G649" s="21" t="s">
        <v>5850</v>
      </c>
      <c r="H649" s="28">
        <v>43397</v>
      </c>
      <c r="I649" s="22">
        <v>2018</v>
      </c>
      <c r="J649" s="21" t="s">
        <v>958</v>
      </c>
      <c r="K649" s="21" t="s">
        <v>959</v>
      </c>
      <c r="L649" s="21" t="s">
        <v>5851</v>
      </c>
      <c r="M649" s="21" t="s">
        <v>5837</v>
      </c>
      <c r="N649" s="21" t="s">
        <v>5838</v>
      </c>
      <c r="O649" s="21" t="s">
        <v>5852</v>
      </c>
      <c r="P649" s="27">
        <v>0</v>
      </c>
      <c r="Q649" s="27">
        <v>12</v>
      </c>
      <c r="R649" s="21" t="s">
        <v>5853</v>
      </c>
      <c r="S649" s="21" t="s">
        <v>5854</v>
      </c>
      <c r="T649" s="21" t="s">
        <v>966</v>
      </c>
      <c r="U649" s="21" t="s">
        <v>5855</v>
      </c>
    </row>
    <row r="650" spans="1:21" ht="42">
      <c r="A650" s="21" t="s">
        <v>925</v>
      </c>
      <c r="B650" s="21" t="s">
        <v>304</v>
      </c>
      <c r="C650" s="21" t="s">
        <v>298</v>
      </c>
      <c r="D650" s="21" t="s">
        <v>180</v>
      </c>
      <c r="E650" s="21" t="s">
        <v>305</v>
      </c>
      <c r="F650" s="21" t="s">
        <v>1404</v>
      </c>
      <c r="G650" s="21" t="s">
        <v>5856</v>
      </c>
      <c r="H650" s="28">
        <v>43193</v>
      </c>
      <c r="I650" s="22">
        <v>2018</v>
      </c>
      <c r="J650" s="21" t="s">
        <v>958</v>
      </c>
      <c r="K650" s="21" t="s">
        <v>959</v>
      </c>
      <c r="L650" s="21" t="s">
        <v>5857</v>
      </c>
      <c r="M650" s="21" t="s">
        <v>5486</v>
      </c>
      <c r="N650" s="21" t="s">
        <v>5858</v>
      </c>
      <c r="O650" s="21" t="s">
        <v>5859</v>
      </c>
      <c r="P650" s="27">
        <v>0</v>
      </c>
      <c r="Q650" s="27">
        <v>10</v>
      </c>
      <c r="R650" s="21" t="s">
        <v>5860</v>
      </c>
      <c r="S650" s="21" t="s">
        <v>5861</v>
      </c>
      <c r="T650" s="21" t="s">
        <v>966</v>
      </c>
      <c r="U650" s="21" t="s">
        <v>5862</v>
      </c>
    </row>
    <row r="651" spans="1:21" ht="42">
      <c r="A651" s="21" t="s">
        <v>925</v>
      </c>
      <c r="B651" s="21" t="s">
        <v>304</v>
      </c>
      <c r="C651" s="21" t="s">
        <v>298</v>
      </c>
      <c r="D651" s="21" t="s">
        <v>180</v>
      </c>
      <c r="E651" s="21" t="s">
        <v>305</v>
      </c>
      <c r="F651" s="21" t="s">
        <v>1412</v>
      </c>
      <c r="G651" s="21" t="s">
        <v>5863</v>
      </c>
      <c r="H651" s="28">
        <v>42367</v>
      </c>
      <c r="I651" s="22">
        <v>2015</v>
      </c>
      <c r="J651" s="21" t="s">
        <v>958</v>
      </c>
      <c r="K651" s="21" t="s">
        <v>959</v>
      </c>
      <c r="L651" s="21" t="s">
        <v>5864</v>
      </c>
      <c r="M651" s="21" t="s">
        <v>5486</v>
      </c>
      <c r="N651" s="21" t="s">
        <v>5865</v>
      </c>
      <c r="O651" s="21" t="s">
        <v>5866</v>
      </c>
      <c r="P651" s="27">
        <v>0</v>
      </c>
      <c r="Q651" s="27">
        <v>24</v>
      </c>
      <c r="R651" s="21" t="s">
        <v>5867</v>
      </c>
      <c r="S651" s="21" t="s">
        <v>5868</v>
      </c>
      <c r="T651" s="21" t="s">
        <v>966</v>
      </c>
      <c r="U651" s="21" t="s">
        <v>5869</v>
      </c>
    </row>
    <row r="652" spans="1:21" ht="70">
      <c r="A652" s="21" t="s">
        <v>925</v>
      </c>
      <c r="B652" s="21" t="s">
        <v>304</v>
      </c>
      <c r="C652" s="21" t="s">
        <v>298</v>
      </c>
      <c r="D652" s="21" t="s">
        <v>180</v>
      </c>
      <c r="E652" s="21" t="s">
        <v>305</v>
      </c>
      <c r="F652" s="21" t="s">
        <v>1420</v>
      </c>
      <c r="G652" s="21" t="s">
        <v>5870</v>
      </c>
      <c r="H652" s="28">
        <v>44001</v>
      </c>
      <c r="I652" s="22">
        <v>2020</v>
      </c>
      <c r="J652" s="21" t="s">
        <v>958</v>
      </c>
      <c r="K652" s="21" t="s">
        <v>998</v>
      </c>
      <c r="L652" s="21" t="s">
        <v>5871</v>
      </c>
      <c r="M652" s="21" t="s">
        <v>5486</v>
      </c>
      <c r="N652" s="21" t="s">
        <v>5487</v>
      </c>
      <c r="O652" s="21" t="s">
        <v>5872</v>
      </c>
      <c r="P652" s="27">
        <v>0</v>
      </c>
      <c r="Q652" s="27">
        <v>11</v>
      </c>
      <c r="R652" s="21" t="s">
        <v>5873</v>
      </c>
      <c r="S652" s="21" t="s">
        <v>5682</v>
      </c>
      <c r="T652" s="21" t="s">
        <v>994</v>
      </c>
      <c r="U652" s="21" t="s">
        <v>5874</v>
      </c>
    </row>
    <row r="653" spans="1:21" ht="182">
      <c r="A653" s="21" t="s">
        <v>925</v>
      </c>
      <c r="B653" s="21" t="s">
        <v>304</v>
      </c>
      <c r="C653" s="21" t="s">
        <v>298</v>
      </c>
      <c r="D653" s="21" t="s">
        <v>180</v>
      </c>
      <c r="E653" s="21" t="s">
        <v>305</v>
      </c>
      <c r="F653" s="21" t="s">
        <v>1428</v>
      </c>
      <c r="G653" s="21" t="s">
        <v>5875</v>
      </c>
      <c r="H653" s="28">
        <v>43441</v>
      </c>
      <c r="I653" s="22">
        <v>2018</v>
      </c>
      <c r="J653" s="21" t="s">
        <v>958</v>
      </c>
      <c r="K653" s="21" t="s">
        <v>5876</v>
      </c>
      <c r="L653" s="21" t="s">
        <v>5877</v>
      </c>
      <c r="M653" s="21" t="s">
        <v>5878</v>
      </c>
      <c r="N653" s="21" t="s">
        <v>5879</v>
      </c>
      <c r="O653" s="21" t="s">
        <v>5880</v>
      </c>
      <c r="P653" s="27">
        <v>0</v>
      </c>
      <c r="Q653" s="27">
        <v>78</v>
      </c>
      <c r="R653" s="21" t="s">
        <v>5881</v>
      </c>
      <c r="S653" s="21" t="s">
        <v>5882</v>
      </c>
      <c r="T653" s="21" t="s">
        <v>994</v>
      </c>
      <c r="U653" s="21" t="s">
        <v>5883</v>
      </c>
    </row>
    <row r="654" spans="1:21" ht="196">
      <c r="A654" s="21" t="s">
        <v>925</v>
      </c>
      <c r="B654" s="21" t="s">
        <v>304</v>
      </c>
      <c r="C654" s="21" t="s">
        <v>298</v>
      </c>
      <c r="D654" s="21" t="s">
        <v>180</v>
      </c>
      <c r="E654" s="21" t="s">
        <v>305</v>
      </c>
      <c r="F654" s="21" t="s">
        <v>1436</v>
      </c>
      <c r="G654" s="21" t="s">
        <v>5884</v>
      </c>
      <c r="H654" s="28">
        <v>43992</v>
      </c>
      <c r="I654" s="22">
        <v>2020</v>
      </c>
      <c r="J654" s="21" t="s">
        <v>958</v>
      </c>
      <c r="K654" s="21" t="s">
        <v>998</v>
      </c>
      <c r="L654" s="21" t="s">
        <v>5885</v>
      </c>
      <c r="M654" s="21" t="s">
        <v>5878</v>
      </c>
      <c r="N654" s="21" t="s">
        <v>5886</v>
      </c>
      <c r="O654" s="21" t="s">
        <v>5887</v>
      </c>
      <c r="P654" s="27">
        <v>0</v>
      </c>
      <c r="Q654" s="27">
        <v>22</v>
      </c>
      <c r="R654" s="21" t="s">
        <v>5888</v>
      </c>
      <c r="S654" s="21" t="s">
        <v>5889</v>
      </c>
      <c r="T654" s="21" t="s">
        <v>994</v>
      </c>
      <c r="U654" s="21" t="s">
        <v>5890</v>
      </c>
    </row>
    <row r="655" spans="1:21" ht="42">
      <c r="A655" s="21" t="s">
        <v>925</v>
      </c>
      <c r="B655" s="21" t="s">
        <v>304</v>
      </c>
      <c r="C655" s="21" t="s">
        <v>298</v>
      </c>
      <c r="D655" s="21" t="s">
        <v>180</v>
      </c>
      <c r="E655" s="21" t="s">
        <v>305</v>
      </c>
      <c r="F655" s="21" t="s">
        <v>1444</v>
      </c>
      <c r="G655" s="21" t="s">
        <v>5891</v>
      </c>
      <c r="H655" s="28">
        <v>43991</v>
      </c>
      <c r="I655" s="22">
        <v>2020</v>
      </c>
      <c r="J655" s="21" t="s">
        <v>958</v>
      </c>
      <c r="K655" s="21" t="s">
        <v>998</v>
      </c>
      <c r="L655" s="21" t="s">
        <v>5892</v>
      </c>
      <c r="M655" s="21" t="s">
        <v>5486</v>
      </c>
      <c r="N655" s="21" t="s">
        <v>5487</v>
      </c>
      <c r="O655" s="21" t="s">
        <v>5893</v>
      </c>
      <c r="P655" s="27">
        <v>0</v>
      </c>
      <c r="Q655" s="27">
        <v>7</v>
      </c>
      <c r="R655" s="21" t="s">
        <v>5894</v>
      </c>
      <c r="S655" s="21" t="s">
        <v>5490</v>
      </c>
      <c r="T655" s="21" t="s">
        <v>994</v>
      </c>
      <c r="U655" s="21" t="s">
        <v>5895</v>
      </c>
    </row>
    <row r="656" spans="1:21" ht="126">
      <c r="A656" s="21" t="s">
        <v>925</v>
      </c>
      <c r="B656" s="21" t="s">
        <v>304</v>
      </c>
      <c r="C656" s="21" t="s">
        <v>298</v>
      </c>
      <c r="D656" s="21" t="s">
        <v>180</v>
      </c>
      <c r="E656" s="21" t="s">
        <v>305</v>
      </c>
      <c r="F656" s="21" t="s">
        <v>1452</v>
      </c>
      <c r="G656" s="21" t="s">
        <v>5896</v>
      </c>
      <c r="H656" s="28">
        <v>43980</v>
      </c>
      <c r="I656" s="22">
        <v>2020</v>
      </c>
      <c r="J656" s="21" t="s">
        <v>958</v>
      </c>
      <c r="K656" s="21" t="s">
        <v>998</v>
      </c>
      <c r="L656" s="21" t="s">
        <v>5897</v>
      </c>
      <c r="M656" s="21" t="s">
        <v>5645</v>
      </c>
      <c r="N656" s="21" t="s">
        <v>5898</v>
      </c>
      <c r="O656" s="21" t="s">
        <v>5899</v>
      </c>
      <c r="P656" s="27">
        <v>0</v>
      </c>
      <c r="Q656" s="27">
        <v>13</v>
      </c>
      <c r="R656" s="21" t="s">
        <v>5900</v>
      </c>
      <c r="S656" s="21" t="s">
        <v>5901</v>
      </c>
      <c r="T656" s="21" t="s">
        <v>994</v>
      </c>
      <c r="U656" s="21" t="s">
        <v>5902</v>
      </c>
    </row>
    <row r="657" spans="1:21" ht="84">
      <c r="A657" s="21" t="s">
        <v>925</v>
      </c>
      <c r="B657" s="21" t="s">
        <v>304</v>
      </c>
      <c r="C657" s="21" t="s">
        <v>298</v>
      </c>
      <c r="D657" s="21" t="s">
        <v>180</v>
      </c>
      <c r="E657" s="21" t="s">
        <v>305</v>
      </c>
      <c r="F657" s="21" t="s">
        <v>1460</v>
      </c>
      <c r="G657" s="21" t="s">
        <v>5903</v>
      </c>
      <c r="H657" s="28">
        <v>41515</v>
      </c>
      <c r="I657" s="22">
        <v>2013</v>
      </c>
      <c r="J657" s="21" t="s">
        <v>958</v>
      </c>
      <c r="K657" s="21" t="s">
        <v>959</v>
      </c>
      <c r="L657" s="21" t="s">
        <v>5904</v>
      </c>
      <c r="M657" s="21" t="s">
        <v>5486</v>
      </c>
      <c r="N657" s="21" t="s">
        <v>5905</v>
      </c>
      <c r="O657" s="21" t="s">
        <v>5906</v>
      </c>
      <c r="P657" s="27">
        <v>0</v>
      </c>
      <c r="Q657" s="27">
        <v>34</v>
      </c>
      <c r="R657" s="21" t="s">
        <v>5907</v>
      </c>
      <c r="S657" s="21" t="s">
        <v>5908</v>
      </c>
      <c r="T657" s="21" t="s">
        <v>966</v>
      </c>
      <c r="U657" s="21" t="s">
        <v>5909</v>
      </c>
    </row>
    <row r="658" spans="1:21" ht="56">
      <c r="A658" s="21" t="s">
        <v>925</v>
      </c>
      <c r="B658" s="21" t="s">
        <v>304</v>
      </c>
      <c r="C658" s="21" t="s">
        <v>298</v>
      </c>
      <c r="D658" s="21" t="s">
        <v>180</v>
      </c>
      <c r="E658" s="21" t="s">
        <v>305</v>
      </c>
      <c r="F658" s="21" t="s">
        <v>1468</v>
      </c>
      <c r="G658" s="21" t="s">
        <v>5910</v>
      </c>
      <c r="H658" s="28">
        <v>43944</v>
      </c>
      <c r="I658" s="22">
        <v>2020</v>
      </c>
      <c r="J658" s="21" t="s">
        <v>958</v>
      </c>
      <c r="K658" s="21" t="s">
        <v>998</v>
      </c>
      <c r="L658" s="21" t="s">
        <v>5911</v>
      </c>
      <c r="M658" s="21" t="s">
        <v>5486</v>
      </c>
      <c r="N658" s="21" t="s">
        <v>5487</v>
      </c>
      <c r="O658" s="21" t="s">
        <v>5912</v>
      </c>
      <c r="P658" s="27">
        <v>0</v>
      </c>
      <c r="Q658" s="27">
        <v>8</v>
      </c>
      <c r="R658" s="21" t="s">
        <v>5913</v>
      </c>
      <c r="S658" s="21" t="s">
        <v>5914</v>
      </c>
      <c r="T658" s="21" t="s">
        <v>966</v>
      </c>
      <c r="U658" s="21" t="s">
        <v>5915</v>
      </c>
    </row>
    <row r="659" spans="1:21" ht="42">
      <c r="A659" s="21" t="s">
        <v>925</v>
      </c>
      <c r="B659" s="21" t="s">
        <v>304</v>
      </c>
      <c r="C659" s="21" t="s">
        <v>298</v>
      </c>
      <c r="D659" s="21" t="s">
        <v>180</v>
      </c>
      <c r="E659" s="21" t="s">
        <v>305</v>
      </c>
      <c r="F659" s="21" t="s">
        <v>1476</v>
      </c>
      <c r="G659" s="21" t="s">
        <v>5916</v>
      </c>
      <c r="H659" s="28">
        <v>43917</v>
      </c>
      <c r="I659" s="22">
        <v>2020</v>
      </c>
      <c r="J659" s="21" t="s">
        <v>958</v>
      </c>
      <c r="K659" s="21" t="s">
        <v>998</v>
      </c>
      <c r="L659" s="21" t="s">
        <v>5917</v>
      </c>
      <c r="M659" s="21" t="s">
        <v>5486</v>
      </c>
      <c r="N659" s="21" t="s">
        <v>5918</v>
      </c>
      <c r="O659" s="21" t="s">
        <v>5919</v>
      </c>
      <c r="P659" s="27">
        <v>0</v>
      </c>
      <c r="Q659" s="27">
        <v>4</v>
      </c>
      <c r="R659" s="21" t="s">
        <v>5920</v>
      </c>
      <c r="S659" s="21" t="s">
        <v>5629</v>
      </c>
      <c r="T659" s="21" t="s">
        <v>994</v>
      </c>
      <c r="U659" s="21" t="s">
        <v>5921</v>
      </c>
    </row>
    <row r="660" spans="1:21" ht="28">
      <c r="A660" s="21" t="s">
        <v>925</v>
      </c>
      <c r="B660" s="21" t="s">
        <v>304</v>
      </c>
      <c r="C660" s="21" t="s">
        <v>298</v>
      </c>
      <c r="D660" s="21" t="s">
        <v>180</v>
      </c>
      <c r="E660" s="21" t="s">
        <v>305</v>
      </c>
      <c r="F660" s="21" t="s">
        <v>1484</v>
      </c>
      <c r="G660" s="21" t="s">
        <v>5922</v>
      </c>
      <c r="H660" s="28">
        <v>43924</v>
      </c>
      <c r="I660" s="22">
        <v>2020</v>
      </c>
      <c r="J660" s="21" t="s">
        <v>958</v>
      </c>
      <c r="K660" s="21" t="s">
        <v>998</v>
      </c>
      <c r="L660" s="21" t="s">
        <v>5923</v>
      </c>
      <c r="M660" s="21" t="s">
        <v>5486</v>
      </c>
      <c r="N660" s="21" t="s">
        <v>5924</v>
      </c>
      <c r="O660" s="21" t="s">
        <v>5925</v>
      </c>
      <c r="P660" s="27">
        <v>0</v>
      </c>
      <c r="Q660" s="27">
        <v>8</v>
      </c>
      <c r="R660" s="21" t="s">
        <v>5926</v>
      </c>
      <c r="S660" s="21" t="s">
        <v>5663</v>
      </c>
      <c r="T660" s="21" t="s">
        <v>966</v>
      </c>
      <c r="U660" s="21" t="s">
        <v>5927</v>
      </c>
    </row>
    <row r="661" spans="1:21" ht="28">
      <c r="A661" s="21" t="s">
        <v>925</v>
      </c>
      <c r="B661" s="21" t="s">
        <v>304</v>
      </c>
      <c r="C661" s="21" t="s">
        <v>298</v>
      </c>
      <c r="D661" s="21" t="s">
        <v>180</v>
      </c>
      <c r="E661" s="21" t="s">
        <v>305</v>
      </c>
      <c r="F661" s="21" t="s">
        <v>1491</v>
      </c>
      <c r="G661" s="21" t="s">
        <v>5928</v>
      </c>
      <c r="H661" s="28">
        <v>43917</v>
      </c>
      <c r="I661" s="22">
        <v>2020</v>
      </c>
      <c r="J661" s="21" t="s">
        <v>958</v>
      </c>
      <c r="K661" s="21" t="s">
        <v>998</v>
      </c>
      <c r="L661" s="21" t="s">
        <v>5929</v>
      </c>
      <c r="M661" s="21" t="s">
        <v>5486</v>
      </c>
      <c r="N661" s="21" t="s">
        <v>5487</v>
      </c>
      <c r="O661" s="21" t="s">
        <v>5930</v>
      </c>
      <c r="P661" s="27">
        <v>0</v>
      </c>
      <c r="Q661" s="27">
        <v>5</v>
      </c>
      <c r="R661" s="21" t="s">
        <v>5931</v>
      </c>
      <c r="S661" s="21" t="s">
        <v>5629</v>
      </c>
      <c r="T661" s="21" t="s">
        <v>994</v>
      </c>
      <c r="U661" s="21" t="s">
        <v>5932</v>
      </c>
    </row>
    <row r="662" spans="1:21" ht="70">
      <c r="A662" s="21" t="s">
        <v>925</v>
      </c>
      <c r="B662" s="21" t="s">
        <v>304</v>
      </c>
      <c r="C662" s="21" t="s">
        <v>298</v>
      </c>
      <c r="D662" s="21" t="s">
        <v>180</v>
      </c>
      <c r="E662" s="21" t="s">
        <v>305</v>
      </c>
      <c r="F662" s="21" t="s">
        <v>1499</v>
      </c>
      <c r="G662" s="21" t="s">
        <v>5933</v>
      </c>
      <c r="H662" s="28">
        <v>43917</v>
      </c>
      <c r="I662" s="22">
        <v>2020</v>
      </c>
      <c r="J662" s="21" t="s">
        <v>958</v>
      </c>
      <c r="K662" s="21" t="s">
        <v>998</v>
      </c>
      <c r="L662" s="21" t="s">
        <v>5934</v>
      </c>
      <c r="M662" s="21" t="s">
        <v>5486</v>
      </c>
      <c r="N662" s="21" t="s">
        <v>5487</v>
      </c>
      <c r="O662" s="21" t="s">
        <v>5930</v>
      </c>
      <c r="P662" s="27">
        <v>0</v>
      </c>
      <c r="Q662" s="27">
        <v>7</v>
      </c>
      <c r="R662" s="21" t="s">
        <v>5935</v>
      </c>
      <c r="S662" s="21" t="s">
        <v>5629</v>
      </c>
      <c r="T662" s="21" t="s">
        <v>994</v>
      </c>
      <c r="U662" s="21" t="s">
        <v>5936</v>
      </c>
    </row>
    <row r="663" spans="1:21" ht="70">
      <c r="A663" s="21" t="s">
        <v>925</v>
      </c>
      <c r="B663" s="21" t="s">
        <v>304</v>
      </c>
      <c r="C663" s="21" t="s">
        <v>298</v>
      </c>
      <c r="D663" s="21" t="s">
        <v>180</v>
      </c>
      <c r="E663" s="21" t="s">
        <v>305</v>
      </c>
      <c r="F663" s="21" t="s">
        <v>1507</v>
      </c>
      <c r="G663" s="21" t="s">
        <v>5937</v>
      </c>
      <c r="H663" s="28">
        <v>43917</v>
      </c>
      <c r="I663" s="22">
        <v>2020</v>
      </c>
      <c r="J663" s="21" t="s">
        <v>958</v>
      </c>
      <c r="K663" s="21" t="s">
        <v>998</v>
      </c>
      <c r="L663" s="21" t="s">
        <v>5938</v>
      </c>
      <c r="M663" s="21" t="s">
        <v>5486</v>
      </c>
      <c r="N663" s="21" t="s">
        <v>5487</v>
      </c>
      <c r="O663" s="21" t="s">
        <v>5939</v>
      </c>
      <c r="P663" s="27">
        <v>0</v>
      </c>
      <c r="Q663" s="27">
        <v>9</v>
      </c>
      <c r="R663" s="21" t="s">
        <v>5940</v>
      </c>
      <c r="S663" s="21" t="s">
        <v>5490</v>
      </c>
      <c r="T663" s="21" t="s">
        <v>966</v>
      </c>
      <c r="U663" s="21" t="s">
        <v>5941</v>
      </c>
    </row>
    <row r="664" spans="1:21" ht="84">
      <c r="A664" s="21" t="s">
        <v>925</v>
      </c>
      <c r="B664" s="21" t="s">
        <v>304</v>
      </c>
      <c r="C664" s="21" t="s">
        <v>298</v>
      </c>
      <c r="D664" s="21" t="s">
        <v>180</v>
      </c>
      <c r="E664" s="21" t="s">
        <v>305</v>
      </c>
      <c r="F664" s="21" t="s">
        <v>1515</v>
      </c>
      <c r="G664" s="21" t="s">
        <v>5942</v>
      </c>
      <c r="H664" s="28">
        <v>41348</v>
      </c>
      <c r="I664" s="22">
        <v>2013</v>
      </c>
      <c r="J664" s="21" t="s">
        <v>958</v>
      </c>
      <c r="K664" s="21" t="s">
        <v>987</v>
      </c>
      <c r="L664" s="21" t="s">
        <v>5943</v>
      </c>
      <c r="M664" s="21" t="s">
        <v>5540</v>
      </c>
      <c r="N664" s="21" t="s">
        <v>5541</v>
      </c>
      <c r="O664" s="21" t="s">
        <v>5944</v>
      </c>
      <c r="P664" s="27">
        <v>0</v>
      </c>
      <c r="Q664" s="27">
        <v>13</v>
      </c>
      <c r="R664" s="21" t="s">
        <v>5945</v>
      </c>
      <c r="S664" s="21" t="s">
        <v>5946</v>
      </c>
      <c r="T664" s="21" t="s">
        <v>994</v>
      </c>
      <c r="U664" s="21" t="s">
        <v>5947</v>
      </c>
    </row>
    <row r="665" spans="1:21" ht="42">
      <c r="A665" s="21" t="s">
        <v>925</v>
      </c>
      <c r="B665" s="21" t="s">
        <v>304</v>
      </c>
      <c r="C665" s="21" t="s">
        <v>298</v>
      </c>
      <c r="D665" s="21" t="s">
        <v>180</v>
      </c>
      <c r="E665" s="21" t="s">
        <v>305</v>
      </c>
      <c r="F665" s="21" t="s">
        <v>1521</v>
      </c>
      <c r="G665" s="21" t="s">
        <v>5948</v>
      </c>
      <c r="H665" s="28">
        <v>43896</v>
      </c>
      <c r="I665" s="22">
        <v>2020</v>
      </c>
      <c r="J665" s="21" t="s">
        <v>958</v>
      </c>
      <c r="K665" s="21" t="s">
        <v>998</v>
      </c>
      <c r="L665" s="21" t="s">
        <v>5949</v>
      </c>
      <c r="M665" s="21" t="s">
        <v>5486</v>
      </c>
      <c r="N665" s="21" t="s">
        <v>5950</v>
      </c>
      <c r="O665" s="21" t="s">
        <v>5951</v>
      </c>
      <c r="P665" s="27">
        <v>0</v>
      </c>
      <c r="Q665" s="27">
        <v>12</v>
      </c>
      <c r="R665" s="21" t="s">
        <v>5952</v>
      </c>
      <c r="S665" s="21" t="s">
        <v>5953</v>
      </c>
      <c r="T665" s="21" t="s">
        <v>994</v>
      </c>
      <c r="U665" s="21" t="s">
        <v>5954</v>
      </c>
    </row>
    <row r="666" spans="1:21" ht="84">
      <c r="A666" s="21" t="s">
        <v>925</v>
      </c>
      <c r="B666" s="21" t="s">
        <v>304</v>
      </c>
      <c r="C666" s="21" t="s">
        <v>298</v>
      </c>
      <c r="D666" s="21" t="s">
        <v>180</v>
      </c>
      <c r="E666" s="21" t="s">
        <v>305</v>
      </c>
      <c r="F666" s="21" t="s">
        <v>1529</v>
      </c>
      <c r="G666" s="21" t="s">
        <v>5955</v>
      </c>
      <c r="H666" s="28">
        <v>43889</v>
      </c>
      <c r="I666" s="22">
        <v>2020</v>
      </c>
      <c r="J666" s="21" t="s">
        <v>958</v>
      </c>
      <c r="K666" s="21" t="s">
        <v>998</v>
      </c>
      <c r="L666" s="21" t="s">
        <v>5956</v>
      </c>
      <c r="M666" s="21" t="s">
        <v>5540</v>
      </c>
      <c r="N666" s="21" t="s">
        <v>5957</v>
      </c>
      <c r="O666" s="21" t="s">
        <v>5958</v>
      </c>
      <c r="P666" s="27">
        <v>0</v>
      </c>
      <c r="Q666" s="27">
        <v>5</v>
      </c>
      <c r="R666" s="21" t="s">
        <v>5959</v>
      </c>
      <c r="S666" s="21" t="s">
        <v>5960</v>
      </c>
      <c r="T666" s="21" t="s">
        <v>994</v>
      </c>
      <c r="U666" s="21" t="s">
        <v>5961</v>
      </c>
    </row>
    <row r="667" spans="1:21" ht="70">
      <c r="A667" s="21" t="s">
        <v>925</v>
      </c>
      <c r="B667" s="21" t="s">
        <v>304</v>
      </c>
      <c r="C667" s="21" t="s">
        <v>298</v>
      </c>
      <c r="D667" s="21" t="s">
        <v>180</v>
      </c>
      <c r="E667" s="21" t="s">
        <v>305</v>
      </c>
      <c r="F667" s="21" t="s">
        <v>1537</v>
      </c>
      <c r="G667" s="21" t="s">
        <v>5962</v>
      </c>
      <c r="H667" s="28">
        <v>43861</v>
      </c>
      <c r="I667" s="22">
        <v>2020</v>
      </c>
      <c r="J667" s="21" t="s">
        <v>958</v>
      </c>
      <c r="K667" s="21" t="s">
        <v>998</v>
      </c>
      <c r="L667" s="21" t="s">
        <v>5963</v>
      </c>
      <c r="M667" s="21" t="s">
        <v>5964</v>
      </c>
      <c r="N667" s="21" t="s">
        <v>5965</v>
      </c>
      <c r="O667" s="21" t="s">
        <v>5966</v>
      </c>
      <c r="P667" s="27">
        <v>0</v>
      </c>
      <c r="Q667" s="27">
        <v>8</v>
      </c>
      <c r="R667" s="21" t="s">
        <v>5967</v>
      </c>
      <c r="S667" s="21" t="s">
        <v>5968</v>
      </c>
      <c r="T667" s="21" t="s">
        <v>994</v>
      </c>
      <c r="U667" s="21" t="s">
        <v>5969</v>
      </c>
    </row>
    <row r="668" spans="1:21" ht="56">
      <c r="A668" s="21" t="s">
        <v>925</v>
      </c>
      <c r="B668" s="21" t="s">
        <v>304</v>
      </c>
      <c r="C668" s="21" t="s">
        <v>298</v>
      </c>
      <c r="D668" s="21" t="s">
        <v>180</v>
      </c>
      <c r="E668" s="21" t="s">
        <v>305</v>
      </c>
      <c r="F668" s="21" t="s">
        <v>1545</v>
      </c>
      <c r="G668" s="21" t="s">
        <v>5970</v>
      </c>
      <c r="H668" s="28">
        <v>43826</v>
      </c>
      <c r="I668" s="22">
        <v>2019</v>
      </c>
      <c r="J668" s="21" t="s">
        <v>958</v>
      </c>
      <c r="K668" s="21" t="s">
        <v>998</v>
      </c>
      <c r="L668" s="21" t="s">
        <v>5971</v>
      </c>
      <c r="M668" s="21" t="s">
        <v>5486</v>
      </c>
      <c r="N668" s="21" t="s">
        <v>5972</v>
      </c>
      <c r="O668" s="21" t="s">
        <v>5973</v>
      </c>
      <c r="P668" s="27">
        <v>0</v>
      </c>
      <c r="Q668" s="27">
        <v>9</v>
      </c>
      <c r="R668" s="21" t="s">
        <v>5974</v>
      </c>
      <c r="S668" s="21" t="s">
        <v>5975</v>
      </c>
      <c r="T668" s="21" t="s">
        <v>966</v>
      </c>
      <c r="U668" s="21" t="s">
        <v>5976</v>
      </c>
    </row>
    <row r="669" spans="1:21" ht="112">
      <c r="A669" s="21" t="s">
        <v>925</v>
      </c>
      <c r="B669" s="21" t="s">
        <v>304</v>
      </c>
      <c r="C669" s="21" t="s">
        <v>298</v>
      </c>
      <c r="D669" s="21" t="s">
        <v>180</v>
      </c>
      <c r="E669" s="21" t="s">
        <v>305</v>
      </c>
      <c r="F669" s="21" t="s">
        <v>1553</v>
      </c>
      <c r="G669" s="21" t="s">
        <v>5977</v>
      </c>
      <c r="H669" s="28">
        <v>43822</v>
      </c>
      <c r="I669" s="22">
        <v>2019</v>
      </c>
      <c r="J669" s="21" t="s">
        <v>958</v>
      </c>
      <c r="K669" s="21" t="s">
        <v>998</v>
      </c>
      <c r="L669" s="21" t="s">
        <v>5978</v>
      </c>
      <c r="M669" s="21" t="s">
        <v>5705</v>
      </c>
      <c r="N669" s="21" t="s">
        <v>5979</v>
      </c>
      <c r="O669" s="21" t="s">
        <v>5980</v>
      </c>
      <c r="P669" s="27">
        <v>0</v>
      </c>
      <c r="Q669" s="27">
        <v>12</v>
      </c>
      <c r="R669" s="21" t="s">
        <v>5981</v>
      </c>
      <c r="S669" s="21" t="s">
        <v>2367</v>
      </c>
      <c r="T669" s="21" t="s">
        <v>994</v>
      </c>
      <c r="U669" s="21" t="s">
        <v>5982</v>
      </c>
    </row>
    <row r="670" spans="1:21" ht="84">
      <c r="A670" s="21" t="s">
        <v>925</v>
      </c>
      <c r="B670" s="21" t="s">
        <v>304</v>
      </c>
      <c r="C670" s="21" t="s">
        <v>298</v>
      </c>
      <c r="D670" s="21" t="s">
        <v>180</v>
      </c>
      <c r="E670" s="21" t="s">
        <v>305</v>
      </c>
      <c r="F670" s="21" t="s">
        <v>1561</v>
      </c>
      <c r="G670" s="21" t="s">
        <v>5983</v>
      </c>
      <c r="H670" s="28">
        <v>43817</v>
      </c>
      <c r="I670" s="22">
        <v>2019</v>
      </c>
      <c r="J670" s="21" t="s">
        <v>958</v>
      </c>
      <c r="K670" s="21" t="s">
        <v>998</v>
      </c>
      <c r="L670" s="21" t="s">
        <v>5984</v>
      </c>
      <c r="M670" s="21" t="s">
        <v>5486</v>
      </c>
      <c r="N670" s="21" t="s">
        <v>5653</v>
      </c>
      <c r="O670" s="21" t="s">
        <v>5985</v>
      </c>
      <c r="P670" s="27">
        <v>0</v>
      </c>
      <c r="Q670" s="27">
        <v>13</v>
      </c>
      <c r="R670" s="21" t="s">
        <v>5986</v>
      </c>
      <c r="S670" s="21" t="s">
        <v>5987</v>
      </c>
      <c r="T670" s="21" t="s">
        <v>994</v>
      </c>
      <c r="U670" s="21" t="s">
        <v>5988</v>
      </c>
    </row>
    <row r="671" spans="1:21" ht="42">
      <c r="A671" s="21" t="s">
        <v>925</v>
      </c>
      <c r="B671" s="21" t="s">
        <v>304</v>
      </c>
      <c r="C671" s="21" t="s">
        <v>298</v>
      </c>
      <c r="D671" s="21" t="s">
        <v>180</v>
      </c>
      <c r="E671" s="21" t="s">
        <v>305</v>
      </c>
      <c r="F671" s="21" t="s">
        <v>1569</v>
      </c>
      <c r="G671" s="21" t="s">
        <v>5989</v>
      </c>
      <c r="H671" s="28">
        <v>43808</v>
      </c>
      <c r="I671" s="22">
        <v>2019</v>
      </c>
      <c r="J671" s="21" t="s">
        <v>958</v>
      </c>
      <c r="K671" s="21" t="s">
        <v>998</v>
      </c>
      <c r="L671" s="21" t="s">
        <v>5990</v>
      </c>
      <c r="M671" s="21" t="s">
        <v>5486</v>
      </c>
      <c r="N671" s="21" t="s">
        <v>5653</v>
      </c>
      <c r="O671" s="21" t="s">
        <v>5991</v>
      </c>
      <c r="P671" s="27">
        <v>0</v>
      </c>
      <c r="Q671" s="27">
        <v>7</v>
      </c>
      <c r="R671" s="21" t="s">
        <v>5992</v>
      </c>
      <c r="S671" s="21" t="s">
        <v>5993</v>
      </c>
      <c r="T671" s="21" t="s">
        <v>966</v>
      </c>
      <c r="U671" s="21" t="s">
        <v>5994</v>
      </c>
    </row>
    <row r="672" spans="1:21" ht="56">
      <c r="A672" s="21" t="s">
        <v>925</v>
      </c>
      <c r="B672" s="21" t="s">
        <v>304</v>
      </c>
      <c r="C672" s="21" t="s">
        <v>298</v>
      </c>
      <c r="D672" s="21" t="s">
        <v>180</v>
      </c>
      <c r="E672" s="21" t="s">
        <v>305</v>
      </c>
      <c r="F672" s="21" t="s">
        <v>1577</v>
      </c>
      <c r="G672" s="21" t="s">
        <v>5995</v>
      </c>
      <c r="H672" s="28">
        <v>43810</v>
      </c>
      <c r="I672" s="22">
        <v>2019</v>
      </c>
      <c r="J672" s="21" t="s">
        <v>958</v>
      </c>
      <c r="K672" s="21" t="s">
        <v>998</v>
      </c>
      <c r="L672" s="21" t="s">
        <v>5996</v>
      </c>
      <c r="M672" s="21" t="s">
        <v>5486</v>
      </c>
      <c r="N672" s="21" t="s">
        <v>5653</v>
      </c>
      <c r="O672" s="21" t="s">
        <v>5997</v>
      </c>
      <c r="P672" s="27">
        <v>0</v>
      </c>
      <c r="Q672" s="27">
        <v>7</v>
      </c>
      <c r="R672" s="21" t="s">
        <v>5998</v>
      </c>
      <c r="S672" s="21" t="s">
        <v>5629</v>
      </c>
      <c r="T672" s="21" t="s">
        <v>994</v>
      </c>
      <c r="U672" s="21" t="s">
        <v>5999</v>
      </c>
    </row>
    <row r="673" spans="1:21" ht="42">
      <c r="A673" s="21" t="s">
        <v>925</v>
      </c>
      <c r="B673" s="21" t="s">
        <v>304</v>
      </c>
      <c r="C673" s="21" t="s">
        <v>298</v>
      </c>
      <c r="D673" s="21" t="s">
        <v>180</v>
      </c>
      <c r="E673" s="21" t="s">
        <v>305</v>
      </c>
      <c r="F673" s="21" t="s">
        <v>1585</v>
      </c>
      <c r="G673" s="21" t="s">
        <v>6000</v>
      </c>
      <c r="H673" s="28">
        <v>43812</v>
      </c>
      <c r="I673" s="22">
        <v>2019</v>
      </c>
      <c r="J673" s="21" t="s">
        <v>958</v>
      </c>
      <c r="K673" s="21" t="s">
        <v>998</v>
      </c>
      <c r="L673" s="21" t="s">
        <v>6001</v>
      </c>
      <c r="M673" s="21" t="s">
        <v>5486</v>
      </c>
      <c r="N673" s="21" t="s">
        <v>5653</v>
      </c>
      <c r="O673" s="21" t="s">
        <v>6002</v>
      </c>
      <c r="P673" s="27">
        <v>0</v>
      </c>
      <c r="Q673" s="27">
        <v>6</v>
      </c>
      <c r="R673" s="21" t="s">
        <v>6003</v>
      </c>
      <c r="S673" s="21" t="s">
        <v>5914</v>
      </c>
      <c r="T673" s="21" t="s">
        <v>994</v>
      </c>
      <c r="U673" s="21" t="s">
        <v>6004</v>
      </c>
    </row>
    <row r="674" spans="1:21" ht="56">
      <c r="A674" s="21" t="s">
        <v>925</v>
      </c>
      <c r="B674" s="21" t="s">
        <v>304</v>
      </c>
      <c r="C674" s="21" t="s">
        <v>298</v>
      </c>
      <c r="D674" s="21" t="s">
        <v>180</v>
      </c>
      <c r="E674" s="21" t="s">
        <v>305</v>
      </c>
      <c r="F674" s="21" t="s">
        <v>1593</v>
      </c>
      <c r="G674" s="21" t="s">
        <v>6005</v>
      </c>
      <c r="H674" s="28">
        <v>43810</v>
      </c>
      <c r="I674" s="22">
        <v>2019</v>
      </c>
      <c r="J674" s="21" t="s">
        <v>958</v>
      </c>
      <c r="K674" s="21" t="s">
        <v>998</v>
      </c>
      <c r="L674" s="21" t="s">
        <v>6006</v>
      </c>
      <c r="M674" s="21" t="s">
        <v>5486</v>
      </c>
      <c r="N674" s="21" t="s">
        <v>5653</v>
      </c>
      <c r="O674" s="21" t="s">
        <v>6007</v>
      </c>
      <c r="P674" s="27">
        <v>0</v>
      </c>
      <c r="Q674" s="27">
        <v>9</v>
      </c>
      <c r="R674" s="21" t="s">
        <v>6008</v>
      </c>
      <c r="S674" s="21" t="s">
        <v>6009</v>
      </c>
      <c r="T674" s="21" t="s">
        <v>966</v>
      </c>
      <c r="U674" s="21" t="s">
        <v>6010</v>
      </c>
    </row>
    <row r="675" spans="1:21" ht="70">
      <c r="A675" s="21" t="s">
        <v>925</v>
      </c>
      <c r="B675" s="21" t="s">
        <v>304</v>
      </c>
      <c r="C675" s="21" t="s">
        <v>298</v>
      </c>
      <c r="D675" s="21" t="s">
        <v>180</v>
      </c>
      <c r="E675" s="21" t="s">
        <v>305</v>
      </c>
      <c r="F675" s="21" t="s">
        <v>1600</v>
      </c>
      <c r="G675" s="21" t="s">
        <v>6011</v>
      </c>
      <c r="H675" s="28">
        <v>43811</v>
      </c>
      <c r="I675" s="22">
        <v>2019</v>
      </c>
      <c r="J675" s="21" t="s">
        <v>958</v>
      </c>
      <c r="K675" s="21" t="s">
        <v>998</v>
      </c>
      <c r="L675" s="21" t="s">
        <v>6012</v>
      </c>
      <c r="M675" s="21" t="s">
        <v>5486</v>
      </c>
      <c r="N675" s="21" t="s">
        <v>6013</v>
      </c>
      <c r="O675" s="21" t="s">
        <v>6014</v>
      </c>
      <c r="P675" s="27">
        <v>0</v>
      </c>
      <c r="Q675" s="27">
        <v>9</v>
      </c>
      <c r="R675" s="21" t="s">
        <v>6015</v>
      </c>
      <c r="S675" s="21" t="s">
        <v>6016</v>
      </c>
      <c r="T675" s="21" t="s">
        <v>966</v>
      </c>
      <c r="U675" s="21" t="s">
        <v>6017</v>
      </c>
    </row>
    <row r="676" spans="1:21" ht="112">
      <c r="A676" s="21" t="s">
        <v>925</v>
      </c>
      <c r="B676" s="21" t="s">
        <v>304</v>
      </c>
      <c r="C676" s="21" t="s">
        <v>298</v>
      </c>
      <c r="D676" s="21" t="s">
        <v>180</v>
      </c>
      <c r="E676" s="21" t="s">
        <v>5507</v>
      </c>
      <c r="F676" s="21" t="s">
        <v>1608</v>
      </c>
      <c r="G676" s="21" t="s">
        <v>6018</v>
      </c>
      <c r="H676" s="28">
        <v>43808</v>
      </c>
      <c r="I676" s="22">
        <v>2019</v>
      </c>
      <c r="J676" s="21" t="s">
        <v>958</v>
      </c>
      <c r="K676" s="21" t="s">
        <v>998</v>
      </c>
      <c r="L676" s="21" t="s">
        <v>6019</v>
      </c>
      <c r="M676" s="21" t="s">
        <v>5510</v>
      </c>
      <c r="N676" s="21" t="s">
        <v>6020</v>
      </c>
      <c r="O676" s="21" t="s">
        <v>6021</v>
      </c>
      <c r="P676" s="27">
        <v>1</v>
      </c>
      <c r="Q676" s="27">
        <v>25</v>
      </c>
      <c r="R676" s="21" t="s">
        <v>6022</v>
      </c>
      <c r="S676" s="21" t="s">
        <v>6023</v>
      </c>
      <c r="T676" s="21" t="s">
        <v>994</v>
      </c>
      <c r="U676" s="21" t="s">
        <v>6024</v>
      </c>
    </row>
    <row r="677" spans="1:21" ht="56">
      <c r="A677" s="21" t="s">
        <v>925</v>
      </c>
      <c r="B677" s="21" t="s">
        <v>304</v>
      </c>
      <c r="C677" s="21" t="s">
        <v>298</v>
      </c>
      <c r="D677" s="21" t="s">
        <v>180</v>
      </c>
      <c r="E677" s="21" t="s">
        <v>305</v>
      </c>
      <c r="F677" s="21" t="s">
        <v>1616</v>
      </c>
      <c r="G677" s="21" t="s">
        <v>6025</v>
      </c>
      <c r="H677" s="28">
        <v>43805</v>
      </c>
      <c r="I677" s="22">
        <v>2019</v>
      </c>
      <c r="J677" s="21" t="s">
        <v>958</v>
      </c>
      <c r="K677" s="21" t="s">
        <v>998</v>
      </c>
      <c r="L677" s="21" t="s">
        <v>6026</v>
      </c>
      <c r="M677" s="21" t="s">
        <v>5486</v>
      </c>
      <c r="N677" s="21" t="s">
        <v>5487</v>
      </c>
      <c r="O677" s="21" t="s">
        <v>6027</v>
      </c>
      <c r="P677" s="27">
        <v>0</v>
      </c>
      <c r="Q677" s="27">
        <v>10</v>
      </c>
      <c r="R677" s="21" t="s">
        <v>6028</v>
      </c>
      <c r="S677" s="21" t="s">
        <v>6029</v>
      </c>
      <c r="T677" s="21" t="s">
        <v>966</v>
      </c>
      <c r="U677" s="21" t="s">
        <v>6030</v>
      </c>
    </row>
    <row r="678" spans="1:21" ht="210">
      <c r="A678" s="21" t="s">
        <v>925</v>
      </c>
      <c r="B678" s="21" t="s">
        <v>304</v>
      </c>
      <c r="C678" s="21" t="s">
        <v>298</v>
      </c>
      <c r="D678" s="21" t="s">
        <v>180</v>
      </c>
      <c r="E678" s="21" t="s">
        <v>5507</v>
      </c>
      <c r="F678" s="21" t="s">
        <v>1624</v>
      </c>
      <c r="G678" s="21" t="s">
        <v>6031</v>
      </c>
      <c r="H678" s="28">
        <v>43805</v>
      </c>
      <c r="I678" s="22">
        <v>2019</v>
      </c>
      <c r="J678" s="21" t="s">
        <v>958</v>
      </c>
      <c r="K678" s="21" t="s">
        <v>998</v>
      </c>
      <c r="L678" s="21" t="s">
        <v>6032</v>
      </c>
      <c r="M678" s="21" t="s">
        <v>5510</v>
      </c>
      <c r="N678" s="21" t="s">
        <v>6020</v>
      </c>
      <c r="O678" s="21" t="s">
        <v>6033</v>
      </c>
      <c r="P678" s="27">
        <v>0</v>
      </c>
      <c r="Q678" s="27">
        <v>16</v>
      </c>
      <c r="R678" s="21" t="s">
        <v>6034</v>
      </c>
      <c r="S678" s="21" t="s">
        <v>6035</v>
      </c>
      <c r="T678" s="21" t="s">
        <v>994</v>
      </c>
      <c r="U678" s="21" t="s">
        <v>6036</v>
      </c>
    </row>
    <row r="679" spans="1:21" ht="182">
      <c r="A679" s="21" t="s">
        <v>925</v>
      </c>
      <c r="B679" s="21" t="s">
        <v>304</v>
      </c>
      <c r="C679" s="21" t="s">
        <v>298</v>
      </c>
      <c r="D679" s="21" t="s">
        <v>180</v>
      </c>
      <c r="E679" s="21" t="s">
        <v>5507</v>
      </c>
      <c r="F679" s="21" t="s">
        <v>1632</v>
      </c>
      <c r="G679" s="21" t="s">
        <v>6037</v>
      </c>
      <c r="H679" s="28">
        <v>43805</v>
      </c>
      <c r="I679" s="22">
        <v>2019</v>
      </c>
      <c r="J679" s="21" t="s">
        <v>958</v>
      </c>
      <c r="K679" s="21" t="s">
        <v>998</v>
      </c>
      <c r="L679" s="21" t="s">
        <v>6038</v>
      </c>
      <c r="M679" s="21" t="s">
        <v>5510</v>
      </c>
      <c r="N679" s="21" t="s">
        <v>6020</v>
      </c>
      <c r="O679" s="21" t="s">
        <v>6039</v>
      </c>
      <c r="P679" s="27">
        <v>0</v>
      </c>
      <c r="Q679" s="27">
        <v>21</v>
      </c>
      <c r="R679" s="21" t="s">
        <v>6040</v>
      </c>
      <c r="S679" s="21" t="s">
        <v>6041</v>
      </c>
      <c r="T679" s="21" t="s">
        <v>994</v>
      </c>
      <c r="U679" s="21" t="s">
        <v>6042</v>
      </c>
    </row>
    <row r="680" spans="1:21" ht="168">
      <c r="A680" s="21" t="s">
        <v>925</v>
      </c>
      <c r="B680" s="21" t="s">
        <v>304</v>
      </c>
      <c r="C680" s="21" t="s">
        <v>298</v>
      </c>
      <c r="D680" s="21" t="s">
        <v>180</v>
      </c>
      <c r="E680" s="21" t="s">
        <v>305</v>
      </c>
      <c r="F680" s="21" t="s">
        <v>1640</v>
      </c>
      <c r="G680" s="21" t="s">
        <v>6043</v>
      </c>
      <c r="H680" s="28">
        <v>43805</v>
      </c>
      <c r="I680" s="22">
        <v>2019</v>
      </c>
      <c r="J680" s="21" t="s">
        <v>958</v>
      </c>
      <c r="K680" s="21" t="s">
        <v>998</v>
      </c>
      <c r="L680" s="21" t="s">
        <v>6044</v>
      </c>
      <c r="M680" s="21" t="s">
        <v>5705</v>
      </c>
      <c r="N680" s="21" t="s">
        <v>5979</v>
      </c>
      <c r="O680" s="21" t="s">
        <v>6045</v>
      </c>
      <c r="P680" s="27">
        <v>0</v>
      </c>
      <c r="Q680" s="27">
        <v>14</v>
      </c>
      <c r="R680" s="21" t="s">
        <v>6046</v>
      </c>
      <c r="S680" s="21" t="s">
        <v>6047</v>
      </c>
      <c r="T680" s="21" t="s">
        <v>994</v>
      </c>
      <c r="U680" s="21" t="s">
        <v>6048</v>
      </c>
    </row>
    <row r="681" spans="1:21" ht="84">
      <c r="A681" s="21" t="s">
        <v>925</v>
      </c>
      <c r="B681" s="21" t="s">
        <v>304</v>
      </c>
      <c r="C681" s="21" t="s">
        <v>298</v>
      </c>
      <c r="D681" s="21" t="s">
        <v>180</v>
      </c>
      <c r="E681" s="21" t="s">
        <v>305</v>
      </c>
      <c r="F681" s="21" t="s">
        <v>1649</v>
      </c>
      <c r="G681" s="21" t="s">
        <v>6049</v>
      </c>
      <c r="H681" s="28">
        <v>43439</v>
      </c>
      <c r="I681" s="22">
        <v>2018</v>
      </c>
      <c r="J681" s="21" t="s">
        <v>958</v>
      </c>
      <c r="K681" s="21" t="s">
        <v>3815</v>
      </c>
      <c r="L681" s="21" t="s">
        <v>6050</v>
      </c>
      <c r="M681" s="21" t="s">
        <v>5540</v>
      </c>
      <c r="N681" s="21" t="s">
        <v>5541</v>
      </c>
      <c r="O681" s="21" t="s">
        <v>6051</v>
      </c>
      <c r="P681" s="27">
        <v>0</v>
      </c>
      <c r="Q681" s="27">
        <v>10</v>
      </c>
      <c r="R681" s="21" t="s">
        <v>6052</v>
      </c>
      <c r="S681" s="21" t="s">
        <v>6053</v>
      </c>
      <c r="T681" s="21" t="s">
        <v>994</v>
      </c>
      <c r="U681" s="21" t="s">
        <v>6054</v>
      </c>
    </row>
    <row r="682" spans="1:21" ht="182">
      <c r="A682" s="21" t="s">
        <v>925</v>
      </c>
      <c r="B682" s="21" t="s">
        <v>304</v>
      </c>
      <c r="C682" s="21" t="s">
        <v>298</v>
      </c>
      <c r="D682" s="21" t="s">
        <v>180</v>
      </c>
      <c r="E682" s="21" t="s">
        <v>305</v>
      </c>
      <c r="F682" s="21" t="s">
        <v>1657</v>
      </c>
      <c r="G682" s="21" t="s">
        <v>6055</v>
      </c>
      <c r="H682" s="28">
        <v>41879</v>
      </c>
      <c r="I682" s="22">
        <v>2014</v>
      </c>
      <c r="J682" s="21" t="s">
        <v>958</v>
      </c>
      <c r="K682" s="21" t="s">
        <v>959</v>
      </c>
      <c r="L682" s="21" t="s">
        <v>6056</v>
      </c>
      <c r="M682" s="21" t="s">
        <v>6057</v>
      </c>
      <c r="N682" s="21" t="s">
        <v>6058</v>
      </c>
      <c r="O682" s="21" t="s">
        <v>6059</v>
      </c>
      <c r="P682" s="27">
        <v>0</v>
      </c>
      <c r="Q682" s="27">
        <v>22</v>
      </c>
      <c r="R682" s="21" t="s">
        <v>6060</v>
      </c>
      <c r="S682" s="21" t="s">
        <v>6061</v>
      </c>
      <c r="T682" s="21" t="s">
        <v>966</v>
      </c>
      <c r="U682" s="21" t="s">
        <v>6062</v>
      </c>
    </row>
    <row r="683" spans="1:21" ht="56">
      <c r="A683" s="21" t="s">
        <v>925</v>
      </c>
      <c r="B683" s="21" t="s">
        <v>304</v>
      </c>
      <c r="C683" s="21" t="s">
        <v>298</v>
      </c>
      <c r="D683" s="21" t="s">
        <v>180</v>
      </c>
      <c r="E683" s="21" t="s">
        <v>305</v>
      </c>
      <c r="F683" s="21" t="s">
        <v>1665</v>
      </c>
      <c r="G683" s="21" t="s">
        <v>6063</v>
      </c>
      <c r="H683" s="28">
        <v>43759</v>
      </c>
      <c r="I683" s="22">
        <v>2019</v>
      </c>
      <c r="J683" s="21" t="s">
        <v>958</v>
      </c>
      <c r="K683" s="21" t="s">
        <v>998</v>
      </c>
      <c r="L683" s="21" t="s">
        <v>6064</v>
      </c>
      <c r="M683" s="21" t="s">
        <v>5540</v>
      </c>
      <c r="N683" s="21" t="s">
        <v>5541</v>
      </c>
      <c r="O683" s="21" t="s">
        <v>6065</v>
      </c>
      <c r="P683" s="27">
        <v>0</v>
      </c>
      <c r="Q683" s="27">
        <v>13</v>
      </c>
      <c r="R683" s="21" t="s">
        <v>6066</v>
      </c>
      <c r="S683" s="21" t="s">
        <v>6067</v>
      </c>
      <c r="T683" s="21" t="s">
        <v>966</v>
      </c>
      <c r="U683" s="21" t="s">
        <v>6068</v>
      </c>
    </row>
    <row r="684" spans="1:21" ht="42">
      <c r="A684" s="21" t="s">
        <v>925</v>
      </c>
      <c r="B684" s="21" t="s">
        <v>304</v>
      </c>
      <c r="C684" s="21" t="s">
        <v>298</v>
      </c>
      <c r="D684" s="21" t="s">
        <v>180</v>
      </c>
      <c r="E684" s="21" t="s">
        <v>305</v>
      </c>
      <c r="F684" s="21" t="s">
        <v>1673</v>
      </c>
      <c r="G684" s="21" t="s">
        <v>6069</v>
      </c>
      <c r="H684" s="28">
        <v>43759</v>
      </c>
      <c r="I684" s="22">
        <v>2019</v>
      </c>
      <c r="J684" s="21" t="s">
        <v>958</v>
      </c>
      <c r="K684" s="21" t="s">
        <v>998</v>
      </c>
      <c r="L684" s="21" t="s">
        <v>6070</v>
      </c>
      <c r="M684" s="21" t="s">
        <v>5540</v>
      </c>
      <c r="N684" s="21" t="s">
        <v>5541</v>
      </c>
      <c r="O684" s="21" t="s">
        <v>6071</v>
      </c>
      <c r="P684" s="27">
        <v>0</v>
      </c>
      <c r="Q684" s="27">
        <v>8</v>
      </c>
      <c r="R684" s="21" t="s">
        <v>6072</v>
      </c>
      <c r="S684" s="21" t="s">
        <v>6073</v>
      </c>
      <c r="T684" s="21" t="s">
        <v>994</v>
      </c>
      <c r="U684" s="21" t="s">
        <v>6074</v>
      </c>
    </row>
    <row r="685" spans="1:21" ht="112">
      <c r="A685" s="21" t="s">
        <v>925</v>
      </c>
      <c r="B685" s="21" t="s">
        <v>304</v>
      </c>
      <c r="C685" s="21" t="s">
        <v>298</v>
      </c>
      <c r="D685" s="21" t="s">
        <v>180</v>
      </c>
      <c r="E685" s="21" t="s">
        <v>305</v>
      </c>
      <c r="F685" s="21" t="s">
        <v>1681</v>
      </c>
      <c r="G685" s="21" t="s">
        <v>6075</v>
      </c>
      <c r="H685" s="28">
        <v>43713</v>
      </c>
      <c r="I685" s="22">
        <v>2019</v>
      </c>
      <c r="J685" s="21" t="s">
        <v>958</v>
      </c>
      <c r="K685" s="21" t="s">
        <v>998</v>
      </c>
      <c r="L685" s="21" t="s">
        <v>6076</v>
      </c>
      <c r="M685" s="21" t="s">
        <v>5486</v>
      </c>
      <c r="N685" s="21" t="s">
        <v>5720</v>
      </c>
      <c r="O685" s="21" t="s">
        <v>6077</v>
      </c>
      <c r="P685" s="27">
        <v>0</v>
      </c>
      <c r="Q685" s="27">
        <v>6</v>
      </c>
      <c r="R685" s="21" t="s">
        <v>6078</v>
      </c>
      <c r="S685" s="21" t="s">
        <v>6079</v>
      </c>
      <c r="T685" s="21" t="s">
        <v>994</v>
      </c>
      <c r="U685" s="21" t="s">
        <v>6080</v>
      </c>
    </row>
    <row r="686" spans="1:21" ht="42">
      <c r="A686" s="21" t="s">
        <v>925</v>
      </c>
      <c r="B686" s="21" t="s">
        <v>304</v>
      </c>
      <c r="C686" s="21" t="s">
        <v>298</v>
      </c>
      <c r="D686" s="21" t="s">
        <v>180</v>
      </c>
      <c r="E686" s="21" t="s">
        <v>305</v>
      </c>
      <c r="F686" s="21" t="s">
        <v>1689</v>
      </c>
      <c r="G686" s="21" t="s">
        <v>6081</v>
      </c>
      <c r="H686" s="28">
        <v>43703</v>
      </c>
      <c r="I686" s="22">
        <v>2019</v>
      </c>
      <c r="J686" s="21" t="s">
        <v>958</v>
      </c>
      <c r="K686" s="21" t="s">
        <v>998</v>
      </c>
      <c r="L686" s="21" t="s">
        <v>6082</v>
      </c>
      <c r="M686" s="21" t="s">
        <v>5486</v>
      </c>
      <c r="N686" s="21" t="s">
        <v>6083</v>
      </c>
      <c r="O686" s="21" t="s">
        <v>6084</v>
      </c>
      <c r="P686" s="27">
        <v>0</v>
      </c>
      <c r="Q686" s="27">
        <v>6</v>
      </c>
      <c r="R686" s="21" t="s">
        <v>6085</v>
      </c>
      <c r="S686" s="21" t="s">
        <v>6086</v>
      </c>
      <c r="T686" s="21" t="s">
        <v>994</v>
      </c>
      <c r="U686" s="21" t="s">
        <v>6087</v>
      </c>
    </row>
    <row r="687" spans="1:21" ht="112">
      <c r="A687" s="21" t="s">
        <v>925</v>
      </c>
      <c r="B687" s="21" t="s">
        <v>304</v>
      </c>
      <c r="C687" s="21" t="s">
        <v>298</v>
      </c>
      <c r="D687" s="21" t="s">
        <v>180</v>
      </c>
      <c r="E687" s="21" t="s">
        <v>305</v>
      </c>
      <c r="F687" s="21" t="s">
        <v>1696</v>
      </c>
      <c r="G687" s="21" t="s">
        <v>6088</v>
      </c>
      <c r="H687" s="28">
        <v>43704</v>
      </c>
      <c r="I687" s="22">
        <v>2019</v>
      </c>
      <c r="J687" s="21" t="s">
        <v>958</v>
      </c>
      <c r="K687" s="21" t="s">
        <v>998</v>
      </c>
      <c r="L687" s="21" t="s">
        <v>6089</v>
      </c>
      <c r="M687" s="21" t="s">
        <v>5486</v>
      </c>
      <c r="N687" s="21" t="s">
        <v>5720</v>
      </c>
      <c r="O687" s="21" t="s">
        <v>6090</v>
      </c>
      <c r="P687" s="27">
        <v>0</v>
      </c>
      <c r="Q687" s="27">
        <v>7</v>
      </c>
      <c r="R687" s="21" t="s">
        <v>6091</v>
      </c>
      <c r="S687" s="21" t="s">
        <v>6092</v>
      </c>
      <c r="T687" s="21" t="s">
        <v>994</v>
      </c>
      <c r="U687" s="21" t="s">
        <v>6093</v>
      </c>
    </row>
    <row r="688" spans="1:21" ht="84">
      <c r="A688" s="21" t="s">
        <v>925</v>
      </c>
      <c r="B688" s="21" t="s">
        <v>304</v>
      </c>
      <c r="C688" s="21" t="s">
        <v>298</v>
      </c>
      <c r="D688" s="21" t="s">
        <v>180</v>
      </c>
      <c r="E688" s="21" t="s">
        <v>305</v>
      </c>
      <c r="F688" s="21" t="s">
        <v>1705</v>
      </c>
      <c r="G688" s="21" t="s">
        <v>6094</v>
      </c>
      <c r="H688" s="28">
        <v>40200</v>
      </c>
      <c r="I688" s="22">
        <v>2010</v>
      </c>
      <c r="J688" s="21" t="s">
        <v>958</v>
      </c>
      <c r="K688" s="21" t="s">
        <v>959</v>
      </c>
      <c r="L688" s="21" t="s">
        <v>6095</v>
      </c>
      <c r="M688" s="21" t="s">
        <v>6096</v>
      </c>
      <c r="N688" s="21" t="s">
        <v>6097</v>
      </c>
      <c r="O688" s="21" t="s">
        <v>6098</v>
      </c>
      <c r="P688" s="27">
        <v>0</v>
      </c>
      <c r="Q688" s="27">
        <v>14</v>
      </c>
      <c r="R688" s="21" t="s">
        <v>6099</v>
      </c>
      <c r="S688" s="21" t="s">
        <v>6100</v>
      </c>
      <c r="T688" s="21" t="s">
        <v>966</v>
      </c>
      <c r="U688" s="21" t="s">
        <v>6101</v>
      </c>
    </row>
    <row r="689" spans="1:21" ht="98">
      <c r="A689" s="21" t="s">
        <v>925</v>
      </c>
      <c r="B689" s="21" t="s">
        <v>304</v>
      </c>
      <c r="C689" s="21" t="s">
        <v>298</v>
      </c>
      <c r="D689" s="21" t="s">
        <v>180</v>
      </c>
      <c r="E689" s="21" t="s">
        <v>305</v>
      </c>
      <c r="F689" s="21" t="s">
        <v>1713</v>
      </c>
      <c r="G689" s="21" t="s">
        <v>6102</v>
      </c>
      <c r="H689" s="28">
        <v>37271</v>
      </c>
      <c r="I689" s="22">
        <v>2002</v>
      </c>
      <c r="J689" s="21" t="s">
        <v>958</v>
      </c>
      <c r="K689" s="21" t="s">
        <v>959</v>
      </c>
      <c r="L689" s="21" t="s">
        <v>6103</v>
      </c>
      <c r="M689" s="21" t="s">
        <v>6104</v>
      </c>
      <c r="N689" s="21" t="s">
        <v>6105</v>
      </c>
      <c r="O689" s="21" t="s">
        <v>6106</v>
      </c>
      <c r="P689" s="27">
        <v>0</v>
      </c>
      <c r="Q689" s="27">
        <v>43</v>
      </c>
      <c r="R689" s="21" t="s">
        <v>6107</v>
      </c>
      <c r="S689" s="21" t="s">
        <v>6108</v>
      </c>
      <c r="T689" s="21" t="s">
        <v>4159</v>
      </c>
      <c r="U689" s="21" t="s">
        <v>6109</v>
      </c>
    </row>
    <row r="690" spans="1:21" ht="126">
      <c r="A690" s="21" t="s">
        <v>925</v>
      </c>
      <c r="B690" s="21" t="s">
        <v>304</v>
      </c>
      <c r="C690" s="21" t="s">
        <v>298</v>
      </c>
      <c r="D690" s="21" t="s">
        <v>180</v>
      </c>
      <c r="E690" s="21" t="s">
        <v>305</v>
      </c>
      <c r="F690" s="21" t="s">
        <v>1721</v>
      </c>
      <c r="G690" s="21" t="s">
        <v>6110</v>
      </c>
      <c r="H690" s="28">
        <v>43662</v>
      </c>
      <c r="I690" s="22">
        <v>2019</v>
      </c>
      <c r="J690" s="21" t="s">
        <v>958</v>
      </c>
      <c r="K690" s="21" t="s">
        <v>5876</v>
      </c>
      <c r="L690" s="21" t="s">
        <v>6111</v>
      </c>
      <c r="M690" s="21" t="s">
        <v>6112</v>
      </c>
      <c r="N690" s="21" t="s">
        <v>6113</v>
      </c>
      <c r="O690" s="21" t="s">
        <v>6114</v>
      </c>
      <c r="P690" s="27">
        <v>0</v>
      </c>
      <c r="Q690" s="27">
        <v>14</v>
      </c>
      <c r="R690" s="21" t="s">
        <v>6115</v>
      </c>
      <c r="S690" s="21" t="s">
        <v>6116</v>
      </c>
      <c r="T690" s="21" t="s">
        <v>994</v>
      </c>
      <c r="U690" s="21" t="s">
        <v>6117</v>
      </c>
    </row>
    <row r="691" spans="1:21" ht="70">
      <c r="A691" s="21" t="s">
        <v>925</v>
      </c>
      <c r="B691" s="21" t="s">
        <v>304</v>
      </c>
      <c r="C691" s="21" t="s">
        <v>298</v>
      </c>
      <c r="D691" s="21" t="s">
        <v>180</v>
      </c>
      <c r="E691" s="21" t="s">
        <v>305</v>
      </c>
      <c r="F691" s="21" t="s">
        <v>1729</v>
      </c>
      <c r="G691" s="21" t="s">
        <v>6118</v>
      </c>
      <c r="H691" s="28">
        <v>43350</v>
      </c>
      <c r="I691" s="22">
        <v>2018</v>
      </c>
      <c r="J691" s="21" t="s">
        <v>958</v>
      </c>
      <c r="K691" s="21" t="s">
        <v>959</v>
      </c>
      <c r="L691" s="21" t="s">
        <v>6119</v>
      </c>
      <c r="M691" s="21" t="s">
        <v>5486</v>
      </c>
      <c r="N691" s="21" t="s">
        <v>6120</v>
      </c>
      <c r="O691" s="21" t="s">
        <v>6121</v>
      </c>
      <c r="P691" s="27">
        <v>0</v>
      </c>
      <c r="Q691" s="27">
        <v>51</v>
      </c>
      <c r="R691" s="21" t="s">
        <v>6122</v>
      </c>
      <c r="S691" s="21" t="s">
        <v>6123</v>
      </c>
      <c r="T691" s="21" t="s">
        <v>966</v>
      </c>
      <c r="U691" s="21" t="s">
        <v>6124</v>
      </c>
    </row>
    <row r="692" spans="1:21" ht="168">
      <c r="A692" s="21" t="s">
        <v>925</v>
      </c>
      <c r="B692" s="21" t="s">
        <v>304</v>
      </c>
      <c r="C692" s="21" t="s">
        <v>298</v>
      </c>
      <c r="D692" s="21" t="s">
        <v>180</v>
      </c>
      <c r="E692" s="21" t="s">
        <v>305</v>
      </c>
      <c r="F692" s="21" t="s">
        <v>1737</v>
      </c>
      <c r="G692" s="21" t="s">
        <v>6125</v>
      </c>
      <c r="H692" s="28">
        <v>43628</v>
      </c>
      <c r="I692" s="22">
        <v>2019</v>
      </c>
      <c r="J692" s="21" t="s">
        <v>958</v>
      </c>
      <c r="K692" s="21" t="s">
        <v>998</v>
      </c>
      <c r="L692" s="21" t="s">
        <v>6126</v>
      </c>
      <c r="M692" s="21" t="s">
        <v>6127</v>
      </c>
      <c r="N692" s="21" t="s">
        <v>6128</v>
      </c>
      <c r="O692" s="21" t="s">
        <v>6129</v>
      </c>
      <c r="P692" s="27">
        <v>2</v>
      </c>
      <c r="Q692" s="27">
        <v>14</v>
      </c>
      <c r="R692" s="21" t="s">
        <v>6130</v>
      </c>
      <c r="S692" s="21" t="s">
        <v>6131</v>
      </c>
      <c r="T692" s="21" t="s">
        <v>994</v>
      </c>
      <c r="U692" s="21" t="s">
        <v>6132</v>
      </c>
    </row>
    <row r="693" spans="1:21" ht="42">
      <c r="A693" s="21" t="s">
        <v>925</v>
      </c>
      <c r="B693" s="21" t="s">
        <v>304</v>
      </c>
      <c r="C693" s="21" t="s">
        <v>298</v>
      </c>
      <c r="D693" s="21" t="s">
        <v>180</v>
      </c>
      <c r="E693" s="21" t="s">
        <v>305</v>
      </c>
      <c r="F693" s="21" t="s">
        <v>1746</v>
      </c>
      <c r="G693" s="21" t="s">
        <v>6133</v>
      </c>
      <c r="H693" s="28">
        <v>43620</v>
      </c>
      <c r="I693" s="22">
        <v>2019</v>
      </c>
      <c r="J693" s="21" t="s">
        <v>958</v>
      </c>
      <c r="K693" s="21" t="s">
        <v>998</v>
      </c>
      <c r="L693" s="21" t="s">
        <v>6134</v>
      </c>
      <c r="M693" s="21" t="s">
        <v>5486</v>
      </c>
      <c r="N693" s="21" t="s">
        <v>5653</v>
      </c>
      <c r="O693" s="21" t="s">
        <v>6135</v>
      </c>
      <c r="P693" s="27">
        <v>0</v>
      </c>
      <c r="Q693" s="27">
        <v>8</v>
      </c>
      <c r="R693" s="21" t="s">
        <v>6136</v>
      </c>
      <c r="S693" s="21" t="s">
        <v>6137</v>
      </c>
      <c r="T693" s="21" t="s">
        <v>994</v>
      </c>
      <c r="U693" s="21" t="s">
        <v>6138</v>
      </c>
    </row>
    <row r="694" spans="1:21" ht="70">
      <c r="A694" s="21" t="s">
        <v>925</v>
      </c>
      <c r="B694" s="21" t="s">
        <v>304</v>
      </c>
      <c r="C694" s="21" t="s">
        <v>298</v>
      </c>
      <c r="D694" s="21" t="s">
        <v>180</v>
      </c>
      <c r="E694" s="21" t="s">
        <v>305</v>
      </c>
      <c r="F694" s="21" t="s">
        <v>1754</v>
      </c>
      <c r="G694" s="21" t="s">
        <v>6139</v>
      </c>
      <c r="H694" s="28">
        <v>43614</v>
      </c>
      <c r="I694" s="22">
        <v>2019</v>
      </c>
      <c r="J694" s="21" t="s">
        <v>958</v>
      </c>
      <c r="K694" s="21" t="s">
        <v>998</v>
      </c>
      <c r="L694" s="21" t="s">
        <v>6140</v>
      </c>
      <c r="M694" s="21" t="s">
        <v>5486</v>
      </c>
      <c r="N694" s="21" t="s">
        <v>6083</v>
      </c>
      <c r="O694" s="21" t="s">
        <v>5566</v>
      </c>
      <c r="P694" s="27">
        <v>0</v>
      </c>
      <c r="Q694" s="27">
        <v>5</v>
      </c>
      <c r="R694" s="21" t="s">
        <v>6141</v>
      </c>
      <c r="S694" s="21" t="s">
        <v>6142</v>
      </c>
      <c r="T694" s="21" t="s">
        <v>1148</v>
      </c>
      <c r="U694" s="21" t="s">
        <v>6143</v>
      </c>
    </row>
    <row r="695" spans="1:21" ht="56">
      <c r="A695" s="21" t="s">
        <v>925</v>
      </c>
      <c r="B695" s="21" t="s">
        <v>304</v>
      </c>
      <c r="C695" s="21" t="s">
        <v>298</v>
      </c>
      <c r="D695" s="21" t="s">
        <v>180</v>
      </c>
      <c r="E695" s="21" t="s">
        <v>305</v>
      </c>
      <c r="F695" s="21" t="s">
        <v>1762</v>
      </c>
      <c r="G695" s="21" t="s">
        <v>6144</v>
      </c>
      <c r="H695" s="28">
        <v>43609</v>
      </c>
      <c r="I695" s="22">
        <v>2019</v>
      </c>
      <c r="J695" s="21" t="s">
        <v>958</v>
      </c>
      <c r="K695" s="21" t="s">
        <v>998</v>
      </c>
      <c r="L695" s="21" t="s">
        <v>6145</v>
      </c>
      <c r="M695" s="21" t="s">
        <v>5486</v>
      </c>
      <c r="N695" s="21" t="s">
        <v>5653</v>
      </c>
      <c r="O695" s="21" t="s">
        <v>6146</v>
      </c>
      <c r="P695" s="27">
        <v>0</v>
      </c>
      <c r="Q695" s="27">
        <v>10</v>
      </c>
      <c r="R695" s="21" t="s">
        <v>6147</v>
      </c>
      <c r="S695" s="21" t="s">
        <v>6148</v>
      </c>
      <c r="T695" s="21" t="s">
        <v>966</v>
      </c>
      <c r="U695" s="21" t="s">
        <v>6149</v>
      </c>
    </row>
    <row r="696" spans="1:21" ht="70">
      <c r="A696" s="21" t="s">
        <v>925</v>
      </c>
      <c r="B696" s="21" t="s">
        <v>304</v>
      </c>
      <c r="C696" s="21" t="s">
        <v>298</v>
      </c>
      <c r="D696" s="21" t="s">
        <v>180</v>
      </c>
      <c r="E696" s="21" t="s">
        <v>305</v>
      </c>
      <c r="F696" s="21" t="s">
        <v>1770</v>
      </c>
      <c r="G696" s="21" t="s">
        <v>6150</v>
      </c>
      <c r="H696" s="28">
        <v>43614</v>
      </c>
      <c r="I696" s="22">
        <v>2019</v>
      </c>
      <c r="J696" s="21" t="s">
        <v>958</v>
      </c>
      <c r="K696" s="21" t="s">
        <v>998</v>
      </c>
      <c r="L696" s="21" t="s">
        <v>6151</v>
      </c>
      <c r="M696" s="21" t="s">
        <v>5486</v>
      </c>
      <c r="N696" s="21" t="s">
        <v>5653</v>
      </c>
      <c r="O696" s="21" t="s">
        <v>6152</v>
      </c>
      <c r="P696" s="27">
        <v>0</v>
      </c>
      <c r="Q696" s="27">
        <v>13</v>
      </c>
      <c r="R696" s="21" t="s">
        <v>6153</v>
      </c>
      <c r="S696" s="21" t="s">
        <v>6137</v>
      </c>
      <c r="T696" s="21" t="s">
        <v>966</v>
      </c>
      <c r="U696" s="21" t="s">
        <v>6154</v>
      </c>
    </row>
    <row r="697" spans="1:21" ht="56">
      <c r="A697" s="21" t="s">
        <v>925</v>
      </c>
      <c r="B697" s="21" t="s">
        <v>304</v>
      </c>
      <c r="C697" s="21" t="s">
        <v>298</v>
      </c>
      <c r="D697" s="21" t="s">
        <v>180</v>
      </c>
      <c r="E697" s="21" t="s">
        <v>305</v>
      </c>
      <c r="F697" s="21" t="s">
        <v>1779</v>
      </c>
      <c r="G697" s="21" t="s">
        <v>6155</v>
      </c>
      <c r="H697" s="28">
        <v>43179</v>
      </c>
      <c r="I697" s="22">
        <v>2018</v>
      </c>
      <c r="J697" s="21" t="s">
        <v>958</v>
      </c>
      <c r="K697" s="21" t="s">
        <v>3815</v>
      </c>
      <c r="L697" s="21" t="s">
        <v>6156</v>
      </c>
      <c r="M697" s="21" t="s">
        <v>5540</v>
      </c>
      <c r="N697" s="21" t="s">
        <v>5541</v>
      </c>
      <c r="O697" s="21" t="s">
        <v>6157</v>
      </c>
      <c r="P697" s="27">
        <v>0</v>
      </c>
      <c r="Q697" s="27">
        <v>8</v>
      </c>
      <c r="R697" s="21" t="s">
        <v>6158</v>
      </c>
      <c r="S697" s="21" t="s">
        <v>6159</v>
      </c>
      <c r="T697" s="21" t="s">
        <v>994</v>
      </c>
      <c r="U697" s="21" t="s">
        <v>6160</v>
      </c>
    </row>
    <row r="698" spans="1:21" ht="224">
      <c r="A698" s="21" t="s">
        <v>925</v>
      </c>
      <c r="B698" s="21" t="s">
        <v>304</v>
      </c>
      <c r="C698" s="21" t="s">
        <v>298</v>
      </c>
      <c r="D698" s="21" t="s">
        <v>180</v>
      </c>
      <c r="E698" s="21" t="s">
        <v>305</v>
      </c>
      <c r="F698" s="21" t="s">
        <v>1787</v>
      </c>
      <c r="G698" s="21" t="s">
        <v>6161</v>
      </c>
      <c r="H698" s="28">
        <v>43601</v>
      </c>
      <c r="I698" s="22">
        <v>2019</v>
      </c>
      <c r="J698" s="21" t="s">
        <v>958</v>
      </c>
      <c r="K698" s="21" t="s">
        <v>998</v>
      </c>
      <c r="L698" s="21" t="s">
        <v>6162</v>
      </c>
      <c r="M698" s="21" t="s">
        <v>5486</v>
      </c>
      <c r="N698" s="21" t="s">
        <v>5653</v>
      </c>
      <c r="O698" s="21" t="s">
        <v>6163</v>
      </c>
      <c r="P698" s="27">
        <v>0</v>
      </c>
      <c r="Q698" s="27">
        <v>16</v>
      </c>
      <c r="R698" s="21" t="s">
        <v>6164</v>
      </c>
      <c r="S698" s="21" t="s">
        <v>6165</v>
      </c>
      <c r="T698" s="21" t="s">
        <v>994</v>
      </c>
      <c r="U698" s="21" t="s">
        <v>6166</v>
      </c>
    </row>
    <row r="699" spans="1:21" ht="154">
      <c r="A699" s="21" t="s">
        <v>925</v>
      </c>
      <c r="B699" s="21" t="s">
        <v>304</v>
      </c>
      <c r="C699" s="21" t="s">
        <v>298</v>
      </c>
      <c r="D699" s="21" t="s">
        <v>180</v>
      </c>
      <c r="E699" s="21" t="s">
        <v>305</v>
      </c>
      <c r="F699" s="21" t="s">
        <v>1795</v>
      </c>
      <c r="G699" s="21" t="s">
        <v>6167</v>
      </c>
      <c r="H699" s="28">
        <v>43599</v>
      </c>
      <c r="I699" s="22">
        <v>2019</v>
      </c>
      <c r="J699" s="21" t="s">
        <v>958</v>
      </c>
      <c r="K699" s="21" t="s">
        <v>998</v>
      </c>
      <c r="L699" s="21" t="s">
        <v>6168</v>
      </c>
      <c r="M699" s="21" t="s">
        <v>5486</v>
      </c>
      <c r="N699" s="21" t="s">
        <v>6169</v>
      </c>
      <c r="O699" s="21" t="s">
        <v>6170</v>
      </c>
      <c r="P699" s="27">
        <v>0</v>
      </c>
      <c r="Q699" s="27">
        <v>18</v>
      </c>
      <c r="R699" s="21" t="s">
        <v>6171</v>
      </c>
      <c r="S699" s="21" t="s">
        <v>6172</v>
      </c>
      <c r="T699" s="21" t="s">
        <v>994</v>
      </c>
      <c r="U699" s="21" t="s">
        <v>6173</v>
      </c>
    </row>
    <row r="700" spans="1:21" ht="70">
      <c r="A700" s="21" t="s">
        <v>925</v>
      </c>
      <c r="B700" s="21" t="s">
        <v>304</v>
      </c>
      <c r="C700" s="21" t="s">
        <v>298</v>
      </c>
      <c r="D700" s="21" t="s">
        <v>180</v>
      </c>
      <c r="E700" s="21" t="s">
        <v>305</v>
      </c>
      <c r="F700" s="21" t="s">
        <v>1803</v>
      </c>
      <c r="G700" s="21" t="s">
        <v>6174</v>
      </c>
      <c r="H700" s="28">
        <v>43594</v>
      </c>
      <c r="I700" s="22">
        <v>2019</v>
      </c>
      <c r="J700" s="21" t="s">
        <v>958</v>
      </c>
      <c r="K700" s="21" t="s">
        <v>998</v>
      </c>
      <c r="L700" s="21" t="s">
        <v>6175</v>
      </c>
      <c r="M700" s="21" t="s">
        <v>5486</v>
      </c>
      <c r="N700" s="21" t="s">
        <v>5720</v>
      </c>
      <c r="O700" s="21" t="s">
        <v>6176</v>
      </c>
      <c r="P700" s="27">
        <v>0</v>
      </c>
      <c r="Q700" s="27">
        <v>14</v>
      </c>
      <c r="R700" s="21" t="s">
        <v>6177</v>
      </c>
      <c r="S700" s="21" t="s">
        <v>6178</v>
      </c>
      <c r="T700" s="21" t="s">
        <v>1148</v>
      </c>
      <c r="U700" s="21" t="s">
        <v>6179</v>
      </c>
    </row>
    <row r="701" spans="1:21" ht="182">
      <c r="A701" s="21" t="s">
        <v>925</v>
      </c>
      <c r="B701" s="21" t="s">
        <v>304</v>
      </c>
      <c r="C701" s="21" t="s">
        <v>298</v>
      </c>
      <c r="D701" s="21" t="s">
        <v>180</v>
      </c>
      <c r="E701" s="21" t="s">
        <v>305</v>
      </c>
      <c r="F701" s="21" t="s">
        <v>1811</v>
      </c>
      <c r="G701" s="21" t="s">
        <v>6180</v>
      </c>
      <c r="H701" s="28">
        <v>43579</v>
      </c>
      <c r="I701" s="22">
        <v>2019</v>
      </c>
      <c r="J701" s="21" t="s">
        <v>958</v>
      </c>
      <c r="K701" s="21" t="s">
        <v>998</v>
      </c>
      <c r="L701" s="21" t="s">
        <v>6181</v>
      </c>
      <c r="M701" s="21" t="s">
        <v>6182</v>
      </c>
      <c r="N701" s="21" t="s">
        <v>6183</v>
      </c>
      <c r="O701" s="21" t="s">
        <v>6184</v>
      </c>
      <c r="P701" s="27">
        <v>0</v>
      </c>
      <c r="Q701" s="27">
        <v>17</v>
      </c>
      <c r="R701" s="21" t="s">
        <v>6185</v>
      </c>
      <c r="S701" s="21" t="s">
        <v>6186</v>
      </c>
      <c r="T701" s="21" t="s">
        <v>994</v>
      </c>
      <c r="U701" s="21" t="s">
        <v>6187</v>
      </c>
    </row>
    <row r="702" spans="1:21" ht="84">
      <c r="A702" s="21" t="s">
        <v>925</v>
      </c>
      <c r="B702" s="21" t="s">
        <v>304</v>
      </c>
      <c r="C702" s="21" t="s">
        <v>298</v>
      </c>
      <c r="D702" s="21" t="s">
        <v>180</v>
      </c>
      <c r="E702" s="21" t="s">
        <v>305</v>
      </c>
      <c r="F702" s="21" t="s">
        <v>1819</v>
      </c>
      <c r="G702" s="21" t="s">
        <v>6188</v>
      </c>
      <c r="H702" s="28">
        <v>43578</v>
      </c>
      <c r="I702" s="22">
        <v>2019</v>
      </c>
      <c r="J702" s="21" t="s">
        <v>958</v>
      </c>
      <c r="K702" s="21" t="s">
        <v>998</v>
      </c>
      <c r="L702" s="21" t="s">
        <v>6189</v>
      </c>
      <c r="M702" s="21" t="s">
        <v>5486</v>
      </c>
      <c r="N702" s="21" t="s">
        <v>5653</v>
      </c>
      <c r="O702" s="21" t="s">
        <v>6190</v>
      </c>
      <c r="P702" s="27">
        <v>0</v>
      </c>
      <c r="Q702" s="27">
        <v>18</v>
      </c>
      <c r="R702" s="21" t="s">
        <v>6191</v>
      </c>
      <c r="S702" s="21" t="s">
        <v>6192</v>
      </c>
      <c r="T702" s="21" t="s">
        <v>994</v>
      </c>
      <c r="U702" s="21" t="s">
        <v>6193</v>
      </c>
    </row>
    <row r="703" spans="1:21" ht="196">
      <c r="A703" s="21" t="s">
        <v>925</v>
      </c>
      <c r="B703" s="21" t="s">
        <v>304</v>
      </c>
      <c r="C703" s="21" t="s">
        <v>298</v>
      </c>
      <c r="D703" s="21" t="s">
        <v>180</v>
      </c>
      <c r="E703" s="21" t="s">
        <v>305</v>
      </c>
      <c r="F703" s="21" t="s">
        <v>1827</v>
      </c>
      <c r="G703" s="21" t="s">
        <v>6194</v>
      </c>
      <c r="H703" s="28">
        <v>43578</v>
      </c>
      <c r="I703" s="22">
        <v>2019</v>
      </c>
      <c r="J703" s="21" t="s">
        <v>958</v>
      </c>
      <c r="K703" s="21" t="s">
        <v>998</v>
      </c>
      <c r="L703" s="21" t="s">
        <v>6195</v>
      </c>
      <c r="M703" s="21" t="s">
        <v>5486</v>
      </c>
      <c r="N703" s="21" t="s">
        <v>5653</v>
      </c>
      <c r="O703" s="21" t="s">
        <v>6196</v>
      </c>
      <c r="P703" s="27">
        <v>0</v>
      </c>
      <c r="Q703" s="27">
        <v>18</v>
      </c>
      <c r="R703" s="21" t="s">
        <v>6197</v>
      </c>
      <c r="S703" s="21" t="s">
        <v>6198</v>
      </c>
      <c r="T703" s="21" t="s">
        <v>994</v>
      </c>
      <c r="U703" s="21" t="s">
        <v>6199</v>
      </c>
    </row>
    <row r="704" spans="1:21" ht="84">
      <c r="A704" s="21" t="s">
        <v>925</v>
      </c>
      <c r="B704" s="21" t="s">
        <v>304</v>
      </c>
      <c r="C704" s="21" t="s">
        <v>298</v>
      </c>
      <c r="D704" s="21" t="s">
        <v>180</v>
      </c>
      <c r="E704" s="21" t="s">
        <v>305</v>
      </c>
      <c r="F704" s="21" t="s">
        <v>1835</v>
      </c>
      <c r="G704" s="21" t="s">
        <v>6200</v>
      </c>
      <c r="H704" s="28">
        <v>43571</v>
      </c>
      <c r="I704" s="22">
        <v>2019</v>
      </c>
      <c r="J704" s="21" t="s">
        <v>958</v>
      </c>
      <c r="K704" s="21" t="s">
        <v>998</v>
      </c>
      <c r="L704" s="21" t="s">
        <v>6201</v>
      </c>
      <c r="M704" s="21" t="s">
        <v>5486</v>
      </c>
      <c r="N704" s="21" t="s">
        <v>6083</v>
      </c>
      <c r="O704" s="21" t="s">
        <v>6202</v>
      </c>
      <c r="P704" s="27">
        <v>0</v>
      </c>
      <c r="Q704" s="27">
        <v>7</v>
      </c>
      <c r="R704" s="21" t="s">
        <v>6203</v>
      </c>
      <c r="S704" s="21" t="s">
        <v>6204</v>
      </c>
      <c r="T704" s="21" t="s">
        <v>994</v>
      </c>
      <c r="U704" s="21" t="s">
        <v>6205</v>
      </c>
    </row>
    <row r="705" spans="1:21" ht="56">
      <c r="A705" s="21" t="s">
        <v>925</v>
      </c>
      <c r="B705" s="21" t="s">
        <v>304</v>
      </c>
      <c r="C705" s="21" t="s">
        <v>298</v>
      </c>
      <c r="D705" s="21" t="s">
        <v>180</v>
      </c>
      <c r="E705" s="21" t="s">
        <v>305</v>
      </c>
      <c r="F705" s="21" t="s">
        <v>1843</v>
      </c>
      <c r="G705" s="21" t="s">
        <v>6206</v>
      </c>
      <c r="H705" s="28">
        <v>40212</v>
      </c>
      <c r="I705" s="22">
        <v>2010</v>
      </c>
      <c r="J705" s="21" t="s">
        <v>6207</v>
      </c>
      <c r="K705" s="21" t="s">
        <v>6208</v>
      </c>
      <c r="L705" s="21" t="s">
        <v>6209</v>
      </c>
      <c r="M705" s="21" t="s">
        <v>6096</v>
      </c>
      <c r="N705" s="21" t="s">
        <v>6210</v>
      </c>
      <c r="O705" s="21" t="s">
        <v>6211</v>
      </c>
      <c r="P705" s="27">
        <v>0</v>
      </c>
      <c r="Q705" s="27">
        <v>2</v>
      </c>
      <c r="R705" s="21" t="s">
        <v>6212</v>
      </c>
      <c r="S705" s="21" t="s">
        <v>6213</v>
      </c>
      <c r="T705" s="21" t="s">
        <v>966</v>
      </c>
      <c r="U705" s="21" t="s">
        <v>6214</v>
      </c>
    </row>
    <row r="706" spans="1:21" ht="56">
      <c r="A706" s="21" t="s">
        <v>925</v>
      </c>
      <c r="B706" s="21" t="s">
        <v>304</v>
      </c>
      <c r="C706" s="21" t="s">
        <v>298</v>
      </c>
      <c r="D706" s="21" t="s">
        <v>180</v>
      </c>
      <c r="E706" s="21" t="s">
        <v>305</v>
      </c>
      <c r="F706" s="21" t="s">
        <v>1852</v>
      </c>
      <c r="G706" s="21" t="s">
        <v>6215</v>
      </c>
      <c r="H706" s="28">
        <v>43553</v>
      </c>
      <c r="I706" s="22">
        <v>2019</v>
      </c>
      <c r="J706" s="21" t="s">
        <v>958</v>
      </c>
      <c r="K706" s="21" t="s">
        <v>998</v>
      </c>
      <c r="L706" s="21" t="s">
        <v>6216</v>
      </c>
      <c r="M706" s="21" t="s">
        <v>5486</v>
      </c>
      <c r="N706" s="21" t="s">
        <v>5653</v>
      </c>
      <c r="O706" s="21" t="s">
        <v>6217</v>
      </c>
      <c r="P706" s="27">
        <v>0</v>
      </c>
      <c r="Q706" s="27">
        <v>11</v>
      </c>
      <c r="R706" s="21" t="s">
        <v>6218</v>
      </c>
      <c r="S706" s="21" t="s">
        <v>6219</v>
      </c>
      <c r="T706" s="21" t="s">
        <v>966</v>
      </c>
      <c r="U706" s="21" t="s">
        <v>6220</v>
      </c>
    </row>
    <row r="707" spans="1:21" ht="42">
      <c r="A707" s="21" t="s">
        <v>925</v>
      </c>
      <c r="B707" s="21" t="s">
        <v>304</v>
      </c>
      <c r="C707" s="21" t="s">
        <v>298</v>
      </c>
      <c r="D707" s="21" t="s">
        <v>180</v>
      </c>
      <c r="E707" s="21" t="s">
        <v>305</v>
      </c>
      <c r="F707" s="21" t="s">
        <v>1860</v>
      </c>
      <c r="G707" s="21" t="s">
        <v>6221</v>
      </c>
      <c r="H707" s="28">
        <v>43559</v>
      </c>
      <c r="I707" s="22">
        <v>2019</v>
      </c>
      <c r="J707" s="21" t="s">
        <v>958</v>
      </c>
      <c r="K707" s="21" t="s">
        <v>998</v>
      </c>
      <c r="L707" s="21" t="s">
        <v>6222</v>
      </c>
      <c r="M707" s="21" t="s">
        <v>5486</v>
      </c>
      <c r="N707" s="21" t="s">
        <v>5653</v>
      </c>
      <c r="O707" s="21" t="s">
        <v>6223</v>
      </c>
      <c r="P707" s="27">
        <v>0</v>
      </c>
      <c r="Q707" s="27">
        <v>7</v>
      </c>
      <c r="R707" s="21" t="s">
        <v>6224</v>
      </c>
      <c r="S707" s="21" t="s">
        <v>5682</v>
      </c>
      <c r="T707" s="21" t="s">
        <v>994</v>
      </c>
      <c r="U707" s="21" t="s">
        <v>6225</v>
      </c>
    </row>
    <row r="708" spans="1:21" ht="84">
      <c r="A708" s="21" t="s">
        <v>925</v>
      </c>
      <c r="B708" s="21" t="s">
        <v>304</v>
      </c>
      <c r="C708" s="21" t="s">
        <v>298</v>
      </c>
      <c r="D708" s="21" t="s">
        <v>180</v>
      </c>
      <c r="E708" s="21" t="s">
        <v>305</v>
      </c>
      <c r="F708" s="21" t="s">
        <v>1868</v>
      </c>
      <c r="G708" s="21" t="s">
        <v>6226</v>
      </c>
      <c r="H708" s="28">
        <v>43557</v>
      </c>
      <c r="I708" s="22">
        <v>2019</v>
      </c>
      <c r="J708" s="21" t="s">
        <v>958</v>
      </c>
      <c r="K708" s="21" t="s">
        <v>998</v>
      </c>
      <c r="L708" s="21" t="s">
        <v>6227</v>
      </c>
      <c r="M708" s="21" t="s">
        <v>5486</v>
      </c>
      <c r="N708" s="21" t="s">
        <v>5653</v>
      </c>
      <c r="O708" s="21" t="s">
        <v>6228</v>
      </c>
      <c r="P708" s="27">
        <v>0</v>
      </c>
      <c r="Q708" s="27">
        <v>9</v>
      </c>
      <c r="R708" s="21" t="s">
        <v>6229</v>
      </c>
      <c r="S708" s="21" t="s">
        <v>6230</v>
      </c>
      <c r="T708" s="21" t="s">
        <v>994</v>
      </c>
      <c r="U708" s="21" t="s">
        <v>6231</v>
      </c>
    </row>
    <row r="709" spans="1:21" ht="42">
      <c r="A709" s="21" t="s">
        <v>925</v>
      </c>
      <c r="B709" s="21" t="s">
        <v>304</v>
      </c>
      <c r="C709" s="21" t="s">
        <v>298</v>
      </c>
      <c r="D709" s="21" t="s">
        <v>180</v>
      </c>
      <c r="E709" s="21" t="s">
        <v>305</v>
      </c>
      <c r="F709" s="21" t="s">
        <v>1876</v>
      </c>
      <c r="G709" s="21" t="s">
        <v>6232</v>
      </c>
      <c r="H709" s="28">
        <v>43544</v>
      </c>
      <c r="I709" s="22">
        <v>2019</v>
      </c>
      <c r="J709" s="21" t="s">
        <v>958</v>
      </c>
      <c r="K709" s="21" t="s">
        <v>998</v>
      </c>
      <c r="L709" s="21" t="s">
        <v>6233</v>
      </c>
      <c r="M709" s="21" t="s">
        <v>5486</v>
      </c>
      <c r="N709" s="21" t="s">
        <v>5653</v>
      </c>
      <c r="O709" s="21" t="s">
        <v>6234</v>
      </c>
      <c r="P709" s="27">
        <v>0</v>
      </c>
      <c r="Q709" s="27">
        <v>7</v>
      </c>
      <c r="R709" s="21" t="s">
        <v>6235</v>
      </c>
      <c r="S709" s="21" t="s">
        <v>5682</v>
      </c>
      <c r="T709" s="21" t="s">
        <v>966</v>
      </c>
      <c r="U709" s="21" t="s">
        <v>6236</v>
      </c>
    </row>
    <row r="710" spans="1:21" ht="84">
      <c r="A710" s="21" t="s">
        <v>925</v>
      </c>
      <c r="B710" s="21" t="s">
        <v>304</v>
      </c>
      <c r="C710" s="21" t="s">
        <v>298</v>
      </c>
      <c r="D710" s="21" t="s">
        <v>180</v>
      </c>
      <c r="E710" s="21" t="s">
        <v>305</v>
      </c>
      <c r="F710" s="21" t="s">
        <v>1884</v>
      </c>
      <c r="G710" s="21" t="s">
        <v>6237</v>
      </c>
      <c r="H710" s="28">
        <v>43187</v>
      </c>
      <c r="I710" s="22">
        <v>2018</v>
      </c>
      <c r="J710" s="21" t="s">
        <v>958</v>
      </c>
      <c r="K710" s="21" t="s">
        <v>3815</v>
      </c>
      <c r="L710" s="21" t="s">
        <v>6238</v>
      </c>
      <c r="M710" s="21" t="s">
        <v>6239</v>
      </c>
      <c r="N710" s="21" t="s">
        <v>6240</v>
      </c>
      <c r="O710" s="21" t="s">
        <v>6241</v>
      </c>
      <c r="P710" s="27">
        <v>0</v>
      </c>
      <c r="Q710" s="27">
        <v>9</v>
      </c>
      <c r="R710" s="21" t="s">
        <v>6242</v>
      </c>
      <c r="S710" s="21" t="s">
        <v>6243</v>
      </c>
      <c r="T710" s="21" t="s">
        <v>994</v>
      </c>
      <c r="U710" s="21" t="s">
        <v>6244</v>
      </c>
    </row>
    <row r="711" spans="1:21" ht="112">
      <c r="A711" s="21" t="s">
        <v>925</v>
      </c>
      <c r="B711" s="21" t="s">
        <v>304</v>
      </c>
      <c r="C711" s="21" t="s">
        <v>298</v>
      </c>
      <c r="D711" s="21" t="s">
        <v>180</v>
      </c>
      <c r="E711" s="21" t="s">
        <v>305</v>
      </c>
      <c r="F711" s="21" t="s">
        <v>1892</v>
      </c>
      <c r="G711" s="21" t="s">
        <v>6245</v>
      </c>
      <c r="H711" s="28">
        <v>43503</v>
      </c>
      <c r="I711" s="22">
        <v>2019</v>
      </c>
      <c r="J711" s="21" t="s">
        <v>958</v>
      </c>
      <c r="K711" s="21" t="s">
        <v>998</v>
      </c>
      <c r="L711" s="21" t="s">
        <v>6246</v>
      </c>
      <c r="M711" s="21" t="s">
        <v>5486</v>
      </c>
      <c r="N711" s="21" t="s">
        <v>5720</v>
      </c>
      <c r="O711" s="21" t="s">
        <v>6247</v>
      </c>
      <c r="P711" s="27">
        <v>0</v>
      </c>
      <c r="Q711" s="27">
        <v>15</v>
      </c>
      <c r="R711" s="21" t="s">
        <v>6248</v>
      </c>
      <c r="S711" s="21" t="s">
        <v>6249</v>
      </c>
      <c r="T711" s="21" t="s">
        <v>994</v>
      </c>
      <c r="U711" s="21" t="s">
        <v>6250</v>
      </c>
    </row>
    <row r="712" spans="1:21" ht="280">
      <c r="A712" s="21" t="s">
        <v>925</v>
      </c>
      <c r="B712" s="21" t="s">
        <v>304</v>
      </c>
      <c r="C712" s="21" t="s">
        <v>298</v>
      </c>
      <c r="D712" s="21" t="s">
        <v>180</v>
      </c>
      <c r="E712" s="21" t="s">
        <v>305</v>
      </c>
      <c r="F712" s="21" t="s">
        <v>1899</v>
      </c>
      <c r="G712" s="21" t="s">
        <v>6251</v>
      </c>
      <c r="H712" s="28">
        <v>43493</v>
      </c>
      <c r="I712" s="22">
        <v>2019</v>
      </c>
      <c r="J712" s="21" t="s">
        <v>958</v>
      </c>
      <c r="K712" s="21" t="s">
        <v>998</v>
      </c>
      <c r="L712" s="21" t="s">
        <v>6252</v>
      </c>
      <c r="M712" s="21" t="s">
        <v>5486</v>
      </c>
      <c r="N712" s="21" t="s">
        <v>6253</v>
      </c>
      <c r="O712" s="21" t="s">
        <v>6254</v>
      </c>
      <c r="P712" s="27">
        <v>0</v>
      </c>
      <c r="Q712" s="27">
        <v>27</v>
      </c>
      <c r="R712" s="21" t="s">
        <v>6255</v>
      </c>
      <c r="S712" s="21" t="s">
        <v>6256</v>
      </c>
      <c r="T712" s="21" t="s">
        <v>994</v>
      </c>
      <c r="U712" s="21" t="s">
        <v>6257</v>
      </c>
    </row>
    <row r="713" spans="1:21" ht="252">
      <c r="A713" s="21" t="s">
        <v>925</v>
      </c>
      <c r="B713" s="21" t="s">
        <v>304</v>
      </c>
      <c r="C713" s="21" t="s">
        <v>298</v>
      </c>
      <c r="D713" s="21" t="s">
        <v>180</v>
      </c>
      <c r="E713" s="21" t="s">
        <v>305</v>
      </c>
      <c r="F713" s="21" t="s">
        <v>1908</v>
      </c>
      <c r="G713" s="21" t="s">
        <v>6258</v>
      </c>
      <c r="H713" s="28">
        <v>42173</v>
      </c>
      <c r="I713" s="22">
        <v>2015</v>
      </c>
      <c r="J713" s="21" t="s">
        <v>958</v>
      </c>
      <c r="K713" s="21" t="s">
        <v>959</v>
      </c>
      <c r="L713" s="21" t="s">
        <v>6259</v>
      </c>
      <c r="M713" s="21" t="s">
        <v>5837</v>
      </c>
      <c r="N713" s="21" t="s">
        <v>6260</v>
      </c>
      <c r="O713" s="21" t="s">
        <v>6261</v>
      </c>
      <c r="P713" s="27">
        <v>0</v>
      </c>
      <c r="Q713" s="27">
        <v>110</v>
      </c>
      <c r="R713" s="21" t="s">
        <v>6262</v>
      </c>
      <c r="S713" s="21" t="s">
        <v>6263</v>
      </c>
      <c r="T713" s="21" t="s">
        <v>966</v>
      </c>
      <c r="U713" s="21" t="s">
        <v>6264</v>
      </c>
    </row>
    <row r="714" spans="1:21" ht="56">
      <c r="A714" s="21" t="s">
        <v>925</v>
      </c>
      <c r="B714" s="21" t="s">
        <v>304</v>
      </c>
      <c r="C714" s="21" t="s">
        <v>298</v>
      </c>
      <c r="D714" s="21" t="s">
        <v>180</v>
      </c>
      <c r="E714" s="21" t="s">
        <v>305</v>
      </c>
      <c r="F714" s="21" t="s">
        <v>1916</v>
      </c>
      <c r="G714" s="21" t="s">
        <v>6265</v>
      </c>
      <c r="H714" s="28">
        <v>43483</v>
      </c>
      <c r="I714" s="22">
        <v>2019</v>
      </c>
      <c r="J714" s="21" t="s">
        <v>958</v>
      </c>
      <c r="K714" s="21" t="s">
        <v>998</v>
      </c>
      <c r="L714" s="21" t="s">
        <v>6266</v>
      </c>
      <c r="M714" s="21" t="s">
        <v>5486</v>
      </c>
      <c r="N714" s="21" t="s">
        <v>5487</v>
      </c>
      <c r="O714" s="21" t="s">
        <v>5534</v>
      </c>
      <c r="P714" s="27">
        <v>0</v>
      </c>
      <c r="Q714" s="27">
        <v>8</v>
      </c>
      <c r="R714" s="21" t="s">
        <v>6267</v>
      </c>
      <c r="S714" s="21" t="s">
        <v>5490</v>
      </c>
      <c r="T714" s="21" t="s">
        <v>994</v>
      </c>
      <c r="U714" s="21" t="s">
        <v>6268</v>
      </c>
    </row>
    <row r="715" spans="1:21" ht="70">
      <c r="A715" s="21" t="s">
        <v>925</v>
      </c>
      <c r="B715" s="21" t="s">
        <v>304</v>
      </c>
      <c r="C715" s="21" t="s">
        <v>298</v>
      </c>
      <c r="D715" s="21" t="s">
        <v>180</v>
      </c>
      <c r="E715" s="21" t="s">
        <v>305</v>
      </c>
      <c r="F715" s="21" t="s">
        <v>1924</v>
      </c>
      <c r="G715" s="21" t="s">
        <v>6269</v>
      </c>
      <c r="H715" s="28">
        <v>42461</v>
      </c>
      <c r="I715" s="22">
        <v>2016</v>
      </c>
      <c r="J715" s="21" t="s">
        <v>958</v>
      </c>
      <c r="K715" s="21" t="s">
        <v>959</v>
      </c>
      <c r="L715" s="21" t="s">
        <v>6270</v>
      </c>
      <c r="M715" s="21" t="s">
        <v>5837</v>
      </c>
      <c r="N715" s="21" t="s">
        <v>6260</v>
      </c>
      <c r="O715" s="21" t="s">
        <v>6271</v>
      </c>
      <c r="P715" s="27">
        <v>0</v>
      </c>
      <c r="Q715" s="27">
        <v>12</v>
      </c>
      <c r="R715" s="21" t="s">
        <v>6272</v>
      </c>
      <c r="S715" s="21" t="s">
        <v>6273</v>
      </c>
      <c r="T715" s="21" t="s">
        <v>966</v>
      </c>
      <c r="U715" s="21" t="s">
        <v>6274</v>
      </c>
    </row>
    <row r="716" spans="1:21" ht="406">
      <c r="A716" s="21" t="s">
        <v>925</v>
      </c>
      <c r="B716" s="21" t="s">
        <v>304</v>
      </c>
      <c r="C716" s="21" t="s">
        <v>298</v>
      </c>
      <c r="D716" s="21" t="s">
        <v>180</v>
      </c>
      <c r="E716" s="21" t="s">
        <v>305</v>
      </c>
      <c r="F716" s="21" t="s">
        <v>1931</v>
      </c>
      <c r="G716" s="21" t="s">
        <v>6275</v>
      </c>
      <c r="H716" s="28">
        <v>39009</v>
      </c>
      <c r="I716" s="22">
        <v>2006</v>
      </c>
      <c r="J716" s="21" t="s">
        <v>958</v>
      </c>
      <c r="K716" s="21" t="s">
        <v>998</v>
      </c>
      <c r="L716" s="21" t="s">
        <v>6276</v>
      </c>
      <c r="M716" s="21" t="s">
        <v>5486</v>
      </c>
      <c r="N716" s="21" t="s">
        <v>6169</v>
      </c>
      <c r="O716" s="21" t="s">
        <v>6277</v>
      </c>
      <c r="P716" s="27">
        <v>0</v>
      </c>
      <c r="Q716" s="27">
        <v>100</v>
      </c>
      <c r="R716" s="21" t="s">
        <v>6278</v>
      </c>
      <c r="S716" s="21" t="s">
        <v>6279</v>
      </c>
      <c r="T716" s="21" t="s">
        <v>994</v>
      </c>
      <c r="U716" s="21" t="s">
        <v>6280</v>
      </c>
    </row>
    <row r="717" spans="1:21" ht="280">
      <c r="A717" s="21" t="s">
        <v>925</v>
      </c>
      <c r="B717" s="21" t="s">
        <v>304</v>
      </c>
      <c r="C717" s="21" t="s">
        <v>298</v>
      </c>
      <c r="D717" s="21" t="s">
        <v>180</v>
      </c>
      <c r="E717" s="21" t="s">
        <v>305</v>
      </c>
      <c r="F717" s="21" t="s">
        <v>1938</v>
      </c>
      <c r="G717" s="21" t="s">
        <v>6281</v>
      </c>
      <c r="H717" s="28">
        <v>42415</v>
      </c>
      <c r="I717" s="22">
        <v>2016</v>
      </c>
      <c r="J717" s="21" t="s">
        <v>958</v>
      </c>
      <c r="K717" s="21" t="s">
        <v>959</v>
      </c>
      <c r="L717" s="21" t="s">
        <v>6282</v>
      </c>
      <c r="M717" s="21" t="s">
        <v>5486</v>
      </c>
      <c r="N717" s="21" t="s">
        <v>6283</v>
      </c>
      <c r="O717" s="21" t="s">
        <v>6284</v>
      </c>
      <c r="P717" s="27">
        <v>0</v>
      </c>
      <c r="Q717" s="27">
        <v>86</v>
      </c>
      <c r="R717" s="21" t="s">
        <v>6285</v>
      </c>
      <c r="S717" s="21" t="s">
        <v>6286</v>
      </c>
      <c r="T717" s="21" t="s">
        <v>966</v>
      </c>
      <c r="U717" s="21" t="s">
        <v>6287</v>
      </c>
    </row>
    <row r="718" spans="1:21" ht="84">
      <c r="A718" s="21" t="s">
        <v>925</v>
      </c>
      <c r="B718" s="21" t="s">
        <v>304</v>
      </c>
      <c r="C718" s="21" t="s">
        <v>298</v>
      </c>
      <c r="D718" s="21" t="s">
        <v>180</v>
      </c>
      <c r="E718" s="21" t="s">
        <v>305</v>
      </c>
      <c r="F718" s="21" t="s">
        <v>1946</v>
      </c>
      <c r="G718" s="21" t="s">
        <v>6288</v>
      </c>
      <c r="H718" s="28">
        <v>42940</v>
      </c>
      <c r="I718" s="22">
        <v>2017</v>
      </c>
      <c r="J718" s="21" t="s">
        <v>958</v>
      </c>
      <c r="K718" s="21" t="s">
        <v>959</v>
      </c>
      <c r="L718" s="21" t="s">
        <v>6289</v>
      </c>
      <c r="M718" s="21" t="s">
        <v>5486</v>
      </c>
      <c r="N718" s="21" t="s">
        <v>6283</v>
      </c>
      <c r="O718" s="21" t="s">
        <v>6290</v>
      </c>
      <c r="P718" s="27">
        <v>0</v>
      </c>
      <c r="Q718" s="27">
        <v>42</v>
      </c>
      <c r="R718" s="21" t="s">
        <v>6291</v>
      </c>
      <c r="S718" s="21" t="s">
        <v>6292</v>
      </c>
      <c r="T718" s="21" t="s">
        <v>966</v>
      </c>
      <c r="U718" s="21" t="s">
        <v>6293</v>
      </c>
    </row>
    <row r="719" spans="1:21" ht="168">
      <c r="A719" s="21" t="s">
        <v>925</v>
      </c>
      <c r="B719" s="21" t="s">
        <v>304</v>
      </c>
      <c r="C719" s="21" t="s">
        <v>298</v>
      </c>
      <c r="D719" s="21" t="s">
        <v>180</v>
      </c>
      <c r="E719" s="21" t="s">
        <v>305</v>
      </c>
      <c r="F719" s="21" t="s">
        <v>1952</v>
      </c>
      <c r="G719" s="21" t="s">
        <v>6294</v>
      </c>
      <c r="H719" s="28">
        <v>43458</v>
      </c>
      <c r="I719" s="22">
        <v>2018</v>
      </c>
      <c r="J719" s="21" t="s">
        <v>958</v>
      </c>
      <c r="K719" s="21" t="s">
        <v>998</v>
      </c>
      <c r="L719" s="21" t="s">
        <v>6295</v>
      </c>
      <c r="M719" s="21" t="s">
        <v>6296</v>
      </c>
      <c r="N719" s="21" t="s">
        <v>6297</v>
      </c>
      <c r="O719" s="21" t="s">
        <v>6298</v>
      </c>
      <c r="P719" s="27">
        <v>1</v>
      </c>
      <c r="Q719" s="27">
        <v>24</v>
      </c>
      <c r="R719" s="21" t="s">
        <v>6299</v>
      </c>
      <c r="S719" s="21" t="s">
        <v>6300</v>
      </c>
      <c r="T719" s="21" t="s">
        <v>994</v>
      </c>
      <c r="U719" s="21" t="s">
        <v>6301</v>
      </c>
    </row>
    <row r="720" spans="1:21" ht="42">
      <c r="A720" s="21" t="s">
        <v>925</v>
      </c>
      <c r="B720" s="21" t="s">
        <v>304</v>
      </c>
      <c r="C720" s="21" t="s">
        <v>298</v>
      </c>
      <c r="D720" s="21" t="s">
        <v>180</v>
      </c>
      <c r="E720" s="21" t="s">
        <v>305</v>
      </c>
      <c r="F720" s="21" t="s">
        <v>1960</v>
      </c>
      <c r="G720" s="21" t="s">
        <v>6302</v>
      </c>
      <c r="H720" s="28">
        <v>42137</v>
      </c>
      <c r="I720" s="22">
        <v>2015</v>
      </c>
      <c r="J720" s="21" t="s">
        <v>958</v>
      </c>
      <c r="K720" s="21" t="s">
        <v>2765</v>
      </c>
      <c r="L720" s="21" t="s">
        <v>6303</v>
      </c>
      <c r="M720" s="21" t="s">
        <v>5540</v>
      </c>
      <c r="N720" s="21" t="s">
        <v>6304</v>
      </c>
      <c r="O720" s="21" t="s">
        <v>6305</v>
      </c>
      <c r="P720" s="27">
        <v>0</v>
      </c>
      <c r="Q720" s="27">
        <v>10</v>
      </c>
      <c r="R720" s="21" t="s">
        <v>6306</v>
      </c>
      <c r="S720" s="21" t="s">
        <v>6307</v>
      </c>
      <c r="T720" s="21" t="s">
        <v>966</v>
      </c>
      <c r="U720" s="21" t="s">
        <v>6308</v>
      </c>
    </row>
    <row r="721" spans="1:21" ht="56">
      <c r="A721" s="21" t="s">
        <v>925</v>
      </c>
      <c r="B721" s="21" t="s">
        <v>304</v>
      </c>
      <c r="C721" s="21" t="s">
        <v>298</v>
      </c>
      <c r="D721" s="21" t="s">
        <v>180</v>
      </c>
      <c r="E721" s="21" t="s">
        <v>305</v>
      </c>
      <c r="F721" s="21" t="s">
        <v>1968</v>
      </c>
      <c r="G721" s="21" t="s">
        <v>6309</v>
      </c>
      <c r="H721" s="28">
        <v>43438</v>
      </c>
      <c r="I721" s="22">
        <v>2018</v>
      </c>
      <c r="J721" s="21" t="s">
        <v>958</v>
      </c>
      <c r="K721" s="21" t="s">
        <v>998</v>
      </c>
      <c r="L721" s="21" t="s">
        <v>6310</v>
      </c>
      <c r="M721" s="21" t="s">
        <v>5486</v>
      </c>
      <c r="N721" s="21" t="s">
        <v>5653</v>
      </c>
      <c r="O721" s="21" t="s">
        <v>6311</v>
      </c>
      <c r="P721" s="27">
        <v>0</v>
      </c>
      <c r="Q721" s="27">
        <v>8</v>
      </c>
      <c r="R721" s="21" t="s">
        <v>6312</v>
      </c>
      <c r="S721" s="21" t="s">
        <v>6313</v>
      </c>
      <c r="T721" s="21" t="s">
        <v>994</v>
      </c>
      <c r="U721" s="21" t="s">
        <v>6314</v>
      </c>
    </row>
    <row r="722" spans="1:21" ht="56">
      <c r="A722" s="21" t="s">
        <v>925</v>
      </c>
      <c r="B722" s="21" t="s">
        <v>304</v>
      </c>
      <c r="C722" s="21" t="s">
        <v>298</v>
      </c>
      <c r="D722" s="21" t="s">
        <v>180</v>
      </c>
      <c r="E722" s="21" t="s">
        <v>305</v>
      </c>
      <c r="F722" s="21" t="s">
        <v>1976</v>
      </c>
      <c r="G722" s="21" t="s">
        <v>6315</v>
      </c>
      <c r="H722" s="28">
        <v>43427</v>
      </c>
      <c r="I722" s="22">
        <v>2018</v>
      </c>
      <c r="J722" s="21" t="s">
        <v>958</v>
      </c>
      <c r="K722" s="21" t="s">
        <v>5876</v>
      </c>
      <c r="L722" s="21" t="s">
        <v>6316</v>
      </c>
      <c r="M722" s="21" t="s">
        <v>5486</v>
      </c>
      <c r="N722" s="21" t="s">
        <v>5720</v>
      </c>
      <c r="O722" s="21" t="s">
        <v>6317</v>
      </c>
      <c r="P722" s="27">
        <v>0</v>
      </c>
      <c r="Q722" s="27">
        <v>8</v>
      </c>
      <c r="R722" s="21" t="s">
        <v>6318</v>
      </c>
      <c r="S722" s="21" t="s">
        <v>6319</v>
      </c>
      <c r="T722" s="21" t="s">
        <v>994</v>
      </c>
      <c r="U722" s="21" t="s">
        <v>6320</v>
      </c>
    </row>
    <row r="723" spans="1:21" ht="98">
      <c r="A723" s="21" t="s">
        <v>925</v>
      </c>
      <c r="B723" s="21" t="s">
        <v>304</v>
      </c>
      <c r="C723" s="21" t="s">
        <v>298</v>
      </c>
      <c r="D723" s="21" t="s">
        <v>180</v>
      </c>
      <c r="E723" s="21" t="s">
        <v>305</v>
      </c>
      <c r="F723" s="21" t="s">
        <v>1984</v>
      </c>
      <c r="G723" s="21" t="s">
        <v>6321</v>
      </c>
      <c r="H723" s="28">
        <v>42461</v>
      </c>
      <c r="I723" s="22">
        <v>2016</v>
      </c>
      <c r="J723" s="21" t="s">
        <v>958</v>
      </c>
      <c r="K723" s="21" t="s">
        <v>959</v>
      </c>
      <c r="L723" s="21" t="s">
        <v>6322</v>
      </c>
      <c r="M723" s="21" t="s">
        <v>5837</v>
      </c>
      <c r="N723" s="21" t="s">
        <v>6260</v>
      </c>
      <c r="O723" s="21" t="s">
        <v>5852</v>
      </c>
      <c r="P723" s="27">
        <v>0</v>
      </c>
      <c r="Q723" s="27">
        <v>12</v>
      </c>
      <c r="R723" s="21" t="s">
        <v>6323</v>
      </c>
      <c r="S723" s="21" t="s">
        <v>6324</v>
      </c>
      <c r="T723" s="21" t="s">
        <v>966</v>
      </c>
      <c r="U723" s="21" t="s">
        <v>6325</v>
      </c>
    </row>
    <row r="724" spans="1:21" ht="56">
      <c r="A724" s="21" t="s">
        <v>925</v>
      </c>
      <c r="B724" s="21" t="s">
        <v>304</v>
      </c>
      <c r="C724" s="21" t="s">
        <v>298</v>
      </c>
      <c r="D724" s="21" t="s">
        <v>180</v>
      </c>
      <c r="E724" s="21" t="s">
        <v>305</v>
      </c>
      <c r="F724" s="21" t="s">
        <v>1992</v>
      </c>
      <c r="G724" s="21" t="s">
        <v>6326</v>
      </c>
      <c r="H724" s="28">
        <v>42461</v>
      </c>
      <c r="I724" s="22">
        <v>2016</v>
      </c>
      <c r="J724" s="21" t="s">
        <v>958</v>
      </c>
      <c r="K724" s="21" t="s">
        <v>959</v>
      </c>
      <c r="L724" s="21" t="s">
        <v>6327</v>
      </c>
      <c r="M724" s="21" t="s">
        <v>5837</v>
      </c>
      <c r="N724" s="21" t="s">
        <v>6260</v>
      </c>
      <c r="O724" s="21" t="s">
        <v>5852</v>
      </c>
      <c r="P724" s="27">
        <v>0</v>
      </c>
      <c r="Q724" s="27">
        <v>12</v>
      </c>
      <c r="R724" s="21" t="s">
        <v>6328</v>
      </c>
      <c r="S724" s="21" t="s">
        <v>6329</v>
      </c>
      <c r="T724" s="21" t="s">
        <v>966</v>
      </c>
      <c r="U724" s="21" t="s">
        <v>6330</v>
      </c>
    </row>
    <row r="725" spans="1:21" ht="70">
      <c r="A725" s="21" t="s">
        <v>925</v>
      </c>
      <c r="B725" s="21" t="s">
        <v>304</v>
      </c>
      <c r="C725" s="21" t="s">
        <v>298</v>
      </c>
      <c r="D725" s="21" t="s">
        <v>180</v>
      </c>
      <c r="E725" s="21" t="s">
        <v>305</v>
      </c>
      <c r="F725" s="21" t="s">
        <v>2000</v>
      </c>
      <c r="G725" s="21" t="s">
        <v>6331</v>
      </c>
      <c r="H725" s="28">
        <v>43371</v>
      </c>
      <c r="I725" s="22">
        <v>2018</v>
      </c>
      <c r="J725" s="21" t="s">
        <v>958</v>
      </c>
      <c r="K725" s="21" t="s">
        <v>998</v>
      </c>
      <c r="L725" s="21" t="s">
        <v>6332</v>
      </c>
      <c r="M725" s="21" t="s">
        <v>5540</v>
      </c>
      <c r="N725" s="21" t="s">
        <v>5599</v>
      </c>
      <c r="O725" s="21" t="s">
        <v>6333</v>
      </c>
      <c r="P725" s="27">
        <v>0</v>
      </c>
      <c r="Q725" s="27">
        <v>6</v>
      </c>
      <c r="R725" s="21" t="s">
        <v>6334</v>
      </c>
      <c r="S725" s="21" t="s">
        <v>6335</v>
      </c>
      <c r="T725" s="21" t="s">
        <v>994</v>
      </c>
      <c r="U725" s="21" t="s">
        <v>6336</v>
      </c>
    </row>
    <row r="726" spans="1:21" ht="252">
      <c r="A726" s="21" t="s">
        <v>925</v>
      </c>
      <c r="B726" s="21" t="s">
        <v>304</v>
      </c>
      <c r="C726" s="21" t="s">
        <v>298</v>
      </c>
      <c r="D726" s="21" t="s">
        <v>180</v>
      </c>
      <c r="E726" s="21" t="s">
        <v>305</v>
      </c>
      <c r="F726" s="21" t="s">
        <v>2008</v>
      </c>
      <c r="G726" s="21" t="s">
        <v>6337</v>
      </c>
      <c r="H726" s="28">
        <v>41915</v>
      </c>
      <c r="I726" s="22">
        <v>2014</v>
      </c>
      <c r="J726" s="21" t="s">
        <v>958</v>
      </c>
      <c r="K726" s="21" t="s">
        <v>959</v>
      </c>
      <c r="L726" s="21" t="s">
        <v>6338</v>
      </c>
      <c r="M726" s="21" t="s">
        <v>5837</v>
      </c>
      <c r="N726" s="21" t="s">
        <v>6339</v>
      </c>
      <c r="O726" s="21" t="s">
        <v>6340</v>
      </c>
      <c r="P726" s="27">
        <v>0</v>
      </c>
      <c r="Q726" s="27">
        <v>55</v>
      </c>
      <c r="R726" s="21" t="s">
        <v>6341</v>
      </c>
      <c r="S726" s="21" t="s">
        <v>6342</v>
      </c>
      <c r="T726" s="21" t="s">
        <v>966</v>
      </c>
      <c r="U726" s="21" t="s">
        <v>6343</v>
      </c>
    </row>
    <row r="727" spans="1:21" ht="56">
      <c r="A727" s="21" t="s">
        <v>925</v>
      </c>
      <c r="B727" s="21" t="s">
        <v>304</v>
      </c>
      <c r="C727" s="21" t="s">
        <v>298</v>
      </c>
      <c r="D727" s="21" t="s">
        <v>180</v>
      </c>
      <c r="E727" s="21" t="s">
        <v>305</v>
      </c>
      <c r="F727" s="21" t="s">
        <v>2016</v>
      </c>
      <c r="G727" s="21" t="s">
        <v>6344</v>
      </c>
      <c r="H727" s="28">
        <v>41348</v>
      </c>
      <c r="I727" s="22">
        <v>2013</v>
      </c>
      <c r="J727" s="21" t="s">
        <v>958</v>
      </c>
      <c r="K727" s="21" t="s">
        <v>959</v>
      </c>
      <c r="L727" s="21" t="s">
        <v>6345</v>
      </c>
      <c r="M727" s="21" t="s">
        <v>6346</v>
      </c>
      <c r="N727" s="21" t="s">
        <v>6347</v>
      </c>
      <c r="O727" s="21" t="s">
        <v>6348</v>
      </c>
      <c r="P727" s="27">
        <v>0</v>
      </c>
      <c r="Q727" s="27">
        <v>25</v>
      </c>
      <c r="R727" s="21" t="s">
        <v>6349</v>
      </c>
      <c r="S727" s="21" t="s">
        <v>6350</v>
      </c>
      <c r="T727" s="21" t="s">
        <v>966</v>
      </c>
      <c r="U727" s="21" t="s">
        <v>6351</v>
      </c>
    </row>
    <row r="728" spans="1:21" ht="182">
      <c r="A728" s="21" t="s">
        <v>925</v>
      </c>
      <c r="B728" s="21" t="s">
        <v>304</v>
      </c>
      <c r="C728" s="21" t="s">
        <v>298</v>
      </c>
      <c r="D728" s="21" t="s">
        <v>180</v>
      </c>
      <c r="E728" s="21" t="s">
        <v>305</v>
      </c>
      <c r="F728" s="21" t="s">
        <v>2024</v>
      </c>
      <c r="G728" s="21" t="s">
        <v>6352</v>
      </c>
      <c r="H728" s="28">
        <v>42302</v>
      </c>
      <c r="I728" s="22">
        <v>2015</v>
      </c>
      <c r="J728" s="21" t="s">
        <v>958</v>
      </c>
      <c r="K728" s="21" t="s">
        <v>959</v>
      </c>
      <c r="L728" s="21" t="s">
        <v>6353</v>
      </c>
      <c r="M728" s="21" t="s">
        <v>6354</v>
      </c>
      <c r="N728" s="21" t="s">
        <v>6355</v>
      </c>
      <c r="O728" s="21" t="s">
        <v>6356</v>
      </c>
      <c r="P728" s="27">
        <v>3</v>
      </c>
      <c r="Q728" s="27">
        <v>60</v>
      </c>
      <c r="R728" s="21" t="s">
        <v>6357</v>
      </c>
      <c r="S728" s="21" t="s">
        <v>6358</v>
      </c>
      <c r="T728" s="21" t="s">
        <v>966</v>
      </c>
      <c r="U728" s="21" t="s">
        <v>6359</v>
      </c>
    </row>
    <row r="729" spans="1:21" ht="70">
      <c r="A729" s="21" t="s">
        <v>925</v>
      </c>
      <c r="B729" s="21" t="s">
        <v>304</v>
      </c>
      <c r="C729" s="21" t="s">
        <v>298</v>
      </c>
      <c r="D729" s="21" t="s">
        <v>180</v>
      </c>
      <c r="E729" s="21" t="s">
        <v>305</v>
      </c>
      <c r="F729" s="21" t="s">
        <v>2032</v>
      </c>
      <c r="G729" s="21" t="s">
        <v>6360</v>
      </c>
      <c r="H729" s="28">
        <v>41572</v>
      </c>
      <c r="I729" s="22">
        <v>2013</v>
      </c>
      <c r="J729" s="21" t="s">
        <v>958</v>
      </c>
      <c r="K729" s="21" t="s">
        <v>959</v>
      </c>
      <c r="L729" s="21" t="s">
        <v>6361</v>
      </c>
      <c r="M729" s="21" t="s">
        <v>5486</v>
      </c>
      <c r="N729" s="21" t="s">
        <v>6362</v>
      </c>
      <c r="O729" s="21" t="s">
        <v>6363</v>
      </c>
      <c r="P729" s="27">
        <v>0</v>
      </c>
      <c r="Q729" s="27">
        <v>6</v>
      </c>
      <c r="R729" s="21" t="s">
        <v>6364</v>
      </c>
      <c r="S729" s="21" t="s">
        <v>6365</v>
      </c>
      <c r="T729" s="21" t="s">
        <v>966</v>
      </c>
      <c r="U729" s="21" t="s">
        <v>6366</v>
      </c>
    </row>
    <row r="730" spans="1:21" ht="70">
      <c r="A730" s="21" t="s">
        <v>925</v>
      </c>
      <c r="B730" s="21" t="s">
        <v>304</v>
      </c>
      <c r="C730" s="21" t="s">
        <v>298</v>
      </c>
      <c r="D730" s="21" t="s">
        <v>180</v>
      </c>
      <c r="E730" s="21" t="s">
        <v>305</v>
      </c>
      <c r="F730" s="21" t="s">
        <v>2040</v>
      </c>
      <c r="G730" s="21" t="s">
        <v>6367</v>
      </c>
      <c r="H730" s="28">
        <v>43341</v>
      </c>
      <c r="I730" s="22">
        <v>2018</v>
      </c>
      <c r="J730" s="21" t="s">
        <v>958</v>
      </c>
      <c r="K730" s="21" t="s">
        <v>998</v>
      </c>
      <c r="L730" s="21" t="s">
        <v>6368</v>
      </c>
      <c r="M730" s="21" t="s">
        <v>6096</v>
      </c>
      <c r="N730" s="21" t="s">
        <v>6369</v>
      </c>
      <c r="O730" s="21" t="s">
        <v>5534</v>
      </c>
      <c r="P730" s="27">
        <v>0</v>
      </c>
      <c r="Q730" s="27">
        <v>10</v>
      </c>
      <c r="R730" s="21" t="s">
        <v>6370</v>
      </c>
      <c r="S730" s="21" t="s">
        <v>6371</v>
      </c>
      <c r="T730" s="21" t="s">
        <v>966</v>
      </c>
      <c r="U730" s="21" t="s">
        <v>6372</v>
      </c>
    </row>
    <row r="731" spans="1:21" ht="154">
      <c r="A731" s="21" t="s">
        <v>925</v>
      </c>
      <c r="B731" s="21" t="s">
        <v>304</v>
      </c>
      <c r="C731" s="21" t="s">
        <v>298</v>
      </c>
      <c r="D731" s="21" t="s">
        <v>180</v>
      </c>
      <c r="E731" s="21" t="s">
        <v>305</v>
      </c>
      <c r="F731" s="21" t="s">
        <v>2048</v>
      </c>
      <c r="G731" s="21" t="s">
        <v>6373</v>
      </c>
      <c r="H731" s="28">
        <v>41921</v>
      </c>
      <c r="I731" s="22">
        <v>2014</v>
      </c>
      <c r="J731" s="21" t="s">
        <v>958</v>
      </c>
      <c r="K731" s="21" t="s">
        <v>959</v>
      </c>
      <c r="L731" s="21" t="s">
        <v>6374</v>
      </c>
      <c r="M731" s="21" t="s">
        <v>5486</v>
      </c>
      <c r="N731" s="21" t="s">
        <v>6375</v>
      </c>
      <c r="O731" s="21" t="s">
        <v>6376</v>
      </c>
      <c r="P731" s="27">
        <v>0</v>
      </c>
      <c r="Q731" s="27">
        <v>10</v>
      </c>
      <c r="R731" s="21" t="s">
        <v>6377</v>
      </c>
      <c r="S731" s="21" t="s">
        <v>6378</v>
      </c>
      <c r="T731" s="21" t="s">
        <v>966</v>
      </c>
      <c r="U731" s="21" t="s">
        <v>6379</v>
      </c>
    </row>
    <row r="732" spans="1:21" ht="84">
      <c r="A732" s="21" t="s">
        <v>925</v>
      </c>
      <c r="B732" s="21" t="s">
        <v>304</v>
      </c>
      <c r="C732" s="21" t="s">
        <v>298</v>
      </c>
      <c r="D732" s="21" t="s">
        <v>180</v>
      </c>
      <c r="E732" s="21" t="s">
        <v>305</v>
      </c>
      <c r="F732" s="21" t="s">
        <v>2057</v>
      </c>
      <c r="G732" s="21" t="s">
        <v>6380</v>
      </c>
      <c r="H732" s="28">
        <v>40743</v>
      </c>
      <c r="I732" s="22">
        <v>2011</v>
      </c>
      <c r="J732" s="21" t="s">
        <v>958</v>
      </c>
      <c r="K732" s="21" t="s">
        <v>959</v>
      </c>
      <c r="L732" s="21" t="s">
        <v>6381</v>
      </c>
      <c r="M732" s="21" t="s">
        <v>6096</v>
      </c>
      <c r="N732" s="21" t="s">
        <v>6382</v>
      </c>
      <c r="O732" s="21" t="s">
        <v>6383</v>
      </c>
      <c r="P732" s="27">
        <v>0</v>
      </c>
      <c r="Q732" s="27">
        <v>13</v>
      </c>
      <c r="R732" s="21" t="s">
        <v>6384</v>
      </c>
      <c r="S732" s="21" t="s">
        <v>5682</v>
      </c>
      <c r="T732" s="21" t="s">
        <v>966</v>
      </c>
      <c r="U732" s="21" t="s">
        <v>6385</v>
      </c>
    </row>
    <row r="733" spans="1:21" ht="112">
      <c r="A733" s="21" t="s">
        <v>925</v>
      </c>
      <c r="B733" s="21" t="s">
        <v>304</v>
      </c>
      <c r="C733" s="21" t="s">
        <v>298</v>
      </c>
      <c r="D733" s="21" t="s">
        <v>180</v>
      </c>
      <c r="E733" s="21" t="s">
        <v>305</v>
      </c>
      <c r="F733" s="21" t="s">
        <v>2065</v>
      </c>
      <c r="G733" s="21" t="s">
        <v>6386</v>
      </c>
      <c r="H733" s="28">
        <v>39848</v>
      </c>
      <c r="I733" s="22">
        <v>2009</v>
      </c>
      <c r="J733" s="21" t="s">
        <v>958</v>
      </c>
      <c r="K733" s="21" t="s">
        <v>959</v>
      </c>
      <c r="L733" s="21" t="s">
        <v>6387</v>
      </c>
      <c r="M733" s="21" t="s">
        <v>6096</v>
      </c>
      <c r="N733" s="21" t="s">
        <v>6388</v>
      </c>
      <c r="O733" s="21" t="s">
        <v>6389</v>
      </c>
      <c r="P733" s="27">
        <v>2</v>
      </c>
      <c r="Q733" s="27">
        <v>28</v>
      </c>
      <c r="R733" s="21" t="s">
        <v>6390</v>
      </c>
      <c r="S733" s="21" t="s">
        <v>6391</v>
      </c>
      <c r="T733" s="21" t="s">
        <v>3189</v>
      </c>
      <c r="U733" s="21" t="s">
        <v>6392</v>
      </c>
    </row>
    <row r="734" spans="1:21" ht="98">
      <c r="A734" s="21" t="s">
        <v>925</v>
      </c>
      <c r="B734" s="21" t="s">
        <v>304</v>
      </c>
      <c r="C734" s="21" t="s">
        <v>298</v>
      </c>
      <c r="D734" s="21" t="s">
        <v>180</v>
      </c>
      <c r="E734" s="21" t="s">
        <v>305</v>
      </c>
      <c r="F734" s="21" t="s">
        <v>2074</v>
      </c>
      <c r="G734" s="21" t="s">
        <v>6393</v>
      </c>
      <c r="H734" s="28">
        <v>42461</v>
      </c>
      <c r="I734" s="22">
        <v>2016</v>
      </c>
      <c r="J734" s="21" t="s">
        <v>958</v>
      </c>
      <c r="K734" s="21" t="s">
        <v>959</v>
      </c>
      <c r="L734" s="21" t="s">
        <v>6394</v>
      </c>
      <c r="M734" s="21" t="s">
        <v>5837</v>
      </c>
      <c r="N734" s="21" t="s">
        <v>6260</v>
      </c>
      <c r="O734" s="21" t="s">
        <v>5852</v>
      </c>
      <c r="P734" s="27">
        <v>0</v>
      </c>
      <c r="Q734" s="27">
        <v>12</v>
      </c>
      <c r="R734" s="21" t="s">
        <v>6395</v>
      </c>
      <c r="S734" s="21" t="s">
        <v>6396</v>
      </c>
      <c r="T734" s="21" t="s">
        <v>966</v>
      </c>
      <c r="U734" s="21" t="s">
        <v>6397</v>
      </c>
    </row>
    <row r="735" spans="1:21" ht="112">
      <c r="A735" s="21" t="s">
        <v>925</v>
      </c>
      <c r="B735" s="21" t="s">
        <v>304</v>
      </c>
      <c r="C735" s="21" t="s">
        <v>298</v>
      </c>
      <c r="D735" s="21" t="s">
        <v>180</v>
      </c>
      <c r="E735" s="21" t="s">
        <v>305</v>
      </c>
      <c r="F735" s="21" t="s">
        <v>2083</v>
      </c>
      <c r="G735" s="21" t="s">
        <v>6398</v>
      </c>
      <c r="H735" s="28">
        <v>43304</v>
      </c>
      <c r="I735" s="22">
        <v>2018</v>
      </c>
      <c r="J735" s="21" t="s">
        <v>958</v>
      </c>
      <c r="K735" s="21" t="s">
        <v>998</v>
      </c>
      <c r="L735" s="21" t="s">
        <v>6399</v>
      </c>
      <c r="M735" s="21" t="s">
        <v>5486</v>
      </c>
      <c r="N735" s="21" t="s">
        <v>5487</v>
      </c>
      <c r="O735" s="21" t="s">
        <v>6400</v>
      </c>
      <c r="P735" s="27">
        <v>0</v>
      </c>
      <c r="Q735" s="27">
        <v>18</v>
      </c>
      <c r="R735" s="21" t="s">
        <v>6401</v>
      </c>
      <c r="S735" s="21" t="s">
        <v>5629</v>
      </c>
      <c r="T735" s="21" t="s">
        <v>994</v>
      </c>
      <c r="U735" s="21" t="s">
        <v>6402</v>
      </c>
    </row>
    <row r="736" spans="1:21" ht="98">
      <c r="A736" s="21" t="s">
        <v>925</v>
      </c>
      <c r="B736" s="21" t="s">
        <v>304</v>
      </c>
      <c r="C736" s="21" t="s">
        <v>298</v>
      </c>
      <c r="D736" s="21" t="s">
        <v>180</v>
      </c>
      <c r="E736" s="21" t="s">
        <v>305</v>
      </c>
      <c r="F736" s="21" t="s">
        <v>2090</v>
      </c>
      <c r="G736" s="21" t="s">
        <v>6403</v>
      </c>
      <c r="H736" s="28">
        <v>43299</v>
      </c>
      <c r="I736" s="22">
        <v>2018</v>
      </c>
      <c r="J736" s="21" t="s">
        <v>958</v>
      </c>
      <c r="K736" s="21" t="s">
        <v>998</v>
      </c>
      <c r="L736" s="21" t="s">
        <v>6404</v>
      </c>
      <c r="M736" s="21" t="s">
        <v>5486</v>
      </c>
      <c r="N736" s="21" t="s">
        <v>5653</v>
      </c>
      <c r="O736" s="21" t="s">
        <v>5985</v>
      </c>
      <c r="P736" s="27">
        <v>0</v>
      </c>
      <c r="Q736" s="27">
        <v>19</v>
      </c>
      <c r="R736" s="21" t="s">
        <v>6405</v>
      </c>
      <c r="S736" s="21" t="s">
        <v>5682</v>
      </c>
      <c r="T736" s="21" t="s">
        <v>994</v>
      </c>
      <c r="U736" s="21" t="s">
        <v>6406</v>
      </c>
    </row>
    <row r="737" spans="1:21" ht="98">
      <c r="A737" s="21" t="s">
        <v>925</v>
      </c>
      <c r="B737" s="21" t="s">
        <v>304</v>
      </c>
      <c r="C737" s="21" t="s">
        <v>298</v>
      </c>
      <c r="D737" s="21" t="s">
        <v>180</v>
      </c>
      <c r="E737" s="21" t="s">
        <v>305</v>
      </c>
      <c r="F737" s="21" t="s">
        <v>2098</v>
      </c>
      <c r="G737" s="21" t="s">
        <v>6407</v>
      </c>
      <c r="H737" s="28">
        <v>43299</v>
      </c>
      <c r="I737" s="22">
        <v>2018</v>
      </c>
      <c r="J737" s="21" t="s">
        <v>958</v>
      </c>
      <c r="K737" s="21" t="s">
        <v>998</v>
      </c>
      <c r="L737" s="21" t="s">
        <v>6408</v>
      </c>
      <c r="M737" s="21" t="s">
        <v>5486</v>
      </c>
      <c r="N737" s="21" t="s">
        <v>5653</v>
      </c>
      <c r="O737" s="21" t="s">
        <v>6409</v>
      </c>
      <c r="P737" s="27">
        <v>0</v>
      </c>
      <c r="Q737" s="27">
        <v>21</v>
      </c>
      <c r="R737" s="21" t="s">
        <v>6410</v>
      </c>
      <c r="S737" s="21" t="s">
        <v>5682</v>
      </c>
      <c r="T737" s="21" t="s">
        <v>966</v>
      </c>
      <c r="U737" s="21" t="s">
        <v>6411</v>
      </c>
    </row>
    <row r="738" spans="1:21" ht="28">
      <c r="A738" s="21" t="s">
        <v>925</v>
      </c>
      <c r="B738" s="21" t="s">
        <v>304</v>
      </c>
      <c r="C738" s="21" t="s">
        <v>298</v>
      </c>
      <c r="D738" s="21" t="s">
        <v>180</v>
      </c>
      <c r="E738" s="21" t="s">
        <v>305</v>
      </c>
      <c r="F738" s="21" t="s">
        <v>2106</v>
      </c>
      <c r="G738" s="21" t="s">
        <v>6412</v>
      </c>
      <c r="H738" s="28">
        <v>43299</v>
      </c>
      <c r="I738" s="22">
        <v>2018</v>
      </c>
      <c r="J738" s="21" t="s">
        <v>958</v>
      </c>
      <c r="K738" s="21" t="s">
        <v>998</v>
      </c>
      <c r="L738" s="21" t="s">
        <v>6413</v>
      </c>
      <c r="M738" s="21" t="s">
        <v>5486</v>
      </c>
      <c r="N738" s="21" t="s">
        <v>5653</v>
      </c>
      <c r="O738" s="21" t="s">
        <v>6414</v>
      </c>
      <c r="P738" s="27">
        <v>0</v>
      </c>
      <c r="Q738" s="27">
        <v>8</v>
      </c>
      <c r="R738" s="21" t="s">
        <v>6415</v>
      </c>
      <c r="S738" s="21" t="s">
        <v>5682</v>
      </c>
      <c r="T738" s="21" t="s">
        <v>994</v>
      </c>
      <c r="U738" s="21" t="s">
        <v>6416</v>
      </c>
    </row>
    <row r="739" spans="1:21" ht="238">
      <c r="A739" s="21" t="s">
        <v>925</v>
      </c>
      <c r="B739" s="21" t="s">
        <v>304</v>
      </c>
      <c r="C739" s="21" t="s">
        <v>298</v>
      </c>
      <c r="D739" s="21" t="s">
        <v>180</v>
      </c>
      <c r="E739" s="21" t="s">
        <v>305</v>
      </c>
      <c r="F739" s="21" t="s">
        <v>2114</v>
      </c>
      <c r="G739" s="21" t="s">
        <v>6417</v>
      </c>
      <c r="H739" s="28">
        <v>43299</v>
      </c>
      <c r="I739" s="22">
        <v>2018</v>
      </c>
      <c r="J739" s="21" t="s">
        <v>958</v>
      </c>
      <c r="K739" s="21" t="s">
        <v>998</v>
      </c>
      <c r="L739" s="21" t="s">
        <v>6418</v>
      </c>
      <c r="M739" s="21" t="s">
        <v>5486</v>
      </c>
      <c r="N739" s="21" t="s">
        <v>5653</v>
      </c>
      <c r="O739" s="21" t="s">
        <v>6419</v>
      </c>
      <c r="P739" s="27">
        <v>0</v>
      </c>
      <c r="Q739" s="27">
        <v>22</v>
      </c>
      <c r="R739" s="21" t="s">
        <v>6420</v>
      </c>
      <c r="S739" s="21" t="s">
        <v>6421</v>
      </c>
      <c r="T739" s="21" t="s">
        <v>966</v>
      </c>
      <c r="U739" s="21" t="s">
        <v>6422</v>
      </c>
    </row>
    <row r="740" spans="1:21" ht="42">
      <c r="A740" s="21" t="s">
        <v>925</v>
      </c>
      <c r="B740" s="21" t="s">
        <v>304</v>
      </c>
      <c r="C740" s="21" t="s">
        <v>298</v>
      </c>
      <c r="D740" s="21" t="s">
        <v>180</v>
      </c>
      <c r="E740" s="21" t="s">
        <v>305</v>
      </c>
      <c r="F740" s="21" t="s">
        <v>2120</v>
      </c>
      <c r="G740" s="21" t="s">
        <v>6423</v>
      </c>
      <c r="H740" s="28">
        <v>43299</v>
      </c>
      <c r="I740" s="22">
        <v>2018</v>
      </c>
      <c r="J740" s="21" t="s">
        <v>958</v>
      </c>
      <c r="K740" s="21" t="s">
        <v>998</v>
      </c>
      <c r="L740" s="21" t="s">
        <v>6424</v>
      </c>
      <c r="M740" s="21" t="s">
        <v>5486</v>
      </c>
      <c r="N740" s="21" t="s">
        <v>5653</v>
      </c>
      <c r="O740" s="21" t="s">
        <v>6425</v>
      </c>
      <c r="P740" s="27">
        <v>0</v>
      </c>
      <c r="Q740" s="27">
        <v>8</v>
      </c>
      <c r="R740" s="21" t="s">
        <v>6426</v>
      </c>
      <c r="S740" s="21" t="s">
        <v>6427</v>
      </c>
      <c r="T740" s="21" t="s">
        <v>994</v>
      </c>
      <c r="U740" s="21" t="s">
        <v>6428</v>
      </c>
    </row>
    <row r="741" spans="1:21" ht="42">
      <c r="A741" s="21" t="s">
        <v>925</v>
      </c>
      <c r="B741" s="21" t="s">
        <v>304</v>
      </c>
      <c r="C741" s="21" t="s">
        <v>298</v>
      </c>
      <c r="D741" s="21" t="s">
        <v>180</v>
      </c>
      <c r="E741" s="21" t="s">
        <v>305</v>
      </c>
      <c r="F741" s="21" t="s">
        <v>2128</v>
      </c>
      <c r="G741" s="21" t="s">
        <v>6429</v>
      </c>
      <c r="H741" s="28">
        <v>43299</v>
      </c>
      <c r="I741" s="22">
        <v>2018</v>
      </c>
      <c r="J741" s="21" t="s">
        <v>958</v>
      </c>
      <c r="K741" s="21" t="s">
        <v>998</v>
      </c>
      <c r="L741" s="21" t="s">
        <v>6430</v>
      </c>
      <c r="M741" s="21" t="s">
        <v>5486</v>
      </c>
      <c r="N741" s="21" t="s">
        <v>5653</v>
      </c>
      <c r="O741" s="21" t="s">
        <v>6431</v>
      </c>
      <c r="P741" s="27">
        <v>0</v>
      </c>
      <c r="Q741" s="27">
        <v>11</v>
      </c>
      <c r="R741" s="21" t="s">
        <v>6432</v>
      </c>
      <c r="S741" s="21" t="s">
        <v>6433</v>
      </c>
      <c r="T741" s="21" t="s">
        <v>966</v>
      </c>
      <c r="U741" s="21" t="s">
        <v>6434</v>
      </c>
    </row>
    <row r="742" spans="1:21" ht="98">
      <c r="A742" s="21" t="s">
        <v>925</v>
      </c>
      <c r="B742" s="21" t="s">
        <v>304</v>
      </c>
      <c r="C742" s="21" t="s">
        <v>298</v>
      </c>
      <c r="D742" s="21" t="s">
        <v>180</v>
      </c>
      <c r="E742" s="21" t="s">
        <v>305</v>
      </c>
      <c r="F742" s="21" t="s">
        <v>2136</v>
      </c>
      <c r="G742" s="21" t="s">
        <v>6435</v>
      </c>
      <c r="H742" s="28">
        <v>43299</v>
      </c>
      <c r="I742" s="22">
        <v>2018</v>
      </c>
      <c r="J742" s="21" t="s">
        <v>958</v>
      </c>
      <c r="K742" s="21" t="s">
        <v>998</v>
      </c>
      <c r="L742" s="21" t="s">
        <v>6436</v>
      </c>
      <c r="M742" s="21" t="s">
        <v>5486</v>
      </c>
      <c r="N742" s="21" t="s">
        <v>5653</v>
      </c>
      <c r="O742" s="21" t="s">
        <v>6437</v>
      </c>
      <c r="P742" s="27">
        <v>0</v>
      </c>
      <c r="Q742" s="27">
        <v>16</v>
      </c>
      <c r="R742" s="21" t="s">
        <v>6438</v>
      </c>
      <c r="S742" s="21" t="s">
        <v>5682</v>
      </c>
      <c r="T742" s="21" t="s">
        <v>994</v>
      </c>
      <c r="U742" s="21" t="s">
        <v>6439</v>
      </c>
    </row>
    <row r="743" spans="1:21" ht="112">
      <c r="A743" s="21" t="s">
        <v>925</v>
      </c>
      <c r="B743" s="21" t="s">
        <v>304</v>
      </c>
      <c r="C743" s="21" t="s">
        <v>298</v>
      </c>
      <c r="D743" s="21" t="s">
        <v>180</v>
      </c>
      <c r="E743" s="21" t="s">
        <v>305</v>
      </c>
      <c r="F743" s="21" t="s">
        <v>2144</v>
      </c>
      <c r="G743" s="21" t="s">
        <v>6440</v>
      </c>
      <c r="H743" s="28">
        <v>43291</v>
      </c>
      <c r="I743" s="22">
        <v>2018</v>
      </c>
      <c r="J743" s="21" t="s">
        <v>958</v>
      </c>
      <c r="K743" s="21" t="s">
        <v>998</v>
      </c>
      <c r="L743" s="21" t="s">
        <v>6441</v>
      </c>
      <c r="M743" s="21" t="s">
        <v>5486</v>
      </c>
      <c r="N743" s="21" t="s">
        <v>6442</v>
      </c>
      <c r="O743" s="21" t="s">
        <v>6443</v>
      </c>
      <c r="P743" s="27">
        <v>0</v>
      </c>
      <c r="Q743" s="27">
        <v>20</v>
      </c>
      <c r="R743" s="21" t="s">
        <v>6444</v>
      </c>
      <c r="S743" s="21" t="s">
        <v>6445</v>
      </c>
      <c r="T743" s="21" t="s">
        <v>994</v>
      </c>
      <c r="U743" s="21" t="s">
        <v>6446</v>
      </c>
    </row>
    <row r="744" spans="1:21" ht="98">
      <c r="A744" s="21" t="s">
        <v>925</v>
      </c>
      <c r="B744" s="21" t="s">
        <v>304</v>
      </c>
      <c r="C744" s="21" t="s">
        <v>298</v>
      </c>
      <c r="D744" s="21" t="s">
        <v>180</v>
      </c>
      <c r="E744" s="21" t="s">
        <v>305</v>
      </c>
      <c r="F744" s="21" t="s">
        <v>2152</v>
      </c>
      <c r="G744" s="21" t="s">
        <v>6447</v>
      </c>
      <c r="H744" s="28">
        <v>41114</v>
      </c>
      <c r="I744" s="22">
        <v>2012</v>
      </c>
      <c r="J744" s="21" t="s">
        <v>958</v>
      </c>
      <c r="K744" s="21" t="s">
        <v>959</v>
      </c>
      <c r="L744" s="21" t="s">
        <v>6448</v>
      </c>
      <c r="M744" s="21" t="s">
        <v>6449</v>
      </c>
      <c r="N744" s="21" t="s">
        <v>6450</v>
      </c>
      <c r="O744" s="21" t="s">
        <v>6451</v>
      </c>
      <c r="P744" s="27">
        <v>0</v>
      </c>
      <c r="Q744" s="27">
        <v>26</v>
      </c>
      <c r="R744" s="21" t="s">
        <v>6452</v>
      </c>
      <c r="S744" s="21" t="s">
        <v>6453</v>
      </c>
      <c r="T744" s="21" t="s">
        <v>966</v>
      </c>
      <c r="U744" s="21" t="s">
        <v>6454</v>
      </c>
    </row>
    <row r="745" spans="1:21" ht="42">
      <c r="A745" s="21" t="s">
        <v>925</v>
      </c>
      <c r="B745" s="21" t="s">
        <v>304</v>
      </c>
      <c r="C745" s="21" t="s">
        <v>298</v>
      </c>
      <c r="D745" s="21" t="s">
        <v>180</v>
      </c>
      <c r="E745" s="21" t="s">
        <v>305</v>
      </c>
      <c r="F745" s="21" t="s">
        <v>2160</v>
      </c>
      <c r="G745" s="21" t="s">
        <v>6455</v>
      </c>
      <c r="H745" s="28">
        <v>43273</v>
      </c>
      <c r="I745" s="22">
        <v>2018</v>
      </c>
      <c r="J745" s="21" t="s">
        <v>958</v>
      </c>
      <c r="K745" s="21" t="s">
        <v>998</v>
      </c>
      <c r="L745" s="21" t="s">
        <v>6456</v>
      </c>
      <c r="M745" s="21" t="s">
        <v>5486</v>
      </c>
      <c r="N745" s="21" t="s">
        <v>5653</v>
      </c>
      <c r="O745" s="21" t="s">
        <v>6457</v>
      </c>
      <c r="P745" s="27">
        <v>0</v>
      </c>
      <c r="Q745" s="27">
        <v>8</v>
      </c>
      <c r="R745" s="21" t="s">
        <v>6458</v>
      </c>
      <c r="S745" s="21" t="s">
        <v>6459</v>
      </c>
      <c r="T745" s="21" t="s">
        <v>966</v>
      </c>
      <c r="U745" s="21" t="s">
        <v>6460</v>
      </c>
    </row>
    <row r="746" spans="1:21" ht="70">
      <c r="A746" s="21" t="s">
        <v>925</v>
      </c>
      <c r="B746" s="21" t="s">
        <v>304</v>
      </c>
      <c r="C746" s="21" t="s">
        <v>298</v>
      </c>
      <c r="D746" s="21" t="s">
        <v>180</v>
      </c>
      <c r="E746" s="21" t="s">
        <v>305</v>
      </c>
      <c r="F746" s="21" t="s">
        <v>2168</v>
      </c>
      <c r="G746" s="21" t="s">
        <v>6461</v>
      </c>
      <c r="H746" s="28">
        <v>43272</v>
      </c>
      <c r="I746" s="22">
        <v>2018</v>
      </c>
      <c r="J746" s="21" t="s">
        <v>958</v>
      </c>
      <c r="K746" s="21" t="s">
        <v>998</v>
      </c>
      <c r="L746" s="21" t="s">
        <v>6462</v>
      </c>
      <c r="M746" s="21" t="s">
        <v>5486</v>
      </c>
      <c r="N746" s="21" t="s">
        <v>5653</v>
      </c>
      <c r="O746" s="21" t="s">
        <v>6463</v>
      </c>
      <c r="P746" s="27">
        <v>0</v>
      </c>
      <c r="Q746" s="27">
        <v>9</v>
      </c>
      <c r="R746" s="21" t="s">
        <v>6464</v>
      </c>
      <c r="S746" s="21" t="s">
        <v>6465</v>
      </c>
      <c r="T746" s="21" t="s">
        <v>1148</v>
      </c>
      <c r="U746" s="21" t="s">
        <v>6466</v>
      </c>
    </row>
    <row r="747" spans="1:21" ht="84">
      <c r="A747" s="21" t="s">
        <v>925</v>
      </c>
      <c r="B747" s="21" t="s">
        <v>304</v>
      </c>
      <c r="C747" s="21" t="s">
        <v>298</v>
      </c>
      <c r="D747" s="21" t="s">
        <v>180</v>
      </c>
      <c r="E747" s="21" t="s">
        <v>305</v>
      </c>
      <c r="F747" s="21" t="s">
        <v>2176</v>
      </c>
      <c r="G747" s="21" t="s">
        <v>6467</v>
      </c>
      <c r="H747" s="28">
        <v>43276</v>
      </c>
      <c r="I747" s="22">
        <v>2018</v>
      </c>
      <c r="J747" s="21" t="s">
        <v>958</v>
      </c>
      <c r="K747" s="21" t="s">
        <v>998</v>
      </c>
      <c r="L747" s="21" t="s">
        <v>6468</v>
      </c>
      <c r="M747" s="21" t="s">
        <v>5486</v>
      </c>
      <c r="N747" s="21" t="s">
        <v>5653</v>
      </c>
      <c r="O747" s="21" t="s">
        <v>6469</v>
      </c>
      <c r="P747" s="27">
        <v>0</v>
      </c>
      <c r="Q747" s="27">
        <v>8</v>
      </c>
      <c r="R747" s="21" t="s">
        <v>6470</v>
      </c>
      <c r="S747" s="21" t="s">
        <v>6219</v>
      </c>
      <c r="T747" s="21" t="s">
        <v>994</v>
      </c>
      <c r="U747" s="21" t="s">
        <v>6471</v>
      </c>
    </row>
    <row r="748" spans="1:21" ht="70">
      <c r="A748" s="21" t="s">
        <v>925</v>
      </c>
      <c r="B748" s="21" t="s">
        <v>304</v>
      </c>
      <c r="C748" s="21" t="s">
        <v>298</v>
      </c>
      <c r="D748" s="21" t="s">
        <v>180</v>
      </c>
      <c r="E748" s="21" t="s">
        <v>305</v>
      </c>
      <c r="F748" s="21" t="s">
        <v>2184</v>
      </c>
      <c r="G748" s="21" t="s">
        <v>6472</v>
      </c>
      <c r="H748" s="28">
        <v>41782</v>
      </c>
      <c r="I748" s="22">
        <v>2014</v>
      </c>
      <c r="J748" s="21" t="s">
        <v>958</v>
      </c>
      <c r="K748" s="21" t="s">
        <v>959</v>
      </c>
      <c r="L748" s="21" t="s">
        <v>6473</v>
      </c>
      <c r="M748" s="21" t="s">
        <v>6096</v>
      </c>
      <c r="N748" s="21" t="s">
        <v>6474</v>
      </c>
      <c r="O748" s="21" t="s">
        <v>6475</v>
      </c>
      <c r="P748" s="27">
        <v>0</v>
      </c>
      <c r="Q748" s="27">
        <v>21</v>
      </c>
      <c r="R748" s="21" t="s">
        <v>6476</v>
      </c>
      <c r="S748" s="21" t="s">
        <v>6477</v>
      </c>
      <c r="T748" s="21" t="s">
        <v>966</v>
      </c>
      <c r="U748" s="21" t="s">
        <v>6478</v>
      </c>
    </row>
    <row r="749" spans="1:21" ht="70">
      <c r="A749" s="21" t="s">
        <v>925</v>
      </c>
      <c r="B749" s="21" t="s">
        <v>304</v>
      </c>
      <c r="C749" s="21" t="s">
        <v>298</v>
      </c>
      <c r="D749" s="21" t="s">
        <v>180</v>
      </c>
      <c r="E749" s="21" t="s">
        <v>305</v>
      </c>
      <c r="F749" s="21" t="s">
        <v>2193</v>
      </c>
      <c r="G749" s="21" t="s">
        <v>6479</v>
      </c>
      <c r="H749" s="28">
        <v>43265</v>
      </c>
      <c r="I749" s="22">
        <v>2018</v>
      </c>
      <c r="J749" s="21" t="s">
        <v>958</v>
      </c>
      <c r="K749" s="21" t="s">
        <v>998</v>
      </c>
      <c r="L749" s="21" t="s">
        <v>6480</v>
      </c>
      <c r="M749" s="21" t="s">
        <v>5486</v>
      </c>
      <c r="N749" s="21" t="s">
        <v>6083</v>
      </c>
      <c r="O749" s="21" t="s">
        <v>6481</v>
      </c>
      <c r="P749" s="27">
        <v>0</v>
      </c>
      <c r="Q749" s="27">
        <v>5</v>
      </c>
      <c r="R749" s="21" t="s">
        <v>6482</v>
      </c>
      <c r="S749" s="21" t="s">
        <v>6483</v>
      </c>
      <c r="T749" s="21" t="s">
        <v>1148</v>
      </c>
      <c r="U749" s="21" t="s">
        <v>6484</v>
      </c>
    </row>
    <row r="750" spans="1:21" ht="42">
      <c r="A750" s="21" t="s">
        <v>925</v>
      </c>
      <c r="B750" s="21" t="s">
        <v>304</v>
      </c>
      <c r="C750" s="21" t="s">
        <v>298</v>
      </c>
      <c r="D750" s="21" t="s">
        <v>180</v>
      </c>
      <c r="E750" s="21" t="s">
        <v>305</v>
      </c>
      <c r="F750" s="21" t="s">
        <v>2202</v>
      </c>
      <c r="G750" s="21" t="s">
        <v>6485</v>
      </c>
      <c r="H750" s="28">
        <v>43265</v>
      </c>
      <c r="I750" s="22">
        <v>2018</v>
      </c>
      <c r="J750" s="21" t="s">
        <v>958</v>
      </c>
      <c r="K750" s="21" t="s">
        <v>998</v>
      </c>
      <c r="L750" s="21" t="s">
        <v>6486</v>
      </c>
      <c r="M750" s="21" t="s">
        <v>5486</v>
      </c>
      <c r="N750" s="21" t="s">
        <v>6083</v>
      </c>
      <c r="O750" s="21" t="s">
        <v>6487</v>
      </c>
      <c r="P750" s="27">
        <v>0</v>
      </c>
      <c r="Q750" s="27">
        <v>8</v>
      </c>
      <c r="R750" s="21" t="s">
        <v>6488</v>
      </c>
      <c r="S750" s="21" t="s">
        <v>6489</v>
      </c>
      <c r="T750" s="21" t="s">
        <v>994</v>
      </c>
      <c r="U750" s="21" t="s">
        <v>6490</v>
      </c>
    </row>
    <row r="751" spans="1:21" ht="409.5">
      <c r="A751" s="21" t="s">
        <v>925</v>
      </c>
      <c r="B751" s="21" t="s">
        <v>304</v>
      </c>
      <c r="C751" s="21" t="s">
        <v>298</v>
      </c>
      <c r="D751" s="21" t="s">
        <v>180</v>
      </c>
      <c r="E751" s="21" t="s">
        <v>305</v>
      </c>
      <c r="F751" s="21" t="s">
        <v>2210</v>
      </c>
      <c r="G751" s="21" t="s">
        <v>6491</v>
      </c>
      <c r="H751" s="28">
        <v>40630</v>
      </c>
      <c r="I751" s="22">
        <v>2011</v>
      </c>
      <c r="J751" s="21" t="s">
        <v>958</v>
      </c>
      <c r="K751" s="21" t="s">
        <v>998</v>
      </c>
      <c r="L751" s="21" t="s">
        <v>6492</v>
      </c>
      <c r="M751" s="21" t="s">
        <v>5486</v>
      </c>
      <c r="N751" s="21" t="s">
        <v>5653</v>
      </c>
      <c r="O751" s="21" t="s">
        <v>6493</v>
      </c>
      <c r="P751" s="27">
        <v>0</v>
      </c>
      <c r="Q751" s="27">
        <v>99</v>
      </c>
      <c r="R751" s="21" t="s">
        <v>6494</v>
      </c>
      <c r="S751" s="21" t="s">
        <v>6495</v>
      </c>
      <c r="T751" s="21" t="s">
        <v>994</v>
      </c>
      <c r="U751" s="21" t="s">
        <v>6496</v>
      </c>
    </row>
    <row r="752" spans="1:21" ht="84">
      <c r="A752" s="21" t="s">
        <v>925</v>
      </c>
      <c r="B752" s="21" t="s">
        <v>304</v>
      </c>
      <c r="C752" s="21" t="s">
        <v>298</v>
      </c>
      <c r="D752" s="21" t="s">
        <v>180</v>
      </c>
      <c r="E752" s="21" t="s">
        <v>305</v>
      </c>
      <c r="F752" s="21" t="s">
        <v>2216</v>
      </c>
      <c r="G752" s="21" t="s">
        <v>6497</v>
      </c>
      <c r="H752" s="28">
        <v>43252</v>
      </c>
      <c r="I752" s="22">
        <v>2018</v>
      </c>
      <c r="J752" s="21" t="s">
        <v>958</v>
      </c>
      <c r="K752" s="21" t="s">
        <v>998</v>
      </c>
      <c r="L752" s="21" t="s">
        <v>6498</v>
      </c>
      <c r="M752" s="21" t="s">
        <v>6499</v>
      </c>
      <c r="N752" s="21" t="s">
        <v>6500</v>
      </c>
      <c r="O752" s="21" t="s">
        <v>6501</v>
      </c>
      <c r="P752" s="27">
        <v>0</v>
      </c>
      <c r="Q752" s="27">
        <v>14</v>
      </c>
      <c r="R752" s="21" t="s">
        <v>6502</v>
      </c>
      <c r="S752" s="21" t="s">
        <v>6503</v>
      </c>
      <c r="T752" s="21" t="s">
        <v>1148</v>
      </c>
      <c r="U752" s="21" t="s">
        <v>6504</v>
      </c>
    </row>
    <row r="753" spans="1:21" ht="280">
      <c r="A753" s="21" t="s">
        <v>925</v>
      </c>
      <c r="B753" s="21" t="s">
        <v>304</v>
      </c>
      <c r="C753" s="21" t="s">
        <v>298</v>
      </c>
      <c r="D753" s="21" t="s">
        <v>180</v>
      </c>
      <c r="E753" s="21" t="s">
        <v>305</v>
      </c>
      <c r="F753" s="21" t="s">
        <v>2224</v>
      </c>
      <c r="G753" s="21" t="s">
        <v>6505</v>
      </c>
      <c r="H753" s="28">
        <v>41897</v>
      </c>
      <c r="I753" s="22">
        <v>2014</v>
      </c>
      <c r="J753" s="21" t="s">
        <v>958</v>
      </c>
      <c r="K753" s="21" t="s">
        <v>959</v>
      </c>
      <c r="L753" s="21" t="s">
        <v>6506</v>
      </c>
      <c r="M753" s="21" t="s">
        <v>5486</v>
      </c>
      <c r="N753" s="21" t="s">
        <v>6507</v>
      </c>
      <c r="O753" s="21" t="s">
        <v>6508</v>
      </c>
      <c r="P753" s="27">
        <v>0</v>
      </c>
      <c r="Q753" s="27">
        <v>10</v>
      </c>
      <c r="R753" s="21" t="s">
        <v>6509</v>
      </c>
      <c r="S753" s="21" t="s">
        <v>6510</v>
      </c>
      <c r="T753" s="21" t="s">
        <v>966</v>
      </c>
      <c r="U753" s="21" t="s">
        <v>6511</v>
      </c>
    </row>
    <row r="754" spans="1:21" ht="70">
      <c r="A754" s="21" t="s">
        <v>925</v>
      </c>
      <c r="B754" s="21" t="s">
        <v>304</v>
      </c>
      <c r="C754" s="21" t="s">
        <v>298</v>
      </c>
      <c r="D754" s="21" t="s">
        <v>180</v>
      </c>
      <c r="E754" s="21" t="s">
        <v>305</v>
      </c>
      <c r="F754" s="21" t="s">
        <v>2231</v>
      </c>
      <c r="G754" s="21" t="s">
        <v>6512</v>
      </c>
      <c r="H754" s="28">
        <v>43235</v>
      </c>
      <c r="I754" s="22">
        <v>2018</v>
      </c>
      <c r="J754" s="21" t="s">
        <v>958</v>
      </c>
      <c r="K754" s="21" t="s">
        <v>998</v>
      </c>
      <c r="L754" s="21" t="s">
        <v>6513</v>
      </c>
      <c r="M754" s="21" t="s">
        <v>5486</v>
      </c>
      <c r="N754" s="21" t="s">
        <v>5653</v>
      </c>
      <c r="O754" s="21" t="s">
        <v>6514</v>
      </c>
      <c r="P754" s="27">
        <v>0</v>
      </c>
      <c r="Q754" s="27">
        <v>11</v>
      </c>
      <c r="R754" s="21" t="s">
        <v>6515</v>
      </c>
      <c r="S754" s="21" t="s">
        <v>6516</v>
      </c>
      <c r="T754" s="21" t="s">
        <v>966</v>
      </c>
      <c r="U754" s="21" t="s">
        <v>6517</v>
      </c>
    </row>
    <row r="755" spans="1:21" ht="182">
      <c r="A755" s="21" t="s">
        <v>925</v>
      </c>
      <c r="B755" s="21" t="s">
        <v>304</v>
      </c>
      <c r="C755" s="21" t="s">
        <v>298</v>
      </c>
      <c r="D755" s="21" t="s">
        <v>180</v>
      </c>
      <c r="E755" s="21" t="s">
        <v>305</v>
      </c>
      <c r="F755" s="21" t="s">
        <v>2239</v>
      </c>
      <c r="G755" s="21" t="s">
        <v>6518</v>
      </c>
      <c r="H755" s="28">
        <v>39323</v>
      </c>
      <c r="I755" s="22">
        <v>2007</v>
      </c>
      <c r="J755" s="21" t="s">
        <v>958</v>
      </c>
      <c r="K755" s="21" t="s">
        <v>998</v>
      </c>
      <c r="L755" s="21" t="s">
        <v>6519</v>
      </c>
      <c r="M755" s="21" t="s">
        <v>5486</v>
      </c>
      <c r="N755" s="21" t="s">
        <v>5653</v>
      </c>
      <c r="O755" s="21" t="s">
        <v>6520</v>
      </c>
      <c r="P755" s="27">
        <v>0</v>
      </c>
      <c r="Q755" s="27">
        <v>102</v>
      </c>
      <c r="R755" s="21" t="s">
        <v>6521</v>
      </c>
      <c r="S755" s="21" t="s">
        <v>5761</v>
      </c>
      <c r="T755" s="21" t="s">
        <v>994</v>
      </c>
      <c r="U755" s="21" t="s">
        <v>6522</v>
      </c>
    </row>
    <row r="756" spans="1:21" ht="42">
      <c r="A756" s="21" t="s">
        <v>925</v>
      </c>
      <c r="B756" s="21" t="s">
        <v>304</v>
      </c>
      <c r="C756" s="21" t="s">
        <v>298</v>
      </c>
      <c r="D756" s="21" t="s">
        <v>180</v>
      </c>
      <c r="E756" s="21" t="s">
        <v>305</v>
      </c>
      <c r="F756" s="21" t="s">
        <v>2246</v>
      </c>
      <c r="G756" s="21" t="s">
        <v>6523</v>
      </c>
      <c r="H756" s="28">
        <v>41520</v>
      </c>
      <c r="I756" s="22">
        <v>2013</v>
      </c>
      <c r="J756" s="21" t="s">
        <v>958</v>
      </c>
      <c r="K756" s="21" t="s">
        <v>959</v>
      </c>
      <c r="L756" s="21" t="s">
        <v>6524</v>
      </c>
      <c r="M756" s="21" t="s">
        <v>5486</v>
      </c>
      <c r="N756" s="21" t="s">
        <v>6525</v>
      </c>
      <c r="O756" s="21" t="s">
        <v>6526</v>
      </c>
      <c r="P756" s="27">
        <v>0</v>
      </c>
      <c r="Q756" s="27">
        <v>8</v>
      </c>
      <c r="R756" s="21" t="s">
        <v>6527</v>
      </c>
      <c r="S756" s="21" t="s">
        <v>6313</v>
      </c>
      <c r="T756" s="21" t="s">
        <v>966</v>
      </c>
      <c r="U756" s="21" t="s">
        <v>6528</v>
      </c>
    </row>
    <row r="757" spans="1:21" ht="126">
      <c r="A757" s="21" t="s">
        <v>925</v>
      </c>
      <c r="B757" s="21" t="s">
        <v>304</v>
      </c>
      <c r="C757" s="21" t="s">
        <v>298</v>
      </c>
      <c r="D757" s="21" t="s">
        <v>180</v>
      </c>
      <c r="E757" s="21" t="s">
        <v>305</v>
      </c>
      <c r="F757" s="21" t="s">
        <v>2254</v>
      </c>
      <c r="G757" s="21" t="s">
        <v>6529</v>
      </c>
      <c r="H757" s="28">
        <v>43187</v>
      </c>
      <c r="I757" s="22">
        <v>2018</v>
      </c>
      <c r="J757" s="21" t="s">
        <v>958</v>
      </c>
      <c r="K757" s="21" t="s">
        <v>998</v>
      </c>
      <c r="L757" s="21" t="s">
        <v>6530</v>
      </c>
      <c r="M757" s="21" t="s">
        <v>5486</v>
      </c>
      <c r="N757" s="21" t="s">
        <v>5487</v>
      </c>
      <c r="O757" s="21" t="s">
        <v>5534</v>
      </c>
      <c r="P757" s="27">
        <v>0</v>
      </c>
      <c r="Q757" s="27">
        <v>11</v>
      </c>
      <c r="R757" s="21" t="s">
        <v>6531</v>
      </c>
      <c r="S757" s="21" t="s">
        <v>6532</v>
      </c>
      <c r="T757" s="21" t="s">
        <v>966</v>
      </c>
      <c r="U757" s="21" t="s">
        <v>6533</v>
      </c>
    </row>
    <row r="758" spans="1:21" ht="70">
      <c r="A758" s="21" t="s">
        <v>925</v>
      </c>
      <c r="B758" s="21" t="s">
        <v>304</v>
      </c>
      <c r="C758" s="21" t="s">
        <v>298</v>
      </c>
      <c r="D758" s="21" t="s">
        <v>180</v>
      </c>
      <c r="E758" s="21" t="s">
        <v>305</v>
      </c>
      <c r="F758" s="21" t="s">
        <v>2262</v>
      </c>
      <c r="G758" s="21" t="s">
        <v>6534</v>
      </c>
      <c r="H758" s="28">
        <v>43187</v>
      </c>
      <c r="I758" s="22">
        <v>2018</v>
      </c>
      <c r="J758" s="21" t="s">
        <v>958</v>
      </c>
      <c r="K758" s="21" t="s">
        <v>998</v>
      </c>
      <c r="L758" s="21" t="s">
        <v>6535</v>
      </c>
      <c r="M758" s="21" t="s">
        <v>5486</v>
      </c>
      <c r="N758" s="21" t="s">
        <v>5487</v>
      </c>
      <c r="O758" s="21" t="s">
        <v>5534</v>
      </c>
      <c r="P758" s="27">
        <v>0</v>
      </c>
      <c r="Q758" s="27">
        <v>9</v>
      </c>
      <c r="R758" s="21" t="s">
        <v>6536</v>
      </c>
      <c r="S758" s="21" t="s">
        <v>5629</v>
      </c>
      <c r="T758" s="21" t="s">
        <v>994</v>
      </c>
      <c r="U758" s="21" t="s">
        <v>6537</v>
      </c>
    </row>
    <row r="759" spans="1:21" ht="126">
      <c r="A759" s="21" t="s">
        <v>925</v>
      </c>
      <c r="B759" s="21" t="s">
        <v>304</v>
      </c>
      <c r="C759" s="21" t="s">
        <v>298</v>
      </c>
      <c r="D759" s="21" t="s">
        <v>180</v>
      </c>
      <c r="E759" s="21" t="s">
        <v>305</v>
      </c>
      <c r="F759" s="21" t="s">
        <v>2269</v>
      </c>
      <c r="G759" s="21" t="s">
        <v>6538</v>
      </c>
      <c r="H759" s="28">
        <v>43201</v>
      </c>
      <c r="I759" s="22">
        <v>2018</v>
      </c>
      <c r="J759" s="21" t="s">
        <v>958</v>
      </c>
      <c r="K759" s="21" t="s">
        <v>998</v>
      </c>
      <c r="L759" s="21" t="s">
        <v>6539</v>
      </c>
      <c r="M759" s="21" t="s">
        <v>5486</v>
      </c>
      <c r="N759" s="21" t="s">
        <v>5653</v>
      </c>
      <c r="O759" s="21" t="s">
        <v>5566</v>
      </c>
      <c r="P759" s="27">
        <v>0</v>
      </c>
      <c r="Q759" s="27">
        <v>7</v>
      </c>
      <c r="R759" s="21" t="s">
        <v>6540</v>
      </c>
      <c r="S759" s="21" t="s">
        <v>6541</v>
      </c>
      <c r="T759" s="21" t="s">
        <v>994</v>
      </c>
      <c r="U759" s="21" t="s">
        <v>6542</v>
      </c>
    </row>
    <row r="760" spans="1:21" ht="224">
      <c r="A760" s="21" t="s">
        <v>925</v>
      </c>
      <c r="B760" s="21" t="s">
        <v>304</v>
      </c>
      <c r="C760" s="21" t="s">
        <v>298</v>
      </c>
      <c r="D760" s="21" t="s">
        <v>180</v>
      </c>
      <c r="E760" s="21" t="s">
        <v>305</v>
      </c>
      <c r="F760" s="21" t="s">
        <v>2276</v>
      </c>
      <c r="G760" s="21" t="s">
        <v>6543</v>
      </c>
      <c r="H760" s="28">
        <v>40658</v>
      </c>
      <c r="I760" s="22">
        <v>2011</v>
      </c>
      <c r="J760" s="21" t="s">
        <v>958</v>
      </c>
      <c r="K760" s="21" t="s">
        <v>959</v>
      </c>
      <c r="L760" s="21" t="s">
        <v>6544</v>
      </c>
      <c r="M760" s="21" t="s">
        <v>5486</v>
      </c>
      <c r="N760" s="21" t="s">
        <v>6545</v>
      </c>
      <c r="O760" s="21" t="s">
        <v>6363</v>
      </c>
      <c r="P760" s="27">
        <v>0</v>
      </c>
      <c r="Q760" s="27">
        <v>85</v>
      </c>
      <c r="R760" s="21" t="s">
        <v>6546</v>
      </c>
      <c r="S760" s="21" t="s">
        <v>6547</v>
      </c>
      <c r="T760" s="21" t="s">
        <v>966</v>
      </c>
      <c r="U760" s="21" t="s">
        <v>6548</v>
      </c>
    </row>
    <row r="761" spans="1:21" ht="98">
      <c r="A761" s="21" t="s">
        <v>925</v>
      </c>
      <c r="B761" s="21" t="s">
        <v>304</v>
      </c>
      <c r="C761" s="21" t="s">
        <v>298</v>
      </c>
      <c r="D761" s="21" t="s">
        <v>180</v>
      </c>
      <c r="E761" s="21" t="s">
        <v>305</v>
      </c>
      <c r="F761" s="21" t="s">
        <v>2284</v>
      </c>
      <c r="G761" s="21" t="s">
        <v>6549</v>
      </c>
      <c r="H761" s="28">
        <v>43201</v>
      </c>
      <c r="I761" s="22">
        <v>2018</v>
      </c>
      <c r="J761" s="21" t="s">
        <v>958</v>
      </c>
      <c r="K761" s="21" t="s">
        <v>998</v>
      </c>
      <c r="L761" s="21" t="s">
        <v>6550</v>
      </c>
      <c r="M761" s="21" t="s">
        <v>5486</v>
      </c>
      <c r="N761" s="21" t="s">
        <v>5653</v>
      </c>
      <c r="O761" s="21" t="s">
        <v>5566</v>
      </c>
      <c r="P761" s="27">
        <v>0</v>
      </c>
      <c r="Q761" s="27">
        <v>6</v>
      </c>
      <c r="R761" s="21" t="s">
        <v>6551</v>
      </c>
      <c r="S761" s="21" t="s">
        <v>6541</v>
      </c>
      <c r="T761" s="21" t="s">
        <v>994</v>
      </c>
      <c r="U761" s="21" t="s">
        <v>6552</v>
      </c>
    </row>
    <row r="762" spans="1:21" ht="112">
      <c r="A762" s="21" t="s">
        <v>925</v>
      </c>
      <c r="B762" s="21" t="s">
        <v>304</v>
      </c>
      <c r="C762" s="21" t="s">
        <v>298</v>
      </c>
      <c r="D762" s="21" t="s">
        <v>180</v>
      </c>
      <c r="E762" s="21" t="s">
        <v>305</v>
      </c>
      <c r="F762" s="21" t="s">
        <v>2292</v>
      </c>
      <c r="G762" s="21" t="s">
        <v>6553</v>
      </c>
      <c r="H762" s="28">
        <v>43187</v>
      </c>
      <c r="I762" s="22">
        <v>2018</v>
      </c>
      <c r="J762" s="21" t="s">
        <v>958</v>
      </c>
      <c r="K762" s="21" t="s">
        <v>998</v>
      </c>
      <c r="L762" s="21" t="s">
        <v>6554</v>
      </c>
      <c r="M762" s="21" t="s">
        <v>5486</v>
      </c>
      <c r="N762" s="21" t="s">
        <v>5487</v>
      </c>
      <c r="O762" s="21" t="s">
        <v>5534</v>
      </c>
      <c r="P762" s="27">
        <v>0</v>
      </c>
      <c r="Q762" s="27">
        <v>9</v>
      </c>
      <c r="R762" s="21" t="s">
        <v>6555</v>
      </c>
      <c r="S762" s="21" t="s">
        <v>5914</v>
      </c>
      <c r="T762" s="21" t="s">
        <v>994</v>
      </c>
      <c r="U762" s="21" t="s">
        <v>6556</v>
      </c>
    </row>
    <row r="763" spans="1:21" ht="56">
      <c r="A763" s="21" t="s">
        <v>925</v>
      </c>
      <c r="B763" s="21" t="s">
        <v>304</v>
      </c>
      <c r="C763" s="21" t="s">
        <v>298</v>
      </c>
      <c r="D763" s="21" t="s">
        <v>180</v>
      </c>
      <c r="E763" s="21" t="s">
        <v>305</v>
      </c>
      <c r="F763" s="21" t="s">
        <v>2299</v>
      </c>
      <c r="G763" s="21" t="s">
        <v>6557</v>
      </c>
      <c r="H763" s="28">
        <v>43172</v>
      </c>
      <c r="I763" s="22">
        <v>2018</v>
      </c>
      <c r="J763" s="21" t="s">
        <v>958</v>
      </c>
      <c r="K763" s="21" t="s">
        <v>998</v>
      </c>
      <c r="L763" s="21" t="s">
        <v>6558</v>
      </c>
      <c r="M763" s="21" t="s">
        <v>5486</v>
      </c>
      <c r="N763" s="21" t="s">
        <v>5487</v>
      </c>
      <c r="O763" s="21" t="s">
        <v>6559</v>
      </c>
      <c r="P763" s="27">
        <v>0</v>
      </c>
      <c r="Q763" s="27">
        <v>6</v>
      </c>
      <c r="R763" s="21" t="s">
        <v>6560</v>
      </c>
      <c r="S763" s="21" t="s">
        <v>6561</v>
      </c>
      <c r="T763" s="21" t="s">
        <v>994</v>
      </c>
      <c r="U763" s="21" t="s">
        <v>6562</v>
      </c>
    </row>
    <row r="764" spans="1:21" ht="126">
      <c r="A764" s="21" t="s">
        <v>925</v>
      </c>
      <c r="B764" s="21" t="s">
        <v>304</v>
      </c>
      <c r="C764" s="21" t="s">
        <v>298</v>
      </c>
      <c r="D764" s="21" t="s">
        <v>180</v>
      </c>
      <c r="E764" s="21" t="s">
        <v>305</v>
      </c>
      <c r="F764" s="21" t="s">
        <v>2307</v>
      </c>
      <c r="G764" s="21" t="s">
        <v>6563</v>
      </c>
      <c r="H764" s="28">
        <v>41590</v>
      </c>
      <c r="I764" s="22">
        <v>2013</v>
      </c>
      <c r="J764" s="21" t="s">
        <v>958</v>
      </c>
      <c r="K764" s="21" t="s">
        <v>959</v>
      </c>
      <c r="L764" s="21" t="s">
        <v>6564</v>
      </c>
      <c r="M764" s="21" t="s">
        <v>5705</v>
      </c>
      <c r="N764" s="21" t="s">
        <v>6565</v>
      </c>
      <c r="O764" s="21" t="s">
        <v>6566</v>
      </c>
      <c r="P764" s="27">
        <v>0</v>
      </c>
      <c r="Q764" s="27">
        <v>26</v>
      </c>
      <c r="R764" s="21" t="s">
        <v>6567</v>
      </c>
      <c r="S764" s="21" t="s">
        <v>6568</v>
      </c>
      <c r="T764" s="21" t="s">
        <v>966</v>
      </c>
      <c r="U764" s="21" t="s">
        <v>6569</v>
      </c>
    </row>
    <row r="765" spans="1:21" ht="70">
      <c r="A765" s="21" t="s">
        <v>925</v>
      </c>
      <c r="B765" s="21" t="s">
        <v>304</v>
      </c>
      <c r="C765" s="21" t="s">
        <v>298</v>
      </c>
      <c r="D765" s="21" t="s">
        <v>180</v>
      </c>
      <c r="E765" s="21" t="s">
        <v>305</v>
      </c>
      <c r="F765" s="21" t="s">
        <v>2314</v>
      </c>
      <c r="G765" s="21" t="s">
        <v>6570</v>
      </c>
      <c r="H765" s="28">
        <v>43166</v>
      </c>
      <c r="I765" s="22">
        <v>2018</v>
      </c>
      <c r="J765" s="21" t="s">
        <v>958</v>
      </c>
      <c r="K765" s="21" t="s">
        <v>998</v>
      </c>
      <c r="L765" s="21" t="s">
        <v>6571</v>
      </c>
      <c r="M765" s="21" t="s">
        <v>5486</v>
      </c>
      <c r="N765" s="21" t="s">
        <v>5720</v>
      </c>
      <c r="O765" s="21" t="s">
        <v>6572</v>
      </c>
      <c r="P765" s="27">
        <v>0</v>
      </c>
      <c r="Q765" s="27">
        <v>10</v>
      </c>
      <c r="R765" s="21" t="s">
        <v>6573</v>
      </c>
      <c r="S765" s="21" t="s">
        <v>6574</v>
      </c>
      <c r="T765" s="21" t="s">
        <v>994</v>
      </c>
      <c r="U765" s="21" t="s">
        <v>6575</v>
      </c>
    </row>
    <row r="766" spans="1:21" ht="266">
      <c r="A766" s="21" t="s">
        <v>925</v>
      </c>
      <c r="B766" s="21" t="s">
        <v>304</v>
      </c>
      <c r="C766" s="21" t="s">
        <v>298</v>
      </c>
      <c r="D766" s="21" t="s">
        <v>180</v>
      </c>
      <c r="E766" s="21" t="s">
        <v>305</v>
      </c>
      <c r="F766" s="21" t="s">
        <v>2321</v>
      </c>
      <c r="G766" s="21" t="s">
        <v>6576</v>
      </c>
      <c r="H766" s="28">
        <v>40952</v>
      </c>
      <c r="I766" s="22">
        <v>2012</v>
      </c>
      <c r="J766" s="21" t="s">
        <v>958</v>
      </c>
      <c r="K766" s="21" t="s">
        <v>998</v>
      </c>
      <c r="L766" s="21" t="s">
        <v>6577</v>
      </c>
      <c r="M766" s="21" t="s">
        <v>6096</v>
      </c>
      <c r="N766" s="21" t="s">
        <v>6578</v>
      </c>
      <c r="O766" s="21" t="s">
        <v>6579</v>
      </c>
      <c r="P766" s="27">
        <v>0</v>
      </c>
      <c r="Q766" s="27">
        <v>32</v>
      </c>
      <c r="R766" s="21" t="s">
        <v>6580</v>
      </c>
      <c r="S766" s="21" t="s">
        <v>6581</v>
      </c>
      <c r="T766" s="21" t="s">
        <v>966</v>
      </c>
      <c r="U766" s="21" t="s">
        <v>6582</v>
      </c>
    </row>
    <row r="767" spans="1:21" ht="84">
      <c r="A767" s="21" t="s">
        <v>925</v>
      </c>
      <c r="B767" s="21" t="s">
        <v>304</v>
      </c>
      <c r="C767" s="21" t="s">
        <v>298</v>
      </c>
      <c r="D767" s="21" t="s">
        <v>180</v>
      </c>
      <c r="E767" s="21" t="s">
        <v>305</v>
      </c>
      <c r="F767" s="21" t="s">
        <v>2328</v>
      </c>
      <c r="G767" s="21" t="s">
        <v>6583</v>
      </c>
      <c r="H767" s="28">
        <v>40093</v>
      </c>
      <c r="I767" s="22">
        <v>2009</v>
      </c>
      <c r="J767" s="21" t="s">
        <v>958</v>
      </c>
      <c r="K767" s="21" t="s">
        <v>959</v>
      </c>
      <c r="L767" s="21" t="s">
        <v>6584</v>
      </c>
      <c r="M767" s="21" t="s">
        <v>6449</v>
      </c>
      <c r="N767" s="21" t="s">
        <v>6585</v>
      </c>
      <c r="O767" s="21" t="s">
        <v>6586</v>
      </c>
      <c r="P767" s="27">
        <v>0</v>
      </c>
      <c r="Q767" s="27">
        <v>27</v>
      </c>
      <c r="R767" s="21" t="s">
        <v>6587</v>
      </c>
      <c r="S767" s="21" t="s">
        <v>6588</v>
      </c>
      <c r="T767" s="21" t="s">
        <v>966</v>
      </c>
      <c r="U767" s="21" t="s">
        <v>6589</v>
      </c>
    </row>
    <row r="768" spans="1:21" ht="112">
      <c r="A768" s="21" t="s">
        <v>925</v>
      </c>
      <c r="B768" s="21" t="s">
        <v>304</v>
      </c>
      <c r="C768" s="21" t="s">
        <v>298</v>
      </c>
      <c r="D768" s="21" t="s">
        <v>180</v>
      </c>
      <c r="E768" s="21" t="s">
        <v>305</v>
      </c>
      <c r="F768" s="21" t="s">
        <v>2337</v>
      </c>
      <c r="G768" s="21" t="s">
        <v>6590</v>
      </c>
      <c r="H768" s="28">
        <v>41309</v>
      </c>
      <c r="I768" s="22">
        <v>2013</v>
      </c>
      <c r="J768" s="21" t="s">
        <v>958</v>
      </c>
      <c r="K768" s="21" t="s">
        <v>998</v>
      </c>
      <c r="L768" s="21" t="s">
        <v>6591</v>
      </c>
      <c r="M768" s="21" t="s">
        <v>5486</v>
      </c>
      <c r="N768" s="21" t="s">
        <v>5653</v>
      </c>
      <c r="O768" s="21" t="s">
        <v>6592</v>
      </c>
      <c r="P768" s="27">
        <v>0</v>
      </c>
      <c r="Q768" s="27">
        <v>47</v>
      </c>
      <c r="R768" s="21" t="s">
        <v>6593</v>
      </c>
      <c r="S768" s="21" t="s">
        <v>6594</v>
      </c>
      <c r="T768" s="21" t="s">
        <v>994</v>
      </c>
      <c r="U768" s="21" t="s">
        <v>6595</v>
      </c>
    </row>
    <row r="769" spans="1:21" ht="84">
      <c r="A769" s="21" t="s">
        <v>925</v>
      </c>
      <c r="B769" s="21" t="s">
        <v>304</v>
      </c>
      <c r="C769" s="21" t="s">
        <v>298</v>
      </c>
      <c r="D769" s="21" t="s">
        <v>180</v>
      </c>
      <c r="E769" s="21" t="s">
        <v>305</v>
      </c>
      <c r="F769" s="21" t="s">
        <v>2345</v>
      </c>
      <c r="G769" s="21" t="s">
        <v>6596</v>
      </c>
      <c r="H769" s="28">
        <v>43131</v>
      </c>
      <c r="I769" s="22">
        <v>2018</v>
      </c>
      <c r="J769" s="21" t="s">
        <v>958</v>
      </c>
      <c r="K769" s="21" t="s">
        <v>998</v>
      </c>
      <c r="L769" s="21" t="s">
        <v>6597</v>
      </c>
      <c r="M769" s="21" t="s">
        <v>5486</v>
      </c>
      <c r="N769" s="21" t="s">
        <v>5720</v>
      </c>
      <c r="O769" s="21" t="s">
        <v>6598</v>
      </c>
      <c r="P769" s="27">
        <v>0</v>
      </c>
      <c r="Q769" s="27">
        <v>43</v>
      </c>
      <c r="R769" s="21" t="s">
        <v>6599</v>
      </c>
      <c r="S769" s="21" t="s">
        <v>6600</v>
      </c>
      <c r="T769" s="21" t="s">
        <v>966</v>
      </c>
      <c r="U769" s="21" t="s">
        <v>6601</v>
      </c>
    </row>
    <row r="770" spans="1:21" ht="168">
      <c r="A770" s="21" t="s">
        <v>925</v>
      </c>
      <c r="B770" s="21" t="s">
        <v>304</v>
      </c>
      <c r="C770" s="21" t="s">
        <v>298</v>
      </c>
      <c r="D770" s="21" t="s">
        <v>180</v>
      </c>
      <c r="E770" s="21" t="s">
        <v>305</v>
      </c>
      <c r="F770" s="21" t="s">
        <v>2353</v>
      </c>
      <c r="G770" s="21" t="s">
        <v>6602</v>
      </c>
      <c r="H770" s="28">
        <v>40592</v>
      </c>
      <c r="I770" s="22">
        <v>2011</v>
      </c>
      <c r="J770" s="21" t="s">
        <v>958</v>
      </c>
      <c r="K770" s="21" t="s">
        <v>998</v>
      </c>
      <c r="L770" s="21" t="s">
        <v>6603</v>
      </c>
      <c r="M770" s="21" t="s">
        <v>5486</v>
      </c>
      <c r="N770" s="21" t="s">
        <v>5653</v>
      </c>
      <c r="O770" s="21" t="s">
        <v>6604</v>
      </c>
      <c r="P770" s="27">
        <v>0</v>
      </c>
      <c r="Q770" s="27">
        <v>14</v>
      </c>
      <c r="R770" s="21" t="s">
        <v>6605</v>
      </c>
      <c r="S770" s="21" t="s">
        <v>6606</v>
      </c>
      <c r="T770" s="21" t="s">
        <v>966</v>
      </c>
      <c r="U770" s="21" t="s">
        <v>6607</v>
      </c>
    </row>
    <row r="771" spans="1:21" ht="84">
      <c r="A771" s="21" t="s">
        <v>925</v>
      </c>
      <c r="B771" s="21" t="s">
        <v>304</v>
      </c>
      <c r="C771" s="21" t="s">
        <v>298</v>
      </c>
      <c r="D771" s="21" t="s">
        <v>180</v>
      </c>
      <c r="E771" s="21" t="s">
        <v>305</v>
      </c>
      <c r="F771" s="21" t="s">
        <v>2361</v>
      </c>
      <c r="G771" s="21" t="s">
        <v>6608</v>
      </c>
      <c r="H771" s="28">
        <v>40210</v>
      </c>
      <c r="I771" s="22">
        <v>2010</v>
      </c>
      <c r="J771" s="21" t="s">
        <v>958</v>
      </c>
      <c r="K771" s="21" t="s">
        <v>959</v>
      </c>
      <c r="L771" s="21" t="s">
        <v>6609</v>
      </c>
      <c r="M771" s="21" t="s">
        <v>6096</v>
      </c>
      <c r="N771" s="21" t="s">
        <v>6610</v>
      </c>
      <c r="O771" s="21" t="s">
        <v>6611</v>
      </c>
      <c r="P771" s="27">
        <v>3</v>
      </c>
      <c r="Q771" s="27">
        <v>35</v>
      </c>
      <c r="R771" s="21" t="s">
        <v>6612</v>
      </c>
      <c r="S771" s="21" t="s">
        <v>6613</v>
      </c>
      <c r="T771" s="21" t="s">
        <v>966</v>
      </c>
      <c r="U771" s="21" t="s">
        <v>6614</v>
      </c>
    </row>
    <row r="772" spans="1:21" ht="56">
      <c r="A772" s="21" t="s">
        <v>925</v>
      </c>
      <c r="B772" s="21" t="s">
        <v>304</v>
      </c>
      <c r="C772" s="21" t="s">
        <v>298</v>
      </c>
      <c r="D772" s="21" t="s">
        <v>180</v>
      </c>
      <c r="E772" s="21" t="s">
        <v>305</v>
      </c>
      <c r="F772" s="21" t="s">
        <v>2369</v>
      </c>
      <c r="G772" s="21" t="s">
        <v>6615</v>
      </c>
      <c r="H772" s="28">
        <v>42375</v>
      </c>
      <c r="I772" s="22">
        <v>2016</v>
      </c>
      <c r="J772" s="21" t="s">
        <v>6207</v>
      </c>
      <c r="K772" s="21" t="s">
        <v>6616</v>
      </c>
      <c r="L772" s="21" t="s">
        <v>6617</v>
      </c>
      <c r="M772" s="21" t="s">
        <v>6096</v>
      </c>
      <c r="N772" s="21" t="s">
        <v>6618</v>
      </c>
      <c r="O772" s="21" t="s">
        <v>6619</v>
      </c>
      <c r="P772" s="27">
        <v>0</v>
      </c>
      <c r="Q772" s="27">
        <v>14</v>
      </c>
      <c r="R772" s="21" t="s">
        <v>6620</v>
      </c>
      <c r="S772" s="21" t="s">
        <v>6621</v>
      </c>
      <c r="T772" s="21" t="s">
        <v>966</v>
      </c>
      <c r="U772" s="21" t="s">
        <v>6622</v>
      </c>
    </row>
    <row r="773" spans="1:21" ht="168">
      <c r="A773" s="21" t="s">
        <v>925</v>
      </c>
      <c r="B773" s="21" t="s">
        <v>304</v>
      </c>
      <c r="C773" s="21" t="s">
        <v>298</v>
      </c>
      <c r="D773" s="21" t="s">
        <v>180</v>
      </c>
      <c r="E773" s="21" t="s">
        <v>305</v>
      </c>
      <c r="F773" s="21" t="s">
        <v>2377</v>
      </c>
      <c r="G773" s="21" t="s">
        <v>6623</v>
      </c>
      <c r="H773" s="28">
        <v>40592</v>
      </c>
      <c r="I773" s="22">
        <v>2011</v>
      </c>
      <c r="J773" s="21" t="s">
        <v>958</v>
      </c>
      <c r="K773" s="21" t="s">
        <v>998</v>
      </c>
      <c r="L773" s="21" t="s">
        <v>6624</v>
      </c>
      <c r="M773" s="21" t="s">
        <v>5486</v>
      </c>
      <c r="N773" s="21" t="s">
        <v>5653</v>
      </c>
      <c r="O773" s="21" t="s">
        <v>6625</v>
      </c>
      <c r="P773" s="27">
        <v>0</v>
      </c>
      <c r="Q773" s="27">
        <v>28</v>
      </c>
      <c r="R773" s="21" t="s">
        <v>6626</v>
      </c>
      <c r="S773" s="21" t="s">
        <v>6606</v>
      </c>
      <c r="T773" s="21" t="s">
        <v>966</v>
      </c>
      <c r="U773" s="21" t="s">
        <v>6627</v>
      </c>
    </row>
    <row r="774" spans="1:21" ht="42">
      <c r="A774" s="21" t="s">
        <v>925</v>
      </c>
      <c r="B774" s="21" t="s">
        <v>304</v>
      </c>
      <c r="C774" s="21" t="s">
        <v>298</v>
      </c>
      <c r="D774" s="21" t="s">
        <v>180</v>
      </c>
      <c r="E774" s="21" t="s">
        <v>305</v>
      </c>
      <c r="F774" s="21" t="s">
        <v>2384</v>
      </c>
      <c r="G774" s="21" t="s">
        <v>6628</v>
      </c>
      <c r="H774" s="28">
        <v>41472</v>
      </c>
      <c r="I774" s="22">
        <v>2013</v>
      </c>
      <c r="J774" s="21" t="s">
        <v>958</v>
      </c>
      <c r="K774" s="21" t="s">
        <v>959</v>
      </c>
      <c r="L774" s="21" t="s">
        <v>6629</v>
      </c>
      <c r="M774" s="21" t="s">
        <v>5486</v>
      </c>
      <c r="N774" s="21" t="s">
        <v>6630</v>
      </c>
      <c r="O774" s="21" t="s">
        <v>5566</v>
      </c>
      <c r="P774" s="27">
        <v>0</v>
      </c>
      <c r="Q774" s="27">
        <v>8</v>
      </c>
      <c r="R774" s="21" t="s">
        <v>6631</v>
      </c>
      <c r="S774" s="21" t="s">
        <v>6632</v>
      </c>
      <c r="T774" s="21" t="s">
        <v>966</v>
      </c>
      <c r="U774" s="21" t="s">
        <v>6633</v>
      </c>
    </row>
    <row r="775" spans="1:21" ht="84">
      <c r="A775" s="21" t="s">
        <v>925</v>
      </c>
      <c r="B775" s="21" t="s">
        <v>304</v>
      </c>
      <c r="C775" s="21" t="s">
        <v>298</v>
      </c>
      <c r="D775" s="21" t="s">
        <v>180</v>
      </c>
      <c r="E775" s="21" t="s">
        <v>305</v>
      </c>
      <c r="F775" s="21" t="s">
        <v>2391</v>
      </c>
      <c r="G775" s="21" t="s">
        <v>6634</v>
      </c>
      <c r="H775" s="28">
        <v>41891</v>
      </c>
      <c r="I775" s="22">
        <v>2014</v>
      </c>
      <c r="J775" s="21" t="s">
        <v>958</v>
      </c>
      <c r="K775" s="21" t="s">
        <v>959</v>
      </c>
      <c r="L775" s="21" t="s">
        <v>6635</v>
      </c>
      <c r="M775" s="21" t="s">
        <v>6636</v>
      </c>
      <c r="N775" s="21" t="s">
        <v>6637</v>
      </c>
      <c r="O775" s="21" t="s">
        <v>6638</v>
      </c>
      <c r="P775" s="27">
        <v>0</v>
      </c>
      <c r="Q775" s="27">
        <v>8</v>
      </c>
      <c r="R775" s="21" t="s">
        <v>6639</v>
      </c>
      <c r="S775" s="21" t="s">
        <v>6640</v>
      </c>
      <c r="T775" s="21" t="s">
        <v>966</v>
      </c>
      <c r="U775" s="21" t="s">
        <v>6641</v>
      </c>
    </row>
    <row r="776" spans="1:21" ht="112">
      <c r="A776" s="21" t="s">
        <v>925</v>
      </c>
      <c r="B776" s="21" t="s">
        <v>304</v>
      </c>
      <c r="C776" s="21" t="s">
        <v>298</v>
      </c>
      <c r="D776" s="21" t="s">
        <v>180</v>
      </c>
      <c r="E776" s="21" t="s">
        <v>305</v>
      </c>
      <c r="F776" s="21" t="s">
        <v>2398</v>
      </c>
      <c r="G776" s="21" t="s">
        <v>6642</v>
      </c>
      <c r="H776" s="28">
        <v>43097</v>
      </c>
      <c r="I776" s="22">
        <v>2017</v>
      </c>
      <c r="J776" s="21" t="s">
        <v>958</v>
      </c>
      <c r="K776" s="21" t="s">
        <v>998</v>
      </c>
      <c r="L776" s="21" t="s">
        <v>6643</v>
      </c>
      <c r="M776" s="21" t="s">
        <v>5486</v>
      </c>
      <c r="N776" s="21" t="s">
        <v>6644</v>
      </c>
      <c r="O776" s="21" t="s">
        <v>6645</v>
      </c>
      <c r="P776" s="27">
        <v>0</v>
      </c>
      <c r="Q776" s="27">
        <v>10</v>
      </c>
      <c r="R776" s="21" t="s">
        <v>6646</v>
      </c>
      <c r="S776" s="21" t="s">
        <v>6632</v>
      </c>
      <c r="T776" s="21" t="s">
        <v>966</v>
      </c>
      <c r="U776" s="21" t="s">
        <v>6647</v>
      </c>
    </row>
    <row r="777" spans="1:21" ht="56">
      <c r="A777" s="21" t="s">
        <v>925</v>
      </c>
      <c r="B777" s="21" t="s">
        <v>304</v>
      </c>
      <c r="C777" s="21" t="s">
        <v>298</v>
      </c>
      <c r="D777" s="21" t="s">
        <v>180</v>
      </c>
      <c r="E777" s="21" t="s">
        <v>305</v>
      </c>
      <c r="F777" s="21" t="s">
        <v>2404</v>
      </c>
      <c r="G777" s="21" t="s">
        <v>6648</v>
      </c>
      <c r="H777" s="28">
        <v>43090</v>
      </c>
      <c r="I777" s="22">
        <v>2017</v>
      </c>
      <c r="J777" s="21" t="s">
        <v>958</v>
      </c>
      <c r="K777" s="21" t="s">
        <v>998</v>
      </c>
      <c r="L777" s="21" t="s">
        <v>6649</v>
      </c>
      <c r="M777" s="21" t="s">
        <v>5486</v>
      </c>
      <c r="N777" s="21" t="s">
        <v>6650</v>
      </c>
      <c r="O777" s="21" t="s">
        <v>6651</v>
      </c>
      <c r="P777" s="27">
        <v>0</v>
      </c>
      <c r="Q777" s="27">
        <v>12</v>
      </c>
      <c r="R777" s="21" t="s">
        <v>6652</v>
      </c>
      <c r="S777" s="21" t="s">
        <v>5629</v>
      </c>
      <c r="T777" s="21" t="s">
        <v>966</v>
      </c>
      <c r="U777" s="21" t="s">
        <v>6653</v>
      </c>
    </row>
    <row r="778" spans="1:21" ht="56">
      <c r="A778" s="21" t="s">
        <v>925</v>
      </c>
      <c r="B778" s="21" t="s">
        <v>304</v>
      </c>
      <c r="C778" s="21" t="s">
        <v>298</v>
      </c>
      <c r="D778" s="21" t="s">
        <v>180</v>
      </c>
      <c r="E778" s="21" t="s">
        <v>305</v>
      </c>
      <c r="F778" s="21" t="s">
        <v>2412</v>
      </c>
      <c r="G778" s="21" t="s">
        <v>6654</v>
      </c>
      <c r="H778" s="28">
        <v>43089</v>
      </c>
      <c r="I778" s="22">
        <v>2017</v>
      </c>
      <c r="J778" s="21" t="s">
        <v>958</v>
      </c>
      <c r="K778" s="21" t="s">
        <v>998</v>
      </c>
      <c r="L778" s="21" t="s">
        <v>6655</v>
      </c>
      <c r="M778" s="21" t="s">
        <v>5486</v>
      </c>
      <c r="N778" s="21" t="s">
        <v>6656</v>
      </c>
      <c r="O778" s="21" t="s">
        <v>6657</v>
      </c>
      <c r="P778" s="27">
        <v>0</v>
      </c>
      <c r="Q778" s="27">
        <v>6</v>
      </c>
      <c r="R778" s="21" t="s">
        <v>6658</v>
      </c>
      <c r="S778" s="21" t="s">
        <v>6659</v>
      </c>
      <c r="T778" s="21" t="s">
        <v>966</v>
      </c>
      <c r="U778" s="21" t="s">
        <v>6660</v>
      </c>
    </row>
    <row r="779" spans="1:21" ht="28">
      <c r="A779" s="21" t="s">
        <v>925</v>
      </c>
      <c r="B779" s="21" t="s">
        <v>304</v>
      </c>
      <c r="C779" s="21" t="s">
        <v>298</v>
      </c>
      <c r="D779" s="21" t="s">
        <v>180</v>
      </c>
      <c r="E779" s="21" t="s">
        <v>305</v>
      </c>
      <c r="F779" s="21" t="s">
        <v>2420</v>
      </c>
      <c r="G779" s="21" t="s">
        <v>6661</v>
      </c>
      <c r="H779" s="28">
        <v>43090</v>
      </c>
      <c r="I779" s="22">
        <v>2017</v>
      </c>
      <c r="J779" s="21" t="s">
        <v>958</v>
      </c>
      <c r="K779" s="21" t="s">
        <v>998</v>
      </c>
      <c r="L779" s="21" t="s">
        <v>6662</v>
      </c>
      <c r="M779" s="21" t="s">
        <v>5486</v>
      </c>
      <c r="N779" s="21" t="s">
        <v>6663</v>
      </c>
      <c r="O779" s="21" t="s">
        <v>6664</v>
      </c>
      <c r="P779" s="27">
        <v>0</v>
      </c>
      <c r="Q779" s="27">
        <v>7</v>
      </c>
      <c r="R779" s="21" t="s">
        <v>6665</v>
      </c>
      <c r="S779" s="21" t="s">
        <v>6666</v>
      </c>
      <c r="T779" s="21" t="s">
        <v>966</v>
      </c>
      <c r="U779" s="21" t="s">
        <v>6667</v>
      </c>
    </row>
    <row r="780" spans="1:21" ht="98">
      <c r="A780" s="21" t="s">
        <v>925</v>
      </c>
      <c r="B780" s="21" t="s">
        <v>304</v>
      </c>
      <c r="C780" s="21" t="s">
        <v>298</v>
      </c>
      <c r="D780" s="21" t="s">
        <v>180</v>
      </c>
      <c r="E780" s="21" t="s">
        <v>305</v>
      </c>
      <c r="F780" s="21" t="s">
        <v>2428</v>
      </c>
      <c r="G780" s="21" t="s">
        <v>6668</v>
      </c>
      <c r="H780" s="28">
        <v>43089</v>
      </c>
      <c r="I780" s="22">
        <v>2017</v>
      </c>
      <c r="J780" s="21" t="s">
        <v>958</v>
      </c>
      <c r="K780" s="21" t="s">
        <v>998</v>
      </c>
      <c r="L780" s="21" t="s">
        <v>6669</v>
      </c>
      <c r="M780" s="21" t="s">
        <v>5486</v>
      </c>
      <c r="N780" s="21" t="s">
        <v>6670</v>
      </c>
      <c r="O780" s="21" t="s">
        <v>6671</v>
      </c>
      <c r="P780" s="27">
        <v>0</v>
      </c>
      <c r="Q780" s="27">
        <v>10</v>
      </c>
      <c r="R780" s="21" t="s">
        <v>6672</v>
      </c>
      <c r="S780" s="21" t="s">
        <v>5629</v>
      </c>
      <c r="T780" s="21" t="s">
        <v>966</v>
      </c>
      <c r="U780" s="21" t="s">
        <v>6673</v>
      </c>
    </row>
    <row r="781" spans="1:21" ht="70">
      <c r="A781" s="21" t="s">
        <v>925</v>
      </c>
      <c r="B781" s="21" t="s">
        <v>304</v>
      </c>
      <c r="C781" s="21" t="s">
        <v>298</v>
      </c>
      <c r="D781" s="21" t="s">
        <v>180</v>
      </c>
      <c r="E781" s="21" t="s">
        <v>305</v>
      </c>
      <c r="F781" s="21" t="s">
        <v>2435</v>
      </c>
      <c r="G781" s="21" t="s">
        <v>6674</v>
      </c>
      <c r="H781" s="28">
        <v>43090</v>
      </c>
      <c r="I781" s="22">
        <v>2017</v>
      </c>
      <c r="J781" s="21" t="s">
        <v>958</v>
      </c>
      <c r="K781" s="21" t="s">
        <v>998</v>
      </c>
      <c r="L781" s="21" t="s">
        <v>6675</v>
      </c>
      <c r="M781" s="21" t="s">
        <v>5486</v>
      </c>
      <c r="N781" s="21" t="s">
        <v>5487</v>
      </c>
      <c r="O781" s="21" t="s">
        <v>6676</v>
      </c>
      <c r="P781" s="27">
        <v>0</v>
      </c>
      <c r="Q781" s="27">
        <v>8</v>
      </c>
      <c r="R781" s="21" t="s">
        <v>6677</v>
      </c>
      <c r="S781" s="21" t="s">
        <v>5754</v>
      </c>
      <c r="T781" s="21" t="s">
        <v>994</v>
      </c>
      <c r="U781" s="21" t="s">
        <v>6678</v>
      </c>
    </row>
    <row r="782" spans="1:21" ht="56">
      <c r="A782" s="21" t="s">
        <v>925</v>
      </c>
      <c r="B782" s="21" t="s">
        <v>304</v>
      </c>
      <c r="C782" s="21" t="s">
        <v>298</v>
      </c>
      <c r="D782" s="21" t="s">
        <v>180</v>
      </c>
      <c r="E782" s="21" t="s">
        <v>305</v>
      </c>
      <c r="F782" s="21" t="s">
        <v>2443</v>
      </c>
      <c r="G782" s="21" t="s">
        <v>6679</v>
      </c>
      <c r="H782" s="28">
        <v>43087</v>
      </c>
      <c r="I782" s="22">
        <v>2017</v>
      </c>
      <c r="J782" s="21" t="s">
        <v>958</v>
      </c>
      <c r="K782" s="21" t="s">
        <v>998</v>
      </c>
      <c r="L782" s="21" t="s">
        <v>6680</v>
      </c>
      <c r="M782" s="21" t="s">
        <v>5486</v>
      </c>
      <c r="N782" s="21" t="s">
        <v>6083</v>
      </c>
      <c r="O782" s="21" t="s">
        <v>6202</v>
      </c>
      <c r="P782" s="27">
        <v>0</v>
      </c>
      <c r="Q782" s="27">
        <v>10</v>
      </c>
      <c r="R782" s="21" t="s">
        <v>6681</v>
      </c>
      <c r="S782" s="21" t="s">
        <v>5754</v>
      </c>
      <c r="T782" s="21" t="s">
        <v>994</v>
      </c>
      <c r="U782" s="21" t="s">
        <v>6682</v>
      </c>
    </row>
    <row r="783" spans="1:21" ht="70">
      <c r="A783" s="21" t="s">
        <v>925</v>
      </c>
      <c r="B783" s="21" t="s">
        <v>304</v>
      </c>
      <c r="C783" s="21" t="s">
        <v>298</v>
      </c>
      <c r="D783" s="21" t="s">
        <v>180</v>
      </c>
      <c r="E783" s="21" t="s">
        <v>305</v>
      </c>
      <c r="F783" s="21" t="s">
        <v>2451</v>
      </c>
      <c r="G783" s="21" t="s">
        <v>6683</v>
      </c>
      <c r="H783" s="28">
        <v>43087</v>
      </c>
      <c r="I783" s="22">
        <v>2017</v>
      </c>
      <c r="J783" s="21" t="s">
        <v>958</v>
      </c>
      <c r="K783" s="21" t="s">
        <v>998</v>
      </c>
      <c r="L783" s="21" t="s">
        <v>6684</v>
      </c>
      <c r="M783" s="21" t="s">
        <v>5486</v>
      </c>
      <c r="N783" s="21" t="s">
        <v>6685</v>
      </c>
      <c r="O783" s="21" t="s">
        <v>6686</v>
      </c>
      <c r="P783" s="27">
        <v>0</v>
      </c>
      <c r="Q783" s="27">
        <v>11</v>
      </c>
      <c r="R783" s="21" t="s">
        <v>6687</v>
      </c>
      <c r="S783" s="21" t="s">
        <v>6688</v>
      </c>
      <c r="T783" s="21" t="s">
        <v>966</v>
      </c>
      <c r="U783" s="21" t="s">
        <v>6689</v>
      </c>
    </row>
    <row r="784" spans="1:21" ht="56">
      <c r="A784" s="21" t="s">
        <v>925</v>
      </c>
      <c r="B784" s="21" t="s">
        <v>304</v>
      </c>
      <c r="C784" s="21" t="s">
        <v>298</v>
      </c>
      <c r="D784" s="21" t="s">
        <v>180</v>
      </c>
      <c r="E784" s="21" t="s">
        <v>305</v>
      </c>
      <c r="F784" s="21" t="s">
        <v>2460</v>
      </c>
      <c r="G784" s="21" t="s">
        <v>6690</v>
      </c>
      <c r="H784" s="28">
        <v>43082</v>
      </c>
      <c r="I784" s="22">
        <v>2017</v>
      </c>
      <c r="J784" s="21" t="s">
        <v>958</v>
      </c>
      <c r="K784" s="21" t="s">
        <v>998</v>
      </c>
      <c r="L784" s="21" t="s">
        <v>6691</v>
      </c>
      <c r="M784" s="21" t="s">
        <v>6692</v>
      </c>
      <c r="N784" s="21" t="s">
        <v>6693</v>
      </c>
      <c r="O784" s="21" t="s">
        <v>6694</v>
      </c>
      <c r="P784" s="27">
        <v>0</v>
      </c>
      <c r="Q784" s="27">
        <v>7</v>
      </c>
      <c r="R784" s="21" t="s">
        <v>6695</v>
      </c>
      <c r="S784" s="21" t="s">
        <v>6696</v>
      </c>
      <c r="T784" s="21" t="s">
        <v>994</v>
      </c>
      <c r="U784" s="21" t="s">
        <v>6697</v>
      </c>
    </row>
    <row r="785" spans="1:21" ht="84">
      <c r="A785" s="21" t="s">
        <v>925</v>
      </c>
      <c r="B785" s="21" t="s">
        <v>304</v>
      </c>
      <c r="C785" s="21" t="s">
        <v>298</v>
      </c>
      <c r="D785" s="21" t="s">
        <v>180</v>
      </c>
      <c r="E785" s="21" t="s">
        <v>305</v>
      </c>
      <c r="F785" s="21" t="s">
        <v>2468</v>
      </c>
      <c r="G785" s="21" t="s">
        <v>6698</v>
      </c>
      <c r="H785" s="28">
        <v>41374</v>
      </c>
      <c r="I785" s="22">
        <v>2013</v>
      </c>
      <c r="J785" s="21" t="s">
        <v>958</v>
      </c>
      <c r="K785" s="21" t="s">
        <v>959</v>
      </c>
      <c r="L785" s="21" t="s">
        <v>6699</v>
      </c>
      <c r="M785" s="21" t="s">
        <v>5486</v>
      </c>
      <c r="N785" s="21" t="s">
        <v>6700</v>
      </c>
      <c r="O785" s="21" t="s">
        <v>6701</v>
      </c>
      <c r="P785" s="27">
        <v>0</v>
      </c>
      <c r="Q785" s="27">
        <v>10</v>
      </c>
      <c r="R785" s="21" t="s">
        <v>6702</v>
      </c>
      <c r="S785" s="21" t="s">
        <v>5568</v>
      </c>
      <c r="T785" s="21" t="s">
        <v>966</v>
      </c>
      <c r="U785" s="21" t="s">
        <v>6703</v>
      </c>
    </row>
    <row r="786" spans="1:21" ht="84">
      <c r="A786" s="21" t="s">
        <v>925</v>
      </c>
      <c r="B786" s="21" t="s">
        <v>304</v>
      </c>
      <c r="C786" s="21" t="s">
        <v>298</v>
      </c>
      <c r="D786" s="21" t="s">
        <v>180</v>
      </c>
      <c r="E786" s="21" t="s">
        <v>305</v>
      </c>
      <c r="F786" s="21" t="s">
        <v>2475</v>
      </c>
      <c r="G786" s="21" t="s">
        <v>6704</v>
      </c>
      <c r="H786" s="28">
        <v>37683</v>
      </c>
      <c r="I786" s="22">
        <v>2003</v>
      </c>
      <c r="J786" s="21" t="s">
        <v>958</v>
      </c>
      <c r="K786" s="21" t="s">
        <v>1013</v>
      </c>
      <c r="L786" s="21" t="s">
        <v>6705</v>
      </c>
      <c r="M786" s="21" t="s">
        <v>6096</v>
      </c>
      <c r="N786" s="21" t="s">
        <v>6706</v>
      </c>
      <c r="O786" s="21" t="s">
        <v>6707</v>
      </c>
      <c r="P786" s="27">
        <v>0</v>
      </c>
      <c r="Q786" s="27">
        <v>42</v>
      </c>
      <c r="R786" s="21" t="s">
        <v>6708</v>
      </c>
      <c r="S786" s="21" t="s">
        <v>5629</v>
      </c>
      <c r="T786" s="21" t="s">
        <v>4159</v>
      </c>
      <c r="U786" s="21" t="s">
        <v>6709</v>
      </c>
    </row>
    <row r="787" spans="1:21" ht="42">
      <c r="A787" s="21" t="s">
        <v>925</v>
      </c>
      <c r="B787" s="21" t="s">
        <v>304</v>
      </c>
      <c r="C787" s="21" t="s">
        <v>298</v>
      </c>
      <c r="D787" s="21" t="s">
        <v>180</v>
      </c>
      <c r="E787" s="21" t="s">
        <v>305</v>
      </c>
      <c r="F787" s="21" t="s">
        <v>2483</v>
      </c>
      <c r="G787" s="21" t="s">
        <v>6710</v>
      </c>
      <c r="H787" s="28">
        <v>43066</v>
      </c>
      <c r="I787" s="22">
        <v>2017</v>
      </c>
      <c r="J787" s="21" t="s">
        <v>958</v>
      </c>
      <c r="K787" s="21" t="s">
        <v>998</v>
      </c>
      <c r="L787" s="21" t="s">
        <v>6711</v>
      </c>
      <c r="M787" s="21" t="s">
        <v>5486</v>
      </c>
      <c r="N787" s="21" t="s">
        <v>5653</v>
      </c>
      <c r="O787" s="21" t="s">
        <v>6712</v>
      </c>
      <c r="P787" s="27">
        <v>0</v>
      </c>
      <c r="Q787" s="27">
        <v>6</v>
      </c>
      <c r="R787" s="21" t="s">
        <v>6713</v>
      </c>
      <c r="S787" s="21" t="s">
        <v>6204</v>
      </c>
      <c r="T787" s="21" t="s">
        <v>994</v>
      </c>
      <c r="U787" s="21" t="s">
        <v>6714</v>
      </c>
    </row>
    <row r="788" spans="1:21" ht="70">
      <c r="A788" s="21" t="s">
        <v>925</v>
      </c>
      <c r="B788" s="21" t="s">
        <v>304</v>
      </c>
      <c r="C788" s="21" t="s">
        <v>298</v>
      </c>
      <c r="D788" s="21" t="s">
        <v>180</v>
      </c>
      <c r="E788" s="21" t="s">
        <v>305</v>
      </c>
      <c r="F788" s="21" t="s">
        <v>2490</v>
      </c>
      <c r="G788" s="21" t="s">
        <v>6715</v>
      </c>
      <c r="H788" s="28">
        <v>42681</v>
      </c>
      <c r="I788" s="22">
        <v>2016</v>
      </c>
      <c r="J788" s="21" t="s">
        <v>958</v>
      </c>
      <c r="K788" s="21" t="s">
        <v>959</v>
      </c>
      <c r="L788" s="21" t="s">
        <v>6716</v>
      </c>
      <c r="M788" s="21" t="s">
        <v>5486</v>
      </c>
      <c r="N788" s="21" t="s">
        <v>6717</v>
      </c>
      <c r="O788" s="21" t="s">
        <v>6718</v>
      </c>
      <c r="P788" s="27">
        <v>0</v>
      </c>
      <c r="Q788" s="27">
        <v>58</v>
      </c>
      <c r="R788" s="21" t="s">
        <v>6719</v>
      </c>
      <c r="S788" s="21" t="s">
        <v>6720</v>
      </c>
      <c r="T788" s="21" t="s">
        <v>966</v>
      </c>
      <c r="U788" s="21" t="s">
        <v>6721</v>
      </c>
    </row>
    <row r="789" spans="1:21" ht="70">
      <c r="A789" s="21" t="s">
        <v>925</v>
      </c>
      <c r="B789" s="21" t="s">
        <v>304</v>
      </c>
      <c r="C789" s="21" t="s">
        <v>298</v>
      </c>
      <c r="D789" s="21" t="s">
        <v>180</v>
      </c>
      <c r="E789" s="21" t="s">
        <v>305</v>
      </c>
      <c r="F789" s="21" t="s">
        <v>2498</v>
      </c>
      <c r="G789" s="21" t="s">
        <v>6722</v>
      </c>
      <c r="H789" s="28">
        <v>43060</v>
      </c>
      <c r="I789" s="22">
        <v>2017</v>
      </c>
      <c r="J789" s="21" t="s">
        <v>958</v>
      </c>
      <c r="K789" s="21" t="s">
        <v>998</v>
      </c>
      <c r="L789" s="21" t="s">
        <v>6723</v>
      </c>
      <c r="M789" s="21" t="s">
        <v>5486</v>
      </c>
      <c r="N789" s="21" t="s">
        <v>5653</v>
      </c>
      <c r="O789" s="21" t="s">
        <v>6724</v>
      </c>
      <c r="P789" s="27">
        <v>0</v>
      </c>
      <c r="Q789" s="27">
        <v>8</v>
      </c>
      <c r="R789" s="21" t="s">
        <v>6725</v>
      </c>
      <c r="S789" s="21" t="s">
        <v>5568</v>
      </c>
      <c r="T789" s="21" t="s">
        <v>994</v>
      </c>
      <c r="U789" s="21" t="s">
        <v>6726</v>
      </c>
    </row>
    <row r="790" spans="1:21" ht="56">
      <c r="A790" s="21" t="s">
        <v>925</v>
      </c>
      <c r="B790" s="21" t="s">
        <v>304</v>
      </c>
      <c r="C790" s="21" t="s">
        <v>298</v>
      </c>
      <c r="D790" s="21" t="s">
        <v>180</v>
      </c>
      <c r="E790" s="21" t="s">
        <v>305</v>
      </c>
      <c r="F790" s="21" t="s">
        <v>2506</v>
      </c>
      <c r="G790" s="21" t="s">
        <v>6727</v>
      </c>
      <c r="H790" s="28">
        <v>43060</v>
      </c>
      <c r="I790" s="22">
        <v>2017</v>
      </c>
      <c r="J790" s="21" t="s">
        <v>958</v>
      </c>
      <c r="K790" s="21" t="s">
        <v>998</v>
      </c>
      <c r="L790" s="21" t="s">
        <v>6728</v>
      </c>
      <c r="M790" s="21" t="s">
        <v>5486</v>
      </c>
      <c r="N790" s="21" t="s">
        <v>6729</v>
      </c>
      <c r="O790" s="21" t="s">
        <v>6730</v>
      </c>
      <c r="P790" s="27">
        <v>0</v>
      </c>
      <c r="Q790" s="27">
        <v>11</v>
      </c>
      <c r="R790" s="21" t="s">
        <v>6731</v>
      </c>
      <c r="S790" s="21" t="s">
        <v>6732</v>
      </c>
      <c r="T790" s="21" t="s">
        <v>966</v>
      </c>
      <c r="U790" s="21" t="s">
        <v>6733</v>
      </c>
    </row>
    <row r="791" spans="1:21" ht="70">
      <c r="A791" s="21" t="s">
        <v>925</v>
      </c>
      <c r="B791" s="21" t="s">
        <v>304</v>
      </c>
      <c r="C791" s="21" t="s">
        <v>298</v>
      </c>
      <c r="D791" s="21" t="s">
        <v>180</v>
      </c>
      <c r="E791" s="21" t="s">
        <v>305</v>
      </c>
      <c r="F791" s="21" t="s">
        <v>2514</v>
      </c>
      <c r="G791" s="21" t="s">
        <v>6734</v>
      </c>
      <c r="H791" s="28">
        <v>43060</v>
      </c>
      <c r="I791" s="22">
        <v>2017</v>
      </c>
      <c r="J791" s="21" t="s">
        <v>958</v>
      </c>
      <c r="K791" s="21" t="s">
        <v>998</v>
      </c>
      <c r="L791" s="21" t="s">
        <v>6735</v>
      </c>
      <c r="M791" s="21" t="s">
        <v>5486</v>
      </c>
      <c r="N791" s="21" t="s">
        <v>6736</v>
      </c>
      <c r="O791" s="21" t="s">
        <v>6730</v>
      </c>
      <c r="P791" s="27">
        <v>0</v>
      </c>
      <c r="Q791" s="27">
        <v>13</v>
      </c>
      <c r="R791" s="21" t="s">
        <v>6737</v>
      </c>
      <c r="S791" s="21" t="s">
        <v>6738</v>
      </c>
      <c r="T791" s="21" t="s">
        <v>966</v>
      </c>
      <c r="U791" s="21" t="s">
        <v>6739</v>
      </c>
    </row>
    <row r="792" spans="1:21" ht="98">
      <c r="A792" s="21" t="s">
        <v>925</v>
      </c>
      <c r="B792" s="21" t="s">
        <v>304</v>
      </c>
      <c r="C792" s="21" t="s">
        <v>298</v>
      </c>
      <c r="D792" s="21" t="s">
        <v>180</v>
      </c>
      <c r="E792" s="21" t="s">
        <v>305</v>
      </c>
      <c r="F792" s="21" t="s">
        <v>2522</v>
      </c>
      <c r="G792" s="21" t="s">
        <v>6740</v>
      </c>
      <c r="H792" s="28">
        <v>43056</v>
      </c>
      <c r="I792" s="22">
        <v>2017</v>
      </c>
      <c r="J792" s="21" t="s">
        <v>958</v>
      </c>
      <c r="K792" s="21" t="s">
        <v>998</v>
      </c>
      <c r="L792" s="21" t="s">
        <v>6741</v>
      </c>
      <c r="M792" s="21" t="s">
        <v>5486</v>
      </c>
      <c r="N792" s="21" t="s">
        <v>5487</v>
      </c>
      <c r="O792" s="21" t="s">
        <v>6742</v>
      </c>
      <c r="P792" s="27">
        <v>0</v>
      </c>
      <c r="Q792" s="27">
        <v>8</v>
      </c>
      <c r="R792" s="21" t="s">
        <v>6743</v>
      </c>
      <c r="S792" s="21" t="s">
        <v>6744</v>
      </c>
      <c r="T792" s="21" t="s">
        <v>994</v>
      </c>
      <c r="U792" s="21" t="s">
        <v>6745</v>
      </c>
    </row>
    <row r="793" spans="1:21" ht="70">
      <c r="A793" s="21" t="s">
        <v>925</v>
      </c>
      <c r="B793" s="21" t="s">
        <v>304</v>
      </c>
      <c r="C793" s="21" t="s">
        <v>298</v>
      </c>
      <c r="D793" s="21" t="s">
        <v>180</v>
      </c>
      <c r="E793" s="21" t="s">
        <v>305</v>
      </c>
      <c r="F793" s="21" t="s">
        <v>2530</v>
      </c>
      <c r="G793" s="21" t="s">
        <v>6746</v>
      </c>
      <c r="H793" s="28">
        <v>43042</v>
      </c>
      <c r="I793" s="22">
        <v>2017</v>
      </c>
      <c r="J793" s="21" t="s">
        <v>958</v>
      </c>
      <c r="K793" s="21" t="s">
        <v>998</v>
      </c>
      <c r="L793" s="21" t="s">
        <v>6747</v>
      </c>
      <c r="M793" s="21" t="s">
        <v>5486</v>
      </c>
      <c r="N793" s="21" t="s">
        <v>5653</v>
      </c>
      <c r="O793" s="21" t="s">
        <v>6748</v>
      </c>
      <c r="P793" s="27">
        <v>0</v>
      </c>
      <c r="Q793" s="27">
        <v>7</v>
      </c>
      <c r="R793" s="21" t="s">
        <v>6749</v>
      </c>
      <c r="S793" s="21" t="s">
        <v>6750</v>
      </c>
      <c r="T793" s="21" t="s">
        <v>994</v>
      </c>
      <c r="U793" s="21" t="s">
        <v>6751</v>
      </c>
    </row>
    <row r="794" spans="1:21" ht="56">
      <c r="A794" s="21" t="s">
        <v>925</v>
      </c>
      <c r="B794" s="21" t="s">
        <v>304</v>
      </c>
      <c r="C794" s="21" t="s">
        <v>298</v>
      </c>
      <c r="D794" s="21" t="s">
        <v>180</v>
      </c>
      <c r="E794" s="21" t="s">
        <v>305</v>
      </c>
      <c r="F794" s="21" t="s">
        <v>2538</v>
      </c>
      <c r="G794" s="21" t="s">
        <v>6752</v>
      </c>
      <c r="H794" s="28">
        <v>43042</v>
      </c>
      <c r="I794" s="22">
        <v>2017</v>
      </c>
      <c r="J794" s="21" t="s">
        <v>958</v>
      </c>
      <c r="K794" s="21" t="s">
        <v>998</v>
      </c>
      <c r="L794" s="21" t="s">
        <v>6753</v>
      </c>
      <c r="M794" s="21" t="s">
        <v>5486</v>
      </c>
      <c r="N794" s="21" t="s">
        <v>5653</v>
      </c>
      <c r="O794" s="21" t="s">
        <v>5566</v>
      </c>
      <c r="P794" s="27">
        <v>0</v>
      </c>
      <c r="Q794" s="27">
        <v>14</v>
      </c>
      <c r="R794" s="21" t="s">
        <v>6754</v>
      </c>
      <c r="S794" s="21" t="s">
        <v>5754</v>
      </c>
      <c r="T794" s="21" t="s">
        <v>966</v>
      </c>
      <c r="U794" s="21" t="s">
        <v>6755</v>
      </c>
    </row>
    <row r="795" spans="1:21" ht="42">
      <c r="A795" s="21" t="s">
        <v>925</v>
      </c>
      <c r="B795" s="21" t="s">
        <v>304</v>
      </c>
      <c r="C795" s="21" t="s">
        <v>298</v>
      </c>
      <c r="D795" s="21" t="s">
        <v>180</v>
      </c>
      <c r="E795" s="21" t="s">
        <v>305</v>
      </c>
      <c r="F795" s="21" t="s">
        <v>2546</v>
      </c>
      <c r="G795" s="21" t="s">
        <v>6756</v>
      </c>
      <c r="H795" s="28">
        <v>43042</v>
      </c>
      <c r="I795" s="22">
        <v>2017</v>
      </c>
      <c r="J795" s="21" t="s">
        <v>958</v>
      </c>
      <c r="K795" s="21" t="s">
        <v>998</v>
      </c>
      <c r="L795" s="21" t="s">
        <v>6757</v>
      </c>
      <c r="M795" s="21" t="s">
        <v>5486</v>
      </c>
      <c r="N795" s="21" t="s">
        <v>5653</v>
      </c>
      <c r="O795" s="21" t="s">
        <v>6758</v>
      </c>
      <c r="P795" s="27">
        <v>0</v>
      </c>
      <c r="Q795" s="27">
        <v>8</v>
      </c>
      <c r="R795" s="21" t="s">
        <v>6759</v>
      </c>
      <c r="S795" s="21" t="s">
        <v>5663</v>
      </c>
      <c r="T795" s="21" t="s">
        <v>994</v>
      </c>
      <c r="U795" s="21" t="s">
        <v>6760</v>
      </c>
    </row>
    <row r="796" spans="1:21" ht="42">
      <c r="A796" s="21" t="s">
        <v>925</v>
      </c>
      <c r="B796" s="21" t="s">
        <v>304</v>
      </c>
      <c r="C796" s="21" t="s">
        <v>298</v>
      </c>
      <c r="D796" s="21" t="s">
        <v>180</v>
      </c>
      <c r="E796" s="21" t="s">
        <v>305</v>
      </c>
      <c r="F796" s="21" t="s">
        <v>2554</v>
      </c>
      <c r="G796" s="21" t="s">
        <v>6761</v>
      </c>
      <c r="H796" s="28">
        <v>43042</v>
      </c>
      <c r="I796" s="22">
        <v>2017</v>
      </c>
      <c r="J796" s="21" t="s">
        <v>958</v>
      </c>
      <c r="K796" s="21" t="s">
        <v>998</v>
      </c>
      <c r="L796" s="21" t="s">
        <v>6762</v>
      </c>
      <c r="M796" s="21" t="s">
        <v>5486</v>
      </c>
      <c r="N796" s="21" t="s">
        <v>5653</v>
      </c>
      <c r="O796" s="21" t="s">
        <v>5566</v>
      </c>
      <c r="P796" s="27">
        <v>0</v>
      </c>
      <c r="Q796" s="27">
        <v>13</v>
      </c>
      <c r="R796" s="21" t="s">
        <v>6763</v>
      </c>
      <c r="S796" s="21" t="s">
        <v>5754</v>
      </c>
      <c r="T796" s="21" t="s">
        <v>966</v>
      </c>
      <c r="U796" s="21" t="s">
        <v>6764</v>
      </c>
    </row>
    <row r="797" spans="1:21" ht="42">
      <c r="A797" s="21" t="s">
        <v>925</v>
      </c>
      <c r="B797" s="21" t="s">
        <v>304</v>
      </c>
      <c r="C797" s="21" t="s">
        <v>298</v>
      </c>
      <c r="D797" s="21" t="s">
        <v>180</v>
      </c>
      <c r="E797" s="21" t="s">
        <v>305</v>
      </c>
      <c r="F797" s="21" t="s">
        <v>2561</v>
      </c>
      <c r="G797" s="21" t="s">
        <v>6765</v>
      </c>
      <c r="H797" s="28">
        <v>43042</v>
      </c>
      <c r="I797" s="22">
        <v>2017</v>
      </c>
      <c r="J797" s="21" t="s">
        <v>958</v>
      </c>
      <c r="K797" s="21" t="s">
        <v>998</v>
      </c>
      <c r="L797" s="21" t="s">
        <v>6766</v>
      </c>
      <c r="M797" s="21" t="s">
        <v>5486</v>
      </c>
      <c r="N797" s="21" t="s">
        <v>5653</v>
      </c>
      <c r="O797" s="21" t="s">
        <v>5566</v>
      </c>
      <c r="P797" s="27">
        <v>0</v>
      </c>
      <c r="Q797" s="27">
        <v>10</v>
      </c>
      <c r="R797" s="21" t="s">
        <v>6767</v>
      </c>
      <c r="S797" s="21" t="s">
        <v>6768</v>
      </c>
      <c r="T797" s="21" t="s">
        <v>994</v>
      </c>
      <c r="U797" s="21" t="s">
        <v>6769</v>
      </c>
    </row>
    <row r="798" spans="1:21" ht="28">
      <c r="A798" s="21" t="s">
        <v>925</v>
      </c>
      <c r="B798" s="21" t="s">
        <v>304</v>
      </c>
      <c r="C798" s="21" t="s">
        <v>298</v>
      </c>
      <c r="D798" s="21" t="s">
        <v>180</v>
      </c>
      <c r="E798" s="21" t="s">
        <v>305</v>
      </c>
      <c r="F798" s="21" t="s">
        <v>2569</v>
      </c>
      <c r="G798" s="21" t="s">
        <v>6770</v>
      </c>
      <c r="H798" s="28">
        <v>43042</v>
      </c>
      <c r="I798" s="22">
        <v>2017</v>
      </c>
      <c r="J798" s="21" t="s">
        <v>958</v>
      </c>
      <c r="K798" s="21" t="s">
        <v>998</v>
      </c>
      <c r="L798" s="21" t="s">
        <v>6771</v>
      </c>
      <c r="M798" s="21" t="s">
        <v>5486</v>
      </c>
      <c r="N798" s="21" t="s">
        <v>5653</v>
      </c>
      <c r="O798" s="21" t="s">
        <v>6772</v>
      </c>
      <c r="P798" s="27">
        <v>0</v>
      </c>
      <c r="Q798" s="27">
        <v>9</v>
      </c>
      <c r="R798" s="21" t="s">
        <v>6773</v>
      </c>
      <c r="S798" s="21" t="s">
        <v>5629</v>
      </c>
      <c r="T798" s="21" t="s">
        <v>994</v>
      </c>
      <c r="U798" s="21" t="s">
        <v>6774</v>
      </c>
    </row>
    <row r="799" spans="1:21" ht="56">
      <c r="A799" s="21" t="s">
        <v>925</v>
      </c>
      <c r="B799" s="21" t="s">
        <v>304</v>
      </c>
      <c r="C799" s="21" t="s">
        <v>298</v>
      </c>
      <c r="D799" s="21" t="s">
        <v>180</v>
      </c>
      <c r="E799" s="21" t="s">
        <v>305</v>
      </c>
      <c r="F799" s="21" t="s">
        <v>2578</v>
      </c>
      <c r="G799" s="21" t="s">
        <v>6775</v>
      </c>
      <c r="H799" s="28">
        <v>43042</v>
      </c>
      <c r="I799" s="22">
        <v>2017</v>
      </c>
      <c r="J799" s="21" t="s">
        <v>958</v>
      </c>
      <c r="K799" s="21" t="s">
        <v>998</v>
      </c>
      <c r="L799" s="21" t="s">
        <v>6776</v>
      </c>
      <c r="M799" s="21" t="s">
        <v>5486</v>
      </c>
      <c r="N799" s="21" t="s">
        <v>5653</v>
      </c>
      <c r="O799" s="21" t="s">
        <v>5566</v>
      </c>
      <c r="P799" s="27">
        <v>0</v>
      </c>
      <c r="Q799" s="27">
        <v>14</v>
      </c>
      <c r="R799" s="21" t="s">
        <v>6777</v>
      </c>
      <c r="S799" s="21" t="s">
        <v>6750</v>
      </c>
      <c r="T799" s="21" t="s">
        <v>966</v>
      </c>
      <c r="U799" s="21" t="s">
        <v>6778</v>
      </c>
    </row>
    <row r="800" spans="1:21" ht="196">
      <c r="A800" s="21" t="s">
        <v>925</v>
      </c>
      <c r="B800" s="21" t="s">
        <v>304</v>
      </c>
      <c r="C800" s="21" t="s">
        <v>298</v>
      </c>
      <c r="D800" s="21" t="s">
        <v>180</v>
      </c>
      <c r="E800" s="21" t="s">
        <v>305</v>
      </c>
      <c r="F800" s="21" t="s">
        <v>2587</v>
      </c>
      <c r="G800" s="21" t="s">
        <v>6779</v>
      </c>
      <c r="H800" s="28">
        <v>42709</v>
      </c>
      <c r="I800" s="22">
        <v>2016</v>
      </c>
      <c r="J800" s="21" t="s">
        <v>958</v>
      </c>
      <c r="K800" s="21" t="s">
        <v>959</v>
      </c>
      <c r="L800" s="21" t="s">
        <v>6780</v>
      </c>
      <c r="M800" s="21" t="s">
        <v>6781</v>
      </c>
      <c r="N800" s="21" t="s">
        <v>6782</v>
      </c>
      <c r="O800" s="21" t="s">
        <v>6783</v>
      </c>
      <c r="P800" s="27">
        <v>0</v>
      </c>
      <c r="Q800" s="27">
        <v>47</v>
      </c>
      <c r="R800" s="21" t="s">
        <v>6784</v>
      </c>
      <c r="S800" s="21" t="s">
        <v>6785</v>
      </c>
      <c r="T800" s="21" t="s">
        <v>966</v>
      </c>
      <c r="U800" s="21" t="s">
        <v>6786</v>
      </c>
    </row>
    <row r="801" spans="1:21" ht="56">
      <c r="A801" s="21" t="s">
        <v>925</v>
      </c>
      <c r="B801" s="21" t="s">
        <v>304</v>
      </c>
      <c r="C801" s="21" t="s">
        <v>298</v>
      </c>
      <c r="D801" s="21" t="s">
        <v>180</v>
      </c>
      <c r="E801" s="21" t="s">
        <v>305</v>
      </c>
      <c r="F801" s="21" t="s">
        <v>2595</v>
      </c>
      <c r="G801" s="21" t="s">
        <v>6787</v>
      </c>
      <c r="H801" s="28">
        <v>43027</v>
      </c>
      <c r="I801" s="22">
        <v>2017</v>
      </c>
      <c r="J801" s="21" t="s">
        <v>958</v>
      </c>
      <c r="K801" s="21" t="s">
        <v>998</v>
      </c>
      <c r="L801" s="21" t="s">
        <v>6788</v>
      </c>
      <c r="M801" s="21" t="s">
        <v>5486</v>
      </c>
      <c r="N801" s="21" t="s">
        <v>5653</v>
      </c>
      <c r="O801" s="21" t="s">
        <v>6789</v>
      </c>
      <c r="P801" s="27">
        <v>0</v>
      </c>
      <c r="Q801" s="27">
        <v>10</v>
      </c>
      <c r="R801" s="21" t="s">
        <v>6790</v>
      </c>
      <c r="S801" s="21" t="s">
        <v>5682</v>
      </c>
      <c r="T801" s="21" t="s">
        <v>966</v>
      </c>
      <c r="U801" s="21" t="s">
        <v>6791</v>
      </c>
    </row>
    <row r="802" spans="1:21" ht="98">
      <c r="A802" s="21" t="s">
        <v>925</v>
      </c>
      <c r="B802" s="21" t="s">
        <v>304</v>
      </c>
      <c r="C802" s="21" t="s">
        <v>298</v>
      </c>
      <c r="D802" s="21" t="s">
        <v>180</v>
      </c>
      <c r="E802" s="21" t="s">
        <v>305</v>
      </c>
      <c r="F802" s="21" t="s">
        <v>2602</v>
      </c>
      <c r="G802" s="21" t="s">
        <v>6792</v>
      </c>
      <c r="H802" s="28">
        <v>42340</v>
      </c>
      <c r="I802" s="22">
        <v>2015</v>
      </c>
      <c r="J802" s="21" t="s">
        <v>958</v>
      </c>
      <c r="K802" s="21" t="s">
        <v>998</v>
      </c>
      <c r="L802" s="21" t="s">
        <v>6793</v>
      </c>
      <c r="M802" s="21" t="s">
        <v>5486</v>
      </c>
      <c r="N802" s="21" t="s">
        <v>5653</v>
      </c>
      <c r="O802" s="21" t="s">
        <v>6794</v>
      </c>
      <c r="P802" s="27">
        <v>0</v>
      </c>
      <c r="Q802" s="27">
        <v>21</v>
      </c>
      <c r="R802" s="21" t="s">
        <v>6795</v>
      </c>
      <c r="S802" s="21" t="s">
        <v>6796</v>
      </c>
      <c r="T802" s="21" t="s">
        <v>994</v>
      </c>
      <c r="U802" s="21" t="s">
        <v>6797</v>
      </c>
    </row>
    <row r="803" spans="1:21" ht="182">
      <c r="A803" s="21" t="s">
        <v>925</v>
      </c>
      <c r="B803" s="21" t="s">
        <v>304</v>
      </c>
      <c r="C803" s="21" t="s">
        <v>298</v>
      </c>
      <c r="D803" s="21" t="s">
        <v>180</v>
      </c>
      <c r="E803" s="21" t="s">
        <v>305</v>
      </c>
      <c r="F803" s="21" t="s">
        <v>2610</v>
      </c>
      <c r="G803" s="21" t="s">
        <v>6798</v>
      </c>
      <c r="H803" s="28">
        <v>39370</v>
      </c>
      <c r="I803" s="22">
        <v>2007</v>
      </c>
      <c r="J803" s="21" t="s">
        <v>958</v>
      </c>
      <c r="K803" s="21" t="s">
        <v>998</v>
      </c>
      <c r="L803" s="21" t="s">
        <v>6799</v>
      </c>
      <c r="M803" s="21" t="s">
        <v>5486</v>
      </c>
      <c r="N803" s="21" t="s">
        <v>5653</v>
      </c>
      <c r="O803" s="21" t="s">
        <v>6800</v>
      </c>
      <c r="P803" s="27">
        <v>0</v>
      </c>
      <c r="Q803" s="27">
        <v>214</v>
      </c>
      <c r="R803" s="21" t="s">
        <v>6801</v>
      </c>
      <c r="S803" s="21" t="s">
        <v>6802</v>
      </c>
      <c r="T803" s="21" t="s">
        <v>994</v>
      </c>
      <c r="U803" s="21" t="s">
        <v>6803</v>
      </c>
    </row>
    <row r="804" spans="1:21" ht="252">
      <c r="A804" s="21" t="s">
        <v>925</v>
      </c>
      <c r="B804" s="21" t="s">
        <v>304</v>
      </c>
      <c r="C804" s="21" t="s">
        <v>298</v>
      </c>
      <c r="D804" s="21" t="s">
        <v>180</v>
      </c>
      <c r="E804" s="21" t="s">
        <v>305</v>
      </c>
      <c r="F804" s="21" t="s">
        <v>2618</v>
      </c>
      <c r="G804" s="21" t="s">
        <v>6804</v>
      </c>
      <c r="H804" s="28">
        <v>42027</v>
      </c>
      <c r="I804" s="22">
        <v>2015</v>
      </c>
      <c r="J804" s="21" t="s">
        <v>958</v>
      </c>
      <c r="K804" s="21" t="s">
        <v>959</v>
      </c>
      <c r="L804" s="21" t="s">
        <v>6805</v>
      </c>
      <c r="M804" s="21" t="s">
        <v>5486</v>
      </c>
      <c r="N804" s="21" t="s">
        <v>6806</v>
      </c>
      <c r="O804" s="21" t="s">
        <v>6807</v>
      </c>
      <c r="P804" s="27">
        <v>0</v>
      </c>
      <c r="Q804" s="27">
        <v>80</v>
      </c>
      <c r="R804" s="21" t="s">
        <v>6808</v>
      </c>
      <c r="S804" s="21" t="s">
        <v>6809</v>
      </c>
      <c r="T804" s="21" t="s">
        <v>966</v>
      </c>
      <c r="U804" s="21" t="s">
        <v>6810</v>
      </c>
    </row>
    <row r="805" spans="1:21" ht="126">
      <c r="A805" s="21" t="s">
        <v>925</v>
      </c>
      <c r="B805" s="21" t="s">
        <v>304</v>
      </c>
      <c r="C805" s="21" t="s">
        <v>298</v>
      </c>
      <c r="D805" s="21" t="s">
        <v>180</v>
      </c>
      <c r="E805" s="21" t="s">
        <v>305</v>
      </c>
      <c r="F805" s="21" t="s">
        <v>2625</v>
      </c>
      <c r="G805" s="21" t="s">
        <v>6811</v>
      </c>
      <c r="H805" s="28">
        <v>42895</v>
      </c>
      <c r="I805" s="22">
        <v>2017</v>
      </c>
      <c r="J805" s="21" t="s">
        <v>958</v>
      </c>
      <c r="K805" s="21" t="s">
        <v>998</v>
      </c>
      <c r="L805" s="21" t="s">
        <v>6812</v>
      </c>
      <c r="M805" s="21" t="s">
        <v>5486</v>
      </c>
      <c r="N805" s="21" t="s">
        <v>6813</v>
      </c>
      <c r="O805" s="21" t="s">
        <v>6814</v>
      </c>
      <c r="P805" s="27">
        <v>0</v>
      </c>
      <c r="Q805" s="27">
        <v>21</v>
      </c>
      <c r="R805" s="21" t="s">
        <v>6815</v>
      </c>
      <c r="S805" s="21" t="s">
        <v>6816</v>
      </c>
      <c r="T805" s="21" t="s">
        <v>966</v>
      </c>
      <c r="U805" s="21" t="s">
        <v>6817</v>
      </c>
    </row>
    <row r="806" spans="1:21" ht="84">
      <c r="A806" s="21" t="s">
        <v>925</v>
      </c>
      <c r="B806" s="21" t="s">
        <v>304</v>
      </c>
      <c r="C806" s="21" t="s">
        <v>298</v>
      </c>
      <c r="D806" s="21" t="s">
        <v>180</v>
      </c>
      <c r="E806" s="21" t="s">
        <v>305</v>
      </c>
      <c r="F806" s="21" t="s">
        <v>2632</v>
      </c>
      <c r="G806" s="21" t="s">
        <v>6818</v>
      </c>
      <c r="H806" s="28">
        <v>39780</v>
      </c>
      <c r="I806" s="22">
        <v>2008</v>
      </c>
      <c r="J806" s="21" t="s">
        <v>958</v>
      </c>
      <c r="K806" s="21" t="s">
        <v>959</v>
      </c>
      <c r="L806" s="21" t="s">
        <v>6819</v>
      </c>
      <c r="M806" s="21" t="s">
        <v>5486</v>
      </c>
      <c r="N806" s="21" t="s">
        <v>6820</v>
      </c>
      <c r="O806" s="21" t="s">
        <v>6821</v>
      </c>
      <c r="P806" s="27">
        <v>0</v>
      </c>
      <c r="Q806" s="27">
        <v>44</v>
      </c>
      <c r="R806" s="21" t="s">
        <v>6822</v>
      </c>
      <c r="S806" s="21" t="s">
        <v>6823</v>
      </c>
      <c r="T806" s="21" t="s">
        <v>966</v>
      </c>
      <c r="U806" s="21" t="s">
        <v>6824</v>
      </c>
    </row>
    <row r="807" spans="1:21" ht="182">
      <c r="A807" s="21" t="s">
        <v>925</v>
      </c>
      <c r="B807" s="21" t="s">
        <v>304</v>
      </c>
      <c r="C807" s="21" t="s">
        <v>298</v>
      </c>
      <c r="D807" s="21" t="s">
        <v>180</v>
      </c>
      <c r="E807" s="21" t="s">
        <v>305</v>
      </c>
      <c r="F807" s="21" t="s">
        <v>2640</v>
      </c>
      <c r="G807" s="21" t="s">
        <v>6825</v>
      </c>
      <c r="H807" s="28">
        <v>42865</v>
      </c>
      <c r="I807" s="22">
        <v>2017</v>
      </c>
      <c r="J807" s="21" t="s">
        <v>958</v>
      </c>
      <c r="K807" s="21" t="s">
        <v>998</v>
      </c>
      <c r="L807" s="21" t="s">
        <v>6826</v>
      </c>
      <c r="M807" s="21" t="s">
        <v>5486</v>
      </c>
      <c r="N807" s="21" t="s">
        <v>5720</v>
      </c>
      <c r="O807" s="21" t="s">
        <v>6827</v>
      </c>
      <c r="P807" s="27">
        <v>0</v>
      </c>
      <c r="Q807" s="27">
        <v>38</v>
      </c>
      <c r="R807" s="21" t="s">
        <v>6828</v>
      </c>
      <c r="S807" s="21" t="s">
        <v>6829</v>
      </c>
      <c r="T807" s="21" t="s">
        <v>994</v>
      </c>
      <c r="U807" s="21" t="s">
        <v>6830</v>
      </c>
    </row>
    <row r="808" spans="1:21" ht="378">
      <c r="A808" s="21" t="s">
        <v>925</v>
      </c>
      <c r="B808" s="21" t="s">
        <v>304</v>
      </c>
      <c r="C808" s="21" t="s">
        <v>298</v>
      </c>
      <c r="D808" s="21" t="s">
        <v>180</v>
      </c>
      <c r="E808" s="21" t="s">
        <v>305</v>
      </c>
      <c r="F808" s="21" t="s">
        <v>2648</v>
      </c>
      <c r="G808" s="21" t="s">
        <v>6831</v>
      </c>
      <c r="H808" s="28">
        <v>42160</v>
      </c>
      <c r="I808" s="22">
        <v>2015</v>
      </c>
      <c r="J808" s="21" t="s">
        <v>958</v>
      </c>
      <c r="K808" s="21" t="s">
        <v>959</v>
      </c>
      <c r="L808" s="21" t="s">
        <v>6832</v>
      </c>
      <c r="M808" s="21" t="s">
        <v>6781</v>
      </c>
      <c r="N808" s="21" t="s">
        <v>6833</v>
      </c>
      <c r="O808" s="21" t="s">
        <v>6834</v>
      </c>
      <c r="P808" s="27">
        <v>0</v>
      </c>
      <c r="Q808" s="27">
        <v>25</v>
      </c>
      <c r="R808" s="21" t="s">
        <v>6835</v>
      </c>
      <c r="S808" s="21" t="s">
        <v>6836</v>
      </c>
      <c r="T808" s="21" t="s">
        <v>966</v>
      </c>
      <c r="U808" s="21" t="s">
        <v>6837</v>
      </c>
    </row>
    <row r="809" spans="1:21" ht="409.5">
      <c r="A809" s="21" t="s">
        <v>925</v>
      </c>
      <c r="B809" s="21" t="s">
        <v>304</v>
      </c>
      <c r="C809" s="21" t="s">
        <v>298</v>
      </c>
      <c r="D809" s="21" t="s">
        <v>180</v>
      </c>
      <c r="E809" s="21" t="s">
        <v>305</v>
      </c>
      <c r="F809" s="21" t="s">
        <v>2655</v>
      </c>
      <c r="G809" s="21" t="s">
        <v>6838</v>
      </c>
      <c r="H809" s="28">
        <v>42160</v>
      </c>
      <c r="I809" s="22">
        <v>2015</v>
      </c>
      <c r="J809" s="21" t="s">
        <v>958</v>
      </c>
      <c r="K809" s="21" t="s">
        <v>959</v>
      </c>
      <c r="L809" s="21" t="s">
        <v>6839</v>
      </c>
      <c r="M809" s="21" t="s">
        <v>6781</v>
      </c>
      <c r="N809" s="21" t="s">
        <v>6833</v>
      </c>
      <c r="O809" s="21" t="s">
        <v>6840</v>
      </c>
      <c r="P809" s="27">
        <v>0</v>
      </c>
      <c r="Q809" s="27">
        <v>30</v>
      </c>
      <c r="R809" s="21" t="s">
        <v>6841</v>
      </c>
      <c r="S809" s="21" t="s">
        <v>6842</v>
      </c>
      <c r="T809" s="21" t="s">
        <v>966</v>
      </c>
      <c r="U809" s="21" t="s">
        <v>6843</v>
      </c>
    </row>
    <row r="810" spans="1:21" ht="224">
      <c r="A810" s="21" t="s">
        <v>925</v>
      </c>
      <c r="B810" s="21" t="s">
        <v>304</v>
      </c>
      <c r="C810" s="21" t="s">
        <v>298</v>
      </c>
      <c r="D810" s="21" t="s">
        <v>180</v>
      </c>
      <c r="E810" s="21" t="s">
        <v>305</v>
      </c>
      <c r="F810" s="21" t="s">
        <v>2663</v>
      </c>
      <c r="G810" s="21" t="s">
        <v>6844</v>
      </c>
      <c r="H810" s="28">
        <v>42160</v>
      </c>
      <c r="I810" s="22">
        <v>2015</v>
      </c>
      <c r="J810" s="21" t="s">
        <v>958</v>
      </c>
      <c r="K810" s="21" t="s">
        <v>959</v>
      </c>
      <c r="L810" s="21" t="s">
        <v>6845</v>
      </c>
      <c r="M810" s="21" t="s">
        <v>6781</v>
      </c>
      <c r="N810" s="21" t="s">
        <v>6846</v>
      </c>
      <c r="O810" s="21" t="s">
        <v>6840</v>
      </c>
      <c r="P810" s="27">
        <v>0</v>
      </c>
      <c r="Q810" s="27">
        <v>30</v>
      </c>
      <c r="R810" s="21" t="s">
        <v>6847</v>
      </c>
      <c r="S810" s="21" t="s">
        <v>6848</v>
      </c>
      <c r="T810" s="21" t="s">
        <v>966</v>
      </c>
      <c r="U810" s="21" t="s">
        <v>6849</v>
      </c>
    </row>
    <row r="811" spans="1:21" ht="84">
      <c r="A811" s="21" t="s">
        <v>925</v>
      </c>
      <c r="B811" s="21" t="s">
        <v>304</v>
      </c>
      <c r="C811" s="21" t="s">
        <v>298</v>
      </c>
      <c r="D811" s="21" t="s">
        <v>180</v>
      </c>
      <c r="E811" s="21" t="s">
        <v>305</v>
      </c>
      <c r="F811" s="21" t="s">
        <v>2671</v>
      </c>
      <c r="G811" s="21" t="s">
        <v>6850</v>
      </c>
      <c r="H811" s="28">
        <v>41499</v>
      </c>
      <c r="I811" s="22">
        <v>2013</v>
      </c>
      <c r="J811" s="21" t="s">
        <v>958</v>
      </c>
      <c r="K811" s="21" t="s">
        <v>998</v>
      </c>
      <c r="L811" s="21" t="s">
        <v>6851</v>
      </c>
      <c r="M811" s="21" t="s">
        <v>5486</v>
      </c>
      <c r="N811" s="21" t="s">
        <v>6852</v>
      </c>
      <c r="O811" s="21" t="s">
        <v>6853</v>
      </c>
      <c r="P811" s="27">
        <v>1</v>
      </c>
      <c r="Q811" s="27">
        <v>19</v>
      </c>
      <c r="R811" s="21" t="s">
        <v>6854</v>
      </c>
      <c r="S811" s="21" t="s">
        <v>6855</v>
      </c>
      <c r="T811" s="21" t="s">
        <v>966</v>
      </c>
      <c r="U811" s="21" t="s">
        <v>6856</v>
      </c>
    </row>
    <row r="812" spans="1:21" ht="406">
      <c r="A812" s="21" t="s">
        <v>925</v>
      </c>
      <c r="B812" s="21" t="s">
        <v>304</v>
      </c>
      <c r="C812" s="21" t="s">
        <v>298</v>
      </c>
      <c r="D812" s="21" t="s">
        <v>180</v>
      </c>
      <c r="E812" s="21" t="s">
        <v>305</v>
      </c>
      <c r="F812" s="21" t="s">
        <v>2679</v>
      </c>
      <c r="G812" s="21" t="s">
        <v>6857</v>
      </c>
      <c r="H812" s="28">
        <v>42160</v>
      </c>
      <c r="I812" s="22">
        <v>2015</v>
      </c>
      <c r="J812" s="21" t="s">
        <v>958</v>
      </c>
      <c r="K812" s="21" t="s">
        <v>959</v>
      </c>
      <c r="L812" s="21" t="s">
        <v>6858</v>
      </c>
      <c r="M812" s="21" t="s">
        <v>6781</v>
      </c>
      <c r="N812" s="21" t="s">
        <v>6833</v>
      </c>
      <c r="O812" s="21" t="s">
        <v>6840</v>
      </c>
      <c r="P812" s="27">
        <v>0</v>
      </c>
      <c r="Q812" s="27">
        <v>31</v>
      </c>
      <c r="R812" s="21" t="s">
        <v>6859</v>
      </c>
      <c r="S812" s="21" t="s">
        <v>6860</v>
      </c>
      <c r="T812" s="21" t="s">
        <v>966</v>
      </c>
      <c r="U812" s="21" t="s">
        <v>6861</v>
      </c>
    </row>
    <row r="813" spans="1:21" ht="126">
      <c r="A813" s="21" t="s">
        <v>925</v>
      </c>
      <c r="B813" s="21" t="s">
        <v>304</v>
      </c>
      <c r="C813" s="21" t="s">
        <v>298</v>
      </c>
      <c r="D813" s="21" t="s">
        <v>180</v>
      </c>
      <c r="E813" s="21" t="s">
        <v>305</v>
      </c>
      <c r="F813" s="21" t="s">
        <v>2686</v>
      </c>
      <c r="G813" s="21" t="s">
        <v>6862</v>
      </c>
      <c r="H813" s="28">
        <v>42160</v>
      </c>
      <c r="I813" s="22">
        <v>2015</v>
      </c>
      <c r="J813" s="21" t="s">
        <v>958</v>
      </c>
      <c r="K813" s="21" t="s">
        <v>959</v>
      </c>
      <c r="L813" s="21" t="s">
        <v>6863</v>
      </c>
      <c r="M813" s="21" t="s">
        <v>6781</v>
      </c>
      <c r="N813" s="21" t="s">
        <v>6846</v>
      </c>
      <c r="O813" s="21" t="s">
        <v>6840</v>
      </c>
      <c r="P813" s="27">
        <v>0</v>
      </c>
      <c r="Q813" s="27">
        <v>28</v>
      </c>
      <c r="R813" s="21" t="s">
        <v>6864</v>
      </c>
      <c r="S813" s="21" t="s">
        <v>6865</v>
      </c>
      <c r="T813" s="21" t="s">
        <v>966</v>
      </c>
      <c r="U813" s="21" t="s">
        <v>6866</v>
      </c>
    </row>
    <row r="814" spans="1:21" ht="154">
      <c r="A814" s="21" t="s">
        <v>925</v>
      </c>
      <c r="B814" s="21" t="s">
        <v>304</v>
      </c>
      <c r="C814" s="21" t="s">
        <v>298</v>
      </c>
      <c r="D814" s="21" t="s">
        <v>180</v>
      </c>
      <c r="E814" s="21" t="s">
        <v>305</v>
      </c>
      <c r="F814" s="21" t="s">
        <v>2694</v>
      </c>
      <c r="G814" s="21" t="s">
        <v>6867</v>
      </c>
      <c r="H814" s="28">
        <v>42816</v>
      </c>
      <c r="I814" s="22">
        <v>2017</v>
      </c>
      <c r="J814" s="21" t="s">
        <v>958</v>
      </c>
      <c r="K814" s="21" t="s">
        <v>998</v>
      </c>
      <c r="L814" s="21" t="s">
        <v>6868</v>
      </c>
      <c r="M814" s="21" t="s">
        <v>5486</v>
      </c>
      <c r="N814" s="21" t="s">
        <v>5653</v>
      </c>
      <c r="O814" s="21" t="s">
        <v>6869</v>
      </c>
      <c r="P814" s="27">
        <v>0</v>
      </c>
      <c r="Q814" s="27">
        <v>12</v>
      </c>
      <c r="R814" s="21" t="s">
        <v>6870</v>
      </c>
      <c r="S814" s="21" t="s">
        <v>5649</v>
      </c>
      <c r="T814" s="21" t="s">
        <v>994</v>
      </c>
      <c r="U814" s="21" t="s">
        <v>6871</v>
      </c>
    </row>
    <row r="815" spans="1:21" ht="196">
      <c r="A815" s="21" t="s">
        <v>925</v>
      </c>
      <c r="B815" s="21" t="s">
        <v>304</v>
      </c>
      <c r="C815" s="21" t="s">
        <v>298</v>
      </c>
      <c r="D815" s="21" t="s">
        <v>180</v>
      </c>
      <c r="E815" s="21" t="s">
        <v>305</v>
      </c>
      <c r="F815" s="21" t="s">
        <v>2702</v>
      </c>
      <c r="G815" s="21" t="s">
        <v>6872</v>
      </c>
      <c r="H815" s="28">
        <v>41233</v>
      </c>
      <c r="I815" s="22">
        <v>2012</v>
      </c>
      <c r="J815" s="21" t="s">
        <v>958</v>
      </c>
      <c r="K815" s="21" t="s">
        <v>998</v>
      </c>
      <c r="L815" s="21" t="s">
        <v>6873</v>
      </c>
      <c r="M815" s="21" t="s">
        <v>5486</v>
      </c>
      <c r="N815" s="21" t="s">
        <v>5720</v>
      </c>
      <c r="O815" s="21" t="s">
        <v>6874</v>
      </c>
      <c r="P815" s="27">
        <v>3</v>
      </c>
      <c r="Q815" s="27">
        <v>81</v>
      </c>
      <c r="R815" s="21" t="s">
        <v>6875</v>
      </c>
      <c r="S815" s="21" t="s">
        <v>6876</v>
      </c>
      <c r="T815" s="21" t="s">
        <v>994</v>
      </c>
      <c r="U815" s="21" t="s">
        <v>6877</v>
      </c>
    </row>
    <row r="816" spans="1:21" ht="168">
      <c r="A816" s="21" t="s">
        <v>925</v>
      </c>
      <c r="B816" s="21" t="s">
        <v>304</v>
      </c>
      <c r="C816" s="21" t="s">
        <v>298</v>
      </c>
      <c r="D816" s="21" t="s">
        <v>180</v>
      </c>
      <c r="E816" s="21" t="s">
        <v>305</v>
      </c>
      <c r="F816" s="21" t="s">
        <v>2709</v>
      </c>
      <c r="G816" s="21" t="s">
        <v>6878</v>
      </c>
      <c r="H816" s="28">
        <v>40232</v>
      </c>
      <c r="I816" s="22">
        <v>2010</v>
      </c>
      <c r="J816" s="21" t="s">
        <v>958</v>
      </c>
      <c r="K816" s="21" t="s">
        <v>998</v>
      </c>
      <c r="L816" s="21" t="s">
        <v>6879</v>
      </c>
      <c r="M816" s="21" t="s">
        <v>5486</v>
      </c>
      <c r="N816" s="21" t="s">
        <v>5653</v>
      </c>
      <c r="O816" s="21" t="s">
        <v>6880</v>
      </c>
      <c r="P816" s="27">
        <v>0</v>
      </c>
      <c r="Q816" s="27">
        <v>43</v>
      </c>
      <c r="R816" s="21" t="s">
        <v>6881</v>
      </c>
      <c r="S816" s="21" t="s">
        <v>6882</v>
      </c>
      <c r="T816" s="21" t="s">
        <v>966</v>
      </c>
      <c r="U816" s="21" t="s">
        <v>6883</v>
      </c>
    </row>
    <row r="817" spans="1:21" ht="42">
      <c r="A817" s="21" t="s">
        <v>925</v>
      </c>
      <c r="B817" s="21" t="s">
        <v>304</v>
      </c>
      <c r="C817" s="21" t="s">
        <v>298</v>
      </c>
      <c r="D817" s="21" t="s">
        <v>180</v>
      </c>
      <c r="E817" s="21" t="s">
        <v>305</v>
      </c>
      <c r="F817" s="21" t="s">
        <v>2717</v>
      </c>
      <c r="G817" s="21" t="s">
        <v>6884</v>
      </c>
      <c r="H817" s="28">
        <v>42783</v>
      </c>
      <c r="I817" s="22">
        <v>2017</v>
      </c>
      <c r="J817" s="21" t="s">
        <v>958</v>
      </c>
      <c r="K817" s="21" t="s">
        <v>998</v>
      </c>
      <c r="L817" s="21" t="s">
        <v>6885</v>
      </c>
      <c r="M817" s="21" t="s">
        <v>5486</v>
      </c>
      <c r="N817" s="21" t="s">
        <v>6442</v>
      </c>
      <c r="O817" s="21" t="s">
        <v>6886</v>
      </c>
      <c r="P817" s="27">
        <v>0</v>
      </c>
      <c r="Q817" s="27">
        <v>10</v>
      </c>
      <c r="R817" s="21" t="s">
        <v>6887</v>
      </c>
      <c r="S817" s="21" t="s">
        <v>6888</v>
      </c>
      <c r="T817" s="21" t="s">
        <v>966</v>
      </c>
      <c r="U817" s="21" t="s">
        <v>6889</v>
      </c>
    </row>
    <row r="818" spans="1:21" ht="56">
      <c r="A818" s="21" t="s">
        <v>925</v>
      </c>
      <c r="B818" s="21" t="s">
        <v>304</v>
      </c>
      <c r="C818" s="21" t="s">
        <v>298</v>
      </c>
      <c r="D818" s="21" t="s">
        <v>180</v>
      </c>
      <c r="E818" s="21" t="s">
        <v>305</v>
      </c>
      <c r="F818" s="21" t="s">
        <v>2725</v>
      </c>
      <c r="G818" s="21" t="s">
        <v>6890</v>
      </c>
      <c r="H818" s="28">
        <v>41724</v>
      </c>
      <c r="I818" s="22">
        <v>2014</v>
      </c>
      <c r="J818" s="21" t="s">
        <v>958</v>
      </c>
      <c r="K818" s="21" t="s">
        <v>959</v>
      </c>
      <c r="L818" s="21" t="s">
        <v>6891</v>
      </c>
      <c r="M818" s="21" t="s">
        <v>5486</v>
      </c>
      <c r="N818" s="21" t="s">
        <v>6892</v>
      </c>
      <c r="O818" s="21" t="s">
        <v>6223</v>
      </c>
      <c r="P818" s="27">
        <v>0</v>
      </c>
      <c r="Q818" s="27">
        <v>9</v>
      </c>
      <c r="R818" s="21" t="s">
        <v>6893</v>
      </c>
      <c r="S818" s="21" t="s">
        <v>6894</v>
      </c>
      <c r="T818" s="21" t="s">
        <v>966</v>
      </c>
      <c r="U818" s="21" t="s">
        <v>6895</v>
      </c>
    </row>
    <row r="819" spans="1:21" ht="42">
      <c r="A819" s="21" t="s">
        <v>925</v>
      </c>
      <c r="B819" s="21" t="s">
        <v>304</v>
      </c>
      <c r="C819" s="21" t="s">
        <v>298</v>
      </c>
      <c r="D819" s="21" t="s">
        <v>180</v>
      </c>
      <c r="E819" s="21" t="s">
        <v>305</v>
      </c>
      <c r="F819" s="21" t="s">
        <v>2732</v>
      </c>
      <c r="G819" s="21" t="s">
        <v>6896</v>
      </c>
      <c r="H819" s="28">
        <v>42758</v>
      </c>
      <c r="I819" s="22">
        <v>2017</v>
      </c>
      <c r="J819" s="21" t="s">
        <v>958</v>
      </c>
      <c r="K819" s="21" t="s">
        <v>998</v>
      </c>
      <c r="L819" s="21" t="s">
        <v>6897</v>
      </c>
      <c r="M819" s="21" t="s">
        <v>5486</v>
      </c>
      <c r="N819" s="21" t="s">
        <v>5653</v>
      </c>
      <c r="O819" s="21" t="s">
        <v>6559</v>
      </c>
      <c r="P819" s="27">
        <v>0</v>
      </c>
      <c r="Q819" s="27">
        <v>12</v>
      </c>
      <c r="R819" s="21" t="s">
        <v>6898</v>
      </c>
      <c r="S819" s="21" t="s">
        <v>5975</v>
      </c>
      <c r="T819" s="21" t="s">
        <v>966</v>
      </c>
      <c r="U819" s="21" t="s">
        <v>6899</v>
      </c>
    </row>
    <row r="820" spans="1:21" ht="98">
      <c r="A820" s="21" t="s">
        <v>925</v>
      </c>
      <c r="B820" s="21" t="s">
        <v>304</v>
      </c>
      <c r="C820" s="21" t="s">
        <v>298</v>
      </c>
      <c r="D820" s="21" t="s">
        <v>180</v>
      </c>
      <c r="E820" s="21" t="s">
        <v>305</v>
      </c>
      <c r="F820" s="21" t="s">
        <v>2740</v>
      </c>
      <c r="G820" s="21" t="s">
        <v>6900</v>
      </c>
      <c r="H820" s="28">
        <v>42726</v>
      </c>
      <c r="I820" s="22">
        <v>2016</v>
      </c>
      <c r="J820" s="21" t="s">
        <v>958</v>
      </c>
      <c r="K820" s="21" t="s">
        <v>998</v>
      </c>
      <c r="L820" s="21" t="s">
        <v>6901</v>
      </c>
      <c r="M820" s="21" t="s">
        <v>5486</v>
      </c>
      <c r="N820" s="21" t="s">
        <v>5653</v>
      </c>
      <c r="O820" s="21" t="s">
        <v>6463</v>
      </c>
      <c r="P820" s="27">
        <v>1</v>
      </c>
      <c r="Q820" s="27">
        <v>20</v>
      </c>
      <c r="R820" s="21" t="s">
        <v>6902</v>
      </c>
      <c r="S820" s="21" t="s">
        <v>6903</v>
      </c>
      <c r="T820" s="21" t="s">
        <v>994</v>
      </c>
      <c r="U820" s="21" t="s">
        <v>6904</v>
      </c>
    </row>
    <row r="821" spans="1:21" ht="196">
      <c r="A821" s="21" t="s">
        <v>925</v>
      </c>
      <c r="B821" s="21" t="s">
        <v>304</v>
      </c>
      <c r="C821" s="21" t="s">
        <v>298</v>
      </c>
      <c r="D821" s="21" t="s">
        <v>180</v>
      </c>
      <c r="E821" s="21" t="s">
        <v>305</v>
      </c>
      <c r="F821" s="21" t="s">
        <v>2748</v>
      </c>
      <c r="G821" s="21" t="s">
        <v>6905</v>
      </c>
      <c r="H821" s="28">
        <v>42725</v>
      </c>
      <c r="I821" s="22">
        <v>2016</v>
      </c>
      <c r="J821" s="21" t="s">
        <v>958</v>
      </c>
      <c r="K821" s="21" t="s">
        <v>998</v>
      </c>
      <c r="L821" s="21" t="s">
        <v>6906</v>
      </c>
      <c r="M821" s="21" t="s">
        <v>6907</v>
      </c>
      <c r="N821" s="21" t="s">
        <v>6260</v>
      </c>
      <c r="O821" s="21" t="s">
        <v>6261</v>
      </c>
      <c r="P821" s="27">
        <v>0</v>
      </c>
      <c r="Q821" s="27">
        <v>12</v>
      </c>
      <c r="R821" s="21" t="s">
        <v>6908</v>
      </c>
      <c r="S821" s="21" t="s">
        <v>6909</v>
      </c>
      <c r="T821" s="21" t="s">
        <v>994</v>
      </c>
      <c r="U821" s="21" t="s">
        <v>6910</v>
      </c>
    </row>
    <row r="822" spans="1:21" ht="154">
      <c r="A822" s="21" t="s">
        <v>925</v>
      </c>
      <c r="B822" s="21" t="s">
        <v>304</v>
      </c>
      <c r="C822" s="21" t="s">
        <v>298</v>
      </c>
      <c r="D822" s="21" t="s">
        <v>180</v>
      </c>
      <c r="E822" s="21" t="s">
        <v>305</v>
      </c>
      <c r="F822" s="21" t="s">
        <v>2756</v>
      </c>
      <c r="G822" s="21" t="s">
        <v>6911</v>
      </c>
      <c r="H822" s="28">
        <v>41800</v>
      </c>
      <c r="I822" s="22">
        <v>2014</v>
      </c>
      <c r="J822" s="21" t="s">
        <v>958</v>
      </c>
      <c r="K822" s="21" t="s">
        <v>998</v>
      </c>
      <c r="L822" s="21" t="s">
        <v>6912</v>
      </c>
      <c r="M822" s="21" t="s">
        <v>6096</v>
      </c>
      <c r="N822" s="21" t="s">
        <v>6913</v>
      </c>
      <c r="O822" s="21" t="s">
        <v>6914</v>
      </c>
      <c r="P822" s="27">
        <v>0</v>
      </c>
      <c r="Q822" s="27">
        <v>25</v>
      </c>
      <c r="R822" s="21" t="s">
        <v>6915</v>
      </c>
      <c r="S822" s="21" t="s">
        <v>6916</v>
      </c>
      <c r="T822" s="21" t="s">
        <v>966</v>
      </c>
      <c r="U822" s="21" t="s">
        <v>6917</v>
      </c>
    </row>
    <row r="823" spans="1:21" ht="84">
      <c r="A823" s="21" t="s">
        <v>925</v>
      </c>
      <c r="B823" s="21" t="s">
        <v>304</v>
      </c>
      <c r="C823" s="21" t="s">
        <v>298</v>
      </c>
      <c r="D823" s="21" t="s">
        <v>180</v>
      </c>
      <c r="E823" s="21" t="s">
        <v>305</v>
      </c>
      <c r="F823" s="21" t="s">
        <v>2763</v>
      </c>
      <c r="G823" s="21" t="s">
        <v>6918</v>
      </c>
      <c r="H823" s="28">
        <v>39325</v>
      </c>
      <c r="I823" s="22">
        <v>2007</v>
      </c>
      <c r="J823" s="21" t="s">
        <v>958</v>
      </c>
      <c r="K823" s="21" t="s">
        <v>959</v>
      </c>
      <c r="L823" s="21" t="s">
        <v>6919</v>
      </c>
      <c r="M823" s="21" t="s">
        <v>6096</v>
      </c>
      <c r="N823" s="21" t="s">
        <v>6920</v>
      </c>
      <c r="O823" s="21" t="s">
        <v>6921</v>
      </c>
      <c r="P823" s="27">
        <v>0</v>
      </c>
      <c r="Q823" s="27">
        <v>17</v>
      </c>
      <c r="R823" s="21" t="s">
        <v>6922</v>
      </c>
      <c r="S823" s="21" t="s">
        <v>6923</v>
      </c>
      <c r="T823" s="21" t="s">
        <v>966</v>
      </c>
      <c r="U823" s="21" t="s">
        <v>6924</v>
      </c>
    </row>
    <row r="824" spans="1:21" ht="280">
      <c r="A824" s="21" t="s">
        <v>925</v>
      </c>
      <c r="B824" s="21" t="s">
        <v>304</v>
      </c>
      <c r="C824" s="21" t="s">
        <v>298</v>
      </c>
      <c r="D824" s="21" t="s">
        <v>180</v>
      </c>
      <c r="E824" s="21" t="s">
        <v>305</v>
      </c>
      <c r="F824" s="21" t="s">
        <v>2773</v>
      </c>
      <c r="G824" s="21" t="s">
        <v>6925</v>
      </c>
      <c r="H824" s="28">
        <v>42691</v>
      </c>
      <c r="I824" s="22">
        <v>2016</v>
      </c>
      <c r="J824" s="21" t="s">
        <v>958</v>
      </c>
      <c r="K824" s="21" t="s">
        <v>998</v>
      </c>
      <c r="L824" s="21" t="s">
        <v>6926</v>
      </c>
      <c r="M824" s="21" t="s">
        <v>5486</v>
      </c>
      <c r="N824" s="21" t="s">
        <v>5720</v>
      </c>
      <c r="O824" s="21" t="s">
        <v>6927</v>
      </c>
      <c r="P824" s="27">
        <v>1</v>
      </c>
      <c r="Q824" s="27">
        <v>27</v>
      </c>
      <c r="R824" s="21" t="s">
        <v>6928</v>
      </c>
      <c r="S824" s="21" t="s">
        <v>6929</v>
      </c>
      <c r="T824" s="21" t="s">
        <v>966</v>
      </c>
      <c r="U824" s="21" t="s">
        <v>6930</v>
      </c>
    </row>
    <row r="825" spans="1:21" ht="84">
      <c r="A825" s="21" t="s">
        <v>925</v>
      </c>
      <c r="B825" s="21" t="s">
        <v>304</v>
      </c>
      <c r="C825" s="21" t="s">
        <v>298</v>
      </c>
      <c r="D825" s="21" t="s">
        <v>180</v>
      </c>
      <c r="E825" s="21" t="s">
        <v>305</v>
      </c>
      <c r="F825" s="21" t="s">
        <v>2781</v>
      </c>
      <c r="G825" s="21" t="s">
        <v>6931</v>
      </c>
      <c r="H825" s="28">
        <v>42683</v>
      </c>
      <c r="I825" s="22">
        <v>2016</v>
      </c>
      <c r="J825" s="21" t="s">
        <v>958</v>
      </c>
      <c r="K825" s="21" t="s">
        <v>998</v>
      </c>
      <c r="L825" s="21" t="s">
        <v>6932</v>
      </c>
      <c r="M825" s="21" t="s">
        <v>6096</v>
      </c>
      <c r="N825" s="21" t="s">
        <v>6933</v>
      </c>
      <c r="O825" s="21" t="s">
        <v>6934</v>
      </c>
      <c r="P825" s="27">
        <v>0</v>
      </c>
      <c r="Q825" s="27">
        <v>12</v>
      </c>
      <c r="R825" s="21" t="s">
        <v>6935</v>
      </c>
      <c r="S825" s="21" t="s">
        <v>6029</v>
      </c>
      <c r="T825" s="21" t="s">
        <v>966</v>
      </c>
      <c r="U825" s="21" t="s">
        <v>6936</v>
      </c>
    </row>
    <row r="826" spans="1:21" ht="168">
      <c r="A826" s="21" t="s">
        <v>925</v>
      </c>
      <c r="B826" s="21" t="s">
        <v>304</v>
      </c>
      <c r="C826" s="21" t="s">
        <v>298</v>
      </c>
      <c r="D826" s="21" t="s">
        <v>180</v>
      </c>
      <c r="E826" s="21" t="s">
        <v>305</v>
      </c>
      <c r="F826" s="21" t="s">
        <v>2789</v>
      </c>
      <c r="G826" s="21" t="s">
        <v>6937</v>
      </c>
      <c r="H826" s="28">
        <v>42663</v>
      </c>
      <c r="I826" s="22">
        <v>2016</v>
      </c>
      <c r="J826" s="21" t="s">
        <v>958</v>
      </c>
      <c r="K826" s="21" t="s">
        <v>998</v>
      </c>
      <c r="L826" s="21" t="s">
        <v>6938</v>
      </c>
      <c r="M826" s="21" t="s">
        <v>5486</v>
      </c>
      <c r="N826" s="21" t="s">
        <v>6939</v>
      </c>
      <c r="O826" s="21" t="s">
        <v>6940</v>
      </c>
      <c r="P826" s="27">
        <v>1</v>
      </c>
      <c r="Q826" s="27">
        <v>28</v>
      </c>
      <c r="R826" s="21" t="s">
        <v>6941</v>
      </c>
      <c r="S826" s="21" t="s">
        <v>1075</v>
      </c>
      <c r="T826" s="21" t="s">
        <v>994</v>
      </c>
      <c r="U826" s="21" t="s">
        <v>6942</v>
      </c>
    </row>
    <row r="827" spans="1:21" ht="112">
      <c r="A827" s="21" t="s">
        <v>925</v>
      </c>
      <c r="B827" s="21" t="s">
        <v>304</v>
      </c>
      <c r="C827" s="21" t="s">
        <v>298</v>
      </c>
      <c r="D827" s="21" t="s">
        <v>180</v>
      </c>
      <c r="E827" s="21" t="s">
        <v>305</v>
      </c>
      <c r="F827" s="21" t="s">
        <v>2797</v>
      </c>
      <c r="G827" s="21" t="s">
        <v>6943</v>
      </c>
      <c r="H827" s="28">
        <v>41191</v>
      </c>
      <c r="I827" s="22">
        <v>2012</v>
      </c>
      <c r="J827" s="21" t="s">
        <v>958</v>
      </c>
      <c r="K827" s="21" t="s">
        <v>959</v>
      </c>
      <c r="L827" s="21" t="s">
        <v>6944</v>
      </c>
      <c r="M827" s="21" t="s">
        <v>5486</v>
      </c>
      <c r="N827" s="21" t="s">
        <v>6945</v>
      </c>
      <c r="O827" s="21" t="s">
        <v>6946</v>
      </c>
      <c r="P827" s="27">
        <v>0</v>
      </c>
      <c r="Q827" s="27">
        <v>68</v>
      </c>
      <c r="R827" s="21" t="s">
        <v>6947</v>
      </c>
      <c r="S827" s="21" t="s">
        <v>6948</v>
      </c>
      <c r="T827" s="21" t="s">
        <v>966</v>
      </c>
      <c r="U827" s="21" t="s">
        <v>6949</v>
      </c>
    </row>
    <row r="828" spans="1:21" ht="42">
      <c r="A828" s="21" t="s">
        <v>925</v>
      </c>
      <c r="B828" s="21" t="s">
        <v>304</v>
      </c>
      <c r="C828" s="21" t="s">
        <v>298</v>
      </c>
      <c r="D828" s="21" t="s">
        <v>180</v>
      </c>
      <c r="E828" s="21" t="s">
        <v>305</v>
      </c>
      <c r="F828" s="21" t="s">
        <v>2805</v>
      </c>
      <c r="G828" s="21" t="s">
        <v>6950</v>
      </c>
      <c r="H828" s="28">
        <v>42612</v>
      </c>
      <c r="I828" s="22">
        <v>2016</v>
      </c>
      <c r="J828" s="21" t="s">
        <v>958</v>
      </c>
      <c r="K828" s="21" t="s">
        <v>998</v>
      </c>
      <c r="L828" s="21" t="s">
        <v>6951</v>
      </c>
      <c r="M828" s="21" t="s">
        <v>6096</v>
      </c>
      <c r="N828" s="21" t="s">
        <v>6952</v>
      </c>
      <c r="O828" s="21" t="s">
        <v>5534</v>
      </c>
      <c r="P828" s="27">
        <v>0</v>
      </c>
      <c r="Q828" s="27">
        <v>10</v>
      </c>
      <c r="R828" s="21" t="s">
        <v>6953</v>
      </c>
      <c r="S828" s="21" t="s">
        <v>6219</v>
      </c>
      <c r="T828" s="21" t="s">
        <v>966</v>
      </c>
      <c r="U828" s="21" t="s">
        <v>6954</v>
      </c>
    </row>
    <row r="829" spans="1:21" ht="98">
      <c r="A829" s="21" t="s">
        <v>925</v>
      </c>
      <c r="B829" s="21" t="s">
        <v>304</v>
      </c>
      <c r="C829" s="21" t="s">
        <v>298</v>
      </c>
      <c r="D829" s="21" t="s">
        <v>180</v>
      </c>
      <c r="E829" s="21" t="s">
        <v>305</v>
      </c>
      <c r="F829" s="21" t="s">
        <v>2814</v>
      </c>
      <c r="G829" s="21" t="s">
        <v>6955</v>
      </c>
      <c r="H829" s="28">
        <v>42618</v>
      </c>
      <c r="I829" s="22">
        <v>2016</v>
      </c>
      <c r="J829" s="21" t="s">
        <v>958</v>
      </c>
      <c r="K829" s="21" t="s">
        <v>998</v>
      </c>
      <c r="L829" s="21" t="s">
        <v>6956</v>
      </c>
      <c r="M829" s="21" t="s">
        <v>5486</v>
      </c>
      <c r="N829" s="21" t="s">
        <v>5720</v>
      </c>
      <c r="O829" s="21" t="s">
        <v>6957</v>
      </c>
      <c r="P829" s="27">
        <v>0</v>
      </c>
      <c r="Q829" s="27">
        <v>20</v>
      </c>
      <c r="R829" s="21" t="s">
        <v>6958</v>
      </c>
      <c r="S829" s="21" t="s">
        <v>6959</v>
      </c>
      <c r="T829" s="21" t="s">
        <v>994</v>
      </c>
      <c r="U829" s="21" t="s">
        <v>6960</v>
      </c>
    </row>
    <row r="830" spans="1:21" ht="112">
      <c r="A830" s="21" t="s">
        <v>925</v>
      </c>
      <c r="B830" s="21" t="s">
        <v>304</v>
      </c>
      <c r="C830" s="21" t="s">
        <v>298</v>
      </c>
      <c r="D830" s="21" t="s">
        <v>180</v>
      </c>
      <c r="E830" s="21" t="s">
        <v>305</v>
      </c>
      <c r="F830" s="21" t="s">
        <v>2822</v>
      </c>
      <c r="G830" s="21" t="s">
        <v>6961</v>
      </c>
      <c r="H830" s="28">
        <v>41992</v>
      </c>
      <c r="I830" s="22">
        <v>2014</v>
      </c>
      <c r="J830" s="21" t="s">
        <v>958</v>
      </c>
      <c r="K830" s="21" t="s">
        <v>959</v>
      </c>
      <c r="L830" s="21" t="s">
        <v>6962</v>
      </c>
      <c r="M830" s="21" t="s">
        <v>6449</v>
      </c>
      <c r="N830" s="21" t="s">
        <v>6963</v>
      </c>
      <c r="O830" s="21" t="s">
        <v>6964</v>
      </c>
      <c r="P830" s="27">
        <v>0</v>
      </c>
      <c r="Q830" s="27">
        <v>15</v>
      </c>
      <c r="R830" s="21" t="s">
        <v>6965</v>
      </c>
      <c r="S830" s="21" t="s">
        <v>6966</v>
      </c>
      <c r="T830" s="21" t="s">
        <v>966</v>
      </c>
      <c r="U830" s="21" t="s">
        <v>6967</v>
      </c>
    </row>
    <row r="831" spans="1:21" ht="140">
      <c r="A831" s="21" t="s">
        <v>925</v>
      </c>
      <c r="B831" s="21" t="s">
        <v>304</v>
      </c>
      <c r="C831" s="21" t="s">
        <v>298</v>
      </c>
      <c r="D831" s="21" t="s">
        <v>180</v>
      </c>
      <c r="E831" s="21" t="s">
        <v>305</v>
      </c>
      <c r="F831" s="21" t="s">
        <v>2830</v>
      </c>
      <c r="G831" s="21" t="s">
        <v>6968</v>
      </c>
      <c r="H831" s="28">
        <v>42556</v>
      </c>
      <c r="I831" s="22">
        <v>2016</v>
      </c>
      <c r="J831" s="21" t="s">
        <v>958</v>
      </c>
      <c r="K831" s="21" t="s">
        <v>998</v>
      </c>
      <c r="L831" s="21" t="s">
        <v>6969</v>
      </c>
      <c r="M831" s="21" t="s">
        <v>5486</v>
      </c>
      <c r="N831" s="21" t="s">
        <v>6442</v>
      </c>
      <c r="O831" s="21" t="s">
        <v>6970</v>
      </c>
      <c r="P831" s="27">
        <v>0</v>
      </c>
      <c r="Q831" s="27">
        <v>30</v>
      </c>
      <c r="R831" s="21" t="s">
        <v>6971</v>
      </c>
      <c r="S831" s="21" t="s">
        <v>6192</v>
      </c>
      <c r="T831" s="21" t="s">
        <v>966</v>
      </c>
      <c r="U831" s="21" t="s">
        <v>6972</v>
      </c>
    </row>
    <row r="832" spans="1:21" ht="70">
      <c r="A832" s="21" t="s">
        <v>925</v>
      </c>
      <c r="B832" s="21" t="s">
        <v>304</v>
      </c>
      <c r="C832" s="21" t="s">
        <v>298</v>
      </c>
      <c r="D832" s="21" t="s">
        <v>180</v>
      </c>
      <c r="E832" s="21" t="s">
        <v>305</v>
      </c>
      <c r="F832" s="21" t="s">
        <v>2838</v>
      </c>
      <c r="G832" s="21" t="s">
        <v>6973</v>
      </c>
      <c r="H832" s="28">
        <v>42523</v>
      </c>
      <c r="I832" s="22">
        <v>2016</v>
      </c>
      <c r="J832" s="21" t="s">
        <v>958</v>
      </c>
      <c r="K832" s="21" t="s">
        <v>998</v>
      </c>
      <c r="L832" s="21" t="s">
        <v>6974</v>
      </c>
      <c r="M832" s="21" t="s">
        <v>5540</v>
      </c>
      <c r="N832" s="21" t="s">
        <v>5541</v>
      </c>
      <c r="O832" s="21" t="s">
        <v>6975</v>
      </c>
      <c r="P832" s="27">
        <v>0</v>
      </c>
      <c r="Q832" s="27">
        <v>12</v>
      </c>
      <c r="R832" s="21" t="s">
        <v>6976</v>
      </c>
      <c r="S832" s="21" t="s">
        <v>6977</v>
      </c>
      <c r="T832" s="21" t="s">
        <v>994</v>
      </c>
      <c r="U832" s="21" t="s">
        <v>6978</v>
      </c>
    </row>
    <row r="833" spans="1:21" ht="154">
      <c r="A833" s="21" t="s">
        <v>925</v>
      </c>
      <c r="B833" s="21" t="s">
        <v>304</v>
      </c>
      <c r="C833" s="21" t="s">
        <v>298</v>
      </c>
      <c r="D833" s="21" t="s">
        <v>180</v>
      </c>
      <c r="E833" s="21" t="s">
        <v>305</v>
      </c>
      <c r="F833" s="21" t="s">
        <v>2846</v>
      </c>
      <c r="G833" s="21" t="s">
        <v>6979</v>
      </c>
      <c r="H833" s="28">
        <v>42524</v>
      </c>
      <c r="I833" s="22">
        <v>2016</v>
      </c>
      <c r="J833" s="21" t="s">
        <v>958</v>
      </c>
      <c r="K833" s="21" t="s">
        <v>998</v>
      </c>
      <c r="L833" s="21" t="s">
        <v>6980</v>
      </c>
      <c r="M833" s="21" t="s">
        <v>5540</v>
      </c>
      <c r="N833" s="21" t="s">
        <v>5541</v>
      </c>
      <c r="O833" s="21" t="s">
        <v>6981</v>
      </c>
      <c r="P833" s="27">
        <v>0</v>
      </c>
      <c r="Q833" s="27">
        <v>34</v>
      </c>
      <c r="R833" s="21" t="s">
        <v>6982</v>
      </c>
      <c r="S833" s="21" t="s">
        <v>6983</v>
      </c>
      <c r="T833" s="21" t="s">
        <v>994</v>
      </c>
      <c r="U833" s="21" t="s">
        <v>6984</v>
      </c>
    </row>
    <row r="834" spans="1:21" ht="224">
      <c r="A834" s="21" t="s">
        <v>925</v>
      </c>
      <c r="B834" s="21" t="s">
        <v>304</v>
      </c>
      <c r="C834" s="21" t="s">
        <v>298</v>
      </c>
      <c r="D834" s="21" t="s">
        <v>180</v>
      </c>
      <c r="E834" s="21" t="s">
        <v>305</v>
      </c>
      <c r="F834" s="21" t="s">
        <v>2853</v>
      </c>
      <c r="G834" s="21" t="s">
        <v>6985</v>
      </c>
      <c r="H834" s="28">
        <v>41250</v>
      </c>
      <c r="I834" s="22">
        <v>2012</v>
      </c>
      <c r="J834" s="21" t="s">
        <v>958</v>
      </c>
      <c r="K834" s="21" t="s">
        <v>959</v>
      </c>
      <c r="L834" s="21" t="s">
        <v>6986</v>
      </c>
      <c r="M834" s="21" t="s">
        <v>6987</v>
      </c>
      <c r="N834" s="21" t="s">
        <v>6988</v>
      </c>
      <c r="O834" s="21" t="s">
        <v>6989</v>
      </c>
      <c r="P834" s="27">
        <v>0</v>
      </c>
      <c r="Q834" s="27">
        <v>58</v>
      </c>
      <c r="R834" s="21" t="s">
        <v>6990</v>
      </c>
      <c r="S834" s="21" t="s">
        <v>6991</v>
      </c>
      <c r="T834" s="21" t="s">
        <v>966</v>
      </c>
      <c r="U834" s="21" t="s">
        <v>6992</v>
      </c>
    </row>
    <row r="835" spans="1:21" ht="112">
      <c r="A835" s="21" t="s">
        <v>925</v>
      </c>
      <c r="B835" s="21" t="s">
        <v>304</v>
      </c>
      <c r="C835" s="21" t="s">
        <v>298</v>
      </c>
      <c r="D835" s="21" t="s">
        <v>180</v>
      </c>
      <c r="E835" s="21" t="s">
        <v>305</v>
      </c>
      <c r="F835" s="21" t="s">
        <v>2861</v>
      </c>
      <c r="G835" s="21" t="s">
        <v>6993</v>
      </c>
      <c r="H835" s="28">
        <v>41736</v>
      </c>
      <c r="I835" s="22">
        <v>2014</v>
      </c>
      <c r="J835" s="21" t="s">
        <v>958</v>
      </c>
      <c r="K835" s="21" t="s">
        <v>959</v>
      </c>
      <c r="L835" s="21" t="s">
        <v>6994</v>
      </c>
      <c r="M835" s="21" t="s">
        <v>5486</v>
      </c>
      <c r="N835" s="21" t="s">
        <v>6892</v>
      </c>
      <c r="O835" s="21" t="s">
        <v>6995</v>
      </c>
      <c r="P835" s="27">
        <v>0</v>
      </c>
      <c r="Q835" s="27">
        <v>22</v>
      </c>
      <c r="R835" s="21" t="s">
        <v>6996</v>
      </c>
      <c r="S835" s="21" t="s">
        <v>6997</v>
      </c>
      <c r="T835" s="21" t="s">
        <v>966</v>
      </c>
      <c r="U835" s="21" t="s">
        <v>6998</v>
      </c>
    </row>
    <row r="836" spans="1:21" ht="112">
      <c r="A836" s="21" t="s">
        <v>925</v>
      </c>
      <c r="B836" s="21" t="s">
        <v>304</v>
      </c>
      <c r="C836" s="21" t="s">
        <v>298</v>
      </c>
      <c r="D836" s="21" t="s">
        <v>180</v>
      </c>
      <c r="E836" s="21" t="s">
        <v>305</v>
      </c>
      <c r="F836" s="21" t="s">
        <v>2868</v>
      </c>
      <c r="G836" s="21" t="s">
        <v>6999</v>
      </c>
      <c r="H836" s="28">
        <v>39896</v>
      </c>
      <c r="I836" s="22">
        <v>2009</v>
      </c>
      <c r="J836" s="21" t="s">
        <v>958</v>
      </c>
      <c r="K836" s="21" t="s">
        <v>959</v>
      </c>
      <c r="L836" s="21" t="s">
        <v>7000</v>
      </c>
      <c r="M836" s="21" t="s">
        <v>6096</v>
      </c>
      <c r="N836" s="21" t="s">
        <v>7001</v>
      </c>
      <c r="O836" s="21" t="s">
        <v>7002</v>
      </c>
      <c r="P836" s="27">
        <v>0</v>
      </c>
      <c r="Q836" s="27">
        <v>18</v>
      </c>
      <c r="R836" s="21" t="s">
        <v>7003</v>
      </c>
      <c r="S836" s="21" t="s">
        <v>7004</v>
      </c>
      <c r="T836" s="21" t="s">
        <v>966</v>
      </c>
      <c r="U836" s="21" t="s">
        <v>7005</v>
      </c>
    </row>
    <row r="837" spans="1:21" ht="140">
      <c r="A837" s="21" t="s">
        <v>925</v>
      </c>
      <c r="B837" s="21" t="s">
        <v>304</v>
      </c>
      <c r="C837" s="21" t="s">
        <v>298</v>
      </c>
      <c r="D837" s="21" t="s">
        <v>180</v>
      </c>
      <c r="E837" s="21" t="s">
        <v>305</v>
      </c>
      <c r="F837" s="21" t="s">
        <v>2876</v>
      </c>
      <c r="G837" s="21" t="s">
        <v>7006</v>
      </c>
      <c r="H837" s="28">
        <v>41627</v>
      </c>
      <c r="I837" s="22">
        <v>2013</v>
      </c>
      <c r="J837" s="21" t="s">
        <v>958</v>
      </c>
      <c r="K837" s="21" t="s">
        <v>959</v>
      </c>
      <c r="L837" s="21" t="s">
        <v>7007</v>
      </c>
      <c r="M837" s="21" t="s">
        <v>5486</v>
      </c>
      <c r="N837" s="21" t="s">
        <v>6892</v>
      </c>
      <c r="O837" s="21" t="s">
        <v>7008</v>
      </c>
      <c r="P837" s="27">
        <v>0</v>
      </c>
      <c r="Q837" s="27">
        <v>19</v>
      </c>
      <c r="R837" s="21" t="s">
        <v>7009</v>
      </c>
      <c r="S837" s="21" t="s">
        <v>7010</v>
      </c>
      <c r="T837" s="21" t="s">
        <v>966</v>
      </c>
      <c r="U837" s="21" t="s">
        <v>7011</v>
      </c>
    </row>
    <row r="838" spans="1:21" ht="70">
      <c r="A838" s="21" t="s">
        <v>925</v>
      </c>
      <c r="B838" s="21" t="s">
        <v>304</v>
      </c>
      <c r="C838" s="21" t="s">
        <v>298</v>
      </c>
      <c r="D838" s="21" t="s">
        <v>180</v>
      </c>
      <c r="E838" s="21" t="s">
        <v>305</v>
      </c>
      <c r="F838" s="21" t="s">
        <v>2884</v>
      </c>
      <c r="G838" s="21" t="s">
        <v>7012</v>
      </c>
      <c r="H838" s="28">
        <v>40994</v>
      </c>
      <c r="I838" s="22">
        <v>2012</v>
      </c>
      <c r="J838" s="21" t="s">
        <v>958</v>
      </c>
      <c r="K838" s="21" t="s">
        <v>998</v>
      </c>
      <c r="L838" s="21" t="s">
        <v>7013</v>
      </c>
      <c r="M838" s="21" t="s">
        <v>5486</v>
      </c>
      <c r="N838" s="21" t="s">
        <v>7014</v>
      </c>
      <c r="O838" s="21" t="s">
        <v>7015</v>
      </c>
      <c r="P838" s="27">
        <v>3</v>
      </c>
      <c r="Q838" s="27">
        <v>21</v>
      </c>
      <c r="R838" s="21" t="s">
        <v>7016</v>
      </c>
      <c r="S838" s="21" t="s">
        <v>6192</v>
      </c>
      <c r="T838" s="21" t="s">
        <v>966</v>
      </c>
      <c r="U838" s="21" t="s">
        <v>7017</v>
      </c>
    </row>
    <row r="839" spans="1:21" ht="56">
      <c r="A839" s="21" t="s">
        <v>925</v>
      </c>
      <c r="B839" s="21" t="s">
        <v>304</v>
      </c>
      <c r="C839" s="21" t="s">
        <v>298</v>
      </c>
      <c r="D839" s="21" t="s">
        <v>180</v>
      </c>
      <c r="E839" s="21" t="s">
        <v>305</v>
      </c>
      <c r="F839" s="21" t="s">
        <v>2892</v>
      </c>
      <c r="G839" s="21" t="s">
        <v>7018</v>
      </c>
      <c r="H839" s="28">
        <v>42444</v>
      </c>
      <c r="I839" s="22">
        <v>2016</v>
      </c>
      <c r="J839" s="21" t="s">
        <v>958</v>
      </c>
      <c r="K839" s="21" t="s">
        <v>998</v>
      </c>
      <c r="L839" s="21" t="s">
        <v>7019</v>
      </c>
      <c r="M839" s="21" t="s">
        <v>5486</v>
      </c>
      <c r="N839" s="21" t="s">
        <v>5653</v>
      </c>
      <c r="O839" s="21" t="s">
        <v>7020</v>
      </c>
      <c r="P839" s="27">
        <v>0</v>
      </c>
      <c r="Q839" s="27">
        <v>4</v>
      </c>
      <c r="R839" s="21" t="s">
        <v>7021</v>
      </c>
      <c r="S839" s="21" t="s">
        <v>5629</v>
      </c>
      <c r="T839" s="21" t="s">
        <v>1148</v>
      </c>
      <c r="U839" s="21" t="s">
        <v>7022</v>
      </c>
    </row>
    <row r="840" spans="1:21" ht="70">
      <c r="A840" s="21" t="s">
        <v>925</v>
      </c>
      <c r="B840" s="21" t="s">
        <v>304</v>
      </c>
      <c r="C840" s="21" t="s">
        <v>298</v>
      </c>
      <c r="D840" s="21" t="s">
        <v>180</v>
      </c>
      <c r="E840" s="21" t="s">
        <v>305</v>
      </c>
      <c r="F840" s="21" t="s">
        <v>2900</v>
      </c>
      <c r="G840" s="21" t="s">
        <v>7023</v>
      </c>
      <c r="H840" s="28">
        <v>42164</v>
      </c>
      <c r="I840" s="22">
        <v>2015</v>
      </c>
      <c r="J840" s="21" t="s">
        <v>958</v>
      </c>
      <c r="K840" s="21" t="s">
        <v>3815</v>
      </c>
      <c r="L840" s="21" t="s">
        <v>7024</v>
      </c>
      <c r="M840" s="21" t="s">
        <v>5540</v>
      </c>
      <c r="N840" s="21" t="s">
        <v>5541</v>
      </c>
      <c r="O840" s="21" t="s">
        <v>7025</v>
      </c>
      <c r="P840" s="27">
        <v>0</v>
      </c>
      <c r="Q840" s="27">
        <v>13</v>
      </c>
      <c r="R840" s="21" t="s">
        <v>7026</v>
      </c>
      <c r="S840" s="21" t="s">
        <v>7027</v>
      </c>
      <c r="T840" s="21" t="s">
        <v>994</v>
      </c>
      <c r="U840" s="21" t="s">
        <v>7028</v>
      </c>
    </row>
    <row r="841" spans="1:21" ht="56">
      <c r="A841" s="21" t="s">
        <v>925</v>
      </c>
      <c r="B841" s="21" t="s">
        <v>304</v>
      </c>
      <c r="C841" s="21" t="s">
        <v>298</v>
      </c>
      <c r="D841" s="21" t="s">
        <v>180</v>
      </c>
      <c r="E841" s="21" t="s">
        <v>305</v>
      </c>
      <c r="F841" s="21" t="s">
        <v>2907</v>
      </c>
      <c r="G841" s="21" t="s">
        <v>7029</v>
      </c>
      <c r="H841" s="28">
        <v>39780</v>
      </c>
      <c r="I841" s="22">
        <v>2008</v>
      </c>
      <c r="J841" s="21" t="s">
        <v>958</v>
      </c>
      <c r="K841" s="21" t="s">
        <v>959</v>
      </c>
      <c r="L841" s="21" t="s">
        <v>7030</v>
      </c>
      <c r="M841" s="21" t="s">
        <v>5486</v>
      </c>
      <c r="N841" s="21" t="s">
        <v>6820</v>
      </c>
      <c r="O841" s="21" t="s">
        <v>7031</v>
      </c>
      <c r="P841" s="27">
        <v>0</v>
      </c>
      <c r="Q841" s="27">
        <v>47</v>
      </c>
      <c r="R841" s="21" t="s">
        <v>7032</v>
      </c>
      <c r="S841" s="21" t="s">
        <v>7033</v>
      </c>
      <c r="T841" s="21" t="s">
        <v>966</v>
      </c>
      <c r="U841" s="21" t="s">
        <v>7034</v>
      </c>
    </row>
    <row r="842" spans="1:21" ht="98">
      <c r="A842" s="21" t="s">
        <v>925</v>
      </c>
      <c r="B842" s="21" t="s">
        <v>304</v>
      </c>
      <c r="C842" s="21" t="s">
        <v>298</v>
      </c>
      <c r="D842" s="21" t="s">
        <v>180</v>
      </c>
      <c r="E842" s="21" t="s">
        <v>305</v>
      </c>
      <c r="F842" s="21" t="s">
        <v>2915</v>
      </c>
      <c r="G842" s="21" t="s">
        <v>7035</v>
      </c>
      <c r="H842" s="28">
        <v>41736</v>
      </c>
      <c r="I842" s="22">
        <v>2014</v>
      </c>
      <c r="J842" s="21" t="s">
        <v>958</v>
      </c>
      <c r="K842" s="21" t="s">
        <v>959</v>
      </c>
      <c r="L842" s="21" t="s">
        <v>7036</v>
      </c>
      <c r="M842" s="21" t="s">
        <v>5486</v>
      </c>
      <c r="N842" s="21" t="s">
        <v>6892</v>
      </c>
      <c r="O842" s="21" t="s">
        <v>7037</v>
      </c>
      <c r="P842" s="27">
        <v>0</v>
      </c>
      <c r="Q842" s="27">
        <v>21</v>
      </c>
      <c r="R842" s="21" t="s">
        <v>7038</v>
      </c>
      <c r="S842" s="21" t="s">
        <v>6997</v>
      </c>
      <c r="T842" s="21" t="s">
        <v>966</v>
      </c>
      <c r="U842" s="21" t="s">
        <v>7039</v>
      </c>
    </row>
    <row r="843" spans="1:21" ht="84">
      <c r="A843" s="21" t="s">
        <v>925</v>
      </c>
      <c r="B843" s="21" t="s">
        <v>304</v>
      </c>
      <c r="C843" s="21" t="s">
        <v>298</v>
      </c>
      <c r="D843" s="21" t="s">
        <v>180</v>
      </c>
      <c r="E843" s="21" t="s">
        <v>305</v>
      </c>
      <c r="F843" s="21" t="s">
        <v>2923</v>
      </c>
      <c r="G843" s="21" t="s">
        <v>7040</v>
      </c>
      <c r="H843" s="28">
        <v>41366</v>
      </c>
      <c r="I843" s="22">
        <v>2013</v>
      </c>
      <c r="J843" s="21" t="s">
        <v>958</v>
      </c>
      <c r="K843" s="21" t="s">
        <v>959</v>
      </c>
      <c r="L843" s="21" t="s">
        <v>7041</v>
      </c>
      <c r="M843" s="21" t="s">
        <v>6096</v>
      </c>
      <c r="N843" s="21" t="s">
        <v>7042</v>
      </c>
      <c r="O843" s="21" t="s">
        <v>7043</v>
      </c>
      <c r="P843" s="27">
        <v>0</v>
      </c>
      <c r="Q843" s="27">
        <v>23</v>
      </c>
      <c r="R843" s="21" t="s">
        <v>7044</v>
      </c>
      <c r="S843" s="21" t="s">
        <v>7045</v>
      </c>
      <c r="T843" s="21" t="s">
        <v>966</v>
      </c>
      <c r="U843" s="21" t="s">
        <v>7046</v>
      </c>
    </row>
    <row r="844" spans="1:21" ht="84">
      <c r="A844" s="21" t="s">
        <v>925</v>
      </c>
      <c r="B844" s="21" t="s">
        <v>304</v>
      </c>
      <c r="C844" s="21" t="s">
        <v>298</v>
      </c>
      <c r="D844" s="21" t="s">
        <v>180</v>
      </c>
      <c r="E844" s="21" t="s">
        <v>305</v>
      </c>
      <c r="F844" s="21" t="s">
        <v>2929</v>
      </c>
      <c r="G844" s="21" t="s">
        <v>7047</v>
      </c>
      <c r="H844" s="28">
        <v>41736</v>
      </c>
      <c r="I844" s="22">
        <v>2014</v>
      </c>
      <c r="J844" s="21" t="s">
        <v>958</v>
      </c>
      <c r="K844" s="21" t="s">
        <v>959</v>
      </c>
      <c r="L844" s="21" t="s">
        <v>7048</v>
      </c>
      <c r="M844" s="21" t="s">
        <v>5486</v>
      </c>
      <c r="N844" s="21" t="s">
        <v>6892</v>
      </c>
      <c r="O844" s="21" t="s">
        <v>7049</v>
      </c>
      <c r="P844" s="27">
        <v>0</v>
      </c>
      <c r="Q844" s="27">
        <v>23</v>
      </c>
      <c r="R844" s="21" t="s">
        <v>7050</v>
      </c>
      <c r="S844" s="21" t="s">
        <v>6997</v>
      </c>
      <c r="T844" s="21" t="s">
        <v>966</v>
      </c>
      <c r="U844" s="21" t="s">
        <v>7051</v>
      </c>
    </row>
    <row r="845" spans="1:21" ht="42">
      <c r="A845" s="21" t="s">
        <v>925</v>
      </c>
      <c r="B845" s="21" t="s">
        <v>304</v>
      </c>
      <c r="C845" s="21" t="s">
        <v>298</v>
      </c>
      <c r="D845" s="21" t="s">
        <v>180</v>
      </c>
      <c r="E845" s="21" t="s">
        <v>305</v>
      </c>
      <c r="F845" s="21" t="s">
        <v>2937</v>
      </c>
      <c r="G845" s="21" t="s">
        <v>7052</v>
      </c>
      <c r="H845" s="28">
        <v>40616</v>
      </c>
      <c r="I845" s="22">
        <v>2011</v>
      </c>
      <c r="J845" s="21" t="s">
        <v>958</v>
      </c>
      <c r="K845" s="21" t="s">
        <v>959</v>
      </c>
      <c r="L845" s="21" t="s">
        <v>7053</v>
      </c>
      <c r="M845" s="21" t="s">
        <v>6096</v>
      </c>
      <c r="N845" s="21" t="s">
        <v>7054</v>
      </c>
      <c r="O845" s="21" t="s">
        <v>7055</v>
      </c>
      <c r="P845" s="27">
        <v>0</v>
      </c>
      <c r="Q845" s="27">
        <v>17</v>
      </c>
      <c r="R845" s="21" t="s">
        <v>7056</v>
      </c>
      <c r="S845" s="21" t="s">
        <v>7057</v>
      </c>
      <c r="T845" s="21" t="s">
        <v>966</v>
      </c>
      <c r="U845" s="21" t="s">
        <v>7058</v>
      </c>
    </row>
    <row r="846" spans="1:21" ht="126">
      <c r="A846" s="21" t="s">
        <v>925</v>
      </c>
      <c r="B846" s="21" t="s">
        <v>304</v>
      </c>
      <c r="C846" s="21" t="s">
        <v>298</v>
      </c>
      <c r="D846" s="21" t="s">
        <v>180</v>
      </c>
      <c r="E846" s="21" t="s">
        <v>305</v>
      </c>
      <c r="F846" s="21" t="s">
        <v>2945</v>
      </c>
      <c r="G846" s="21" t="s">
        <v>7059</v>
      </c>
      <c r="H846" s="28">
        <v>41733</v>
      </c>
      <c r="I846" s="22">
        <v>2014</v>
      </c>
      <c r="J846" s="21" t="s">
        <v>958</v>
      </c>
      <c r="K846" s="21" t="s">
        <v>959</v>
      </c>
      <c r="L846" s="21" t="s">
        <v>7060</v>
      </c>
      <c r="M846" s="21" t="s">
        <v>5486</v>
      </c>
      <c r="N846" s="21" t="s">
        <v>6892</v>
      </c>
      <c r="O846" s="21" t="s">
        <v>7061</v>
      </c>
      <c r="P846" s="27">
        <v>0</v>
      </c>
      <c r="Q846" s="27">
        <v>25</v>
      </c>
      <c r="R846" s="21" t="s">
        <v>7062</v>
      </c>
      <c r="S846" s="21" t="s">
        <v>7063</v>
      </c>
      <c r="T846" s="21" t="s">
        <v>966</v>
      </c>
      <c r="U846" s="21" t="s">
        <v>7064</v>
      </c>
    </row>
    <row r="847" spans="1:21" ht="140">
      <c r="A847" s="21" t="s">
        <v>925</v>
      </c>
      <c r="B847" s="21" t="s">
        <v>304</v>
      </c>
      <c r="C847" s="21" t="s">
        <v>298</v>
      </c>
      <c r="D847" s="21" t="s">
        <v>180</v>
      </c>
      <c r="E847" s="21" t="s">
        <v>305</v>
      </c>
      <c r="F847" s="21" t="s">
        <v>2953</v>
      </c>
      <c r="G847" s="21" t="s">
        <v>7065</v>
      </c>
      <c r="H847" s="28">
        <v>38232</v>
      </c>
      <c r="I847" s="22">
        <v>2004</v>
      </c>
      <c r="J847" s="21" t="s">
        <v>958</v>
      </c>
      <c r="K847" s="21" t="s">
        <v>959</v>
      </c>
      <c r="L847" s="21" t="s">
        <v>7066</v>
      </c>
      <c r="M847" s="21" t="s">
        <v>6096</v>
      </c>
      <c r="N847" s="21" t="s">
        <v>7067</v>
      </c>
      <c r="O847" s="21" t="s">
        <v>7068</v>
      </c>
      <c r="P847" s="27">
        <v>0</v>
      </c>
      <c r="Q847" s="27">
        <v>46</v>
      </c>
      <c r="R847" s="21" t="s">
        <v>7069</v>
      </c>
      <c r="S847" s="21" t="s">
        <v>5629</v>
      </c>
      <c r="T847" s="21" t="s">
        <v>4159</v>
      </c>
      <c r="U847" s="21" t="s">
        <v>7070</v>
      </c>
    </row>
    <row r="848" spans="1:21" ht="98">
      <c r="A848" s="21" t="s">
        <v>925</v>
      </c>
      <c r="B848" s="21" t="s">
        <v>304</v>
      </c>
      <c r="C848" s="21" t="s">
        <v>298</v>
      </c>
      <c r="D848" s="21" t="s">
        <v>180</v>
      </c>
      <c r="E848" s="21" t="s">
        <v>305</v>
      </c>
      <c r="F848" s="21" t="s">
        <v>2961</v>
      </c>
      <c r="G848" s="21" t="s">
        <v>7071</v>
      </c>
      <c r="H848" s="28">
        <v>41367</v>
      </c>
      <c r="I848" s="22">
        <v>2013</v>
      </c>
      <c r="J848" s="21" t="s">
        <v>958</v>
      </c>
      <c r="K848" s="21" t="s">
        <v>959</v>
      </c>
      <c r="L848" s="21" t="s">
        <v>7072</v>
      </c>
      <c r="M848" s="21" t="s">
        <v>5486</v>
      </c>
      <c r="N848" s="21" t="s">
        <v>5653</v>
      </c>
      <c r="O848" s="21" t="s">
        <v>7073</v>
      </c>
      <c r="P848" s="27">
        <v>1</v>
      </c>
      <c r="Q848" s="27">
        <v>43</v>
      </c>
      <c r="R848" s="21" t="s">
        <v>7074</v>
      </c>
      <c r="S848" s="21" t="s">
        <v>7075</v>
      </c>
      <c r="T848" s="21" t="s">
        <v>3189</v>
      </c>
      <c r="U848" s="21" t="s">
        <v>7076</v>
      </c>
    </row>
    <row r="849" spans="1:21" ht="84">
      <c r="A849" s="21" t="s">
        <v>925</v>
      </c>
      <c r="B849" s="21" t="s">
        <v>304</v>
      </c>
      <c r="C849" s="21" t="s">
        <v>298</v>
      </c>
      <c r="D849" s="21" t="s">
        <v>180</v>
      </c>
      <c r="E849" s="21" t="s">
        <v>305</v>
      </c>
      <c r="F849" s="21" t="s">
        <v>2968</v>
      </c>
      <c r="G849" s="21" t="s">
        <v>7077</v>
      </c>
      <c r="H849" s="28">
        <v>41764</v>
      </c>
      <c r="I849" s="22">
        <v>2014</v>
      </c>
      <c r="J849" s="21" t="s">
        <v>958</v>
      </c>
      <c r="K849" s="21" t="s">
        <v>959</v>
      </c>
      <c r="L849" s="21" t="s">
        <v>7078</v>
      </c>
      <c r="M849" s="21" t="s">
        <v>6096</v>
      </c>
      <c r="N849" s="21" t="s">
        <v>7079</v>
      </c>
      <c r="O849" s="21" t="s">
        <v>7080</v>
      </c>
      <c r="P849" s="27">
        <v>0</v>
      </c>
      <c r="Q849" s="27">
        <v>25</v>
      </c>
      <c r="R849" s="21" t="s">
        <v>7081</v>
      </c>
      <c r="S849" s="21" t="s">
        <v>7082</v>
      </c>
      <c r="T849" s="21" t="s">
        <v>966</v>
      </c>
      <c r="U849" s="21" t="s">
        <v>7083</v>
      </c>
    </row>
    <row r="850" spans="1:21" ht="182">
      <c r="A850" s="21" t="s">
        <v>925</v>
      </c>
      <c r="B850" s="21" t="s">
        <v>304</v>
      </c>
      <c r="C850" s="21" t="s">
        <v>298</v>
      </c>
      <c r="D850" s="21" t="s">
        <v>180</v>
      </c>
      <c r="E850" s="21" t="s">
        <v>305</v>
      </c>
      <c r="F850" s="21" t="s">
        <v>2976</v>
      </c>
      <c r="G850" s="21" t="s">
        <v>7084</v>
      </c>
      <c r="H850" s="28">
        <v>42311</v>
      </c>
      <c r="I850" s="22">
        <v>2015</v>
      </c>
      <c r="J850" s="21" t="s">
        <v>958</v>
      </c>
      <c r="K850" s="21" t="s">
        <v>998</v>
      </c>
      <c r="L850" s="21" t="s">
        <v>7085</v>
      </c>
      <c r="M850" s="21" t="s">
        <v>5705</v>
      </c>
      <c r="N850" s="21" t="s">
        <v>7086</v>
      </c>
      <c r="O850" s="21" t="s">
        <v>7087</v>
      </c>
      <c r="P850" s="27">
        <v>2</v>
      </c>
      <c r="Q850" s="27">
        <v>35</v>
      </c>
      <c r="R850" s="21" t="s">
        <v>7088</v>
      </c>
      <c r="S850" s="21" t="s">
        <v>7089</v>
      </c>
      <c r="T850" s="21" t="s">
        <v>966</v>
      </c>
      <c r="U850" s="21" t="s">
        <v>7090</v>
      </c>
    </row>
    <row r="851" spans="1:21" ht="84">
      <c r="A851" s="21" t="s">
        <v>925</v>
      </c>
      <c r="B851" s="21" t="s">
        <v>304</v>
      </c>
      <c r="C851" s="21" t="s">
        <v>298</v>
      </c>
      <c r="D851" s="21" t="s">
        <v>180</v>
      </c>
      <c r="E851" s="21" t="s">
        <v>305</v>
      </c>
      <c r="F851" s="21" t="s">
        <v>2985</v>
      </c>
      <c r="G851" s="21" t="s">
        <v>7091</v>
      </c>
      <c r="H851" s="28">
        <v>40848</v>
      </c>
      <c r="I851" s="22">
        <v>2011</v>
      </c>
      <c r="J851" s="21" t="s">
        <v>958</v>
      </c>
      <c r="K851" s="21" t="s">
        <v>959</v>
      </c>
      <c r="L851" s="21" t="s">
        <v>7092</v>
      </c>
      <c r="M851" s="21" t="s">
        <v>7093</v>
      </c>
      <c r="N851" s="21" t="s">
        <v>7094</v>
      </c>
      <c r="O851" s="21" t="s">
        <v>7095</v>
      </c>
      <c r="P851" s="27">
        <v>0</v>
      </c>
      <c r="Q851" s="27">
        <v>28</v>
      </c>
      <c r="R851" s="21" t="s">
        <v>7096</v>
      </c>
      <c r="S851" s="21" t="s">
        <v>7097</v>
      </c>
      <c r="T851" s="21" t="s">
        <v>966</v>
      </c>
      <c r="U851" s="21" t="s">
        <v>7098</v>
      </c>
    </row>
    <row r="852" spans="1:21" ht="84">
      <c r="A852" s="21" t="s">
        <v>925</v>
      </c>
      <c r="B852" s="21" t="s">
        <v>304</v>
      </c>
      <c r="C852" s="21" t="s">
        <v>298</v>
      </c>
      <c r="D852" s="21" t="s">
        <v>180</v>
      </c>
      <c r="E852" s="21" t="s">
        <v>305</v>
      </c>
      <c r="F852" s="21" t="s">
        <v>2993</v>
      </c>
      <c r="G852" s="21" t="s">
        <v>7099</v>
      </c>
      <c r="H852" s="28">
        <v>37243</v>
      </c>
      <c r="I852" s="22">
        <v>2001</v>
      </c>
      <c r="J852" s="21" t="s">
        <v>958</v>
      </c>
      <c r="K852" s="21" t="s">
        <v>959</v>
      </c>
      <c r="L852" s="21" t="s">
        <v>7100</v>
      </c>
      <c r="M852" s="21" t="s">
        <v>6096</v>
      </c>
      <c r="N852" s="21" t="s">
        <v>7101</v>
      </c>
      <c r="O852" s="21" t="s">
        <v>7102</v>
      </c>
      <c r="P852" s="27">
        <v>0</v>
      </c>
      <c r="Q852" s="27">
        <v>30</v>
      </c>
      <c r="R852" s="21" t="s">
        <v>7103</v>
      </c>
      <c r="S852" s="21" t="s">
        <v>7104</v>
      </c>
      <c r="T852" s="21" t="s">
        <v>4159</v>
      </c>
      <c r="U852" s="21" t="s">
        <v>7105</v>
      </c>
    </row>
    <row r="853" spans="1:21" ht="70">
      <c r="A853" s="21" t="s">
        <v>925</v>
      </c>
      <c r="B853" s="21" t="s">
        <v>304</v>
      </c>
      <c r="C853" s="21" t="s">
        <v>298</v>
      </c>
      <c r="D853" s="21" t="s">
        <v>180</v>
      </c>
      <c r="E853" s="21" t="s">
        <v>305</v>
      </c>
      <c r="F853" s="21" t="s">
        <v>3000</v>
      </c>
      <c r="G853" s="21" t="s">
        <v>7106</v>
      </c>
      <c r="H853" s="28">
        <v>41823</v>
      </c>
      <c r="I853" s="22">
        <v>2014</v>
      </c>
      <c r="J853" s="21" t="s">
        <v>958</v>
      </c>
      <c r="K853" s="21" t="s">
        <v>959</v>
      </c>
      <c r="L853" s="21" t="s">
        <v>7107</v>
      </c>
      <c r="M853" s="21" t="s">
        <v>5486</v>
      </c>
      <c r="N853" s="21" t="s">
        <v>6892</v>
      </c>
      <c r="O853" s="21" t="s">
        <v>7108</v>
      </c>
      <c r="P853" s="27">
        <v>0</v>
      </c>
      <c r="Q853" s="27">
        <v>23</v>
      </c>
      <c r="R853" s="21" t="s">
        <v>7109</v>
      </c>
      <c r="S853" s="21" t="s">
        <v>7110</v>
      </c>
      <c r="T853" s="21" t="s">
        <v>966</v>
      </c>
      <c r="U853" s="21" t="s">
        <v>7111</v>
      </c>
    </row>
    <row r="854" spans="1:21" ht="56">
      <c r="A854" s="21" t="s">
        <v>925</v>
      </c>
      <c r="B854" s="21" t="s">
        <v>304</v>
      </c>
      <c r="C854" s="21" t="s">
        <v>298</v>
      </c>
      <c r="D854" s="21" t="s">
        <v>180</v>
      </c>
      <c r="E854" s="21" t="s">
        <v>305</v>
      </c>
      <c r="F854" s="21" t="s">
        <v>3008</v>
      </c>
      <c r="G854" s="21" t="s">
        <v>7112</v>
      </c>
      <c r="H854" s="28">
        <v>41795</v>
      </c>
      <c r="I854" s="22">
        <v>2014</v>
      </c>
      <c r="J854" s="21" t="s">
        <v>958</v>
      </c>
      <c r="K854" s="21" t="s">
        <v>998</v>
      </c>
      <c r="L854" s="21" t="s">
        <v>7113</v>
      </c>
      <c r="M854" s="21" t="s">
        <v>5486</v>
      </c>
      <c r="N854" s="21" t="s">
        <v>5653</v>
      </c>
      <c r="O854" s="21" t="s">
        <v>7114</v>
      </c>
      <c r="P854" s="27">
        <v>0</v>
      </c>
      <c r="Q854" s="27">
        <v>18</v>
      </c>
      <c r="R854" s="21" t="s">
        <v>7115</v>
      </c>
      <c r="S854" s="21" t="s">
        <v>5682</v>
      </c>
      <c r="T854" s="21" t="s">
        <v>966</v>
      </c>
      <c r="U854" s="21" t="s">
        <v>7116</v>
      </c>
    </row>
    <row r="855" spans="1:21" ht="196">
      <c r="A855" s="21" t="s">
        <v>925</v>
      </c>
      <c r="B855" s="21" t="s">
        <v>304</v>
      </c>
      <c r="C855" s="21" t="s">
        <v>298</v>
      </c>
      <c r="D855" s="21" t="s">
        <v>180</v>
      </c>
      <c r="E855" s="21" t="s">
        <v>305</v>
      </c>
      <c r="F855" s="21" t="s">
        <v>3015</v>
      </c>
      <c r="G855" s="21" t="s">
        <v>7117</v>
      </c>
      <c r="H855" s="28">
        <v>40522</v>
      </c>
      <c r="I855" s="22">
        <v>2010</v>
      </c>
      <c r="J855" s="21" t="s">
        <v>958</v>
      </c>
      <c r="K855" s="21" t="s">
        <v>959</v>
      </c>
      <c r="L855" s="21" t="s">
        <v>7118</v>
      </c>
      <c r="M855" s="21" t="s">
        <v>5486</v>
      </c>
      <c r="N855" s="21" t="s">
        <v>7119</v>
      </c>
      <c r="O855" s="21" t="s">
        <v>7120</v>
      </c>
      <c r="P855" s="27">
        <v>0</v>
      </c>
      <c r="Q855" s="27">
        <v>59</v>
      </c>
      <c r="R855" s="21" t="s">
        <v>7121</v>
      </c>
      <c r="S855" s="21" t="s">
        <v>7122</v>
      </c>
      <c r="T855" s="21" t="s">
        <v>966</v>
      </c>
      <c r="U855" s="21" t="s">
        <v>7123</v>
      </c>
    </row>
    <row r="856" spans="1:21" ht="42">
      <c r="A856" s="21" t="s">
        <v>925</v>
      </c>
      <c r="B856" s="21" t="s">
        <v>304</v>
      </c>
      <c r="C856" s="21" t="s">
        <v>298</v>
      </c>
      <c r="D856" s="21" t="s">
        <v>180</v>
      </c>
      <c r="E856" s="21" t="s">
        <v>305</v>
      </c>
      <c r="F856" s="21" t="s">
        <v>3023</v>
      </c>
      <c r="G856" s="21" t="s">
        <v>7124</v>
      </c>
      <c r="H856" s="28">
        <v>41621</v>
      </c>
      <c r="I856" s="22">
        <v>2013</v>
      </c>
      <c r="J856" s="21" t="s">
        <v>958</v>
      </c>
      <c r="K856" s="21" t="s">
        <v>959</v>
      </c>
      <c r="L856" s="21" t="s">
        <v>7125</v>
      </c>
      <c r="M856" s="21" t="s">
        <v>5486</v>
      </c>
      <c r="N856" s="21" t="s">
        <v>6892</v>
      </c>
      <c r="O856" s="21" t="s">
        <v>7126</v>
      </c>
      <c r="P856" s="27">
        <v>0</v>
      </c>
      <c r="Q856" s="27">
        <v>7</v>
      </c>
      <c r="R856" s="21" t="s">
        <v>7127</v>
      </c>
      <c r="S856" s="21" t="s">
        <v>7128</v>
      </c>
      <c r="T856" s="21" t="s">
        <v>966</v>
      </c>
      <c r="U856" s="21" t="s">
        <v>7129</v>
      </c>
    </row>
    <row r="857" spans="1:21" ht="98">
      <c r="A857" s="21" t="s">
        <v>925</v>
      </c>
      <c r="B857" s="21" t="s">
        <v>304</v>
      </c>
      <c r="C857" s="21" t="s">
        <v>298</v>
      </c>
      <c r="D857" s="21" t="s">
        <v>180</v>
      </c>
      <c r="E857" s="21" t="s">
        <v>305</v>
      </c>
      <c r="F857" s="21" t="s">
        <v>3030</v>
      </c>
      <c r="G857" s="21" t="s">
        <v>7130</v>
      </c>
      <c r="H857" s="28">
        <v>41612</v>
      </c>
      <c r="I857" s="22">
        <v>2013</v>
      </c>
      <c r="J857" s="21" t="s">
        <v>958</v>
      </c>
      <c r="K857" s="21" t="s">
        <v>959</v>
      </c>
      <c r="L857" s="21" t="s">
        <v>7131</v>
      </c>
      <c r="M857" s="21" t="s">
        <v>5486</v>
      </c>
      <c r="N857" s="21" t="s">
        <v>6892</v>
      </c>
      <c r="O857" s="21" t="s">
        <v>7132</v>
      </c>
      <c r="P857" s="27">
        <v>0</v>
      </c>
      <c r="Q857" s="27">
        <v>6</v>
      </c>
      <c r="R857" s="21" t="s">
        <v>7133</v>
      </c>
      <c r="S857" s="21" t="s">
        <v>7134</v>
      </c>
      <c r="T857" s="21" t="s">
        <v>966</v>
      </c>
      <c r="U857" s="21" t="s">
        <v>7135</v>
      </c>
    </row>
    <row r="858" spans="1:21" ht="70">
      <c r="A858" s="21" t="s">
        <v>925</v>
      </c>
      <c r="B858" s="21" t="s">
        <v>304</v>
      </c>
      <c r="C858" s="21" t="s">
        <v>298</v>
      </c>
      <c r="D858" s="21" t="s">
        <v>180</v>
      </c>
      <c r="E858" s="21" t="s">
        <v>305</v>
      </c>
      <c r="F858" s="21" t="s">
        <v>3038</v>
      </c>
      <c r="G858" s="21" t="s">
        <v>7136</v>
      </c>
      <c r="H858" s="28">
        <v>41808</v>
      </c>
      <c r="I858" s="22">
        <v>2014</v>
      </c>
      <c r="J858" s="21" t="s">
        <v>958</v>
      </c>
      <c r="K858" s="21" t="s">
        <v>959</v>
      </c>
      <c r="L858" s="21" t="s">
        <v>7137</v>
      </c>
      <c r="M858" s="21" t="s">
        <v>5486</v>
      </c>
      <c r="N858" s="21" t="s">
        <v>6892</v>
      </c>
      <c r="O858" s="21" t="s">
        <v>7138</v>
      </c>
      <c r="P858" s="27">
        <v>0</v>
      </c>
      <c r="Q858" s="27">
        <v>33</v>
      </c>
      <c r="R858" s="21" t="s">
        <v>7139</v>
      </c>
      <c r="S858" s="21" t="s">
        <v>7140</v>
      </c>
      <c r="T858" s="21" t="s">
        <v>966</v>
      </c>
      <c r="U858" s="21" t="s">
        <v>7141</v>
      </c>
    </row>
    <row r="859" spans="1:21" ht="140">
      <c r="A859" s="21" t="s">
        <v>925</v>
      </c>
      <c r="B859" s="21" t="s">
        <v>304</v>
      </c>
      <c r="C859" s="21" t="s">
        <v>298</v>
      </c>
      <c r="D859" s="21" t="s">
        <v>180</v>
      </c>
      <c r="E859" s="21" t="s">
        <v>305</v>
      </c>
      <c r="F859" s="21" t="s">
        <v>3046</v>
      </c>
      <c r="G859" s="21" t="s">
        <v>7142</v>
      </c>
      <c r="H859" s="28">
        <v>35604</v>
      </c>
      <c r="I859" s="22">
        <v>1997</v>
      </c>
      <c r="J859" s="21" t="s">
        <v>958</v>
      </c>
      <c r="K859" s="21" t="s">
        <v>7143</v>
      </c>
      <c r="L859" s="21" t="s">
        <v>7144</v>
      </c>
      <c r="M859" s="21" t="s">
        <v>5486</v>
      </c>
      <c r="N859" s="21" t="s">
        <v>7145</v>
      </c>
      <c r="O859" s="21" t="s">
        <v>7146</v>
      </c>
      <c r="P859" s="27">
        <v>0</v>
      </c>
      <c r="Q859" s="27">
        <v>76</v>
      </c>
      <c r="R859" s="21" t="s">
        <v>7147</v>
      </c>
      <c r="S859" s="21" t="s">
        <v>7148</v>
      </c>
      <c r="T859" s="21" t="s">
        <v>4159</v>
      </c>
      <c r="U859" s="21" t="s">
        <v>7149</v>
      </c>
    </row>
    <row r="860" spans="1:21" ht="98">
      <c r="A860" s="21" t="s">
        <v>925</v>
      </c>
      <c r="B860" s="21" t="s">
        <v>304</v>
      </c>
      <c r="C860" s="21" t="s">
        <v>298</v>
      </c>
      <c r="D860" s="21" t="s">
        <v>180</v>
      </c>
      <c r="E860" s="21" t="s">
        <v>305</v>
      </c>
      <c r="F860" s="21" t="s">
        <v>3055</v>
      </c>
      <c r="G860" s="21" t="s">
        <v>7150</v>
      </c>
      <c r="H860" s="28">
        <v>41092</v>
      </c>
      <c r="I860" s="22">
        <v>2012</v>
      </c>
      <c r="J860" s="21" t="s">
        <v>958</v>
      </c>
      <c r="K860" s="21" t="s">
        <v>959</v>
      </c>
      <c r="L860" s="21" t="s">
        <v>7151</v>
      </c>
      <c r="M860" s="21" t="s">
        <v>6449</v>
      </c>
      <c r="N860" s="21" t="s">
        <v>6450</v>
      </c>
      <c r="O860" s="21" t="s">
        <v>7152</v>
      </c>
      <c r="P860" s="27">
        <v>0</v>
      </c>
      <c r="Q860" s="27">
        <v>49</v>
      </c>
      <c r="R860" s="21" t="s">
        <v>7153</v>
      </c>
      <c r="S860" s="21" t="s">
        <v>7154</v>
      </c>
      <c r="T860" s="21" t="s">
        <v>966</v>
      </c>
      <c r="U860" s="21" t="s">
        <v>7155</v>
      </c>
    </row>
    <row r="861" spans="1:21" ht="56">
      <c r="A861" s="21" t="s">
        <v>925</v>
      </c>
      <c r="B861" s="21" t="s">
        <v>304</v>
      </c>
      <c r="C861" s="21" t="s">
        <v>298</v>
      </c>
      <c r="D861" s="21" t="s">
        <v>180</v>
      </c>
      <c r="E861" s="21" t="s">
        <v>305</v>
      </c>
      <c r="F861" s="21" t="s">
        <v>3063</v>
      </c>
      <c r="G861" s="21" t="s">
        <v>7156</v>
      </c>
      <c r="H861" s="28">
        <v>40459</v>
      </c>
      <c r="I861" s="22">
        <v>2010</v>
      </c>
      <c r="J861" s="21" t="s">
        <v>958</v>
      </c>
      <c r="K861" s="21" t="s">
        <v>959</v>
      </c>
      <c r="L861" s="21" t="s">
        <v>7157</v>
      </c>
      <c r="M861" s="21" t="s">
        <v>5486</v>
      </c>
      <c r="N861" s="21" t="s">
        <v>7158</v>
      </c>
      <c r="O861" s="21" t="s">
        <v>5654</v>
      </c>
      <c r="P861" s="27">
        <v>0</v>
      </c>
      <c r="Q861" s="27">
        <v>29</v>
      </c>
      <c r="R861" s="21" t="s">
        <v>7159</v>
      </c>
      <c r="S861" s="21" t="s">
        <v>5656</v>
      </c>
      <c r="T861" s="21" t="s">
        <v>966</v>
      </c>
      <c r="U861" s="21" t="s">
        <v>7160</v>
      </c>
    </row>
    <row r="862" spans="1:21" ht="224">
      <c r="A862" s="21" t="s">
        <v>925</v>
      </c>
      <c r="B862" s="21" t="s">
        <v>304</v>
      </c>
      <c r="C862" s="21" t="s">
        <v>298</v>
      </c>
      <c r="D862" s="21" t="s">
        <v>180</v>
      </c>
      <c r="E862" s="21" t="s">
        <v>305</v>
      </c>
      <c r="F862" s="21" t="s">
        <v>3071</v>
      </c>
      <c r="G862" s="21" t="s">
        <v>7161</v>
      </c>
      <c r="H862" s="28">
        <v>41159</v>
      </c>
      <c r="I862" s="22">
        <v>2012</v>
      </c>
      <c r="J862" s="21" t="s">
        <v>958</v>
      </c>
      <c r="K862" s="21" t="s">
        <v>959</v>
      </c>
      <c r="L862" s="21" t="s">
        <v>7162</v>
      </c>
      <c r="M862" s="21" t="s">
        <v>5585</v>
      </c>
      <c r="N862" s="21" t="s">
        <v>7163</v>
      </c>
      <c r="O862" s="21" t="s">
        <v>7164</v>
      </c>
      <c r="P862" s="27">
        <v>3</v>
      </c>
      <c r="Q862" s="27">
        <v>85</v>
      </c>
      <c r="R862" s="21" t="s">
        <v>7165</v>
      </c>
      <c r="S862" s="21" t="s">
        <v>7166</v>
      </c>
      <c r="T862" s="21" t="s">
        <v>3189</v>
      </c>
      <c r="U862" s="21" t="s">
        <v>7167</v>
      </c>
    </row>
    <row r="863" spans="1:21" ht="70">
      <c r="A863" s="21" t="s">
        <v>925</v>
      </c>
      <c r="B863" s="21" t="s">
        <v>304</v>
      </c>
      <c r="C863" s="21" t="s">
        <v>298</v>
      </c>
      <c r="D863" s="21" t="s">
        <v>180</v>
      </c>
      <c r="E863" s="21" t="s">
        <v>305</v>
      </c>
      <c r="F863" s="21" t="s">
        <v>3078</v>
      </c>
      <c r="G863" s="21" t="s">
        <v>7168</v>
      </c>
      <c r="H863" s="28">
        <v>42179</v>
      </c>
      <c r="I863" s="22">
        <v>2015</v>
      </c>
      <c r="J863" s="21" t="s">
        <v>958</v>
      </c>
      <c r="K863" s="21" t="s">
        <v>998</v>
      </c>
      <c r="L863" s="21" t="s">
        <v>7169</v>
      </c>
      <c r="M863" s="21" t="s">
        <v>5540</v>
      </c>
      <c r="N863" s="21" t="s">
        <v>5541</v>
      </c>
      <c r="O863" s="21" t="s">
        <v>7170</v>
      </c>
      <c r="P863" s="27">
        <v>0</v>
      </c>
      <c r="Q863" s="27">
        <v>5</v>
      </c>
      <c r="R863" s="21" t="s">
        <v>7171</v>
      </c>
      <c r="S863" s="21" t="s">
        <v>7172</v>
      </c>
      <c r="T863" s="21" t="s">
        <v>994</v>
      </c>
      <c r="U863" s="21" t="s">
        <v>7173</v>
      </c>
    </row>
    <row r="864" spans="1:21" ht="42">
      <c r="A864" s="21" t="s">
        <v>925</v>
      </c>
      <c r="B864" s="21" t="s">
        <v>304</v>
      </c>
      <c r="C864" s="21" t="s">
        <v>298</v>
      </c>
      <c r="D864" s="21" t="s">
        <v>180</v>
      </c>
      <c r="E864" s="21" t="s">
        <v>305</v>
      </c>
      <c r="F864" s="21" t="s">
        <v>3086</v>
      </c>
      <c r="G864" s="21" t="s">
        <v>7174</v>
      </c>
      <c r="H864" s="28">
        <v>42157</v>
      </c>
      <c r="I864" s="22">
        <v>2015</v>
      </c>
      <c r="J864" s="21" t="s">
        <v>958</v>
      </c>
      <c r="K864" s="21" t="s">
        <v>5876</v>
      </c>
      <c r="L864" s="21" t="s">
        <v>7175</v>
      </c>
      <c r="M864" s="21" t="s">
        <v>5540</v>
      </c>
      <c r="N864" s="21" t="s">
        <v>5541</v>
      </c>
      <c r="O864" s="21" t="s">
        <v>6975</v>
      </c>
      <c r="P864" s="27">
        <v>4</v>
      </c>
      <c r="Q864" s="27">
        <v>2</v>
      </c>
      <c r="R864" s="21" t="s">
        <v>7176</v>
      </c>
      <c r="S864" s="21" t="s">
        <v>6983</v>
      </c>
      <c r="T864" s="21" t="s">
        <v>994</v>
      </c>
      <c r="U864" s="21" t="s">
        <v>7177</v>
      </c>
    </row>
    <row r="865" spans="1:21" ht="112">
      <c r="A865" s="21" t="s">
        <v>925</v>
      </c>
      <c r="B865" s="21" t="s">
        <v>304</v>
      </c>
      <c r="C865" s="21" t="s">
        <v>298</v>
      </c>
      <c r="D865" s="21" t="s">
        <v>180</v>
      </c>
      <c r="E865" s="21" t="s">
        <v>305</v>
      </c>
      <c r="F865" s="21" t="s">
        <v>3094</v>
      </c>
      <c r="G865" s="21" t="s">
        <v>7178</v>
      </c>
      <c r="H865" s="28">
        <v>36882</v>
      </c>
      <c r="I865" s="22">
        <v>2000</v>
      </c>
      <c r="J865" s="21" t="s">
        <v>958</v>
      </c>
      <c r="K865" s="21" t="s">
        <v>1013</v>
      </c>
      <c r="L865" s="21" t="s">
        <v>7179</v>
      </c>
      <c r="M865" s="21" t="s">
        <v>6096</v>
      </c>
      <c r="N865" s="21" t="s">
        <v>7180</v>
      </c>
      <c r="O865" s="21" t="s">
        <v>7181</v>
      </c>
      <c r="P865" s="27">
        <v>0</v>
      </c>
      <c r="Q865" s="27">
        <v>338</v>
      </c>
      <c r="R865" s="21" t="s">
        <v>7182</v>
      </c>
      <c r="S865" s="21" t="s">
        <v>7183</v>
      </c>
      <c r="T865" s="21" t="s">
        <v>4159</v>
      </c>
      <c r="U865" s="21" t="s">
        <v>7184</v>
      </c>
    </row>
    <row r="866" spans="1:21" ht="126">
      <c r="A866" s="21" t="s">
        <v>925</v>
      </c>
      <c r="B866" s="21" t="s">
        <v>304</v>
      </c>
      <c r="C866" s="21" t="s">
        <v>298</v>
      </c>
      <c r="D866" s="21" t="s">
        <v>180</v>
      </c>
      <c r="E866" s="21" t="s">
        <v>305</v>
      </c>
      <c r="F866" s="21" t="s">
        <v>3102</v>
      </c>
      <c r="G866" s="21" t="s">
        <v>7185</v>
      </c>
      <c r="H866" s="28">
        <v>38916</v>
      </c>
      <c r="I866" s="22">
        <v>2006</v>
      </c>
      <c r="J866" s="21" t="s">
        <v>958</v>
      </c>
      <c r="K866" s="21" t="s">
        <v>959</v>
      </c>
      <c r="L866" s="21" t="s">
        <v>7186</v>
      </c>
      <c r="M866" s="21" t="s">
        <v>5486</v>
      </c>
      <c r="N866" s="21" t="s">
        <v>6820</v>
      </c>
      <c r="O866" s="21" t="s">
        <v>7187</v>
      </c>
      <c r="P866" s="27">
        <v>0</v>
      </c>
      <c r="Q866" s="27">
        <v>51</v>
      </c>
      <c r="R866" s="21" t="s">
        <v>7188</v>
      </c>
      <c r="S866" s="21" t="s">
        <v>7189</v>
      </c>
      <c r="T866" s="21" t="s">
        <v>966</v>
      </c>
      <c r="U866" s="21" t="s">
        <v>7190</v>
      </c>
    </row>
    <row r="867" spans="1:21" ht="252">
      <c r="A867" s="21" t="s">
        <v>925</v>
      </c>
      <c r="B867" s="21" t="s">
        <v>304</v>
      </c>
      <c r="C867" s="21" t="s">
        <v>298</v>
      </c>
      <c r="D867" s="21" t="s">
        <v>180</v>
      </c>
      <c r="E867" s="21" t="s">
        <v>305</v>
      </c>
      <c r="F867" s="21" t="s">
        <v>3110</v>
      </c>
      <c r="G867" s="21" t="s">
        <v>7191</v>
      </c>
      <c r="H867" s="28">
        <v>40571</v>
      </c>
      <c r="I867" s="22">
        <v>2011</v>
      </c>
      <c r="J867" s="21" t="s">
        <v>958</v>
      </c>
      <c r="K867" s="21" t="s">
        <v>959</v>
      </c>
      <c r="L867" s="21" t="s">
        <v>7192</v>
      </c>
      <c r="M867" s="21" t="s">
        <v>5645</v>
      </c>
      <c r="N867" s="21" t="s">
        <v>7193</v>
      </c>
      <c r="O867" s="21" t="s">
        <v>7194</v>
      </c>
      <c r="P867" s="27">
        <v>0</v>
      </c>
      <c r="Q867" s="27">
        <v>127</v>
      </c>
      <c r="R867" s="21" t="s">
        <v>7195</v>
      </c>
      <c r="S867" s="21" t="s">
        <v>7196</v>
      </c>
      <c r="T867" s="21" t="s">
        <v>966</v>
      </c>
      <c r="U867" s="21" t="s">
        <v>7197</v>
      </c>
    </row>
    <row r="868" spans="1:21" ht="84">
      <c r="A868" s="21" t="s">
        <v>925</v>
      </c>
      <c r="B868" s="21" t="s">
        <v>304</v>
      </c>
      <c r="C868" s="21" t="s">
        <v>298</v>
      </c>
      <c r="D868" s="21" t="s">
        <v>180</v>
      </c>
      <c r="E868" s="21" t="s">
        <v>305</v>
      </c>
      <c r="F868" s="21" t="s">
        <v>3118</v>
      </c>
      <c r="G868" s="21" t="s">
        <v>7198</v>
      </c>
      <c r="H868" s="28">
        <v>37974</v>
      </c>
      <c r="I868" s="22">
        <v>2003</v>
      </c>
      <c r="J868" s="21" t="s">
        <v>958</v>
      </c>
      <c r="K868" s="21" t="s">
        <v>959</v>
      </c>
      <c r="L868" s="21" t="s">
        <v>7199</v>
      </c>
      <c r="M868" s="21" t="s">
        <v>6449</v>
      </c>
      <c r="N868" s="21" t="s">
        <v>6450</v>
      </c>
      <c r="O868" s="21" t="s">
        <v>7200</v>
      </c>
      <c r="P868" s="27">
        <v>0</v>
      </c>
      <c r="Q868" s="27">
        <v>19</v>
      </c>
      <c r="R868" s="21" t="s">
        <v>7201</v>
      </c>
      <c r="S868" s="21" t="s">
        <v>7202</v>
      </c>
      <c r="T868" s="21" t="s">
        <v>4159</v>
      </c>
      <c r="U868" s="21" t="s">
        <v>7203</v>
      </c>
    </row>
    <row r="869" spans="1:21" ht="42">
      <c r="A869" s="21" t="s">
        <v>925</v>
      </c>
      <c r="B869" s="21" t="s">
        <v>304</v>
      </c>
      <c r="C869" s="21" t="s">
        <v>298</v>
      </c>
      <c r="D869" s="21" t="s">
        <v>180</v>
      </c>
      <c r="E869" s="21" t="s">
        <v>305</v>
      </c>
      <c r="F869" s="21" t="s">
        <v>3126</v>
      </c>
      <c r="G869" s="21" t="s">
        <v>7204</v>
      </c>
      <c r="H869" s="28">
        <v>40492</v>
      </c>
      <c r="I869" s="22">
        <v>2010</v>
      </c>
      <c r="J869" s="21" t="s">
        <v>958</v>
      </c>
      <c r="K869" s="21" t="s">
        <v>959</v>
      </c>
      <c r="L869" s="21" t="s">
        <v>7205</v>
      </c>
      <c r="M869" s="21" t="s">
        <v>5486</v>
      </c>
      <c r="N869" s="21" t="s">
        <v>6892</v>
      </c>
      <c r="O869" s="21" t="s">
        <v>7206</v>
      </c>
      <c r="P869" s="27">
        <v>0</v>
      </c>
      <c r="Q869" s="27">
        <v>29</v>
      </c>
      <c r="R869" s="21" t="s">
        <v>7207</v>
      </c>
      <c r="S869" s="21" t="s">
        <v>7208</v>
      </c>
      <c r="T869" s="21" t="s">
        <v>966</v>
      </c>
      <c r="U869" s="21" t="s">
        <v>7209</v>
      </c>
    </row>
    <row r="870" spans="1:21" ht="154">
      <c r="A870" s="21" t="s">
        <v>925</v>
      </c>
      <c r="B870" s="21" t="s">
        <v>304</v>
      </c>
      <c r="C870" s="21" t="s">
        <v>298</v>
      </c>
      <c r="D870" s="21" t="s">
        <v>180</v>
      </c>
      <c r="E870" s="21" t="s">
        <v>305</v>
      </c>
      <c r="F870" s="21" t="s">
        <v>3134</v>
      </c>
      <c r="G870" s="21" t="s">
        <v>7210</v>
      </c>
      <c r="H870" s="28">
        <v>38559</v>
      </c>
      <c r="I870" s="22">
        <v>2005</v>
      </c>
      <c r="J870" s="21" t="s">
        <v>7211</v>
      </c>
      <c r="K870" s="21" t="s">
        <v>959</v>
      </c>
      <c r="L870" s="21" t="s">
        <v>7212</v>
      </c>
      <c r="M870" s="21" t="s">
        <v>5486</v>
      </c>
      <c r="N870" s="21" t="s">
        <v>7213</v>
      </c>
      <c r="O870" s="21" t="s">
        <v>7214</v>
      </c>
      <c r="P870" s="27">
        <v>0</v>
      </c>
      <c r="Q870" s="27">
        <v>47</v>
      </c>
      <c r="R870" s="21" t="s">
        <v>7215</v>
      </c>
      <c r="S870" s="21" t="s">
        <v>7216</v>
      </c>
      <c r="T870" s="21" t="s">
        <v>4159</v>
      </c>
      <c r="U870" s="21" t="s">
        <v>7217</v>
      </c>
    </row>
    <row r="871" spans="1:21" ht="42">
      <c r="A871" s="21" t="s">
        <v>925</v>
      </c>
      <c r="B871" s="21" t="s">
        <v>304</v>
      </c>
      <c r="C871" s="21" t="s">
        <v>298</v>
      </c>
      <c r="D871" s="21" t="s">
        <v>180</v>
      </c>
      <c r="E871" s="21" t="s">
        <v>305</v>
      </c>
      <c r="F871" s="21" t="s">
        <v>3143</v>
      </c>
      <c r="G871" s="21" t="s">
        <v>7218</v>
      </c>
      <c r="H871" s="28">
        <v>41621</v>
      </c>
      <c r="I871" s="22">
        <v>2013</v>
      </c>
      <c r="J871" s="21" t="s">
        <v>958</v>
      </c>
      <c r="K871" s="21" t="s">
        <v>959</v>
      </c>
      <c r="L871" s="21" t="s">
        <v>7219</v>
      </c>
      <c r="M871" s="21" t="s">
        <v>5486</v>
      </c>
      <c r="N871" s="21" t="s">
        <v>6892</v>
      </c>
      <c r="O871" s="21" t="s">
        <v>7220</v>
      </c>
      <c r="P871" s="27">
        <v>0</v>
      </c>
      <c r="Q871" s="27">
        <v>7</v>
      </c>
      <c r="R871" s="21" t="s">
        <v>7221</v>
      </c>
      <c r="S871" s="21" t="s">
        <v>7222</v>
      </c>
      <c r="T871" s="21" t="s">
        <v>966</v>
      </c>
      <c r="U871" s="21" t="s">
        <v>7223</v>
      </c>
    </row>
    <row r="872" spans="1:21" ht="140">
      <c r="A872" s="21" t="s">
        <v>925</v>
      </c>
      <c r="B872" s="21" t="s">
        <v>304</v>
      </c>
      <c r="C872" s="21" t="s">
        <v>298</v>
      </c>
      <c r="D872" s="21" t="s">
        <v>180</v>
      </c>
      <c r="E872" s="21" t="s">
        <v>305</v>
      </c>
      <c r="F872" s="21" t="s">
        <v>3150</v>
      </c>
      <c r="G872" s="21" t="s">
        <v>7224</v>
      </c>
      <c r="H872" s="28">
        <v>40967</v>
      </c>
      <c r="I872" s="22">
        <v>2012</v>
      </c>
      <c r="J872" s="21" t="s">
        <v>958</v>
      </c>
      <c r="K872" s="21" t="s">
        <v>959</v>
      </c>
      <c r="L872" s="21" t="s">
        <v>7225</v>
      </c>
      <c r="M872" s="21" t="s">
        <v>5486</v>
      </c>
      <c r="N872" s="21" t="s">
        <v>7226</v>
      </c>
      <c r="O872" s="21" t="s">
        <v>7227</v>
      </c>
      <c r="P872" s="27">
        <v>0</v>
      </c>
      <c r="Q872" s="27">
        <v>30</v>
      </c>
      <c r="R872" s="21" t="s">
        <v>7228</v>
      </c>
      <c r="S872" s="21" t="s">
        <v>7229</v>
      </c>
      <c r="T872" s="21" t="s">
        <v>966</v>
      </c>
      <c r="U872" s="21" t="s">
        <v>7230</v>
      </c>
    </row>
    <row r="873" spans="1:21" ht="280">
      <c r="A873" s="21" t="s">
        <v>925</v>
      </c>
      <c r="B873" s="21" t="s">
        <v>304</v>
      </c>
      <c r="C873" s="21" t="s">
        <v>298</v>
      </c>
      <c r="D873" s="21" t="s">
        <v>180</v>
      </c>
      <c r="E873" s="21" t="s">
        <v>305</v>
      </c>
      <c r="F873" s="21" t="s">
        <v>3158</v>
      </c>
      <c r="G873" s="21" t="s">
        <v>7231</v>
      </c>
      <c r="H873" s="28">
        <v>39654</v>
      </c>
      <c r="I873" s="22">
        <v>2008</v>
      </c>
      <c r="J873" s="21" t="s">
        <v>958</v>
      </c>
      <c r="K873" s="21" t="s">
        <v>959</v>
      </c>
      <c r="L873" s="21" t="s">
        <v>7232</v>
      </c>
      <c r="M873" s="21" t="s">
        <v>6096</v>
      </c>
      <c r="N873" s="21" t="s">
        <v>7233</v>
      </c>
      <c r="O873" s="21" t="s">
        <v>7234</v>
      </c>
      <c r="P873" s="27">
        <v>0</v>
      </c>
      <c r="Q873" s="27">
        <v>8</v>
      </c>
      <c r="R873" s="21" t="s">
        <v>7235</v>
      </c>
      <c r="S873" s="21" t="s">
        <v>7236</v>
      </c>
      <c r="T873" s="21" t="s">
        <v>966</v>
      </c>
      <c r="U873" s="21" t="s">
        <v>7237</v>
      </c>
    </row>
    <row r="874" spans="1:21" ht="70">
      <c r="A874" s="21" t="s">
        <v>925</v>
      </c>
      <c r="B874" s="21" t="s">
        <v>304</v>
      </c>
      <c r="C874" s="21" t="s">
        <v>298</v>
      </c>
      <c r="D874" s="21" t="s">
        <v>180</v>
      </c>
      <c r="E874" s="21" t="s">
        <v>305</v>
      </c>
      <c r="F874" s="21" t="s">
        <v>3166</v>
      </c>
      <c r="G874" s="21" t="s">
        <v>7238</v>
      </c>
      <c r="H874" s="28">
        <v>39947</v>
      </c>
      <c r="I874" s="22">
        <v>2009</v>
      </c>
      <c r="J874" s="21" t="s">
        <v>958</v>
      </c>
      <c r="K874" s="21" t="s">
        <v>959</v>
      </c>
      <c r="L874" s="21" t="s">
        <v>7239</v>
      </c>
      <c r="M874" s="21" t="s">
        <v>6449</v>
      </c>
      <c r="N874" s="21" t="s">
        <v>6450</v>
      </c>
      <c r="O874" s="21" t="s">
        <v>7240</v>
      </c>
      <c r="P874" s="27">
        <v>1</v>
      </c>
      <c r="Q874" s="27">
        <v>11</v>
      </c>
      <c r="R874" s="21" t="s">
        <v>7241</v>
      </c>
      <c r="S874" s="21" t="s">
        <v>7242</v>
      </c>
      <c r="T874" s="21" t="s">
        <v>966</v>
      </c>
      <c r="U874" s="21" t="s">
        <v>7243</v>
      </c>
    </row>
    <row r="875" spans="1:21" ht="42">
      <c r="A875" s="21" t="s">
        <v>925</v>
      </c>
      <c r="B875" s="21" t="s">
        <v>304</v>
      </c>
      <c r="C875" s="21" t="s">
        <v>298</v>
      </c>
      <c r="D875" s="21" t="s">
        <v>180</v>
      </c>
      <c r="E875" s="21" t="s">
        <v>305</v>
      </c>
      <c r="F875" s="21" t="s">
        <v>3174</v>
      </c>
      <c r="G875" s="21" t="s">
        <v>7244</v>
      </c>
      <c r="H875" s="28">
        <v>37702</v>
      </c>
      <c r="I875" s="22">
        <v>2003</v>
      </c>
      <c r="J875" s="21" t="s">
        <v>958</v>
      </c>
      <c r="K875" s="21" t="s">
        <v>959</v>
      </c>
      <c r="L875" s="21" t="s">
        <v>7245</v>
      </c>
      <c r="M875" s="21" t="s">
        <v>6096</v>
      </c>
      <c r="N875" s="21" t="s">
        <v>7101</v>
      </c>
      <c r="O875" s="21" t="s">
        <v>7246</v>
      </c>
      <c r="P875" s="27">
        <v>1</v>
      </c>
      <c r="Q875" s="27">
        <v>29</v>
      </c>
      <c r="R875" s="21" t="s">
        <v>7247</v>
      </c>
      <c r="S875" s="21" t="s">
        <v>5975</v>
      </c>
      <c r="T875" s="21" t="s">
        <v>4159</v>
      </c>
      <c r="U875" s="21" t="s">
        <v>7248</v>
      </c>
    </row>
    <row r="876" spans="1:21" ht="140">
      <c r="A876" s="21" t="s">
        <v>925</v>
      </c>
      <c r="B876" s="21" t="s">
        <v>304</v>
      </c>
      <c r="C876" s="21" t="s">
        <v>298</v>
      </c>
      <c r="D876" s="21" t="s">
        <v>180</v>
      </c>
      <c r="E876" s="21" t="s">
        <v>305</v>
      </c>
      <c r="F876" s="21" t="s">
        <v>3182</v>
      </c>
      <c r="G876" s="21" t="s">
        <v>7249</v>
      </c>
      <c r="H876" s="28">
        <v>40371</v>
      </c>
      <c r="I876" s="22">
        <v>2010</v>
      </c>
      <c r="J876" s="21" t="s">
        <v>958</v>
      </c>
      <c r="K876" s="21" t="s">
        <v>959</v>
      </c>
      <c r="L876" s="21" t="s">
        <v>7250</v>
      </c>
      <c r="M876" s="21" t="s">
        <v>6096</v>
      </c>
      <c r="N876" s="21" t="s">
        <v>7251</v>
      </c>
      <c r="O876" s="21" t="s">
        <v>7252</v>
      </c>
      <c r="P876" s="27">
        <v>0</v>
      </c>
      <c r="Q876" s="27">
        <v>38</v>
      </c>
      <c r="R876" s="21" t="s">
        <v>7253</v>
      </c>
      <c r="S876" s="21" t="s">
        <v>7254</v>
      </c>
      <c r="T876" s="21" t="s">
        <v>966</v>
      </c>
      <c r="U876" s="21" t="s">
        <v>7255</v>
      </c>
    </row>
    <row r="877" spans="1:21" ht="70">
      <c r="A877" s="21" t="s">
        <v>925</v>
      </c>
      <c r="B877" s="21" t="s">
        <v>304</v>
      </c>
      <c r="C877" s="21" t="s">
        <v>298</v>
      </c>
      <c r="D877" s="21" t="s">
        <v>180</v>
      </c>
      <c r="E877" s="21" t="s">
        <v>305</v>
      </c>
      <c r="F877" s="21" t="s">
        <v>3191</v>
      </c>
      <c r="G877" s="21" t="s">
        <v>7256</v>
      </c>
      <c r="H877" s="28">
        <v>39671</v>
      </c>
      <c r="I877" s="22">
        <v>2008</v>
      </c>
      <c r="J877" s="21" t="s">
        <v>958</v>
      </c>
      <c r="K877" s="21" t="s">
        <v>959</v>
      </c>
      <c r="L877" s="21" t="s">
        <v>7257</v>
      </c>
      <c r="M877" s="21" t="s">
        <v>6104</v>
      </c>
      <c r="N877" s="21" t="s">
        <v>7258</v>
      </c>
      <c r="O877" s="21" t="s">
        <v>7259</v>
      </c>
      <c r="P877" s="27">
        <v>0</v>
      </c>
      <c r="Q877" s="27">
        <v>9</v>
      </c>
      <c r="R877" s="21" t="s">
        <v>7260</v>
      </c>
      <c r="S877" s="21" t="s">
        <v>7261</v>
      </c>
      <c r="T877" s="21" t="s">
        <v>966</v>
      </c>
      <c r="U877" s="21" t="s">
        <v>7262</v>
      </c>
    </row>
    <row r="878" spans="1:21" ht="238">
      <c r="A878" s="21" t="s">
        <v>925</v>
      </c>
      <c r="B878" s="21" t="s">
        <v>304</v>
      </c>
      <c r="C878" s="21" t="s">
        <v>298</v>
      </c>
      <c r="D878" s="21" t="s">
        <v>180</v>
      </c>
      <c r="E878" s="21" t="s">
        <v>305</v>
      </c>
      <c r="F878" s="21" t="s">
        <v>3198</v>
      </c>
      <c r="G878" s="21" t="s">
        <v>7263</v>
      </c>
      <c r="H878" s="28">
        <v>40827</v>
      </c>
      <c r="I878" s="22">
        <v>2011</v>
      </c>
      <c r="J878" s="21" t="s">
        <v>958</v>
      </c>
      <c r="K878" s="21" t="s">
        <v>959</v>
      </c>
      <c r="L878" s="21" t="s">
        <v>7264</v>
      </c>
      <c r="M878" s="21" t="s">
        <v>5705</v>
      </c>
      <c r="N878" s="21" t="s">
        <v>7265</v>
      </c>
      <c r="O878" s="21" t="s">
        <v>7266</v>
      </c>
      <c r="P878" s="27">
        <v>0</v>
      </c>
      <c r="Q878" s="27">
        <v>60</v>
      </c>
      <c r="R878" s="21" t="s">
        <v>7267</v>
      </c>
      <c r="S878" s="21" t="s">
        <v>7268</v>
      </c>
      <c r="T878" s="21" t="s">
        <v>966</v>
      </c>
      <c r="U878" s="21" t="s">
        <v>7269</v>
      </c>
    </row>
    <row r="879" spans="1:21" ht="56">
      <c r="A879" s="21" t="s">
        <v>925</v>
      </c>
      <c r="B879" s="21" t="s">
        <v>304</v>
      </c>
      <c r="C879" s="21" t="s">
        <v>298</v>
      </c>
      <c r="D879" s="21" t="s">
        <v>180</v>
      </c>
      <c r="E879" s="21" t="s">
        <v>305</v>
      </c>
      <c r="F879" s="21" t="s">
        <v>3203</v>
      </c>
      <c r="G879" s="21" t="s">
        <v>7270</v>
      </c>
      <c r="H879" s="28">
        <v>40623</v>
      </c>
      <c r="I879" s="22">
        <v>2011</v>
      </c>
      <c r="J879" s="21" t="s">
        <v>958</v>
      </c>
      <c r="K879" s="21" t="s">
        <v>959</v>
      </c>
      <c r="L879" s="21" t="s">
        <v>7271</v>
      </c>
      <c r="M879" s="21" t="s">
        <v>6096</v>
      </c>
      <c r="N879" s="21" t="s">
        <v>7272</v>
      </c>
      <c r="O879" s="21" t="s">
        <v>7273</v>
      </c>
      <c r="P879" s="27">
        <v>0</v>
      </c>
      <c r="Q879" s="27">
        <v>17</v>
      </c>
      <c r="R879" s="21" t="s">
        <v>7274</v>
      </c>
      <c r="S879" s="21" t="s">
        <v>7275</v>
      </c>
      <c r="T879" s="21" t="s">
        <v>966</v>
      </c>
      <c r="U879" s="21" t="s">
        <v>7276</v>
      </c>
    </row>
    <row r="880" spans="1:21" ht="112">
      <c r="A880" s="21" t="s">
        <v>925</v>
      </c>
      <c r="B880" s="21" t="s">
        <v>304</v>
      </c>
      <c r="C880" s="21" t="s">
        <v>298</v>
      </c>
      <c r="D880" s="21" t="s">
        <v>180</v>
      </c>
      <c r="E880" s="21" t="s">
        <v>305</v>
      </c>
      <c r="F880" s="21" t="s">
        <v>3210</v>
      </c>
      <c r="G880" s="21" t="s">
        <v>7277</v>
      </c>
      <c r="H880" s="28">
        <v>39339</v>
      </c>
      <c r="I880" s="22">
        <v>2007</v>
      </c>
      <c r="J880" s="21" t="s">
        <v>958</v>
      </c>
      <c r="K880" s="21" t="s">
        <v>959</v>
      </c>
      <c r="L880" s="21" t="s">
        <v>7278</v>
      </c>
      <c r="M880" s="21" t="s">
        <v>6104</v>
      </c>
      <c r="N880" s="21" t="s">
        <v>7258</v>
      </c>
      <c r="O880" s="21" t="s">
        <v>7279</v>
      </c>
      <c r="P880" s="27">
        <v>0</v>
      </c>
      <c r="Q880" s="27">
        <v>48</v>
      </c>
      <c r="R880" s="21" t="s">
        <v>7280</v>
      </c>
      <c r="S880" s="21" t="s">
        <v>7281</v>
      </c>
      <c r="T880" s="21" t="s">
        <v>966</v>
      </c>
      <c r="U880" s="21" t="s">
        <v>7282</v>
      </c>
    </row>
    <row r="881" spans="1:21" ht="42">
      <c r="A881" s="21" t="s">
        <v>925</v>
      </c>
      <c r="B881" s="21" t="s">
        <v>304</v>
      </c>
      <c r="C881" s="21" t="s">
        <v>298</v>
      </c>
      <c r="D881" s="21" t="s">
        <v>180</v>
      </c>
      <c r="E881" s="21" t="s">
        <v>305</v>
      </c>
      <c r="F881" s="21" t="s">
        <v>3216</v>
      </c>
      <c r="G881" s="21" t="s">
        <v>7283</v>
      </c>
      <c r="H881" s="28">
        <v>41982</v>
      </c>
      <c r="I881" s="22">
        <v>2014</v>
      </c>
      <c r="J881" s="21" t="s">
        <v>958</v>
      </c>
      <c r="K881" s="21" t="s">
        <v>998</v>
      </c>
      <c r="L881" s="21" t="s">
        <v>7284</v>
      </c>
      <c r="M881" s="21" t="s">
        <v>6449</v>
      </c>
      <c r="N881" s="21" t="s">
        <v>7285</v>
      </c>
      <c r="O881" s="21" t="s">
        <v>7286</v>
      </c>
      <c r="P881" s="27">
        <v>0</v>
      </c>
      <c r="Q881" s="27">
        <v>3</v>
      </c>
      <c r="R881" s="21" t="s">
        <v>7287</v>
      </c>
      <c r="S881" s="21" t="s">
        <v>7288</v>
      </c>
      <c r="T881" s="21" t="s">
        <v>1148</v>
      </c>
      <c r="U881" s="21" t="s">
        <v>7289</v>
      </c>
    </row>
    <row r="882" spans="1:21" ht="56">
      <c r="A882" s="21" t="s">
        <v>925</v>
      </c>
      <c r="B882" s="21" t="s">
        <v>304</v>
      </c>
      <c r="C882" s="21" t="s">
        <v>298</v>
      </c>
      <c r="D882" s="21" t="s">
        <v>180</v>
      </c>
      <c r="E882" s="21" t="s">
        <v>305</v>
      </c>
      <c r="F882" s="21" t="s">
        <v>3221</v>
      </c>
      <c r="G882" s="21" t="s">
        <v>7290</v>
      </c>
      <c r="H882" s="28">
        <v>41982</v>
      </c>
      <c r="I882" s="22">
        <v>2014</v>
      </c>
      <c r="J882" s="21" t="s">
        <v>958</v>
      </c>
      <c r="K882" s="21" t="s">
        <v>5876</v>
      </c>
      <c r="L882" s="21" t="s">
        <v>7291</v>
      </c>
      <c r="M882" s="21" t="s">
        <v>6449</v>
      </c>
      <c r="N882" s="21" t="s">
        <v>7285</v>
      </c>
      <c r="O882" s="21" t="s">
        <v>7292</v>
      </c>
      <c r="P882" s="27">
        <v>0</v>
      </c>
      <c r="Q882" s="27">
        <v>5</v>
      </c>
      <c r="R882" s="21" t="s">
        <v>7293</v>
      </c>
      <c r="S882" s="21" t="s">
        <v>7294</v>
      </c>
      <c r="T882" s="21" t="s">
        <v>1148</v>
      </c>
      <c r="U882" s="21" t="s">
        <v>7295</v>
      </c>
    </row>
    <row r="883" spans="1:21" ht="70">
      <c r="A883" s="21" t="s">
        <v>925</v>
      </c>
      <c r="B883" s="21" t="s">
        <v>304</v>
      </c>
      <c r="C883" s="21" t="s">
        <v>298</v>
      </c>
      <c r="D883" s="21" t="s">
        <v>180</v>
      </c>
      <c r="E883" s="21" t="s">
        <v>305</v>
      </c>
      <c r="F883" s="21" t="s">
        <v>3229</v>
      </c>
      <c r="G883" s="21" t="s">
        <v>7296</v>
      </c>
      <c r="H883" s="28">
        <v>41982</v>
      </c>
      <c r="I883" s="22">
        <v>2014</v>
      </c>
      <c r="J883" s="21" t="s">
        <v>958</v>
      </c>
      <c r="K883" s="21" t="s">
        <v>998</v>
      </c>
      <c r="L883" s="21" t="s">
        <v>7297</v>
      </c>
      <c r="M883" s="21" t="s">
        <v>6449</v>
      </c>
      <c r="N883" s="21" t="s">
        <v>6585</v>
      </c>
      <c r="O883" s="21" t="s">
        <v>7298</v>
      </c>
      <c r="P883" s="27">
        <v>0</v>
      </c>
      <c r="Q883" s="27">
        <v>4</v>
      </c>
      <c r="R883" s="21" t="s">
        <v>7299</v>
      </c>
      <c r="S883" s="21" t="s">
        <v>5602</v>
      </c>
      <c r="T883" s="21" t="s">
        <v>1148</v>
      </c>
      <c r="U883" s="21" t="s">
        <v>7300</v>
      </c>
    </row>
    <row r="884" spans="1:21" ht="154">
      <c r="A884" s="21" t="s">
        <v>925</v>
      </c>
      <c r="B884" s="21" t="s">
        <v>304</v>
      </c>
      <c r="C884" s="21" t="s">
        <v>298</v>
      </c>
      <c r="D884" s="21" t="s">
        <v>180</v>
      </c>
      <c r="E884" s="21" t="s">
        <v>305</v>
      </c>
      <c r="F884" s="21" t="s">
        <v>3237</v>
      </c>
      <c r="G884" s="21" t="s">
        <v>7301</v>
      </c>
      <c r="H884" s="28">
        <v>39786</v>
      </c>
      <c r="I884" s="22">
        <v>2008</v>
      </c>
      <c r="J884" s="21" t="s">
        <v>958</v>
      </c>
      <c r="K884" s="21" t="s">
        <v>959</v>
      </c>
      <c r="L884" s="21" t="s">
        <v>7302</v>
      </c>
      <c r="M884" s="21" t="s">
        <v>6096</v>
      </c>
      <c r="N884" s="21" t="s">
        <v>7303</v>
      </c>
      <c r="O884" s="21" t="s">
        <v>7304</v>
      </c>
      <c r="P884" s="27">
        <v>0</v>
      </c>
      <c r="Q884" s="27">
        <v>38</v>
      </c>
      <c r="R884" s="21" t="s">
        <v>7305</v>
      </c>
      <c r="S884" s="21" t="s">
        <v>5975</v>
      </c>
      <c r="T884" s="21" t="s">
        <v>966</v>
      </c>
      <c r="U884" s="21" t="s">
        <v>7306</v>
      </c>
    </row>
    <row r="885" spans="1:21" ht="42">
      <c r="A885" s="21" t="s">
        <v>925</v>
      </c>
      <c r="B885" s="21" t="s">
        <v>304</v>
      </c>
      <c r="C885" s="21" t="s">
        <v>298</v>
      </c>
      <c r="D885" s="21" t="s">
        <v>180</v>
      </c>
      <c r="E885" s="21" t="s">
        <v>305</v>
      </c>
      <c r="F885" s="21" t="s">
        <v>3245</v>
      </c>
      <c r="G885" s="21" t="s">
        <v>7307</v>
      </c>
      <c r="H885" s="28">
        <v>41310</v>
      </c>
      <c r="I885" s="22">
        <v>2013</v>
      </c>
      <c r="J885" s="21" t="s">
        <v>958</v>
      </c>
      <c r="K885" s="21" t="s">
        <v>959</v>
      </c>
      <c r="L885" s="21" t="s">
        <v>7308</v>
      </c>
      <c r="M885" s="21" t="s">
        <v>7309</v>
      </c>
      <c r="N885" s="21" t="s">
        <v>7310</v>
      </c>
      <c r="O885" s="21" t="s">
        <v>7311</v>
      </c>
      <c r="P885" s="27">
        <v>0</v>
      </c>
      <c r="Q885" s="27">
        <v>17</v>
      </c>
      <c r="R885" s="21" t="s">
        <v>7312</v>
      </c>
      <c r="S885" s="21" t="s">
        <v>7313</v>
      </c>
      <c r="T885" s="21" t="s">
        <v>966</v>
      </c>
      <c r="U885" s="21" t="s">
        <v>7314</v>
      </c>
    </row>
    <row r="886" spans="1:21" ht="42">
      <c r="A886" s="21" t="s">
        <v>925</v>
      </c>
      <c r="B886" s="21" t="s">
        <v>304</v>
      </c>
      <c r="C886" s="21" t="s">
        <v>298</v>
      </c>
      <c r="D886" s="21" t="s">
        <v>180</v>
      </c>
      <c r="E886" s="21" t="s">
        <v>305</v>
      </c>
      <c r="F886" s="21" t="s">
        <v>3252</v>
      </c>
      <c r="G886" s="21" t="s">
        <v>7315</v>
      </c>
      <c r="H886" s="28">
        <v>41488</v>
      </c>
      <c r="I886" s="22">
        <v>2013</v>
      </c>
      <c r="J886" s="21" t="s">
        <v>958</v>
      </c>
      <c r="K886" s="21" t="s">
        <v>959</v>
      </c>
      <c r="L886" s="21" t="s">
        <v>7316</v>
      </c>
      <c r="M886" s="21" t="s">
        <v>5486</v>
      </c>
      <c r="N886" s="21" t="s">
        <v>6283</v>
      </c>
      <c r="O886" s="21" t="s">
        <v>7317</v>
      </c>
      <c r="P886" s="27">
        <v>2</v>
      </c>
      <c r="Q886" s="27">
        <v>25</v>
      </c>
      <c r="R886" s="21" t="s">
        <v>7318</v>
      </c>
      <c r="S886" s="21" t="s">
        <v>7319</v>
      </c>
      <c r="T886" s="21" t="s">
        <v>966</v>
      </c>
      <c r="U886" s="21" t="s">
        <v>7320</v>
      </c>
    </row>
    <row r="887" spans="1:21" ht="70">
      <c r="A887" s="21" t="s">
        <v>925</v>
      </c>
      <c r="B887" s="21" t="s">
        <v>304</v>
      </c>
      <c r="C887" s="21" t="s">
        <v>298</v>
      </c>
      <c r="D887" s="21" t="s">
        <v>180</v>
      </c>
      <c r="E887" s="21" t="s">
        <v>305</v>
      </c>
      <c r="F887" s="21" t="s">
        <v>3260</v>
      </c>
      <c r="G887" s="21" t="s">
        <v>7321</v>
      </c>
      <c r="H887" s="28">
        <v>39150</v>
      </c>
      <c r="I887" s="22">
        <v>2007</v>
      </c>
      <c r="J887" s="21" t="s">
        <v>958</v>
      </c>
      <c r="K887" s="21" t="s">
        <v>959</v>
      </c>
      <c r="L887" s="21" t="s">
        <v>7322</v>
      </c>
      <c r="M887" s="21" t="s">
        <v>5486</v>
      </c>
      <c r="N887" s="21" t="s">
        <v>6820</v>
      </c>
      <c r="O887" s="21" t="s">
        <v>7323</v>
      </c>
      <c r="P887" s="27">
        <v>0</v>
      </c>
      <c r="Q887" s="27">
        <v>35</v>
      </c>
      <c r="R887" s="21" t="s">
        <v>7324</v>
      </c>
      <c r="S887" s="21" t="s">
        <v>7325</v>
      </c>
      <c r="T887" s="21" t="s">
        <v>966</v>
      </c>
      <c r="U887" s="21" t="s">
        <v>7326</v>
      </c>
    </row>
    <row r="888" spans="1:21" ht="28">
      <c r="A888" s="21" t="s">
        <v>925</v>
      </c>
      <c r="B888" s="21" t="s">
        <v>304</v>
      </c>
      <c r="C888" s="21" t="s">
        <v>298</v>
      </c>
      <c r="D888" s="21" t="s">
        <v>180</v>
      </c>
      <c r="E888" s="21" t="s">
        <v>305</v>
      </c>
      <c r="F888" s="21" t="s">
        <v>3269</v>
      </c>
      <c r="G888" s="21" t="s">
        <v>7327</v>
      </c>
      <c r="H888" s="28">
        <v>38504</v>
      </c>
      <c r="I888" s="22">
        <v>2005</v>
      </c>
      <c r="J888" s="21" t="s">
        <v>958</v>
      </c>
      <c r="K888" s="21" t="s">
        <v>959</v>
      </c>
      <c r="L888" s="21" t="s">
        <v>7328</v>
      </c>
      <c r="M888" s="21" t="s">
        <v>5486</v>
      </c>
      <c r="N888" s="21" t="s">
        <v>6820</v>
      </c>
      <c r="O888" s="21" t="s">
        <v>7329</v>
      </c>
      <c r="P888" s="27">
        <v>0</v>
      </c>
      <c r="Q888" s="27">
        <v>14</v>
      </c>
      <c r="R888" s="21" t="s">
        <v>7330</v>
      </c>
      <c r="S888" s="21" t="s">
        <v>1172</v>
      </c>
      <c r="T888" s="21" t="s">
        <v>4159</v>
      </c>
      <c r="U888" s="21" t="s">
        <v>7331</v>
      </c>
    </row>
    <row r="889" spans="1:21" ht="168">
      <c r="A889" s="21" t="s">
        <v>925</v>
      </c>
      <c r="B889" s="21" t="s">
        <v>304</v>
      </c>
      <c r="C889" s="21" t="s">
        <v>298</v>
      </c>
      <c r="D889" s="21" t="s">
        <v>180</v>
      </c>
      <c r="E889" s="21" t="s">
        <v>305</v>
      </c>
      <c r="F889" s="21" t="s">
        <v>3277</v>
      </c>
      <c r="G889" s="21" t="s">
        <v>7332</v>
      </c>
      <c r="H889" s="28">
        <v>41884</v>
      </c>
      <c r="I889" s="22">
        <v>2014</v>
      </c>
      <c r="J889" s="21" t="s">
        <v>958</v>
      </c>
      <c r="K889" s="21" t="s">
        <v>998</v>
      </c>
      <c r="L889" s="21" t="s">
        <v>7333</v>
      </c>
      <c r="M889" s="21" t="s">
        <v>6449</v>
      </c>
      <c r="N889" s="21" t="s">
        <v>6450</v>
      </c>
      <c r="O889" s="21" t="s">
        <v>7334</v>
      </c>
      <c r="P889" s="27">
        <v>0</v>
      </c>
      <c r="Q889" s="27">
        <v>17</v>
      </c>
      <c r="R889" s="21" t="s">
        <v>7335</v>
      </c>
      <c r="S889" s="21" t="s">
        <v>7336</v>
      </c>
      <c r="T889" s="21" t="s">
        <v>1148</v>
      </c>
      <c r="U889" s="21" t="s">
        <v>7337</v>
      </c>
    </row>
    <row r="890" spans="1:21" ht="56">
      <c r="A890" s="21" t="s">
        <v>925</v>
      </c>
      <c r="B890" s="21" t="s">
        <v>304</v>
      </c>
      <c r="C890" s="21" t="s">
        <v>298</v>
      </c>
      <c r="D890" s="21" t="s">
        <v>180</v>
      </c>
      <c r="E890" s="21" t="s">
        <v>305</v>
      </c>
      <c r="F890" s="21" t="s">
        <v>3286</v>
      </c>
      <c r="G890" s="21" t="s">
        <v>7338</v>
      </c>
      <c r="H890" s="28">
        <v>37986</v>
      </c>
      <c r="I890" s="22">
        <v>2003</v>
      </c>
      <c r="J890" s="21" t="s">
        <v>958</v>
      </c>
      <c r="K890" s="21" t="s">
        <v>3815</v>
      </c>
      <c r="L890" s="21" t="s">
        <v>7339</v>
      </c>
      <c r="M890" s="21" t="s">
        <v>6096</v>
      </c>
      <c r="N890" s="21" t="s">
        <v>7233</v>
      </c>
      <c r="O890" s="21" t="s">
        <v>7340</v>
      </c>
      <c r="P890" s="27">
        <v>0</v>
      </c>
      <c r="Q890" s="27">
        <v>4</v>
      </c>
      <c r="R890" s="21" t="s">
        <v>7341</v>
      </c>
      <c r="S890" s="21" t="s">
        <v>7342</v>
      </c>
      <c r="T890" s="21" t="s">
        <v>1148</v>
      </c>
      <c r="U890" s="21" t="s">
        <v>7343</v>
      </c>
    </row>
    <row r="891" spans="1:21" ht="168">
      <c r="A891" s="21" t="s">
        <v>925</v>
      </c>
      <c r="B891" s="21" t="s">
        <v>304</v>
      </c>
      <c r="C891" s="21" t="s">
        <v>298</v>
      </c>
      <c r="D891" s="21" t="s">
        <v>180</v>
      </c>
      <c r="E891" s="21" t="s">
        <v>305</v>
      </c>
      <c r="F891" s="21" t="s">
        <v>3294</v>
      </c>
      <c r="G891" s="21" t="s">
        <v>7344</v>
      </c>
      <c r="H891" s="28">
        <v>40802</v>
      </c>
      <c r="I891" s="22">
        <v>2011</v>
      </c>
      <c r="J891" s="21" t="s">
        <v>958</v>
      </c>
      <c r="K891" s="21" t="s">
        <v>959</v>
      </c>
      <c r="L891" s="21" t="s">
        <v>7345</v>
      </c>
      <c r="M891" s="21" t="s">
        <v>5486</v>
      </c>
      <c r="N891" s="21" t="s">
        <v>7346</v>
      </c>
      <c r="O891" s="21" t="s">
        <v>7347</v>
      </c>
      <c r="P891" s="27">
        <v>0</v>
      </c>
      <c r="Q891" s="27">
        <v>41</v>
      </c>
      <c r="R891" s="21" t="s">
        <v>7348</v>
      </c>
      <c r="S891" s="21" t="s">
        <v>7349</v>
      </c>
      <c r="T891" s="21" t="s">
        <v>966</v>
      </c>
      <c r="U891" s="21" t="s">
        <v>7350</v>
      </c>
    </row>
    <row r="892" spans="1:21" ht="98">
      <c r="A892" s="21" t="s">
        <v>925</v>
      </c>
      <c r="B892" s="21" t="s">
        <v>304</v>
      </c>
      <c r="C892" s="21" t="s">
        <v>298</v>
      </c>
      <c r="D892" s="21" t="s">
        <v>180</v>
      </c>
      <c r="E892" s="21" t="s">
        <v>305</v>
      </c>
      <c r="F892" s="21" t="s">
        <v>3302</v>
      </c>
      <c r="G892" s="21" t="s">
        <v>7351</v>
      </c>
      <c r="H892" s="28">
        <v>38989</v>
      </c>
      <c r="I892" s="22">
        <v>2006</v>
      </c>
      <c r="J892" s="21" t="s">
        <v>958</v>
      </c>
      <c r="K892" s="21" t="s">
        <v>959</v>
      </c>
      <c r="L892" s="21" t="s">
        <v>7352</v>
      </c>
      <c r="M892" s="21" t="s">
        <v>6104</v>
      </c>
      <c r="N892" s="21" t="s">
        <v>7353</v>
      </c>
      <c r="O892" s="21" t="s">
        <v>7354</v>
      </c>
      <c r="P892" s="27">
        <v>0</v>
      </c>
      <c r="Q892" s="27">
        <v>24</v>
      </c>
      <c r="R892" s="21" t="s">
        <v>7355</v>
      </c>
      <c r="S892" s="21" t="s">
        <v>7356</v>
      </c>
      <c r="T892" s="21" t="s">
        <v>966</v>
      </c>
      <c r="U892" s="21" t="s">
        <v>7357</v>
      </c>
    </row>
    <row r="893" spans="1:21" ht="126">
      <c r="A893" s="21" t="s">
        <v>925</v>
      </c>
      <c r="B893" s="21" t="s">
        <v>304</v>
      </c>
      <c r="C893" s="21" t="s">
        <v>298</v>
      </c>
      <c r="D893" s="21" t="s">
        <v>180</v>
      </c>
      <c r="E893" s="21" t="s">
        <v>305</v>
      </c>
      <c r="F893" s="21" t="s">
        <v>3309</v>
      </c>
      <c r="G893" s="21" t="s">
        <v>7358</v>
      </c>
      <c r="H893" s="28">
        <v>39625</v>
      </c>
      <c r="I893" s="22">
        <v>2008</v>
      </c>
      <c r="J893" s="21" t="s">
        <v>958</v>
      </c>
      <c r="K893" s="21" t="s">
        <v>959</v>
      </c>
      <c r="L893" s="21" t="s">
        <v>7359</v>
      </c>
      <c r="M893" s="21" t="s">
        <v>7360</v>
      </c>
      <c r="N893" s="21" t="s">
        <v>7361</v>
      </c>
      <c r="O893" s="21" t="s">
        <v>7362</v>
      </c>
      <c r="P893" s="27">
        <v>0</v>
      </c>
      <c r="Q893" s="27">
        <v>21</v>
      </c>
      <c r="R893" s="21" t="s">
        <v>7363</v>
      </c>
      <c r="S893" s="21" t="s">
        <v>7364</v>
      </c>
      <c r="T893" s="21" t="s">
        <v>966</v>
      </c>
      <c r="U893" s="21" t="s">
        <v>7365</v>
      </c>
    </row>
    <row r="894" spans="1:21" ht="168">
      <c r="A894" s="21" t="s">
        <v>925</v>
      </c>
      <c r="B894" s="21" t="s">
        <v>304</v>
      </c>
      <c r="C894" s="21" t="s">
        <v>298</v>
      </c>
      <c r="D894" s="21" t="s">
        <v>180</v>
      </c>
      <c r="E894" s="21" t="s">
        <v>305</v>
      </c>
      <c r="F894" s="21" t="s">
        <v>3317</v>
      </c>
      <c r="G894" s="21" t="s">
        <v>7366</v>
      </c>
      <c r="H894" s="28">
        <v>39780</v>
      </c>
      <c r="I894" s="22">
        <v>2008</v>
      </c>
      <c r="J894" s="21" t="s">
        <v>958</v>
      </c>
      <c r="K894" s="21" t="s">
        <v>959</v>
      </c>
      <c r="L894" s="21" t="s">
        <v>7367</v>
      </c>
      <c r="M894" s="21" t="s">
        <v>5486</v>
      </c>
      <c r="N894" s="21" t="s">
        <v>7368</v>
      </c>
      <c r="O894" s="21" t="s">
        <v>7369</v>
      </c>
      <c r="P894" s="27">
        <v>0</v>
      </c>
      <c r="Q894" s="27">
        <v>56</v>
      </c>
      <c r="R894" s="21" t="s">
        <v>7370</v>
      </c>
      <c r="S894" s="21" t="s">
        <v>7371</v>
      </c>
      <c r="T894" s="21" t="s">
        <v>966</v>
      </c>
      <c r="U894" s="21" t="s">
        <v>7372</v>
      </c>
    </row>
    <row r="895" spans="1:21" ht="56">
      <c r="A895" s="21" t="s">
        <v>925</v>
      </c>
      <c r="B895" s="21" t="s">
        <v>304</v>
      </c>
      <c r="C895" s="21" t="s">
        <v>298</v>
      </c>
      <c r="D895" s="21" t="s">
        <v>180</v>
      </c>
      <c r="E895" s="21" t="s">
        <v>305</v>
      </c>
      <c r="F895" s="21" t="s">
        <v>3325</v>
      </c>
      <c r="G895" s="21" t="s">
        <v>7373</v>
      </c>
      <c r="H895" s="28">
        <v>41841</v>
      </c>
      <c r="I895" s="22">
        <v>2014</v>
      </c>
      <c r="J895" s="21" t="s">
        <v>958</v>
      </c>
      <c r="K895" s="21" t="s">
        <v>998</v>
      </c>
      <c r="L895" s="21" t="s">
        <v>7374</v>
      </c>
      <c r="M895" s="21" t="s">
        <v>6449</v>
      </c>
      <c r="N895" s="21" t="s">
        <v>7375</v>
      </c>
      <c r="O895" s="21" t="s">
        <v>7376</v>
      </c>
      <c r="P895" s="27">
        <v>1</v>
      </c>
      <c r="Q895" s="27">
        <v>21</v>
      </c>
      <c r="R895" s="21" t="s">
        <v>7377</v>
      </c>
      <c r="S895" s="21" t="s">
        <v>7378</v>
      </c>
      <c r="T895" s="21" t="s">
        <v>966</v>
      </c>
      <c r="U895" s="21" t="s">
        <v>7379</v>
      </c>
    </row>
    <row r="896" spans="1:21" ht="84">
      <c r="A896" s="21" t="s">
        <v>925</v>
      </c>
      <c r="B896" s="21" t="s">
        <v>304</v>
      </c>
      <c r="C896" s="21" t="s">
        <v>298</v>
      </c>
      <c r="D896" s="21" t="s">
        <v>180</v>
      </c>
      <c r="E896" s="21" t="s">
        <v>305</v>
      </c>
      <c r="F896" s="21" t="s">
        <v>3332</v>
      </c>
      <c r="G896" s="21" t="s">
        <v>7380</v>
      </c>
      <c r="H896" s="28">
        <v>40385</v>
      </c>
      <c r="I896" s="22">
        <v>2010</v>
      </c>
      <c r="J896" s="21" t="s">
        <v>958</v>
      </c>
      <c r="K896" s="21" t="s">
        <v>959</v>
      </c>
      <c r="L896" s="21" t="s">
        <v>7381</v>
      </c>
      <c r="M896" s="21" t="s">
        <v>5486</v>
      </c>
      <c r="N896" s="21" t="s">
        <v>6892</v>
      </c>
      <c r="O896" s="21" t="s">
        <v>7382</v>
      </c>
      <c r="P896" s="27">
        <v>0</v>
      </c>
      <c r="Q896" s="27">
        <v>38</v>
      </c>
      <c r="R896" s="21" t="s">
        <v>7383</v>
      </c>
      <c r="S896" s="21" t="s">
        <v>7384</v>
      </c>
      <c r="T896" s="21" t="s">
        <v>966</v>
      </c>
      <c r="U896" s="21" t="s">
        <v>7385</v>
      </c>
    </row>
    <row r="897" spans="1:21" ht="98">
      <c r="A897" s="21" t="s">
        <v>925</v>
      </c>
      <c r="B897" s="21" t="s">
        <v>304</v>
      </c>
      <c r="C897" s="21" t="s">
        <v>298</v>
      </c>
      <c r="D897" s="21" t="s">
        <v>180</v>
      </c>
      <c r="E897" s="21" t="s">
        <v>305</v>
      </c>
      <c r="F897" s="21" t="s">
        <v>3340</v>
      </c>
      <c r="G897" s="21" t="s">
        <v>7386</v>
      </c>
      <c r="H897" s="28">
        <v>40659</v>
      </c>
      <c r="I897" s="22">
        <v>2011</v>
      </c>
      <c r="J897" s="21" t="s">
        <v>958</v>
      </c>
      <c r="K897" s="21" t="s">
        <v>959</v>
      </c>
      <c r="L897" s="21" t="s">
        <v>7387</v>
      </c>
      <c r="M897" s="21" t="s">
        <v>5486</v>
      </c>
      <c r="N897" s="21" t="s">
        <v>6283</v>
      </c>
      <c r="O897" s="21" t="s">
        <v>7388</v>
      </c>
      <c r="P897" s="27">
        <v>0</v>
      </c>
      <c r="Q897" s="27">
        <v>54</v>
      </c>
      <c r="R897" s="21" t="s">
        <v>7389</v>
      </c>
      <c r="S897" s="21" t="s">
        <v>7390</v>
      </c>
      <c r="T897" s="21" t="s">
        <v>966</v>
      </c>
      <c r="U897" s="21" t="s">
        <v>7391</v>
      </c>
    </row>
    <row r="898" spans="1:21" ht="409.5">
      <c r="A898" s="21" t="s">
        <v>925</v>
      </c>
      <c r="B898" s="21" t="s">
        <v>304</v>
      </c>
      <c r="C898" s="21" t="s">
        <v>298</v>
      </c>
      <c r="D898" s="21" t="s">
        <v>180</v>
      </c>
      <c r="E898" s="21" t="s">
        <v>305</v>
      </c>
      <c r="F898" s="21" t="s">
        <v>3347</v>
      </c>
      <c r="G898" s="21" t="s">
        <v>7392</v>
      </c>
      <c r="H898" s="28">
        <v>39573</v>
      </c>
      <c r="I898" s="22">
        <v>2008</v>
      </c>
      <c r="J898" s="21" t="s">
        <v>958</v>
      </c>
      <c r="K898" s="21" t="s">
        <v>959</v>
      </c>
      <c r="L898" s="21" t="s">
        <v>7393</v>
      </c>
      <c r="M898" s="21" t="s">
        <v>5486</v>
      </c>
      <c r="N898" s="21" t="s">
        <v>7394</v>
      </c>
      <c r="O898" s="21" t="s">
        <v>7395</v>
      </c>
      <c r="P898" s="27">
        <v>0</v>
      </c>
      <c r="Q898" s="27">
        <v>60</v>
      </c>
      <c r="R898" s="21" t="s">
        <v>7396</v>
      </c>
      <c r="S898" s="21" t="s">
        <v>7397</v>
      </c>
      <c r="T898" s="21" t="s">
        <v>966</v>
      </c>
      <c r="U898" s="21" t="s">
        <v>7398</v>
      </c>
    </row>
    <row r="899" spans="1:21" ht="42">
      <c r="A899" s="21" t="s">
        <v>925</v>
      </c>
      <c r="B899" s="21" t="s">
        <v>304</v>
      </c>
      <c r="C899" s="21" t="s">
        <v>298</v>
      </c>
      <c r="D899" s="21" t="s">
        <v>180</v>
      </c>
      <c r="E899" s="21" t="s">
        <v>305</v>
      </c>
      <c r="F899" s="21" t="s">
        <v>3354</v>
      </c>
      <c r="G899" s="21" t="s">
        <v>7399</v>
      </c>
      <c r="H899" s="28">
        <v>41107</v>
      </c>
      <c r="I899" s="22">
        <v>2012</v>
      </c>
      <c r="J899" s="21" t="s">
        <v>958</v>
      </c>
      <c r="K899" s="21" t="s">
        <v>959</v>
      </c>
      <c r="L899" s="21" t="s">
        <v>7400</v>
      </c>
      <c r="M899" s="21" t="s">
        <v>5486</v>
      </c>
      <c r="N899" s="21" t="s">
        <v>7401</v>
      </c>
      <c r="O899" s="21" t="s">
        <v>7402</v>
      </c>
      <c r="P899" s="27">
        <v>0</v>
      </c>
      <c r="Q899" s="27">
        <v>41</v>
      </c>
      <c r="R899" s="21" t="s">
        <v>7403</v>
      </c>
      <c r="S899" s="21" t="s">
        <v>7404</v>
      </c>
      <c r="T899" s="21" t="s">
        <v>966</v>
      </c>
      <c r="U899" s="21" t="s">
        <v>7405</v>
      </c>
    </row>
    <row r="900" spans="1:21" ht="266">
      <c r="A900" s="21" t="s">
        <v>925</v>
      </c>
      <c r="B900" s="21" t="s">
        <v>304</v>
      </c>
      <c r="C900" s="21" t="s">
        <v>298</v>
      </c>
      <c r="D900" s="21" t="s">
        <v>180</v>
      </c>
      <c r="E900" s="21" t="s">
        <v>305</v>
      </c>
      <c r="F900" s="21" t="s">
        <v>3360</v>
      </c>
      <c r="G900" s="21" t="s">
        <v>7406</v>
      </c>
      <c r="H900" s="28">
        <v>41817</v>
      </c>
      <c r="I900" s="22">
        <v>2014</v>
      </c>
      <c r="J900" s="21" t="s">
        <v>958</v>
      </c>
      <c r="K900" s="21" t="s">
        <v>5876</v>
      </c>
      <c r="L900" s="21" t="s">
        <v>7407</v>
      </c>
      <c r="M900" s="21" t="s">
        <v>5486</v>
      </c>
      <c r="N900" s="21" t="s">
        <v>7408</v>
      </c>
      <c r="O900" s="21" t="s">
        <v>7409</v>
      </c>
      <c r="P900" s="27">
        <v>0</v>
      </c>
      <c r="Q900" s="27">
        <v>32</v>
      </c>
      <c r="R900" s="21" t="s">
        <v>7410</v>
      </c>
      <c r="S900" s="21" t="s">
        <v>7411</v>
      </c>
      <c r="T900" s="21" t="s">
        <v>966</v>
      </c>
      <c r="U900" s="21" t="s">
        <v>7412</v>
      </c>
    </row>
    <row r="901" spans="1:21" ht="56">
      <c r="A901" s="21" t="s">
        <v>925</v>
      </c>
      <c r="B901" s="21" t="s">
        <v>304</v>
      </c>
      <c r="C901" s="21" t="s">
        <v>298</v>
      </c>
      <c r="D901" s="21" t="s">
        <v>180</v>
      </c>
      <c r="E901" s="21" t="s">
        <v>305</v>
      </c>
      <c r="F901" s="21" t="s">
        <v>3367</v>
      </c>
      <c r="G901" s="21" t="s">
        <v>7413</v>
      </c>
      <c r="H901" s="28">
        <v>39519</v>
      </c>
      <c r="I901" s="22">
        <v>2008</v>
      </c>
      <c r="J901" s="21" t="s">
        <v>958</v>
      </c>
      <c r="K901" s="21" t="s">
        <v>959</v>
      </c>
      <c r="L901" s="21" t="s">
        <v>7414</v>
      </c>
      <c r="M901" s="21" t="s">
        <v>7415</v>
      </c>
      <c r="N901" s="21" t="s">
        <v>7416</v>
      </c>
      <c r="O901" s="21" t="s">
        <v>7417</v>
      </c>
      <c r="P901" s="27">
        <v>0</v>
      </c>
      <c r="Q901" s="27">
        <v>11</v>
      </c>
      <c r="R901" s="21" t="s">
        <v>7418</v>
      </c>
      <c r="S901" s="21" t="s">
        <v>7419</v>
      </c>
      <c r="T901" s="21" t="s">
        <v>966</v>
      </c>
      <c r="U901" s="21" t="s">
        <v>7420</v>
      </c>
    </row>
    <row r="902" spans="1:21" ht="154">
      <c r="A902" s="21" t="s">
        <v>925</v>
      </c>
      <c r="B902" s="21" t="s">
        <v>304</v>
      </c>
      <c r="C902" s="21" t="s">
        <v>298</v>
      </c>
      <c r="D902" s="21" t="s">
        <v>180</v>
      </c>
      <c r="E902" s="21" t="s">
        <v>305</v>
      </c>
      <c r="F902" s="21" t="s">
        <v>3375</v>
      </c>
      <c r="G902" s="21" t="s">
        <v>7421</v>
      </c>
      <c r="H902" s="28">
        <v>40074</v>
      </c>
      <c r="I902" s="22">
        <v>2009</v>
      </c>
      <c r="J902" s="21" t="s">
        <v>958</v>
      </c>
      <c r="K902" s="21" t="s">
        <v>959</v>
      </c>
      <c r="L902" s="21" t="s">
        <v>7422</v>
      </c>
      <c r="M902" s="21" t="s">
        <v>5486</v>
      </c>
      <c r="N902" s="21" t="s">
        <v>7423</v>
      </c>
      <c r="O902" s="21" t="s">
        <v>7424</v>
      </c>
      <c r="P902" s="27">
        <v>2</v>
      </c>
      <c r="Q902" s="27">
        <v>74</v>
      </c>
      <c r="R902" s="21" t="s">
        <v>7425</v>
      </c>
      <c r="S902" s="21" t="s">
        <v>7426</v>
      </c>
      <c r="T902" s="21" t="s">
        <v>3189</v>
      </c>
      <c r="U902" s="21" t="s">
        <v>7427</v>
      </c>
    </row>
    <row r="903" spans="1:21" ht="364">
      <c r="A903" s="21" t="s">
        <v>925</v>
      </c>
      <c r="B903" s="21" t="s">
        <v>304</v>
      </c>
      <c r="C903" s="21" t="s">
        <v>298</v>
      </c>
      <c r="D903" s="21" t="s">
        <v>180</v>
      </c>
      <c r="E903" s="21" t="s">
        <v>305</v>
      </c>
      <c r="F903" s="21" t="s">
        <v>3383</v>
      </c>
      <c r="G903" s="21" t="s">
        <v>7428</v>
      </c>
      <c r="H903" s="28">
        <v>40333</v>
      </c>
      <c r="I903" s="22">
        <v>2010</v>
      </c>
      <c r="J903" s="21" t="s">
        <v>958</v>
      </c>
      <c r="K903" s="21" t="s">
        <v>959</v>
      </c>
      <c r="L903" s="21" t="s">
        <v>7429</v>
      </c>
      <c r="M903" s="21" t="s">
        <v>5486</v>
      </c>
      <c r="N903" s="21" t="s">
        <v>7430</v>
      </c>
      <c r="O903" s="21" t="s">
        <v>7431</v>
      </c>
      <c r="P903" s="27">
        <v>0</v>
      </c>
      <c r="Q903" s="27">
        <v>48</v>
      </c>
      <c r="R903" s="21" t="s">
        <v>7432</v>
      </c>
      <c r="S903" s="21" t="s">
        <v>7433</v>
      </c>
      <c r="T903" s="21" t="s">
        <v>966</v>
      </c>
      <c r="U903" s="21" t="s">
        <v>7434</v>
      </c>
    </row>
    <row r="904" spans="1:21" ht="126">
      <c r="A904" s="21" t="s">
        <v>925</v>
      </c>
      <c r="B904" s="21" t="s">
        <v>304</v>
      </c>
      <c r="C904" s="21" t="s">
        <v>298</v>
      </c>
      <c r="D904" s="21" t="s">
        <v>180</v>
      </c>
      <c r="E904" s="21" t="s">
        <v>305</v>
      </c>
      <c r="F904" s="21" t="s">
        <v>3392</v>
      </c>
      <c r="G904" s="21" t="s">
        <v>7435</v>
      </c>
      <c r="H904" s="28">
        <v>39101</v>
      </c>
      <c r="I904" s="22">
        <v>2007</v>
      </c>
      <c r="J904" s="21" t="s">
        <v>958</v>
      </c>
      <c r="K904" s="21" t="s">
        <v>959</v>
      </c>
      <c r="L904" s="21" t="s">
        <v>7436</v>
      </c>
      <c r="M904" s="21" t="s">
        <v>5486</v>
      </c>
      <c r="N904" s="21" t="s">
        <v>6820</v>
      </c>
      <c r="O904" s="21" t="s">
        <v>7437</v>
      </c>
      <c r="P904" s="27">
        <v>0</v>
      </c>
      <c r="Q904" s="27">
        <v>15</v>
      </c>
      <c r="R904" s="21" t="s">
        <v>7438</v>
      </c>
      <c r="S904" s="21" t="s">
        <v>7439</v>
      </c>
      <c r="T904" s="21" t="s">
        <v>966</v>
      </c>
      <c r="U904" s="21" t="s">
        <v>7440</v>
      </c>
    </row>
    <row r="905" spans="1:21" ht="154">
      <c r="A905" s="21" t="s">
        <v>925</v>
      </c>
      <c r="B905" s="21" t="s">
        <v>304</v>
      </c>
      <c r="C905" s="21" t="s">
        <v>298</v>
      </c>
      <c r="D905" s="21" t="s">
        <v>180</v>
      </c>
      <c r="E905" s="21" t="s">
        <v>305</v>
      </c>
      <c r="F905" s="21" t="s">
        <v>3400</v>
      </c>
      <c r="G905" s="21" t="s">
        <v>7441</v>
      </c>
      <c r="H905" s="28">
        <v>37986</v>
      </c>
      <c r="I905" s="22">
        <v>2003</v>
      </c>
      <c r="J905" s="21" t="s">
        <v>958</v>
      </c>
      <c r="K905" s="21" t="s">
        <v>959</v>
      </c>
      <c r="L905" s="21" t="s">
        <v>7442</v>
      </c>
      <c r="M905" s="21" t="s">
        <v>6096</v>
      </c>
      <c r="N905" s="21" t="s">
        <v>7233</v>
      </c>
      <c r="O905" s="21" t="s">
        <v>7443</v>
      </c>
      <c r="P905" s="27">
        <v>0</v>
      </c>
      <c r="Q905" s="27">
        <v>9</v>
      </c>
      <c r="R905" s="21" t="s">
        <v>7444</v>
      </c>
      <c r="S905" s="21" t="s">
        <v>7445</v>
      </c>
      <c r="T905" s="21" t="s">
        <v>4159</v>
      </c>
      <c r="U905" s="21" t="s">
        <v>7446</v>
      </c>
    </row>
    <row r="906" spans="1:21" ht="154">
      <c r="A906" s="21" t="s">
        <v>925</v>
      </c>
      <c r="B906" s="21" t="s">
        <v>304</v>
      </c>
      <c r="C906" s="21" t="s">
        <v>298</v>
      </c>
      <c r="D906" s="21" t="s">
        <v>180</v>
      </c>
      <c r="E906" s="21" t="s">
        <v>305</v>
      </c>
      <c r="F906" s="21" t="s">
        <v>3408</v>
      </c>
      <c r="G906" s="21" t="s">
        <v>7447</v>
      </c>
      <c r="H906" s="28">
        <v>39078</v>
      </c>
      <c r="I906" s="22">
        <v>2006</v>
      </c>
      <c r="J906" s="21" t="s">
        <v>958</v>
      </c>
      <c r="K906" s="21" t="s">
        <v>959</v>
      </c>
      <c r="L906" s="21" t="s">
        <v>7448</v>
      </c>
      <c r="M906" s="21" t="s">
        <v>5486</v>
      </c>
      <c r="N906" s="21" t="s">
        <v>6820</v>
      </c>
      <c r="O906" s="21" t="s">
        <v>7449</v>
      </c>
      <c r="P906" s="27">
        <v>0</v>
      </c>
      <c r="Q906" s="27">
        <v>40</v>
      </c>
      <c r="R906" s="21" t="s">
        <v>7450</v>
      </c>
      <c r="S906" s="21" t="s">
        <v>7451</v>
      </c>
      <c r="T906" s="21" t="s">
        <v>966</v>
      </c>
      <c r="U906" s="21" t="s">
        <v>7452</v>
      </c>
    </row>
    <row r="907" spans="1:21" ht="28">
      <c r="A907" s="21" t="s">
        <v>925</v>
      </c>
      <c r="B907" s="21" t="s">
        <v>304</v>
      </c>
      <c r="C907" s="21" t="s">
        <v>298</v>
      </c>
      <c r="D907" s="21" t="s">
        <v>180</v>
      </c>
      <c r="E907" s="21" t="s">
        <v>305</v>
      </c>
      <c r="F907" s="21" t="s">
        <v>3416</v>
      </c>
      <c r="G907" s="21" t="s">
        <v>7453</v>
      </c>
      <c r="H907" s="28">
        <v>41648</v>
      </c>
      <c r="I907" s="22">
        <v>2014</v>
      </c>
      <c r="J907" s="21" t="s">
        <v>958</v>
      </c>
      <c r="K907" s="21" t="s">
        <v>998</v>
      </c>
      <c r="L907" s="21" t="s">
        <v>7454</v>
      </c>
      <c r="M907" s="21" t="s">
        <v>7455</v>
      </c>
      <c r="N907" s="21" t="s">
        <v>7456</v>
      </c>
      <c r="O907" s="21" t="s">
        <v>7457</v>
      </c>
      <c r="P907" s="27">
        <v>0</v>
      </c>
      <c r="Q907" s="27">
        <v>4</v>
      </c>
      <c r="R907" s="21" t="s">
        <v>7458</v>
      </c>
      <c r="S907" s="21" t="s">
        <v>7459</v>
      </c>
      <c r="T907" s="21" t="s">
        <v>1148</v>
      </c>
      <c r="U907" s="21" t="s">
        <v>7460</v>
      </c>
    </row>
    <row r="908" spans="1:21" ht="112">
      <c r="A908" s="21" t="s">
        <v>925</v>
      </c>
      <c r="B908" s="21" t="s">
        <v>304</v>
      </c>
      <c r="C908" s="21" t="s">
        <v>298</v>
      </c>
      <c r="D908" s="21" t="s">
        <v>180</v>
      </c>
      <c r="E908" s="21" t="s">
        <v>305</v>
      </c>
      <c r="F908" s="21" t="s">
        <v>3424</v>
      </c>
      <c r="G908" s="21" t="s">
        <v>7461</v>
      </c>
      <c r="H908" s="28">
        <v>40942</v>
      </c>
      <c r="I908" s="22">
        <v>2012</v>
      </c>
      <c r="J908" s="21" t="s">
        <v>958</v>
      </c>
      <c r="K908" s="21" t="s">
        <v>959</v>
      </c>
      <c r="L908" s="21" t="s">
        <v>7462</v>
      </c>
      <c r="M908" s="21" t="s">
        <v>5486</v>
      </c>
      <c r="N908" s="21" t="s">
        <v>7401</v>
      </c>
      <c r="O908" s="21" t="s">
        <v>7463</v>
      </c>
      <c r="P908" s="27">
        <v>0</v>
      </c>
      <c r="Q908" s="27">
        <v>36</v>
      </c>
      <c r="R908" s="21" t="s">
        <v>7464</v>
      </c>
      <c r="S908" s="21" t="s">
        <v>7465</v>
      </c>
      <c r="T908" s="21" t="s">
        <v>966</v>
      </c>
      <c r="U908" s="21" t="s">
        <v>7466</v>
      </c>
    </row>
    <row r="909" spans="1:21" ht="84">
      <c r="A909" s="21" t="s">
        <v>925</v>
      </c>
      <c r="B909" s="21" t="s">
        <v>304</v>
      </c>
      <c r="C909" s="21" t="s">
        <v>298</v>
      </c>
      <c r="D909" s="21" t="s">
        <v>180</v>
      </c>
      <c r="E909" s="21" t="s">
        <v>305</v>
      </c>
      <c r="F909" s="21" t="s">
        <v>3431</v>
      </c>
      <c r="G909" s="21" t="s">
        <v>7467</v>
      </c>
      <c r="H909" s="28">
        <v>38141</v>
      </c>
      <c r="I909" s="22">
        <v>2004</v>
      </c>
      <c r="J909" s="21" t="s">
        <v>958</v>
      </c>
      <c r="K909" s="21" t="s">
        <v>959</v>
      </c>
      <c r="L909" s="21" t="s">
        <v>7468</v>
      </c>
      <c r="M909" s="21" t="s">
        <v>6096</v>
      </c>
      <c r="N909" s="21" t="s">
        <v>7233</v>
      </c>
      <c r="O909" s="21" t="s">
        <v>7469</v>
      </c>
      <c r="P909" s="27">
        <v>0</v>
      </c>
      <c r="Q909" s="27">
        <v>5</v>
      </c>
      <c r="R909" s="21" t="s">
        <v>7470</v>
      </c>
      <c r="S909" s="21" t="s">
        <v>7471</v>
      </c>
      <c r="T909" s="21" t="s">
        <v>4159</v>
      </c>
      <c r="U909" s="21" t="s">
        <v>7472</v>
      </c>
    </row>
    <row r="910" spans="1:21" ht="42">
      <c r="A910" s="21" t="s">
        <v>925</v>
      </c>
      <c r="B910" s="21" t="s">
        <v>304</v>
      </c>
      <c r="C910" s="21" t="s">
        <v>298</v>
      </c>
      <c r="D910" s="21" t="s">
        <v>180</v>
      </c>
      <c r="E910" s="21" t="s">
        <v>305</v>
      </c>
      <c r="F910" s="21" t="s">
        <v>3439</v>
      </c>
      <c r="G910" s="21" t="s">
        <v>7473</v>
      </c>
      <c r="H910" s="28">
        <v>41235</v>
      </c>
      <c r="I910" s="22">
        <v>2012</v>
      </c>
      <c r="J910" s="21" t="s">
        <v>958</v>
      </c>
      <c r="K910" s="21" t="s">
        <v>959</v>
      </c>
      <c r="L910" s="21" t="s">
        <v>7474</v>
      </c>
      <c r="M910" s="21" t="s">
        <v>5486</v>
      </c>
      <c r="N910" s="21" t="s">
        <v>7475</v>
      </c>
      <c r="O910" s="21" t="s">
        <v>7476</v>
      </c>
      <c r="P910" s="27">
        <v>0</v>
      </c>
      <c r="Q910" s="27">
        <v>26</v>
      </c>
      <c r="R910" s="21" t="s">
        <v>7477</v>
      </c>
      <c r="S910" s="21" t="s">
        <v>7478</v>
      </c>
      <c r="T910" s="21" t="s">
        <v>966</v>
      </c>
      <c r="U910" s="21" t="s">
        <v>7479</v>
      </c>
    </row>
    <row r="911" spans="1:21" ht="126">
      <c r="A911" s="21" t="s">
        <v>925</v>
      </c>
      <c r="B911" s="21" t="s">
        <v>304</v>
      </c>
      <c r="C911" s="21" t="s">
        <v>298</v>
      </c>
      <c r="D911" s="21" t="s">
        <v>180</v>
      </c>
      <c r="E911" s="21" t="s">
        <v>305</v>
      </c>
      <c r="F911" s="21" t="s">
        <v>3447</v>
      </c>
      <c r="G911" s="21" t="s">
        <v>7480</v>
      </c>
      <c r="H911" s="28">
        <v>40368</v>
      </c>
      <c r="I911" s="22">
        <v>2010</v>
      </c>
      <c r="J911" s="21" t="s">
        <v>958</v>
      </c>
      <c r="K911" s="21" t="s">
        <v>959</v>
      </c>
      <c r="L911" s="21" t="s">
        <v>7481</v>
      </c>
      <c r="M911" s="21" t="s">
        <v>7482</v>
      </c>
      <c r="N911" s="21" t="s">
        <v>7483</v>
      </c>
      <c r="O911" s="21" t="s">
        <v>7484</v>
      </c>
      <c r="P911" s="27">
        <v>0</v>
      </c>
      <c r="Q911" s="27">
        <v>18</v>
      </c>
      <c r="R911" s="21" t="s">
        <v>7485</v>
      </c>
      <c r="S911" s="21" t="s">
        <v>7486</v>
      </c>
      <c r="T911" s="21" t="s">
        <v>966</v>
      </c>
      <c r="U911" s="21" t="s">
        <v>7487</v>
      </c>
    </row>
    <row r="912" spans="1:21" ht="56">
      <c r="A912" s="21" t="s">
        <v>925</v>
      </c>
      <c r="B912" s="21" t="s">
        <v>304</v>
      </c>
      <c r="C912" s="21" t="s">
        <v>298</v>
      </c>
      <c r="D912" s="21" t="s">
        <v>180</v>
      </c>
      <c r="E912" s="21" t="s">
        <v>305</v>
      </c>
      <c r="F912" s="21" t="s">
        <v>3455</v>
      </c>
      <c r="G912" s="21" t="s">
        <v>7488</v>
      </c>
      <c r="H912" s="28">
        <v>39279</v>
      </c>
      <c r="I912" s="22">
        <v>2007</v>
      </c>
      <c r="J912" s="21" t="s">
        <v>958</v>
      </c>
      <c r="K912" s="21" t="s">
        <v>959</v>
      </c>
      <c r="L912" s="21" t="s">
        <v>7489</v>
      </c>
      <c r="M912" s="21" t="s">
        <v>5486</v>
      </c>
      <c r="N912" s="21" t="s">
        <v>6820</v>
      </c>
      <c r="O912" s="21" t="s">
        <v>7490</v>
      </c>
      <c r="P912" s="27">
        <v>0</v>
      </c>
      <c r="Q912" s="27">
        <v>11</v>
      </c>
      <c r="R912" s="21" t="s">
        <v>7491</v>
      </c>
      <c r="S912" s="21" t="s">
        <v>7492</v>
      </c>
      <c r="T912" s="21" t="s">
        <v>966</v>
      </c>
      <c r="U912" s="21" t="s">
        <v>7493</v>
      </c>
    </row>
    <row r="913" spans="1:21" ht="406">
      <c r="A913" s="21" t="s">
        <v>925</v>
      </c>
      <c r="B913" s="21" t="s">
        <v>304</v>
      </c>
      <c r="C913" s="21" t="s">
        <v>298</v>
      </c>
      <c r="D913" s="21" t="s">
        <v>180</v>
      </c>
      <c r="E913" s="21" t="s">
        <v>305</v>
      </c>
      <c r="F913" s="21" t="s">
        <v>3463</v>
      </c>
      <c r="G913" s="21" t="s">
        <v>7494</v>
      </c>
      <c r="H913" s="28">
        <v>37504</v>
      </c>
      <c r="I913" s="22">
        <v>2002</v>
      </c>
      <c r="J913" s="21" t="s">
        <v>958</v>
      </c>
      <c r="K913" s="21" t="s">
        <v>959</v>
      </c>
      <c r="L913" s="21" t="s">
        <v>7495</v>
      </c>
      <c r="M913" s="21" t="s">
        <v>6096</v>
      </c>
      <c r="N913" s="21" t="s">
        <v>7233</v>
      </c>
      <c r="O913" s="21" t="s">
        <v>7496</v>
      </c>
      <c r="P913" s="27">
        <v>0</v>
      </c>
      <c r="Q913" s="27">
        <v>22</v>
      </c>
      <c r="R913" s="21" t="s">
        <v>7497</v>
      </c>
      <c r="S913" s="21" t="s">
        <v>7498</v>
      </c>
      <c r="T913" s="21" t="s">
        <v>4159</v>
      </c>
      <c r="U913" s="21" t="s">
        <v>7499</v>
      </c>
    </row>
    <row r="914" spans="1:21" ht="56">
      <c r="A914" s="21" t="s">
        <v>925</v>
      </c>
      <c r="B914" s="21" t="s">
        <v>304</v>
      </c>
      <c r="C914" s="21" t="s">
        <v>298</v>
      </c>
      <c r="D914" s="21" t="s">
        <v>180</v>
      </c>
      <c r="E914" s="21" t="s">
        <v>305</v>
      </c>
      <c r="F914" s="21" t="s">
        <v>3471</v>
      </c>
      <c r="G914" s="21" t="s">
        <v>7500</v>
      </c>
      <c r="H914" s="28">
        <v>39273</v>
      </c>
      <c r="I914" s="22">
        <v>2007</v>
      </c>
      <c r="J914" s="21" t="s">
        <v>958</v>
      </c>
      <c r="K914" s="21" t="s">
        <v>959</v>
      </c>
      <c r="L914" s="21" t="s">
        <v>7501</v>
      </c>
      <c r="M914" s="21" t="s">
        <v>5540</v>
      </c>
      <c r="N914" s="21" t="s">
        <v>7502</v>
      </c>
      <c r="O914" s="21" t="s">
        <v>7503</v>
      </c>
      <c r="P914" s="27">
        <v>0</v>
      </c>
      <c r="Q914" s="27">
        <v>13</v>
      </c>
      <c r="R914" s="21" t="s">
        <v>7504</v>
      </c>
      <c r="S914" s="21" t="s">
        <v>7505</v>
      </c>
      <c r="T914" s="21" t="s">
        <v>966</v>
      </c>
      <c r="U914" s="21" t="s">
        <v>7506</v>
      </c>
    </row>
    <row r="915" spans="1:21" ht="112">
      <c r="A915" s="21" t="s">
        <v>925</v>
      </c>
      <c r="B915" s="21" t="s">
        <v>304</v>
      </c>
      <c r="C915" s="21" t="s">
        <v>298</v>
      </c>
      <c r="D915" s="21" t="s">
        <v>180</v>
      </c>
      <c r="E915" s="21" t="s">
        <v>305</v>
      </c>
      <c r="F915" s="21" t="s">
        <v>3479</v>
      </c>
      <c r="G915" s="21" t="s">
        <v>7507</v>
      </c>
      <c r="H915" s="28">
        <v>41648</v>
      </c>
      <c r="I915" s="22">
        <v>2014</v>
      </c>
      <c r="J915" s="21" t="s">
        <v>958</v>
      </c>
      <c r="K915" s="21" t="s">
        <v>998</v>
      </c>
      <c r="L915" s="21" t="s">
        <v>7508</v>
      </c>
      <c r="M915" s="21" t="s">
        <v>5486</v>
      </c>
      <c r="N915" s="21" t="s">
        <v>5653</v>
      </c>
      <c r="O915" s="21" t="s">
        <v>7509</v>
      </c>
      <c r="P915" s="27">
        <v>0</v>
      </c>
      <c r="Q915" s="27">
        <v>19</v>
      </c>
      <c r="R915" s="21" t="s">
        <v>7510</v>
      </c>
      <c r="S915" s="21" t="s">
        <v>7511</v>
      </c>
      <c r="T915" s="21" t="s">
        <v>1148</v>
      </c>
      <c r="U915" s="21" t="s">
        <v>7512</v>
      </c>
    </row>
    <row r="916" spans="1:21" ht="112">
      <c r="A916" s="21" t="s">
        <v>925</v>
      </c>
      <c r="B916" s="21" t="s">
        <v>304</v>
      </c>
      <c r="C916" s="21" t="s">
        <v>298</v>
      </c>
      <c r="D916" s="21" t="s">
        <v>180</v>
      </c>
      <c r="E916" s="21" t="s">
        <v>305</v>
      </c>
      <c r="F916" s="21" t="s">
        <v>3486</v>
      </c>
      <c r="G916" s="21" t="s">
        <v>7513</v>
      </c>
      <c r="H916" s="28">
        <v>41648</v>
      </c>
      <c r="I916" s="22">
        <v>2014</v>
      </c>
      <c r="J916" s="21" t="s">
        <v>958</v>
      </c>
      <c r="K916" s="21" t="s">
        <v>998</v>
      </c>
      <c r="L916" s="21" t="s">
        <v>7514</v>
      </c>
      <c r="M916" s="21" t="s">
        <v>5486</v>
      </c>
      <c r="N916" s="21" t="s">
        <v>5653</v>
      </c>
      <c r="O916" s="21" t="s">
        <v>5686</v>
      </c>
      <c r="P916" s="27">
        <v>0</v>
      </c>
      <c r="Q916" s="27">
        <v>20</v>
      </c>
      <c r="R916" s="21" t="s">
        <v>7515</v>
      </c>
      <c r="S916" s="21" t="s">
        <v>7511</v>
      </c>
      <c r="T916" s="21" t="s">
        <v>1148</v>
      </c>
      <c r="U916" s="21" t="s">
        <v>7516</v>
      </c>
    </row>
    <row r="917" spans="1:21" ht="56">
      <c r="A917" s="21" t="s">
        <v>925</v>
      </c>
      <c r="B917" s="21" t="s">
        <v>304</v>
      </c>
      <c r="C917" s="21" t="s">
        <v>298</v>
      </c>
      <c r="D917" s="21" t="s">
        <v>180</v>
      </c>
      <c r="E917" s="21" t="s">
        <v>305</v>
      </c>
      <c r="F917" s="21" t="s">
        <v>3493</v>
      </c>
      <c r="G917" s="21" t="s">
        <v>7517</v>
      </c>
      <c r="H917" s="28">
        <v>40883</v>
      </c>
      <c r="I917" s="22">
        <v>2011</v>
      </c>
      <c r="J917" s="21" t="s">
        <v>958</v>
      </c>
      <c r="K917" s="21" t="s">
        <v>959</v>
      </c>
      <c r="L917" s="21" t="s">
        <v>7518</v>
      </c>
      <c r="M917" s="21" t="s">
        <v>5486</v>
      </c>
      <c r="N917" s="21" t="s">
        <v>6283</v>
      </c>
      <c r="O917" s="21" t="s">
        <v>7519</v>
      </c>
      <c r="P917" s="27">
        <v>0</v>
      </c>
      <c r="Q917" s="27">
        <v>34</v>
      </c>
      <c r="R917" s="21" t="s">
        <v>7520</v>
      </c>
      <c r="S917" s="21" t="s">
        <v>7521</v>
      </c>
      <c r="T917" s="21" t="s">
        <v>966</v>
      </c>
      <c r="U917" s="21" t="s">
        <v>7522</v>
      </c>
    </row>
    <row r="918" spans="1:21" ht="56">
      <c r="A918" s="21" t="s">
        <v>925</v>
      </c>
      <c r="B918" s="21" t="s">
        <v>304</v>
      </c>
      <c r="C918" s="21" t="s">
        <v>298</v>
      </c>
      <c r="D918" s="21" t="s">
        <v>180</v>
      </c>
      <c r="E918" s="21" t="s">
        <v>305</v>
      </c>
      <c r="F918" s="21" t="s">
        <v>3501</v>
      </c>
      <c r="G918" s="21" t="s">
        <v>7523</v>
      </c>
      <c r="H918" s="28">
        <v>39862</v>
      </c>
      <c r="I918" s="22">
        <v>2009</v>
      </c>
      <c r="J918" s="21" t="s">
        <v>958</v>
      </c>
      <c r="K918" s="21" t="s">
        <v>959</v>
      </c>
      <c r="L918" s="21" t="s">
        <v>7524</v>
      </c>
      <c r="M918" s="21" t="s">
        <v>5486</v>
      </c>
      <c r="N918" s="21" t="s">
        <v>7525</v>
      </c>
      <c r="O918" s="21" t="s">
        <v>7526</v>
      </c>
      <c r="P918" s="27">
        <v>0</v>
      </c>
      <c r="Q918" s="27">
        <v>41</v>
      </c>
      <c r="R918" s="21" t="s">
        <v>7527</v>
      </c>
      <c r="S918" s="21" t="s">
        <v>7528</v>
      </c>
      <c r="T918" s="21" t="s">
        <v>966</v>
      </c>
      <c r="U918" s="21" t="s">
        <v>7529</v>
      </c>
    </row>
    <row r="919" spans="1:21" ht="42">
      <c r="A919" s="21" t="s">
        <v>925</v>
      </c>
      <c r="B919" s="21" t="s">
        <v>304</v>
      </c>
      <c r="C919" s="21" t="s">
        <v>298</v>
      </c>
      <c r="D919" s="21" t="s">
        <v>180</v>
      </c>
      <c r="E919" s="21" t="s">
        <v>305</v>
      </c>
      <c r="F919" s="21" t="s">
        <v>3509</v>
      </c>
      <c r="G919" s="21" t="s">
        <v>7530</v>
      </c>
      <c r="H919" s="28">
        <v>39346</v>
      </c>
      <c r="I919" s="22">
        <v>2007</v>
      </c>
      <c r="J919" s="21" t="s">
        <v>958</v>
      </c>
      <c r="K919" s="21" t="s">
        <v>959</v>
      </c>
      <c r="L919" s="21" t="s">
        <v>7531</v>
      </c>
      <c r="M919" s="21" t="s">
        <v>5486</v>
      </c>
      <c r="N919" s="21" t="s">
        <v>6820</v>
      </c>
      <c r="O919" s="21" t="s">
        <v>7532</v>
      </c>
      <c r="P919" s="27">
        <v>0</v>
      </c>
      <c r="Q919" s="27">
        <v>28</v>
      </c>
      <c r="R919" s="21" t="s">
        <v>7533</v>
      </c>
      <c r="S919" s="21" t="s">
        <v>7534</v>
      </c>
      <c r="T919" s="21" t="s">
        <v>966</v>
      </c>
      <c r="U919" s="21" t="s">
        <v>7535</v>
      </c>
    </row>
    <row r="920" spans="1:21" ht="42">
      <c r="A920" s="21" t="s">
        <v>925</v>
      </c>
      <c r="B920" s="21" t="s">
        <v>304</v>
      </c>
      <c r="C920" s="21" t="s">
        <v>298</v>
      </c>
      <c r="D920" s="21" t="s">
        <v>180</v>
      </c>
      <c r="E920" s="21" t="s">
        <v>305</v>
      </c>
      <c r="F920" s="21" t="s">
        <v>3516</v>
      </c>
      <c r="G920" s="21" t="s">
        <v>7536</v>
      </c>
      <c r="H920" s="28">
        <v>39346</v>
      </c>
      <c r="I920" s="22">
        <v>2007</v>
      </c>
      <c r="J920" s="21" t="s">
        <v>958</v>
      </c>
      <c r="K920" s="21" t="s">
        <v>959</v>
      </c>
      <c r="L920" s="21" t="s">
        <v>7537</v>
      </c>
      <c r="M920" s="21" t="s">
        <v>5486</v>
      </c>
      <c r="N920" s="21" t="s">
        <v>6820</v>
      </c>
      <c r="O920" s="21" t="s">
        <v>7538</v>
      </c>
      <c r="P920" s="27">
        <v>0</v>
      </c>
      <c r="Q920" s="27">
        <v>24</v>
      </c>
      <c r="R920" s="21" t="s">
        <v>7539</v>
      </c>
      <c r="S920" s="21" t="s">
        <v>7540</v>
      </c>
      <c r="T920" s="21" t="s">
        <v>966</v>
      </c>
      <c r="U920" s="21" t="s">
        <v>7541</v>
      </c>
    </row>
    <row r="921" spans="1:21" ht="42">
      <c r="A921" s="21" t="s">
        <v>925</v>
      </c>
      <c r="B921" s="21" t="s">
        <v>304</v>
      </c>
      <c r="C921" s="21" t="s">
        <v>298</v>
      </c>
      <c r="D921" s="21" t="s">
        <v>180</v>
      </c>
      <c r="E921" s="21" t="s">
        <v>305</v>
      </c>
      <c r="F921" s="21" t="s">
        <v>3525</v>
      </c>
      <c r="G921" s="21" t="s">
        <v>7542</v>
      </c>
      <c r="H921" s="28">
        <v>41621</v>
      </c>
      <c r="I921" s="22">
        <v>2013</v>
      </c>
      <c r="J921" s="21" t="s">
        <v>958</v>
      </c>
      <c r="K921" s="21" t="s">
        <v>998</v>
      </c>
      <c r="L921" s="21" t="s">
        <v>7543</v>
      </c>
      <c r="M921" s="21" t="s">
        <v>5486</v>
      </c>
      <c r="N921" s="21" t="s">
        <v>6892</v>
      </c>
      <c r="O921" s="21" t="s">
        <v>7544</v>
      </c>
      <c r="P921" s="27">
        <v>0</v>
      </c>
      <c r="Q921" s="27">
        <v>5</v>
      </c>
      <c r="R921" s="21" t="s">
        <v>7545</v>
      </c>
      <c r="S921" s="21" t="s">
        <v>7128</v>
      </c>
      <c r="T921" s="21" t="s">
        <v>1148</v>
      </c>
      <c r="U921" s="21" t="s">
        <v>7546</v>
      </c>
    </row>
    <row r="922" spans="1:21" ht="56">
      <c r="A922" s="21" t="s">
        <v>925</v>
      </c>
      <c r="B922" s="21" t="s">
        <v>304</v>
      </c>
      <c r="C922" s="21" t="s">
        <v>298</v>
      </c>
      <c r="D922" s="21" t="s">
        <v>180</v>
      </c>
      <c r="E922" s="21" t="s">
        <v>305</v>
      </c>
      <c r="F922" s="21" t="s">
        <v>3533</v>
      </c>
      <c r="G922" s="21" t="s">
        <v>7547</v>
      </c>
      <c r="H922" s="28">
        <v>41621</v>
      </c>
      <c r="I922" s="22">
        <v>2013</v>
      </c>
      <c r="J922" s="21" t="s">
        <v>958</v>
      </c>
      <c r="K922" s="21" t="s">
        <v>998</v>
      </c>
      <c r="L922" s="21" t="s">
        <v>7548</v>
      </c>
      <c r="M922" s="21" t="s">
        <v>5486</v>
      </c>
      <c r="N922" s="21" t="s">
        <v>6892</v>
      </c>
      <c r="O922" s="21" t="s">
        <v>7549</v>
      </c>
      <c r="P922" s="27">
        <v>3</v>
      </c>
      <c r="Q922" s="27">
        <v>6</v>
      </c>
      <c r="R922" s="21" t="s">
        <v>7550</v>
      </c>
      <c r="S922" s="21" t="s">
        <v>7222</v>
      </c>
      <c r="T922" s="21" t="s">
        <v>1148</v>
      </c>
      <c r="U922" s="21" t="s">
        <v>7551</v>
      </c>
    </row>
    <row r="923" spans="1:21" ht="42">
      <c r="A923" s="21" t="s">
        <v>925</v>
      </c>
      <c r="B923" s="21" t="s">
        <v>304</v>
      </c>
      <c r="C923" s="21" t="s">
        <v>298</v>
      </c>
      <c r="D923" s="21" t="s">
        <v>180</v>
      </c>
      <c r="E923" s="21" t="s">
        <v>305</v>
      </c>
      <c r="F923" s="21" t="s">
        <v>3542</v>
      </c>
      <c r="G923" s="21" t="s">
        <v>7552</v>
      </c>
      <c r="H923" s="28">
        <v>41603</v>
      </c>
      <c r="I923" s="22">
        <v>2013</v>
      </c>
      <c r="J923" s="21" t="s">
        <v>958</v>
      </c>
      <c r="K923" s="21" t="s">
        <v>998</v>
      </c>
      <c r="L923" s="21" t="s">
        <v>7553</v>
      </c>
      <c r="M923" s="21" t="s">
        <v>7554</v>
      </c>
      <c r="N923" s="21" t="s">
        <v>7555</v>
      </c>
      <c r="O923" s="21" t="s">
        <v>7556</v>
      </c>
      <c r="P923" s="27">
        <v>0</v>
      </c>
      <c r="Q923" s="27">
        <v>4</v>
      </c>
      <c r="R923" s="21" t="s">
        <v>7557</v>
      </c>
      <c r="S923" s="21" t="s">
        <v>7558</v>
      </c>
      <c r="T923" s="21" t="s">
        <v>1148</v>
      </c>
      <c r="U923" s="21" t="s">
        <v>7559</v>
      </c>
    </row>
    <row r="924" spans="1:21" ht="182">
      <c r="A924" s="21" t="s">
        <v>925</v>
      </c>
      <c r="B924" s="21" t="s">
        <v>304</v>
      </c>
      <c r="C924" s="21" t="s">
        <v>298</v>
      </c>
      <c r="D924" s="21" t="s">
        <v>180</v>
      </c>
      <c r="E924" s="21" t="s">
        <v>305</v>
      </c>
      <c r="F924" s="21" t="s">
        <v>3550</v>
      </c>
      <c r="G924" s="21" t="s">
        <v>7560</v>
      </c>
      <c r="H924" s="28">
        <v>39693</v>
      </c>
      <c r="I924" s="22">
        <v>2008</v>
      </c>
      <c r="J924" s="21" t="s">
        <v>958</v>
      </c>
      <c r="K924" s="21" t="s">
        <v>959</v>
      </c>
      <c r="L924" s="21" t="s">
        <v>7561</v>
      </c>
      <c r="M924" s="21" t="s">
        <v>5486</v>
      </c>
      <c r="N924" s="21" t="s">
        <v>6820</v>
      </c>
      <c r="O924" s="21" t="s">
        <v>7562</v>
      </c>
      <c r="P924" s="27">
        <v>0</v>
      </c>
      <c r="Q924" s="27">
        <v>25</v>
      </c>
      <c r="R924" s="21" t="s">
        <v>7563</v>
      </c>
      <c r="S924" s="21" t="s">
        <v>7564</v>
      </c>
      <c r="T924" s="21" t="s">
        <v>966</v>
      </c>
      <c r="U924" s="21" t="s">
        <v>7565</v>
      </c>
    </row>
    <row r="925" spans="1:21" ht="84">
      <c r="A925" s="21" t="s">
        <v>925</v>
      </c>
      <c r="B925" s="21" t="s">
        <v>304</v>
      </c>
      <c r="C925" s="21" t="s">
        <v>298</v>
      </c>
      <c r="D925" s="21" t="s">
        <v>180</v>
      </c>
      <c r="E925" s="21" t="s">
        <v>305</v>
      </c>
      <c r="F925" s="21" t="s">
        <v>3558</v>
      </c>
      <c r="G925" s="21" t="s">
        <v>7566</v>
      </c>
      <c r="H925" s="28">
        <v>39469</v>
      </c>
      <c r="I925" s="22">
        <v>2008</v>
      </c>
      <c r="J925" s="21" t="s">
        <v>958</v>
      </c>
      <c r="K925" s="21" t="s">
        <v>959</v>
      </c>
      <c r="L925" s="21" t="s">
        <v>7567</v>
      </c>
      <c r="M925" s="21" t="s">
        <v>5486</v>
      </c>
      <c r="N925" s="21" t="s">
        <v>6820</v>
      </c>
      <c r="O925" s="21" t="s">
        <v>7568</v>
      </c>
      <c r="P925" s="27">
        <v>0</v>
      </c>
      <c r="Q925" s="27">
        <v>39</v>
      </c>
      <c r="R925" s="21" t="s">
        <v>7569</v>
      </c>
      <c r="S925" s="21" t="s">
        <v>7570</v>
      </c>
      <c r="T925" s="21" t="s">
        <v>966</v>
      </c>
      <c r="U925" s="21" t="s">
        <v>7571</v>
      </c>
    </row>
    <row r="926" spans="1:21" ht="84">
      <c r="A926" s="21" t="s">
        <v>925</v>
      </c>
      <c r="B926" s="21" t="s">
        <v>304</v>
      </c>
      <c r="C926" s="21" t="s">
        <v>298</v>
      </c>
      <c r="D926" s="21" t="s">
        <v>180</v>
      </c>
      <c r="E926" s="21" t="s">
        <v>305</v>
      </c>
      <c r="F926" s="21" t="s">
        <v>3565</v>
      </c>
      <c r="G926" s="21" t="s">
        <v>7572</v>
      </c>
      <c r="H926" s="28">
        <v>39483</v>
      </c>
      <c r="I926" s="22">
        <v>2008</v>
      </c>
      <c r="J926" s="21" t="s">
        <v>958</v>
      </c>
      <c r="K926" s="21" t="s">
        <v>959</v>
      </c>
      <c r="L926" s="21" t="s">
        <v>7573</v>
      </c>
      <c r="M926" s="21" t="s">
        <v>5486</v>
      </c>
      <c r="N926" s="21" t="s">
        <v>6820</v>
      </c>
      <c r="O926" s="21" t="s">
        <v>7574</v>
      </c>
      <c r="P926" s="27">
        <v>0</v>
      </c>
      <c r="Q926" s="27">
        <v>22</v>
      </c>
      <c r="R926" s="21" t="s">
        <v>7575</v>
      </c>
      <c r="S926" s="21" t="s">
        <v>7576</v>
      </c>
      <c r="T926" s="21" t="s">
        <v>966</v>
      </c>
      <c r="U926" s="21" t="s">
        <v>7577</v>
      </c>
    </row>
    <row r="927" spans="1:21" ht="42">
      <c r="A927" s="21" t="s">
        <v>925</v>
      </c>
      <c r="B927" s="21" t="s">
        <v>304</v>
      </c>
      <c r="C927" s="21" t="s">
        <v>298</v>
      </c>
      <c r="D927" s="21" t="s">
        <v>180</v>
      </c>
      <c r="E927" s="21" t="s">
        <v>305</v>
      </c>
      <c r="F927" s="21" t="s">
        <v>3573</v>
      </c>
      <c r="G927" s="21" t="s">
        <v>7578</v>
      </c>
      <c r="H927" s="28">
        <v>39261</v>
      </c>
      <c r="I927" s="22">
        <v>2007</v>
      </c>
      <c r="J927" s="21" t="s">
        <v>958</v>
      </c>
      <c r="K927" s="21" t="s">
        <v>959</v>
      </c>
      <c r="L927" s="21" t="s">
        <v>7579</v>
      </c>
      <c r="M927" s="21" t="s">
        <v>5486</v>
      </c>
      <c r="N927" s="21" t="s">
        <v>6820</v>
      </c>
      <c r="O927" s="21" t="s">
        <v>7580</v>
      </c>
      <c r="P927" s="27">
        <v>0</v>
      </c>
      <c r="Q927" s="27">
        <v>29</v>
      </c>
      <c r="R927" s="21" t="s">
        <v>7581</v>
      </c>
      <c r="S927" s="21" t="s">
        <v>7582</v>
      </c>
      <c r="T927" s="21" t="s">
        <v>966</v>
      </c>
      <c r="U927" s="21" t="s">
        <v>7583</v>
      </c>
    </row>
    <row r="928" spans="1:21" ht="168">
      <c r="A928" s="21" t="s">
        <v>925</v>
      </c>
      <c r="B928" s="21" t="s">
        <v>304</v>
      </c>
      <c r="C928" s="21" t="s">
        <v>298</v>
      </c>
      <c r="D928" s="21" t="s">
        <v>180</v>
      </c>
      <c r="E928" s="21" t="s">
        <v>305</v>
      </c>
      <c r="F928" s="21" t="s">
        <v>3581</v>
      </c>
      <c r="G928" s="21" t="s">
        <v>7584</v>
      </c>
      <c r="H928" s="28">
        <v>38883</v>
      </c>
      <c r="I928" s="22">
        <v>2006</v>
      </c>
      <c r="J928" s="21" t="s">
        <v>958</v>
      </c>
      <c r="K928" s="21" t="s">
        <v>959</v>
      </c>
      <c r="L928" s="21" t="s">
        <v>7585</v>
      </c>
      <c r="M928" s="21" t="s">
        <v>7415</v>
      </c>
      <c r="N928" s="21" t="s">
        <v>7416</v>
      </c>
      <c r="O928" s="21" t="s">
        <v>7417</v>
      </c>
      <c r="P928" s="27">
        <v>0</v>
      </c>
      <c r="Q928" s="27">
        <v>16</v>
      </c>
      <c r="R928" s="21" t="s">
        <v>7586</v>
      </c>
      <c r="S928" s="21" t="s">
        <v>7587</v>
      </c>
      <c r="T928" s="21" t="s">
        <v>966</v>
      </c>
      <c r="U928" s="21" t="s">
        <v>7588</v>
      </c>
    </row>
    <row r="929" spans="1:21" ht="168">
      <c r="A929" s="21" t="s">
        <v>925</v>
      </c>
      <c r="B929" s="21" t="s">
        <v>304</v>
      </c>
      <c r="C929" s="21" t="s">
        <v>298</v>
      </c>
      <c r="D929" s="21" t="s">
        <v>180</v>
      </c>
      <c r="E929" s="21" t="s">
        <v>305</v>
      </c>
      <c r="F929" s="21" t="s">
        <v>3590</v>
      </c>
      <c r="G929" s="21" t="s">
        <v>7589</v>
      </c>
      <c r="H929" s="28">
        <v>38898</v>
      </c>
      <c r="I929" s="22">
        <v>2006</v>
      </c>
      <c r="J929" s="21" t="s">
        <v>958</v>
      </c>
      <c r="K929" s="21" t="s">
        <v>959</v>
      </c>
      <c r="L929" s="21" t="s">
        <v>7590</v>
      </c>
      <c r="M929" s="21" t="s">
        <v>5486</v>
      </c>
      <c r="N929" s="21" t="s">
        <v>6820</v>
      </c>
      <c r="O929" s="21" t="s">
        <v>7591</v>
      </c>
      <c r="P929" s="27">
        <v>0</v>
      </c>
      <c r="Q929" s="27">
        <v>7</v>
      </c>
      <c r="R929" s="21" t="s">
        <v>7592</v>
      </c>
      <c r="S929" s="21" t="s">
        <v>7593</v>
      </c>
      <c r="T929" s="21" t="s">
        <v>966</v>
      </c>
      <c r="U929" s="21" t="s">
        <v>7594</v>
      </c>
    </row>
    <row r="930" spans="1:21" ht="140">
      <c r="A930" s="21" t="s">
        <v>925</v>
      </c>
      <c r="B930" s="21" t="s">
        <v>304</v>
      </c>
      <c r="C930" s="21" t="s">
        <v>298</v>
      </c>
      <c r="D930" s="21" t="s">
        <v>180</v>
      </c>
      <c r="E930" s="21" t="s">
        <v>305</v>
      </c>
      <c r="F930" s="21" t="s">
        <v>3596</v>
      </c>
      <c r="G930" s="21" t="s">
        <v>7595</v>
      </c>
      <c r="H930" s="28">
        <v>39177</v>
      </c>
      <c r="I930" s="22">
        <v>2007</v>
      </c>
      <c r="J930" s="21" t="s">
        <v>958</v>
      </c>
      <c r="K930" s="21" t="s">
        <v>959</v>
      </c>
      <c r="L930" s="21" t="s">
        <v>7596</v>
      </c>
      <c r="M930" s="21" t="s">
        <v>5486</v>
      </c>
      <c r="N930" s="21" t="s">
        <v>6820</v>
      </c>
      <c r="O930" s="21" t="s">
        <v>7597</v>
      </c>
      <c r="P930" s="27">
        <v>0</v>
      </c>
      <c r="Q930" s="27">
        <v>22</v>
      </c>
      <c r="R930" s="21" t="s">
        <v>7598</v>
      </c>
      <c r="S930" s="21" t="s">
        <v>7599</v>
      </c>
      <c r="T930" s="21" t="s">
        <v>966</v>
      </c>
      <c r="U930" s="21" t="s">
        <v>7600</v>
      </c>
    </row>
    <row r="931" spans="1:21" ht="84">
      <c r="A931" s="21" t="s">
        <v>925</v>
      </c>
      <c r="B931" s="21" t="s">
        <v>304</v>
      </c>
      <c r="C931" s="21" t="s">
        <v>298</v>
      </c>
      <c r="D931" s="21" t="s">
        <v>180</v>
      </c>
      <c r="E931" s="21" t="s">
        <v>305</v>
      </c>
      <c r="F931" s="21" t="s">
        <v>3604</v>
      </c>
      <c r="G931" s="21" t="s">
        <v>7601</v>
      </c>
      <c r="H931" s="28">
        <v>37771</v>
      </c>
      <c r="I931" s="22">
        <v>2003</v>
      </c>
      <c r="J931" s="21" t="s">
        <v>958</v>
      </c>
      <c r="K931" s="21" t="s">
        <v>959</v>
      </c>
      <c r="L931" s="21" t="s">
        <v>7602</v>
      </c>
      <c r="M931" s="21" t="s">
        <v>6096</v>
      </c>
      <c r="N931" s="21" t="s">
        <v>7233</v>
      </c>
      <c r="O931" s="21" t="s">
        <v>7603</v>
      </c>
      <c r="P931" s="27">
        <v>0</v>
      </c>
      <c r="Q931" s="27">
        <v>5</v>
      </c>
      <c r="R931" s="21" t="s">
        <v>7604</v>
      </c>
      <c r="S931" s="21" t="s">
        <v>7605</v>
      </c>
      <c r="T931" s="21" t="s">
        <v>4159</v>
      </c>
      <c r="U931" s="21" t="s">
        <v>7606</v>
      </c>
    </row>
    <row r="932" spans="1:21" ht="154">
      <c r="A932" s="21" t="s">
        <v>925</v>
      </c>
      <c r="B932" s="21" t="s">
        <v>304</v>
      </c>
      <c r="C932" s="21" t="s">
        <v>298</v>
      </c>
      <c r="D932" s="21" t="s">
        <v>180</v>
      </c>
      <c r="E932" s="21" t="s">
        <v>305</v>
      </c>
      <c r="F932" s="21" t="s">
        <v>3613</v>
      </c>
      <c r="G932" s="21" t="s">
        <v>7607</v>
      </c>
      <c r="H932" s="28">
        <v>39177</v>
      </c>
      <c r="I932" s="22">
        <v>2007</v>
      </c>
      <c r="J932" s="21" t="s">
        <v>958</v>
      </c>
      <c r="K932" s="21" t="s">
        <v>959</v>
      </c>
      <c r="L932" s="21" t="s">
        <v>7608</v>
      </c>
      <c r="M932" s="21" t="s">
        <v>5486</v>
      </c>
      <c r="N932" s="21" t="s">
        <v>6820</v>
      </c>
      <c r="O932" s="21" t="s">
        <v>7609</v>
      </c>
      <c r="P932" s="27">
        <v>0</v>
      </c>
      <c r="Q932" s="27">
        <v>21</v>
      </c>
      <c r="R932" s="21" t="s">
        <v>7610</v>
      </c>
      <c r="S932" s="21" t="s">
        <v>7611</v>
      </c>
      <c r="T932" s="21" t="s">
        <v>966</v>
      </c>
      <c r="U932" s="21" t="s">
        <v>7612</v>
      </c>
    </row>
    <row r="933" spans="1:21" ht="126">
      <c r="A933" s="21" t="s">
        <v>925</v>
      </c>
      <c r="B933" s="21" t="s">
        <v>304</v>
      </c>
      <c r="C933" s="21" t="s">
        <v>298</v>
      </c>
      <c r="D933" s="21" t="s">
        <v>180</v>
      </c>
      <c r="E933" s="21" t="s">
        <v>305</v>
      </c>
      <c r="F933" s="21" t="s">
        <v>3622</v>
      </c>
      <c r="G933" s="21" t="s">
        <v>7613</v>
      </c>
      <c r="H933" s="28">
        <v>37365</v>
      </c>
      <c r="I933" s="22">
        <v>2002</v>
      </c>
      <c r="J933" s="21" t="s">
        <v>958</v>
      </c>
      <c r="K933" s="21" t="s">
        <v>959</v>
      </c>
      <c r="L933" s="21" t="s">
        <v>7614</v>
      </c>
      <c r="M933" s="21" t="s">
        <v>6096</v>
      </c>
      <c r="N933" s="21" t="s">
        <v>7233</v>
      </c>
      <c r="O933" s="21" t="s">
        <v>7615</v>
      </c>
      <c r="P933" s="27">
        <v>0</v>
      </c>
      <c r="Q933" s="27">
        <v>6</v>
      </c>
      <c r="R933" s="21" t="s">
        <v>7616</v>
      </c>
      <c r="S933" s="21" t="s">
        <v>7617</v>
      </c>
      <c r="T933" s="21" t="s">
        <v>4159</v>
      </c>
      <c r="U933" s="21" t="s">
        <v>7618</v>
      </c>
    </row>
    <row r="934" spans="1:21" ht="28">
      <c r="A934" s="21" t="s">
        <v>925</v>
      </c>
      <c r="B934" s="21" t="s">
        <v>304</v>
      </c>
      <c r="C934" s="21" t="s">
        <v>298</v>
      </c>
      <c r="D934" s="21" t="s">
        <v>180</v>
      </c>
      <c r="E934" s="21" t="s">
        <v>305</v>
      </c>
      <c r="F934" s="21" t="s">
        <v>3630</v>
      </c>
      <c r="G934" s="21" t="s">
        <v>7619</v>
      </c>
      <c r="H934" s="28">
        <v>39715</v>
      </c>
      <c r="I934" s="22">
        <v>2008</v>
      </c>
      <c r="J934" s="21" t="s">
        <v>958</v>
      </c>
      <c r="K934" s="21" t="s">
        <v>959</v>
      </c>
      <c r="L934" s="21" t="s">
        <v>7620</v>
      </c>
      <c r="M934" s="21" t="s">
        <v>6104</v>
      </c>
      <c r="N934" s="21" t="s">
        <v>7353</v>
      </c>
      <c r="O934" s="21" t="s">
        <v>7621</v>
      </c>
      <c r="P934" s="27">
        <v>0</v>
      </c>
      <c r="Q934" s="27">
        <v>10</v>
      </c>
      <c r="R934" s="21" t="s">
        <v>7622</v>
      </c>
      <c r="S934" s="21" t="s">
        <v>7623</v>
      </c>
      <c r="T934" s="21" t="s">
        <v>966</v>
      </c>
      <c r="U934" s="21" t="s">
        <v>7624</v>
      </c>
    </row>
    <row r="935" spans="1:21" ht="56">
      <c r="A935" s="21" t="s">
        <v>925</v>
      </c>
      <c r="B935" s="21" t="s">
        <v>304</v>
      </c>
      <c r="C935" s="21" t="s">
        <v>298</v>
      </c>
      <c r="D935" s="21" t="s">
        <v>180</v>
      </c>
      <c r="E935" s="21" t="s">
        <v>305</v>
      </c>
      <c r="F935" s="21" t="s">
        <v>3639</v>
      </c>
      <c r="G935" s="21" t="s">
        <v>7625</v>
      </c>
      <c r="H935" s="28">
        <v>37365</v>
      </c>
      <c r="I935" s="22">
        <v>2002</v>
      </c>
      <c r="J935" s="21" t="s">
        <v>958</v>
      </c>
      <c r="K935" s="21" t="s">
        <v>959</v>
      </c>
      <c r="L935" s="21" t="s">
        <v>7626</v>
      </c>
      <c r="M935" s="21" t="s">
        <v>7627</v>
      </c>
      <c r="N935" s="21" t="s">
        <v>7628</v>
      </c>
      <c r="O935" s="21" t="s">
        <v>7629</v>
      </c>
      <c r="P935" s="27">
        <v>1</v>
      </c>
      <c r="Q935" s="27">
        <v>4</v>
      </c>
      <c r="R935" s="21" t="s">
        <v>7630</v>
      </c>
      <c r="S935" s="21" t="s">
        <v>7498</v>
      </c>
      <c r="T935" s="21" t="s">
        <v>4159</v>
      </c>
      <c r="U935" s="21" t="s">
        <v>7631</v>
      </c>
    </row>
    <row r="936" spans="1:21" ht="126">
      <c r="A936" s="21" t="s">
        <v>925</v>
      </c>
      <c r="B936" s="21" t="s">
        <v>304</v>
      </c>
      <c r="C936" s="21" t="s">
        <v>298</v>
      </c>
      <c r="D936" s="21" t="s">
        <v>180</v>
      </c>
      <c r="E936" s="21" t="s">
        <v>305</v>
      </c>
      <c r="F936" s="21" t="s">
        <v>3647</v>
      </c>
      <c r="G936" s="21" t="s">
        <v>7632</v>
      </c>
      <c r="H936" s="28">
        <v>38786</v>
      </c>
      <c r="I936" s="22">
        <v>2006</v>
      </c>
      <c r="J936" s="21" t="s">
        <v>958</v>
      </c>
      <c r="K936" s="21" t="s">
        <v>959</v>
      </c>
      <c r="L936" s="21" t="s">
        <v>7633</v>
      </c>
      <c r="M936" s="21" t="s">
        <v>6096</v>
      </c>
      <c r="N936" s="21" t="s">
        <v>7233</v>
      </c>
      <c r="O936" s="21" t="s">
        <v>7634</v>
      </c>
      <c r="P936" s="27">
        <v>0</v>
      </c>
      <c r="Q936" s="27">
        <v>5</v>
      </c>
      <c r="R936" s="21" t="s">
        <v>7635</v>
      </c>
      <c r="S936" s="21" t="s">
        <v>7636</v>
      </c>
      <c r="T936" s="21" t="s">
        <v>966</v>
      </c>
      <c r="U936" s="21" t="s">
        <v>7637</v>
      </c>
    </row>
    <row r="937" spans="1:21" ht="140">
      <c r="A937" s="21" t="s">
        <v>925</v>
      </c>
      <c r="B937" s="21" t="s">
        <v>304</v>
      </c>
      <c r="C937" s="21" t="s">
        <v>298</v>
      </c>
      <c r="D937" s="21" t="s">
        <v>180</v>
      </c>
      <c r="E937" s="21" t="s">
        <v>305</v>
      </c>
      <c r="F937" s="21" t="s">
        <v>3655</v>
      </c>
      <c r="G937" s="21" t="s">
        <v>7638</v>
      </c>
      <c r="H937" s="28">
        <v>37683</v>
      </c>
      <c r="I937" s="22">
        <v>2003</v>
      </c>
      <c r="J937" s="21" t="s">
        <v>7639</v>
      </c>
      <c r="K937" s="21" t="s">
        <v>959</v>
      </c>
      <c r="L937" s="21" t="s">
        <v>7640</v>
      </c>
      <c r="M937" s="21" t="s">
        <v>6096</v>
      </c>
      <c r="N937" s="21" t="s">
        <v>7641</v>
      </c>
      <c r="O937" s="21" t="s">
        <v>6707</v>
      </c>
      <c r="P937" s="27">
        <v>0</v>
      </c>
      <c r="Q937" s="27">
        <v>204</v>
      </c>
      <c r="R937" s="21" t="s">
        <v>7642</v>
      </c>
      <c r="S937" s="21" t="s">
        <v>5975</v>
      </c>
      <c r="T937" s="21" t="s">
        <v>4159</v>
      </c>
      <c r="U937" s="21" t="s">
        <v>7643</v>
      </c>
    </row>
    <row r="938" spans="1:21" ht="322">
      <c r="A938" s="21" t="s">
        <v>925</v>
      </c>
      <c r="B938" s="21" t="s">
        <v>304</v>
      </c>
      <c r="C938" s="21" t="s">
        <v>298</v>
      </c>
      <c r="D938" s="21" t="s">
        <v>180</v>
      </c>
      <c r="E938" s="21" t="s">
        <v>305</v>
      </c>
      <c r="F938" s="21" t="s">
        <v>3664</v>
      </c>
      <c r="G938" s="21" t="s">
        <v>7644</v>
      </c>
      <c r="H938" s="28">
        <v>37365</v>
      </c>
      <c r="I938" s="22">
        <v>2002</v>
      </c>
      <c r="J938" s="21" t="s">
        <v>958</v>
      </c>
      <c r="K938" s="21" t="s">
        <v>959</v>
      </c>
      <c r="L938" s="21" t="s">
        <v>7645</v>
      </c>
      <c r="M938" s="21" t="s">
        <v>6096</v>
      </c>
      <c r="N938" s="21" t="s">
        <v>7233</v>
      </c>
      <c r="O938" s="21" t="s">
        <v>7646</v>
      </c>
      <c r="P938" s="27">
        <v>0</v>
      </c>
      <c r="Q938" s="27">
        <v>42</v>
      </c>
      <c r="R938" s="21" t="s">
        <v>7647</v>
      </c>
      <c r="S938" s="21" t="s">
        <v>7648</v>
      </c>
      <c r="T938" s="21" t="s">
        <v>4159</v>
      </c>
      <c r="U938" s="21" t="s">
        <v>7649</v>
      </c>
    </row>
    <row r="939" spans="1:21" ht="210">
      <c r="A939" s="21" t="s">
        <v>925</v>
      </c>
      <c r="B939" s="21" t="s">
        <v>304</v>
      </c>
      <c r="C939" s="21" t="s">
        <v>298</v>
      </c>
      <c r="D939" s="21" t="s">
        <v>180</v>
      </c>
      <c r="E939" s="21" t="s">
        <v>305</v>
      </c>
      <c r="F939" s="21" t="s">
        <v>3673</v>
      </c>
      <c r="G939" s="21" t="s">
        <v>7650</v>
      </c>
      <c r="H939" s="28">
        <v>40592</v>
      </c>
      <c r="I939" s="22">
        <v>2011</v>
      </c>
      <c r="J939" s="21" t="s">
        <v>958</v>
      </c>
      <c r="K939" s="21" t="s">
        <v>959</v>
      </c>
      <c r="L939" s="21" t="s">
        <v>7651</v>
      </c>
      <c r="M939" s="21" t="s">
        <v>5486</v>
      </c>
      <c r="N939" s="21" t="s">
        <v>7158</v>
      </c>
      <c r="O939" s="21" t="s">
        <v>5654</v>
      </c>
      <c r="P939" s="27">
        <v>0</v>
      </c>
      <c r="Q939" s="27">
        <v>36</v>
      </c>
      <c r="R939" s="21" t="s">
        <v>7652</v>
      </c>
      <c r="S939" s="21" t="s">
        <v>7653</v>
      </c>
      <c r="T939" s="21" t="s">
        <v>966</v>
      </c>
      <c r="U939" s="21" t="s">
        <v>7654</v>
      </c>
    </row>
    <row r="940" spans="1:21" ht="70">
      <c r="A940" s="21" t="s">
        <v>925</v>
      </c>
      <c r="B940" s="21" t="s">
        <v>304</v>
      </c>
      <c r="C940" s="21" t="s">
        <v>298</v>
      </c>
      <c r="D940" s="21" t="s">
        <v>180</v>
      </c>
      <c r="E940" s="21" t="s">
        <v>305</v>
      </c>
      <c r="F940" s="21" t="s">
        <v>3681</v>
      </c>
      <c r="G940" s="21" t="s">
        <v>7655</v>
      </c>
      <c r="H940" s="28">
        <v>38245</v>
      </c>
      <c r="I940" s="22">
        <v>2004</v>
      </c>
      <c r="J940" s="21" t="s">
        <v>958</v>
      </c>
      <c r="K940" s="21" t="s">
        <v>959</v>
      </c>
      <c r="L940" s="21" t="s">
        <v>7656</v>
      </c>
      <c r="M940" s="21" t="s">
        <v>6096</v>
      </c>
      <c r="N940" s="21" t="s">
        <v>7233</v>
      </c>
      <c r="O940" s="21" t="s">
        <v>7657</v>
      </c>
      <c r="P940" s="27">
        <v>0</v>
      </c>
      <c r="Q940" s="27">
        <v>5</v>
      </c>
      <c r="R940" s="21" t="s">
        <v>7658</v>
      </c>
      <c r="S940" s="21" t="s">
        <v>7659</v>
      </c>
      <c r="T940" s="21" t="s">
        <v>4159</v>
      </c>
      <c r="U940" s="21" t="s">
        <v>7660</v>
      </c>
    </row>
    <row r="941" spans="1:21" ht="84">
      <c r="A941" s="21" t="s">
        <v>925</v>
      </c>
      <c r="B941" s="21" t="s">
        <v>304</v>
      </c>
      <c r="C941" s="21" t="s">
        <v>298</v>
      </c>
      <c r="D941" s="21" t="s">
        <v>180</v>
      </c>
      <c r="E941" s="21" t="s">
        <v>305</v>
      </c>
      <c r="F941" s="21" t="s">
        <v>3690</v>
      </c>
      <c r="G941" s="21" t="s">
        <v>7661</v>
      </c>
      <c r="H941" s="28">
        <v>39478</v>
      </c>
      <c r="I941" s="22">
        <v>2008</v>
      </c>
      <c r="J941" s="21" t="s">
        <v>958</v>
      </c>
      <c r="K941" s="21" t="s">
        <v>959</v>
      </c>
      <c r="L941" s="21" t="s">
        <v>7662</v>
      </c>
      <c r="M941" s="21" t="s">
        <v>5486</v>
      </c>
      <c r="N941" s="21" t="s">
        <v>6820</v>
      </c>
      <c r="O941" s="21" t="s">
        <v>7663</v>
      </c>
      <c r="P941" s="27">
        <v>0</v>
      </c>
      <c r="Q941" s="27">
        <v>26</v>
      </c>
      <c r="R941" s="21" t="s">
        <v>7664</v>
      </c>
      <c r="S941" s="21" t="s">
        <v>7665</v>
      </c>
      <c r="T941" s="21" t="s">
        <v>966</v>
      </c>
      <c r="U941" s="21" t="s">
        <v>7666</v>
      </c>
    </row>
    <row r="942" spans="1:21" ht="42">
      <c r="A942" s="21" t="s">
        <v>925</v>
      </c>
      <c r="B942" s="21" t="s">
        <v>304</v>
      </c>
      <c r="C942" s="21" t="s">
        <v>298</v>
      </c>
      <c r="D942" s="21" t="s">
        <v>180</v>
      </c>
      <c r="E942" s="21" t="s">
        <v>305</v>
      </c>
      <c r="F942" s="21" t="s">
        <v>3697</v>
      </c>
      <c r="G942" s="21" t="s">
        <v>7667</v>
      </c>
      <c r="H942" s="28">
        <v>35723</v>
      </c>
      <c r="I942" s="22">
        <v>1997</v>
      </c>
      <c r="J942" s="21" t="s">
        <v>958</v>
      </c>
      <c r="K942" s="21" t="s">
        <v>959</v>
      </c>
      <c r="L942" s="21" t="s">
        <v>7668</v>
      </c>
      <c r="M942" s="21" t="s">
        <v>6104</v>
      </c>
      <c r="N942" s="21" t="s">
        <v>7669</v>
      </c>
      <c r="O942" s="21" t="s">
        <v>7670</v>
      </c>
      <c r="P942" s="27">
        <v>0</v>
      </c>
      <c r="Q942" s="27">
        <v>2</v>
      </c>
      <c r="R942" s="21" t="s">
        <v>7671</v>
      </c>
      <c r="S942" s="21" t="s">
        <v>7672</v>
      </c>
      <c r="T942" s="21" t="s">
        <v>4159</v>
      </c>
      <c r="U942" s="21" t="s">
        <v>7673</v>
      </c>
    </row>
    <row r="943" spans="1:21" ht="56">
      <c r="A943" s="21" t="s">
        <v>925</v>
      </c>
      <c r="B943" s="21" t="s">
        <v>304</v>
      </c>
      <c r="C943" s="21" t="s">
        <v>298</v>
      </c>
      <c r="D943" s="21" t="s">
        <v>180</v>
      </c>
      <c r="E943" s="21" t="s">
        <v>305</v>
      </c>
      <c r="F943" s="21" t="s">
        <v>3706</v>
      </c>
      <c r="G943" s="21" t="s">
        <v>7674</v>
      </c>
      <c r="H943" s="28">
        <v>41002</v>
      </c>
      <c r="I943" s="22">
        <v>2012</v>
      </c>
      <c r="J943" s="21" t="s">
        <v>958</v>
      </c>
      <c r="K943" s="21" t="s">
        <v>959</v>
      </c>
      <c r="L943" s="21" t="s">
        <v>7675</v>
      </c>
      <c r="M943" s="21" t="s">
        <v>5486</v>
      </c>
      <c r="N943" s="21" t="s">
        <v>6283</v>
      </c>
      <c r="O943" s="21" t="s">
        <v>7676</v>
      </c>
      <c r="P943" s="27">
        <v>0</v>
      </c>
      <c r="Q943" s="27">
        <v>64</v>
      </c>
      <c r="R943" s="21" t="s">
        <v>7677</v>
      </c>
      <c r="S943" s="21" t="s">
        <v>7678</v>
      </c>
      <c r="T943" s="21" t="s">
        <v>966</v>
      </c>
      <c r="U943" s="21" t="s">
        <v>7679</v>
      </c>
    </row>
    <row r="944" spans="1:21" ht="126">
      <c r="A944" s="21" t="s">
        <v>925</v>
      </c>
      <c r="B944" s="21" t="s">
        <v>304</v>
      </c>
      <c r="C944" s="21" t="s">
        <v>298</v>
      </c>
      <c r="D944" s="21" t="s">
        <v>180</v>
      </c>
      <c r="E944" s="21" t="s">
        <v>305</v>
      </c>
      <c r="F944" s="21" t="s">
        <v>3715</v>
      </c>
      <c r="G944" s="21" t="s">
        <v>7680</v>
      </c>
      <c r="H944" s="28">
        <v>37785</v>
      </c>
      <c r="I944" s="22">
        <v>2003</v>
      </c>
      <c r="J944" s="21" t="s">
        <v>958</v>
      </c>
      <c r="K944" s="21" t="s">
        <v>959</v>
      </c>
      <c r="L944" s="21" t="s">
        <v>7681</v>
      </c>
      <c r="M944" s="21" t="s">
        <v>6096</v>
      </c>
      <c r="N944" s="21" t="s">
        <v>7233</v>
      </c>
      <c r="O944" s="21" t="s">
        <v>7682</v>
      </c>
      <c r="P944" s="27">
        <v>0</v>
      </c>
      <c r="Q944" s="27">
        <v>6</v>
      </c>
      <c r="R944" s="21" t="s">
        <v>7683</v>
      </c>
      <c r="S944" s="21" t="s">
        <v>7684</v>
      </c>
      <c r="T944" s="21" t="s">
        <v>4159</v>
      </c>
      <c r="U944" s="21" t="s">
        <v>7685</v>
      </c>
    </row>
    <row r="945" spans="1:21" ht="42">
      <c r="A945" s="21" t="s">
        <v>925</v>
      </c>
      <c r="B945" s="21" t="s">
        <v>304</v>
      </c>
      <c r="C945" s="21" t="s">
        <v>298</v>
      </c>
      <c r="D945" s="21" t="s">
        <v>180</v>
      </c>
      <c r="E945" s="21" t="s">
        <v>305</v>
      </c>
      <c r="F945" s="21" t="s">
        <v>3723</v>
      </c>
      <c r="G945" s="21" t="s">
        <v>7686</v>
      </c>
      <c r="H945" s="28">
        <v>39812</v>
      </c>
      <c r="I945" s="22">
        <v>2008</v>
      </c>
      <c r="J945" s="21" t="s">
        <v>958</v>
      </c>
      <c r="K945" s="21" t="s">
        <v>959</v>
      </c>
      <c r="L945" s="21" t="s">
        <v>7687</v>
      </c>
      <c r="M945" s="21" t="s">
        <v>5486</v>
      </c>
      <c r="N945" s="21" t="s">
        <v>7688</v>
      </c>
      <c r="O945" s="21" t="s">
        <v>7689</v>
      </c>
      <c r="P945" s="27">
        <v>0</v>
      </c>
      <c r="Q945" s="27">
        <v>29</v>
      </c>
      <c r="R945" s="21" t="s">
        <v>7690</v>
      </c>
      <c r="S945" s="21" t="s">
        <v>7691</v>
      </c>
      <c r="T945" s="21" t="s">
        <v>966</v>
      </c>
      <c r="U945" s="21" t="s">
        <v>7692</v>
      </c>
    </row>
    <row r="946" spans="1:21" ht="98">
      <c r="A946" s="21" t="s">
        <v>925</v>
      </c>
      <c r="B946" s="21" t="s">
        <v>304</v>
      </c>
      <c r="C946" s="21" t="s">
        <v>298</v>
      </c>
      <c r="D946" s="21" t="s">
        <v>180</v>
      </c>
      <c r="E946" s="21" t="s">
        <v>305</v>
      </c>
      <c r="F946" s="21" t="s">
        <v>3731</v>
      </c>
      <c r="G946" s="21" t="s">
        <v>7693</v>
      </c>
      <c r="H946" s="28">
        <v>38226</v>
      </c>
      <c r="I946" s="22">
        <v>2004</v>
      </c>
      <c r="J946" s="21" t="s">
        <v>958</v>
      </c>
      <c r="K946" s="21" t="s">
        <v>959</v>
      </c>
      <c r="L946" s="21" t="s">
        <v>7694</v>
      </c>
      <c r="M946" s="21" t="s">
        <v>5486</v>
      </c>
      <c r="N946" s="21" t="s">
        <v>7695</v>
      </c>
      <c r="O946" s="21" t="s">
        <v>7696</v>
      </c>
      <c r="P946" s="27">
        <v>0</v>
      </c>
      <c r="Q946" s="27">
        <v>52</v>
      </c>
      <c r="R946" s="21" t="s">
        <v>7697</v>
      </c>
      <c r="S946" s="21" t="s">
        <v>2096</v>
      </c>
      <c r="T946" s="21" t="s">
        <v>4159</v>
      </c>
      <c r="U946" s="21" t="s">
        <v>7698</v>
      </c>
    </row>
    <row r="947" spans="1:21" ht="112">
      <c r="A947" s="21" t="s">
        <v>925</v>
      </c>
      <c r="B947" s="21" t="s">
        <v>304</v>
      </c>
      <c r="C947" s="21" t="s">
        <v>298</v>
      </c>
      <c r="D947" s="21" t="s">
        <v>180</v>
      </c>
      <c r="E947" s="21" t="s">
        <v>305</v>
      </c>
      <c r="F947" s="21" t="s">
        <v>3737</v>
      </c>
      <c r="G947" s="21" t="s">
        <v>7699</v>
      </c>
      <c r="H947" s="28">
        <v>39358</v>
      </c>
      <c r="I947" s="22">
        <v>2007</v>
      </c>
      <c r="J947" s="21" t="s">
        <v>958</v>
      </c>
      <c r="K947" s="21" t="s">
        <v>959</v>
      </c>
      <c r="L947" s="21" t="s">
        <v>7700</v>
      </c>
      <c r="M947" s="21" t="s">
        <v>5486</v>
      </c>
      <c r="N947" s="21" t="s">
        <v>6820</v>
      </c>
      <c r="O947" s="21" t="s">
        <v>7701</v>
      </c>
      <c r="P947" s="27">
        <v>0</v>
      </c>
      <c r="Q947" s="27">
        <v>49</v>
      </c>
      <c r="R947" s="21" t="s">
        <v>7702</v>
      </c>
      <c r="S947" s="21" t="s">
        <v>7703</v>
      </c>
      <c r="T947" s="21" t="s">
        <v>966</v>
      </c>
      <c r="U947" s="21" t="s">
        <v>7704</v>
      </c>
    </row>
    <row r="948" spans="1:21" ht="42">
      <c r="A948" s="21" t="s">
        <v>925</v>
      </c>
      <c r="B948" s="21" t="s">
        <v>304</v>
      </c>
      <c r="C948" s="21" t="s">
        <v>298</v>
      </c>
      <c r="D948" s="21" t="s">
        <v>180</v>
      </c>
      <c r="E948" s="21" t="s">
        <v>305</v>
      </c>
      <c r="F948" s="21" t="s">
        <v>3744</v>
      </c>
      <c r="G948" s="21" t="s">
        <v>7705</v>
      </c>
      <c r="H948" s="28">
        <v>38765</v>
      </c>
      <c r="I948" s="22">
        <v>2006</v>
      </c>
      <c r="J948" s="21" t="s">
        <v>958</v>
      </c>
      <c r="K948" s="21" t="s">
        <v>959</v>
      </c>
      <c r="L948" s="21" t="s">
        <v>7706</v>
      </c>
      <c r="M948" s="21" t="s">
        <v>5486</v>
      </c>
      <c r="N948" s="21" t="s">
        <v>7707</v>
      </c>
      <c r="O948" s="21" t="s">
        <v>7708</v>
      </c>
      <c r="P948" s="27">
        <v>0</v>
      </c>
      <c r="Q948" s="27">
        <v>39</v>
      </c>
      <c r="R948" s="21" t="s">
        <v>7709</v>
      </c>
      <c r="S948" s="21" t="s">
        <v>7710</v>
      </c>
      <c r="T948" s="21" t="s">
        <v>966</v>
      </c>
      <c r="U948" s="21" t="s">
        <v>7711</v>
      </c>
    </row>
    <row r="949" spans="1:21" ht="28">
      <c r="A949" s="21" t="s">
        <v>925</v>
      </c>
      <c r="B949" s="21" t="s">
        <v>304</v>
      </c>
      <c r="C949" s="21" t="s">
        <v>298</v>
      </c>
      <c r="D949" s="21" t="s">
        <v>180</v>
      </c>
      <c r="E949" s="21" t="s">
        <v>305</v>
      </c>
      <c r="F949" s="21" t="s">
        <v>3752</v>
      </c>
      <c r="G949" s="21" t="s">
        <v>7712</v>
      </c>
      <c r="H949" s="28">
        <v>37515</v>
      </c>
      <c r="I949" s="22">
        <v>2002</v>
      </c>
      <c r="J949" s="21" t="s">
        <v>958</v>
      </c>
      <c r="K949" s="21" t="s">
        <v>2765</v>
      </c>
      <c r="L949" s="21" t="s">
        <v>7713</v>
      </c>
      <c r="M949" s="21" t="s">
        <v>5486</v>
      </c>
      <c r="N949" s="21" t="s">
        <v>7688</v>
      </c>
      <c r="O949" s="21" t="s">
        <v>7714</v>
      </c>
      <c r="P949" s="27">
        <v>0</v>
      </c>
      <c r="Q949" s="27">
        <v>22</v>
      </c>
      <c r="R949" s="21" t="s">
        <v>7715</v>
      </c>
      <c r="S949" s="21" t="s">
        <v>7716</v>
      </c>
      <c r="T949" s="21" t="s">
        <v>4159</v>
      </c>
      <c r="U949" s="21" t="s">
        <v>7717</v>
      </c>
    </row>
    <row r="950" spans="1:21" ht="84">
      <c r="A950" s="21" t="s">
        <v>925</v>
      </c>
      <c r="B950" s="21" t="s">
        <v>304</v>
      </c>
      <c r="C950" s="21" t="s">
        <v>298</v>
      </c>
      <c r="D950" s="21" t="s">
        <v>180</v>
      </c>
      <c r="E950" s="21" t="s">
        <v>305</v>
      </c>
      <c r="F950" s="21" t="s">
        <v>3760</v>
      </c>
      <c r="G950" s="21" t="s">
        <v>7718</v>
      </c>
      <c r="H950" s="28">
        <v>39783</v>
      </c>
      <c r="I950" s="22">
        <v>2008</v>
      </c>
      <c r="J950" s="21" t="s">
        <v>958</v>
      </c>
      <c r="K950" s="21" t="s">
        <v>959</v>
      </c>
      <c r="L950" s="21" t="s">
        <v>7719</v>
      </c>
      <c r="M950" s="21" t="s">
        <v>5486</v>
      </c>
      <c r="N950" s="21" t="s">
        <v>6820</v>
      </c>
      <c r="O950" s="21" t="s">
        <v>7720</v>
      </c>
      <c r="P950" s="27">
        <v>0</v>
      </c>
      <c r="Q950" s="27">
        <v>30</v>
      </c>
      <c r="R950" s="21" t="s">
        <v>7721</v>
      </c>
      <c r="S950" s="21" t="s">
        <v>1866</v>
      </c>
      <c r="T950" s="21" t="s">
        <v>966</v>
      </c>
      <c r="U950" s="21" t="s">
        <v>7722</v>
      </c>
    </row>
    <row r="951" spans="1:21" ht="140">
      <c r="A951" s="21" t="s">
        <v>925</v>
      </c>
      <c r="B951" s="21" t="s">
        <v>304</v>
      </c>
      <c r="C951" s="21" t="s">
        <v>298</v>
      </c>
      <c r="D951" s="21" t="s">
        <v>180</v>
      </c>
      <c r="E951" s="21" t="s">
        <v>305</v>
      </c>
      <c r="F951" s="21" t="s">
        <v>3768</v>
      </c>
      <c r="G951" s="21" t="s">
        <v>7723</v>
      </c>
      <c r="H951" s="28">
        <v>39561</v>
      </c>
      <c r="I951" s="22">
        <v>2008</v>
      </c>
      <c r="J951" s="21" t="s">
        <v>958</v>
      </c>
      <c r="K951" s="21" t="s">
        <v>959</v>
      </c>
      <c r="L951" s="21" t="s">
        <v>7724</v>
      </c>
      <c r="M951" s="21" t="s">
        <v>6096</v>
      </c>
      <c r="N951" s="21" t="s">
        <v>7233</v>
      </c>
      <c r="O951" s="21" t="s">
        <v>7725</v>
      </c>
      <c r="P951" s="27">
        <v>0</v>
      </c>
      <c r="Q951" s="27">
        <v>10</v>
      </c>
      <c r="R951" s="21" t="s">
        <v>7726</v>
      </c>
      <c r="S951" s="21" t="s">
        <v>7727</v>
      </c>
      <c r="T951" s="21" t="s">
        <v>966</v>
      </c>
      <c r="U951" s="21" t="s">
        <v>7728</v>
      </c>
    </row>
    <row r="952" spans="1:21" ht="196">
      <c r="A952" s="21" t="s">
        <v>925</v>
      </c>
      <c r="B952" s="21" t="s">
        <v>304</v>
      </c>
      <c r="C952" s="21" t="s">
        <v>298</v>
      </c>
      <c r="D952" s="21" t="s">
        <v>180</v>
      </c>
      <c r="E952" s="21" t="s">
        <v>305</v>
      </c>
      <c r="F952" s="21" t="s">
        <v>3777</v>
      </c>
      <c r="G952" s="21" t="s">
        <v>7729</v>
      </c>
      <c r="H952" s="28">
        <v>38707</v>
      </c>
      <c r="I952" s="22">
        <v>2005</v>
      </c>
      <c r="J952" s="21" t="s">
        <v>958</v>
      </c>
      <c r="K952" s="21" t="s">
        <v>959</v>
      </c>
      <c r="L952" s="21" t="s">
        <v>7730</v>
      </c>
      <c r="M952" s="21" t="s">
        <v>7731</v>
      </c>
      <c r="N952" s="21" t="s">
        <v>7732</v>
      </c>
      <c r="O952" s="21" t="s">
        <v>7733</v>
      </c>
      <c r="P952" s="27">
        <v>0</v>
      </c>
      <c r="Q952" s="27">
        <v>18</v>
      </c>
      <c r="R952" s="21" t="s">
        <v>7734</v>
      </c>
      <c r="S952" s="21" t="s">
        <v>7735</v>
      </c>
      <c r="T952" s="21" t="s">
        <v>966</v>
      </c>
      <c r="U952" s="21" t="s">
        <v>7736</v>
      </c>
    </row>
    <row r="953" spans="1:21" ht="70">
      <c r="A953" s="21" t="s">
        <v>925</v>
      </c>
      <c r="B953" s="21" t="s">
        <v>304</v>
      </c>
      <c r="C953" s="21" t="s">
        <v>298</v>
      </c>
      <c r="D953" s="21" t="s">
        <v>180</v>
      </c>
      <c r="E953" s="21" t="s">
        <v>305</v>
      </c>
      <c r="F953" s="21" t="s">
        <v>3786</v>
      </c>
      <c r="G953" s="21" t="s">
        <v>7737</v>
      </c>
      <c r="H953" s="28">
        <v>38640</v>
      </c>
      <c r="I953" s="22">
        <v>2005</v>
      </c>
      <c r="J953" s="21" t="s">
        <v>958</v>
      </c>
      <c r="K953" s="21" t="s">
        <v>959</v>
      </c>
      <c r="L953" s="21" t="s">
        <v>7738</v>
      </c>
      <c r="M953" s="21" t="s">
        <v>5486</v>
      </c>
      <c r="N953" s="21" t="s">
        <v>6820</v>
      </c>
      <c r="O953" s="21" t="s">
        <v>7739</v>
      </c>
      <c r="P953" s="27">
        <v>0</v>
      </c>
      <c r="Q953" s="27">
        <v>15</v>
      </c>
      <c r="R953" s="21" t="s">
        <v>7740</v>
      </c>
      <c r="S953" s="21" t="s">
        <v>7741</v>
      </c>
      <c r="T953" s="21" t="s">
        <v>966</v>
      </c>
      <c r="U953" s="21" t="s">
        <v>7742</v>
      </c>
    </row>
    <row r="954" spans="1:21" ht="84">
      <c r="A954" s="21" t="s">
        <v>925</v>
      </c>
      <c r="B954" s="21" t="s">
        <v>304</v>
      </c>
      <c r="C954" s="21" t="s">
        <v>298</v>
      </c>
      <c r="D954" s="21" t="s">
        <v>180</v>
      </c>
      <c r="E954" s="21" t="s">
        <v>305</v>
      </c>
      <c r="F954" s="21" t="s">
        <v>3795</v>
      </c>
      <c r="G954" s="21" t="s">
        <v>7743</v>
      </c>
      <c r="H954" s="28">
        <v>38912</v>
      </c>
      <c r="I954" s="22">
        <v>2006</v>
      </c>
      <c r="J954" s="21" t="s">
        <v>958</v>
      </c>
      <c r="K954" s="21" t="s">
        <v>959</v>
      </c>
      <c r="L954" s="21" t="s">
        <v>7744</v>
      </c>
      <c r="M954" s="21" t="s">
        <v>6104</v>
      </c>
      <c r="N954" s="21" t="s">
        <v>7745</v>
      </c>
      <c r="O954" s="21" t="s">
        <v>7746</v>
      </c>
      <c r="P954" s="27">
        <v>0</v>
      </c>
      <c r="Q954" s="27">
        <v>13</v>
      </c>
      <c r="R954" s="21" t="s">
        <v>7747</v>
      </c>
      <c r="S954" s="21" t="s">
        <v>7748</v>
      </c>
      <c r="T954" s="21" t="s">
        <v>966</v>
      </c>
      <c r="U954" s="21" t="s">
        <v>7749</v>
      </c>
    </row>
    <row r="955" spans="1:21" ht="126">
      <c r="A955" s="21" t="s">
        <v>925</v>
      </c>
      <c r="B955" s="21" t="s">
        <v>304</v>
      </c>
      <c r="C955" s="21" t="s">
        <v>298</v>
      </c>
      <c r="D955" s="21" t="s">
        <v>180</v>
      </c>
      <c r="E955" s="21" t="s">
        <v>305</v>
      </c>
      <c r="F955" s="21" t="s">
        <v>3804</v>
      </c>
      <c r="G955" s="21" t="s">
        <v>7750</v>
      </c>
      <c r="H955" s="28">
        <v>39682</v>
      </c>
      <c r="I955" s="22">
        <v>2008</v>
      </c>
      <c r="J955" s="21" t="s">
        <v>958</v>
      </c>
      <c r="K955" s="21" t="s">
        <v>959</v>
      </c>
      <c r="L955" s="21" t="s">
        <v>7751</v>
      </c>
      <c r="M955" s="21" t="s">
        <v>5486</v>
      </c>
      <c r="N955" s="21" t="s">
        <v>6820</v>
      </c>
      <c r="O955" s="21" t="s">
        <v>7752</v>
      </c>
      <c r="P955" s="27">
        <v>0</v>
      </c>
      <c r="Q955" s="27">
        <v>53</v>
      </c>
      <c r="R955" s="21" t="s">
        <v>7753</v>
      </c>
      <c r="S955" s="21" t="s">
        <v>7754</v>
      </c>
      <c r="T955" s="21" t="s">
        <v>966</v>
      </c>
      <c r="U955" s="21" t="s">
        <v>7755</v>
      </c>
    </row>
    <row r="956" spans="1:21" ht="42">
      <c r="A956" s="21" t="s">
        <v>925</v>
      </c>
      <c r="B956" s="21" t="s">
        <v>304</v>
      </c>
      <c r="C956" s="21" t="s">
        <v>298</v>
      </c>
      <c r="D956" s="21" t="s">
        <v>180</v>
      </c>
      <c r="E956" s="21" t="s">
        <v>305</v>
      </c>
      <c r="F956" s="21" t="s">
        <v>3813</v>
      </c>
      <c r="G956" s="21" t="s">
        <v>7756</v>
      </c>
      <c r="H956" s="28">
        <v>39805</v>
      </c>
      <c r="I956" s="22">
        <v>2008</v>
      </c>
      <c r="J956" s="21" t="s">
        <v>958</v>
      </c>
      <c r="K956" s="21" t="s">
        <v>959</v>
      </c>
      <c r="L956" s="21" t="s">
        <v>7757</v>
      </c>
      <c r="M956" s="21" t="s">
        <v>5486</v>
      </c>
      <c r="N956" s="21" t="s">
        <v>7688</v>
      </c>
      <c r="O956" s="21" t="s">
        <v>7758</v>
      </c>
      <c r="P956" s="27">
        <v>0</v>
      </c>
      <c r="Q956" s="27">
        <v>33</v>
      </c>
      <c r="R956" s="21" t="s">
        <v>7759</v>
      </c>
      <c r="S956" s="21" t="s">
        <v>2096</v>
      </c>
      <c r="T956" s="21" t="s">
        <v>966</v>
      </c>
      <c r="U956" s="21" t="s">
        <v>7760</v>
      </c>
    </row>
    <row r="957" spans="1:21" ht="98">
      <c r="A957" s="21" t="s">
        <v>925</v>
      </c>
      <c r="B957" s="21" t="s">
        <v>304</v>
      </c>
      <c r="C957" s="21" t="s">
        <v>298</v>
      </c>
      <c r="D957" s="21" t="s">
        <v>180</v>
      </c>
      <c r="E957" s="21" t="s">
        <v>305</v>
      </c>
      <c r="F957" s="21" t="s">
        <v>3822</v>
      </c>
      <c r="G957" s="21" t="s">
        <v>7761</v>
      </c>
      <c r="H957" s="28">
        <v>39483</v>
      </c>
      <c r="I957" s="22">
        <v>2008</v>
      </c>
      <c r="J957" s="21" t="s">
        <v>958</v>
      </c>
      <c r="K957" s="21" t="s">
        <v>959</v>
      </c>
      <c r="L957" s="21" t="s">
        <v>7762</v>
      </c>
      <c r="M957" s="21" t="s">
        <v>5486</v>
      </c>
      <c r="N957" s="21" t="s">
        <v>6820</v>
      </c>
      <c r="O957" s="21" t="s">
        <v>7763</v>
      </c>
      <c r="P957" s="27">
        <v>0</v>
      </c>
      <c r="Q957" s="27">
        <v>29</v>
      </c>
      <c r="R957" s="21" t="s">
        <v>7764</v>
      </c>
      <c r="S957" s="21" t="s">
        <v>7765</v>
      </c>
      <c r="T957" s="21" t="s">
        <v>966</v>
      </c>
      <c r="U957" s="21" t="s">
        <v>7766</v>
      </c>
    </row>
    <row r="958" spans="1:21" ht="126">
      <c r="A958" s="21" t="s">
        <v>925</v>
      </c>
      <c r="B958" s="21" t="s">
        <v>304</v>
      </c>
      <c r="C958" s="21" t="s">
        <v>298</v>
      </c>
      <c r="D958" s="21" t="s">
        <v>180</v>
      </c>
      <c r="E958" s="21" t="s">
        <v>305</v>
      </c>
      <c r="F958" s="21" t="s">
        <v>3831</v>
      </c>
      <c r="G958" s="21" t="s">
        <v>7767</v>
      </c>
      <c r="H958" s="28">
        <v>39625</v>
      </c>
      <c r="I958" s="22">
        <v>2008</v>
      </c>
      <c r="J958" s="21" t="s">
        <v>958</v>
      </c>
      <c r="K958" s="21" t="s">
        <v>959</v>
      </c>
      <c r="L958" s="21" t="s">
        <v>7768</v>
      </c>
      <c r="M958" s="21" t="s">
        <v>7360</v>
      </c>
      <c r="N958" s="21" t="s">
        <v>7769</v>
      </c>
      <c r="O958" s="21" t="s">
        <v>7770</v>
      </c>
      <c r="P958" s="27">
        <v>0</v>
      </c>
      <c r="Q958" s="27">
        <v>20</v>
      </c>
      <c r="R958" s="21" t="s">
        <v>7771</v>
      </c>
      <c r="S958" s="21" t="s">
        <v>7772</v>
      </c>
      <c r="T958" s="21" t="s">
        <v>966</v>
      </c>
      <c r="U958" s="21" t="s">
        <v>7773</v>
      </c>
    </row>
    <row r="959" spans="1:21" ht="112">
      <c r="A959" s="21" t="s">
        <v>925</v>
      </c>
      <c r="B959" s="21" t="s">
        <v>304</v>
      </c>
      <c r="C959" s="21" t="s">
        <v>298</v>
      </c>
      <c r="D959" s="21" t="s">
        <v>180</v>
      </c>
      <c r="E959" s="21" t="s">
        <v>305</v>
      </c>
      <c r="F959" s="21" t="s">
        <v>3840</v>
      </c>
      <c r="G959" s="21" t="s">
        <v>7774</v>
      </c>
      <c r="H959" s="28">
        <v>37004</v>
      </c>
      <c r="I959" s="22">
        <v>2001</v>
      </c>
      <c r="J959" s="21" t="s">
        <v>958</v>
      </c>
      <c r="K959" s="21" t="s">
        <v>959</v>
      </c>
      <c r="L959" s="21" t="s">
        <v>7775</v>
      </c>
      <c r="M959" s="21" t="s">
        <v>6104</v>
      </c>
      <c r="N959" s="21" t="s">
        <v>7776</v>
      </c>
      <c r="O959" s="21" t="s">
        <v>7777</v>
      </c>
      <c r="P959" s="27">
        <v>0</v>
      </c>
      <c r="Q959" s="27">
        <v>32</v>
      </c>
      <c r="R959" s="21" t="s">
        <v>7778</v>
      </c>
      <c r="S959" s="21" t="s">
        <v>7779</v>
      </c>
      <c r="T959" s="21" t="s">
        <v>4159</v>
      </c>
      <c r="U959" s="21" t="s">
        <v>7780</v>
      </c>
    </row>
    <row r="960" spans="1:21" ht="98">
      <c r="A960" s="21" t="s">
        <v>925</v>
      </c>
      <c r="B960" s="21" t="s">
        <v>304</v>
      </c>
      <c r="C960" s="21" t="s">
        <v>298</v>
      </c>
      <c r="D960" s="21" t="s">
        <v>180</v>
      </c>
      <c r="E960" s="21" t="s">
        <v>305</v>
      </c>
      <c r="F960" s="21" t="s">
        <v>3847</v>
      </c>
      <c r="G960" s="21" t="s">
        <v>7781</v>
      </c>
      <c r="H960" s="28">
        <v>38615</v>
      </c>
      <c r="I960" s="22">
        <v>2005</v>
      </c>
      <c r="J960" s="21" t="s">
        <v>958</v>
      </c>
      <c r="K960" s="21" t="s">
        <v>959</v>
      </c>
      <c r="L960" s="21" t="s">
        <v>7782</v>
      </c>
      <c r="M960" s="21" t="s">
        <v>5486</v>
      </c>
      <c r="N960" s="21" t="s">
        <v>6820</v>
      </c>
      <c r="O960" s="21" t="s">
        <v>7783</v>
      </c>
      <c r="P960" s="27">
        <v>0</v>
      </c>
      <c r="Q960" s="27">
        <v>27</v>
      </c>
      <c r="R960" s="21" t="s">
        <v>7784</v>
      </c>
      <c r="S960" s="21" t="s">
        <v>7785</v>
      </c>
      <c r="T960" s="21" t="s">
        <v>966</v>
      </c>
      <c r="U960" s="21" t="s">
        <v>7786</v>
      </c>
    </row>
    <row r="961" spans="1:21" ht="168">
      <c r="A961" s="21" t="s">
        <v>925</v>
      </c>
      <c r="B961" s="21" t="s">
        <v>304</v>
      </c>
      <c r="C961" s="21" t="s">
        <v>298</v>
      </c>
      <c r="D961" s="21" t="s">
        <v>180</v>
      </c>
      <c r="E961" s="21" t="s">
        <v>305</v>
      </c>
      <c r="F961" s="21" t="s">
        <v>3855</v>
      </c>
      <c r="G961" s="21" t="s">
        <v>7787</v>
      </c>
      <c r="H961" s="28">
        <v>36914</v>
      </c>
      <c r="I961" s="22">
        <v>2001</v>
      </c>
      <c r="J961" s="21" t="s">
        <v>958</v>
      </c>
      <c r="K961" s="21" t="s">
        <v>959</v>
      </c>
      <c r="L961" s="21" t="s">
        <v>7788</v>
      </c>
      <c r="M961" s="21" t="s">
        <v>5540</v>
      </c>
      <c r="N961" s="21" t="s">
        <v>7789</v>
      </c>
      <c r="O961" s="21" t="s">
        <v>7790</v>
      </c>
      <c r="P961" s="27">
        <v>0</v>
      </c>
      <c r="Q961" s="27">
        <v>103</v>
      </c>
      <c r="R961" s="21" t="s">
        <v>7791</v>
      </c>
      <c r="S961" s="21" t="s">
        <v>7792</v>
      </c>
      <c r="T961" s="21" t="s">
        <v>4159</v>
      </c>
      <c r="U961" s="21" t="s">
        <v>7793</v>
      </c>
    </row>
    <row r="962" spans="1:21" ht="126">
      <c r="A962" s="21" t="s">
        <v>925</v>
      </c>
      <c r="B962" s="21" t="s">
        <v>304</v>
      </c>
      <c r="C962" s="21" t="s">
        <v>298</v>
      </c>
      <c r="D962" s="21" t="s">
        <v>180</v>
      </c>
      <c r="E962" s="21" t="s">
        <v>305</v>
      </c>
      <c r="F962" s="21" t="s">
        <v>3864</v>
      </c>
      <c r="G962" s="21" t="s">
        <v>7794</v>
      </c>
      <c r="H962" s="28">
        <v>40683</v>
      </c>
      <c r="I962" s="22">
        <v>2011</v>
      </c>
      <c r="J962" s="21" t="s">
        <v>958</v>
      </c>
      <c r="K962" s="21" t="s">
        <v>959</v>
      </c>
      <c r="L962" s="21" t="s">
        <v>7795</v>
      </c>
      <c r="M962" s="21" t="s">
        <v>5486</v>
      </c>
      <c r="N962" s="21" t="s">
        <v>6717</v>
      </c>
      <c r="O962" s="21" t="s">
        <v>7796</v>
      </c>
      <c r="P962" s="27">
        <v>0</v>
      </c>
      <c r="Q962" s="27">
        <v>51</v>
      </c>
      <c r="R962" s="21" t="s">
        <v>7797</v>
      </c>
      <c r="S962" s="21" t="s">
        <v>7798</v>
      </c>
      <c r="T962" s="21" t="s">
        <v>966</v>
      </c>
      <c r="U962" s="21" t="s">
        <v>7799</v>
      </c>
    </row>
    <row r="963" spans="1:21" ht="182">
      <c r="A963" s="21" t="s">
        <v>925</v>
      </c>
      <c r="B963" s="21" t="s">
        <v>304</v>
      </c>
      <c r="C963" s="21" t="s">
        <v>298</v>
      </c>
      <c r="D963" s="21" t="s">
        <v>180</v>
      </c>
      <c r="E963" s="21" t="s">
        <v>305</v>
      </c>
      <c r="F963" s="21" t="s">
        <v>3871</v>
      </c>
      <c r="G963" s="21" t="s">
        <v>7800</v>
      </c>
      <c r="H963" s="28">
        <v>40592</v>
      </c>
      <c r="I963" s="22">
        <v>2011</v>
      </c>
      <c r="J963" s="21" t="s">
        <v>958</v>
      </c>
      <c r="K963" s="21" t="s">
        <v>959</v>
      </c>
      <c r="L963" s="21" t="s">
        <v>7801</v>
      </c>
      <c r="M963" s="21" t="s">
        <v>5486</v>
      </c>
      <c r="N963" s="21" t="s">
        <v>7158</v>
      </c>
      <c r="O963" s="21" t="s">
        <v>5654</v>
      </c>
      <c r="P963" s="27">
        <v>0</v>
      </c>
      <c r="Q963" s="27">
        <v>33</v>
      </c>
      <c r="R963" s="21" t="s">
        <v>7802</v>
      </c>
      <c r="S963" s="21" t="s">
        <v>6219</v>
      </c>
      <c r="T963" s="21" t="s">
        <v>966</v>
      </c>
      <c r="U963" s="21" t="s">
        <v>7803</v>
      </c>
    </row>
    <row r="964" spans="1:21" ht="182">
      <c r="A964" s="21" t="s">
        <v>925</v>
      </c>
      <c r="B964" s="21" t="s">
        <v>304</v>
      </c>
      <c r="C964" s="21" t="s">
        <v>298</v>
      </c>
      <c r="D964" s="21" t="s">
        <v>180</v>
      </c>
      <c r="E964" s="21" t="s">
        <v>305</v>
      </c>
      <c r="F964" s="21" t="s">
        <v>3880</v>
      </c>
      <c r="G964" s="21" t="s">
        <v>7804</v>
      </c>
      <c r="H964" s="28">
        <v>40592</v>
      </c>
      <c r="I964" s="22">
        <v>2011</v>
      </c>
      <c r="J964" s="21" t="s">
        <v>958</v>
      </c>
      <c r="K964" s="21" t="s">
        <v>959</v>
      </c>
      <c r="L964" s="21" t="s">
        <v>7805</v>
      </c>
      <c r="M964" s="21" t="s">
        <v>5486</v>
      </c>
      <c r="N964" s="21" t="s">
        <v>7158</v>
      </c>
      <c r="O964" s="21" t="s">
        <v>5654</v>
      </c>
      <c r="P964" s="27">
        <v>0</v>
      </c>
      <c r="Q964" s="27">
        <v>22</v>
      </c>
      <c r="R964" s="21" t="s">
        <v>7806</v>
      </c>
      <c r="S964" s="21" t="s">
        <v>6219</v>
      </c>
      <c r="T964" s="21" t="s">
        <v>966</v>
      </c>
      <c r="U964" s="21" t="s">
        <v>7807</v>
      </c>
    </row>
    <row r="965" spans="1:21" ht="56">
      <c r="A965" s="21" t="s">
        <v>925</v>
      </c>
      <c r="B965" s="21" t="s">
        <v>304</v>
      </c>
      <c r="C965" s="21" t="s">
        <v>298</v>
      </c>
      <c r="D965" s="21" t="s">
        <v>180</v>
      </c>
      <c r="E965" s="21" t="s">
        <v>305</v>
      </c>
      <c r="F965" s="21" t="s">
        <v>3889</v>
      </c>
      <c r="G965" s="21" t="s">
        <v>7808</v>
      </c>
      <c r="H965" s="28">
        <v>39227</v>
      </c>
      <c r="I965" s="22">
        <v>2007</v>
      </c>
      <c r="J965" s="21" t="s">
        <v>958</v>
      </c>
      <c r="K965" s="21" t="s">
        <v>959</v>
      </c>
      <c r="L965" s="21" t="s">
        <v>7809</v>
      </c>
      <c r="M965" s="21" t="s">
        <v>5486</v>
      </c>
      <c r="N965" s="21" t="s">
        <v>7810</v>
      </c>
      <c r="O965" s="21" t="s">
        <v>7811</v>
      </c>
      <c r="P965" s="27">
        <v>0</v>
      </c>
      <c r="Q965" s="27">
        <v>19</v>
      </c>
      <c r="R965" s="21" t="s">
        <v>7812</v>
      </c>
      <c r="S965" s="21" t="s">
        <v>7813</v>
      </c>
      <c r="T965" s="21" t="s">
        <v>966</v>
      </c>
      <c r="U965" s="21" t="s">
        <v>7814</v>
      </c>
    </row>
    <row r="966" spans="1:21" ht="112">
      <c r="A966" s="21" t="s">
        <v>925</v>
      </c>
      <c r="B966" s="21" t="s">
        <v>304</v>
      </c>
      <c r="C966" s="21" t="s">
        <v>298</v>
      </c>
      <c r="D966" s="21" t="s">
        <v>180</v>
      </c>
      <c r="E966" s="21" t="s">
        <v>305</v>
      </c>
      <c r="F966" s="21" t="s">
        <v>3898</v>
      </c>
      <c r="G966" s="21" t="s">
        <v>7815</v>
      </c>
      <c r="H966" s="28">
        <v>37971</v>
      </c>
      <c r="I966" s="22">
        <v>2003</v>
      </c>
      <c r="J966" s="21" t="s">
        <v>958</v>
      </c>
      <c r="K966" s="21" t="s">
        <v>959</v>
      </c>
      <c r="L966" s="21" t="s">
        <v>7816</v>
      </c>
      <c r="M966" s="21" t="s">
        <v>6104</v>
      </c>
      <c r="N966" s="21" t="s">
        <v>7669</v>
      </c>
      <c r="O966" s="21" t="s">
        <v>7817</v>
      </c>
      <c r="P966" s="27">
        <v>0</v>
      </c>
      <c r="Q966" s="27">
        <v>29</v>
      </c>
      <c r="R966" s="21" t="s">
        <v>7818</v>
      </c>
      <c r="S966" s="21" t="s">
        <v>7819</v>
      </c>
      <c r="T966" s="21" t="s">
        <v>4159</v>
      </c>
      <c r="U966" s="21" t="s">
        <v>7820</v>
      </c>
    </row>
    <row r="967" spans="1:21" ht="84">
      <c r="A967" s="21" t="s">
        <v>925</v>
      </c>
      <c r="B967" s="21" t="s">
        <v>304</v>
      </c>
      <c r="C967" s="21" t="s">
        <v>298</v>
      </c>
      <c r="D967" s="21" t="s">
        <v>180</v>
      </c>
      <c r="E967" s="21" t="s">
        <v>305</v>
      </c>
      <c r="F967" s="21" t="s">
        <v>3907</v>
      </c>
      <c r="G967" s="21" t="s">
        <v>7821</v>
      </c>
      <c r="H967" s="28">
        <v>38644</v>
      </c>
      <c r="I967" s="22">
        <v>2005</v>
      </c>
      <c r="J967" s="21" t="s">
        <v>958</v>
      </c>
      <c r="K967" s="21" t="s">
        <v>959</v>
      </c>
      <c r="L967" s="21" t="s">
        <v>7822</v>
      </c>
      <c r="M967" s="21" t="s">
        <v>5486</v>
      </c>
      <c r="N967" s="21" t="s">
        <v>6820</v>
      </c>
      <c r="O967" s="21" t="s">
        <v>7823</v>
      </c>
      <c r="P967" s="27">
        <v>0</v>
      </c>
      <c r="Q967" s="27">
        <v>30</v>
      </c>
      <c r="R967" s="21" t="s">
        <v>7824</v>
      </c>
      <c r="S967" s="21" t="s">
        <v>7825</v>
      </c>
      <c r="T967" s="21" t="s">
        <v>966</v>
      </c>
      <c r="U967" s="21" t="s">
        <v>7826</v>
      </c>
    </row>
    <row r="968" spans="1:21" ht="154">
      <c r="A968" s="21" t="s">
        <v>925</v>
      </c>
      <c r="B968" s="21" t="s">
        <v>304</v>
      </c>
      <c r="C968" s="21" t="s">
        <v>298</v>
      </c>
      <c r="D968" s="21" t="s">
        <v>180</v>
      </c>
      <c r="E968" s="21" t="s">
        <v>305</v>
      </c>
      <c r="F968" s="21" t="s">
        <v>3916</v>
      </c>
      <c r="G968" s="21" t="s">
        <v>7827</v>
      </c>
      <c r="H968" s="28">
        <v>38105</v>
      </c>
      <c r="I968" s="22">
        <v>2004</v>
      </c>
      <c r="J968" s="21" t="s">
        <v>958</v>
      </c>
      <c r="K968" s="21" t="s">
        <v>959</v>
      </c>
      <c r="L968" s="21" t="s">
        <v>7828</v>
      </c>
      <c r="M968" s="21" t="s">
        <v>7829</v>
      </c>
      <c r="N968" s="21" t="s">
        <v>7830</v>
      </c>
      <c r="O968" s="21" t="s">
        <v>7831</v>
      </c>
      <c r="P968" s="27">
        <v>0</v>
      </c>
      <c r="Q968" s="27">
        <v>15</v>
      </c>
      <c r="R968" s="21" t="s">
        <v>7832</v>
      </c>
      <c r="S968" s="21" t="s">
        <v>7833</v>
      </c>
      <c r="T968" s="21" t="s">
        <v>4159</v>
      </c>
      <c r="U968" s="21" t="s">
        <v>7834</v>
      </c>
    </row>
    <row r="969" spans="1:21" ht="42">
      <c r="A969" s="21" t="s">
        <v>925</v>
      </c>
      <c r="B969" s="21" t="s">
        <v>304</v>
      </c>
      <c r="C969" s="21" t="s">
        <v>298</v>
      </c>
      <c r="D969" s="21" t="s">
        <v>180</v>
      </c>
      <c r="E969" s="21" t="s">
        <v>305</v>
      </c>
      <c r="F969" s="21" t="s">
        <v>3924</v>
      </c>
      <c r="G969" s="21" t="s">
        <v>7835</v>
      </c>
      <c r="H969" s="28">
        <v>39442</v>
      </c>
      <c r="I969" s="22">
        <v>2007</v>
      </c>
      <c r="J969" s="21" t="s">
        <v>958</v>
      </c>
      <c r="K969" s="21" t="s">
        <v>959</v>
      </c>
      <c r="L969" s="21" t="s">
        <v>7836</v>
      </c>
      <c r="M969" s="21" t="s">
        <v>5486</v>
      </c>
      <c r="N969" s="21" t="s">
        <v>6820</v>
      </c>
      <c r="O969" s="21" t="s">
        <v>7837</v>
      </c>
      <c r="P969" s="27">
        <v>0</v>
      </c>
      <c r="Q969" s="27">
        <v>21</v>
      </c>
      <c r="R969" s="21" t="s">
        <v>7838</v>
      </c>
      <c r="S969" s="21" t="s">
        <v>7839</v>
      </c>
      <c r="T969" s="21" t="s">
        <v>966</v>
      </c>
      <c r="U969" s="21" t="s">
        <v>7840</v>
      </c>
    </row>
    <row r="970" spans="1:21" ht="112">
      <c r="A970" s="21" t="s">
        <v>925</v>
      </c>
      <c r="B970" s="21" t="s">
        <v>304</v>
      </c>
      <c r="C970" s="21" t="s">
        <v>298</v>
      </c>
      <c r="D970" s="21" t="s">
        <v>180</v>
      </c>
      <c r="E970" s="21" t="s">
        <v>305</v>
      </c>
      <c r="F970" s="21" t="s">
        <v>3932</v>
      </c>
      <c r="G970" s="21" t="s">
        <v>7841</v>
      </c>
      <c r="H970" s="28">
        <v>41114</v>
      </c>
      <c r="I970" s="22">
        <v>2012</v>
      </c>
      <c r="J970" s="21" t="s">
        <v>958</v>
      </c>
      <c r="K970" s="21" t="s">
        <v>998</v>
      </c>
      <c r="L970" s="21" t="s">
        <v>7842</v>
      </c>
      <c r="M970" s="21" t="s">
        <v>6449</v>
      </c>
      <c r="N970" s="21" t="s">
        <v>6450</v>
      </c>
      <c r="O970" s="21" t="s">
        <v>7843</v>
      </c>
      <c r="P970" s="27">
        <v>0</v>
      </c>
      <c r="Q970" s="27">
        <v>15</v>
      </c>
      <c r="R970" s="21" t="s">
        <v>7844</v>
      </c>
      <c r="S970" s="21" t="s">
        <v>7845</v>
      </c>
      <c r="T970" s="21" t="s">
        <v>1148</v>
      </c>
      <c r="U970" s="21" t="s">
        <v>7846</v>
      </c>
    </row>
    <row r="971" spans="1:21" ht="126">
      <c r="A971" s="21" t="s">
        <v>925</v>
      </c>
      <c r="B971" s="21" t="s">
        <v>304</v>
      </c>
      <c r="C971" s="21" t="s">
        <v>298</v>
      </c>
      <c r="D971" s="21" t="s">
        <v>180</v>
      </c>
      <c r="E971" s="21" t="s">
        <v>305</v>
      </c>
      <c r="F971" s="21" t="s">
        <v>3940</v>
      </c>
      <c r="G971" s="21" t="s">
        <v>7847</v>
      </c>
      <c r="H971" s="28">
        <v>39625</v>
      </c>
      <c r="I971" s="22">
        <v>2008</v>
      </c>
      <c r="J971" s="21" t="s">
        <v>958</v>
      </c>
      <c r="K971" s="21" t="s">
        <v>959</v>
      </c>
      <c r="L971" s="21" t="s">
        <v>7848</v>
      </c>
      <c r="M971" s="21" t="s">
        <v>7360</v>
      </c>
      <c r="N971" s="21" t="s">
        <v>7769</v>
      </c>
      <c r="O971" s="21" t="s">
        <v>7849</v>
      </c>
      <c r="P971" s="27">
        <v>0</v>
      </c>
      <c r="Q971" s="27">
        <v>21</v>
      </c>
      <c r="R971" s="21" t="s">
        <v>7850</v>
      </c>
      <c r="S971" s="21" t="s">
        <v>7364</v>
      </c>
      <c r="T971" s="21" t="s">
        <v>966</v>
      </c>
      <c r="U971" s="21" t="s">
        <v>7851</v>
      </c>
    </row>
    <row r="972" spans="1:21" ht="70">
      <c r="A972" s="21" t="s">
        <v>925</v>
      </c>
      <c r="B972" s="21" t="s">
        <v>304</v>
      </c>
      <c r="C972" s="21" t="s">
        <v>298</v>
      </c>
      <c r="D972" s="21" t="s">
        <v>180</v>
      </c>
      <c r="E972" s="21" t="s">
        <v>305</v>
      </c>
      <c r="F972" s="21" t="s">
        <v>3947</v>
      </c>
      <c r="G972" s="21" t="s">
        <v>7852</v>
      </c>
      <c r="H972" s="28">
        <v>40528</v>
      </c>
      <c r="I972" s="22">
        <v>2010</v>
      </c>
      <c r="J972" s="21" t="s">
        <v>958</v>
      </c>
      <c r="K972" s="21" t="s">
        <v>959</v>
      </c>
      <c r="L972" s="21" t="s">
        <v>7853</v>
      </c>
      <c r="M972" s="21" t="s">
        <v>5486</v>
      </c>
      <c r="N972" s="21" t="s">
        <v>7854</v>
      </c>
      <c r="O972" s="21" t="s">
        <v>7855</v>
      </c>
      <c r="P972" s="27">
        <v>0</v>
      </c>
      <c r="Q972" s="27">
        <v>13</v>
      </c>
      <c r="R972" s="21" t="s">
        <v>7856</v>
      </c>
      <c r="S972" s="21" t="s">
        <v>7857</v>
      </c>
      <c r="T972" s="21" t="s">
        <v>966</v>
      </c>
      <c r="U972" s="21" t="s">
        <v>7858</v>
      </c>
    </row>
    <row r="973" spans="1:21" ht="70">
      <c r="A973" s="21" t="s">
        <v>925</v>
      </c>
      <c r="B973" s="21" t="s">
        <v>304</v>
      </c>
      <c r="C973" s="21" t="s">
        <v>298</v>
      </c>
      <c r="D973" s="21" t="s">
        <v>180</v>
      </c>
      <c r="E973" s="21" t="s">
        <v>305</v>
      </c>
      <c r="F973" s="21" t="s">
        <v>3956</v>
      </c>
      <c r="G973" s="21" t="s">
        <v>7859</v>
      </c>
      <c r="H973" s="28">
        <v>38371</v>
      </c>
      <c r="I973" s="22">
        <v>2005</v>
      </c>
      <c r="J973" s="21" t="s">
        <v>958</v>
      </c>
      <c r="K973" s="21" t="s">
        <v>959</v>
      </c>
      <c r="L973" s="21" t="s">
        <v>7860</v>
      </c>
      <c r="M973" s="21" t="s">
        <v>5486</v>
      </c>
      <c r="N973" s="21" t="s">
        <v>6820</v>
      </c>
      <c r="O973" s="21" t="s">
        <v>7861</v>
      </c>
      <c r="P973" s="27">
        <v>0</v>
      </c>
      <c r="Q973" s="27">
        <v>21</v>
      </c>
      <c r="R973" s="21" t="s">
        <v>7862</v>
      </c>
      <c r="S973" s="21" t="s">
        <v>7863</v>
      </c>
      <c r="T973" s="21" t="s">
        <v>4159</v>
      </c>
      <c r="U973" s="21" t="s">
        <v>7864</v>
      </c>
    </row>
    <row r="974" spans="1:21" ht="98">
      <c r="A974" s="21" t="s">
        <v>925</v>
      </c>
      <c r="B974" s="21" t="s">
        <v>304</v>
      </c>
      <c r="C974" s="21" t="s">
        <v>298</v>
      </c>
      <c r="D974" s="21" t="s">
        <v>180</v>
      </c>
      <c r="E974" s="21" t="s">
        <v>305</v>
      </c>
      <c r="F974" s="21" t="s">
        <v>3964</v>
      </c>
      <c r="G974" s="21" t="s">
        <v>7865</v>
      </c>
      <c r="H974" s="28">
        <v>39637</v>
      </c>
      <c r="I974" s="22">
        <v>2008</v>
      </c>
      <c r="J974" s="21" t="s">
        <v>958</v>
      </c>
      <c r="K974" s="21" t="s">
        <v>959</v>
      </c>
      <c r="L974" s="21" t="s">
        <v>7866</v>
      </c>
      <c r="M974" s="21" t="s">
        <v>5486</v>
      </c>
      <c r="N974" s="21" t="s">
        <v>6820</v>
      </c>
      <c r="O974" s="21" t="s">
        <v>7867</v>
      </c>
      <c r="P974" s="27">
        <v>0</v>
      </c>
      <c r="Q974" s="27">
        <v>49</v>
      </c>
      <c r="R974" s="21" t="s">
        <v>7868</v>
      </c>
      <c r="S974" s="21" t="s">
        <v>7869</v>
      </c>
      <c r="T974" s="21" t="s">
        <v>966</v>
      </c>
      <c r="U974" s="21" t="s">
        <v>7870</v>
      </c>
    </row>
    <row r="975" spans="1:21" ht="112">
      <c r="A975" s="21" t="s">
        <v>925</v>
      </c>
      <c r="B975" s="21" t="s">
        <v>304</v>
      </c>
      <c r="C975" s="21" t="s">
        <v>298</v>
      </c>
      <c r="D975" s="21" t="s">
        <v>180</v>
      </c>
      <c r="E975" s="21" t="s">
        <v>305</v>
      </c>
      <c r="F975" s="21" t="s">
        <v>3973</v>
      </c>
      <c r="G975" s="21" t="s">
        <v>7871</v>
      </c>
      <c r="H975" s="28">
        <v>39623</v>
      </c>
      <c r="I975" s="22">
        <v>2008</v>
      </c>
      <c r="J975" s="21" t="s">
        <v>958</v>
      </c>
      <c r="K975" s="21" t="s">
        <v>959</v>
      </c>
      <c r="L975" s="21" t="s">
        <v>7872</v>
      </c>
      <c r="M975" s="21" t="s">
        <v>5486</v>
      </c>
      <c r="N975" s="21" t="s">
        <v>6820</v>
      </c>
      <c r="O975" s="21" t="s">
        <v>7873</v>
      </c>
      <c r="P975" s="27">
        <v>0</v>
      </c>
      <c r="Q975" s="27">
        <v>43</v>
      </c>
      <c r="R975" s="21" t="s">
        <v>7874</v>
      </c>
      <c r="S975" s="21" t="s">
        <v>7875</v>
      </c>
      <c r="T975" s="21" t="s">
        <v>966</v>
      </c>
      <c r="U975" s="21" t="s">
        <v>7876</v>
      </c>
    </row>
    <row r="976" spans="1:21" ht="98">
      <c r="A976" s="21" t="s">
        <v>925</v>
      </c>
      <c r="B976" s="21" t="s">
        <v>304</v>
      </c>
      <c r="C976" s="21" t="s">
        <v>298</v>
      </c>
      <c r="D976" s="21" t="s">
        <v>180</v>
      </c>
      <c r="E976" s="21" t="s">
        <v>305</v>
      </c>
      <c r="F976" s="21" t="s">
        <v>3981</v>
      </c>
      <c r="G976" s="21" t="s">
        <v>7877</v>
      </c>
      <c r="H976" s="28">
        <v>38794</v>
      </c>
      <c r="I976" s="22">
        <v>2006</v>
      </c>
      <c r="J976" s="21" t="s">
        <v>958</v>
      </c>
      <c r="K976" s="21" t="s">
        <v>959</v>
      </c>
      <c r="L976" s="21" t="s">
        <v>7878</v>
      </c>
      <c r="M976" s="21" t="s">
        <v>5486</v>
      </c>
      <c r="N976" s="21" t="s">
        <v>6820</v>
      </c>
      <c r="O976" s="21" t="s">
        <v>7879</v>
      </c>
      <c r="P976" s="27">
        <v>0</v>
      </c>
      <c r="Q976" s="27">
        <v>20</v>
      </c>
      <c r="R976" s="21" t="s">
        <v>7880</v>
      </c>
      <c r="S976" s="21" t="s">
        <v>7881</v>
      </c>
      <c r="T976" s="21" t="s">
        <v>966</v>
      </c>
      <c r="U976" s="21" t="s">
        <v>7882</v>
      </c>
    </row>
    <row r="977" spans="1:21" ht="196">
      <c r="A977" s="21" t="s">
        <v>925</v>
      </c>
      <c r="B977" s="21" t="s">
        <v>304</v>
      </c>
      <c r="C977" s="21" t="s">
        <v>298</v>
      </c>
      <c r="D977" s="21" t="s">
        <v>180</v>
      </c>
      <c r="E977" s="21" t="s">
        <v>305</v>
      </c>
      <c r="F977" s="21" t="s">
        <v>3989</v>
      </c>
      <c r="G977" s="21" t="s">
        <v>7883</v>
      </c>
      <c r="H977" s="28">
        <v>40592</v>
      </c>
      <c r="I977" s="22">
        <v>2011</v>
      </c>
      <c r="J977" s="21" t="s">
        <v>958</v>
      </c>
      <c r="K977" s="21" t="s">
        <v>959</v>
      </c>
      <c r="L977" s="21" t="s">
        <v>7884</v>
      </c>
      <c r="M977" s="21" t="s">
        <v>5486</v>
      </c>
      <c r="N977" s="21" t="s">
        <v>7158</v>
      </c>
      <c r="O977" s="21" t="s">
        <v>5654</v>
      </c>
      <c r="P977" s="27">
        <v>0</v>
      </c>
      <c r="Q977" s="27">
        <v>30</v>
      </c>
      <c r="R977" s="21" t="s">
        <v>7885</v>
      </c>
      <c r="S977" s="21" t="s">
        <v>6219</v>
      </c>
      <c r="T977" s="21" t="s">
        <v>966</v>
      </c>
      <c r="U977" s="21" t="s">
        <v>7886</v>
      </c>
    </row>
    <row r="978" spans="1:21" ht="84">
      <c r="A978" s="21" t="s">
        <v>925</v>
      </c>
      <c r="B978" s="21" t="s">
        <v>304</v>
      </c>
      <c r="C978" s="21" t="s">
        <v>298</v>
      </c>
      <c r="D978" s="21" t="s">
        <v>180</v>
      </c>
      <c r="E978" s="21" t="s">
        <v>305</v>
      </c>
      <c r="F978" s="21" t="s">
        <v>3998</v>
      </c>
      <c r="G978" s="21" t="s">
        <v>7887</v>
      </c>
      <c r="H978" s="28">
        <v>39945</v>
      </c>
      <c r="I978" s="22">
        <v>2009</v>
      </c>
      <c r="J978" s="21" t="s">
        <v>958</v>
      </c>
      <c r="K978" s="21" t="s">
        <v>959</v>
      </c>
      <c r="L978" s="21" t="s">
        <v>7888</v>
      </c>
      <c r="M978" s="21" t="s">
        <v>5486</v>
      </c>
      <c r="N978" s="21" t="s">
        <v>6820</v>
      </c>
      <c r="O978" s="21" t="s">
        <v>7889</v>
      </c>
      <c r="P978" s="27">
        <v>0</v>
      </c>
      <c r="Q978" s="27">
        <v>74</v>
      </c>
      <c r="R978" s="21" t="s">
        <v>7890</v>
      </c>
      <c r="S978" s="21" t="s">
        <v>7891</v>
      </c>
      <c r="T978" s="21" t="s">
        <v>966</v>
      </c>
      <c r="U978" s="21" t="s">
        <v>7892</v>
      </c>
    </row>
    <row r="979" spans="1:21" ht="196">
      <c r="A979" s="21" t="s">
        <v>925</v>
      </c>
      <c r="B979" s="21" t="s">
        <v>304</v>
      </c>
      <c r="C979" s="21" t="s">
        <v>298</v>
      </c>
      <c r="D979" s="21" t="s">
        <v>180</v>
      </c>
      <c r="E979" s="21" t="s">
        <v>305</v>
      </c>
      <c r="F979" s="21" t="s">
        <v>4006</v>
      </c>
      <c r="G979" s="21" t="s">
        <v>7893</v>
      </c>
      <c r="H979" s="28">
        <v>40592</v>
      </c>
      <c r="I979" s="22">
        <v>2011</v>
      </c>
      <c r="J979" s="21" t="s">
        <v>958</v>
      </c>
      <c r="K979" s="21" t="s">
        <v>959</v>
      </c>
      <c r="L979" s="21" t="s">
        <v>7894</v>
      </c>
      <c r="M979" s="21" t="s">
        <v>5486</v>
      </c>
      <c r="N979" s="21" t="s">
        <v>7158</v>
      </c>
      <c r="O979" s="21" t="s">
        <v>5654</v>
      </c>
      <c r="P979" s="27">
        <v>11</v>
      </c>
      <c r="Q979" s="27">
        <v>32</v>
      </c>
      <c r="R979" s="21" t="s">
        <v>7895</v>
      </c>
      <c r="S979" s="21" t="s">
        <v>6219</v>
      </c>
      <c r="T979" s="21" t="s">
        <v>966</v>
      </c>
      <c r="U979" s="21" t="s">
        <v>7896</v>
      </c>
    </row>
    <row r="980" spans="1:21" ht="56">
      <c r="A980" s="21" t="s">
        <v>925</v>
      </c>
      <c r="B980" s="21" t="s">
        <v>304</v>
      </c>
      <c r="C980" s="21" t="s">
        <v>298</v>
      </c>
      <c r="D980" s="21" t="s">
        <v>180</v>
      </c>
      <c r="E980" s="21" t="s">
        <v>305</v>
      </c>
      <c r="F980" s="21" t="s">
        <v>4015</v>
      </c>
      <c r="G980" s="21" t="s">
        <v>7897</v>
      </c>
      <c r="H980" s="28">
        <v>40592</v>
      </c>
      <c r="I980" s="22">
        <v>2011</v>
      </c>
      <c r="J980" s="21" t="s">
        <v>958</v>
      </c>
      <c r="K980" s="21" t="s">
        <v>959</v>
      </c>
      <c r="L980" s="21" t="s">
        <v>7898</v>
      </c>
      <c r="M980" s="21" t="s">
        <v>5486</v>
      </c>
      <c r="N980" s="21" t="s">
        <v>7158</v>
      </c>
      <c r="O980" s="21" t="s">
        <v>5654</v>
      </c>
      <c r="P980" s="27">
        <v>0</v>
      </c>
      <c r="Q980" s="27">
        <v>28</v>
      </c>
      <c r="R980" s="21" t="s">
        <v>7899</v>
      </c>
      <c r="S980" s="21" t="s">
        <v>6219</v>
      </c>
      <c r="T980" s="21" t="s">
        <v>966</v>
      </c>
      <c r="U980" s="21" t="s">
        <v>7900</v>
      </c>
    </row>
    <row r="981" spans="1:21" ht="168">
      <c r="A981" s="21" t="s">
        <v>925</v>
      </c>
      <c r="B981" s="21" t="s">
        <v>304</v>
      </c>
      <c r="C981" s="21" t="s">
        <v>298</v>
      </c>
      <c r="D981" s="21" t="s">
        <v>180</v>
      </c>
      <c r="E981" s="21" t="s">
        <v>305</v>
      </c>
      <c r="F981" s="21" t="s">
        <v>4024</v>
      </c>
      <c r="G981" s="21" t="s">
        <v>7901</v>
      </c>
      <c r="H981" s="28">
        <v>40592</v>
      </c>
      <c r="I981" s="22">
        <v>2011</v>
      </c>
      <c r="J981" s="21" t="s">
        <v>958</v>
      </c>
      <c r="K981" s="21" t="s">
        <v>959</v>
      </c>
      <c r="L981" s="21" t="s">
        <v>7902</v>
      </c>
      <c r="M981" s="21" t="s">
        <v>5486</v>
      </c>
      <c r="N981" s="21" t="s">
        <v>7158</v>
      </c>
      <c r="O981" s="21" t="s">
        <v>5534</v>
      </c>
      <c r="P981" s="27">
        <v>13</v>
      </c>
      <c r="Q981" s="27">
        <v>23</v>
      </c>
      <c r="R981" s="21" t="s">
        <v>7903</v>
      </c>
      <c r="S981" s="21" t="s">
        <v>6219</v>
      </c>
      <c r="T981" s="21" t="s">
        <v>966</v>
      </c>
      <c r="U981" s="21" t="s">
        <v>7904</v>
      </c>
    </row>
    <row r="982" spans="1:21" ht="140">
      <c r="A982" s="21" t="s">
        <v>925</v>
      </c>
      <c r="B982" s="21" t="s">
        <v>304</v>
      </c>
      <c r="C982" s="21" t="s">
        <v>298</v>
      </c>
      <c r="D982" s="21" t="s">
        <v>180</v>
      </c>
      <c r="E982" s="21" t="s">
        <v>305</v>
      </c>
      <c r="F982" s="21" t="s">
        <v>4032</v>
      </c>
      <c r="G982" s="21" t="s">
        <v>7905</v>
      </c>
      <c r="H982" s="28">
        <v>39078</v>
      </c>
      <c r="I982" s="22">
        <v>2006</v>
      </c>
      <c r="J982" s="21" t="s">
        <v>958</v>
      </c>
      <c r="K982" s="21" t="s">
        <v>959</v>
      </c>
      <c r="L982" s="21" t="s">
        <v>7906</v>
      </c>
      <c r="M982" s="21" t="s">
        <v>5486</v>
      </c>
      <c r="N982" s="21" t="s">
        <v>6820</v>
      </c>
      <c r="O982" s="21" t="s">
        <v>7907</v>
      </c>
      <c r="P982" s="27">
        <v>0</v>
      </c>
      <c r="Q982" s="27">
        <v>39</v>
      </c>
      <c r="R982" s="21" t="s">
        <v>7908</v>
      </c>
      <c r="S982" s="21" t="s">
        <v>7909</v>
      </c>
      <c r="T982" s="21" t="s">
        <v>966</v>
      </c>
      <c r="U982" s="21" t="s">
        <v>7910</v>
      </c>
    </row>
    <row r="983" spans="1:21" ht="168">
      <c r="A983" s="21" t="s">
        <v>925</v>
      </c>
      <c r="B983" s="21" t="s">
        <v>304</v>
      </c>
      <c r="C983" s="21" t="s">
        <v>298</v>
      </c>
      <c r="D983" s="21" t="s">
        <v>180</v>
      </c>
      <c r="E983" s="21" t="s">
        <v>305</v>
      </c>
      <c r="F983" s="21" t="s">
        <v>4040</v>
      </c>
      <c r="G983" s="21" t="s">
        <v>7911</v>
      </c>
      <c r="H983" s="28">
        <v>40592</v>
      </c>
      <c r="I983" s="22">
        <v>2011</v>
      </c>
      <c r="J983" s="21" t="s">
        <v>958</v>
      </c>
      <c r="K983" s="21" t="s">
        <v>959</v>
      </c>
      <c r="L983" s="21" t="s">
        <v>7912</v>
      </c>
      <c r="M983" s="21" t="s">
        <v>5486</v>
      </c>
      <c r="N983" s="21" t="s">
        <v>7913</v>
      </c>
      <c r="O983" s="21" t="s">
        <v>5654</v>
      </c>
      <c r="P983" s="27">
        <v>2</v>
      </c>
      <c r="Q983" s="27">
        <v>18</v>
      </c>
      <c r="R983" s="21" t="s">
        <v>7914</v>
      </c>
      <c r="S983" s="21" t="s">
        <v>6219</v>
      </c>
      <c r="T983" s="21" t="s">
        <v>966</v>
      </c>
      <c r="U983" s="21" t="s">
        <v>7915</v>
      </c>
    </row>
    <row r="984" spans="1:21" ht="98">
      <c r="A984" s="21" t="s">
        <v>925</v>
      </c>
      <c r="B984" s="21" t="s">
        <v>304</v>
      </c>
      <c r="C984" s="21" t="s">
        <v>298</v>
      </c>
      <c r="D984" s="21" t="s">
        <v>180</v>
      </c>
      <c r="E984" s="21" t="s">
        <v>305</v>
      </c>
      <c r="F984" s="21" t="s">
        <v>4046</v>
      </c>
      <c r="G984" s="21" t="s">
        <v>7916</v>
      </c>
      <c r="H984" s="28">
        <v>40592</v>
      </c>
      <c r="I984" s="22">
        <v>2011</v>
      </c>
      <c r="J984" s="21" t="s">
        <v>958</v>
      </c>
      <c r="K984" s="21" t="s">
        <v>959</v>
      </c>
      <c r="L984" s="21" t="s">
        <v>7917</v>
      </c>
      <c r="M984" s="21" t="s">
        <v>5486</v>
      </c>
      <c r="N984" s="21" t="s">
        <v>7158</v>
      </c>
      <c r="O984" s="21" t="s">
        <v>5654</v>
      </c>
      <c r="P984" s="27">
        <v>0</v>
      </c>
      <c r="Q984" s="27">
        <v>73</v>
      </c>
      <c r="R984" s="21" t="s">
        <v>7918</v>
      </c>
      <c r="S984" s="21" t="s">
        <v>6219</v>
      </c>
      <c r="T984" s="21" t="s">
        <v>966</v>
      </c>
      <c r="U984" s="21" t="s">
        <v>7919</v>
      </c>
    </row>
    <row r="985" spans="1:21" ht="70">
      <c r="A985" s="21" t="s">
        <v>925</v>
      </c>
      <c r="B985" s="21" t="s">
        <v>304</v>
      </c>
      <c r="C985" s="21" t="s">
        <v>298</v>
      </c>
      <c r="D985" s="21" t="s">
        <v>180</v>
      </c>
      <c r="E985" s="21" t="s">
        <v>305</v>
      </c>
      <c r="F985" s="21" t="s">
        <v>4055</v>
      </c>
      <c r="G985" s="21" t="s">
        <v>7920</v>
      </c>
      <c r="H985" s="28">
        <v>38141</v>
      </c>
      <c r="I985" s="22">
        <v>2004</v>
      </c>
      <c r="J985" s="21" t="s">
        <v>958</v>
      </c>
      <c r="K985" s="21" t="s">
        <v>959</v>
      </c>
      <c r="L985" s="21" t="s">
        <v>7921</v>
      </c>
      <c r="M985" s="21" t="s">
        <v>6096</v>
      </c>
      <c r="N985" s="21" t="s">
        <v>7233</v>
      </c>
      <c r="O985" s="21" t="s">
        <v>7922</v>
      </c>
      <c r="P985" s="27">
        <v>0</v>
      </c>
      <c r="Q985" s="27">
        <v>10</v>
      </c>
      <c r="R985" s="21" t="s">
        <v>7923</v>
      </c>
      <c r="S985" s="21" t="s">
        <v>7924</v>
      </c>
      <c r="T985" s="21" t="s">
        <v>4159</v>
      </c>
      <c r="U985" s="21" t="s">
        <v>7925</v>
      </c>
    </row>
    <row r="986" spans="1:21" ht="112">
      <c r="A986" s="21" t="s">
        <v>925</v>
      </c>
      <c r="B986" s="21" t="s">
        <v>304</v>
      </c>
      <c r="C986" s="21" t="s">
        <v>298</v>
      </c>
      <c r="D986" s="21" t="s">
        <v>180</v>
      </c>
      <c r="E986" s="21" t="s">
        <v>305</v>
      </c>
      <c r="F986" s="21" t="s">
        <v>4059</v>
      </c>
      <c r="G986" s="21" t="s">
        <v>7926</v>
      </c>
      <c r="H986" s="28">
        <v>39014</v>
      </c>
      <c r="I986" s="22">
        <v>2006</v>
      </c>
      <c r="J986" s="21" t="s">
        <v>958</v>
      </c>
      <c r="K986" s="21" t="s">
        <v>959</v>
      </c>
      <c r="L986" s="21" t="s">
        <v>7927</v>
      </c>
      <c r="M986" s="21" t="s">
        <v>5486</v>
      </c>
      <c r="N986" s="21" t="s">
        <v>6820</v>
      </c>
      <c r="O986" s="21" t="s">
        <v>7928</v>
      </c>
      <c r="P986" s="27">
        <v>0</v>
      </c>
      <c r="Q986" s="27">
        <v>27</v>
      </c>
      <c r="R986" s="21" t="s">
        <v>7929</v>
      </c>
      <c r="S986" s="21" t="s">
        <v>7930</v>
      </c>
      <c r="T986" s="21" t="s">
        <v>966</v>
      </c>
      <c r="U986" s="21" t="s">
        <v>7931</v>
      </c>
    </row>
    <row r="987" spans="1:21" ht="56">
      <c r="A987" s="21" t="s">
        <v>925</v>
      </c>
      <c r="B987" s="21" t="s">
        <v>304</v>
      </c>
      <c r="C987" s="21" t="s">
        <v>298</v>
      </c>
      <c r="D987" s="21" t="s">
        <v>180</v>
      </c>
      <c r="E987" s="21" t="s">
        <v>305</v>
      </c>
      <c r="F987" s="21" t="s">
        <v>4066</v>
      </c>
      <c r="G987" s="21" t="s">
        <v>7932</v>
      </c>
      <c r="H987" s="28">
        <v>39763</v>
      </c>
      <c r="I987" s="22">
        <v>2008</v>
      </c>
      <c r="J987" s="21" t="s">
        <v>958</v>
      </c>
      <c r="K987" s="21" t="s">
        <v>959</v>
      </c>
      <c r="L987" s="21" t="s">
        <v>7933</v>
      </c>
      <c r="M987" s="21" t="s">
        <v>7415</v>
      </c>
      <c r="N987" s="21" t="s">
        <v>7416</v>
      </c>
      <c r="O987" s="21" t="s">
        <v>7934</v>
      </c>
      <c r="P987" s="27">
        <v>1</v>
      </c>
      <c r="Q987" s="27">
        <v>11</v>
      </c>
      <c r="R987" s="21" t="s">
        <v>7935</v>
      </c>
      <c r="S987" s="21" t="s">
        <v>7936</v>
      </c>
      <c r="T987" s="21" t="s">
        <v>966</v>
      </c>
      <c r="U987" s="21" t="s">
        <v>7937</v>
      </c>
    </row>
    <row r="988" spans="1:21" ht="280">
      <c r="A988" s="21" t="s">
        <v>925</v>
      </c>
      <c r="B988" s="21" t="s">
        <v>304</v>
      </c>
      <c r="C988" s="21" t="s">
        <v>298</v>
      </c>
      <c r="D988" s="21" t="s">
        <v>180</v>
      </c>
      <c r="E988" s="21" t="s">
        <v>305</v>
      </c>
      <c r="F988" s="21" t="s">
        <v>4075</v>
      </c>
      <c r="G988" s="21" t="s">
        <v>7938</v>
      </c>
      <c r="H988" s="28">
        <v>39057</v>
      </c>
      <c r="I988" s="22">
        <v>2006</v>
      </c>
      <c r="J988" s="21" t="s">
        <v>958</v>
      </c>
      <c r="K988" s="21" t="s">
        <v>959</v>
      </c>
      <c r="L988" s="21" t="s">
        <v>7939</v>
      </c>
      <c r="M988" s="21" t="s">
        <v>5486</v>
      </c>
      <c r="N988" s="21" t="s">
        <v>6820</v>
      </c>
      <c r="O988" s="21" t="s">
        <v>7940</v>
      </c>
      <c r="P988" s="27">
        <v>0</v>
      </c>
      <c r="Q988" s="27">
        <v>37</v>
      </c>
      <c r="R988" s="21" t="s">
        <v>7941</v>
      </c>
      <c r="S988" s="21" t="s">
        <v>7942</v>
      </c>
      <c r="T988" s="21" t="s">
        <v>966</v>
      </c>
      <c r="U988" s="21" t="s">
        <v>7943</v>
      </c>
    </row>
    <row r="989" spans="1:21" ht="140">
      <c r="A989" s="21" t="s">
        <v>925</v>
      </c>
      <c r="B989" s="21" t="s">
        <v>304</v>
      </c>
      <c r="C989" s="21" t="s">
        <v>298</v>
      </c>
      <c r="D989" s="21" t="s">
        <v>180</v>
      </c>
      <c r="E989" s="21" t="s">
        <v>305</v>
      </c>
      <c r="F989" s="21" t="s">
        <v>4086</v>
      </c>
      <c r="G989" s="21" t="s">
        <v>7944</v>
      </c>
      <c r="H989" s="28">
        <v>39065</v>
      </c>
      <c r="I989" s="22">
        <v>2006</v>
      </c>
      <c r="J989" s="21" t="s">
        <v>958</v>
      </c>
      <c r="K989" s="21" t="s">
        <v>959</v>
      </c>
      <c r="L989" s="21" t="s">
        <v>7945</v>
      </c>
      <c r="M989" s="21" t="s">
        <v>5486</v>
      </c>
      <c r="N989" s="21" t="s">
        <v>6820</v>
      </c>
      <c r="O989" s="21" t="s">
        <v>7946</v>
      </c>
      <c r="P989" s="27">
        <v>0</v>
      </c>
      <c r="Q989" s="27">
        <v>27</v>
      </c>
      <c r="R989" s="21" t="s">
        <v>7947</v>
      </c>
      <c r="S989" s="21" t="s">
        <v>7948</v>
      </c>
      <c r="T989" s="21" t="s">
        <v>966</v>
      </c>
      <c r="U989" s="21" t="s">
        <v>7949</v>
      </c>
    </row>
    <row r="990" spans="1:21" ht="70">
      <c r="A990" s="21" t="s">
        <v>925</v>
      </c>
      <c r="B990" s="21" t="s">
        <v>304</v>
      </c>
      <c r="C990" s="21" t="s">
        <v>298</v>
      </c>
      <c r="D990" s="21" t="s">
        <v>180</v>
      </c>
      <c r="E990" s="21" t="s">
        <v>305</v>
      </c>
      <c r="F990" s="21" t="s">
        <v>4095</v>
      </c>
      <c r="G990" s="21" t="s">
        <v>7950</v>
      </c>
      <c r="H990" s="28">
        <v>39251</v>
      </c>
      <c r="I990" s="22">
        <v>2007</v>
      </c>
      <c r="J990" s="21" t="s">
        <v>958</v>
      </c>
      <c r="K990" s="21" t="s">
        <v>959</v>
      </c>
      <c r="L990" s="21" t="s">
        <v>7951</v>
      </c>
      <c r="M990" s="21" t="s">
        <v>5486</v>
      </c>
      <c r="N990" s="21" t="s">
        <v>6820</v>
      </c>
      <c r="O990" s="21" t="s">
        <v>7952</v>
      </c>
      <c r="P990" s="27">
        <v>0</v>
      </c>
      <c r="Q990" s="27">
        <v>19</v>
      </c>
      <c r="R990" s="21" t="s">
        <v>7953</v>
      </c>
      <c r="S990" s="21" t="s">
        <v>7954</v>
      </c>
      <c r="T990" s="21" t="s">
        <v>966</v>
      </c>
      <c r="U990" s="21" t="s">
        <v>7955</v>
      </c>
    </row>
    <row r="991" spans="1:21" ht="42">
      <c r="A991" s="21" t="s">
        <v>925</v>
      </c>
      <c r="B991" s="21" t="s">
        <v>304</v>
      </c>
      <c r="C991" s="21" t="s">
        <v>298</v>
      </c>
      <c r="D991" s="21" t="s">
        <v>180</v>
      </c>
      <c r="E991" s="21" t="s">
        <v>305</v>
      </c>
      <c r="F991" s="21" t="s">
        <v>4104</v>
      </c>
      <c r="G991" s="21" t="s">
        <v>7956</v>
      </c>
      <c r="H991" s="28">
        <v>40996</v>
      </c>
      <c r="I991" s="22">
        <v>2012</v>
      </c>
      <c r="J991" s="21" t="s">
        <v>958</v>
      </c>
      <c r="K991" s="21" t="s">
        <v>998</v>
      </c>
      <c r="L991" s="21" t="s">
        <v>7957</v>
      </c>
      <c r="M991" s="21" t="s">
        <v>5486</v>
      </c>
      <c r="N991" s="21" t="s">
        <v>7958</v>
      </c>
      <c r="O991" s="21" t="s">
        <v>7959</v>
      </c>
      <c r="P991" s="27">
        <v>0</v>
      </c>
      <c r="Q991" s="27">
        <v>14</v>
      </c>
      <c r="R991" s="21" t="s">
        <v>7960</v>
      </c>
      <c r="S991" s="21" t="s">
        <v>7961</v>
      </c>
      <c r="T991" s="21" t="s">
        <v>1148</v>
      </c>
      <c r="U991" s="21" t="s">
        <v>7962</v>
      </c>
    </row>
    <row r="992" spans="1:21" ht="182">
      <c r="A992" s="21" t="s">
        <v>925</v>
      </c>
      <c r="B992" s="21" t="s">
        <v>304</v>
      </c>
      <c r="C992" s="21" t="s">
        <v>298</v>
      </c>
      <c r="D992" s="21" t="s">
        <v>180</v>
      </c>
      <c r="E992" s="21" t="s">
        <v>305</v>
      </c>
      <c r="F992" s="21" t="s">
        <v>4113</v>
      </c>
      <c r="G992" s="21" t="s">
        <v>7963</v>
      </c>
      <c r="H992" s="28">
        <v>39549</v>
      </c>
      <c r="I992" s="22">
        <v>2008</v>
      </c>
      <c r="J992" s="21" t="s">
        <v>958</v>
      </c>
      <c r="K992" s="21" t="s">
        <v>959</v>
      </c>
      <c r="L992" s="21" t="s">
        <v>7964</v>
      </c>
      <c r="M992" s="21" t="s">
        <v>6096</v>
      </c>
      <c r="N992" s="21" t="s">
        <v>7233</v>
      </c>
      <c r="O992" s="21" t="s">
        <v>7965</v>
      </c>
      <c r="P992" s="27">
        <v>0</v>
      </c>
      <c r="Q992" s="27">
        <v>6</v>
      </c>
      <c r="R992" s="21" t="s">
        <v>7966</v>
      </c>
      <c r="S992" s="21" t="s">
        <v>7967</v>
      </c>
      <c r="T992" s="21" t="s">
        <v>966</v>
      </c>
      <c r="U992" s="21" t="s">
        <v>7968</v>
      </c>
    </row>
    <row r="993" spans="1:21" ht="56">
      <c r="A993" s="21" t="s">
        <v>925</v>
      </c>
      <c r="B993" s="21" t="s">
        <v>304</v>
      </c>
      <c r="C993" s="21" t="s">
        <v>298</v>
      </c>
      <c r="D993" s="21" t="s">
        <v>180</v>
      </c>
      <c r="E993" s="21" t="s">
        <v>305</v>
      </c>
      <c r="F993" s="21" t="s">
        <v>4121</v>
      </c>
      <c r="G993" s="21" t="s">
        <v>7969</v>
      </c>
      <c r="H993" s="28">
        <v>38763</v>
      </c>
      <c r="I993" s="22">
        <v>2006</v>
      </c>
      <c r="J993" s="21" t="s">
        <v>958</v>
      </c>
      <c r="K993" s="21" t="s">
        <v>959</v>
      </c>
      <c r="L993" s="21" t="s">
        <v>7970</v>
      </c>
      <c r="M993" s="21" t="s">
        <v>5486</v>
      </c>
      <c r="N993" s="21" t="s">
        <v>6820</v>
      </c>
      <c r="O993" s="21" t="s">
        <v>7971</v>
      </c>
      <c r="P993" s="27">
        <v>0</v>
      </c>
      <c r="Q993" s="27">
        <v>16</v>
      </c>
      <c r="R993" s="21" t="s">
        <v>7972</v>
      </c>
      <c r="S993" s="21" t="s">
        <v>1866</v>
      </c>
      <c r="T993" s="21" t="s">
        <v>966</v>
      </c>
      <c r="U993" s="21" t="s">
        <v>7973</v>
      </c>
    </row>
    <row r="994" spans="1:21" ht="56">
      <c r="A994" s="21" t="s">
        <v>925</v>
      </c>
      <c r="B994" s="21" t="s">
        <v>304</v>
      </c>
      <c r="C994" s="21" t="s">
        <v>298</v>
      </c>
      <c r="D994" s="21" t="s">
        <v>180</v>
      </c>
      <c r="E994" s="21" t="s">
        <v>305</v>
      </c>
      <c r="F994" s="21" t="s">
        <v>4130</v>
      </c>
      <c r="G994" s="21" t="s">
        <v>7974</v>
      </c>
      <c r="H994" s="28">
        <v>39533</v>
      </c>
      <c r="I994" s="22">
        <v>2008</v>
      </c>
      <c r="J994" s="21" t="s">
        <v>958</v>
      </c>
      <c r="K994" s="21" t="s">
        <v>3815</v>
      </c>
      <c r="L994" s="21" t="s">
        <v>7975</v>
      </c>
      <c r="M994" s="21" t="s">
        <v>6096</v>
      </c>
      <c r="N994" s="21" t="s">
        <v>7233</v>
      </c>
      <c r="O994" s="21" t="s">
        <v>7976</v>
      </c>
      <c r="P994" s="27">
        <v>0</v>
      </c>
      <c r="Q994" s="27">
        <v>6</v>
      </c>
      <c r="R994" s="21" t="s">
        <v>7977</v>
      </c>
      <c r="S994" s="21" t="s">
        <v>7978</v>
      </c>
      <c r="T994" s="21" t="s">
        <v>1148</v>
      </c>
      <c r="U994" s="21" t="s">
        <v>7979</v>
      </c>
    </row>
    <row r="995" spans="1:21" ht="140">
      <c r="A995" s="21" t="s">
        <v>925</v>
      </c>
      <c r="B995" s="21" t="s">
        <v>304</v>
      </c>
      <c r="C995" s="21" t="s">
        <v>298</v>
      </c>
      <c r="D995" s="21" t="s">
        <v>180</v>
      </c>
      <c r="E995" s="21" t="s">
        <v>305</v>
      </c>
      <c r="F995" s="21" t="s">
        <v>4138</v>
      </c>
      <c r="G995" s="21" t="s">
        <v>7980</v>
      </c>
      <c r="H995" s="28">
        <v>36287</v>
      </c>
      <c r="I995" s="22">
        <v>1999</v>
      </c>
      <c r="J995" s="21" t="s">
        <v>958</v>
      </c>
      <c r="K995" s="21" t="s">
        <v>959</v>
      </c>
      <c r="L995" s="21" t="s">
        <v>7981</v>
      </c>
      <c r="M995" s="21" t="s">
        <v>6096</v>
      </c>
      <c r="N995" s="21" t="s">
        <v>7982</v>
      </c>
      <c r="O995" s="21" t="s">
        <v>7983</v>
      </c>
      <c r="P995" s="27">
        <v>0</v>
      </c>
      <c r="Q995" s="27">
        <v>57</v>
      </c>
      <c r="R995" s="21" t="s">
        <v>7984</v>
      </c>
      <c r="S995" s="21" t="s">
        <v>7985</v>
      </c>
      <c r="T995" s="21" t="s">
        <v>4159</v>
      </c>
      <c r="U995" s="21" t="s">
        <v>7986</v>
      </c>
    </row>
    <row r="996" spans="1:21" ht="98">
      <c r="A996" s="21" t="s">
        <v>925</v>
      </c>
      <c r="B996" s="21" t="s">
        <v>304</v>
      </c>
      <c r="C996" s="21" t="s">
        <v>298</v>
      </c>
      <c r="D996" s="21" t="s">
        <v>180</v>
      </c>
      <c r="E996" s="21" t="s">
        <v>305</v>
      </c>
      <c r="F996" s="21" t="s">
        <v>4147</v>
      </c>
      <c r="G996" s="21" t="s">
        <v>7987</v>
      </c>
      <c r="H996" s="28">
        <v>39476</v>
      </c>
      <c r="I996" s="22">
        <v>2008</v>
      </c>
      <c r="J996" s="21" t="s">
        <v>958</v>
      </c>
      <c r="K996" s="21" t="s">
        <v>959</v>
      </c>
      <c r="L996" s="21" t="s">
        <v>7988</v>
      </c>
      <c r="M996" s="21" t="s">
        <v>7989</v>
      </c>
      <c r="N996" s="21" t="s">
        <v>7990</v>
      </c>
      <c r="O996" s="21" t="s">
        <v>7991</v>
      </c>
      <c r="P996" s="27">
        <v>0</v>
      </c>
      <c r="Q996" s="27">
        <v>20</v>
      </c>
      <c r="R996" s="21" t="s">
        <v>7992</v>
      </c>
      <c r="S996" s="21" t="s">
        <v>7993</v>
      </c>
      <c r="T996" s="21" t="s">
        <v>966</v>
      </c>
      <c r="U996" s="21" t="s">
        <v>7994</v>
      </c>
    </row>
    <row r="997" spans="1:21" ht="84">
      <c r="A997" s="21" t="s">
        <v>925</v>
      </c>
      <c r="B997" s="21" t="s">
        <v>304</v>
      </c>
      <c r="C997" s="21" t="s">
        <v>298</v>
      </c>
      <c r="D997" s="21" t="s">
        <v>180</v>
      </c>
      <c r="E997" s="21" t="s">
        <v>305</v>
      </c>
      <c r="F997" s="21" t="s">
        <v>4156</v>
      </c>
      <c r="G997" s="21" t="s">
        <v>7995</v>
      </c>
      <c r="H997" s="28">
        <v>39700</v>
      </c>
      <c r="I997" s="22">
        <v>2008</v>
      </c>
      <c r="J997" s="21" t="s">
        <v>958</v>
      </c>
      <c r="K997" s="21" t="s">
        <v>959</v>
      </c>
      <c r="L997" s="21" t="s">
        <v>7996</v>
      </c>
      <c r="M997" s="21" t="s">
        <v>5486</v>
      </c>
      <c r="N997" s="21" t="s">
        <v>6820</v>
      </c>
      <c r="O997" s="21" t="s">
        <v>7997</v>
      </c>
      <c r="P997" s="27">
        <v>0</v>
      </c>
      <c r="Q997" s="27">
        <v>9</v>
      </c>
      <c r="R997" s="21" t="s">
        <v>7998</v>
      </c>
      <c r="S997" s="21" t="s">
        <v>7999</v>
      </c>
      <c r="T997" s="21" t="s">
        <v>966</v>
      </c>
      <c r="U997" s="21" t="s">
        <v>8000</v>
      </c>
    </row>
    <row r="998" spans="1:21" ht="210">
      <c r="A998" s="21" t="s">
        <v>925</v>
      </c>
      <c r="B998" s="21" t="s">
        <v>304</v>
      </c>
      <c r="C998" s="21" t="s">
        <v>298</v>
      </c>
      <c r="D998" s="21" t="s">
        <v>180</v>
      </c>
      <c r="E998" s="21" t="s">
        <v>305</v>
      </c>
      <c r="F998" s="21" t="s">
        <v>4161</v>
      </c>
      <c r="G998" s="21" t="s">
        <v>8001</v>
      </c>
      <c r="H998" s="28">
        <v>39640</v>
      </c>
      <c r="I998" s="22">
        <v>2008</v>
      </c>
      <c r="J998" s="21" t="s">
        <v>958</v>
      </c>
      <c r="K998" s="21" t="s">
        <v>959</v>
      </c>
      <c r="L998" s="21" t="s">
        <v>8002</v>
      </c>
      <c r="M998" s="21" t="s">
        <v>5486</v>
      </c>
      <c r="N998" s="21" t="s">
        <v>6820</v>
      </c>
      <c r="O998" s="21" t="s">
        <v>8003</v>
      </c>
      <c r="P998" s="27">
        <v>0</v>
      </c>
      <c r="Q998" s="27">
        <v>26</v>
      </c>
      <c r="R998" s="21" t="s">
        <v>8004</v>
      </c>
      <c r="S998" s="21" t="s">
        <v>8005</v>
      </c>
      <c r="T998" s="21" t="s">
        <v>966</v>
      </c>
      <c r="U998" s="21" t="s">
        <v>8006</v>
      </c>
    </row>
    <row r="999" spans="1:21" ht="56">
      <c r="A999" s="21" t="s">
        <v>925</v>
      </c>
      <c r="B999" s="21" t="s">
        <v>304</v>
      </c>
      <c r="C999" s="21" t="s">
        <v>298</v>
      </c>
      <c r="D999" s="21" t="s">
        <v>180</v>
      </c>
      <c r="E999" s="21" t="s">
        <v>305</v>
      </c>
      <c r="F999" s="21" t="s">
        <v>4170</v>
      </c>
      <c r="G999" s="21" t="s">
        <v>8007</v>
      </c>
      <c r="H999" s="28">
        <v>38937</v>
      </c>
      <c r="I999" s="22">
        <v>2006</v>
      </c>
      <c r="J999" s="21" t="s">
        <v>958</v>
      </c>
      <c r="K999" s="21" t="s">
        <v>959</v>
      </c>
      <c r="L999" s="21" t="s">
        <v>8008</v>
      </c>
      <c r="M999" s="21" t="s">
        <v>5486</v>
      </c>
      <c r="N999" s="21" t="s">
        <v>6820</v>
      </c>
      <c r="O999" s="21" t="s">
        <v>8009</v>
      </c>
      <c r="P999" s="27">
        <v>0</v>
      </c>
      <c r="Q999" s="27">
        <v>22</v>
      </c>
      <c r="R999" s="21" t="s">
        <v>8010</v>
      </c>
      <c r="S999" s="21" t="s">
        <v>8011</v>
      </c>
      <c r="T999" s="21" t="s">
        <v>966</v>
      </c>
      <c r="U999" s="21" t="s">
        <v>8012</v>
      </c>
    </row>
    <row r="1000" spans="1:21" ht="70">
      <c r="A1000" s="21" t="s">
        <v>925</v>
      </c>
      <c r="B1000" s="21" t="s">
        <v>304</v>
      </c>
      <c r="C1000" s="21" t="s">
        <v>298</v>
      </c>
      <c r="D1000" s="21" t="s">
        <v>180</v>
      </c>
      <c r="E1000" s="21" t="s">
        <v>305</v>
      </c>
      <c r="F1000" s="21" t="s">
        <v>4179</v>
      </c>
      <c r="G1000" s="21" t="s">
        <v>8013</v>
      </c>
      <c r="H1000" s="28">
        <v>39528</v>
      </c>
      <c r="I1000" s="22">
        <v>2008</v>
      </c>
      <c r="J1000" s="21" t="s">
        <v>958</v>
      </c>
      <c r="K1000" s="21" t="s">
        <v>959</v>
      </c>
      <c r="L1000" s="21" t="s">
        <v>8014</v>
      </c>
      <c r="M1000" s="21" t="s">
        <v>5486</v>
      </c>
      <c r="N1000" s="21" t="s">
        <v>6820</v>
      </c>
      <c r="O1000" s="21" t="s">
        <v>8015</v>
      </c>
      <c r="P1000" s="27">
        <v>0</v>
      </c>
      <c r="Q1000" s="27">
        <v>35</v>
      </c>
      <c r="R1000" s="21" t="s">
        <v>8016</v>
      </c>
      <c r="S1000" s="21" t="s">
        <v>8017</v>
      </c>
      <c r="T1000" s="21" t="s">
        <v>966</v>
      </c>
      <c r="U1000" s="21" t="s">
        <v>8018</v>
      </c>
    </row>
    <row r="1001" spans="1:21" ht="154">
      <c r="A1001" s="21" t="s">
        <v>925</v>
      </c>
      <c r="B1001" s="21" t="s">
        <v>304</v>
      </c>
      <c r="C1001" s="21" t="s">
        <v>298</v>
      </c>
      <c r="D1001" s="21" t="s">
        <v>180</v>
      </c>
      <c r="E1001" s="21" t="s">
        <v>305</v>
      </c>
      <c r="F1001" s="21" t="s">
        <v>4187</v>
      </c>
      <c r="G1001" s="21" t="s">
        <v>8019</v>
      </c>
      <c r="H1001" s="28">
        <v>39945</v>
      </c>
      <c r="I1001" s="22">
        <v>2009</v>
      </c>
      <c r="J1001" s="21" t="s">
        <v>958</v>
      </c>
      <c r="K1001" s="21" t="s">
        <v>959</v>
      </c>
      <c r="L1001" s="21" t="s">
        <v>8020</v>
      </c>
      <c r="M1001" s="21" t="s">
        <v>5486</v>
      </c>
      <c r="N1001" s="21" t="s">
        <v>6820</v>
      </c>
      <c r="O1001" s="21" t="s">
        <v>8021</v>
      </c>
      <c r="P1001" s="27">
        <v>0</v>
      </c>
      <c r="Q1001" s="27">
        <v>27</v>
      </c>
      <c r="R1001" s="21" t="s">
        <v>8022</v>
      </c>
      <c r="S1001" s="21" t="s">
        <v>8023</v>
      </c>
      <c r="T1001" s="21" t="s">
        <v>966</v>
      </c>
      <c r="U1001" s="21" t="s">
        <v>8024</v>
      </c>
    </row>
    <row r="1002" spans="1:21" ht="140">
      <c r="A1002" s="21" t="s">
        <v>925</v>
      </c>
      <c r="B1002" s="21" t="s">
        <v>304</v>
      </c>
      <c r="C1002" s="21" t="s">
        <v>298</v>
      </c>
      <c r="D1002" s="21" t="s">
        <v>180</v>
      </c>
      <c r="E1002" s="21" t="s">
        <v>305</v>
      </c>
      <c r="F1002" s="21" t="s">
        <v>4196</v>
      </c>
      <c r="G1002" s="21" t="s">
        <v>8025</v>
      </c>
      <c r="H1002" s="28">
        <v>38637</v>
      </c>
      <c r="I1002" s="22">
        <v>2005</v>
      </c>
      <c r="J1002" s="21" t="s">
        <v>958</v>
      </c>
      <c r="K1002" s="21" t="s">
        <v>959</v>
      </c>
      <c r="L1002" s="21" t="s">
        <v>8026</v>
      </c>
      <c r="M1002" s="21" t="s">
        <v>5486</v>
      </c>
      <c r="N1002" s="21" t="s">
        <v>6820</v>
      </c>
      <c r="O1002" s="21" t="s">
        <v>8027</v>
      </c>
      <c r="P1002" s="27">
        <v>0</v>
      </c>
      <c r="Q1002" s="27">
        <v>22</v>
      </c>
      <c r="R1002" s="21" t="s">
        <v>8028</v>
      </c>
      <c r="S1002" s="21" t="s">
        <v>8029</v>
      </c>
      <c r="T1002" s="21" t="s">
        <v>966</v>
      </c>
      <c r="U1002" s="21" t="s">
        <v>8030</v>
      </c>
    </row>
    <row r="1003" spans="1:21" ht="70">
      <c r="A1003" s="21" t="s">
        <v>925</v>
      </c>
      <c r="B1003" s="21" t="s">
        <v>304</v>
      </c>
      <c r="C1003" s="21" t="s">
        <v>298</v>
      </c>
      <c r="D1003" s="21" t="s">
        <v>180</v>
      </c>
      <c r="E1003" s="21" t="s">
        <v>305</v>
      </c>
      <c r="F1003" s="21" t="s">
        <v>4204</v>
      </c>
      <c r="G1003" s="21" t="s">
        <v>8031</v>
      </c>
      <c r="H1003" s="28">
        <v>38247</v>
      </c>
      <c r="I1003" s="22">
        <v>2004</v>
      </c>
      <c r="J1003" s="21" t="s">
        <v>958</v>
      </c>
      <c r="K1003" s="21" t="s">
        <v>959</v>
      </c>
      <c r="L1003" s="21" t="s">
        <v>8032</v>
      </c>
      <c r="M1003" s="21" t="s">
        <v>5486</v>
      </c>
      <c r="N1003" s="21" t="s">
        <v>8033</v>
      </c>
      <c r="O1003" s="21" t="s">
        <v>8034</v>
      </c>
      <c r="P1003" s="27">
        <v>0</v>
      </c>
      <c r="Q1003" s="27">
        <v>29</v>
      </c>
      <c r="R1003" s="21" t="s">
        <v>8035</v>
      </c>
      <c r="S1003" s="21" t="s">
        <v>8036</v>
      </c>
      <c r="T1003" s="21" t="s">
        <v>4159</v>
      </c>
      <c r="U1003" s="21" t="s">
        <v>8037</v>
      </c>
    </row>
    <row r="1004" spans="1:21" ht="70">
      <c r="A1004" s="21" t="s">
        <v>925</v>
      </c>
      <c r="B1004" s="21" t="s">
        <v>304</v>
      </c>
      <c r="C1004" s="21" t="s">
        <v>298</v>
      </c>
      <c r="D1004" s="21" t="s">
        <v>180</v>
      </c>
      <c r="E1004" s="21" t="s">
        <v>305</v>
      </c>
      <c r="F1004" s="21" t="s">
        <v>4212</v>
      </c>
      <c r="G1004" s="21" t="s">
        <v>8038</v>
      </c>
      <c r="H1004" s="28">
        <v>39513</v>
      </c>
      <c r="I1004" s="22">
        <v>2008</v>
      </c>
      <c r="J1004" s="21" t="s">
        <v>958</v>
      </c>
      <c r="K1004" s="21" t="s">
        <v>959</v>
      </c>
      <c r="L1004" s="21" t="s">
        <v>8039</v>
      </c>
      <c r="M1004" s="21" t="s">
        <v>5486</v>
      </c>
      <c r="N1004" s="21" t="s">
        <v>6820</v>
      </c>
      <c r="O1004" s="21" t="s">
        <v>8040</v>
      </c>
      <c r="P1004" s="27">
        <v>0</v>
      </c>
      <c r="Q1004" s="27">
        <v>5</v>
      </c>
      <c r="R1004" s="21" t="s">
        <v>8041</v>
      </c>
      <c r="S1004" s="21" t="s">
        <v>8042</v>
      </c>
      <c r="T1004" s="21" t="s">
        <v>966</v>
      </c>
      <c r="U1004" s="21" t="s">
        <v>8043</v>
      </c>
    </row>
    <row r="1005" spans="1:21" ht="42">
      <c r="A1005" s="21" t="s">
        <v>925</v>
      </c>
      <c r="B1005" s="21" t="s">
        <v>304</v>
      </c>
      <c r="C1005" s="21" t="s">
        <v>298</v>
      </c>
      <c r="D1005" s="21" t="s">
        <v>180</v>
      </c>
      <c r="E1005" s="21" t="s">
        <v>305</v>
      </c>
      <c r="F1005" s="21" t="s">
        <v>4221</v>
      </c>
      <c r="G1005" s="21" t="s">
        <v>8044</v>
      </c>
      <c r="H1005" s="28">
        <v>39912</v>
      </c>
      <c r="I1005" s="22">
        <v>2009</v>
      </c>
      <c r="J1005" s="21" t="s">
        <v>958</v>
      </c>
      <c r="K1005" s="21" t="s">
        <v>959</v>
      </c>
      <c r="L1005" s="21" t="s">
        <v>8045</v>
      </c>
      <c r="M1005" s="21" t="s">
        <v>5486</v>
      </c>
      <c r="N1005" s="21" t="s">
        <v>6820</v>
      </c>
      <c r="O1005" s="21" t="s">
        <v>8046</v>
      </c>
      <c r="P1005" s="27">
        <v>0</v>
      </c>
      <c r="Q1005" s="27">
        <v>46</v>
      </c>
      <c r="R1005" s="21" t="s">
        <v>8047</v>
      </c>
      <c r="S1005" s="21" t="s">
        <v>8048</v>
      </c>
      <c r="T1005" s="21" t="s">
        <v>966</v>
      </c>
      <c r="U1005" s="21" t="s">
        <v>8049</v>
      </c>
    </row>
    <row r="1006" spans="1:21" ht="112">
      <c r="A1006" s="21" t="s">
        <v>925</v>
      </c>
      <c r="B1006" s="21" t="s">
        <v>304</v>
      </c>
      <c r="C1006" s="21" t="s">
        <v>298</v>
      </c>
      <c r="D1006" s="21" t="s">
        <v>180</v>
      </c>
      <c r="E1006" s="21" t="s">
        <v>305</v>
      </c>
      <c r="F1006" s="21" t="s">
        <v>4229</v>
      </c>
      <c r="G1006" s="21" t="s">
        <v>8050</v>
      </c>
      <c r="H1006" s="28">
        <v>39528</v>
      </c>
      <c r="I1006" s="22">
        <v>2008</v>
      </c>
      <c r="J1006" s="21" t="s">
        <v>958</v>
      </c>
      <c r="K1006" s="21" t="s">
        <v>959</v>
      </c>
      <c r="L1006" s="21" t="s">
        <v>8051</v>
      </c>
      <c r="M1006" s="21" t="s">
        <v>5486</v>
      </c>
      <c r="N1006" s="21" t="s">
        <v>6820</v>
      </c>
      <c r="O1006" s="21" t="s">
        <v>8052</v>
      </c>
      <c r="P1006" s="27">
        <v>0</v>
      </c>
      <c r="Q1006" s="27">
        <v>32</v>
      </c>
      <c r="R1006" s="21" t="s">
        <v>8053</v>
      </c>
      <c r="S1006" s="21" t="s">
        <v>8054</v>
      </c>
      <c r="T1006" s="21" t="s">
        <v>966</v>
      </c>
      <c r="U1006" s="21" t="s">
        <v>8055</v>
      </c>
    </row>
    <row r="1007" spans="1:21" ht="98">
      <c r="A1007" s="21" t="s">
        <v>925</v>
      </c>
      <c r="B1007" s="21" t="s">
        <v>304</v>
      </c>
      <c r="C1007" s="21" t="s">
        <v>298</v>
      </c>
      <c r="D1007" s="21" t="s">
        <v>180</v>
      </c>
      <c r="E1007" s="21" t="s">
        <v>305</v>
      </c>
      <c r="F1007" s="21" t="s">
        <v>4236</v>
      </c>
      <c r="G1007" s="21" t="s">
        <v>8056</v>
      </c>
      <c r="H1007" s="28">
        <v>39475</v>
      </c>
      <c r="I1007" s="22">
        <v>2008</v>
      </c>
      <c r="J1007" s="21" t="s">
        <v>958</v>
      </c>
      <c r="K1007" s="21" t="s">
        <v>959</v>
      </c>
      <c r="L1007" s="21" t="s">
        <v>8057</v>
      </c>
      <c r="M1007" s="21" t="s">
        <v>5486</v>
      </c>
      <c r="N1007" s="21" t="s">
        <v>6820</v>
      </c>
      <c r="O1007" s="21" t="s">
        <v>8058</v>
      </c>
      <c r="P1007" s="27">
        <v>0</v>
      </c>
      <c r="Q1007" s="27">
        <v>31</v>
      </c>
      <c r="R1007" s="21" t="s">
        <v>8059</v>
      </c>
      <c r="S1007" s="21" t="s">
        <v>8060</v>
      </c>
      <c r="T1007" s="21" t="s">
        <v>966</v>
      </c>
      <c r="U1007" s="21" t="s">
        <v>8061</v>
      </c>
    </row>
    <row r="1008" spans="1:21" ht="154">
      <c r="A1008" s="21" t="s">
        <v>925</v>
      </c>
      <c r="B1008" s="21" t="s">
        <v>304</v>
      </c>
      <c r="C1008" s="21" t="s">
        <v>298</v>
      </c>
      <c r="D1008" s="21" t="s">
        <v>180</v>
      </c>
      <c r="E1008" s="21" t="s">
        <v>305</v>
      </c>
      <c r="F1008" s="21" t="s">
        <v>4245</v>
      </c>
      <c r="G1008" s="21" t="s">
        <v>8062</v>
      </c>
      <c r="H1008" s="28">
        <v>39945</v>
      </c>
      <c r="I1008" s="22">
        <v>2009</v>
      </c>
      <c r="J1008" s="21" t="s">
        <v>958</v>
      </c>
      <c r="K1008" s="21" t="s">
        <v>959</v>
      </c>
      <c r="L1008" s="21" t="s">
        <v>8063</v>
      </c>
      <c r="M1008" s="21" t="s">
        <v>5486</v>
      </c>
      <c r="N1008" s="21" t="s">
        <v>6820</v>
      </c>
      <c r="O1008" s="21" t="s">
        <v>8064</v>
      </c>
      <c r="P1008" s="27">
        <v>0</v>
      </c>
      <c r="Q1008" s="27">
        <v>28</v>
      </c>
      <c r="R1008" s="21" t="s">
        <v>8065</v>
      </c>
      <c r="S1008" s="21" t="s">
        <v>8066</v>
      </c>
      <c r="T1008" s="21" t="s">
        <v>966</v>
      </c>
      <c r="U1008" s="21" t="s">
        <v>8067</v>
      </c>
    </row>
    <row r="1009" spans="1:21" ht="98">
      <c r="A1009" s="21" t="s">
        <v>925</v>
      </c>
      <c r="B1009" s="21" t="s">
        <v>304</v>
      </c>
      <c r="C1009" s="21" t="s">
        <v>298</v>
      </c>
      <c r="D1009" s="21" t="s">
        <v>180</v>
      </c>
      <c r="E1009" s="21" t="s">
        <v>305</v>
      </c>
      <c r="F1009" s="21" t="s">
        <v>4252</v>
      </c>
      <c r="G1009" s="21" t="s">
        <v>8068</v>
      </c>
      <c r="H1009" s="28">
        <v>39899</v>
      </c>
      <c r="I1009" s="22">
        <v>2009</v>
      </c>
      <c r="J1009" s="21" t="s">
        <v>958</v>
      </c>
      <c r="K1009" s="21" t="s">
        <v>959</v>
      </c>
      <c r="L1009" s="21" t="s">
        <v>8069</v>
      </c>
      <c r="M1009" s="21" t="s">
        <v>5486</v>
      </c>
      <c r="N1009" s="21" t="s">
        <v>6820</v>
      </c>
      <c r="O1009" s="21" t="s">
        <v>8070</v>
      </c>
      <c r="P1009" s="27">
        <v>0</v>
      </c>
      <c r="Q1009" s="27">
        <v>9</v>
      </c>
      <c r="R1009" s="21" t="s">
        <v>8071</v>
      </c>
      <c r="S1009" s="21" t="s">
        <v>8072</v>
      </c>
      <c r="T1009" s="21" t="s">
        <v>966</v>
      </c>
      <c r="U1009" s="21" t="s">
        <v>8073</v>
      </c>
    </row>
    <row r="1010" spans="1:21" ht="112">
      <c r="A1010" s="21" t="s">
        <v>925</v>
      </c>
      <c r="B1010" s="21" t="s">
        <v>304</v>
      </c>
      <c r="C1010" s="21" t="s">
        <v>298</v>
      </c>
      <c r="D1010" s="21" t="s">
        <v>180</v>
      </c>
      <c r="E1010" s="21" t="s">
        <v>305</v>
      </c>
      <c r="F1010" s="21" t="s">
        <v>4260</v>
      </c>
      <c r="G1010" s="21" t="s">
        <v>8074</v>
      </c>
      <c r="H1010" s="28">
        <v>39528</v>
      </c>
      <c r="I1010" s="22">
        <v>2008</v>
      </c>
      <c r="J1010" s="21" t="s">
        <v>958</v>
      </c>
      <c r="K1010" s="21" t="s">
        <v>959</v>
      </c>
      <c r="L1010" s="21" t="s">
        <v>8075</v>
      </c>
      <c r="M1010" s="21" t="s">
        <v>5486</v>
      </c>
      <c r="N1010" s="21" t="s">
        <v>6820</v>
      </c>
      <c r="O1010" s="21" t="s">
        <v>8076</v>
      </c>
      <c r="P1010" s="27">
        <v>0</v>
      </c>
      <c r="Q1010" s="27">
        <v>35</v>
      </c>
      <c r="R1010" s="21" t="s">
        <v>8053</v>
      </c>
      <c r="S1010" s="21" t="s">
        <v>8017</v>
      </c>
      <c r="T1010" s="21" t="s">
        <v>966</v>
      </c>
      <c r="U1010" s="21" t="s">
        <v>8077</v>
      </c>
    </row>
    <row r="1011" spans="1:21" ht="70">
      <c r="A1011" s="21" t="s">
        <v>925</v>
      </c>
      <c r="B1011" s="21" t="s">
        <v>304</v>
      </c>
      <c r="C1011" s="21" t="s">
        <v>298</v>
      </c>
      <c r="D1011" s="21" t="s">
        <v>180</v>
      </c>
      <c r="E1011" s="21" t="s">
        <v>305</v>
      </c>
      <c r="F1011" s="21" t="s">
        <v>4268</v>
      </c>
      <c r="G1011" s="21" t="s">
        <v>8078</v>
      </c>
      <c r="H1011" s="28">
        <v>39309</v>
      </c>
      <c r="I1011" s="22">
        <v>2007</v>
      </c>
      <c r="J1011" s="21" t="s">
        <v>958</v>
      </c>
      <c r="K1011" s="21" t="s">
        <v>959</v>
      </c>
      <c r="L1011" s="21" t="s">
        <v>8079</v>
      </c>
      <c r="M1011" s="21" t="s">
        <v>5486</v>
      </c>
      <c r="N1011" s="21" t="s">
        <v>6820</v>
      </c>
      <c r="O1011" s="21" t="s">
        <v>8080</v>
      </c>
      <c r="P1011" s="27">
        <v>0</v>
      </c>
      <c r="Q1011" s="27">
        <v>31</v>
      </c>
      <c r="R1011" s="21" t="s">
        <v>8081</v>
      </c>
      <c r="S1011" s="21" t="s">
        <v>8082</v>
      </c>
      <c r="T1011" s="21" t="s">
        <v>966</v>
      </c>
      <c r="U1011" s="21" t="s">
        <v>8083</v>
      </c>
    </row>
    <row r="1012" spans="1:21" ht="28">
      <c r="A1012" s="21" t="s">
        <v>925</v>
      </c>
      <c r="B1012" s="21" t="s">
        <v>304</v>
      </c>
      <c r="C1012" s="21" t="s">
        <v>298</v>
      </c>
      <c r="D1012" s="21" t="s">
        <v>180</v>
      </c>
      <c r="E1012" s="21" t="s">
        <v>305</v>
      </c>
      <c r="F1012" s="21" t="s">
        <v>4276</v>
      </c>
      <c r="G1012" s="21" t="s">
        <v>8084</v>
      </c>
      <c r="H1012" s="28">
        <v>39707</v>
      </c>
      <c r="I1012" s="22">
        <v>2008</v>
      </c>
      <c r="J1012" s="21" t="s">
        <v>958</v>
      </c>
      <c r="K1012" s="21" t="s">
        <v>959</v>
      </c>
      <c r="L1012" s="21" t="s">
        <v>8085</v>
      </c>
      <c r="M1012" s="21" t="s">
        <v>5486</v>
      </c>
      <c r="N1012" s="21" t="s">
        <v>6820</v>
      </c>
      <c r="O1012" s="21" t="s">
        <v>8086</v>
      </c>
      <c r="P1012" s="27">
        <v>0</v>
      </c>
      <c r="Q1012" s="27">
        <v>27</v>
      </c>
      <c r="R1012" s="21" t="s">
        <v>8087</v>
      </c>
      <c r="S1012" s="21" t="s">
        <v>8088</v>
      </c>
      <c r="T1012" s="21" t="s">
        <v>966</v>
      </c>
      <c r="U1012" s="21" t="s">
        <v>8089</v>
      </c>
    </row>
    <row r="1013" spans="1:21" ht="42">
      <c r="A1013" s="21" t="s">
        <v>925</v>
      </c>
      <c r="B1013" s="21" t="s">
        <v>304</v>
      </c>
      <c r="C1013" s="21" t="s">
        <v>298</v>
      </c>
      <c r="D1013" s="21" t="s">
        <v>180</v>
      </c>
      <c r="E1013" s="21" t="s">
        <v>305</v>
      </c>
      <c r="F1013" s="21" t="s">
        <v>4284</v>
      </c>
      <c r="G1013" s="21" t="s">
        <v>8090</v>
      </c>
      <c r="H1013" s="28">
        <v>39031</v>
      </c>
      <c r="I1013" s="22">
        <v>2006</v>
      </c>
      <c r="J1013" s="21" t="s">
        <v>958</v>
      </c>
      <c r="K1013" s="21" t="s">
        <v>959</v>
      </c>
      <c r="L1013" s="21" t="s">
        <v>8091</v>
      </c>
      <c r="M1013" s="21" t="s">
        <v>5486</v>
      </c>
      <c r="N1013" s="21" t="s">
        <v>6820</v>
      </c>
      <c r="O1013" s="21" t="s">
        <v>8092</v>
      </c>
      <c r="P1013" s="27">
        <v>0</v>
      </c>
      <c r="Q1013" s="27">
        <v>53</v>
      </c>
      <c r="R1013" s="21" t="s">
        <v>8093</v>
      </c>
      <c r="S1013" s="21" t="s">
        <v>8094</v>
      </c>
      <c r="T1013" s="21" t="s">
        <v>966</v>
      </c>
      <c r="U1013" s="21" t="s">
        <v>8095</v>
      </c>
    </row>
    <row r="1014" spans="1:21" ht="154">
      <c r="A1014" s="21" t="s">
        <v>925</v>
      </c>
      <c r="B1014" s="21" t="s">
        <v>304</v>
      </c>
      <c r="C1014" s="21" t="s">
        <v>298</v>
      </c>
      <c r="D1014" s="21" t="s">
        <v>180</v>
      </c>
      <c r="E1014" s="21" t="s">
        <v>305</v>
      </c>
      <c r="F1014" s="21" t="s">
        <v>4288</v>
      </c>
      <c r="G1014" s="21" t="s">
        <v>8096</v>
      </c>
      <c r="H1014" s="28">
        <v>39766</v>
      </c>
      <c r="I1014" s="22">
        <v>2008</v>
      </c>
      <c r="J1014" s="21" t="s">
        <v>958</v>
      </c>
      <c r="K1014" s="21" t="s">
        <v>959</v>
      </c>
      <c r="L1014" s="21" t="s">
        <v>8097</v>
      </c>
      <c r="M1014" s="21" t="s">
        <v>5486</v>
      </c>
      <c r="N1014" s="21" t="s">
        <v>6820</v>
      </c>
      <c r="O1014" s="21" t="s">
        <v>8098</v>
      </c>
      <c r="P1014" s="27">
        <v>0</v>
      </c>
      <c r="Q1014" s="27">
        <v>37</v>
      </c>
      <c r="R1014" s="21" t="s">
        <v>8099</v>
      </c>
      <c r="S1014" s="21" t="s">
        <v>8100</v>
      </c>
      <c r="T1014" s="21" t="s">
        <v>966</v>
      </c>
      <c r="U1014" s="21" t="s">
        <v>8101</v>
      </c>
    </row>
    <row r="1015" spans="1:21" ht="112">
      <c r="A1015" s="21" t="s">
        <v>925</v>
      </c>
      <c r="B1015" s="21" t="s">
        <v>304</v>
      </c>
      <c r="C1015" s="21" t="s">
        <v>298</v>
      </c>
      <c r="D1015" s="21" t="s">
        <v>180</v>
      </c>
      <c r="E1015" s="21" t="s">
        <v>305</v>
      </c>
      <c r="F1015" s="21" t="s">
        <v>4296</v>
      </c>
      <c r="G1015" s="21" t="s">
        <v>8102</v>
      </c>
      <c r="H1015" s="28">
        <v>39071</v>
      </c>
      <c r="I1015" s="22">
        <v>2006</v>
      </c>
      <c r="J1015" s="21" t="s">
        <v>958</v>
      </c>
      <c r="K1015" s="21" t="s">
        <v>959</v>
      </c>
      <c r="L1015" s="21" t="s">
        <v>8103</v>
      </c>
      <c r="M1015" s="21" t="s">
        <v>5486</v>
      </c>
      <c r="N1015" s="21" t="s">
        <v>6820</v>
      </c>
      <c r="O1015" s="21" t="s">
        <v>8104</v>
      </c>
      <c r="P1015" s="27">
        <v>0</v>
      </c>
      <c r="Q1015" s="27">
        <v>8</v>
      </c>
      <c r="R1015" s="21" t="s">
        <v>8105</v>
      </c>
      <c r="S1015" s="21" t="s">
        <v>8106</v>
      </c>
      <c r="T1015" s="21" t="s">
        <v>966</v>
      </c>
      <c r="U1015" s="21" t="s">
        <v>8107</v>
      </c>
    </row>
    <row r="1016" spans="1:21" ht="42">
      <c r="A1016" s="21" t="s">
        <v>925</v>
      </c>
      <c r="B1016" s="21" t="s">
        <v>304</v>
      </c>
      <c r="C1016" s="21" t="s">
        <v>298</v>
      </c>
      <c r="D1016" s="21" t="s">
        <v>180</v>
      </c>
      <c r="E1016" s="21" t="s">
        <v>305</v>
      </c>
      <c r="F1016" s="21" t="s">
        <v>4304</v>
      </c>
      <c r="G1016" s="21" t="s">
        <v>8108</v>
      </c>
      <c r="H1016" s="28">
        <v>38183</v>
      </c>
      <c r="I1016" s="22">
        <v>2004</v>
      </c>
      <c r="J1016" s="21" t="s">
        <v>958</v>
      </c>
      <c r="K1016" s="21" t="s">
        <v>959</v>
      </c>
      <c r="L1016" s="21" t="s">
        <v>8109</v>
      </c>
      <c r="M1016" s="21" t="s">
        <v>5486</v>
      </c>
      <c r="N1016" s="21" t="s">
        <v>6820</v>
      </c>
      <c r="O1016" s="21" t="s">
        <v>8110</v>
      </c>
      <c r="P1016" s="27">
        <v>0</v>
      </c>
      <c r="Q1016" s="27">
        <v>40</v>
      </c>
      <c r="R1016" s="21" t="s">
        <v>8111</v>
      </c>
      <c r="S1016" s="21" t="s">
        <v>8112</v>
      </c>
      <c r="T1016" s="21" t="s">
        <v>4159</v>
      </c>
      <c r="U1016" s="21" t="s">
        <v>8113</v>
      </c>
    </row>
    <row r="1017" spans="1:21" ht="56">
      <c r="A1017" s="21" t="s">
        <v>925</v>
      </c>
      <c r="B1017" s="21" t="s">
        <v>304</v>
      </c>
      <c r="C1017" s="21" t="s">
        <v>298</v>
      </c>
      <c r="D1017" s="21" t="s">
        <v>180</v>
      </c>
      <c r="E1017" s="21" t="s">
        <v>305</v>
      </c>
      <c r="F1017" s="21" t="s">
        <v>4313</v>
      </c>
      <c r="G1017" s="21" t="s">
        <v>8114</v>
      </c>
      <c r="H1017" s="28">
        <v>39608</v>
      </c>
      <c r="I1017" s="22">
        <v>2008</v>
      </c>
      <c r="J1017" s="21" t="s">
        <v>958</v>
      </c>
      <c r="K1017" s="21" t="s">
        <v>959</v>
      </c>
      <c r="L1017" s="21" t="s">
        <v>8115</v>
      </c>
      <c r="M1017" s="21" t="s">
        <v>5486</v>
      </c>
      <c r="N1017" s="21" t="s">
        <v>6820</v>
      </c>
      <c r="O1017" s="21" t="s">
        <v>8116</v>
      </c>
      <c r="P1017" s="27">
        <v>0</v>
      </c>
      <c r="Q1017" s="27">
        <v>9</v>
      </c>
      <c r="R1017" s="21" t="s">
        <v>8117</v>
      </c>
      <c r="S1017" s="21" t="s">
        <v>8118</v>
      </c>
      <c r="T1017" s="21" t="s">
        <v>966</v>
      </c>
      <c r="U1017" s="21" t="s">
        <v>8119</v>
      </c>
    </row>
    <row r="1018" spans="1:21" ht="98">
      <c r="A1018" s="21" t="s">
        <v>925</v>
      </c>
      <c r="B1018" s="21" t="s">
        <v>304</v>
      </c>
      <c r="C1018" s="21" t="s">
        <v>298</v>
      </c>
      <c r="D1018" s="21" t="s">
        <v>180</v>
      </c>
      <c r="E1018" s="21" t="s">
        <v>305</v>
      </c>
      <c r="F1018" s="21" t="s">
        <v>4321</v>
      </c>
      <c r="G1018" s="21" t="s">
        <v>8120</v>
      </c>
      <c r="H1018" s="28">
        <v>36399</v>
      </c>
      <c r="I1018" s="22">
        <v>1999</v>
      </c>
      <c r="J1018" s="21" t="s">
        <v>6207</v>
      </c>
      <c r="K1018" s="21" t="s">
        <v>8121</v>
      </c>
      <c r="L1018" s="21" t="s">
        <v>8122</v>
      </c>
      <c r="M1018" s="21" t="s">
        <v>6096</v>
      </c>
      <c r="N1018" s="21" t="s">
        <v>8123</v>
      </c>
      <c r="O1018" s="21" t="s">
        <v>8124</v>
      </c>
      <c r="P1018" s="27">
        <v>0</v>
      </c>
      <c r="Q1018" s="27">
        <v>94</v>
      </c>
      <c r="R1018" s="21" t="s">
        <v>8125</v>
      </c>
      <c r="S1018" s="21" t="s">
        <v>8126</v>
      </c>
      <c r="T1018" s="21" t="s">
        <v>4159</v>
      </c>
      <c r="U1018" s="21" t="s">
        <v>8127</v>
      </c>
    </row>
    <row r="1019" spans="1:21" ht="98">
      <c r="A1019" s="21" t="s">
        <v>925</v>
      </c>
      <c r="B1019" s="21" t="s">
        <v>304</v>
      </c>
      <c r="C1019" s="21" t="s">
        <v>298</v>
      </c>
      <c r="D1019" s="21" t="s">
        <v>180</v>
      </c>
      <c r="E1019" s="21" t="s">
        <v>305</v>
      </c>
      <c r="F1019" s="21" t="s">
        <v>4329</v>
      </c>
      <c r="G1019" s="21" t="s">
        <v>8128</v>
      </c>
      <c r="H1019" s="28">
        <v>38430</v>
      </c>
      <c r="I1019" s="22">
        <v>2005</v>
      </c>
      <c r="J1019" s="21" t="s">
        <v>958</v>
      </c>
      <c r="K1019" s="21" t="s">
        <v>959</v>
      </c>
      <c r="L1019" s="21" t="s">
        <v>8129</v>
      </c>
      <c r="M1019" s="21" t="s">
        <v>5486</v>
      </c>
      <c r="N1019" s="21" t="s">
        <v>6820</v>
      </c>
      <c r="O1019" s="21" t="s">
        <v>8130</v>
      </c>
      <c r="P1019" s="27">
        <v>0</v>
      </c>
      <c r="Q1019" s="27">
        <v>14</v>
      </c>
      <c r="R1019" s="21" t="s">
        <v>8131</v>
      </c>
      <c r="S1019" s="21" t="s">
        <v>8132</v>
      </c>
      <c r="T1019" s="21" t="s">
        <v>4159</v>
      </c>
      <c r="U1019" s="21" t="s">
        <v>8133</v>
      </c>
    </row>
    <row r="1020" spans="1:21" ht="112">
      <c r="A1020" s="21" t="s">
        <v>925</v>
      </c>
      <c r="B1020" s="21" t="s">
        <v>304</v>
      </c>
      <c r="C1020" s="21" t="s">
        <v>298</v>
      </c>
      <c r="D1020" s="21" t="s">
        <v>180</v>
      </c>
      <c r="E1020" s="21" t="s">
        <v>305</v>
      </c>
      <c r="F1020" s="21" t="s">
        <v>4337</v>
      </c>
      <c r="G1020" s="21" t="s">
        <v>8134</v>
      </c>
      <c r="H1020" s="28">
        <v>39028</v>
      </c>
      <c r="I1020" s="22">
        <v>2006</v>
      </c>
      <c r="J1020" s="21" t="s">
        <v>958</v>
      </c>
      <c r="K1020" s="21" t="s">
        <v>959</v>
      </c>
      <c r="L1020" s="21" t="s">
        <v>8135</v>
      </c>
      <c r="M1020" s="21" t="s">
        <v>6104</v>
      </c>
      <c r="N1020" s="21" t="s">
        <v>7258</v>
      </c>
      <c r="O1020" s="21" t="s">
        <v>8136</v>
      </c>
      <c r="P1020" s="27">
        <v>0</v>
      </c>
      <c r="Q1020" s="27">
        <v>31</v>
      </c>
      <c r="R1020" s="21" t="s">
        <v>8137</v>
      </c>
      <c r="S1020" s="21" t="s">
        <v>8138</v>
      </c>
      <c r="T1020" s="21" t="s">
        <v>966</v>
      </c>
      <c r="U1020" s="21" t="s">
        <v>8139</v>
      </c>
    </row>
    <row r="1021" spans="1:21" ht="252">
      <c r="A1021" s="21" t="s">
        <v>925</v>
      </c>
      <c r="B1021" s="21" t="s">
        <v>304</v>
      </c>
      <c r="C1021" s="21" t="s">
        <v>298</v>
      </c>
      <c r="D1021" s="21" t="s">
        <v>180</v>
      </c>
      <c r="E1021" s="21" t="s">
        <v>305</v>
      </c>
      <c r="F1021" s="21" t="s">
        <v>4345</v>
      </c>
      <c r="G1021" s="21" t="s">
        <v>8140</v>
      </c>
      <c r="H1021" s="28">
        <v>38729</v>
      </c>
      <c r="I1021" s="22">
        <v>2006</v>
      </c>
      <c r="J1021" s="21" t="s">
        <v>958</v>
      </c>
      <c r="K1021" s="21" t="s">
        <v>959</v>
      </c>
      <c r="L1021" s="21" t="s">
        <v>8141</v>
      </c>
      <c r="M1021" s="21" t="s">
        <v>6096</v>
      </c>
      <c r="N1021" s="21" t="s">
        <v>7233</v>
      </c>
      <c r="O1021" s="21" t="s">
        <v>7629</v>
      </c>
      <c r="P1021" s="27">
        <v>0</v>
      </c>
      <c r="Q1021" s="27">
        <v>8</v>
      </c>
      <c r="R1021" s="21" t="s">
        <v>8142</v>
      </c>
      <c r="S1021" s="21" t="s">
        <v>8143</v>
      </c>
      <c r="T1021" s="21" t="s">
        <v>966</v>
      </c>
      <c r="U1021" s="21" t="s">
        <v>8144</v>
      </c>
    </row>
    <row r="1022" spans="1:21" ht="42">
      <c r="A1022" s="21" t="s">
        <v>925</v>
      </c>
      <c r="B1022" s="21" t="s">
        <v>304</v>
      </c>
      <c r="C1022" s="21" t="s">
        <v>298</v>
      </c>
      <c r="D1022" s="21" t="s">
        <v>180</v>
      </c>
      <c r="E1022" s="21" t="s">
        <v>305</v>
      </c>
      <c r="F1022" s="21" t="s">
        <v>4353</v>
      </c>
      <c r="G1022" s="21" t="s">
        <v>8145</v>
      </c>
      <c r="H1022" s="28">
        <v>39927</v>
      </c>
      <c r="I1022" s="22">
        <v>2009</v>
      </c>
      <c r="J1022" s="21" t="s">
        <v>958</v>
      </c>
      <c r="K1022" s="21" t="s">
        <v>959</v>
      </c>
      <c r="L1022" s="21" t="s">
        <v>8146</v>
      </c>
      <c r="M1022" s="21" t="s">
        <v>5486</v>
      </c>
      <c r="N1022" s="21" t="s">
        <v>6820</v>
      </c>
      <c r="O1022" s="21" t="s">
        <v>8147</v>
      </c>
      <c r="P1022" s="27">
        <v>0</v>
      </c>
      <c r="Q1022" s="27">
        <v>37</v>
      </c>
      <c r="R1022" s="21" t="s">
        <v>8148</v>
      </c>
      <c r="S1022" s="21" t="s">
        <v>8149</v>
      </c>
      <c r="T1022" s="21" t="s">
        <v>966</v>
      </c>
      <c r="U1022" s="21" t="s">
        <v>8150</v>
      </c>
    </row>
    <row r="1023" spans="1:21" ht="168">
      <c r="A1023" s="21" t="s">
        <v>925</v>
      </c>
      <c r="B1023" s="21" t="s">
        <v>304</v>
      </c>
      <c r="C1023" s="21" t="s">
        <v>298</v>
      </c>
      <c r="D1023" s="21" t="s">
        <v>180</v>
      </c>
      <c r="E1023" s="21" t="s">
        <v>305</v>
      </c>
      <c r="F1023" s="21" t="s">
        <v>4362</v>
      </c>
      <c r="G1023" s="21" t="s">
        <v>8151</v>
      </c>
      <c r="H1023" s="28">
        <v>38896</v>
      </c>
      <c r="I1023" s="22">
        <v>2006</v>
      </c>
      <c r="J1023" s="21" t="s">
        <v>958</v>
      </c>
      <c r="K1023" s="21" t="s">
        <v>959</v>
      </c>
      <c r="L1023" s="21" t="s">
        <v>8152</v>
      </c>
      <c r="M1023" s="21" t="s">
        <v>5486</v>
      </c>
      <c r="N1023" s="21" t="s">
        <v>6820</v>
      </c>
      <c r="O1023" s="21" t="s">
        <v>8153</v>
      </c>
      <c r="P1023" s="27">
        <v>0</v>
      </c>
      <c r="Q1023" s="27">
        <v>7</v>
      </c>
      <c r="R1023" s="21" t="s">
        <v>8154</v>
      </c>
      <c r="S1023" s="21" t="s">
        <v>8155</v>
      </c>
      <c r="T1023" s="21" t="s">
        <v>966</v>
      </c>
      <c r="U1023" s="21" t="s">
        <v>8156</v>
      </c>
    </row>
    <row r="1024" spans="1:21" ht="98">
      <c r="A1024" s="21" t="s">
        <v>925</v>
      </c>
      <c r="B1024" s="21" t="s">
        <v>304</v>
      </c>
      <c r="C1024" s="21" t="s">
        <v>298</v>
      </c>
      <c r="D1024" s="21" t="s">
        <v>180</v>
      </c>
      <c r="E1024" s="21" t="s">
        <v>305</v>
      </c>
      <c r="F1024" s="21" t="s">
        <v>8157</v>
      </c>
      <c r="G1024" s="21" t="s">
        <v>8158</v>
      </c>
      <c r="H1024" s="28">
        <v>37217</v>
      </c>
      <c r="I1024" s="22">
        <v>2001</v>
      </c>
      <c r="J1024" s="21" t="s">
        <v>958</v>
      </c>
      <c r="K1024" s="21" t="s">
        <v>959</v>
      </c>
      <c r="L1024" s="21" t="s">
        <v>8159</v>
      </c>
      <c r="M1024" s="21" t="s">
        <v>6096</v>
      </c>
      <c r="N1024" s="21" t="s">
        <v>8160</v>
      </c>
      <c r="O1024" s="21" t="s">
        <v>8161</v>
      </c>
      <c r="P1024" s="27">
        <v>0</v>
      </c>
      <c r="Q1024" s="27">
        <v>50</v>
      </c>
      <c r="R1024" s="21" t="s">
        <v>8162</v>
      </c>
      <c r="S1024" s="21" t="s">
        <v>8163</v>
      </c>
      <c r="T1024" s="21" t="s">
        <v>4159</v>
      </c>
      <c r="U1024" s="21" t="s">
        <v>8164</v>
      </c>
    </row>
    <row r="1025" spans="1:21" ht="70">
      <c r="A1025" s="21" t="s">
        <v>925</v>
      </c>
      <c r="B1025" s="21" t="s">
        <v>304</v>
      </c>
      <c r="C1025" s="21" t="s">
        <v>298</v>
      </c>
      <c r="D1025" s="21" t="s">
        <v>180</v>
      </c>
      <c r="E1025" s="21" t="s">
        <v>305</v>
      </c>
      <c r="F1025" s="21" t="s">
        <v>8165</v>
      </c>
      <c r="G1025" s="21" t="s">
        <v>8166</v>
      </c>
      <c r="H1025" s="28">
        <v>39787</v>
      </c>
      <c r="I1025" s="22">
        <v>2008</v>
      </c>
      <c r="J1025" s="21" t="s">
        <v>958</v>
      </c>
      <c r="K1025" s="21" t="s">
        <v>959</v>
      </c>
      <c r="L1025" s="21" t="s">
        <v>8167</v>
      </c>
      <c r="M1025" s="21" t="s">
        <v>5486</v>
      </c>
      <c r="N1025" s="21" t="s">
        <v>6820</v>
      </c>
      <c r="O1025" s="21" t="s">
        <v>8168</v>
      </c>
      <c r="P1025" s="27">
        <v>0</v>
      </c>
      <c r="Q1025" s="27">
        <v>39</v>
      </c>
      <c r="R1025" s="21" t="s">
        <v>8169</v>
      </c>
      <c r="S1025" s="21" t="s">
        <v>8170</v>
      </c>
      <c r="T1025" s="21" t="s">
        <v>966</v>
      </c>
      <c r="U1025" s="21" t="s">
        <v>8171</v>
      </c>
    </row>
    <row r="1026" spans="1:21" ht="56">
      <c r="A1026" s="21" t="s">
        <v>925</v>
      </c>
      <c r="B1026" s="21" t="s">
        <v>304</v>
      </c>
      <c r="C1026" s="21" t="s">
        <v>298</v>
      </c>
      <c r="D1026" s="21" t="s">
        <v>180</v>
      </c>
      <c r="E1026" s="21" t="s">
        <v>305</v>
      </c>
      <c r="F1026" s="21" t="s">
        <v>8172</v>
      </c>
      <c r="G1026" s="21" t="s">
        <v>8173</v>
      </c>
      <c r="H1026" s="28">
        <v>38055</v>
      </c>
      <c r="I1026" s="22">
        <v>2004</v>
      </c>
      <c r="J1026" s="21" t="s">
        <v>958</v>
      </c>
      <c r="K1026" s="21" t="s">
        <v>959</v>
      </c>
      <c r="L1026" s="21" t="s">
        <v>8174</v>
      </c>
      <c r="M1026" s="21" t="s">
        <v>8175</v>
      </c>
      <c r="N1026" s="21" t="s">
        <v>8176</v>
      </c>
      <c r="O1026" s="21" t="s">
        <v>8177</v>
      </c>
      <c r="P1026" s="27">
        <v>0</v>
      </c>
      <c r="Q1026" s="27">
        <v>39</v>
      </c>
      <c r="R1026" s="21" t="s">
        <v>8178</v>
      </c>
      <c r="S1026" s="21" t="s">
        <v>8179</v>
      </c>
      <c r="T1026" s="21" t="s">
        <v>4159</v>
      </c>
      <c r="U1026" s="21" t="s">
        <v>8180</v>
      </c>
    </row>
    <row r="1027" spans="1:21" ht="84">
      <c r="A1027" s="21" t="s">
        <v>925</v>
      </c>
      <c r="B1027" s="21" t="s">
        <v>304</v>
      </c>
      <c r="C1027" s="21" t="s">
        <v>298</v>
      </c>
      <c r="D1027" s="21" t="s">
        <v>180</v>
      </c>
      <c r="E1027" s="21" t="s">
        <v>305</v>
      </c>
      <c r="F1027" s="21" t="s">
        <v>8181</v>
      </c>
      <c r="G1027" s="21" t="s">
        <v>8182</v>
      </c>
      <c r="H1027" s="28">
        <v>39533</v>
      </c>
      <c r="I1027" s="22">
        <v>2008</v>
      </c>
      <c r="J1027" s="21" t="s">
        <v>958</v>
      </c>
      <c r="K1027" s="21" t="s">
        <v>959</v>
      </c>
      <c r="L1027" s="21" t="s">
        <v>8183</v>
      </c>
      <c r="M1027" s="21" t="s">
        <v>5486</v>
      </c>
      <c r="N1027" s="21" t="s">
        <v>6820</v>
      </c>
      <c r="O1027" s="21" t="s">
        <v>8184</v>
      </c>
      <c r="P1027" s="27">
        <v>0</v>
      </c>
      <c r="Q1027" s="27">
        <v>24</v>
      </c>
      <c r="R1027" s="21" t="s">
        <v>8185</v>
      </c>
      <c r="S1027" s="21" t="s">
        <v>8186</v>
      </c>
      <c r="T1027" s="21" t="s">
        <v>966</v>
      </c>
      <c r="U1027" s="21" t="s">
        <v>8187</v>
      </c>
    </row>
    <row r="1028" spans="1:21" ht="98">
      <c r="A1028" s="21" t="s">
        <v>925</v>
      </c>
      <c r="B1028" s="21" t="s">
        <v>304</v>
      </c>
      <c r="C1028" s="21" t="s">
        <v>298</v>
      </c>
      <c r="D1028" s="21" t="s">
        <v>180</v>
      </c>
      <c r="E1028" s="21" t="s">
        <v>305</v>
      </c>
      <c r="F1028" s="21" t="s">
        <v>8188</v>
      </c>
      <c r="G1028" s="21" t="s">
        <v>8189</v>
      </c>
      <c r="H1028" s="28">
        <v>39811</v>
      </c>
      <c r="I1028" s="22">
        <v>2008</v>
      </c>
      <c r="J1028" s="21" t="s">
        <v>958</v>
      </c>
      <c r="K1028" s="21" t="s">
        <v>959</v>
      </c>
      <c r="L1028" s="21" t="s">
        <v>8190</v>
      </c>
      <c r="M1028" s="21" t="s">
        <v>5486</v>
      </c>
      <c r="N1028" s="21" t="s">
        <v>6820</v>
      </c>
      <c r="O1028" s="21" t="s">
        <v>8191</v>
      </c>
      <c r="P1028" s="27">
        <v>0</v>
      </c>
      <c r="Q1028" s="27">
        <v>46</v>
      </c>
      <c r="R1028" s="21" t="s">
        <v>8192</v>
      </c>
      <c r="S1028" s="21" t="s">
        <v>8193</v>
      </c>
      <c r="T1028" s="21" t="s">
        <v>966</v>
      </c>
      <c r="U1028" s="21" t="s">
        <v>8194</v>
      </c>
    </row>
    <row r="1029" spans="1:21" ht="28">
      <c r="A1029" s="21" t="s">
        <v>925</v>
      </c>
      <c r="B1029" s="21" t="s">
        <v>304</v>
      </c>
      <c r="C1029" s="21" t="s">
        <v>298</v>
      </c>
      <c r="D1029" s="21" t="s">
        <v>180</v>
      </c>
      <c r="E1029" s="21" t="s">
        <v>305</v>
      </c>
      <c r="F1029" s="21" t="s">
        <v>8195</v>
      </c>
      <c r="G1029" s="21" t="s">
        <v>8196</v>
      </c>
      <c r="H1029" s="28">
        <v>38981</v>
      </c>
      <c r="I1029" s="22">
        <v>2006</v>
      </c>
      <c r="J1029" s="21" t="s">
        <v>958</v>
      </c>
      <c r="K1029" s="21" t="s">
        <v>959</v>
      </c>
      <c r="L1029" s="21" t="s">
        <v>8197</v>
      </c>
      <c r="M1029" s="21" t="s">
        <v>5486</v>
      </c>
      <c r="N1029" s="21" t="s">
        <v>6820</v>
      </c>
      <c r="O1029" s="21" t="s">
        <v>8198</v>
      </c>
      <c r="P1029" s="27">
        <v>0</v>
      </c>
      <c r="Q1029" s="27">
        <v>51</v>
      </c>
      <c r="R1029" s="21" t="s">
        <v>8199</v>
      </c>
      <c r="S1029" s="21" t="s">
        <v>8200</v>
      </c>
      <c r="T1029" s="21" t="s">
        <v>966</v>
      </c>
      <c r="U1029" s="21" t="s">
        <v>8201</v>
      </c>
    </row>
    <row r="1030" spans="1:21" ht="126">
      <c r="A1030" s="21" t="s">
        <v>925</v>
      </c>
      <c r="B1030" s="21" t="s">
        <v>304</v>
      </c>
      <c r="C1030" s="21" t="s">
        <v>298</v>
      </c>
      <c r="D1030" s="21" t="s">
        <v>180</v>
      </c>
      <c r="E1030" s="21" t="s">
        <v>305</v>
      </c>
      <c r="F1030" s="21" t="s">
        <v>8202</v>
      </c>
      <c r="G1030" s="21" t="s">
        <v>8203</v>
      </c>
      <c r="H1030" s="28">
        <v>41277</v>
      </c>
      <c r="I1030" s="22">
        <v>2013</v>
      </c>
      <c r="J1030" s="21" t="s">
        <v>958</v>
      </c>
      <c r="K1030" s="21" t="s">
        <v>998</v>
      </c>
      <c r="L1030" s="21" t="s">
        <v>8204</v>
      </c>
      <c r="M1030" s="21" t="s">
        <v>8205</v>
      </c>
      <c r="N1030" s="21" t="s">
        <v>8206</v>
      </c>
      <c r="O1030" s="21" t="s">
        <v>8207</v>
      </c>
      <c r="P1030" s="27">
        <v>0</v>
      </c>
      <c r="Q1030" s="27">
        <v>9</v>
      </c>
      <c r="R1030" s="21" t="s">
        <v>8208</v>
      </c>
      <c r="S1030" s="21" t="s">
        <v>8209</v>
      </c>
      <c r="T1030" s="21" t="s">
        <v>1148</v>
      </c>
      <c r="U1030" s="21" t="s">
        <v>8210</v>
      </c>
    </row>
    <row r="1031" spans="1:21" ht="112">
      <c r="A1031" s="21" t="s">
        <v>925</v>
      </c>
      <c r="B1031" s="21" t="s">
        <v>304</v>
      </c>
      <c r="C1031" s="21" t="s">
        <v>298</v>
      </c>
      <c r="D1031" s="21" t="s">
        <v>180</v>
      </c>
      <c r="E1031" s="21" t="s">
        <v>305</v>
      </c>
      <c r="F1031" s="21" t="s">
        <v>8211</v>
      </c>
      <c r="G1031" s="21" t="s">
        <v>8212</v>
      </c>
      <c r="H1031" s="28">
        <v>35768</v>
      </c>
      <c r="I1031" s="22">
        <v>1997</v>
      </c>
      <c r="J1031" s="21" t="s">
        <v>6207</v>
      </c>
      <c r="K1031" s="21" t="s">
        <v>6208</v>
      </c>
      <c r="L1031" s="21" t="s">
        <v>8213</v>
      </c>
      <c r="M1031" s="21" t="s">
        <v>6096</v>
      </c>
      <c r="N1031" s="21" t="s">
        <v>8214</v>
      </c>
      <c r="O1031" s="21" t="s">
        <v>8215</v>
      </c>
      <c r="P1031" s="27">
        <v>0</v>
      </c>
      <c r="Q1031" s="27">
        <v>7</v>
      </c>
      <c r="R1031" s="21" t="s">
        <v>8216</v>
      </c>
      <c r="S1031" s="21" t="s">
        <v>8217</v>
      </c>
      <c r="T1031" s="21" t="s">
        <v>4159</v>
      </c>
      <c r="U1031" s="21" t="s">
        <v>8218</v>
      </c>
    </row>
    <row r="1032" spans="1:21" ht="56">
      <c r="A1032" s="21" t="s">
        <v>925</v>
      </c>
      <c r="B1032" s="21" t="s">
        <v>304</v>
      </c>
      <c r="C1032" s="21" t="s">
        <v>298</v>
      </c>
      <c r="D1032" s="21" t="s">
        <v>180</v>
      </c>
      <c r="E1032" s="21" t="s">
        <v>305</v>
      </c>
      <c r="F1032" s="21" t="s">
        <v>8219</v>
      </c>
      <c r="G1032" s="21" t="s">
        <v>8220</v>
      </c>
      <c r="H1032" s="28">
        <v>39608</v>
      </c>
      <c r="I1032" s="22">
        <v>2008</v>
      </c>
      <c r="J1032" s="21" t="s">
        <v>958</v>
      </c>
      <c r="K1032" s="21" t="s">
        <v>959</v>
      </c>
      <c r="L1032" s="21" t="s">
        <v>8221</v>
      </c>
      <c r="M1032" s="21" t="s">
        <v>5486</v>
      </c>
      <c r="N1032" s="21" t="s">
        <v>6820</v>
      </c>
      <c r="O1032" s="21" t="s">
        <v>8222</v>
      </c>
      <c r="P1032" s="27">
        <v>0</v>
      </c>
      <c r="Q1032" s="27">
        <v>6</v>
      </c>
      <c r="R1032" s="21" t="s">
        <v>8223</v>
      </c>
      <c r="S1032" s="21" t="s">
        <v>8224</v>
      </c>
      <c r="T1032" s="21" t="s">
        <v>966</v>
      </c>
      <c r="U1032" s="21" t="s">
        <v>8225</v>
      </c>
    </row>
    <row r="1033" spans="1:21" ht="56">
      <c r="A1033" s="21" t="s">
        <v>925</v>
      </c>
      <c r="B1033" s="21" t="s">
        <v>304</v>
      </c>
      <c r="C1033" s="21" t="s">
        <v>298</v>
      </c>
      <c r="D1033" s="21" t="s">
        <v>180</v>
      </c>
      <c r="E1033" s="21" t="s">
        <v>305</v>
      </c>
      <c r="F1033" s="21" t="s">
        <v>8226</v>
      </c>
      <c r="G1033" s="21" t="s">
        <v>8227</v>
      </c>
      <c r="H1033" s="28">
        <v>40494</v>
      </c>
      <c r="I1033" s="22">
        <v>2010</v>
      </c>
      <c r="J1033" s="21" t="s">
        <v>958</v>
      </c>
      <c r="K1033" s="21" t="s">
        <v>3815</v>
      </c>
      <c r="L1033" s="21" t="s">
        <v>8228</v>
      </c>
      <c r="M1033" s="21" t="s">
        <v>8229</v>
      </c>
      <c r="N1033" s="21" t="s">
        <v>8230</v>
      </c>
      <c r="O1033" s="21" t="s">
        <v>8231</v>
      </c>
      <c r="P1033" s="27">
        <v>0</v>
      </c>
      <c r="Q1033" s="27">
        <v>36</v>
      </c>
      <c r="R1033" s="21" t="s">
        <v>8232</v>
      </c>
      <c r="S1033" s="21" t="s">
        <v>8233</v>
      </c>
      <c r="T1033" s="21" t="s">
        <v>1148</v>
      </c>
      <c r="U1033" s="21" t="s">
        <v>8234</v>
      </c>
    </row>
    <row r="1034" spans="1:21" ht="70">
      <c r="A1034" s="21" t="s">
        <v>925</v>
      </c>
      <c r="B1034" s="21" t="s">
        <v>304</v>
      </c>
      <c r="C1034" s="21" t="s">
        <v>298</v>
      </c>
      <c r="D1034" s="21" t="s">
        <v>180</v>
      </c>
      <c r="E1034" s="21" t="s">
        <v>305</v>
      </c>
      <c r="F1034" s="21" t="s">
        <v>8235</v>
      </c>
      <c r="G1034" s="21" t="s">
        <v>8236</v>
      </c>
      <c r="H1034" s="28">
        <v>36458</v>
      </c>
      <c r="I1034" s="22">
        <v>1999</v>
      </c>
      <c r="J1034" s="21" t="s">
        <v>958</v>
      </c>
      <c r="K1034" s="21" t="s">
        <v>959</v>
      </c>
      <c r="L1034" s="21" t="s">
        <v>8237</v>
      </c>
      <c r="M1034" s="21" t="s">
        <v>6096</v>
      </c>
      <c r="N1034" s="21" t="s">
        <v>8160</v>
      </c>
      <c r="O1034" s="21" t="s">
        <v>8238</v>
      </c>
      <c r="P1034" s="27">
        <v>0</v>
      </c>
      <c r="Q1034" s="27">
        <v>36</v>
      </c>
      <c r="R1034" s="21" t="s">
        <v>8239</v>
      </c>
      <c r="S1034" s="21" t="s">
        <v>8240</v>
      </c>
      <c r="T1034" s="21" t="s">
        <v>4159</v>
      </c>
      <c r="U1034" s="21" t="s">
        <v>8241</v>
      </c>
    </row>
    <row r="1035" spans="1:21" ht="70">
      <c r="A1035" s="21" t="s">
        <v>925</v>
      </c>
      <c r="B1035" s="21" t="s">
        <v>304</v>
      </c>
      <c r="C1035" s="21" t="s">
        <v>298</v>
      </c>
      <c r="D1035" s="21" t="s">
        <v>180</v>
      </c>
      <c r="E1035" s="21" t="s">
        <v>305</v>
      </c>
      <c r="F1035" s="21" t="s">
        <v>8242</v>
      </c>
      <c r="G1035" s="21" t="s">
        <v>8243</v>
      </c>
      <c r="H1035" s="28">
        <v>38466</v>
      </c>
      <c r="I1035" s="22">
        <v>2005</v>
      </c>
      <c r="J1035" s="21" t="s">
        <v>958</v>
      </c>
      <c r="K1035" s="21" t="s">
        <v>959</v>
      </c>
      <c r="L1035" s="21" t="s">
        <v>8244</v>
      </c>
      <c r="M1035" s="21" t="s">
        <v>6104</v>
      </c>
      <c r="N1035" s="21" t="s">
        <v>8245</v>
      </c>
      <c r="O1035" s="21" t="s">
        <v>8246</v>
      </c>
      <c r="P1035" s="27">
        <v>0</v>
      </c>
      <c r="Q1035" s="27">
        <v>18</v>
      </c>
      <c r="R1035" s="21" t="s">
        <v>8247</v>
      </c>
      <c r="S1035" s="21" t="s">
        <v>8248</v>
      </c>
      <c r="T1035" s="21" t="s">
        <v>4159</v>
      </c>
      <c r="U1035" s="21" t="s">
        <v>8249</v>
      </c>
    </row>
    <row r="1036" spans="1:21" ht="70">
      <c r="A1036" s="21" t="s">
        <v>925</v>
      </c>
      <c r="B1036" s="21" t="s">
        <v>304</v>
      </c>
      <c r="C1036" s="21" t="s">
        <v>298</v>
      </c>
      <c r="D1036" s="21" t="s">
        <v>180</v>
      </c>
      <c r="E1036" s="21" t="s">
        <v>305</v>
      </c>
      <c r="F1036" s="21" t="s">
        <v>8250</v>
      </c>
      <c r="G1036" s="21" t="s">
        <v>8251</v>
      </c>
      <c r="H1036" s="28">
        <v>39296</v>
      </c>
      <c r="I1036" s="22">
        <v>2007</v>
      </c>
      <c r="J1036" s="21" t="s">
        <v>958</v>
      </c>
      <c r="K1036" s="21" t="s">
        <v>959</v>
      </c>
      <c r="L1036" s="21" t="s">
        <v>8252</v>
      </c>
      <c r="M1036" s="21" t="s">
        <v>5486</v>
      </c>
      <c r="N1036" s="21" t="s">
        <v>6820</v>
      </c>
      <c r="O1036" s="21" t="s">
        <v>8253</v>
      </c>
      <c r="P1036" s="27">
        <v>0</v>
      </c>
      <c r="Q1036" s="27">
        <v>35</v>
      </c>
      <c r="R1036" s="21" t="s">
        <v>8254</v>
      </c>
      <c r="S1036" s="21" t="s">
        <v>8255</v>
      </c>
      <c r="T1036" s="21" t="s">
        <v>966</v>
      </c>
      <c r="U1036" s="21" t="s">
        <v>8256</v>
      </c>
    </row>
    <row r="1037" spans="1:21" ht="70">
      <c r="A1037" s="21" t="s">
        <v>925</v>
      </c>
      <c r="B1037" s="21" t="s">
        <v>304</v>
      </c>
      <c r="C1037" s="21" t="s">
        <v>298</v>
      </c>
      <c r="D1037" s="21" t="s">
        <v>180</v>
      </c>
      <c r="E1037" s="21" t="s">
        <v>305</v>
      </c>
      <c r="F1037" s="21" t="s">
        <v>8257</v>
      </c>
      <c r="G1037" s="21" t="s">
        <v>8258</v>
      </c>
      <c r="H1037" s="28">
        <v>37298</v>
      </c>
      <c r="I1037" s="22">
        <v>2002</v>
      </c>
      <c r="J1037" s="21" t="s">
        <v>958</v>
      </c>
      <c r="K1037" s="21" t="s">
        <v>959</v>
      </c>
      <c r="L1037" s="21" t="s">
        <v>8259</v>
      </c>
      <c r="M1037" s="21" t="s">
        <v>5486</v>
      </c>
      <c r="N1037" s="21" t="s">
        <v>8033</v>
      </c>
      <c r="O1037" s="21" t="s">
        <v>8260</v>
      </c>
      <c r="P1037" s="27">
        <v>0</v>
      </c>
      <c r="Q1037" s="27">
        <v>34</v>
      </c>
      <c r="R1037" s="21" t="s">
        <v>8261</v>
      </c>
      <c r="S1037" s="21" t="s">
        <v>8262</v>
      </c>
      <c r="T1037" s="21" t="s">
        <v>4159</v>
      </c>
      <c r="U1037" s="21" t="s">
        <v>8263</v>
      </c>
    </row>
    <row r="1038" spans="1:21" ht="70">
      <c r="A1038" s="21" t="s">
        <v>925</v>
      </c>
      <c r="B1038" s="21" t="s">
        <v>304</v>
      </c>
      <c r="C1038" s="21" t="s">
        <v>298</v>
      </c>
      <c r="D1038" s="21" t="s">
        <v>180</v>
      </c>
      <c r="E1038" s="21" t="s">
        <v>305</v>
      </c>
      <c r="F1038" s="21" t="s">
        <v>8264</v>
      </c>
      <c r="G1038" s="21" t="s">
        <v>8265</v>
      </c>
      <c r="H1038" s="28">
        <v>39910</v>
      </c>
      <c r="I1038" s="22">
        <v>2009</v>
      </c>
      <c r="J1038" s="21" t="s">
        <v>958</v>
      </c>
      <c r="K1038" s="21" t="s">
        <v>959</v>
      </c>
      <c r="L1038" s="21" t="s">
        <v>8266</v>
      </c>
      <c r="M1038" s="21" t="s">
        <v>5486</v>
      </c>
      <c r="N1038" s="21" t="s">
        <v>6820</v>
      </c>
      <c r="O1038" s="21" t="s">
        <v>8267</v>
      </c>
      <c r="P1038" s="27">
        <v>0</v>
      </c>
      <c r="Q1038" s="27">
        <v>24</v>
      </c>
      <c r="R1038" s="21" t="s">
        <v>8268</v>
      </c>
      <c r="S1038" s="21" t="s">
        <v>8269</v>
      </c>
      <c r="T1038" s="21" t="s">
        <v>966</v>
      </c>
      <c r="U1038" s="21" t="s">
        <v>8270</v>
      </c>
    </row>
    <row r="1039" spans="1:21" ht="98">
      <c r="A1039" s="21" t="s">
        <v>925</v>
      </c>
      <c r="B1039" s="21" t="s">
        <v>304</v>
      </c>
      <c r="C1039" s="21" t="s">
        <v>298</v>
      </c>
      <c r="D1039" s="21" t="s">
        <v>180</v>
      </c>
      <c r="E1039" s="21" t="s">
        <v>305</v>
      </c>
      <c r="F1039" s="21" t="s">
        <v>8271</v>
      </c>
      <c r="G1039" s="21" t="s">
        <v>8272</v>
      </c>
      <c r="H1039" s="28">
        <v>37778</v>
      </c>
      <c r="I1039" s="22">
        <v>2003</v>
      </c>
      <c r="J1039" s="21" t="s">
        <v>958</v>
      </c>
      <c r="K1039" s="21" t="s">
        <v>959</v>
      </c>
      <c r="L1039" s="21" t="s">
        <v>8273</v>
      </c>
      <c r="M1039" s="21" t="s">
        <v>6096</v>
      </c>
      <c r="N1039" s="21" t="s">
        <v>7233</v>
      </c>
      <c r="O1039" s="21" t="s">
        <v>7603</v>
      </c>
      <c r="P1039" s="27">
        <v>0</v>
      </c>
      <c r="Q1039" s="27">
        <v>11</v>
      </c>
      <c r="R1039" s="21" t="s">
        <v>8274</v>
      </c>
      <c r="S1039" s="21" t="s">
        <v>8275</v>
      </c>
      <c r="T1039" s="21" t="s">
        <v>4159</v>
      </c>
      <c r="U1039" s="21" t="s">
        <v>8276</v>
      </c>
    </row>
    <row r="1040" spans="1:21" ht="112">
      <c r="A1040" s="21" t="s">
        <v>925</v>
      </c>
      <c r="B1040" s="21" t="s">
        <v>304</v>
      </c>
      <c r="C1040" s="21" t="s">
        <v>298</v>
      </c>
      <c r="D1040" s="21" t="s">
        <v>180</v>
      </c>
      <c r="E1040" s="21" t="s">
        <v>305</v>
      </c>
      <c r="F1040" s="21" t="s">
        <v>8277</v>
      </c>
      <c r="G1040" s="21" t="s">
        <v>8278</v>
      </c>
      <c r="H1040" s="28">
        <v>39605</v>
      </c>
      <c r="I1040" s="22">
        <v>2008</v>
      </c>
      <c r="J1040" s="21" t="s">
        <v>958</v>
      </c>
      <c r="K1040" s="21" t="s">
        <v>959</v>
      </c>
      <c r="L1040" s="21" t="s">
        <v>8279</v>
      </c>
      <c r="M1040" s="21" t="s">
        <v>5486</v>
      </c>
      <c r="N1040" s="21" t="s">
        <v>6820</v>
      </c>
      <c r="O1040" s="21" t="s">
        <v>8280</v>
      </c>
      <c r="P1040" s="27">
        <v>0</v>
      </c>
      <c r="Q1040" s="27">
        <v>53</v>
      </c>
      <c r="R1040" s="21" t="s">
        <v>8281</v>
      </c>
      <c r="S1040" s="21" t="s">
        <v>8282</v>
      </c>
      <c r="T1040" s="21" t="s">
        <v>966</v>
      </c>
      <c r="U1040" s="21" t="s">
        <v>8283</v>
      </c>
    </row>
    <row r="1041" spans="1:21" ht="140">
      <c r="A1041" s="21" t="s">
        <v>925</v>
      </c>
      <c r="B1041" s="21" t="s">
        <v>304</v>
      </c>
      <c r="C1041" s="21" t="s">
        <v>298</v>
      </c>
      <c r="D1041" s="21" t="s">
        <v>180</v>
      </c>
      <c r="E1041" s="21" t="s">
        <v>305</v>
      </c>
      <c r="F1041" s="21" t="s">
        <v>8284</v>
      </c>
      <c r="G1041" s="21" t="s">
        <v>8285</v>
      </c>
      <c r="H1041" s="28">
        <v>39218</v>
      </c>
      <c r="I1041" s="22">
        <v>2007</v>
      </c>
      <c r="J1041" s="21" t="s">
        <v>958</v>
      </c>
      <c r="K1041" s="21" t="s">
        <v>959</v>
      </c>
      <c r="L1041" s="21" t="s">
        <v>8286</v>
      </c>
      <c r="M1041" s="21" t="s">
        <v>7989</v>
      </c>
      <c r="N1041" s="21" t="s">
        <v>7769</v>
      </c>
      <c r="O1041" s="21" t="s">
        <v>8287</v>
      </c>
      <c r="P1041" s="27">
        <v>0</v>
      </c>
      <c r="Q1041" s="27">
        <v>19</v>
      </c>
      <c r="R1041" s="21" t="s">
        <v>8288</v>
      </c>
      <c r="S1041" s="21" t="s">
        <v>8289</v>
      </c>
      <c r="T1041" s="21" t="s">
        <v>966</v>
      </c>
      <c r="U1041" s="21" t="s">
        <v>8290</v>
      </c>
    </row>
    <row r="1042" spans="1:21" ht="84">
      <c r="A1042" s="21" t="s">
        <v>925</v>
      </c>
      <c r="B1042" s="21" t="s">
        <v>304</v>
      </c>
      <c r="C1042" s="21" t="s">
        <v>298</v>
      </c>
      <c r="D1042" s="21" t="s">
        <v>180</v>
      </c>
      <c r="E1042" s="21" t="s">
        <v>305</v>
      </c>
      <c r="F1042" s="21" t="s">
        <v>8291</v>
      </c>
      <c r="G1042" s="21" t="s">
        <v>8292</v>
      </c>
      <c r="H1042" s="28">
        <v>40170</v>
      </c>
      <c r="I1042" s="22">
        <v>2009</v>
      </c>
      <c r="J1042" s="21" t="s">
        <v>958</v>
      </c>
      <c r="K1042" s="21" t="s">
        <v>959</v>
      </c>
      <c r="L1042" s="21" t="s">
        <v>8293</v>
      </c>
      <c r="M1042" s="21" t="s">
        <v>5486</v>
      </c>
      <c r="N1042" s="21" t="s">
        <v>8294</v>
      </c>
      <c r="O1042" s="21" t="s">
        <v>8295</v>
      </c>
      <c r="P1042" s="27">
        <v>0</v>
      </c>
      <c r="Q1042" s="27">
        <v>29</v>
      </c>
      <c r="R1042" s="21" t="s">
        <v>8296</v>
      </c>
      <c r="S1042" s="21" t="s">
        <v>8297</v>
      </c>
      <c r="T1042" s="21" t="s">
        <v>966</v>
      </c>
      <c r="U1042" s="21" t="s">
        <v>8298</v>
      </c>
    </row>
    <row r="1043" spans="1:21" ht="28">
      <c r="A1043" s="21" t="s">
        <v>925</v>
      </c>
      <c r="B1043" s="21" t="s">
        <v>304</v>
      </c>
      <c r="C1043" s="21" t="s">
        <v>298</v>
      </c>
      <c r="D1043" s="21" t="s">
        <v>180</v>
      </c>
      <c r="E1043" s="21" t="s">
        <v>305</v>
      </c>
      <c r="F1043" s="21" t="s">
        <v>8299</v>
      </c>
      <c r="G1043" s="21" t="s">
        <v>8300</v>
      </c>
      <c r="H1043" s="28">
        <v>39960</v>
      </c>
      <c r="I1043" s="22">
        <v>2009</v>
      </c>
      <c r="J1043" s="21" t="s">
        <v>958</v>
      </c>
      <c r="K1043" s="21" t="s">
        <v>959</v>
      </c>
      <c r="L1043" s="21" t="s">
        <v>8301</v>
      </c>
      <c r="M1043" s="21" t="s">
        <v>5486</v>
      </c>
      <c r="N1043" s="21" t="s">
        <v>6820</v>
      </c>
      <c r="O1043" s="21" t="s">
        <v>8302</v>
      </c>
      <c r="P1043" s="27">
        <v>0</v>
      </c>
      <c r="Q1043" s="27">
        <v>22</v>
      </c>
      <c r="R1043" s="21" t="s">
        <v>8303</v>
      </c>
      <c r="S1043" s="21" t="s">
        <v>8304</v>
      </c>
      <c r="T1043" s="21" t="s">
        <v>966</v>
      </c>
      <c r="U1043" s="21" t="s">
        <v>8305</v>
      </c>
    </row>
    <row r="1044" spans="1:21" ht="112">
      <c r="A1044" s="21" t="s">
        <v>925</v>
      </c>
      <c r="B1044" s="21" t="s">
        <v>304</v>
      </c>
      <c r="C1044" s="21" t="s">
        <v>298</v>
      </c>
      <c r="D1044" s="21" t="s">
        <v>180</v>
      </c>
      <c r="E1044" s="21" t="s">
        <v>305</v>
      </c>
      <c r="F1044" s="21" t="s">
        <v>8306</v>
      </c>
      <c r="G1044" s="21" t="s">
        <v>8307</v>
      </c>
      <c r="H1044" s="28">
        <v>39849</v>
      </c>
      <c r="I1044" s="22">
        <v>2009</v>
      </c>
      <c r="J1044" s="21" t="s">
        <v>958</v>
      </c>
      <c r="K1044" s="21" t="s">
        <v>959</v>
      </c>
      <c r="L1044" s="21" t="s">
        <v>8308</v>
      </c>
      <c r="M1044" s="21" t="s">
        <v>5486</v>
      </c>
      <c r="N1044" s="21" t="s">
        <v>6820</v>
      </c>
      <c r="O1044" s="21" t="s">
        <v>8309</v>
      </c>
      <c r="P1044" s="27">
        <v>0</v>
      </c>
      <c r="Q1044" s="27">
        <v>28</v>
      </c>
      <c r="R1044" s="21" t="s">
        <v>8310</v>
      </c>
      <c r="S1044" s="21" t="s">
        <v>8311</v>
      </c>
      <c r="T1044" s="21" t="s">
        <v>966</v>
      </c>
      <c r="U1044" s="21" t="s">
        <v>8312</v>
      </c>
    </row>
    <row r="1045" spans="1:21" ht="70">
      <c r="A1045" s="21" t="s">
        <v>925</v>
      </c>
      <c r="B1045" s="21" t="s">
        <v>304</v>
      </c>
      <c r="C1045" s="21" t="s">
        <v>298</v>
      </c>
      <c r="D1045" s="21" t="s">
        <v>180</v>
      </c>
      <c r="E1045" s="21" t="s">
        <v>305</v>
      </c>
      <c r="F1045" s="21" t="s">
        <v>8313</v>
      </c>
      <c r="G1045" s="21" t="s">
        <v>8314</v>
      </c>
      <c r="H1045" s="28">
        <v>39660</v>
      </c>
      <c r="I1045" s="22">
        <v>2008</v>
      </c>
      <c r="J1045" s="21" t="s">
        <v>958</v>
      </c>
      <c r="K1045" s="21" t="s">
        <v>959</v>
      </c>
      <c r="L1045" s="21" t="s">
        <v>8315</v>
      </c>
      <c r="M1045" s="21" t="s">
        <v>5486</v>
      </c>
      <c r="N1045" s="21" t="s">
        <v>6820</v>
      </c>
      <c r="O1045" s="21" t="s">
        <v>8316</v>
      </c>
      <c r="P1045" s="27">
        <v>0</v>
      </c>
      <c r="Q1045" s="27">
        <v>25</v>
      </c>
      <c r="R1045" s="21" t="s">
        <v>8317</v>
      </c>
      <c r="S1045" s="21" t="s">
        <v>8318</v>
      </c>
      <c r="T1045" s="21" t="s">
        <v>966</v>
      </c>
      <c r="U1045" s="21" t="s">
        <v>8319</v>
      </c>
    </row>
    <row r="1046" spans="1:21" ht="98">
      <c r="A1046" s="21" t="s">
        <v>925</v>
      </c>
      <c r="B1046" s="21" t="s">
        <v>304</v>
      </c>
      <c r="C1046" s="21" t="s">
        <v>298</v>
      </c>
      <c r="D1046" s="21" t="s">
        <v>180</v>
      </c>
      <c r="E1046" s="21" t="s">
        <v>305</v>
      </c>
      <c r="F1046" s="21" t="s">
        <v>8320</v>
      </c>
      <c r="G1046" s="21" t="s">
        <v>8321</v>
      </c>
      <c r="H1046" s="28">
        <v>39841</v>
      </c>
      <c r="I1046" s="22">
        <v>2009</v>
      </c>
      <c r="J1046" s="21" t="s">
        <v>958</v>
      </c>
      <c r="K1046" s="21" t="s">
        <v>959</v>
      </c>
      <c r="L1046" s="21" t="s">
        <v>8322</v>
      </c>
      <c r="M1046" s="21" t="s">
        <v>5486</v>
      </c>
      <c r="N1046" s="21" t="s">
        <v>6820</v>
      </c>
      <c r="O1046" s="21" t="s">
        <v>8323</v>
      </c>
      <c r="P1046" s="27">
        <v>0</v>
      </c>
      <c r="Q1046" s="27">
        <v>28</v>
      </c>
      <c r="R1046" s="21" t="s">
        <v>8324</v>
      </c>
      <c r="S1046" s="21" t="s">
        <v>8325</v>
      </c>
      <c r="T1046" s="21" t="s">
        <v>966</v>
      </c>
      <c r="U1046" s="21" t="s">
        <v>8326</v>
      </c>
    </row>
    <row r="1047" spans="1:21" ht="350">
      <c r="A1047" s="21" t="s">
        <v>925</v>
      </c>
      <c r="B1047" s="21" t="s">
        <v>304</v>
      </c>
      <c r="C1047" s="21" t="s">
        <v>298</v>
      </c>
      <c r="D1047" s="21" t="s">
        <v>180</v>
      </c>
      <c r="E1047" s="21" t="s">
        <v>305</v>
      </c>
      <c r="F1047" s="21" t="s">
        <v>8327</v>
      </c>
      <c r="G1047" s="21" t="s">
        <v>8328</v>
      </c>
      <c r="H1047" s="28">
        <v>39238</v>
      </c>
      <c r="I1047" s="22">
        <v>2007</v>
      </c>
      <c r="J1047" s="21" t="s">
        <v>958</v>
      </c>
      <c r="K1047" s="21" t="s">
        <v>959</v>
      </c>
      <c r="L1047" s="21" t="s">
        <v>8329</v>
      </c>
      <c r="M1047" s="21" t="s">
        <v>5486</v>
      </c>
      <c r="N1047" s="21" t="s">
        <v>6820</v>
      </c>
      <c r="O1047" s="21" t="s">
        <v>8330</v>
      </c>
      <c r="P1047" s="27">
        <v>0</v>
      </c>
      <c r="Q1047" s="27">
        <v>28</v>
      </c>
      <c r="R1047" s="21" t="s">
        <v>8331</v>
      </c>
      <c r="S1047" s="21" t="s">
        <v>8332</v>
      </c>
      <c r="T1047" s="21" t="s">
        <v>966</v>
      </c>
      <c r="U1047" s="21" t="s">
        <v>8333</v>
      </c>
    </row>
    <row r="1048" spans="1:21" ht="112">
      <c r="A1048" s="21" t="s">
        <v>925</v>
      </c>
      <c r="B1048" s="21" t="s">
        <v>304</v>
      </c>
      <c r="C1048" s="21" t="s">
        <v>298</v>
      </c>
      <c r="D1048" s="21" t="s">
        <v>180</v>
      </c>
      <c r="E1048" s="21" t="s">
        <v>305</v>
      </c>
      <c r="F1048" s="21" t="s">
        <v>8334</v>
      </c>
      <c r="G1048" s="21" t="s">
        <v>8335</v>
      </c>
      <c r="H1048" s="28">
        <v>39811</v>
      </c>
      <c r="I1048" s="22">
        <v>2008</v>
      </c>
      <c r="J1048" s="21" t="s">
        <v>958</v>
      </c>
      <c r="K1048" s="21" t="s">
        <v>959</v>
      </c>
      <c r="L1048" s="21" t="s">
        <v>8336</v>
      </c>
      <c r="M1048" s="21" t="s">
        <v>5486</v>
      </c>
      <c r="N1048" s="21" t="s">
        <v>6820</v>
      </c>
      <c r="O1048" s="21" t="s">
        <v>8337</v>
      </c>
      <c r="P1048" s="27">
        <v>0</v>
      </c>
      <c r="Q1048" s="27">
        <v>45</v>
      </c>
      <c r="R1048" s="21" t="s">
        <v>8338</v>
      </c>
      <c r="S1048" s="21" t="s">
        <v>8339</v>
      </c>
      <c r="T1048" s="21" t="s">
        <v>966</v>
      </c>
      <c r="U1048" s="21" t="s">
        <v>8340</v>
      </c>
    </row>
    <row r="1049" spans="1:21" ht="42">
      <c r="A1049" s="21" t="s">
        <v>925</v>
      </c>
      <c r="B1049" s="21" t="s">
        <v>304</v>
      </c>
      <c r="C1049" s="21" t="s">
        <v>298</v>
      </c>
      <c r="D1049" s="21" t="s">
        <v>180</v>
      </c>
      <c r="E1049" s="21" t="s">
        <v>305</v>
      </c>
      <c r="F1049" s="21" t="s">
        <v>8341</v>
      </c>
      <c r="G1049" s="21" t="s">
        <v>8342</v>
      </c>
      <c r="H1049" s="28">
        <v>39766</v>
      </c>
      <c r="I1049" s="22">
        <v>2008</v>
      </c>
      <c r="J1049" s="21" t="s">
        <v>958</v>
      </c>
      <c r="K1049" s="21" t="s">
        <v>959</v>
      </c>
      <c r="L1049" s="21" t="s">
        <v>8343</v>
      </c>
      <c r="M1049" s="21" t="s">
        <v>5486</v>
      </c>
      <c r="N1049" s="21" t="s">
        <v>6820</v>
      </c>
      <c r="O1049" s="21" t="s">
        <v>8344</v>
      </c>
      <c r="P1049" s="27">
        <v>0</v>
      </c>
      <c r="Q1049" s="27">
        <v>12</v>
      </c>
      <c r="R1049" s="21" t="s">
        <v>8345</v>
      </c>
      <c r="S1049" s="21" t="s">
        <v>8346</v>
      </c>
      <c r="T1049" s="21" t="s">
        <v>966</v>
      </c>
      <c r="U1049" s="21" t="s">
        <v>8347</v>
      </c>
    </row>
    <row r="1050" spans="1:21" ht="196">
      <c r="A1050" s="21" t="s">
        <v>925</v>
      </c>
      <c r="B1050" s="21" t="s">
        <v>304</v>
      </c>
      <c r="C1050" s="21" t="s">
        <v>298</v>
      </c>
      <c r="D1050" s="21" t="s">
        <v>180</v>
      </c>
      <c r="E1050" s="21" t="s">
        <v>305</v>
      </c>
      <c r="F1050" s="21" t="s">
        <v>8348</v>
      </c>
      <c r="G1050" s="21" t="s">
        <v>8349</v>
      </c>
      <c r="H1050" s="28">
        <v>38940</v>
      </c>
      <c r="I1050" s="22">
        <v>2006</v>
      </c>
      <c r="J1050" s="21" t="s">
        <v>958</v>
      </c>
      <c r="K1050" s="21" t="s">
        <v>959</v>
      </c>
      <c r="L1050" s="21" t="s">
        <v>8350</v>
      </c>
      <c r="M1050" s="21" t="s">
        <v>5486</v>
      </c>
      <c r="N1050" s="21" t="s">
        <v>6820</v>
      </c>
      <c r="O1050" s="21" t="s">
        <v>8351</v>
      </c>
      <c r="P1050" s="27">
        <v>0</v>
      </c>
      <c r="Q1050" s="27">
        <v>51</v>
      </c>
      <c r="R1050" s="21" t="s">
        <v>8352</v>
      </c>
      <c r="S1050" s="21" t="s">
        <v>8353</v>
      </c>
      <c r="T1050" s="21" t="s">
        <v>966</v>
      </c>
      <c r="U1050" s="21" t="s">
        <v>8354</v>
      </c>
    </row>
    <row r="1051" spans="1:21" ht="56">
      <c r="A1051" s="21" t="s">
        <v>925</v>
      </c>
      <c r="B1051" s="21" t="s">
        <v>304</v>
      </c>
      <c r="C1051" s="21" t="s">
        <v>298</v>
      </c>
      <c r="D1051" s="21" t="s">
        <v>180</v>
      </c>
      <c r="E1051" s="21" t="s">
        <v>305</v>
      </c>
      <c r="F1051" s="21" t="s">
        <v>8355</v>
      </c>
      <c r="G1051" s="21" t="s">
        <v>8356</v>
      </c>
      <c r="H1051" s="28">
        <v>39497</v>
      </c>
      <c r="I1051" s="22">
        <v>2008</v>
      </c>
      <c r="J1051" s="21" t="s">
        <v>958</v>
      </c>
      <c r="K1051" s="21" t="s">
        <v>959</v>
      </c>
      <c r="L1051" s="21" t="s">
        <v>8357</v>
      </c>
      <c r="M1051" s="21" t="s">
        <v>5486</v>
      </c>
      <c r="N1051" s="21" t="s">
        <v>6820</v>
      </c>
      <c r="O1051" s="21" t="s">
        <v>8358</v>
      </c>
      <c r="P1051" s="27">
        <v>0</v>
      </c>
      <c r="Q1051" s="27">
        <v>27</v>
      </c>
      <c r="R1051" s="21" t="s">
        <v>8359</v>
      </c>
      <c r="S1051" s="21" t="s">
        <v>8360</v>
      </c>
      <c r="T1051" s="21" t="s">
        <v>966</v>
      </c>
      <c r="U1051" s="21" t="s">
        <v>8361</v>
      </c>
    </row>
    <row r="1052" spans="1:21" ht="42">
      <c r="A1052" s="21" t="s">
        <v>925</v>
      </c>
      <c r="B1052" s="21" t="s">
        <v>304</v>
      </c>
      <c r="C1052" s="21" t="s">
        <v>298</v>
      </c>
      <c r="D1052" s="21" t="s">
        <v>180</v>
      </c>
      <c r="E1052" s="21" t="s">
        <v>305</v>
      </c>
      <c r="F1052" s="21" t="s">
        <v>8362</v>
      </c>
      <c r="G1052" s="21" t="s">
        <v>8363</v>
      </c>
      <c r="H1052" s="28">
        <v>38932</v>
      </c>
      <c r="I1052" s="22">
        <v>2006</v>
      </c>
      <c r="J1052" s="21" t="s">
        <v>958</v>
      </c>
      <c r="K1052" s="21" t="s">
        <v>959</v>
      </c>
      <c r="L1052" s="21" t="s">
        <v>8364</v>
      </c>
      <c r="M1052" s="21" t="s">
        <v>5486</v>
      </c>
      <c r="N1052" s="21" t="s">
        <v>6820</v>
      </c>
      <c r="O1052" s="21" t="s">
        <v>8365</v>
      </c>
      <c r="P1052" s="27">
        <v>0</v>
      </c>
      <c r="Q1052" s="27">
        <v>14</v>
      </c>
      <c r="R1052" s="21" t="s">
        <v>8366</v>
      </c>
      <c r="S1052" s="21" t="s">
        <v>8367</v>
      </c>
      <c r="T1052" s="21" t="s">
        <v>966</v>
      </c>
      <c r="U1052" s="21" t="s">
        <v>8368</v>
      </c>
    </row>
    <row r="1053" spans="1:21" ht="294">
      <c r="A1053" s="21" t="s">
        <v>925</v>
      </c>
      <c r="B1053" s="21" t="s">
        <v>304</v>
      </c>
      <c r="C1053" s="21" t="s">
        <v>298</v>
      </c>
      <c r="D1053" s="21" t="s">
        <v>180</v>
      </c>
      <c r="E1053" s="21" t="s">
        <v>305</v>
      </c>
      <c r="F1053" s="21" t="s">
        <v>8369</v>
      </c>
      <c r="G1053" s="21" t="s">
        <v>8370</v>
      </c>
      <c r="H1053" s="28">
        <v>38896</v>
      </c>
      <c r="I1053" s="22">
        <v>2006</v>
      </c>
      <c r="J1053" s="21" t="s">
        <v>958</v>
      </c>
      <c r="K1053" s="21" t="s">
        <v>959</v>
      </c>
      <c r="L1053" s="21" t="s">
        <v>8371</v>
      </c>
      <c r="M1053" s="21" t="s">
        <v>5486</v>
      </c>
      <c r="N1053" s="21" t="s">
        <v>6820</v>
      </c>
      <c r="O1053" s="21" t="s">
        <v>8372</v>
      </c>
      <c r="P1053" s="27">
        <v>0</v>
      </c>
      <c r="Q1053" s="27">
        <v>19</v>
      </c>
      <c r="R1053" s="21" t="s">
        <v>8373</v>
      </c>
      <c r="S1053" s="21" t="s">
        <v>8374</v>
      </c>
      <c r="T1053" s="21" t="s">
        <v>966</v>
      </c>
      <c r="U1053" s="21" t="s">
        <v>8375</v>
      </c>
    </row>
    <row r="1054" spans="1:21" ht="42">
      <c r="A1054" s="21" t="s">
        <v>925</v>
      </c>
      <c r="B1054" s="21" t="s">
        <v>304</v>
      </c>
      <c r="C1054" s="21" t="s">
        <v>298</v>
      </c>
      <c r="D1054" s="21" t="s">
        <v>180</v>
      </c>
      <c r="E1054" s="21" t="s">
        <v>305</v>
      </c>
      <c r="F1054" s="21" t="s">
        <v>8376</v>
      </c>
      <c r="G1054" s="21" t="s">
        <v>8377</v>
      </c>
      <c r="H1054" s="28">
        <v>39297</v>
      </c>
      <c r="I1054" s="22">
        <v>2007</v>
      </c>
      <c r="J1054" s="21" t="s">
        <v>958</v>
      </c>
      <c r="K1054" s="21" t="s">
        <v>959</v>
      </c>
      <c r="L1054" s="21" t="s">
        <v>8378</v>
      </c>
      <c r="M1054" s="21" t="s">
        <v>5486</v>
      </c>
      <c r="N1054" s="21" t="s">
        <v>6820</v>
      </c>
      <c r="O1054" s="21" t="s">
        <v>8379</v>
      </c>
      <c r="P1054" s="27">
        <v>0</v>
      </c>
      <c r="Q1054" s="27">
        <v>11</v>
      </c>
      <c r="R1054" s="21" t="s">
        <v>8380</v>
      </c>
      <c r="S1054" s="21" t="s">
        <v>8381</v>
      </c>
      <c r="T1054" s="21" t="s">
        <v>966</v>
      </c>
      <c r="U1054" s="21" t="s">
        <v>8382</v>
      </c>
    </row>
    <row r="1055" spans="1:21" ht="98">
      <c r="A1055" s="21" t="s">
        <v>925</v>
      </c>
      <c r="B1055" s="21" t="s">
        <v>304</v>
      </c>
      <c r="C1055" s="21" t="s">
        <v>298</v>
      </c>
      <c r="D1055" s="21" t="s">
        <v>180</v>
      </c>
      <c r="E1055" s="21" t="s">
        <v>305</v>
      </c>
      <c r="F1055" s="21" t="s">
        <v>8383</v>
      </c>
      <c r="G1055" s="21" t="s">
        <v>8384</v>
      </c>
      <c r="H1055" s="28">
        <v>38973</v>
      </c>
      <c r="I1055" s="22">
        <v>2006</v>
      </c>
      <c r="J1055" s="21" t="s">
        <v>958</v>
      </c>
      <c r="K1055" s="21" t="s">
        <v>959</v>
      </c>
      <c r="L1055" s="21" t="s">
        <v>8385</v>
      </c>
      <c r="M1055" s="21" t="s">
        <v>5486</v>
      </c>
      <c r="N1055" s="21" t="s">
        <v>6820</v>
      </c>
      <c r="O1055" s="21" t="s">
        <v>8386</v>
      </c>
      <c r="P1055" s="27">
        <v>0</v>
      </c>
      <c r="Q1055" s="27">
        <v>30</v>
      </c>
      <c r="R1055" s="21" t="s">
        <v>8387</v>
      </c>
      <c r="S1055" s="21" t="s">
        <v>8388</v>
      </c>
      <c r="T1055" s="21" t="s">
        <v>966</v>
      </c>
      <c r="U1055" s="21" t="s">
        <v>8389</v>
      </c>
    </row>
    <row r="1056" spans="1:21" ht="126">
      <c r="A1056" s="21" t="s">
        <v>925</v>
      </c>
      <c r="B1056" s="21" t="s">
        <v>304</v>
      </c>
      <c r="C1056" s="21" t="s">
        <v>298</v>
      </c>
      <c r="D1056" s="21" t="s">
        <v>180</v>
      </c>
      <c r="E1056" s="21" t="s">
        <v>305</v>
      </c>
      <c r="F1056" s="21" t="s">
        <v>8390</v>
      </c>
      <c r="G1056" s="21" t="s">
        <v>8391</v>
      </c>
      <c r="H1056" s="28">
        <v>39266</v>
      </c>
      <c r="I1056" s="22">
        <v>2007</v>
      </c>
      <c r="J1056" s="21" t="s">
        <v>958</v>
      </c>
      <c r="K1056" s="21" t="s">
        <v>959</v>
      </c>
      <c r="L1056" s="21" t="s">
        <v>8392</v>
      </c>
      <c r="M1056" s="21" t="s">
        <v>5486</v>
      </c>
      <c r="N1056" s="21" t="s">
        <v>6820</v>
      </c>
      <c r="O1056" s="21" t="s">
        <v>8393</v>
      </c>
      <c r="P1056" s="27">
        <v>0</v>
      </c>
      <c r="Q1056" s="27">
        <v>16</v>
      </c>
      <c r="R1056" s="21" t="s">
        <v>8394</v>
      </c>
      <c r="S1056" s="21" t="s">
        <v>8395</v>
      </c>
      <c r="T1056" s="21" t="s">
        <v>966</v>
      </c>
      <c r="U1056" s="21" t="s">
        <v>8396</v>
      </c>
    </row>
    <row r="1057" spans="1:21" ht="112">
      <c r="A1057" s="21" t="s">
        <v>925</v>
      </c>
      <c r="B1057" s="21" t="s">
        <v>304</v>
      </c>
      <c r="C1057" s="21" t="s">
        <v>298</v>
      </c>
      <c r="D1057" s="21" t="s">
        <v>180</v>
      </c>
      <c r="E1057" s="21" t="s">
        <v>305</v>
      </c>
      <c r="F1057" s="21" t="s">
        <v>8397</v>
      </c>
      <c r="G1057" s="21" t="s">
        <v>8398</v>
      </c>
      <c r="H1057" s="28">
        <v>39625</v>
      </c>
      <c r="I1057" s="22">
        <v>2008</v>
      </c>
      <c r="J1057" s="21" t="s">
        <v>958</v>
      </c>
      <c r="K1057" s="21" t="s">
        <v>959</v>
      </c>
      <c r="L1057" s="21" t="s">
        <v>8399</v>
      </c>
      <c r="M1057" s="21" t="s">
        <v>7360</v>
      </c>
      <c r="N1057" s="21" t="s">
        <v>7769</v>
      </c>
      <c r="O1057" s="21" t="s">
        <v>8400</v>
      </c>
      <c r="P1057" s="27">
        <v>0</v>
      </c>
      <c r="Q1057" s="27">
        <v>19</v>
      </c>
      <c r="R1057" s="21" t="s">
        <v>8401</v>
      </c>
      <c r="S1057" s="21" t="s">
        <v>7364</v>
      </c>
      <c r="T1057" s="21" t="s">
        <v>966</v>
      </c>
      <c r="U1057" s="21" t="s">
        <v>8402</v>
      </c>
    </row>
    <row r="1058" spans="1:21" ht="56">
      <c r="A1058" s="21" t="s">
        <v>925</v>
      </c>
      <c r="B1058" s="21" t="s">
        <v>304</v>
      </c>
      <c r="C1058" s="21" t="s">
        <v>298</v>
      </c>
      <c r="D1058" s="21" t="s">
        <v>180</v>
      </c>
      <c r="E1058" s="21" t="s">
        <v>305</v>
      </c>
      <c r="F1058" s="21" t="s">
        <v>8403</v>
      </c>
      <c r="G1058" s="21" t="s">
        <v>8404</v>
      </c>
      <c r="H1058" s="28">
        <v>39793</v>
      </c>
      <c r="I1058" s="22">
        <v>2008</v>
      </c>
      <c r="J1058" s="21" t="s">
        <v>958</v>
      </c>
      <c r="K1058" s="21" t="s">
        <v>959</v>
      </c>
      <c r="L1058" s="21" t="s">
        <v>8405</v>
      </c>
      <c r="M1058" s="21" t="s">
        <v>5486</v>
      </c>
      <c r="N1058" s="21" t="s">
        <v>6820</v>
      </c>
      <c r="O1058" s="21" t="s">
        <v>8406</v>
      </c>
      <c r="P1058" s="27">
        <v>0</v>
      </c>
      <c r="Q1058" s="27">
        <v>41</v>
      </c>
      <c r="R1058" s="21" t="s">
        <v>8407</v>
      </c>
      <c r="S1058" s="21" t="s">
        <v>8408</v>
      </c>
      <c r="T1058" s="21" t="s">
        <v>966</v>
      </c>
      <c r="U1058" s="21" t="s">
        <v>8409</v>
      </c>
    </row>
    <row r="1059" spans="1:21" ht="154">
      <c r="A1059" s="21" t="s">
        <v>925</v>
      </c>
      <c r="B1059" s="21" t="s">
        <v>304</v>
      </c>
      <c r="C1059" s="21" t="s">
        <v>298</v>
      </c>
      <c r="D1059" s="21" t="s">
        <v>180</v>
      </c>
      <c r="E1059" s="21" t="s">
        <v>305</v>
      </c>
      <c r="F1059" s="21" t="s">
        <v>8410</v>
      </c>
      <c r="G1059" s="21" t="s">
        <v>8411</v>
      </c>
      <c r="H1059" s="28">
        <v>40207</v>
      </c>
      <c r="I1059" s="22">
        <v>2010</v>
      </c>
      <c r="J1059" s="21" t="s">
        <v>958</v>
      </c>
      <c r="K1059" s="21" t="s">
        <v>959</v>
      </c>
      <c r="L1059" s="21" t="s">
        <v>8412</v>
      </c>
      <c r="M1059" s="21" t="s">
        <v>6096</v>
      </c>
      <c r="N1059" s="21" t="s">
        <v>7233</v>
      </c>
      <c r="O1059" s="21" t="s">
        <v>8413</v>
      </c>
      <c r="P1059" s="27">
        <v>0</v>
      </c>
      <c r="Q1059" s="27">
        <v>18</v>
      </c>
      <c r="R1059" s="21" t="s">
        <v>8414</v>
      </c>
      <c r="S1059" s="21" t="s">
        <v>8415</v>
      </c>
      <c r="T1059" s="21" t="s">
        <v>966</v>
      </c>
      <c r="U1059" s="21" t="s">
        <v>8416</v>
      </c>
    </row>
    <row r="1060" spans="1:21" ht="112">
      <c r="A1060" s="21" t="s">
        <v>925</v>
      </c>
      <c r="B1060" s="21" t="s">
        <v>304</v>
      </c>
      <c r="C1060" s="21" t="s">
        <v>298</v>
      </c>
      <c r="D1060" s="21" t="s">
        <v>180</v>
      </c>
      <c r="E1060" s="21" t="s">
        <v>305</v>
      </c>
      <c r="F1060" s="21" t="s">
        <v>8417</v>
      </c>
      <c r="G1060" s="21" t="s">
        <v>8418</v>
      </c>
      <c r="H1060" s="28">
        <v>38364</v>
      </c>
      <c r="I1060" s="22">
        <v>2005</v>
      </c>
      <c r="J1060" s="21" t="s">
        <v>958</v>
      </c>
      <c r="K1060" s="21" t="s">
        <v>959</v>
      </c>
      <c r="L1060" s="21" t="s">
        <v>8419</v>
      </c>
      <c r="M1060" s="21" t="s">
        <v>5486</v>
      </c>
      <c r="N1060" s="21" t="s">
        <v>6820</v>
      </c>
      <c r="O1060" s="21" t="s">
        <v>8420</v>
      </c>
      <c r="P1060" s="27">
        <v>0</v>
      </c>
      <c r="Q1060" s="27">
        <v>34</v>
      </c>
      <c r="R1060" s="21" t="s">
        <v>8421</v>
      </c>
      <c r="S1060" s="21" t="s">
        <v>8422</v>
      </c>
      <c r="T1060" s="21" t="s">
        <v>4159</v>
      </c>
      <c r="U1060" s="21" t="s">
        <v>8423</v>
      </c>
    </row>
    <row r="1061" spans="1:21" ht="42">
      <c r="A1061" s="21" t="s">
        <v>925</v>
      </c>
      <c r="B1061" s="21" t="s">
        <v>304</v>
      </c>
      <c r="C1061" s="21" t="s">
        <v>298</v>
      </c>
      <c r="D1061" s="21" t="s">
        <v>180</v>
      </c>
      <c r="E1061" s="21" t="s">
        <v>305</v>
      </c>
      <c r="F1061" s="21" t="s">
        <v>8424</v>
      </c>
      <c r="G1061" s="21" t="s">
        <v>8425</v>
      </c>
      <c r="H1061" s="28">
        <v>39792</v>
      </c>
      <c r="I1061" s="22">
        <v>2008</v>
      </c>
      <c r="J1061" s="21" t="s">
        <v>958</v>
      </c>
      <c r="K1061" s="21" t="s">
        <v>959</v>
      </c>
      <c r="L1061" s="21" t="s">
        <v>8426</v>
      </c>
      <c r="M1061" s="21" t="s">
        <v>5486</v>
      </c>
      <c r="N1061" s="21" t="s">
        <v>6820</v>
      </c>
      <c r="O1061" s="21" t="s">
        <v>8427</v>
      </c>
      <c r="P1061" s="27">
        <v>0</v>
      </c>
      <c r="Q1061" s="27">
        <v>39</v>
      </c>
      <c r="R1061" s="21" t="s">
        <v>8428</v>
      </c>
      <c r="S1061" s="21" t="s">
        <v>8429</v>
      </c>
      <c r="T1061" s="21" t="s">
        <v>966</v>
      </c>
      <c r="U1061" s="21" t="s">
        <v>8430</v>
      </c>
    </row>
    <row r="1062" spans="1:21" ht="84">
      <c r="A1062" s="21" t="s">
        <v>925</v>
      </c>
      <c r="B1062" s="21" t="s">
        <v>304</v>
      </c>
      <c r="C1062" s="21" t="s">
        <v>298</v>
      </c>
      <c r="D1062" s="21" t="s">
        <v>180</v>
      </c>
      <c r="E1062" s="21" t="s">
        <v>305</v>
      </c>
      <c r="F1062" s="21" t="s">
        <v>8431</v>
      </c>
      <c r="G1062" s="21" t="s">
        <v>8432</v>
      </c>
      <c r="H1062" s="28">
        <v>40662</v>
      </c>
      <c r="I1062" s="22">
        <v>2011</v>
      </c>
      <c r="J1062" s="21" t="s">
        <v>958</v>
      </c>
      <c r="K1062" s="21" t="s">
        <v>998</v>
      </c>
      <c r="L1062" s="21" t="s">
        <v>8433</v>
      </c>
      <c r="M1062" s="21" t="s">
        <v>5486</v>
      </c>
      <c r="N1062" s="21" t="s">
        <v>8434</v>
      </c>
      <c r="O1062" s="21" t="s">
        <v>8435</v>
      </c>
      <c r="P1062" s="27">
        <v>8</v>
      </c>
      <c r="Q1062" s="27">
        <v>4</v>
      </c>
      <c r="R1062" s="21" t="s">
        <v>8436</v>
      </c>
      <c r="S1062" s="21" t="s">
        <v>8437</v>
      </c>
      <c r="T1062" s="21" t="s">
        <v>1148</v>
      </c>
      <c r="U1062" s="21" t="s">
        <v>8438</v>
      </c>
    </row>
    <row r="1063" spans="1:21" ht="56">
      <c r="A1063" s="21" t="s">
        <v>925</v>
      </c>
      <c r="B1063" s="21" t="s">
        <v>304</v>
      </c>
      <c r="C1063" s="21" t="s">
        <v>298</v>
      </c>
      <c r="D1063" s="21" t="s">
        <v>180</v>
      </c>
      <c r="E1063" s="21" t="s">
        <v>305</v>
      </c>
      <c r="F1063" s="21" t="s">
        <v>8439</v>
      </c>
      <c r="G1063" s="21" t="s">
        <v>8440</v>
      </c>
      <c r="H1063" s="28">
        <v>39792</v>
      </c>
      <c r="I1063" s="22">
        <v>2008</v>
      </c>
      <c r="J1063" s="21" t="s">
        <v>958</v>
      </c>
      <c r="K1063" s="21" t="s">
        <v>959</v>
      </c>
      <c r="L1063" s="21" t="s">
        <v>8441</v>
      </c>
      <c r="M1063" s="21" t="s">
        <v>5486</v>
      </c>
      <c r="N1063" s="21" t="s">
        <v>6820</v>
      </c>
      <c r="O1063" s="21" t="s">
        <v>8442</v>
      </c>
      <c r="P1063" s="27">
        <v>0</v>
      </c>
      <c r="Q1063" s="27">
        <v>39</v>
      </c>
      <c r="R1063" s="21" t="s">
        <v>8443</v>
      </c>
      <c r="S1063" s="21" t="s">
        <v>8444</v>
      </c>
      <c r="T1063" s="21" t="s">
        <v>966</v>
      </c>
      <c r="U1063" s="21" t="s">
        <v>8445</v>
      </c>
    </row>
    <row r="1064" spans="1:21" ht="56">
      <c r="A1064" s="21" t="s">
        <v>925</v>
      </c>
      <c r="B1064" s="21" t="s">
        <v>304</v>
      </c>
      <c r="C1064" s="21" t="s">
        <v>298</v>
      </c>
      <c r="D1064" s="21" t="s">
        <v>180</v>
      </c>
      <c r="E1064" s="21" t="s">
        <v>305</v>
      </c>
      <c r="F1064" s="21" t="s">
        <v>8446</v>
      </c>
      <c r="G1064" s="21" t="s">
        <v>8447</v>
      </c>
      <c r="H1064" s="28">
        <v>39295</v>
      </c>
      <c r="I1064" s="22">
        <v>2007</v>
      </c>
      <c r="J1064" s="21" t="s">
        <v>958</v>
      </c>
      <c r="K1064" s="21" t="s">
        <v>959</v>
      </c>
      <c r="L1064" s="21" t="s">
        <v>8448</v>
      </c>
      <c r="M1064" s="21" t="s">
        <v>5486</v>
      </c>
      <c r="N1064" s="21" t="s">
        <v>6820</v>
      </c>
      <c r="O1064" s="21" t="s">
        <v>8449</v>
      </c>
      <c r="P1064" s="27">
        <v>0</v>
      </c>
      <c r="Q1064" s="27">
        <v>20</v>
      </c>
      <c r="R1064" s="21" t="s">
        <v>8450</v>
      </c>
      <c r="S1064" s="21" t="s">
        <v>8451</v>
      </c>
      <c r="T1064" s="21" t="s">
        <v>966</v>
      </c>
      <c r="U1064" s="21" t="s">
        <v>8452</v>
      </c>
    </row>
    <row r="1065" spans="1:21" ht="70">
      <c r="A1065" s="21" t="s">
        <v>925</v>
      </c>
      <c r="B1065" s="21" t="s">
        <v>304</v>
      </c>
      <c r="C1065" s="21" t="s">
        <v>298</v>
      </c>
      <c r="D1065" s="21" t="s">
        <v>180</v>
      </c>
      <c r="E1065" s="21" t="s">
        <v>305</v>
      </c>
      <c r="F1065" s="21" t="s">
        <v>8453</v>
      </c>
      <c r="G1065" s="21" t="s">
        <v>8454</v>
      </c>
      <c r="H1065" s="28">
        <v>37606</v>
      </c>
      <c r="I1065" s="22">
        <v>2002</v>
      </c>
      <c r="J1065" s="21" t="s">
        <v>958</v>
      </c>
      <c r="K1065" s="21" t="s">
        <v>959</v>
      </c>
      <c r="L1065" s="21" t="s">
        <v>8455</v>
      </c>
      <c r="M1065" s="21" t="s">
        <v>7360</v>
      </c>
      <c r="N1065" s="21" t="s">
        <v>8456</v>
      </c>
      <c r="O1065" s="21" t="s">
        <v>8457</v>
      </c>
      <c r="P1065" s="27">
        <v>0</v>
      </c>
      <c r="Q1065" s="27">
        <v>22</v>
      </c>
      <c r="R1065" s="21" t="s">
        <v>8458</v>
      </c>
      <c r="S1065" s="21" t="s">
        <v>8459</v>
      </c>
      <c r="T1065" s="21" t="s">
        <v>4159</v>
      </c>
      <c r="U1065" s="21" t="s">
        <v>8460</v>
      </c>
    </row>
    <row r="1066" spans="1:21" ht="70">
      <c r="A1066" s="21" t="s">
        <v>925</v>
      </c>
      <c r="B1066" s="21" t="s">
        <v>304</v>
      </c>
      <c r="C1066" s="21" t="s">
        <v>298</v>
      </c>
      <c r="D1066" s="21" t="s">
        <v>180</v>
      </c>
      <c r="E1066" s="21" t="s">
        <v>305</v>
      </c>
      <c r="F1066" s="21" t="s">
        <v>8461</v>
      </c>
      <c r="G1066" s="21" t="s">
        <v>8462</v>
      </c>
      <c r="H1066" s="28">
        <v>39799</v>
      </c>
      <c r="I1066" s="22">
        <v>2008</v>
      </c>
      <c r="J1066" s="21" t="s">
        <v>958</v>
      </c>
      <c r="K1066" s="21" t="s">
        <v>959</v>
      </c>
      <c r="L1066" s="21" t="s">
        <v>8463</v>
      </c>
      <c r="M1066" s="21" t="s">
        <v>5486</v>
      </c>
      <c r="N1066" s="21" t="s">
        <v>8464</v>
      </c>
      <c r="O1066" s="21" t="s">
        <v>8465</v>
      </c>
      <c r="P1066" s="27">
        <v>0</v>
      </c>
      <c r="Q1066" s="27">
        <v>39</v>
      </c>
      <c r="R1066" s="21" t="s">
        <v>8466</v>
      </c>
      <c r="S1066" s="21" t="s">
        <v>8467</v>
      </c>
      <c r="T1066" s="21" t="s">
        <v>966</v>
      </c>
      <c r="U1066" s="21" t="s">
        <v>8468</v>
      </c>
    </row>
    <row r="1067" spans="1:21" ht="84">
      <c r="A1067" s="21" t="s">
        <v>925</v>
      </c>
      <c r="B1067" s="21" t="s">
        <v>304</v>
      </c>
      <c r="C1067" s="21" t="s">
        <v>298</v>
      </c>
      <c r="D1067" s="21" t="s">
        <v>180</v>
      </c>
      <c r="E1067" s="21" t="s">
        <v>305</v>
      </c>
      <c r="F1067" s="21" t="s">
        <v>8469</v>
      </c>
      <c r="G1067" s="21" t="s">
        <v>8470</v>
      </c>
      <c r="H1067" s="28">
        <v>39449</v>
      </c>
      <c r="I1067" s="22">
        <v>2008</v>
      </c>
      <c r="J1067" s="21" t="s">
        <v>958</v>
      </c>
      <c r="K1067" s="21" t="s">
        <v>959</v>
      </c>
      <c r="L1067" s="21" t="s">
        <v>8471</v>
      </c>
      <c r="M1067" s="21" t="s">
        <v>5486</v>
      </c>
      <c r="N1067" s="21" t="s">
        <v>6820</v>
      </c>
      <c r="O1067" s="21" t="s">
        <v>8472</v>
      </c>
      <c r="P1067" s="27">
        <v>0</v>
      </c>
      <c r="Q1067" s="27">
        <v>39</v>
      </c>
      <c r="R1067" s="21" t="s">
        <v>8473</v>
      </c>
      <c r="S1067" s="21" t="s">
        <v>8474</v>
      </c>
      <c r="T1067" s="21" t="s">
        <v>966</v>
      </c>
      <c r="U1067" s="21" t="s">
        <v>8475</v>
      </c>
    </row>
    <row r="1068" spans="1:21" ht="42">
      <c r="A1068" s="21" t="s">
        <v>925</v>
      </c>
      <c r="B1068" s="21" t="s">
        <v>304</v>
      </c>
      <c r="C1068" s="21" t="s">
        <v>298</v>
      </c>
      <c r="D1068" s="21" t="s">
        <v>180</v>
      </c>
      <c r="E1068" s="21" t="s">
        <v>305</v>
      </c>
      <c r="F1068" s="21" t="s">
        <v>8476</v>
      </c>
      <c r="G1068" s="21" t="s">
        <v>8477</v>
      </c>
      <c r="H1068" s="28">
        <v>39960</v>
      </c>
      <c r="I1068" s="22">
        <v>2009</v>
      </c>
      <c r="J1068" s="21" t="s">
        <v>958</v>
      </c>
      <c r="K1068" s="21" t="s">
        <v>959</v>
      </c>
      <c r="L1068" s="21" t="s">
        <v>8478</v>
      </c>
      <c r="M1068" s="21" t="s">
        <v>5486</v>
      </c>
      <c r="N1068" s="21" t="s">
        <v>6820</v>
      </c>
      <c r="O1068" s="21" t="s">
        <v>8479</v>
      </c>
      <c r="P1068" s="27">
        <v>0</v>
      </c>
      <c r="Q1068" s="27">
        <v>30</v>
      </c>
      <c r="R1068" s="21" t="s">
        <v>8480</v>
      </c>
      <c r="S1068" s="21" t="s">
        <v>8481</v>
      </c>
      <c r="T1068" s="21" t="s">
        <v>966</v>
      </c>
      <c r="U1068" s="21" t="s">
        <v>8482</v>
      </c>
    </row>
    <row r="1069" spans="1:21" ht="42">
      <c r="A1069" s="21" t="s">
        <v>925</v>
      </c>
      <c r="B1069" s="21" t="s">
        <v>304</v>
      </c>
      <c r="C1069" s="21" t="s">
        <v>298</v>
      </c>
      <c r="D1069" s="21" t="s">
        <v>180</v>
      </c>
      <c r="E1069" s="21" t="s">
        <v>305</v>
      </c>
      <c r="F1069" s="21" t="s">
        <v>8483</v>
      </c>
      <c r="G1069" s="21" t="s">
        <v>8484</v>
      </c>
      <c r="H1069" s="28">
        <v>38742</v>
      </c>
      <c r="I1069" s="22">
        <v>2006</v>
      </c>
      <c r="J1069" s="21" t="s">
        <v>958</v>
      </c>
      <c r="K1069" s="21" t="s">
        <v>959</v>
      </c>
      <c r="L1069" s="21" t="s">
        <v>8485</v>
      </c>
      <c r="M1069" s="21" t="s">
        <v>5486</v>
      </c>
      <c r="N1069" s="21" t="s">
        <v>6820</v>
      </c>
      <c r="O1069" s="21" t="s">
        <v>8486</v>
      </c>
      <c r="P1069" s="27">
        <v>0</v>
      </c>
      <c r="Q1069" s="27">
        <v>63</v>
      </c>
      <c r="R1069" s="21" t="s">
        <v>8487</v>
      </c>
      <c r="S1069" s="21" t="s">
        <v>4754</v>
      </c>
      <c r="T1069" s="21" t="s">
        <v>966</v>
      </c>
      <c r="U1069" s="21" t="s">
        <v>8488</v>
      </c>
    </row>
    <row r="1070" spans="1:21" ht="70">
      <c r="A1070" s="21" t="s">
        <v>925</v>
      </c>
      <c r="B1070" s="21" t="s">
        <v>304</v>
      </c>
      <c r="C1070" s="21" t="s">
        <v>298</v>
      </c>
      <c r="D1070" s="21" t="s">
        <v>180</v>
      </c>
      <c r="E1070" s="21" t="s">
        <v>305</v>
      </c>
      <c r="F1070" s="21" t="s">
        <v>8489</v>
      </c>
      <c r="G1070" s="21" t="s">
        <v>8490</v>
      </c>
      <c r="H1070" s="28">
        <v>39608</v>
      </c>
      <c r="I1070" s="22">
        <v>2008</v>
      </c>
      <c r="J1070" s="21" t="s">
        <v>958</v>
      </c>
      <c r="K1070" s="21" t="s">
        <v>959</v>
      </c>
      <c r="L1070" s="21" t="s">
        <v>8491</v>
      </c>
      <c r="M1070" s="21" t="s">
        <v>5486</v>
      </c>
      <c r="N1070" s="21" t="s">
        <v>6820</v>
      </c>
      <c r="O1070" s="21" t="s">
        <v>8492</v>
      </c>
      <c r="P1070" s="27">
        <v>0</v>
      </c>
      <c r="Q1070" s="27">
        <v>23</v>
      </c>
      <c r="R1070" s="21" t="s">
        <v>8493</v>
      </c>
      <c r="S1070" s="21" t="s">
        <v>8494</v>
      </c>
      <c r="T1070" s="21" t="s">
        <v>966</v>
      </c>
      <c r="U1070" s="21" t="s">
        <v>8495</v>
      </c>
    </row>
    <row r="1071" spans="1:21" ht="252">
      <c r="A1071" s="21" t="s">
        <v>926</v>
      </c>
      <c r="B1071" s="21" t="s">
        <v>927</v>
      </c>
      <c r="C1071" s="21" t="s">
        <v>688</v>
      </c>
      <c r="D1071" s="21" t="s">
        <v>180</v>
      </c>
      <c r="E1071" s="21" t="s">
        <v>8496</v>
      </c>
      <c r="F1071" s="21" t="s">
        <v>956</v>
      </c>
      <c r="G1071" s="21" t="s">
        <v>8497</v>
      </c>
      <c r="H1071" s="28">
        <v>40844</v>
      </c>
      <c r="I1071" s="22">
        <v>2011</v>
      </c>
      <c r="J1071" s="21" t="s">
        <v>958</v>
      </c>
      <c r="K1071" s="21" t="s">
        <v>959</v>
      </c>
      <c r="L1071" s="21" t="s">
        <v>8498</v>
      </c>
      <c r="M1071" s="21" t="s">
        <v>8499</v>
      </c>
      <c r="N1071" s="21" t="s">
        <v>8500</v>
      </c>
      <c r="O1071" s="21" t="s">
        <v>8501</v>
      </c>
      <c r="P1071" s="27">
        <v>0</v>
      </c>
      <c r="Q1071" s="27">
        <v>78</v>
      </c>
      <c r="R1071" s="21" t="s">
        <v>8502</v>
      </c>
      <c r="S1071" s="21" t="s">
        <v>8503</v>
      </c>
      <c r="T1071" s="21" t="s">
        <v>966</v>
      </c>
      <c r="U1071" s="21" t="s">
        <v>8504</v>
      </c>
    </row>
    <row r="1072" spans="1:21" ht="238">
      <c r="A1072" s="21" t="s">
        <v>926</v>
      </c>
      <c r="B1072" s="21" t="s">
        <v>927</v>
      </c>
      <c r="C1072" s="21" t="s">
        <v>688</v>
      </c>
      <c r="D1072" s="21" t="s">
        <v>180</v>
      </c>
      <c r="E1072" s="21" t="s">
        <v>8496</v>
      </c>
      <c r="F1072" s="21" t="s">
        <v>968</v>
      </c>
      <c r="G1072" s="21" t="s">
        <v>8505</v>
      </c>
      <c r="H1072" s="28">
        <v>42101</v>
      </c>
      <c r="I1072" s="22">
        <v>2015</v>
      </c>
      <c r="J1072" s="21" t="s">
        <v>1012</v>
      </c>
      <c r="K1072" s="21" t="s">
        <v>1013</v>
      </c>
      <c r="L1072" s="21" t="s">
        <v>8506</v>
      </c>
      <c r="M1072" s="21" t="s">
        <v>8499</v>
      </c>
      <c r="N1072" s="21" t="s">
        <v>8507</v>
      </c>
      <c r="O1072" s="21" t="s">
        <v>8508</v>
      </c>
      <c r="P1072" s="27">
        <v>0</v>
      </c>
      <c r="Q1072" s="27">
        <v>32</v>
      </c>
      <c r="R1072" s="21" t="s">
        <v>8509</v>
      </c>
      <c r="S1072" s="21" t="s">
        <v>8510</v>
      </c>
      <c r="T1072" s="21" t="s">
        <v>966</v>
      </c>
      <c r="U1072" s="21" t="s">
        <v>8511</v>
      </c>
    </row>
    <row r="1073" spans="1:21" ht="392">
      <c r="A1073" s="21" t="s">
        <v>926</v>
      </c>
      <c r="B1073" s="21" t="s">
        <v>927</v>
      </c>
      <c r="C1073" s="21" t="s">
        <v>688</v>
      </c>
      <c r="D1073" s="21" t="s">
        <v>180</v>
      </c>
      <c r="E1073" s="21" t="s">
        <v>8496</v>
      </c>
      <c r="F1073" s="21" t="s">
        <v>977</v>
      </c>
      <c r="G1073" s="21" t="s">
        <v>8512</v>
      </c>
      <c r="H1073" s="28">
        <v>40844</v>
      </c>
      <c r="I1073" s="22">
        <v>2011</v>
      </c>
      <c r="J1073" s="21" t="s">
        <v>1012</v>
      </c>
      <c r="K1073" s="21" t="s">
        <v>998</v>
      </c>
      <c r="L1073" s="21" t="s">
        <v>8513</v>
      </c>
      <c r="M1073" s="21" t="s">
        <v>8499</v>
      </c>
      <c r="N1073" s="21" t="s">
        <v>8514</v>
      </c>
      <c r="O1073" s="21" t="s">
        <v>8515</v>
      </c>
      <c r="P1073" s="27">
        <v>0</v>
      </c>
      <c r="Q1073" s="27">
        <v>51</v>
      </c>
      <c r="R1073" s="21" t="s">
        <v>8516</v>
      </c>
      <c r="S1073" s="21" t="s">
        <v>8517</v>
      </c>
      <c r="T1073" s="21" t="s">
        <v>994</v>
      </c>
      <c r="U1073" s="21" t="s">
        <v>8518</v>
      </c>
    </row>
    <row r="1074" spans="1:21" ht="98">
      <c r="A1074" s="21" t="s">
        <v>926</v>
      </c>
      <c r="B1074" s="21" t="s">
        <v>927</v>
      </c>
      <c r="C1074" s="21" t="s">
        <v>688</v>
      </c>
      <c r="D1074" s="21" t="s">
        <v>180</v>
      </c>
      <c r="E1074" s="21" t="s">
        <v>8496</v>
      </c>
      <c r="F1074" s="21" t="s">
        <v>985</v>
      </c>
      <c r="G1074" s="21" t="s">
        <v>8519</v>
      </c>
      <c r="H1074" s="28">
        <v>43494</v>
      </c>
      <c r="I1074" s="22">
        <v>2019</v>
      </c>
      <c r="J1074" s="21" t="s">
        <v>1012</v>
      </c>
      <c r="K1074" s="21" t="s">
        <v>1013</v>
      </c>
      <c r="L1074" s="21" t="s">
        <v>8520</v>
      </c>
      <c r="M1074" s="21" t="s">
        <v>8521</v>
      </c>
      <c r="N1074" s="21" t="s">
        <v>8522</v>
      </c>
      <c r="O1074" s="21" t="s">
        <v>8523</v>
      </c>
      <c r="P1074" s="27">
        <v>1</v>
      </c>
      <c r="Q1074" s="27">
        <v>15</v>
      </c>
      <c r="R1074" s="21" t="s">
        <v>8524</v>
      </c>
      <c r="S1074" s="21" t="s">
        <v>8525</v>
      </c>
      <c r="T1074" s="21" t="s">
        <v>966</v>
      </c>
      <c r="U1074" s="21" t="s">
        <v>8526</v>
      </c>
    </row>
    <row r="1075" spans="1:21" ht="154">
      <c r="A1075" s="21" t="s">
        <v>926</v>
      </c>
      <c r="B1075" s="21" t="s">
        <v>927</v>
      </c>
      <c r="C1075" s="21" t="s">
        <v>688</v>
      </c>
      <c r="D1075" s="21" t="s">
        <v>180</v>
      </c>
      <c r="E1075" s="21" t="s">
        <v>8496</v>
      </c>
      <c r="F1075" s="21" t="s">
        <v>996</v>
      </c>
      <c r="G1075" s="21" t="s">
        <v>8527</v>
      </c>
      <c r="H1075" s="28">
        <v>43627</v>
      </c>
      <c r="I1075" s="22">
        <v>2019</v>
      </c>
      <c r="J1075" s="21" t="s">
        <v>1012</v>
      </c>
      <c r="K1075" s="21" t="s">
        <v>998</v>
      </c>
      <c r="L1075" s="21" t="s">
        <v>8528</v>
      </c>
      <c r="M1075" s="21" t="s">
        <v>8499</v>
      </c>
      <c r="N1075" s="21" t="s">
        <v>8529</v>
      </c>
      <c r="O1075" s="21" t="s">
        <v>8530</v>
      </c>
      <c r="P1075" s="27">
        <v>0</v>
      </c>
      <c r="Q1075" s="27">
        <v>7</v>
      </c>
      <c r="R1075" s="21" t="s">
        <v>8531</v>
      </c>
      <c r="S1075" s="21" t="s">
        <v>8532</v>
      </c>
      <c r="T1075" s="21" t="s">
        <v>1148</v>
      </c>
      <c r="U1075" s="21" t="s">
        <v>8533</v>
      </c>
    </row>
    <row r="1076" spans="1:21" ht="70">
      <c r="A1076" s="21" t="s">
        <v>926</v>
      </c>
      <c r="B1076" s="21" t="s">
        <v>927</v>
      </c>
      <c r="C1076" s="21" t="s">
        <v>688</v>
      </c>
      <c r="D1076" s="21" t="s">
        <v>180</v>
      </c>
      <c r="E1076" s="21" t="s">
        <v>8496</v>
      </c>
      <c r="F1076" s="21" t="s">
        <v>1004</v>
      </c>
      <c r="G1076" s="21" t="s">
        <v>8534</v>
      </c>
      <c r="H1076" s="28">
        <v>43761</v>
      </c>
      <c r="I1076" s="22">
        <v>2019</v>
      </c>
      <c r="J1076" s="21" t="s">
        <v>1012</v>
      </c>
      <c r="K1076" s="21" t="s">
        <v>998</v>
      </c>
      <c r="L1076" s="21" t="s">
        <v>8535</v>
      </c>
      <c r="M1076" s="21" t="s">
        <v>8499</v>
      </c>
      <c r="N1076" s="21" t="s">
        <v>8536</v>
      </c>
      <c r="O1076" s="21" t="s">
        <v>8537</v>
      </c>
      <c r="P1076" s="27">
        <v>2</v>
      </c>
      <c r="Q1076" s="27">
        <v>7</v>
      </c>
      <c r="R1076" s="21" t="s">
        <v>8538</v>
      </c>
      <c r="S1076" s="21" t="s">
        <v>8539</v>
      </c>
      <c r="T1076" s="21" t="s">
        <v>1148</v>
      </c>
      <c r="U1076" s="21" t="s">
        <v>8540</v>
      </c>
    </row>
    <row r="1077" spans="1:21" ht="70">
      <c r="A1077" s="21" t="s">
        <v>926</v>
      </c>
      <c r="B1077" s="21" t="s">
        <v>927</v>
      </c>
      <c r="C1077" s="21" t="s">
        <v>688</v>
      </c>
      <c r="D1077" s="21" t="s">
        <v>180</v>
      </c>
      <c r="E1077" s="21" t="s">
        <v>8496</v>
      </c>
      <c r="F1077" s="21" t="s">
        <v>1010</v>
      </c>
      <c r="G1077" s="21" t="s">
        <v>8541</v>
      </c>
      <c r="H1077" s="28">
        <v>42969</v>
      </c>
      <c r="I1077" s="22">
        <v>2017</v>
      </c>
      <c r="J1077" s="21" t="s">
        <v>1012</v>
      </c>
      <c r="K1077" s="21" t="s">
        <v>998</v>
      </c>
      <c r="L1077" s="21" t="s">
        <v>8542</v>
      </c>
      <c r="M1077" s="21" t="s">
        <v>8521</v>
      </c>
      <c r="N1077" s="21" t="s">
        <v>8543</v>
      </c>
      <c r="O1077" s="21" t="s">
        <v>8544</v>
      </c>
      <c r="P1077" s="27">
        <v>0</v>
      </c>
      <c r="Q1077" s="27">
        <v>12</v>
      </c>
      <c r="R1077" s="21" t="s">
        <v>8545</v>
      </c>
      <c r="S1077" s="21" t="s">
        <v>8546</v>
      </c>
      <c r="T1077" s="21" t="s">
        <v>1148</v>
      </c>
      <c r="U1077" s="21" t="s">
        <v>8547</v>
      </c>
    </row>
    <row r="1078" spans="1:21" ht="98">
      <c r="A1078" s="21" t="s">
        <v>926</v>
      </c>
      <c r="B1078" s="21" t="s">
        <v>927</v>
      </c>
      <c r="C1078" s="21" t="s">
        <v>688</v>
      </c>
      <c r="D1078" s="21" t="s">
        <v>180</v>
      </c>
      <c r="E1078" s="21" t="s">
        <v>8496</v>
      </c>
      <c r="F1078" s="21" t="s">
        <v>1020</v>
      </c>
      <c r="G1078" s="21" t="s">
        <v>8548</v>
      </c>
      <c r="H1078" s="28">
        <v>43672</v>
      </c>
      <c r="I1078" s="22">
        <v>2019</v>
      </c>
      <c r="J1078" s="21" t="s">
        <v>1012</v>
      </c>
      <c r="K1078" s="21" t="s">
        <v>998</v>
      </c>
      <c r="L1078" s="21" t="s">
        <v>8549</v>
      </c>
      <c r="M1078" s="21" t="s">
        <v>8550</v>
      </c>
      <c r="N1078" s="21" t="s">
        <v>8551</v>
      </c>
      <c r="O1078" s="21" t="s">
        <v>8552</v>
      </c>
      <c r="P1078" s="27">
        <v>0</v>
      </c>
      <c r="Q1078" s="27">
        <v>4</v>
      </c>
      <c r="R1078" s="21" t="s">
        <v>8553</v>
      </c>
      <c r="S1078" s="21" t="s">
        <v>8554</v>
      </c>
      <c r="T1078" s="21" t="s">
        <v>966</v>
      </c>
      <c r="U1078" s="21" t="s">
        <v>8555</v>
      </c>
    </row>
    <row r="1079" spans="1:21" ht="154">
      <c r="A1079" s="21" t="s">
        <v>926</v>
      </c>
      <c r="B1079" s="21" t="s">
        <v>927</v>
      </c>
      <c r="C1079" s="21" t="s">
        <v>688</v>
      </c>
      <c r="D1079" s="21" t="s">
        <v>180</v>
      </c>
      <c r="E1079" s="21" t="s">
        <v>8496</v>
      </c>
      <c r="F1079" s="21" t="s">
        <v>1028</v>
      </c>
      <c r="G1079" s="21" t="s">
        <v>8556</v>
      </c>
      <c r="H1079" s="28">
        <v>41089</v>
      </c>
      <c r="I1079" s="22">
        <v>2012</v>
      </c>
      <c r="J1079" s="21" t="s">
        <v>1012</v>
      </c>
      <c r="K1079" s="21" t="s">
        <v>1013</v>
      </c>
      <c r="L1079" s="21" t="s">
        <v>8557</v>
      </c>
      <c r="M1079" s="21" t="s">
        <v>8558</v>
      </c>
      <c r="N1079" s="21" t="s">
        <v>8559</v>
      </c>
      <c r="O1079" s="21" t="s">
        <v>8560</v>
      </c>
      <c r="P1079" s="27">
        <v>2</v>
      </c>
      <c r="Q1079" s="27">
        <v>106</v>
      </c>
      <c r="R1079" s="21" t="s">
        <v>8561</v>
      </c>
      <c r="S1079" s="21" t="s">
        <v>8562</v>
      </c>
      <c r="T1079" s="21" t="s">
        <v>966</v>
      </c>
      <c r="U1079" s="21" t="s">
        <v>8563</v>
      </c>
    </row>
    <row r="1080" spans="1:21" ht="112">
      <c r="A1080" s="21" t="s">
        <v>926</v>
      </c>
      <c r="B1080" s="21" t="s">
        <v>927</v>
      </c>
      <c r="C1080" s="21" t="s">
        <v>688</v>
      </c>
      <c r="D1080" s="21" t="s">
        <v>180</v>
      </c>
      <c r="E1080" s="21" t="s">
        <v>8496</v>
      </c>
      <c r="F1080" s="21" t="s">
        <v>1036</v>
      </c>
      <c r="G1080" s="21" t="s">
        <v>8564</v>
      </c>
      <c r="H1080" s="28">
        <v>42989</v>
      </c>
      <c r="I1080" s="22">
        <v>2017</v>
      </c>
      <c r="J1080" s="21" t="s">
        <v>1012</v>
      </c>
      <c r="K1080" s="21" t="s">
        <v>998</v>
      </c>
      <c r="L1080" s="21" t="s">
        <v>8565</v>
      </c>
      <c r="M1080" s="21" t="s">
        <v>8499</v>
      </c>
      <c r="N1080" s="21" t="s">
        <v>8566</v>
      </c>
      <c r="O1080" s="21" t="s">
        <v>8567</v>
      </c>
      <c r="P1080" s="27">
        <v>1</v>
      </c>
      <c r="Q1080" s="27">
        <v>38</v>
      </c>
      <c r="R1080" s="21" t="s">
        <v>8568</v>
      </c>
      <c r="S1080" s="21" t="s">
        <v>8569</v>
      </c>
      <c r="T1080" s="21" t="s">
        <v>966</v>
      </c>
      <c r="U1080" s="21" t="s">
        <v>8570</v>
      </c>
    </row>
    <row r="1081" spans="1:21" ht="70">
      <c r="A1081" s="21" t="s">
        <v>926</v>
      </c>
      <c r="B1081" s="21" t="s">
        <v>927</v>
      </c>
      <c r="C1081" s="21" t="s">
        <v>688</v>
      </c>
      <c r="D1081" s="21" t="s">
        <v>180</v>
      </c>
      <c r="E1081" s="21" t="s">
        <v>8496</v>
      </c>
      <c r="F1081" s="21" t="s">
        <v>1043</v>
      </c>
      <c r="G1081" s="21" t="s">
        <v>8571</v>
      </c>
      <c r="H1081" s="28">
        <v>43480</v>
      </c>
      <c r="I1081" s="22">
        <v>2019</v>
      </c>
      <c r="J1081" s="21" t="s">
        <v>1012</v>
      </c>
      <c r="K1081" s="21" t="s">
        <v>998</v>
      </c>
      <c r="L1081" s="21" t="s">
        <v>8572</v>
      </c>
      <c r="M1081" s="21" t="s">
        <v>8573</v>
      </c>
      <c r="N1081" s="21" t="s">
        <v>8574</v>
      </c>
      <c r="O1081" s="21" t="s">
        <v>8575</v>
      </c>
      <c r="P1081" s="27">
        <v>0</v>
      </c>
      <c r="Q1081" s="27">
        <v>8</v>
      </c>
      <c r="R1081" s="21" t="s">
        <v>8576</v>
      </c>
      <c r="S1081" s="21" t="s">
        <v>8577</v>
      </c>
      <c r="T1081" s="21" t="s">
        <v>994</v>
      </c>
      <c r="U1081" s="21" t="s">
        <v>8578</v>
      </c>
    </row>
    <row r="1082" spans="1:21" ht="70">
      <c r="A1082" s="21" t="s">
        <v>926</v>
      </c>
      <c r="B1082" s="21" t="s">
        <v>927</v>
      </c>
      <c r="C1082" s="21" t="s">
        <v>688</v>
      </c>
      <c r="D1082" s="21" t="s">
        <v>180</v>
      </c>
      <c r="E1082" s="21" t="s">
        <v>8496</v>
      </c>
      <c r="F1082" s="21" t="s">
        <v>1051</v>
      </c>
      <c r="G1082" s="21" t="s">
        <v>8579</v>
      </c>
      <c r="H1082" s="28">
        <v>43397</v>
      </c>
      <c r="I1082" s="22">
        <v>2018</v>
      </c>
      <c r="J1082" s="21" t="s">
        <v>1012</v>
      </c>
      <c r="K1082" s="21" t="s">
        <v>998</v>
      </c>
      <c r="L1082" s="21" t="s">
        <v>8580</v>
      </c>
      <c r="M1082" s="21" t="s">
        <v>8521</v>
      </c>
      <c r="N1082" s="21" t="s">
        <v>8581</v>
      </c>
      <c r="O1082" s="21" t="s">
        <v>8544</v>
      </c>
      <c r="P1082" s="27">
        <v>0</v>
      </c>
      <c r="Q1082" s="27">
        <v>11</v>
      </c>
      <c r="R1082" s="21" t="s">
        <v>8582</v>
      </c>
      <c r="S1082" s="21" t="s">
        <v>8583</v>
      </c>
      <c r="T1082" s="21" t="s">
        <v>1148</v>
      </c>
      <c r="U1082" s="21" t="s">
        <v>8584</v>
      </c>
    </row>
    <row r="1083" spans="1:21" ht="238">
      <c r="A1083" s="21" t="s">
        <v>926</v>
      </c>
      <c r="B1083" s="21" t="s">
        <v>927</v>
      </c>
      <c r="C1083" s="21" t="s">
        <v>688</v>
      </c>
      <c r="D1083" s="21" t="s">
        <v>180</v>
      </c>
      <c r="E1083" s="21" t="s">
        <v>8496</v>
      </c>
      <c r="F1083" s="21" t="s">
        <v>1060</v>
      </c>
      <c r="G1083" s="21" t="s">
        <v>8585</v>
      </c>
      <c r="H1083" s="28">
        <v>43809</v>
      </c>
      <c r="I1083" s="22">
        <v>2019</v>
      </c>
      <c r="J1083" s="21" t="s">
        <v>1012</v>
      </c>
      <c r="K1083" s="21" t="s">
        <v>998</v>
      </c>
      <c r="L1083" s="21" t="s">
        <v>8586</v>
      </c>
      <c r="M1083" s="21" t="s">
        <v>8499</v>
      </c>
      <c r="N1083" s="21" t="s">
        <v>8587</v>
      </c>
      <c r="O1083" s="21" t="s">
        <v>8588</v>
      </c>
      <c r="P1083" s="27">
        <v>2</v>
      </c>
      <c r="Q1083" s="27">
        <v>16</v>
      </c>
      <c r="R1083" s="21" t="s">
        <v>8589</v>
      </c>
      <c r="S1083" s="21" t="s">
        <v>8590</v>
      </c>
      <c r="T1083" s="21" t="s">
        <v>966</v>
      </c>
      <c r="U1083" s="21" t="s">
        <v>8591</v>
      </c>
    </row>
    <row r="1084" spans="1:21" ht="98">
      <c r="A1084" s="21" t="s">
        <v>926</v>
      </c>
      <c r="B1084" s="21" t="s">
        <v>927</v>
      </c>
      <c r="C1084" s="21" t="s">
        <v>688</v>
      </c>
      <c r="D1084" s="21" t="s">
        <v>180</v>
      </c>
      <c r="E1084" s="21" t="s">
        <v>8496</v>
      </c>
      <c r="F1084" s="21" t="s">
        <v>1068</v>
      </c>
      <c r="G1084" s="21" t="s">
        <v>8592</v>
      </c>
      <c r="H1084" s="28">
        <v>43311</v>
      </c>
      <c r="I1084" s="22">
        <v>2018</v>
      </c>
      <c r="J1084" s="21" t="s">
        <v>1012</v>
      </c>
      <c r="K1084" s="21" t="s">
        <v>998</v>
      </c>
      <c r="L1084" s="21" t="s">
        <v>8593</v>
      </c>
      <c r="M1084" s="21" t="s">
        <v>8521</v>
      </c>
      <c r="N1084" s="21" t="s">
        <v>8594</v>
      </c>
      <c r="O1084" s="21" t="s">
        <v>8595</v>
      </c>
      <c r="P1084" s="27">
        <v>0</v>
      </c>
      <c r="Q1084" s="27">
        <v>15</v>
      </c>
      <c r="R1084" s="21" t="s">
        <v>8596</v>
      </c>
      <c r="S1084" s="21" t="s">
        <v>8597</v>
      </c>
      <c r="T1084" s="21" t="s">
        <v>994</v>
      </c>
      <c r="U1084" s="21" t="s">
        <v>8598</v>
      </c>
    </row>
    <row r="1085" spans="1:21" ht="56">
      <c r="A1085" s="21" t="s">
        <v>926</v>
      </c>
      <c r="B1085" s="21" t="s">
        <v>927</v>
      </c>
      <c r="C1085" s="21" t="s">
        <v>688</v>
      </c>
      <c r="D1085" s="21" t="s">
        <v>180</v>
      </c>
      <c r="E1085" s="21" t="s">
        <v>8496</v>
      </c>
      <c r="F1085" s="21" t="s">
        <v>1077</v>
      </c>
      <c r="G1085" s="21" t="s">
        <v>8599</v>
      </c>
      <c r="H1085" s="28">
        <v>42417</v>
      </c>
      <c r="I1085" s="22">
        <v>2016</v>
      </c>
      <c r="J1085" s="21" t="s">
        <v>1012</v>
      </c>
      <c r="K1085" s="21" t="s">
        <v>998</v>
      </c>
      <c r="L1085" s="21" t="s">
        <v>8600</v>
      </c>
      <c r="M1085" s="21" t="s">
        <v>8499</v>
      </c>
      <c r="N1085" s="21" t="s">
        <v>8601</v>
      </c>
      <c r="O1085" s="21" t="s">
        <v>8602</v>
      </c>
      <c r="P1085" s="27">
        <v>0</v>
      </c>
      <c r="Q1085" s="27">
        <v>19</v>
      </c>
      <c r="R1085" s="21" t="s">
        <v>8603</v>
      </c>
      <c r="S1085" s="21" t="s">
        <v>8604</v>
      </c>
      <c r="T1085" s="21" t="s">
        <v>1148</v>
      </c>
      <c r="U1085" s="21" t="s">
        <v>8605</v>
      </c>
    </row>
    <row r="1086" spans="1:21" ht="154">
      <c r="A1086" s="21" t="s">
        <v>926</v>
      </c>
      <c r="B1086" s="21" t="s">
        <v>927</v>
      </c>
      <c r="C1086" s="21" t="s">
        <v>688</v>
      </c>
      <c r="D1086" s="21" t="s">
        <v>180</v>
      </c>
      <c r="E1086" s="21" t="s">
        <v>8496</v>
      </c>
      <c r="F1086" s="21" t="s">
        <v>1085</v>
      </c>
      <c r="G1086" s="21" t="s">
        <v>8606</v>
      </c>
      <c r="H1086" s="28">
        <v>42951</v>
      </c>
      <c r="I1086" s="22">
        <v>2017</v>
      </c>
      <c r="J1086" s="21" t="s">
        <v>1012</v>
      </c>
      <c r="K1086" s="21" t="s">
        <v>1013</v>
      </c>
      <c r="L1086" s="21" t="s">
        <v>8607</v>
      </c>
      <c r="M1086" s="21" t="s">
        <v>8558</v>
      </c>
      <c r="N1086" s="21" t="s">
        <v>8608</v>
      </c>
      <c r="O1086" s="21" t="s">
        <v>8609</v>
      </c>
      <c r="P1086" s="27">
        <v>0</v>
      </c>
      <c r="Q1086" s="27">
        <v>42</v>
      </c>
      <c r="R1086" s="21" t="s">
        <v>8610</v>
      </c>
      <c r="S1086" s="21" t="s">
        <v>8611</v>
      </c>
      <c r="T1086" s="21" t="s">
        <v>966</v>
      </c>
      <c r="U1086" s="21" t="s">
        <v>8612</v>
      </c>
    </row>
    <row r="1087" spans="1:21" ht="56">
      <c r="A1087" s="21" t="s">
        <v>926</v>
      </c>
      <c r="B1087" s="21" t="s">
        <v>927</v>
      </c>
      <c r="C1087" s="21" t="s">
        <v>688</v>
      </c>
      <c r="D1087" s="21" t="s">
        <v>180</v>
      </c>
      <c r="E1087" s="21" t="s">
        <v>8496</v>
      </c>
      <c r="F1087" s="21" t="s">
        <v>1093</v>
      </c>
      <c r="G1087" s="21" t="s">
        <v>8613</v>
      </c>
      <c r="H1087" s="28">
        <v>42717</v>
      </c>
      <c r="I1087" s="22">
        <v>2016</v>
      </c>
      <c r="J1087" s="21" t="s">
        <v>1012</v>
      </c>
      <c r="K1087" s="21" t="s">
        <v>998</v>
      </c>
      <c r="L1087" s="21" t="s">
        <v>8614</v>
      </c>
      <c r="M1087" s="21" t="s">
        <v>8499</v>
      </c>
      <c r="N1087" s="21" t="s">
        <v>8615</v>
      </c>
      <c r="O1087" s="21" t="s">
        <v>8616</v>
      </c>
      <c r="P1087" s="27">
        <v>1</v>
      </c>
      <c r="Q1087" s="27">
        <v>14</v>
      </c>
      <c r="R1087" s="21" t="s">
        <v>8617</v>
      </c>
      <c r="S1087" s="21" t="s">
        <v>8618</v>
      </c>
      <c r="T1087" s="21" t="s">
        <v>966</v>
      </c>
      <c r="U1087" s="21" t="s">
        <v>8619</v>
      </c>
    </row>
    <row r="1088" spans="1:21" ht="56">
      <c r="A1088" s="21" t="s">
        <v>926</v>
      </c>
      <c r="B1088" s="21" t="s">
        <v>927</v>
      </c>
      <c r="C1088" s="21" t="s">
        <v>688</v>
      </c>
      <c r="D1088" s="21" t="s">
        <v>180</v>
      </c>
      <c r="E1088" s="21" t="s">
        <v>8496</v>
      </c>
      <c r="F1088" s="21" t="s">
        <v>1101</v>
      </c>
      <c r="G1088" s="21" t="s">
        <v>8620</v>
      </c>
      <c r="H1088" s="28">
        <v>42678</v>
      </c>
      <c r="I1088" s="22">
        <v>2016</v>
      </c>
      <c r="J1088" s="21" t="s">
        <v>1012</v>
      </c>
      <c r="K1088" s="21" t="s">
        <v>998</v>
      </c>
      <c r="L1088" s="21" t="s">
        <v>8621</v>
      </c>
      <c r="M1088" s="21" t="s">
        <v>8499</v>
      </c>
      <c r="N1088" s="21" t="s">
        <v>8622</v>
      </c>
      <c r="O1088" s="21" t="s">
        <v>8623</v>
      </c>
      <c r="P1088" s="27">
        <v>11</v>
      </c>
      <c r="Q1088" s="27">
        <v>13</v>
      </c>
      <c r="R1088" s="21" t="s">
        <v>8624</v>
      </c>
      <c r="S1088" s="21" t="s">
        <v>5629</v>
      </c>
      <c r="T1088" s="21" t="s">
        <v>966</v>
      </c>
      <c r="U1088" s="21" t="s">
        <v>8625</v>
      </c>
    </row>
    <row r="1089" spans="1:21" ht="84">
      <c r="A1089" s="21" t="s">
        <v>926</v>
      </c>
      <c r="B1089" s="21" t="s">
        <v>927</v>
      </c>
      <c r="C1089" s="21" t="s">
        <v>688</v>
      </c>
      <c r="D1089" s="21" t="s">
        <v>180</v>
      </c>
      <c r="E1089" s="21" t="s">
        <v>8496</v>
      </c>
      <c r="F1089" s="21" t="s">
        <v>1109</v>
      </c>
      <c r="G1089" s="21" t="s">
        <v>8626</v>
      </c>
      <c r="H1089" s="28">
        <v>43273</v>
      </c>
      <c r="I1089" s="22">
        <v>2018</v>
      </c>
      <c r="J1089" s="21" t="s">
        <v>1012</v>
      </c>
      <c r="K1089" s="21" t="s">
        <v>998</v>
      </c>
      <c r="L1089" s="21" t="s">
        <v>8627</v>
      </c>
      <c r="M1089" s="21" t="s">
        <v>8499</v>
      </c>
      <c r="N1089" s="21" t="s">
        <v>8628</v>
      </c>
      <c r="O1089" s="21" t="s">
        <v>8629</v>
      </c>
      <c r="P1089" s="27">
        <v>0</v>
      </c>
      <c r="Q1089" s="27">
        <v>6</v>
      </c>
      <c r="R1089" s="21" t="s">
        <v>8630</v>
      </c>
      <c r="S1089" s="21" t="s">
        <v>8631</v>
      </c>
      <c r="T1089" s="21" t="s">
        <v>1148</v>
      </c>
      <c r="U1089" s="21" t="s">
        <v>8632</v>
      </c>
    </row>
    <row r="1090" spans="1:21" ht="98">
      <c r="A1090" s="21" t="s">
        <v>926</v>
      </c>
      <c r="B1090" s="21" t="s">
        <v>927</v>
      </c>
      <c r="C1090" s="21" t="s">
        <v>688</v>
      </c>
      <c r="D1090" s="21" t="s">
        <v>180</v>
      </c>
      <c r="E1090" s="21" t="s">
        <v>8496</v>
      </c>
      <c r="F1090" s="21" t="s">
        <v>1117</v>
      </c>
      <c r="G1090" s="21" t="s">
        <v>8633</v>
      </c>
      <c r="H1090" s="28">
        <v>41591</v>
      </c>
      <c r="I1090" s="22">
        <v>2013</v>
      </c>
      <c r="J1090" s="21" t="s">
        <v>1012</v>
      </c>
      <c r="K1090" s="21" t="s">
        <v>998</v>
      </c>
      <c r="L1090" s="21" t="s">
        <v>8634</v>
      </c>
      <c r="M1090" s="21" t="s">
        <v>8635</v>
      </c>
      <c r="N1090" s="21" t="s">
        <v>8636</v>
      </c>
      <c r="O1090" s="21" t="s">
        <v>8637</v>
      </c>
      <c r="P1090" s="27">
        <v>0</v>
      </c>
      <c r="Q1090" s="27">
        <v>17</v>
      </c>
      <c r="R1090" s="21" t="s">
        <v>8638</v>
      </c>
      <c r="S1090" s="21" t="s">
        <v>8639</v>
      </c>
      <c r="T1090" s="21" t="s">
        <v>966</v>
      </c>
      <c r="U1090" s="21" t="s">
        <v>8640</v>
      </c>
    </row>
    <row r="1091" spans="1:21" ht="154">
      <c r="A1091" s="21" t="s">
        <v>926</v>
      </c>
      <c r="B1091" s="21" t="s">
        <v>927</v>
      </c>
      <c r="C1091" s="21" t="s">
        <v>688</v>
      </c>
      <c r="D1091" s="21" t="s">
        <v>180</v>
      </c>
      <c r="E1091" s="21" t="s">
        <v>8496</v>
      </c>
      <c r="F1091" s="21" t="s">
        <v>1125</v>
      </c>
      <c r="G1091" s="21" t="s">
        <v>8641</v>
      </c>
      <c r="H1091" s="28">
        <v>41417</v>
      </c>
      <c r="I1091" s="22">
        <v>2013</v>
      </c>
      <c r="J1091" s="21" t="s">
        <v>1012</v>
      </c>
      <c r="K1091" s="21" t="s">
        <v>1013</v>
      </c>
      <c r="L1091" s="21" t="s">
        <v>8642</v>
      </c>
      <c r="M1091" s="21" t="s">
        <v>8558</v>
      </c>
      <c r="N1091" s="21" t="s">
        <v>8643</v>
      </c>
      <c r="O1091" s="21" t="s">
        <v>8644</v>
      </c>
      <c r="P1091" s="27">
        <v>0</v>
      </c>
      <c r="Q1091" s="27">
        <v>18</v>
      </c>
      <c r="R1091" s="21" t="s">
        <v>8645</v>
      </c>
      <c r="S1091" s="21" t="s">
        <v>8646</v>
      </c>
      <c r="T1091" s="21" t="s">
        <v>966</v>
      </c>
      <c r="U1091" s="21" t="s">
        <v>8647</v>
      </c>
    </row>
    <row r="1092" spans="1:21" ht="84">
      <c r="A1092" s="21" t="s">
        <v>926</v>
      </c>
      <c r="B1092" s="21" t="s">
        <v>927</v>
      </c>
      <c r="C1092" s="21" t="s">
        <v>688</v>
      </c>
      <c r="D1092" s="21" t="s">
        <v>180</v>
      </c>
      <c r="E1092" s="21" t="s">
        <v>8496</v>
      </c>
      <c r="F1092" s="21" t="s">
        <v>1133</v>
      </c>
      <c r="G1092" s="21" t="s">
        <v>8648</v>
      </c>
      <c r="H1092" s="28">
        <v>43045</v>
      </c>
      <c r="I1092" s="22">
        <v>2017</v>
      </c>
      <c r="J1092" s="21" t="s">
        <v>1012</v>
      </c>
      <c r="K1092" s="21" t="s">
        <v>998</v>
      </c>
      <c r="L1092" s="21" t="s">
        <v>8649</v>
      </c>
      <c r="M1092" s="21" t="s">
        <v>8521</v>
      </c>
      <c r="N1092" s="21" t="s">
        <v>8650</v>
      </c>
      <c r="O1092" s="21" t="s">
        <v>8651</v>
      </c>
      <c r="P1092" s="27">
        <v>1</v>
      </c>
      <c r="Q1092" s="27">
        <v>24</v>
      </c>
      <c r="R1092" s="21" t="s">
        <v>8652</v>
      </c>
      <c r="S1092" s="21" t="s">
        <v>8653</v>
      </c>
      <c r="T1092" s="21" t="s">
        <v>966</v>
      </c>
      <c r="U1092" s="21" t="s">
        <v>8654</v>
      </c>
    </row>
    <row r="1093" spans="1:21" ht="84">
      <c r="A1093" s="21" t="s">
        <v>926</v>
      </c>
      <c r="B1093" s="21" t="s">
        <v>927</v>
      </c>
      <c r="C1093" s="21" t="s">
        <v>688</v>
      </c>
      <c r="D1093" s="21" t="s">
        <v>180</v>
      </c>
      <c r="E1093" s="21" t="s">
        <v>8496</v>
      </c>
      <c r="F1093" s="21" t="s">
        <v>1141</v>
      </c>
      <c r="G1093" s="21" t="s">
        <v>8655</v>
      </c>
      <c r="H1093" s="28">
        <v>41302</v>
      </c>
      <c r="I1093" s="22">
        <v>2013</v>
      </c>
      <c r="J1093" s="21" t="s">
        <v>1012</v>
      </c>
      <c r="K1093" s="21" t="s">
        <v>998</v>
      </c>
      <c r="L1093" s="21" t="s">
        <v>8656</v>
      </c>
      <c r="M1093" s="21" t="s">
        <v>8657</v>
      </c>
      <c r="N1093" s="21" t="s">
        <v>8658</v>
      </c>
      <c r="O1093" s="21" t="s">
        <v>8659</v>
      </c>
      <c r="P1093" s="27">
        <v>0</v>
      </c>
      <c r="Q1093" s="27">
        <v>30</v>
      </c>
      <c r="R1093" s="21" t="s">
        <v>8660</v>
      </c>
      <c r="S1093" s="21" t="s">
        <v>5649</v>
      </c>
      <c r="T1093" s="21" t="s">
        <v>1148</v>
      </c>
      <c r="U1093" s="21" t="s">
        <v>8661</v>
      </c>
    </row>
    <row r="1094" spans="1:21" ht="98">
      <c r="A1094" s="21" t="s">
        <v>926</v>
      </c>
      <c r="B1094" s="21" t="s">
        <v>927</v>
      </c>
      <c r="C1094" s="21" t="s">
        <v>688</v>
      </c>
      <c r="D1094" s="21" t="s">
        <v>180</v>
      </c>
      <c r="E1094" s="21" t="s">
        <v>8496</v>
      </c>
      <c r="F1094" s="21" t="s">
        <v>1150</v>
      </c>
      <c r="G1094" s="21" t="s">
        <v>8662</v>
      </c>
      <c r="H1094" s="28">
        <v>42131</v>
      </c>
      <c r="I1094" s="22">
        <v>2015</v>
      </c>
      <c r="J1094" s="21" t="s">
        <v>1012</v>
      </c>
      <c r="K1094" s="21" t="s">
        <v>1013</v>
      </c>
      <c r="L1094" s="21" t="s">
        <v>8663</v>
      </c>
      <c r="M1094" s="21" t="s">
        <v>8664</v>
      </c>
      <c r="N1094" s="21" t="s">
        <v>8665</v>
      </c>
      <c r="O1094" s="21" t="s">
        <v>8666</v>
      </c>
      <c r="P1094" s="27">
        <v>1</v>
      </c>
      <c r="Q1094" s="27">
        <v>9</v>
      </c>
      <c r="R1094" s="21" t="s">
        <v>8667</v>
      </c>
      <c r="S1094" s="21" t="s">
        <v>8668</v>
      </c>
      <c r="T1094" s="21" t="s">
        <v>966</v>
      </c>
      <c r="U1094" s="21" t="s">
        <v>8669</v>
      </c>
    </row>
    <row r="1095" spans="1:21" ht="182">
      <c r="A1095" s="21" t="s">
        <v>926</v>
      </c>
      <c r="B1095" s="21" t="s">
        <v>927</v>
      </c>
      <c r="C1095" s="21" t="s">
        <v>688</v>
      </c>
      <c r="D1095" s="21" t="s">
        <v>180</v>
      </c>
      <c r="E1095" s="21" t="s">
        <v>8496</v>
      </c>
      <c r="F1095" s="21" t="s">
        <v>1158</v>
      </c>
      <c r="G1095" s="21" t="s">
        <v>8670</v>
      </c>
      <c r="H1095" s="28">
        <v>42762</v>
      </c>
      <c r="I1095" s="22">
        <v>2017</v>
      </c>
      <c r="J1095" s="21" t="s">
        <v>1012</v>
      </c>
      <c r="K1095" s="21" t="s">
        <v>998</v>
      </c>
      <c r="L1095" s="21" t="s">
        <v>8671</v>
      </c>
      <c r="M1095" s="21" t="s">
        <v>8499</v>
      </c>
      <c r="N1095" s="21" t="s">
        <v>8672</v>
      </c>
      <c r="O1095" s="21" t="s">
        <v>8673</v>
      </c>
      <c r="P1095" s="27">
        <v>2</v>
      </c>
      <c r="Q1095" s="27">
        <v>57</v>
      </c>
      <c r="R1095" s="21" t="s">
        <v>8674</v>
      </c>
      <c r="S1095" s="21" t="s">
        <v>8675</v>
      </c>
      <c r="T1095" s="21" t="s">
        <v>966</v>
      </c>
      <c r="U1095" s="21" t="s">
        <v>8676</v>
      </c>
    </row>
    <row r="1096" spans="1:21" ht="112">
      <c r="A1096" s="21" t="s">
        <v>926</v>
      </c>
      <c r="B1096" s="21" t="s">
        <v>927</v>
      </c>
      <c r="C1096" s="21" t="s">
        <v>688</v>
      </c>
      <c r="D1096" s="21" t="s">
        <v>180</v>
      </c>
      <c r="E1096" s="21" t="s">
        <v>8496</v>
      </c>
      <c r="F1096" s="21" t="s">
        <v>1166</v>
      </c>
      <c r="G1096" s="21" t="s">
        <v>8677</v>
      </c>
      <c r="H1096" s="28">
        <v>43726</v>
      </c>
      <c r="I1096" s="22">
        <v>2019</v>
      </c>
      <c r="J1096" s="21" t="s">
        <v>1012</v>
      </c>
      <c r="K1096" s="21" t="s">
        <v>998</v>
      </c>
      <c r="L1096" s="21" t="s">
        <v>8678</v>
      </c>
      <c r="M1096" s="21" t="s">
        <v>8499</v>
      </c>
      <c r="N1096" s="21" t="s">
        <v>8679</v>
      </c>
      <c r="O1096" s="21" t="s">
        <v>8680</v>
      </c>
      <c r="P1096" s="27">
        <v>7</v>
      </c>
      <c r="Q1096" s="27">
        <v>11</v>
      </c>
      <c r="R1096" s="21" t="s">
        <v>8681</v>
      </c>
      <c r="S1096" s="21" t="s">
        <v>1866</v>
      </c>
      <c r="T1096" s="21" t="s">
        <v>966</v>
      </c>
      <c r="U1096" s="21" t="s">
        <v>8682</v>
      </c>
    </row>
    <row r="1097" spans="1:21" ht="112">
      <c r="A1097" s="21" t="s">
        <v>926</v>
      </c>
      <c r="B1097" s="21" t="s">
        <v>927</v>
      </c>
      <c r="C1097" s="21" t="s">
        <v>688</v>
      </c>
      <c r="D1097" s="21" t="s">
        <v>180</v>
      </c>
      <c r="E1097" s="21" t="s">
        <v>8496</v>
      </c>
      <c r="F1097" s="21" t="s">
        <v>1174</v>
      </c>
      <c r="G1097" s="21" t="s">
        <v>8683</v>
      </c>
      <c r="H1097" s="28">
        <v>43726</v>
      </c>
      <c r="I1097" s="22">
        <v>2019</v>
      </c>
      <c r="J1097" s="21" t="s">
        <v>1012</v>
      </c>
      <c r="K1097" s="21" t="s">
        <v>998</v>
      </c>
      <c r="L1097" s="21" t="s">
        <v>8684</v>
      </c>
      <c r="M1097" s="21" t="s">
        <v>8499</v>
      </c>
      <c r="N1097" s="21" t="s">
        <v>8679</v>
      </c>
      <c r="O1097" s="21" t="s">
        <v>8685</v>
      </c>
      <c r="P1097" s="27">
        <v>17</v>
      </c>
      <c r="Q1097" s="27">
        <v>19</v>
      </c>
      <c r="R1097" s="21" t="s">
        <v>8686</v>
      </c>
      <c r="S1097" s="21" t="s">
        <v>2779</v>
      </c>
      <c r="T1097" s="21" t="s">
        <v>966</v>
      </c>
      <c r="U1097" s="21" t="s">
        <v>8687</v>
      </c>
    </row>
    <row r="1098" spans="1:21" ht="56">
      <c r="A1098" s="21" t="s">
        <v>926</v>
      </c>
      <c r="B1098" s="21" t="s">
        <v>927</v>
      </c>
      <c r="C1098" s="21" t="s">
        <v>688</v>
      </c>
      <c r="D1098" s="21" t="s">
        <v>180</v>
      </c>
      <c r="E1098" s="21" t="s">
        <v>8496</v>
      </c>
      <c r="F1098" s="21" t="s">
        <v>1182</v>
      </c>
      <c r="G1098" s="21" t="s">
        <v>8688</v>
      </c>
      <c r="H1098" s="28">
        <v>43165</v>
      </c>
      <c r="I1098" s="22">
        <v>2018</v>
      </c>
      <c r="J1098" s="21" t="s">
        <v>1012</v>
      </c>
      <c r="K1098" s="21" t="s">
        <v>998</v>
      </c>
      <c r="L1098" s="21" t="s">
        <v>8689</v>
      </c>
      <c r="M1098" s="21" t="s">
        <v>8499</v>
      </c>
      <c r="N1098" s="21" t="s">
        <v>8690</v>
      </c>
      <c r="O1098" s="21" t="s">
        <v>8691</v>
      </c>
      <c r="P1098" s="27">
        <v>0</v>
      </c>
      <c r="Q1098" s="27">
        <v>6</v>
      </c>
      <c r="R1098" s="21" t="s">
        <v>8692</v>
      </c>
      <c r="S1098" s="21" t="s">
        <v>8693</v>
      </c>
      <c r="T1098" s="21" t="s">
        <v>966</v>
      </c>
      <c r="U1098" s="21" t="s">
        <v>8694</v>
      </c>
    </row>
    <row r="1099" spans="1:21" ht="112">
      <c r="A1099" s="21" t="s">
        <v>926</v>
      </c>
      <c r="B1099" s="21" t="s">
        <v>927</v>
      </c>
      <c r="C1099" s="21" t="s">
        <v>688</v>
      </c>
      <c r="D1099" s="21" t="s">
        <v>180</v>
      </c>
      <c r="E1099" s="21" t="s">
        <v>8496</v>
      </c>
      <c r="F1099" s="21" t="s">
        <v>1191</v>
      </c>
      <c r="G1099" s="21" t="s">
        <v>8695</v>
      </c>
      <c r="H1099" s="28">
        <v>43088</v>
      </c>
      <c r="I1099" s="22">
        <v>2017</v>
      </c>
      <c r="J1099" s="21" t="s">
        <v>1012</v>
      </c>
      <c r="K1099" s="21" t="s">
        <v>998</v>
      </c>
      <c r="L1099" s="21" t="s">
        <v>8696</v>
      </c>
      <c r="M1099" s="21" t="s">
        <v>8499</v>
      </c>
      <c r="N1099" s="21" t="s">
        <v>8697</v>
      </c>
      <c r="O1099" s="21" t="s">
        <v>8698</v>
      </c>
      <c r="P1099" s="27">
        <v>0</v>
      </c>
      <c r="Q1099" s="27">
        <v>22</v>
      </c>
      <c r="R1099" s="21" t="s">
        <v>8699</v>
      </c>
      <c r="S1099" s="21" t="s">
        <v>8700</v>
      </c>
      <c r="T1099" s="21" t="s">
        <v>1148</v>
      </c>
      <c r="U1099" s="21" t="s">
        <v>8701</v>
      </c>
    </row>
    <row r="1100" spans="1:21" ht="98">
      <c r="A1100" s="21" t="s">
        <v>926</v>
      </c>
      <c r="B1100" s="21" t="s">
        <v>927</v>
      </c>
      <c r="C1100" s="21" t="s">
        <v>688</v>
      </c>
      <c r="D1100" s="21" t="s">
        <v>180</v>
      </c>
      <c r="E1100" s="21" t="s">
        <v>8496</v>
      </c>
      <c r="F1100" s="21" t="s">
        <v>1199</v>
      </c>
      <c r="G1100" s="21" t="s">
        <v>8702</v>
      </c>
      <c r="H1100" s="28">
        <v>41862</v>
      </c>
      <c r="I1100" s="22">
        <v>2014</v>
      </c>
      <c r="J1100" s="21" t="s">
        <v>1012</v>
      </c>
      <c r="K1100" s="21" t="s">
        <v>998</v>
      </c>
      <c r="L1100" s="21" t="s">
        <v>8703</v>
      </c>
      <c r="M1100" s="21" t="s">
        <v>8499</v>
      </c>
      <c r="N1100" s="21" t="s">
        <v>8704</v>
      </c>
      <c r="O1100" s="21" t="s">
        <v>8705</v>
      </c>
      <c r="P1100" s="27">
        <v>1</v>
      </c>
      <c r="Q1100" s="27">
        <v>14</v>
      </c>
      <c r="R1100" s="21" t="s">
        <v>8706</v>
      </c>
      <c r="S1100" s="21" t="s">
        <v>8707</v>
      </c>
      <c r="T1100" s="21" t="s">
        <v>1148</v>
      </c>
      <c r="U1100" s="21" t="s">
        <v>8708</v>
      </c>
    </row>
    <row r="1101" spans="1:21" ht="56">
      <c r="A1101" s="21" t="s">
        <v>926</v>
      </c>
      <c r="B1101" s="21" t="s">
        <v>927</v>
      </c>
      <c r="C1101" s="21" t="s">
        <v>688</v>
      </c>
      <c r="D1101" s="21" t="s">
        <v>180</v>
      </c>
      <c r="E1101" s="21" t="s">
        <v>8496</v>
      </c>
      <c r="F1101" s="21" t="s">
        <v>1207</v>
      </c>
      <c r="G1101" s="21" t="s">
        <v>8709</v>
      </c>
      <c r="H1101" s="28">
        <v>40900</v>
      </c>
      <c r="I1101" s="22">
        <v>2011</v>
      </c>
      <c r="J1101" s="21" t="s">
        <v>1012</v>
      </c>
      <c r="K1101" s="21" t="s">
        <v>998</v>
      </c>
      <c r="L1101" s="21" t="s">
        <v>8710</v>
      </c>
      <c r="M1101" s="21" t="s">
        <v>8499</v>
      </c>
      <c r="N1101" s="21" t="s">
        <v>8711</v>
      </c>
      <c r="O1101" s="21" t="s">
        <v>8712</v>
      </c>
      <c r="P1101" s="27">
        <v>1</v>
      </c>
      <c r="Q1101" s="27">
        <v>21</v>
      </c>
      <c r="R1101" s="21" t="s">
        <v>8713</v>
      </c>
      <c r="S1101" s="21" t="s">
        <v>8714</v>
      </c>
      <c r="T1101" s="21" t="s">
        <v>966</v>
      </c>
      <c r="U1101" s="21" t="s">
        <v>8715</v>
      </c>
    </row>
    <row r="1102" spans="1:21" ht="126">
      <c r="A1102" s="21" t="s">
        <v>926</v>
      </c>
      <c r="B1102" s="21" t="s">
        <v>927</v>
      </c>
      <c r="C1102" s="21" t="s">
        <v>688</v>
      </c>
      <c r="D1102" s="21" t="s">
        <v>180</v>
      </c>
      <c r="E1102" s="21" t="s">
        <v>8496</v>
      </c>
      <c r="F1102" s="21" t="s">
        <v>1215</v>
      </c>
      <c r="G1102" s="21" t="s">
        <v>8716</v>
      </c>
      <c r="H1102" s="28">
        <v>41600</v>
      </c>
      <c r="I1102" s="22">
        <v>2013</v>
      </c>
      <c r="J1102" s="21" t="s">
        <v>1012</v>
      </c>
      <c r="K1102" s="21" t="s">
        <v>998</v>
      </c>
      <c r="L1102" s="21" t="s">
        <v>8717</v>
      </c>
      <c r="M1102" s="21" t="s">
        <v>8718</v>
      </c>
      <c r="N1102" s="21" t="s">
        <v>8719</v>
      </c>
      <c r="O1102" s="21" t="s">
        <v>8720</v>
      </c>
      <c r="P1102" s="27">
        <v>1</v>
      </c>
      <c r="Q1102" s="27">
        <v>47</v>
      </c>
      <c r="R1102" s="21" t="s">
        <v>8721</v>
      </c>
      <c r="S1102" s="21" t="s">
        <v>8722</v>
      </c>
      <c r="T1102" s="21" t="s">
        <v>1148</v>
      </c>
      <c r="U1102" s="21" t="s">
        <v>8723</v>
      </c>
    </row>
    <row r="1103" spans="1:21" ht="182">
      <c r="A1103" s="21" t="s">
        <v>926</v>
      </c>
      <c r="B1103" s="21" t="s">
        <v>927</v>
      </c>
      <c r="C1103" s="21" t="s">
        <v>688</v>
      </c>
      <c r="D1103" s="21" t="s">
        <v>180</v>
      </c>
      <c r="E1103" s="21" t="s">
        <v>8496</v>
      </c>
      <c r="F1103" s="21" t="s">
        <v>1223</v>
      </c>
      <c r="G1103" s="21" t="s">
        <v>8724</v>
      </c>
      <c r="H1103" s="28">
        <v>42101</v>
      </c>
      <c r="I1103" s="22">
        <v>2015</v>
      </c>
      <c r="J1103" s="21" t="s">
        <v>1012</v>
      </c>
      <c r="K1103" s="21" t="s">
        <v>998</v>
      </c>
      <c r="L1103" s="21" t="s">
        <v>8725</v>
      </c>
      <c r="M1103" s="21" t="s">
        <v>8726</v>
      </c>
      <c r="N1103" s="21" t="s">
        <v>8727</v>
      </c>
      <c r="O1103" s="21" t="s">
        <v>8629</v>
      </c>
      <c r="P1103" s="27">
        <v>0</v>
      </c>
      <c r="Q1103" s="27">
        <v>18</v>
      </c>
      <c r="R1103" s="21" t="s">
        <v>8728</v>
      </c>
      <c r="S1103" s="21" t="s">
        <v>8729</v>
      </c>
      <c r="T1103" s="21" t="s">
        <v>1148</v>
      </c>
      <c r="U1103" s="21" t="s">
        <v>8730</v>
      </c>
    </row>
    <row r="1104" spans="1:21" ht="112">
      <c r="A1104" s="21" t="s">
        <v>926</v>
      </c>
      <c r="B1104" s="21" t="s">
        <v>927</v>
      </c>
      <c r="C1104" s="21" t="s">
        <v>688</v>
      </c>
      <c r="D1104" s="21" t="s">
        <v>180</v>
      </c>
      <c r="E1104" s="21" t="s">
        <v>8496</v>
      </c>
      <c r="F1104" s="21" t="s">
        <v>1231</v>
      </c>
      <c r="G1104" s="21" t="s">
        <v>8731</v>
      </c>
      <c r="H1104" s="28">
        <v>43172</v>
      </c>
      <c r="I1104" s="22">
        <v>2018</v>
      </c>
      <c r="J1104" s="21" t="s">
        <v>1012</v>
      </c>
      <c r="K1104" s="21" t="s">
        <v>998</v>
      </c>
      <c r="L1104" s="21" t="s">
        <v>8732</v>
      </c>
      <c r="M1104" s="21" t="s">
        <v>8499</v>
      </c>
      <c r="N1104" s="21" t="s">
        <v>8733</v>
      </c>
      <c r="O1104" s="21" t="s">
        <v>8734</v>
      </c>
      <c r="P1104" s="27">
        <v>7</v>
      </c>
      <c r="Q1104" s="27">
        <v>18</v>
      </c>
      <c r="R1104" s="21" t="s">
        <v>8735</v>
      </c>
      <c r="S1104" s="21" t="s">
        <v>8736</v>
      </c>
      <c r="T1104" s="21" t="s">
        <v>966</v>
      </c>
      <c r="U1104" s="21" t="s">
        <v>8737</v>
      </c>
    </row>
    <row r="1105" spans="1:21" ht="182">
      <c r="A1105" s="21" t="s">
        <v>926</v>
      </c>
      <c r="B1105" s="21" t="s">
        <v>927</v>
      </c>
      <c r="C1105" s="21" t="s">
        <v>688</v>
      </c>
      <c r="D1105" s="21" t="s">
        <v>180</v>
      </c>
      <c r="E1105" s="21" t="s">
        <v>8496</v>
      </c>
      <c r="F1105" s="21" t="s">
        <v>1238</v>
      </c>
      <c r="G1105" s="21" t="s">
        <v>8738</v>
      </c>
      <c r="H1105" s="28">
        <v>43034</v>
      </c>
      <c r="I1105" s="22">
        <v>2017</v>
      </c>
      <c r="J1105" s="21" t="s">
        <v>1012</v>
      </c>
      <c r="K1105" s="21" t="s">
        <v>998</v>
      </c>
      <c r="L1105" s="21" t="s">
        <v>8739</v>
      </c>
      <c r="M1105" s="21" t="s">
        <v>8499</v>
      </c>
      <c r="N1105" s="21" t="s">
        <v>8740</v>
      </c>
      <c r="O1105" s="21" t="s">
        <v>8741</v>
      </c>
      <c r="P1105" s="27">
        <v>0</v>
      </c>
      <c r="Q1105" s="27">
        <v>24</v>
      </c>
      <c r="R1105" s="21" t="s">
        <v>8742</v>
      </c>
      <c r="S1105" s="21" t="s">
        <v>8743</v>
      </c>
      <c r="T1105" s="21" t="s">
        <v>1148</v>
      </c>
      <c r="U1105" s="21" t="s">
        <v>8744</v>
      </c>
    </row>
    <row r="1106" spans="1:21" ht="56">
      <c r="A1106" s="21" t="s">
        <v>926</v>
      </c>
      <c r="B1106" s="21" t="s">
        <v>927</v>
      </c>
      <c r="C1106" s="21" t="s">
        <v>688</v>
      </c>
      <c r="D1106" s="21" t="s">
        <v>180</v>
      </c>
      <c r="E1106" s="21" t="s">
        <v>8496</v>
      </c>
      <c r="F1106" s="21" t="s">
        <v>1245</v>
      </c>
      <c r="G1106" s="21" t="s">
        <v>8745</v>
      </c>
      <c r="H1106" s="28">
        <v>41991</v>
      </c>
      <c r="I1106" s="22">
        <v>2014</v>
      </c>
      <c r="J1106" s="21" t="s">
        <v>1012</v>
      </c>
      <c r="K1106" s="21" t="s">
        <v>1013</v>
      </c>
      <c r="L1106" s="21" t="s">
        <v>8746</v>
      </c>
      <c r="M1106" s="21" t="s">
        <v>8499</v>
      </c>
      <c r="N1106" s="21" t="s">
        <v>8747</v>
      </c>
      <c r="O1106" s="21" t="s">
        <v>8748</v>
      </c>
      <c r="P1106" s="27">
        <v>0</v>
      </c>
      <c r="Q1106" s="27">
        <v>5</v>
      </c>
      <c r="R1106" s="21" t="s">
        <v>8749</v>
      </c>
      <c r="S1106" s="21" t="s">
        <v>8750</v>
      </c>
      <c r="T1106" s="21" t="s">
        <v>966</v>
      </c>
      <c r="U1106" s="21" t="s">
        <v>8751</v>
      </c>
    </row>
    <row r="1107" spans="1:21" ht="182">
      <c r="A1107" s="21" t="s">
        <v>926</v>
      </c>
      <c r="B1107" s="21" t="s">
        <v>927</v>
      </c>
      <c r="C1107" s="21" t="s">
        <v>688</v>
      </c>
      <c r="D1107" s="21" t="s">
        <v>180</v>
      </c>
      <c r="E1107" s="21" t="s">
        <v>8496</v>
      </c>
      <c r="F1107" s="21" t="s">
        <v>1253</v>
      </c>
      <c r="G1107" s="21" t="s">
        <v>8752</v>
      </c>
      <c r="H1107" s="28">
        <v>41348</v>
      </c>
      <c r="I1107" s="22">
        <v>2013</v>
      </c>
      <c r="J1107" s="21" t="s">
        <v>1012</v>
      </c>
      <c r="K1107" s="21" t="s">
        <v>998</v>
      </c>
      <c r="L1107" s="21" t="s">
        <v>8753</v>
      </c>
      <c r="M1107" s="21" t="s">
        <v>8718</v>
      </c>
      <c r="N1107" s="21" t="s">
        <v>8754</v>
      </c>
      <c r="O1107" s="21" t="s">
        <v>8755</v>
      </c>
      <c r="P1107" s="27">
        <v>2</v>
      </c>
      <c r="Q1107" s="27">
        <v>106</v>
      </c>
      <c r="R1107" s="21" t="s">
        <v>8756</v>
      </c>
      <c r="S1107" s="21" t="s">
        <v>8757</v>
      </c>
      <c r="T1107" s="21" t="s">
        <v>966</v>
      </c>
      <c r="U1107" s="21" t="s">
        <v>8758</v>
      </c>
    </row>
    <row r="1108" spans="1:21" ht="126">
      <c r="A1108" s="21" t="s">
        <v>926</v>
      </c>
      <c r="B1108" s="21" t="s">
        <v>927</v>
      </c>
      <c r="C1108" s="21" t="s">
        <v>688</v>
      </c>
      <c r="D1108" s="21" t="s">
        <v>180</v>
      </c>
      <c r="E1108" s="21" t="s">
        <v>8496</v>
      </c>
      <c r="F1108" s="21" t="s">
        <v>1261</v>
      </c>
      <c r="G1108" s="21" t="s">
        <v>8759</v>
      </c>
      <c r="H1108" s="28">
        <v>42433</v>
      </c>
      <c r="I1108" s="22">
        <v>2016</v>
      </c>
      <c r="J1108" s="21" t="s">
        <v>1012</v>
      </c>
      <c r="K1108" s="21" t="s">
        <v>998</v>
      </c>
      <c r="L1108" s="21" t="s">
        <v>8760</v>
      </c>
      <c r="M1108" s="21" t="s">
        <v>8499</v>
      </c>
      <c r="N1108" s="21" t="s">
        <v>8761</v>
      </c>
      <c r="O1108" s="21" t="s">
        <v>8762</v>
      </c>
      <c r="P1108" s="27">
        <v>0</v>
      </c>
      <c r="Q1108" s="27">
        <v>15</v>
      </c>
      <c r="R1108" s="21" t="s">
        <v>8763</v>
      </c>
      <c r="S1108" s="21" t="s">
        <v>8764</v>
      </c>
      <c r="T1108" s="21" t="s">
        <v>1148</v>
      </c>
      <c r="U1108" s="21" t="s">
        <v>8765</v>
      </c>
    </row>
    <row r="1109" spans="1:21" ht="56">
      <c r="A1109" s="21" t="s">
        <v>926</v>
      </c>
      <c r="B1109" s="21" t="s">
        <v>927</v>
      </c>
      <c r="C1109" s="21" t="s">
        <v>688</v>
      </c>
      <c r="D1109" s="21" t="s">
        <v>180</v>
      </c>
      <c r="E1109" s="21" t="s">
        <v>8496</v>
      </c>
      <c r="F1109" s="21" t="s">
        <v>1269</v>
      </c>
      <c r="G1109" s="21" t="s">
        <v>8766</v>
      </c>
      <c r="H1109" s="28">
        <v>41302</v>
      </c>
      <c r="I1109" s="22">
        <v>2013</v>
      </c>
      <c r="J1109" s="21" t="s">
        <v>1012</v>
      </c>
      <c r="K1109" s="21" t="s">
        <v>1013</v>
      </c>
      <c r="L1109" s="21" t="s">
        <v>8767</v>
      </c>
      <c r="M1109" s="21" t="s">
        <v>8499</v>
      </c>
      <c r="N1109" s="21" t="s">
        <v>8768</v>
      </c>
      <c r="O1109" s="21" t="s">
        <v>8769</v>
      </c>
      <c r="P1109" s="27">
        <v>0</v>
      </c>
      <c r="Q1109" s="27">
        <v>8</v>
      </c>
      <c r="R1109" s="21" t="s">
        <v>8770</v>
      </c>
      <c r="S1109" s="21" t="s">
        <v>8771</v>
      </c>
      <c r="T1109" s="21" t="s">
        <v>966</v>
      </c>
      <c r="U1109" s="21" t="s">
        <v>8772</v>
      </c>
    </row>
    <row r="1110" spans="1:21" ht="56">
      <c r="A1110" s="21" t="s">
        <v>926</v>
      </c>
      <c r="B1110" s="21" t="s">
        <v>927</v>
      </c>
      <c r="C1110" s="21" t="s">
        <v>688</v>
      </c>
      <c r="D1110" s="21" t="s">
        <v>180</v>
      </c>
      <c r="E1110" s="21" t="s">
        <v>8496</v>
      </c>
      <c r="F1110" s="21" t="s">
        <v>1277</v>
      </c>
      <c r="G1110" s="21" t="s">
        <v>8773</v>
      </c>
      <c r="H1110" s="28">
        <v>40900</v>
      </c>
      <c r="I1110" s="22">
        <v>2011</v>
      </c>
      <c r="J1110" s="21" t="s">
        <v>1012</v>
      </c>
      <c r="K1110" s="21" t="s">
        <v>998</v>
      </c>
      <c r="L1110" s="21" t="s">
        <v>8774</v>
      </c>
      <c r="M1110" s="21" t="s">
        <v>8499</v>
      </c>
      <c r="N1110" s="21" t="s">
        <v>8775</v>
      </c>
      <c r="O1110" s="21" t="s">
        <v>8776</v>
      </c>
      <c r="P1110" s="27">
        <v>0</v>
      </c>
      <c r="Q1110" s="27">
        <v>9</v>
      </c>
      <c r="R1110" s="21" t="s">
        <v>8777</v>
      </c>
      <c r="S1110" s="21" t="s">
        <v>8778</v>
      </c>
      <c r="T1110" s="21" t="s">
        <v>1148</v>
      </c>
      <c r="U1110" s="21" t="s">
        <v>8779</v>
      </c>
    </row>
    <row r="1111" spans="1:21" ht="140">
      <c r="A1111" s="21" t="s">
        <v>926</v>
      </c>
      <c r="B1111" s="21" t="s">
        <v>927</v>
      </c>
      <c r="C1111" s="21" t="s">
        <v>688</v>
      </c>
      <c r="D1111" s="21" t="s">
        <v>180</v>
      </c>
      <c r="E1111" s="21" t="s">
        <v>8496</v>
      </c>
      <c r="F1111" s="21" t="s">
        <v>1285</v>
      </c>
      <c r="G1111" s="21" t="s">
        <v>8780</v>
      </c>
      <c r="H1111" s="28">
        <v>41299</v>
      </c>
      <c r="I1111" s="22">
        <v>2013</v>
      </c>
      <c r="J1111" s="21" t="s">
        <v>1012</v>
      </c>
      <c r="K1111" s="21" t="s">
        <v>1013</v>
      </c>
      <c r="L1111" s="21" t="s">
        <v>8781</v>
      </c>
      <c r="M1111" s="21" t="s">
        <v>8499</v>
      </c>
      <c r="N1111" s="21" t="s">
        <v>8782</v>
      </c>
      <c r="O1111" s="21" t="s">
        <v>8783</v>
      </c>
      <c r="P1111" s="27">
        <v>1</v>
      </c>
      <c r="Q1111" s="27">
        <v>27</v>
      </c>
      <c r="R1111" s="21" t="s">
        <v>8784</v>
      </c>
      <c r="S1111" s="21" t="s">
        <v>8785</v>
      </c>
      <c r="T1111" s="21" t="s">
        <v>3189</v>
      </c>
      <c r="U1111" s="21" t="s">
        <v>8786</v>
      </c>
    </row>
    <row r="1112" spans="1:21" ht="168">
      <c r="A1112" s="21" t="s">
        <v>926</v>
      </c>
      <c r="B1112" s="21" t="s">
        <v>927</v>
      </c>
      <c r="C1112" s="21" t="s">
        <v>688</v>
      </c>
      <c r="D1112" s="21" t="s">
        <v>180</v>
      </c>
      <c r="E1112" s="21" t="s">
        <v>8496</v>
      </c>
      <c r="F1112" s="21" t="s">
        <v>1293</v>
      </c>
      <c r="G1112" s="21" t="s">
        <v>8787</v>
      </c>
      <c r="H1112" s="28">
        <v>42361</v>
      </c>
      <c r="I1112" s="22">
        <v>2015</v>
      </c>
      <c r="J1112" s="21" t="s">
        <v>1012</v>
      </c>
      <c r="K1112" s="21" t="s">
        <v>1013</v>
      </c>
      <c r="L1112" s="21" t="s">
        <v>8788</v>
      </c>
      <c r="M1112" s="21" t="s">
        <v>8789</v>
      </c>
      <c r="N1112" s="21" t="s">
        <v>8790</v>
      </c>
      <c r="O1112" s="21" t="s">
        <v>8791</v>
      </c>
      <c r="P1112" s="27">
        <v>1</v>
      </c>
      <c r="Q1112" s="27">
        <v>22</v>
      </c>
      <c r="R1112" s="21" t="s">
        <v>8792</v>
      </c>
      <c r="S1112" s="21" t="s">
        <v>8793</v>
      </c>
      <c r="T1112" s="21" t="s">
        <v>966</v>
      </c>
      <c r="U1112" s="21" t="s">
        <v>8794</v>
      </c>
    </row>
    <row r="1113" spans="1:21" ht="56">
      <c r="A1113" s="21" t="s">
        <v>926</v>
      </c>
      <c r="B1113" s="21" t="s">
        <v>927</v>
      </c>
      <c r="C1113" s="21" t="s">
        <v>688</v>
      </c>
      <c r="D1113" s="21" t="s">
        <v>180</v>
      </c>
      <c r="E1113" s="21" t="s">
        <v>8496</v>
      </c>
      <c r="F1113" s="21" t="s">
        <v>1301</v>
      </c>
      <c r="G1113" s="21" t="s">
        <v>8795</v>
      </c>
      <c r="H1113" s="28">
        <v>42205</v>
      </c>
      <c r="I1113" s="22">
        <v>2015</v>
      </c>
      <c r="J1113" s="21" t="s">
        <v>1012</v>
      </c>
      <c r="K1113" s="21" t="s">
        <v>1013</v>
      </c>
      <c r="L1113" s="21" t="s">
        <v>8796</v>
      </c>
      <c r="M1113" s="21" t="s">
        <v>8499</v>
      </c>
      <c r="N1113" s="21" t="s">
        <v>8797</v>
      </c>
      <c r="O1113" s="21" t="s">
        <v>8798</v>
      </c>
      <c r="P1113" s="27">
        <v>0</v>
      </c>
      <c r="Q1113" s="27">
        <v>9</v>
      </c>
      <c r="R1113" s="21" t="s">
        <v>8799</v>
      </c>
      <c r="S1113" s="21" t="s">
        <v>8800</v>
      </c>
      <c r="T1113" s="21" t="s">
        <v>966</v>
      </c>
      <c r="U1113" s="21" t="s">
        <v>8801</v>
      </c>
    </row>
    <row r="1114" spans="1:21" ht="70">
      <c r="A1114" s="21" t="s">
        <v>926</v>
      </c>
      <c r="B1114" s="21" t="s">
        <v>927</v>
      </c>
      <c r="C1114" s="21" t="s">
        <v>688</v>
      </c>
      <c r="D1114" s="21" t="s">
        <v>180</v>
      </c>
      <c r="E1114" s="21" t="s">
        <v>8496</v>
      </c>
      <c r="F1114" s="21" t="s">
        <v>1309</v>
      </c>
      <c r="G1114" s="21" t="s">
        <v>8802</v>
      </c>
      <c r="H1114" s="28">
        <v>41862</v>
      </c>
      <c r="I1114" s="22">
        <v>2014</v>
      </c>
      <c r="J1114" s="21" t="s">
        <v>1012</v>
      </c>
      <c r="K1114" s="21" t="s">
        <v>1013</v>
      </c>
      <c r="L1114" s="21" t="s">
        <v>8803</v>
      </c>
      <c r="M1114" s="21" t="s">
        <v>8499</v>
      </c>
      <c r="N1114" s="21" t="s">
        <v>8804</v>
      </c>
      <c r="O1114" s="21" t="s">
        <v>8805</v>
      </c>
      <c r="P1114" s="27">
        <v>2</v>
      </c>
      <c r="Q1114" s="27">
        <v>6</v>
      </c>
      <c r="R1114" s="21" t="s">
        <v>8806</v>
      </c>
      <c r="S1114" s="21" t="s">
        <v>8807</v>
      </c>
      <c r="T1114" s="21" t="s">
        <v>966</v>
      </c>
      <c r="U1114" s="21" t="s">
        <v>8808</v>
      </c>
    </row>
    <row r="1115" spans="1:21" ht="112">
      <c r="A1115" s="21" t="s">
        <v>926</v>
      </c>
      <c r="B1115" s="21" t="s">
        <v>927</v>
      </c>
      <c r="C1115" s="21" t="s">
        <v>688</v>
      </c>
      <c r="D1115" s="21" t="s">
        <v>180</v>
      </c>
      <c r="E1115" s="21" t="s">
        <v>8496</v>
      </c>
      <c r="F1115" s="21" t="s">
        <v>1317</v>
      </c>
      <c r="G1115" s="21" t="s">
        <v>8809</v>
      </c>
      <c r="H1115" s="28">
        <v>41957</v>
      </c>
      <c r="I1115" s="22">
        <v>2014</v>
      </c>
      <c r="J1115" s="21" t="s">
        <v>1012</v>
      </c>
      <c r="K1115" s="21" t="s">
        <v>1013</v>
      </c>
      <c r="L1115" s="21" t="s">
        <v>8810</v>
      </c>
      <c r="M1115" s="21" t="s">
        <v>8499</v>
      </c>
      <c r="N1115" s="21" t="s">
        <v>8811</v>
      </c>
      <c r="O1115" s="21" t="s">
        <v>8812</v>
      </c>
      <c r="P1115" s="27">
        <v>0</v>
      </c>
      <c r="Q1115" s="27">
        <v>16</v>
      </c>
      <c r="R1115" s="21" t="s">
        <v>8813</v>
      </c>
      <c r="S1115" s="21" t="s">
        <v>8814</v>
      </c>
      <c r="T1115" s="21" t="s">
        <v>966</v>
      </c>
      <c r="U1115" s="21" t="s">
        <v>8815</v>
      </c>
    </row>
    <row r="1116" spans="1:21" ht="84">
      <c r="A1116" s="21" t="s">
        <v>926</v>
      </c>
      <c r="B1116" s="21" t="s">
        <v>927</v>
      </c>
      <c r="C1116" s="21" t="s">
        <v>688</v>
      </c>
      <c r="D1116" s="21" t="s">
        <v>180</v>
      </c>
      <c r="E1116" s="21" t="s">
        <v>8496</v>
      </c>
      <c r="F1116" s="21" t="s">
        <v>1325</v>
      </c>
      <c r="G1116" s="21" t="s">
        <v>8816</v>
      </c>
      <c r="H1116" s="28">
        <v>41936</v>
      </c>
      <c r="I1116" s="22">
        <v>2014</v>
      </c>
      <c r="J1116" s="21" t="s">
        <v>1012</v>
      </c>
      <c r="K1116" s="21" t="s">
        <v>1013</v>
      </c>
      <c r="L1116" s="21" t="s">
        <v>8817</v>
      </c>
      <c r="M1116" s="21" t="s">
        <v>8818</v>
      </c>
      <c r="N1116" s="21" t="s">
        <v>8819</v>
      </c>
      <c r="O1116" s="21" t="s">
        <v>8820</v>
      </c>
      <c r="P1116" s="27">
        <v>7</v>
      </c>
      <c r="Q1116" s="27">
        <v>5</v>
      </c>
      <c r="R1116" s="21" t="s">
        <v>8821</v>
      </c>
      <c r="S1116" s="21" t="s">
        <v>8822</v>
      </c>
      <c r="T1116" s="21" t="s">
        <v>966</v>
      </c>
      <c r="U1116" s="21" t="s">
        <v>8823</v>
      </c>
    </row>
    <row r="1117" spans="1:21" ht="56">
      <c r="A1117" s="21" t="s">
        <v>926</v>
      </c>
      <c r="B1117" s="21" t="s">
        <v>927</v>
      </c>
      <c r="C1117" s="21" t="s">
        <v>688</v>
      </c>
      <c r="D1117" s="21" t="s">
        <v>180</v>
      </c>
      <c r="E1117" s="21" t="s">
        <v>8496</v>
      </c>
      <c r="F1117" s="21" t="s">
        <v>1334</v>
      </c>
      <c r="G1117" s="21" t="s">
        <v>8824</v>
      </c>
      <c r="H1117" s="28">
        <v>40732</v>
      </c>
      <c r="I1117" s="22">
        <v>2011</v>
      </c>
      <c r="J1117" s="21" t="s">
        <v>1012</v>
      </c>
      <c r="K1117" s="21" t="s">
        <v>998</v>
      </c>
      <c r="L1117" s="21" t="s">
        <v>8825</v>
      </c>
      <c r="M1117" s="21" t="s">
        <v>8499</v>
      </c>
      <c r="N1117" s="21" t="s">
        <v>8826</v>
      </c>
      <c r="O1117" s="21" t="s">
        <v>8827</v>
      </c>
      <c r="P1117" s="27">
        <v>1</v>
      </c>
      <c r="Q1117" s="27">
        <v>8</v>
      </c>
      <c r="R1117" s="21" t="s">
        <v>8828</v>
      </c>
      <c r="S1117" s="21" t="s">
        <v>8829</v>
      </c>
      <c r="T1117" s="21" t="s">
        <v>1148</v>
      </c>
      <c r="U1117" s="21" t="s">
        <v>8830</v>
      </c>
    </row>
    <row r="1118" spans="1:21" ht="84">
      <c r="A1118" s="21" t="s">
        <v>926</v>
      </c>
      <c r="B1118" s="21" t="s">
        <v>927</v>
      </c>
      <c r="C1118" s="21" t="s">
        <v>688</v>
      </c>
      <c r="D1118" s="21" t="s">
        <v>180</v>
      </c>
      <c r="E1118" s="21" t="s">
        <v>8496</v>
      </c>
      <c r="F1118" s="21" t="s">
        <v>1342</v>
      </c>
      <c r="G1118" s="21" t="s">
        <v>8831</v>
      </c>
      <c r="H1118" s="28">
        <v>42767</v>
      </c>
      <c r="I1118" s="22">
        <v>2017</v>
      </c>
      <c r="J1118" s="21" t="s">
        <v>1012</v>
      </c>
      <c r="K1118" s="21" t="s">
        <v>998</v>
      </c>
      <c r="L1118" s="21" t="s">
        <v>8832</v>
      </c>
      <c r="M1118" s="21" t="s">
        <v>8499</v>
      </c>
      <c r="N1118" s="21" t="s">
        <v>8833</v>
      </c>
      <c r="O1118" s="21" t="s">
        <v>8834</v>
      </c>
      <c r="P1118" s="27">
        <v>4</v>
      </c>
      <c r="Q1118" s="27">
        <v>11</v>
      </c>
      <c r="R1118" s="21" t="s">
        <v>8835</v>
      </c>
      <c r="S1118" s="21" t="s">
        <v>8836</v>
      </c>
      <c r="T1118" s="21" t="s">
        <v>1148</v>
      </c>
      <c r="U1118" s="21" t="s">
        <v>8837</v>
      </c>
    </row>
    <row r="1119" spans="1:21" ht="140">
      <c r="A1119" s="21" t="s">
        <v>926</v>
      </c>
      <c r="B1119" s="21" t="s">
        <v>927</v>
      </c>
      <c r="C1119" s="21" t="s">
        <v>688</v>
      </c>
      <c r="D1119" s="21" t="s">
        <v>180</v>
      </c>
      <c r="E1119" s="21" t="s">
        <v>8496</v>
      </c>
      <c r="F1119" s="21" t="s">
        <v>1349</v>
      </c>
      <c r="G1119" s="21" t="s">
        <v>8838</v>
      </c>
      <c r="H1119" s="28">
        <v>42747</v>
      </c>
      <c r="I1119" s="22">
        <v>2017</v>
      </c>
      <c r="J1119" s="21" t="s">
        <v>1012</v>
      </c>
      <c r="K1119" s="21" t="s">
        <v>998</v>
      </c>
      <c r="L1119" s="21" t="s">
        <v>8839</v>
      </c>
      <c r="M1119" s="21" t="s">
        <v>8499</v>
      </c>
      <c r="N1119" s="21" t="s">
        <v>8840</v>
      </c>
      <c r="O1119" s="21" t="s">
        <v>8841</v>
      </c>
      <c r="P1119" s="27">
        <v>3</v>
      </c>
      <c r="Q1119" s="27">
        <v>15</v>
      </c>
      <c r="R1119" s="21" t="s">
        <v>8842</v>
      </c>
      <c r="S1119" s="21" t="s">
        <v>8843</v>
      </c>
      <c r="T1119" s="21" t="s">
        <v>966</v>
      </c>
      <c r="U1119" s="21" t="s">
        <v>8844</v>
      </c>
    </row>
    <row r="1120" spans="1:21" ht="84">
      <c r="A1120" s="21" t="s">
        <v>926</v>
      </c>
      <c r="B1120" s="21" t="s">
        <v>927</v>
      </c>
      <c r="C1120" s="21" t="s">
        <v>688</v>
      </c>
      <c r="D1120" s="21" t="s">
        <v>180</v>
      </c>
      <c r="E1120" s="21" t="s">
        <v>8496</v>
      </c>
      <c r="F1120" s="21" t="s">
        <v>1357</v>
      </c>
      <c r="G1120" s="21" t="s">
        <v>8845</v>
      </c>
      <c r="H1120" s="28">
        <v>41283</v>
      </c>
      <c r="I1120" s="22">
        <v>2013</v>
      </c>
      <c r="J1120" s="21" t="s">
        <v>958</v>
      </c>
      <c r="K1120" s="21" t="s">
        <v>959</v>
      </c>
      <c r="L1120" s="21" t="s">
        <v>8846</v>
      </c>
      <c r="M1120" s="21" t="s">
        <v>8499</v>
      </c>
      <c r="N1120" s="21" t="s">
        <v>8847</v>
      </c>
      <c r="O1120" s="21" t="s">
        <v>8827</v>
      </c>
      <c r="P1120" s="27">
        <v>2</v>
      </c>
      <c r="Q1120" s="27">
        <v>39</v>
      </c>
      <c r="R1120" s="21" t="s">
        <v>8848</v>
      </c>
      <c r="S1120" s="21" t="s">
        <v>8829</v>
      </c>
      <c r="T1120" s="21" t="s">
        <v>966</v>
      </c>
      <c r="U1120" s="21" t="s">
        <v>8849</v>
      </c>
    </row>
    <row r="1121" spans="1:21" ht="84">
      <c r="A1121" s="21" t="s">
        <v>926</v>
      </c>
      <c r="B1121" s="21" t="s">
        <v>927</v>
      </c>
      <c r="C1121" s="21" t="s">
        <v>688</v>
      </c>
      <c r="D1121" s="21" t="s">
        <v>180</v>
      </c>
      <c r="E1121" s="21" t="s">
        <v>8496</v>
      </c>
      <c r="F1121" s="21" t="s">
        <v>1365</v>
      </c>
      <c r="G1121" s="21" t="s">
        <v>8850</v>
      </c>
      <c r="H1121" s="28">
        <v>40857</v>
      </c>
      <c r="I1121" s="22">
        <v>2011</v>
      </c>
      <c r="J1121" s="21" t="s">
        <v>1012</v>
      </c>
      <c r="K1121" s="21" t="s">
        <v>1013</v>
      </c>
      <c r="L1121" s="21" t="s">
        <v>8851</v>
      </c>
      <c r="M1121" s="21" t="s">
        <v>8852</v>
      </c>
      <c r="N1121" s="21" t="s">
        <v>8853</v>
      </c>
      <c r="O1121" s="21" t="s">
        <v>8854</v>
      </c>
      <c r="P1121" s="27">
        <v>0</v>
      </c>
      <c r="Q1121" s="27">
        <v>8</v>
      </c>
      <c r="R1121" s="21" t="s">
        <v>8855</v>
      </c>
      <c r="S1121" s="21" t="s">
        <v>8856</v>
      </c>
      <c r="T1121" s="21" t="s">
        <v>966</v>
      </c>
      <c r="U1121" s="21" t="s">
        <v>8857</v>
      </c>
    </row>
    <row r="1122" spans="1:21" ht="42">
      <c r="A1122" s="21" t="s">
        <v>926</v>
      </c>
      <c r="B1122" s="21" t="s">
        <v>927</v>
      </c>
      <c r="C1122" s="21" t="s">
        <v>688</v>
      </c>
      <c r="D1122" s="21" t="s">
        <v>180</v>
      </c>
      <c r="E1122" s="21" t="s">
        <v>8496</v>
      </c>
      <c r="F1122" s="21" t="s">
        <v>1373</v>
      </c>
      <c r="G1122" s="21" t="s">
        <v>8858</v>
      </c>
      <c r="H1122" s="28">
        <v>40998</v>
      </c>
      <c r="I1122" s="22">
        <v>2012</v>
      </c>
      <c r="J1122" s="21" t="s">
        <v>958</v>
      </c>
      <c r="K1122" s="21" t="s">
        <v>959</v>
      </c>
      <c r="L1122" s="21" t="s">
        <v>8859</v>
      </c>
      <c r="M1122" s="21" t="s">
        <v>8499</v>
      </c>
      <c r="N1122" s="21" t="s">
        <v>8860</v>
      </c>
      <c r="O1122" s="21" t="s">
        <v>8861</v>
      </c>
      <c r="P1122" s="27">
        <v>0</v>
      </c>
      <c r="Q1122" s="27">
        <v>12</v>
      </c>
      <c r="R1122" s="21" t="s">
        <v>8862</v>
      </c>
      <c r="S1122" s="21" t="s">
        <v>8863</v>
      </c>
      <c r="T1122" s="21" t="s">
        <v>966</v>
      </c>
      <c r="U1122" s="21" t="s">
        <v>8864</v>
      </c>
    </row>
    <row r="1123" spans="1:21" ht="56">
      <c r="A1123" s="21" t="s">
        <v>926</v>
      </c>
      <c r="B1123" s="21" t="s">
        <v>927</v>
      </c>
      <c r="C1123" s="21" t="s">
        <v>688</v>
      </c>
      <c r="D1123" s="21" t="s">
        <v>180</v>
      </c>
      <c r="E1123" s="21" t="s">
        <v>8496</v>
      </c>
      <c r="F1123" s="21" t="s">
        <v>1382</v>
      </c>
      <c r="G1123" s="21" t="s">
        <v>8865</v>
      </c>
      <c r="H1123" s="28">
        <v>43140</v>
      </c>
      <c r="I1123" s="22">
        <v>2018</v>
      </c>
      <c r="J1123" s="21" t="s">
        <v>1012</v>
      </c>
      <c r="K1123" s="21" t="s">
        <v>998</v>
      </c>
      <c r="L1123" s="21" t="s">
        <v>8866</v>
      </c>
      <c r="M1123" s="21" t="s">
        <v>8499</v>
      </c>
      <c r="N1123" s="21" t="s">
        <v>8867</v>
      </c>
      <c r="O1123" s="21" t="s">
        <v>8868</v>
      </c>
      <c r="P1123" s="27">
        <v>5</v>
      </c>
      <c r="Q1123" s="27">
        <v>6</v>
      </c>
      <c r="R1123" s="21" t="s">
        <v>8869</v>
      </c>
      <c r="S1123" s="21" t="s">
        <v>8870</v>
      </c>
      <c r="T1123" s="21" t="s">
        <v>966</v>
      </c>
      <c r="U1123" s="21" t="s">
        <v>8871</v>
      </c>
    </row>
    <row r="1124" spans="1:21" ht="56">
      <c r="A1124" s="21" t="s">
        <v>926</v>
      </c>
      <c r="B1124" s="21" t="s">
        <v>927</v>
      </c>
      <c r="C1124" s="21" t="s">
        <v>688</v>
      </c>
      <c r="D1124" s="21" t="s">
        <v>180</v>
      </c>
      <c r="E1124" s="21" t="s">
        <v>8496</v>
      </c>
      <c r="F1124" s="21" t="s">
        <v>1389</v>
      </c>
      <c r="G1124" s="21" t="s">
        <v>8872</v>
      </c>
      <c r="H1124" s="28">
        <v>41068</v>
      </c>
      <c r="I1124" s="22">
        <v>2012</v>
      </c>
      <c r="J1124" s="21" t="s">
        <v>1012</v>
      </c>
      <c r="K1124" s="21" t="s">
        <v>1013</v>
      </c>
      <c r="L1124" s="21" t="s">
        <v>8873</v>
      </c>
      <c r="M1124" s="21" t="s">
        <v>8874</v>
      </c>
      <c r="N1124" s="21" t="s">
        <v>8875</v>
      </c>
      <c r="O1124" s="21" t="s">
        <v>8876</v>
      </c>
      <c r="P1124" s="27">
        <v>8</v>
      </c>
      <c r="Q1124" s="27">
        <v>30</v>
      </c>
      <c r="R1124" s="21" t="s">
        <v>8877</v>
      </c>
      <c r="S1124" s="21" t="s">
        <v>8878</v>
      </c>
      <c r="T1124" s="21" t="s">
        <v>966</v>
      </c>
      <c r="U1124" s="21" t="s">
        <v>8879</v>
      </c>
    </row>
    <row r="1125" spans="1:21" ht="140">
      <c r="A1125" s="21" t="s">
        <v>926</v>
      </c>
      <c r="B1125" s="21" t="s">
        <v>927</v>
      </c>
      <c r="C1125" s="21" t="s">
        <v>688</v>
      </c>
      <c r="D1125" s="21" t="s">
        <v>180</v>
      </c>
      <c r="E1125" s="21" t="s">
        <v>8496</v>
      </c>
      <c r="F1125" s="21" t="s">
        <v>1396</v>
      </c>
      <c r="G1125" s="21" t="s">
        <v>8880</v>
      </c>
      <c r="H1125" s="28">
        <v>42394</v>
      </c>
      <c r="I1125" s="22">
        <v>2016</v>
      </c>
      <c r="J1125" s="21" t="s">
        <v>1012</v>
      </c>
      <c r="K1125" s="21" t="s">
        <v>998</v>
      </c>
      <c r="L1125" s="21" t="s">
        <v>8881</v>
      </c>
      <c r="M1125" s="21" t="s">
        <v>8499</v>
      </c>
      <c r="N1125" s="21" t="s">
        <v>8882</v>
      </c>
      <c r="O1125" s="21" t="s">
        <v>8883</v>
      </c>
      <c r="P1125" s="27">
        <v>10</v>
      </c>
      <c r="Q1125" s="27">
        <v>4</v>
      </c>
      <c r="R1125" s="21" t="s">
        <v>8884</v>
      </c>
      <c r="S1125" s="21" t="s">
        <v>8885</v>
      </c>
      <c r="T1125" s="21" t="s">
        <v>1148</v>
      </c>
      <c r="U1125" s="21" t="s">
        <v>8886</v>
      </c>
    </row>
    <row r="1126" spans="1:21" ht="112">
      <c r="A1126" s="21" t="s">
        <v>926</v>
      </c>
      <c r="B1126" s="21" t="s">
        <v>927</v>
      </c>
      <c r="C1126" s="21" t="s">
        <v>688</v>
      </c>
      <c r="D1126" s="21" t="s">
        <v>180</v>
      </c>
      <c r="E1126" s="21" t="s">
        <v>8496</v>
      </c>
      <c r="F1126" s="21" t="s">
        <v>1404</v>
      </c>
      <c r="G1126" s="21" t="s">
        <v>8887</v>
      </c>
      <c r="H1126" s="28">
        <v>41845</v>
      </c>
      <c r="I1126" s="22">
        <v>2014</v>
      </c>
      <c r="J1126" s="21" t="s">
        <v>958</v>
      </c>
      <c r="K1126" s="21" t="s">
        <v>959</v>
      </c>
      <c r="L1126" s="21" t="s">
        <v>8888</v>
      </c>
      <c r="M1126" s="21" t="s">
        <v>8889</v>
      </c>
      <c r="N1126" s="21" t="s">
        <v>8890</v>
      </c>
      <c r="O1126" s="21" t="s">
        <v>8891</v>
      </c>
      <c r="P1126" s="27">
        <v>0</v>
      </c>
      <c r="Q1126" s="27">
        <v>13</v>
      </c>
      <c r="R1126" s="21" t="s">
        <v>8892</v>
      </c>
      <c r="S1126" s="21" t="s">
        <v>8893</v>
      </c>
      <c r="T1126" s="21" t="s">
        <v>966</v>
      </c>
      <c r="U1126" s="21" t="s">
        <v>8894</v>
      </c>
    </row>
    <row r="1127" spans="1:21" ht="126">
      <c r="A1127" s="21" t="s">
        <v>926</v>
      </c>
      <c r="B1127" s="21" t="s">
        <v>927</v>
      </c>
      <c r="C1127" s="21" t="s">
        <v>688</v>
      </c>
      <c r="D1127" s="21" t="s">
        <v>180</v>
      </c>
      <c r="E1127" s="21" t="s">
        <v>8496</v>
      </c>
      <c r="F1127" s="21" t="s">
        <v>1412</v>
      </c>
      <c r="G1127" s="21" t="s">
        <v>8895</v>
      </c>
      <c r="H1127" s="28">
        <v>41089</v>
      </c>
      <c r="I1127" s="22">
        <v>2012</v>
      </c>
      <c r="J1127" s="21" t="s">
        <v>958</v>
      </c>
      <c r="K1127" s="21" t="s">
        <v>959</v>
      </c>
      <c r="L1127" s="21" t="s">
        <v>8896</v>
      </c>
      <c r="M1127" s="21" t="s">
        <v>8499</v>
      </c>
      <c r="N1127" s="21" t="s">
        <v>8860</v>
      </c>
      <c r="O1127" s="21" t="s">
        <v>8897</v>
      </c>
      <c r="P1127" s="27">
        <v>0</v>
      </c>
      <c r="Q1127" s="27">
        <v>64</v>
      </c>
      <c r="R1127" s="21" t="s">
        <v>8898</v>
      </c>
      <c r="S1127" s="21" t="s">
        <v>8899</v>
      </c>
      <c r="T1127" s="21" t="s">
        <v>966</v>
      </c>
      <c r="U1127" s="21" t="s">
        <v>8900</v>
      </c>
    </row>
    <row r="1128" spans="1:21" ht="70">
      <c r="A1128" s="21" t="s">
        <v>926</v>
      </c>
      <c r="B1128" s="21" t="s">
        <v>927</v>
      </c>
      <c r="C1128" s="21" t="s">
        <v>688</v>
      </c>
      <c r="D1128" s="21" t="s">
        <v>180</v>
      </c>
      <c r="E1128" s="21" t="s">
        <v>8496</v>
      </c>
      <c r="F1128" s="21" t="s">
        <v>1420</v>
      </c>
      <c r="G1128" s="21" t="s">
        <v>8901</v>
      </c>
      <c r="H1128" s="28">
        <v>42867</v>
      </c>
      <c r="I1128" s="22">
        <v>2017</v>
      </c>
      <c r="J1128" s="21" t="s">
        <v>1012</v>
      </c>
      <c r="K1128" s="21" t="s">
        <v>998</v>
      </c>
      <c r="L1128" s="21" t="s">
        <v>8902</v>
      </c>
      <c r="M1128" s="21" t="s">
        <v>8499</v>
      </c>
      <c r="N1128" s="21" t="s">
        <v>8903</v>
      </c>
      <c r="O1128" s="21" t="s">
        <v>8904</v>
      </c>
      <c r="P1128" s="27">
        <v>0</v>
      </c>
      <c r="Q1128" s="27">
        <v>8</v>
      </c>
      <c r="R1128" s="21" t="s">
        <v>8905</v>
      </c>
      <c r="S1128" s="21" t="s">
        <v>8906</v>
      </c>
      <c r="T1128" s="21" t="s">
        <v>1148</v>
      </c>
      <c r="U1128" s="21" t="s">
        <v>8907</v>
      </c>
    </row>
    <row r="1129" spans="1:21" ht="126">
      <c r="A1129" s="21" t="s">
        <v>926</v>
      </c>
      <c r="B1129" s="21" t="s">
        <v>927</v>
      </c>
      <c r="C1129" s="21" t="s">
        <v>688</v>
      </c>
      <c r="D1129" s="21" t="s">
        <v>180</v>
      </c>
      <c r="E1129" s="21" t="s">
        <v>8496</v>
      </c>
      <c r="F1129" s="21" t="s">
        <v>1428</v>
      </c>
      <c r="G1129" s="21" t="s">
        <v>8908</v>
      </c>
      <c r="H1129" s="28">
        <v>40970</v>
      </c>
      <c r="I1129" s="22">
        <v>2012</v>
      </c>
      <c r="J1129" s="21" t="s">
        <v>958</v>
      </c>
      <c r="K1129" s="21" t="s">
        <v>959</v>
      </c>
      <c r="L1129" s="21" t="s">
        <v>8909</v>
      </c>
      <c r="M1129" s="21" t="s">
        <v>8499</v>
      </c>
      <c r="N1129" s="21" t="s">
        <v>8910</v>
      </c>
      <c r="O1129" s="21" t="s">
        <v>8911</v>
      </c>
      <c r="P1129" s="27">
        <v>0</v>
      </c>
      <c r="Q1129" s="27">
        <v>24</v>
      </c>
      <c r="R1129" s="21" t="s">
        <v>8912</v>
      </c>
      <c r="S1129" s="21" t="s">
        <v>8913</v>
      </c>
      <c r="T1129" s="21" t="s">
        <v>966</v>
      </c>
      <c r="U1129" s="21" t="s">
        <v>8914</v>
      </c>
    </row>
    <row r="1130" spans="1:21" ht="210">
      <c r="A1130" s="21" t="s">
        <v>926</v>
      </c>
      <c r="B1130" s="21" t="s">
        <v>927</v>
      </c>
      <c r="C1130" s="21" t="s">
        <v>688</v>
      </c>
      <c r="D1130" s="21" t="s">
        <v>180</v>
      </c>
      <c r="E1130" s="21" t="s">
        <v>8496</v>
      </c>
      <c r="F1130" s="21" t="s">
        <v>1436</v>
      </c>
      <c r="G1130" s="21" t="s">
        <v>8915</v>
      </c>
      <c r="H1130" s="28">
        <v>42464</v>
      </c>
      <c r="I1130" s="22">
        <v>2016</v>
      </c>
      <c r="J1130" s="21" t="s">
        <v>1012</v>
      </c>
      <c r="K1130" s="21" t="s">
        <v>998</v>
      </c>
      <c r="L1130" s="21" t="s">
        <v>8916</v>
      </c>
      <c r="M1130" s="21" t="s">
        <v>8499</v>
      </c>
      <c r="N1130" s="21" t="s">
        <v>8747</v>
      </c>
      <c r="O1130" s="21" t="s">
        <v>8917</v>
      </c>
      <c r="P1130" s="27">
        <v>0</v>
      </c>
      <c r="Q1130" s="27">
        <v>32</v>
      </c>
      <c r="R1130" s="21" t="s">
        <v>8918</v>
      </c>
      <c r="S1130" s="21" t="s">
        <v>8919</v>
      </c>
      <c r="T1130" s="21" t="s">
        <v>1148</v>
      </c>
      <c r="U1130" s="21" t="s">
        <v>8920</v>
      </c>
    </row>
    <row r="1131" spans="1:21" ht="84">
      <c r="A1131" s="21" t="s">
        <v>926</v>
      </c>
      <c r="B1131" s="21" t="s">
        <v>927</v>
      </c>
      <c r="C1131" s="21" t="s">
        <v>688</v>
      </c>
      <c r="D1131" s="21" t="s">
        <v>180</v>
      </c>
      <c r="E1131" s="21" t="s">
        <v>8496</v>
      </c>
      <c r="F1131" s="21" t="s">
        <v>1444</v>
      </c>
      <c r="G1131" s="21" t="s">
        <v>8921</v>
      </c>
      <c r="H1131" s="28">
        <v>42327</v>
      </c>
      <c r="I1131" s="22">
        <v>2015</v>
      </c>
      <c r="J1131" s="21" t="s">
        <v>1012</v>
      </c>
      <c r="K1131" s="21" t="s">
        <v>998</v>
      </c>
      <c r="L1131" s="21" t="s">
        <v>8922</v>
      </c>
      <c r="M1131" s="21" t="s">
        <v>8499</v>
      </c>
      <c r="N1131" s="21" t="s">
        <v>8923</v>
      </c>
      <c r="O1131" s="21" t="s">
        <v>8924</v>
      </c>
      <c r="P1131" s="27">
        <v>3</v>
      </c>
      <c r="Q1131" s="27">
        <v>17</v>
      </c>
      <c r="R1131" s="21" t="s">
        <v>8925</v>
      </c>
      <c r="S1131" s="21" t="s">
        <v>8926</v>
      </c>
      <c r="T1131" s="21" t="s">
        <v>966</v>
      </c>
      <c r="U1131" s="21" t="s">
        <v>8927</v>
      </c>
    </row>
    <row r="1132" spans="1:21" ht="56">
      <c r="A1132" s="21" t="s">
        <v>926</v>
      </c>
      <c r="B1132" s="21" t="s">
        <v>927</v>
      </c>
      <c r="C1132" s="21" t="s">
        <v>688</v>
      </c>
      <c r="D1132" s="21" t="s">
        <v>180</v>
      </c>
      <c r="E1132" s="21" t="s">
        <v>8496</v>
      </c>
      <c r="F1132" s="21" t="s">
        <v>1452</v>
      </c>
      <c r="G1132" s="21" t="s">
        <v>8928</v>
      </c>
      <c r="H1132" s="28">
        <v>42767</v>
      </c>
      <c r="I1132" s="22">
        <v>2017</v>
      </c>
      <c r="J1132" s="21" t="s">
        <v>1012</v>
      </c>
      <c r="K1132" s="21" t="s">
        <v>998</v>
      </c>
      <c r="L1132" s="21" t="s">
        <v>8929</v>
      </c>
      <c r="M1132" s="21" t="s">
        <v>8499</v>
      </c>
      <c r="N1132" s="21" t="s">
        <v>8930</v>
      </c>
      <c r="O1132" s="21" t="s">
        <v>8931</v>
      </c>
      <c r="P1132" s="27">
        <v>0</v>
      </c>
      <c r="Q1132" s="27">
        <v>5</v>
      </c>
      <c r="R1132" s="21" t="s">
        <v>8932</v>
      </c>
      <c r="S1132" s="21" t="s">
        <v>8933</v>
      </c>
      <c r="T1132" s="21" t="s">
        <v>1148</v>
      </c>
      <c r="U1132" s="21" t="s">
        <v>8934</v>
      </c>
    </row>
    <row r="1133" spans="1:21" ht="56">
      <c r="A1133" s="21" t="s">
        <v>926</v>
      </c>
      <c r="B1133" s="21" t="s">
        <v>927</v>
      </c>
      <c r="C1133" s="21" t="s">
        <v>688</v>
      </c>
      <c r="D1133" s="21" t="s">
        <v>180</v>
      </c>
      <c r="E1133" s="21" t="s">
        <v>8496</v>
      </c>
      <c r="F1133" s="21" t="s">
        <v>1460</v>
      </c>
      <c r="G1133" s="21" t="s">
        <v>8935</v>
      </c>
      <c r="H1133" s="28">
        <v>41346</v>
      </c>
      <c r="I1133" s="22">
        <v>2013</v>
      </c>
      <c r="J1133" s="21" t="s">
        <v>1012</v>
      </c>
      <c r="K1133" s="21" t="s">
        <v>1013</v>
      </c>
      <c r="L1133" s="21" t="s">
        <v>8936</v>
      </c>
      <c r="M1133" s="21" t="s">
        <v>8499</v>
      </c>
      <c r="N1133" s="21" t="s">
        <v>8937</v>
      </c>
      <c r="O1133" s="21" t="s">
        <v>8938</v>
      </c>
      <c r="P1133" s="27">
        <v>0</v>
      </c>
      <c r="Q1133" s="27">
        <v>12</v>
      </c>
      <c r="R1133" s="21" t="s">
        <v>8939</v>
      </c>
      <c r="S1133" s="21" t="s">
        <v>8940</v>
      </c>
      <c r="T1133" s="21" t="s">
        <v>966</v>
      </c>
      <c r="U1133" s="21" t="s">
        <v>8941</v>
      </c>
    </row>
    <row r="1134" spans="1:21" ht="154">
      <c r="A1134" s="21" t="s">
        <v>926</v>
      </c>
      <c r="B1134" s="21" t="s">
        <v>927</v>
      </c>
      <c r="C1134" s="21" t="s">
        <v>688</v>
      </c>
      <c r="D1134" s="21" t="s">
        <v>180</v>
      </c>
      <c r="E1134" s="21" t="s">
        <v>8496</v>
      </c>
      <c r="F1134" s="21" t="s">
        <v>1468</v>
      </c>
      <c r="G1134" s="21" t="s">
        <v>8942</v>
      </c>
      <c r="H1134" s="28">
        <v>40854</v>
      </c>
      <c r="I1134" s="22">
        <v>2011</v>
      </c>
      <c r="J1134" s="21" t="s">
        <v>958</v>
      </c>
      <c r="K1134" s="21" t="s">
        <v>959</v>
      </c>
      <c r="L1134" s="21" t="s">
        <v>8943</v>
      </c>
      <c r="M1134" s="21" t="s">
        <v>8499</v>
      </c>
      <c r="N1134" s="21" t="s">
        <v>8860</v>
      </c>
      <c r="O1134" s="21" t="s">
        <v>8944</v>
      </c>
      <c r="P1134" s="27">
        <v>0</v>
      </c>
      <c r="Q1134" s="27">
        <v>10</v>
      </c>
      <c r="R1134" s="21" t="s">
        <v>8945</v>
      </c>
      <c r="S1134" s="21" t="s">
        <v>8946</v>
      </c>
      <c r="T1134" s="21" t="s">
        <v>966</v>
      </c>
      <c r="U1134" s="21" t="s">
        <v>8947</v>
      </c>
    </row>
    <row r="1135" spans="1:21" ht="182">
      <c r="A1135" s="21" t="s">
        <v>926</v>
      </c>
      <c r="B1135" s="21" t="s">
        <v>927</v>
      </c>
      <c r="C1135" s="21" t="s">
        <v>688</v>
      </c>
      <c r="D1135" s="21" t="s">
        <v>180</v>
      </c>
      <c r="E1135" s="21" t="s">
        <v>8496</v>
      </c>
      <c r="F1135" s="21" t="s">
        <v>1476</v>
      </c>
      <c r="G1135" s="21" t="s">
        <v>8948</v>
      </c>
      <c r="H1135" s="28">
        <v>41051</v>
      </c>
      <c r="I1135" s="22">
        <v>2012</v>
      </c>
      <c r="J1135" s="21" t="s">
        <v>1012</v>
      </c>
      <c r="K1135" s="21" t="s">
        <v>998</v>
      </c>
      <c r="L1135" s="21" t="s">
        <v>8949</v>
      </c>
      <c r="M1135" s="21" t="s">
        <v>8499</v>
      </c>
      <c r="N1135" s="21" t="s">
        <v>8950</v>
      </c>
      <c r="O1135" s="21" t="s">
        <v>8951</v>
      </c>
      <c r="P1135" s="27">
        <v>0</v>
      </c>
      <c r="Q1135" s="27">
        <v>20</v>
      </c>
      <c r="R1135" s="21" t="s">
        <v>8952</v>
      </c>
      <c r="S1135" s="21" t="s">
        <v>8953</v>
      </c>
      <c r="T1135" s="21" t="s">
        <v>1148</v>
      </c>
      <c r="U1135" s="21" t="s">
        <v>8954</v>
      </c>
    </row>
    <row r="1136" spans="1:21" ht="112">
      <c r="A1136" s="21" t="s">
        <v>926</v>
      </c>
      <c r="B1136" s="21" t="s">
        <v>927</v>
      </c>
      <c r="C1136" s="21" t="s">
        <v>688</v>
      </c>
      <c r="D1136" s="21" t="s">
        <v>180</v>
      </c>
      <c r="E1136" s="21" t="s">
        <v>8496</v>
      </c>
      <c r="F1136" s="21" t="s">
        <v>1484</v>
      </c>
      <c r="G1136" s="21" t="s">
        <v>8955</v>
      </c>
      <c r="H1136" s="28">
        <v>40606</v>
      </c>
      <c r="I1136" s="22">
        <v>2011</v>
      </c>
      <c r="J1136" s="21" t="s">
        <v>1012</v>
      </c>
      <c r="K1136" s="21" t="s">
        <v>1013</v>
      </c>
      <c r="L1136" s="21" t="s">
        <v>8956</v>
      </c>
      <c r="M1136" s="21" t="s">
        <v>8499</v>
      </c>
      <c r="N1136" s="21" t="s">
        <v>8957</v>
      </c>
      <c r="O1136" s="21" t="s">
        <v>8958</v>
      </c>
      <c r="P1136" s="27">
        <v>2</v>
      </c>
      <c r="Q1136" s="27">
        <v>6</v>
      </c>
      <c r="R1136" s="21" t="s">
        <v>8959</v>
      </c>
      <c r="S1136" s="21" t="s">
        <v>8960</v>
      </c>
      <c r="T1136" s="21" t="s">
        <v>966</v>
      </c>
      <c r="U1136" s="21" t="s">
        <v>8961</v>
      </c>
    </row>
    <row r="1137" spans="1:21" ht="84">
      <c r="A1137" s="21" t="s">
        <v>926</v>
      </c>
      <c r="B1137" s="21" t="s">
        <v>927</v>
      </c>
      <c r="C1137" s="21" t="s">
        <v>688</v>
      </c>
      <c r="D1137" s="21" t="s">
        <v>180</v>
      </c>
      <c r="E1137" s="21" t="s">
        <v>8496</v>
      </c>
      <c r="F1137" s="21" t="s">
        <v>1491</v>
      </c>
      <c r="G1137" s="21" t="s">
        <v>8962</v>
      </c>
      <c r="H1137" s="28">
        <v>40711</v>
      </c>
      <c r="I1137" s="22">
        <v>2011</v>
      </c>
      <c r="J1137" s="21" t="s">
        <v>1012</v>
      </c>
      <c r="K1137" s="21" t="s">
        <v>1013</v>
      </c>
      <c r="L1137" s="21" t="s">
        <v>8963</v>
      </c>
      <c r="M1137" s="21" t="s">
        <v>8499</v>
      </c>
      <c r="N1137" s="21" t="s">
        <v>8964</v>
      </c>
      <c r="O1137" s="21" t="s">
        <v>8965</v>
      </c>
      <c r="P1137" s="27">
        <v>2</v>
      </c>
      <c r="Q1137" s="27">
        <v>8</v>
      </c>
      <c r="R1137" s="21" t="s">
        <v>8966</v>
      </c>
      <c r="S1137" s="21" t="s">
        <v>8967</v>
      </c>
      <c r="T1137" s="21" t="s">
        <v>966</v>
      </c>
      <c r="U1137" s="21" t="s">
        <v>8968</v>
      </c>
    </row>
    <row r="1138" spans="1:21" ht="42">
      <c r="A1138" s="21" t="s">
        <v>926</v>
      </c>
      <c r="B1138" s="21" t="s">
        <v>927</v>
      </c>
      <c r="C1138" s="21" t="s">
        <v>688</v>
      </c>
      <c r="D1138" s="21" t="s">
        <v>180</v>
      </c>
      <c r="E1138" s="21" t="s">
        <v>8496</v>
      </c>
      <c r="F1138" s="21" t="s">
        <v>1499</v>
      </c>
      <c r="G1138" s="21" t="s">
        <v>8969</v>
      </c>
      <c r="H1138" s="28">
        <v>41250</v>
      </c>
      <c r="I1138" s="22">
        <v>2012</v>
      </c>
      <c r="J1138" s="21" t="s">
        <v>1012</v>
      </c>
      <c r="K1138" s="21" t="s">
        <v>998</v>
      </c>
      <c r="L1138" s="21" t="s">
        <v>8970</v>
      </c>
      <c r="M1138" s="21" t="s">
        <v>8499</v>
      </c>
      <c r="N1138" s="21" t="s">
        <v>8971</v>
      </c>
      <c r="O1138" s="21" t="s">
        <v>8972</v>
      </c>
      <c r="P1138" s="27">
        <v>0</v>
      </c>
      <c r="Q1138" s="27">
        <v>10</v>
      </c>
      <c r="R1138" s="21" t="s">
        <v>8973</v>
      </c>
      <c r="S1138" s="21" t="s">
        <v>8974</v>
      </c>
      <c r="T1138" s="21" t="s">
        <v>1148</v>
      </c>
      <c r="U1138" s="21" t="s">
        <v>8975</v>
      </c>
    </row>
    <row r="1139" spans="1:21" ht="140">
      <c r="A1139" s="21" t="s">
        <v>926</v>
      </c>
      <c r="B1139" s="21" t="s">
        <v>927</v>
      </c>
      <c r="C1139" s="21" t="s">
        <v>688</v>
      </c>
      <c r="D1139" s="21" t="s">
        <v>180</v>
      </c>
      <c r="E1139" s="21" t="s">
        <v>8496</v>
      </c>
      <c r="F1139" s="21" t="s">
        <v>1507</v>
      </c>
      <c r="G1139" s="21" t="s">
        <v>8976</v>
      </c>
      <c r="H1139" s="28">
        <v>41967</v>
      </c>
      <c r="I1139" s="22">
        <v>2014</v>
      </c>
      <c r="J1139" s="21" t="s">
        <v>1012</v>
      </c>
      <c r="K1139" s="21" t="s">
        <v>998</v>
      </c>
      <c r="L1139" s="21" t="s">
        <v>8977</v>
      </c>
      <c r="M1139" s="21" t="s">
        <v>8499</v>
      </c>
      <c r="N1139" s="21" t="s">
        <v>8978</v>
      </c>
      <c r="O1139" s="21" t="s">
        <v>8979</v>
      </c>
      <c r="P1139" s="27">
        <v>1</v>
      </c>
      <c r="Q1139" s="27">
        <v>4</v>
      </c>
      <c r="R1139" s="21" t="s">
        <v>8980</v>
      </c>
      <c r="S1139" s="21" t="s">
        <v>8981</v>
      </c>
      <c r="T1139" s="21" t="s">
        <v>1148</v>
      </c>
      <c r="U1139" s="21" t="s">
        <v>8982</v>
      </c>
    </row>
    <row r="1140" spans="1:21" ht="28">
      <c r="A1140" s="21" t="s">
        <v>926</v>
      </c>
      <c r="B1140" s="21" t="s">
        <v>927</v>
      </c>
      <c r="C1140" s="21" t="s">
        <v>688</v>
      </c>
      <c r="D1140" s="21" t="s">
        <v>180</v>
      </c>
      <c r="E1140" s="21" t="s">
        <v>8496</v>
      </c>
      <c r="F1140" s="21" t="s">
        <v>1515</v>
      </c>
      <c r="G1140" s="21" t="s">
        <v>8983</v>
      </c>
      <c r="H1140" s="28">
        <v>41991</v>
      </c>
      <c r="I1140" s="22">
        <v>2014</v>
      </c>
      <c r="J1140" s="21" t="s">
        <v>1012</v>
      </c>
      <c r="K1140" s="21" t="s">
        <v>998</v>
      </c>
      <c r="L1140" s="21" t="s">
        <v>8984</v>
      </c>
      <c r="M1140" s="21" t="s">
        <v>8499</v>
      </c>
      <c r="N1140" s="21" t="s">
        <v>8985</v>
      </c>
      <c r="O1140" s="21" t="s">
        <v>8986</v>
      </c>
      <c r="P1140" s="27">
        <v>2</v>
      </c>
      <c r="Q1140" s="27">
        <v>5</v>
      </c>
      <c r="R1140" s="21" t="s">
        <v>8987</v>
      </c>
      <c r="S1140" s="21" t="s">
        <v>8988</v>
      </c>
      <c r="T1140" s="21" t="s">
        <v>1148</v>
      </c>
      <c r="U1140" s="21" t="s">
        <v>8989</v>
      </c>
    </row>
    <row r="1141" spans="1:21" ht="56">
      <c r="A1141" s="21" t="s">
        <v>926</v>
      </c>
      <c r="B1141" s="21" t="s">
        <v>927</v>
      </c>
      <c r="C1141" s="21" t="s">
        <v>688</v>
      </c>
      <c r="D1141" s="21" t="s">
        <v>180</v>
      </c>
      <c r="E1141" s="21" t="s">
        <v>8496</v>
      </c>
      <c r="F1141" s="21" t="s">
        <v>1521</v>
      </c>
      <c r="G1141" s="21" t="s">
        <v>8990</v>
      </c>
      <c r="H1141" s="28">
        <v>41815</v>
      </c>
      <c r="I1141" s="22">
        <v>2014</v>
      </c>
      <c r="J1141" s="21" t="s">
        <v>1012</v>
      </c>
      <c r="K1141" s="21" t="s">
        <v>998</v>
      </c>
      <c r="L1141" s="21" t="s">
        <v>8991</v>
      </c>
      <c r="M1141" s="21" t="s">
        <v>8499</v>
      </c>
      <c r="N1141" s="21" t="s">
        <v>8819</v>
      </c>
      <c r="O1141" s="21" t="s">
        <v>8992</v>
      </c>
      <c r="P1141" s="27">
        <v>0</v>
      </c>
      <c r="Q1141" s="27">
        <v>5</v>
      </c>
      <c r="R1141" s="21" t="s">
        <v>8993</v>
      </c>
      <c r="S1141" s="21" t="s">
        <v>8994</v>
      </c>
      <c r="T1141" s="21" t="s">
        <v>1148</v>
      </c>
      <c r="U1141" s="21" t="s">
        <v>8995</v>
      </c>
    </row>
    <row r="1142" spans="1:21" ht="112">
      <c r="A1142" s="21" t="s">
        <v>926</v>
      </c>
      <c r="B1142" s="21" t="s">
        <v>927</v>
      </c>
      <c r="C1142" s="21" t="s">
        <v>688</v>
      </c>
      <c r="D1142" s="21" t="s">
        <v>180</v>
      </c>
      <c r="E1142" s="21" t="s">
        <v>8496</v>
      </c>
      <c r="F1142" s="21" t="s">
        <v>1529</v>
      </c>
      <c r="G1142" s="21" t="s">
        <v>8996</v>
      </c>
      <c r="H1142" s="28">
        <v>41789</v>
      </c>
      <c r="I1142" s="22">
        <v>2014</v>
      </c>
      <c r="J1142" s="21" t="s">
        <v>1012</v>
      </c>
      <c r="K1142" s="21" t="s">
        <v>998</v>
      </c>
      <c r="L1142" s="21" t="s">
        <v>8997</v>
      </c>
      <c r="M1142" s="21" t="s">
        <v>8499</v>
      </c>
      <c r="N1142" s="21" t="s">
        <v>8998</v>
      </c>
      <c r="O1142" s="21" t="s">
        <v>8999</v>
      </c>
      <c r="P1142" s="27">
        <v>11</v>
      </c>
      <c r="Q1142" s="27">
        <v>37</v>
      </c>
      <c r="R1142" s="21" t="s">
        <v>9000</v>
      </c>
      <c r="S1142" s="21" t="s">
        <v>9001</v>
      </c>
      <c r="T1142" s="21" t="s">
        <v>966</v>
      </c>
      <c r="U1142" s="21" t="s">
        <v>9002</v>
      </c>
    </row>
    <row r="1143" spans="1:21" ht="70">
      <c r="A1143" s="21" t="s">
        <v>926</v>
      </c>
      <c r="B1143" s="21" t="s">
        <v>927</v>
      </c>
      <c r="C1143" s="21" t="s">
        <v>688</v>
      </c>
      <c r="D1143" s="21" t="s">
        <v>180</v>
      </c>
      <c r="E1143" s="21" t="s">
        <v>8496</v>
      </c>
      <c r="F1143" s="21" t="s">
        <v>1537</v>
      </c>
      <c r="G1143" s="21" t="s">
        <v>9003</v>
      </c>
      <c r="H1143" s="28">
        <v>40997</v>
      </c>
      <c r="I1143" s="22">
        <v>2012</v>
      </c>
      <c r="J1143" s="21" t="s">
        <v>1012</v>
      </c>
      <c r="K1143" s="21" t="s">
        <v>998</v>
      </c>
      <c r="L1143" s="21" t="s">
        <v>9004</v>
      </c>
      <c r="M1143" s="21" t="s">
        <v>8499</v>
      </c>
      <c r="N1143" s="21" t="s">
        <v>9005</v>
      </c>
      <c r="O1143" s="21" t="s">
        <v>9006</v>
      </c>
      <c r="P1143" s="27">
        <v>21</v>
      </c>
      <c r="Q1143" s="27">
        <v>39</v>
      </c>
      <c r="R1143" s="21" t="s">
        <v>9007</v>
      </c>
      <c r="S1143" s="21" t="s">
        <v>9008</v>
      </c>
      <c r="T1143" s="21" t="s">
        <v>966</v>
      </c>
      <c r="U1143" s="21" t="s">
        <v>9009</v>
      </c>
    </row>
    <row r="1144" spans="1:21" ht="70">
      <c r="A1144" s="21" t="s">
        <v>926</v>
      </c>
      <c r="B1144" s="21" t="s">
        <v>927</v>
      </c>
      <c r="C1144" s="21" t="s">
        <v>688</v>
      </c>
      <c r="D1144" s="21" t="s">
        <v>180</v>
      </c>
      <c r="E1144" s="21" t="s">
        <v>8496</v>
      </c>
      <c r="F1144" s="21" t="s">
        <v>1545</v>
      </c>
      <c r="G1144" s="21" t="s">
        <v>9010</v>
      </c>
      <c r="H1144" s="28">
        <v>41688</v>
      </c>
      <c r="I1144" s="22">
        <v>2014</v>
      </c>
      <c r="J1144" s="21" t="s">
        <v>1012</v>
      </c>
      <c r="K1144" s="21" t="s">
        <v>998</v>
      </c>
      <c r="L1144" s="21" t="s">
        <v>9011</v>
      </c>
      <c r="M1144" s="21" t="s">
        <v>8499</v>
      </c>
      <c r="N1144" s="21" t="s">
        <v>9012</v>
      </c>
      <c r="O1144" s="21" t="s">
        <v>9013</v>
      </c>
      <c r="P1144" s="27">
        <v>1</v>
      </c>
      <c r="Q1144" s="27">
        <v>17</v>
      </c>
      <c r="R1144" s="21" t="s">
        <v>9014</v>
      </c>
      <c r="S1144" s="21" t="s">
        <v>9015</v>
      </c>
      <c r="T1144" s="21" t="s">
        <v>966</v>
      </c>
      <c r="U1144" s="21" t="s">
        <v>9016</v>
      </c>
    </row>
    <row r="1145" spans="1:21" ht="266">
      <c r="A1145" s="21" t="s">
        <v>926</v>
      </c>
      <c r="B1145" s="21" t="s">
        <v>927</v>
      </c>
      <c r="C1145" s="21" t="s">
        <v>688</v>
      </c>
      <c r="D1145" s="21" t="s">
        <v>180</v>
      </c>
      <c r="E1145" s="21" t="s">
        <v>8496</v>
      </c>
      <c r="F1145" s="21" t="s">
        <v>1553</v>
      </c>
      <c r="G1145" s="21" t="s">
        <v>9017</v>
      </c>
      <c r="H1145" s="28">
        <v>41347</v>
      </c>
      <c r="I1145" s="22">
        <v>2013</v>
      </c>
      <c r="J1145" s="21" t="s">
        <v>1012</v>
      </c>
      <c r="K1145" s="21" t="s">
        <v>1013</v>
      </c>
      <c r="L1145" s="21" t="s">
        <v>9018</v>
      </c>
      <c r="M1145" s="21" t="s">
        <v>9019</v>
      </c>
      <c r="N1145" s="21" t="s">
        <v>9020</v>
      </c>
      <c r="O1145" s="21" t="s">
        <v>9021</v>
      </c>
      <c r="P1145" s="27">
        <v>23</v>
      </c>
      <c r="Q1145" s="27">
        <v>79</v>
      </c>
      <c r="R1145" s="21" t="s">
        <v>9022</v>
      </c>
      <c r="S1145" s="21" t="s">
        <v>9023</v>
      </c>
      <c r="T1145" s="21" t="s">
        <v>966</v>
      </c>
      <c r="U1145" s="21" t="s">
        <v>9024</v>
      </c>
    </row>
    <row r="1146" spans="1:21" ht="42">
      <c r="A1146" s="21" t="s">
        <v>926</v>
      </c>
      <c r="B1146" s="21" t="s">
        <v>927</v>
      </c>
      <c r="C1146" s="21" t="s">
        <v>688</v>
      </c>
      <c r="D1146" s="21" t="s">
        <v>180</v>
      </c>
      <c r="E1146" s="21" t="s">
        <v>8496</v>
      </c>
      <c r="F1146" s="21" t="s">
        <v>1561</v>
      </c>
      <c r="G1146" s="21" t="s">
        <v>9025</v>
      </c>
      <c r="H1146" s="28">
        <v>41870</v>
      </c>
      <c r="I1146" s="22">
        <v>2014</v>
      </c>
      <c r="J1146" s="21" t="s">
        <v>1012</v>
      </c>
      <c r="K1146" s="21" t="s">
        <v>998</v>
      </c>
      <c r="L1146" s="21" t="s">
        <v>9026</v>
      </c>
      <c r="M1146" s="21" t="s">
        <v>8499</v>
      </c>
      <c r="N1146" s="21" t="s">
        <v>9027</v>
      </c>
      <c r="O1146" s="21" t="s">
        <v>9028</v>
      </c>
      <c r="P1146" s="27">
        <v>0</v>
      </c>
      <c r="Q1146" s="27">
        <v>7</v>
      </c>
      <c r="R1146" s="21" t="s">
        <v>9029</v>
      </c>
      <c r="S1146" s="21" t="s">
        <v>9030</v>
      </c>
      <c r="T1146" s="21" t="s">
        <v>1148</v>
      </c>
      <c r="U1146" s="21" t="s">
        <v>9031</v>
      </c>
    </row>
    <row r="1147" spans="1:21" ht="84">
      <c r="A1147" s="21" t="s">
        <v>926</v>
      </c>
      <c r="B1147" s="21" t="s">
        <v>927</v>
      </c>
      <c r="C1147" s="21" t="s">
        <v>688</v>
      </c>
      <c r="D1147" s="21" t="s">
        <v>180</v>
      </c>
      <c r="E1147" s="21" t="s">
        <v>8496</v>
      </c>
      <c r="F1147" s="21" t="s">
        <v>1569</v>
      </c>
      <c r="G1147" s="21" t="s">
        <v>9032</v>
      </c>
      <c r="H1147" s="28">
        <v>40758</v>
      </c>
      <c r="I1147" s="22">
        <v>2011</v>
      </c>
      <c r="J1147" s="21" t="s">
        <v>1012</v>
      </c>
      <c r="K1147" s="21" t="s">
        <v>1013</v>
      </c>
      <c r="L1147" s="21" t="s">
        <v>9033</v>
      </c>
      <c r="M1147" s="21" t="s">
        <v>9034</v>
      </c>
      <c r="N1147" s="21" t="s">
        <v>9035</v>
      </c>
      <c r="O1147" s="21" t="s">
        <v>9036</v>
      </c>
      <c r="P1147" s="27">
        <v>10</v>
      </c>
      <c r="Q1147" s="27">
        <v>17</v>
      </c>
      <c r="R1147" s="21" t="s">
        <v>9037</v>
      </c>
      <c r="S1147" s="21" t="s">
        <v>9038</v>
      </c>
      <c r="T1147" s="21" t="s">
        <v>966</v>
      </c>
      <c r="U1147" s="21" t="s">
        <v>9039</v>
      </c>
    </row>
    <row r="1148" spans="1:21" ht="70">
      <c r="A1148" s="21" t="s">
        <v>926</v>
      </c>
      <c r="B1148" s="21" t="s">
        <v>927</v>
      </c>
      <c r="C1148" s="21" t="s">
        <v>688</v>
      </c>
      <c r="D1148" s="21" t="s">
        <v>180</v>
      </c>
      <c r="E1148" s="21" t="s">
        <v>8496</v>
      </c>
      <c r="F1148" s="21" t="s">
        <v>1577</v>
      </c>
      <c r="G1148" s="21" t="s">
        <v>9040</v>
      </c>
      <c r="H1148" s="28">
        <v>42291</v>
      </c>
      <c r="I1148" s="22">
        <v>2015</v>
      </c>
      <c r="J1148" s="21" t="s">
        <v>1012</v>
      </c>
      <c r="K1148" s="21" t="s">
        <v>998</v>
      </c>
      <c r="L1148" s="21" t="s">
        <v>9041</v>
      </c>
      <c r="M1148" s="21" t="s">
        <v>8499</v>
      </c>
      <c r="N1148" s="21" t="s">
        <v>9042</v>
      </c>
      <c r="O1148" s="21" t="s">
        <v>9043</v>
      </c>
      <c r="P1148" s="27">
        <v>7</v>
      </c>
      <c r="Q1148" s="27">
        <v>25</v>
      </c>
      <c r="R1148" s="21" t="s">
        <v>9044</v>
      </c>
      <c r="S1148" s="21" t="s">
        <v>9045</v>
      </c>
      <c r="T1148" s="21" t="s">
        <v>966</v>
      </c>
      <c r="U1148" s="21" t="s">
        <v>9046</v>
      </c>
    </row>
    <row r="1149" spans="1:21" ht="42">
      <c r="A1149" s="21" t="s">
        <v>926</v>
      </c>
      <c r="B1149" s="21" t="s">
        <v>927</v>
      </c>
      <c r="C1149" s="21" t="s">
        <v>688</v>
      </c>
      <c r="D1149" s="21" t="s">
        <v>180</v>
      </c>
      <c r="E1149" s="21" t="s">
        <v>8496</v>
      </c>
      <c r="F1149" s="21" t="s">
        <v>1585</v>
      </c>
      <c r="G1149" s="21" t="s">
        <v>9047</v>
      </c>
      <c r="H1149" s="28">
        <v>41722</v>
      </c>
      <c r="I1149" s="22">
        <v>2014</v>
      </c>
      <c r="J1149" s="21" t="s">
        <v>1012</v>
      </c>
      <c r="K1149" s="21" t="s">
        <v>998</v>
      </c>
      <c r="L1149" s="21" t="s">
        <v>9048</v>
      </c>
      <c r="M1149" s="21" t="s">
        <v>8499</v>
      </c>
      <c r="N1149" s="21" t="s">
        <v>9049</v>
      </c>
      <c r="O1149" s="21" t="s">
        <v>9050</v>
      </c>
      <c r="P1149" s="27">
        <v>27</v>
      </c>
      <c r="Q1149" s="27">
        <v>24</v>
      </c>
      <c r="R1149" s="21" t="s">
        <v>9051</v>
      </c>
      <c r="S1149" s="21" t="s">
        <v>9052</v>
      </c>
      <c r="T1149" s="21" t="s">
        <v>1148</v>
      </c>
      <c r="U1149" s="21" t="s">
        <v>9053</v>
      </c>
    </row>
    <row r="1150" spans="1:21" ht="126">
      <c r="A1150" s="21" t="s">
        <v>926</v>
      </c>
      <c r="B1150" s="21" t="s">
        <v>927</v>
      </c>
      <c r="C1150" s="21" t="s">
        <v>688</v>
      </c>
      <c r="D1150" s="21" t="s">
        <v>180</v>
      </c>
      <c r="E1150" s="21" t="s">
        <v>8496</v>
      </c>
      <c r="F1150" s="21" t="s">
        <v>1593</v>
      </c>
      <c r="G1150" s="21" t="s">
        <v>9054</v>
      </c>
      <c r="H1150" s="28">
        <v>41569</v>
      </c>
      <c r="I1150" s="22">
        <v>2013</v>
      </c>
      <c r="J1150" s="21" t="s">
        <v>1012</v>
      </c>
      <c r="K1150" s="21" t="s">
        <v>1013</v>
      </c>
      <c r="L1150" s="21" t="s">
        <v>9055</v>
      </c>
      <c r="M1150" s="21" t="s">
        <v>9056</v>
      </c>
      <c r="N1150" s="21" t="s">
        <v>9057</v>
      </c>
      <c r="O1150" s="21" t="s">
        <v>9058</v>
      </c>
      <c r="P1150" s="27">
        <v>61</v>
      </c>
      <c r="Q1150" s="27">
        <v>55</v>
      </c>
      <c r="R1150" s="21" t="s">
        <v>9059</v>
      </c>
      <c r="S1150" s="21" t="s">
        <v>9060</v>
      </c>
      <c r="T1150" s="21" t="s">
        <v>966</v>
      </c>
      <c r="U1150" s="21" t="s">
        <v>9061</v>
      </c>
    </row>
    <row r="1151" spans="1:21" ht="294">
      <c r="A1151" s="21" t="s">
        <v>926</v>
      </c>
      <c r="B1151" s="21" t="s">
        <v>927</v>
      </c>
      <c r="C1151" s="21" t="s">
        <v>688</v>
      </c>
      <c r="D1151" s="21" t="s">
        <v>180</v>
      </c>
      <c r="E1151" s="21" t="s">
        <v>8496</v>
      </c>
      <c r="F1151" s="21" t="s">
        <v>1600</v>
      </c>
      <c r="G1151" s="21" t="s">
        <v>9062</v>
      </c>
      <c r="H1151" s="28">
        <v>40702</v>
      </c>
      <c r="I1151" s="22">
        <v>2011</v>
      </c>
      <c r="J1151" s="21" t="s">
        <v>1012</v>
      </c>
      <c r="K1151" s="21" t="s">
        <v>1013</v>
      </c>
      <c r="L1151" s="21" t="s">
        <v>9063</v>
      </c>
      <c r="M1151" s="21" t="s">
        <v>8499</v>
      </c>
      <c r="N1151" s="21" t="s">
        <v>9064</v>
      </c>
      <c r="O1151" s="21" t="s">
        <v>9065</v>
      </c>
      <c r="P1151" s="27">
        <v>17</v>
      </c>
      <c r="Q1151" s="27">
        <v>120</v>
      </c>
      <c r="R1151" s="21" t="s">
        <v>9066</v>
      </c>
      <c r="S1151" s="21" t="s">
        <v>9067</v>
      </c>
      <c r="T1151" s="21" t="s">
        <v>966</v>
      </c>
      <c r="U1151" s="21" t="s">
        <v>9068</v>
      </c>
    </row>
    <row r="1152" spans="1:21" ht="84">
      <c r="A1152" s="21" t="s">
        <v>926</v>
      </c>
      <c r="B1152" s="21" t="s">
        <v>927</v>
      </c>
      <c r="C1152" s="21" t="s">
        <v>688</v>
      </c>
      <c r="D1152" s="21" t="s">
        <v>180</v>
      </c>
      <c r="E1152" s="21" t="s">
        <v>8496</v>
      </c>
      <c r="F1152" s="21" t="s">
        <v>1608</v>
      </c>
      <c r="G1152" s="21" t="s">
        <v>9069</v>
      </c>
      <c r="H1152" s="28">
        <v>41569</v>
      </c>
      <c r="I1152" s="22">
        <v>2013</v>
      </c>
      <c r="J1152" s="21" t="s">
        <v>1012</v>
      </c>
      <c r="K1152" s="21" t="s">
        <v>998</v>
      </c>
      <c r="L1152" s="21" t="s">
        <v>9070</v>
      </c>
      <c r="M1152" s="21" t="s">
        <v>8499</v>
      </c>
      <c r="N1152" s="21" t="s">
        <v>9071</v>
      </c>
      <c r="O1152" s="21" t="s">
        <v>9072</v>
      </c>
      <c r="P1152" s="27">
        <v>6</v>
      </c>
      <c r="Q1152" s="27">
        <v>22</v>
      </c>
      <c r="R1152" s="21" t="s">
        <v>9073</v>
      </c>
      <c r="S1152" s="21" t="s">
        <v>9074</v>
      </c>
      <c r="T1152" s="21" t="s">
        <v>966</v>
      </c>
      <c r="U1152" s="21" t="s">
        <v>9075</v>
      </c>
    </row>
    <row r="1153" spans="1:21" ht="56">
      <c r="A1153" s="21" t="s">
        <v>926</v>
      </c>
      <c r="B1153" s="21" t="s">
        <v>927</v>
      </c>
      <c r="C1153" s="21" t="s">
        <v>688</v>
      </c>
      <c r="D1153" s="21" t="s">
        <v>180</v>
      </c>
      <c r="E1153" s="21" t="s">
        <v>8496</v>
      </c>
      <c r="F1153" s="21" t="s">
        <v>1616</v>
      </c>
      <c r="G1153" s="21" t="s">
        <v>9076</v>
      </c>
      <c r="H1153" s="28">
        <v>40702</v>
      </c>
      <c r="I1153" s="22">
        <v>2011</v>
      </c>
      <c r="J1153" s="21" t="s">
        <v>1012</v>
      </c>
      <c r="K1153" s="21" t="s">
        <v>1013</v>
      </c>
      <c r="L1153" s="21" t="s">
        <v>9077</v>
      </c>
      <c r="M1153" s="21" t="s">
        <v>8499</v>
      </c>
      <c r="N1153" s="21" t="s">
        <v>9078</v>
      </c>
      <c r="O1153" s="21" t="s">
        <v>9079</v>
      </c>
      <c r="P1153" s="27">
        <v>0</v>
      </c>
      <c r="Q1153" s="27">
        <v>13</v>
      </c>
      <c r="R1153" s="21" t="s">
        <v>9080</v>
      </c>
      <c r="S1153" s="21" t="s">
        <v>9081</v>
      </c>
      <c r="T1153" s="21" t="s">
        <v>966</v>
      </c>
      <c r="U1153" s="21" t="s">
        <v>9082</v>
      </c>
    </row>
    <row r="1154" spans="1:21" ht="98">
      <c r="A1154" s="21" t="s">
        <v>926</v>
      </c>
      <c r="B1154" s="21" t="s">
        <v>927</v>
      </c>
      <c r="C1154" s="21" t="s">
        <v>688</v>
      </c>
      <c r="D1154" s="21" t="s">
        <v>180</v>
      </c>
      <c r="E1154" s="21" t="s">
        <v>8496</v>
      </c>
      <c r="F1154" s="21" t="s">
        <v>1624</v>
      </c>
      <c r="G1154" s="21" t="s">
        <v>9083</v>
      </c>
      <c r="H1154" s="28">
        <v>42082</v>
      </c>
      <c r="I1154" s="22">
        <v>2015</v>
      </c>
      <c r="J1154" s="21" t="s">
        <v>1012</v>
      </c>
      <c r="K1154" s="21" t="s">
        <v>998</v>
      </c>
      <c r="L1154" s="21" t="s">
        <v>9084</v>
      </c>
      <c r="M1154" s="21" t="s">
        <v>8499</v>
      </c>
      <c r="N1154" s="21" t="s">
        <v>9085</v>
      </c>
      <c r="O1154" s="21" t="s">
        <v>9086</v>
      </c>
      <c r="P1154" s="27">
        <v>8</v>
      </c>
      <c r="Q1154" s="27">
        <v>25</v>
      </c>
      <c r="R1154" s="21" t="s">
        <v>9087</v>
      </c>
      <c r="S1154" s="21" t="s">
        <v>9088</v>
      </c>
      <c r="T1154" s="21" t="s">
        <v>966</v>
      </c>
      <c r="U1154" s="21" t="s">
        <v>9089</v>
      </c>
    </row>
    <row r="1155" spans="1:21" ht="70">
      <c r="A1155" s="21" t="s">
        <v>926</v>
      </c>
      <c r="B1155" s="21" t="s">
        <v>927</v>
      </c>
      <c r="C1155" s="21" t="s">
        <v>688</v>
      </c>
      <c r="D1155" s="21" t="s">
        <v>180</v>
      </c>
      <c r="E1155" s="21" t="s">
        <v>8496</v>
      </c>
      <c r="F1155" s="21" t="s">
        <v>1632</v>
      </c>
      <c r="G1155" s="21" t="s">
        <v>9090</v>
      </c>
      <c r="H1155" s="28">
        <v>41569</v>
      </c>
      <c r="I1155" s="22">
        <v>2013</v>
      </c>
      <c r="J1155" s="21" t="s">
        <v>958</v>
      </c>
      <c r="K1155" s="21" t="s">
        <v>998</v>
      </c>
      <c r="L1155" s="21" t="s">
        <v>9091</v>
      </c>
      <c r="M1155" s="21" t="s">
        <v>8499</v>
      </c>
      <c r="N1155" s="21" t="s">
        <v>9092</v>
      </c>
      <c r="O1155" s="21" t="s">
        <v>9093</v>
      </c>
      <c r="P1155" s="27">
        <v>1</v>
      </c>
      <c r="Q1155" s="27">
        <v>30</v>
      </c>
      <c r="R1155" s="21" t="s">
        <v>9094</v>
      </c>
      <c r="S1155" s="21" t="s">
        <v>9095</v>
      </c>
      <c r="T1155" s="21" t="s">
        <v>3189</v>
      </c>
      <c r="U1155" s="21" t="s">
        <v>9096</v>
      </c>
    </row>
    <row r="1156" spans="1:21" ht="56">
      <c r="A1156" s="21" t="s">
        <v>926</v>
      </c>
      <c r="B1156" s="21" t="s">
        <v>927</v>
      </c>
      <c r="C1156" s="21" t="s">
        <v>688</v>
      </c>
      <c r="D1156" s="21" t="s">
        <v>180</v>
      </c>
      <c r="E1156" s="21" t="s">
        <v>8496</v>
      </c>
      <c r="F1156" s="21" t="s">
        <v>1640</v>
      </c>
      <c r="G1156" s="21" t="s">
        <v>9097</v>
      </c>
      <c r="H1156" s="28">
        <v>41569</v>
      </c>
      <c r="I1156" s="22">
        <v>2013</v>
      </c>
      <c r="J1156" s="21" t="s">
        <v>958</v>
      </c>
      <c r="K1156" s="21" t="s">
        <v>998</v>
      </c>
      <c r="L1156" s="21" t="s">
        <v>9098</v>
      </c>
      <c r="M1156" s="21" t="s">
        <v>8499</v>
      </c>
      <c r="N1156" s="21" t="s">
        <v>9099</v>
      </c>
      <c r="O1156" s="21" t="s">
        <v>9100</v>
      </c>
      <c r="P1156" s="27">
        <v>2</v>
      </c>
      <c r="Q1156" s="27">
        <v>29</v>
      </c>
      <c r="R1156" s="21" t="s">
        <v>9101</v>
      </c>
      <c r="S1156" s="21" t="s">
        <v>9102</v>
      </c>
      <c r="T1156" s="21" t="s">
        <v>966</v>
      </c>
      <c r="U1156" s="21" t="s">
        <v>9103</v>
      </c>
    </row>
    <row r="1157" spans="1:21" ht="84">
      <c r="A1157" s="21" t="s">
        <v>926</v>
      </c>
      <c r="B1157" s="21" t="s">
        <v>927</v>
      </c>
      <c r="C1157" s="21" t="s">
        <v>688</v>
      </c>
      <c r="D1157" s="21" t="s">
        <v>180</v>
      </c>
      <c r="E1157" s="21" t="s">
        <v>8496</v>
      </c>
      <c r="F1157" s="21" t="s">
        <v>1649</v>
      </c>
      <c r="G1157" s="21" t="s">
        <v>9104</v>
      </c>
      <c r="H1157" s="28">
        <v>41347</v>
      </c>
      <c r="I1157" s="22">
        <v>2013</v>
      </c>
      <c r="J1157" s="21" t="s">
        <v>958</v>
      </c>
      <c r="K1157" s="21" t="s">
        <v>3815</v>
      </c>
      <c r="L1157" s="21" t="s">
        <v>9105</v>
      </c>
      <c r="M1157" s="21" t="s">
        <v>8499</v>
      </c>
      <c r="N1157" s="21" t="s">
        <v>8860</v>
      </c>
      <c r="O1157" s="21" t="s">
        <v>9106</v>
      </c>
      <c r="P1157" s="27">
        <v>0</v>
      </c>
      <c r="Q1157" s="27">
        <v>14</v>
      </c>
      <c r="R1157" s="21" t="s">
        <v>9107</v>
      </c>
      <c r="S1157" s="21" t="s">
        <v>9108</v>
      </c>
      <c r="T1157" s="21" t="s">
        <v>1148</v>
      </c>
      <c r="U1157" s="21" t="s">
        <v>9109</v>
      </c>
    </row>
    <row r="1158" spans="1:21" ht="28">
      <c r="A1158" s="21" t="s">
        <v>926</v>
      </c>
      <c r="B1158" s="21" t="s">
        <v>927</v>
      </c>
      <c r="C1158" s="21" t="s">
        <v>688</v>
      </c>
      <c r="D1158" s="21" t="s">
        <v>180</v>
      </c>
      <c r="E1158" s="21" t="s">
        <v>8496</v>
      </c>
      <c r="F1158" s="21" t="s">
        <v>1657</v>
      </c>
      <c r="G1158" s="21" t="s">
        <v>9110</v>
      </c>
      <c r="H1158" s="28">
        <v>40940</v>
      </c>
      <c r="I1158" s="22">
        <v>2012</v>
      </c>
      <c r="J1158" s="21" t="s">
        <v>958</v>
      </c>
      <c r="K1158" s="21" t="s">
        <v>3815</v>
      </c>
      <c r="L1158" s="21" t="s">
        <v>9111</v>
      </c>
      <c r="M1158" s="21" t="s">
        <v>8499</v>
      </c>
      <c r="N1158" s="21" t="s">
        <v>8860</v>
      </c>
      <c r="O1158" s="21" t="s">
        <v>9112</v>
      </c>
      <c r="P1158" s="27">
        <v>0</v>
      </c>
      <c r="Q1158" s="27">
        <v>6</v>
      </c>
      <c r="R1158" s="21" t="s">
        <v>9113</v>
      </c>
      <c r="S1158" s="21" t="s">
        <v>9114</v>
      </c>
      <c r="T1158" s="21" t="s">
        <v>1148</v>
      </c>
      <c r="U1158" s="21" t="s">
        <v>9115</v>
      </c>
    </row>
    <row r="1159" spans="1:21" ht="56">
      <c r="A1159" s="21" t="s">
        <v>926</v>
      </c>
      <c r="B1159" s="21" t="s">
        <v>927</v>
      </c>
      <c r="C1159" s="21" t="s">
        <v>688</v>
      </c>
      <c r="D1159" s="21" t="s">
        <v>180</v>
      </c>
      <c r="E1159" s="21" t="s">
        <v>8496</v>
      </c>
      <c r="F1159" s="21" t="s">
        <v>1665</v>
      </c>
      <c r="G1159" s="21" t="s">
        <v>9116</v>
      </c>
      <c r="H1159" s="28">
        <v>41347</v>
      </c>
      <c r="I1159" s="22">
        <v>2013</v>
      </c>
      <c r="J1159" s="21" t="s">
        <v>1012</v>
      </c>
      <c r="K1159" s="21" t="s">
        <v>998</v>
      </c>
      <c r="L1159" s="21" t="s">
        <v>9117</v>
      </c>
      <c r="M1159" s="21" t="s">
        <v>8499</v>
      </c>
      <c r="N1159" s="21" t="s">
        <v>9118</v>
      </c>
      <c r="O1159" s="21" t="s">
        <v>9119</v>
      </c>
      <c r="P1159" s="27">
        <v>43</v>
      </c>
      <c r="Q1159" s="27">
        <v>8</v>
      </c>
      <c r="R1159" s="21" t="s">
        <v>9120</v>
      </c>
      <c r="S1159" s="21" t="s">
        <v>9121</v>
      </c>
      <c r="T1159" s="21" t="s">
        <v>1148</v>
      </c>
      <c r="U1159" s="21" t="s">
        <v>9122</v>
      </c>
    </row>
    <row r="1160" spans="1:21" ht="70">
      <c r="A1160" s="21" t="s">
        <v>926</v>
      </c>
      <c r="B1160" s="21" t="s">
        <v>927</v>
      </c>
      <c r="C1160" s="21" t="s">
        <v>688</v>
      </c>
      <c r="D1160" s="21" t="s">
        <v>180</v>
      </c>
      <c r="E1160" s="21" t="s">
        <v>8496</v>
      </c>
      <c r="F1160" s="21" t="s">
        <v>1673</v>
      </c>
      <c r="G1160" s="21" t="s">
        <v>9123</v>
      </c>
      <c r="H1160" s="28">
        <v>41978</v>
      </c>
      <c r="I1160" s="22">
        <v>2014</v>
      </c>
      <c r="J1160" s="21" t="s">
        <v>1012</v>
      </c>
      <c r="K1160" s="21" t="s">
        <v>998</v>
      </c>
      <c r="L1160" s="21" t="s">
        <v>9124</v>
      </c>
      <c r="M1160" s="21" t="s">
        <v>8499</v>
      </c>
      <c r="N1160" s="21" t="s">
        <v>9125</v>
      </c>
      <c r="O1160" s="21" t="s">
        <v>9126</v>
      </c>
      <c r="P1160" s="27">
        <v>13</v>
      </c>
      <c r="Q1160" s="27">
        <v>20</v>
      </c>
      <c r="R1160" s="21" t="s">
        <v>9127</v>
      </c>
      <c r="S1160" s="21" t="s">
        <v>9128</v>
      </c>
      <c r="T1160" s="21" t="s">
        <v>966</v>
      </c>
      <c r="U1160" s="21" t="s">
        <v>9129</v>
      </c>
    </row>
    <row r="1161" spans="1:21" ht="70">
      <c r="A1161" s="21" t="s">
        <v>926</v>
      </c>
      <c r="B1161" s="21" t="s">
        <v>927</v>
      </c>
      <c r="C1161" s="21" t="s">
        <v>688</v>
      </c>
      <c r="D1161" s="21" t="s">
        <v>180</v>
      </c>
      <c r="E1161" s="21" t="s">
        <v>8496</v>
      </c>
      <c r="F1161" s="21" t="s">
        <v>1681</v>
      </c>
      <c r="G1161" s="21" t="s">
        <v>9130</v>
      </c>
      <c r="H1161" s="28">
        <v>41348</v>
      </c>
      <c r="I1161" s="22">
        <v>2013</v>
      </c>
      <c r="J1161" s="21" t="s">
        <v>1012</v>
      </c>
      <c r="K1161" s="21" t="s">
        <v>998</v>
      </c>
      <c r="L1161" s="21" t="s">
        <v>9131</v>
      </c>
      <c r="M1161" s="21" t="s">
        <v>8499</v>
      </c>
      <c r="N1161" s="21" t="s">
        <v>9132</v>
      </c>
      <c r="O1161" s="21" t="s">
        <v>9133</v>
      </c>
      <c r="P1161" s="27">
        <v>49</v>
      </c>
      <c r="Q1161" s="27">
        <v>38</v>
      </c>
      <c r="R1161" s="21" t="s">
        <v>9134</v>
      </c>
      <c r="S1161" s="21" t="s">
        <v>9135</v>
      </c>
      <c r="T1161" s="21" t="s">
        <v>966</v>
      </c>
      <c r="U1161" s="21" t="s">
        <v>9136</v>
      </c>
    </row>
    <row r="1162" spans="1:21" ht="140">
      <c r="A1162" s="21" t="s">
        <v>926</v>
      </c>
      <c r="B1162" s="21" t="s">
        <v>927</v>
      </c>
      <c r="C1162" s="21" t="s">
        <v>688</v>
      </c>
      <c r="D1162" s="21" t="s">
        <v>180</v>
      </c>
      <c r="E1162" s="21" t="s">
        <v>8496</v>
      </c>
      <c r="F1162" s="21" t="s">
        <v>1689</v>
      </c>
      <c r="G1162" s="21" t="s">
        <v>9137</v>
      </c>
      <c r="H1162" s="28">
        <v>41943</v>
      </c>
      <c r="I1162" s="22">
        <v>2014</v>
      </c>
      <c r="J1162" s="21" t="s">
        <v>1012</v>
      </c>
      <c r="K1162" s="21" t="s">
        <v>998</v>
      </c>
      <c r="L1162" s="21" t="s">
        <v>9138</v>
      </c>
      <c r="M1162" s="21" t="s">
        <v>8499</v>
      </c>
      <c r="N1162" s="21" t="s">
        <v>9139</v>
      </c>
      <c r="O1162" s="21" t="s">
        <v>9140</v>
      </c>
      <c r="P1162" s="27">
        <v>3</v>
      </c>
      <c r="Q1162" s="27">
        <v>23</v>
      </c>
      <c r="R1162" s="21" t="s">
        <v>9141</v>
      </c>
      <c r="S1162" s="21" t="s">
        <v>9142</v>
      </c>
      <c r="T1162" s="21" t="s">
        <v>1148</v>
      </c>
      <c r="U1162" s="21" t="s">
        <v>9143</v>
      </c>
    </row>
    <row r="1163" spans="1:21" ht="84">
      <c r="A1163" s="21" t="s">
        <v>926</v>
      </c>
      <c r="B1163" s="21" t="s">
        <v>927</v>
      </c>
      <c r="C1163" s="21" t="s">
        <v>688</v>
      </c>
      <c r="D1163" s="21" t="s">
        <v>180</v>
      </c>
      <c r="E1163" s="21" t="s">
        <v>8496</v>
      </c>
      <c r="F1163" s="21" t="s">
        <v>1696</v>
      </c>
      <c r="G1163" s="21" t="s">
        <v>9144</v>
      </c>
      <c r="H1163" s="28">
        <v>41438</v>
      </c>
      <c r="I1163" s="22">
        <v>2013</v>
      </c>
      <c r="J1163" s="21" t="s">
        <v>1012</v>
      </c>
      <c r="K1163" s="21" t="s">
        <v>998</v>
      </c>
      <c r="L1163" s="21" t="s">
        <v>9145</v>
      </c>
      <c r="M1163" s="21" t="s">
        <v>8499</v>
      </c>
      <c r="N1163" s="21" t="s">
        <v>9146</v>
      </c>
      <c r="O1163" s="21" t="s">
        <v>9147</v>
      </c>
      <c r="P1163" s="27">
        <v>13</v>
      </c>
      <c r="Q1163" s="27">
        <v>6</v>
      </c>
      <c r="R1163" s="21" t="s">
        <v>9148</v>
      </c>
      <c r="S1163" s="21" t="s">
        <v>9149</v>
      </c>
      <c r="T1163" s="21" t="s">
        <v>1148</v>
      </c>
      <c r="U1163" s="21" t="s">
        <v>9150</v>
      </c>
    </row>
    <row r="1164" spans="1:21" ht="112">
      <c r="A1164" s="21" t="s">
        <v>926</v>
      </c>
      <c r="B1164" s="21" t="s">
        <v>927</v>
      </c>
      <c r="C1164" s="21" t="s">
        <v>688</v>
      </c>
      <c r="D1164" s="21" t="s">
        <v>180</v>
      </c>
      <c r="E1164" s="21" t="s">
        <v>8496</v>
      </c>
      <c r="F1164" s="21" t="s">
        <v>1705</v>
      </c>
      <c r="G1164" s="21" t="s">
        <v>9151</v>
      </c>
      <c r="H1164" s="28">
        <v>40997</v>
      </c>
      <c r="I1164" s="22">
        <v>2012</v>
      </c>
      <c r="J1164" s="21" t="s">
        <v>958</v>
      </c>
      <c r="K1164" s="21" t="s">
        <v>3815</v>
      </c>
      <c r="L1164" s="21" t="s">
        <v>9152</v>
      </c>
      <c r="M1164" s="21" t="s">
        <v>8499</v>
      </c>
      <c r="N1164" s="21" t="s">
        <v>9092</v>
      </c>
      <c r="O1164" s="21" t="s">
        <v>9153</v>
      </c>
      <c r="P1164" s="27">
        <v>0</v>
      </c>
      <c r="Q1164" s="27">
        <v>29</v>
      </c>
      <c r="R1164" s="21" t="s">
        <v>9154</v>
      </c>
      <c r="S1164" s="21" t="s">
        <v>9155</v>
      </c>
      <c r="T1164" s="21" t="s">
        <v>966</v>
      </c>
      <c r="U1164" s="21" t="s">
        <v>9156</v>
      </c>
    </row>
    <row r="1165" spans="1:21" ht="56">
      <c r="A1165" s="21" t="s">
        <v>926</v>
      </c>
      <c r="B1165" s="21" t="s">
        <v>927</v>
      </c>
      <c r="C1165" s="21" t="s">
        <v>688</v>
      </c>
      <c r="D1165" s="21" t="s">
        <v>180</v>
      </c>
      <c r="E1165" s="21" t="s">
        <v>8496</v>
      </c>
      <c r="F1165" s="21" t="s">
        <v>1713</v>
      </c>
      <c r="G1165" s="21" t="s">
        <v>9157</v>
      </c>
      <c r="H1165" s="28">
        <v>41822</v>
      </c>
      <c r="I1165" s="22">
        <v>2014</v>
      </c>
      <c r="J1165" s="21" t="s">
        <v>1012</v>
      </c>
      <c r="K1165" s="21" t="s">
        <v>998</v>
      </c>
      <c r="L1165" s="21" t="s">
        <v>9158</v>
      </c>
      <c r="M1165" s="21" t="s">
        <v>8499</v>
      </c>
      <c r="N1165" s="21" t="s">
        <v>9159</v>
      </c>
      <c r="O1165" s="21" t="s">
        <v>9160</v>
      </c>
      <c r="P1165" s="27">
        <v>81</v>
      </c>
      <c r="Q1165" s="27">
        <v>30</v>
      </c>
      <c r="R1165" s="21" t="s">
        <v>9161</v>
      </c>
      <c r="S1165" s="21" t="s">
        <v>9162</v>
      </c>
      <c r="T1165" s="21" t="s">
        <v>966</v>
      </c>
      <c r="U1165" s="21" t="s">
        <v>9163</v>
      </c>
    </row>
    <row r="1166" spans="1:21" ht="42">
      <c r="A1166" s="21" t="s">
        <v>926</v>
      </c>
      <c r="B1166" s="21" t="s">
        <v>927</v>
      </c>
      <c r="C1166" s="21" t="s">
        <v>688</v>
      </c>
      <c r="D1166" s="21" t="s">
        <v>180</v>
      </c>
      <c r="E1166" s="21" t="s">
        <v>8496</v>
      </c>
      <c r="F1166" s="21" t="s">
        <v>1721</v>
      </c>
      <c r="G1166" s="21" t="s">
        <v>9164</v>
      </c>
      <c r="H1166" s="28">
        <v>41347</v>
      </c>
      <c r="I1166" s="22">
        <v>2013</v>
      </c>
      <c r="J1166" s="21" t="s">
        <v>1012</v>
      </c>
      <c r="K1166" s="21" t="s">
        <v>998</v>
      </c>
      <c r="L1166" s="21" t="s">
        <v>9165</v>
      </c>
      <c r="M1166" s="21" t="s">
        <v>8499</v>
      </c>
      <c r="N1166" s="21" t="s">
        <v>9166</v>
      </c>
      <c r="O1166" s="21" t="s">
        <v>9167</v>
      </c>
      <c r="P1166" s="27">
        <v>62</v>
      </c>
      <c r="Q1166" s="27">
        <v>45</v>
      </c>
      <c r="R1166" s="21" t="s">
        <v>9168</v>
      </c>
      <c r="S1166" s="21" t="s">
        <v>9169</v>
      </c>
      <c r="T1166" s="21" t="s">
        <v>966</v>
      </c>
      <c r="U1166" s="21" t="s">
        <v>9170</v>
      </c>
    </row>
    <row r="1167" spans="1:21" ht="42">
      <c r="A1167" s="21" t="s">
        <v>926</v>
      </c>
      <c r="B1167" s="21" t="s">
        <v>927</v>
      </c>
      <c r="C1167" s="21" t="s">
        <v>688</v>
      </c>
      <c r="D1167" s="21" t="s">
        <v>180</v>
      </c>
      <c r="E1167" s="21" t="s">
        <v>8496</v>
      </c>
      <c r="F1167" s="21" t="s">
        <v>1729</v>
      </c>
      <c r="G1167" s="21" t="s">
        <v>9171</v>
      </c>
      <c r="H1167" s="28">
        <v>41347</v>
      </c>
      <c r="I1167" s="22">
        <v>2013</v>
      </c>
      <c r="J1167" s="21" t="s">
        <v>1012</v>
      </c>
      <c r="K1167" s="21" t="s">
        <v>998</v>
      </c>
      <c r="L1167" s="21" t="s">
        <v>9172</v>
      </c>
      <c r="M1167" s="21" t="s">
        <v>8499</v>
      </c>
      <c r="N1167" s="21" t="s">
        <v>9118</v>
      </c>
      <c r="O1167" s="21" t="s">
        <v>9173</v>
      </c>
      <c r="P1167" s="27">
        <v>101</v>
      </c>
      <c r="Q1167" s="27">
        <v>20</v>
      </c>
      <c r="R1167" s="21" t="s">
        <v>9174</v>
      </c>
      <c r="S1167" s="21" t="s">
        <v>9175</v>
      </c>
      <c r="T1167" s="21" t="s">
        <v>966</v>
      </c>
      <c r="U1167" s="21" t="s">
        <v>9176</v>
      </c>
    </row>
    <row r="1168" spans="1:21" ht="42">
      <c r="A1168" s="21" t="s">
        <v>926</v>
      </c>
      <c r="B1168" s="21" t="s">
        <v>927</v>
      </c>
      <c r="C1168" s="21" t="s">
        <v>688</v>
      </c>
      <c r="D1168" s="21" t="s">
        <v>180</v>
      </c>
      <c r="E1168" s="21" t="s">
        <v>8496</v>
      </c>
      <c r="F1168" s="21" t="s">
        <v>1737</v>
      </c>
      <c r="G1168" s="21" t="s">
        <v>9177</v>
      </c>
      <c r="H1168" s="28">
        <v>41347</v>
      </c>
      <c r="I1168" s="22">
        <v>2013</v>
      </c>
      <c r="J1168" s="21" t="s">
        <v>1012</v>
      </c>
      <c r="K1168" s="21" t="s">
        <v>998</v>
      </c>
      <c r="L1168" s="21" t="s">
        <v>9178</v>
      </c>
      <c r="M1168" s="21" t="s">
        <v>8499</v>
      </c>
      <c r="N1168" s="21" t="s">
        <v>9179</v>
      </c>
      <c r="O1168" s="21" t="s">
        <v>9180</v>
      </c>
      <c r="P1168" s="27">
        <v>34</v>
      </c>
      <c r="Q1168" s="27">
        <v>34</v>
      </c>
      <c r="R1168" s="21" t="s">
        <v>9181</v>
      </c>
      <c r="S1168" s="21" t="s">
        <v>9182</v>
      </c>
      <c r="T1168" s="21" t="s">
        <v>966</v>
      </c>
      <c r="U1168" s="21" t="s">
        <v>9183</v>
      </c>
    </row>
    <row r="1169" spans="1:21" ht="84">
      <c r="A1169" s="21" t="s">
        <v>926</v>
      </c>
      <c r="B1169" s="21" t="s">
        <v>927</v>
      </c>
      <c r="C1169" s="21" t="s">
        <v>688</v>
      </c>
      <c r="D1169" s="21" t="s">
        <v>180</v>
      </c>
      <c r="E1169" s="21" t="s">
        <v>8496</v>
      </c>
      <c r="F1169" s="21" t="s">
        <v>1746</v>
      </c>
      <c r="G1169" s="21" t="s">
        <v>9184</v>
      </c>
      <c r="H1169" s="28">
        <v>41347</v>
      </c>
      <c r="I1169" s="22">
        <v>2013</v>
      </c>
      <c r="J1169" s="21" t="s">
        <v>1012</v>
      </c>
      <c r="K1169" s="21" t="s">
        <v>998</v>
      </c>
      <c r="L1169" s="21" t="s">
        <v>9185</v>
      </c>
      <c r="M1169" s="21" t="s">
        <v>8499</v>
      </c>
      <c r="N1169" s="21" t="s">
        <v>9186</v>
      </c>
      <c r="O1169" s="21" t="s">
        <v>9187</v>
      </c>
      <c r="P1169" s="27">
        <v>12</v>
      </c>
      <c r="Q1169" s="27">
        <v>43</v>
      </c>
      <c r="R1169" s="21" t="s">
        <v>9188</v>
      </c>
      <c r="S1169" s="21" t="s">
        <v>9189</v>
      </c>
      <c r="T1169" s="21" t="s">
        <v>966</v>
      </c>
      <c r="U1169" s="21" t="s">
        <v>9190</v>
      </c>
    </row>
    <row r="1170" spans="1:21" ht="42">
      <c r="A1170" s="21" t="s">
        <v>926</v>
      </c>
      <c r="B1170" s="21" t="s">
        <v>927</v>
      </c>
      <c r="C1170" s="21" t="s">
        <v>688</v>
      </c>
      <c r="D1170" s="21" t="s">
        <v>180</v>
      </c>
      <c r="E1170" s="21" t="s">
        <v>8496</v>
      </c>
      <c r="F1170" s="21" t="s">
        <v>1754</v>
      </c>
      <c r="G1170" s="21" t="s">
        <v>9191</v>
      </c>
      <c r="H1170" s="28">
        <v>41347</v>
      </c>
      <c r="I1170" s="22">
        <v>2013</v>
      </c>
      <c r="J1170" s="21" t="s">
        <v>958</v>
      </c>
      <c r="K1170" s="21" t="s">
        <v>998</v>
      </c>
      <c r="L1170" s="21" t="s">
        <v>9192</v>
      </c>
      <c r="M1170" s="21" t="s">
        <v>8499</v>
      </c>
      <c r="N1170" s="21" t="s">
        <v>9092</v>
      </c>
      <c r="O1170" s="21" t="s">
        <v>9173</v>
      </c>
      <c r="P1170" s="27">
        <v>3</v>
      </c>
      <c r="Q1170" s="27">
        <v>27</v>
      </c>
      <c r="R1170" s="21" t="s">
        <v>9193</v>
      </c>
      <c r="S1170" s="21" t="s">
        <v>9194</v>
      </c>
      <c r="T1170" s="21" t="s">
        <v>966</v>
      </c>
      <c r="U1170" s="21" t="s">
        <v>9195</v>
      </c>
    </row>
    <row r="1171" spans="1:21" ht="56">
      <c r="A1171" s="21" t="s">
        <v>926</v>
      </c>
      <c r="B1171" s="21" t="s">
        <v>927</v>
      </c>
      <c r="C1171" s="21" t="s">
        <v>688</v>
      </c>
      <c r="D1171" s="21" t="s">
        <v>180</v>
      </c>
      <c r="E1171" s="21" t="s">
        <v>8496</v>
      </c>
      <c r="F1171" s="21" t="s">
        <v>1762</v>
      </c>
      <c r="G1171" s="21" t="s">
        <v>9196</v>
      </c>
      <c r="H1171" s="28">
        <v>41754</v>
      </c>
      <c r="I1171" s="22">
        <v>2014</v>
      </c>
      <c r="J1171" s="21" t="s">
        <v>1012</v>
      </c>
      <c r="K1171" s="21" t="s">
        <v>998</v>
      </c>
      <c r="L1171" s="21" t="s">
        <v>9197</v>
      </c>
      <c r="M1171" s="21" t="s">
        <v>8499</v>
      </c>
      <c r="N1171" s="21" t="s">
        <v>9198</v>
      </c>
      <c r="O1171" s="21" t="s">
        <v>9167</v>
      </c>
      <c r="P1171" s="27">
        <v>74</v>
      </c>
      <c r="Q1171" s="27">
        <v>59</v>
      </c>
      <c r="R1171" s="21" t="s">
        <v>9199</v>
      </c>
      <c r="S1171" s="21" t="s">
        <v>9200</v>
      </c>
      <c r="T1171" s="21" t="s">
        <v>966</v>
      </c>
      <c r="U1171" s="21" t="s">
        <v>9201</v>
      </c>
    </row>
    <row r="1172" spans="1:21" ht="84">
      <c r="A1172" s="21" t="s">
        <v>926</v>
      </c>
      <c r="B1172" s="21" t="s">
        <v>927</v>
      </c>
      <c r="C1172" s="21" t="s">
        <v>688</v>
      </c>
      <c r="D1172" s="21" t="s">
        <v>180</v>
      </c>
      <c r="E1172" s="21" t="s">
        <v>8496</v>
      </c>
      <c r="F1172" s="21" t="s">
        <v>1770</v>
      </c>
      <c r="G1172" s="21" t="s">
        <v>9202</v>
      </c>
      <c r="H1172" s="28">
        <v>41814</v>
      </c>
      <c r="I1172" s="22">
        <v>2014</v>
      </c>
      <c r="J1172" s="21" t="s">
        <v>1012</v>
      </c>
      <c r="K1172" s="21" t="s">
        <v>998</v>
      </c>
      <c r="L1172" s="21" t="s">
        <v>9203</v>
      </c>
      <c r="M1172" s="21" t="s">
        <v>8499</v>
      </c>
      <c r="N1172" s="21" t="s">
        <v>9159</v>
      </c>
      <c r="O1172" s="21" t="s">
        <v>9204</v>
      </c>
      <c r="P1172" s="27">
        <v>22</v>
      </c>
      <c r="Q1172" s="27">
        <v>46</v>
      </c>
      <c r="R1172" s="21" t="s">
        <v>9205</v>
      </c>
      <c r="S1172" s="21" t="s">
        <v>9206</v>
      </c>
      <c r="T1172" s="21" t="s">
        <v>966</v>
      </c>
      <c r="U1172" s="21" t="s">
        <v>9207</v>
      </c>
    </row>
    <row r="1173" spans="1:21" ht="70">
      <c r="A1173" s="21" t="s">
        <v>926</v>
      </c>
      <c r="B1173" s="21" t="s">
        <v>927</v>
      </c>
      <c r="C1173" s="21" t="s">
        <v>688</v>
      </c>
      <c r="D1173" s="21" t="s">
        <v>180</v>
      </c>
      <c r="E1173" s="21" t="s">
        <v>8496</v>
      </c>
      <c r="F1173" s="21" t="s">
        <v>1779</v>
      </c>
      <c r="G1173" s="21" t="s">
        <v>9208</v>
      </c>
      <c r="H1173" s="28">
        <v>41250</v>
      </c>
      <c r="I1173" s="22">
        <v>2012</v>
      </c>
      <c r="J1173" s="21" t="s">
        <v>1012</v>
      </c>
      <c r="K1173" s="21" t="s">
        <v>998</v>
      </c>
      <c r="L1173" s="21" t="s">
        <v>9209</v>
      </c>
      <c r="M1173" s="21" t="s">
        <v>9210</v>
      </c>
      <c r="N1173" s="21" t="s">
        <v>9211</v>
      </c>
      <c r="O1173" s="21" t="s">
        <v>9212</v>
      </c>
      <c r="P1173" s="27">
        <v>126</v>
      </c>
      <c r="Q1173" s="27">
        <v>11</v>
      </c>
      <c r="R1173" s="21" t="s">
        <v>9213</v>
      </c>
      <c r="S1173" s="21" t="s">
        <v>9214</v>
      </c>
      <c r="T1173" s="21" t="s">
        <v>1148</v>
      </c>
      <c r="U1173" s="21" t="s">
        <v>9215</v>
      </c>
    </row>
    <row r="1174" spans="1:21" ht="56">
      <c r="A1174" s="21" t="s">
        <v>926</v>
      </c>
      <c r="B1174" s="21" t="s">
        <v>927</v>
      </c>
      <c r="C1174" s="21" t="s">
        <v>688</v>
      </c>
      <c r="D1174" s="21" t="s">
        <v>180</v>
      </c>
      <c r="E1174" s="21" t="s">
        <v>8496</v>
      </c>
      <c r="F1174" s="21" t="s">
        <v>1787</v>
      </c>
      <c r="G1174" s="21" t="s">
        <v>9216</v>
      </c>
      <c r="H1174" s="28">
        <v>41068</v>
      </c>
      <c r="I1174" s="22">
        <v>2012</v>
      </c>
      <c r="J1174" s="21" t="s">
        <v>1012</v>
      </c>
      <c r="K1174" s="21" t="s">
        <v>998</v>
      </c>
      <c r="L1174" s="21" t="s">
        <v>9217</v>
      </c>
      <c r="M1174" s="21" t="s">
        <v>8499</v>
      </c>
      <c r="N1174" s="21" t="s">
        <v>9218</v>
      </c>
      <c r="O1174" s="21" t="s">
        <v>9219</v>
      </c>
      <c r="P1174" s="27">
        <v>56</v>
      </c>
      <c r="Q1174" s="27">
        <v>8</v>
      </c>
      <c r="R1174" s="21" t="s">
        <v>9220</v>
      </c>
      <c r="S1174" s="21" t="s">
        <v>9221</v>
      </c>
      <c r="T1174" s="21" t="s">
        <v>1148</v>
      </c>
      <c r="U1174" s="21" t="s">
        <v>9222</v>
      </c>
    </row>
    <row r="1175" spans="1:21" ht="56">
      <c r="A1175" s="21" t="s">
        <v>926</v>
      </c>
      <c r="B1175" s="21" t="s">
        <v>927</v>
      </c>
      <c r="C1175" s="21" t="s">
        <v>688</v>
      </c>
      <c r="D1175" s="21" t="s">
        <v>180</v>
      </c>
      <c r="E1175" s="21" t="s">
        <v>8496</v>
      </c>
      <c r="F1175" s="21" t="s">
        <v>1795</v>
      </c>
      <c r="G1175" s="21" t="s">
        <v>9223</v>
      </c>
      <c r="H1175" s="28">
        <v>40844</v>
      </c>
      <c r="I1175" s="22">
        <v>2011</v>
      </c>
      <c r="J1175" s="21" t="s">
        <v>1012</v>
      </c>
      <c r="K1175" s="21" t="s">
        <v>998</v>
      </c>
      <c r="L1175" s="21" t="s">
        <v>9224</v>
      </c>
      <c r="M1175" s="21" t="s">
        <v>8499</v>
      </c>
      <c r="N1175" s="21" t="s">
        <v>9225</v>
      </c>
      <c r="O1175" s="21" t="s">
        <v>9226</v>
      </c>
      <c r="P1175" s="27">
        <v>10</v>
      </c>
      <c r="Q1175" s="27">
        <v>2</v>
      </c>
      <c r="R1175" s="21" t="s">
        <v>9227</v>
      </c>
      <c r="S1175" s="21" t="s">
        <v>8829</v>
      </c>
      <c r="T1175" s="21" t="s">
        <v>1148</v>
      </c>
      <c r="U1175" s="21" t="s">
        <v>9228</v>
      </c>
    </row>
    <row r="1176" spans="1:21" ht="336">
      <c r="A1176" s="21" t="s">
        <v>926</v>
      </c>
      <c r="B1176" s="21" t="s">
        <v>927</v>
      </c>
      <c r="C1176" s="21" t="s">
        <v>688</v>
      </c>
      <c r="D1176" s="21" t="s">
        <v>180</v>
      </c>
      <c r="E1176" s="21" t="s">
        <v>8496</v>
      </c>
      <c r="F1176" s="21" t="s">
        <v>1803</v>
      </c>
      <c r="G1176" s="21" t="s">
        <v>9229</v>
      </c>
      <c r="H1176" s="28">
        <v>40702</v>
      </c>
      <c r="I1176" s="22">
        <v>2011</v>
      </c>
      <c r="J1176" s="21" t="s">
        <v>1012</v>
      </c>
      <c r="K1176" s="21" t="s">
        <v>998</v>
      </c>
      <c r="L1176" s="21" t="s">
        <v>9230</v>
      </c>
      <c r="M1176" s="21" t="s">
        <v>9231</v>
      </c>
      <c r="N1176" s="21" t="s">
        <v>9232</v>
      </c>
      <c r="O1176" s="21" t="s">
        <v>9233</v>
      </c>
      <c r="P1176" s="27">
        <v>116</v>
      </c>
      <c r="Q1176" s="27">
        <v>49</v>
      </c>
      <c r="R1176" s="21" t="s">
        <v>9234</v>
      </c>
      <c r="S1176" s="21" t="s">
        <v>9235</v>
      </c>
      <c r="T1176" s="21" t="s">
        <v>966</v>
      </c>
      <c r="U1176" s="21" t="s">
        <v>9236</v>
      </c>
    </row>
    <row r="1177" spans="1:21" ht="42">
      <c r="A1177" s="21" t="s">
        <v>926</v>
      </c>
      <c r="B1177" s="21" t="s">
        <v>927</v>
      </c>
      <c r="C1177" s="21" t="s">
        <v>688</v>
      </c>
      <c r="D1177" s="21" t="s">
        <v>180</v>
      </c>
      <c r="E1177" s="21" t="s">
        <v>8496</v>
      </c>
      <c r="F1177" s="21" t="s">
        <v>1811</v>
      </c>
      <c r="G1177" s="21" t="s">
        <v>9237</v>
      </c>
      <c r="H1177" s="28">
        <v>40603</v>
      </c>
      <c r="I1177" s="22">
        <v>2011</v>
      </c>
      <c r="J1177" s="21" t="s">
        <v>1012</v>
      </c>
      <c r="K1177" s="21" t="s">
        <v>998</v>
      </c>
      <c r="L1177" s="21" t="s">
        <v>9238</v>
      </c>
      <c r="M1177" s="21" t="s">
        <v>9239</v>
      </c>
      <c r="N1177" s="21" t="s">
        <v>9240</v>
      </c>
      <c r="O1177" s="21" t="s">
        <v>9241</v>
      </c>
      <c r="P1177" s="27">
        <v>0</v>
      </c>
      <c r="Q1177" s="27">
        <v>4</v>
      </c>
      <c r="R1177" s="21" t="s">
        <v>9242</v>
      </c>
      <c r="S1177" s="21" t="s">
        <v>5868</v>
      </c>
      <c r="T1177" s="21" t="s">
        <v>1148</v>
      </c>
      <c r="U1177" s="21" t="s">
        <v>9243</v>
      </c>
    </row>
    <row r="1178" spans="1:21" ht="70">
      <c r="A1178" s="21" t="s">
        <v>926</v>
      </c>
      <c r="B1178" s="21" t="s">
        <v>927</v>
      </c>
      <c r="C1178" s="21" t="s">
        <v>688</v>
      </c>
      <c r="D1178" s="21" t="s">
        <v>180</v>
      </c>
      <c r="E1178" s="21" t="s">
        <v>8496</v>
      </c>
      <c r="F1178" s="21" t="s">
        <v>1819</v>
      </c>
      <c r="G1178" s="21" t="s">
        <v>9244</v>
      </c>
      <c r="H1178" s="28">
        <v>41089</v>
      </c>
      <c r="I1178" s="22">
        <v>2012</v>
      </c>
      <c r="J1178" s="21" t="s">
        <v>1012</v>
      </c>
      <c r="K1178" s="21" t="s">
        <v>998</v>
      </c>
      <c r="L1178" s="21" t="s">
        <v>9245</v>
      </c>
      <c r="M1178" s="21" t="s">
        <v>8499</v>
      </c>
      <c r="N1178" s="21" t="s">
        <v>9246</v>
      </c>
      <c r="O1178" s="21" t="s">
        <v>9247</v>
      </c>
      <c r="P1178" s="27">
        <v>28</v>
      </c>
      <c r="Q1178" s="27">
        <v>23</v>
      </c>
      <c r="R1178" s="21" t="s">
        <v>9248</v>
      </c>
      <c r="S1178" s="21" t="s">
        <v>8829</v>
      </c>
      <c r="T1178" s="21" t="s">
        <v>1148</v>
      </c>
      <c r="U1178" s="21" t="s">
        <v>9249</v>
      </c>
    </row>
  </sheetData>
  <mergeCells count="1">
    <mergeCell ref="A1:U1"/>
  </mergeCells>
  <conditionalFormatting sqref="D3:D1178">
    <cfRule type="expression" dxfId="0" priority="1">
      <formula>D3="No"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Deal_Master_Wide</vt:lpstr>
      <vt:lpstr>Panel_DiD</vt:lpstr>
      <vt:lpstr>Variable_Dictionary</vt:lpstr>
      <vt:lpstr>Financial_Import_Log</vt:lpstr>
      <vt:lpstr>Financial_Long_Raw</vt:lpstr>
      <vt:lpstr>Patent_Import_Log</vt:lpstr>
      <vt:lpstr>Patent_Year_Summary</vt:lpstr>
      <vt:lpstr>Patent_Family_Long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TARDOUST NAWAR</cp:lastModifiedBy>
  <dcterms:modified xsi:type="dcterms:W3CDTF">2026-07-30T18:00:36Z</dcterms:modified>
</cp:coreProperties>
</file>